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76468FD-0491-4A44-91D0-3D8A6BF1A0F6}"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7" i="6" s="1"/>
  <c r="L6" i="6"/>
  <c r="F17" i="6" s="1"/>
  <c r="K6" i="6"/>
  <c r="J6" i="6"/>
  <c r="O5" i="6"/>
  <c r="N5" i="6"/>
  <c r="D5" i="6"/>
  <c r="E5" i="6" s="1"/>
  <c r="C16" i="5"/>
  <c r="C18" i="5" s="1"/>
  <c r="C14" i="5"/>
  <c r="C7" i="5"/>
  <c r="C6" i="5"/>
  <c r="C5" i="5"/>
  <c r="C13" i="4"/>
  <c r="C12" i="4"/>
  <c r="C9" i="4"/>
  <c r="C7" i="4"/>
  <c r="C6" i="4"/>
  <c r="D27" i="3"/>
  <c r="G5" i="5" s="1"/>
  <c r="C25" i="3"/>
  <c r="C24" i="3"/>
  <c r="C23" i="3"/>
  <c r="F28" i="2"/>
  <c r="E28" i="2"/>
  <c r="D28" i="2"/>
  <c r="C28" i="2"/>
  <c r="F16" i="2"/>
  <c r="E16" i="2"/>
  <c r="D16" i="2"/>
  <c r="F15" i="2"/>
  <c r="E15" i="2"/>
  <c r="D15" i="2"/>
  <c r="F14" i="2"/>
  <c r="E14" i="2"/>
  <c r="D14" i="2"/>
  <c r="C14" i="2"/>
  <c r="F13" i="2"/>
  <c r="E13" i="2"/>
  <c r="D13" i="2"/>
  <c r="C13" i="2"/>
  <c r="C9" i="2"/>
  <c r="F8" i="2"/>
  <c r="F9" i="2" s="1"/>
  <c r="E8" i="2"/>
  <c r="E9" i="2" s="1"/>
  <c r="D8" i="2"/>
  <c r="D9" i="2" s="1"/>
  <c r="C8" i="2"/>
  <c r="E30" i="3" l="1"/>
  <c r="F30" i="3"/>
  <c r="H15" i="6"/>
  <c r="C32" i="3"/>
  <c r="M5" i="6"/>
  <c r="E16" i="6"/>
  <c r="G16" i="6"/>
  <c r="F16" i="6"/>
  <c r="C28" i="6" s="1"/>
  <c r="C19" i="1" s="1"/>
  <c r="D19" i="1" s="1"/>
  <c r="D32" i="3"/>
  <c r="D6" i="5"/>
  <c r="D15" i="6"/>
  <c r="C26" i="3"/>
  <c r="E46" i="3" s="1"/>
  <c r="E15" i="6"/>
  <c r="F7" i="5"/>
  <c r="D17" i="6"/>
  <c r="F15" i="6"/>
  <c r="H16" i="6"/>
  <c r="E6" i="7"/>
  <c r="F6" i="7"/>
  <c r="C3" i="7"/>
  <c r="C11" i="4"/>
  <c r="G46" i="3"/>
  <c r="F36" i="4"/>
  <c r="F46" i="3"/>
  <c r="E36" i="4"/>
  <c r="D36" i="4"/>
  <c r="B25" i="1"/>
  <c r="C46" i="3"/>
  <c r="D46" i="3"/>
  <c r="H36" i="4"/>
  <c r="E17" i="6"/>
  <c r="G15" i="6"/>
  <c r="C8" i="4"/>
  <c r="C10" i="4" s="1"/>
  <c r="J5" i="6"/>
  <c r="K5" i="6"/>
  <c r="I16" i="6"/>
  <c r="I17" i="6"/>
  <c r="I15" i="6"/>
  <c r="G6" i="5"/>
  <c r="G32" i="3"/>
  <c r="C30" i="3"/>
  <c r="C33" i="3" s="1"/>
  <c r="F31" i="3"/>
  <c r="H5" i="5"/>
  <c r="D7" i="5"/>
  <c r="I6" i="7"/>
  <c r="E32" i="3"/>
  <c r="D5" i="5"/>
  <c r="C31" i="3"/>
  <c r="D30" i="3"/>
  <c r="G31" i="3"/>
  <c r="E7" i="5"/>
  <c r="L5" i="6"/>
  <c r="D16" i="6"/>
  <c r="C17" i="7"/>
  <c r="C6" i="7"/>
  <c r="D17" i="7"/>
  <c r="H17" i="6"/>
  <c r="D6" i="7"/>
  <c r="E17" i="7"/>
  <c r="E6" i="5"/>
  <c r="F17" i="7"/>
  <c r="G7" i="5"/>
  <c r="G30" i="3"/>
  <c r="F6" i="5"/>
  <c r="G17" i="7"/>
  <c r="H7" i="5"/>
  <c r="F32" i="3"/>
  <c r="E5" i="5"/>
  <c r="D31" i="3"/>
  <c r="F5" i="5"/>
  <c r="H6" i="5"/>
  <c r="G6" i="7"/>
  <c r="H17" i="7"/>
  <c r="E31" i="3"/>
  <c r="G36" i="4" l="1"/>
  <c r="B24" i="1"/>
  <c r="B30" i="1"/>
  <c r="E39" i="4"/>
  <c r="E43" i="4"/>
  <c r="E46" i="4"/>
  <c r="E44" i="4"/>
  <c r="E41" i="4"/>
  <c r="E51" i="4" s="1"/>
  <c r="E56" i="4" s="1"/>
  <c r="E40" i="4"/>
  <c r="E45" i="4"/>
  <c r="E50" i="4" s="1"/>
  <c r="E55" i="4" s="1"/>
  <c r="E38" i="4"/>
  <c r="E48" i="4" s="1"/>
  <c r="E53" i="4" s="1"/>
  <c r="C27" i="6"/>
  <c r="C18" i="1" s="1"/>
  <c r="D18" i="1" s="1"/>
  <c r="C74" i="4"/>
  <c r="H40" i="4"/>
  <c r="H44" i="4"/>
  <c r="H41" i="4"/>
  <c r="H45" i="4"/>
  <c r="H43" i="4"/>
  <c r="H46" i="4"/>
  <c r="H38" i="4"/>
  <c r="H39" i="4"/>
  <c r="F43" i="4"/>
  <c r="F46" i="4"/>
  <c r="F51" i="4" s="1"/>
  <c r="F56" i="4" s="1"/>
  <c r="F38" i="4"/>
  <c r="F48" i="4" s="1"/>
  <c r="F53" i="4" s="1"/>
  <c r="F44" i="4"/>
  <c r="F45" i="4"/>
  <c r="F40" i="4"/>
  <c r="F50" i="4" s="1"/>
  <c r="F55" i="4" s="1"/>
  <c r="F39" i="4"/>
  <c r="F41" i="4"/>
  <c r="G46" i="4"/>
  <c r="G40" i="4"/>
  <c r="G50" i="4" s="1"/>
  <c r="G55" i="4" s="1"/>
  <c r="G44" i="4"/>
  <c r="G38" i="4"/>
  <c r="G39" i="4"/>
  <c r="G41" i="4"/>
  <c r="G51" i="4" s="1"/>
  <c r="G56" i="4" s="1"/>
  <c r="G43" i="4"/>
  <c r="G45" i="4"/>
  <c r="D9" i="5"/>
  <c r="D12" i="5" s="1"/>
  <c r="C34" i="3"/>
  <c r="D10" i="5" s="1"/>
  <c r="C37" i="3"/>
  <c r="C42" i="3"/>
  <c r="D33" i="3"/>
  <c r="H50" i="4"/>
  <c r="H55" i="4" s="1"/>
  <c r="E49" i="4"/>
  <c r="E54" i="4" s="1"/>
  <c r="C24" i="4"/>
  <c r="C25" i="4" s="1"/>
  <c r="C71" i="4"/>
  <c r="D50" i="4"/>
  <c r="D55" i="4" s="1"/>
  <c r="C70" i="4"/>
  <c r="F49" i="4"/>
  <c r="H48" i="4"/>
  <c r="H53" i="4" s="1"/>
  <c r="H49" i="4"/>
  <c r="H54" i="4" s="1"/>
  <c r="D45" i="4"/>
  <c r="D39" i="4"/>
  <c r="D49" i="4" s="1"/>
  <c r="D54" i="4" s="1"/>
  <c r="D43" i="4"/>
  <c r="D40" i="4"/>
  <c r="D38" i="4"/>
  <c r="D48" i="4" s="1"/>
  <c r="D53" i="4" s="1"/>
  <c r="D46" i="4"/>
  <c r="D51" i="4" s="1"/>
  <c r="D56" i="4" s="1"/>
  <c r="D41" i="4"/>
  <c r="D44" i="4"/>
  <c r="B13" i="7"/>
  <c r="B12" i="7"/>
  <c r="B11" i="7"/>
  <c r="B10" i="7"/>
  <c r="B9" i="7"/>
  <c r="B8" i="7"/>
  <c r="B7" i="7"/>
  <c r="B24" i="7"/>
  <c r="B23" i="7"/>
  <c r="B22" i="7"/>
  <c r="B21" i="7"/>
  <c r="B20" i="7"/>
  <c r="B19" i="7"/>
  <c r="B18" i="7"/>
  <c r="H51" i="4" l="1"/>
  <c r="H56" i="4" s="1"/>
  <c r="G49" i="4"/>
  <c r="G54" i="4" s="1"/>
  <c r="G48" i="4"/>
  <c r="G53" i="4" s="1"/>
  <c r="C60" i="4"/>
  <c r="F54" i="4"/>
  <c r="B78" i="4" s="1"/>
  <c r="C35" i="3"/>
  <c r="D15" i="5"/>
  <c r="D16" i="5" s="1"/>
  <c r="D13" i="5"/>
  <c r="D14" i="5" s="1"/>
  <c r="D18" i="5" s="1"/>
  <c r="D19" i="5" s="1"/>
  <c r="C44" i="3" s="1"/>
  <c r="C29" i="4"/>
  <c r="C27" i="4"/>
  <c r="C26" i="4"/>
  <c r="E9" i="5"/>
  <c r="E12" i="5" s="1"/>
  <c r="D42" i="3"/>
  <c r="D34" i="3"/>
  <c r="E10" i="5" s="1"/>
  <c r="E33" i="3"/>
  <c r="D37" i="3"/>
  <c r="D35" i="3"/>
  <c r="C65" i="4" l="1"/>
  <c r="D65" i="4" s="1"/>
  <c r="C64" i="4"/>
  <c r="D64" i="4" s="1"/>
  <c r="C66" i="4"/>
  <c r="D66" i="4" s="1"/>
  <c r="C67" i="4"/>
  <c r="D67" i="4" s="1"/>
  <c r="C63" i="4"/>
  <c r="D63" i="4" s="1"/>
  <c r="E13" i="5"/>
  <c r="E14" i="5" s="1"/>
  <c r="E18" i="5" s="1"/>
  <c r="E19" i="5" s="1"/>
  <c r="D44" i="3" s="1"/>
  <c r="E15" i="5"/>
  <c r="E16" i="5" s="1"/>
  <c r="D36" i="3"/>
  <c r="D39" i="3"/>
  <c r="D38" i="3"/>
  <c r="F9" i="5"/>
  <c r="F12" i="5" s="1"/>
  <c r="E42" i="3"/>
  <c r="E34" i="3"/>
  <c r="F10" i="5" s="1"/>
  <c r="E37" i="3"/>
  <c r="F33" i="3"/>
  <c r="C36" i="3"/>
  <c r="C39" i="3"/>
  <c r="C38" i="3"/>
  <c r="D40" i="3" l="1"/>
  <c r="D41" i="3" s="1"/>
  <c r="D45" i="3" s="1"/>
  <c r="D47" i="3" s="1"/>
  <c r="F42" i="3"/>
  <c r="F34" i="3"/>
  <c r="G10" i="5" s="1"/>
  <c r="F37" i="3"/>
  <c r="F35" i="3"/>
  <c r="G33" i="3"/>
  <c r="G9" i="5"/>
  <c r="G12" i="5" s="1"/>
  <c r="E35" i="3"/>
  <c r="C40" i="3"/>
  <c r="C41" i="3" s="1"/>
  <c r="C45" i="3" s="1"/>
  <c r="F13" i="5"/>
  <c r="F14" i="5" s="1"/>
  <c r="F15" i="5"/>
  <c r="F16" i="5" s="1"/>
  <c r="F18" i="5" l="1"/>
  <c r="F19" i="5" s="1"/>
  <c r="E44" i="3" s="1"/>
  <c r="E39" i="3"/>
  <c r="E36" i="3"/>
  <c r="E38" i="3"/>
  <c r="G37" i="3"/>
  <c r="G35" i="3"/>
  <c r="H9" i="5"/>
  <c r="H12" i="5" s="1"/>
  <c r="G42" i="3"/>
  <c r="G34" i="3"/>
  <c r="H10" i="5" s="1"/>
  <c r="C16" i="4"/>
  <c r="C28" i="4" s="1"/>
  <c r="C47" i="3"/>
  <c r="F38" i="3"/>
  <c r="F36" i="3"/>
  <c r="F39" i="3"/>
  <c r="G13" i="5"/>
  <c r="G14" i="5" s="1"/>
  <c r="G18" i="5" s="1"/>
  <c r="G19" i="5" s="1"/>
  <c r="F44" i="3" s="1"/>
  <c r="G15" i="5"/>
  <c r="G16" i="5" s="1"/>
  <c r="H15" i="5" l="1"/>
  <c r="H16" i="5" s="1"/>
  <c r="H13" i="5"/>
  <c r="H14" i="5" s="1"/>
  <c r="H18" i="5" s="1"/>
  <c r="H19" i="5" s="1"/>
  <c r="G44" i="3" s="1"/>
  <c r="E40" i="3"/>
  <c r="E41" i="3" s="1"/>
  <c r="E45" i="3" s="1"/>
  <c r="F40" i="3"/>
  <c r="F41" i="3"/>
  <c r="F45" i="3" s="1"/>
  <c r="F47" i="3" s="1"/>
  <c r="C72" i="4"/>
  <c r="C73" i="4"/>
  <c r="G38" i="3"/>
  <c r="G39" i="3"/>
  <c r="G36" i="3"/>
  <c r="E47" i="3" l="1"/>
  <c r="G40" i="3"/>
  <c r="G41" i="3" s="1"/>
  <c r="G45" i="3" s="1"/>
  <c r="C59" i="3"/>
  <c r="C60" i="3" s="1"/>
  <c r="C61" i="3" s="1"/>
  <c r="C51" i="3" l="1"/>
  <c r="C52" i="3" s="1"/>
  <c r="G47" i="3"/>
  <c r="F24" i="7"/>
  <c r="H9" i="7"/>
  <c r="D19" i="7"/>
  <c r="F22" i="7"/>
  <c r="F8" i="7"/>
  <c r="D18" i="7"/>
  <c r="H7" i="7"/>
  <c r="C13" i="7"/>
  <c r="F20" i="7"/>
  <c r="H23" i="7"/>
  <c r="C21" i="7"/>
  <c r="G19" i="7"/>
  <c r="H19" i="7"/>
  <c r="D22" i="7"/>
  <c r="E8" i="7"/>
  <c r="I9" i="7"/>
  <c r="F9" i="7"/>
  <c r="G20" i="7"/>
  <c r="G22" i="7"/>
  <c r="D23" i="7"/>
  <c r="E12" i="7"/>
  <c r="C7" i="7"/>
  <c r="E10" i="7"/>
  <c r="E24" i="7"/>
  <c r="G13" i="7"/>
  <c r="C23" i="7"/>
  <c r="G11" i="7"/>
  <c r="E13" i="7"/>
  <c r="G10" i="7"/>
  <c r="F19" i="7"/>
  <c r="C19" i="7"/>
  <c r="C11" i="7"/>
  <c r="D12" i="7"/>
  <c r="E22" i="7"/>
  <c r="G7" i="7"/>
  <c r="I13" i="7"/>
  <c r="E20" i="7"/>
  <c r="C10" i="7"/>
  <c r="I8" i="7"/>
  <c r="G23" i="7"/>
  <c r="I11" i="7"/>
  <c r="E18" i="7"/>
  <c r="G21" i="7"/>
  <c r="H12" i="7"/>
  <c r="D21" i="7"/>
  <c r="C12" i="7"/>
  <c r="E19" i="7"/>
  <c r="I22" i="7"/>
  <c r="D10" i="7"/>
  <c r="F13" i="7"/>
  <c r="I20" i="7"/>
  <c r="D8" i="7"/>
  <c r="H11" i="7"/>
  <c r="H21" i="7"/>
  <c r="F11" i="7"/>
  <c r="I18" i="7"/>
  <c r="D24" i="7"/>
  <c r="C20" i="7"/>
  <c r="H10" i="7"/>
  <c r="D20" i="7"/>
  <c r="F23" i="7"/>
  <c r="H8" i="7"/>
  <c r="C24" i="7"/>
  <c r="G9" i="7"/>
  <c r="F7" i="7"/>
  <c r="F21" i="7"/>
  <c r="H24" i="7"/>
  <c r="H20" i="7"/>
  <c r="C8" i="7"/>
  <c r="E11" i="7"/>
  <c r="H18" i="7"/>
  <c r="I12" i="7"/>
  <c r="E23" i="7"/>
  <c r="D11" i="7"/>
  <c r="E9" i="7"/>
  <c r="G12" i="7"/>
  <c r="C22" i="7"/>
  <c r="E7" i="7"/>
  <c r="F18" i="7"/>
  <c r="I10" i="7"/>
  <c r="I23" i="7"/>
  <c r="G8" i="7"/>
  <c r="C18" i="7"/>
  <c r="E21" i="7"/>
  <c r="G24" i="7"/>
  <c r="I24" i="7"/>
  <c r="C9" i="7"/>
  <c r="D13" i="7"/>
  <c r="G18" i="7"/>
  <c r="I21" i="7"/>
  <c r="D9" i="7"/>
  <c r="F12" i="7"/>
  <c r="H22" i="7"/>
  <c r="I7" i="7"/>
  <c r="I19" i="7"/>
  <c r="D7" i="7"/>
  <c r="F10" i="7"/>
  <c r="H13" i="7"/>
  <c r="C50" i="3"/>
  <c r="C58" i="3" l="1"/>
  <c r="C62" i="3" s="1"/>
  <c r="C53" i="3"/>
  <c r="C17" i="4" l="1"/>
  <c r="C54" i="3"/>
  <c r="C55" i="3" s="1"/>
  <c r="C16" i="1"/>
  <c r="C17" i="1"/>
  <c r="D17" i="1" s="1"/>
  <c r="C63" i="3"/>
  <c r="C64" i="3" s="1"/>
  <c r="D16" i="1" l="1"/>
  <c r="C10" i="1"/>
  <c r="C21" i="1"/>
  <c r="C19" i="4"/>
  <c r="C20" i="4" s="1"/>
  <c r="B79" i="4" s="1"/>
  <c r="B26" i="1" l="1"/>
  <c r="B29" i="1"/>
  <c r="C12" i="1"/>
  <c r="C11" i="1" s="1"/>
</calcChain>
</file>

<file path=xl/sharedStrings.xml><?xml version="1.0" encoding="utf-8"?>
<sst xmlns="http://schemas.openxmlformats.org/spreadsheetml/2006/main" count="526" uniqueCount="400">
  <si>
    <t>DISCLAIMER: This is a sample analysis for demonstration purposes only. It does not constitute investment advice.</t>
  </si>
  <si>
    <t>三井化学 (4183.T)</t>
  </si>
  <si>
    <t>Equity Research Report</t>
  </si>
  <si>
    <t>Company</t>
  </si>
  <si>
    <t>三井化学</t>
  </si>
  <si>
    <t>Ticker</t>
  </si>
  <si>
    <t>4183.T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</si>
  <si>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</si>
  <si>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</si>
  <si>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</si>
  <si>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</si>
  <si>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</si>
  <si>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</si>
  <si>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</si>
  <si>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</si>
  <si>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</si>
  <si>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</si>
  <si>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</si>
  <si>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</si>
  <si>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</si>
  <si>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</si>
  <si>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</si>
  <si>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</si>
  <si>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</si>
  <si>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</si>
  <si>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shares already trade above the chemical peer median on EV/EBITDA, so the exit leg of this model deliberately does not extend that premium into the terminal year.</t>
  </si>
  <si>
    <t>三井化学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</si>
  <si>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</si>
  <si>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</si>
  <si>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</si>
  <si>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</si>
  <si>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</si>
  <si>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</si>
  <si>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</si>
  <si>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</si>
  <si>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</si>
  <si>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</si>
  <si>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</si>
  <si>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</si>
  <si>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</si>
  <si>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</si>
  <si>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</si>
  <si>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</si>
  <si>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</si>
  <si>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</si>
  <si>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</si>
  <si>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</si>
  <si>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</si>
  <si>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</si>
  <si>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</si>
  <si>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</si>
  <si>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</si>
  <si>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</si>
  <si>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</si>
  <si>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</si>
  <si>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三井化学</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</si>
  <si>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</si>
  <si>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</si>
  <si>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</si>
  <si>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</si>
  <si>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</si>
  <si>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</si>
  <si>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</si>
  <si>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</si>
  <si>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</si>
  <si>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</si>
  <si>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</si>
  <si>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</si>
  <si>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</si>
  <si>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</si>
  <si>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</si>
  <si>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</si>
  <si>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</si>
  <si>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</si>
  <si>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</si>
  <si>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</si>
  <si>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</si>
  <si>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</si>
  <si>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</si>
  <si>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</si>
  <si>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</si>
  <si>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</si>
  <si>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</si>
  <si>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</si>
  <si>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</si>
  <si>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</si>
  <si>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</si>
  <si>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</si>
  <si>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</si>
  <si>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</si>
  <si>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</si>
  <si>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</si>
  <si>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</si>
  <si>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</si>
  <si>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</si>
  <si>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</si>
  <si>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</si>
  <si>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</si>
  <si>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</si>
  <si>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</si>
  <si>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</si>
  <si>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</si>
  <si>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</si>
  <si>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</si>
  <si>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</si>
  <si>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</si>
  <si>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</si>
  <si>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</si>
  <si>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</si>
  <si>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</si>
  <si>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</si>
  <si>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</si>
  <si>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</si>
  <si>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</si>
  <si>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</si>
  <si>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</si>
  <si>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</si>
  <si>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</si>
  <si>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</si>
  <si>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</si>
  <si>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三井化学 (4183.T)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</si>
  <si>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</si>
  <si>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</si>
  <si>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</si>
  <si>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</si>
  <si>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</si>
  <si>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</si>
  <si>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</si>
  <si>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</si>
  <si>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</si>
  <si>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</si>
  <si>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</si>
  <si>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</si>
  <si>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</si>
  <si>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</si>
  <si>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</si>
  <si>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</si>
  <si>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</si>
  <si>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</si>
  <si>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</si>
  <si>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</si>
  <si>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</si>
  <si>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</si>
  <si>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</si>
  <si>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</si>
  <si>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</si>
  <si>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</si>
  <si>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</si>
  <si>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</si>
  <si>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</si>
  <si>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</si>
  <si>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</si>
  <si>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</si>
  <si>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</si>
  <si>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</si>
  <si>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</si>
  <si>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</si>
  <si>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</si>
  <si>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</si>
  <si>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</si>
  <si>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</si>
  <si>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</si>
  <si>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</si>
  <si>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</si>
  <si>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</si>
  <si>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</si>
  <si>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</si>
  <si>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</si>
  <si>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</si>
  <si>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</si>
  <si>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</si>
  <si>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</si>
  <si>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三井化学</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</si>
  <si>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</si>
  <si>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</si>
  <si>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</si>
  <si>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</si>
  <si>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</si>
  <si>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</si>
  <si>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</si>
  <si>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</si>
  <si>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</si>
  <si>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</si>
  <si>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</si>
  <si>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</si>
  <si>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</si>
  <si>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</si>
  <si>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</si>
  <si>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</si>
  <si>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</si>
  <si>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</si>
  <si>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</si>
  <si>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</si>
  <si>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</si>
  <si>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</si>
  <si>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</si>
  <si>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</si>
  <si>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</si>
  <si>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</si>
  <si>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</si>
  <si>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</si>
  <si>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</si>
  <si>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</si>
  <si>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</si>
  <si>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</si>
  <si>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</si>
  <si>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</si>
  <si>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Mitsui Chemicals, Inc.</t>
  </si>
  <si>
    <t>4183.T</t>
  </si>
  <si>
    <t>Sumitomo Chemical Company, Limited</t>
  </si>
  <si>
    <t>4005.T</t>
  </si>
  <si>
    <t>Mitsubishi Chemical Group Corporation</t>
  </si>
  <si>
    <t>4188.T</t>
  </si>
  <si>
    <t>Asahi Kasei Corporation</t>
  </si>
  <si>
    <t>3407.T</t>
  </si>
  <si>
    <t>Kuraray Co., Ltd.</t>
  </si>
  <si>
    <t>3405.T</t>
  </si>
  <si>
    <t>Nippon Sanso Holdings Corporation</t>
  </si>
  <si>
    <t>4091.T</t>
  </si>
  <si>
    <t>Statistics</t>
  </si>
  <si>
    <t>25th Percentile</t>
  </si>
  <si>
    <t>Median (50th)</t>
  </si>
  <si>
    <t>75th Percentile</t>
  </si>
  <si>
    <t>Implied Valuation for 三井化学</t>
  </si>
  <si>
    <t>三井化学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</si>
  <si>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</si>
  <si>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</si>
  <si>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</si>
  <si>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</si>
  <si>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</si>
  <si>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</si>
  <si>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</si>
  <si>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</si>
  <si>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</si>
  <si>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</si>
  <si>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</si>
  <si>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</si>
  <si>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</si>
  <si>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</si>
  <si>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</si>
  <si>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三井化学</t>
  </si>
  <si>
    <t>日付</t>
  </si>
  <si>
    <t>セル</t>
  </si>
  <si>
    <t>変更内容</t>
  </si>
  <si>
    <t>理由</t>
  </si>
  <si>
    <t>元の値</t>
  </si>
  <si>
    <t>状態</t>
  </si>
  <si>
    <t>2026-09-05</t>
  </si>
  <si>
    <t>-</t>
  </si>
  <si>
    <t>Generated by pipeline on 2026-09-05 22:51,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</si>
  <si>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</si>
  <si>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</si>
  <si>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</si>
  <si>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</si>
  <si>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</si>
  <si>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</si>
  <si>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</si>
  <si>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</si>
  <si>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</si>
  <si>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</si>
  <si>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</si>
  <si>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</si>
  <si>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</si>
  <si>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</si>
  <si>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804,100百万円。■テンプレートの自動規則(&gt;=1兆円 -&gt; 0.0%、&gt;=1,000億円 -&gt; 1.5%)とは異なる値であり、明示指定で上書きしている。</t>
  </si>
  <si>
    <t>テンプレ自動値</t>
  </si>
  <si>
    <t>DCF Model!C8</t>
  </si>
  <si>
    <t>Beta = 0.78</t>
  </si>
  <si>
    <t>yfinance実測 0.78 はテンプレのクランプ域 [0.6, 1.75] の**内側**のため素通し（クランプ・フォールバック1.0への置換は発動していない）。本バッチで実測betaをそのまま使えた数少ない銘柄。</t>
  </si>
  <si>
    <t>yfinance実測 0.78</t>
  </si>
  <si>
    <t>DCF Model!C6</t>
  </si>
  <si>
    <t>Effective Tax Rate = 25%</t>
  </si>
  <si>
    <t>バッチ共通の既定値(v2 §1-3)。当社の実績税負担率を個別に検証したものではない。</t>
  </si>
  <si>
    <t>テンプレ既定 30%</t>
  </si>
  <si>
    <t>推定</t>
  </si>
  <si>
    <t>DCF Model!C11</t>
  </si>
  <si>
    <t>After-tax Cost of Debt = 1.67%(実績ベース)</t>
  </si>
  <si>
    <t>支払利息 16,427百万円 ÷ 平均有利子負債 ((737,977 + 740,191)/2 = 739,084) = 2.22%(税引前)、× (1 − 25%) = 1.67%(validate チェック17 PASS)。■D/E 0.69 と負債比率が高く、Kd が WACC を Ke 8.04% から 6.02% へ押し下げている。■出所は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</si>
  <si>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</si>
  <si>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</si>
  <si>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</si>
  <si>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</si>
  <si>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</si>
  <si>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</si>
  <si>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</si>
  <si>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6.5x</t>
  </si>
  <si>
    <t>Peer 5社の実測EV/EBITDA中央値 6.54x（4005 6.09 / 4188 10.03 / 3407 6.54 / 3405 5.12 / 4091 9.63）。型Bのため §4-4 の Peer中央値上限は binding しない。 自社の現在倍率 8.70x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</si>
  <si>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</si>
  <si>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</si>
  <si>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型B(シクリカル・石化サイクル)として処理</t>
  </si>
  <si>
    <t>追補1 §B に従い、型判定の前に batch/prescreen.py で EDINET有報XBRL の金融事業専用科目(ForFinancialBusiness / Banking / Deposits / CallLoan / InstallmentReceivable 系)を機械チェックした。検出結果: **CLEAN**（docID S100YGUI。金融事業専用科目は1件も検出されず）。セクター判定による型B。実績OPMレンジは2.3ptと小さいが、これは**観測4期がすべて石化ダウンサイクルの中にある**ため（5.71 → 3.39% の単調低下）。赤字年はない。</t>
  </si>
  <si>
    <t>Financial Statements / hist_* 系列</t>
  </si>
  <si>
    <t>hist_years を FY2023-FY2026 の4期に置換し P/L 5系列を yfinance連結財務諸表から供給</t>
  </si>
  <si>
    <t>【リトライ1回目・§3-2 の補完】初回生成は FAIL 1(Financial Statements!D16 = #DIV/0!)。原因は EDINET が hist_years を FY2020-FY2026 の7期 で構築し、うち FY2020 の営業利益を 0 で抽出していたため『営業利益YoY成長率 = 0/0』となったこと。根本原因は scripts/generate_dcf.py:66 の _val(data_dict, key, default=0) が欠損値を None ではなく 0 に落とすこと(バッチ中はパイプラインを変更しない方針のため未修正)。対処: hist_years を FY2023-FY2026 の4期に置換し hist_revenue / hist_operating_income / hist_net_income / hist_cogs / hist_sga を yfinance連結財務諸表から供給(配列長は全て4で hist_years と一致、契約遵守)。■hist_ocf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で逆算。■当社では特にこの扱いが重要: yfinance が FY2026/3 の CF計算書を未収録である一方 EDINET は取得できているため、hist_capex / hist_depreciation を供給せず Step 4.6 に委ねることで EDINET の最新期実績を使える。</t>
  </si>
  <si>
    <t>EDINET自動抽出値(FY2020-FY2026、うち1期の営業利益が破損)</t>
  </si>
  <si>
    <t>DCF Model!C5 / capex_direct</t>
  </si>
  <si>
    <t>capex_method=direct、投影 [135,000 / 128,000 / 120,000 / 112,000 / 105,800]百万円</t>
  </si>
  <si>
    <t>実績capexは売上比 7.3-8.8% で D&amp;A(4.9-5.5%)を約1.5倍上回る状態がダウンサイクル中ずっと続いている。5年で逓減させ、ターミナル年 105,800 ÷ D&amp;A(Y5売上1,799,398 × 5.6% = 100,766) = 1.050x でレンジ内に収束(validate チェック9 PASS)。■**この逓減は会社が表明した計画ではなく本モデルの仮定である**。capex が高止まりすればターミナルFCFは大きく下振れる。</t>
  </si>
  <si>
    <t>DCF Model シナリオ5本</t>
  </si>
  <si>
    <t>実績OPM分布からの導出(min 3.39 / p25 3.50 / med 3.59 / p75 4.16 / max 5.71%)</t>
  </si>
  <si>
    <t>型Bのため §4-4 に従い Base 到達OPM = ピークとトラフの中間 = (5.71 + 3.39)/2 = 4.55%(当社は減損による汚染がないため文字どおり適用できる)。Y1 3.6% -&gt; Y5 4.55%。Upside は max(実績max 5.71, 直近+1.0pt = 4.39) = 5.71%(サイクルピークの再現)。Downside 1 は min(p25 3.50, 直近 3.39) = 3.39% を下回る 2.20%。Downside 2 は実績トラフ(3.39%)が直近実績そのものでトラフとして機能しないため、売上-12%+OPM半減アーム(0.0-1.5%)。SGA% は実績15.1-&gt;17.7%の直近水準17.7%を基準に調整し COGS% = 100% - OPM - SGA% で逆算。既存銘柄からの流用なし。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</si>
  <si>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</si>
  <si>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</si>
  <si>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</si>
  <si>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</si>
  <si>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</si>
  <si>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</si>
  <si>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72 / DIH 115 / DPO 42 日</t>
  </si>
  <si>
    <t>実績4期平均。DPO 42日が短くDSO+DIH 187日に対して大きく不足しており、運転資本の資金拘束が構造的に大きい。</t>
  </si>
  <si>
    <t>Comps Analysis</t>
  </si>
  <si>
    <t>Peer 5社 = 4005 住友化学 / 4188 三菱ケミカルG / 3407 旭化成 / 3405 クラレ / 4091 日本酸素HD</t>
  </si>
  <si>
    <t>■選定理由: TSE33業種『化学』。■時価総額バンド: v2 §5 の 0.3〜3倍は 0.241〜2.41兆円で、**採用5社すべてがバンド内**（バンド緩和は不要）。■除外: 4063 信越化学・4901 富士フイルム（いずれもバンド外）。海外Peer は v2 §5 により不使用。■**自社行の年度混在**: yfinance が当社の FY2026/3 キャッシュフロー計算書を未収録のため、comps CSV の自社行 D&amp;A 99,768 は **FY2025/3 の値**（営業利益は最新期）。自社行は統計から自動除外される（validate チェック3 PASS）ため Peer統計・Exit倍率には影響しない。なお DCF 側の hist_depreciation は Step 4.6 が EDINET の FY2026/3 実績を年度キーで割り当てている。■D&amp;A取得状況: Peer 5社は全社で減価償却費を取得でき統一。**D&amp;A欠損による除外はゼロ**（validate チェック12 PASS）。</t>
  </si>
  <si>
    <t>Executive Summary!C10 / Target</t>
  </si>
  <si>
    <t>Target Price = 887円 = PGM 582円 と Exit 1,192円 の2本平均。Comps 2本(EV/EBITDA 1,687円 / PER 1,818円)は [参考・Target不算入]</t>
  </si>
  <si>
    <t>メモ§2 の規約どおり。validate チェック14 PASS(C10 が C16:C17 のみを平均)。EV&lt;net_debt による INVALID 化は発生していない（チェック10・15 とも PASS）。**自社倍率 8.70x が Peer中央値 6.54x を上回るため Exit 法は保守側に振れている**。</t>
  </si>
  <si>
    <t>Comps Analysis / core_ebitda</t>
  </si>
  <si>
    <t>core_ebitda = 178,553百万円（EDINET由来の自動計算値をそのまま採用）</t>
  </si>
  <si>
    <t>batch/check_core_ebitda.py による全銘柄照合で、当社は workbook の自社EBITDA 178,553 と comps CSV の自社行 156,370 に 14% の差があることを検出した。■**当社では workbook 側が正しい**: 差の原因は D&amp;A の年度で、workbook は EDINET の FY2026/3 実績 121,951 を、CSV は yfinance の FY2025/3 実績 99,768 を使っている(yfinance が当社の FY2026/3 キャッシュフロー計算書を未収録)。他銘柄では EDINET の減価償却費が信頼できず CSV 側(yfinance)に揃えたが、当社は逆に EDINET が最新年度を持っている。したがって core_ebitda は上書きせず EDINET 値を採用し、CSV 自社行が年度混在の近似であることを開示するにとどめた。■自社行は Peer 統計から自動除外される(validate チェック3 PASS)ため Peer 統計・Exit倍率には影響しない。■Comps は Target 不算入のため Target Price(887円)には影響しない。</t>
  </si>
  <si>
    <t>全体(納品状態)</t>
  </si>
  <si>
    <t>本ファイルは DRAFT。_FINAL は付けない</t>
  </si>
  <si>
    <t>バッチモードでの機械生成物であり人間の検証を経ていない。FINAL化は手順書v2 §6 に従い検証後に行う。</t>
  </si>
  <si>
    <t>DRAFT</t>
  </si>
  <si>
    <t>全体(未解決)</t>
  </si>
  <si>
    <t>観測窓（4期）がすべてダウンサイクル内にあり、真のサイクル振幅を捉えていない</t>
  </si>
  <si>
    <t>Base の到達OPM 4.55% は観測されたピーク（5.71%）とトラフ（3.39%）の中間だが、前回サイクルのピークはこれより高い可能性がある。より長い履歴で振幅を確認すべきである。</t>
  </si>
  <si>
    <t>未解決</t>
  </si>
  <si>
    <t>capex 逓減の仮定が Target を支配している</t>
  </si>
  <si>
    <t>実績 capex は D&amp;A の約1.5倍で4期続いている。5年で D&amp;A 水準まで下げる仮定は会社が表明した計画ではなく本モデルの設計判断であり、高止まりすればターミナルFCFは大きく下振れる。</t>
  </si>
  <si>
    <t>Target 887円 と現値 2,224円 の乖離（−60.1%）</t>
  </si>
  <si>
    <t>逆算DCF は現値がサイクルピークの 0.85倍 の定常営業利益を織り込むことを示す。本モデルはピークとトラフの中間（4.55%）にとどめており、その差が乖離の主因。加えて自社倍率 8.70x が Peer中央値 6.54x を上回るため Exit 法も保守側に振れている。</t>
  </si>
  <si>
    <t>Pipeline Metadata (do not edit — read by scripts/validate_output.py)</t>
  </si>
  <si>
    <t>key</t>
  </si>
  <si>
    <t>value</t>
  </si>
  <si>
    <t>auto_log_entries</t>
  </si>
  <si>
    <t>1</t>
  </si>
  <si>
    <t>capex_pct_basis</t>
  </si>
  <si>
    <t>assumption</t>
  </si>
  <si>
    <t>capex_pct_c5</t>
  </si>
  <si>
    <t>0.0588</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</si>
  <si>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</si>
  <si>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</si>
  <si>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</si>
  <si>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</si>
  <si>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</si>
  <si>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</si>
  <si>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</si>
  <si>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</si>
  <si>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</si>
  <si>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</si>
  <si>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</si>
  <si>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</si>
  <si>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</si>
  <si>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</si>
  <si>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</si>
  <si>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</si>
  <si>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</si>
  <si>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</si>
  <si>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</si>
  <si>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</si>
  <si>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16,427 (expense 16,427 + fees 0) / avg debt 739,084 (debt_beginning/debt_ending) = 0.022226 pre-tax -&gt; 0.016700 after-tax</t>
  </si>
  <si>
    <t>cost_of_debt_at_c11</t>
  </si>
  <si>
    <t>0.0167</t>
  </si>
  <si>
    <t>cost_of_debt_avg_debt</t>
  </si>
  <si>
    <t>739084.0</t>
  </si>
  <si>
    <t>cost_of_debt_basis</t>
  </si>
  <si>
    <t>actual</t>
  </si>
  <si>
    <t>cost_of_debt_interest</t>
  </si>
  <si>
    <t>16427.0</t>
  </si>
  <si>
    <t>cost_of_debt_pretax</t>
  </si>
  <si>
    <t>0.02222616103176364</t>
  </si>
  <si>
    <t>da_pct_basis</t>
  </si>
  <si>
    <t>da_pct_c18</t>
  </si>
  <si>
    <t>0.056</t>
  </si>
  <si>
    <t>da_pct_hist3yr</t>
  </si>
  <si>
    <t>0.05745</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</si>
  <si>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</si>
  <si>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</si>
  <si>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</si>
  <si>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</si>
  <si>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</si>
  <si>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</si>
  <si>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</si>
  <si>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</si>
  <si>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</si>
  <si>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22:51:06</t>
  </si>
  <si>
    <t>ltm_revenue_c20</t>
  </si>
  <si>
    <t>1668754.0</t>
  </si>
  <si>
    <t>ltm_revenue_source</t>
  </si>
  <si>
    <t>latest FY (no LTM)</t>
  </si>
  <si>
    <t>narrative_tokens_used</t>
  </si>
  <si>
    <t>pb,per,price,target_price,upside_pct,wacc</t>
  </si>
  <si>
    <t>reverse_dcf_sheet</t>
  </si>
  <si>
    <t>op0=56,602(FY2026) peak=107,305(FY2023) peak_opm=0.0571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</si>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</sst>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2224</v>
      </c>
    </row>
    <row r="10" spans="2:5" ht="14" customHeight="1" x14ac:dyDescent="0.3">
      <c r="B10" s="4" t="s">
        <v>10</v>
      </c>
      <c r="C10" s="5">
        <f>IF(COUNT(C16:C17)=0,"N/A",ROUND(AVERAGE(C16:C17),0))</f>
        <v>887</v>
      </c>
    </row>
    <row r="11" spans="2:5" ht="14" customHeight="1" x14ac:dyDescent="0.3">
      <c r="B11" s="4" t="s">
        <v>11</v>
      </c>
      <c r="C11" s="6" t="str">
        <f>IF(NOT(ISNUMBER(C12)),"N/A",IF(C12&gt;0.15,"BUY",IF(C12&gt;0.05,"HOLD","SELL")))</f>
        <v>SELL</v>
      </c>
    </row>
    <row r="12" spans="2:5" ht="14" customHeight="1" x14ac:dyDescent="0.3">
      <c r="B12" s="4" t="s">
        <v>12</v>
      </c>
      <c r="C12" s="7">
        <f>IF(ISNUMBER(C10),(C10-C9)/C9,"N/A")</f>
        <v>-0.60116906474820142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582</v>
      </c>
      <c r="D16" s="7">
        <f>IF(ISNUMBER(C16),(C16-C9)/C9,"N/A")</f>
        <v>-0.73830935251798557</v>
      </c>
    </row>
    <row r="17" spans="2:5" ht="13.5" customHeight="1" x14ac:dyDescent="0.25">
      <c r="B17" t="s">
        <v>18</v>
      </c>
      <c r="C17" s="11">
        <f>IF('DCF Model'!C62&lt;'DCF Model'!C16,"INVALID (EV &lt; net debt)",'DCF Model'!C64)</f>
        <v>1192</v>
      </c>
      <c r="D17" s="7">
        <f>IF(ISNUMBER(C17),(C17-C9)/C9,"N/A")</f>
        <v>-0.46402877697841727</v>
      </c>
    </row>
    <row r="18" spans="2:5" ht="13.5" customHeight="1" x14ac:dyDescent="0.25">
      <c r="B18" t="s">
        <v>19</v>
      </c>
      <c r="C18" s="11">
        <f>'Comps Analysis'!C27</f>
        <v>1376</v>
      </c>
      <c r="D18" s="7">
        <f>IF(ISNUMBER(C18),(C18-C9)/C9,"N/A")</f>
        <v>-0.38129496402877699</v>
      </c>
    </row>
    <row r="19" spans="2:5" ht="13.5" customHeight="1" x14ac:dyDescent="0.25">
      <c r="B19" t="s">
        <v>20</v>
      </c>
      <c r="C19" s="11">
        <f>'Comps Analysis'!C28</f>
        <v>1818</v>
      </c>
      <c r="D19" s="7">
        <f>IF(ISNUMBER(C19),(C19-C9)/C9,"N/A")</f>
        <v>-0.18255395683453238</v>
      </c>
    </row>
    <row r="20" spans="2:5" ht="14" customHeight="1" x14ac:dyDescent="0.3">
      <c r="B20" s="46" t="s">
        <v>21</v>
      </c>
      <c r="C20" s="45"/>
      <c r="D20" s="45"/>
      <c r="E20" s="45"/>
    </row>
    <row r="21" spans="2:5" ht="14" customHeight="1" x14ac:dyDescent="0.3">
      <c r="B21" s="4" t="s">
        <v>22</v>
      </c>
      <c r="C21" s="6" t="str">
        <f>IF(COUNT(C16:C17)=0,"N/A",MIN(C16:C17)&amp;" - "&amp;MAX(C16:C17))</f>
        <v>582 - 1192</v>
      </c>
    </row>
    <row r="23" spans="2:5" ht="14" customHeight="1" x14ac:dyDescent="0.3">
      <c r="B23" s="8" t="s">
        <v>23</v>
      </c>
      <c r="C23" s="9"/>
      <c r="D23" s="9"/>
    </row>
    <row r="24" spans="2:5" x14ac:dyDescent="0.2">
      <c r="B24" t="str">
        <f>"Mitsui Chemicals has shifted its mix toward mobility and life-science materials while the commodity petrochemical business sits at the bottom of its cycle; the shares trade at "&amp;TEXT('Comps Analysis'!L5,"0.0""x""")&amp;" earnings and "&amp;TEXT('Comps Analysis'!M5,"0.00""x""")&amp;" book."</f>
        <v>Mitsui Chemicals has shifted its mix toward mobility and life-science materials while the commodity petrochemical business sits at the bottom of its cycle; the shares trade at 23.4x earnings and 0.93x book.</v>
      </c>
    </row>
    <row r="25" spans="2:5" x14ac:dyDescent="0.2">
      <c r="B25" t="str">
        <f>"All four observed years fall inside a single downcycle, so the historical margin range understates the amplitude; the base case restores only the midpoint between the observed peak and trough against a "&amp;TEXT('DCF Model'!C26,"0.00%")&amp;" cost of capital."</f>
        <v>All four observed years fall inside a single downcycle, so the historical margin range understates the amplitude; the base case restores only the midpoint between the observed peak and trough against a 6.02% cost of capital.</v>
      </c>
    </row>
    <row r="26" spans="2:5" x14ac:dyDescent="0.2">
      <c r="B26" t="str">
        <f>"At "&amp;TEXT(C9,"#,##0")&amp;" the market is capitalising trough economics as permanent; a mid-cycle normalisation supports "&amp;TEXT(C10,"#,##0")&amp;", or "&amp;TEXT(C12,"+0.0%;-0.0%")&amp;" from here."</f>
        <v>At 2,224 the market is capitalising trough economics as permanent; a mid-cycle normalisation supports 887, or -60.1% from here.</v>
      </c>
    </row>
    <row r="28" spans="2:5" ht="14" customHeight="1" x14ac:dyDescent="0.3">
      <c r="B28" s="8" t="s">
        <v>24</v>
      </c>
      <c r="C28" s="9"/>
      <c r="D28" s="9"/>
    </row>
    <row r="29" spans="2:5" x14ac:dyDescent="0.2">
      <c r="B29" t="str">
        <f>"Capital expenditure has run at roughly 1.5 times depreciation throughout the downcycle, and the free cash flow behind "&amp;TEXT(C10,"#,##0")&amp;" depends on it tapering — a commitment the filings do not yet make."</f>
        <v>Capital expenditure has run at roughly 1.5 times depreciation throughout the downcycle, and the free cash flow behind 887 depends on it tapering — a commitment the filings do not yet make.</v>
      </c>
    </row>
    <row r="30" spans="2:5" x14ac:dyDescent="0.2">
      <c r="B30" t="str">
        <f>"Naphtha spreads and Chinese capacity additions drive the commodity segment, and a further leg down would hold margins at the trough rather than the "&amp;TEXT('Comps Analysis'!L5,"0.0""x""")&amp;" the market pays at "&amp;TEXT(C9,"#,##0")&amp;"."</f>
        <v>Naphtha spreads and Chinese capacity additions drive the commodity segment, and a further leg down would hold margins at the trough rather than the 23.4x the market pays at 2,224.</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1879547</v>
      </c>
      <c r="D6" s="5">
        <v>1749743</v>
      </c>
      <c r="E6" s="5">
        <v>1809164</v>
      </c>
      <c r="F6" s="5">
        <v>1668754</v>
      </c>
    </row>
    <row r="7" spans="2:6" ht="14" customHeight="1" x14ac:dyDescent="0.3">
      <c r="B7" s="4" t="s">
        <v>33</v>
      </c>
      <c r="C7" s="5">
        <v>1498054</v>
      </c>
      <c r="D7" s="5">
        <v>1378946</v>
      </c>
      <c r="E7" s="5">
        <v>1420872</v>
      </c>
      <c r="F7" s="5">
        <v>1288244</v>
      </c>
    </row>
    <row r="8" spans="2:6" ht="14" customHeight="1" x14ac:dyDescent="0.3">
      <c r="B8" s="4" t="s">
        <v>34</v>
      </c>
      <c r="C8" s="5">
        <f>C6-C7</f>
        <v>381493</v>
      </c>
      <c r="D8" s="5">
        <f>D6-D7</f>
        <v>370797</v>
      </c>
      <c r="E8" s="5">
        <f>E6-E7</f>
        <v>388292</v>
      </c>
      <c r="F8" s="5">
        <f>F6-F7</f>
        <v>380510</v>
      </c>
    </row>
    <row r="9" spans="2:6" ht="13.5" customHeight="1" x14ac:dyDescent="0.25">
      <c r="B9" t="s">
        <v>35</v>
      </c>
      <c r="C9" s="7">
        <f>C8/C6</f>
        <v>0.20297071581609824</v>
      </c>
      <c r="D9" s="7">
        <f>D8/D6</f>
        <v>0.21191512124923489</v>
      </c>
      <c r="E9" s="7">
        <f>E8/E6</f>
        <v>0.21462509755887249</v>
      </c>
      <c r="F9" s="7">
        <f>F8/F6</f>
        <v>0.22802042721695348</v>
      </c>
    </row>
    <row r="10" spans="2:6" ht="14" customHeight="1" x14ac:dyDescent="0.3">
      <c r="B10" s="4" t="s">
        <v>36</v>
      </c>
      <c r="C10" s="5">
        <v>274188</v>
      </c>
      <c r="D10" s="5">
        <v>308975</v>
      </c>
      <c r="E10" s="5">
        <v>322385</v>
      </c>
      <c r="F10" s="5">
        <v>323908</v>
      </c>
    </row>
    <row r="11" spans="2:6" ht="14" customHeight="1" x14ac:dyDescent="0.3">
      <c r="B11" s="4" t="s">
        <v>37</v>
      </c>
      <c r="C11" s="5">
        <v>107305</v>
      </c>
      <c r="D11" s="5">
        <v>61822</v>
      </c>
      <c r="E11" s="5">
        <v>65907</v>
      </c>
      <c r="F11" s="5">
        <v>56602</v>
      </c>
    </row>
    <row r="12" spans="2:6" ht="14" customHeight="1" x14ac:dyDescent="0.3">
      <c r="B12" s="4" t="s">
        <v>38</v>
      </c>
      <c r="C12" s="5">
        <v>82936</v>
      </c>
      <c r="D12" s="5">
        <v>49999</v>
      </c>
      <c r="E12" s="5">
        <v>32242</v>
      </c>
      <c r="F12" s="5">
        <v>34378</v>
      </c>
    </row>
    <row r="13" spans="2:6" ht="13.5" customHeight="1" x14ac:dyDescent="0.25">
      <c r="B13" t="s">
        <v>39</v>
      </c>
      <c r="C13" s="7">
        <f>C11/C6</f>
        <v>5.7090884133251259E-2</v>
      </c>
      <c r="D13" s="7">
        <f>D11/D6</f>
        <v>3.5332045906170222E-2</v>
      </c>
      <c r="E13" s="7">
        <f>E11/E6</f>
        <v>3.6429533198759204E-2</v>
      </c>
      <c r="F13" s="7">
        <f>F11/F6</f>
        <v>3.3918720194828E-2</v>
      </c>
    </row>
    <row r="14" spans="2:6" ht="13.5" customHeight="1" x14ac:dyDescent="0.25">
      <c r="B14" t="s">
        <v>40</v>
      </c>
      <c r="C14" s="7">
        <f>C12/C6</f>
        <v>4.4125525991103177E-2</v>
      </c>
      <c r="D14" s="7">
        <f>D12/D6</f>
        <v>2.8575053593584886E-2</v>
      </c>
      <c r="E14" s="7">
        <f>E12/E6</f>
        <v>1.7821491031216628E-2</v>
      </c>
      <c r="F14" s="7">
        <f>F12/F6</f>
        <v>2.0600999308466077E-2</v>
      </c>
    </row>
    <row r="15" spans="2:6" ht="13.5" customHeight="1" x14ac:dyDescent="0.25">
      <c r="B15" t="s">
        <v>41</v>
      </c>
      <c r="C15" t="s">
        <v>42</v>
      </c>
      <c r="D15" s="7">
        <f>(D6-C6)/C6</f>
        <v>-6.9061321690811667E-2</v>
      </c>
      <c r="E15" s="7">
        <f>(E6-D6)/D6</f>
        <v>3.3959844388575924E-2</v>
      </c>
      <c r="F15" s="7">
        <f>(F6-E6)/E6</f>
        <v>-7.7610432221733347E-2</v>
      </c>
    </row>
    <row r="16" spans="2:6" ht="13.5" customHeight="1" x14ac:dyDescent="0.25">
      <c r="B16" t="s">
        <v>43</v>
      </c>
      <c r="C16" t="s">
        <v>42</v>
      </c>
      <c r="D16" s="7">
        <f>(D11-C11)/C11</f>
        <v>-0.42386654862308376</v>
      </c>
      <c r="E16" s="7">
        <f>(E11-D11)/D11</f>
        <v>6.6076801138753194E-2</v>
      </c>
      <c r="F16" s="7">
        <f>(F11-E11)/E11</f>
        <v>-0.14118378927883229</v>
      </c>
    </row>
    <row r="18" spans="2:6" ht="14" customHeight="1" x14ac:dyDescent="0.3">
      <c r="B18" s="3" t="s">
        <v>44</v>
      </c>
    </row>
    <row r="19" spans="2:6" ht="14" customHeight="1" x14ac:dyDescent="0.3">
      <c r="B19" s="4" t="s">
        <v>45</v>
      </c>
      <c r="C19" s="5">
        <v>101241</v>
      </c>
      <c r="D19" s="5">
        <v>161339</v>
      </c>
      <c r="E19" s="5">
        <v>200501</v>
      </c>
      <c r="F19" s="5">
        <v>212988</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186310</v>
      </c>
      <c r="D26" s="5">
        <v>210292</v>
      </c>
      <c r="E26" s="5">
        <v>170615</v>
      </c>
      <c r="F26" s="5">
        <v>183113</v>
      </c>
    </row>
    <row r="27" spans="2:6" ht="14" customHeight="1" x14ac:dyDescent="0.3">
      <c r="B27" s="4" t="s">
        <v>52</v>
      </c>
      <c r="C27" s="5">
        <v>738249</v>
      </c>
      <c r="D27" s="5">
        <v>756758</v>
      </c>
      <c r="E27" s="5">
        <v>737977</v>
      </c>
      <c r="F27" s="5">
        <v>740191</v>
      </c>
    </row>
    <row r="28" spans="2:6" ht="14" customHeight="1" x14ac:dyDescent="0.3">
      <c r="B28" s="4" t="s">
        <v>53</v>
      </c>
      <c r="C28" s="5">
        <f>C27-C26</f>
        <v>551939</v>
      </c>
      <c r="D28" s="5">
        <f>D27-D26</f>
        <v>546466</v>
      </c>
      <c r="E28" s="5">
        <f>E27-E26</f>
        <v>567362</v>
      </c>
      <c r="F28" s="5">
        <f>F27-F26</f>
        <v>557078</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5.8799999999999998E-2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0.78</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1.67E-2</v>
      </c>
    </row>
    <row r="12" spans="2:7" ht="14" customHeight="1" x14ac:dyDescent="0.3">
      <c r="B12" s="4" t="s">
        <v>64</v>
      </c>
      <c r="C12" s="13">
        <v>0.69279999999999997</v>
      </c>
    </row>
    <row r="13" spans="2:7" ht="14" customHeight="1" x14ac:dyDescent="0.3">
      <c r="B13" s="4" t="s">
        <v>65</v>
      </c>
      <c r="C13" s="7">
        <v>0.01</v>
      </c>
    </row>
    <row r="14" spans="2:7" ht="14" customHeight="1" x14ac:dyDescent="0.3">
      <c r="B14" s="4" t="s">
        <v>66</v>
      </c>
      <c r="C14" s="14">
        <v>6.5</v>
      </c>
    </row>
    <row r="15" spans="2:7" ht="14" customHeight="1" x14ac:dyDescent="0.3">
      <c r="B15" s="4" t="s">
        <v>67</v>
      </c>
      <c r="C15" s="15">
        <v>361537201</v>
      </c>
    </row>
    <row r="16" spans="2:7" ht="14" customHeight="1" x14ac:dyDescent="0.3">
      <c r="B16" s="4" t="s">
        <v>68</v>
      </c>
      <c r="C16" s="5">
        <v>557078</v>
      </c>
    </row>
    <row r="17" spans="2:7" ht="14" customHeight="1" x14ac:dyDescent="0.3">
      <c r="B17" s="4" t="s">
        <v>69</v>
      </c>
      <c r="C17" s="5">
        <v>1668754</v>
      </c>
    </row>
    <row r="18" spans="2:7" ht="14" customHeight="1" x14ac:dyDescent="0.3">
      <c r="B18" s="4" t="s">
        <v>70</v>
      </c>
      <c r="C18" s="7">
        <v>5.6000000000000001E-2</v>
      </c>
    </row>
    <row r="19" spans="2:7" ht="14" customHeight="1" x14ac:dyDescent="0.3">
      <c r="B19" s="4" t="s">
        <v>71</v>
      </c>
      <c r="C19" s="12">
        <v>1</v>
      </c>
    </row>
    <row r="20" spans="2:7" ht="14" customHeight="1" x14ac:dyDescent="0.3">
      <c r="B20" s="4" t="s">
        <v>72</v>
      </c>
      <c r="C20" s="5">
        <v>1668754</v>
      </c>
    </row>
    <row r="22" spans="2:7" ht="14" customHeight="1" x14ac:dyDescent="0.3">
      <c r="B22" s="8" t="s">
        <v>73</v>
      </c>
      <c r="C22" s="9"/>
      <c r="D22" s="9"/>
      <c r="E22" s="9"/>
      <c r="F22" s="9"/>
      <c r="G22" s="9"/>
    </row>
    <row r="23" spans="2:7" ht="14" customHeight="1" x14ac:dyDescent="0.3">
      <c r="B23" s="4" t="s">
        <v>74</v>
      </c>
      <c r="C23" s="16">
        <f>C7+C8*C9+C10</f>
        <v>9.0399999999999994E-2</v>
      </c>
    </row>
    <row r="24" spans="2:7" ht="14" customHeight="1" x14ac:dyDescent="0.3">
      <c r="B24" s="4" t="s">
        <v>75</v>
      </c>
      <c r="C24" s="16">
        <f>1/(1+C12)</f>
        <v>0.59073724007561434</v>
      </c>
    </row>
    <row r="25" spans="2:7" ht="14" customHeight="1" x14ac:dyDescent="0.3">
      <c r="B25" s="4" t="s">
        <v>76</v>
      </c>
      <c r="C25" s="16">
        <f>C12/(1+C12)</f>
        <v>0.4092627599243856</v>
      </c>
    </row>
    <row r="26" spans="2:7" ht="14" customHeight="1" x14ac:dyDescent="0.3">
      <c r="B26" s="4" t="s">
        <v>77</v>
      </c>
      <c r="C26" s="16">
        <f>C23*C24+C11*C25</f>
        <v>6.0237334593572778E-2</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v>
      </c>
      <c r="D30" s="18">
        <f>CHOOSE($D$27,D69,D70,D71,D72,D73)</f>
        <v>1.4999999999999999E-2</v>
      </c>
      <c r="E30" s="18">
        <f>CHOOSE($D$27,E69,E70,E71,E72,E73)</f>
        <v>0.02</v>
      </c>
      <c r="F30" s="18">
        <f>CHOOSE($D$27,F69,F70,F71,F72,F73)</f>
        <v>0.02</v>
      </c>
      <c r="G30" s="18">
        <f>CHOOSE($D$27,G69,G70,G71,G72,G73)</f>
        <v>0.02</v>
      </c>
    </row>
    <row r="31" spans="2:7" ht="14" customHeight="1" x14ac:dyDescent="0.3">
      <c r="B31" s="4" t="s">
        <v>86</v>
      </c>
      <c r="C31" s="18">
        <f>CHOOSE($D$27,C76,C77,C78,C79,C80)</f>
        <v>0.78700000000000003</v>
      </c>
      <c r="D31" s="18">
        <f>CHOOSE($D$27,D76,D77,D78,D79,D80)</f>
        <v>0.78400000000000003</v>
      </c>
      <c r="E31" s="18">
        <f>CHOOSE($D$27,E76,E77,E78,E79,E80)</f>
        <v>0.78100000000000003</v>
      </c>
      <c r="F31" s="18">
        <f>CHOOSE($D$27,F76,F77,F78,F79,F80)</f>
        <v>0.77900000000000003</v>
      </c>
      <c r="G31" s="18">
        <f>CHOOSE($D$27,G76,G77,G78,G79,G80)</f>
        <v>0.77749999999999997</v>
      </c>
    </row>
    <row r="32" spans="2:7" ht="14" customHeight="1" x14ac:dyDescent="0.3">
      <c r="B32" s="4" t="s">
        <v>87</v>
      </c>
      <c r="C32" s="18">
        <f>CHOOSE($D$27,C83,C84,C85,C86,C87)</f>
        <v>0.17699999999999999</v>
      </c>
      <c r="D32" s="18">
        <f>CHOOSE($D$27,D83,D84,D85,D86,D87)</f>
        <v>0.17699999999999999</v>
      </c>
      <c r="E32" s="18">
        <f>CHOOSE($D$27,E83,E84,E85,E86,E87)</f>
        <v>0.17699999999999999</v>
      </c>
      <c r="F32" s="18">
        <f>CHOOSE($D$27,F83,F84,F85,F86,F87)</f>
        <v>0.17699999999999999</v>
      </c>
      <c r="G32" s="18">
        <f>CHOOSE($D$27,G83,G84,G85,G86,G87)</f>
        <v>0.17699999999999999</v>
      </c>
    </row>
    <row r="33" spans="2:7" ht="14" customHeight="1" x14ac:dyDescent="0.3">
      <c r="B33" s="4" t="s">
        <v>32</v>
      </c>
      <c r="C33" s="5">
        <f>C17*(1+C30)</f>
        <v>1668754</v>
      </c>
      <c r="D33" s="5">
        <f>C33*(1+D30)</f>
        <v>1693785.3099999998</v>
      </c>
      <c r="E33" s="5">
        <f>D33*(1+E30)</f>
        <v>1727661.0162</v>
      </c>
      <c r="F33" s="5">
        <f>E33*(1+F30)</f>
        <v>1762214.2365240001</v>
      </c>
      <c r="G33" s="5">
        <f>F33*(1+G30)</f>
        <v>1797458.5212544801</v>
      </c>
    </row>
    <row r="34" spans="2:7" ht="14" customHeight="1" x14ac:dyDescent="0.3">
      <c r="B34" s="4" t="s">
        <v>33</v>
      </c>
      <c r="C34" s="5">
        <f>C33*C31</f>
        <v>1313309.398</v>
      </c>
      <c r="D34" s="5">
        <f>D33*D31</f>
        <v>1327927.6830399998</v>
      </c>
      <c r="E34" s="5">
        <f>E33*E31</f>
        <v>1349303.2536522001</v>
      </c>
      <c r="F34" s="5">
        <f>F33*F31</f>
        <v>1372764.890252196</v>
      </c>
      <c r="G34" s="5">
        <f>G33*G31</f>
        <v>1397524.0002753583</v>
      </c>
    </row>
    <row r="35" spans="2:7" ht="14" customHeight="1" x14ac:dyDescent="0.3">
      <c r="B35" s="4" t="s">
        <v>34</v>
      </c>
      <c r="C35" s="19">
        <f>C33-C34</f>
        <v>355444.60199999996</v>
      </c>
      <c r="D35" s="19">
        <f>D33-D34</f>
        <v>365857.62696000002</v>
      </c>
      <c r="E35" s="19">
        <f>E33-E34</f>
        <v>378357.76254779985</v>
      </c>
      <c r="F35" s="19">
        <f>F33-F34</f>
        <v>389449.34627180407</v>
      </c>
      <c r="G35" s="19">
        <f>G33-G34</f>
        <v>399934.52097912179</v>
      </c>
    </row>
    <row r="36" spans="2:7" ht="14" customHeight="1" x14ac:dyDescent="0.3">
      <c r="B36" s="4" t="s">
        <v>35</v>
      </c>
      <c r="C36" s="7">
        <f>C35/C33</f>
        <v>0.21299999999999997</v>
      </c>
      <c r="D36" s="7">
        <f>D35/D33</f>
        <v>0.21600000000000003</v>
      </c>
      <c r="E36" s="7">
        <f>E35/E33</f>
        <v>0.21899999999999992</v>
      </c>
      <c r="F36" s="7">
        <f>F35/F33</f>
        <v>0.22100000000000003</v>
      </c>
      <c r="G36" s="7">
        <f>G35/G33</f>
        <v>0.22249999999999998</v>
      </c>
    </row>
    <row r="37" spans="2:7" ht="14" customHeight="1" x14ac:dyDescent="0.3">
      <c r="B37" s="4" t="s">
        <v>88</v>
      </c>
      <c r="C37" s="5">
        <f>C33*C32</f>
        <v>295369.45799999998</v>
      </c>
      <c r="D37" s="5">
        <f>D33*D32</f>
        <v>299799.99986999994</v>
      </c>
      <c r="E37" s="5">
        <f>E33*E32</f>
        <v>305795.99986739998</v>
      </c>
      <c r="F37" s="5">
        <f>F33*F32</f>
        <v>311911.91986474802</v>
      </c>
      <c r="G37" s="5">
        <f>G33*G32</f>
        <v>318150.15826204297</v>
      </c>
    </row>
    <row r="38" spans="2:7" ht="14" customHeight="1" x14ac:dyDescent="0.3">
      <c r="B38" s="4" t="s">
        <v>89</v>
      </c>
      <c r="C38" s="7">
        <f>(C35-C37)/C33</f>
        <v>3.5999999999999983E-2</v>
      </c>
      <c r="D38" s="7">
        <f>(D35-D37)/D33</f>
        <v>3.9000000000000055E-2</v>
      </c>
      <c r="E38" s="7">
        <f>(E35-E37)/E33</f>
        <v>4.1999999999999926E-2</v>
      </c>
      <c r="F38" s="7">
        <f>(F35-F37)/F33</f>
        <v>4.4000000000000025E-2</v>
      </c>
      <c r="G38" s="7">
        <f>(G35-G37)/G33</f>
        <v>4.5499999999999985E-2</v>
      </c>
    </row>
    <row r="39" spans="2:7" ht="14" customHeight="1" x14ac:dyDescent="0.3">
      <c r="B39" s="4" t="s">
        <v>90</v>
      </c>
      <c r="C39" s="19">
        <f>C35-C37</f>
        <v>60075.143999999971</v>
      </c>
      <c r="D39" s="19">
        <f>D35-D37</f>
        <v>66057.627090000082</v>
      </c>
      <c r="E39" s="19">
        <f>E35-E37</f>
        <v>72561.762680399872</v>
      </c>
      <c r="F39" s="19">
        <f>F35-F37</f>
        <v>77537.426407056046</v>
      </c>
      <c r="G39" s="19">
        <f>G35-G37</f>
        <v>81784.362717078824</v>
      </c>
    </row>
    <row r="40" spans="2:7" ht="14" customHeight="1" x14ac:dyDescent="0.3">
      <c r="B40" s="4" t="s">
        <v>91</v>
      </c>
      <c r="C40" s="5">
        <f>MAX(0,C39*C6)</f>
        <v>15018.785999999993</v>
      </c>
      <c r="D40" s="5">
        <f>MAX(0,D39*C6)</f>
        <v>16514.40677250002</v>
      </c>
      <c r="E40" s="5">
        <f>MAX(0,E39*C6)</f>
        <v>18140.440670099968</v>
      </c>
      <c r="F40" s="5">
        <f>MAX(0,F39*C6)</f>
        <v>19384.356601764011</v>
      </c>
      <c r="G40" s="5">
        <f>MAX(0,G39*C6)</f>
        <v>20446.090679269706</v>
      </c>
    </row>
    <row r="41" spans="2:7" ht="14" customHeight="1" x14ac:dyDescent="0.3">
      <c r="B41" s="4" t="s">
        <v>92</v>
      </c>
      <c r="C41" s="19">
        <f>C39-C40</f>
        <v>45056.357999999978</v>
      </c>
      <c r="D41" s="19">
        <f>D39-D40</f>
        <v>49543.220317500061</v>
      </c>
      <c r="E41" s="19">
        <f>E39-E40</f>
        <v>54421.322010299904</v>
      </c>
      <c r="F41" s="19">
        <f>F39-F40</f>
        <v>58153.069805292034</v>
      </c>
      <c r="G41" s="19">
        <f>G39-G40</f>
        <v>61338.272037809118</v>
      </c>
    </row>
    <row r="42" spans="2:7" ht="14" customHeight="1" x14ac:dyDescent="0.3">
      <c r="B42" s="4" t="s">
        <v>93</v>
      </c>
      <c r="C42" s="5">
        <f>C33*C18</f>
        <v>93450.224000000002</v>
      </c>
      <c r="D42" s="5">
        <f>D33*C18</f>
        <v>94851.97735999999</v>
      </c>
      <c r="E42" s="5">
        <f>E33*C18</f>
        <v>96749.016907199999</v>
      </c>
      <c r="F42" s="5">
        <f>F33*C18</f>
        <v>98683.997245343999</v>
      </c>
      <c r="G42" s="5">
        <f>G33*C18</f>
        <v>100657.67719025089</v>
      </c>
    </row>
    <row r="43" spans="2:7" ht="14" customHeight="1" x14ac:dyDescent="0.3">
      <c r="B43" s="4" t="s">
        <v>94</v>
      </c>
      <c r="C43" s="5">
        <v>135000</v>
      </c>
      <c r="D43" s="5">
        <v>128000</v>
      </c>
      <c r="E43" s="5">
        <v>120000</v>
      </c>
      <c r="F43" s="5">
        <v>112000</v>
      </c>
      <c r="G43" s="5">
        <v>105800</v>
      </c>
    </row>
    <row r="44" spans="2:7" ht="14" customHeight="1" x14ac:dyDescent="0.3">
      <c r="B44" s="4" t="s">
        <v>95</v>
      </c>
      <c r="C44" s="5">
        <f>'NWC Schedule'!D19</f>
        <v>-16637.249167123227</v>
      </c>
      <c r="D44" s="5">
        <f>'NWC Schedule'!E19</f>
        <v>7861.3400764929829</v>
      </c>
      <c r="E44" s="5">
        <f>'NWC Schedule'!F19</f>
        <v>10957.445208467427</v>
      </c>
      <c r="F44" s="5">
        <f>'NWC Schedule'!G19</f>
        <v>11508.305027747294</v>
      </c>
      <c r="G44" s="5">
        <f>'NWC Schedule'!H19</f>
        <v>11904.119266535388</v>
      </c>
    </row>
    <row r="45" spans="2:7" ht="14" customHeight="1" x14ac:dyDescent="0.3">
      <c r="B45" s="4" t="s">
        <v>96</v>
      </c>
      <c r="C45" s="20">
        <f>C41+C42-C43-C44</f>
        <v>20143.831167123222</v>
      </c>
      <c r="D45" s="20">
        <f>D41+D42-D43-D44</f>
        <v>8533.8576010070683</v>
      </c>
      <c r="E45" s="20">
        <f>E41+E42-E43-E44</f>
        <v>20212.893709032476</v>
      </c>
      <c r="F45" s="20">
        <f>F41+F42-F43-F44</f>
        <v>33328.762022888754</v>
      </c>
      <c r="G45" s="20">
        <f>G41+G42-G43-G44</f>
        <v>44291.829961524636</v>
      </c>
    </row>
    <row r="46" spans="2:7" ht="14" customHeight="1" x14ac:dyDescent="0.3">
      <c r="B46" s="4" t="s">
        <v>97</v>
      </c>
      <c r="C46" s="21">
        <f>1/(1+C26)^(C19+0)</f>
        <v>0.94318504675496651</v>
      </c>
      <c r="D46" s="21">
        <f>1/(1+C26)^(C19+1)</f>
        <v>0.88959803242216839</v>
      </c>
      <c r="E46" s="21">
        <f>1/(1+C26)^(C19+2)</f>
        <v>0.83905556180322916</v>
      </c>
      <c r="F46" s="21">
        <f>1/(1+C26)^(C19+3)</f>
        <v>0.79138465928939328</v>
      </c>
      <c r="G46" s="21">
        <f>1/(1+C26)^(C19+4)</f>
        <v>0.7464221768730297</v>
      </c>
    </row>
    <row r="47" spans="2:7" ht="14" customHeight="1" x14ac:dyDescent="0.3">
      <c r="B47" s="4" t="s">
        <v>98</v>
      </c>
      <c r="C47" s="19">
        <f>C45*C46</f>
        <v>18999.360341187268</v>
      </c>
      <c r="D47" s="19">
        <f>D45*D46</f>
        <v>7591.7029308268538</v>
      </c>
      <c r="E47" s="19">
        <f>E45*E46</f>
        <v>16959.740886701202</v>
      </c>
      <c r="F47" s="19">
        <f>F45*F46</f>
        <v>26375.870978021085</v>
      </c>
      <c r="G47" s="19">
        <f>G45*G46</f>
        <v>33060.404137571299</v>
      </c>
    </row>
    <row r="49" spans="2:7" ht="14" customHeight="1" x14ac:dyDescent="0.3">
      <c r="B49" s="22" t="s">
        <v>99</v>
      </c>
      <c r="C49" s="23"/>
      <c r="D49" s="23"/>
      <c r="E49" s="23"/>
      <c r="F49" s="23"/>
      <c r="G49" s="23"/>
    </row>
    <row r="50" spans="2:7" ht="14" customHeight="1" x14ac:dyDescent="0.3">
      <c r="B50" s="4" t="s">
        <v>100</v>
      </c>
      <c r="C50" s="5">
        <f>SUM(C47:G47)</f>
        <v>102987.07927430772</v>
      </c>
    </row>
    <row r="51" spans="2:7" ht="14" customHeight="1" x14ac:dyDescent="0.3">
      <c r="B51" s="4" t="s">
        <v>101</v>
      </c>
      <c r="C51" s="5">
        <f>G45*(1+C13)/(C26-C13)</f>
        <v>890468.18711721862</v>
      </c>
    </row>
    <row r="52" spans="2:7" ht="14" customHeight="1" x14ac:dyDescent="0.3">
      <c r="B52" s="4" t="s">
        <v>102</v>
      </c>
      <c r="C52" s="5">
        <f>C51*G46</f>
        <v>664665.20266421465</v>
      </c>
    </row>
    <row r="53" spans="2:7" ht="14" customHeight="1" x14ac:dyDescent="0.3">
      <c r="B53" s="4" t="s">
        <v>103</v>
      </c>
      <c r="C53" s="5">
        <f>C50+C52</f>
        <v>767652.28193852236</v>
      </c>
    </row>
    <row r="54" spans="2:7" ht="14" customHeight="1" x14ac:dyDescent="0.3">
      <c r="B54" s="4" t="s">
        <v>104</v>
      </c>
      <c r="C54" s="5">
        <f>C53-C16</f>
        <v>210574.28193852236</v>
      </c>
    </row>
    <row r="55" spans="2:7" ht="14" customHeight="1" x14ac:dyDescent="0.3">
      <c r="B55" s="4" t="s">
        <v>105</v>
      </c>
      <c r="C55" s="24">
        <f>ROUND(C54*1000000/C15,0)</f>
        <v>582</v>
      </c>
    </row>
    <row r="57" spans="2:7" ht="14" customHeight="1" x14ac:dyDescent="0.3">
      <c r="B57" s="22" t="s">
        <v>106</v>
      </c>
      <c r="C57" s="23"/>
      <c r="D57" s="23"/>
      <c r="E57" s="23"/>
      <c r="F57" s="23"/>
      <c r="G57" s="23"/>
    </row>
    <row r="58" spans="2:7" ht="14" customHeight="1" x14ac:dyDescent="0.3">
      <c r="B58" s="4" t="s">
        <v>100</v>
      </c>
      <c r="C58" s="5">
        <f>C50</f>
        <v>102987.07927430772</v>
      </c>
    </row>
    <row r="59" spans="2:7" ht="14" customHeight="1" x14ac:dyDescent="0.3">
      <c r="B59" s="4" t="s">
        <v>107</v>
      </c>
      <c r="C59" s="5">
        <f>G39+G42</f>
        <v>182442.03990732972</v>
      </c>
    </row>
    <row r="60" spans="2:7" ht="14" customHeight="1" x14ac:dyDescent="0.3">
      <c r="B60" s="4" t="s">
        <v>108</v>
      </c>
      <c r="C60" s="5">
        <f>C59*C14</f>
        <v>1185873.2593976432</v>
      </c>
    </row>
    <row r="61" spans="2:7" ht="14" customHeight="1" x14ac:dyDescent="0.3">
      <c r="B61" s="4" t="s">
        <v>102</v>
      </c>
      <c r="C61" s="5">
        <f>C60*G46</f>
        <v>885162.09977510385</v>
      </c>
    </row>
    <row r="62" spans="2:7" ht="14" customHeight="1" x14ac:dyDescent="0.3">
      <c r="B62" s="4" t="s">
        <v>103</v>
      </c>
      <c r="C62" s="5">
        <f>C58+C61</f>
        <v>988149.17904941156</v>
      </c>
    </row>
    <row r="63" spans="2:7" ht="14" customHeight="1" x14ac:dyDescent="0.3">
      <c r="B63" s="4" t="s">
        <v>104</v>
      </c>
      <c r="C63" s="5">
        <f>C62-C16</f>
        <v>431071.17904941156</v>
      </c>
    </row>
    <row r="64" spans="2:7" ht="14" customHeight="1" x14ac:dyDescent="0.3">
      <c r="B64" s="4" t="s">
        <v>109</v>
      </c>
      <c r="C64" s="24">
        <f>ROUND(C63*1000000/C15,0)</f>
        <v>1192</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v>
      </c>
      <c r="D69" s="26">
        <v>1.4999999999999999E-2</v>
      </c>
      <c r="E69" s="26">
        <v>0.02</v>
      </c>
      <c r="F69" s="26">
        <v>0.02</v>
      </c>
      <c r="G69" s="26">
        <v>0.02</v>
      </c>
    </row>
    <row r="70" spans="2:7" ht="14" customHeight="1" x14ac:dyDescent="0.3">
      <c r="B70" s="4" t="s">
        <v>116</v>
      </c>
      <c r="C70" s="26">
        <v>0.02</v>
      </c>
      <c r="D70" s="26">
        <v>0.03</v>
      </c>
      <c r="E70" s="26">
        <v>0.03</v>
      </c>
      <c r="F70" s="26">
        <v>2.5000000000000001E-2</v>
      </c>
      <c r="G70" s="26">
        <v>2.5000000000000001E-2</v>
      </c>
    </row>
    <row r="71" spans="2:7" ht="14" customHeight="1" x14ac:dyDescent="0.3">
      <c r="B71" s="4" t="s">
        <v>117</v>
      </c>
      <c r="C71" s="26">
        <v>0</v>
      </c>
      <c r="D71" s="26">
        <v>1.4999999999999999E-2</v>
      </c>
      <c r="E71" s="26">
        <v>0.02</v>
      </c>
      <c r="F71" s="26">
        <v>0.02</v>
      </c>
      <c r="G71" s="26">
        <v>0.02</v>
      </c>
    </row>
    <row r="72" spans="2:7" ht="14" customHeight="1" x14ac:dyDescent="0.3">
      <c r="B72" s="4" t="s">
        <v>118</v>
      </c>
      <c r="C72" s="26">
        <v>-0.02</v>
      </c>
      <c r="D72" s="26">
        <v>0</v>
      </c>
      <c r="E72" s="26">
        <v>5.0000000000000001E-3</v>
      </c>
      <c r="F72" s="26">
        <v>5.0000000000000001E-3</v>
      </c>
      <c r="G72" s="26">
        <v>5.0000000000000001E-3</v>
      </c>
    </row>
    <row r="73" spans="2:7" ht="14" customHeight="1" x14ac:dyDescent="0.3">
      <c r="B73" s="4" t="s">
        <v>119</v>
      </c>
      <c r="C73" s="26">
        <v>-0.12</v>
      </c>
      <c r="D73" s="26">
        <v>-0.03</v>
      </c>
      <c r="E73" s="26">
        <v>0</v>
      </c>
      <c r="F73" s="26">
        <v>0.01</v>
      </c>
      <c r="G73" s="26">
        <v>1.4999999999999999E-2</v>
      </c>
    </row>
    <row r="75" spans="2:7" ht="14" customHeight="1" x14ac:dyDescent="0.3">
      <c r="B75" s="3" t="s">
        <v>86</v>
      </c>
    </row>
    <row r="76" spans="2:7" ht="14" customHeight="1" x14ac:dyDescent="0.3">
      <c r="B76" s="4" t="s">
        <v>79</v>
      </c>
      <c r="C76" s="26">
        <v>0.78700000000000003</v>
      </c>
      <c r="D76" s="26">
        <v>0.78400000000000003</v>
      </c>
      <c r="E76" s="26">
        <v>0.78100000000000003</v>
      </c>
      <c r="F76" s="26">
        <v>0.77900000000000003</v>
      </c>
      <c r="G76" s="26">
        <v>0.77749999999999997</v>
      </c>
    </row>
    <row r="77" spans="2:7" ht="14" customHeight="1" x14ac:dyDescent="0.3">
      <c r="B77" s="4" t="s">
        <v>116</v>
      </c>
      <c r="C77" s="26">
        <v>0.78700000000000003</v>
      </c>
      <c r="D77" s="26">
        <v>0.78100000000000003</v>
      </c>
      <c r="E77" s="26">
        <v>0.77600000000000002</v>
      </c>
      <c r="F77" s="26">
        <v>0.77200000000000002</v>
      </c>
      <c r="G77" s="26">
        <v>0.76990000000000003</v>
      </c>
    </row>
    <row r="78" spans="2:7" ht="14" customHeight="1" x14ac:dyDescent="0.3">
      <c r="B78" s="4" t="s">
        <v>117</v>
      </c>
      <c r="C78" s="26">
        <v>0.78700000000000003</v>
      </c>
      <c r="D78" s="26">
        <v>0.78400000000000003</v>
      </c>
      <c r="E78" s="26">
        <v>0.78100000000000003</v>
      </c>
      <c r="F78" s="26">
        <v>0.77900000000000003</v>
      </c>
      <c r="G78" s="26">
        <v>0.77749999999999997</v>
      </c>
    </row>
    <row r="79" spans="2:7" ht="14" customHeight="1" x14ac:dyDescent="0.3">
      <c r="B79" s="4" t="s">
        <v>118</v>
      </c>
      <c r="C79" s="26">
        <v>0.78800000000000003</v>
      </c>
      <c r="D79" s="26">
        <v>0.79100000000000004</v>
      </c>
      <c r="E79" s="26">
        <v>0.79400000000000004</v>
      </c>
      <c r="F79" s="26">
        <v>0.79600000000000004</v>
      </c>
      <c r="G79" s="26">
        <v>0.79600000000000004</v>
      </c>
    </row>
    <row r="80" spans="2:7" ht="14" customHeight="1" x14ac:dyDescent="0.3">
      <c r="B80" s="4" t="s">
        <v>119</v>
      </c>
      <c r="C80" s="26">
        <v>0.8</v>
      </c>
      <c r="D80" s="26">
        <v>0.80500000000000005</v>
      </c>
      <c r="E80" s="26">
        <v>0.8</v>
      </c>
      <c r="F80" s="26">
        <v>0.79500000000000004</v>
      </c>
      <c r="G80" s="26">
        <v>0.79</v>
      </c>
    </row>
    <row r="82" spans="2:7" ht="14" customHeight="1" x14ac:dyDescent="0.3">
      <c r="B82" s="3" t="s">
        <v>87</v>
      </c>
    </row>
    <row r="83" spans="2:7" ht="14" customHeight="1" x14ac:dyDescent="0.3">
      <c r="B83" s="4" t="s">
        <v>79</v>
      </c>
      <c r="C83" s="26">
        <v>0.17699999999999999</v>
      </c>
      <c r="D83" s="26">
        <v>0.17699999999999999</v>
      </c>
      <c r="E83" s="26">
        <v>0.17699999999999999</v>
      </c>
      <c r="F83" s="26">
        <v>0.17699999999999999</v>
      </c>
      <c r="G83" s="26">
        <v>0.17699999999999999</v>
      </c>
    </row>
    <row r="84" spans="2:7" ht="14" customHeight="1" x14ac:dyDescent="0.3">
      <c r="B84" s="4" t="s">
        <v>116</v>
      </c>
      <c r="C84" s="26">
        <v>0.17299999999999999</v>
      </c>
      <c r="D84" s="26">
        <v>0.17299999999999999</v>
      </c>
      <c r="E84" s="26">
        <v>0.17299999999999999</v>
      </c>
      <c r="F84" s="26">
        <v>0.17299999999999999</v>
      </c>
      <c r="G84" s="26">
        <v>0.17299999999999999</v>
      </c>
    </row>
    <row r="85" spans="2:7" ht="14" customHeight="1" x14ac:dyDescent="0.3">
      <c r="B85" s="4" t="s">
        <v>117</v>
      </c>
      <c r="C85" s="26">
        <v>0.17699999999999999</v>
      </c>
      <c r="D85" s="26">
        <v>0.17699999999999999</v>
      </c>
      <c r="E85" s="26">
        <v>0.17699999999999999</v>
      </c>
      <c r="F85" s="26">
        <v>0.17699999999999999</v>
      </c>
      <c r="G85" s="26">
        <v>0.17699999999999999</v>
      </c>
    </row>
    <row r="86" spans="2:7" ht="14" customHeight="1" x14ac:dyDescent="0.3">
      <c r="B86" s="4" t="s">
        <v>118</v>
      </c>
      <c r="C86" s="26">
        <v>0.182</v>
      </c>
      <c r="D86" s="26">
        <v>0.182</v>
      </c>
      <c r="E86" s="26">
        <v>0.182</v>
      </c>
      <c r="F86" s="26">
        <v>0.182</v>
      </c>
      <c r="G86" s="26">
        <v>0.182</v>
      </c>
    </row>
    <row r="87" spans="2:7" ht="14" customHeight="1" x14ac:dyDescent="0.3">
      <c r="B87" s="4" t="s">
        <v>119</v>
      </c>
      <c r="C87" s="26">
        <v>0.19500000000000001</v>
      </c>
      <c r="D87" s="26">
        <v>0.19500000000000001</v>
      </c>
      <c r="E87" s="26">
        <v>0.19500000000000001</v>
      </c>
      <c r="F87" s="26">
        <v>0.19500000000000001</v>
      </c>
      <c r="G87" s="26">
        <v>0.19500000000000001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2224</v>
      </c>
    </row>
    <row r="7" spans="2:9" ht="14" customHeight="1" x14ac:dyDescent="0.3">
      <c r="B7" s="4" t="s">
        <v>67</v>
      </c>
      <c r="C7" s="15">
        <f>'DCF Model'!C15</f>
        <v>361537201</v>
      </c>
    </row>
    <row r="8" spans="2:9" ht="14" customHeight="1" x14ac:dyDescent="0.3">
      <c r="B8" s="4" t="s">
        <v>124</v>
      </c>
      <c r="C8" s="5">
        <f>C6*C7/1000000</f>
        <v>804058.73502400005</v>
      </c>
    </row>
    <row r="9" spans="2:9" ht="14" customHeight="1" x14ac:dyDescent="0.3">
      <c r="B9" s="4" t="s">
        <v>68</v>
      </c>
      <c r="C9" s="5">
        <f>'DCF Model'!C16</f>
        <v>557078</v>
      </c>
    </row>
    <row r="10" spans="2:9" ht="14" customHeight="1" x14ac:dyDescent="0.3">
      <c r="B10" s="4" t="s">
        <v>125</v>
      </c>
      <c r="C10" s="5">
        <f>C8+C9</f>
        <v>1361136.7350240001</v>
      </c>
    </row>
    <row r="11" spans="2:9" ht="14" customHeight="1" x14ac:dyDescent="0.3">
      <c r="B11" s="4" t="s">
        <v>126</v>
      </c>
      <c r="C11" s="16">
        <f>'DCF Model'!C26</f>
        <v>6.0237334593572778E-2</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56602</v>
      </c>
    </row>
    <row r="15" spans="2:9" ht="14" customHeight="1" x14ac:dyDescent="0.3">
      <c r="B15" s="4" t="s">
        <v>130</v>
      </c>
      <c r="C15" s="27">
        <v>107305</v>
      </c>
    </row>
    <row r="16" spans="2:9" ht="14" customHeight="1" x14ac:dyDescent="0.3">
      <c r="B16" s="4" t="s">
        <v>131</v>
      </c>
      <c r="C16" s="5">
        <f>'DCF Model'!G33</f>
        <v>1797458.5212544801</v>
      </c>
    </row>
    <row r="17" spans="2:9" ht="14" customHeight="1" x14ac:dyDescent="0.3">
      <c r="B17" s="4" t="s">
        <v>132</v>
      </c>
      <c r="C17" s="5">
        <f>'DCF Model'!C53</f>
        <v>767652.28193852236</v>
      </c>
    </row>
    <row r="18" spans="2:9" ht="14" customHeight="1" x14ac:dyDescent="0.3">
      <c r="B18" s="4" t="s">
        <v>133</v>
      </c>
      <c r="C18" s="26">
        <v>5.7090884133251259E-2</v>
      </c>
    </row>
    <row r="19" spans="2:9" ht="14" customHeight="1" x14ac:dyDescent="0.3">
      <c r="B19" s="4" t="s">
        <v>134</v>
      </c>
      <c r="C19" s="5">
        <f>C10-C17</f>
        <v>593484.4530854777</v>
      </c>
    </row>
    <row r="20" spans="2:9" ht="14" customHeight="1" x14ac:dyDescent="0.3">
      <c r="B20" s="4" t="s">
        <v>135</v>
      </c>
      <c r="C20" s="15">
        <f>IFERROR(ROUND(C19*1000000/C7,0),"N/A")</f>
        <v>1642</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68379.881585003895</v>
      </c>
    </row>
    <row r="25" spans="2:9" ht="14" customHeight="1" x14ac:dyDescent="0.3">
      <c r="B25" s="4" t="s">
        <v>139</v>
      </c>
      <c r="C25" s="5">
        <f>IFERROR(C24/(1-C13),"N/A")</f>
        <v>91173.175446671856</v>
      </c>
    </row>
    <row r="26" spans="2:9" ht="13.5" customHeight="1" x14ac:dyDescent="0.25">
      <c r="B26" s="6" t="s">
        <v>140</v>
      </c>
      <c r="C26" s="14">
        <f>IFERROR(C25/C15,"N/A")</f>
        <v>0.84966381293203352</v>
      </c>
    </row>
    <row r="27" spans="2:9" ht="13.5" customHeight="1" x14ac:dyDescent="0.25">
      <c r="B27" s="6" t="s">
        <v>141</v>
      </c>
      <c r="C27" s="14">
        <f>IFERROR(C25/C14,"N/A")</f>
        <v>1.6107765705570802</v>
      </c>
    </row>
    <row r="28" spans="2:9" ht="13.5" customHeight="1" x14ac:dyDescent="0.25">
      <c r="B28" s="6" t="s">
        <v>142</v>
      </c>
      <c r="C28" s="7">
        <f>IFERROR(C25/C16,"N/A")</f>
        <v>5.0723382135705909E-2</v>
      </c>
    </row>
    <row r="29" spans="2:9" ht="13.5" customHeight="1" x14ac:dyDescent="0.25">
      <c r="B29" s="6" t="s">
        <v>143</v>
      </c>
      <c r="C29" s="5">
        <f>IFERROR(C25/C18,"N/A")</f>
        <v>1596983.0706049646</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4.0237334593572774E-2</v>
      </c>
      <c r="E36" s="29">
        <f>'DCF Model'!C26-0.01</f>
        <v>5.0237334593572776E-2</v>
      </c>
      <c r="F36" s="29">
        <f>'DCF Model'!C26</f>
        <v>6.0237334593572778E-2</v>
      </c>
      <c r="G36" s="29">
        <f>'DCF Model'!C26+0.01</f>
        <v>7.0237334593572773E-2</v>
      </c>
      <c r="H36" s="29">
        <f>'DCF Model'!C26+0.02</f>
        <v>8.0237334593572782E-2</v>
      </c>
    </row>
    <row r="37" spans="2:9" ht="14" customHeight="1" x14ac:dyDescent="0.3">
      <c r="B37" s="3" t="s">
        <v>149</v>
      </c>
    </row>
    <row r="38" spans="2:9" ht="14" customHeight="1" x14ac:dyDescent="0.3">
      <c r="B38" s="4" t="s">
        <v>150</v>
      </c>
      <c r="C38" s="30">
        <v>3</v>
      </c>
      <c r="D38" s="13">
        <f t="shared" ref="D38:H41" si="0">IFERROR((1-(1+D$36)^(-$C38))/D$36-(1+D$36)/(D$36^2*$C38)*(1-($C38+1)/(1+D$36)^$C38+$C38/(1+D$36)^($C38+1)),"N/A")</f>
        <v>0.94892418103344855</v>
      </c>
      <c r="E38" s="13">
        <f t="shared" si="0"/>
        <v>0.93698368115302322</v>
      </c>
      <c r="F38" s="13">
        <f t="shared" si="0"/>
        <v>0.92532270864406141</v>
      </c>
      <c r="G38" s="13">
        <f t="shared" si="0"/>
        <v>0.91393192056513484</v>
      </c>
      <c r="H38" s="13">
        <f t="shared" si="0"/>
        <v>0.90280237523641338</v>
      </c>
    </row>
    <row r="39" spans="2:9" ht="14" customHeight="1" x14ac:dyDescent="0.3">
      <c r="B39" s="4" t="s">
        <v>151</v>
      </c>
      <c r="C39" s="30">
        <v>5</v>
      </c>
      <c r="D39" s="13">
        <f t="shared" si="0"/>
        <v>1.8496959677119555</v>
      </c>
      <c r="E39" s="13">
        <f t="shared" si="0"/>
        <v>1.8153969845332854</v>
      </c>
      <c r="F39" s="13">
        <f t="shared" si="0"/>
        <v>1.7822060134365012</v>
      </c>
      <c r="G39" s="13">
        <f t="shared" si="0"/>
        <v>1.7500742996303891</v>
      </c>
      <c r="H39" s="13">
        <f t="shared" si="0"/>
        <v>1.7189557491747345</v>
      </c>
    </row>
    <row r="40" spans="2:9" ht="14" customHeight="1" x14ac:dyDescent="0.3">
      <c r="B40" s="4" t="s">
        <v>152</v>
      </c>
      <c r="C40" s="30">
        <v>7</v>
      </c>
      <c r="D40" s="13">
        <f t="shared" si="0"/>
        <v>2.7050606501542127</v>
      </c>
      <c r="E40" s="13">
        <f t="shared" si="0"/>
        <v>2.6393520789270393</v>
      </c>
      <c r="F40" s="13">
        <f t="shared" si="0"/>
        <v>2.5763336081801049</v>
      </c>
      <c r="G40" s="13">
        <f t="shared" si="0"/>
        <v>2.5158591454795345</v>
      </c>
      <c r="H40" s="13">
        <f t="shared" si="0"/>
        <v>2.4577922299686752</v>
      </c>
    </row>
    <row r="41" spans="2:9" ht="14" customHeight="1" x14ac:dyDescent="0.3">
      <c r="B41" s="4" t="s">
        <v>153</v>
      </c>
      <c r="C41" s="30">
        <v>10</v>
      </c>
      <c r="D41" s="13">
        <f t="shared" si="0"/>
        <v>3.9085667038938272</v>
      </c>
      <c r="E41" s="13">
        <f t="shared" si="0"/>
        <v>3.7814196397394393</v>
      </c>
      <c r="F41" s="13">
        <f t="shared" si="0"/>
        <v>3.6610647913823016</v>
      </c>
      <c r="G41" s="13">
        <f t="shared" si="0"/>
        <v>3.5470316881295734</v>
      </c>
      <c r="H41" s="13">
        <f t="shared" si="0"/>
        <v>3.4388886489474286</v>
      </c>
    </row>
    <row r="42" spans="2:9" ht="14" customHeight="1" x14ac:dyDescent="0.3">
      <c r="B42" s="3" t="s">
        <v>154</v>
      </c>
    </row>
    <row r="43" spans="2:9" ht="14" customHeight="1" x14ac:dyDescent="0.3">
      <c r="B43" s="4" t="s">
        <v>150</v>
      </c>
      <c r="C43" s="30">
        <v>3</v>
      </c>
      <c r="D43" s="13">
        <f t="shared" ref="D43:H46" si="1">IFERROR((1+D$36)/(D$36^2*$C43)*(1-($C43+1)/(1+D$36)^$C43+$C43/(1+D$36)^($C43+1))+(1+$C$12)/((D$36-$C$12)*(1+D$36)^$C43),"N/A")</f>
        <v>31.499222409302494</v>
      </c>
      <c r="E43" s="13">
        <f t="shared" si="1"/>
        <v>23.453601748870163</v>
      </c>
      <c r="F43" s="13">
        <f t="shared" si="1"/>
        <v>18.61536704231699</v>
      </c>
      <c r="G43" s="13">
        <f t="shared" si="1"/>
        <v>15.387017829090361</v>
      </c>
      <c r="H43" s="13">
        <f t="shared" si="1"/>
        <v>13.080831248831766</v>
      </c>
    </row>
    <row r="44" spans="2:9" ht="14" customHeight="1" x14ac:dyDescent="0.3">
      <c r="B44" s="4" t="s">
        <v>151</v>
      </c>
      <c r="C44" s="30">
        <v>5</v>
      </c>
      <c r="D44" s="13">
        <f t="shared" si="1"/>
        <v>30.022205267336329</v>
      </c>
      <c r="E44" s="13">
        <f t="shared" si="1"/>
        <v>22.156370654386816</v>
      </c>
      <c r="F44" s="13">
        <f t="shared" si="1"/>
        <v>17.433936220367617</v>
      </c>
      <c r="G44" s="13">
        <f t="shared" si="1"/>
        <v>14.288916041260688</v>
      </c>
      <c r="H44" s="13">
        <f t="shared" si="1"/>
        <v>12.047173432332986</v>
      </c>
    </row>
    <row r="45" spans="2:9" ht="14" customHeight="1" x14ac:dyDescent="0.3">
      <c r="B45" s="4" t="s">
        <v>152</v>
      </c>
      <c r="C45" s="30">
        <v>7</v>
      </c>
      <c r="D45" s="13">
        <f t="shared" si="1"/>
        <v>28.634312441770266</v>
      </c>
      <c r="E45" s="13">
        <f t="shared" si="1"/>
        <v>20.952707149980785</v>
      </c>
      <c r="F45" s="13">
        <f t="shared" si="1"/>
        <v>16.351091792933705</v>
      </c>
      <c r="G45" s="13">
        <f t="shared" si="1"/>
        <v>13.294427170592137</v>
      </c>
      <c r="H45" s="13">
        <f t="shared" si="1"/>
        <v>11.121943879685798</v>
      </c>
    </row>
    <row r="46" spans="2:9" ht="14" customHeight="1" x14ac:dyDescent="0.3">
      <c r="B46" s="4" t="s">
        <v>153</v>
      </c>
      <c r="C46" s="30">
        <v>10</v>
      </c>
      <c r="D46" s="13">
        <f t="shared" si="1"/>
        <v>26.706798144480054</v>
      </c>
      <c r="E46" s="13">
        <f t="shared" si="1"/>
        <v>19.306512345606855</v>
      </c>
      <c r="F46" s="13">
        <f t="shared" si="1"/>
        <v>14.891935403018316</v>
      </c>
      <c r="G46" s="13">
        <f t="shared" si="1"/>
        <v>11.973465881314178</v>
      </c>
      <c r="H46" s="13">
        <f t="shared" si="1"/>
        <v>9.9100337061067449</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55910.52219171726</v>
      </c>
      <c r="E48" s="5">
        <f t="shared" si="2"/>
        <v>75119.115971014937</v>
      </c>
      <c r="F48" s="5">
        <f t="shared" si="2"/>
        <v>94678.437447449862</v>
      </c>
      <c r="G48" s="5">
        <f t="shared" si="2"/>
        <v>114584.81591740659</v>
      </c>
      <c r="H48" s="5">
        <f t="shared" si="2"/>
        <v>134834.59318737002</v>
      </c>
    </row>
    <row r="49" spans="2:9" ht="14" customHeight="1" x14ac:dyDescent="0.3">
      <c r="B49" s="4" t="s">
        <v>151</v>
      </c>
      <c r="C49" s="30">
        <v>5</v>
      </c>
      <c r="D49" s="5">
        <f t="shared" si="2"/>
        <v>56962.920399727795</v>
      </c>
      <c r="E49" s="5">
        <f t="shared" si="2"/>
        <v>77273.209887128498</v>
      </c>
      <c r="F49" s="5">
        <f t="shared" si="2"/>
        <v>98312.425466893546</v>
      </c>
      <c r="G49" s="5">
        <f t="shared" si="2"/>
        <v>120078.47688164729</v>
      </c>
      <c r="H49" s="5">
        <f t="shared" si="2"/>
        <v>142568.93173858794</v>
      </c>
    </row>
    <row r="50" spans="2:9" ht="14" customHeight="1" x14ac:dyDescent="0.3">
      <c r="B50" s="4" t="s">
        <v>152</v>
      </c>
      <c r="C50" s="30">
        <v>7</v>
      </c>
      <c r="D50" s="5">
        <f t="shared" si="2"/>
        <v>58033.072751134554</v>
      </c>
      <c r="E50" s="5">
        <f t="shared" si="2"/>
        <v>79486.453074494435</v>
      </c>
      <c r="F50" s="5">
        <f t="shared" si="2"/>
        <v>102074.12240588579</v>
      </c>
      <c r="G50" s="5">
        <f t="shared" si="2"/>
        <v>125800.55531682425</v>
      </c>
      <c r="H50" s="5">
        <f t="shared" si="2"/>
        <v>150669.07748851666</v>
      </c>
    </row>
    <row r="51" spans="2:9" ht="14" customHeight="1" x14ac:dyDescent="0.3">
      <c r="B51" s="4" t="s">
        <v>153</v>
      </c>
      <c r="C51" s="30">
        <v>10</v>
      </c>
      <c r="D51" s="5">
        <f t="shared" si="2"/>
        <v>59670.810362101802</v>
      </c>
      <c r="E51" s="5">
        <f t="shared" si="2"/>
        <v>82915.704137921566</v>
      </c>
      <c r="F51" s="5">
        <f t="shared" si="2"/>
        <v>107952.75074751825</v>
      </c>
      <c r="G51" s="5">
        <f t="shared" si="2"/>
        <v>134804.73477102624</v>
      </c>
      <c r="H51" s="5">
        <f t="shared" si="2"/>
        <v>163490.96812111547</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0.52104302867263652</v>
      </c>
      <c r="E53" s="14">
        <f t="shared" si="3"/>
        <v>0.70005233652686205</v>
      </c>
      <c r="F53" s="14">
        <f t="shared" si="3"/>
        <v>0.88233015653930258</v>
      </c>
      <c r="G53" s="14">
        <f t="shared" si="3"/>
        <v>1.0678422805778538</v>
      </c>
      <c r="H53" s="14">
        <f t="shared" si="3"/>
        <v>1.2565546170949164</v>
      </c>
    </row>
    <row r="54" spans="2:9" ht="14" customHeight="1" x14ac:dyDescent="0.3">
      <c r="B54" s="4" t="s">
        <v>151</v>
      </c>
      <c r="C54" s="30">
        <v>5</v>
      </c>
      <c r="D54" s="14">
        <f t="shared" si="3"/>
        <v>0.53085056986839196</v>
      </c>
      <c r="E54" s="14">
        <f t="shared" si="3"/>
        <v>0.72012683367157637</v>
      </c>
      <c r="F54" s="14">
        <f t="shared" si="3"/>
        <v>0.91619612755131208</v>
      </c>
      <c r="G54" s="14">
        <f t="shared" si="3"/>
        <v>1.1190389719178724</v>
      </c>
      <c r="H54" s="14">
        <f t="shared" si="3"/>
        <v>1.3286326987427235</v>
      </c>
    </row>
    <row r="55" spans="2:9" ht="14" customHeight="1" x14ac:dyDescent="0.3">
      <c r="B55" s="4" t="s">
        <v>152</v>
      </c>
      <c r="C55" s="30">
        <v>7</v>
      </c>
      <c r="D55" s="14">
        <f t="shared" si="3"/>
        <v>0.54082356601402126</v>
      </c>
      <c r="E55" s="14">
        <f t="shared" si="3"/>
        <v>0.74075255649312177</v>
      </c>
      <c r="F55" s="14">
        <f t="shared" si="3"/>
        <v>0.95125224738722136</v>
      </c>
      <c r="G55" s="14">
        <f t="shared" si="3"/>
        <v>1.1723643382584619</v>
      </c>
      <c r="H55" s="14">
        <f t="shared" si="3"/>
        <v>1.4041198218956867</v>
      </c>
    </row>
    <row r="56" spans="2:9" ht="14" customHeight="1" x14ac:dyDescent="0.3">
      <c r="B56" s="4" t="s">
        <v>153</v>
      </c>
      <c r="C56" s="30">
        <v>10</v>
      </c>
      <c r="D56" s="14">
        <f t="shared" si="3"/>
        <v>0.55608601986954753</v>
      </c>
      <c r="E56" s="14">
        <f t="shared" si="3"/>
        <v>0.77271053667509959</v>
      </c>
      <c r="F56" s="14">
        <f t="shared" si="3"/>
        <v>1.0060365383488026</v>
      </c>
      <c r="G56" s="14">
        <f t="shared" si="3"/>
        <v>1.2562763596386584</v>
      </c>
      <c r="H56" s="14">
        <f t="shared" si="3"/>
        <v>1.5236099727050507</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98312.425466893546</v>
      </c>
    </row>
    <row r="62" spans="2:9" ht="14" customHeight="1" x14ac:dyDescent="0.3">
      <c r="B62" s="28" t="s">
        <v>160</v>
      </c>
      <c r="C62" s="28" t="s">
        <v>161</v>
      </c>
      <c r="D62" s="28" t="s">
        <v>162</v>
      </c>
    </row>
    <row r="63" spans="2:9" ht="14" customHeight="1" x14ac:dyDescent="0.3">
      <c r="B63" s="31">
        <v>2.8500000000000001E-2</v>
      </c>
      <c r="C63" s="5">
        <f>IFERROR($C$60/B63,"N/A")</f>
        <v>3449558.7883120542</v>
      </c>
      <c r="D63" s="14">
        <f>IFERROR(C63/'DCF Model'!C17,"N/A")</f>
        <v>2.0671463788623452</v>
      </c>
    </row>
    <row r="64" spans="2:9" ht="14" customHeight="1" x14ac:dyDescent="0.3">
      <c r="B64" s="31">
        <v>4.2799999999999998E-2</v>
      </c>
      <c r="C64" s="5">
        <f>IFERROR($C$60/B64,"N/A")</f>
        <v>2297019.2866096622</v>
      </c>
      <c r="D64" s="14">
        <f>IFERROR(C64/'DCF Model'!C17,"N/A")</f>
        <v>1.3764876588218888</v>
      </c>
    </row>
    <row r="65" spans="2:9" ht="14" customHeight="1" x14ac:dyDescent="0.3">
      <c r="B65" s="4" t="s">
        <v>163</v>
      </c>
      <c r="C65" s="5">
        <f>IFERROR($C$60/$C$18,"N/A")</f>
        <v>1722033.682950686</v>
      </c>
      <c r="D65" s="14">
        <f>IFERROR(C65/'DCF Model'!C17,"N/A")</f>
        <v>1.03192782336443</v>
      </c>
    </row>
    <row r="66" spans="2:9" ht="14" customHeight="1" x14ac:dyDescent="0.3">
      <c r="B66" s="31">
        <v>7.1400000000000005E-2</v>
      </c>
      <c r="C66" s="5">
        <f>IFERROR($C$60/B66,"N/A")</f>
        <v>1376924.7264270803</v>
      </c>
      <c r="D66" s="14">
        <f>IFERROR(C66/'DCF Model'!C17,"N/A")</f>
        <v>0.82512145374757473</v>
      </c>
    </row>
    <row r="67" spans="2:9" ht="14" customHeight="1" x14ac:dyDescent="0.3">
      <c r="B67" s="31">
        <v>8.5599999999999996E-2</v>
      </c>
      <c r="C67" s="5">
        <f>IFERROR($C$60/B67,"N/A")</f>
        <v>1148509.6433048311</v>
      </c>
      <c r="D67" s="14">
        <f>IFERROR(C67/'DCF Model'!C17,"N/A")</f>
        <v>0.68824382941094442</v>
      </c>
    </row>
    <row r="69" spans="2:9" ht="14" customHeight="1" x14ac:dyDescent="0.3">
      <c r="B69" s="8" t="s">
        <v>164</v>
      </c>
      <c r="C69" s="9"/>
      <c r="D69" s="9"/>
      <c r="E69" s="9"/>
      <c r="F69" s="9"/>
      <c r="G69" s="9"/>
      <c r="H69" s="9"/>
      <c r="I69" s="9"/>
    </row>
    <row r="70" spans="2:9" ht="13.5" customHeight="1" x14ac:dyDescent="0.25">
      <c r="B70" s="6" t="s">
        <v>165</v>
      </c>
      <c r="C70" s="14">
        <f>IFERROR(C10/'Comps Analysis'!G5,"N/A")</f>
        <v>8.436135603138597</v>
      </c>
    </row>
    <row r="71" spans="2:9" ht="13.5" customHeight="1" x14ac:dyDescent="0.25">
      <c r="B71" s="6" t="s">
        <v>166</v>
      </c>
      <c r="C71" s="14">
        <f>IFERROR(C10/'Comps Analysis'!F5,"N/A")</f>
        <v>0.81566050779443833</v>
      </c>
    </row>
    <row r="72" spans="2:9" ht="14" customHeight="1" x14ac:dyDescent="0.3">
      <c r="B72" s="4" t="s">
        <v>167</v>
      </c>
      <c r="C72" s="14">
        <f>IFERROR(C10/(C25+'DCF Model'!G42),"N/A")</f>
        <v>7.0955047966148417</v>
      </c>
    </row>
    <row r="73" spans="2:9" ht="14" customHeight="1" x14ac:dyDescent="0.3">
      <c r="B73" s="4" t="s">
        <v>168</v>
      </c>
      <c r="C73" s="14">
        <f>IFERROR(C10/(C60+'DCF Model'!G42),"N/A")</f>
        <v>6.8409108546797333</v>
      </c>
    </row>
    <row r="74" spans="2:9" ht="14" customHeight="1" x14ac:dyDescent="0.3">
      <c r="B74" s="4" t="s">
        <v>169</v>
      </c>
      <c r="C74" s="14">
        <f>IFERROR('Comps Analysis'!D16,"N/A")</f>
        <v>6.5355004397208241</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2,224 yen the market is paying for a steady-state operating profit of 98,312 mn JPY - 0.92x the FY2023 cycle peak of 107,305 mn - reached in 5 years and sustained for ever, against 56,602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91,173 mn, or 0.85x the peak. The base case supports an EV of only 767,652 mn, leaving 1,642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71.663408746885395</v>
      </c>
      <c r="D5" s="34">
        <f>CHOOSE('DCF Model'!$D$27,D25,D26,D27,D28,D29)</f>
        <v>72</v>
      </c>
      <c r="E5" s="34">
        <f>CHOOSE('DCF Model'!$D$27,E25,E26,E27,E28,E29)</f>
        <v>72</v>
      </c>
      <c r="F5" s="34">
        <f>CHOOSE('DCF Model'!$D$27,F25,F26,F27,F28,F29)</f>
        <v>72</v>
      </c>
      <c r="G5" s="34">
        <f>CHOOSE('DCF Model'!$D$27,G25,G26,G27,G28,G29)</f>
        <v>72</v>
      </c>
      <c r="H5" s="34">
        <f>CHOOSE('DCF Model'!$D$27,H25,H26,H27,H28,H29)</f>
        <v>72</v>
      </c>
    </row>
    <row r="6" spans="2:8" ht="14" customHeight="1" x14ac:dyDescent="0.3">
      <c r="B6" s="33" t="s">
        <v>176</v>
      </c>
      <c r="C6" s="34">
        <f>C13/C10*365</f>
        <v>117.43123973408764</v>
      </c>
      <c r="D6" s="34">
        <f>CHOOSE('DCF Model'!$D$27,D32,D33,D34,D35,D36)</f>
        <v>115</v>
      </c>
      <c r="E6" s="34">
        <f>CHOOSE('DCF Model'!$D$27,E32,E33,E34,E35,E36)</f>
        <v>115</v>
      </c>
      <c r="F6" s="34">
        <f>CHOOSE('DCF Model'!$D$27,F32,F33,F34,F35,F36)</f>
        <v>115</v>
      </c>
      <c r="G6" s="34">
        <f>CHOOSE('DCF Model'!$D$27,G32,G33,G34,G35,G36)</f>
        <v>115</v>
      </c>
      <c r="H6" s="34">
        <f>CHOOSE('DCF Model'!$D$27,H32,H33,H34,H35,H36)</f>
        <v>115</v>
      </c>
    </row>
    <row r="7" spans="2:8" ht="14" customHeight="1" x14ac:dyDescent="0.3">
      <c r="B7" s="33" t="s">
        <v>177</v>
      </c>
      <c r="C7" s="34">
        <f>C15/C10*365</f>
        <v>37.861010802301429</v>
      </c>
      <c r="D7" s="34">
        <f>CHOOSE('DCF Model'!$D$27,D39,D40,D41,D42,D43)</f>
        <v>42</v>
      </c>
      <c r="E7" s="34">
        <f>CHOOSE('DCF Model'!$D$27,E39,E40,E41,E42,E43)</f>
        <v>42</v>
      </c>
      <c r="F7" s="34">
        <f>CHOOSE('DCF Model'!$D$27,F39,F40,F41,F42,F43)</f>
        <v>42</v>
      </c>
      <c r="G7" s="34">
        <f>CHOOSE('DCF Model'!$D$27,G39,G40,G41,G42,G43)</f>
        <v>42</v>
      </c>
      <c r="H7" s="34">
        <f>CHOOSE('DCF Model'!$D$27,H39,H40,H41,H42,H43)</f>
        <v>42</v>
      </c>
    </row>
    <row r="8" spans="2:8" ht="14" customHeight="1" x14ac:dyDescent="0.3">
      <c r="B8" s="8" t="s">
        <v>178</v>
      </c>
      <c r="C8" s="9"/>
      <c r="D8" s="9"/>
      <c r="E8" s="9"/>
      <c r="F8" s="9"/>
      <c r="G8" s="9"/>
      <c r="H8" s="9"/>
    </row>
    <row r="9" spans="2:8" ht="14" customHeight="1" x14ac:dyDescent="0.3">
      <c r="B9" s="33" t="s">
        <v>32</v>
      </c>
      <c r="C9" s="35">
        <v>1668754</v>
      </c>
      <c r="D9" s="35">
        <f>'DCF Model'!C33</f>
        <v>1668754</v>
      </c>
      <c r="E9" s="35">
        <f>'DCF Model'!D33</f>
        <v>1693785.3099999998</v>
      </c>
      <c r="F9" s="35">
        <f>'DCF Model'!E33</f>
        <v>1727661.0162</v>
      </c>
      <c r="G9" s="35">
        <f>'DCF Model'!F33</f>
        <v>1762214.2365240001</v>
      </c>
      <c r="H9" s="35">
        <f>'DCF Model'!G33</f>
        <v>1797458.5212544801</v>
      </c>
    </row>
    <row r="10" spans="2:8" ht="14" customHeight="1" x14ac:dyDescent="0.3">
      <c r="B10" s="33" t="s">
        <v>33</v>
      </c>
      <c r="C10" s="35">
        <v>1288244</v>
      </c>
      <c r="D10" s="35">
        <f>'DCF Model'!C34</f>
        <v>1313309.398</v>
      </c>
      <c r="E10" s="35">
        <f>'DCF Model'!D34</f>
        <v>1327927.6830399998</v>
      </c>
      <c r="F10" s="35">
        <f>'DCF Model'!E34</f>
        <v>1349303.2536522001</v>
      </c>
      <c r="G10" s="35">
        <f>'DCF Model'!F34</f>
        <v>1372764.890252196</v>
      </c>
      <c r="H10" s="35">
        <f>'DCF Model'!G34</f>
        <v>1397524.0002753583</v>
      </c>
    </row>
    <row r="11" spans="2:8" ht="14" customHeight="1" x14ac:dyDescent="0.3">
      <c r="B11" s="8" t="s">
        <v>179</v>
      </c>
      <c r="C11" s="9"/>
      <c r="D11" s="9"/>
      <c r="E11" s="9"/>
      <c r="F11" s="9"/>
      <c r="G11" s="9"/>
      <c r="H11" s="9"/>
    </row>
    <row r="12" spans="2:8" ht="14" customHeight="1" x14ac:dyDescent="0.3">
      <c r="B12" s="33" t="s">
        <v>180</v>
      </c>
      <c r="C12" s="35">
        <v>327640</v>
      </c>
      <c r="D12" s="35">
        <f t="shared" ref="D12:H13" si="0">D9*D5/365</f>
        <v>329178.87123287673</v>
      </c>
      <c r="E12" s="35">
        <f t="shared" si="0"/>
        <v>334116.55430136982</v>
      </c>
      <c r="F12" s="35">
        <f t="shared" si="0"/>
        <v>340798.88538739725</v>
      </c>
      <c r="G12" s="35">
        <f t="shared" si="0"/>
        <v>347614.86309514521</v>
      </c>
      <c r="H12" s="35">
        <f t="shared" si="0"/>
        <v>354567.16035704815</v>
      </c>
    </row>
    <row r="13" spans="2:8" ht="14" customHeight="1" x14ac:dyDescent="0.3">
      <c r="B13" s="33" t="s">
        <v>181</v>
      </c>
      <c r="C13" s="35">
        <v>414466</v>
      </c>
      <c r="D13" s="35">
        <f t="shared" si="0"/>
        <v>413782.41306849319</v>
      </c>
      <c r="E13" s="35">
        <f t="shared" si="0"/>
        <v>418388.17410849308</v>
      </c>
      <c r="F13" s="35">
        <f t="shared" si="0"/>
        <v>425122.94293151505</v>
      </c>
      <c r="G13" s="35">
        <f t="shared" si="0"/>
        <v>432514.96542192478</v>
      </c>
      <c r="H13" s="35">
        <f t="shared" si="0"/>
        <v>440315.78090867458</v>
      </c>
    </row>
    <row r="14" spans="2:8" ht="14" customHeight="1" x14ac:dyDescent="0.3">
      <c r="B14" s="33" t="s">
        <v>182</v>
      </c>
      <c r="C14" s="35">
        <f t="shared" ref="C14:H14" si="1">C12+C13</f>
        <v>742106</v>
      </c>
      <c r="D14" s="35">
        <f t="shared" si="1"/>
        <v>742961.28430136992</v>
      </c>
      <c r="E14" s="35">
        <f t="shared" si="1"/>
        <v>752504.72840986284</v>
      </c>
      <c r="F14" s="35">
        <f t="shared" si="1"/>
        <v>765921.8283189123</v>
      </c>
      <c r="G14" s="35">
        <f t="shared" si="1"/>
        <v>780129.82851707004</v>
      </c>
      <c r="H14" s="35">
        <f t="shared" si="1"/>
        <v>794882.94126572274</v>
      </c>
    </row>
    <row r="15" spans="2:8" ht="14" customHeight="1" x14ac:dyDescent="0.3">
      <c r="B15" s="33" t="s">
        <v>183</v>
      </c>
      <c r="C15" s="35">
        <v>133628</v>
      </c>
      <c r="D15" s="35">
        <f>D10*D7/365</f>
        <v>151120.53346849317</v>
      </c>
      <c r="E15" s="35">
        <f>E10*E7/365</f>
        <v>152802.63750049312</v>
      </c>
      <c r="F15" s="35">
        <f>F10*F7/365</f>
        <v>155262.29220107509</v>
      </c>
      <c r="G15" s="35">
        <f>G10*G7/365</f>
        <v>157961.98737148556</v>
      </c>
      <c r="H15" s="35">
        <f>H10*H7/365</f>
        <v>160810.98085360287</v>
      </c>
    </row>
    <row r="16" spans="2:8" ht="14" customHeight="1" x14ac:dyDescent="0.3">
      <c r="B16" s="33" t="s">
        <v>184</v>
      </c>
      <c r="C16" s="35">
        <f t="shared" ref="C16:H16" si="2">C15</f>
        <v>133628</v>
      </c>
      <c r="D16" s="35">
        <f t="shared" si="2"/>
        <v>151120.53346849317</v>
      </c>
      <c r="E16" s="35">
        <f t="shared" si="2"/>
        <v>152802.63750049312</v>
      </c>
      <c r="F16" s="35">
        <f t="shared" si="2"/>
        <v>155262.29220107509</v>
      </c>
      <c r="G16" s="35">
        <f t="shared" si="2"/>
        <v>157961.98737148556</v>
      </c>
      <c r="H16" s="35">
        <f t="shared" si="2"/>
        <v>160810.98085360287</v>
      </c>
    </row>
    <row r="17" spans="2:8" ht="14" customHeight="1" x14ac:dyDescent="0.3">
      <c r="B17" s="22" t="s">
        <v>185</v>
      </c>
      <c r="C17" s="23"/>
      <c r="D17" s="23"/>
      <c r="E17" s="23"/>
      <c r="F17" s="23"/>
      <c r="G17" s="23"/>
      <c r="H17" s="23"/>
    </row>
    <row r="18" spans="2:8" ht="14" customHeight="1" x14ac:dyDescent="0.3">
      <c r="B18" s="33" t="s">
        <v>186</v>
      </c>
      <c r="C18" s="20">
        <f t="shared" ref="C18:H18" si="3">C14-C16</f>
        <v>608478</v>
      </c>
      <c r="D18" s="20">
        <f t="shared" si="3"/>
        <v>591840.75083287677</v>
      </c>
      <c r="E18" s="20">
        <f t="shared" si="3"/>
        <v>599702.09090936976</v>
      </c>
      <c r="F18" s="20">
        <f t="shared" si="3"/>
        <v>610659.53611783718</v>
      </c>
      <c r="G18" s="20">
        <f t="shared" si="3"/>
        <v>622167.84114558448</v>
      </c>
      <c r="H18" s="20">
        <f t="shared" si="3"/>
        <v>634071.96041211986</v>
      </c>
    </row>
    <row r="19" spans="2:8" ht="14" customHeight="1" x14ac:dyDescent="0.3">
      <c r="B19" s="33" t="s">
        <v>95</v>
      </c>
      <c r="C19" s="36" t="s">
        <v>42</v>
      </c>
      <c r="D19" s="24">
        <f>D18-C18</f>
        <v>-16637.249167123227</v>
      </c>
      <c r="E19" s="24">
        <f>E18-D18</f>
        <v>7861.3400764929829</v>
      </c>
      <c r="F19" s="24">
        <f>F18-E18</f>
        <v>10957.445208467427</v>
      </c>
      <c r="G19" s="24">
        <f>G18-F18</f>
        <v>11508.305027747294</v>
      </c>
      <c r="H19" s="24">
        <f>H18-G18</f>
        <v>11904.119266535388</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72</v>
      </c>
      <c r="E25" s="30">
        <v>72</v>
      </c>
      <c r="F25" s="30">
        <v>72</v>
      </c>
      <c r="G25" s="30">
        <v>72</v>
      </c>
      <c r="H25" s="30">
        <v>72</v>
      </c>
    </row>
    <row r="26" spans="2:8" ht="14" customHeight="1" x14ac:dyDescent="0.3">
      <c r="B26" s="4" t="s">
        <v>116</v>
      </c>
      <c r="D26" s="30">
        <v>69</v>
      </c>
      <c r="E26" s="30">
        <v>69</v>
      </c>
      <c r="F26" s="30">
        <v>69</v>
      </c>
      <c r="G26" s="30">
        <v>69</v>
      </c>
      <c r="H26" s="30">
        <v>69</v>
      </c>
    </row>
    <row r="27" spans="2:8" ht="14" customHeight="1" x14ac:dyDescent="0.3">
      <c r="B27" s="4" t="s">
        <v>117</v>
      </c>
      <c r="D27" s="30">
        <v>72</v>
      </c>
      <c r="E27" s="30">
        <v>72</v>
      </c>
      <c r="F27" s="30">
        <v>72</v>
      </c>
      <c r="G27" s="30">
        <v>72</v>
      </c>
      <c r="H27" s="30">
        <v>72</v>
      </c>
    </row>
    <row r="28" spans="2:8" ht="14" customHeight="1" x14ac:dyDescent="0.3">
      <c r="B28" s="4" t="s">
        <v>118</v>
      </c>
      <c r="D28" s="30">
        <v>76</v>
      </c>
      <c r="E28" s="30">
        <v>76</v>
      </c>
      <c r="F28" s="30">
        <v>76</v>
      </c>
      <c r="G28" s="30">
        <v>76</v>
      </c>
      <c r="H28" s="30">
        <v>76</v>
      </c>
    </row>
    <row r="29" spans="2:8" ht="14" customHeight="1" x14ac:dyDescent="0.3">
      <c r="B29" s="4" t="s">
        <v>119</v>
      </c>
      <c r="D29" s="30">
        <v>80</v>
      </c>
      <c r="E29" s="30">
        <v>80</v>
      </c>
      <c r="F29" s="30">
        <v>80</v>
      </c>
      <c r="G29" s="30">
        <v>80</v>
      </c>
      <c r="H29" s="30">
        <v>80</v>
      </c>
    </row>
    <row r="31" spans="2:8" ht="14" customHeight="1" x14ac:dyDescent="0.3">
      <c r="B31" s="3" t="s">
        <v>189</v>
      </c>
    </row>
    <row r="32" spans="2:8" ht="14" customHeight="1" x14ac:dyDescent="0.3">
      <c r="B32" s="4" t="s">
        <v>79</v>
      </c>
      <c r="D32" s="30">
        <v>115</v>
      </c>
      <c r="E32" s="30">
        <v>115</v>
      </c>
      <c r="F32" s="30">
        <v>115</v>
      </c>
      <c r="G32" s="30">
        <v>115</v>
      </c>
      <c r="H32" s="30">
        <v>115</v>
      </c>
    </row>
    <row r="33" spans="2:8" ht="14" customHeight="1" x14ac:dyDescent="0.3">
      <c r="B33" s="4" t="s">
        <v>116</v>
      </c>
      <c r="D33" s="30">
        <v>109</v>
      </c>
      <c r="E33" s="30">
        <v>109</v>
      </c>
      <c r="F33" s="30">
        <v>109</v>
      </c>
      <c r="G33" s="30">
        <v>109</v>
      </c>
      <c r="H33" s="30">
        <v>109</v>
      </c>
    </row>
    <row r="34" spans="2:8" ht="14" customHeight="1" x14ac:dyDescent="0.3">
      <c r="B34" s="4" t="s">
        <v>117</v>
      </c>
      <c r="D34" s="30">
        <v>115</v>
      </c>
      <c r="E34" s="30">
        <v>115</v>
      </c>
      <c r="F34" s="30">
        <v>115</v>
      </c>
      <c r="G34" s="30">
        <v>115</v>
      </c>
      <c r="H34" s="30">
        <v>115</v>
      </c>
    </row>
    <row r="35" spans="2:8" ht="14" customHeight="1" x14ac:dyDescent="0.3">
      <c r="B35" s="4" t="s">
        <v>118</v>
      </c>
      <c r="D35" s="30">
        <v>122</v>
      </c>
      <c r="E35" s="30">
        <v>122</v>
      </c>
      <c r="F35" s="30">
        <v>122</v>
      </c>
      <c r="G35" s="30">
        <v>122</v>
      </c>
      <c r="H35" s="30">
        <v>122</v>
      </c>
    </row>
    <row r="36" spans="2:8" ht="14" customHeight="1" x14ac:dyDescent="0.3">
      <c r="B36" s="4" t="s">
        <v>119</v>
      </c>
      <c r="D36" s="30">
        <v>130</v>
      </c>
      <c r="E36" s="30">
        <v>130</v>
      </c>
      <c r="F36" s="30">
        <v>130</v>
      </c>
      <c r="G36" s="30">
        <v>130</v>
      </c>
      <c r="H36" s="30">
        <v>130</v>
      </c>
    </row>
    <row r="38" spans="2:8" ht="14" customHeight="1" x14ac:dyDescent="0.3">
      <c r="B38" s="3" t="s">
        <v>190</v>
      </c>
    </row>
    <row r="39" spans="2:8" ht="14" customHeight="1" x14ac:dyDescent="0.3">
      <c r="B39" s="4" t="s">
        <v>79</v>
      </c>
      <c r="D39" s="30">
        <v>42</v>
      </c>
      <c r="E39" s="30">
        <v>42</v>
      </c>
      <c r="F39" s="30">
        <v>42</v>
      </c>
      <c r="G39" s="30">
        <v>42</v>
      </c>
      <c r="H39" s="30">
        <v>42</v>
      </c>
    </row>
    <row r="40" spans="2:8" ht="14" customHeight="1" x14ac:dyDescent="0.3">
      <c r="B40" s="4" t="s">
        <v>116</v>
      </c>
      <c r="D40" s="30">
        <v>44</v>
      </c>
      <c r="E40" s="30">
        <v>44</v>
      </c>
      <c r="F40" s="30">
        <v>44</v>
      </c>
      <c r="G40" s="30">
        <v>44</v>
      </c>
      <c r="H40" s="30">
        <v>44</v>
      </c>
    </row>
    <row r="41" spans="2:8" ht="14" customHeight="1" x14ac:dyDescent="0.3">
      <c r="B41" s="4" t="s">
        <v>117</v>
      </c>
      <c r="D41" s="30">
        <v>42</v>
      </c>
      <c r="E41" s="30">
        <v>42</v>
      </c>
      <c r="F41" s="30">
        <v>42</v>
      </c>
      <c r="G41" s="30">
        <v>42</v>
      </c>
      <c r="H41" s="30">
        <v>42</v>
      </c>
    </row>
    <row r="42" spans="2:8" ht="14" customHeight="1" x14ac:dyDescent="0.3">
      <c r="B42" s="4" t="s">
        <v>118</v>
      </c>
      <c r="D42" s="30">
        <v>40</v>
      </c>
      <c r="E42" s="30">
        <v>40</v>
      </c>
      <c r="F42" s="30">
        <v>40</v>
      </c>
      <c r="G42" s="30">
        <v>40</v>
      </c>
      <c r="H42" s="30">
        <v>40</v>
      </c>
    </row>
    <row r="43" spans="2:8" ht="14" customHeight="1" x14ac:dyDescent="0.3">
      <c r="B43" s="4" t="s">
        <v>119</v>
      </c>
      <c r="D43" s="30">
        <v>38</v>
      </c>
      <c r="E43" s="30">
        <v>38</v>
      </c>
      <c r="F43" s="30">
        <v>38</v>
      </c>
      <c r="G43" s="30">
        <v>38</v>
      </c>
      <c r="H43" s="30">
        <v>38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804058.73502400005</v>
      </c>
      <c r="E5" s="37">
        <f>D5+C24</f>
        <v>1361136.7350240001</v>
      </c>
      <c r="F5" s="37">
        <v>1668754</v>
      </c>
      <c r="G5" s="37">
        <v>161346</v>
      </c>
      <c r="H5" s="37">
        <v>56602</v>
      </c>
      <c r="I5" s="37">
        <v>34378</v>
      </c>
      <c r="J5" s="38">
        <f t="shared" ref="J5:J10" si="0">IFERROR(E5/G5,"")</f>
        <v>8.436135603138597</v>
      </c>
      <c r="K5" s="38">
        <f t="shared" ref="K5:K10" si="1">IFERROR(E5/F5,"")</f>
        <v>0.81566050779443833</v>
      </c>
      <c r="L5" s="38">
        <f t="shared" ref="L5:L10" si="2">IFERROR(D5/I5,"")</f>
        <v>23.388758363604634</v>
      </c>
      <c r="M5" s="38">
        <f t="shared" ref="M5:M10" si="3">IFERROR(D5/P5,"")</f>
        <v>0.92984113485990383</v>
      </c>
      <c r="N5" s="39">
        <f t="shared" ref="N5:N10" si="4">IFERROR(H5/F5,"")</f>
        <v>3.3918720194828E-2</v>
      </c>
      <c r="O5" s="39">
        <f t="shared" ref="O5:O10" si="5">IFERROR(I5/P5,"")</f>
        <v>3.9755899838908697E-2</v>
      </c>
      <c r="P5" s="37">
        <v>864727</v>
      </c>
    </row>
    <row r="6" spans="2:17" ht="14" customHeight="1" x14ac:dyDescent="0.3">
      <c r="B6" s="4" t="s">
        <v>209</v>
      </c>
      <c r="C6" t="s">
        <v>210</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customHeight="1" x14ac:dyDescent="0.3">
      <c r="B7" s="4" t="s">
        <v>211</v>
      </c>
      <c r="C7" t="s">
        <v>212</v>
      </c>
      <c r="D7" s="37">
        <v>1681376</v>
      </c>
      <c r="E7" s="37">
        <v>3044793</v>
      </c>
      <c r="F7" s="37">
        <v>3703988</v>
      </c>
      <c r="G7" s="37">
        <v>303490</v>
      </c>
      <c r="H7" s="37">
        <v>32333</v>
      </c>
      <c r="I7" s="37">
        <v>11829</v>
      </c>
      <c r="J7" s="38">
        <f t="shared" si="0"/>
        <v>10.032597449668852</v>
      </c>
      <c r="K7" s="38">
        <f t="shared" si="1"/>
        <v>0.8220310108996034</v>
      </c>
      <c r="L7" s="38">
        <f t="shared" si="2"/>
        <v>142.14016400371966</v>
      </c>
      <c r="M7" s="38">
        <f t="shared" si="3"/>
        <v>0.95441894787631087</v>
      </c>
      <c r="N7" s="39">
        <f t="shared" si="4"/>
        <v>8.7292399435419336E-3</v>
      </c>
      <c r="O7" s="39">
        <f t="shared" si="5"/>
        <v>6.7146323811145643E-3</v>
      </c>
      <c r="P7" s="37">
        <v>1761675</v>
      </c>
    </row>
    <row r="8" spans="2:17" ht="14" customHeight="1" x14ac:dyDescent="0.3">
      <c r="B8" s="4" t="s">
        <v>213</v>
      </c>
      <c r="C8" t="s">
        <v>214</v>
      </c>
      <c r="D8" s="37">
        <v>2160016</v>
      </c>
      <c r="E8" s="37">
        <v>2794214</v>
      </c>
      <c r="F8" s="37">
        <v>3074505</v>
      </c>
      <c r="G8" s="37">
        <v>427544</v>
      </c>
      <c r="H8" s="37">
        <v>231200</v>
      </c>
      <c r="I8" s="37">
        <v>158794</v>
      </c>
      <c r="J8" s="38">
        <f t="shared" si="0"/>
        <v>6.5355004397208241</v>
      </c>
      <c r="K8" s="38">
        <f t="shared" si="1"/>
        <v>0.90883377974665835</v>
      </c>
      <c r="L8" s="38">
        <f t="shared" si="2"/>
        <v>13.602629822285477</v>
      </c>
      <c r="M8" s="38">
        <f t="shared" si="3"/>
        <v>1.0342630619035376</v>
      </c>
      <c r="N8" s="39">
        <f t="shared" si="4"/>
        <v>7.5199097090425937E-2</v>
      </c>
      <c r="O8" s="39">
        <f t="shared" si="5"/>
        <v>7.6034051901425884E-2</v>
      </c>
      <c r="P8" s="37">
        <v>2088459</v>
      </c>
    </row>
    <row r="9" spans="2:17" ht="14" customHeight="1" x14ac:dyDescent="0.3">
      <c r="B9" s="4" t="s">
        <v>215</v>
      </c>
      <c r="C9" t="s">
        <v>216</v>
      </c>
      <c r="D9" s="37">
        <v>553934</v>
      </c>
      <c r="E9" s="37">
        <v>734751</v>
      </c>
      <c r="F9" s="37">
        <v>808447</v>
      </c>
      <c r="G9" s="37">
        <v>143585</v>
      </c>
      <c r="H9" s="37">
        <v>58883</v>
      </c>
      <c r="I9" s="37">
        <v>7468</v>
      </c>
      <c r="J9" s="38">
        <f t="shared" si="0"/>
        <v>5.1171849427168574</v>
      </c>
      <c r="K9" s="38">
        <f t="shared" si="1"/>
        <v>0.90884250915644438</v>
      </c>
      <c r="L9" s="38">
        <f t="shared" si="2"/>
        <v>74.174343867166584</v>
      </c>
      <c r="M9" s="38">
        <f t="shared" si="3"/>
        <v>0.74568956233307482</v>
      </c>
      <c r="N9" s="39">
        <f t="shared" si="4"/>
        <v>7.2834706542296526E-2</v>
      </c>
      <c r="O9" s="39">
        <f t="shared" si="5"/>
        <v>1.005320065477729E-2</v>
      </c>
      <c r="P9" s="37">
        <v>742848</v>
      </c>
    </row>
    <row r="10" spans="2:17" ht="14" customHeight="1" x14ac:dyDescent="0.3">
      <c r="B10" s="4" t="s">
        <v>217</v>
      </c>
      <c r="C10" t="s">
        <v>218</v>
      </c>
      <c r="D10" s="37">
        <v>2368140</v>
      </c>
      <c r="E10" s="37">
        <v>3084852</v>
      </c>
      <c r="F10" s="37">
        <v>1359611</v>
      </c>
      <c r="G10" s="37">
        <v>320233</v>
      </c>
      <c r="H10" s="37">
        <v>193329</v>
      </c>
      <c r="I10" s="37">
        <v>123891</v>
      </c>
      <c r="J10" s="38">
        <f t="shared" si="0"/>
        <v>9.6331483638475728</v>
      </c>
      <c r="K10" s="38">
        <f t="shared" si="1"/>
        <v>2.2689225079820625</v>
      </c>
      <c r="L10" s="38">
        <f t="shared" si="2"/>
        <v>19.11470566869264</v>
      </c>
      <c r="M10" s="38">
        <f t="shared" si="3"/>
        <v>1.9453126732749719</v>
      </c>
      <c r="N10" s="39">
        <f t="shared" si="4"/>
        <v>0.14219434823637056</v>
      </c>
      <c r="O10" s="39">
        <f t="shared" si="5"/>
        <v>0.10177047488945314</v>
      </c>
      <c r="P10" s="37">
        <v>1217357</v>
      </c>
    </row>
    <row r="14" spans="2:17" ht="14" customHeight="1" x14ac:dyDescent="0.3">
      <c r="B14" s="3" t="s">
        <v>219</v>
      </c>
    </row>
    <row r="15" spans="2:17" ht="14" customHeight="1" x14ac:dyDescent="0.3">
      <c r="B15" s="4" t="s">
        <v>220</v>
      </c>
      <c r="D15" s="38">
        <f t="shared" ref="D15:I15" si="6">PERCENTILE(J6:J10,0.25)</f>
        <v>6.090896723655737</v>
      </c>
      <c r="E15" s="38">
        <f t="shared" si="6"/>
        <v>0.82680807295636916</v>
      </c>
      <c r="F15" s="38">
        <f t="shared" si="6"/>
        <v>16.11841436001772</v>
      </c>
      <c r="G15" s="38">
        <f t="shared" si="6"/>
        <v>0.95441894787631087</v>
      </c>
      <c r="H15" s="39">
        <f t="shared" si="6"/>
        <v>7.2834706542296526E-2</v>
      </c>
      <c r="I15" s="39">
        <f t="shared" si="6"/>
        <v>1.005320065477729E-2</v>
      </c>
    </row>
    <row r="16" spans="2:17" ht="14" customHeight="1" x14ac:dyDescent="0.3">
      <c r="B16" s="4" t="s">
        <v>221</v>
      </c>
      <c r="D16" s="38">
        <f t="shared" ref="D16:I16" si="7">MEDIAN(J6:J10)</f>
        <v>6.5355004397208241</v>
      </c>
      <c r="E16" s="38">
        <f t="shared" si="7"/>
        <v>0.90883377974665835</v>
      </c>
      <c r="F16" s="38">
        <f t="shared" si="7"/>
        <v>19.11470566869264</v>
      </c>
      <c r="G16" s="38">
        <f t="shared" si="7"/>
        <v>0.9739501746899798</v>
      </c>
      <c r="H16" s="39">
        <f t="shared" si="7"/>
        <v>7.5199097090425937E-2</v>
      </c>
      <c r="I16" s="39">
        <f t="shared" si="7"/>
        <v>6.0424688988384406E-2</v>
      </c>
    </row>
    <row r="17" spans="2:9" ht="14" customHeight="1" x14ac:dyDescent="0.3">
      <c r="B17" s="4" t="s">
        <v>222</v>
      </c>
      <c r="D17" s="38">
        <f t="shared" ref="D17:I17" si="8">PERCENTILE(J6:J10,0.75)</f>
        <v>9.6331483638475728</v>
      </c>
      <c r="E17" s="38">
        <f t="shared" si="8"/>
        <v>0.90884250915644438</v>
      </c>
      <c r="F17" s="38">
        <f t="shared" si="8"/>
        <v>74.174343867166584</v>
      </c>
      <c r="G17" s="38">
        <f t="shared" si="8"/>
        <v>1.0342630619035376</v>
      </c>
      <c r="H17" s="39">
        <f t="shared" si="8"/>
        <v>8.3750802550123141E-2</v>
      </c>
      <c r="I17" s="39">
        <f t="shared" si="8"/>
        <v>7.6034051901425884E-2</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161346</v>
      </c>
    </row>
    <row r="22" spans="2:9" ht="14" customHeight="1" x14ac:dyDescent="0.3">
      <c r="B22" s="4" t="s">
        <v>226</v>
      </c>
      <c r="C22" s="5">
        <v>34378</v>
      </c>
    </row>
    <row r="23" spans="2:9" ht="14" customHeight="1" x14ac:dyDescent="0.3">
      <c r="B23" s="4" t="s">
        <v>227</v>
      </c>
      <c r="C23" s="15">
        <v>361537201</v>
      </c>
    </row>
    <row r="24" spans="2:9" ht="14" customHeight="1" x14ac:dyDescent="0.3">
      <c r="B24" s="4" t="s">
        <v>68</v>
      </c>
      <c r="C24" s="5">
        <v>557078</v>
      </c>
    </row>
    <row r="26" spans="2:9" ht="14" customHeight="1" x14ac:dyDescent="0.3">
      <c r="B26" s="3" t="s">
        <v>228</v>
      </c>
    </row>
    <row r="27" spans="2:9" ht="14" customHeight="1" x14ac:dyDescent="0.3">
      <c r="B27" s="4" t="s">
        <v>229</v>
      </c>
      <c r="C27" s="24">
        <f>ROUND((C21*D16-C24)*1000000/C23,0)</f>
        <v>1376</v>
      </c>
    </row>
    <row r="28" spans="2:9" ht="14" customHeight="1" x14ac:dyDescent="0.3">
      <c r="B28" s="4" t="s">
        <v>230</v>
      </c>
      <c r="C28" s="24">
        <f>ROUND(C22*F16*1000000/C23,0)</f>
        <v>1818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6.0237334593572778E-2</v>
      </c>
      <c r="E3" s="4" t="s">
        <v>233</v>
      </c>
      <c r="F3" s="16">
        <f>'DCF Model'!C13</f>
        <v>0.01</v>
      </c>
      <c r="H3" s="4" t="s">
        <v>234</v>
      </c>
      <c r="I3" s="14">
        <f>'DCF Model'!C14</f>
        <v>6.5</v>
      </c>
    </row>
    <row r="5" spans="2:9" ht="14" customHeight="1" x14ac:dyDescent="0.3">
      <c r="B5" s="3" t="s">
        <v>235</v>
      </c>
    </row>
    <row r="6" spans="2:9" ht="14" customHeight="1"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4.5237334593572778E-2</v>
      </c>
      <c r="C7" s="37">
        <f>IFERROR(ROUND(('DCF Model'!C45/(1+$B7)^('DCF Model'!C19+0)+'DCF Model'!D45/(1+$B7)^('DCF Model'!C19+1)+'DCF Model'!E45/(1+$B7)^('DCF Model'!C19+2)+'DCF Model'!F45/(1+$B7)^('DCF Model'!C19+3)+'DCF Model'!G45/(1+$B7)^('DCF Model'!C19+4)+'DCF Model'!G45*(1+C$6)/($B7-C$6)/(1+$B7)^('DCF Model'!C19+4)-'DCF Model'!C16)*1000000/'DCF Model'!C15,0),"")</f>
        <v>1062</v>
      </c>
      <c r="D7" s="37">
        <f>IFERROR(ROUND(('DCF Model'!C45/(1+$B7)^('DCF Model'!C19+0)+'DCF Model'!D45/(1+$B7)^('DCF Model'!C19+1)+'DCF Model'!E45/(1+$B7)^('DCF Model'!C19+2)+'DCF Model'!F45/(1+$B7)^('DCF Model'!C19+3)+'DCF Model'!G45/(1+$B7)^('DCF Model'!C19+4)+'DCF Model'!G45*(1+D$6)/($B7-D$6)/(1+$B7)^('DCF Model'!C19+4)-'DCF Model'!C16)*1000000/'DCF Model'!C15,0),"")</f>
        <v>1211</v>
      </c>
      <c r="E7" s="37">
        <f>IFERROR(ROUND(('DCF Model'!C45/(1+$B7)^('DCF Model'!C19+0)+'DCF Model'!D45/(1+$B7)^('DCF Model'!C19+1)+'DCF Model'!E45/(1+$B7)^('DCF Model'!C19+2)+'DCF Model'!F45/(1+$B7)^('DCF Model'!C19+3)+'DCF Model'!G45/(1+$B7)^('DCF Model'!C19+4)+'DCF Model'!G45*(1+E$6)/($B7-E$6)/(1+$B7)^('DCF Model'!C19+4)-'DCF Model'!C16)*1000000/'DCF Model'!C15,0),"")</f>
        <v>1380</v>
      </c>
      <c r="F7" s="37">
        <f>IFERROR(ROUND(('DCF Model'!C45/(1+$B7)^('DCF Model'!C19+0)+'DCF Model'!D45/(1+$B7)^('DCF Model'!C19+1)+'DCF Model'!E45/(1+$B7)^('DCF Model'!C19+2)+'DCF Model'!F45/(1+$B7)^('DCF Model'!C19+3)+'DCF Model'!G45/(1+$B7)^('DCF Model'!C19+4)+'DCF Model'!G45*(1+F$6)/($B7-F$6)/(1+$B7)^('DCF Model'!C19+4)-'DCF Model'!C16)*1000000/'DCF Model'!C15,0),"")</f>
        <v>1573</v>
      </c>
      <c r="G7" s="37">
        <f>IFERROR(ROUND(('DCF Model'!C45/(1+$B7)^('DCF Model'!C19+0)+'DCF Model'!D45/(1+$B7)^('DCF Model'!C19+1)+'DCF Model'!E45/(1+$B7)^('DCF Model'!C19+2)+'DCF Model'!F45/(1+$B7)^('DCF Model'!C19+3)+'DCF Model'!G45/(1+$B7)^('DCF Model'!C19+4)+'DCF Model'!G45*(1+G$6)/($B7-G$6)/(1+$B7)^('DCF Model'!C19+4)-'DCF Model'!C16)*1000000/'DCF Model'!C15,0),"")</f>
        <v>1795</v>
      </c>
      <c r="H7" s="37">
        <f>IFERROR(ROUND(('DCF Model'!C45/(1+$B7)^('DCF Model'!C19+0)+'DCF Model'!D45/(1+$B7)^('DCF Model'!C19+1)+'DCF Model'!E45/(1+$B7)^('DCF Model'!C19+2)+'DCF Model'!F45/(1+$B7)^('DCF Model'!C19+3)+'DCF Model'!G45/(1+$B7)^('DCF Model'!C19+4)+'DCF Model'!G45*(1+H$6)/($B7-H$6)/(1+$B7)^('DCF Model'!C19+4)-'DCF Model'!C16)*1000000/'DCF Model'!C15,0),"")</f>
        <v>2055</v>
      </c>
      <c r="I7" s="37">
        <f>IFERROR(ROUND(('DCF Model'!C45/(1+$B7)^('DCF Model'!C19+0)+'DCF Model'!D45/(1+$B7)^('DCF Model'!C19+1)+'DCF Model'!E45/(1+$B7)^('DCF Model'!C19+2)+'DCF Model'!F45/(1+$B7)^('DCF Model'!C19+3)+'DCF Model'!G45/(1+$B7)^('DCF Model'!C19+4)+'DCF Model'!G45*(1+I$6)/($B7-I$6)/(1+$B7)^('DCF Model'!C19+4)-'DCF Model'!C16)*1000000/'DCF Model'!C15,0),"")</f>
        <v>2361</v>
      </c>
    </row>
    <row r="8" spans="2:9" ht="13.5" customHeight="1" x14ac:dyDescent="0.25">
      <c r="B8" s="39">
        <f>$C$3-0.01</f>
        <v>5.0237334593572776E-2</v>
      </c>
      <c r="C8" s="37">
        <f>IFERROR(ROUND(('DCF Model'!C45/(1+$B8)^('DCF Model'!C19+0)+'DCF Model'!D45/(1+$B8)^('DCF Model'!C19+1)+'DCF Model'!E45/(1+$B8)^('DCF Model'!C19+2)+'DCF Model'!F45/(1+$B8)^('DCF Model'!C19+3)+'DCF Model'!G45/(1+$B8)^('DCF Model'!C19+4)+'DCF Model'!G45*(1+C$6)/($B8-C$6)/(1+$B8)^('DCF Model'!C19+4)-'DCF Model'!C16)*1000000/'DCF Model'!C15,0),"")</f>
        <v>767</v>
      </c>
      <c r="D8" s="37">
        <f>IFERROR(ROUND(('DCF Model'!C45/(1+$B8)^('DCF Model'!C19+0)+'DCF Model'!D45/(1+$B8)^('DCF Model'!C19+1)+'DCF Model'!E45/(1+$B8)^('DCF Model'!C19+2)+'DCF Model'!F45/(1+$B8)^('DCF Model'!C19+3)+'DCF Model'!G45/(1+$B8)^('DCF Model'!C19+4)+'DCF Model'!G45*(1+D$6)/($B8-D$6)/(1+$B8)^('DCF Model'!C19+4)-'DCF Model'!C16)*1000000/'DCF Model'!C15,0),"")</f>
        <v>884</v>
      </c>
      <c r="E8" s="37">
        <f>IFERROR(ROUND(('DCF Model'!C45/(1+$B8)^('DCF Model'!C19+0)+'DCF Model'!D45/(1+$B8)^('DCF Model'!C19+1)+'DCF Model'!E45/(1+$B8)^('DCF Model'!C19+2)+'DCF Model'!F45/(1+$B8)^('DCF Model'!C19+3)+'DCF Model'!G45/(1+$B8)^('DCF Model'!C19+4)+'DCF Model'!G45*(1+E$6)/($B8-E$6)/(1+$B8)^('DCF Model'!C19+4)-'DCF Model'!C16)*1000000/'DCF Model'!C15,0),"")</f>
        <v>1014</v>
      </c>
      <c r="F8" s="37">
        <f>IFERROR(ROUND(('DCF Model'!C45/(1+$B8)^('DCF Model'!C19+0)+'DCF Model'!D45/(1+$B8)^('DCF Model'!C19+1)+'DCF Model'!E45/(1+$B8)^('DCF Model'!C19+2)+'DCF Model'!F45/(1+$B8)^('DCF Model'!C19+3)+'DCF Model'!G45/(1+$B8)^('DCF Model'!C19+4)+'DCF Model'!G45*(1+F$6)/($B8-F$6)/(1+$B8)^('DCF Model'!C19+4)-'DCF Model'!C16)*1000000/'DCF Model'!C15,0),"")</f>
        <v>1160</v>
      </c>
      <c r="G8" s="37">
        <f>IFERROR(ROUND(('DCF Model'!C45/(1+$B8)^('DCF Model'!C19+0)+'DCF Model'!D45/(1+$B8)^('DCF Model'!C19+1)+'DCF Model'!E45/(1+$B8)^('DCF Model'!C19+2)+'DCF Model'!F45/(1+$B8)^('DCF Model'!C19+3)+'DCF Model'!G45/(1+$B8)^('DCF Model'!C19+4)+'DCF Model'!G45*(1+G$6)/($B8-G$6)/(1+$B8)^('DCF Model'!C19+4)-'DCF Model'!C16)*1000000/'DCF Model'!C15,0),"")</f>
        <v>1326</v>
      </c>
      <c r="H8" s="37">
        <f>IFERROR(ROUND(('DCF Model'!C45/(1+$B8)^('DCF Model'!C19+0)+'DCF Model'!D45/(1+$B8)^('DCF Model'!C19+1)+'DCF Model'!E45/(1+$B8)^('DCF Model'!C19+2)+'DCF Model'!F45/(1+$B8)^('DCF Model'!C19+3)+'DCF Model'!G45/(1+$B8)^('DCF Model'!C19+4)+'DCF Model'!G45*(1+H$6)/($B8-H$6)/(1+$B8)^('DCF Model'!C19+4)-'DCF Model'!C16)*1000000/'DCF Model'!C15,0),"")</f>
        <v>1515</v>
      </c>
      <c r="I8" s="37">
        <f>IFERROR(ROUND(('DCF Model'!C45/(1+$B8)^('DCF Model'!C19+0)+'DCF Model'!D45/(1+$B8)^('DCF Model'!C19+1)+'DCF Model'!E45/(1+$B8)^('DCF Model'!C19+2)+'DCF Model'!F45/(1+$B8)^('DCF Model'!C19+3)+'DCF Model'!G45/(1+$B8)^('DCF Model'!C19+4)+'DCF Model'!G45*(1+I$6)/($B8-I$6)/(1+$B8)^('DCF Model'!C19+4)-'DCF Model'!C16)*1000000/'DCF Model'!C15,0),"")</f>
        <v>1734</v>
      </c>
    </row>
    <row r="9" spans="2:9" ht="13.5" customHeight="1" x14ac:dyDescent="0.25">
      <c r="B9" s="39">
        <f>$C$3-0.005</f>
        <v>5.523733459357278E-2</v>
      </c>
      <c r="C9" s="37">
        <f>IFERROR(ROUND(('DCF Model'!C45/(1+$B9)^('DCF Model'!C19+0)+'DCF Model'!D45/(1+$B9)^('DCF Model'!C19+1)+'DCF Model'!E45/(1+$B9)^('DCF Model'!C19+2)+'DCF Model'!F45/(1+$B9)^('DCF Model'!C19+3)+'DCF Model'!G45/(1+$B9)^('DCF Model'!C19+4)+'DCF Model'!G45*(1+C$6)/($B9-C$6)/(1+$B9)^('DCF Model'!C19+4)-'DCF Model'!C16)*1000000/'DCF Model'!C15,0),"")</f>
        <v>529</v>
      </c>
      <c r="D9" s="37">
        <f>IFERROR(ROUND(('DCF Model'!C45/(1+$B9)^('DCF Model'!C19+0)+'DCF Model'!D45/(1+$B9)^('DCF Model'!C19+1)+'DCF Model'!E45/(1+$B9)^('DCF Model'!C19+2)+'DCF Model'!F45/(1+$B9)^('DCF Model'!C19+3)+'DCF Model'!G45/(1+$B9)^('DCF Model'!C19+4)+'DCF Model'!G45*(1+D$6)/($B9-D$6)/(1+$B9)^('DCF Model'!C19+4)-'DCF Model'!C16)*1000000/'DCF Model'!C15,0),"")</f>
        <v>622</v>
      </c>
      <c r="E9" s="37">
        <f>IFERROR(ROUND(('DCF Model'!C45/(1+$B9)^('DCF Model'!C19+0)+'DCF Model'!D45/(1+$B9)^('DCF Model'!C19+1)+'DCF Model'!E45/(1+$B9)^('DCF Model'!C19+2)+'DCF Model'!F45/(1+$B9)^('DCF Model'!C19+3)+'DCF Model'!G45/(1+$B9)^('DCF Model'!C19+4)+'DCF Model'!G45*(1+E$6)/($B9-E$6)/(1+$B9)^('DCF Model'!C19+4)-'DCF Model'!C16)*1000000/'DCF Model'!C15,0),"")</f>
        <v>725</v>
      </c>
      <c r="F9" s="37">
        <f>IFERROR(ROUND(('DCF Model'!C45/(1+$B9)^('DCF Model'!C19+0)+'DCF Model'!D45/(1+$B9)^('DCF Model'!C19+1)+'DCF Model'!E45/(1+$B9)^('DCF Model'!C19+2)+'DCF Model'!F45/(1+$B9)^('DCF Model'!C19+3)+'DCF Model'!G45/(1+$B9)^('DCF Model'!C19+4)+'DCF Model'!G45*(1+F$6)/($B9-F$6)/(1+$B9)^('DCF Model'!C19+4)-'DCF Model'!C16)*1000000/'DCF Model'!C15,0),"")</f>
        <v>839</v>
      </c>
      <c r="G9" s="37">
        <f>IFERROR(ROUND(('DCF Model'!C45/(1+$B9)^('DCF Model'!C19+0)+'DCF Model'!D45/(1+$B9)^('DCF Model'!C19+1)+'DCF Model'!E45/(1+$B9)^('DCF Model'!C19+2)+'DCF Model'!F45/(1+$B9)^('DCF Model'!C19+3)+'DCF Model'!G45/(1+$B9)^('DCF Model'!C19+4)+'DCF Model'!G45*(1+G$6)/($B9-G$6)/(1+$B9)^('DCF Model'!C19+4)-'DCF Model'!C16)*1000000/'DCF Model'!C15,0),"")</f>
        <v>967</v>
      </c>
      <c r="H9" s="37">
        <f>IFERROR(ROUND(('DCF Model'!C45/(1+$B9)^('DCF Model'!C19+0)+'DCF Model'!D45/(1+$B9)^('DCF Model'!C19+1)+'DCF Model'!E45/(1+$B9)^('DCF Model'!C19+2)+'DCF Model'!F45/(1+$B9)^('DCF Model'!C19+3)+'DCF Model'!G45/(1+$B9)^('DCF Model'!C19+4)+'DCF Model'!G45*(1+H$6)/($B9-H$6)/(1+$B9)^('DCF Model'!C19+4)-'DCF Model'!C16)*1000000/'DCF Model'!C15,0),"")</f>
        <v>1111</v>
      </c>
      <c r="I9" s="37">
        <f>IFERROR(ROUND(('DCF Model'!C45/(1+$B9)^('DCF Model'!C19+0)+'DCF Model'!D45/(1+$B9)^('DCF Model'!C19+1)+'DCF Model'!E45/(1+$B9)^('DCF Model'!C19+2)+'DCF Model'!F45/(1+$B9)^('DCF Model'!C19+3)+'DCF Model'!G45/(1+$B9)^('DCF Model'!C19+4)+'DCF Model'!G45*(1+I$6)/($B9-I$6)/(1+$B9)^('DCF Model'!C19+4)-'DCF Model'!C16)*1000000/'DCF Model'!C15,0),"")</f>
        <v>1273</v>
      </c>
    </row>
    <row r="10" spans="2:9" ht="13.5" customHeight="1" x14ac:dyDescent="0.25">
      <c r="B10" s="39">
        <f>$C$3</f>
        <v>6.0237334593572778E-2</v>
      </c>
      <c r="C10" s="37">
        <f>IFERROR(ROUND(('DCF Model'!C45/(1+$B10)^('DCF Model'!C19+0)+'DCF Model'!D45/(1+$B10)^('DCF Model'!C19+1)+'DCF Model'!E45/(1+$B10)^('DCF Model'!C19+2)+'DCF Model'!F45/(1+$B10)^('DCF Model'!C19+3)+'DCF Model'!G45/(1+$B10)^('DCF Model'!C19+4)+'DCF Model'!G45*(1+C$6)/($B10-C$6)/(1+$B10)^('DCF Model'!C19+4)-'DCF Model'!C16)*1000000/'DCF Model'!C15,0),"")</f>
        <v>332</v>
      </c>
      <c r="D10" s="37">
        <f>IFERROR(ROUND(('DCF Model'!C45/(1+$B10)^('DCF Model'!C19+0)+'DCF Model'!D45/(1+$B10)^('DCF Model'!C19+1)+'DCF Model'!E45/(1+$B10)^('DCF Model'!C19+2)+'DCF Model'!F45/(1+$B10)^('DCF Model'!C19+3)+'DCF Model'!G45/(1+$B10)^('DCF Model'!C19+4)+'DCF Model'!G45*(1+D$6)/($B10-D$6)/(1+$B10)^('DCF Model'!C19+4)-'DCF Model'!C16)*1000000/'DCF Model'!C15,0),"")</f>
        <v>408</v>
      </c>
      <c r="E10" s="37">
        <f>IFERROR(ROUND(('DCF Model'!C45/(1+$B10)^('DCF Model'!C19+0)+'DCF Model'!D45/(1+$B10)^('DCF Model'!C19+1)+'DCF Model'!E45/(1+$B10)^('DCF Model'!C19+2)+'DCF Model'!F45/(1+$B10)^('DCF Model'!C19+3)+'DCF Model'!G45/(1+$B10)^('DCF Model'!C19+4)+'DCF Model'!G45*(1+E$6)/($B10-E$6)/(1+$B10)^('DCF Model'!C19+4)-'DCF Model'!C16)*1000000/'DCF Model'!C15,0),"")</f>
        <v>491</v>
      </c>
      <c r="F10" s="37">
        <f>IFERROR(ROUND(('DCF Model'!C45/(1+$B10)^('DCF Model'!C19+0)+'DCF Model'!D45/(1+$B10)^('DCF Model'!C19+1)+'DCF Model'!E45/(1+$B10)^('DCF Model'!C19+2)+'DCF Model'!F45/(1+$B10)^('DCF Model'!C19+3)+'DCF Model'!G45/(1+$B10)^('DCF Model'!C19+4)+'DCF Model'!G45*(1+F$6)/($B10-F$6)/(1+$B10)^('DCF Model'!C19+4)-'DCF Model'!C16)*1000000/'DCF Model'!C15,0),"")</f>
        <v>582</v>
      </c>
      <c r="G10" s="37">
        <f>IFERROR(ROUND(('DCF Model'!C45/(1+$B10)^('DCF Model'!C19+0)+'DCF Model'!D45/(1+$B10)^('DCF Model'!C19+1)+'DCF Model'!E45/(1+$B10)^('DCF Model'!C19+2)+'DCF Model'!F45/(1+$B10)^('DCF Model'!C19+3)+'DCF Model'!G45/(1+$B10)^('DCF Model'!C19+4)+'DCF Model'!G45*(1+G$6)/($B10-G$6)/(1+$B10)^('DCF Model'!C19+4)-'DCF Model'!C16)*1000000/'DCF Model'!C15,0),"")</f>
        <v>684</v>
      </c>
      <c r="H10" s="37">
        <f>IFERROR(ROUND(('DCF Model'!C45/(1+$B10)^('DCF Model'!C19+0)+'DCF Model'!D45/(1+$B10)^('DCF Model'!C19+1)+'DCF Model'!E45/(1+$B10)^('DCF Model'!C19+2)+'DCF Model'!F45/(1+$B10)^('DCF Model'!C19+3)+'DCF Model'!G45/(1+$B10)^('DCF Model'!C19+4)+'DCF Model'!G45*(1+H$6)/($B10-H$6)/(1+$B10)^('DCF Model'!C19+4)-'DCF Model'!C16)*1000000/'DCF Model'!C15,0),"")</f>
        <v>796</v>
      </c>
      <c r="I10" s="37">
        <f>IFERROR(ROUND(('DCF Model'!C45/(1+$B10)^('DCF Model'!C19+0)+'DCF Model'!D45/(1+$B10)^('DCF Model'!C19+1)+'DCF Model'!E45/(1+$B10)^('DCF Model'!C19+2)+'DCF Model'!F45/(1+$B10)^('DCF Model'!C19+3)+'DCF Model'!G45/(1+$B10)^('DCF Model'!C19+4)+'DCF Model'!G45*(1+I$6)/($B10-I$6)/(1+$B10)^('DCF Model'!C19+4)-'DCF Model'!C16)*1000000/'DCF Model'!C15,0),"")</f>
        <v>921</v>
      </c>
    </row>
    <row r="11" spans="2:9" ht="13.5" customHeight="1" x14ac:dyDescent="0.25">
      <c r="B11" s="39">
        <f>$C$3+0.005</f>
        <v>6.5237334593572782E-2</v>
      </c>
      <c r="C11" s="37">
        <f>IFERROR(ROUND(('DCF Model'!C45/(1+$B11)^('DCF Model'!C19+0)+'DCF Model'!D45/(1+$B11)^('DCF Model'!C19+1)+'DCF Model'!E45/(1+$B11)^('DCF Model'!C19+2)+'DCF Model'!F45/(1+$B11)^('DCF Model'!C19+3)+'DCF Model'!G45/(1+$B11)^('DCF Model'!C19+4)+'DCF Model'!G45*(1+C$6)/($B11-C$6)/(1+$B11)^('DCF Model'!C19+4)-'DCF Model'!C16)*1000000/'DCF Model'!C15,0),"")</f>
        <v>167</v>
      </c>
      <c r="D11" s="37">
        <f>IFERROR(ROUND(('DCF Model'!C45/(1+$B11)^('DCF Model'!C19+0)+'DCF Model'!D45/(1+$B11)^('DCF Model'!C19+1)+'DCF Model'!E45/(1+$B11)^('DCF Model'!C19+2)+'DCF Model'!F45/(1+$B11)^('DCF Model'!C19+3)+'DCF Model'!G45/(1+$B11)^('DCF Model'!C19+4)+'DCF Model'!G45*(1+D$6)/($B11-D$6)/(1+$B11)^('DCF Model'!C19+4)-'DCF Model'!C16)*1000000/'DCF Model'!C15,0),"")</f>
        <v>230</v>
      </c>
      <c r="E11" s="37">
        <f>IFERROR(ROUND(('DCF Model'!C45/(1+$B11)^('DCF Model'!C19+0)+'DCF Model'!D45/(1+$B11)^('DCF Model'!C19+1)+'DCF Model'!E45/(1+$B11)^('DCF Model'!C19+2)+'DCF Model'!F45/(1+$B11)^('DCF Model'!C19+3)+'DCF Model'!G45/(1+$B11)^('DCF Model'!C19+4)+'DCF Model'!G45*(1+E$6)/($B11-E$6)/(1+$B11)^('DCF Model'!C19+4)-'DCF Model'!C16)*1000000/'DCF Model'!C15,0),"")</f>
        <v>298</v>
      </c>
      <c r="F11" s="37">
        <f>IFERROR(ROUND(('DCF Model'!C45/(1+$B11)^('DCF Model'!C19+0)+'DCF Model'!D45/(1+$B11)^('DCF Model'!C19+1)+'DCF Model'!E45/(1+$B11)^('DCF Model'!C19+2)+'DCF Model'!F45/(1+$B11)^('DCF Model'!C19+3)+'DCF Model'!G45/(1+$B11)^('DCF Model'!C19+4)+'DCF Model'!G45*(1+F$6)/($B11-F$6)/(1+$B11)^('DCF Model'!C19+4)-'DCF Model'!C16)*1000000/'DCF Model'!C15,0),"")</f>
        <v>373</v>
      </c>
      <c r="G11" s="37">
        <f>IFERROR(ROUND(('DCF Model'!C45/(1+$B11)^('DCF Model'!C19+0)+'DCF Model'!D45/(1+$B11)^('DCF Model'!C19+1)+'DCF Model'!E45/(1+$B11)^('DCF Model'!C19+2)+'DCF Model'!F45/(1+$B11)^('DCF Model'!C19+3)+'DCF Model'!G45/(1+$B11)^('DCF Model'!C19+4)+'DCF Model'!G45*(1+G$6)/($B11-G$6)/(1+$B11)^('DCF Model'!C19+4)-'DCF Model'!C16)*1000000/'DCF Model'!C15,0),"")</f>
        <v>454</v>
      </c>
      <c r="H11" s="37">
        <f>IFERROR(ROUND(('DCF Model'!C45/(1+$B11)^('DCF Model'!C19+0)+'DCF Model'!D45/(1+$B11)^('DCF Model'!C19+1)+'DCF Model'!E45/(1+$B11)^('DCF Model'!C19+2)+'DCF Model'!F45/(1+$B11)^('DCF Model'!C19+3)+'DCF Model'!G45/(1+$B11)^('DCF Model'!C19+4)+'DCF Model'!G45*(1+H$6)/($B11-H$6)/(1+$B11)^('DCF Model'!C19+4)-'DCF Model'!C16)*1000000/'DCF Model'!C15,0),"")</f>
        <v>544</v>
      </c>
      <c r="I11" s="37">
        <f>IFERROR(ROUND(('DCF Model'!C45/(1+$B11)^('DCF Model'!C19+0)+'DCF Model'!D45/(1+$B11)^('DCF Model'!C19+1)+'DCF Model'!E45/(1+$B11)^('DCF Model'!C19+2)+'DCF Model'!F45/(1+$B11)^('DCF Model'!C19+3)+'DCF Model'!G45/(1+$B11)^('DCF Model'!C19+4)+'DCF Model'!G45*(1+I$6)/($B11-I$6)/(1+$B11)^('DCF Model'!C19+4)-'DCF Model'!C16)*1000000/'DCF Model'!C15,0),"")</f>
        <v>643</v>
      </c>
    </row>
    <row r="12" spans="2:9" ht="13.5" customHeight="1" x14ac:dyDescent="0.25">
      <c r="B12" s="39">
        <f>$C$3+0.01</f>
        <v>7.0237334593572773E-2</v>
      </c>
      <c r="C12" s="37">
        <f>IFERROR(ROUND(('DCF Model'!C45/(1+$B12)^('DCF Model'!C19+0)+'DCF Model'!D45/(1+$B12)^('DCF Model'!C19+1)+'DCF Model'!E45/(1+$B12)^('DCF Model'!C19+2)+'DCF Model'!F45/(1+$B12)^('DCF Model'!C19+3)+'DCF Model'!G45/(1+$B12)^('DCF Model'!C19+4)+'DCF Model'!G45*(1+C$6)/($B12-C$6)/(1+$B12)^('DCF Model'!C19+4)-'DCF Model'!C16)*1000000/'DCF Model'!C15,0),"")</f>
        <v>26</v>
      </c>
      <c r="D12" s="37">
        <f>IFERROR(ROUND(('DCF Model'!C45/(1+$B12)^('DCF Model'!C19+0)+'DCF Model'!D45/(1+$B12)^('DCF Model'!C19+1)+'DCF Model'!E45/(1+$B12)^('DCF Model'!C19+2)+'DCF Model'!F45/(1+$B12)^('DCF Model'!C19+3)+'DCF Model'!G45/(1+$B12)^('DCF Model'!C19+4)+'DCF Model'!G45*(1+D$6)/($B12-D$6)/(1+$B12)^('DCF Model'!C19+4)-'DCF Model'!C16)*1000000/'DCF Model'!C15,0),"")</f>
        <v>79</v>
      </c>
      <c r="E12" s="37">
        <f>IFERROR(ROUND(('DCF Model'!C45/(1+$B12)^('DCF Model'!C19+0)+'DCF Model'!D45/(1+$B12)^('DCF Model'!C19+1)+'DCF Model'!E45/(1+$B12)^('DCF Model'!C19+2)+'DCF Model'!F45/(1+$B12)^('DCF Model'!C19+3)+'DCF Model'!G45/(1+$B12)^('DCF Model'!C19+4)+'DCF Model'!G45*(1+E$6)/($B12-E$6)/(1+$B12)^('DCF Model'!C19+4)-'DCF Model'!C16)*1000000/'DCF Model'!C15,0),"")</f>
        <v>136</v>
      </c>
      <c r="F12" s="37">
        <f>IFERROR(ROUND(('DCF Model'!C45/(1+$B12)^('DCF Model'!C19+0)+'DCF Model'!D45/(1+$B12)^('DCF Model'!C19+1)+'DCF Model'!E45/(1+$B12)^('DCF Model'!C19+2)+'DCF Model'!F45/(1+$B12)^('DCF Model'!C19+3)+'DCF Model'!G45/(1+$B12)^('DCF Model'!C19+4)+'DCF Model'!G45*(1+F$6)/($B12-F$6)/(1+$B12)^('DCF Model'!C19+4)-'DCF Model'!C16)*1000000/'DCF Model'!C15,0),"")</f>
        <v>198</v>
      </c>
      <c r="G12" s="37">
        <f>IFERROR(ROUND(('DCF Model'!C45/(1+$B12)^('DCF Model'!C19+0)+'DCF Model'!D45/(1+$B12)^('DCF Model'!C19+1)+'DCF Model'!E45/(1+$B12)^('DCF Model'!C19+2)+'DCF Model'!F45/(1+$B12)^('DCF Model'!C19+3)+'DCF Model'!G45/(1+$B12)^('DCF Model'!C19+4)+'DCF Model'!G45*(1+G$6)/($B12-G$6)/(1+$B12)^('DCF Model'!C19+4)-'DCF Model'!C16)*1000000/'DCF Model'!C15,0),"")</f>
        <v>265</v>
      </c>
      <c r="H12" s="37">
        <f>IFERROR(ROUND(('DCF Model'!C45/(1+$B12)^('DCF Model'!C19+0)+'DCF Model'!D45/(1+$B12)^('DCF Model'!C19+1)+'DCF Model'!E45/(1+$B12)^('DCF Model'!C19+2)+'DCF Model'!F45/(1+$B12)^('DCF Model'!C19+3)+'DCF Model'!G45/(1+$B12)^('DCF Model'!C19+4)+'DCF Model'!G45*(1+H$6)/($B12-H$6)/(1+$B12)^('DCF Model'!C19+4)-'DCF Model'!C16)*1000000/'DCF Model'!C15,0),"")</f>
        <v>338</v>
      </c>
      <c r="I12" s="37">
        <f>IFERROR(ROUND(('DCF Model'!C45/(1+$B12)^('DCF Model'!C19+0)+'DCF Model'!D45/(1+$B12)^('DCF Model'!C19+1)+'DCF Model'!E45/(1+$B12)^('DCF Model'!C19+2)+'DCF Model'!F45/(1+$B12)^('DCF Model'!C19+3)+'DCF Model'!G45/(1+$B12)^('DCF Model'!C19+4)+'DCF Model'!G45*(1+I$6)/($B12-I$6)/(1+$B12)^('DCF Model'!C19+4)-'DCF Model'!C16)*1000000/'DCF Model'!C15,0),"")</f>
        <v>418</v>
      </c>
    </row>
    <row r="13" spans="2:9" ht="13.5" customHeight="1" x14ac:dyDescent="0.25">
      <c r="B13" s="39">
        <f>$C$3+0.015</f>
        <v>7.5237334593572777E-2</v>
      </c>
      <c r="C13" s="37">
        <f>IFERROR(ROUND(('DCF Model'!C45/(1+$B13)^('DCF Model'!C19+0)+'DCF Model'!D45/(1+$B13)^('DCF Model'!C19+1)+'DCF Model'!E45/(1+$B13)^('DCF Model'!C19+2)+'DCF Model'!F45/(1+$B13)^('DCF Model'!C19+3)+'DCF Model'!G45/(1+$B13)^('DCF Model'!C19+4)+'DCF Model'!G45*(1+C$6)/($B13-C$6)/(1+$B13)^('DCF Model'!C19+4)-'DCF Model'!C16)*1000000/'DCF Model'!C15,0),"")</f>
        <v>-95</v>
      </c>
      <c r="D13" s="37">
        <f>IFERROR(ROUND(('DCF Model'!C45/(1+$B13)^('DCF Model'!C19+0)+'DCF Model'!D45/(1+$B13)^('DCF Model'!C19+1)+'DCF Model'!E45/(1+$B13)^('DCF Model'!C19+2)+'DCF Model'!F45/(1+$B13)^('DCF Model'!C19+3)+'DCF Model'!G45/(1+$B13)^('DCF Model'!C19+4)+'DCF Model'!G45*(1+D$6)/($B13-D$6)/(1+$B13)^('DCF Model'!C19+4)-'DCF Model'!C16)*1000000/'DCF Model'!C15,0),"")</f>
        <v>-50</v>
      </c>
      <c r="E13" s="37">
        <f>IFERROR(ROUND(('DCF Model'!C45/(1+$B13)^('DCF Model'!C19+0)+'DCF Model'!D45/(1+$B13)^('DCF Model'!C19+1)+'DCF Model'!E45/(1+$B13)^('DCF Model'!C19+2)+'DCF Model'!F45/(1+$B13)^('DCF Model'!C19+3)+'DCF Model'!G45/(1+$B13)^('DCF Model'!C19+4)+'DCF Model'!G45*(1+E$6)/($B13-E$6)/(1+$B13)^('DCF Model'!C19+4)-'DCF Model'!C16)*1000000/'DCF Model'!C15,0),"")</f>
        <v>-2</v>
      </c>
      <c r="F13" s="37">
        <f>IFERROR(ROUND(('DCF Model'!C45/(1+$B13)^('DCF Model'!C19+0)+'DCF Model'!D45/(1+$B13)^('DCF Model'!C19+1)+'DCF Model'!E45/(1+$B13)^('DCF Model'!C19+2)+'DCF Model'!F45/(1+$B13)^('DCF Model'!C19+3)+'DCF Model'!G45/(1+$B13)^('DCF Model'!C19+4)+'DCF Model'!G45*(1+F$6)/($B13-F$6)/(1+$B13)^('DCF Model'!C19+4)-'DCF Model'!C16)*1000000/'DCF Model'!C15,0),"")</f>
        <v>50</v>
      </c>
      <c r="G13" s="37">
        <f>IFERROR(ROUND(('DCF Model'!C45/(1+$B13)^('DCF Model'!C19+0)+'DCF Model'!D45/(1+$B13)^('DCF Model'!C19+1)+'DCF Model'!E45/(1+$B13)^('DCF Model'!C19+2)+'DCF Model'!F45/(1+$B13)^('DCF Model'!C19+3)+'DCF Model'!G45/(1+$B13)^('DCF Model'!C19+4)+'DCF Model'!G45*(1+G$6)/($B13-G$6)/(1+$B13)^('DCF Model'!C19+4)-'DCF Model'!C16)*1000000/'DCF Model'!C15,0),"")</f>
        <v>106</v>
      </c>
      <c r="H13" s="37">
        <f>IFERROR(ROUND(('DCF Model'!C45/(1+$B13)^('DCF Model'!C19+0)+'DCF Model'!D45/(1+$B13)^('DCF Model'!C19+1)+'DCF Model'!E45/(1+$B13)^('DCF Model'!C19+2)+'DCF Model'!F45/(1+$B13)^('DCF Model'!C19+3)+'DCF Model'!G45/(1+$B13)^('DCF Model'!C19+4)+'DCF Model'!G45*(1+H$6)/($B13-H$6)/(1+$B13)^('DCF Model'!C19+4)-'DCF Model'!C16)*1000000/'DCF Model'!C15,0),"")</f>
        <v>167</v>
      </c>
      <c r="I13" s="37">
        <f>IFERROR(ROUND(('DCF Model'!C45/(1+$B13)^('DCF Model'!C19+0)+'DCF Model'!D45/(1+$B13)^('DCF Model'!C19+1)+'DCF Model'!E45/(1+$B13)^('DCF Model'!C19+2)+'DCF Model'!F45/(1+$B13)^('DCF Model'!C19+3)+'DCF Model'!G45/(1+$B13)^('DCF Model'!C19+4)+'DCF Model'!G45*(1+I$6)/($B13-I$6)/(1+$B13)^('DCF Model'!C19+4)-'DCF Model'!C16)*1000000/'DCF Model'!C15,0),"")</f>
        <v>233</v>
      </c>
    </row>
    <row r="16" spans="2:9" ht="14" customHeight="1" x14ac:dyDescent="0.3">
      <c r="B16" s="3" t="s">
        <v>237</v>
      </c>
    </row>
    <row r="17" spans="2:9" ht="14" customHeight="1" x14ac:dyDescent="0.3">
      <c r="B17" s="40" t="s">
        <v>238</v>
      </c>
      <c r="C17" s="42">
        <f>$I$3-3</f>
        <v>3.5</v>
      </c>
      <c r="D17" s="42">
        <f>$I$3-2</f>
        <v>4.5</v>
      </c>
      <c r="E17" s="42">
        <f>$I$3-1</f>
        <v>5.5</v>
      </c>
      <c r="F17" s="42">
        <f>$I$3</f>
        <v>6.5</v>
      </c>
      <c r="G17" s="42">
        <f>$I$3+1</f>
        <v>7.5</v>
      </c>
      <c r="H17" s="42">
        <f>$I$3+2</f>
        <v>8.5</v>
      </c>
      <c r="I17" s="42">
        <f>$I$3+3</f>
        <v>9.5</v>
      </c>
    </row>
    <row r="18" spans="2:9" ht="13.5" customHeight="1" x14ac:dyDescent="0.25">
      <c r="B18" s="39">
        <f>$C$3-0.015</f>
        <v>4.5237334593572778E-2</v>
      </c>
      <c r="C18" s="37">
        <f>IFERROR(ROUND(('DCF Model'!C45/(1+$B18)^('DCF Model'!C19+0)+'DCF Model'!D45/(1+$B18)^('DCF Model'!C19+1)+'DCF Model'!E45/(1+$B18)^('DCF Model'!C19+2)+'DCF Model'!F45/(1+$B18)^('DCF Model'!C19+3)+'DCF Model'!G45/(1+$B18)^('DCF Model'!C19+4)+('DCF Model'!G39+'DCF Model'!G42)*C$17/(1+$B18)^('DCF Model'!C19+4)-'DCF Model'!C16)*1000000/'DCF Model'!C15,0),"")</f>
        <v>174</v>
      </c>
      <c r="D18" s="37">
        <f>IFERROR(ROUND(('DCF Model'!C45/(1+$B18)^('DCF Model'!C19+0)+'DCF Model'!D45/(1+$B18)^('DCF Model'!C19+1)+'DCF Model'!E45/(1+$B18)^('DCF Model'!C19+2)+'DCF Model'!F45/(1+$B18)^('DCF Model'!C19+3)+'DCF Model'!G45/(1+$B18)^('DCF Model'!C19+4)+('DCF Model'!G39+'DCF Model'!G42)*D$17/(1+$B18)^('DCF Model'!C19+4)-'DCF Model'!C16)*1000000/'DCF Model'!C15,0),"")</f>
        <v>579</v>
      </c>
      <c r="E18" s="37">
        <f>IFERROR(ROUND(('DCF Model'!C45/(1+$B18)^('DCF Model'!C19+0)+'DCF Model'!D45/(1+$B18)^('DCF Model'!C19+1)+'DCF Model'!E45/(1+$B18)^('DCF Model'!C19+2)+'DCF Model'!F45/(1+$B18)^('DCF Model'!C19+3)+'DCF Model'!G45/(1+$B18)^('DCF Model'!C19+4)+('DCF Model'!G39+'DCF Model'!G42)*E$17/(1+$B18)^('DCF Model'!C19+4)-'DCF Model'!C16)*1000000/'DCF Model'!C15,0),"")</f>
        <v>983</v>
      </c>
      <c r="F18" s="37">
        <f>IFERROR(ROUND(('DCF Model'!C45/(1+$B18)^('DCF Model'!C19+0)+'DCF Model'!D45/(1+$B18)^('DCF Model'!C19+1)+'DCF Model'!E45/(1+$B18)^('DCF Model'!C19+2)+'DCF Model'!F45/(1+$B18)^('DCF Model'!C19+3)+'DCF Model'!G45/(1+$B18)^('DCF Model'!C19+4)+('DCF Model'!G39+'DCF Model'!G42)*F$17/(1+$B18)^('DCF Model'!C19+4)-'DCF Model'!C16)*1000000/'DCF Model'!C15,0),"")</f>
        <v>1388</v>
      </c>
      <c r="G18" s="37">
        <f>IFERROR(ROUND(('DCF Model'!C45/(1+$B18)^('DCF Model'!C19+0)+'DCF Model'!D45/(1+$B18)^('DCF Model'!C19+1)+'DCF Model'!E45/(1+$B18)^('DCF Model'!C19+2)+'DCF Model'!F45/(1+$B18)^('DCF Model'!C19+3)+'DCF Model'!G45/(1+$B18)^('DCF Model'!C19+4)+('DCF Model'!G39+'DCF Model'!G42)*G$17/(1+$B18)^('DCF Model'!C19+4)-'DCF Model'!C16)*1000000/'DCF Model'!C15,0),"")</f>
        <v>1792</v>
      </c>
      <c r="H18" s="37">
        <f>IFERROR(ROUND(('DCF Model'!C45/(1+$B18)^('DCF Model'!C19+0)+'DCF Model'!D45/(1+$B18)^('DCF Model'!C19+1)+'DCF Model'!E45/(1+$B18)^('DCF Model'!C19+2)+'DCF Model'!F45/(1+$B18)^('DCF Model'!C19+3)+'DCF Model'!G45/(1+$B18)^('DCF Model'!C19+4)+('DCF Model'!G39+'DCF Model'!G42)*H$17/(1+$B18)^('DCF Model'!C19+4)-'DCF Model'!C16)*1000000/'DCF Model'!C15,0),"")</f>
        <v>2197</v>
      </c>
      <c r="I18" s="37">
        <f>IFERROR(ROUND(('DCF Model'!C45/(1+$B18)^('DCF Model'!C19+0)+'DCF Model'!D45/(1+$B18)^('DCF Model'!C19+1)+'DCF Model'!E45/(1+$B18)^('DCF Model'!C19+2)+'DCF Model'!F45/(1+$B18)^('DCF Model'!C19+3)+'DCF Model'!G45/(1+$B18)^('DCF Model'!C19+4)+('DCF Model'!G39+'DCF Model'!G42)*I$17/(1+$B18)^('DCF Model'!C19+4)-'DCF Model'!C16)*1000000/'DCF Model'!C15,0),"")</f>
        <v>2601</v>
      </c>
    </row>
    <row r="19" spans="2:9" ht="13.5" customHeight="1" x14ac:dyDescent="0.25">
      <c r="B19" s="39">
        <f>$C$3-0.01</f>
        <v>5.0237334593572776E-2</v>
      </c>
      <c r="C19" s="37">
        <f>IFERROR(ROUND(('DCF Model'!C45/(1+$B19)^('DCF Model'!C19+0)+'DCF Model'!D45/(1+$B19)^('DCF Model'!C19+1)+'DCF Model'!E45/(1+$B19)^('DCF Model'!C19+2)+'DCF Model'!F45/(1+$B19)^('DCF Model'!C19+3)+'DCF Model'!G45/(1+$B19)^('DCF Model'!C19+4)+('DCF Model'!G39+'DCF Model'!G42)*C$17/(1+$B19)^('DCF Model'!C19+4)-'DCF Model'!C16)*1000000/'DCF Model'!C15,0),"")</f>
        <v>136</v>
      </c>
      <c r="D19" s="37">
        <f>IFERROR(ROUND(('DCF Model'!C45/(1+$B19)^('DCF Model'!C19+0)+'DCF Model'!D45/(1+$B19)^('DCF Model'!C19+1)+'DCF Model'!E45/(1+$B19)^('DCF Model'!C19+2)+'DCF Model'!F45/(1+$B19)^('DCF Model'!C19+3)+'DCF Model'!G45/(1+$B19)^('DCF Model'!C19+4)+('DCF Model'!G39+'DCF Model'!G42)*D$17/(1+$B19)^('DCF Model'!C19+4)-'DCF Model'!C16)*1000000/'DCF Model'!C15,0),"")</f>
        <v>531</v>
      </c>
      <c r="E19" s="37">
        <f>IFERROR(ROUND(('DCF Model'!C45/(1+$B19)^('DCF Model'!C19+0)+'DCF Model'!D45/(1+$B19)^('DCF Model'!C19+1)+'DCF Model'!E45/(1+$B19)^('DCF Model'!C19+2)+'DCF Model'!F45/(1+$B19)^('DCF Model'!C19+3)+'DCF Model'!G45/(1+$B19)^('DCF Model'!C19+4)+('DCF Model'!G39+'DCF Model'!G42)*E$17/(1+$B19)^('DCF Model'!C19+4)-'DCF Model'!C16)*1000000/'DCF Model'!C15,0),"")</f>
        <v>926</v>
      </c>
      <c r="F19" s="37">
        <f>IFERROR(ROUND(('DCF Model'!C45/(1+$B19)^('DCF Model'!C19+0)+'DCF Model'!D45/(1+$B19)^('DCF Model'!C19+1)+'DCF Model'!E45/(1+$B19)^('DCF Model'!C19+2)+'DCF Model'!F45/(1+$B19)^('DCF Model'!C19+3)+'DCF Model'!G45/(1+$B19)^('DCF Model'!C19+4)+('DCF Model'!G39+'DCF Model'!G42)*F$17/(1+$B19)^('DCF Model'!C19+4)-'DCF Model'!C16)*1000000/'DCF Model'!C15,0),"")</f>
        <v>1321</v>
      </c>
      <c r="G19" s="37">
        <f>IFERROR(ROUND(('DCF Model'!C45/(1+$B19)^('DCF Model'!C19+0)+'DCF Model'!D45/(1+$B19)^('DCF Model'!C19+1)+'DCF Model'!E45/(1+$B19)^('DCF Model'!C19+2)+'DCF Model'!F45/(1+$B19)^('DCF Model'!C19+3)+'DCF Model'!G45/(1+$B19)^('DCF Model'!C19+4)+('DCF Model'!G39+'DCF Model'!G42)*G$17/(1+$B19)^('DCF Model'!C19+4)-'DCF Model'!C16)*1000000/'DCF Model'!C15,0),"")</f>
        <v>1716</v>
      </c>
      <c r="H19" s="37">
        <f>IFERROR(ROUND(('DCF Model'!C45/(1+$B19)^('DCF Model'!C19+0)+'DCF Model'!D45/(1+$B19)^('DCF Model'!C19+1)+'DCF Model'!E45/(1+$B19)^('DCF Model'!C19+2)+'DCF Model'!F45/(1+$B19)^('DCF Model'!C19+3)+'DCF Model'!G45/(1+$B19)^('DCF Model'!C19+4)+('DCF Model'!G39+'DCF Model'!G42)*H$17/(1+$B19)^('DCF Model'!C19+4)-'DCF Model'!C16)*1000000/'DCF Model'!C15,0),"")</f>
        <v>2111</v>
      </c>
      <c r="I19" s="37">
        <f>IFERROR(ROUND(('DCF Model'!C45/(1+$B19)^('DCF Model'!C19+0)+'DCF Model'!D45/(1+$B19)^('DCF Model'!C19+1)+'DCF Model'!E45/(1+$B19)^('DCF Model'!C19+2)+'DCF Model'!F45/(1+$B19)^('DCF Model'!C19+3)+'DCF Model'!G45/(1+$B19)^('DCF Model'!C19+4)+('DCF Model'!G39+'DCF Model'!G42)*I$17/(1+$B19)^('DCF Model'!C19+4)-'DCF Model'!C16)*1000000/'DCF Model'!C15,0),"")</f>
        <v>2505</v>
      </c>
    </row>
    <row r="20" spans="2:9" ht="13.5" customHeight="1" x14ac:dyDescent="0.25">
      <c r="B20" s="39">
        <f>$C$3-0.005</f>
        <v>5.523733459357278E-2</v>
      </c>
      <c r="C20" s="37">
        <f>IFERROR(ROUND(('DCF Model'!C45/(1+$B20)^('DCF Model'!C19+0)+'DCF Model'!D45/(1+$B20)^('DCF Model'!C19+1)+'DCF Model'!E45/(1+$B20)^('DCF Model'!C19+2)+'DCF Model'!F45/(1+$B20)^('DCF Model'!C19+3)+'DCF Model'!G45/(1+$B20)^('DCF Model'!C19+4)+('DCF Model'!G39+'DCF Model'!G42)*C$17/(1+$B20)^('DCF Model'!C19+4)-'DCF Model'!C16)*1000000/'DCF Model'!C15,0),"")</f>
        <v>99</v>
      </c>
      <c r="D20" s="37">
        <f>IFERROR(ROUND(('DCF Model'!C45/(1+$B20)^('DCF Model'!C19+0)+'DCF Model'!D45/(1+$B20)^('DCF Model'!C19+1)+'DCF Model'!E45/(1+$B20)^('DCF Model'!C19+2)+'DCF Model'!F45/(1+$B20)^('DCF Model'!C19+3)+'DCF Model'!G45/(1+$B20)^('DCF Model'!C19+4)+('DCF Model'!G39+'DCF Model'!G42)*D$17/(1+$B20)^('DCF Model'!C19+4)-'DCF Model'!C16)*1000000/'DCF Model'!C15,0),"")</f>
        <v>484</v>
      </c>
      <c r="E20" s="37">
        <f>IFERROR(ROUND(('DCF Model'!C45/(1+$B20)^('DCF Model'!C19+0)+'DCF Model'!D45/(1+$B20)^('DCF Model'!C19+1)+'DCF Model'!E45/(1+$B20)^('DCF Model'!C19+2)+'DCF Model'!F45/(1+$B20)^('DCF Model'!C19+3)+'DCF Model'!G45/(1+$B20)^('DCF Model'!C19+4)+('DCF Model'!G39+'DCF Model'!G42)*E$17/(1+$B20)^('DCF Model'!C19+4)-'DCF Model'!C16)*1000000/'DCF Model'!C15,0),"")</f>
        <v>870</v>
      </c>
      <c r="F20" s="37">
        <f>IFERROR(ROUND(('DCF Model'!C45/(1+$B20)^('DCF Model'!C19+0)+'DCF Model'!D45/(1+$B20)^('DCF Model'!C19+1)+'DCF Model'!E45/(1+$B20)^('DCF Model'!C19+2)+'DCF Model'!F45/(1+$B20)^('DCF Model'!C19+3)+'DCF Model'!G45/(1+$B20)^('DCF Model'!C19+4)+('DCF Model'!G39+'DCF Model'!G42)*F$17/(1+$B20)^('DCF Model'!C19+4)-'DCF Model'!C16)*1000000/'DCF Model'!C15,0),"")</f>
        <v>1256</v>
      </c>
      <c r="G20" s="37">
        <f>IFERROR(ROUND(('DCF Model'!C45/(1+$B20)^('DCF Model'!C19+0)+'DCF Model'!D45/(1+$B20)^('DCF Model'!C19+1)+'DCF Model'!E45/(1+$B20)^('DCF Model'!C19+2)+'DCF Model'!F45/(1+$B20)^('DCF Model'!C19+3)+'DCF Model'!G45/(1+$B20)^('DCF Model'!C19+4)+('DCF Model'!G39+'DCF Model'!G42)*G$17/(1+$B20)^('DCF Model'!C19+4)-'DCF Model'!C16)*1000000/'DCF Model'!C15,0),"")</f>
        <v>1641</v>
      </c>
      <c r="H20" s="37">
        <f>IFERROR(ROUND(('DCF Model'!C45/(1+$B20)^('DCF Model'!C19+0)+'DCF Model'!D45/(1+$B20)^('DCF Model'!C19+1)+'DCF Model'!E45/(1+$B20)^('DCF Model'!C19+2)+'DCF Model'!F45/(1+$B20)^('DCF Model'!C19+3)+'DCF Model'!G45/(1+$B20)^('DCF Model'!C19+4)+('DCF Model'!G39+'DCF Model'!G42)*H$17/(1+$B20)^('DCF Model'!C19+4)-'DCF Model'!C16)*1000000/'DCF Model'!C15,0),"")</f>
        <v>2027</v>
      </c>
      <c r="I20" s="37">
        <f>IFERROR(ROUND(('DCF Model'!C45/(1+$B20)^('DCF Model'!C19+0)+'DCF Model'!D45/(1+$B20)^('DCF Model'!C19+1)+'DCF Model'!E45/(1+$B20)^('DCF Model'!C19+2)+'DCF Model'!F45/(1+$B20)^('DCF Model'!C19+3)+'DCF Model'!G45/(1+$B20)^('DCF Model'!C19+4)+('DCF Model'!G39+'DCF Model'!G42)*I$17/(1+$B20)^('DCF Model'!C19+4)-'DCF Model'!C16)*1000000/'DCF Model'!C15,0),"")</f>
        <v>2413</v>
      </c>
    </row>
    <row r="21" spans="2:9" ht="13.5" customHeight="1" x14ac:dyDescent="0.25">
      <c r="B21" s="39">
        <f>$C$3</f>
        <v>6.0237334593572778E-2</v>
      </c>
      <c r="C21" s="37">
        <f>IFERROR(ROUND(('DCF Model'!C45/(1+$B21)^('DCF Model'!C19+0)+'DCF Model'!D45/(1+$B21)^('DCF Model'!C19+1)+'DCF Model'!E45/(1+$B21)^('DCF Model'!C19+2)+'DCF Model'!F45/(1+$B21)^('DCF Model'!C19+3)+'DCF Model'!G45/(1+$B21)^('DCF Model'!C19+4)+('DCF Model'!G39+'DCF Model'!G42)*C$17/(1+$B21)^('DCF Model'!C19+4)-'DCF Model'!C16)*1000000/'DCF Model'!C15,0),"")</f>
        <v>62</v>
      </c>
      <c r="D21" s="37">
        <f>IFERROR(ROUND(('DCF Model'!C45/(1+$B21)^('DCF Model'!C19+0)+'DCF Model'!D45/(1+$B21)^('DCF Model'!C19+1)+'DCF Model'!E45/(1+$B21)^('DCF Model'!C19+2)+'DCF Model'!F45/(1+$B21)^('DCF Model'!C19+3)+'DCF Model'!G45/(1+$B21)^('DCF Model'!C19+4)+('DCF Model'!G39+'DCF Model'!G42)*D$17/(1+$B21)^('DCF Model'!C19+4)-'DCF Model'!C16)*1000000/'DCF Model'!C15,0),"")</f>
        <v>439</v>
      </c>
      <c r="E21" s="37">
        <f>IFERROR(ROUND(('DCF Model'!C45/(1+$B21)^('DCF Model'!C19+0)+'DCF Model'!D45/(1+$B21)^('DCF Model'!C19+1)+'DCF Model'!E45/(1+$B21)^('DCF Model'!C19+2)+'DCF Model'!F45/(1+$B21)^('DCF Model'!C19+3)+'DCF Model'!G45/(1+$B21)^('DCF Model'!C19+4)+('DCF Model'!G39+'DCF Model'!G42)*E$17/(1+$B21)^('DCF Model'!C19+4)-'DCF Model'!C16)*1000000/'DCF Model'!C15,0),"")</f>
        <v>816</v>
      </c>
      <c r="F21" s="37">
        <f>IFERROR(ROUND(('DCF Model'!C45/(1+$B21)^('DCF Model'!C19+0)+'DCF Model'!D45/(1+$B21)^('DCF Model'!C19+1)+'DCF Model'!E45/(1+$B21)^('DCF Model'!C19+2)+'DCF Model'!F45/(1+$B21)^('DCF Model'!C19+3)+'DCF Model'!G45/(1+$B21)^('DCF Model'!C19+4)+('DCF Model'!G39+'DCF Model'!G42)*F$17/(1+$B21)^('DCF Model'!C19+4)-'DCF Model'!C16)*1000000/'DCF Model'!C15,0),"")</f>
        <v>1192</v>
      </c>
      <c r="G21" s="37">
        <f>IFERROR(ROUND(('DCF Model'!C45/(1+$B21)^('DCF Model'!C19+0)+'DCF Model'!D45/(1+$B21)^('DCF Model'!C19+1)+'DCF Model'!E45/(1+$B21)^('DCF Model'!C19+2)+'DCF Model'!F45/(1+$B21)^('DCF Model'!C19+3)+'DCF Model'!G45/(1+$B21)^('DCF Model'!C19+4)+('DCF Model'!G39+'DCF Model'!G42)*G$17/(1+$B21)^('DCF Model'!C19+4)-'DCF Model'!C16)*1000000/'DCF Model'!C15,0),"")</f>
        <v>1569</v>
      </c>
      <c r="H21" s="37">
        <f>IFERROR(ROUND(('DCF Model'!C45/(1+$B21)^('DCF Model'!C19+0)+'DCF Model'!D45/(1+$B21)^('DCF Model'!C19+1)+'DCF Model'!E45/(1+$B21)^('DCF Model'!C19+2)+'DCF Model'!F45/(1+$B21)^('DCF Model'!C19+3)+'DCF Model'!G45/(1+$B21)^('DCF Model'!C19+4)+('DCF Model'!G39+'DCF Model'!G42)*H$17/(1+$B21)^('DCF Model'!C19+4)-'DCF Model'!C16)*1000000/'DCF Model'!C15,0),"")</f>
        <v>1946</v>
      </c>
      <c r="I21" s="37">
        <f>IFERROR(ROUND(('DCF Model'!C45/(1+$B21)^('DCF Model'!C19+0)+'DCF Model'!D45/(1+$B21)^('DCF Model'!C19+1)+'DCF Model'!E45/(1+$B21)^('DCF Model'!C19+2)+'DCF Model'!F45/(1+$B21)^('DCF Model'!C19+3)+'DCF Model'!G45/(1+$B21)^('DCF Model'!C19+4)+('DCF Model'!G39+'DCF Model'!G42)*I$17/(1+$B21)^('DCF Model'!C19+4)-'DCF Model'!C16)*1000000/'DCF Model'!C15,0),"")</f>
        <v>2322</v>
      </c>
    </row>
    <row r="22" spans="2:9" ht="13.5" customHeight="1" x14ac:dyDescent="0.25">
      <c r="B22" s="39">
        <f>$C$3+0.005</f>
        <v>6.5237334593572782E-2</v>
      </c>
      <c r="C22" s="37">
        <f>IFERROR(ROUND(('DCF Model'!C45/(1+$B22)^('DCF Model'!C19+0)+'DCF Model'!D45/(1+$B22)^('DCF Model'!C19+1)+'DCF Model'!E45/(1+$B22)^('DCF Model'!C19+2)+'DCF Model'!F45/(1+$B22)^('DCF Model'!C19+3)+'DCF Model'!G45/(1+$B22)^('DCF Model'!C19+4)+('DCF Model'!G39+'DCF Model'!G42)*C$17/(1+$B22)^('DCF Model'!C19+4)-'DCF Model'!C16)*1000000/'DCF Model'!C15,0),"")</f>
        <v>27</v>
      </c>
      <c r="D22" s="37">
        <f>IFERROR(ROUND(('DCF Model'!C45/(1+$B22)^('DCF Model'!C19+0)+'DCF Model'!D45/(1+$B22)^('DCF Model'!C19+1)+'DCF Model'!E45/(1+$B22)^('DCF Model'!C19+2)+'DCF Model'!F45/(1+$B22)^('DCF Model'!C19+3)+'DCF Model'!G45/(1+$B22)^('DCF Model'!C19+4)+('DCF Model'!G39+'DCF Model'!G42)*D$17/(1+$B22)^('DCF Model'!C19+4)-'DCF Model'!C16)*1000000/'DCF Model'!C15,0),"")</f>
        <v>395</v>
      </c>
      <c r="E22" s="37">
        <f>IFERROR(ROUND(('DCF Model'!C45/(1+$B22)^('DCF Model'!C19+0)+'DCF Model'!D45/(1+$B22)^('DCF Model'!C19+1)+'DCF Model'!E45/(1+$B22)^('DCF Model'!C19+2)+'DCF Model'!F45/(1+$B22)^('DCF Model'!C19+3)+'DCF Model'!G45/(1+$B22)^('DCF Model'!C19+4)+('DCF Model'!G39+'DCF Model'!G42)*E$17/(1+$B22)^('DCF Model'!C19+4)-'DCF Model'!C16)*1000000/'DCF Model'!C15,0),"")</f>
        <v>763</v>
      </c>
      <c r="F22" s="37">
        <f>IFERROR(ROUND(('DCF Model'!C45/(1+$B22)^('DCF Model'!C19+0)+'DCF Model'!D45/(1+$B22)^('DCF Model'!C19+1)+'DCF Model'!E45/(1+$B22)^('DCF Model'!C19+2)+'DCF Model'!F45/(1+$B22)^('DCF Model'!C19+3)+'DCF Model'!G45/(1+$B22)^('DCF Model'!C19+4)+('DCF Model'!G39+'DCF Model'!G42)*F$17/(1+$B22)^('DCF Model'!C19+4)-'DCF Model'!C16)*1000000/'DCF Model'!C15,0),"")</f>
        <v>1131</v>
      </c>
      <c r="G22" s="37">
        <f>IFERROR(ROUND(('DCF Model'!C45/(1+$B22)^('DCF Model'!C19+0)+'DCF Model'!D45/(1+$B22)^('DCF Model'!C19+1)+'DCF Model'!E45/(1+$B22)^('DCF Model'!C19+2)+'DCF Model'!F45/(1+$B22)^('DCF Model'!C19+3)+'DCF Model'!G45/(1+$B22)^('DCF Model'!C19+4)+('DCF Model'!G39+'DCF Model'!G42)*G$17/(1+$B22)^('DCF Model'!C19+4)-'DCF Model'!C16)*1000000/'DCF Model'!C15,0),"")</f>
        <v>1499</v>
      </c>
      <c r="H22" s="37">
        <f>IFERROR(ROUND(('DCF Model'!C45/(1+$B22)^('DCF Model'!C19+0)+'DCF Model'!D45/(1+$B22)^('DCF Model'!C19+1)+'DCF Model'!E45/(1+$B22)^('DCF Model'!C19+2)+'DCF Model'!F45/(1+$B22)^('DCF Model'!C19+3)+'DCF Model'!G45/(1+$B22)^('DCF Model'!C19+4)+('DCF Model'!G39+'DCF Model'!G42)*H$17/(1+$B22)^('DCF Model'!C19+4)-'DCF Model'!C16)*1000000/'DCF Model'!C15,0),"")</f>
        <v>1867</v>
      </c>
      <c r="I22" s="37">
        <f>IFERROR(ROUND(('DCF Model'!C45/(1+$B22)^('DCF Model'!C19+0)+'DCF Model'!D45/(1+$B22)^('DCF Model'!C19+1)+'DCF Model'!E45/(1+$B22)^('DCF Model'!C19+2)+'DCF Model'!F45/(1+$B22)^('DCF Model'!C19+3)+'DCF Model'!G45/(1+$B22)^('DCF Model'!C19+4)+('DCF Model'!G39+'DCF Model'!G42)*I$17/(1+$B22)^('DCF Model'!C19+4)-'DCF Model'!C16)*1000000/'DCF Model'!C15,0),"")</f>
        <v>2235</v>
      </c>
    </row>
    <row r="23" spans="2:9" ht="13.5" customHeight="1" x14ac:dyDescent="0.25">
      <c r="B23" s="39">
        <f>$C$3+0.01</f>
        <v>7.0237334593572773E-2</v>
      </c>
      <c r="C23" s="37">
        <f>IFERROR(ROUND(('DCF Model'!C45/(1+$B23)^('DCF Model'!C19+0)+'DCF Model'!D45/(1+$B23)^('DCF Model'!C19+1)+'DCF Model'!E45/(1+$B23)^('DCF Model'!C19+2)+'DCF Model'!F45/(1+$B23)^('DCF Model'!C19+3)+'DCF Model'!G45/(1+$B23)^('DCF Model'!C19+4)+('DCF Model'!G39+'DCF Model'!G42)*C$17/(1+$B23)^('DCF Model'!C19+4)-'DCF Model'!C16)*1000000/'DCF Model'!C15,0),"")</f>
        <v>-7</v>
      </c>
      <c r="D23" s="37">
        <f>IFERROR(ROUND(('DCF Model'!C45/(1+$B23)^('DCF Model'!C19+0)+'DCF Model'!D45/(1+$B23)^('DCF Model'!C19+1)+'DCF Model'!E45/(1+$B23)^('DCF Model'!C19+2)+'DCF Model'!F45/(1+$B23)^('DCF Model'!C19+3)+'DCF Model'!G45/(1+$B23)^('DCF Model'!C19+4)+('DCF Model'!G39+'DCF Model'!G42)*D$17/(1+$B23)^('DCF Model'!C19+4)-'DCF Model'!C16)*1000000/'DCF Model'!C15,0),"")</f>
        <v>352</v>
      </c>
      <c r="E23" s="37">
        <f>IFERROR(ROUND(('DCF Model'!C45/(1+$B23)^('DCF Model'!C19+0)+'DCF Model'!D45/(1+$B23)^('DCF Model'!C19+1)+'DCF Model'!E45/(1+$B23)^('DCF Model'!C19+2)+'DCF Model'!F45/(1+$B23)^('DCF Model'!C19+3)+'DCF Model'!G45/(1+$B23)^('DCF Model'!C19+4)+('DCF Model'!G39+'DCF Model'!G42)*E$17/(1+$B23)^('DCF Model'!C19+4)-'DCF Model'!C16)*1000000/'DCF Model'!C15,0),"")</f>
        <v>712</v>
      </c>
      <c r="F23" s="37">
        <f>IFERROR(ROUND(('DCF Model'!C45/(1+$B23)^('DCF Model'!C19+0)+'DCF Model'!D45/(1+$B23)^('DCF Model'!C19+1)+'DCF Model'!E45/(1+$B23)^('DCF Model'!C19+2)+'DCF Model'!F45/(1+$B23)^('DCF Model'!C19+3)+'DCF Model'!G45/(1+$B23)^('DCF Model'!C19+4)+('DCF Model'!G39+'DCF Model'!G42)*F$17/(1+$B23)^('DCF Model'!C19+4)-'DCF Model'!C16)*1000000/'DCF Model'!C15,0),"")</f>
        <v>1071</v>
      </c>
      <c r="G23" s="37">
        <f>IFERROR(ROUND(('DCF Model'!C45/(1+$B23)^('DCF Model'!C19+0)+'DCF Model'!D45/(1+$B23)^('DCF Model'!C19+1)+'DCF Model'!E45/(1+$B23)^('DCF Model'!C19+2)+'DCF Model'!F45/(1+$B23)^('DCF Model'!C19+3)+'DCF Model'!G45/(1+$B23)^('DCF Model'!C19+4)+('DCF Model'!G39+'DCF Model'!G42)*G$17/(1+$B23)^('DCF Model'!C19+4)-'DCF Model'!C16)*1000000/'DCF Model'!C15,0),"")</f>
        <v>1430</v>
      </c>
      <c r="H23" s="37">
        <f>IFERROR(ROUND(('DCF Model'!C45/(1+$B23)^('DCF Model'!C19+0)+'DCF Model'!D45/(1+$B23)^('DCF Model'!C19+1)+'DCF Model'!E45/(1+$B23)^('DCF Model'!C19+2)+'DCF Model'!F45/(1+$B23)^('DCF Model'!C19+3)+'DCF Model'!G45/(1+$B23)^('DCF Model'!C19+4)+('DCF Model'!G39+'DCF Model'!G42)*H$17/(1+$B23)^('DCF Model'!C19+4)-'DCF Model'!C16)*1000000/'DCF Model'!C15,0),"")</f>
        <v>1790</v>
      </c>
      <c r="I23" s="37">
        <f>IFERROR(ROUND(('DCF Model'!C45/(1+$B23)^('DCF Model'!C19+0)+'DCF Model'!D45/(1+$B23)^('DCF Model'!C19+1)+'DCF Model'!E45/(1+$B23)^('DCF Model'!C19+2)+'DCF Model'!F45/(1+$B23)^('DCF Model'!C19+3)+'DCF Model'!G45/(1+$B23)^('DCF Model'!C19+4)+('DCF Model'!G39+'DCF Model'!G42)*I$17/(1+$B23)^('DCF Model'!C19+4)-'DCF Model'!C16)*1000000/'DCF Model'!C15,0),"")</f>
        <v>2149</v>
      </c>
    </row>
    <row r="24" spans="2:9" ht="13.5" customHeight="1" x14ac:dyDescent="0.25">
      <c r="B24" s="39">
        <f>$C$3+0.015</f>
        <v>7.5237334593572777E-2</v>
      </c>
      <c r="C24" s="37">
        <f>IFERROR(ROUND(('DCF Model'!C45/(1+$B24)^('DCF Model'!C19+0)+'DCF Model'!D45/(1+$B24)^('DCF Model'!C19+1)+'DCF Model'!E45/(1+$B24)^('DCF Model'!C19+2)+'DCF Model'!F45/(1+$B24)^('DCF Model'!C19+3)+'DCF Model'!G45/(1+$B24)^('DCF Model'!C19+4)+('DCF Model'!G39+'DCF Model'!G42)*C$17/(1+$B24)^('DCF Model'!C19+4)-'DCF Model'!C16)*1000000/'DCF Model'!C15,0),"")</f>
        <v>-41</v>
      </c>
      <c r="D24" s="37">
        <f>IFERROR(ROUND(('DCF Model'!C45/(1+$B24)^('DCF Model'!C19+0)+'DCF Model'!D45/(1+$B24)^('DCF Model'!C19+1)+'DCF Model'!E45/(1+$B24)^('DCF Model'!C19+2)+'DCF Model'!F45/(1+$B24)^('DCF Model'!C19+3)+'DCF Model'!G45/(1+$B24)^('DCF Model'!C19+4)+('DCF Model'!G39+'DCF Model'!G42)*D$17/(1+$B24)^('DCF Model'!C19+4)-'DCF Model'!C16)*1000000/'DCF Model'!C15,0),"")</f>
        <v>311</v>
      </c>
      <c r="E24" s="37">
        <f>IFERROR(ROUND(('DCF Model'!C45/(1+$B24)^('DCF Model'!C19+0)+'DCF Model'!D45/(1+$B24)^('DCF Model'!C19+1)+'DCF Model'!E45/(1+$B24)^('DCF Model'!C19+2)+'DCF Model'!F45/(1+$B24)^('DCF Model'!C19+3)+'DCF Model'!G45/(1+$B24)^('DCF Model'!C19+4)+('DCF Model'!G39+'DCF Model'!G42)*E$17/(1+$B24)^('DCF Model'!C19+4)-'DCF Model'!C16)*1000000/'DCF Model'!C15,0),"")</f>
        <v>662</v>
      </c>
      <c r="F24" s="37">
        <f>IFERROR(ROUND(('DCF Model'!C45/(1+$B24)^('DCF Model'!C19+0)+'DCF Model'!D45/(1+$B24)^('DCF Model'!C19+1)+'DCF Model'!E45/(1+$B24)^('DCF Model'!C19+2)+'DCF Model'!F45/(1+$B24)^('DCF Model'!C19+3)+'DCF Model'!G45/(1+$B24)^('DCF Model'!C19+4)+('DCF Model'!G39+'DCF Model'!G42)*F$17/(1+$B24)^('DCF Model'!C19+4)-'DCF Model'!C16)*1000000/'DCF Model'!C15,0),"")</f>
        <v>1013</v>
      </c>
      <c r="G24" s="37">
        <f>IFERROR(ROUND(('DCF Model'!C45/(1+$B24)^('DCF Model'!C19+0)+'DCF Model'!D45/(1+$B24)^('DCF Model'!C19+1)+'DCF Model'!E45/(1+$B24)^('DCF Model'!C19+2)+'DCF Model'!F45/(1+$B24)^('DCF Model'!C19+3)+'DCF Model'!G45/(1+$B24)^('DCF Model'!C19+4)+('DCF Model'!G39+'DCF Model'!G42)*G$17/(1+$B24)^('DCF Model'!C19+4)-'DCF Model'!C16)*1000000/'DCF Model'!C15,0),"")</f>
        <v>1364</v>
      </c>
      <c r="H24" s="37">
        <f>IFERROR(ROUND(('DCF Model'!C45/(1+$B24)^('DCF Model'!C19+0)+'DCF Model'!D45/(1+$B24)^('DCF Model'!C19+1)+'DCF Model'!E45/(1+$B24)^('DCF Model'!C19+2)+'DCF Model'!F45/(1+$B24)^('DCF Model'!C19+3)+'DCF Model'!G45/(1+$B24)^('DCF Model'!C19+4)+('DCF Model'!G39+'DCF Model'!G42)*H$17/(1+$B24)^('DCF Model'!C19+4)-'DCF Model'!C16)*1000000/'DCF Model'!C15,0),"")</f>
        <v>1715</v>
      </c>
      <c r="I24" s="37">
        <f>IFERROR(ROUND(('DCF Model'!C45/(1+$B24)^('DCF Model'!C19+0)+'DCF Model'!D45/(1+$B24)^('DCF Model'!C19+1)+'DCF Model'!E45/(1+$B24)^('DCF Model'!C19+2)+'DCF Model'!F45/(1+$B24)^('DCF Model'!C19+3)+'DCF Model'!G45/(1+$B24)^('DCF Model'!C19+4)+('DCF Model'!G39+'DCF Model'!G42)*I$17/(1+$B24)^('DCF Model'!C19+4)-'DCF Model'!C16)*1000000/'DCF Model'!C15,0),"")</f>
        <v>2066</v>
      </c>
    </row>
    <row r="26" spans="2:9" ht="14" customHeight="1"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3" t="s">
        <v>247</v>
      </c>
      <c r="C6" s="4" t="s">
        <v>252</v>
      </c>
      <c r="D6" s="43" t="s">
        <v>253</v>
      </c>
      <c r="E6" s="43" t="s">
        <v>254</v>
      </c>
      <c r="F6" s="43" t="s">
        <v>255</v>
      </c>
      <c r="G6" s="43" t="s">
        <v>256</v>
      </c>
    </row>
    <row r="7" spans="2:7" ht="30" customHeight="1" x14ac:dyDescent="0.3">
      <c r="B7" s="43" t="s">
        <v>247</v>
      </c>
      <c r="C7" s="4" t="s">
        <v>257</v>
      </c>
      <c r="D7" s="43" t="s">
        <v>258</v>
      </c>
      <c r="E7" s="43" t="s">
        <v>259</v>
      </c>
      <c r="F7" s="43" t="s">
        <v>260</v>
      </c>
      <c r="G7" s="43" t="s">
        <v>261</v>
      </c>
    </row>
    <row r="8" spans="2:7" ht="30" customHeight="1" x14ac:dyDescent="0.3">
      <c r="B8" s="43" t="s">
        <v>247</v>
      </c>
      <c r="C8" s="4" t="s">
        <v>262</v>
      </c>
      <c r="D8" s="43" t="s">
        <v>263</v>
      </c>
      <c r="E8" s="43" t="s">
        <v>264</v>
      </c>
      <c r="F8" s="43" t="s">
        <v>265</v>
      </c>
      <c r="G8" s="43" t="s">
        <v>261</v>
      </c>
    </row>
    <row r="9" spans="2:7" ht="30" customHeight="1" x14ac:dyDescent="0.3">
      <c r="B9" s="43" t="s">
        <v>247</v>
      </c>
      <c r="C9" s="4" t="s">
        <v>266</v>
      </c>
      <c r="D9" s="43" t="s">
        <v>267</v>
      </c>
      <c r="E9" s="43" t="s">
        <v>268</v>
      </c>
      <c r="F9" s="43" t="s">
        <v>269</v>
      </c>
      <c r="G9" s="43" t="s">
        <v>256</v>
      </c>
    </row>
    <row r="10" spans="2:7" ht="30" customHeight="1" x14ac:dyDescent="0.3">
      <c r="B10" s="43" t="s">
        <v>247</v>
      </c>
      <c r="C10" s="4" t="s">
        <v>270</v>
      </c>
      <c r="D10" s="43" t="s">
        <v>271</v>
      </c>
      <c r="E10" s="43" t="s">
        <v>272</v>
      </c>
      <c r="F10" s="43" t="s">
        <v>273</v>
      </c>
      <c r="G10" s="43" t="s">
        <v>274</v>
      </c>
    </row>
    <row r="11" spans="2:7" ht="30" customHeight="1" x14ac:dyDescent="0.3">
      <c r="B11" s="43" t="s">
        <v>247</v>
      </c>
      <c r="C11" s="4" t="s">
        <v>275</v>
      </c>
      <c r="D11" s="43" t="s">
        <v>276</v>
      </c>
      <c r="E11" s="43" t="s">
        <v>277</v>
      </c>
      <c r="F11" s="43" t="s">
        <v>278</v>
      </c>
      <c r="G11" s="43" t="s">
        <v>279</v>
      </c>
    </row>
    <row r="12" spans="2:7" ht="30" customHeight="1" x14ac:dyDescent="0.3">
      <c r="B12" s="43" t="s">
        <v>247</v>
      </c>
      <c r="C12" s="4" t="s">
        <v>280</v>
      </c>
      <c r="D12" s="43" t="s">
        <v>281</v>
      </c>
      <c r="E12" s="43" t="s">
        <v>282</v>
      </c>
      <c r="F12" s="43" t="s">
        <v>283</v>
      </c>
      <c r="G12" s="43" t="s">
        <v>261</v>
      </c>
    </row>
    <row r="13" spans="2:7" ht="30" customHeight="1" x14ac:dyDescent="0.3">
      <c r="B13" s="43" t="s">
        <v>247</v>
      </c>
      <c r="C13" s="4" t="s">
        <v>284</v>
      </c>
      <c r="D13" s="43" t="s">
        <v>285</v>
      </c>
      <c r="E13" s="43" t="s">
        <v>286</v>
      </c>
      <c r="F13" s="43" t="s">
        <v>287</v>
      </c>
      <c r="G13" s="43" t="s">
        <v>261</v>
      </c>
    </row>
    <row r="14" spans="2:7" ht="30" customHeight="1" x14ac:dyDescent="0.3">
      <c r="B14" s="43" t="s">
        <v>247</v>
      </c>
      <c r="C14" s="4" t="s">
        <v>288</v>
      </c>
      <c r="D14" s="43" t="s">
        <v>289</v>
      </c>
      <c r="E14" s="43" t="s">
        <v>290</v>
      </c>
      <c r="F14" s="43" t="s">
        <v>248</v>
      </c>
      <c r="G14" s="43" t="s">
        <v>261</v>
      </c>
    </row>
    <row r="15" spans="2:7" ht="30" customHeight="1" x14ac:dyDescent="0.3">
      <c r="B15" s="43" t="s">
        <v>247</v>
      </c>
      <c r="C15" s="4" t="s">
        <v>291</v>
      </c>
      <c r="D15" s="43" t="s">
        <v>292</v>
      </c>
      <c r="E15" s="43" t="s">
        <v>293</v>
      </c>
      <c r="F15" s="43" t="s">
        <v>294</v>
      </c>
      <c r="G15" s="43" t="s">
        <v>261</v>
      </c>
    </row>
    <row r="16" spans="2:7" ht="30" customHeight="1" x14ac:dyDescent="0.3">
      <c r="B16" s="43" t="s">
        <v>247</v>
      </c>
      <c r="C16" s="4" t="s">
        <v>295</v>
      </c>
      <c r="D16" s="43" t="s">
        <v>296</v>
      </c>
      <c r="E16" s="43" t="s">
        <v>297</v>
      </c>
      <c r="F16" s="43" t="s">
        <v>265</v>
      </c>
      <c r="G16" s="43" t="s">
        <v>261</v>
      </c>
    </row>
    <row r="17" spans="2:7" ht="30" customHeight="1" x14ac:dyDescent="0.3">
      <c r="B17" s="43" t="s">
        <v>247</v>
      </c>
      <c r="C17" s="4" t="s">
        <v>298</v>
      </c>
      <c r="D17" s="43" t="s">
        <v>299</v>
      </c>
      <c r="E17" s="43" t="s">
        <v>300</v>
      </c>
      <c r="F17" s="43" t="s">
        <v>301</v>
      </c>
      <c r="G17" s="43" t="s">
        <v>261</v>
      </c>
    </row>
    <row r="18" spans="2:7" ht="30" customHeight="1" x14ac:dyDescent="0.3">
      <c r="B18" s="43" t="s">
        <v>247</v>
      </c>
      <c r="C18" s="4" t="s">
        <v>302</v>
      </c>
      <c r="D18" s="43" t="s">
        <v>303</v>
      </c>
      <c r="E18" s="43" t="s">
        <v>304</v>
      </c>
      <c r="F18" s="43" t="s">
        <v>248</v>
      </c>
      <c r="G18" s="43" t="s">
        <v>305</v>
      </c>
    </row>
    <row r="19" spans="2:7" ht="30" customHeight="1" x14ac:dyDescent="0.3">
      <c r="B19" s="43" t="s">
        <v>247</v>
      </c>
      <c r="C19" s="4" t="s">
        <v>306</v>
      </c>
      <c r="D19" s="43" t="s">
        <v>307</v>
      </c>
      <c r="E19" s="43" t="s">
        <v>308</v>
      </c>
      <c r="F19" s="43" t="s">
        <v>265</v>
      </c>
      <c r="G19" s="43" t="s">
        <v>261</v>
      </c>
    </row>
    <row r="20" spans="2:7" ht="30" customHeight="1" x14ac:dyDescent="0.3">
      <c r="B20" s="43" t="s">
        <v>247</v>
      </c>
      <c r="C20" s="4" t="s">
        <v>309</v>
      </c>
      <c r="D20" s="43" t="s">
        <v>310</v>
      </c>
      <c r="E20" s="43" t="s">
        <v>311</v>
      </c>
      <c r="F20" s="43" t="s">
        <v>248</v>
      </c>
      <c r="G20" s="43" t="s">
        <v>261</v>
      </c>
    </row>
    <row r="21" spans="2:7" ht="30" customHeight="1" x14ac:dyDescent="0.3">
      <c r="B21" s="43" t="s">
        <v>247</v>
      </c>
      <c r="C21" s="4" t="s">
        <v>312</v>
      </c>
      <c r="D21" s="43" t="s">
        <v>313</v>
      </c>
      <c r="E21" s="43" t="s">
        <v>314</v>
      </c>
      <c r="F21" s="43" t="s">
        <v>248</v>
      </c>
      <c r="G21" s="43" t="s">
        <v>256</v>
      </c>
    </row>
    <row r="22" spans="2:7" ht="30" customHeight="1" x14ac:dyDescent="0.3">
      <c r="B22" s="43" t="s">
        <v>247</v>
      </c>
      <c r="C22" s="4" t="s">
        <v>315</v>
      </c>
      <c r="D22" s="43" t="s">
        <v>316</v>
      </c>
      <c r="E22" s="43" t="s">
        <v>317</v>
      </c>
      <c r="F22" s="43" t="s">
        <v>248</v>
      </c>
      <c r="G22" s="43" t="s">
        <v>261</v>
      </c>
    </row>
    <row r="23" spans="2:7" ht="30" customHeight="1" x14ac:dyDescent="0.3">
      <c r="B23" s="43" t="s">
        <v>247</v>
      </c>
      <c r="C23" s="4" t="s">
        <v>318</v>
      </c>
      <c r="D23" s="43" t="s">
        <v>319</v>
      </c>
      <c r="E23" s="43" t="s">
        <v>320</v>
      </c>
      <c r="F23" s="43" t="s">
        <v>248</v>
      </c>
      <c r="G23" s="43" t="s">
        <v>321</v>
      </c>
    </row>
    <row r="24" spans="2:7" ht="30" customHeight="1" x14ac:dyDescent="0.3">
      <c r="B24" s="43" t="s">
        <v>247</v>
      </c>
      <c r="C24" s="4" t="s">
        <v>322</v>
      </c>
      <c r="D24" s="43" t="s">
        <v>323</v>
      </c>
      <c r="E24" s="43" t="s">
        <v>324</v>
      </c>
      <c r="F24" s="43" t="s">
        <v>248</v>
      </c>
      <c r="G24" s="43" t="s">
        <v>325</v>
      </c>
    </row>
    <row r="25" spans="2:7" ht="30" customHeight="1" x14ac:dyDescent="0.3">
      <c r="B25" s="43" t="s">
        <v>247</v>
      </c>
      <c r="C25" s="4" t="s">
        <v>322</v>
      </c>
      <c r="D25" s="43" t="s">
        <v>326</v>
      </c>
      <c r="E25" s="43" t="s">
        <v>327</v>
      </c>
      <c r="F25" s="43" t="s">
        <v>248</v>
      </c>
      <c r="G25" s="43" t="s">
        <v>325</v>
      </c>
    </row>
    <row r="26" spans="2:7" ht="30" customHeight="1" x14ac:dyDescent="0.3">
      <c r="B26" s="43" t="s">
        <v>247</v>
      </c>
      <c r="C26" s="4" t="s">
        <v>322</v>
      </c>
      <c r="D26" s="43" t="s">
        <v>328</v>
      </c>
      <c r="E26" s="43" t="s">
        <v>329</v>
      </c>
      <c r="F26" s="43" t="s">
        <v>248</v>
      </c>
      <c r="G26" s="43" t="s">
        <v>325</v>
      </c>
    </row>
    <row r="27" spans="2:7" ht="14" customHeight="1" x14ac:dyDescent="0.2"/>
    <row r="28" spans="2:7" ht="14" customHeight="1" x14ac:dyDescent="0.3">
      <c r="B28" s="8" t="s">
        <v>330</v>
      </c>
    </row>
    <row r="29" spans="2:7" ht="14" customHeight="1" x14ac:dyDescent="0.3">
      <c r="B29" s="10" t="s">
        <v>331</v>
      </c>
      <c r="C29" s="10" t="s">
        <v>332</v>
      </c>
    </row>
    <row r="30" spans="2:7" ht="14" customHeight="1" x14ac:dyDescent="0.3">
      <c r="B30" s="4" t="s">
        <v>333</v>
      </c>
      <c r="C3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42</v>
      </c>
    </row>
    <row r="34" spans="2:3" ht="14" customHeight="1" x14ac:dyDescent="0.3">
      <c r="B34" s="4" t="s">
        <v>340</v>
      </c>
      <c r="C34" t="s">
        <v>4</v>
      </c>
    </row>
    <row r="35" spans="2:3" ht="14" customHeight="1" x14ac:dyDescent="0.3">
      <c r="B35" s="4" t="s">
        <v>341</v>
      </c>
      <c r="C35" t="s">
        <v>247</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365</v>
      </c>
    </row>
    <row r="49" spans="2:3" ht="14" customHeight="1" x14ac:dyDescent="0.3">
      <c r="B49" s="4" t="s">
        <v>366</v>
      </c>
      <c r="C49" t="s">
        <v>367</v>
      </c>
    </row>
    <row r="50" spans="2:3" ht="14" customHeight="1" x14ac:dyDescent="0.3">
      <c r="B50" s="4" t="s">
        <v>368</v>
      </c>
      <c r="C50" t="s">
        <v>369</v>
      </c>
    </row>
    <row r="51" spans="2:3" ht="14" x14ac:dyDescent="0.3">
      <c r="B51" s="4" t="s">
        <v>370</v>
      </c>
      <c r="C51" t="s">
        <v>336</v>
      </c>
    </row>
    <row r="52" spans="2:3" ht="14" x14ac:dyDescent="0.3">
      <c r="B52" s="4" t="s">
        <v>371</v>
      </c>
      <c r="C52" t="s">
        <v>372</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394</v>
      </c>
    </row>
    <row r="64" spans="2:3" ht="14" x14ac:dyDescent="0.3">
      <c r="B64" s="4" t="s">
        <v>395</v>
      </c>
      <c r="C64" t="s">
        <v>396</v>
      </c>
    </row>
    <row r="65" spans="2:3" ht="14" x14ac:dyDescent="0.3">
      <c r="B65" s="4" t="s">
        <v>397</v>
      </c>
      <c r="C65" t="s">
        <v>398</v>
      </c>
    </row>
    <row r="66" spans="2:3" ht="14" x14ac:dyDescent="0.3">
      <c r="B66" s="4" t="s">
        <v>399</v>
      </c>
      <c r="C66"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2026-09-05T13:51:06Z</dcterms:created>
  <dcterms:modified xsi:type="dcterms:W3CDTF">2026-09-05T13:51:42Z</dcterms:modified>
</cp:coreProperties>
</file>