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743997F0-E50E-441D-9C6F-E15A60914A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L7" i="6"/>
  <c r="K7" i="6"/>
  <c r="J7" i="6"/>
  <c r="O6" i="6"/>
  <c r="N6" i="6"/>
  <c r="M6" i="6"/>
  <c r="G15" i="6" s="1"/>
  <c r="L6" i="6"/>
  <c r="F15" i="6" s="1"/>
  <c r="K6" i="6"/>
  <c r="J6" i="6"/>
  <c r="O5" i="6"/>
  <c r="N5" i="6"/>
  <c r="D5" i="6"/>
  <c r="L5" i="6" s="1"/>
  <c r="C16" i="5"/>
  <c r="C14" i="5"/>
  <c r="C18" i="5" s="1"/>
  <c r="C7" i="5"/>
  <c r="C6" i="5"/>
  <c r="C5" i="5"/>
  <c r="C13" i="4"/>
  <c r="C12" i="4"/>
  <c r="C9" i="4"/>
  <c r="C7" i="4"/>
  <c r="C6" i="4"/>
  <c r="D27" i="3"/>
  <c r="E7" i="5" s="1"/>
  <c r="C25" i="3"/>
  <c r="C24" i="3"/>
  <c r="C23" i="3"/>
  <c r="C26" i="3" s="1"/>
  <c r="H28" i="2"/>
  <c r="G28" i="2"/>
  <c r="F28" i="2"/>
  <c r="E28" i="2"/>
  <c r="D28" i="2"/>
  <c r="C28" i="2"/>
  <c r="H23" i="2"/>
  <c r="G23" i="2"/>
  <c r="F23" i="2"/>
  <c r="E23" i="2"/>
  <c r="D23" i="2"/>
  <c r="C23" i="2"/>
  <c r="F22" i="2"/>
  <c r="H21" i="2"/>
  <c r="H22" i="2" s="1"/>
  <c r="G21" i="2"/>
  <c r="G22" i="2" s="1"/>
  <c r="F21" i="2"/>
  <c r="E21" i="2"/>
  <c r="E22" i="2" s="1"/>
  <c r="D21" i="2"/>
  <c r="D22" i="2" s="1"/>
  <c r="C21" i="2"/>
  <c r="C22" i="2" s="1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C14" i="2"/>
  <c r="H13" i="2"/>
  <c r="G13" i="2"/>
  <c r="F13" i="2"/>
  <c r="E13" i="2"/>
  <c r="D13" i="2"/>
  <c r="C13" i="2"/>
  <c r="C9" i="2"/>
  <c r="H8" i="2"/>
  <c r="H9" i="2" s="1"/>
  <c r="G8" i="2"/>
  <c r="G9" i="2" s="1"/>
  <c r="F8" i="2"/>
  <c r="F9" i="2" s="1"/>
  <c r="E8" i="2"/>
  <c r="E9" i="2" s="1"/>
  <c r="D8" i="2"/>
  <c r="D9" i="2" s="1"/>
  <c r="C8" i="2"/>
  <c r="H15" i="6" l="1"/>
  <c r="I16" i="6"/>
  <c r="D17" i="6"/>
  <c r="H16" i="6"/>
  <c r="E15" i="6"/>
  <c r="C3" i="7"/>
  <c r="G36" i="4"/>
  <c r="G46" i="3"/>
  <c r="H36" i="4"/>
  <c r="F36" i="4"/>
  <c r="F46" i="3"/>
  <c r="E46" i="3"/>
  <c r="C11" i="4"/>
  <c r="E36" i="4"/>
  <c r="D36" i="4"/>
  <c r="D46" i="3"/>
  <c r="C46" i="3"/>
  <c r="E31" i="3"/>
  <c r="D6" i="5"/>
  <c r="F7" i="5"/>
  <c r="M5" i="6"/>
  <c r="I15" i="6"/>
  <c r="E17" i="6"/>
  <c r="I6" i="7"/>
  <c r="C30" i="3"/>
  <c r="C33" i="3" s="1"/>
  <c r="F31" i="3"/>
  <c r="E6" i="5"/>
  <c r="G7" i="5"/>
  <c r="D16" i="6"/>
  <c r="F17" i="6"/>
  <c r="C17" i="7"/>
  <c r="D30" i="3"/>
  <c r="G31" i="3"/>
  <c r="C8" i="4"/>
  <c r="C10" i="4" s="1"/>
  <c r="D5" i="5"/>
  <c r="F6" i="5"/>
  <c r="H7" i="5"/>
  <c r="E16" i="6"/>
  <c r="G17" i="6"/>
  <c r="C6" i="7"/>
  <c r="D17" i="7"/>
  <c r="E5" i="5"/>
  <c r="G6" i="5"/>
  <c r="D15" i="6"/>
  <c r="F16" i="6"/>
  <c r="C28" i="6" s="1"/>
  <c r="C19" i="1" s="1"/>
  <c r="D19" i="1" s="1"/>
  <c r="H17" i="6"/>
  <c r="D6" i="7"/>
  <c r="E17" i="7"/>
  <c r="G30" i="3"/>
  <c r="E30" i="3"/>
  <c r="C32" i="3"/>
  <c r="F30" i="3"/>
  <c r="D32" i="3"/>
  <c r="F5" i="5"/>
  <c r="H6" i="5"/>
  <c r="E5" i="6"/>
  <c r="G16" i="6"/>
  <c r="I17" i="6"/>
  <c r="E6" i="7"/>
  <c r="F17" i="7"/>
  <c r="F6" i="7"/>
  <c r="G17" i="7"/>
  <c r="C31" i="3"/>
  <c r="F32" i="3"/>
  <c r="H5" i="5"/>
  <c r="D7" i="5"/>
  <c r="G6" i="7"/>
  <c r="H17" i="7"/>
  <c r="E32" i="3"/>
  <c r="G5" i="5"/>
  <c r="D31" i="3"/>
  <c r="G32" i="3"/>
  <c r="B13" i="7" l="1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D49" i="4"/>
  <c r="D54" i="4" s="1"/>
  <c r="C24" i="4"/>
  <c r="C25" i="4" s="1"/>
  <c r="C71" i="4"/>
  <c r="C70" i="4"/>
  <c r="F45" i="4"/>
  <c r="F39" i="4"/>
  <c r="F46" i="4"/>
  <c r="F40" i="4"/>
  <c r="F50" i="4" s="1"/>
  <c r="F55" i="4" s="1"/>
  <c r="F44" i="4"/>
  <c r="F43" i="4"/>
  <c r="F38" i="4"/>
  <c r="F48" i="4" s="1"/>
  <c r="F53" i="4" s="1"/>
  <c r="F41" i="4"/>
  <c r="J5" i="6"/>
  <c r="K5" i="6"/>
  <c r="E41" i="4"/>
  <c r="E45" i="4"/>
  <c r="E43" i="4"/>
  <c r="E46" i="4"/>
  <c r="E40" i="4"/>
  <c r="E39" i="4"/>
  <c r="E44" i="4"/>
  <c r="E38" i="4"/>
  <c r="E48" i="4" s="1"/>
  <c r="E53" i="4" s="1"/>
  <c r="C74" i="4"/>
  <c r="C27" i="6"/>
  <c r="C18" i="1" s="1"/>
  <c r="D18" i="1" s="1"/>
  <c r="C37" i="3"/>
  <c r="D9" i="5"/>
  <c r="D12" i="5" s="1"/>
  <c r="C43" i="3"/>
  <c r="C42" i="3"/>
  <c r="C34" i="3"/>
  <c r="D10" i="5" s="1"/>
  <c r="D33" i="3"/>
  <c r="H43" i="4"/>
  <c r="H40" i="4"/>
  <c r="H50" i="4" s="1"/>
  <c r="H55" i="4" s="1"/>
  <c r="H46" i="4"/>
  <c r="H44" i="4"/>
  <c r="H38" i="4"/>
  <c r="H41" i="4"/>
  <c r="H51" i="4" s="1"/>
  <c r="H56" i="4" s="1"/>
  <c r="H45" i="4"/>
  <c r="H39" i="4"/>
  <c r="H49" i="4" s="1"/>
  <c r="H54" i="4" s="1"/>
  <c r="D38" i="4"/>
  <c r="D48" i="4" s="1"/>
  <c r="D53" i="4" s="1"/>
  <c r="D45" i="4"/>
  <c r="D41" i="4"/>
  <c r="D39" i="4"/>
  <c r="D43" i="4"/>
  <c r="D46" i="4"/>
  <c r="D40" i="4"/>
  <c r="D44" i="4"/>
  <c r="G39" i="4"/>
  <c r="G43" i="4"/>
  <c r="G40" i="4"/>
  <c r="G44" i="4"/>
  <c r="G38" i="4"/>
  <c r="G46" i="4"/>
  <c r="G41" i="4"/>
  <c r="G51" i="4" s="1"/>
  <c r="G56" i="4" s="1"/>
  <c r="G45" i="4"/>
  <c r="D50" i="4" l="1"/>
  <c r="D55" i="4" s="1"/>
  <c r="F49" i="4"/>
  <c r="E49" i="4"/>
  <c r="E54" i="4" s="1"/>
  <c r="F51" i="4"/>
  <c r="F56" i="4" s="1"/>
  <c r="G48" i="4"/>
  <c r="G53" i="4" s="1"/>
  <c r="G49" i="4"/>
  <c r="G54" i="4" s="1"/>
  <c r="E50" i="4"/>
  <c r="E55" i="4" s="1"/>
  <c r="H48" i="4"/>
  <c r="H53" i="4" s="1"/>
  <c r="C35" i="3"/>
  <c r="G50" i="4"/>
  <c r="G55" i="4" s="1"/>
  <c r="D51" i="4"/>
  <c r="D56" i="4" s="1"/>
  <c r="E51" i="4"/>
  <c r="E56" i="4" s="1"/>
  <c r="C60" i="4"/>
  <c r="F54" i="4"/>
  <c r="B78" i="4"/>
  <c r="D42" i="3"/>
  <c r="D34" i="3"/>
  <c r="E10" i="5" s="1"/>
  <c r="E9" i="5"/>
  <c r="E12" i="5" s="1"/>
  <c r="D43" i="3"/>
  <c r="E33" i="3"/>
  <c r="D37" i="3"/>
  <c r="C36" i="3"/>
  <c r="C39" i="3"/>
  <c r="C38" i="3"/>
  <c r="D15" i="5"/>
  <c r="D16" i="5" s="1"/>
  <c r="D13" i="5"/>
  <c r="D14" i="5" s="1"/>
  <c r="D18" i="5" s="1"/>
  <c r="D19" i="5" s="1"/>
  <c r="C44" i="3" s="1"/>
  <c r="C27" i="4"/>
  <c r="C26" i="4"/>
  <c r="C29" i="4"/>
  <c r="E15" i="5" l="1"/>
  <c r="E16" i="5" s="1"/>
  <c r="E13" i="5"/>
  <c r="E14" i="5"/>
  <c r="E18" i="5" s="1"/>
  <c r="E19" i="5" s="1"/>
  <c r="D44" i="3" s="1"/>
  <c r="C40" i="3"/>
  <c r="C41" i="3" s="1"/>
  <c r="C45" i="3" s="1"/>
  <c r="E42" i="3"/>
  <c r="E34" i="3"/>
  <c r="F10" i="5" s="1"/>
  <c r="E37" i="3"/>
  <c r="E43" i="3"/>
  <c r="F33" i="3"/>
  <c r="F9" i="5"/>
  <c r="F12" i="5" s="1"/>
  <c r="D35" i="3"/>
  <c r="C66" i="4"/>
  <c r="D66" i="4" s="1"/>
  <c r="C65" i="4"/>
  <c r="D65" i="4" s="1"/>
  <c r="C64" i="4"/>
  <c r="D64" i="4" s="1"/>
  <c r="C67" i="4"/>
  <c r="D67" i="4" s="1"/>
  <c r="C63" i="4"/>
  <c r="D63" i="4" s="1"/>
  <c r="C47" i="3" l="1"/>
  <c r="F15" i="5"/>
  <c r="F16" i="5" s="1"/>
  <c r="F13" i="5"/>
  <c r="F14" i="5" s="1"/>
  <c r="F18" i="5" s="1"/>
  <c r="F19" i="5" s="1"/>
  <c r="E44" i="3" s="1"/>
  <c r="D39" i="3"/>
  <c r="D38" i="3"/>
  <c r="D36" i="3"/>
  <c r="E35" i="3"/>
  <c r="F37" i="3"/>
  <c r="F43" i="3"/>
  <c r="G9" i="5"/>
  <c r="G12" i="5" s="1"/>
  <c r="G33" i="3"/>
  <c r="F42" i="3"/>
  <c r="F34" i="3"/>
  <c r="G10" i="5" s="1"/>
  <c r="F35" i="3" l="1"/>
  <c r="F36" i="3" s="1"/>
  <c r="H9" i="5"/>
  <c r="H12" i="5" s="1"/>
  <c r="G43" i="3"/>
  <c r="G42" i="3"/>
  <c r="G34" i="3"/>
  <c r="H10" i="5" s="1"/>
  <c r="C16" i="4"/>
  <c r="C28" i="4" s="1"/>
  <c r="G37" i="3"/>
  <c r="D40" i="3"/>
  <c r="D41" i="3" s="1"/>
  <c r="D45" i="3" s="1"/>
  <c r="F38" i="3"/>
  <c r="E38" i="3"/>
  <c r="E36" i="3"/>
  <c r="E39" i="3"/>
  <c r="G13" i="5"/>
  <c r="G14" i="5" s="1"/>
  <c r="G18" i="5" s="1"/>
  <c r="G19" i="5" s="1"/>
  <c r="F44" i="3" s="1"/>
  <c r="G15" i="5"/>
  <c r="G16" i="5" s="1"/>
  <c r="F39" i="3" l="1"/>
  <c r="D47" i="3"/>
  <c r="F40" i="3"/>
  <c r="F41" i="3" s="1"/>
  <c r="F45" i="3" s="1"/>
  <c r="F47" i="3" s="1"/>
  <c r="H13" i="5"/>
  <c r="H14" i="5" s="1"/>
  <c r="H18" i="5" s="1"/>
  <c r="H19" i="5" s="1"/>
  <c r="G44" i="3" s="1"/>
  <c r="H15" i="5"/>
  <c r="H16" i="5" s="1"/>
  <c r="C72" i="4"/>
  <c r="C73" i="4"/>
  <c r="G35" i="3"/>
  <c r="E40" i="3"/>
  <c r="E41" i="3" s="1"/>
  <c r="E45" i="3" s="1"/>
  <c r="E47" i="3" l="1"/>
  <c r="G36" i="3"/>
  <c r="G38" i="3"/>
  <c r="G39" i="3"/>
  <c r="G40" i="3" l="1"/>
  <c r="G41" i="3" s="1"/>
  <c r="G45" i="3" s="1"/>
  <c r="C59" i="3"/>
  <c r="C60" i="3" s="1"/>
  <c r="C61" i="3" s="1"/>
  <c r="C51" i="3" l="1"/>
  <c r="C52" i="3" s="1"/>
  <c r="G47" i="3"/>
  <c r="C50" i="3" s="1"/>
  <c r="E21" i="7"/>
  <c r="C19" i="7"/>
  <c r="D22" i="7"/>
  <c r="H12" i="7"/>
  <c r="G22" i="7"/>
  <c r="F7" i="7"/>
  <c r="H11" i="7"/>
  <c r="D20" i="7"/>
  <c r="C23" i="7"/>
  <c r="E23" i="7"/>
  <c r="I23" i="7"/>
  <c r="D8" i="7"/>
  <c r="F19" i="7"/>
  <c r="D12" i="7"/>
  <c r="C18" i="7"/>
  <c r="C20" i="7"/>
  <c r="E19" i="7"/>
  <c r="E7" i="7"/>
  <c r="G13" i="7"/>
  <c r="D24" i="7"/>
  <c r="E11" i="7"/>
  <c r="D23" i="7"/>
  <c r="C12" i="7"/>
  <c r="I21" i="7"/>
  <c r="G23" i="7"/>
  <c r="H18" i="7"/>
  <c r="H19" i="7"/>
  <c r="G12" i="7"/>
  <c r="H24" i="7"/>
  <c r="I13" i="7"/>
  <c r="F9" i="7"/>
  <c r="H21" i="7"/>
  <c r="C24" i="7"/>
  <c r="G24" i="7"/>
  <c r="I24" i="7"/>
  <c r="G20" i="7"/>
  <c r="H10" i="7"/>
  <c r="D10" i="7"/>
  <c r="G10" i="7"/>
  <c r="F10" i="7"/>
  <c r="D21" i="7"/>
  <c r="C8" i="7"/>
  <c r="I22" i="7"/>
  <c r="C7" i="7"/>
  <c r="F13" i="7"/>
  <c r="E9" i="7"/>
  <c r="H9" i="7"/>
  <c r="I19" i="7"/>
  <c r="C10" i="7"/>
  <c r="F11" i="7"/>
  <c r="I12" i="7"/>
  <c r="G8" i="7"/>
  <c r="I8" i="7"/>
  <c r="I11" i="7"/>
  <c r="H8" i="7"/>
  <c r="C21" i="7"/>
  <c r="E10" i="7"/>
  <c r="D18" i="7"/>
  <c r="D11" i="7"/>
  <c r="D19" i="7"/>
  <c r="H20" i="7"/>
  <c r="H13" i="7"/>
  <c r="F20" i="7"/>
  <c r="E12" i="7"/>
  <c r="G19" i="7"/>
  <c r="H22" i="7"/>
  <c r="H23" i="7"/>
  <c r="F18" i="7"/>
  <c r="I18" i="7"/>
  <c r="G21" i="7"/>
  <c r="E18" i="7"/>
  <c r="G7" i="7"/>
  <c r="G11" i="7"/>
  <c r="I10" i="7"/>
  <c r="C9" i="7"/>
  <c r="D13" i="7"/>
  <c r="I20" i="7"/>
  <c r="D9" i="7"/>
  <c r="I7" i="7"/>
  <c r="C11" i="7"/>
  <c r="F22" i="7"/>
  <c r="E8" i="7"/>
  <c r="D7" i="7"/>
  <c r="I9" i="7"/>
  <c r="H7" i="7"/>
  <c r="C13" i="7"/>
  <c r="F24" i="7"/>
  <c r="G9" i="7"/>
  <c r="F12" i="7"/>
  <c r="F21" i="7"/>
  <c r="E22" i="7"/>
  <c r="F8" i="7"/>
  <c r="C22" i="7"/>
  <c r="E13" i="7"/>
  <c r="E20" i="7"/>
  <c r="E24" i="7"/>
  <c r="G18" i="7"/>
  <c r="F23" i="7"/>
  <c r="C53" i="3" l="1"/>
  <c r="C58" i="3"/>
  <c r="C62" i="3" s="1"/>
  <c r="C63" i="3" l="1"/>
  <c r="C64" i="3" s="1"/>
  <c r="C17" i="1" s="1"/>
  <c r="D17" i="1" s="1"/>
  <c r="C54" i="3"/>
  <c r="C55" i="3" s="1"/>
  <c r="C16" i="1" s="1"/>
  <c r="C17" i="4"/>
  <c r="C10" i="1" l="1"/>
  <c r="C12" i="1" s="1"/>
  <c r="C11" i="1" s="1"/>
  <c r="D16" i="1"/>
  <c r="C21" i="1"/>
  <c r="C19" i="4"/>
  <c r="C20" i="4" s="1"/>
  <c r="B79" i="4" s="1"/>
</calcChain>
</file>

<file path=xl/sharedStrings.xml><?xml version="1.0" encoding="utf-8"?>
<sst xmlns="http://schemas.openxmlformats.org/spreadsheetml/2006/main" count="435" uniqueCount="351">
  <si>
    <t>DISCLAIMER: This is a sample analysis for demonstration purposes only. It does not constitute investment advice.</t>
  </si>
  <si>
    <t>ANAホールディングス (9202.T)</t>
  </si>
  <si>
    <t>Equity Research Report</t>
  </si>
  <si>
    <t>Company</t>
  </si>
  <si>
    <t>ANAホールディングス</t>
  </si>
  <si>
    <t>Ticker</t>
  </si>
  <si>
    <t>9202.T (TSE Prime)</t>
  </si>
  <si>
    <t>Sector</t>
  </si>
  <si>
    <t>空運業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</si>
  <si>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</si>
  <si>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</si>
  <si>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</si>
  <si>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</si>
  <si>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</si>
  <si>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</si>
  <si>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</si>
  <si>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</si>
  <si>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</si>
  <si>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</si>
  <si>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</si>
  <si>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</si>
  <si>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</si>
  <si>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</si>
  <si>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</si>
  <si>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</si>
  <si>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</si>
  <si>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</si>
  <si>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</si>
  <si>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</si>
  <si>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</si>
  <si>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</si>
  <si>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ANAホールディングス - Historical Financials (JPY mn)</t>
  </si>
  <si>
    <t>FY2021</t>
  </si>
  <si>
    <t>FY2022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</si>
  <si>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</si>
  <si>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</si>
  <si>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</si>
  <si>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</si>
  <si>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</si>
  <si>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</si>
  <si>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</si>
  <si>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</si>
  <si>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</si>
  <si>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</si>
  <si>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</si>
  <si>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</si>
  <si>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</si>
  <si>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</si>
  <si>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</si>
  <si>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</si>
  <si>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</si>
  <si>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</si>
  <si>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</si>
  <si>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</si>
  <si>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</si>
  <si>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</si>
  <si>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</si>
  <si>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</si>
  <si>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</si>
  <si>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</si>
  <si>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</si>
  <si>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6/6, Cash 6/6, Debt 6/6 — blank cells are years with no year-key match in the source data (verify against 決算短信 or set hist_ocf / hist_cash / hist_debt in overrides).</t>
  </si>
  <si>
    <t>DCF Valuation Model - ANAホールディングス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</si>
  <si>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</si>
  <si>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</si>
  <si>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</si>
  <si>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</si>
  <si>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</si>
  <si>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</si>
  <si>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</si>
  <si>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</si>
  <si>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</si>
  <si>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</si>
  <si>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</si>
  <si>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</si>
  <si>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</si>
  <si>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</si>
  <si>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</si>
  <si>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</si>
  <si>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</si>
  <si>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</si>
  <si>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</si>
  <si>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</si>
  <si>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</si>
  <si>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</si>
  <si>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</si>
  <si>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</si>
  <si>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</si>
  <si>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</si>
  <si>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</si>
  <si>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</si>
  <si>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</si>
  <si>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</si>
  <si>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</si>
  <si>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</si>
  <si>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</si>
  <si>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</si>
  <si>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</si>
  <si>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</si>
  <si>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</si>
  <si>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</si>
  <si>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</si>
  <si>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</si>
  <si>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</si>
  <si>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</si>
  <si>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</si>
  <si>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</si>
  <si>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</si>
  <si>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</si>
  <si>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</si>
  <si>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</si>
  <si>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</si>
  <si>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</si>
  <si>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</si>
  <si>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</si>
  <si>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</si>
  <si>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</si>
  <si>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</si>
  <si>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</si>
  <si>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</si>
  <si>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</si>
  <si>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</si>
  <si>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</si>
  <si>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</si>
  <si>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</si>
  <si>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</si>
  <si>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ANAホールディングス (9202.T)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</si>
  <si>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</si>
  <si>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</si>
  <si>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</si>
  <si>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</si>
  <si>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</si>
  <si>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</si>
  <si>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</si>
  <si>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</si>
  <si>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</si>
  <si>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(FY2026 actual)</t>
  </si>
  <si>
    <t>Terminal-year Revenue, active scenario (JPY mn)</t>
  </si>
  <si>
    <t>Base-case DCF Enterprise Value, PGM (JPY mn)</t>
  </si>
  <si>
    <t>Cycle-peak Operating Margin (FY2026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</si>
  <si>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</si>
  <si>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</si>
  <si>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</si>
  <si>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</si>
  <si>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</si>
  <si>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</si>
  <si>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FY2026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</si>
  <si>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</si>
  <si>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</si>
  <si>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</si>
  <si>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</si>
  <si>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</si>
  <si>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</si>
  <si>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</si>
  <si>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</si>
  <si>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</si>
  <si>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</si>
  <si>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</si>
  <si>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</si>
  <si>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</si>
  <si>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</si>
  <si>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</si>
  <si>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FY2026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</si>
  <si>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</si>
  <si>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</si>
  <si>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</si>
  <si>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</si>
  <si>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</si>
  <si>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</si>
  <si>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(FY2026)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</si>
  <si>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</si>
  <si>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</si>
  <si>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</si>
  <si>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</si>
  <si>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</si>
  <si>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</si>
  <si>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</si>
  <si>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</si>
  <si>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ANAホールディングス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</si>
  <si>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</si>
  <si>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</si>
  <si>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</si>
  <si>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</si>
  <si>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</si>
  <si>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</si>
  <si>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</si>
  <si>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</si>
  <si>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</si>
  <si>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</si>
  <si>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</si>
  <si>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</si>
  <si>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</si>
  <si>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</si>
  <si>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</si>
  <si>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</si>
  <si>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</si>
  <si>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</si>
  <si>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</si>
  <si>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2026-09-07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</si>
  <si>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</si>
  <si>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</si>
  <si>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</si>
  <si>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</si>
  <si>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</si>
  <si>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</si>
  <si>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</si>
  <si>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</si>
  <si>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</si>
  <si>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</si>
  <si>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</si>
  <si>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</si>
  <si>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</si>
  <si>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</si>
  <si>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ANA HOLDINGS INC</t>
  </si>
  <si>
    <t>9202.T</t>
  </si>
  <si>
    <t>JAPAN AIRLINES CO LTD</t>
  </si>
  <si>
    <t>9201.T</t>
  </si>
  <si>
    <t>Delta Air Lines  Inc.</t>
  </si>
  <si>
    <t>DAL</t>
  </si>
  <si>
    <t>United Airlines Holdings  Inc.</t>
  </si>
  <si>
    <t>UAL</t>
  </si>
  <si>
    <t>Southwest Airlines Company</t>
  </si>
  <si>
    <t>LUV</t>
  </si>
  <si>
    <t>Statistics</t>
  </si>
  <si>
    <t>25th Percentile</t>
  </si>
  <si>
    <t>Median (50th)</t>
  </si>
  <si>
    <t>75th Percentile</t>
  </si>
  <si>
    <t>Implied Valuation for ANAホールディングス</t>
  </si>
  <si>
    <t>ANAホールディングス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</si>
  <si>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</si>
  <si>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</si>
  <si>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</si>
  <si>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</si>
  <si>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</si>
  <si>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</si>
  <si>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</si>
  <si>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</si>
  <si>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</si>
  <si>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</si>
  <si>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</si>
  <si>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</si>
  <si>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</si>
  <si>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</si>
  <si>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</si>
  <si>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ANAホールディングス</t>
  </si>
  <si>
    <t>日付</t>
  </si>
  <si>
    <t>セル</t>
  </si>
  <si>
    <t>変更内容</t>
  </si>
  <si>
    <t>理由</t>
  </si>
  <si>
    <t>元の値</t>
  </si>
  <si>
    <t>状態</t>
  </si>
  <si>
    <t>2026-09-07</t>
  </si>
  <si>
    <t>-</t>
  </si>
  <si>
    <t>Generated by pipeline on 2026-09-07 11:33, template rev a5a93a8</t>
  </si>
  <si>
    <t>初期生成（手修正なし）</t>
  </si>
  <si>
    <t>generated</t>
  </si>
  <si>
    <t>DCF Model!C8</t>
  </si>
  <si>
    <t>Beta = 0.776（採用値）</t>
  </si>
  <si>
    <t>実測β(raw) = 0.665 → Blume調整 0.67×raw + 0.33×1.00 = 0.776 → 採用 0.776。クランプ域 [0.3, 2.0] の内側。置換なし。回帰βは平均回帰するため Blume 調整を既定とする（2026-09-05 バッチで85件中57件が旧下限 0.60 に張り付き、両裾の歪みが実証された）。</t>
  </si>
  <si>
    <t>実測 0.665</t>
  </si>
  <si>
    <t>確定</t>
  </si>
  <si>
    <t>Pipeline Metadata (do not edit — read by scripts/validate_output.py)</t>
  </si>
  <si>
    <t>key</t>
  </si>
  <si>
    <t>value</t>
  </si>
  <si>
    <t>annual_doc_ids</t>
  </si>
  <si>
    <t>2026-03-31=S100YKL4, 2025-03-31=S100W708, 2024-03-31=S100TXYR, 2023-03-31=S100R7LB, 2022-03-31=S100OBMW</t>
  </si>
  <si>
    <t>auto_log_entries</t>
  </si>
  <si>
    <t>1</t>
  </si>
  <si>
    <t>beta_adopted_c8</t>
  </si>
  <si>
    <t>0.7758</t>
  </si>
  <si>
    <t>beta_basis</t>
  </si>
  <si>
    <t>Blume: 0.67 x 0.665 + 0.33 x 1.00 = 0.776</t>
  </si>
  <si>
    <t>beta_blume_adjusted</t>
  </si>
  <si>
    <t>beta_clamped</t>
  </si>
  <si>
    <t>no</t>
  </si>
  <si>
    <t>beta_raw</t>
  </si>
  <si>
    <t>0.6653</t>
  </si>
  <si>
    <t>capex_pct_basis</t>
  </si>
  <si>
    <t>auto_hist_avg</t>
  </si>
  <si>
    <t>capex_pct_c5</t>
  </si>
  <si>
    <t>0.106</t>
  </si>
  <si>
    <t>capex_pct_hist3yr</t>
  </si>
  <si>
    <t>0.092948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</si>
  <si>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</si>
  <si>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</si>
  <si>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</si>
  <si>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</si>
  <si>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</si>
  <si>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</si>
  <si>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</si>
  <si>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6,7,8,9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</si>
  <si>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</si>
  <si>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</si>
  <si>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</si>
  <si>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</si>
  <si>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</si>
  <si>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</si>
  <si>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</si>
  <si>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</si>
  <si>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</si>
  <si>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</si>
  <si>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</si>
  <si>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</si>
  <si>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386449.0</t>
  </si>
  <si>
    <t>core_net_income</t>
  </si>
  <si>
    <t>169075.0</t>
  </si>
  <si>
    <t>cost_of_debt_at_c11</t>
  </si>
  <si>
    <t>0.01</t>
  </si>
  <si>
    <t>cost_of_debt_basis</t>
  </si>
  <si>
    <t>assumption</t>
  </si>
  <si>
    <t>da_pct_basis</t>
  </si>
  <si>
    <t>da_pct_c18</t>
  </si>
  <si>
    <t>0.1141</t>
  </si>
  <si>
    <t>da_pct_hist3yr</t>
  </si>
  <si>
    <t>0.067169</t>
  </si>
  <si>
    <t>disclosure_basis_date</t>
  </si>
  <si>
    <t>2026-03-31</t>
  </si>
  <si>
    <t>fs_year_coverage</t>
  </si>
  <si>
    <t>OCF 6/6, Cash 6/6, Debt 6/6</t>
  </si>
  <si>
    <t>fs_year_map</t>
  </si>
  <si>
    <t>FY2021&lt;-FY2021[ocf+cash+debt]; FY2022&lt;-FY2022[ocf+cash+debt]; FY2023&lt;-FY2023[ocf+cash+debt]; FY2024&lt;-FY2024[ocf+cash+debt]; 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</si>
  <si>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</si>
  <si>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</si>
  <si>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</si>
  <si>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</si>
  <si>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</si>
  <si>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2026-09-07 11:33:44</t>
  </si>
  <si>
    <t>guidance_note</t>
  </si>
  <si>
    <t>TDnet 決算短信 via screener guidance table: FY2027 disclosed 2026-07-29 (net_income=96,000mn, operating_income=150,000mn, revenue=2,770,000mn)</t>
  </si>
  <si>
    <t>guidance_source</t>
  </si>
  <si>
    <t>tdnet_screener_db</t>
  </si>
  <si>
    <t>latest_operating_income</t>
  </si>
  <si>
    <t>217437.0</t>
  </si>
  <si>
    <t>ltm_revenue_c20</t>
  </si>
  <si>
    <t>2539233.0</t>
  </si>
  <si>
    <t>ltm_revenue_source</t>
  </si>
  <si>
    <t>latest FY (no LTM)</t>
  </si>
  <si>
    <t>market_data_source</t>
  </si>
  <si>
    <t>yfinance; from overrides: beta, current_price, shares_outstanding</t>
  </si>
  <si>
    <t>narrative_tokens_used</t>
  </si>
  <si>
    <t>net_debt_source</t>
  </si>
  <si>
    <t>EDINET net_debt</t>
  </si>
  <si>
    <t>reverse_dcf_sheet</t>
  </si>
  <si>
    <t>op0=217,437(FY2026) peak=217,437(FY2026) peak_opm=0.0856 N=3/5/7/10</t>
  </si>
  <si>
    <t>scenario_index_range</t>
  </si>
  <si>
    <t>B69:B73</t>
  </si>
  <si>
    <t>tax_rate_c6</t>
  </si>
  <si>
    <t>0.25</t>
  </si>
  <si>
    <t>template_rev</t>
  </si>
  <si>
    <t>a5a93a8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</si>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</sst>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2999.5</v>
      </c>
    </row>
    <row r="10" spans="2:5" ht="14" x14ac:dyDescent="0.3">
      <c r="B10" s="4" t="s">
        <v>10</v>
      </c>
      <c r="C10" s="5">
        <f>IF(COUNT(C16:C17)=0,"N/A",ROUND(AVERAGE(C16:C17),0))</f>
        <v>9398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2.1331888648108017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8201</v>
      </c>
      <c r="D16" s="7">
        <f>IF(ISNUMBER(C16),(C16-C9)/C9,"N/A")</f>
        <v>1.734122353725621</v>
      </c>
    </row>
    <row r="17" spans="2:5" ht="13.5" x14ac:dyDescent="0.25">
      <c r="B17" t="s">
        <v>18</v>
      </c>
      <c r="C17" s="11">
        <f>IF('DCF Model'!C62&lt;'DCF Model'!C16,"INVALID (EV &lt; net debt)",'DCF Model'!C64)</f>
        <v>10595</v>
      </c>
      <c r="D17" s="7">
        <f>IF(ISNUMBER(C17),(C17-C9)/C9,"N/A")</f>
        <v>2.5322553758959825</v>
      </c>
    </row>
    <row r="18" spans="2:5" ht="13.5" x14ac:dyDescent="0.25">
      <c r="B18" t="s">
        <v>19</v>
      </c>
      <c r="C18" s="11">
        <f>'Comps Analysis'!C27</f>
        <v>6193</v>
      </c>
      <c r="D18" s="7">
        <f>IF(ISNUMBER(C18),(C18-C9)/C9,"N/A")</f>
        <v>1.0646774462410402</v>
      </c>
    </row>
    <row r="19" spans="2:5" ht="13.5" x14ac:dyDescent="0.25">
      <c r="B19" t="s">
        <v>20</v>
      </c>
      <c r="C19" s="11">
        <f>'Comps Analysis'!C28</f>
        <v>4164</v>
      </c>
      <c r="D19" s="7">
        <f>IF(ISNUMBER(C19),(C19-C9)/C9,"N/A")</f>
        <v>0.38823137189531587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8201 - 10595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H30"/>
  <sheetViews>
    <sheetView workbookViewId="0"/>
  </sheetViews>
  <sheetFormatPr defaultRowHeight="13" x14ac:dyDescent="0.2"/>
  <cols>
    <col min="1" max="1" width="3" customWidth="1"/>
    <col min="2" max="2" width="32" customWidth="1"/>
    <col min="3" max="8" width="18" customWidth="1"/>
  </cols>
  <sheetData>
    <row r="2" spans="2:8" ht="18" x14ac:dyDescent="0.4">
      <c r="B2" s="2" t="s">
        <v>31</v>
      </c>
    </row>
    <row r="4" spans="2:8" ht="14" x14ac:dyDescent="0.3"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</row>
    <row r="5" spans="2:8" ht="14" x14ac:dyDescent="0.3">
      <c r="B5" s="3" t="s">
        <v>38</v>
      </c>
    </row>
    <row r="6" spans="2:8" ht="14" x14ac:dyDescent="0.3">
      <c r="B6" s="4" t="s">
        <v>39</v>
      </c>
      <c r="C6" s="5">
        <v>728683</v>
      </c>
      <c r="D6" s="5">
        <v>1020324</v>
      </c>
      <c r="E6" s="5">
        <v>1707484</v>
      </c>
      <c r="F6" s="5">
        <v>2055928</v>
      </c>
      <c r="G6" s="5">
        <v>2261856</v>
      </c>
      <c r="H6" s="5">
        <v>2539233</v>
      </c>
    </row>
    <row r="7" spans="2:8" ht="14" x14ac:dyDescent="0.3">
      <c r="B7" s="4" t="s">
        <v>40</v>
      </c>
      <c r="C7" s="5">
        <v>1000000</v>
      </c>
      <c r="D7" s="5">
        <v>1049414</v>
      </c>
      <c r="E7" s="5">
        <v>1403567</v>
      </c>
      <c r="F7" s="5">
        <v>1642263</v>
      </c>
      <c r="G7" s="5">
        <v>1843542</v>
      </c>
      <c r="H7" s="5">
        <v>2074758</v>
      </c>
    </row>
    <row r="8" spans="2:8" ht="14" x14ac:dyDescent="0.3">
      <c r="B8" s="4" t="s">
        <v>41</v>
      </c>
      <c r="C8" s="5">
        <f t="shared" ref="C8:H8" si="0">C6-C7</f>
        <v>-271317</v>
      </c>
      <c r="D8" s="5">
        <f t="shared" si="0"/>
        <v>-29090</v>
      </c>
      <c r="E8" s="5">
        <f t="shared" si="0"/>
        <v>303917</v>
      </c>
      <c r="F8" s="5">
        <f t="shared" si="0"/>
        <v>413665</v>
      </c>
      <c r="G8" s="5">
        <f t="shared" si="0"/>
        <v>418314</v>
      </c>
      <c r="H8" s="5">
        <f t="shared" si="0"/>
        <v>464475</v>
      </c>
    </row>
    <row r="9" spans="2:8" ht="13.5" x14ac:dyDescent="0.25">
      <c r="B9" t="s">
        <v>42</v>
      </c>
      <c r="C9" s="7">
        <f t="shared" ref="C9:H9" si="1">C8/C6</f>
        <v>-0.37233886340150657</v>
      </c>
      <c r="D9" s="7">
        <f t="shared" si="1"/>
        <v>-2.851055155029187E-2</v>
      </c>
      <c r="E9" s="7">
        <f t="shared" si="1"/>
        <v>0.17799112612475432</v>
      </c>
      <c r="F9" s="7">
        <f t="shared" si="1"/>
        <v>0.20120597608476562</v>
      </c>
      <c r="G9" s="7">
        <f t="shared" si="1"/>
        <v>0.18494280803021942</v>
      </c>
      <c r="H9" s="7">
        <f t="shared" si="1"/>
        <v>0.18291940912866209</v>
      </c>
    </row>
    <row r="10" spans="2:8" ht="14" x14ac:dyDescent="0.3">
      <c r="B10" s="4" t="s">
        <v>43</v>
      </c>
      <c r="C10" s="5">
        <v>193457</v>
      </c>
      <c r="D10" s="5">
        <v>144037</v>
      </c>
      <c r="E10" s="5">
        <v>183887</v>
      </c>
      <c r="F10" s="5">
        <v>205754</v>
      </c>
      <c r="G10" s="5">
        <v>221675</v>
      </c>
      <c r="H10" s="5">
        <v>247038</v>
      </c>
    </row>
    <row r="11" spans="2:8" ht="14" x14ac:dyDescent="0.3">
      <c r="B11" s="4" t="s">
        <v>44</v>
      </c>
      <c r="C11" s="5">
        <v>-464774</v>
      </c>
      <c r="D11" s="5">
        <v>-173127</v>
      </c>
      <c r="E11" s="5">
        <v>120030</v>
      </c>
      <c r="F11" s="5">
        <v>207911</v>
      </c>
      <c r="G11" s="5">
        <v>196639</v>
      </c>
      <c r="H11" s="5">
        <v>217437</v>
      </c>
    </row>
    <row r="12" spans="2:8" ht="14" x14ac:dyDescent="0.3">
      <c r="B12" s="4" t="s">
        <v>45</v>
      </c>
      <c r="C12" s="5">
        <v>-404624</v>
      </c>
      <c r="D12" s="5">
        <v>-143628</v>
      </c>
      <c r="E12" s="5">
        <v>89477</v>
      </c>
      <c r="F12" s="5">
        <v>157097</v>
      </c>
      <c r="G12" s="5">
        <v>153027</v>
      </c>
      <c r="H12" s="5">
        <v>169075</v>
      </c>
    </row>
    <row r="13" spans="2:8" ht="13.5" x14ac:dyDescent="0.25">
      <c r="B13" t="s">
        <v>46</v>
      </c>
      <c r="C13" s="7">
        <f t="shared" ref="C13:H13" si="2">C11/C6</f>
        <v>-0.63782742289857186</v>
      </c>
      <c r="D13" s="7">
        <f t="shared" si="2"/>
        <v>-0.16967845507897492</v>
      </c>
      <c r="E13" s="7">
        <f t="shared" si="2"/>
        <v>7.0296412733589303E-2</v>
      </c>
      <c r="F13" s="7">
        <f t="shared" si="2"/>
        <v>0.10112756866971995</v>
      </c>
      <c r="G13" s="7">
        <f t="shared" si="2"/>
        <v>8.6937011021037597E-2</v>
      </c>
      <c r="H13" s="7">
        <f t="shared" si="2"/>
        <v>8.5630975967939921E-2</v>
      </c>
    </row>
    <row r="14" spans="2:8" ht="13.5" x14ac:dyDescent="0.25">
      <c r="B14" t="s">
        <v>47</v>
      </c>
      <c r="C14" s="7">
        <f t="shared" ref="C14:H14" si="3">C12/C6</f>
        <v>-0.55528124026497117</v>
      </c>
      <c r="D14" s="7">
        <f t="shared" si="3"/>
        <v>-0.14076705046632246</v>
      </c>
      <c r="E14" s="7">
        <f t="shared" si="3"/>
        <v>5.2402833642950682E-2</v>
      </c>
      <c r="F14" s="7">
        <f t="shared" si="3"/>
        <v>7.6411722589507028E-2</v>
      </c>
      <c r="G14" s="7">
        <f t="shared" si="3"/>
        <v>6.7655500615423789E-2</v>
      </c>
      <c r="H14" s="7">
        <f t="shared" si="3"/>
        <v>6.6585067223055155E-2</v>
      </c>
    </row>
    <row r="15" spans="2:8" ht="13.5" x14ac:dyDescent="0.25">
      <c r="B15" t="s">
        <v>48</v>
      </c>
      <c r="C15" t="s">
        <v>49</v>
      </c>
      <c r="D15" s="7">
        <f>(D6-C6)/C6</f>
        <v>0.40023027846127879</v>
      </c>
      <c r="E15" s="7">
        <f>(E6-D6)/D6</f>
        <v>0.67347234799926303</v>
      </c>
      <c r="F15" s="7">
        <f>(F6-E6)/E6</f>
        <v>0.20406867648540192</v>
      </c>
      <c r="G15" s="7">
        <f>(G6-F6)/F6</f>
        <v>0.10016304072905277</v>
      </c>
      <c r="H15" s="7">
        <f>(H6-G6)/G6</f>
        <v>0.12263247527694071</v>
      </c>
    </row>
    <row r="16" spans="2:8" ht="13.5" x14ac:dyDescent="0.25">
      <c r="B16" t="s">
        <v>50</v>
      </c>
      <c r="C16" t="s">
        <v>49</v>
      </c>
      <c r="D16" s="7">
        <f>(D11-C11)/C11</f>
        <v>-0.62750282933210555</v>
      </c>
      <c r="E16" s="7">
        <f>(E11-D11)/D11</f>
        <v>-1.6933060701103815</v>
      </c>
      <c r="F16" s="7">
        <f>(F11-E11)/E11</f>
        <v>0.73215862700991419</v>
      </c>
      <c r="G16" s="7">
        <f>(G11-F11)/F11</f>
        <v>-5.421550567310051E-2</v>
      </c>
      <c r="H16" s="7">
        <f>(H11-G11)/G11</f>
        <v>0.10576742151862041</v>
      </c>
    </row>
    <row r="18" spans="2:8" ht="14" x14ac:dyDescent="0.3">
      <c r="B18" s="3" t="s">
        <v>51</v>
      </c>
    </row>
    <row r="19" spans="2:8" ht="14" x14ac:dyDescent="0.3">
      <c r="B19" s="4" t="s">
        <v>52</v>
      </c>
      <c r="C19" s="5">
        <v>-270441</v>
      </c>
      <c r="D19" s="5">
        <v>-76413</v>
      </c>
      <c r="E19" s="5">
        <v>449822</v>
      </c>
      <c r="F19" s="5">
        <v>420622</v>
      </c>
      <c r="G19" s="5">
        <v>373034</v>
      </c>
      <c r="H19" s="5">
        <v>443459</v>
      </c>
    </row>
    <row r="20" spans="2:8" ht="14" x14ac:dyDescent="0.3">
      <c r="B20" s="4" t="s">
        <v>53</v>
      </c>
      <c r="C20" s="5">
        <v>134174</v>
      </c>
      <c r="D20" s="5">
        <v>120591</v>
      </c>
      <c r="E20" s="5">
        <v>93450</v>
      </c>
      <c r="F20" s="5">
        <v>202066</v>
      </c>
      <c r="G20" s="5">
        <v>216859</v>
      </c>
      <c r="H20" s="5">
        <v>215029</v>
      </c>
    </row>
    <row r="21" spans="2:8" ht="14" x14ac:dyDescent="0.3">
      <c r="B21" s="4" t="s">
        <v>54</v>
      </c>
      <c r="C21" s="5">
        <f t="shared" ref="C21:H21" si="4">C19-C20</f>
        <v>-404615</v>
      </c>
      <c r="D21" s="5">
        <f t="shared" si="4"/>
        <v>-197004</v>
      </c>
      <c r="E21" s="5">
        <f t="shared" si="4"/>
        <v>356372</v>
      </c>
      <c r="F21" s="5">
        <f t="shared" si="4"/>
        <v>218556</v>
      </c>
      <c r="G21" s="5">
        <f t="shared" si="4"/>
        <v>156175</v>
      </c>
      <c r="H21" s="5">
        <f t="shared" si="4"/>
        <v>228430</v>
      </c>
    </row>
    <row r="22" spans="2:8" ht="13.5" x14ac:dyDescent="0.25">
      <c r="B22" t="s">
        <v>55</v>
      </c>
      <c r="C22" s="7">
        <f t="shared" ref="C22:H22" si="5">C21/C6</f>
        <v>-0.55526888921520057</v>
      </c>
      <c r="D22" s="7">
        <f t="shared" si="5"/>
        <v>-0.19307984522563421</v>
      </c>
      <c r="E22" s="7">
        <f t="shared" si="5"/>
        <v>0.20871176538111044</v>
      </c>
      <c r="F22" s="7">
        <f t="shared" si="5"/>
        <v>0.10630527917320062</v>
      </c>
      <c r="G22" s="7">
        <f t="shared" si="5"/>
        <v>6.9047277987634936E-2</v>
      </c>
      <c r="H22" s="7">
        <f t="shared" si="5"/>
        <v>8.9960236024027723E-2</v>
      </c>
    </row>
    <row r="23" spans="2:8" ht="13.5" x14ac:dyDescent="0.25">
      <c r="B23" t="s">
        <v>56</v>
      </c>
      <c r="C23" s="7">
        <f t="shared" ref="C23:H23" si="6">C20/C6</f>
        <v>0.18413219465803374</v>
      </c>
      <c r="D23" s="7">
        <f t="shared" si="6"/>
        <v>0.11818892822279982</v>
      </c>
      <c r="E23" s="7">
        <f t="shared" si="6"/>
        <v>5.4729649004031662E-2</v>
      </c>
      <c r="F23" s="7">
        <f t="shared" si="6"/>
        <v>9.8284570276780114E-2</v>
      </c>
      <c r="G23" s="7">
        <f t="shared" si="6"/>
        <v>9.5876572160208257E-2</v>
      </c>
      <c r="H23" s="7">
        <f t="shared" si="6"/>
        <v>8.4682658109752035E-2</v>
      </c>
    </row>
    <row r="25" spans="2:8" ht="14" x14ac:dyDescent="0.3">
      <c r="B25" s="3" t="s">
        <v>57</v>
      </c>
    </row>
    <row r="26" spans="2:8" ht="14" x14ac:dyDescent="0.3">
      <c r="B26" s="4" t="s">
        <v>58</v>
      </c>
      <c r="C26" s="5">
        <v>370322</v>
      </c>
      <c r="D26" s="5">
        <v>882329</v>
      </c>
      <c r="E26" s="5">
        <v>1113481</v>
      </c>
      <c r="F26" s="5">
        <v>1002512</v>
      </c>
      <c r="G26" s="5">
        <v>454709</v>
      </c>
      <c r="H26" s="5">
        <v>552792</v>
      </c>
    </row>
    <row r="27" spans="2:8" ht="14" x14ac:dyDescent="0.3">
      <c r="B27" s="4" t="s">
        <v>59</v>
      </c>
      <c r="C27" s="5">
        <v>1502765</v>
      </c>
      <c r="D27" s="5">
        <v>1450063</v>
      </c>
      <c r="E27" s="5">
        <v>1349388</v>
      </c>
      <c r="F27" s="5">
        <v>1256755</v>
      </c>
      <c r="G27" s="5">
        <v>1160995</v>
      </c>
      <c r="H27" s="5">
        <v>974654</v>
      </c>
    </row>
    <row r="28" spans="2:8" ht="14" x14ac:dyDescent="0.3">
      <c r="B28" s="4" t="s">
        <v>60</v>
      </c>
      <c r="C28" s="5">
        <f t="shared" ref="C28:H28" si="7">C27-C26</f>
        <v>1132443</v>
      </c>
      <c r="D28" s="5">
        <f t="shared" si="7"/>
        <v>567734</v>
      </c>
      <c r="E28" s="5">
        <f t="shared" si="7"/>
        <v>235907</v>
      </c>
      <c r="F28" s="5">
        <f t="shared" si="7"/>
        <v>254243</v>
      </c>
      <c r="G28" s="5">
        <f t="shared" si="7"/>
        <v>706286</v>
      </c>
      <c r="H28" s="5">
        <f t="shared" si="7"/>
        <v>421862</v>
      </c>
    </row>
    <row r="30" spans="2:8" ht="14" x14ac:dyDescent="0.3">
      <c r="B30" s="1" t="s">
        <v>61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62</v>
      </c>
    </row>
    <row r="4" spans="2:7" ht="14" x14ac:dyDescent="0.3">
      <c r="B4" s="8" t="s">
        <v>63</v>
      </c>
      <c r="C4" s="9"/>
      <c r="D4" s="9"/>
      <c r="E4" s="9"/>
      <c r="F4" s="9"/>
      <c r="G4" s="9"/>
    </row>
    <row r="5" spans="2:7" ht="14" x14ac:dyDescent="0.3">
      <c r="B5" s="4" t="s">
        <v>56</v>
      </c>
      <c r="C5" s="7">
        <v>0.106</v>
      </c>
    </row>
    <row r="6" spans="2:7" ht="14" x14ac:dyDescent="0.3">
      <c r="B6" s="4" t="s">
        <v>64</v>
      </c>
      <c r="C6" s="7">
        <v>0.25</v>
      </c>
    </row>
    <row r="7" spans="2:7" ht="14" x14ac:dyDescent="0.3">
      <c r="B7" s="4" t="s">
        <v>65</v>
      </c>
      <c r="C7" s="7">
        <v>2.9700000000000001E-2</v>
      </c>
    </row>
    <row r="8" spans="2:7" ht="14" x14ac:dyDescent="0.3">
      <c r="B8" s="4" t="s">
        <v>66</v>
      </c>
      <c r="C8" s="12">
        <v>0.77580000000000005</v>
      </c>
    </row>
    <row r="9" spans="2:7" ht="14" x14ac:dyDescent="0.3">
      <c r="B9" s="4" t="s">
        <v>67</v>
      </c>
      <c r="C9" s="7">
        <v>6.5000000000000002E-2</v>
      </c>
    </row>
    <row r="10" spans="2:7" ht="14" x14ac:dyDescent="0.3">
      <c r="B10" s="4" t="s">
        <v>68</v>
      </c>
      <c r="C10" s="7">
        <v>0.01</v>
      </c>
    </row>
    <row r="11" spans="2:7" ht="14" x14ac:dyDescent="0.3">
      <c r="B11" s="4" t="s">
        <v>69</v>
      </c>
      <c r="C11" s="7">
        <v>0.01</v>
      </c>
    </row>
    <row r="12" spans="2:7" ht="14" x14ac:dyDescent="0.3">
      <c r="B12" s="4" t="s">
        <v>70</v>
      </c>
      <c r="C12" s="13">
        <v>0.32500000000000001</v>
      </c>
    </row>
    <row r="13" spans="2:7" ht="14" x14ac:dyDescent="0.3">
      <c r="B13" s="4" t="s">
        <v>71</v>
      </c>
      <c r="C13" s="7">
        <v>0.01</v>
      </c>
    </row>
    <row r="14" spans="2:7" ht="14" x14ac:dyDescent="0.3">
      <c r="B14" s="4" t="s">
        <v>72</v>
      </c>
      <c r="C14" s="14">
        <v>8</v>
      </c>
    </row>
    <row r="15" spans="2:7" ht="14" x14ac:dyDescent="0.3">
      <c r="B15" s="4" t="s">
        <v>73</v>
      </c>
      <c r="C15" s="15">
        <v>432703817</v>
      </c>
    </row>
    <row r="16" spans="2:7" ht="14" x14ac:dyDescent="0.3">
      <c r="B16" s="4" t="s">
        <v>74</v>
      </c>
      <c r="C16" s="5">
        <v>421862</v>
      </c>
    </row>
    <row r="17" spans="2:7" ht="14" x14ac:dyDescent="0.3">
      <c r="B17" s="4" t="s">
        <v>75</v>
      </c>
      <c r="C17" s="5">
        <v>2539233</v>
      </c>
    </row>
    <row r="18" spans="2:7" ht="14" x14ac:dyDescent="0.3">
      <c r="B18" s="4" t="s">
        <v>76</v>
      </c>
      <c r="C18" s="7">
        <v>0.11409999999999999</v>
      </c>
    </row>
    <row r="19" spans="2:7" ht="14" x14ac:dyDescent="0.3">
      <c r="B19" s="4" t="s">
        <v>77</v>
      </c>
      <c r="C19" s="12">
        <v>1</v>
      </c>
    </row>
    <row r="20" spans="2:7" ht="14" x14ac:dyDescent="0.3">
      <c r="B20" s="4" t="s">
        <v>78</v>
      </c>
      <c r="C20" s="5">
        <v>2539233</v>
      </c>
    </row>
    <row r="22" spans="2:7" ht="14" x14ac:dyDescent="0.3">
      <c r="B22" s="8" t="s">
        <v>79</v>
      </c>
      <c r="C22" s="9"/>
      <c r="D22" s="9"/>
      <c r="E22" s="9"/>
      <c r="F22" s="9"/>
      <c r="G22" s="9"/>
    </row>
    <row r="23" spans="2:7" ht="14" x14ac:dyDescent="0.3">
      <c r="B23" s="4" t="s">
        <v>80</v>
      </c>
      <c r="C23" s="16">
        <f>C7+C8*C9+C10</f>
        <v>9.0126999999999999E-2</v>
      </c>
    </row>
    <row r="24" spans="2:7" ht="14" x14ac:dyDescent="0.3">
      <c r="B24" s="4" t="s">
        <v>81</v>
      </c>
      <c r="C24" s="16">
        <f>1/(1+C12)</f>
        <v>0.75471698113207553</v>
      </c>
    </row>
    <row r="25" spans="2:7" ht="14" x14ac:dyDescent="0.3">
      <c r="B25" s="4" t="s">
        <v>82</v>
      </c>
      <c r="C25" s="16">
        <f>C12/(1+C12)</f>
        <v>0.24528301886792456</v>
      </c>
    </row>
    <row r="26" spans="2:7" ht="14" x14ac:dyDescent="0.3">
      <c r="B26" s="4" t="s">
        <v>83</v>
      </c>
      <c r="C26" s="16">
        <f>C23*C24+C11*C25</f>
        <v>7.0473207547169806E-2</v>
      </c>
    </row>
    <row r="27" spans="2:7" ht="14" x14ac:dyDescent="0.3">
      <c r="B27" s="4" t="s">
        <v>84</v>
      </c>
      <c r="C27" s="17" t="s">
        <v>85</v>
      </c>
      <c r="D27" s="6">
        <f>MATCH(C27,B69:B73,0)</f>
        <v>1</v>
      </c>
    </row>
    <row r="28" spans="2:7" ht="14" x14ac:dyDescent="0.3">
      <c r="B28" s="8" t="s">
        <v>86</v>
      </c>
      <c r="C28" s="9"/>
      <c r="D28" s="9"/>
      <c r="E28" s="9"/>
      <c r="F28" s="9"/>
      <c r="G28" s="9"/>
    </row>
    <row r="29" spans="2:7" ht="14" x14ac:dyDescent="0.3">
      <c r="C29" s="10" t="s">
        <v>87</v>
      </c>
      <c r="D29" s="10" t="s">
        <v>88</v>
      </c>
      <c r="E29" s="10" t="s">
        <v>89</v>
      </c>
      <c r="F29" s="10" t="s">
        <v>90</v>
      </c>
      <c r="G29" s="10" t="s">
        <v>91</v>
      </c>
    </row>
    <row r="30" spans="2:7" ht="14" x14ac:dyDescent="0.3">
      <c r="B30" s="4" t="s">
        <v>48</v>
      </c>
      <c r="C30" s="18">
        <f>CHOOSE($D$27,C69,C70,C71,C72,C73)</f>
        <v>7.2900000000000006E-2</v>
      </c>
      <c r="D30" s="18">
        <f>CHOOSE($D$27,D69,D70,D71,D72,D73)</f>
        <v>7.2900000000000006E-2</v>
      </c>
      <c r="E30" s="18">
        <f>CHOOSE($D$27,E69,E70,E71,E72,E73)</f>
        <v>7.2900000000000006E-2</v>
      </c>
      <c r="F30" s="18">
        <f>CHOOSE($D$27,F69,F70,F71,F72,F73)</f>
        <v>7.2900000000000006E-2</v>
      </c>
      <c r="G30" s="18">
        <f>CHOOSE($D$27,G69,G70,G71,G72,G73)</f>
        <v>7.2900000000000006E-2</v>
      </c>
    </row>
    <row r="31" spans="2:7" ht="14" x14ac:dyDescent="0.3">
      <c r="B31" s="4" t="s">
        <v>92</v>
      </c>
      <c r="C31" s="18">
        <f>CHOOSE($D$27,C76,C77,C78,C79,C80)</f>
        <v>0.81710000000000005</v>
      </c>
      <c r="D31" s="18">
        <f>CHOOSE($D$27,D76,D77,D78,D79,D80)</f>
        <v>0.81710000000000005</v>
      </c>
      <c r="E31" s="18">
        <f>CHOOSE($D$27,E76,E77,E78,E79,E80)</f>
        <v>0.81710000000000005</v>
      </c>
      <c r="F31" s="18">
        <f>CHOOSE($D$27,F76,F77,F78,F79,F80)</f>
        <v>0.81710000000000005</v>
      </c>
      <c r="G31" s="18">
        <f>CHOOSE($D$27,G76,G77,G78,G79,G80)</f>
        <v>0.81710000000000005</v>
      </c>
    </row>
    <row r="32" spans="2:7" ht="14" x14ac:dyDescent="0.3">
      <c r="B32" s="4" t="s">
        <v>93</v>
      </c>
      <c r="C32" s="18">
        <f>CHOOSE($D$27,C83,C84,C85,C86,C87)</f>
        <v>9.7299999999999998E-2</v>
      </c>
      <c r="D32" s="18">
        <f>CHOOSE($D$27,D83,D84,D85,D86,D87)</f>
        <v>9.7299999999999998E-2</v>
      </c>
      <c r="E32" s="18">
        <f>CHOOSE($D$27,E83,E84,E85,E86,E87)</f>
        <v>9.7299999999999998E-2</v>
      </c>
      <c r="F32" s="18">
        <f>CHOOSE($D$27,F83,F84,F85,F86,F87)</f>
        <v>9.7299999999999998E-2</v>
      </c>
      <c r="G32" s="18">
        <f>CHOOSE($D$27,G83,G84,G85,G86,G87)</f>
        <v>9.7299999999999998E-2</v>
      </c>
    </row>
    <row r="33" spans="2:7" ht="14" x14ac:dyDescent="0.3">
      <c r="B33" s="4" t="s">
        <v>39</v>
      </c>
      <c r="C33" s="5">
        <f>C17*(1+C30)</f>
        <v>2724343.0856999997</v>
      </c>
      <c r="D33" s="5">
        <f>C33*(1+D30)</f>
        <v>2922947.6966475295</v>
      </c>
      <c r="E33" s="5">
        <f>D33*(1+E30)</f>
        <v>3136030.5837331344</v>
      </c>
      <c r="F33" s="5">
        <f>E33*(1+F30)</f>
        <v>3364647.2132872799</v>
      </c>
      <c r="G33" s="5">
        <f>F33*(1+G30)</f>
        <v>3609929.9951359225</v>
      </c>
    </row>
    <row r="34" spans="2:7" ht="14" x14ac:dyDescent="0.3">
      <c r="B34" s="4" t="s">
        <v>40</v>
      </c>
      <c r="C34" s="5">
        <f>C33*C31</f>
        <v>2226060.7353254701</v>
      </c>
      <c r="D34" s="5">
        <f>D33*D31</f>
        <v>2388340.5629306966</v>
      </c>
      <c r="E34" s="5">
        <f>E33*E31</f>
        <v>2562450.5899683442</v>
      </c>
      <c r="F34" s="5">
        <f>F33*F31</f>
        <v>2749253.2379770367</v>
      </c>
      <c r="G34" s="5">
        <f>G33*G31</f>
        <v>2949673.7990255626</v>
      </c>
    </row>
    <row r="35" spans="2:7" ht="14" x14ac:dyDescent="0.3">
      <c r="B35" s="4" t="s">
        <v>41</v>
      </c>
      <c r="C35" s="19">
        <f>C33-C34</f>
        <v>498282.3503745296</v>
      </c>
      <c r="D35" s="19">
        <f>D33-D34</f>
        <v>534607.13371683285</v>
      </c>
      <c r="E35" s="19">
        <f>E33-E34</f>
        <v>573579.99376479024</v>
      </c>
      <c r="F35" s="19">
        <f>F33-F34</f>
        <v>615393.9753102432</v>
      </c>
      <c r="G35" s="19">
        <f>G33-G34</f>
        <v>660256.19611035986</v>
      </c>
    </row>
    <row r="36" spans="2:7" ht="14" x14ac:dyDescent="0.3">
      <c r="B36" s="4" t="s">
        <v>42</v>
      </c>
      <c r="C36" s="7">
        <f>C35/C33</f>
        <v>0.18289999999999987</v>
      </c>
      <c r="D36" s="7">
        <f>D35/D33</f>
        <v>0.1828999999999999</v>
      </c>
      <c r="E36" s="7">
        <f>E35/E33</f>
        <v>0.18289999999999998</v>
      </c>
      <c r="F36" s="7">
        <f>F35/F33</f>
        <v>0.18289999999999992</v>
      </c>
      <c r="G36" s="7">
        <f>G35/G33</f>
        <v>0.1828999999999999</v>
      </c>
    </row>
    <row r="37" spans="2:7" ht="14" x14ac:dyDescent="0.3">
      <c r="B37" s="4" t="s">
        <v>94</v>
      </c>
      <c r="C37" s="5">
        <f>C33*C32</f>
        <v>265078.58223860996</v>
      </c>
      <c r="D37" s="5">
        <f>D33*D32</f>
        <v>284402.81088380463</v>
      </c>
      <c r="E37" s="5">
        <f>E33*E32</f>
        <v>305135.77579723398</v>
      </c>
      <c r="F37" s="5">
        <f>F33*F32</f>
        <v>327380.17385285231</v>
      </c>
      <c r="G37" s="5">
        <f>G33*G32</f>
        <v>351246.18852672522</v>
      </c>
    </row>
    <row r="38" spans="2:7" ht="14" x14ac:dyDescent="0.3">
      <c r="B38" s="4" t="s">
        <v>95</v>
      </c>
      <c r="C38" s="7">
        <f>(C35-C37)/C33</f>
        <v>8.5599999999999885E-2</v>
      </c>
      <c r="D38" s="7">
        <f>(D35-D37)/D33</f>
        <v>8.5599999999999898E-2</v>
      </c>
      <c r="E38" s="7">
        <f>(E35-E37)/E33</f>
        <v>8.5599999999999982E-2</v>
      </c>
      <c r="F38" s="7">
        <f>(F35-F37)/F33</f>
        <v>8.5599999999999912E-2</v>
      </c>
      <c r="G38" s="7">
        <f>(G35-G37)/G33</f>
        <v>8.5599999999999912E-2</v>
      </c>
    </row>
    <row r="39" spans="2:7" ht="14" x14ac:dyDescent="0.3">
      <c r="B39" s="4" t="s">
        <v>96</v>
      </c>
      <c r="C39" s="19">
        <f>C35-C37</f>
        <v>233203.76813591964</v>
      </c>
      <c r="D39" s="19">
        <f>D35-D37</f>
        <v>250204.32283302821</v>
      </c>
      <c r="E39" s="19">
        <f>E35-E37</f>
        <v>268444.21796755627</v>
      </c>
      <c r="F39" s="19">
        <f>F35-F37</f>
        <v>288013.80145739089</v>
      </c>
      <c r="G39" s="19">
        <f>G35-G37</f>
        <v>309010.00758363464</v>
      </c>
    </row>
    <row r="40" spans="2:7" ht="14" x14ac:dyDescent="0.3">
      <c r="B40" s="4" t="s">
        <v>97</v>
      </c>
      <c r="C40" s="5">
        <f>MAX(0,C39*C6)</f>
        <v>58300.942033979911</v>
      </c>
      <c r="D40" s="5">
        <f>MAX(0,D39*C6)</f>
        <v>62551.080708257054</v>
      </c>
      <c r="E40" s="5">
        <f>MAX(0,E39*C6)</f>
        <v>67111.054491889066</v>
      </c>
      <c r="F40" s="5">
        <f>MAX(0,F39*C6)</f>
        <v>72003.450364347722</v>
      </c>
      <c r="G40" s="5">
        <f>MAX(0,G39*C6)</f>
        <v>77252.501895908659</v>
      </c>
    </row>
    <row r="41" spans="2:7" ht="14" x14ac:dyDescent="0.3">
      <c r="B41" s="4" t="s">
        <v>98</v>
      </c>
      <c r="C41" s="19">
        <f>C39-C40</f>
        <v>174902.82610193972</v>
      </c>
      <c r="D41" s="19">
        <f>D39-D40</f>
        <v>187653.24212477118</v>
      </c>
      <c r="E41" s="19">
        <f>E39-E40</f>
        <v>201333.16347566718</v>
      </c>
      <c r="F41" s="19">
        <f>F39-F40</f>
        <v>216010.35109304317</v>
      </c>
      <c r="G41" s="19">
        <f>G39-G40</f>
        <v>231757.50568772596</v>
      </c>
    </row>
    <row r="42" spans="2:7" ht="14" x14ac:dyDescent="0.3">
      <c r="B42" s="4" t="s">
        <v>99</v>
      </c>
      <c r="C42" s="5">
        <f>C33*C18</f>
        <v>310847.54607836995</v>
      </c>
      <c r="D42" s="5">
        <f>D33*C18</f>
        <v>333508.33218748309</v>
      </c>
      <c r="E42" s="5">
        <f>E33*C18</f>
        <v>357821.08960395062</v>
      </c>
      <c r="F42" s="5">
        <f>F33*C18</f>
        <v>383906.2470360786</v>
      </c>
      <c r="G42" s="5">
        <f>G33*C18</f>
        <v>411893.01244500873</v>
      </c>
    </row>
    <row r="43" spans="2:7" ht="14" x14ac:dyDescent="0.3">
      <c r="B43" s="4" t="s">
        <v>100</v>
      </c>
      <c r="C43" s="5">
        <f>C33*C5</f>
        <v>288780.36708419997</v>
      </c>
      <c r="D43" s="5">
        <f>D33*C5</f>
        <v>309832.45584463811</v>
      </c>
      <c r="E43" s="5">
        <f>E33*C5</f>
        <v>332419.24187571224</v>
      </c>
      <c r="F43" s="5">
        <f>F33*C5</f>
        <v>356652.60460845166</v>
      </c>
      <c r="G43" s="5">
        <f>G33*C5</f>
        <v>382652.57948440779</v>
      </c>
    </row>
    <row r="44" spans="2:7" ht="14" x14ac:dyDescent="0.3">
      <c r="B44" s="4" t="s">
        <v>101</v>
      </c>
      <c r="C44" s="5">
        <f>'NWC Schedule'!D19</f>
        <v>13558.960848552619</v>
      </c>
      <c r="D44" s="5">
        <f>'NWC Schedule'!E19</f>
        <v>2329.0063458594886</v>
      </c>
      <c r="E44" s="5">
        <f>'NWC Schedule'!F19</f>
        <v>2498.7909084726562</v>
      </c>
      <c r="F44" s="5">
        <f>'NWC Schedule'!G19</f>
        <v>2680.9527657002764</v>
      </c>
      <c r="G44" s="5">
        <f>'NWC Schedule'!H19</f>
        <v>2876.3942223198537</v>
      </c>
    </row>
    <row r="45" spans="2:7" ht="14" x14ac:dyDescent="0.3">
      <c r="B45" s="4" t="s">
        <v>102</v>
      </c>
      <c r="C45" s="20">
        <f>C41+C42-C43-C44</f>
        <v>183411.04424755709</v>
      </c>
      <c r="D45" s="20">
        <f>D41+D42-D43-D44</f>
        <v>209000.11212175665</v>
      </c>
      <c r="E45" s="20">
        <f>E41+E42-E43-E44</f>
        <v>224236.22029543296</v>
      </c>
      <c r="F45" s="20">
        <f>F41+F42-F43-F44</f>
        <v>240583.04075496987</v>
      </c>
      <c r="G45" s="20">
        <f>G41+G42-G43-G44</f>
        <v>258121.54442600705</v>
      </c>
    </row>
    <row r="46" spans="2:7" ht="14" x14ac:dyDescent="0.3">
      <c r="B46" s="4" t="s">
        <v>103</v>
      </c>
      <c r="C46" s="21">
        <f>1/(1+C26)^(C19+0)</f>
        <v>0.93416630416313851</v>
      </c>
      <c r="D46" s="21">
        <f>1/(1+C26)^(C19+1)</f>
        <v>0.8726666838338174</v>
      </c>
      <c r="E46" s="21">
        <f>1/(1+C26)^(C19+2)</f>
        <v>0.81521581080333927</v>
      </c>
      <c r="F46" s="21">
        <f>1/(1+C26)^(C19+3)</f>
        <v>0.76154714107351174</v>
      </c>
      <c r="G46" s="21">
        <f>1/(1+C26)^(C19+4)</f>
        <v>0.71141167822264673</v>
      </c>
    </row>
    <row r="47" spans="2:7" ht="14" x14ac:dyDescent="0.3">
      <c r="B47" s="4" t="s">
        <v>104</v>
      </c>
      <c r="C47" s="19">
        <f>C45*C46</f>
        <v>171336.41734744227</v>
      </c>
      <c r="D47" s="19">
        <f>D45*D46</f>
        <v>182387.4347661894</v>
      </c>
      <c r="E47" s="19">
        <f>E45*E46</f>
        <v>182800.91213961758</v>
      </c>
      <c r="F47" s="19">
        <f>F45*F46</f>
        <v>183215.32687771946</v>
      </c>
      <c r="G47" s="19">
        <f>G45*G46</f>
        <v>183630.68110552715</v>
      </c>
    </row>
    <row r="49" spans="2:7" ht="14" x14ac:dyDescent="0.3">
      <c r="B49" s="22" t="s">
        <v>105</v>
      </c>
      <c r="C49" s="23"/>
      <c r="D49" s="23"/>
      <c r="E49" s="23"/>
      <c r="F49" s="23"/>
      <c r="G49" s="23"/>
    </row>
    <row r="50" spans="2:7" ht="14" x14ac:dyDescent="0.3">
      <c r="B50" s="4" t="s">
        <v>106</v>
      </c>
      <c r="C50" s="5">
        <f>SUM(C47:G47)</f>
        <v>903370.77223649598</v>
      </c>
    </row>
    <row r="51" spans="2:7" ht="14" x14ac:dyDescent="0.3">
      <c r="B51" s="4" t="s">
        <v>107</v>
      </c>
      <c r="C51" s="5">
        <f>G45*(1+C13)/(C26-C13)</f>
        <v>4311045.6753416946</v>
      </c>
    </row>
    <row r="52" spans="2:7" ht="14" x14ac:dyDescent="0.3">
      <c r="B52" s="4" t="s">
        <v>108</v>
      </c>
      <c r="C52" s="5">
        <f>C51*G46</f>
        <v>3066928.2387893186</v>
      </c>
    </row>
    <row r="53" spans="2:7" ht="14" x14ac:dyDescent="0.3">
      <c r="B53" s="4" t="s">
        <v>109</v>
      </c>
      <c r="C53" s="5">
        <f>C50+C52</f>
        <v>3970299.0110258143</v>
      </c>
    </row>
    <row r="54" spans="2:7" ht="14" x14ac:dyDescent="0.3">
      <c r="B54" s="4" t="s">
        <v>110</v>
      </c>
      <c r="C54" s="5">
        <f>C53-C16</f>
        <v>3548437.0110258143</v>
      </c>
    </row>
    <row r="55" spans="2:7" ht="14" x14ac:dyDescent="0.3">
      <c r="B55" s="4" t="s">
        <v>111</v>
      </c>
      <c r="C55" s="24">
        <f>ROUND(C54*1000000/C15,0)</f>
        <v>8201</v>
      </c>
    </row>
    <row r="57" spans="2:7" ht="14" x14ac:dyDescent="0.3">
      <c r="B57" s="22" t="s">
        <v>112</v>
      </c>
      <c r="C57" s="23"/>
      <c r="D57" s="23"/>
      <c r="E57" s="23"/>
      <c r="F57" s="23"/>
      <c r="G57" s="23"/>
    </row>
    <row r="58" spans="2:7" ht="14" x14ac:dyDescent="0.3">
      <c r="B58" s="4" t="s">
        <v>106</v>
      </c>
      <c r="C58" s="5">
        <f>C50</f>
        <v>903370.77223649598</v>
      </c>
    </row>
    <row r="59" spans="2:7" ht="14" x14ac:dyDescent="0.3">
      <c r="B59" s="4" t="s">
        <v>113</v>
      </c>
      <c r="C59" s="5">
        <f>G39+G42</f>
        <v>720903.02002864331</v>
      </c>
    </row>
    <row r="60" spans="2:7" ht="14" x14ac:dyDescent="0.3">
      <c r="B60" s="4" t="s">
        <v>114</v>
      </c>
      <c r="C60" s="5">
        <f>C59*C14</f>
        <v>5767224.1602291465</v>
      </c>
    </row>
    <row r="61" spans="2:7" ht="14" x14ac:dyDescent="0.3">
      <c r="B61" s="4" t="s">
        <v>108</v>
      </c>
      <c r="C61" s="5">
        <f>C60*G46</f>
        <v>4102870.6185148116</v>
      </c>
    </row>
    <row r="62" spans="2:7" ht="14" x14ac:dyDescent="0.3">
      <c r="B62" s="4" t="s">
        <v>109</v>
      </c>
      <c r="C62" s="5">
        <f>C58+C61</f>
        <v>5006241.3907513078</v>
      </c>
    </row>
    <row r="63" spans="2:7" ht="14" x14ac:dyDescent="0.3">
      <c r="B63" s="4" t="s">
        <v>110</v>
      </c>
      <c r="C63" s="5">
        <f>C62-C16</f>
        <v>4584379.3907513078</v>
      </c>
    </row>
    <row r="64" spans="2:7" ht="14" x14ac:dyDescent="0.3">
      <c r="B64" s="4" t="s">
        <v>115</v>
      </c>
      <c r="C64" s="24">
        <f>ROUND(C63*1000000/C15,0)</f>
        <v>10595</v>
      </c>
    </row>
    <row r="66" spans="2:7" ht="14" x14ac:dyDescent="0.3">
      <c r="B66" s="22" t="s">
        <v>116</v>
      </c>
      <c r="C66" s="23"/>
      <c r="D66" s="23"/>
      <c r="E66" s="23"/>
      <c r="F66" s="23"/>
      <c r="G66" s="23"/>
    </row>
    <row r="67" spans="2:7" ht="14" x14ac:dyDescent="0.3">
      <c r="C67" s="25" t="s">
        <v>117</v>
      </c>
      <c r="D67" s="25" t="s">
        <v>118</v>
      </c>
      <c r="E67" s="25" t="s">
        <v>119</v>
      </c>
      <c r="F67" s="25" t="s">
        <v>120</v>
      </c>
      <c r="G67" s="25" t="s">
        <v>121</v>
      </c>
    </row>
    <row r="68" spans="2:7" ht="14" x14ac:dyDescent="0.3">
      <c r="B68" s="3" t="s">
        <v>48</v>
      </c>
    </row>
    <row r="69" spans="2:7" ht="14" x14ac:dyDescent="0.3">
      <c r="B69" s="4" t="s">
        <v>85</v>
      </c>
      <c r="C69" s="26">
        <v>7.2900000000000006E-2</v>
      </c>
      <c r="D69" s="26">
        <v>7.2900000000000006E-2</v>
      </c>
      <c r="E69" s="26">
        <v>7.2900000000000006E-2</v>
      </c>
      <c r="F69" s="26">
        <v>7.2900000000000006E-2</v>
      </c>
      <c r="G69" s="26">
        <v>7.2900000000000006E-2</v>
      </c>
    </row>
    <row r="70" spans="2:7" ht="14" x14ac:dyDescent="0.3">
      <c r="B70" s="4" t="s">
        <v>122</v>
      </c>
      <c r="C70" s="26">
        <v>0.1094</v>
      </c>
      <c r="D70" s="26">
        <v>0.1094</v>
      </c>
      <c r="E70" s="26">
        <v>0.1094</v>
      </c>
      <c r="F70" s="26">
        <v>0.1094</v>
      </c>
      <c r="G70" s="26">
        <v>0.1094</v>
      </c>
    </row>
    <row r="71" spans="2:7" ht="14" x14ac:dyDescent="0.3">
      <c r="B71" s="4" t="s">
        <v>123</v>
      </c>
      <c r="C71" s="26">
        <v>9.0899999999999995E-2</v>
      </c>
      <c r="D71" s="26">
        <v>8.7300000000000003E-2</v>
      </c>
      <c r="E71" s="26">
        <v>8.3699999999999997E-2</v>
      </c>
      <c r="F71" s="26">
        <v>8.0100000000000005E-2</v>
      </c>
      <c r="G71" s="26">
        <v>7.6499999999999999E-2</v>
      </c>
    </row>
    <row r="72" spans="2:7" ht="14" x14ac:dyDescent="0.3">
      <c r="B72" s="4" t="s">
        <v>124</v>
      </c>
      <c r="C72" s="26">
        <v>3.6499999999999998E-2</v>
      </c>
      <c r="D72" s="26">
        <v>3.6499999999999998E-2</v>
      </c>
      <c r="E72" s="26">
        <v>3.6499999999999998E-2</v>
      </c>
      <c r="F72" s="26">
        <v>3.6499999999999998E-2</v>
      </c>
      <c r="G72" s="26">
        <v>3.6499999999999998E-2</v>
      </c>
    </row>
    <row r="73" spans="2:7" ht="14" x14ac:dyDescent="0.3">
      <c r="B73" s="4" t="s">
        <v>125</v>
      </c>
      <c r="C73" s="26">
        <v>0</v>
      </c>
      <c r="D73" s="26">
        <v>0</v>
      </c>
      <c r="E73" s="26">
        <v>0</v>
      </c>
      <c r="F73" s="26">
        <v>0</v>
      </c>
      <c r="G73" s="26">
        <v>0</v>
      </c>
    </row>
    <row r="75" spans="2:7" ht="14" x14ac:dyDescent="0.3">
      <c r="B75" s="3" t="s">
        <v>92</v>
      </c>
    </row>
    <row r="76" spans="2:7" ht="14" x14ac:dyDescent="0.3">
      <c r="B76" s="4" t="s">
        <v>85</v>
      </c>
      <c r="C76" s="26">
        <v>0.81710000000000005</v>
      </c>
      <c r="D76" s="26">
        <v>0.81710000000000005</v>
      </c>
      <c r="E76" s="26">
        <v>0.81710000000000005</v>
      </c>
      <c r="F76" s="26">
        <v>0.81710000000000005</v>
      </c>
      <c r="G76" s="26">
        <v>0.81710000000000005</v>
      </c>
    </row>
    <row r="77" spans="2:7" ht="14" x14ac:dyDescent="0.3">
      <c r="B77" s="4" t="s">
        <v>122</v>
      </c>
      <c r="C77" s="26">
        <v>0.7762</v>
      </c>
      <c r="D77" s="26">
        <v>0.7762</v>
      </c>
      <c r="E77" s="26">
        <v>0.7762</v>
      </c>
      <c r="F77" s="26">
        <v>0.7762</v>
      </c>
      <c r="G77" s="26">
        <v>0.7762</v>
      </c>
    </row>
    <row r="78" spans="2:7" ht="14" x14ac:dyDescent="0.3">
      <c r="B78" s="4" t="s">
        <v>123</v>
      </c>
      <c r="C78" s="26">
        <v>0.81710000000000005</v>
      </c>
      <c r="D78" s="26">
        <v>0.81710000000000005</v>
      </c>
      <c r="E78" s="26">
        <v>0.81710000000000005</v>
      </c>
      <c r="F78" s="26">
        <v>0.81710000000000005</v>
      </c>
      <c r="G78" s="26">
        <v>0.81710000000000005</v>
      </c>
    </row>
    <row r="79" spans="2:7" ht="14" x14ac:dyDescent="0.3">
      <c r="B79" s="4" t="s">
        <v>124</v>
      </c>
      <c r="C79" s="26">
        <v>0.85799999999999998</v>
      </c>
      <c r="D79" s="26">
        <v>0.85799999999999998</v>
      </c>
      <c r="E79" s="26">
        <v>0.85799999999999998</v>
      </c>
      <c r="F79" s="26">
        <v>0.85799999999999998</v>
      </c>
      <c r="G79" s="26">
        <v>0.85799999999999998</v>
      </c>
    </row>
    <row r="80" spans="2:7" ht="14" x14ac:dyDescent="0.3">
      <c r="B80" s="4" t="s">
        <v>125</v>
      </c>
      <c r="C80" s="26">
        <v>0.89880000000000004</v>
      </c>
      <c r="D80" s="26">
        <v>0.89880000000000004</v>
      </c>
      <c r="E80" s="26">
        <v>0.89880000000000004</v>
      </c>
      <c r="F80" s="26">
        <v>0.89880000000000004</v>
      </c>
      <c r="G80" s="26">
        <v>0.89880000000000004</v>
      </c>
    </row>
    <row r="82" spans="2:7" ht="14" x14ac:dyDescent="0.3">
      <c r="B82" s="3" t="s">
        <v>93</v>
      </c>
    </row>
    <row r="83" spans="2:7" ht="14" x14ac:dyDescent="0.3">
      <c r="B83" s="4" t="s">
        <v>85</v>
      </c>
      <c r="C83" s="26">
        <v>9.7299999999999998E-2</v>
      </c>
      <c r="D83" s="26">
        <v>9.7299999999999998E-2</v>
      </c>
      <c r="E83" s="26">
        <v>9.7299999999999998E-2</v>
      </c>
      <c r="F83" s="26">
        <v>9.7299999999999998E-2</v>
      </c>
      <c r="G83" s="26">
        <v>9.7299999999999998E-2</v>
      </c>
    </row>
    <row r="84" spans="2:7" ht="14" x14ac:dyDescent="0.3">
      <c r="B84" s="4" t="s">
        <v>122</v>
      </c>
      <c r="C84" s="26">
        <v>8.7599999999999997E-2</v>
      </c>
      <c r="D84" s="26">
        <v>8.7599999999999997E-2</v>
      </c>
      <c r="E84" s="26">
        <v>8.7599999999999997E-2</v>
      </c>
      <c r="F84" s="26">
        <v>8.7599999999999997E-2</v>
      </c>
      <c r="G84" s="26">
        <v>8.7599999999999997E-2</v>
      </c>
    </row>
    <row r="85" spans="2:7" ht="14" x14ac:dyDescent="0.3">
      <c r="B85" s="4" t="s">
        <v>123</v>
      </c>
      <c r="C85" s="26">
        <v>9.7299999999999998E-2</v>
      </c>
      <c r="D85" s="26">
        <v>9.7299999999999998E-2</v>
      </c>
      <c r="E85" s="26">
        <v>9.7299999999999998E-2</v>
      </c>
      <c r="F85" s="26">
        <v>9.7299999999999998E-2</v>
      </c>
      <c r="G85" s="26">
        <v>9.7299999999999998E-2</v>
      </c>
    </row>
    <row r="86" spans="2:7" ht="14" x14ac:dyDescent="0.3">
      <c r="B86" s="4" t="s">
        <v>124</v>
      </c>
      <c r="C86" s="26">
        <v>0.107</v>
      </c>
      <c r="D86" s="26">
        <v>0.107</v>
      </c>
      <c r="E86" s="26">
        <v>0.107</v>
      </c>
      <c r="F86" s="26">
        <v>0.107</v>
      </c>
      <c r="G86" s="26">
        <v>0.107</v>
      </c>
    </row>
    <row r="87" spans="2:7" ht="14" x14ac:dyDescent="0.3">
      <c r="B87" s="4" t="s">
        <v>125</v>
      </c>
      <c r="C87" s="26">
        <v>0.1119</v>
      </c>
      <c r="D87" s="26">
        <v>0.1119</v>
      </c>
      <c r="E87" s="26">
        <v>0.1119</v>
      </c>
      <c r="F87" s="26">
        <v>0.1119</v>
      </c>
      <c r="G87" s="26">
        <v>0.1119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126</v>
      </c>
    </row>
    <row r="3" spans="2:9" ht="14" x14ac:dyDescent="0.3">
      <c r="B3" s="1" t="s">
        <v>127</v>
      </c>
    </row>
    <row r="5" spans="2:9" ht="14" x14ac:dyDescent="0.3">
      <c r="B5" s="8" t="s">
        <v>128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129</v>
      </c>
      <c r="C6" s="15">
        <f>'Executive Summary'!C9</f>
        <v>2999.5</v>
      </c>
    </row>
    <row r="7" spans="2:9" ht="14" x14ac:dyDescent="0.3">
      <c r="B7" s="4" t="s">
        <v>73</v>
      </c>
      <c r="C7" s="15">
        <f>'DCF Model'!C15</f>
        <v>432703817</v>
      </c>
    </row>
    <row r="8" spans="2:9" ht="14" x14ac:dyDescent="0.3">
      <c r="B8" s="4" t="s">
        <v>130</v>
      </c>
      <c r="C8" s="5">
        <f>C6*C7/1000000</f>
        <v>1297895.0990915</v>
      </c>
    </row>
    <row r="9" spans="2:9" ht="14" x14ac:dyDescent="0.3">
      <c r="B9" s="4" t="s">
        <v>74</v>
      </c>
      <c r="C9" s="5">
        <f>'DCF Model'!C16</f>
        <v>421862</v>
      </c>
    </row>
    <row r="10" spans="2:9" ht="14" x14ac:dyDescent="0.3">
      <c r="B10" s="4" t="s">
        <v>131</v>
      </c>
      <c r="C10" s="5">
        <f>C8+C9</f>
        <v>1719757.0990915</v>
      </c>
    </row>
    <row r="11" spans="2:9" ht="14" x14ac:dyDescent="0.3">
      <c r="B11" s="4" t="s">
        <v>132</v>
      </c>
      <c r="C11" s="16">
        <f>'DCF Model'!C26</f>
        <v>7.0473207547169806E-2</v>
      </c>
    </row>
    <row r="12" spans="2:9" ht="14" x14ac:dyDescent="0.3">
      <c r="B12" s="4" t="s">
        <v>133</v>
      </c>
      <c r="C12" s="16">
        <f>'DCF Model'!C13</f>
        <v>0.01</v>
      </c>
    </row>
    <row r="13" spans="2:9" ht="14" x14ac:dyDescent="0.3">
      <c r="B13" s="4" t="s">
        <v>134</v>
      </c>
      <c r="C13" s="16">
        <f>'DCF Model'!C6</f>
        <v>0.25</v>
      </c>
    </row>
    <row r="14" spans="2:9" ht="14" x14ac:dyDescent="0.3">
      <c r="B14" s="4" t="s">
        <v>135</v>
      </c>
      <c r="C14" s="27">
        <v>217437</v>
      </c>
    </row>
    <row r="15" spans="2:9" ht="14" x14ac:dyDescent="0.3">
      <c r="B15" s="4" t="s">
        <v>136</v>
      </c>
      <c r="C15" s="27">
        <v>217437</v>
      </c>
    </row>
    <row r="16" spans="2:9" ht="14" x14ac:dyDescent="0.3">
      <c r="B16" s="4" t="s">
        <v>137</v>
      </c>
      <c r="C16" s="5">
        <f>'DCF Model'!G33</f>
        <v>3609929.9951359225</v>
      </c>
    </row>
    <row r="17" spans="2:9" ht="14" x14ac:dyDescent="0.3">
      <c r="B17" s="4" t="s">
        <v>138</v>
      </c>
      <c r="C17" s="5">
        <f>'DCF Model'!C53</f>
        <v>3970299.0110258143</v>
      </c>
    </row>
    <row r="18" spans="2:9" ht="14" x14ac:dyDescent="0.3">
      <c r="B18" s="4" t="s">
        <v>139</v>
      </c>
      <c r="C18" s="26">
        <v>8.5630975967939921E-2</v>
      </c>
    </row>
    <row r="19" spans="2:9" ht="14" x14ac:dyDescent="0.3">
      <c r="B19" s="4" t="s">
        <v>140</v>
      </c>
      <c r="C19" s="5">
        <f>C10-C17</f>
        <v>-2250541.9119343143</v>
      </c>
    </row>
    <row r="20" spans="2:9" ht="14" x14ac:dyDescent="0.3">
      <c r="B20" s="4" t="s">
        <v>141</v>
      </c>
      <c r="C20" s="15">
        <f>IFERROR(ROUND(C19*1000000/C7,0),"N/A")</f>
        <v>-5201</v>
      </c>
    </row>
    <row r="22" spans="2:9" ht="14" x14ac:dyDescent="0.3">
      <c r="B22" s="8" t="s">
        <v>142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143</v>
      </c>
    </row>
    <row r="24" spans="2:9" ht="14" x14ac:dyDescent="0.3">
      <c r="B24" s="4" t="s">
        <v>144</v>
      </c>
      <c r="C24" s="5">
        <f>C10*(C11-C12)</f>
        <v>103999.22798407894</v>
      </c>
    </row>
    <row r="25" spans="2:9" ht="14" x14ac:dyDescent="0.3">
      <c r="B25" s="4" t="s">
        <v>145</v>
      </c>
      <c r="C25" s="5">
        <f>IFERROR(C24/(1-C13),"N/A")</f>
        <v>138665.63731210525</v>
      </c>
    </row>
    <row r="26" spans="2:9" ht="13.5" x14ac:dyDescent="0.25">
      <c r="B26" s="6" t="s">
        <v>146</v>
      </c>
      <c r="C26" s="14">
        <f>IFERROR(C25/C15,"N/A")</f>
        <v>0.63772788123504853</v>
      </c>
    </row>
    <row r="27" spans="2:9" ht="13.5" x14ac:dyDescent="0.25">
      <c r="B27" s="6" t="s">
        <v>147</v>
      </c>
      <c r="C27" s="14">
        <f>IFERROR(C25/C14,"N/A")</f>
        <v>0.63772788123504853</v>
      </c>
    </row>
    <row r="28" spans="2:9" ht="13.5" x14ac:dyDescent="0.25">
      <c r="B28" s="6" t="s">
        <v>148</v>
      </c>
      <c r="C28" s="7">
        <f>IFERROR(C25/C16,"N/A")</f>
        <v>3.8412278769656354E-2</v>
      </c>
    </row>
    <row r="29" spans="2:9" ht="13.5" x14ac:dyDescent="0.25">
      <c r="B29" s="6" t="s">
        <v>149</v>
      </c>
      <c r="C29" s="5">
        <f>IFERROR(C25/C18,"N/A")</f>
        <v>1619339.681052116</v>
      </c>
    </row>
    <row r="32" spans="2:9" ht="14" x14ac:dyDescent="0.3">
      <c r="B32" s="8" t="s">
        <v>150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151</v>
      </c>
    </row>
    <row r="34" spans="2:9" ht="14" x14ac:dyDescent="0.3">
      <c r="B34" s="1" t="s">
        <v>152</v>
      </c>
    </row>
    <row r="36" spans="2:9" ht="14" x14ac:dyDescent="0.3">
      <c r="B36" s="28" t="s">
        <v>153</v>
      </c>
      <c r="C36" s="28" t="s">
        <v>154</v>
      </c>
      <c r="D36" s="29">
        <f>'DCF Model'!C26-0.02</f>
        <v>5.0473207547169802E-2</v>
      </c>
      <c r="E36" s="29">
        <f>'DCF Model'!C26-0.01</f>
        <v>6.0473207547169804E-2</v>
      </c>
      <c r="F36" s="29">
        <f>'DCF Model'!C26</f>
        <v>7.0473207547169806E-2</v>
      </c>
      <c r="G36" s="29">
        <f>'DCF Model'!C26+0.01</f>
        <v>8.0473207547169801E-2</v>
      </c>
      <c r="H36" s="29">
        <f>'DCF Model'!C26+0.02</f>
        <v>9.0473207547169809E-2</v>
      </c>
    </row>
    <row r="37" spans="2:9" ht="14" x14ac:dyDescent="0.3">
      <c r="B37" s="3" t="s">
        <v>155</v>
      </c>
    </row>
    <row r="38" spans="2:9" ht="14" x14ac:dyDescent="0.3">
      <c r="B38" s="4" t="s">
        <v>156</v>
      </c>
      <c r="C38" s="30">
        <v>3</v>
      </c>
      <c r="D38" s="13">
        <f t="shared" ref="D38:H41" si="0">IFERROR((1-(1+D$36)^(-$C38))/D$36-(1+D$36)/(D$36^2*$C38)*(1-($C38+1)/(1+D$36)^$C38+$C38/(1+D$36)^($C38+1)),"N/A")</f>
        <v>0.93670544897480656</v>
      </c>
      <c r="E38" s="13">
        <f t="shared" si="0"/>
        <v>0.92505095535543935</v>
      </c>
      <c r="F38" s="13">
        <f t="shared" si="0"/>
        <v>0.91366643072004372</v>
      </c>
      <c r="G38" s="13">
        <f t="shared" si="0"/>
        <v>0.90254294259592993</v>
      </c>
      <c r="H38" s="13">
        <f t="shared" si="0"/>
        <v>0.89167193837900327</v>
      </c>
    </row>
    <row r="39" spans="2:9" ht="14" x14ac:dyDescent="0.3">
      <c r="B39" s="4" t="s">
        <v>157</v>
      </c>
      <c r="C39" s="30">
        <v>5</v>
      </c>
      <c r="D39" s="13">
        <f t="shared" si="0"/>
        <v>1.8146015369507937</v>
      </c>
      <c r="E39" s="13">
        <f t="shared" si="0"/>
        <v>1.7814361014997995</v>
      </c>
      <c r="F39" s="13">
        <f t="shared" si="0"/>
        <v>1.7493288061668326</v>
      </c>
      <c r="G39" s="13">
        <f t="shared" si="0"/>
        <v>1.7182336176520363</v>
      </c>
      <c r="H39" s="13">
        <f t="shared" si="0"/>
        <v>1.6881069881546917</v>
      </c>
    </row>
    <row r="40" spans="2:9" ht="14" x14ac:dyDescent="0.3">
      <c r="B40" s="4" t="s">
        <v>158</v>
      </c>
      <c r="C40" s="30">
        <v>7</v>
      </c>
      <c r="D40" s="13">
        <f t="shared" si="0"/>
        <v>2.637835259483023</v>
      </c>
      <c r="E40" s="13">
        <f t="shared" si="0"/>
        <v>2.5748784379767375</v>
      </c>
      <c r="F40" s="13">
        <f t="shared" si="0"/>
        <v>2.5144622978872619</v>
      </c>
      <c r="G40" s="13">
        <f t="shared" si="0"/>
        <v>2.4564505963862335</v>
      </c>
      <c r="H40" s="13">
        <f t="shared" si="0"/>
        <v>2.4007159690336817</v>
      </c>
    </row>
    <row r="41" spans="2:9" ht="14" x14ac:dyDescent="0.3">
      <c r="B41" s="4" t="s">
        <v>159</v>
      </c>
      <c r="C41" s="30">
        <v>10</v>
      </c>
      <c r="D41" s="13">
        <f t="shared" si="0"/>
        <v>3.7785045071737775</v>
      </c>
      <c r="E41" s="13">
        <f t="shared" si="0"/>
        <v>3.6583040294117808</v>
      </c>
      <c r="F41" s="13">
        <f t="shared" si="0"/>
        <v>3.5444146830108147</v>
      </c>
      <c r="G41" s="13">
        <f t="shared" si="0"/>
        <v>3.4364056562604168</v>
      </c>
      <c r="H41" s="13">
        <f t="shared" si="0"/>
        <v>3.3338811985166865</v>
      </c>
    </row>
    <row r="42" spans="2:9" ht="14" x14ac:dyDescent="0.3">
      <c r="B42" s="3" t="s">
        <v>160</v>
      </c>
    </row>
    <row r="43" spans="2:9" ht="14" x14ac:dyDescent="0.3">
      <c r="B43" s="4" t="s">
        <v>156</v>
      </c>
      <c r="C43" s="30">
        <v>3</v>
      </c>
      <c r="D43" s="13">
        <f t="shared" ref="D43:H46" si="1">IFERROR((1+D$36)/(D$36^2*$C43)*(1-($C43+1)/(1+D$36)^$C43+$C43/(1+D$36)^($C43+1))+(1+$C$12)/((D$36-$C$12)*(1+D$36)^$C43),"N/A")</f>
        <v>23.31188801158299</v>
      </c>
      <c r="E43" s="13">
        <f t="shared" si="1"/>
        <v>18.524440599842805</v>
      </c>
      <c r="F43" s="13">
        <f t="shared" si="1"/>
        <v>15.323799877878061</v>
      </c>
      <c r="G43" s="13">
        <f t="shared" si="1"/>
        <v>13.034369395455252</v>
      </c>
      <c r="H43" s="13">
        <f t="shared" si="1"/>
        <v>11.316368508306279</v>
      </c>
    </row>
    <row r="44" spans="2:9" ht="14" x14ac:dyDescent="0.3">
      <c r="B44" s="4" t="s">
        <v>157</v>
      </c>
      <c r="C44" s="30">
        <v>5</v>
      </c>
      <c r="D44" s="13">
        <f t="shared" si="1"/>
        <v>22.017940938841868</v>
      </c>
      <c r="E44" s="13">
        <f t="shared" si="1"/>
        <v>17.345274972939006</v>
      </c>
      <c r="F44" s="13">
        <f t="shared" si="1"/>
        <v>14.22740005921777</v>
      </c>
      <c r="G44" s="13">
        <f t="shared" si="1"/>
        <v>12.002066935990396</v>
      </c>
      <c r="H44" s="13">
        <f t="shared" si="1"/>
        <v>10.336223247816976</v>
      </c>
    </row>
    <row r="45" spans="2:9" ht="14" x14ac:dyDescent="0.3">
      <c r="B45" s="4" t="s">
        <v>158</v>
      </c>
      <c r="C45" s="30">
        <v>7</v>
      </c>
      <c r="D45" s="13">
        <f t="shared" si="1"/>
        <v>20.817676620827108</v>
      </c>
      <c r="E45" s="13">
        <f t="shared" si="1"/>
        <v>16.264815476552677</v>
      </c>
      <c r="F45" s="13">
        <f t="shared" si="1"/>
        <v>13.234729687576907</v>
      </c>
      <c r="G45" s="13">
        <f t="shared" si="1"/>
        <v>11.078302897963141</v>
      </c>
      <c r="H45" s="13">
        <f t="shared" si="1"/>
        <v>9.4691232271866905</v>
      </c>
    </row>
    <row r="46" spans="2:9" ht="14" x14ac:dyDescent="0.3">
      <c r="B46" s="4" t="s">
        <v>159</v>
      </c>
      <c r="C46" s="30">
        <v>10</v>
      </c>
      <c r="D46" s="13">
        <f t="shared" si="1"/>
        <v>19.176714031857426</v>
      </c>
      <c r="E46" s="13">
        <f t="shared" si="1"/>
        <v>14.809373837365555</v>
      </c>
      <c r="F46" s="13">
        <f t="shared" si="1"/>
        <v>11.916624429717107</v>
      </c>
      <c r="G46" s="13">
        <f t="shared" si="1"/>
        <v>9.868705480218674</v>
      </c>
      <c r="H46" s="13">
        <f t="shared" si="1"/>
        <v>8.3490468370039466</v>
      </c>
    </row>
    <row r="47" spans="2:9" ht="14" x14ac:dyDescent="0.3">
      <c r="B47" s="22" t="s">
        <v>161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156</v>
      </c>
      <c r="C48" s="30">
        <v>3</v>
      </c>
      <c r="D48" s="5">
        <f t="shared" ref="D48:H51" si="2">IFERROR(($C$10/(1-$C$13)-$C$14*D38)/D43,"N/A")</f>
        <v>89625.303695199167</v>
      </c>
      <c r="E48" s="5">
        <f t="shared" si="2"/>
        <v>112924.82218833987</v>
      </c>
      <c r="F48" s="5">
        <f t="shared" si="2"/>
        <v>136672.6656866828</v>
      </c>
      <c r="G48" s="5">
        <f t="shared" si="2"/>
        <v>160864.18698377453</v>
      </c>
      <c r="H48" s="5">
        <f t="shared" si="2"/>
        <v>185494.75413859548</v>
      </c>
    </row>
    <row r="49" spans="2:9" ht="14" x14ac:dyDescent="0.3">
      <c r="B49" s="4" t="s">
        <v>157</v>
      </c>
      <c r="C49" s="30">
        <v>5</v>
      </c>
      <c r="D49" s="5">
        <f t="shared" si="2"/>
        <v>86222.774252078671</v>
      </c>
      <c r="E49" s="5">
        <f t="shared" si="2"/>
        <v>109866.19392466305</v>
      </c>
      <c r="F49" s="5">
        <f t="shared" si="2"/>
        <v>134433.60346008249</v>
      </c>
      <c r="G49" s="5">
        <f t="shared" si="2"/>
        <v>159922.61271083643</v>
      </c>
      <c r="H49" s="5">
        <f t="shared" si="2"/>
        <v>186330.39361632455</v>
      </c>
    </row>
    <row r="50" spans="2:9" ht="14" x14ac:dyDescent="0.3">
      <c r="B50" s="4" t="s">
        <v>158</v>
      </c>
      <c r="C50" s="30">
        <v>7</v>
      </c>
      <c r="D50" s="5">
        <f t="shared" si="2"/>
        <v>82595.503401128721</v>
      </c>
      <c r="E50" s="5">
        <f t="shared" si="2"/>
        <v>106557.34920789416</v>
      </c>
      <c r="F50" s="5">
        <f t="shared" si="2"/>
        <v>131946.20275688748</v>
      </c>
      <c r="G50" s="5">
        <f t="shared" si="2"/>
        <v>158768.56169479614</v>
      </c>
      <c r="H50" s="5">
        <f t="shared" si="2"/>
        <v>187029.45825140859</v>
      </c>
    </row>
    <row r="51" spans="2:9" ht="14" x14ac:dyDescent="0.3">
      <c r="B51" s="4" t="s">
        <v>159</v>
      </c>
      <c r="C51" s="30">
        <v>10</v>
      </c>
      <c r="D51" s="5">
        <f t="shared" si="2"/>
        <v>76729.661738949595</v>
      </c>
      <c r="E51" s="5">
        <f t="shared" si="2"/>
        <v>101122.35862623921</v>
      </c>
      <c r="F51" s="5">
        <f t="shared" si="2"/>
        <v>127747.80131773018</v>
      </c>
      <c r="G51" s="5">
        <f t="shared" si="2"/>
        <v>156637.33524863329</v>
      </c>
      <c r="H51" s="5">
        <f t="shared" si="2"/>
        <v>187817.88746751993</v>
      </c>
    </row>
    <row r="52" spans="2:9" ht="14" x14ac:dyDescent="0.3">
      <c r="B52" s="22" t="s">
        <v>162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156</v>
      </c>
      <c r="C53" s="30">
        <v>3</v>
      </c>
      <c r="D53" s="14">
        <f t="shared" ref="D53:H56" si="3">IFERROR(D48/$C$15,"N/A")</f>
        <v>0.41218975471147584</v>
      </c>
      <c r="E53" s="14">
        <f t="shared" si="3"/>
        <v>0.51934501574405401</v>
      </c>
      <c r="F53" s="14">
        <f t="shared" si="3"/>
        <v>0.62856213839724973</v>
      </c>
      <c r="G53" s="14">
        <f t="shared" si="3"/>
        <v>0.73981975001390987</v>
      </c>
      <c r="H53" s="14">
        <f t="shared" si="3"/>
        <v>0.85309654814311953</v>
      </c>
    </row>
    <row r="54" spans="2:9" ht="14" x14ac:dyDescent="0.3">
      <c r="B54" s="4" t="s">
        <v>157</v>
      </c>
      <c r="C54" s="30">
        <v>5</v>
      </c>
      <c r="D54" s="14">
        <f t="shared" si="3"/>
        <v>0.39654140855548353</v>
      </c>
      <c r="E54" s="14">
        <f t="shared" si="3"/>
        <v>0.50527828255845619</v>
      </c>
      <c r="F54" s="14">
        <f t="shared" si="3"/>
        <v>0.61826461669395039</v>
      </c>
      <c r="G54" s="14">
        <f t="shared" si="3"/>
        <v>0.73548941859405914</v>
      </c>
      <c r="H54" s="14">
        <f t="shared" si="3"/>
        <v>0.85693968191395464</v>
      </c>
    </row>
    <row r="55" spans="2:9" ht="14" x14ac:dyDescent="0.3">
      <c r="B55" s="4" t="s">
        <v>158</v>
      </c>
      <c r="C55" s="30">
        <v>7</v>
      </c>
      <c r="D55" s="14">
        <f t="shared" si="3"/>
        <v>0.37985946918476948</v>
      </c>
      <c r="E55" s="14">
        <f t="shared" si="3"/>
        <v>0.49006079557708287</v>
      </c>
      <c r="F55" s="14">
        <f t="shared" si="3"/>
        <v>0.60682497807129177</v>
      </c>
      <c r="G55" s="14">
        <f t="shared" si="3"/>
        <v>0.73018189956077462</v>
      </c>
      <c r="H55" s="14">
        <f t="shared" si="3"/>
        <v>0.86015470343781686</v>
      </c>
    </row>
    <row r="56" spans="2:9" ht="14" x14ac:dyDescent="0.3">
      <c r="B56" s="4" t="s">
        <v>159</v>
      </c>
      <c r="C56" s="30">
        <v>10</v>
      </c>
      <c r="D56" s="14">
        <f t="shared" si="3"/>
        <v>0.35288226814640378</v>
      </c>
      <c r="E56" s="14">
        <f t="shared" si="3"/>
        <v>0.46506509299815213</v>
      </c>
      <c r="F56" s="14">
        <f t="shared" si="3"/>
        <v>0.58751639011635637</v>
      </c>
      <c r="G56" s="14">
        <f t="shared" si="3"/>
        <v>0.72038031820082726</v>
      </c>
      <c r="H56" s="14">
        <f t="shared" si="3"/>
        <v>0.86378071564416326</v>
      </c>
    </row>
    <row r="58" spans="2:9" ht="14" x14ac:dyDescent="0.3">
      <c r="B58" s="8" t="s">
        <v>163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164</v>
      </c>
    </row>
    <row r="60" spans="2:9" ht="14" x14ac:dyDescent="0.3">
      <c r="B60" s="4" t="s">
        <v>165</v>
      </c>
      <c r="C60" s="5">
        <f>F49</f>
        <v>134433.60346008249</v>
      </c>
    </row>
    <row r="62" spans="2:9" ht="14" x14ac:dyDescent="0.3">
      <c r="B62" s="28" t="s">
        <v>166</v>
      </c>
      <c r="C62" s="28" t="s">
        <v>167</v>
      </c>
      <c r="D62" s="28" t="s">
        <v>168</v>
      </c>
    </row>
    <row r="63" spans="2:9" ht="14" x14ac:dyDescent="0.3">
      <c r="B63" s="31">
        <v>4.2799999999999998E-2</v>
      </c>
      <c r="C63" s="5">
        <f>IFERROR($C$60/B63,"N/A")</f>
        <v>3140972.0434598713</v>
      </c>
      <c r="D63" s="14">
        <f>IFERROR(C63/'DCF Model'!C17,"N/A")</f>
        <v>1.2369766947183938</v>
      </c>
    </row>
    <row r="64" spans="2:9" ht="14" x14ac:dyDescent="0.3">
      <c r="B64" s="31">
        <v>6.4199999999999993E-2</v>
      </c>
      <c r="C64" s="5">
        <f>IFERROR($C$60/B64,"N/A")</f>
        <v>2093981.3623065811</v>
      </c>
      <c r="D64" s="14">
        <f>IFERROR(C64/'DCF Model'!C17,"N/A")</f>
        <v>0.82465112981226263</v>
      </c>
    </row>
    <row r="65" spans="2:9" ht="14" x14ac:dyDescent="0.3">
      <c r="B65" s="4" t="s">
        <v>169</v>
      </c>
      <c r="C65" s="5">
        <f>IFERROR($C$60/$C$18,"N/A")</f>
        <v>1569917.9174416298</v>
      </c>
      <c r="D65" s="14">
        <f>IFERROR(C65/'DCF Model'!C17,"N/A")</f>
        <v>0.61826461669395039</v>
      </c>
    </row>
    <row r="66" spans="2:9" ht="14" x14ac:dyDescent="0.3">
      <c r="B66" s="31">
        <v>0.107</v>
      </c>
      <c r="C66" s="5">
        <f>IFERROR($C$60/B66,"N/A")</f>
        <v>1256388.8173839485</v>
      </c>
      <c r="D66" s="14">
        <f>IFERROR(C66/'DCF Model'!C17,"N/A")</f>
        <v>0.49479067788735753</v>
      </c>
    </row>
    <row r="67" spans="2:9" ht="14" x14ac:dyDescent="0.3">
      <c r="B67" s="31">
        <v>0.12839999999999999</v>
      </c>
      <c r="C67" s="5">
        <f>IFERROR($C$60/B67,"N/A")</f>
        <v>1046990.6811532906</v>
      </c>
      <c r="D67" s="14">
        <f>IFERROR(C67/'DCF Model'!C17,"N/A")</f>
        <v>0.41232556490613131</v>
      </c>
    </row>
    <row r="69" spans="2:9" ht="14" x14ac:dyDescent="0.3">
      <c r="B69" s="8" t="s">
        <v>170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171</v>
      </c>
      <c r="C70" s="14">
        <f>IFERROR(C10/'Comps Analysis'!G5,"N/A")</f>
        <v>4.4272289846608315</v>
      </c>
    </row>
    <row r="71" spans="2:9" ht="13.5" x14ac:dyDescent="0.25">
      <c r="B71" s="6" t="s">
        <v>172</v>
      </c>
      <c r="C71" s="14">
        <f>IFERROR(C10/'Comps Analysis'!F5,"N/A")</f>
        <v>0.67727423954064081</v>
      </c>
    </row>
    <row r="72" spans="2:9" ht="14" x14ac:dyDescent="0.3">
      <c r="B72" s="4" t="s">
        <v>173</v>
      </c>
      <c r="C72" s="14">
        <f>IFERROR(C10/(C25+'DCF Model'!G42),"N/A")</f>
        <v>3.1236583057049288</v>
      </c>
    </row>
    <row r="73" spans="2:9" ht="14" x14ac:dyDescent="0.3">
      <c r="B73" s="4" t="s">
        <v>174</v>
      </c>
      <c r="C73" s="14">
        <f>IFERROR(C10/(C60+'DCF Model'!G42),"N/A")</f>
        <v>3.1478552371870152</v>
      </c>
    </row>
    <row r="74" spans="2:9" ht="14" x14ac:dyDescent="0.3">
      <c r="B74" s="4" t="s">
        <v>175</v>
      </c>
      <c r="C74" s="14">
        <f>IFERROR('Comps Analysis'!D16,"N/A")</f>
        <v>8.0260575205032794</v>
      </c>
    </row>
    <row r="75" spans="2:9" ht="14" x14ac:dyDescent="0.3">
      <c r="B75" s="1" t="s">
        <v>176</v>
      </c>
    </row>
    <row r="77" spans="2:9" ht="14" x14ac:dyDescent="0.3">
      <c r="B77" s="22" t="s">
        <v>177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FY2026 cycle peak of "&amp;TEXT(C15,"#,##0")&amp;" mn - reached in 5 years and sustained for ever, against "&amp;TEXT(C14,"#,##0")&amp;" mn actually earned in FY2026."</f>
        <v>At 3,000 yen the market is paying for a steady-state operating profit of 134,434 mn JPY - 0.62x the FY2026 cycle peak of 217,437 mn - reached in 5 years and sustained for ever, against 217,437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138,666 mn, or 0.64x the peak. The base case supports an EV of only 3,970,299 mn, leaving -5,201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178</v>
      </c>
    </row>
    <row r="4" spans="2:8" ht="14" x14ac:dyDescent="0.3">
      <c r="B4" s="8" t="s">
        <v>179</v>
      </c>
      <c r="C4" s="32" t="s">
        <v>180</v>
      </c>
      <c r="D4" s="32" t="s">
        <v>87</v>
      </c>
      <c r="E4" s="32" t="s">
        <v>88</v>
      </c>
      <c r="F4" s="32" t="s">
        <v>89</v>
      </c>
      <c r="G4" s="32" t="s">
        <v>90</v>
      </c>
      <c r="H4" s="32" t="s">
        <v>91</v>
      </c>
    </row>
    <row r="5" spans="2:8" ht="14" x14ac:dyDescent="0.3">
      <c r="B5" s="33" t="s">
        <v>181</v>
      </c>
      <c r="C5" s="34">
        <f>C12/C9*365</f>
        <v>2.0986652268618122E-2</v>
      </c>
      <c r="D5" s="34">
        <f>CHOOSE('DCF Model'!$D$27,D25,D26,D27,D28,D29)</f>
        <v>10</v>
      </c>
      <c r="E5" s="34">
        <f>CHOOSE('DCF Model'!$D$27,E25,E26,E27,E28,E29)</f>
        <v>10</v>
      </c>
      <c r="F5" s="34">
        <f>CHOOSE('DCF Model'!$D$27,F25,F26,F27,F28,F29)</f>
        <v>10</v>
      </c>
      <c r="G5" s="34">
        <f>CHOOSE('DCF Model'!$D$27,G25,G26,G27,G28,G29)</f>
        <v>10</v>
      </c>
      <c r="H5" s="34">
        <f>CHOOSE('DCF Model'!$D$27,H25,H26,H27,H28,H29)</f>
        <v>10</v>
      </c>
    </row>
    <row r="6" spans="2:8" ht="14" x14ac:dyDescent="0.3">
      <c r="B6" s="33" t="s">
        <v>182</v>
      </c>
      <c r="C6" s="34">
        <f>C13/C10*365</f>
        <v>3.2093839377893709</v>
      </c>
      <c r="D6" s="34">
        <f>CHOOSE('DCF Model'!$D$27,D32,D33,D34,D35,D36)</f>
        <v>3</v>
      </c>
      <c r="E6" s="34">
        <f>CHOOSE('DCF Model'!$D$27,E32,E33,E34,E35,E36)</f>
        <v>3</v>
      </c>
      <c r="F6" s="34">
        <f>CHOOSE('DCF Model'!$D$27,F32,F33,F34,F35,F36)</f>
        <v>3</v>
      </c>
      <c r="G6" s="34">
        <f>CHOOSE('DCF Model'!$D$27,G32,G33,G34,G35,G36)</f>
        <v>3</v>
      </c>
      <c r="H6" s="34">
        <f>CHOOSE('DCF Model'!$D$27,H32,H33,H34,H35,H36)</f>
        <v>3</v>
      </c>
    </row>
    <row r="7" spans="2:8" ht="14" x14ac:dyDescent="0.3">
      <c r="B7" s="33" t="s">
        <v>183</v>
      </c>
      <c r="C7" s="34">
        <f>C15/C10*365</f>
        <v>0</v>
      </c>
      <c r="D7" s="34">
        <f>CHOOSE('DCF Model'!$D$27,D39,D40,D41,D42,D43)</f>
        <v>10</v>
      </c>
      <c r="E7" s="34">
        <f>CHOOSE('DCF Model'!$D$27,E39,E40,E41,E42,E43)</f>
        <v>10</v>
      </c>
      <c r="F7" s="34">
        <f>CHOOSE('DCF Model'!$D$27,F39,F40,F41,F42,F43)</f>
        <v>10</v>
      </c>
      <c r="G7" s="34">
        <f>CHOOSE('DCF Model'!$D$27,G39,G40,G41,G42,G43)</f>
        <v>10</v>
      </c>
      <c r="H7" s="34">
        <f>CHOOSE('DCF Model'!$D$27,H39,H40,H41,H42,H43)</f>
        <v>10</v>
      </c>
    </row>
    <row r="8" spans="2:8" ht="14" x14ac:dyDescent="0.3">
      <c r="B8" s="8" t="s">
        <v>184</v>
      </c>
      <c r="C8" s="9"/>
      <c r="D8" s="9"/>
      <c r="E8" s="9"/>
      <c r="F8" s="9"/>
      <c r="G8" s="9"/>
      <c r="H8" s="9"/>
    </row>
    <row r="9" spans="2:8" ht="14" x14ac:dyDescent="0.3">
      <c r="B9" s="33" t="s">
        <v>39</v>
      </c>
      <c r="C9" s="35">
        <v>2539233</v>
      </c>
      <c r="D9" s="35">
        <f>'DCF Model'!C33</f>
        <v>2724343.0856999997</v>
      </c>
      <c r="E9" s="35">
        <f>'DCF Model'!D33</f>
        <v>2922947.6966475295</v>
      </c>
      <c r="F9" s="35">
        <f>'DCF Model'!E33</f>
        <v>3136030.5837331344</v>
      </c>
      <c r="G9" s="35">
        <f>'DCF Model'!F33</f>
        <v>3364647.2132872799</v>
      </c>
      <c r="H9" s="35">
        <f>'DCF Model'!G33</f>
        <v>3609929.9951359225</v>
      </c>
    </row>
    <row r="10" spans="2:8" ht="14" x14ac:dyDescent="0.3">
      <c r="B10" s="33" t="s">
        <v>40</v>
      </c>
      <c r="C10" s="35">
        <v>2074758</v>
      </c>
      <c r="D10" s="35">
        <f>'DCF Model'!C34</f>
        <v>2226060.7353254701</v>
      </c>
      <c r="E10" s="35">
        <f>'DCF Model'!D34</f>
        <v>2388340.5629306966</v>
      </c>
      <c r="F10" s="35">
        <f>'DCF Model'!E34</f>
        <v>2562450.5899683442</v>
      </c>
      <c r="G10" s="35">
        <f>'DCF Model'!F34</f>
        <v>2749253.2379770367</v>
      </c>
      <c r="H10" s="35">
        <f>'DCF Model'!G34</f>
        <v>2949673.7990255626</v>
      </c>
    </row>
    <row r="11" spans="2:8" ht="14" x14ac:dyDescent="0.3">
      <c r="B11" s="8" t="s">
        <v>185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186</v>
      </c>
      <c r="C12" s="35">
        <v>146</v>
      </c>
      <c r="D12" s="35">
        <f t="shared" ref="D12:H13" si="0">D9*D5/365</f>
        <v>74639.536594520541</v>
      </c>
      <c r="E12" s="35">
        <f t="shared" si="0"/>
        <v>80080.758812261076</v>
      </c>
      <c r="F12" s="35">
        <f t="shared" si="0"/>
        <v>85918.646129674918</v>
      </c>
      <c r="G12" s="35">
        <f t="shared" si="0"/>
        <v>92182.115432528211</v>
      </c>
      <c r="H12" s="35">
        <f t="shared" si="0"/>
        <v>98902.191647559521</v>
      </c>
    </row>
    <row r="13" spans="2:8" ht="14" x14ac:dyDescent="0.3">
      <c r="B13" s="33" t="s">
        <v>187</v>
      </c>
      <c r="C13" s="35">
        <v>18243</v>
      </c>
      <c r="D13" s="35">
        <f t="shared" si="0"/>
        <v>18296.389605414821</v>
      </c>
      <c r="E13" s="35">
        <f t="shared" si="0"/>
        <v>19630.196407649561</v>
      </c>
      <c r="F13" s="35">
        <f t="shared" si="0"/>
        <v>21061.237725767212</v>
      </c>
      <c r="G13" s="35">
        <f t="shared" si="0"/>
        <v>22596.601955975642</v>
      </c>
      <c r="H13" s="35">
        <f t="shared" si="0"/>
        <v>24243.89423856627</v>
      </c>
    </row>
    <row r="14" spans="2:8" ht="14" x14ac:dyDescent="0.3">
      <c r="B14" s="33" t="s">
        <v>188</v>
      </c>
      <c r="C14" s="35">
        <f t="shared" ref="C14:H14" si="1">C12+C13</f>
        <v>18389</v>
      </c>
      <c r="D14" s="35">
        <f t="shared" si="1"/>
        <v>92935.926199935362</v>
      </c>
      <c r="E14" s="35">
        <f t="shared" si="1"/>
        <v>99710.95521991064</v>
      </c>
      <c r="F14" s="35">
        <f t="shared" si="1"/>
        <v>106979.88385544214</v>
      </c>
      <c r="G14" s="35">
        <f t="shared" si="1"/>
        <v>114778.71738850385</v>
      </c>
      <c r="H14" s="35">
        <f t="shared" si="1"/>
        <v>123146.08588612579</v>
      </c>
    </row>
    <row r="15" spans="2:8" ht="14" x14ac:dyDescent="0.3">
      <c r="B15" s="33" t="s">
        <v>189</v>
      </c>
      <c r="C15" s="35">
        <v>0</v>
      </c>
      <c r="D15" s="35">
        <f>D10*D7/365</f>
        <v>60987.965351382743</v>
      </c>
      <c r="E15" s="35">
        <f>E10*E7/365</f>
        <v>65433.988025498533</v>
      </c>
      <c r="F15" s="35">
        <f>F10*F7/365</f>
        <v>70204.125752557375</v>
      </c>
      <c r="G15" s="35">
        <f>G10*G7/365</f>
        <v>75322.00651991881</v>
      </c>
      <c r="H15" s="35">
        <f>H10*H7/365</f>
        <v>80812.980795220894</v>
      </c>
    </row>
    <row r="16" spans="2:8" ht="14" x14ac:dyDescent="0.3">
      <c r="B16" s="33" t="s">
        <v>190</v>
      </c>
      <c r="C16" s="35">
        <f t="shared" ref="C16:H16" si="2">C15</f>
        <v>0</v>
      </c>
      <c r="D16" s="35">
        <f t="shared" si="2"/>
        <v>60987.965351382743</v>
      </c>
      <c r="E16" s="35">
        <f t="shared" si="2"/>
        <v>65433.988025498533</v>
      </c>
      <c r="F16" s="35">
        <f t="shared" si="2"/>
        <v>70204.125752557375</v>
      </c>
      <c r="G16" s="35">
        <f t="shared" si="2"/>
        <v>75322.00651991881</v>
      </c>
      <c r="H16" s="35">
        <f t="shared" si="2"/>
        <v>80812.980795220894</v>
      </c>
    </row>
    <row r="17" spans="2:8" ht="14" x14ac:dyDescent="0.3">
      <c r="B17" s="22" t="s">
        <v>191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192</v>
      </c>
      <c r="C18" s="20">
        <f t="shared" ref="C18:H18" si="3">C14-C16</f>
        <v>18389</v>
      </c>
      <c r="D18" s="20">
        <f t="shared" si="3"/>
        <v>31947.960848552619</v>
      </c>
      <c r="E18" s="20">
        <f t="shared" si="3"/>
        <v>34276.967194412107</v>
      </c>
      <c r="F18" s="20">
        <f t="shared" si="3"/>
        <v>36775.758102884764</v>
      </c>
      <c r="G18" s="20">
        <f t="shared" si="3"/>
        <v>39456.71086858504</v>
      </c>
      <c r="H18" s="20">
        <f t="shared" si="3"/>
        <v>42333.105090904894</v>
      </c>
    </row>
    <row r="19" spans="2:8" ht="14" x14ac:dyDescent="0.3">
      <c r="B19" s="33" t="s">
        <v>101</v>
      </c>
      <c r="C19" s="36" t="s">
        <v>49</v>
      </c>
      <c r="D19" s="24">
        <f>D18-C18</f>
        <v>13558.960848552619</v>
      </c>
      <c r="E19" s="24">
        <f>E18-D18</f>
        <v>2329.0063458594886</v>
      </c>
      <c r="F19" s="24">
        <f>F18-E18</f>
        <v>2498.7909084726562</v>
      </c>
      <c r="G19" s="24">
        <f>G18-F18</f>
        <v>2680.9527657002764</v>
      </c>
      <c r="H19" s="24">
        <f>H18-G18</f>
        <v>2876.3942223198537</v>
      </c>
    </row>
    <row r="22" spans="2:8" ht="14" x14ac:dyDescent="0.3">
      <c r="B22" s="22" t="s">
        <v>193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87</v>
      </c>
      <c r="E23" s="25" t="s">
        <v>88</v>
      </c>
      <c r="F23" s="25" t="s">
        <v>89</v>
      </c>
      <c r="G23" s="25" t="s">
        <v>90</v>
      </c>
      <c r="H23" s="25" t="s">
        <v>91</v>
      </c>
    </row>
    <row r="24" spans="2:8" ht="14" x14ac:dyDescent="0.3">
      <c r="B24" s="3" t="s">
        <v>194</v>
      </c>
    </row>
    <row r="25" spans="2:8" ht="14" x14ac:dyDescent="0.3">
      <c r="B25" s="4" t="s">
        <v>85</v>
      </c>
      <c r="D25" s="30">
        <v>10</v>
      </c>
      <c r="E25" s="30">
        <v>10</v>
      </c>
      <c r="F25" s="30">
        <v>10</v>
      </c>
      <c r="G25" s="30">
        <v>10</v>
      </c>
      <c r="H25" s="30">
        <v>10</v>
      </c>
    </row>
    <row r="26" spans="2:8" ht="14" x14ac:dyDescent="0.3">
      <c r="B26" s="4" t="s">
        <v>122</v>
      </c>
      <c r="D26" s="30">
        <v>10</v>
      </c>
      <c r="E26" s="30">
        <v>10</v>
      </c>
      <c r="F26" s="30">
        <v>10</v>
      </c>
      <c r="G26" s="30">
        <v>10</v>
      </c>
      <c r="H26" s="30">
        <v>10</v>
      </c>
    </row>
    <row r="27" spans="2:8" ht="14" x14ac:dyDescent="0.3">
      <c r="B27" s="4" t="s">
        <v>123</v>
      </c>
      <c r="D27" s="30">
        <v>10</v>
      </c>
      <c r="E27" s="30">
        <v>10</v>
      </c>
      <c r="F27" s="30">
        <v>10</v>
      </c>
      <c r="G27" s="30">
        <v>10</v>
      </c>
      <c r="H27" s="30">
        <v>10</v>
      </c>
    </row>
    <row r="28" spans="2:8" ht="14" x14ac:dyDescent="0.3">
      <c r="B28" s="4" t="s">
        <v>124</v>
      </c>
      <c r="D28" s="30">
        <v>15</v>
      </c>
      <c r="E28" s="30">
        <v>15</v>
      </c>
      <c r="F28" s="30">
        <v>15</v>
      </c>
      <c r="G28" s="30">
        <v>15</v>
      </c>
      <c r="H28" s="30">
        <v>15</v>
      </c>
    </row>
    <row r="29" spans="2:8" ht="14" x14ac:dyDescent="0.3">
      <c r="B29" s="4" t="s">
        <v>125</v>
      </c>
      <c r="D29" s="30">
        <v>20</v>
      </c>
      <c r="E29" s="30">
        <v>20</v>
      </c>
      <c r="F29" s="30">
        <v>20</v>
      </c>
      <c r="G29" s="30">
        <v>20</v>
      </c>
      <c r="H29" s="30">
        <v>20</v>
      </c>
    </row>
    <row r="31" spans="2:8" ht="14" x14ac:dyDescent="0.3">
      <c r="B31" s="3" t="s">
        <v>195</v>
      </c>
    </row>
    <row r="32" spans="2:8" ht="14" x14ac:dyDescent="0.3">
      <c r="B32" s="4" t="s">
        <v>85</v>
      </c>
      <c r="D32" s="30">
        <v>3</v>
      </c>
      <c r="E32" s="30">
        <v>3</v>
      </c>
      <c r="F32" s="30">
        <v>3</v>
      </c>
      <c r="G32" s="30">
        <v>3</v>
      </c>
      <c r="H32" s="30">
        <v>3</v>
      </c>
    </row>
    <row r="33" spans="2:8" ht="14" x14ac:dyDescent="0.3">
      <c r="B33" s="4" t="s">
        <v>122</v>
      </c>
      <c r="D33" s="30">
        <v>1</v>
      </c>
      <c r="E33" s="30">
        <v>1</v>
      </c>
      <c r="F33" s="30">
        <v>1</v>
      </c>
      <c r="G33" s="30">
        <v>1</v>
      </c>
      <c r="H33" s="30">
        <v>1</v>
      </c>
    </row>
    <row r="34" spans="2:8" ht="14" x14ac:dyDescent="0.3">
      <c r="B34" s="4" t="s">
        <v>123</v>
      </c>
      <c r="D34" s="30">
        <v>3</v>
      </c>
      <c r="E34" s="30">
        <v>3</v>
      </c>
      <c r="F34" s="30">
        <v>3</v>
      </c>
      <c r="G34" s="30">
        <v>3</v>
      </c>
      <c r="H34" s="30">
        <v>3</v>
      </c>
    </row>
    <row r="35" spans="2:8" ht="14" x14ac:dyDescent="0.3">
      <c r="B35" s="4" t="s">
        <v>124</v>
      </c>
      <c r="D35" s="30">
        <v>6</v>
      </c>
      <c r="E35" s="30">
        <v>6</v>
      </c>
      <c r="F35" s="30">
        <v>6</v>
      </c>
      <c r="G35" s="30">
        <v>6</v>
      </c>
      <c r="H35" s="30">
        <v>6</v>
      </c>
    </row>
    <row r="36" spans="2:8" ht="14" x14ac:dyDescent="0.3">
      <c r="B36" s="4" t="s">
        <v>125</v>
      </c>
      <c r="D36" s="30">
        <v>8</v>
      </c>
      <c r="E36" s="30">
        <v>8</v>
      </c>
      <c r="F36" s="30">
        <v>8</v>
      </c>
      <c r="G36" s="30">
        <v>8</v>
      </c>
      <c r="H36" s="30">
        <v>8</v>
      </c>
    </row>
    <row r="38" spans="2:8" ht="14" x14ac:dyDescent="0.3">
      <c r="B38" s="3" t="s">
        <v>196</v>
      </c>
    </row>
    <row r="39" spans="2:8" ht="14" x14ac:dyDescent="0.3">
      <c r="B39" s="4" t="s">
        <v>85</v>
      </c>
      <c r="D39" s="30">
        <v>10</v>
      </c>
      <c r="E39" s="30">
        <v>10</v>
      </c>
      <c r="F39" s="30">
        <v>10</v>
      </c>
      <c r="G39" s="30">
        <v>10</v>
      </c>
      <c r="H39" s="30">
        <v>10</v>
      </c>
    </row>
    <row r="40" spans="2:8" ht="14" x14ac:dyDescent="0.3">
      <c r="B40" s="4" t="s">
        <v>122</v>
      </c>
      <c r="D40" s="30">
        <v>13</v>
      </c>
      <c r="E40" s="30">
        <v>13</v>
      </c>
      <c r="F40" s="30">
        <v>13</v>
      </c>
      <c r="G40" s="30">
        <v>13</v>
      </c>
      <c r="H40" s="30">
        <v>13</v>
      </c>
    </row>
    <row r="41" spans="2:8" ht="14" x14ac:dyDescent="0.3">
      <c r="B41" s="4" t="s">
        <v>123</v>
      </c>
      <c r="D41" s="30">
        <v>10</v>
      </c>
      <c r="E41" s="30">
        <v>10</v>
      </c>
      <c r="F41" s="30">
        <v>10</v>
      </c>
      <c r="G41" s="30">
        <v>10</v>
      </c>
      <c r="H41" s="30">
        <v>10</v>
      </c>
    </row>
    <row r="42" spans="2:8" ht="14" x14ac:dyDescent="0.3">
      <c r="B42" s="4" t="s">
        <v>124</v>
      </c>
      <c r="D42" s="30">
        <v>10</v>
      </c>
      <c r="E42" s="30">
        <v>10</v>
      </c>
      <c r="F42" s="30">
        <v>10</v>
      </c>
      <c r="G42" s="30">
        <v>10</v>
      </c>
      <c r="H42" s="30">
        <v>10</v>
      </c>
    </row>
    <row r="43" spans="2:8" ht="14" x14ac:dyDescent="0.3">
      <c r="B43" s="4" t="s">
        <v>125</v>
      </c>
      <c r="D43" s="30">
        <v>10</v>
      </c>
      <c r="E43" s="30">
        <v>10</v>
      </c>
      <c r="F43" s="30">
        <v>10</v>
      </c>
      <c r="G43" s="30">
        <v>10</v>
      </c>
      <c r="H43" s="30">
        <v>10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197</v>
      </c>
    </row>
    <row r="3" spans="2:17" ht="14" x14ac:dyDescent="0.3">
      <c r="B3" s="1" t="s">
        <v>198</v>
      </c>
    </row>
    <row r="4" spans="2:17" ht="28" x14ac:dyDescent="0.3">
      <c r="B4" s="10" t="s">
        <v>3</v>
      </c>
      <c r="C4" s="10" t="s">
        <v>5</v>
      </c>
      <c r="D4" s="10" t="s">
        <v>199</v>
      </c>
      <c r="E4" s="10" t="s">
        <v>200</v>
      </c>
      <c r="F4" s="10" t="s">
        <v>201</v>
      </c>
      <c r="G4" s="10" t="s">
        <v>202</v>
      </c>
      <c r="H4" s="10" t="s">
        <v>203</v>
      </c>
      <c r="I4" s="10" t="s">
        <v>204</v>
      </c>
      <c r="J4" s="10" t="s">
        <v>205</v>
      </c>
      <c r="K4" s="10" t="s">
        <v>206</v>
      </c>
      <c r="L4" s="10" t="s">
        <v>207</v>
      </c>
      <c r="M4" s="10" t="s">
        <v>208</v>
      </c>
      <c r="N4" s="10" t="s">
        <v>209</v>
      </c>
      <c r="O4" s="10" t="s">
        <v>210</v>
      </c>
      <c r="P4" s="10" t="s">
        <v>211</v>
      </c>
      <c r="Q4" s="10" t="s">
        <v>212</v>
      </c>
    </row>
    <row r="5" spans="2:17" ht="14" x14ac:dyDescent="0.3">
      <c r="B5" s="4" t="s">
        <v>213</v>
      </c>
      <c r="C5" t="s">
        <v>214</v>
      </c>
      <c r="D5" s="37">
        <f>'Executive Summary'!C9*C23/1000000</f>
        <v>1297895.0990915</v>
      </c>
      <c r="E5" s="37">
        <f>D5+C24</f>
        <v>1719757.0990915</v>
      </c>
      <c r="F5" s="37">
        <v>2539233</v>
      </c>
      <c r="G5" s="37">
        <v>388450</v>
      </c>
      <c r="H5" s="37">
        <v>217437</v>
      </c>
      <c r="I5" s="37">
        <v>169075</v>
      </c>
      <c r="J5" s="38">
        <f>IFERROR(E5/G5,"")</f>
        <v>4.4272289846608315</v>
      </c>
      <c r="K5" s="38">
        <f>IFERROR(E5/F5,"")</f>
        <v>0.67727423954064081</v>
      </c>
      <c r="L5" s="38">
        <f>IFERROR(D5/I5,"")</f>
        <v>7.6764459505633598</v>
      </c>
      <c r="M5" s="38">
        <f>IFERROR(D5/P5,"")</f>
        <v>0.86990346447383682</v>
      </c>
      <c r="N5" s="39">
        <f>IFERROR(H5/F5,"")</f>
        <v>8.5630975967939921E-2</v>
      </c>
      <c r="O5" s="39">
        <f>IFERROR(I5/P5,"")</f>
        <v>0.11332112152890184</v>
      </c>
      <c r="P5" s="37">
        <v>1491999</v>
      </c>
    </row>
    <row r="6" spans="2:17" ht="14" x14ac:dyDescent="0.3">
      <c r="B6" s="4" t="s">
        <v>215</v>
      </c>
      <c r="C6" t="s">
        <v>216</v>
      </c>
      <c r="D6" s="37">
        <v>1293352</v>
      </c>
      <c r="E6" s="37">
        <v>1159084</v>
      </c>
      <c r="F6" s="37">
        <v>2012514</v>
      </c>
      <c r="G6" s="37">
        <v>373525</v>
      </c>
      <c r="H6" s="37">
        <v>207350</v>
      </c>
      <c r="I6" s="37">
        <v>137604</v>
      </c>
      <c r="J6" s="38">
        <f>IFERROR(E6/G6,"")</f>
        <v>3.1030961783013185</v>
      </c>
      <c r="K6" s="38">
        <f>IFERROR(E6/F6,"")</f>
        <v>0.57593835372076918</v>
      </c>
      <c r="L6" s="38">
        <f>IFERROR(D6/I6,"")</f>
        <v>9.3990872358361681</v>
      </c>
      <c r="M6" s="38">
        <f>IFERROR(D6/P6,"")</f>
        <v>1.0028791002753483</v>
      </c>
      <c r="N6" s="39">
        <f>IFERROR(H6/F6,"")</f>
        <v>0.1030303391678269</v>
      </c>
      <c r="O6" s="39">
        <f>IFERROR(I6/P6,"")</f>
        <v>0.1066996267947852</v>
      </c>
      <c r="P6" s="37">
        <v>1289639</v>
      </c>
    </row>
    <row r="7" spans="2:17" ht="14" x14ac:dyDescent="0.3">
      <c r="B7" s="4" t="s">
        <v>217</v>
      </c>
      <c r="C7" t="s">
        <v>218</v>
      </c>
      <c r="D7" s="37">
        <v>8206650</v>
      </c>
      <c r="E7" s="37">
        <v>10691606</v>
      </c>
      <c r="F7" s="37">
        <v>9863240</v>
      </c>
      <c r="G7" s="37">
        <v>1286530</v>
      </c>
      <c r="H7" s="37">
        <v>906253</v>
      </c>
      <c r="I7" s="37">
        <v>779078</v>
      </c>
      <c r="J7" s="38">
        <f>IFERROR(E7/G7,"")</f>
        <v>8.3104210550861612</v>
      </c>
      <c r="K7" s="38">
        <f>IFERROR(E7/F7,"")</f>
        <v>1.0839851813400059</v>
      </c>
      <c r="L7" s="38">
        <f>IFERROR(D7/I7,"")</f>
        <v>10.53379764285476</v>
      </c>
      <c r="M7" s="38">
        <f>IFERROR(D7/P7,"")</f>
        <v>2.5282518858723009</v>
      </c>
      <c r="N7" s="39">
        <f>IFERROR(H7/F7,"")</f>
        <v>9.1881876543610422E-2</v>
      </c>
      <c r="O7" s="39">
        <f>IFERROR(I7/P7,"")</f>
        <v>0.24001333342370157</v>
      </c>
      <c r="P7" s="37">
        <v>3245978</v>
      </c>
    </row>
    <row r="8" spans="2:17" ht="14" x14ac:dyDescent="0.3">
      <c r="B8" s="4" t="s">
        <v>219</v>
      </c>
      <c r="C8" t="s">
        <v>220</v>
      </c>
      <c r="D8" s="37">
        <v>5627199</v>
      </c>
      <c r="E8" s="37">
        <v>9533331</v>
      </c>
      <c r="F8" s="37">
        <v>9194836</v>
      </c>
      <c r="G8" s="37">
        <v>1231427</v>
      </c>
      <c r="H8" s="37">
        <v>773942</v>
      </c>
      <c r="I8" s="37">
        <v>521928</v>
      </c>
      <c r="J8" s="38">
        <f>IFERROR(E8/G8,"")</f>
        <v>7.7416939859203993</v>
      </c>
      <c r="K8" s="38">
        <f>IFERROR(E8/F8,"")</f>
        <v>1.0368135984154585</v>
      </c>
      <c r="L8" s="38">
        <f>IFERROR(D8/I8,"")</f>
        <v>10.781561824619487</v>
      </c>
      <c r="M8" s="38">
        <f>IFERROR(D8/P8,"")</f>
        <v>2.3655660258382811</v>
      </c>
      <c r="N8" s="39">
        <f>IFERROR(H8/F8,"")</f>
        <v>8.4171376194202924E-2</v>
      </c>
      <c r="O8" s="39">
        <f>IFERROR(I8/P8,"")</f>
        <v>0.21940847386661153</v>
      </c>
      <c r="P8" s="37">
        <v>2378796</v>
      </c>
    </row>
    <row r="9" spans="2:17" ht="14" x14ac:dyDescent="0.3">
      <c r="B9" s="4" t="s">
        <v>221</v>
      </c>
      <c r="C9" t="s">
        <v>222</v>
      </c>
      <c r="D9" s="37">
        <v>3017069</v>
      </c>
      <c r="E9" s="37">
        <v>3445134</v>
      </c>
      <c r="F9" s="37">
        <v>4368287</v>
      </c>
      <c r="G9" s="37">
        <v>309452</v>
      </c>
      <c r="H9" s="37">
        <v>66622</v>
      </c>
      <c r="I9" s="37">
        <v>68802</v>
      </c>
      <c r="J9" s="38">
        <f>IFERROR(E9/G9,"")</f>
        <v>11.133015782738518</v>
      </c>
      <c r="K9" s="38">
        <f>IFERROR(E9/F9,"")</f>
        <v>0.78866933422643704</v>
      </c>
      <c r="L9" s="38">
        <f>IFERROR(D9/I9,"")</f>
        <v>43.851472340920324</v>
      </c>
      <c r="M9" s="38">
        <f>IFERROR(D9/P9,"")</f>
        <v>2.4285724634998012</v>
      </c>
      <c r="N9" s="39">
        <f>IFERROR(H9/F9,"")</f>
        <v>1.5251287289502728E-2</v>
      </c>
      <c r="O9" s="39">
        <f>IFERROR(I9/P9,"")</f>
        <v>5.5381777027211948E-2</v>
      </c>
      <c r="P9" s="37">
        <v>1242322</v>
      </c>
    </row>
    <row r="14" spans="2:17" ht="14" x14ac:dyDescent="0.3">
      <c r="B14" s="3" t="s">
        <v>223</v>
      </c>
    </row>
    <row r="15" spans="2:17" ht="14" x14ac:dyDescent="0.3">
      <c r="B15" s="4" t="s">
        <v>224</v>
      </c>
      <c r="D15" s="38">
        <f t="shared" ref="D15:I15" si="0">PERCENTILE(J6:J9,0.25)</f>
        <v>6.5820445340156288</v>
      </c>
      <c r="E15" s="38">
        <f t="shared" si="0"/>
        <v>0.73548658910002007</v>
      </c>
      <c r="F15" s="38">
        <f t="shared" si="0"/>
        <v>10.250120041100111</v>
      </c>
      <c r="G15" s="38">
        <f t="shared" si="0"/>
        <v>2.0248942944475479</v>
      </c>
      <c r="H15" s="39">
        <f t="shared" si="0"/>
        <v>6.6941353968027875E-2</v>
      </c>
      <c r="I15" s="39">
        <f t="shared" si="0"/>
        <v>9.3870164352891888E-2</v>
      </c>
    </row>
    <row r="16" spans="2:17" ht="14" x14ac:dyDescent="0.3">
      <c r="B16" s="4" t="s">
        <v>225</v>
      </c>
      <c r="D16" s="38">
        <f t="shared" ref="D16:I16" si="1">MEDIAN(J6:J9)</f>
        <v>8.0260575205032794</v>
      </c>
      <c r="E16" s="38">
        <f t="shared" si="1"/>
        <v>0.91274146632094777</v>
      </c>
      <c r="F16" s="38">
        <f t="shared" si="1"/>
        <v>10.657679733737123</v>
      </c>
      <c r="G16" s="38">
        <f t="shared" si="1"/>
        <v>2.3970692446690411</v>
      </c>
      <c r="H16" s="39">
        <f t="shared" si="1"/>
        <v>8.802662636890668E-2</v>
      </c>
      <c r="I16" s="39">
        <f t="shared" si="1"/>
        <v>0.16305405033069836</v>
      </c>
    </row>
    <row r="17" spans="2:9" ht="14" x14ac:dyDescent="0.3">
      <c r="B17" s="4" t="s">
        <v>226</v>
      </c>
      <c r="D17" s="38">
        <f t="shared" ref="D17:I17" si="2">PERCENTILE(J6:J9,0.75)</f>
        <v>9.0160697369992508</v>
      </c>
      <c r="E17" s="38">
        <f t="shared" si="2"/>
        <v>1.0486064941465953</v>
      </c>
      <c r="F17" s="38">
        <f t="shared" si="2"/>
        <v>19.049039453694697</v>
      </c>
      <c r="G17" s="38">
        <f t="shared" si="2"/>
        <v>2.4534923190929261</v>
      </c>
      <c r="H17" s="39">
        <f t="shared" si="2"/>
        <v>9.4668992199664542E-2</v>
      </c>
      <c r="I17" s="39">
        <f t="shared" si="2"/>
        <v>0.22455968875588403</v>
      </c>
    </row>
    <row r="19" spans="2:9" ht="14" x14ac:dyDescent="0.3">
      <c r="B19" s="22" t="s">
        <v>227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228</v>
      </c>
    </row>
    <row r="21" spans="2:9" ht="14" x14ac:dyDescent="0.3">
      <c r="B21" s="4" t="s">
        <v>229</v>
      </c>
      <c r="C21" s="5">
        <v>386449</v>
      </c>
    </row>
    <row r="22" spans="2:9" ht="14" x14ac:dyDescent="0.3">
      <c r="B22" s="4" t="s">
        <v>230</v>
      </c>
      <c r="C22" s="5">
        <v>169075</v>
      </c>
    </row>
    <row r="23" spans="2:9" ht="14" x14ac:dyDescent="0.3">
      <c r="B23" s="4" t="s">
        <v>231</v>
      </c>
      <c r="C23" s="15">
        <v>432703817</v>
      </c>
    </row>
    <row r="24" spans="2:9" ht="14" x14ac:dyDescent="0.3">
      <c r="B24" s="4" t="s">
        <v>74</v>
      </c>
      <c r="C24" s="5">
        <v>421862</v>
      </c>
    </row>
    <row r="26" spans="2:9" ht="14" x14ac:dyDescent="0.3">
      <c r="B26" s="3" t="s">
        <v>232</v>
      </c>
    </row>
    <row r="27" spans="2:9" ht="14" x14ac:dyDescent="0.3">
      <c r="B27" s="4" t="s">
        <v>233</v>
      </c>
      <c r="C27" s="24">
        <f>ROUND((C21*D16-C24)*1000000/C23,0)</f>
        <v>6193</v>
      </c>
    </row>
    <row r="28" spans="2:9" ht="14" x14ac:dyDescent="0.3">
      <c r="B28" s="4" t="s">
        <v>234</v>
      </c>
      <c r="C28" s="24">
        <f>ROUND(C22*F16*1000000/C23,0)</f>
        <v>4164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235</v>
      </c>
    </row>
    <row r="3" spans="2:9" ht="14" x14ac:dyDescent="0.3">
      <c r="B3" s="4" t="s">
        <v>236</v>
      </c>
      <c r="C3" s="16">
        <f>'DCF Model'!C26</f>
        <v>7.0473207547169806E-2</v>
      </c>
      <c r="E3" s="4" t="s">
        <v>237</v>
      </c>
      <c r="F3" s="16">
        <f>'DCF Model'!C13</f>
        <v>0.01</v>
      </c>
      <c r="H3" s="4" t="s">
        <v>238</v>
      </c>
      <c r="I3" s="14">
        <f>'DCF Model'!C14</f>
        <v>8</v>
      </c>
    </row>
    <row r="5" spans="2:9" ht="14" x14ac:dyDescent="0.3">
      <c r="B5" s="3" t="s">
        <v>239</v>
      </c>
    </row>
    <row r="6" spans="2:9" ht="14" x14ac:dyDescent="0.3">
      <c r="B6" s="40" t="s">
        <v>240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5.5473207547169806E-2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9823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10272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10768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11319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11934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12625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13407</v>
      </c>
    </row>
    <row r="8" spans="2:9" ht="13.5" x14ac:dyDescent="0.25">
      <c r="B8" s="39">
        <f>$C$3-0.01</f>
        <v>6.0473207547169804E-2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8864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9231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9632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10073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10560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11101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11704</v>
      </c>
    </row>
    <row r="9" spans="2:9" ht="13.5" x14ac:dyDescent="0.25">
      <c r="B9" s="39">
        <f>$C$3-0.005</f>
        <v>6.5473207547169801E-2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8059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8362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8692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9052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9446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9879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10357</v>
      </c>
    </row>
    <row r="10" spans="2:9" ht="13.5" x14ac:dyDescent="0.25">
      <c r="B10" s="39">
        <f>$C$3</f>
        <v>7.0473207547169806E-2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7372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7627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7902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8201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8525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8878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9264</v>
      </c>
    </row>
    <row r="11" spans="2:9" ht="13.5" x14ac:dyDescent="0.25">
      <c r="B11" s="39">
        <f>$C$3+0.005</f>
        <v>7.547320754716981E-2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6779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6996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7229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7479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7750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8042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8360</v>
      </c>
    </row>
    <row r="12" spans="2:9" ht="13.5" x14ac:dyDescent="0.25">
      <c r="B12" s="39">
        <f>$C$3+0.01</f>
        <v>8.0473207547169801E-2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6263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6449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6648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6861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7089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7335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7600</v>
      </c>
    </row>
    <row r="13" spans="2:9" ht="13.5" x14ac:dyDescent="0.25">
      <c r="B13" s="39">
        <f>$C$3+0.015</f>
        <v>8.5473207547169805E-2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5810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5971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6142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6324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6520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6728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6953</v>
      </c>
    </row>
    <row r="16" spans="2:9" ht="14" x14ac:dyDescent="0.3">
      <c r="B16" s="3" t="s">
        <v>241</v>
      </c>
    </row>
    <row r="17" spans="2:9" ht="14" x14ac:dyDescent="0.3">
      <c r="B17" s="40" t="s">
        <v>242</v>
      </c>
      <c r="C17" s="42">
        <f>$I$3-3</f>
        <v>5</v>
      </c>
      <c r="D17" s="42">
        <f>$I$3-2</f>
        <v>6</v>
      </c>
      <c r="E17" s="42">
        <f>$I$3-1</f>
        <v>7</v>
      </c>
      <c r="F17" s="42">
        <f>$I$3</f>
        <v>8</v>
      </c>
      <c r="G17" s="42">
        <f>$I$3+1</f>
        <v>9</v>
      </c>
      <c r="H17" s="42">
        <f>$I$3+2</f>
        <v>10</v>
      </c>
      <c r="I17" s="42">
        <f>$I$3+3</f>
        <v>11</v>
      </c>
    </row>
    <row r="18" spans="2:9" ht="13.5" x14ac:dyDescent="0.25">
      <c r="B18" s="39">
        <f>$C$3-0.015</f>
        <v>5.5473207547169806E-2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7564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8836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10108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11379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12651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13923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15195</v>
      </c>
    </row>
    <row r="19" spans="2:9" ht="13.5" x14ac:dyDescent="0.25">
      <c r="B19" s="39">
        <f>$C$3-0.01</f>
        <v>6.0473207547169804E-2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7384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8626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9868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11111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12353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13595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14837</v>
      </c>
    </row>
    <row r="20" spans="2:9" ht="13.5" x14ac:dyDescent="0.25">
      <c r="B20" s="39">
        <f>$C$3-0.005</f>
        <v>6.5473207547169801E-2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7209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8423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9636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10849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12062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13276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14489</v>
      </c>
    </row>
    <row r="21" spans="2:9" ht="13.5" x14ac:dyDescent="0.25">
      <c r="B21" s="39">
        <f>$C$3</f>
        <v>7.0473207547169806E-2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7039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8224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9409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10595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11780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12965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14150</v>
      </c>
    </row>
    <row r="22" spans="2:9" ht="13.5" x14ac:dyDescent="0.25">
      <c r="B22" s="39">
        <f>$C$3+0.005</f>
        <v>7.547320754716981E-2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6873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8031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9189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10347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11505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12663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13821</v>
      </c>
    </row>
    <row r="23" spans="2:9" ht="13.5" x14ac:dyDescent="0.25">
      <c r="B23" s="39">
        <f>$C$3+0.01</f>
        <v>8.0473207547169801E-2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6712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7843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8975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10106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11238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12369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13500</v>
      </c>
    </row>
    <row r="24" spans="2:9" ht="13.5" x14ac:dyDescent="0.25">
      <c r="B24" s="39">
        <f>$C$3+0.015</f>
        <v>8.5473207547169805E-2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6555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7661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8766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9872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10977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12083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13188</v>
      </c>
    </row>
    <row r="26" spans="2:9" ht="14" x14ac:dyDescent="0.3">
      <c r="B26" s="45" t="s">
        <v>243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2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244</v>
      </c>
    </row>
    <row r="4" spans="2:7" ht="14" x14ac:dyDescent="0.3">
      <c r="B4" s="10" t="s">
        <v>245</v>
      </c>
      <c r="C4" s="10" t="s">
        <v>246</v>
      </c>
      <c r="D4" s="10" t="s">
        <v>247</v>
      </c>
      <c r="E4" s="10" t="s">
        <v>248</v>
      </c>
      <c r="F4" s="10" t="s">
        <v>249</v>
      </c>
      <c r="G4" s="10" t="s">
        <v>250</v>
      </c>
    </row>
    <row r="5" spans="2:7" x14ac:dyDescent="0.2">
      <c r="B5" t="s">
        <v>251</v>
      </c>
      <c r="C5" t="s">
        <v>252</v>
      </c>
      <c r="D5" t="s">
        <v>253</v>
      </c>
      <c r="E5" t="s">
        <v>254</v>
      </c>
      <c r="F5" t="s">
        <v>252</v>
      </c>
      <c r="G5" t="s">
        <v>255</v>
      </c>
    </row>
    <row r="6" spans="2:7" ht="30" customHeight="1" x14ac:dyDescent="0.3">
      <c r="B6" t="s">
        <v>251</v>
      </c>
      <c r="C6" s="4" t="s">
        <v>256</v>
      </c>
      <c r="D6" t="s">
        <v>257</v>
      </c>
      <c r="E6" t="s">
        <v>258</v>
      </c>
      <c r="F6" t="s">
        <v>259</v>
      </c>
      <c r="G6" t="s">
        <v>260</v>
      </c>
    </row>
    <row r="12" spans="2:7" ht="14" x14ac:dyDescent="0.3">
      <c r="B12" s="8" t="s">
        <v>261</v>
      </c>
    </row>
    <row r="13" spans="2:7" ht="14" x14ac:dyDescent="0.3">
      <c r="B13" s="10" t="s">
        <v>262</v>
      </c>
      <c r="C13" s="10" t="s">
        <v>263</v>
      </c>
    </row>
    <row r="14" spans="2:7" ht="14" x14ac:dyDescent="0.3">
      <c r="B14" s="4" t="s">
        <v>264</v>
      </c>
      <c r="C14" t="s">
        <v>265</v>
      </c>
    </row>
    <row r="15" spans="2:7" ht="14" x14ac:dyDescent="0.3">
      <c r="B15" s="4" t="s">
        <v>266</v>
      </c>
      <c r="C15" t="s">
        <v>267</v>
      </c>
    </row>
    <row r="16" spans="2:7" ht="14" x14ac:dyDescent="0.3">
      <c r="B16" s="4" t="s">
        <v>268</v>
      </c>
      <c r="C16" t="s">
        <v>269</v>
      </c>
    </row>
    <row r="17" spans="2:3" ht="14" x14ac:dyDescent="0.3">
      <c r="B17" s="4" t="s">
        <v>270</v>
      </c>
      <c r="C17" t="s">
        <v>271</v>
      </c>
    </row>
    <row r="18" spans="2:3" ht="14" x14ac:dyDescent="0.3">
      <c r="B18" s="4" t="s">
        <v>272</v>
      </c>
      <c r="C18" t="s">
        <v>269</v>
      </c>
    </row>
    <row r="19" spans="2:3" ht="14" x14ac:dyDescent="0.3">
      <c r="B19" s="4" t="s">
        <v>273</v>
      </c>
      <c r="C19" t="s">
        <v>274</v>
      </c>
    </row>
    <row r="20" spans="2:3" ht="14" x14ac:dyDescent="0.3">
      <c r="B20" s="4" t="s">
        <v>275</v>
      </c>
      <c r="C20" t="s">
        <v>276</v>
      </c>
    </row>
    <row r="21" spans="2:3" ht="14" x14ac:dyDescent="0.3">
      <c r="B21" s="4" t="s">
        <v>277</v>
      </c>
      <c r="C21" t="s">
        <v>278</v>
      </c>
    </row>
    <row r="22" spans="2:3" ht="14" x14ac:dyDescent="0.3">
      <c r="B22" s="4" t="s">
        <v>279</v>
      </c>
      <c r="C22" t="s">
        <v>280</v>
      </c>
    </row>
    <row r="23" spans="2:3" ht="14" x14ac:dyDescent="0.3">
      <c r="B23" s="4" t="s">
        <v>281</v>
      </c>
      <c r="C23" t="s">
        <v>282</v>
      </c>
    </row>
    <row r="24" spans="2:3" ht="14" x14ac:dyDescent="0.3">
      <c r="B24" s="4" t="s">
        <v>283</v>
      </c>
      <c r="C24" t="s">
        <v>4</v>
      </c>
    </row>
    <row r="25" spans="2:3" ht="14" x14ac:dyDescent="0.3">
      <c r="B25" s="4" t="s">
        <v>284</v>
      </c>
      <c r="C25" t="s">
        <v>251</v>
      </c>
    </row>
    <row r="26" spans="2:3" ht="14" x14ac:dyDescent="0.3">
      <c r="B26" s="4" t="s">
        <v>285</v>
      </c>
      <c r="C26" t="s">
        <v>286</v>
      </c>
    </row>
    <row r="27" spans="2:3" ht="14" x14ac:dyDescent="0.3">
      <c r="B27" s="4" t="s">
        <v>287</v>
      </c>
      <c r="C27" t="s">
        <v>274</v>
      </c>
    </row>
    <row r="28" spans="2:3" ht="14" x14ac:dyDescent="0.3">
      <c r="B28" s="4" t="s">
        <v>288</v>
      </c>
      <c r="C28" t="s">
        <v>274</v>
      </c>
    </row>
    <row r="29" spans="2:3" ht="14" x14ac:dyDescent="0.3">
      <c r="B29" s="4" t="s">
        <v>289</v>
      </c>
      <c r="C29" t="s">
        <v>290</v>
      </c>
    </row>
    <row r="30" spans="2:3" ht="14" x14ac:dyDescent="0.3">
      <c r="B30" s="4" t="s">
        <v>291</v>
      </c>
      <c r="C30" t="s">
        <v>292</v>
      </c>
    </row>
    <row r="31" spans="2:3" ht="14" x14ac:dyDescent="0.3">
      <c r="B31" s="4" t="s">
        <v>293</v>
      </c>
      <c r="C31" t="s">
        <v>294</v>
      </c>
    </row>
    <row r="32" spans="2:3" ht="14" x14ac:dyDescent="0.3">
      <c r="B32" s="4" t="s">
        <v>295</v>
      </c>
      <c r="C32" t="s">
        <v>290</v>
      </c>
    </row>
    <row r="33" spans="2:3" ht="14" x14ac:dyDescent="0.3">
      <c r="B33" s="4" t="s">
        <v>296</v>
      </c>
      <c r="C33" t="s">
        <v>274</v>
      </c>
    </row>
    <row r="34" spans="2:3" ht="14" x14ac:dyDescent="0.3">
      <c r="B34" s="4" t="s">
        <v>297</v>
      </c>
      <c r="C34" t="s">
        <v>286</v>
      </c>
    </row>
    <row r="35" spans="2:3" ht="14" x14ac:dyDescent="0.3">
      <c r="B35" s="4" t="s">
        <v>298</v>
      </c>
      <c r="C35" t="s">
        <v>299</v>
      </c>
    </row>
    <row r="36" spans="2:3" ht="14" x14ac:dyDescent="0.3">
      <c r="B36" s="4" t="s">
        <v>300</v>
      </c>
      <c r="C36" t="s">
        <v>301</v>
      </c>
    </row>
    <row r="37" spans="2:3" ht="14" x14ac:dyDescent="0.3">
      <c r="B37" s="4" t="s">
        <v>302</v>
      </c>
      <c r="C37" t="s">
        <v>303</v>
      </c>
    </row>
    <row r="38" spans="2:3" ht="14" x14ac:dyDescent="0.3">
      <c r="B38" s="4" t="s">
        <v>304</v>
      </c>
      <c r="C38" t="s">
        <v>305</v>
      </c>
    </row>
    <row r="39" spans="2:3" ht="14" x14ac:dyDescent="0.3">
      <c r="B39" s="4" t="s">
        <v>306</v>
      </c>
      <c r="C39" t="s">
        <v>307</v>
      </c>
    </row>
    <row r="40" spans="2:3" ht="14" x14ac:dyDescent="0.3">
      <c r="B40" s="4" t="s">
        <v>308</v>
      </c>
      <c r="C40" t="s">
        <v>309</v>
      </c>
    </row>
    <row r="41" spans="2:3" ht="14" x14ac:dyDescent="0.3">
      <c r="B41" s="4" t="s">
        <v>310</v>
      </c>
      <c r="C41" t="s">
        <v>278</v>
      </c>
    </row>
    <row r="42" spans="2:3" ht="14" x14ac:dyDescent="0.3">
      <c r="B42" s="4" t="s">
        <v>311</v>
      </c>
      <c r="C42" t="s">
        <v>312</v>
      </c>
    </row>
    <row r="43" spans="2:3" ht="14" x14ac:dyDescent="0.3">
      <c r="B43" s="4" t="s">
        <v>313</v>
      </c>
      <c r="C43" t="s">
        <v>314</v>
      </c>
    </row>
    <row r="44" spans="2:3" ht="14" x14ac:dyDescent="0.3">
      <c r="B44" s="4" t="s">
        <v>315</v>
      </c>
      <c r="C44" t="s">
        <v>316</v>
      </c>
    </row>
    <row r="45" spans="2:3" ht="14" x14ac:dyDescent="0.3">
      <c r="B45" s="4" t="s">
        <v>317</v>
      </c>
      <c r="C45" t="s">
        <v>318</v>
      </c>
    </row>
    <row r="46" spans="2:3" ht="14" x14ac:dyDescent="0.3">
      <c r="B46" s="4" t="s">
        <v>319</v>
      </c>
      <c r="C46" t="s">
        <v>320</v>
      </c>
    </row>
    <row r="47" spans="2:3" ht="14" x14ac:dyDescent="0.3">
      <c r="B47" s="4" t="s">
        <v>321</v>
      </c>
      <c r="C47" t="s">
        <v>322</v>
      </c>
    </row>
    <row r="48" spans="2:3" ht="14" x14ac:dyDescent="0.3">
      <c r="B48" s="4" t="s">
        <v>323</v>
      </c>
      <c r="C48" t="s">
        <v>324</v>
      </c>
    </row>
    <row r="49" spans="2:3" ht="14" x14ac:dyDescent="0.3">
      <c r="B49" s="4" t="s">
        <v>325</v>
      </c>
      <c r="C49" t="s">
        <v>326</v>
      </c>
    </row>
    <row r="50" spans="2:3" ht="14" x14ac:dyDescent="0.3">
      <c r="B50" s="4" t="s">
        <v>327</v>
      </c>
      <c r="C50" t="s">
        <v>328</v>
      </c>
    </row>
    <row r="51" spans="2:3" ht="14" x14ac:dyDescent="0.3">
      <c r="B51" s="4" t="s">
        <v>329</v>
      </c>
      <c r="C51" t="s">
        <v>330</v>
      </c>
    </row>
    <row r="52" spans="2:3" ht="14" x14ac:dyDescent="0.3">
      <c r="B52" s="4" t="s">
        <v>331</v>
      </c>
      <c r="C52" t="s">
        <v>332</v>
      </c>
    </row>
    <row r="53" spans="2:3" ht="14" x14ac:dyDescent="0.3">
      <c r="B53" s="4" t="s">
        <v>333</v>
      </c>
      <c r="C53" t="s">
        <v>334</v>
      </c>
    </row>
    <row r="54" spans="2:3" ht="14" x14ac:dyDescent="0.3">
      <c r="B54" s="4" t="s">
        <v>335</v>
      </c>
      <c r="C54" t="s">
        <v>336</v>
      </c>
    </row>
    <row r="55" spans="2:3" ht="14" x14ac:dyDescent="0.3">
      <c r="B55" s="4" t="s">
        <v>337</v>
      </c>
      <c r="C55" t="s">
        <v>338</v>
      </c>
    </row>
    <row r="56" spans="2:3" ht="14" x14ac:dyDescent="0.3">
      <c r="B56" s="4" t="s">
        <v>339</v>
      </c>
      <c r="C56" t="s">
        <v>286</v>
      </c>
    </row>
    <row r="57" spans="2:3" ht="14" x14ac:dyDescent="0.3">
      <c r="B57" s="4" t="s">
        <v>340</v>
      </c>
      <c r="C57" t="s">
        <v>341</v>
      </c>
    </row>
    <row r="58" spans="2:3" ht="14" x14ac:dyDescent="0.3">
      <c r="B58" s="4" t="s">
        <v>342</v>
      </c>
      <c r="C58" t="s">
        <v>343</v>
      </c>
    </row>
    <row r="59" spans="2:3" ht="14" x14ac:dyDescent="0.3">
      <c r="B59" s="4" t="s">
        <v>344</v>
      </c>
      <c r="C59" t="s">
        <v>345</v>
      </c>
    </row>
    <row r="60" spans="2:3" ht="14" x14ac:dyDescent="0.3">
      <c r="B60" s="4" t="s">
        <v>346</v>
      </c>
      <c r="C60" t="s">
        <v>347</v>
      </c>
    </row>
    <row r="61" spans="2:3" ht="14" x14ac:dyDescent="0.3">
      <c r="B61" s="4" t="s">
        <v>348</v>
      </c>
      <c r="C61" t="s">
        <v>349</v>
      </c>
    </row>
    <row r="62" spans="2:3" ht="14" x14ac:dyDescent="0.3">
      <c r="B62" s="4" t="s">
        <v>350</v>
      </c>
      <c r="C62" t="s">
        <v>214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2026-09-07T02:33:43Z</dcterms:created>
  <dcterms:modified xsi:type="dcterms:W3CDTF">2026-09-07T02:33:46Z</dcterms:modified>
</cp:coreProperties>
</file>