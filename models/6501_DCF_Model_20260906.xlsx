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D14AE18-2885-49B7-B8B7-435D55DCE97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G16" i="6" s="1"/>
  <c r="L9" i="6"/>
  <c r="K9" i="6"/>
  <c r="J9" i="6"/>
  <c r="O8" i="6"/>
  <c r="N8" i="6"/>
  <c r="M8" i="6"/>
  <c r="L8" i="6"/>
  <c r="K8" i="6"/>
  <c r="E16" i="6" s="1"/>
  <c r="J8" i="6"/>
  <c r="D16" i="6" s="1"/>
  <c r="O7" i="6"/>
  <c r="N7" i="6"/>
  <c r="M7" i="6"/>
  <c r="L7" i="6"/>
  <c r="K7" i="6"/>
  <c r="J7" i="6"/>
  <c r="O6" i="6"/>
  <c r="N6" i="6"/>
  <c r="M6" i="6"/>
  <c r="L6" i="6"/>
  <c r="K6" i="6"/>
  <c r="J6" i="6"/>
  <c r="O5" i="6"/>
  <c r="N5" i="6"/>
  <c r="M5" i="6"/>
  <c r="L5" i="6"/>
  <c r="B31" i="1" s="1"/>
  <c r="D5" i="6"/>
  <c r="E5" i="6" s="1"/>
  <c r="C16" i="5"/>
  <c r="C14" i="5"/>
  <c r="C18" i="5" s="1"/>
  <c r="C7" i="5"/>
  <c r="C6" i="5"/>
  <c r="C5" i="5"/>
  <c r="C13" i="4"/>
  <c r="C12" i="4"/>
  <c r="C9" i="4"/>
  <c r="C7" i="4"/>
  <c r="C6" i="4"/>
  <c r="D27" i="3"/>
  <c r="C25" i="3"/>
  <c r="C24" i="3"/>
  <c r="C23" i="3"/>
  <c r="C26" i="3" s="1"/>
  <c r="F16" i="2"/>
  <c r="E16" i="2"/>
  <c r="D16" i="2"/>
  <c r="F15" i="2"/>
  <c r="E15" i="2"/>
  <c r="D15" i="2"/>
  <c r="F14" i="2"/>
  <c r="E14" i="2"/>
  <c r="D14" i="2"/>
  <c r="C14" i="2"/>
  <c r="F13" i="2"/>
  <c r="E13" i="2"/>
  <c r="D13" i="2"/>
  <c r="C13" i="2"/>
  <c r="C9" i="2"/>
  <c r="F8" i="2"/>
  <c r="F9" i="2" s="1"/>
  <c r="E8" i="2"/>
  <c r="E9" i="2" s="1"/>
  <c r="D8" i="2"/>
  <c r="D9" i="2" s="1"/>
  <c r="C8" i="2"/>
  <c r="B24" i="1" l="1"/>
  <c r="D17" i="6"/>
  <c r="E15" i="6"/>
  <c r="E17" i="6"/>
  <c r="F17" i="6"/>
  <c r="G15" i="6"/>
  <c r="G5" i="5"/>
  <c r="E32" i="3"/>
  <c r="G30" i="3"/>
  <c r="E5" i="5"/>
  <c r="C32" i="3"/>
  <c r="H7" i="5"/>
  <c r="H6" i="5"/>
  <c r="F5" i="5"/>
  <c r="D32" i="3"/>
  <c r="F30" i="3"/>
  <c r="E30" i="3"/>
  <c r="F6" i="5"/>
  <c r="D5" i="5"/>
  <c r="G7" i="5"/>
  <c r="E6" i="5"/>
  <c r="F31" i="3"/>
  <c r="C30" i="3"/>
  <c r="C33" i="3" s="1"/>
  <c r="D7" i="5"/>
  <c r="H5" i="5"/>
  <c r="F32" i="3"/>
  <c r="C31" i="3"/>
  <c r="G6" i="5"/>
  <c r="D6" i="5"/>
  <c r="C3" i="7"/>
  <c r="G36" i="4"/>
  <c r="C11" i="4"/>
  <c r="G46" i="3"/>
  <c r="E46" i="3"/>
  <c r="F36" i="4"/>
  <c r="F46" i="3"/>
  <c r="C46" i="3"/>
  <c r="H36" i="4"/>
  <c r="E36" i="4"/>
  <c r="C8" i="4"/>
  <c r="C10" i="4" s="1"/>
  <c r="D36" i="4"/>
  <c r="J5" i="6"/>
  <c r="K5" i="6"/>
  <c r="H15" i="6"/>
  <c r="H16" i="6"/>
  <c r="H17" i="6"/>
  <c r="C27" i="6"/>
  <c r="C18" i="1" s="1"/>
  <c r="D18" i="1" s="1"/>
  <c r="C74" i="4"/>
  <c r="B25" i="1"/>
  <c r="D30" i="3"/>
  <c r="D31" i="3"/>
  <c r="E7" i="5"/>
  <c r="E31" i="3"/>
  <c r="F7" i="5"/>
  <c r="I16" i="6"/>
  <c r="I17" i="6"/>
  <c r="I15" i="6"/>
  <c r="G31" i="3"/>
  <c r="D15" i="6"/>
  <c r="F15" i="6"/>
  <c r="D46" i="3"/>
  <c r="G32" i="3"/>
  <c r="I6" i="7"/>
  <c r="C17" i="7"/>
  <c r="G17" i="6"/>
  <c r="C6" i="7"/>
  <c r="D17" i="7"/>
  <c r="F16" i="6"/>
  <c r="C28" i="6" s="1"/>
  <c r="C19" i="1" s="1"/>
  <c r="D19" i="1" s="1"/>
  <c r="D6" i="7"/>
  <c r="E17" i="7"/>
  <c r="E6" i="7"/>
  <c r="F17" i="7"/>
  <c r="F6" i="7"/>
  <c r="G17" i="7"/>
  <c r="G6" i="7"/>
  <c r="H17" i="7"/>
  <c r="D45" i="4" l="1"/>
  <c r="D46" i="4"/>
  <c r="D39" i="4"/>
  <c r="D40" i="4"/>
  <c r="D50" i="4" s="1"/>
  <c r="D55" i="4" s="1"/>
  <c r="D41" i="4"/>
  <c r="D51" i="4" s="1"/>
  <c r="D56" i="4" s="1"/>
  <c r="D43" i="4"/>
  <c r="D44" i="4"/>
  <c r="D38" i="4"/>
  <c r="D48" i="4" s="1"/>
  <c r="D53" i="4" s="1"/>
  <c r="H40" i="4"/>
  <c r="H44" i="4"/>
  <c r="H45" i="4"/>
  <c r="H50" i="4" s="1"/>
  <c r="H55" i="4" s="1"/>
  <c r="H46" i="4"/>
  <c r="H38" i="4"/>
  <c r="H48" i="4" s="1"/>
  <c r="H53" i="4" s="1"/>
  <c r="H43" i="4"/>
  <c r="H41" i="4"/>
  <c r="H51" i="4" s="1"/>
  <c r="H56" i="4" s="1"/>
  <c r="H39" i="4"/>
  <c r="H49" i="4" s="1"/>
  <c r="H54" i="4" s="1"/>
  <c r="B13" i="7"/>
  <c r="B12" i="7"/>
  <c r="B11" i="7"/>
  <c r="B10" i="7"/>
  <c r="B9" i="7"/>
  <c r="B8" i="7"/>
  <c r="B7" i="7"/>
  <c r="B24" i="7"/>
  <c r="B23" i="7"/>
  <c r="B22" i="7"/>
  <c r="B21" i="7"/>
  <c r="B20" i="7"/>
  <c r="B19" i="7"/>
  <c r="B18" i="7"/>
  <c r="F43" i="4"/>
  <c r="F48" i="4" s="1"/>
  <c r="F53" i="4" s="1"/>
  <c r="F40" i="4"/>
  <c r="F50" i="4" s="1"/>
  <c r="F55" i="4" s="1"/>
  <c r="F46" i="4"/>
  <c r="F44" i="4"/>
  <c r="F38" i="4"/>
  <c r="F39" i="4"/>
  <c r="F49" i="4" s="1"/>
  <c r="F45" i="4"/>
  <c r="F41" i="4"/>
  <c r="F51" i="4" s="1"/>
  <c r="F56" i="4" s="1"/>
  <c r="C70" i="4"/>
  <c r="D49" i="4"/>
  <c r="D54" i="4" s="1"/>
  <c r="C24" i="4"/>
  <c r="C25" i="4" s="1"/>
  <c r="C71" i="4"/>
  <c r="E39" i="4"/>
  <c r="E49" i="4" s="1"/>
  <c r="E54" i="4" s="1"/>
  <c r="E46" i="4"/>
  <c r="E43" i="4"/>
  <c r="E40" i="4"/>
  <c r="E44" i="4"/>
  <c r="E45" i="4"/>
  <c r="E41" i="4"/>
  <c r="E51" i="4" s="1"/>
  <c r="E56" i="4" s="1"/>
  <c r="E38" i="4"/>
  <c r="E48" i="4" s="1"/>
  <c r="E53" i="4" s="1"/>
  <c r="G46" i="4"/>
  <c r="G51" i="4" s="1"/>
  <c r="G56" i="4" s="1"/>
  <c r="G40" i="4"/>
  <c r="G41" i="4"/>
  <c r="G43" i="4"/>
  <c r="G44" i="4"/>
  <c r="G45" i="4"/>
  <c r="G50" i="4" s="1"/>
  <c r="G55" i="4" s="1"/>
  <c r="G39" i="4"/>
  <c r="G49" i="4" s="1"/>
  <c r="G54" i="4" s="1"/>
  <c r="G38" i="4"/>
  <c r="G48" i="4" s="1"/>
  <c r="G53" i="4" s="1"/>
  <c r="C42" i="3"/>
  <c r="C34" i="3"/>
  <c r="D10" i="5" s="1"/>
  <c r="C37" i="3"/>
  <c r="D9" i="5"/>
  <c r="D12" i="5" s="1"/>
  <c r="D33" i="3"/>
  <c r="C35" i="3"/>
  <c r="C43" i="3"/>
  <c r="E50" i="4" l="1"/>
  <c r="E55" i="4" s="1"/>
  <c r="F54" i="4"/>
  <c r="B78" i="4" s="1"/>
  <c r="C60" i="4"/>
  <c r="C29" i="4"/>
  <c r="C26" i="4"/>
  <c r="C27" i="4"/>
  <c r="D37" i="3"/>
  <c r="D43" i="3"/>
  <c r="E9" i="5"/>
  <c r="E12" i="5" s="1"/>
  <c r="D42" i="3"/>
  <c r="D34" i="3"/>
  <c r="E10" i="5" s="1"/>
  <c r="E33" i="3"/>
  <c r="D15" i="5"/>
  <c r="D16" i="5" s="1"/>
  <c r="D13" i="5"/>
  <c r="C38" i="3"/>
  <c r="C39" i="3"/>
  <c r="C36" i="3"/>
  <c r="D14" i="5"/>
  <c r="D18" i="5" s="1"/>
  <c r="D19" i="5" s="1"/>
  <c r="C44" i="3" s="1"/>
  <c r="E15" i="5" l="1"/>
  <c r="E16" i="5" s="1"/>
  <c r="E13" i="5"/>
  <c r="D35" i="3"/>
  <c r="F9" i="5"/>
  <c r="F12" i="5" s="1"/>
  <c r="E43" i="3"/>
  <c r="F33" i="3"/>
  <c r="E37" i="3"/>
  <c r="E42" i="3"/>
  <c r="E34" i="3"/>
  <c r="F10" i="5" s="1"/>
  <c r="E14" i="5"/>
  <c r="E18" i="5" s="1"/>
  <c r="E19" i="5" s="1"/>
  <c r="D44" i="3" s="1"/>
  <c r="C65" i="4"/>
  <c r="D65" i="4" s="1"/>
  <c r="C64" i="4"/>
  <c r="D64" i="4" s="1"/>
  <c r="C66" i="4"/>
  <c r="D66" i="4" s="1"/>
  <c r="C67" i="4"/>
  <c r="D67" i="4" s="1"/>
  <c r="C63" i="4"/>
  <c r="D63" i="4" s="1"/>
  <c r="C40" i="3"/>
  <c r="C41" i="3" s="1"/>
  <c r="C45" i="3" s="1"/>
  <c r="C47" i="3" l="1"/>
  <c r="D36" i="3"/>
  <c r="D39" i="3"/>
  <c r="D38" i="3"/>
  <c r="F13" i="5"/>
  <c r="F14" i="5" s="1"/>
  <c r="F18" i="5" s="1"/>
  <c r="F19" i="5" s="1"/>
  <c r="E44" i="3" s="1"/>
  <c r="F15" i="5"/>
  <c r="F16" i="5" s="1"/>
  <c r="F43" i="3"/>
  <c r="G33" i="3"/>
  <c r="G9" i="5"/>
  <c r="G12" i="5" s="1"/>
  <c r="F34" i="3"/>
  <c r="G10" i="5" s="1"/>
  <c r="F42" i="3"/>
  <c r="F37" i="3"/>
  <c r="E35" i="3"/>
  <c r="G42" i="3" l="1"/>
  <c r="G34" i="3"/>
  <c r="H10" i="5" s="1"/>
  <c r="G43" i="3"/>
  <c r="C16" i="4"/>
  <c r="C28" i="4" s="1"/>
  <c r="H9" i="5"/>
  <c r="H12" i="5" s="1"/>
  <c r="G37" i="3"/>
  <c r="G13" i="5"/>
  <c r="G14" i="5" s="1"/>
  <c r="G15" i="5"/>
  <c r="G16" i="5" s="1"/>
  <c r="D40" i="3"/>
  <c r="D41" i="3" s="1"/>
  <c r="D45" i="3" s="1"/>
  <c r="F35" i="3"/>
  <c r="E38" i="3"/>
  <c r="E36" i="3"/>
  <c r="E39" i="3"/>
  <c r="G18" i="5" l="1"/>
  <c r="G19" i="5" s="1"/>
  <c r="F44" i="3" s="1"/>
  <c r="G35" i="3"/>
  <c r="G36" i="3" s="1"/>
  <c r="F38" i="3"/>
  <c r="F39" i="3"/>
  <c r="F36" i="3"/>
  <c r="D47" i="3"/>
  <c r="H15" i="5"/>
  <c r="H16" i="5" s="1"/>
  <c r="H13" i="5"/>
  <c r="H14" i="5" s="1"/>
  <c r="E40" i="3"/>
  <c r="E41" i="3" s="1"/>
  <c r="E45" i="3" s="1"/>
  <c r="C72" i="4"/>
  <c r="C73" i="4"/>
  <c r="G39" i="3" l="1"/>
  <c r="G38" i="3"/>
  <c r="H18" i="5"/>
  <c r="H19" i="5" s="1"/>
  <c r="G44" i="3" s="1"/>
  <c r="E47" i="3"/>
  <c r="C59" i="3"/>
  <c r="C60" i="3" s="1"/>
  <c r="C61" i="3" s="1"/>
  <c r="G40" i="3"/>
  <c r="G41" i="3" s="1"/>
  <c r="G45" i="3" s="1"/>
  <c r="F40" i="3"/>
  <c r="F41" i="3" s="1"/>
  <c r="F45" i="3" s="1"/>
  <c r="F47" i="3" s="1"/>
  <c r="C51" i="3" l="1"/>
  <c r="C52" i="3" s="1"/>
  <c r="G47" i="3"/>
  <c r="C50" i="3" s="1"/>
  <c r="I19" i="7"/>
  <c r="C11" i="7"/>
  <c r="H10" i="7"/>
  <c r="G7" i="7"/>
  <c r="E10" i="7"/>
  <c r="E9" i="7"/>
  <c r="D10" i="7"/>
  <c r="F9" i="7"/>
  <c r="E23" i="7"/>
  <c r="G13" i="7"/>
  <c r="H12" i="7"/>
  <c r="I21" i="7"/>
  <c r="H8" i="7"/>
  <c r="D23" i="7"/>
  <c r="C19" i="7"/>
  <c r="I22" i="7"/>
  <c r="E11" i="7"/>
  <c r="E18" i="7"/>
  <c r="C7" i="7"/>
  <c r="F20" i="7"/>
  <c r="C12" i="7"/>
  <c r="G24" i="7"/>
  <c r="I9" i="7"/>
  <c r="G8" i="7"/>
  <c r="H13" i="7"/>
  <c r="G9" i="7"/>
  <c r="C18" i="7"/>
  <c r="F19" i="7"/>
  <c r="D11" i="7"/>
  <c r="I11" i="7"/>
  <c r="C10" i="7"/>
  <c r="H9" i="7"/>
  <c r="C21" i="7"/>
  <c r="G18" i="7"/>
  <c r="I12" i="7"/>
  <c r="C9" i="7"/>
  <c r="H20" i="7"/>
  <c r="H24" i="7"/>
  <c r="F23" i="7"/>
  <c r="H21" i="7"/>
  <c r="D18" i="7"/>
  <c r="E8" i="7"/>
  <c r="I23" i="7"/>
  <c r="G23" i="7"/>
  <c r="H22" i="7"/>
  <c r="F24" i="7"/>
  <c r="G11" i="7"/>
  <c r="F7" i="7"/>
  <c r="I7" i="7"/>
  <c r="E19" i="7"/>
  <c r="F18" i="7"/>
  <c r="C8" i="7"/>
  <c r="D21" i="7"/>
  <c r="D24" i="7"/>
  <c r="C20" i="7"/>
  <c r="F12" i="7"/>
  <c r="D13" i="7"/>
  <c r="E22" i="7"/>
  <c r="G22" i="7"/>
  <c r="I13" i="7"/>
  <c r="H23" i="7"/>
  <c r="D8" i="7"/>
  <c r="I18" i="7"/>
  <c r="F8" i="7"/>
  <c r="H11" i="7"/>
  <c r="F11" i="7"/>
  <c r="G10" i="7"/>
  <c r="H19" i="7"/>
  <c r="G21" i="7"/>
  <c r="E13" i="7"/>
  <c r="C13" i="7"/>
  <c r="D12" i="7"/>
  <c r="G19" i="7"/>
  <c r="E21" i="7"/>
  <c r="E20" i="7"/>
  <c r="I8" i="7"/>
  <c r="F22" i="7"/>
  <c r="C22" i="7"/>
  <c r="E12" i="7"/>
  <c r="F10" i="7"/>
  <c r="C24" i="7"/>
  <c r="H7" i="7"/>
  <c r="I24" i="7"/>
  <c r="G12" i="7"/>
  <c r="I20" i="7"/>
  <c r="I10" i="7"/>
  <c r="D7" i="7"/>
  <c r="E24" i="7"/>
  <c r="D9" i="7"/>
  <c r="D19" i="7"/>
  <c r="F21" i="7"/>
  <c r="G20" i="7"/>
  <c r="F13" i="7"/>
  <c r="E7" i="7"/>
  <c r="D20" i="7"/>
  <c r="C23" i="7"/>
  <c r="D22" i="7"/>
  <c r="H18" i="7"/>
  <c r="C58" i="3" l="1"/>
  <c r="C62" i="3" s="1"/>
  <c r="C53" i="3"/>
  <c r="C17" i="4" l="1"/>
  <c r="C54" i="3"/>
  <c r="C55" i="3" s="1"/>
  <c r="C16" i="1"/>
  <c r="C63" i="3"/>
  <c r="C64" i="3" s="1"/>
  <c r="C17" i="1" s="1"/>
  <c r="C10" i="1" l="1"/>
  <c r="D17" i="1"/>
  <c r="D16" i="1"/>
  <c r="C21" i="1"/>
  <c r="C19" i="4"/>
  <c r="C20" i="4" s="1"/>
  <c r="B79" i="4" s="1"/>
  <c r="B29" i="1" l="1"/>
  <c r="C12" i="1"/>
  <c r="C11" i="1" s="1"/>
  <c r="B26" i="1" l="1"/>
</calcChain>
</file>

<file path=xl/sharedStrings.xml><?xml version="1.0" encoding="utf-8"?>
<sst xmlns="http://schemas.openxmlformats.org/spreadsheetml/2006/main" count="426" uniqueCount="342">
  <si>
    <t>DISCLAIMER: This is a sample analysis for demonstration purposes only. It does not constitute investment advice.</t>
  </si>
  <si>
    <t>日立製作所 (6501.T)</t>
  </si>
  <si>
    <t>Equity Research Report</t>
  </si>
  <si>
    <t>Company</t>
  </si>
  <si>
    <t>日立製作所</t>
  </si>
  <si>
    <t>Ticker</t>
  </si>
  <si>
    <t>6501.T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</si>
  <si>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</si>
  <si>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</si>
  <si>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</si>
  <si>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</si>
  <si>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</si>
  <si>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</si>
  <si>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</si>
  <si>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</si>
  <si>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</si>
  <si>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</si>
  <si>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</si>
  <si>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</si>
  <si>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</si>
  <si>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</si>
  <si>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**3.81倍** で 3.0倍を超えたため、**乖離そのものを裁定トリガーとする追補6 §X により中点平均を禁止**し、どちらの脚を落とすかを判定した。■**観測倍率バンドテスト**: Peer の実測 EV/EBITDA の第1〜第3四分位バンドは **(13.141973543373997, 17.179269255500117, 5)倍**。これに対し **PGM逆算 4.10倍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</si>
  <si>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</si>
  <si>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</si>
  <si>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</si>
  <si>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Revenue has been flat to negative over three years because divestitures offset organic growth, so the base-case growth path rests on the remaining businesses accelerating.</t>
  </si>
  <si>
    <t>日立製作所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</si>
  <si>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</si>
  <si>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</si>
  <si>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</si>
  <si>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</si>
  <si>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</si>
  <si>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</si>
  <si>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</si>
  <si>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</si>
  <si>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</si>
  <si>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</si>
  <si>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</si>
  <si>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</si>
  <si>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</si>
  <si>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</si>
  <si>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</si>
  <si>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</si>
  <si>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</si>
  <si>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</si>
  <si>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</si>
  <si>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</si>
  <si>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</si>
  <si>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</si>
  <si>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</si>
  <si>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</si>
  <si>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</si>
  <si>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</si>
  <si>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</si>
  <si>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</si>
  <si>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日立製作所</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</si>
  <si>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</si>
  <si>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</si>
  <si>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</si>
  <si>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</si>
  <si>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</si>
  <si>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</si>
  <si>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</si>
  <si>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</si>
  <si>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</si>
  <si>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</si>
  <si>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</si>
  <si>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</si>
  <si>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</si>
  <si>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</si>
  <si>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</si>
  <si>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</si>
  <si>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</si>
  <si>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</si>
  <si>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</si>
  <si>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</si>
  <si>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</si>
  <si>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</si>
  <si>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</si>
  <si>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</si>
  <si>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</si>
  <si>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</si>
  <si>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</si>
  <si>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</si>
  <si>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</si>
  <si>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</si>
  <si>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</si>
  <si>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</si>
  <si>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</si>
  <si>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</si>
  <si>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</si>
  <si>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</si>
  <si>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</si>
  <si>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</si>
  <si>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</si>
  <si>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</si>
  <si>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</si>
  <si>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</si>
  <si>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</si>
  <si>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</si>
  <si>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</si>
  <si>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</si>
  <si>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</si>
  <si>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</si>
  <si>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</si>
  <si>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</si>
  <si>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</si>
  <si>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</si>
  <si>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</si>
  <si>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</si>
  <si>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</si>
  <si>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</si>
  <si>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</si>
  <si>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</si>
  <si>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</si>
  <si>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</si>
  <si>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</si>
  <si>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</si>
  <si>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</si>
  <si>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日立製作所 (6501.T)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</si>
  <si>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</si>
  <si>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</si>
  <si>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</si>
  <si>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</si>
  <si>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</si>
  <si>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</si>
  <si>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</si>
  <si>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</si>
  <si>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</si>
  <si>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</si>
  <si>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</si>
  <si>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</si>
  <si>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</si>
  <si>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</si>
  <si>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</si>
  <si>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</si>
  <si>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</si>
  <si>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</si>
  <si>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</si>
  <si>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</si>
  <si>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</si>
  <si>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</si>
  <si>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</si>
  <si>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</si>
  <si>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</si>
  <si>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</si>
  <si>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</si>
  <si>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</si>
  <si>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</si>
  <si>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</si>
  <si>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</si>
  <si>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</si>
  <si>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</si>
  <si>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</si>
  <si>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</si>
  <si>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</si>
  <si>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</si>
  <si>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</si>
  <si>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</si>
  <si>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</si>
  <si>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</si>
  <si>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</si>
  <si>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</si>
  <si>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</si>
  <si>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</si>
  <si>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</si>
  <si>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</si>
  <si>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</si>
  <si>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</si>
  <si>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</si>
  <si>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</si>
  <si>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日立製作所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</si>
  <si>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</si>
  <si>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</si>
  <si>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</si>
  <si>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</si>
  <si>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</si>
  <si>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</si>
  <si>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</si>
  <si>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</si>
  <si>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</si>
  <si>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</si>
  <si>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</si>
  <si>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</si>
  <si>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</si>
  <si>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</si>
  <si>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</si>
  <si>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</si>
  <si>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</si>
  <si>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</si>
  <si>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</si>
  <si>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</si>
  <si>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</si>
  <si>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</si>
  <si>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</si>
  <si>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</si>
  <si>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</si>
  <si>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</si>
  <si>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</si>
  <si>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</si>
  <si>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</si>
  <si>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</si>
  <si>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</si>
  <si>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</si>
  <si>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</si>
  <si>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</si>
  <si>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Hitachi, Ltd.</t>
  </si>
  <si>
    <t>6501.T</t>
  </si>
  <si>
    <t>Mitsubishi Electric Corporation</t>
  </si>
  <si>
    <t>6503.T</t>
  </si>
  <si>
    <t>Panasonic Holdings Corporation</t>
  </si>
  <si>
    <t>6752.T</t>
  </si>
  <si>
    <t>Mitsubishi Heavy Industries, Ltd.</t>
  </si>
  <si>
    <t>7011.T</t>
  </si>
  <si>
    <t>Fujitsu Limited</t>
  </si>
  <si>
    <t>6702.T</t>
  </si>
  <si>
    <t>NEC Corporation</t>
  </si>
  <si>
    <t>6701.T</t>
  </si>
  <si>
    <t>Statistics</t>
  </si>
  <si>
    <t>25th Percentile</t>
  </si>
  <si>
    <t>Median (50th)</t>
  </si>
  <si>
    <t>75th Percentile</t>
  </si>
  <si>
    <t>Implied Valuation for 日立製作所</t>
  </si>
  <si>
    <t>日立製作所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</si>
  <si>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</si>
  <si>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</si>
  <si>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</si>
  <si>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</si>
  <si>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</si>
  <si>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</si>
  <si>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</si>
  <si>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</si>
  <si>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</si>
  <si>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</si>
  <si>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</si>
  <si>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</si>
  <si>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</si>
  <si>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</si>
  <si>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</si>
  <si>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日立製作所</t>
  </si>
  <si>
    <t>日付</t>
  </si>
  <si>
    <t>セル</t>
  </si>
  <si>
    <t>変更内容</t>
  </si>
  <si>
    <t>理由</t>
  </si>
  <si>
    <t>元の値</t>
  </si>
  <si>
    <t>状態</t>
  </si>
  <si>
    <t>2026-09-06</t>
  </si>
  <si>
    <t>-</t>
  </si>
  <si>
    <t>Generated by pipeline on 2026-09-06 19:14, template rev 63983ab</t>
  </si>
  <si>
    <t>初期生成（手修正なし）</t>
  </si>
  <si>
    <t>generated</t>
  </si>
  <si>
    <t>DCF Model!C8</t>
  </si>
  <si>
    <t>Beta = 1.317（採用値）</t>
  </si>
  <si>
    <t>実測β(raw) = 1.474 → Blume調整 0.67×raw + 0.33×1.00 = 1.317 → 採用 1.317。クランプ域 [0.3, 2.0] の内側。置換なし。回帰βは平均回帰するため Blume 調整を既定とする（2026-09-05 バッチで85件中57件が旧下限 0.60 に張り付き、両裾の歪みが実証された）。</t>
  </si>
  <si>
    <t>実測 1.474</t>
  </si>
  <si>
    <t>確定</t>
  </si>
  <si>
    <t>Pipeline Metadata (do not edit — read by scripts/validate_output.py)</t>
  </si>
  <si>
    <t>key</t>
  </si>
  <si>
    <t>value</t>
  </si>
  <si>
    <t>auto_log_entries</t>
  </si>
  <si>
    <t>1</t>
  </si>
  <si>
    <t>beta_adopted_c8</t>
  </si>
  <si>
    <t>1.3175</t>
  </si>
  <si>
    <t>beta_basis</t>
  </si>
  <si>
    <t>Blume: 0.67 x 1.474 + 0.33 x 1.00 = 1.317</t>
  </si>
  <si>
    <t>beta_blume_adjusted</t>
  </si>
  <si>
    <t>beta_clamped</t>
  </si>
  <si>
    <t>no</t>
  </si>
  <si>
    <t>beta_raw</t>
  </si>
  <si>
    <t>1.4739</t>
  </si>
  <si>
    <t>capex_pct_basis</t>
  </si>
  <si>
    <t>explicit_override</t>
  </si>
  <si>
    <t>capex_pct_c5</t>
  </si>
  <si>
    <t>0.0451</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</si>
  <si>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</si>
  <si>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</si>
  <si>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</si>
  <si>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</si>
  <si>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</si>
  <si>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</si>
  <si>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</si>
  <si>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</si>
  <si>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</si>
  <si>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</si>
  <si>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</si>
  <si>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</si>
  <si>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</si>
  <si>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</si>
  <si>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</si>
  <si>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</si>
  <si>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</si>
  <si>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</si>
  <si>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</si>
  <si>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</si>
  <si>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</si>
  <si>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1657248.0</t>
  </si>
  <si>
    <t>core_net_income</t>
  </si>
  <si>
    <t>802368.0</t>
  </si>
  <si>
    <t>cost_of_debt_at_c11</t>
  </si>
  <si>
    <t>0.01</t>
  </si>
  <si>
    <t>cost_of_debt_basis</t>
  </si>
  <si>
    <t>assumption</t>
  </si>
  <si>
    <t>da_pct_basis</t>
  </si>
  <si>
    <t>da_pct_c18</t>
  </si>
  <si>
    <t>0.043</t>
  </si>
  <si>
    <t>da_pct_hist3yr</t>
  </si>
  <si>
    <t>0.044593</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</si>
  <si>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</si>
  <si>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</si>
  <si>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</si>
  <si>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</si>
  <si>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</si>
  <si>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</si>
  <si>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</si>
  <si>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</si>
  <si>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</si>
  <si>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19:14:26</t>
  </si>
  <si>
    <t>guidance_note</t>
  </si>
  <si>
    <t>TDnet 決算短信 via screener guidance table: FY2027 disclosed 2026-07-29 (net_income=900,000mn, operating_income=1,408,000mn, revenue=11,700,000mn)</t>
  </si>
  <si>
    <t>guidance_source</t>
  </si>
  <si>
    <t>tdnet_screener_db</t>
  </si>
  <si>
    <t>latest_operating_income</t>
  </si>
  <si>
    <t>1199275.0</t>
  </si>
  <si>
    <t>ltm_revenue_c20</t>
  </si>
  <si>
    <t>10586781.0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</si>
  <si>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</si>
  <si>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</si>
  <si>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</si>
  <si>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</si>
  <si>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</si>
  <si>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</si>
  <si>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</si>
  <si>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</si>
  <si>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</si>
  <si>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op0=1,199,275(FY2026) peak=1,199,275(FY2026) peak_opm=0.1133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</si>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</sst>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5377</v>
      </c>
    </row>
    <row r="10" spans="2:5" ht="14" customHeight="1" x14ac:dyDescent="0.3">
      <c r="B10" s="4" t="s">
        <v>10</v>
      </c>
      <c r="C10" s="5">
        <f>IF(ISNUMBER(C17),ROUND(C17,0),"N/A")</f>
        <v>4735</v>
      </c>
    </row>
    <row r="11" spans="2:5" ht="14" customHeight="1" x14ac:dyDescent="0.3">
      <c r="B11" s="4" t="s">
        <v>11</v>
      </c>
      <c r="C11" s="6" t="str">
        <f>IF(NOT(ISNUMBER(C12)),"N/A",IF(C12&gt;0.15,"BUY",IF(C12&gt;0.05,"HOLD","SELL")))</f>
        <v>SELL</v>
      </c>
    </row>
    <row r="12" spans="2:5" ht="14" customHeight="1" x14ac:dyDescent="0.3">
      <c r="B12" s="4" t="s">
        <v>12</v>
      </c>
      <c r="C12" s="7">
        <f>IF(ISNUMBER(C10),(C10-C9)/C9,"N/A")</f>
        <v>-0.1193974335131114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1869</v>
      </c>
      <c r="D16" s="7">
        <f>IF(ISNUMBER(C16),(C16-C9)/C9,"N/A")</f>
        <v>-0.65240840617444673</v>
      </c>
    </row>
    <row r="17" spans="2:5" ht="13.5" customHeight="1" x14ac:dyDescent="0.25">
      <c r="B17" t="s">
        <v>18</v>
      </c>
      <c r="C17" s="11">
        <f>IF('DCF Model'!C62&lt;'DCF Model'!C16,"INVALID (EV &lt; net debt)",'DCF Model'!C64)</f>
        <v>4735</v>
      </c>
      <c r="D17" s="7">
        <f>IF(ISNUMBER(C17),(C17-C9)/C9,"N/A")</f>
        <v>-0.1193974335131114</v>
      </c>
    </row>
    <row r="18" spans="2:5" ht="13.5" customHeight="1" x14ac:dyDescent="0.25">
      <c r="B18" t="s">
        <v>19</v>
      </c>
      <c r="C18" s="11">
        <f>'Comps Analysis'!C27</f>
        <v>5828</v>
      </c>
      <c r="D18" s="7">
        <f>IF(ISNUMBER(C18),(C18-C9)/C9,"N/A")</f>
        <v>8.3875767156406919E-2</v>
      </c>
    </row>
    <row r="19" spans="2:5" ht="13.5" customHeight="1" x14ac:dyDescent="0.25">
      <c r="B19" t="s">
        <v>20</v>
      </c>
      <c r="C19" s="11">
        <f>'Comps Analysis'!C28</f>
        <v>4721</v>
      </c>
      <c r="D19" s="7">
        <f>IF(ISNUMBER(C19),(C19-C9)/C9,"N/A")</f>
        <v>-0.12200111586386461</v>
      </c>
    </row>
    <row r="20" spans="2:5" ht="14" customHeight="1" x14ac:dyDescent="0.3">
      <c r="B20" s="45" t="s">
        <v>21</v>
      </c>
      <c r="C20" s="44"/>
      <c r="D20" s="44"/>
      <c r="E20" s="44"/>
    </row>
    <row r="21" spans="2:5" ht="14" customHeight="1" x14ac:dyDescent="0.3">
      <c r="B21" s="4" t="s">
        <v>22</v>
      </c>
      <c r="C21" s="6" t="str">
        <f>IF(COUNT(C16:C17)=0,"N/A",MIN(C16:C17)&amp;" - "&amp;MAX(C16:C17))</f>
        <v>1869 - 4735</v>
      </c>
    </row>
    <row r="23" spans="2:5" ht="14" customHeight="1" x14ac:dyDescent="0.3">
      <c r="B23" s="8" t="s">
        <v>23</v>
      </c>
      <c r="C23" s="9"/>
      <c r="D23" s="9"/>
    </row>
    <row r="24" spans="2:5" x14ac:dyDescent="0.2">
      <c r="B24" t="str">
        <f>"Hitachi has reshaped itself into a digital-systems and energy group with Lumada and GlobalLogic at the centre, and the operating margin has risen in each of the last four years to 11.3%; the shares trade at "&amp;TEXT('Comps Analysis'!L5,"0.0""x""")&amp;" earnings and "&amp;TEXT('Comps Analysis'!M5,"0.00""x""")&amp;" book."</f>
        <v>Hitachi has reshaped itself into a digital-systems and energy group with Lumada and GlobalLogic at the centre, and the operating margin has risen in each of the last four years to 11.3%; the shares trade at 30.0x earnings and 3.66x book.</v>
      </c>
    </row>
    <row r="25" spans="2:5" x14ac:dyDescent="0.2">
      <c r="B25" t="str">
        <f>"The captive-finance arm was divested years ago, so this is a clean industrial balance sheet in net cash and the "&amp;TEXT('DCF Model'!C26,"0.00%")&amp;" discount rate is the cost of equity with no leverage assumed."</f>
        <v>The captive-finance arm was divested years ago, so this is a clean industrial balance sheet in net cash and the 12.53% discount rate is the cost of equity with no leverage assumed.</v>
      </c>
    </row>
    <row r="26" spans="2:5" x14ac:dyDescent="0.2">
      <c r="B26" t="str">
        <f>"At "&amp;TEXT(C9,"#,##0")&amp;" the shares are valued in line with the diversified-electronics peer median on EV/EBITDA; a base case that gives back only part of the margin gain supports "&amp;TEXT(C10,"#,##0")&amp;", or "&amp;TEXT(C12,"+0.0%;-0.0%")&amp;" from here."</f>
        <v>At 5,377 the shares are valued in line with the diversified-electronics peer median on EV/EBITDA; a base case that gives back only part of the margin gain supports 4,735, or -11.9% from here.</v>
      </c>
    </row>
    <row r="28" spans="2:5" ht="14" customHeight="1" x14ac:dyDescent="0.3">
      <c r="B28" s="8" t="s">
        <v>24</v>
      </c>
      <c r="C28" s="9"/>
      <c r="D28" s="9"/>
    </row>
    <row r="29" spans="2:5" x14ac:dyDescent="0.2">
      <c r="B29" t="str">
        <f>"The margin has risen for four consecutive years on portfolio pruning that is now largely done; treating that as a plateau rather than a peak is the main way "&amp;TEXT(C10,"#,##0")&amp;" could prove optimistic."</f>
        <v>The margin has risen for four consecutive years on portfolio pruning that is now largely done; treating that as a plateau rather than a peak is the main way 4,735 could prove optimistic.</v>
      </c>
    </row>
    <row r="30" spans="2:5" x14ac:dyDescent="0.2">
      <c r="B30" t="s">
        <v>25</v>
      </c>
    </row>
    <row r="31" spans="2:5" x14ac:dyDescent="0.2">
      <c r="B31" t="str">
        <f>"Receivable days near 120 reflect long-cycle infrastructure contracts, so a slowdown ties up cash before it appears in the "&amp;TEXT('Comps Analysis'!L5,"0.0""x""")&amp;" the market pays."</f>
        <v>Receivable days near 120 reflect long-cycle infrastructure contracts, so a slowdown ties up cash before it appears in the 30.0x the market pays.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10881150</v>
      </c>
      <c r="D6" s="5">
        <v>9728716</v>
      </c>
      <c r="E6" s="5">
        <v>9783370</v>
      </c>
      <c r="F6" s="5">
        <v>10586781</v>
      </c>
    </row>
    <row r="7" spans="2:6" ht="14" customHeight="1" x14ac:dyDescent="0.3">
      <c r="B7" s="4" t="s">
        <v>33</v>
      </c>
      <c r="C7" s="5">
        <v>8192063</v>
      </c>
      <c r="D7" s="5">
        <v>7146629</v>
      </c>
      <c r="E7" s="5">
        <v>6962527</v>
      </c>
      <c r="F7" s="5">
        <v>7407252</v>
      </c>
    </row>
    <row r="8" spans="2:6" ht="14" customHeight="1" x14ac:dyDescent="0.3">
      <c r="B8" s="4" t="s">
        <v>34</v>
      </c>
      <c r="C8" s="5">
        <f>C6-C7</f>
        <v>2689087</v>
      </c>
      <c r="D8" s="5">
        <f>D6-D7</f>
        <v>2582087</v>
      </c>
      <c r="E8" s="5">
        <f>E6-E7</f>
        <v>2820843</v>
      </c>
      <c r="F8" s="5">
        <f>F6-F7</f>
        <v>3179529</v>
      </c>
    </row>
    <row r="9" spans="2:6" ht="13.5" customHeight="1" x14ac:dyDescent="0.25">
      <c r="B9" t="s">
        <v>35</v>
      </c>
      <c r="C9" s="7">
        <f>C8/C6</f>
        <v>0.24713261006419357</v>
      </c>
      <c r="D9" s="7">
        <f>D8/D6</f>
        <v>0.26540881653858533</v>
      </c>
      <c r="E9" s="7">
        <f>E8/E6</f>
        <v>0.28833040148742201</v>
      </c>
      <c r="F9" s="7">
        <f>F8/F6</f>
        <v>0.30033010033928159</v>
      </c>
    </row>
    <row r="10" spans="2:6" ht="14" customHeight="1" x14ac:dyDescent="0.3">
      <c r="B10" s="4" t="s">
        <v>36</v>
      </c>
      <c r="C10" s="5">
        <v>1940943</v>
      </c>
      <c r="D10" s="5">
        <v>1826271</v>
      </c>
      <c r="E10" s="5">
        <v>1849237</v>
      </c>
      <c r="F10" s="5">
        <v>1980254</v>
      </c>
    </row>
    <row r="11" spans="2:6" ht="14" customHeight="1" x14ac:dyDescent="0.3">
      <c r="B11" s="4" t="s">
        <v>37</v>
      </c>
      <c r="C11" s="5">
        <v>748144</v>
      </c>
      <c r="D11" s="5">
        <v>755816</v>
      </c>
      <c r="E11" s="5">
        <v>971606</v>
      </c>
      <c r="F11" s="5">
        <v>1199275</v>
      </c>
    </row>
    <row r="12" spans="2:6" ht="14" customHeight="1" x14ac:dyDescent="0.3">
      <c r="B12" s="4" t="s">
        <v>38</v>
      </c>
      <c r="C12" s="5">
        <v>649124</v>
      </c>
      <c r="D12" s="5">
        <v>589896</v>
      </c>
      <c r="E12" s="5">
        <v>615724</v>
      </c>
      <c r="F12" s="5">
        <v>802368</v>
      </c>
    </row>
    <row r="13" spans="2:6" ht="13.5" customHeight="1" x14ac:dyDescent="0.25">
      <c r="B13" t="s">
        <v>39</v>
      </c>
      <c r="C13" s="7">
        <f>C11/C6</f>
        <v>6.8755967889423453E-2</v>
      </c>
      <c r="D13" s="7">
        <f>D11/D6</f>
        <v>7.7689183238569201E-2</v>
      </c>
      <c r="E13" s="7">
        <f>E11/E6</f>
        <v>9.9311995764240754E-2</v>
      </c>
      <c r="F13" s="7">
        <f>F11/F6</f>
        <v>0.1132804201768224</v>
      </c>
    </row>
    <row r="14" spans="2:6" ht="13.5" customHeight="1" x14ac:dyDescent="0.25">
      <c r="B14" t="s">
        <v>40</v>
      </c>
      <c r="C14" s="7">
        <f>C12/C6</f>
        <v>5.9655826819775486E-2</v>
      </c>
      <c r="D14" s="7">
        <f>D12/D6</f>
        <v>6.0634517443000698E-2</v>
      </c>
      <c r="E14" s="7">
        <f>E12/E6</f>
        <v>6.293577775347349E-2</v>
      </c>
      <c r="F14" s="7">
        <f>F12/F6</f>
        <v>7.5789609702892696E-2</v>
      </c>
    </row>
    <row r="15" spans="2:6" ht="13.5" customHeight="1" x14ac:dyDescent="0.25">
      <c r="B15" t="s">
        <v>41</v>
      </c>
      <c r="C15" t="s">
        <v>42</v>
      </c>
      <c r="D15" s="7">
        <f>(D6-C6)/C6</f>
        <v>-0.10591104800503623</v>
      </c>
      <c r="E15" s="7">
        <f>(E6-D6)/D6</f>
        <v>5.6178019792128787E-3</v>
      </c>
      <c r="F15" s="7">
        <f>(F6-E6)/E6</f>
        <v>8.2120067011673889E-2</v>
      </c>
    </row>
    <row r="16" spans="2:6" ht="13.5" customHeight="1" x14ac:dyDescent="0.25">
      <c r="B16" t="s">
        <v>43</v>
      </c>
      <c r="C16" t="s">
        <v>42</v>
      </c>
      <c r="D16" s="7">
        <f>(D11-C11)/C11</f>
        <v>1.0254710323146347E-2</v>
      </c>
      <c r="E16" s="7">
        <f>(E11-D11)/D11</f>
        <v>0.28550599616837963</v>
      </c>
      <c r="F16" s="7">
        <f>(F11-E11)/E11</f>
        <v>0.23432234877100389</v>
      </c>
    </row>
    <row r="18" spans="2:6" ht="14" customHeight="1" x14ac:dyDescent="0.3">
      <c r="B18" s="3" t="s">
        <v>44</v>
      </c>
    </row>
    <row r="19" spans="2:6" ht="14" customHeight="1" x14ac:dyDescent="0.3">
      <c r="B19" s="4" t="s">
        <v>45</v>
      </c>
      <c r="C19" s="5">
        <v>827045</v>
      </c>
      <c r="D19" s="5">
        <v>956612</v>
      </c>
      <c r="E19" s="5">
        <v>1172240</v>
      </c>
      <c r="F19" s="5">
        <v>1668061</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833283</v>
      </c>
      <c r="D26" s="5">
        <v>705367</v>
      </c>
      <c r="E26" s="5">
        <v>866242</v>
      </c>
      <c r="F26" s="5">
        <v>1323480</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4.5100000000000001E-2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1.3174999999999999</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15.6</v>
      </c>
    </row>
    <row r="15" spans="2:7" ht="14" customHeight="1" x14ac:dyDescent="0.3">
      <c r="B15" s="4" t="s">
        <v>66</v>
      </c>
      <c r="C15" s="15">
        <v>4476140293</v>
      </c>
    </row>
    <row r="16" spans="2:7" ht="14" customHeight="1" x14ac:dyDescent="0.3">
      <c r="B16" s="4" t="s">
        <v>67</v>
      </c>
      <c r="C16" s="5">
        <v>-314443</v>
      </c>
    </row>
    <row r="17" spans="2:7" ht="14" customHeight="1" x14ac:dyDescent="0.3">
      <c r="B17" s="4" t="s">
        <v>68</v>
      </c>
      <c r="C17" s="5">
        <v>10586781</v>
      </c>
    </row>
    <row r="18" spans="2:7" ht="14" customHeight="1" x14ac:dyDescent="0.3">
      <c r="B18" s="4" t="s">
        <v>69</v>
      </c>
      <c r="C18" s="7">
        <v>4.2999999999999997E-2</v>
      </c>
    </row>
    <row r="19" spans="2:7" ht="14" customHeight="1" x14ac:dyDescent="0.3">
      <c r="B19" s="4" t="s">
        <v>70</v>
      </c>
      <c r="C19" s="12">
        <v>1</v>
      </c>
    </row>
    <row r="20" spans="2:7" ht="14" customHeight="1" x14ac:dyDescent="0.3">
      <c r="B20" s="4" t="s">
        <v>71</v>
      </c>
      <c r="C20" s="5">
        <v>10586781</v>
      </c>
    </row>
    <row r="22" spans="2:7" ht="14" customHeight="1" x14ac:dyDescent="0.3">
      <c r="B22" s="8" t="s">
        <v>72</v>
      </c>
      <c r="C22" s="9"/>
      <c r="D22" s="9"/>
      <c r="E22" s="9"/>
      <c r="F22" s="9"/>
      <c r="G22" s="9"/>
    </row>
    <row r="23" spans="2:7" ht="14" customHeight="1" x14ac:dyDescent="0.3">
      <c r="B23" s="4" t="s">
        <v>73</v>
      </c>
      <c r="C23" s="16">
        <f>C7+C8*C9+C10</f>
        <v>0.12533749999999999</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0.12533749999999999</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85</v>
      </c>
      <c r="C31" s="18">
        <f>CHOOSE($D$27,C76,C77,C78,C79,C80)</f>
        <v>0.7</v>
      </c>
      <c r="D31" s="18">
        <f>CHOOSE($D$27,D76,D77,D78,D79,D80)</f>
        <v>0.7</v>
      </c>
      <c r="E31" s="18">
        <f>CHOOSE($D$27,E76,E77,E78,E79,E80)</f>
        <v>0.7</v>
      </c>
      <c r="F31" s="18">
        <f>CHOOSE($D$27,F76,F77,F78,F79,F80)</f>
        <v>0.7</v>
      </c>
      <c r="G31" s="18">
        <f>CHOOSE($D$27,G76,G77,G78,G79,G80)</f>
        <v>0.7</v>
      </c>
    </row>
    <row r="32" spans="2:7" ht="14" customHeight="1" x14ac:dyDescent="0.3">
      <c r="B32" s="4" t="s">
        <v>86</v>
      </c>
      <c r="C32" s="18">
        <f>CHOOSE($D$27,C83,C84,C85,C86,C87)</f>
        <v>0.18672</v>
      </c>
      <c r="D32" s="18">
        <f>CHOOSE($D$27,D83,D84,D85,D86,D87)</f>
        <v>0.18672</v>
      </c>
      <c r="E32" s="18">
        <f>CHOOSE($D$27,E83,E84,E85,E86,E87)</f>
        <v>0.18672</v>
      </c>
      <c r="F32" s="18">
        <f>CHOOSE($D$27,F83,F84,F85,F86,F87)</f>
        <v>0.18672</v>
      </c>
      <c r="G32" s="18">
        <f>CHOOSE($D$27,G83,G84,G85,G86,G87)</f>
        <v>0.18672</v>
      </c>
    </row>
    <row r="33" spans="2:7" ht="14" customHeight="1" x14ac:dyDescent="0.3">
      <c r="B33" s="4" t="s">
        <v>32</v>
      </c>
      <c r="C33" s="5">
        <f>C17*(1+C30)</f>
        <v>11116120.050000001</v>
      </c>
      <c r="D33" s="5">
        <f>C33*(1+D30)</f>
        <v>11616345.45225</v>
      </c>
      <c r="E33" s="5">
        <f>D33*(1+E30)</f>
        <v>12080999.270340001</v>
      </c>
      <c r="F33" s="5">
        <f>E33*(1+F30)</f>
        <v>12503834.244801899</v>
      </c>
      <c r="G33" s="5">
        <f>F33*(1+G30)</f>
        <v>12878949.272145957</v>
      </c>
    </row>
    <row r="34" spans="2:7" ht="14" customHeight="1" x14ac:dyDescent="0.3">
      <c r="B34" s="4" t="s">
        <v>33</v>
      </c>
      <c r="C34" s="5">
        <f>C33*C31</f>
        <v>7781284.0350000001</v>
      </c>
      <c r="D34" s="5">
        <f>D33*D31</f>
        <v>8131441.8165749991</v>
      </c>
      <c r="E34" s="5">
        <f>E33*E31</f>
        <v>8456699.4892379995</v>
      </c>
      <c r="F34" s="5">
        <f>F33*F31</f>
        <v>8752683.9713613298</v>
      </c>
      <c r="G34" s="5">
        <f>G33*G31</f>
        <v>9015264.4905021694</v>
      </c>
    </row>
    <row r="35" spans="2:7" ht="14" customHeight="1" x14ac:dyDescent="0.3">
      <c r="B35" s="4" t="s">
        <v>34</v>
      </c>
      <c r="C35" s="19">
        <f>C33-C34</f>
        <v>3334836.0150000006</v>
      </c>
      <c r="D35" s="19">
        <f>D33-D34</f>
        <v>3484903.635675001</v>
      </c>
      <c r="E35" s="19">
        <f>E33-E34</f>
        <v>3624299.7811020017</v>
      </c>
      <c r="F35" s="19">
        <f>F33-F34</f>
        <v>3751150.2734405696</v>
      </c>
      <c r="G35" s="19">
        <f>G33-G34</f>
        <v>3863684.7816437874</v>
      </c>
    </row>
    <row r="36" spans="2:7" ht="14" customHeight="1" x14ac:dyDescent="0.3">
      <c r="B36" s="4" t="s">
        <v>35</v>
      </c>
      <c r="C36" s="7">
        <f>C35/C33</f>
        <v>0.30000000000000004</v>
      </c>
      <c r="D36" s="7">
        <f>D35/D33</f>
        <v>0.3000000000000001</v>
      </c>
      <c r="E36" s="7">
        <f>E35/E33</f>
        <v>0.3000000000000001</v>
      </c>
      <c r="F36" s="7">
        <f>F35/F33</f>
        <v>0.3</v>
      </c>
      <c r="G36" s="7">
        <f>G35/G33</f>
        <v>0.30000000000000004</v>
      </c>
    </row>
    <row r="37" spans="2:7" ht="14" customHeight="1" x14ac:dyDescent="0.3">
      <c r="B37" s="4" t="s">
        <v>87</v>
      </c>
      <c r="C37" s="5">
        <f>C33*C32</f>
        <v>2075601.9357360001</v>
      </c>
      <c r="D37" s="5">
        <f>D33*D32</f>
        <v>2169004.0228441199</v>
      </c>
      <c r="E37" s="5">
        <f>E33*E32</f>
        <v>2255764.1837578849</v>
      </c>
      <c r="F37" s="5">
        <f>F33*F32</f>
        <v>2334715.9301894107</v>
      </c>
      <c r="G37" s="5">
        <f>G33*G32</f>
        <v>2404757.408095093</v>
      </c>
    </row>
    <row r="38" spans="2:7" ht="14" customHeight="1" x14ac:dyDescent="0.3">
      <c r="B38" s="4" t="s">
        <v>88</v>
      </c>
      <c r="C38" s="7">
        <f>(C35-C37)/C33</f>
        <v>0.11328000000000003</v>
      </c>
      <c r="D38" s="7">
        <f>(D35-D37)/D33</f>
        <v>0.11328000000000009</v>
      </c>
      <c r="E38" s="7">
        <f>(E35-E37)/E33</f>
        <v>0.11328000000000012</v>
      </c>
      <c r="F38" s="7">
        <f>(F35-F37)/F33</f>
        <v>0.11327999999999998</v>
      </c>
      <c r="G38" s="7">
        <f>(G35-G37)/G33</f>
        <v>0.11328000000000003</v>
      </c>
    </row>
    <row r="39" spans="2:7" ht="14" customHeight="1" x14ac:dyDescent="0.3">
      <c r="B39" s="4" t="s">
        <v>89</v>
      </c>
      <c r="C39" s="19">
        <f>C35-C37</f>
        <v>1259234.0792640005</v>
      </c>
      <c r="D39" s="19">
        <f>D35-D37</f>
        <v>1315899.612830881</v>
      </c>
      <c r="E39" s="19">
        <f>E35-E37</f>
        <v>1368535.5973441168</v>
      </c>
      <c r="F39" s="19">
        <f>F35-F37</f>
        <v>1416434.3432511589</v>
      </c>
      <c r="G39" s="19">
        <f>G35-G37</f>
        <v>1458927.3735486944</v>
      </c>
    </row>
    <row r="40" spans="2:7" ht="14" customHeight="1" x14ac:dyDescent="0.3">
      <c r="B40" s="4" t="s">
        <v>90</v>
      </c>
      <c r="C40" s="5">
        <f>MAX(0,C39*C6)</f>
        <v>314808.51981600013</v>
      </c>
      <c r="D40" s="5">
        <f>MAX(0,D39*C6)</f>
        <v>328974.90320772026</v>
      </c>
      <c r="E40" s="5">
        <f>MAX(0,E39*C6)</f>
        <v>342133.89933602919</v>
      </c>
      <c r="F40" s="5">
        <f>MAX(0,F39*C6)</f>
        <v>354108.58581278974</v>
      </c>
      <c r="G40" s="5">
        <f>MAX(0,G39*C6)</f>
        <v>364731.84338717361</v>
      </c>
    </row>
    <row r="41" spans="2:7" ht="14" customHeight="1" x14ac:dyDescent="0.3">
      <c r="B41" s="4" t="s">
        <v>91</v>
      </c>
      <c r="C41" s="19">
        <f>C39-C40</f>
        <v>944425.55944800039</v>
      </c>
      <c r="D41" s="19">
        <f>D39-D40</f>
        <v>986924.70962316077</v>
      </c>
      <c r="E41" s="19">
        <f>E39-E40</f>
        <v>1026401.6980080876</v>
      </c>
      <c r="F41" s="19">
        <f>F39-F40</f>
        <v>1062325.7574383691</v>
      </c>
      <c r="G41" s="19">
        <f>G39-G40</f>
        <v>1094195.5301615209</v>
      </c>
    </row>
    <row r="42" spans="2:7" ht="14" customHeight="1" x14ac:dyDescent="0.3">
      <c r="B42" s="4" t="s">
        <v>92</v>
      </c>
      <c r="C42" s="5">
        <f>C33*C18</f>
        <v>477993.16214999999</v>
      </c>
      <c r="D42" s="5">
        <f>D33*C18</f>
        <v>499502.85444674996</v>
      </c>
      <c r="E42" s="5">
        <f>E33*C18</f>
        <v>519482.96862462</v>
      </c>
      <c r="F42" s="5">
        <f>F33*C18</f>
        <v>537664.87252648163</v>
      </c>
      <c r="G42" s="5">
        <f>G33*C18</f>
        <v>553794.8187022761</v>
      </c>
    </row>
    <row r="43" spans="2:7" ht="14" customHeight="1" x14ac:dyDescent="0.3">
      <c r="B43" s="4" t="s">
        <v>93</v>
      </c>
      <c r="C43" s="5">
        <f>C33*C5</f>
        <v>501337.01425500005</v>
      </c>
      <c r="D43" s="5">
        <f>D33*C5</f>
        <v>523897.17989647499</v>
      </c>
      <c r="E43" s="5">
        <f>E33*C5</f>
        <v>544853.06709233404</v>
      </c>
      <c r="F43" s="5">
        <f>F33*C5</f>
        <v>563922.92444056564</v>
      </c>
      <c r="G43" s="5">
        <f>G33*C5</f>
        <v>580840.61217378266</v>
      </c>
    </row>
    <row r="44" spans="2:7" ht="14" customHeight="1" x14ac:dyDescent="0.3">
      <c r="B44" s="4" t="s">
        <v>94</v>
      </c>
      <c r="C44" s="5">
        <f>'NWC Schedule'!D19</f>
        <v>-407179.96687671216</v>
      </c>
      <c r="D44" s="5">
        <f>'NWC Schedule'!E19</f>
        <v>166924.53149054805</v>
      </c>
      <c r="E44" s="5">
        <f>'NWC Schedule'!F19</f>
        <v>155054.34258455364</v>
      </c>
      <c r="F44" s="5">
        <f>'NWC Schedule'!G19</f>
        <v>141099.45175194321</v>
      </c>
      <c r="G44" s="5">
        <f>'NWC Schedule'!H19</f>
        <v>125175.37076850981</v>
      </c>
    </row>
    <row r="45" spans="2:7" ht="14" customHeight="1" x14ac:dyDescent="0.3">
      <c r="B45" s="4" t="s">
        <v>95</v>
      </c>
      <c r="C45" s="20">
        <f>C41+C42-C43-C44</f>
        <v>1328261.6742197124</v>
      </c>
      <c r="D45" s="20">
        <f>D41+D42-D43-D44</f>
        <v>795605.85268288758</v>
      </c>
      <c r="E45" s="20">
        <f>E41+E42-E43-E44</f>
        <v>845977.25695582002</v>
      </c>
      <c r="F45" s="20">
        <f>F41+F42-F43-F44</f>
        <v>894968.253772342</v>
      </c>
      <c r="G45" s="20">
        <f>G41+G42-G43-G44</f>
        <v>941974.36592150456</v>
      </c>
    </row>
    <row r="46" spans="2:7" ht="14" customHeight="1" x14ac:dyDescent="0.3">
      <c r="B46" s="4" t="s">
        <v>96</v>
      </c>
      <c r="C46" s="21">
        <f>1/(1+C26)^(C19+0)</f>
        <v>0.88862230219822935</v>
      </c>
      <c r="D46" s="21">
        <f>1/(1+C26)^(C19+1)</f>
        <v>0.78964959596408113</v>
      </c>
      <c r="E46" s="21">
        <f>1/(1+C26)^(C19+2)</f>
        <v>0.7017002418955034</v>
      </c>
      <c r="F46" s="21">
        <f>1/(1+C26)^(C19+3)</f>
        <v>0.62354648440623672</v>
      </c>
      <c r="G46" s="21">
        <f>1/(1+C26)^(C19+4)</f>
        <v>0.55409731250068239</v>
      </c>
    </row>
    <row r="47" spans="2:7" ht="14" customHeight="1" x14ac:dyDescent="0.3">
      <c r="B47" s="4" t="s">
        <v>97</v>
      </c>
      <c r="C47" s="19">
        <f>C45*C46</f>
        <v>1180322.9468667954</v>
      </c>
      <c r="D47" s="19">
        <f>D45*D46</f>
        <v>628249.8401177004</v>
      </c>
      <c r="E47" s="19">
        <f>E45*E46</f>
        <v>593622.44584399334</v>
      </c>
      <c r="F47" s="19">
        <f>F45*F46</f>
        <v>558054.30829493259</v>
      </c>
      <c r="G47" s="19">
        <f>G45*G46</f>
        <v>521945.46460164007</v>
      </c>
    </row>
    <row r="49" spans="2:7" ht="14" customHeight="1" x14ac:dyDescent="0.3">
      <c r="B49" s="22" t="s">
        <v>98</v>
      </c>
      <c r="C49" s="23"/>
      <c r="D49" s="23"/>
      <c r="E49" s="23"/>
      <c r="F49" s="23"/>
      <c r="G49" s="23"/>
    </row>
    <row r="50" spans="2:7" ht="14" customHeight="1" x14ac:dyDescent="0.3">
      <c r="B50" s="4" t="s">
        <v>99</v>
      </c>
      <c r="C50" s="5">
        <f>SUM(C47:G47)</f>
        <v>3482195.005725062</v>
      </c>
    </row>
    <row r="51" spans="2:7" ht="14" customHeight="1" x14ac:dyDescent="0.3">
      <c r="B51" s="4" t="s">
        <v>100</v>
      </c>
      <c r="C51" s="5">
        <f>G45*(1+C13)/(C26-C13)</f>
        <v>8248783.8697797302</v>
      </c>
    </row>
    <row r="52" spans="2:7" ht="14" customHeight="1" x14ac:dyDescent="0.3">
      <c r="B52" s="4" t="s">
        <v>101</v>
      </c>
      <c r="C52" s="5">
        <f>C51*G46</f>
        <v>4570628.9736439278</v>
      </c>
    </row>
    <row r="53" spans="2:7" ht="14" customHeight="1" x14ac:dyDescent="0.3">
      <c r="B53" s="4" t="s">
        <v>102</v>
      </c>
      <c r="C53" s="5">
        <f>C50+C52</f>
        <v>8052823.9793689903</v>
      </c>
    </row>
    <row r="54" spans="2:7" ht="14" customHeight="1" x14ac:dyDescent="0.3">
      <c r="B54" s="4" t="s">
        <v>103</v>
      </c>
      <c r="C54" s="5">
        <f>C53-C16</f>
        <v>8367266.9793689903</v>
      </c>
    </row>
    <row r="55" spans="2:7" ht="14" customHeight="1" x14ac:dyDescent="0.3">
      <c r="B55" s="4" t="s">
        <v>104</v>
      </c>
      <c r="C55" s="24">
        <f>ROUND(C54*1000000/C15,0)</f>
        <v>1869</v>
      </c>
    </row>
    <row r="57" spans="2:7" ht="14" customHeight="1" x14ac:dyDescent="0.3">
      <c r="B57" s="22" t="s">
        <v>105</v>
      </c>
      <c r="C57" s="23"/>
      <c r="D57" s="23"/>
      <c r="E57" s="23"/>
      <c r="F57" s="23"/>
      <c r="G57" s="23"/>
    </row>
    <row r="58" spans="2:7" ht="14" customHeight="1" x14ac:dyDescent="0.3">
      <c r="B58" s="4" t="s">
        <v>99</v>
      </c>
      <c r="C58" s="5">
        <f>C50</f>
        <v>3482195.005725062</v>
      </c>
    </row>
    <row r="59" spans="2:7" ht="14" customHeight="1" x14ac:dyDescent="0.3">
      <c r="B59" s="4" t="s">
        <v>106</v>
      </c>
      <c r="C59" s="5">
        <f>G39+G42</f>
        <v>2012722.1922509705</v>
      </c>
    </row>
    <row r="60" spans="2:7" ht="14" customHeight="1" x14ac:dyDescent="0.3">
      <c r="B60" s="4" t="s">
        <v>107</v>
      </c>
      <c r="C60" s="5">
        <f>C59*C14</f>
        <v>31398466.199115139</v>
      </c>
    </row>
    <row r="61" spans="2:7" ht="14" customHeight="1" x14ac:dyDescent="0.3">
      <c r="B61" s="4" t="s">
        <v>101</v>
      </c>
      <c r="C61" s="5">
        <f>C60*G46</f>
        <v>17397805.737573214</v>
      </c>
    </row>
    <row r="62" spans="2:7" ht="14" customHeight="1" x14ac:dyDescent="0.3">
      <c r="B62" s="4" t="s">
        <v>102</v>
      </c>
      <c r="C62" s="5">
        <f>C58+C61</f>
        <v>20880000.743298277</v>
      </c>
    </row>
    <row r="63" spans="2:7" ht="14" customHeight="1" x14ac:dyDescent="0.3">
      <c r="B63" s="4" t="s">
        <v>103</v>
      </c>
      <c r="C63" s="5">
        <f>C62-C16</f>
        <v>21194443.743298277</v>
      </c>
    </row>
    <row r="64" spans="2:7" ht="14" customHeight="1" x14ac:dyDescent="0.3">
      <c r="B64" s="4" t="s">
        <v>108</v>
      </c>
      <c r="C64" s="24">
        <f>ROUND(C63*1000000/C15,0)</f>
        <v>4735</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0.05</v>
      </c>
      <c r="D69" s="26">
        <v>4.4999999999999998E-2</v>
      </c>
      <c r="E69" s="26">
        <v>0.04</v>
      </c>
      <c r="F69" s="26">
        <v>3.5000000000000003E-2</v>
      </c>
      <c r="G69" s="26">
        <v>0.03</v>
      </c>
    </row>
    <row r="70" spans="2:7" ht="14" customHeight="1" x14ac:dyDescent="0.3">
      <c r="B70" s="4" t="s">
        <v>115</v>
      </c>
      <c r="C70" s="26">
        <v>6.5000000000000002E-2</v>
      </c>
      <c r="D70" s="26">
        <v>5.5E-2</v>
      </c>
      <c r="E70" s="26">
        <v>0.05</v>
      </c>
      <c r="F70" s="26">
        <v>4.4999999999999998E-2</v>
      </c>
      <c r="G70" s="26">
        <v>0.04</v>
      </c>
    </row>
    <row r="71" spans="2:7" ht="14" customHeight="1" x14ac:dyDescent="0.3">
      <c r="B71" s="4" t="s">
        <v>116</v>
      </c>
      <c r="C71" s="26">
        <v>0.05</v>
      </c>
      <c r="D71" s="26">
        <v>4.4999999999999998E-2</v>
      </c>
      <c r="E71" s="26">
        <v>0.04</v>
      </c>
      <c r="F71" s="26">
        <v>3.5000000000000003E-2</v>
      </c>
      <c r="G71" s="26">
        <v>0.03</v>
      </c>
    </row>
    <row r="72" spans="2:7" ht="14" customHeight="1" x14ac:dyDescent="0.3">
      <c r="B72" s="4" t="s">
        <v>117</v>
      </c>
      <c r="C72" s="26">
        <v>0.01</v>
      </c>
      <c r="D72" s="26">
        <v>0.01</v>
      </c>
      <c r="E72" s="26">
        <v>0.01</v>
      </c>
      <c r="F72" s="26">
        <v>0.01</v>
      </c>
      <c r="G72" s="26">
        <v>0.01</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0.7</v>
      </c>
      <c r="D76" s="26">
        <v>0.7</v>
      </c>
      <c r="E76" s="26">
        <v>0.7</v>
      </c>
      <c r="F76" s="26">
        <v>0.7</v>
      </c>
      <c r="G76" s="26">
        <v>0.7</v>
      </c>
    </row>
    <row r="77" spans="2:7" ht="14" customHeight="1" x14ac:dyDescent="0.3">
      <c r="B77" s="4" t="s">
        <v>115</v>
      </c>
      <c r="C77" s="26">
        <v>0.69399999999999995</v>
      </c>
      <c r="D77" s="26">
        <v>0.69399999999999995</v>
      </c>
      <c r="E77" s="26">
        <v>0.69399999999999995</v>
      </c>
      <c r="F77" s="26">
        <v>0.69399999999999995</v>
      </c>
      <c r="G77" s="26">
        <v>0.69399999999999995</v>
      </c>
    </row>
    <row r="78" spans="2:7" ht="14" customHeight="1" x14ac:dyDescent="0.3">
      <c r="B78" s="4" t="s">
        <v>116</v>
      </c>
      <c r="C78" s="26">
        <v>0.7</v>
      </c>
      <c r="D78" s="26">
        <v>0.7</v>
      </c>
      <c r="E78" s="26">
        <v>0.7</v>
      </c>
      <c r="F78" s="26">
        <v>0.7</v>
      </c>
      <c r="G78" s="26">
        <v>0.7</v>
      </c>
    </row>
    <row r="79" spans="2:7" ht="14" customHeight="1" x14ac:dyDescent="0.3">
      <c r="B79" s="4" t="s">
        <v>117</v>
      </c>
      <c r="C79" s="26">
        <v>0.71</v>
      </c>
      <c r="D79" s="26">
        <v>0.71</v>
      </c>
      <c r="E79" s="26">
        <v>0.71</v>
      </c>
      <c r="F79" s="26">
        <v>0.71</v>
      </c>
      <c r="G79" s="26">
        <v>0.71</v>
      </c>
    </row>
    <row r="80" spans="2:7" ht="14" customHeight="1" x14ac:dyDescent="0.3">
      <c r="B80" s="4" t="s">
        <v>118</v>
      </c>
      <c r="C80" s="26">
        <v>0.72499999999999998</v>
      </c>
      <c r="D80" s="26">
        <v>0.72499999999999998</v>
      </c>
      <c r="E80" s="26">
        <v>0.72499999999999998</v>
      </c>
      <c r="F80" s="26">
        <v>0.72499999999999998</v>
      </c>
      <c r="G80" s="26">
        <v>0.72499999999999998</v>
      </c>
    </row>
    <row r="82" spans="2:7" ht="14" customHeight="1" x14ac:dyDescent="0.3">
      <c r="B82" s="3" t="s">
        <v>86</v>
      </c>
    </row>
    <row r="83" spans="2:7" ht="14" customHeight="1" x14ac:dyDescent="0.3">
      <c r="B83" s="4" t="s">
        <v>78</v>
      </c>
      <c r="C83" s="26">
        <v>0.18672</v>
      </c>
      <c r="D83" s="26">
        <v>0.18672</v>
      </c>
      <c r="E83" s="26">
        <v>0.18672</v>
      </c>
      <c r="F83" s="26">
        <v>0.18672</v>
      </c>
      <c r="G83" s="26">
        <v>0.18672</v>
      </c>
    </row>
    <row r="84" spans="2:7" ht="14" customHeight="1" x14ac:dyDescent="0.3">
      <c r="B84" s="4" t="s">
        <v>115</v>
      </c>
      <c r="C84" s="26">
        <v>0.19</v>
      </c>
      <c r="D84" s="26">
        <v>0.188</v>
      </c>
      <c r="E84" s="26">
        <v>0.186</v>
      </c>
      <c r="F84" s="26">
        <v>0.184</v>
      </c>
      <c r="G84" s="26">
        <v>0.1827</v>
      </c>
    </row>
    <row r="85" spans="2:7" ht="14" customHeight="1" x14ac:dyDescent="0.3">
      <c r="B85" s="4" t="s">
        <v>116</v>
      </c>
      <c r="C85" s="26">
        <v>0.18672</v>
      </c>
      <c r="D85" s="26">
        <v>0.18672</v>
      </c>
      <c r="E85" s="26">
        <v>0.18672</v>
      </c>
      <c r="F85" s="26">
        <v>0.18672</v>
      </c>
      <c r="G85" s="26">
        <v>0.18672</v>
      </c>
    </row>
    <row r="86" spans="2:7" ht="14" customHeight="1" x14ac:dyDescent="0.3">
      <c r="B86" s="4" t="s">
        <v>117</v>
      </c>
      <c r="C86" s="26">
        <v>0.19</v>
      </c>
      <c r="D86" s="26">
        <v>0.2</v>
      </c>
      <c r="E86" s="26">
        <v>0.20799999999999999</v>
      </c>
      <c r="F86" s="26">
        <v>0.21299999999999999</v>
      </c>
      <c r="G86" s="26">
        <v>0.2145</v>
      </c>
    </row>
    <row r="87" spans="2:7" ht="14" customHeight="1" x14ac:dyDescent="0.3">
      <c r="B87" s="4" t="s">
        <v>118</v>
      </c>
      <c r="C87" s="26">
        <v>0.2</v>
      </c>
      <c r="D87" s="26">
        <v>0.20599999999999999</v>
      </c>
      <c r="E87" s="26">
        <v>0.20599999999999999</v>
      </c>
      <c r="F87" s="26">
        <v>0.20300000000000001</v>
      </c>
      <c r="G87" s="26">
        <v>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5377</v>
      </c>
    </row>
    <row r="7" spans="2:9" ht="14" customHeight="1" x14ac:dyDescent="0.3">
      <c r="B7" s="4" t="s">
        <v>66</v>
      </c>
      <c r="C7" s="15">
        <f>'DCF Model'!C15</f>
        <v>4476140293</v>
      </c>
    </row>
    <row r="8" spans="2:9" ht="14" customHeight="1" x14ac:dyDescent="0.3">
      <c r="B8" s="4" t="s">
        <v>123</v>
      </c>
      <c r="C8" s="5">
        <f>C6*C7/1000000</f>
        <v>24068206.355461001</v>
      </c>
    </row>
    <row r="9" spans="2:9" ht="14" customHeight="1" x14ac:dyDescent="0.3">
      <c r="B9" s="4" t="s">
        <v>67</v>
      </c>
      <c r="C9" s="5">
        <f>'DCF Model'!C16</f>
        <v>-314443</v>
      </c>
    </row>
    <row r="10" spans="2:9" ht="14" customHeight="1" x14ac:dyDescent="0.3">
      <c r="B10" s="4" t="s">
        <v>124</v>
      </c>
      <c r="C10" s="5">
        <f>C8+C9</f>
        <v>23753763.355461001</v>
      </c>
    </row>
    <row r="11" spans="2:9" ht="14" customHeight="1" x14ac:dyDescent="0.3">
      <c r="B11" s="4" t="s">
        <v>125</v>
      </c>
      <c r="C11" s="16">
        <f>'DCF Model'!C26</f>
        <v>0.12533749999999999</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1199275</v>
      </c>
    </row>
    <row r="15" spans="2:9" ht="14" customHeight="1" x14ac:dyDescent="0.3">
      <c r="B15" s="4" t="s">
        <v>129</v>
      </c>
      <c r="C15" s="27">
        <v>1199275</v>
      </c>
    </row>
    <row r="16" spans="2:9" ht="14" customHeight="1" x14ac:dyDescent="0.3">
      <c r="B16" s="4" t="s">
        <v>130</v>
      </c>
      <c r="C16" s="5">
        <f>'DCF Model'!G33</f>
        <v>12878949.272145957</v>
      </c>
    </row>
    <row r="17" spans="2:9" ht="14" customHeight="1" x14ac:dyDescent="0.3">
      <c r="B17" s="4" t="s">
        <v>131</v>
      </c>
      <c r="C17" s="5">
        <f>'DCF Model'!C53</f>
        <v>8052823.9793689903</v>
      </c>
    </row>
    <row r="18" spans="2:9" ht="14" customHeight="1" x14ac:dyDescent="0.3">
      <c r="B18" s="4" t="s">
        <v>132</v>
      </c>
      <c r="C18" s="26">
        <v>0.1132804201768224</v>
      </c>
    </row>
    <row r="19" spans="2:9" ht="14" customHeight="1" x14ac:dyDescent="0.3">
      <c r="B19" s="4" t="s">
        <v>133</v>
      </c>
      <c r="C19" s="5">
        <f>C10-C17</f>
        <v>15700939.376092011</v>
      </c>
    </row>
    <row r="20" spans="2:9" ht="14" customHeight="1" x14ac:dyDescent="0.3">
      <c r="B20" s="4" t="s">
        <v>134</v>
      </c>
      <c r="C20" s="15">
        <f>IFERROR(ROUND(C19*1000000/C7,0),"N/A")</f>
        <v>3508</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2739699.6810104833</v>
      </c>
    </row>
    <row r="25" spans="2:9" ht="14" customHeight="1" x14ac:dyDescent="0.3">
      <c r="B25" s="4" t="s">
        <v>138</v>
      </c>
      <c r="C25" s="5">
        <f>IFERROR(C24/(1-C13),"N/A")</f>
        <v>3652932.9080139776</v>
      </c>
    </row>
    <row r="26" spans="2:9" ht="13.5" customHeight="1" x14ac:dyDescent="0.25">
      <c r="B26" s="6" t="s">
        <v>139</v>
      </c>
      <c r="C26" s="14">
        <f>IFERROR(C25/C15,"N/A")</f>
        <v>3.0459510187521439</v>
      </c>
    </row>
    <row r="27" spans="2:9" ht="13.5" customHeight="1" x14ac:dyDescent="0.25">
      <c r="B27" s="6" t="s">
        <v>140</v>
      </c>
      <c r="C27" s="14">
        <f>IFERROR(C25/C14,"N/A")</f>
        <v>3.0459510187521439</v>
      </c>
    </row>
    <row r="28" spans="2:9" ht="13.5" customHeight="1" x14ac:dyDescent="0.25">
      <c r="B28" s="6" t="s">
        <v>141</v>
      </c>
      <c r="C28" s="7">
        <f>IFERROR(C25/C16,"N/A")</f>
        <v>0.28363594194088376</v>
      </c>
    </row>
    <row r="29" spans="2:9" ht="13.5" customHeight="1" x14ac:dyDescent="0.25">
      <c r="B29" s="6" t="s">
        <v>142</v>
      </c>
      <c r="C29" s="5">
        <f>IFERROR(C25/C18,"N/A")</f>
        <v>32246816.372255843</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0.10533749999999999</v>
      </c>
      <c r="E36" s="29">
        <f>'DCF Model'!C26-0.01</f>
        <v>0.1153375</v>
      </c>
      <c r="F36" s="29">
        <f>'DCF Model'!C26</f>
        <v>0.12533749999999999</v>
      </c>
      <c r="G36" s="29">
        <f>'DCF Model'!C26+0.01</f>
        <v>0.1353375</v>
      </c>
      <c r="H36" s="29">
        <f>'DCF Model'!C26+0.02</f>
        <v>0.14533749999999998</v>
      </c>
    </row>
    <row r="37" spans="2:9" ht="14" customHeight="1" x14ac:dyDescent="0.3">
      <c r="B37" s="3" t="s">
        <v>148</v>
      </c>
    </row>
    <row r="38" spans="2:9" ht="14" customHeight="1" x14ac:dyDescent="0.3">
      <c r="B38" s="4" t="s">
        <v>149</v>
      </c>
      <c r="C38" s="30">
        <v>3</v>
      </c>
      <c r="D38" s="13">
        <f t="shared" ref="D38:H41" si="0">IFERROR((1-(1+D$36)^(-$C38))/D$36-(1+D$36)/(D$36^2*$C38)*(1-($C38+1)/(1+D$36)^$C38+$C38/(1+D$36)^($C38+1)),"N/A")</f>
        <v>0.87596203357069702</v>
      </c>
      <c r="E38" s="13">
        <f t="shared" si="0"/>
        <v>0.86568403355313217</v>
      </c>
      <c r="F38" s="13">
        <f t="shared" si="0"/>
        <v>0.85563140012017458</v>
      </c>
      <c r="G38" s="13">
        <f t="shared" si="0"/>
        <v>0.8457970598195057</v>
      </c>
      <c r="H38" s="13">
        <f t="shared" si="0"/>
        <v>0.83617422495153337</v>
      </c>
    </row>
    <row r="39" spans="2:9" ht="14" customHeight="1" x14ac:dyDescent="0.3">
      <c r="B39" s="4" t="s">
        <v>150</v>
      </c>
      <c r="C39" s="30">
        <v>5</v>
      </c>
      <c r="D39" s="13">
        <f t="shared" si="0"/>
        <v>1.6450277821227921</v>
      </c>
      <c r="E39" s="13">
        <f t="shared" si="0"/>
        <v>1.6171353853169652</v>
      </c>
      <c r="F39" s="13">
        <f t="shared" si="0"/>
        <v>1.5900769929764815</v>
      </c>
      <c r="G39" s="13">
        <f t="shared" si="0"/>
        <v>1.5638184147800112</v>
      </c>
      <c r="H39" s="13">
        <f t="shared" si="0"/>
        <v>1.5383272058935433</v>
      </c>
    </row>
    <row r="40" spans="2:9" ht="14" customHeight="1" x14ac:dyDescent="0.3">
      <c r="B40" s="4" t="s">
        <v>151</v>
      </c>
      <c r="C40" s="30">
        <v>7</v>
      </c>
      <c r="D40" s="13">
        <f t="shared" si="0"/>
        <v>2.321824406762008</v>
      </c>
      <c r="E40" s="13">
        <f t="shared" si="0"/>
        <v>2.2712512460201313</v>
      </c>
      <c r="F40" s="13">
        <f t="shared" si="0"/>
        <v>2.2225714383268658</v>
      </c>
      <c r="G40" s="13">
        <f t="shared" si="0"/>
        <v>2.1756899594221455</v>
      </c>
      <c r="H40" s="13">
        <f t="shared" si="0"/>
        <v>2.1305176118051858</v>
      </c>
    </row>
    <row r="41" spans="2:9" ht="14" customHeight="1" x14ac:dyDescent="0.3">
      <c r="B41" s="4" t="s">
        <v>152</v>
      </c>
      <c r="C41" s="30">
        <v>10</v>
      </c>
      <c r="D41" s="13">
        <f t="shared" si="0"/>
        <v>3.1908470671796021</v>
      </c>
      <c r="E41" s="13">
        <f t="shared" si="0"/>
        <v>3.1004434529274465</v>
      </c>
      <c r="F41" s="13">
        <f t="shared" si="0"/>
        <v>3.0143751592093255</v>
      </c>
      <c r="G41" s="13">
        <f t="shared" si="0"/>
        <v>2.9323681330565523</v>
      </c>
      <c r="H41" s="13">
        <f t="shared" si="0"/>
        <v>2.8541691499431909</v>
      </c>
    </row>
    <row r="42" spans="2:9" ht="14" customHeight="1" x14ac:dyDescent="0.3">
      <c r="B42" s="3" t="s">
        <v>153</v>
      </c>
    </row>
    <row r="43" spans="2:9" ht="14" customHeight="1" x14ac:dyDescent="0.3">
      <c r="B43" s="4" t="s">
        <v>149</v>
      </c>
      <c r="C43" s="30">
        <v>3</v>
      </c>
      <c r="D43" s="13">
        <f t="shared" ref="D43:H46" si="1">IFERROR((1+D$36)/(D$36^2*$C43)*(1-($C43+1)/(1+D$36)^$C43+$C43/(1+D$36)^($C43+1))+(1+$C$12)/((D$36-$C$12)*(1+D$36)^$C43),"N/A")</f>
        <v>9.4323442417285044</v>
      </c>
      <c r="E43" s="13">
        <f t="shared" si="1"/>
        <v>8.4661813986680432</v>
      </c>
      <c r="F43" s="13">
        <f t="shared" si="1"/>
        <v>7.6690659534584702</v>
      </c>
      <c r="G43" s="13">
        <f t="shared" si="1"/>
        <v>7.0004902986127249</v>
      </c>
      <c r="H43" s="13">
        <f t="shared" si="1"/>
        <v>6.4319209012519734</v>
      </c>
    </row>
    <row r="44" spans="2:9" ht="14" customHeight="1" x14ac:dyDescent="0.3">
      <c r="B44" s="4" t="s">
        <v>150</v>
      </c>
      <c r="C44" s="30">
        <v>5</v>
      </c>
      <c r="D44" s="13">
        <f t="shared" si="1"/>
        <v>8.5153409678440948</v>
      </c>
      <c r="E44" s="13">
        <f t="shared" si="1"/>
        <v>7.5849609016197821</v>
      </c>
      <c r="F44" s="13">
        <f t="shared" si="1"/>
        <v>6.8197187261552799</v>
      </c>
      <c r="G44" s="13">
        <f t="shared" si="1"/>
        <v>6.1799307722989925</v>
      </c>
      <c r="H44" s="13">
        <f t="shared" si="1"/>
        <v>5.6376501212650627</v>
      </c>
    </row>
    <row r="45" spans="2:9" ht="14" customHeight="1" x14ac:dyDescent="0.3">
      <c r="B45" s="4" t="s">
        <v>151</v>
      </c>
      <c r="C45" s="30">
        <v>7</v>
      </c>
      <c r="D45" s="13">
        <f t="shared" si="1"/>
        <v>7.7174598464574551</v>
      </c>
      <c r="E45" s="13">
        <f t="shared" si="1"/>
        <v>6.8265271409849646</v>
      </c>
      <c r="F45" s="13">
        <f t="shared" si="1"/>
        <v>6.0964922515883018</v>
      </c>
      <c r="G45" s="13">
        <f t="shared" si="1"/>
        <v>5.4885100668415872</v>
      </c>
      <c r="H45" s="13">
        <f t="shared" si="1"/>
        <v>4.9752371659792551</v>
      </c>
    </row>
    <row r="46" spans="2:9" ht="14" customHeight="1" x14ac:dyDescent="0.3">
      <c r="B46" s="4" t="s">
        <v>152</v>
      </c>
      <c r="C46" s="30">
        <v>10</v>
      </c>
      <c r="D46" s="13">
        <f t="shared" si="1"/>
        <v>6.7067439677636607</v>
      </c>
      <c r="E46" s="13">
        <f t="shared" si="1"/>
        <v>5.8779330955496096</v>
      </c>
      <c r="F46" s="13">
        <f t="shared" si="1"/>
        <v>5.203085984406064</v>
      </c>
      <c r="G46" s="13">
        <f t="shared" si="1"/>
        <v>4.6446613850106999</v>
      </c>
      <c r="H46" s="13">
        <f t="shared" si="1"/>
        <v>4.1762679490351928</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3246400.2925879308</v>
      </c>
      <c r="E48" s="5">
        <f t="shared" si="2"/>
        <v>3618336.2737098965</v>
      </c>
      <c r="F48" s="5">
        <f t="shared" si="2"/>
        <v>3995994.7290254887</v>
      </c>
      <c r="G48" s="5">
        <f t="shared" si="2"/>
        <v>4379313.4333902691</v>
      </c>
      <c r="H48" s="5">
        <f t="shared" si="2"/>
        <v>4768230.5334864352</v>
      </c>
    </row>
    <row r="49" spans="2:9" ht="14" customHeight="1" x14ac:dyDescent="0.3">
      <c r="B49" s="4" t="s">
        <v>150</v>
      </c>
      <c r="C49" s="30">
        <v>5</v>
      </c>
      <c r="D49" s="5">
        <f t="shared" si="2"/>
        <v>3487686.974918846</v>
      </c>
      <c r="E49" s="5">
        <f t="shared" si="2"/>
        <v>3919900.816940614</v>
      </c>
      <c r="F49" s="5">
        <f t="shared" si="2"/>
        <v>4364512.0984302619</v>
      </c>
      <c r="G49" s="5">
        <f t="shared" si="2"/>
        <v>4821451.4437802061</v>
      </c>
      <c r="H49" s="5">
        <f t="shared" si="2"/>
        <v>5290645.2994651301</v>
      </c>
    </row>
    <row r="50" spans="2:9" ht="14" customHeight="1" x14ac:dyDescent="0.3">
      <c r="B50" s="4" t="s">
        <v>151</v>
      </c>
      <c r="C50" s="30">
        <v>7</v>
      </c>
      <c r="D50" s="5">
        <f t="shared" si="2"/>
        <v>3743094.1116964244</v>
      </c>
      <c r="E50" s="5">
        <f t="shared" si="2"/>
        <v>4240491.4003902245</v>
      </c>
      <c r="F50" s="5">
        <f t="shared" si="2"/>
        <v>4757852.370712297</v>
      </c>
      <c r="G50" s="5">
        <f t="shared" si="2"/>
        <v>5295140.8567947205</v>
      </c>
      <c r="H50" s="5">
        <f t="shared" si="2"/>
        <v>5852305.5270912778</v>
      </c>
    </row>
    <row r="51" spans="2:9" ht="14" customHeight="1" x14ac:dyDescent="0.3">
      <c r="B51" s="4" t="s">
        <v>152</v>
      </c>
      <c r="C51" s="30">
        <v>10</v>
      </c>
      <c r="D51" s="5">
        <f t="shared" si="2"/>
        <v>4151788.3329518232</v>
      </c>
      <c r="E51" s="5">
        <f t="shared" si="2"/>
        <v>4755651.2974097887</v>
      </c>
      <c r="F51" s="5">
        <f t="shared" si="2"/>
        <v>5392303.6807337943</v>
      </c>
      <c r="G51" s="5">
        <f t="shared" si="2"/>
        <v>6061791.4520181427</v>
      </c>
      <c r="H51" s="5">
        <f t="shared" si="2"/>
        <v>6764113.5845165169</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2.7069690376168358</v>
      </c>
      <c r="E53" s="14">
        <f t="shared" si="3"/>
        <v>3.0171030611910501</v>
      </c>
      <c r="F53" s="14">
        <f t="shared" si="3"/>
        <v>3.3320086961084727</v>
      </c>
      <c r="G53" s="14">
        <f t="shared" si="3"/>
        <v>3.6516340567345011</v>
      </c>
      <c r="H53" s="14">
        <f t="shared" si="3"/>
        <v>3.9759275674773802</v>
      </c>
    </row>
    <row r="54" spans="2:9" ht="14" customHeight="1" x14ac:dyDescent="0.3">
      <c r="B54" s="4" t="s">
        <v>150</v>
      </c>
      <c r="C54" s="30">
        <v>5</v>
      </c>
      <c r="D54" s="14">
        <f t="shared" si="3"/>
        <v>2.9081628274739706</v>
      </c>
      <c r="E54" s="14">
        <f t="shared" si="3"/>
        <v>3.2685587683730706</v>
      </c>
      <c r="F54" s="14">
        <f t="shared" si="3"/>
        <v>3.6392921543684826</v>
      </c>
      <c r="G54" s="14">
        <f t="shared" si="3"/>
        <v>4.0203051375040806</v>
      </c>
      <c r="H54" s="14">
        <f t="shared" si="3"/>
        <v>4.4115363861208898</v>
      </c>
    </row>
    <row r="55" spans="2:9" ht="14" customHeight="1" x14ac:dyDescent="0.3">
      <c r="B55" s="4" t="s">
        <v>151</v>
      </c>
      <c r="C55" s="30">
        <v>7</v>
      </c>
      <c r="D55" s="14">
        <f t="shared" si="3"/>
        <v>3.1211307762576759</v>
      </c>
      <c r="E55" s="14">
        <f t="shared" si="3"/>
        <v>3.5358790939444451</v>
      </c>
      <c r="F55" s="14">
        <f t="shared" si="3"/>
        <v>3.9672738702235075</v>
      </c>
      <c r="G55" s="14">
        <f t="shared" si="3"/>
        <v>4.4152849486520775</v>
      </c>
      <c r="H55" s="14">
        <f t="shared" si="3"/>
        <v>4.8798695270820103</v>
      </c>
    </row>
    <row r="56" spans="2:9" ht="14" customHeight="1" x14ac:dyDescent="0.3">
      <c r="B56" s="4" t="s">
        <v>152</v>
      </c>
      <c r="C56" s="30">
        <v>10</v>
      </c>
      <c r="D56" s="14">
        <f t="shared" si="3"/>
        <v>3.4619151845505187</v>
      </c>
      <c r="E56" s="14">
        <f t="shared" si="3"/>
        <v>3.9654385336222209</v>
      </c>
      <c r="F56" s="14">
        <f t="shared" si="3"/>
        <v>4.4963029169571573</v>
      </c>
      <c r="G56" s="14">
        <f t="shared" si="3"/>
        <v>5.0545466652920661</v>
      </c>
      <c r="H56" s="14">
        <f t="shared" si="3"/>
        <v>5.6401689224877671</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4364512.0984302619</v>
      </c>
    </row>
    <row r="62" spans="2:9" ht="14" customHeight="1" x14ac:dyDescent="0.3">
      <c r="B62" s="28" t="s">
        <v>159</v>
      </c>
      <c r="C62" s="28" t="s">
        <v>160</v>
      </c>
      <c r="D62" s="28" t="s">
        <v>161</v>
      </c>
    </row>
    <row r="63" spans="2:9" ht="14" customHeight="1" x14ac:dyDescent="0.3">
      <c r="B63" s="31">
        <v>5.6599999999999998E-2</v>
      </c>
      <c r="C63" s="5">
        <f>IFERROR($C$60/B63,"N/A")</f>
        <v>77111521.173679546</v>
      </c>
      <c r="D63" s="14">
        <f>IFERROR(C63/'DCF Model'!C17,"N/A")</f>
        <v>7.2837552012910765</v>
      </c>
    </row>
    <row r="64" spans="2:9" ht="14" customHeight="1" x14ac:dyDescent="0.3">
      <c r="B64" s="31">
        <v>8.5000000000000006E-2</v>
      </c>
      <c r="C64" s="5">
        <f>IFERROR($C$60/B64,"N/A")</f>
        <v>51347201.158003077</v>
      </c>
      <c r="D64" s="14">
        <f>IFERROR(C64/'DCF Model'!C17,"N/A")</f>
        <v>4.8501240516832338</v>
      </c>
    </row>
    <row r="65" spans="2:9" ht="14" customHeight="1" x14ac:dyDescent="0.3">
      <c r="B65" s="4" t="s">
        <v>162</v>
      </c>
      <c r="C65" s="5">
        <f>IFERROR($C$60/$C$18,"N/A")</f>
        <v>38528389.03331732</v>
      </c>
      <c r="D65" s="14">
        <f>IFERROR(C65/'DCF Model'!C17,"N/A")</f>
        <v>3.6392921543684826</v>
      </c>
    </row>
    <row r="66" spans="2:9" ht="14" customHeight="1" x14ac:dyDescent="0.3">
      <c r="B66" s="31">
        <v>0.1416</v>
      </c>
      <c r="C66" s="5">
        <f>IFERROR($C$60/B66,"N/A")</f>
        <v>30822825.55388603</v>
      </c>
      <c r="D66" s="14">
        <f>IFERROR(C66/'DCF Model'!C17,"N/A")</f>
        <v>2.9114445225499641</v>
      </c>
    </row>
    <row r="67" spans="2:9" ht="14" customHeight="1" x14ac:dyDescent="0.3">
      <c r="B67" s="31">
        <v>0.1699</v>
      </c>
      <c r="C67" s="5">
        <f>IFERROR($C$60/B67,"N/A")</f>
        <v>25688711.585816726</v>
      </c>
      <c r="D67" s="14">
        <f>IFERROR(C67/'DCF Model'!C17,"N/A")</f>
        <v>2.4264893725313414</v>
      </c>
    </row>
    <row r="69" spans="2:9" ht="14" customHeight="1" x14ac:dyDescent="0.3">
      <c r="B69" s="8" t="s">
        <v>163</v>
      </c>
      <c r="C69" s="9"/>
      <c r="D69" s="9"/>
      <c r="E69" s="9"/>
      <c r="F69" s="9"/>
      <c r="G69" s="9"/>
      <c r="H69" s="9"/>
      <c r="I69" s="9"/>
    </row>
    <row r="70" spans="2:9" ht="13.5" customHeight="1" x14ac:dyDescent="0.25">
      <c r="B70" s="6" t="s">
        <v>164</v>
      </c>
      <c r="C70" s="14">
        <f>IFERROR(C10/'Comps Analysis'!G5,"N/A")</f>
        <v>14.333258121573236</v>
      </c>
    </row>
    <row r="71" spans="2:9" ht="13.5" customHeight="1" x14ac:dyDescent="0.25">
      <c r="B71" s="6" t="s">
        <v>165</v>
      </c>
      <c r="C71" s="14">
        <f>IFERROR(C10/'Comps Analysis'!F5,"N/A")</f>
        <v>2.2437191583977225</v>
      </c>
    </row>
    <row r="72" spans="2:9" ht="14" customHeight="1" x14ac:dyDescent="0.3">
      <c r="B72" s="4" t="s">
        <v>166</v>
      </c>
      <c r="C72" s="14">
        <f>IFERROR(C10/(C25+'DCF Model'!G42),"N/A")</f>
        <v>5.646612972977703</v>
      </c>
    </row>
    <row r="73" spans="2:9" ht="14" customHeight="1" x14ac:dyDescent="0.3">
      <c r="B73" s="4" t="s">
        <v>167</v>
      </c>
      <c r="C73" s="14">
        <f>IFERROR(C10/(C60+'DCF Model'!G42),"N/A")</f>
        <v>4.8296626777634843</v>
      </c>
    </row>
    <row r="74" spans="2:9" ht="14" customHeight="1" x14ac:dyDescent="0.3">
      <c r="B74" s="4" t="s">
        <v>168</v>
      </c>
      <c r="C74" s="14">
        <f>IFERROR('Comps Analysis'!D16,"N/A")</f>
        <v>15.552094158010673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5,377 yen the market is paying for a steady-state operating profit of 4,364,512 mn JPY - 3.64x the FY2026 cycle peak of 1,199,275 mn - reached in 5 years and sustained for ever, against 1,199,275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3,652,933 mn, or 3.05x the peak. The base case supports an EV of only 8,052,824 mn, leaving 3,508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138.07642285223432</v>
      </c>
      <c r="D5" s="34">
        <f>CHOOSE('DCF Model'!$D$27,D25,D26,D27,D28,D29)</f>
        <v>119</v>
      </c>
      <c r="E5" s="34">
        <f>CHOOSE('DCF Model'!$D$27,E25,E26,E27,E28,E29)</f>
        <v>119</v>
      </c>
      <c r="F5" s="34">
        <f>CHOOSE('DCF Model'!$D$27,F25,F26,F27,F28,F29)</f>
        <v>119</v>
      </c>
      <c r="G5" s="34">
        <f>CHOOSE('DCF Model'!$D$27,G25,G26,G27,G28,G29)</f>
        <v>119</v>
      </c>
      <c r="H5" s="34">
        <f>CHOOSE('DCF Model'!$D$27,H25,H26,H27,H28,H29)</f>
        <v>119</v>
      </c>
    </row>
    <row r="6" spans="2:8" ht="14" customHeight="1" x14ac:dyDescent="0.3">
      <c r="B6" s="33" t="s">
        <v>175</v>
      </c>
      <c r="C6" s="34">
        <f>C13/C10*365</f>
        <v>87.242183066000734</v>
      </c>
      <c r="D6" s="34">
        <f>CHOOSE('DCF Model'!$D$27,D32,D33,D34,D35,D36)</f>
        <v>80</v>
      </c>
      <c r="E6" s="34">
        <f>CHOOSE('DCF Model'!$D$27,E32,E33,E34,E35,E36)</f>
        <v>80</v>
      </c>
      <c r="F6" s="34">
        <f>CHOOSE('DCF Model'!$D$27,F32,F33,F34,F35,F36)</f>
        <v>80</v>
      </c>
      <c r="G6" s="34">
        <f>CHOOSE('DCF Model'!$D$27,G32,G33,G34,G35,G36)</f>
        <v>80</v>
      </c>
      <c r="H6" s="34">
        <f>CHOOSE('DCF Model'!$D$27,H32,H33,H34,H35,H36)</f>
        <v>80</v>
      </c>
    </row>
    <row r="7" spans="2:8" ht="14" customHeight="1" x14ac:dyDescent="0.3">
      <c r="B7" s="33" t="s">
        <v>176</v>
      </c>
      <c r="C7" s="34">
        <f>C15/C10*365</f>
        <v>81.736867464479403</v>
      </c>
      <c r="D7" s="34">
        <f>CHOOSE('DCF Model'!$D$27,D39,D40,D41,D42,D43)</f>
        <v>76</v>
      </c>
      <c r="E7" s="34">
        <f>CHOOSE('DCF Model'!$D$27,E39,E40,E41,E42,E43)</f>
        <v>76</v>
      </c>
      <c r="F7" s="34">
        <f>CHOOSE('DCF Model'!$D$27,F39,F40,F41,F42,F43)</f>
        <v>76</v>
      </c>
      <c r="G7" s="34">
        <f>CHOOSE('DCF Model'!$D$27,G39,G40,G41,G42,G43)</f>
        <v>76</v>
      </c>
      <c r="H7" s="34">
        <f>CHOOSE('DCF Model'!$D$27,H39,H40,H41,H42,H43)</f>
        <v>76</v>
      </c>
    </row>
    <row r="8" spans="2:8" ht="14" customHeight="1" x14ac:dyDescent="0.3">
      <c r="B8" s="8" t="s">
        <v>177</v>
      </c>
      <c r="C8" s="9"/>
      <c r="D8" s="9"/>
      <c r="E8" s="9"/>
      <c r="F8" s="9"/>
      <c r="G8" s="9"/>
      <c r="H8" s="9"/>
    </row>
    <row r="9" spans="2:8" ht="14" customHeight="1" x14ac:dyDescent="0.3">
      <c r="B9" s="33" t="s">
        <v>32</v>
      </c>
      <c r="C9" s="35">
        <v>10586781</v>
      </c>
      <c r="D9" s="35">
        <f>'DCF Model'!C33</f>
        <v>11116120.050000001</v>
      </c>
      <c r="E9" s="35">
        <f>'DCF Model'!D33</f>
        <v>11616345.45225</v>
      </c>
      <c r="F9" s="35">
        <f>'DCF Model'!E33</f>
        <v>12080999.270340001</v>
      </c>
      <c r="G9" s="35">
        <f>'DCF Model'!F33</f>
        <v>12503834.244801899</v>
      </c>
      <c r="H9" s="35">
        <f>'DCF Model'!G33</f>
        <v>12878949.272145957</v>
      </c>
    </row>
    <row r="10" spans="2:8" ht="14" customHeight="1" x14ac:dyDescent="0.3">
      <c r="B10" s="33" t="s">
        <v>33</v>
      </c>
      <c r="C10" s="35">
        <v>7407252</v>
      </c>
      <c r="D10" s="35">
        <f>'DCF Model'!C34</f>
        <v>7781284.0350000001</v>
      </c>
      <c r="E10" s="35">
        <f>'DCF Model'!D34</f>
        <v>8131441.8165749991</v>
      </c>
      <c r="F10" s="35">
        <f>'DCF Model'!E34</f>
        <v>8456699.4892379995</v>
      </c>
      <c r="G10" s="35">
        <f>'DCF Model'!F34</f>
        <v>8752683.9713613298</v>
      </c>
      <c r="H10" s="35">
        <f>'DCF Model'!G34</f>
        <v>9015264.4905021694</v>
      </c>
    </row>
    <row r="11" spans="2:8" ht="14" customHeight="1" x14ac:dyDescent="0.3">
      <c r="B11" s="8" t="s">
        <v>178</v>
      </c>
      <c r="C11" s="9"/>
      <c r="D11" s="9"/>
      <c r="E11" s="9"/>
      <c r="F11" s="9"/>
      <c r="G11" s="9"/>
      <c r="H11" s="9"/>
    </row>
    <row r="12" spans="2:8" ht="14" customHeight="1" x14ac:dyDescent="0.3">
      <c r="B12" s="33" t="s">
        <v>179</v>
      </c>
      <c r="C12" s="35">
        <v>4004890</v>
      </c>
      <c r="D12" s="35">
        <f t="shared" ref="D12:H13" si="0">D9*D5/365</f>
        <v>3624159.6875342466</v>
      </c>
      <c r="E12" s="35">
        <f t="shared" si="0"/>
        <v>3787246.8734732876</v>
      </c>
      <c r="F12" s="35">
        <f t="shared" si="0"/>
        <v>3938736.7484122198</v>
      </c>
      <c r="G12" s="35">
        <f t="shared" si="0"/>
        <v>4076592.5346066467</v>
      </c>
      <c r="H12" s="35">
        <f t="shared" si="0"/>
        <v>4198890.3106448464</v>
      </c>
    </row>
    <row r="13" spans="2:8" ht="14" customHeight="1" x14ac:dyDescent="0.3">
      <c r="B13" s="33" t="s">
        <v>180</v>
      </c>
      <c r="C13" s="35">
        <v>1770479</v>
      </c>
      <c r="D13" s="35">
        <f t="shared" si="0"/>
        <v>1705486.9117808219</v>
      </c>
      <c r="E13" s="35">
        <f t="shared" si="0"/>
        <v>1782233.8228109588</v>
      </c>
      <c r="F13" s="35">
        <f t="shared" si="0"/>
        <v>1853523.1757233972</v>
      </c>
      <c r="G13" s="35">
        <f t="shared" si="0"/>
        <v>1918396.4868737161</v>
      </c>
      <c r="H13" s="35">
        <f t="shared" si="0"/>
        <v>1975948.3814799276</v>
      </c>
    </row>
    <row r="14" spans="2:8" ht="14" customHeight="1" x14ac:dyDescent="0.3">
      <c r="B14" s="33" t="s">
        <v>181</v>
      </c>
      <c r="C14" s="35">
        <f t="shared" ref="C14:H14" si="1">C12+C13</f>
        <v>5775369</v>
      </c>
      <c r="D14" s="35">
        <f t="shared" si="1"/>
        <v>5329646.5993150687</v>
      </c>
      <c r="E14" s="35">
        <f t="shared" si="1"/>
        <v>5569480.6962842466</v>
      </c>
      <c r="F14" s="35">
        <f t="shared" si="1"/>
        <v>5792259.924135617</v>
      </c>
      <c r="G14" s="35">
        <f t="shared" si="1"/>
        <v>5994989.0214803629</v>
      </c>
      <c r="H14" s="35">
        <f t="shared" si="1"/>
        <v>6174838.6921247737</v>
      </c>
    </row>
    <row r="15" spans="2:8" ht="14" customHeight="1" x14ac:dyDescent="0.3">
      <c r="B15" s="33" t="s">
        <v>182</v>
      </c>
      <c r="C15" s="35">
        <v>1658755</v>
      </c>
      <c r="D15" s="35">
        <f>D10*D7/365</f>
        <v>1620212.5661917808</v>
      </c>
      <c r="E15" s="35">
        <f>E10*E7/365</f>
        <v>1693122.1316704107</v>
      </c>
      <c r="F15" s="35">
        <f>F10*F7/365</f>
        <v>1760847.0169372275</v>
      </c>
      <c r="G15" s="35">
        <f>G10*G7/365</f>
        <v>1822476.6625300304</v>
      </c>
      <c r="H15" s="35">
        <f>H10*H7/365</f>
        <v>1877150.9624059312</v>
      </c>
    </row>
    <row r="16" spans="2:8" ht="14" customHeight="1" x14ac:dyDescent="0.3">
      <c r="B16" s="33" t="s">
        <v>183</v>
      </c>
      <c r="C16" s="35">
        <f t="shared" ref="C16:H16" si="2">C15</f>
        <v>1658755</v>
      </c>
      <c r="D16" s="35">
        <f t="shared" si="2"/>
        <v>1620212.5661917808</v>
      </c>
      <c r="E16" s="35">
        <f t="shared" si="2"/>
        <v>1693122.1316704107</v>
      </c>
      <c r="F16" s="35">
        <f t="shared" si="2"/>
        <v>1760847.0169372275</v>
      </c>
      <c r="G16" s="35">
        <f t="shared" si="2"/>
        <v>1822476.6625300304</v>
      </c>
      <c r="H16" s="35">
        <f t="shared" si="2"/>
        <v>1877150.9624059312</v>
      </c>
    </row>
    <row r="17" spans="2:8" ht="14" customHeight="1" x14ac:dyDescent="0.3">
      <c r="B17" s="22" t="s">
        <v>184</v>
      </c>
      <c r="C17" s="23"/>
      <c r="D17" s="23"/>
      <c r="E17" s="23"/>
      <c r="F17" s="23"/>
      <c r="G17" s="23"/>
      <c r="H17" s="23"/>
    </row>
    <row r="18" spans="2:8" ht="14" customHeight="1" x14ac:dyDescent="0.3">
      <c r="B18" s="33" t="s">
        <v>185</v>
      </c>
      <c r="C18" s="20">
        <f t="shared" ref="C18:H18" si="3">C14-C16</f>
        <v>4116614</v>
      </c>
      <c r="D18" s="20">
        <f t="shared" si="3"/>
        <v>3709434.0331232878</v>
      </c>
      <c r="E18" s="20">
        <f t="shared" si="3"/>
        <v>3876358.5646138359</v>
      </c>
      <c r="F18" s="20">
        <f t="shared" si="3"/>
        <v>4031412.9071983895</v>
      </c>
      <c r="G18" s="20">
        <f t="shared" si="3"/>
        <v>4172512.3589503327</v>
      </c>
      <c r="H18" s="20">
        <f t="shared" si="3"/>
        <v>4297687.7297188425</v>
      </c>
    </row>
    <row r="19" spans="2:8" ht="14" customHeight="1" x14ac:dyDescent="0.3">
      <c r="B19" s="33" t="s">
        <v>94</v>
      </c>
      <c r="C19" s="36" t="s">
        <v>42</v>
      </c>
      <c r="D19" s="24">
        <f>D18-C18</f>
        <v>-407179.96687671216</v>
      </c>
      <c r="E19" s="24">
        <f>E18-D18</f>
        <v>166924.53149054805</v>
      </c>
      <c r="F19" s="24">
        <f>F18-E18</f>
        <v>155054.34258455364</v>
      </c>
      <c r="G19" s="24">
        <f>G18-F18</f>
        <v>141099.45175194321</v>
      </c>
      <c r="H19" s="24">
        <f>H18-G18</f>
        <v>125175.37076850981</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119</v>
      </c>
      <c r="E25" s="30">
        <v>119</v>
      </c>
      <c r="F25" s="30">
        <v>119</v>
      </c>
      <c r="G25" s="30">
        <v>119</v>
      </c>
      <c r="H25" s="30">
        <v>119</v>
      </c>
    </row>
    <row r="26" spans="2:8" ht="14" customHeight="1" x14ac:dyDescent="0.3">
      <c r="B26" s="4" t="s">
        <v>115</v>
      </c>
      <c r="D26" s="30">
        <v>114</v>
      </c>
      <c r="E26" s="30">
        <v>114</v>
      </c>
      <c r="F26" s="30">
        <v>114</v>
      </c>
      <c r="G26" s="30">
        <v>114</v>
      </c>
      <c r="H26" s="30">
        <v>114</v>
      </c>
    </row>
    <row r="27" spans="2:8" ht="14" customHeight="1" x14ac:dyDescent="0.3">
      <c r="B27" s="4" t="s">
        <v>116</v>
      </c>
      <c r="D27" s="30">
        <v>119</v>
      </c>
      <c r="E27" s="30">
        <v>119</v>
      </c>
      <c r="F27" s="30">
        <v>119</v>
      </c>
      <c r="G27" s="30">
        <v>119</v>
      </c>
      <c r="H27" s="30">
        <v>119</v>
      </c>
    </row>
    <row r="28" spans="2:8" ht="14" customHeight="1" x14ac:dyDescent="0.3">
      <c r="B28" s="4" t="s">
        <v>117</v>
      </c>
      <c r="D28" s="30">
        <v>125</v>
      </c>
      <c r="E28" s="30">
        <v>125</v>
      </c>
      <c r="F28" s="30">
        <v>125</v>
      </c>
      <c r="G28" s="30">
        <v>125</v>
      </c>
      <c r="H28" s="30">
        <v>125</v>
      </c>
    </row>
    <row r="29" spans="2:8" ht="14" customHeight="1" x14ac:dyDescent="0.3">
      <c r="B29" s="4" t="s">
        <v>118</v>
      </c>
      <c r="D29" s="30">
        <v>131</v>
      </c>
      <c r="E29" s="30">
        <v>131</v>
      </c>
      <c r="F29" s="30">
        <v>131</v>
      </c>
      <c r="G29" s="30">
        <v>131</v>
      </c>
      <c r="H29" s="30">
        <v>131</v>
      </c>
    </row>
    <row r="31" spans="2:8" ht="14" customHeight="1" x14ac:dyDescent="0.3">
      <c r="B31" s="3" t="s">
        <v>188</v>
      </c>
    </row>
    <row r="32" spans="2:8" ht="14" customHeight="1" x14ac:dyDescent="0.3">
      <c r="B32" s="4" t="s">
        <v>78</v>
      </c>
      <c r="D32" s="30">
        <v>80</v>
      </c>
      <c r="E32" s="30">
        <v>80</v>
      </c>
      <c r="F32" s="30">
        <v>80</v>
      </c>
      <c r="G32" s="30">
        <v>80</v>
      </c>
      <c r="H32" s="30">
        <v>80</v>
      </c>
    </row>
    <row r="33" spans="2:8" ht="14" customHeight="1" x14ac:dyDescent="0.3">
      <c r="B33" s="4" t="s">
        <v>115</v>
      </c>
      <c r="D33" s="30">
        <v>76</v>
      </c>
      <c r="E33" s="30">
        <v>76</v>
      </c>
      <c r="F33" s="30">
        <v>76</v>
      </c>
      <c r="G33" s="30">
        <v>76</v>
      </c>
      <c r="H33" s="30">
        <v>76</v>
      </c>
    </row>
    <row r="34" spans="2:8" ht="14" customHeight="1" x14ac:dyDescent="0.3">
      <c r="B34" s="4" t="s">
        <v>116</v>
      </c>
      <c r="D34" s="30">
        <v>80</v>
      </c>
      <c r="E34" s="30">
        <v>80</v>
      </c>
      <c r="F34" s="30">
        <v>80</v>
      </c>
      <c r="G34" s="30">
        <v>80</v>
      </c>
      <c r="H34" s="30">
        <v>80</v>
      </c>
    </row>
    <row r="35" spans="2:8" ht="14" customHeight="1" x14ac:dyDescent="0.3">
      <c r="B35" s="4" t="s">
        <v>117</v>
      </c>
      <c r="D35" s="30">
        <v>84</v>
      </c>
      <c r="E35" s="30">
        <v>84</v>
      </c>
      <c r="F35" s="30">
        <v>84</v>
      </c>
      <c r="G35" s="30">
        <v>84</v>
      </c>
      <c r="H35" s="30">
        <v>84</v>
      </c>
    </row>
    <row r="36" spans="2:8" ht="14" customHeight="1" x14ac:dyDescent="0.3">
      <c r="B36" s="4" t="s">
        <v>118</v>
      </c>
      <c r="D36" s="30">
        <v>88</v>
      </c>
      <c r="E36" s="30">
        <v>88</v>
      </c>
      <c r="F36" s="30">
        <v>88</v>
      </c>
      <c r="G36" s="30">
        <v>88</v>
      </c>
      <c r="H36" s="30">
        <v>88</v>
      </c>
    </row>
    <row r="38" spans="2:8" ht="14" customHeight="1" x14ac:dyDescent="0.3">
      <c r="B38" s="3" t="s">
        <v>189</v>
      </c>
    </row>
    <row r="39" spans="2:8" ht="14" customHeight="1" x14ac:dyDescent="0.3">
      <c r="B39" s="4" t="s">
        <v>78</v>
      </c>
      <c r="D39" s="30">
        <v>76</v>
      </c>
      <c r="E39" s="30">
        <v>76</v>
      </c>
      <c r="F39" s="30">
        <v>76</v>
      </c>
      <c r="G39" s="30">
        <v>76</v>
      </c>
      <c r="H39" s="30">
        <v>76</v>
      </c>
    </row>
    <row r="40" spans="2:8" ht="14" customHeight="1" x14ac:dyDescent="0.3">
      <c r="B40" s="4" t="s">
        <v>115</v>
      </c>
      <c r="D40" s="30">
        <v>79</v>
      </c>
      <c r="E40" s="30">
        <v>79</v>
      </c>
      <c r="F40" s="30">
        <v>79</v>
      </c>
      <c r="G40" s="30">
        <v>79</v>
      </c>
      <c r="H40" s="30">
        <v>79</v>
      </c>
    </row>
    <row r="41" spans="2:8" ht="14" customHeight="1" x14ac:dyDescent="0.3">
      <c r="B41" s="4" t="s">
        <v>116</v>
      </c>
      <c r="D41" s="30">
        <v>76</v>
      </c>
      <c r="E41" s="30">
        <v>76</v>
      </c>
      <c r="F41" s="30">
        <v>76</v>
      </c>
      <c r="G41" s="30">
        <v>76</v>
      </c>
      <c r="H41" s="30">
        <v>76</v>
      </c>
    </row>
    <row r="42" spans="2:8" ht="14" customHeight="1" x14ac:dyDescent="0.3">
      <c r="B42" s="4" t="s">
        <v>117</v>
      </c>
      <c r="D42" s="30">
        <v>72</v>
      </c>
      <c r="E42" s="30">
        <v>72</v>
      </c>
      <c r="F42" s="30">
        <v>72</v>
      </c>
      <c r="G42" s="30">
        <v>72</v>
      </c>
      <c r="H42" s="30">
        <v>72</v>
      </c>
    </row>
    <row r="43" spans="2:8" ht="14" customHeight="1" x14ac:dyDescent="0.3">
      <c r="B43" s="4" t="s">
        <v>118</v>
      </c>
      <c r="D43" s="30">
        <v>68</v>
      </c>
      <c r="E43" s="30">
        <v>68</v>
      </c>
      <c r="F43" s="30">
        <v>68</v>
      </c>
      <c r="G43" s="30">
        <v>68</v>
      </c>
      <c r="H43" s="30">
        <v>68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24068206.355461001</v>
      </c>
      <c r="E5" s="37">
        <f>D5+C24</f>
        <v>23753763.355461001</v>
      </c>
      <c r="F5" s="37">
        <v>10586781</v>
      </c>
      <c r="G5" s="37">
        <v>1657248</v>
      </c>
      <c r="H5" s="37">
        <v>1199275</v>
      </c>
      <c r="I5" s="37">
        <v>802368</v>
      </c>
      <c r="J5" s="38">
        <f t="shared" ref="J5:J10" si="0">IFERROR(E5/G5,"")</f>
        <v>14.333258121573236</v>
      </c>
      <c r="K5" s="38">
        <f t="shared" ref="K5:K10" si="1">IFERROR(E5/F5,"")</f>
        <v>2.2437191583977225</v>
      </c>
      <c r="L5" s="38">
        <f t="shared" ref="L5:L10" si="2">IFERROR(D5/I5,"")</f>
        <v>29.996468397868561</v>
      </c>
      <c r="M5" s="38">
        <f t="shared" ref="M5:M10" si="3">IFERROR(D5/P5,"")</f>
        <v>3.6642591723243627</v>
      </c>
      <c r="N5" s="39">
        <f t="shared" ref="N5:N10" si="4">IFERROR(H5/F5,"")</f>
        <v>0.1132804201768224</v>
      </c>
      <c r="O5" s="39">
        <f t="shared" ref="O5:O10" si="5">IFERROR(I5/P5,"")</f>
        <v>0.12215635266532682</v>
      </c>
      <c r="P5" s="37">
        <v>6568369</v>
      </c>
    </row>
    <row r="6" spans="2:17" ht="14" customHeight="1" x14ac:dyDescent="0.3">
      <c r="B6" s="4" t="s">
        <v>208</v>
      </c>
      <c r="C6" t="s">
        <v>209</v>
      </c>
      <c r="D6" s="37">
        <v>10739696</v>
      </c>
      <c r="E6" s="37">
        <v>10371365</v>
      </c>
      <c r="F6" s="37">
        <v>5894747</v>
      </c>
      <c r="G6" s="37">
        <v>666879</v>
      </c>
      <c r="H6" s="37">
        <v>433095</v>
      </c>
      <c r="I6" s="37">
        <v>407758</v>
      </c>
      <c r="J6" s="38">
        <f t="shared" si="0"/>
        <v>15.552094158010673</v>
      </c>
      <c r="K6" s="38">
        <f t="shared" si="1"/>
        <v>1.7594249592052043</v>
      </c>
      <c r="L6" s="38">
        <f t="shared" si="2"/>
        <v>26.338406603917029</v>
      </c>
      <c r="M6" s="38">
        <f t="shared" si="3"/>
        <v>2.3949730011555959</v>
      </c>
      <c r="N6" s="39">
        <f t="shared" si="4"/>
        <v>7.3471346607411656E-2</v>
      </c>
      <c r="O6" s="39">
        <f t="shared" si="5"/>
        <v>9.0930823461409294E-2</v>
      </c>
      <c r="P6" s="37">
        <v>4484266</v>
      </c>
    </row>
    <row r="7" spans="2:17" ht="14" customHeight="1" x14ac:dyDescent="0.3">
      <c r="B7" s="4" t="s">
        <v>210</v>
      </c>
      <c r="C7" t="s">
        <v>211</v>
      </c>
      <c r="D7" s="37">
        <v>9720293</v>
      </c>
      <c r="E7" s="37">
        <v>10553311</v>
      </c>
      <c r="F7" s="37">
        <v>8048722</v>
      </c>
      <c r="G7" s="37">
        <v>614305</v>
      </c>
      <c r="H7" s="37">
        <v>209963</v>
      </c>
      <c r="I7" s="37">
        <v>189540</v>
      </c>
      <c r="J7" s="38">
        <f t="shared" si="0"/>
        <v>17.179269255500117</v>
      </c>
      <c r="K7" s="38">
        <f t="shared" si="1"/>
        <v>1.3111784703211267</v>
      </c>
      <c r="L7" s="38">
        <f t="shared" si="2"/>
        <v>51.28359712989343</v>
      </c>
      <c r="M7" s="38">
        <f t="shared" si="3"/>
        <v>1.865243840659248</v>
      </c>
      <c r="N7" s="39">
        <f t="shared" si="4"/>
        <v>2.608650168312435E-2</v>
      </c>
      <c r="O7" s="39">
        <f t="shared" si="5"/>
        <v>3.6371158519455521E-2</v>
      </c>
      <c r="P7" s="37">
        <v>5211272</v>
      </c>
    </row>
    <row r="8" spans="2:17" ht="14" customHeight="1" x14ac:dyDescent="0.3">
      <c r="B8" s="4" t="s">
        <v>212</v>
      </c>
      <c r="C8" t="s">
        <v>213</v>
      </c>
      <c r="D8" s="37">
        <v>12614226</v>
      </c>
      <c r="E8" s="37">
        <v>12155592</v>
      </c>
      <c r="F8" s="37">
        <v>4361127</v>
      </c>
      <c r="G8" s="37">
        <v>568788</v>
      </c>
      <c r="H8" s="37">
        <v>357574</v>
      </c>
      <c r="I8" s="37">
        <v>245447</v>
      </c>
      <c r="J8" s="38">
        <f t="shared" si="0"/>
        <v>21.371041583155762</v>
      </c>
      <c r="K8" s="38">
        <f t="shared" si="1"/>
        <v>2.7872593483289982</v>
      </c>
      <c r="L8" s="38">
        <f t="shared" si="2"/>
        <v>51.392870966033399</v>
      </c>
      <c r="M8" s="38">
        <f t="shared" si="3"/>
        <v>4.0841691581141539</v>
      </c>
      <c r="N8" s="39">
        <f t="shared" si="4"/>
        <v>8.1991191726358811E-2</v>
      </c>
      <c r="O8" s="39">
        <f t="shared" si="5"/>
        <v>7.946956613522263E-2</v>
      </c>
      <c r="P8" s="37">
        <v>3088566</v>
      </c>
    </row>
    <row r="9" spans="2:17" ht="14" customHeight="1" x14ac:dyDescent="0.3">
      <c r="B9" s="4" t="s">
        <v>214</v>
      </c>
      <c r="C9" t="s">
        <v>215</v>
      </c>
      <c r="D9" s="37">
        <v>6751004</v>
      </c>
      <c r="E9" s="37">
        <v>6433732</v>
      </c>
      <c r="F9" s="37">
        <v>3502971</v>
      </c>
      <c r="G9" s="37">
        <v>489556</v>
      </c>
      <c r="H9" s="37">
        <v>348329</v>
      </c>
      <c r="I9" s="37">
        <v>449408</v>
      </c>
      <c r="J9" s="38">
        <f t="shared" si="0"/>
        <v>13.141973543373997</v>
      </c>
      <c r="K9" s="38">
        <f t="shared" si="1"/>
        <v>1.8366500893099029</v>
      </c>
      <c r="L9" s="38">
        <f t="shared" si="2"/>
        <v>15.021993377954999</v>
      </c>
      <c r="M9" s="38">
        <f t="shared" si="3"/>
        <v>3.3339690801836128</v>
      </c>
      <c r="N9" s="39">
        <f t="shared" si="4"/>
        <v>9.9438162633947016E-2</v>
      </c>
      <c r="O9" s="39">
        <f t="shared" si="5"/>
        <v>0.22193919250931521</v>
      </c>
      <c r="P9" s="37">
        <v>2024915</v>
      </c>
    </row>
    <row r="10" spans="2:17" ht="14" customHeight="1" x14ac:dyDescent="0.3">
      <c r="B10" s="4" t="s">
        <v>216</v>
      </c>
      <c r="C10" t="s">
        <v>217</v>
      </c>
      <c r="D10" s="37">
        <v>6403589</v>
      </c>
      <c r="E10" s="37">
        <v>6233770</v>
      </c>
      <c r="F10" s="37">
        <v>3582733</v>
      </c>
      <c r="G10" s="37">
        <v>514415</v>
      </c>
      <c r="H10" s="37">
        <v>359913</v>
      </c>
      <c r="I10" s="37">
        <v>270228</v>
      </c>
      <c r="J10" s="38">
        <f t="shared" si="0"/>
        <v>12.118173070380918</v>
      </c>
      <c r="K10" s="38">
        <f t="shared" si="1"/>
        <v>1.7399482462131564</v>
      </c>
      <c r="L10" s="38">
        <f t="shared" si="2"/>
        <v>23.696985508533533</v>
      </c>
      <c r="M10" s="38">
        <f t="shared" si="3"/>
        <v>2.9152568222025352</v>
      </c>
      <c r="N10" s="39">
        <f t="shared" si="4"/>
        <v>0.10045766737292453</v>
      </c>
      <c r="O10" s="39">
        <f t="shared" si="5"/>
        <v>0.12302226463162245</v>
      </c>
      <c r="P10" s="37">
        <v>2196578</v>
      </c>
    </row>
    <row r="14" spans="2:17" ht="14" customHeight="1" x14ac:dyDescent="0.3">
      <c r="B14" s="3" t="s">
        <v>218</v>
      </c>
    </row>
    <row r="15" spans="2:17" ht="14" customHeight="1" x14ac:dyDescent="0.3">
      <c r="B15" s="4" t="s">
        <v>219</v>
      </c>
      <c r="D15" s="38">
        <f t="shared" ref="D15:I15" si="6">PERCENTILE(J6:J10,0.25)</f>
        <v>13.141973543373997</v>
      </c>
      <c r="E15" s="38">
        <f t="shared" si="6"/>
        <v>1.7399482462131564</v>
      </c>
      <c r="F15" s="38">
        <f t="shared" si="6"/>
        <v>23.696985508533533</v>
      </c>
      <c r="G15" s="38">
        <f t="shared" si="6"/>
        <v>2.3949730011555959</v>
      </c>
      <c r="H15" s="39">
        <f t="shared" si="6"/>
        <v>7.3471346607411656E-2</v>
      </c>
      <c r="I15" s="39">
        <f t="shared" si="6"/>
        <v>7.946956613522263E-2</v>
      </c>
    </row>
    <row r="16" spans="2:17" ht="14" customHeight="1" x14ac:dyDescent="0.3">
      <c r="B16" s="4" t="s">
        <v>220</v>
      </c>
      <c r="D16" s="38">
        <f t="shared" ref="D16:I16" si="7">MEDIAN(J6:J10)</f>
        <v>15.552094158010673</v>
      </c>
      <c r="E16" s="38">
        <f t="shared" si="7"/>
        <v>1.7594249592052043</v>
      </c>
      <c r="F16" s="38">
        <f t="shared" si="7"/>
        <v>26.338406603917029</v>
      </c>
      <c r="G16" s="38">
        <f t="shared" si="7"/>
        <v>2.9152568222025352</v>
      </c>
      <c r="H16" s="39">
        <f t="shared" si="7"/>
        <v>8.1991191726358811E-2</v>
      </c>
      <c r="I16" s="39">
        <f t="shared" si="7"/>
        <v>9.0930823461409294E-2</v>
      </c>
    </row>
    <row r="17" spans="2:9" ht="14" customHeight="1" x14ac:dyDescent="0.3">
      <c r="B17" s="4" t="s">
        <v>221</v>
      </c>
      <c r="D17" s="38">
        <f t="shared" ref="D17:I17" si="8">PERCENTILE(J6:J10,0.75)</f>
        <v>17.179269255500117</v>
      </c>
      <c r="E17" s="38">
        <f t="shared" si="8"/>
        <v>1.8366500893099029</v>
      </c>
      <c r="F17" s="38">
        <f t="shared" si="8"/>
        <v>51.28359712989343</v>
      </c>
      <c r="G17" s="38">
        <f t="shared" si="8"/>
        <v>3.3339690801836128</v>
      </c>
      <c r="H17" s="39">
        <f t="shared" si="8"/>
        <v>9.9438162633947016E-2</v>
      </c>
      <c r="I17" s="39">
        <f t="shared" si="8"/>
        <v>0.12302226463162245</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1657248</v>
      </c>
    </row>
    <row r="22" spans="2:9" ht="14" customHeight="1" x14ac:dyDescent="0.3">
      <c r="B22" s="4" t="s">
        <v>225</v>
      </c>
      <c r="C22" s="5">
        <v>802368</v>
      </c>
    </row>
    <row r="23" spans="2:9" ht="14" customHeight="1" x14ac:dyDescent="0.3">
      <c r="B23" s="4" t="s">
        <v>226</v>
      </c>
      <c r="C23" s="15">
        <v>4476140293</v>
      </c>
    </row>
    <row r="24" spans="2:9" ht="14" customHeight="1" x14ac:dyDescent="0.3">
      <c r="B24" s="4" t="s">
        <v>67</v>
      </c>
      <c r="C24" s="5">
        <v>-314443</v>
      </c>
    </row>
    <row r="26" spans="2:9" ht="14" customHeight="1" x14ac:dyDescent="0.3">
      <c r="B26" s="3" t="s">
        <v>227</v>
      </c>
    </row>
    <row r="27" spans="2:9" ht="14" customHeight="1" x14ac:dyDescent="0.3">
      <c r="B27" s="4" t="s">
        <v>228</v>
      </c>
      <c r="C27" s="24">
        <f>ROUND((C21*D16-C24)*1000000/C23,0)</f>
        <v>5828</v>
      </c>
    </row>
    <row r="28" spans="2:9" ht="14" customHeight="1" x14ac:dyDescent="0.3">
      <c r="B28" s="4" t="s">
        <v>229</v>
      </c>
      <c r="C28" s="24">
        <f>ROUND(C22*F16*1000000/C23,0)</f>
        <v>4721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0.12533749999999999</v>
      </c>
      <c r="E3" s="4" t="s">
        <v>232</v>
      </c>
      <c r="F3" s="16">
        <f>'DCF Model'!C13</f>
        <v>0.01</v>
      </c>
      <c r="H3" s="4" t="s">
        <v>233</v>
      </c>
      <c r="I3" s="14">
        <f>'DCF Model'!C14</f>
        <v>15.6</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0.11033749999999999</v>
      </c>
      <c r="C7" s="37">
        <f>IFERROR(ROUND(('DCF Model'!C45/(1+$B7)^('DCF Model'!C19+0)+'DCF Model'!D45/(1+$B7)^('DCF Model'!C19+1)+'DCF Model'!E45/(1+$B7)^('DCF Model'!C19+2)+'DCF Model'!F45/(1+$B7)^('DCF Model'!C19+3)+'DCF Model'!G45/(1+$B7)^('DCF Model'!C19+4)+'DCF Model'!G45*(1+C$6)/($B7-C$6)/(1+$B7)^('DCF Model'!C19+4)-'DCF Model'!C16)*1000000/'DCF Model'!C15,0),"")</f>
        <v>2035</v>
      </c>
      <c r="D7" s="37">
        <f>IFERROR(ROUND(('DCF Model'!C45/(1+$B7)^('DCF Model'!C19+0)+'DCF Model'!D45/(1+$B7)^('DCF Model'!C19+1)+'DCF Model'!E45/(1+$B7)^('DCF Model'!C19+2)+'DCF Model'!F45/(1+$B7)^('DCF Model'!C19+3)+'DCF Model'!G45/(1+$B7)^('DCF Model'!C19+4)+'DCF Model'!G45*(1+D$6)/($B7-D$6)/(1+$B7)^('DCF Model'!C19+4)-'DCF Model'!C16)*1000000/'DCF Model'!C15,0),"")</f>
        <v>2066</v>
      </c>
      <c r="E7" s="37">
        <f>IFERROR(ROUND(('DCF Model'!C45/(1+$B7)^('DCF Model'!C19+0)+'DCF Model'!D45/(1+$B7)^('DCF Model'!C19+1)+'DCF Model'!E45/(1+$B7)^('DCF Model'!C19+2)+'DCF Model'!F45/(1+$B7)^('DCF Model'!C19+3)+'DCF Model'!G45/(1+$B7)^('DCF Model'!C19+4)+'DCF Model'!G45*(1+E$6)/($B7-E$6)/(1+$B7)^('DCF Model'!C19+4)-'DCF Model'!C16)*1000000/'DCF Model'!C15,0),"")</f>
        <v>2098</v>
      </c>
      <c r="F7" s="37">
        <f>IFERROR(ROUND(('DCF Model'!C45/(1+$B7)^('DCF Model'!C19+0)+'DCF Model'!D45/(1+$B7)^('DCF Model'!C19+1)+'DCF Model'!E45/(1+$B7)^('DCF Model'!C19+2)+'DCF Model'!F45/(1+$B7)^('DCF Model'!C19+3)+'DCF Model'!G45/(1+$B7)^('DCF Model'!C19+4)+'DCF Model'!G45*(1+F$6)/($B7-F$6)/(1+$B7)^('DCF Model'!C19+4)-'DCF Model'!C16)*1000000/'DCF Model'!C15,0),"")</f>
        <v>2131</v>
      </c>
      <c r="G7" s="37">
        <f>IFERROR(ROUND(('DCF Model'!C45/(1+$B7)^('DCF Model'!C19+0)+'DCF Model'!D45/(1+$B7)^('DCF Model'!C19+1)+'DCF Model'!E45/(1+$B7)^('DCF Model'!C19+2)+'DCF Model'!F45/(1+$B7)^('DCF Model'!C19+3)+'DCF Model'!G45/(1+$B7)^('DCF Model'!C19+4)+'DCF Model'!G45*(1+G$6)/($B7-G$6)/(1+$B7)^('DCF Model'!C19+4)-'DCF Model'!C16)*1000000/'DCF Model'!C15,0),"")</f>
        <v>2166</v>
      </c>
      <c r="H7" s="37">
        <f>IFERROR(ROUND(('DCF Model'!C45/(1+$B7)^('DCF Model'!C19+0)+'DCF Model'!D45/(1+$B7)^('DCF Model'!C19+1)+'DCF Model'!E45/(1+$B7)^('DCF Model'!C19+2)+'DCF Model'!F45/(1+$B7)^('DCF Model'!C19+3)+'DCF Model'!G45/(1+$B7)^('DCF Model'!C19+4)+'DCF Model'!G45*(1+H$6)/($B7-H$6)/(1+$B7)^('DCF Model'!C19+4)-'DCF Model'!C16)*1000000/'DCF Model'!C15,0),"")</f>
        <v>2204</v>
      </c>
      <c r="I7" s="37">
        <f>IFERROR(ROUND(('DCF Model'!C45/(1+$B7)^('DCF Model'!C19+0)+'DCF Model'!D45/(1+$B7)^('DCF Model'!C19+1)+'DCF Model'!E45/(1+$B7)^('DCF Model'!C19+2)+'DCF Model'!F45/(1+$B7)^('DCF Model'!C19+3)+'DCF Model'!G45/(1+$B7)^('DCF Model'!C19+4)+'DCF Model'!G45*(1+I$6)/($B7-I$6)/(1+$B7)^('DCF Model'!C19+4)-'DCF Model'!C16)*1000000/'DCF Model'!C15,0),"")</f>
        <v>2243</v>
      </c>
    </row>
    <row r="8" spans="2:9" ht="13.5" customHeight="1" x14ac:dyDescent="0.25">
      <c r="B8" s="39">
        <f>$C$3-0.01</f>
        <v>0.1153375</v>
      </c>
      <c r="C8" s="37">
        <f>IFERROR(ROUND(('DCF Model'!C45/(1+$B8)^('DCF Model'!C19+0)+'DCF Model'!D45/(1+$B8)^('DCF Model'!C19+1)+'DCF Model'!E45/(1+$B8)^('DCF Model'!C19+2)+'DCF Model'!F45/(1+$B8)^('DCF Model'!C19+3)+'DCF Model'!G45/(1+$B8)^('DCF Model'!C19+4)+'DCF Model'!G45*(1+C$6)/($B8-C$6)/(1+$B8)^('DCF Model'!C19+4)-'DCF Model'!C16)*1000000/'DCF Model'!C15,0),"")</f>
        <v>1950</v>
      </c>
      <c r="D8" s="37">
        <f>IFERROR(ROUND(('DCF Model'!C45/(1+$B8)^('DCF Model'!C19+0)+'DCF Model'!D45/(1+$B8)^('DCF Model'!C19+1)+'DCF Model'!E45/(1+$B8)^('DCF Model'!C19+2)+'DCF Model'!F45/(1+$B8)^('DCF Model'!C19+3)+'DCF Model'!G45/(1+$B8)^('DCF Model'!C19+4)+'DCF Model'!G45*(1+D$6)/($B8-D$6)/(1+$B8)^('DCF Model'!C19+4)-'DCF Model'!C16)*1000000/'DCF Model'!C15,0),"")</f>
        <v>1977</v>
      </c>
      <c r="E8" s="37">
        <f>IFERROR(ROUND(('DCF Model'!C45/(1+$B8)^('DCF Model'!C19+0)+'DCF Model'!D45/(1+$B8)^('DCF Model'!C19+1)+'DCF Model'!E45/(1+$B8)^('DCF Model'!C19+2)+'DCF Model'!F45/(1+$B8)^('DCF Model'!C19+3)+'DCF Model'!G45/(1+$B8)^('DCF Model'!C19+4)+'DCF Model'!G45*(1+E$6)/($B8-E$6)/(1+$B8)^('DCF Model'!C19+4)-'DCF Model'!C16)*1000000/'DCF Model'!C15,0),"")</f>
        <v>2006</v>
      </c>
      <c r="F8" s="37">
        <f>IFERROR(ROUND(('DCF Model'!C45/(1+$B8)^('DCF Model'!C19+0)+'DCF Model'!D45/(1+$B8)^('DCF Model'!C19+1)+'DCF Model'!E45/(1+$B8)^('DCF Model'!C19+2)+'DCF Model'!F45/(1+$B8)^('DCF Model'!C19+3)+'DCF Model'!G45/(1+$B8)^('DCF Model'!C19+4)+'DCF Model'!G45*(1+F$6)/($B8-F$6)/(1+$B8)^('DCF Model'!C19+4)-'DCF Model'!C16)*1000000/'DCF Model'!C15,0),"")</f>
        <v>2036</v>
      </c>
      <c r="G8" s="37">
        <f>IFERROR(ROUND(('DCF Model'!C45/(1+$B8)^('DCF Model'!C19+0)+'DCF Model'!D45/(1+$B8)^('DCF Model'!C19+1)+'DCF Model'!E45/(1+$B8)^('DCF Model'!C19+2)+'DCF Model'!F45/(1+$B8)^('DCF Model'!C19+3)+'DCF Model'!G45/(1+$B8)^('DCF Model'!C19+4)+'DCF Model'!G45*(1+G$6)/($B8-G$6)/(1+$B8)^('DCF Model'!C19+4)-'DCF Model'!C16)*1000000/'DCF Model'!C15,0),"")</f>
        <v>2067</v>
      </c>
      <c r="H8" s="37">
        <f>IFERROR(ROUND(('DCF Model'!C45/(1+$B8)^('DCF Model'!C19+0)+'DCF Model'!D45/(1+$B8)^('DCF Model'!C19+1)+'DCF Model'!E45/(1+$B8)^('DCF Model'!C19+2)+'DCF Model'!F45/(1+$B8)^('DCF Model'!C19+3)+'DCF Model'!G45/(1+$B8)^('DCF Model'!C19+4)+'DCF Model'!G45*(1+H$6)/($B8-H$6)/(1+$B8)^('DCF Model'!C19+4)-'DCF Model'!C16)*1000000/'DCF Model'!C15,0),"")</f>
        <v>2100</v>
      </c>
      <c r="I8" s="37">
        <f>IFERROR(ROUND(('DCF Model'!C45/(1+$B8)^('DCF Model'!C19+0)+'DCF Model'!D45/(1+$B8)^('DCF Model'!C19+1)+'DCF Model'!E45/(1+$B8)^('DCF Model'!C19+2)+'DCF Model'!F45/(1+$B8)^('DCF Model'!C19+3)+'DCF Model'!G45/(1+$B8)^('DCF Model'!C19+4)+'DCF Model'!G45*(1+I$6)/($B8-I$6)/(1+$B8)^('DCF Model'!C19+4)-'DCF Model'!C16)*1000000/'DCF Model'!C15,0),"")</f>
        <v>2135</v>
      </c>
    </row>
    <row r="9" spans="2:9" ht="13.5" customHeight="1" x14ac:dyDescent="0.25">
      <c r="B9" s="39">
        <f>$C$3-0.005</f>
        <v>0.12033749999999999</v>
      </c>
      <c r="C9" s="37">
        <f>IFERROR(ROUND(('DCF Model'!C45/(1+$B9)^('DCF Model'!C19+0)+'DCF Model'!D45/(1+$B9)^('DCF Model'!C19+1)+'DCF Model'!E45/(1+$B9)^('DCF Model'!C19+2)+'DCF Model'!F45/(1+$B9)^('DCF Model'!C19+3)+'DCF Model'!G45/(1+$B9)^('DCF Model'!C19+4)+'DCF Model'!G45*(1+C$6)/($B9-C$6)/(1+$B9)^('DCF Model'!C19+4)-'DCF Model'!C16)*1000000/'DCF Model'!C15,0),"")</f>
        <v>1872</v>
      </c>
      <c r="D9" s="37">
        <f>IFERROR(ROUND(('DCF Model'!C45/(1+$B9)^('DCF Model'!C19+0)+'DCF Model'!D45/(1+$B9)^('DCF Model'!C19+1)+'DCF Model'!E45/(1+$B9)^('DCF Model'!C19+2)+'DCF Model'!F45/(1+$B9)^('DCF Model'!C19+3)+'DCF Model'!G45/(1+$B9)^('DCF Model'!C19+4)+'DCF Model'!G45*(1+D$6)/($B9-D$6)/(1+$B9)^('DCF Model'!C19+4)-'DCF Model'!C16)*1000000/'DCF Model'!C15,0),"")</f>
        <v>1896</v>
      </c>
      <c r="E9" s="37">
        <f>IFERROR(ROUND(('DCF Model'!C45/(1+$B9)^('DCF Model'!C19+0)+'DCF Model'!D45/(1+$B9)^('DCF Model'!C19+1)+'DCF Model'!E45/(1+$B9)^('DCF Model'!C19+2)+'DCF Model'!F45/(1+$B9)^('DCF Model'!C19+3)+'DCF Model'!G45/(1+$B9)^('DCF Model'!C19+4)+'DCF Model'!G45*(1+E$6)/($B9-E$6)/(1+$B9)^('DCF Model'!C19+4)-'DCF Model'!C16)*1000000/'DCF Model'!C15,0),"")</f>
        <v>1922</v>
      </c>
      <c r="F9" s="37">
        <f>IFERROR(ROUND(('DCF Model'!C45/(1+$B9)^('DCF Model'!C19+0)+'DCF Model'!D45/(1+$B9)^('DCF Model'!C19+1)+'DCF Model'!E45/(1+$B9)^('DCF Model'!C19+2)+'DCF Model'!F45/(1+$B9)^('DCF Model'!C19+3)+'DCF Model'!G45/(1+$B9)^('DCF Model'!C19+4)+'DCF Model'!G45*(1+F$6)/($B9-F$6)/(1+$B9)^('DCF Model'!C19+4)-'DCF Model'!C16)*1000000/'DCF Model'!C15,0),"")</f>
        <v>1949</v>
      </c>
      <c r="G9" s="37">
        <f>IFERROR(ROUND(('DCF Model'!C45/(1+$B9)^('DCF Model'!C19+0)+'DCF Model'!D45/(1+$B9)^('DCF Model'!C19+1)+'DCF Model'!E45/(1+$B9)^('DCF Model'!C19+2)+'DCF Model'!F45/(1+$B9)^('DCF Model'!C19+3)+'DCF Model'!G45/(1+$B9)^('DCF Model'!C19+4)+'DCF Model'!G45*(1+G$6)/($B9-G$6)/(1+$B9)^('DCF Model'!C19+4)-'DCF Model'!C16)*1000000/'DCF Model'!C15,0),"")</f>
        <v>1977</v>
      </c>
      <c r="H9" s="37">
        <f>IFERROR(ROUND(('DCF Model'!C45/(1+$B9)^('DCF Model'!C19+0)+'DCF Model'!D45/(1+$B9)^('DCF Model'!C19+1)+'DCF Model'!E45/(1+$B9)^('DCF Model'!C19+2)+'DCF Model'!F45/(1+$B9)^('DCF Model'!C19+3)+'DCF Model'!G45/(1+$B9)^('DCF Model'!C19+4)+'DCF Model'!G45*(1+H$6)/($B9-H$6)/(1+$B9)^('DCF Model'!C19+4)-'DCF Model'!C16)*1000000/'DCF Model'!C15,0),"")</f>
        <v>2006</v>
      </c>
      <c r="I9" s="37">
        <f>IFERROR(ROUND(('DCF Model'!C45/(1+$B9)^('DCF Model'!C19+0)+'DCF Model'!D45/(1+$B9)^('DCF Model'!C19+1)+'DCF Model'!E45/(1+$B9)^('DCF Model'!C19+2)+'DCF Model'!F45/(1+$B9)^('DCF Model'!C19+3)+'DCF Model'!G45/(1+$B9)^('DCF Model'!C19+4)+'DCF Model'!G45*(1+I$6)/($B9-I$6)/(1+$B9)^('DCF Model'!C19+4)-'DCF Model'!C16)*1000000/'DCF Model'!C15,0),"")</f>
        <v>2037</v>
      </c>
    </row>
    <row r="10" spans="2:9" ht="13.5" customHeight="1" x14ac:dyDescent="0.25">
      <c r="B10" s="39">
        <f>$C$3</f>
        <v>0.12533749999999999</v>
      </c>
      <c r="C10" s="37">
        <f>IFERROR(ROUND(('DCF Model'!C45/(1+$B10)^('DCF Model'!C19+0)+'DCF Model'!D45/(1+$B10)^('DCF Model'!C19+1)+'DCF Model'!E45/(1+$B10)^('DCF Model'!C19+2)+'DCF Model'!F45/(1+$B10)^('DCF Model'!C19+3)+'DCF Model'!G45/(1+$B10)^('DCF Model'!C19+4)+'DCF Model'!G45*(1+C$6)/($B10-C$6)/(1+$B10)^('DCF Model'!C19+4)-'DCF Model'!C16)*1000000/'DCF Model'!C15,0),"")</f>
        <v>1800</v>
      </c>
      <c r="D10" s="37">
        <f>IFERROR(ROUND(('DCF Model'!C45/(1+$B10)^('DCF Model'!C19+0)+'DCF Model'!D45/(1+$B10)^('DCF Model'!C19+1)+'DCF Model'!E45/(1+$B10)^('DCF Model'!C19+2)+'DCF Model'!F45/(1+$B10)^('DCF Model'!C19+3)+'DCF Model'!G45/(1+$B10)^('DCF Model'!C19+4)+'DCF Model'!G45*(1+D$6)/($B10-D$6)/(1+$B10)^('DCF Model'!C19+4)-'DCF Model'!C16)*1000000/'DCF Model'!C15,0),"")</f>
        <v>1822</v>
      </c>
      <c r="E10" s="37">
        <f>IFERROR(ROUND(('DCF Model'!C45/(1+$B10)^('DCF Model'!C19+0)+'DCF Model'!D45/(1+$B10)^('DCF Model'!C19+1)+'DCF Model'!E45/(1+$B10)^('DCF Model'!C19+2)+'DCF Model'!F45/(1+$B10)^('DCF Model'!C19+3)+'DCF Model'!G45/(1+$B10)^('DCF Model'!C19+4)+'DCF Model'!G45*(1+E$6)/($B10-E$6)/(1+$B10)^('DCF Model'!C19+4)-'DCF Model'!C16)*1000000/'DCF Model'!C15,0),"")</f>
        <v>1845</v>
      </c>
      <c r="F10" s="37">
        <f>IFERROR(ROUND(('DCF Model'!C45/(1+$B10)^('DCF Model'!C19+0)+'DCF Model'!D45/(1+$B10)^('DCF Model'!C19+1)+'DCF Model'!E45/(1+$B10)^('DCF Model'!C19+2)+'DCF Model'!F45/(1+$B10)^('DCF Model'!C19+3)+'DCF Model'!G45/(1+$B10)^('DCF Model'!C19+4)+'DCF Model'!G45*(1+F$6)/($B10-F$6)/(1+$B10)^('DCF Model'!C19+4)-'DCF Model'!C16)*1000000/'DCF Model'!C15,0),"")</f>
        <v>1869</v>
      </c>
      <c r="G10" s="37">
        <f>IFERROR(ROUND(('DCF Model'!C45/(1+$B10)^('DCF Model'!C19+0)+'DCF Model'!D45/(1+$B10)^('DCF Model'!C19+1)+'DCF Model'!E45/(1+$B10)^('DCF Model'!C19+2)+'DCF Model'!F45/(1+$B10)^('DCF Model'!C19+3)+'DCF Model'!G45/(1+$B10)^('DCF Model'!C19+4)+'DCF Model'!G45*(1+G$6)/($B10-G$6)/(1+$B10)^('DCF Model'!C19+4)-'DCF Model'!C16)*1000000/'DCF Model'!C15,0),"")</f>
        <v>1895</v>
      </c>
      <c r="H10" s="37">
        <f>IFERROR(ROUND(('DCF Model'!C45/(1+$B10)^('DCF Model'!C19+0)+'DCF Model'!D45/(1+$B10)^('DCF Model'!C19+1)+'DCF Model'!E45/(1+$B10)^('DCF Model'!C19+2)+'DCF Model'!F45/(1+$B10)^('DCF Model'!C19+3)+'DCF Model'!G45/(1+$B10)^('DCF Model'!C19+4)+'DCF Model'!G45*(1+H$6)/($B10-H$6)/(1+$B10)^('DCF Model'!C19+4)-'DCF Model'!C16)*1000000/'DCF Model'!C15,0),"")</f>
        <v>1921</v>
      </c>
      <c r="I10" s="37">
        <f>IFERROR(ROUND(('DCF Model'!C45/(1+$B10)^('DCF Model'!C19+0)+'DCF Model'!D45/(1+$B10)^('DCF Model'!C19+1)+'DCF Model'!E45/(1+$B10)^('DCF Model'!C19+2)+'DCF Model'!F45/(1+$B10)^('DCF Model'!C19+3)+'DCF Model'!G45/(1+$B10)^('DCF Model'!C19+4)+'DCF Model'!G45*(1+I$6)/($B10-I$6)/(1+$B10)^('DCF Model'!C19+4)-'DCF Model'!C16)*1000000/'DCF Model'!C15,0),"")</f>
        <v>1948</v>
      </c>
    </row>
    <row r="11" spans="2:9" ht="13.5" customHeight="1" x14ac:dyDescent="0.25">
      <c r="B11" s="39">
        <f>$C$3+0.005</f>
        <v>0.1303375</v>
      </c>
      <c r="C11" s="37">
        <f>IFERROR(ROUND(('DCF Model'!C45/(1+$B11)^('DCF Model'!C19+0)+'DCF Model'!D45/(1+$B11)^('DCF Model'!C19+1)+'DCF Model'!E45/(1+$B11)^('DCF Model'!C19+2)+'DCF Model'!F45/(1+$B11)^('DCF Model'!C19+3)+'DCF Model'!G45/(1+$B11)^('DCF Model'!C19+4)+'DCF Model'!G45*(1+C$6)/($B11-C$6)/(1+$B11)^('DCF Model'!C19+4)-'DCF Model'!C16)*1000000/'DCF Model'!C15,0),"")</f>
        <v>1734</v>
      </c>
      <c r="D11" s="37">
        <f>IFERROR(ROUND(('DCF Model'!C45/(1+$B11)^('DCF Model'!C19+0)+'DCF Model'!D45/(1+$B11)^('DCF Model'!C19+1)+'DCF Model'!E45/(1+$B11)^('DCF Model'!C19+2)+'DCF Model'!F45/(1+$B11)^('DCF Model'!C19+3)+'DCF Model'!G45/(1+$B11)^('DCF Model'!C19+4)+'DCF Model'!G45*(1+D$6)/($B11-D$6)/(1+$B11)^('DCF Model'!C19+4)-'DCF Model'!C16)*1000000/'DCF Model'!C15,0),"")</f>
        <v>1754</v>
      </c>
      <c r="E11" s="37">
        <f>IFERROR(ROUND(('DCF Model'!C45/(1+$B11)^('DCF Model'!C19+0)+'DCF Model'!D45/(1+$B11)^('DCF Model'!C19+1)+'DCF Model'!E45/(1+$B11)^('DCF Model'!C19+2)+'DCF Model'!F45/(1+$B11)^('DCF Model'!C19+3)+'DCF Model'!G45/(1+$B11)^('DCF Model'!C19+4)+'DCF Model'!G45*(1+E$6)/($B11-E$6)/(1+$B11)^('DCF Model'!C19+4)-'DCF Model'!C16)*1000000/'DCF Model'!C15,0),"")</f>
        <v>1775</v>
      </c>
      <c r="F11" s="37">
        <f>IFERROR(ROUND(('DCF Model'!C45/(1+$B11)^('DCF Model'!C19+0)+'DCF Model'!D45/(1+$B11)^('DCF Model'!C19+1)+'DCF Model'!E45/(1+$B11)^('DCF Model'!C19+2)+'DCF Model'!F45/(1+$B11)^('DCF Model'!C19+3)+'DCF Model'!G45/(1+$B11)^('DCF Model'!C19+4)+'DCF Model'!G45*(1+F$6)/($B11-F$6)/(1+$B11)^('DCF Model'!C19+4)-'DCF Model'!C16)*1000000/'DCF Model'!C15,0),"")</f>
        <v>1797</v>
      </c>
      <c r="G11" s="37">
        <f>IFERROR(ROUND(('DCF Model'!C45/(1+$B11)^('DCF Model'!C19+0)+'DCF Model'!D45/(1+$B11)^('DCF Model'!C19+1)+'DCF Model'!E45/(1+$B11)^('DCF Model'!C19+2)+'DCF Model'!F45/(1+$B11)^('DCF Model'!C19+3)+'DCF Model'!G45/(1+$B11)^('DCF Model'!C19+4)+'DCF Model'!G45*(1+G$6)/($B11-G$6)/(1+$B11)^('DCF Model'!C19+4)-'DCF Model'!C16)*1000000/'DCF Model'!C15,0),"")</f>
        <v>1819</v>
      </c>
      <c r="H11" s="37">
        <f>IFERROR(ROUND(('DCF Model'!C45/(1+$B11)^('DCF Model'!C19+0)+'DCF Model'!D45/(1+$B11)^('DCF Model'!C19+1)+'DCF Model'!E45/(1+$B11)^('DCF Model'!C19+2)+'DCF Model'!F45/(1+$B11)^('DCF Model'!C19+3)+'DCF Model'!G45/(1+$B11)^('DCF Model'!C19+4)+'DCF Model'!G45*(1+H$6)/($B11-H$6)/(1+$B11)^('DCF Model'!C19+4)-'DCF Model'!C16)*1000000/'DCF Model'!C15,0),"")</f>
        <v>1843</v>
      </c>
      <c r="I11" s="37">
        <f>IFERROR(ROUND(('DCF Model'!C45/(1+$B11)^('DCF Model'!C19+0)+'DCF Model'!D45/(1+$B11)^('DCF Model'!C19+1)+'DCF Model'!E45/(1+$B11)^('DCF Model'!C19+2)+'DCF Model'!F45/(1+$B11)^('DCF Model'!C19+3)+'DCF Model'!G45/(1+$B11)^('DCF Model'!C19+4)+'DCF Model'!G45*(1+I$6)/($B11-I$6)/(1+$B11)^('DCF Model'!C19+4)-'DCF Model'!C16)*1000000/'DCF Model'!C15,0),"")</f>
        <v>1868</v>
      </c>
    </row>
    <row r="12" spans="2:9" ht="13.5" customHeight="1" x14ac:dyDescent="0.25">
      <c r="B12" s="39">
        <f>$C$3+0.01</f>
        <v>0.1353375</v>
      </c>
      <c r="C12" s="37">
        <f>IFERROR(ROUND(('DCF Model'!C45/(1+$B12)^('DCF Model'!C19+0)+'DCF Model'!D45/(1+$B12)^('DCF Model'!C19+1)+'DCF Model'!E45/(1+$B12)^('DCF Model'!C19+2)+'DCF Model'!F45/(1+$B12)^('DCF Model'!C19+3)+'DCF Model'!G45/(1+$B12)^('DCF Model'!C19+4)+'DCF Model'!G45*(1+C$6)/($B12-C$6)/(1+$B12)^('DCF Model'!C19+4)-'DCF Model'!C16)*1000000/'DCF Model'!C15,0),"")</f>
        <v>1672</v>
      </c>
      <c r="D12" s="37">
        <f>IFERROR(ROUND(('DCF Model'!C45/(1+$B12)^('DCF Model'!C19+0)+'DCF Model'!D45/(1+$B12)^('DCF Model'!C19+1)+'DCF Model'!E45/(1+$B12)^('DCF Model'!C19+2)+'DCF Model'!F45/(1+$B12)^('DCF Model'!C19+3)+'DCF Model'!G45/(1+$B12)^('DCF Model'!C19+4)+'DCF Model'!G45*(1+D$6)/($B12-D$6)/(1+$B12)^('DCF Model'!C19+4)-'DCF Model'!C16)*1000000/'DCF Model'!C15,0),"")</f>
        <v>1691</v>
      </c>
      <c r="E12" s="37">
        <f>IFERROR(ROUND(('DCF Model'!C45/(1+$B12)^('DCF Model'!C19+0)+'DCF Model'!D45/(1+$B12)^('DCF Model'!C19+1)+'DCF Model'!E45/(1+$B12)^('DCF Model'!C19+2)+'DCF Model'!F45/(1+$B12)^('DCF Model'!C19+3)+'DCF Model'!G45/(1+$B12)^('DCF Model'!C19+4)+'DCF Model'!G45*(1+E$6)/($B12-E$6)/(1+$B12)^('DCF Model'!C19+4)-'DCF Model'!C16)*1000000/'DCF Model'!C15,0),"")</f>
        <v>1710</v>
      </c>
      <c r="F12" s="37">
        <f>IFERROR(ROUND(('DCF Model'!C45/(1+$B12)^('DCF Model'!C19+0)+'DCF Model'!D45/(1+$B12)^('DCF Model'!C19+1)+'DCF Model'!E45/(1+$B12)^('DCF Model'!C19+2)+'DCF Model'!F45/(1+$B12)^('DCF Model'!C19+3)+'DCF Model'!G45/(1+$B12)^('DCF Model'!C19+4)+'DCF Model'!G45*(1+F$6)/($B12-F$6)/(1+$B12)^('DCF Model'!C19+4)-'DCF Model'!C16)*1000000/'DCF Model'!C15,0),"")</f>
        <v>1730</v>
      </c>
      <c r="G12" s="37">
        <f>IFERROR(ROUND(('DCF Model'!C45/(1+$B12)^('DCF Model'!C19+0)+'DCF Model'!D45/(1+$B12)^('DCF Model'!C19+1)+'DCF Model'!E45/(1+$B12)^('DCF Model'!C19+2)+'DCF Model'!F45/(1+$B12)^('DCF Model'!C19+3)+'DCF Model'!G45/(1+$B12)^('DCF Model'!C19+4)+'DCF Model'!G45*(1+G$6)/($B12-G$6)/(1+$B12)^('DCF Model'!C19+4)-'DCF Model'!C16)*1000000/'DCF Model'!C15,0),"")</f>
        <v>1750</v>
      </c>
      <c r="H12" s="37">
        <f>IFERROR(ROUND(('DCF Model'!C45/(1+$B12)^('DCF Model'!C19+0)+'DCF Model'!D45/(1+$B12)^('DCF Model'!C19+1)+'DCF Model'!E45/(1+$B12)^('DCF Model'!C19+2)+'DCF Model'!F45/(1+$B12)^('DCF Model'!C19+3)+'DCF Model'!G45/(1+$B12)^('DCF Model'!C19+4)+'DCF Model'!G45*(1+H$6)/($B12-H$6)/(1+$B12)^('DCF Model'!C19+4)-'DCF Model'!C16)*1000000/'DCF Model'!C15,0),"")</f>
        <v>1772</v>
      </c>
      <c r="I12" s="37">
        <f>IFERROR(ROUND(('DCF Model'!C45/(1+$B12)^('DCF Model'!C19+0)+'DCF Model'!D45/(1+$B12)^('DCF Model'!C19+1)+'DCF Model'!E45/(1+$B12)^('DCF Model'!C19+2)+'DCF Model'!F45/(1+$B12)^('DCF Model'!C19+3)+'DCF Model'!G45/(1+$B12)^('DCF Model'!C19+4)+'DCF Model'!G45*(1+I$6)/($B12-I$6)/(1+$B12)^('DCF Model'!C19+4)-'DCF Model'!C16)*1000000/'DCF Model'!C15,0),"")</f>
        <v>1794</v>
      </c>
    </row>
    <row r="13" spans="2:9" ht="13.5" customHeight="1" x14ac:dyDescent="0.25">
      <c r="B13" s="39">
        <f>$C$3+0.015</f>
        <v>0.1403375</v>
      </c>
      <c r="C13" s="37">
        <f>IFERROR(ROUND(('DCF Model'!C45/(1+$B13)^('DCF Model'!C19+0)+'DCF Model'!D45/(1+$B13)^('DCF Model'!C19+1)+'DCF Model'!E45/(1+$B13)^('DCF Model'!C19+2)+'DCF Model'!F45/(1+$B13)^('DCF Model'!C19+3)+'DCF Model'!G45/(1+$B13)^('DCF Model'!C19+4)+'DCF Model'!G45*(1+C$6)/($B13-C$6)/(1+$B13)^('DCF Model'!C19+4)-'DCF Model'!C16)*1000000/'DCF Model'!C15,0),"")</f>
        <v>1616</v>
      </c>
      <c r="D13" s="37">
        <f>IFERROR(ROUND(('DCF Model'!C45/(1+$B13)^('DCF Model'!C19+0)+'DCF Model'!D45/(1+$B13)^('DCF Model'!C19+1)+'DCF Model'!E45/(1+$B13)^('DCF Model'!C19+2)+'DCF Model'!F45/(1+$B13)^('DCF Model'!C19+3)+'DCF Model'!G45/(1+$B13)^('DCF Model'!C19+4)+'DCF Model'!G45*(1+D$6)/($B13-D$6)/(1+$B13)^('DCF Model'!C19+4)-'DCF Model'!C16)*1000000/'DCF Model'!C15,0),"")</f>
        <v>1632</v>
      </c>
      <c r="E13" s="37">
        <f>IFERROR(ROUND(('DCF Model'!C45/(1+$B13)^('DCF Model'!C19+0)+'DCF Model'!D45/(1+$B13)^('DCF Model'!C19+1)+'DCF Model'!E45/(1+$B13)^('DCF Model'!C19+2)+'DCF Model'!F45/(1+$B13)^('DCF Model'!C19+3)+'DCF Model'!G45/(1+$B13)^('DCF Model'!C19+4)+'DCF Model'!G45*(1+E$6)/($B13-E$6)/(1+$B13)^('DCF Model'!C19+4)-'DCF Model'!C16)*1000000/'DCF Model'!C15,0),"")</f>
        <v>1650</v>
      </c>
      <c r="F13" s="37">
        <f>IFERROR(ROUND(('DCF Model'!C45/(1+$B13)^('DCF Model'!C19+0)+'DCF Model'!D45/(1+$B13)^('DCF Model'!C19+1)+'DCF Model'!E45/(1+$B13)^('DCF Model'!C19+2)+'DCF Model'!F45/(1+$B13)^('DCF Model'!C19+3)+'DCF Model'!G45/(1+$B13)^('DCF Model'!C19+4)+'DCF Model'!G45*(1+F$6)/($B13-F$6)/(1+$B13)^('DCF Model'!C19+4)-'DCF Model'!C16)*1000000/'DCF Model'!C15,0),"")</f>
        <v>1668</v>
      </c>
      <c r="G13" s="37">
        <f>IFERROR(ROUND(('DCF Model'!C45/(1+$B13)^('DCF Model'!C19+0)+'DCF Model'!D45/(1+$B13)^('DCF Model'!C19+1)+'DCF Model'!E45/(1+$B13)^('DCF Model'!C19+2)+'DCF Model'!F45/(1+$B13)^('DCF Model'!C19+3)+'DCF Model'!G45/(1+$B13)^('DCF Model'!C19+4)+'DCF Model'!G45*(1+G$6)/($B13-G$6)/(1+$B13)^('DCF Model'!C19+4)-'DCF Model'!C16)*1000000/'DCF Model'!C15,0),"")</f>
        <v>1686</v>
      </c>
      <c r="H13" s="37">
        <f>IFERROR(ROUND(('DCF Model'!C45/(1+$B13)^('DCF Model'!C19+0)+'DCF Model'!D45/(1+$B13)^('DCF Model'!C19+1)+'DCF Model'!E45/(1+$B13)^('DCF Model'!C19+2)+'DCF Model'!F45/(1+$B13)^('DCF Model'!C19+3)+'DCF Model'!G45/(1+$B13)^('DCF Model'!C19+4)+'DCF Model'!G45*(1+H$6)/($B13-H$6)/(1+$B13)^('DCF Model'!C19+4)-'DCF Model'!C16)*1000000/'DCF Model'!C15,0),"")</f>
        <v>1706</v>
      </c>
      <c r="I13" s="37">
        <f>IFERROR(ROUND(('DCF Model'!C45/(1+$B13)^('DCF Model'!C19+0)+'DCF Model'!D45/(1+$B13)^('DCF Model'!C19+1)+'DCF Model'!E45/(1+$B13)^('DCF Model'!C19+2)+'DCF Model'!F45/(1+$B13)^('DCF Model'!C19+3)+'DCF Model'!G45/(1+$B13)^('DCF Model'!C19+4)+'DCF Model'!G45*(1+I$6)/($B13-I$6)/(1+$B13)^('DCF Model'!C19+4)-'DCF Model'!C16)*1000000/'DCF Model'!C15,0),"")</f>
        <v>1726</v>
      </c>
    </row>
    <row r="16" spans="2:9" ht="14" customHeight="1" x14ac:dyDescent="0.3">
      <c r="B16" s="3" t="s">
        <v>236</v>
      </c>
    </row>
    <row r="17" spans="2:9" ht="14" customHeight="1" x14ac:dyDescent="0.3">
      <c r="B17" s="40" t="s">
        <v>237</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0.11033749999999999</v>
      </c>
      <c r="C18" s="37">
        <f>IFERROR(ROUND(('DCF Model'!C45/(1+$B18)^('DCF Model'!C19+0)+'DCF Model'!D45/(1+$B18)^('DCF Model'!C19+1)+'DCF Model'!E45/(1+$B18)^('DCF Model'!C19+2)+'DCF Model'!F45/(1+$B18)^('DCF Model'!C19+3)+'DCF Model'!G45/(1+$B18)^('DCF Model'!C19+4)+('DCF Model'!G39+'DCF Model'!G42)*C$17/(1+$B18)^('DCF Model'!C19+4)-'DCF Model'!C16)*1000000/'DCF Model'!C15,0),"")</f>
        <v>4233</v>
      </c>
      <c r="D18" s="37">
        <f>IFERROR(ROUND(('DCF Model'!C45/(1+$B18)^('DCF Model'!C19+0)+'DCF Model'!D45/(1+$B18)^('DCF Model'!C19+1)+'DCF Model'!E45/(1+$B18)^('DCF Model'!C19+2)+'DCF Model'!F45/(1+$B18)^('DCF Model'!C19+3)+'DCF Model'!G45/(1+$B18)^('DCF Model'!C19+4)+('DCF Model'!G39+'DCF Model'!G42)*D$17/(1+$B18)^('DCF Model'!C19+4)-'DCF Model'!C16)*1000000/'DCF Model'!C15,0),"")</f>
        <v>4500</v>
      </c>
      <c r="E18" s="37">
        <f>IFERROR(ROUND(('DCF Model'!C45/(1+$B18)^('DCF Model'!C19+0)+'DCF Model'!D45/(1+$B18)^('DCF Model'!C19+1)+'DCF Model'!E45/(1+$B18)^('DCF Model'!C19+2)+'DCF Model'!F45/(1+$B18)^('DCF Model'!C19+3)+'DCF Model'!G45/(1+$B18)^('DCF Model'!C19+4)+('DCF Model'!G39+'DCF Model'!G42)*E$17/(1+$B18)^('DCF Model'!C19+4)-'DCF Model'!C16)*1000000/'DCF Model'!C15,0),"")</f>
        <v>4766</v>
      </c>
      <c r="F18" s="37">
        <f>IFERROR(ROUND(('DCF Model'!C45/(1+$B18)^('DCF Model'!C19+0)+'DCF Model'!D45/(1+$B18)^('DCF Model'!C19+1)+'DCF Model'!E45/(1+$B18)^('DCF Model'!C19+2)+'DCF Model'!F45/(1+$B18)^('DCF Model'!C19+3)+'DCF Model'!G45/(1+$B18)^('DCF Model'!C19+4)+('DCF Model'!G39+'DCF Model'!G42)*F$17/(1+$B18)^('DCF Model'!C19+4)-'DCF Model'!C16)*1000000/'DCF Model'!C15,0),"")</f>
        <v>5033</v>
      </c>
      <c r="G18" s="37">
        <f>IFERROR(ROUND(('DCF Model'!C45/(1+$B18)^('DCF Model'!C19+0)+'DCF Model'!D45/(1+$B18)^('DCF Model'!C19+1)+'DCF Model'!E45/(1+$B18)^('DCF Model'!C19+2)+'DCF Model'!F45/(1+$B18)^('DCF Model'!C19+3)+'DCF Model'!G45/(1+$B18)^('DCF Model'!C19+4)+('DCF Model'!G39+'DCF Model'!G42)*G$17/(1+$B18)^('DCF Model'!C19+4)-'DCF Model'!C16)*1000000/'DCF Model'!C15,0),"")</f>
        <v>5299</v>
      </c>
      <c r="H18" s="37">
        <f>IFERROR(ROUND(('DCF Model'!C45/(1+$B18)^('DCF Model'!C19+0)+'DCF Model'!D45/(1+$B18)^('DCF Model'!C19+1)+'DCF Model'!E45/(1+$B18)^('DCF Model'!C19+2)+'DCF Model'!F45/(1+$B18)^('DCF Model'!C19+3)+'DCF Model'!G45/(1+$B18)^('DCF Model'!C19+4)+('DCF Model'!G39+'DCF Model'!G42)*H$17/(1+$B18)^('DCF Model'!C19+4)-'DCF Model'!C16)*1000000/'DCF Model'!C15,0),"")</f>
        <v>5565</v>
      </c>
      <c r="I18" s="37">
        <f>IFERROR(ROUND(('DCF Model'!C45/(1+$B18)^('DCF Model'!C19+0)+'DCF Model'!D45/(1+$B18)^('DCF Model'!C19+1)+'DCF Model'!E45/(1+$B18)^('DCF Model'!C19+2)+'DCF Model'!F45/(1+$B18)^('DCF Model'!C19+3)+'DCF Model'!G45/(1+$B18)^('DCF Model'!C19+4)+('DCF Model'!G39+'DCF Model'!G42)*I$17/(1+$B18)^('DCF Model'!C19+4)-'DCF Model'!C16)*1000000/'DCF Model'!C15,0),"")</f>
        <v>5832</v>
      </c>
    </row>
    <row r="19" spans="2:9" ht="13.5" customHeight="1" x14ac:dyDescent="0.25">
      <c r="B19" s="39">
        <f>$C$3-0.01</f>
        <v>0.1153375</v>
      </c>
      <c r="C19" s="37">
        <f>IFERROR(ROUND(('DCF Model'!C45/(1+$B19)^('DCF Model'!C19+0)+'DCF Model'!D45/(1+$B19)^('DCF Model'!C19+1)+'DCF Model'!E45/(1+$B19)^('DCF Model'!C19+2)+'DCF Model'!F45/(1+$B19)^('DCF Model'!C19+3)+'DCF Model'!G45/(1+$B19)^('DCF Model'!C19+4)+('DCF Model'!G39+'DCF Model'!G42)*C$17/(1+$B19)^('DCF Model'!C19+4)-'DCF Model'!C16)*1000000/'DCF Model'!C15,0),"")</f>
        <v>4149</v>
      </c>
      <c r="D19" s="37">
        <f>IFERROR(ROUND(('DCF Model'!C45/(1+$B19)^('DCF Model'!C19+0)+'DCF Model'!D45/(1+$B19)^('DCF Model'!C19+1)+'DCF Model'!E45/(1+$B19)^('DCF Model'!C19+2)+'DCF Model'!F45/(1+$B19)^('DCF Model'!C19+3)+'DCF Model'!G45/(1+$B19)^('DCF Model'!C19+4)+('DCF Model'!G39+'DCF Model'!G42)*D$17/(1+$B19)^('DCF Model'!C19+4)-'DCF Model'!C16)*1000000/'DCF Model'!C15,0),"")</f>
        <v>4410</v>
      </c>
      <c r="E19" s="37">
        <f>IFERROR(ROUND(('DCF Model'!C45/(1+$B19)^('DCF Model'!C19+0)+'DCF Model'!D45/(1+$B19)^('DCF Model'!C19+1)+'DCF Model'!E45/(1+$B19)^('DCF Model'!C19+2)+'DCF Model'!F45/(1+$B19)^('DCF Model'!C19+3)+'DCF Model'!G45/(1+$B19)^('DCF Model'!C19+4)+('DCF Model'!G39+'DCF Model'!G42)*E$17/(1+$B19)^('DCF Model'!C19+4)-'DCF Model'!C16)*1000000/'DCF Model'!C15,0),"")</f>
        <v>4670</v>
      </c>
      <c r="F19" s="37">
        <f>IFERROR(ROUND(('DCF Model'!C45/(1+$B19)^('DCF Model'!C19+0)+'DCF Model'!D45/(1+$B19)^('DCF Model'!C19+1)+'DCF Model'!E45/(1+$B19)^('DCF Model'!C19+2)+'DCF Model'!F45/(1+$B19)^('DCF Model'!C19+3)+'DCF Model'!G45/(1+$B19)^('DCF Model'!C19+4)+('DCF Model'!G39+'DCF Model'!G42)*F$17/(1+$B19)^('DCF Model'!C19+4)-'DCF Model'!C16)*1000000/'DCF Model'!C15,0),"")</f>
        <v>4931</v>
      </c>
      <c r="G19" s="37">
        <f>IFERROR(ROUND(('DCF Model'!C45/(1+$B19)^('DCF Model'!C19+0)+'DCF Model'!D45/(1+$B19)^('DCF Model'!C19+1)+'DCF Model'!E45/(1+$B19)^('DCF Model'!C19+2)+'DCF Model'!F45/(1+$B19)^('DCF Model'!C19+3)+'DCF Model'!G45/(1+$B19)^('DCF Model'!C19+4)+('DCF Model'!G39+'DCF Model'!G42)*G$17/(1+$B19)^('DCF Model'!C19+4)-'DCF Model'!C16)*1000000/'DCF Model'!C15,0),"")</f>
        <v>5191</v>
      </c>
      <c r="H19" s="37">
        <f>IFERROR(ROUND(('DCF Model'!C45/(1+$B19)^('DCF Model'!C19+0)+'DCF Model'!D45/(1+$B19)^('DCF Model'!C19+1)+'DCF Model'!E45/(1+$B19)^('DCF Model'!C19+2)+'DCF Model'!F45/(1+$B19)^('DCF Model'!C19+3)+'DCF Model'!G45/(1+$B19)^('DCF Model'!C19+4)+('DCF Model'!G39+'DCF Model'!G42)*H$17/(1+$B19)^('DCF Model'!C19+4)-'DCF Model'!C16)*1000000/'DCF Model'!C15,0),"")</f>
        <v>5452</v>
      </c>
      <c r="I19" s="37">
        <f>IFERROR(ROUND(('DCF Model'!C45/(1+$B19)^('DCF Model'!C19+0)+'DCF Model'!D45/(1+$B19)^('DCF Model'!C19+1)+'DCF Model'!E45/(1+$B19)^('DCF Model'!C19+2)+'DCF Model'!F45/(1+$B19)^('DCF Model'!C19+3)+'DCF Model'!G45/(1+$B19)^('DCF Model'!C19+4)+('DCF Model'!G39+'DCF Model'!G42)*I$17/(1+$B19)^('DCF Model'!C19+4)-'DCF Model'!C16)*1000000/'DCF Model'!C15,0),"")</f>
        <v>5712</v>
      </c>
    </row>
    <row r="20" spans="2:9" ht="13.5" customHeight="1" x14ac:dyDescent="0.25">
      <c r="B20" s="39">
        <f>$C$3-0.005</f>
        <v>0.12033749999999999</v>
      </c>
      <c r="C20" s="37">
        <f>IFERROR(ROUND(('DCF Model'!C45/(1+$B20)^('DCF Model'!C19+0)+'DCF Model'!D45/(1+$B20)^('DCF Model'!C19+1)+'DCF Model'!E45/(1+$B20)^('DCF Model'!C19+2)+'DCF Model'!F45/(1+$B20)^('DCF Model'!C19+3)+'DCF Model'!G45/(1+$B20)^('DCF Model'!C19+4)+('DCF Model'!G39+'DCF Model'!G42)*C$17/(1+$B20)^('DCF Model'!C19+4)-'DCF Model'!C16)*1000000/'DCF Model'!C15,0),"")</f>
        <v>4067</v>
      </c>
      <c r="D20" s="37">
        <f>IFERROR(ROUND(('DCF Model'!C45/(1+$B20)^('DCF Model'!C19+0)+'DCF Model'!D45/(1+$B20)^('DCF Model'!C19+1)+'DCF Model'!E45/(1+$B20)^('DCF Model'!C19+2)+'DCF Model'!F45/(1+$B20)^('DCF Model'!C19+3)+'DCF Model'!G45/(1+$B20)^('DCF Model'!C19+4)+('DCF Model'!G39+'DCF Model'!G42)*D$17/(1+$B20)^('DCF Model'!C19+4)-'DCF Model'!C16)*1000000/'DCF Model'!C15,0),"")</f>
        <v>4322</v>
      </c>
      <c r="E20" s="37">
        <f>IFERROR(ROUND(('DCF Model'!C45/(1+$B20)^('DCF Model'!C19+0)+'DCF Model'!D45/(1+$B20)^('DCF Model'!C19+1)+'DCF Model'!E45/(1+$B20)^('DCF Model'!C19+2)+'DCF Model'!F45/(1+$B20)^('DCF Model'!C19+3)+'DCF Model'!G45/(1+$B20)^('DCF Model'!C19+4)+('DCF Model'!G39+'DCF Model'!G42)*E$17/(1+$B20)^('DCF Model'!C19+4)-'DCF Model'!C16)*1000000/'DCF Model'!C15,0),"")</f>
        <v>4577</v>
      </c>
      <c r="F20" s="37">
        <f>IFERROR(ROUND(('DCF Model'!C45/(1+$B20)^('DCF Model'!C19+0)+'DCF Model'!D45/(1+$B20)^('DCF Model'!C19+1)+'DCF Model'!E45/(1+$B20)^('DCF Model'!C19+2)+'DCF Model'!F45/(1+$B20)^('DCF Model'!C19+3)+'DCF Model'!G45/(1+$B20)^('DCF Model'!C19+4)+('DCF Model'!G39+'DCF Model'!G42)*F$17/(1+$B20)^('DCF Model'!C19+4)-'DCF Model'!C16)*1000000/'DCF Model'!C15,0),"")</f>
        <v>4832</v>
      </c>
      <c r="G20" s="37">
        <f>IFERROR(ROUND(('DCF Model'!C45/(1+$B20)^('DCF Model'!C19+0)+'DCF Model'!D45/(1+$B20)^('DCF Model'!C19+1)+'DCF Model'!E45/(1+$B20)^('DCF Model'!C19+2)+'DCF Model'!F45/(1+$B20)^('DCF Model'!C19+3)+'DCF Model'!G45/(1+$B20)^('DCF Model'!C19+4)+('DCF Model'!G39+'DCF Model'!G42)*G$17/(1+$B20)^('DCF Model'!C19+4)-'DCF Model'!C16)*1000000/'DCF Model'!C15,0),"")</f>
        <v>5086</v>
      </c>
      <c r="H20" s="37">
        <f>IFERROR(ROUND(('DCF Model'!C45/(1+$B20)^('DCF Model'!C19+0)+'DCF Model'!D45/(1+$B20)^('DCF Model'!C19+1)+'DCF Model'!E45/(1+$B20)^('DCF Model'!C19+2)+'DCF Model'!F45/(1+$B20)^('DCF Model'!C19+3)+'DCF Model'!G45/(1+$B20)^('DCF Model'!C19+4)+('DCF Model'!G39+'DCF Model'!G42)*H$17/(1+$B20)^('DCF Model'!C19+4)-'DCF Model'!C16)*1000000/'DCF Model'!C15,0),"")</f>
        <v>5341</v>
      </c>
      <c r="I20" s="37">
        <f>IFERROR(ROUND(('DCF Model'!C45/(1+$B20)^('DCF Model'!C19+0)+'DCF Model'!D45/(1+$B20)^('DCF Model'!C19+1)+'DCF Model'!E45/(1+$B20)^('DCF Model'!C19+2)+'DCF Model'!F45/(1+$B20)^('DCF Model'!C19+3)+'DCF Model'!G45/(1+$B20)^('DCF Model'!C19+4)+('DCF Model'!G39+'DCF Model'!G42)*I$17/(1+$B20)^('DCF Model'!C19+4)-'DCF Model'!C16)*1000000/'DCF Model'!C15,0),"")</f>
        <v>5596</v>
      </c>
    </row>
    <row r="21" spans="2:9" ht="13.5" customHeight="1" x14ac:dyDescent="0.25">
      <c r="B21" s="39">
        <f>$C$3</f>
        <v>0.12533749999999999</v>
      </c>
      <c r="C21" s="37">
        <f>IFERROR(ROUND(('DCF Model'!C45/(1+$B21)^('DCF Model'!C19+0)+'DCF Model'!D45/(1+$B21)^('DCF Model'!C19+1)+'DCF Model'!E45/(1+$B21)^('DCF Model'!C19+2)+'DCF Model'!F45/(1+$B21)^('DCF Model'!C19+3)+'DCF Model'!G45/(1+$B21)^('DCF Model'!C19+4)+('DCF Model'!G39+'DCF Model'!G42)*C$17/(1+$B21)^('DCF Model'!C19+4)-'DCF Model'!C16)*1000000/'DCF Model'!C15,0),"")</f>
        <v>3988</v>
      </c>
      <c r="D21" s="37">
        <f>IFERROR(ROUND(('DCF Model'!C45/(1+$B21)^('DCF Model'!C19+0)+'DCF Model'!D45/(1+$B21)^('DCF Model'!C19+1)+'DCF Model'!E45/(1+$B21)^('DCF Model'!C19+2)+'DCF Model'!F45/(1+$B21)^('DCF Model'!C19+3)+'DCF Model'!G45/(1+$B21)^('DCF Model'!C19+4)+('DCF Model'!G39+'DCF Model'!G42)*D$17/(1+$B21)^('DCF Model'!C19+4)-'DCF Model'!C16)*1000000/'DCF Model'!C15,0),"")</f>
        <v>4237</v>
      </c>
      <c r="E21" s="37">
        <f>IFERROR(ROUND(('DCF Model'!C45/(1+$B21)^('DCF Model'!C19+0)+'DCF Model'!D45/(1+$B21)^('DCF Model'!C19+1)+'DCF Model'!E45/(1+$B21)^('DCF Model'!C19+2)+'DCF Model'!F45/(1+$B21)^('DCF Model'!C19+3)+'DCF Model'!G45/(1+$B21)^('DCF Model'!C19+4)+('DCF Model'!G39+'DCF Model'!G42)*E$17/(1+$B21)^('DCF Model'!C19+4)-'DCF Model'!C16)*1000000/'DCF Model'!C15,0),"")</f>
        <v>4486</v>
      </c>
      <c r="F21" s="37">
        <f>IFERROR(ROUND(('DCF Model'!C45/(1+$B21)^('DCF Model'!C19+0)+'DCF Model'!D45/(1+$B21)^('DCF Model'!C19+1)+'DCF Model'!E45/(1+$B21)^('DCF Model'!C19+2)+'DCF Model'!F45/(1+$B21)^('DCF Model'!C19+3)+'DCF Model'!G45/(1+$B21)^('DCF Model'!C19+4)+('DCF Model'!G39+'DCF Model'!G42)*F$17/(1+$B21)^('DCF Model'!C19+4)-'DCF Model'!C16)*1000000/'DCF Model'!C15,0),"")</f>
        <v>4735</v>
      </c>
      <c r="G21" s="37">
        <f>IFERROR(ROUND(('DCF Model'!C45/(1+$B21)^('DCF Model'!C19+0)+'DCF Model'!D45/(1+$B21)^('DCF Model'!C19+1)+'DCF Model'!E45/(1+$B21)^('DCF Model'!C19+2)+'DCF Model'!F45/(1+$B21)^('DCF Model'!C19+3)+'DCF Model'!G45/(1+$B21)^('DCF Model'!C19+4)+('DCF Model'!G39+'DCF Model'!G42)*G$17/(1+$B21)^('DCF Model'!C19+4)-'DCF Model'!C16)*1000000/'DCF Model'!C15,0),"")</f>
        <v>4984</v>
      </c>
      <c r="H21" s="37">
        <f>IFERROR(ROUND(('DCF Model'!C45/(1+$B21)^('DCF Model'!C19+0)+'DCF Model'!D45/(1+$B21)^('DCF Model'!C19+1)+'DCF Model'!E45/(1+$B21)^('DCF Model'!C19+2)+'DCF Model'!F45/(1+$B21)^('DCF Model'!C19+3)+'DCF Model'!G45/(1+$B21)^('DCF Model'!C19+4)+('DCF Model'!G39+'DCF Model'!G42)*H$17/(1+$B21)^('DCF Model'!C19+4)-'DCF Model'!C16)*1000000/'DCF Model'!C15,0),"")</f>
        <v>5233</v>
      </c>
      <c r="I21" s="37">
        <f>IFERROR(ROUND(('DCF Model'!C45/(1+$B21)^('DCF Model'!C19+0)+'DCF Model'!D45/(1+$B21)^('DCF Model'!C19+1)+'DCF Model'!E45/(1+$B21)^('DCF Model'!C19+2)+'DCF Model'!F45/(1+$B21)^('DCF Model'!C19+3)+'DCF Model'!G45/(1+$B21)^('DCF Model'!C19+4)+('DCF Model'!G39+'DCF Model'!G42)*I$17/(1+$B21)^('DCF Model'!C19+4)-'DCF Model'!C16)*1000000/'DCF Model'!C15,0),"")</f>
        <v>5482</v>
      </c>
    </row>
    <row r="22" spans="2:9" ht="13.5" customHeight="1" x14ac:dyDescent="0.25">
      <c r="B22" s="39">
        <f>$C$3+0.005</f>
        <v>0.1303375</v>
      </c>
      <c r="C22" s="37">
        <f>IFERROR(ROUND(('DCF Model'!C45/(1+$B22)^('DCF Model'!C19+0)+'DCF Model'!D45/(1+$B22)^('DCF Model'!C19+1)+'DCF Model'!E45/(1+$B22)^('DCF Model'!C19+2)+'DCF Model'!F45/(1+$B22)^('DCF Model'!C19+3)+'DCF Model'!G45/(1+$B22)^('DCF Model'!C19+4)+('DCF Model'!G39+'DCF Model'!G42)*C$17/(1+$B22)^('DCF Model'!C19+4)-'DCF Model'!C16)*1000000/'DCF Model'!C15,0),"")</f>
        <v>3910</v>
      </c>
      <c r="D22" s="37">
        <f>IFERROR(ROUND(('DCF Model'!C45/(1+$B22)^('DCF Model'!C19+0)+'DCF Model'!D45/(1+$B22)^('DCF Model'!C19+1)+'DCF Model'!E45/(1+$B22)^('DCF Model'!C19+2)+'DCF Model'!F45/(1+$B22)^('DCF Model'!C19+3)+'DCF Model'!G45/(1+$B22)^('DCF Model'!C19+4)+('DCF Model'!G39+'DCF Model'!G42)*D$17/(1+$B22)^('DCF Model'!C19+4)-'DCF Model'!C16)*1000000/'DCF Model'!C15,0),"")</f>
        <v>4153</v>
      </c>
      <c r="E22" s="37">
        <f>IFERROR(ROUND(('DCF Model'!C45/(1+$B22)^('DCF Model'!C19+0)+'DCF Model'!D45/(1+$B22)^('DCF Model'!C19+1)+'DCF Model'!E45/(1+$B22)^('DCF Model'!C19+2)+'DCF Model'!F45/(1+$B22)^('DCF Model'!C19+3)+'DCF Model'!G45/(1+$B22)^('DCF Model'!C19+4)+('DCF Model'!G39+'DCF Model'!G42)*E$17/(1+$B22)^('DCF Model'!C19+4)-'DCF Model'!C16)*1000000/'DCF Model'!C15,0),"")</f>
        <v>4397</v>
      </c>
      <c r="F22" s="37">
        <f>IFERROR(ROUND(('DCF Model'!C45/(1+$B22)^('DCF Model'!C19+0)+'DCF Model'!D45/(1+$B22)^('DCF Model'!C19+1)+'DCF Model'!E45/(1+$B22)^('DCF Model'!C19+2)+'DCF Model'!F45/(1+$B22)^('DCF Model'!C19+3)+'DCF Model'!G45/(1+$B22)^('DCF Model'!C19+4)+('DCF Model'!G39+'DCF Model'!G42)*F$17/(1+$B22)^('DCF Model'!C19+4)-'DCF Model'!C16)*1000000/'DCF Model'!C15,0),"")</f>
        <v>4641</v>
      </c>
      <c r="G22" s="37">
        <f>IFERROR(ROUND(('DCF Model'!C45/(1+$B22)^('DCF Model'!C19+0)+'DCF Model'!D45/(1+$B22)^('DCF Model'!C19+1)+'DCF Model'!E45/(1+$B22)^('DCF Model'!C19+2)+'DCF Model'!F45/(1+$B22)^('DCF Model'!C19+3)+'DCF Model'!G45/(1+$B22)^('DCF Model'!C19+4)+('DCF Model'!G39+'DCF Model'!G42)*G$17/(1+$B22)^('DCF Model'!C19+4)-'DCF Model'!C16)*1000000/'DCF Model'!C15,0),"")</f>
        <v>4885</v>
      </c>
      <c r="H22" s="37">
        <f>IFERROR(ROUND(('DCF Model'!C45/(1+$B22)^('DCF Model'!C19+0)+'DCF Model'!D45/(1+$B22)^('DCF Model'!C19+1)+'DCF Model'!E45/(1+$B22)^('DCF Model'!C19+2)+'DCF Model'!F45/(1+$B22)^('DCF Model'!C19+3)+'DCF Model'!G45/(1+$B22)^('DCF Model'!C19+4)+('DCF Model'!G39+'DCF Model'!G42)*H$17/(1+$B22)^('DCF Model'!C19+4)-'DCF Model'!C16)*1000000/'DCF Model'!C15,0),"")</f>
        <v>5128</v>
      </c>
      <c r="I22" s="37">
        <f>IFERROR(ROUND(('DCF Model'!C45/(1+$B22)^('DCF Model'!C19+0)+'DCF Model'!D45/(1+$B22)^('DCF Model'!C19+1)+'DCF Model'!E45/(1+$B22)^('DCF Model'!C19+2)+'DCF Model'!F45/(1+$B22)^('DCF Model'!C19+3)+'DCF Model'!G45/(1+$B22)^('DCF Model'!C19+4)+('DCF Model'!G39+'DCF Model'!G42)*I$17/(1+$B22)^('DCF Model'!C19+4)-'DCF Model'!C16)*1000000/'DCF Model'!C15,0),"")</f>
        <v>5372</v>
      </c>
    </row>
    <row r="23" spans="2:9" ht="13.5" customHeight="1" x14ac:dyDescent="0.25">
      <c r="B23" s="39">
        <f>$C$3+0.01</f>
        <v>0.1353375</v>
      </c>
      <c r="C23" s="37">
        <f>IFERROR(ROUND(('DCF Model'!C45/(1+$B23)^('DCF Model'!C19+0)+'DCF Model'!D45/(1+$B23)^('DCF Model'!C19+1)+'DCF Model'!E45/(1+$B23)^('DCF Model'!C19+2)+'DCF Model'!F45/(1+$B23)^('DCF Model'!C19+3)+'DCF Model'!G45/(1+$B23)^('DCF Model'!C19+4)+('DCF Model'!G39+'DCF Model'!G42)*C$17/(1+$B23)^('DCF Model'!C19+4)-'DCF Model'!C16)*1000000/'DCF Model'!C15,0),"")</f>
        <v>3834</v>
      </c>
      <c r="D23" s="37">
        <f>IFERROR(ROUND(('DCF Model'!C45/(1+$B23)^('DCF Model'!C19+0)+'DCF Model'!D45/(1+$B23)^('DCF Model'!C19+1)+'DCF Model'!E45/(1+$B23)^('DCF Model'!C19+2)+'DCF Model'!F45/(1+$B23)^('DCF Model'!C19+3)+'DCF Model'!G45/(1+$B23)^('DCF Model'!C19+4)+('DCF Model'!G39+'DCF Model'!G42)*D$17/(1+$B23)^('DCF Model'!C19+4)-'DCF Model'!C16)*1000000/'DCF Model'!C15,0),"")</f>
        <v>4072</v>
      </c>
      <c r="E23" s="37">
        <f>IFERROR(ROUND(('DCF Model'!C45/(1+$B23)^('DCF Model'!C19+0)+'DCF Model'!D45/(1+$B23)^('DCF Model'!C19+1)+'DCF Model'!E45/(1+$B23)^('DCF Model'!C19+2)+'DCF Model'!F45/(1+$B23)^('DCF Model'!C19+3)+'DCF Model'!G45/(1+$B23)^('DCF Model'!C19+4)+('DCF Model'!G39+'DCF Model'!G42)*E$17/(1+$B23)^('DCF Model'!C19+4)-'DCF Model'!C16)*1000000/'DCF Model'!C15,0),"")</f>
        <v>4311</v>
      </c>
      <c r="F23" s="37">
        <f>IFERROR(ROUND(('DCF Model'!C45/(1+$B23)^('DCF Model'!C19+0)+'DCF Model'!D45/(1+$B23)^('DCF Model'!C19+1)+'DCF Model'!E45/(1+$B23)^('DCF Model'!C19+2)+'DCF Model'!F45/(1+$B23)^('DCF Model'!C19+3)+'DCF Model'!G45/(1+$B23)^('DCF Model'!C19+4)+('DCF Model'!G39+'DCF Model'!G42)*F$17/(1+$B23)^('DCF Model'!C19+4)-'DCF Model'!C16)*1000000/'DCF Model'!C15,0),"")</f>
        <v>4549</v>
      </c>
      <c r="G23" s="37">
        <f>IFERROR(ROUND(('DCF Model'!C45/(1+$B23)^('DCF Model'!C19+0)+'DCF Model'!D45/(1+$B23)^('DCF Model'!C19+1)+'DCF Model'!E45/(1+$B23)^('DCF Model'!C19+2)+'DCF Model'!F45/(1+$B23)^('DCF Model'!C19+3)+'DCF Model'!G45/(1+$B23)^('DCF Model'!C19+4)+('DCF Model'!G39+'DCF Model'!G42)*G$17/(1+$B23)^('DCF Model'!C19+4)-'DCF Model'!C16)*1000000/'DCF Model'!C15,0),"")</f>
        <v>4788</v>
      </c>
      <c r="H23" s="37">
        <f>IFERROR(ROUND(('DCF Model'!C45/(1+$B23)^('DCF Model'!C19+0)+'DCF Model'!D45/(1+$B23)^('DCF Model'!C19+1)+'DCF Model'!E45/(1+$B23)^('DCF Model'!C19+2)+'DCF Model'!F45/(1+$B23)^('DCF Model'!C19+3)+'DCF Model'!G45/(1+$B23)^('DCF Model'!C19+4)+('DCF Model'!G39+'DCF Model'!G42)*H$17/(1+$B23)^('DCF Model'!C19+4)-'DCF Model'!C16)*1000000/'DCF Model'!C15,0),"")</f>
        <v>5026</v>
      </c>
      <c r="I23" s="37">
        <f>IFERROR(ROUND(('DCF Model'!C45/(1+$B23)^('DCF Model'!C19+0)+'DCF Model'!D45/(1+$B23)^('DCF Model'!C19+1)+'DCF Model'!E45/(1+$B23)^('DCF Model'!C19+2)+'DCF Model'!F45/(1+$B23)^('DCF Model'!C19+3)+'DCF Model'!G45/(1+$B23)^('DCF Model'!C19+4)+('DCF Model'!G39+'DCF Model'!G42)*I$17/(1+$B23)^('DCF Model'!C19+4)-'DCF Model'!C16)*1000000/'DCF Model'!C15,0),"")</f>
        <v>5264</v>
      </c>
    </row>
    <row r="24" spans="2:9" ht="13.5" customHeight="1" x14ac:dyDescent="0.25">
      <c r="B24" s="39">
        <f>$C$3+0.015</f>
        <v>0.1403375</v>
      </c>
      <c r="C24" s="37">
        <f>IFERROR(ROUND(('DCF Model'!C45/(1+$B24)^('DCF Model'!C19+0)+'DCF Model'!D45/(1+$B24)^('DCF Model'!C19+1)+'DCF Model'!E45/(1+$B24)^('DCF Model'!C19+2)+'DCF Model'!F45/(1+$B24)^('DCF Model'!C19+3)+'DCF Model'!G45/(1+$B24)^('DCF Model'!C19+4)+('DCF Model'!G39+'DCF Model'!G42)*C$17/(1+$B24)^('DCF Model'!C19+4)-'DCF Model'!C16)*1000000/'DCF Model'!C15,0),"")</f>
        <v>3760</v>
      </c>
      <c r="D24" s="37">
        <f>IFERROR(ROUND(('DCF Model'!C45/(1+$B24)^('DCF Model'!C19+0)+'DCF Model'!D45/(1+$B24)^('DCF Model'!C19+1)+'DCF Model'!E45/(1+$B24)^('DCF Model'!C19+2)+'DCF Model'!F45/(1+$B24)^('DCF Model'!C19+3)+'DCF Model'!G45/(1+$B24)^('DCF Model'!C19+4)+('DCF Model'!G39+'DCF Model'!G42)*D$17/(1+$B24)^('DCF Model'!C19+4)-'DCF Model'!C16)*1000000/'DCF Model'!C15,0),"")</f>
        <v>3993</v>
      </c>
      <c r="E24" s="37">
        <f>IFERROR(ROUND(('DCF Model'!C45/(1+$B24)^('DCF Model'!C19+0)+'DCF Model'!D45/(1+$B24)^('DCF Model'!C19+1)+'DCF Model'!E45/(1+$B24)^('DCF Model'!C19+2)+'DCF Model'!F45/(1+$B24)^('DCF Model'!C19+3)+'DCF Model'!G45/(1+$B24)^('DCF Model'!C19+4)+('DCF Model'!G39+'DCF Model'!G42)*E$17/(1+$B24)^('DCF Model'!C19+4)-'DCF Model'!C16)*1000000/'DCF Model'!C15,0),"")</f>
        <v>4227</v>
      </c>
      <c r="F24" s="37">
        <f>IFERROR(ROUND(('DCF Model'!C45/(1+$B24)^('DCF Model'!C19+0)+'DCF Model'!D45/(1+$B24)^('DCF Model'!C19+1)+'DCF Model'!E45/(1+$B24)^('DCF Model'!C19+2)+'DCF Model'!F45/(1+$B24)^('DCF Model'!C19+3)+'DCF Model'!G45/(1+$B24)^('DCF Model'!C19+4)+('DCF Model'!G39+'DCF Model'!G42)*F$17/(1+$B24)^('DCF Model'!C19+4)-'DCF Model'!C16)*1000000/'DCF Model'!C15,0),"")</f>
        <v>4460</v>
      </c>
      <c r="G24" s="37">
        <f>IFERROR(ROUND(('DCF Model'!C45/(1+$B24)^('DCF Model'!C19+0)+'DCF Model'!D45/(1+$B24)^('DCF Model'!C19+1)+'DCF Model'!E45/(1+$B24)^('DCF Model'!C19+2)+'DCF Model'!F45/(1+$B24)^('DCF Model'!C19+3)+'DCF Model'!G45/(1+$B24)^('DCF Model'!C19+4)+('DCF Model'!G39+'DCF Model'!G42)*G$17/(1+$B24)^('DCF Model'!C19+4)-'DCF Model'!C16)*1000000/'DCF Model'!C15,0),"")</f>
        <v>4693</v>
      </c>
      <c r="H24" s="37">
        <f>IFERROR(ROUND(('DCF Model'!C45/(1+$B24)^('DCF Model'!C19+0)+'DCF Model'!D45/(1+$B24)^('DCF Model'!C19+1)+'DCF Model'!E45/(1+$B24)^('DCF Model'!C19+2)+'DCF Model'!F45/(1+$B24)^('DCF Model'!C19+3)+'DCF Model'!G45/(1+$B24)^('DCF Model'!C19+4)+('DCF Model'!G39+'DCF Model'!G42)*H$17/(1+$B24)^('DCF Model'!C19+4)-'DCF Model'!C16)*1000000/'DCF Model'!C15,0),"")</f>
        <v>4926</v>
      </c>
      <c r="I24" s="37">
        <f>IFERROR(ROUND(('DCF Model'!C45/(1+$B24)^('DCF Model'!C19+0)+'DCF Model'!D45/(1+$B24)^('DCF Model'!C19+1)+'DCF Model'!E45/(1+$B24)^('DCF Model'!C19+2)+'DCF Model'!F45/(1+$B24)^('DCF Model'!C19+3)+'DCF Model'!G45/(1+$B24)^('DCF Model'!C19+4)+('DCF Model'!G39+'DCF Model'!G42)*I$17/(1+$B24)^('DCF Model'!C19+4)-'DCF Model'!C16)*1000000/'DCF Model'!C15,0),"")</f>
        <v>5159</v>
      </c>
    </row>
    <row r="26" spans="2:9" ht="14" customHeight="1"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customHeight="1" x14ac:dyDescent="0.3">
      <c r="B12" s="8" t="s">
        <v>256</v>
      </c>
    </row>
    <row r="13" spans="2:7" ht="14" customHeight="1" x14ac:dyDescent="0.3">
      <c r="B13" s="10" t="s">
        <v>257</v>
      </c>
      <c r="C13" s="10" t="s">
        <v>258</v>
      </c>
    </row>
    <row r="14" spans="2:7" ht="14" customHeight="1" x14ac:dyDescent="0.3">
      <c r="B14" s="4" t="s">
        <v>259</v>
      </c>
      <c r="C14" t="s">
        <v>260</v>
      </c>
    </row>
    <row r="15" spans="2:7" ht="14" customHeight="1" x14ac:dyDescent="0.3">
      <c r="B15" s="4" t="s">
        <v>261</v>
      </c>
      <c r="C15" t="s">
        <v>262</v>
      </c>
    </row>
    <row r="16" spans="2:7" ht="14" customHeight="1" x14ac:dyDescent="0.3">
      <c r="B16" s="4" t="s">
        <v>263</v>
      </c>
      <c r="C16" t="s">
        <v>264</v>
      </c>
    </row>
    <row r="17" spans="2:3" ht="14" customHeight="1" x14ac:dyDescent="0.3">
      <c r="B17" s="4" t="s">
        <v>265</v>
      </c>
      <c r="C17" t="s">
        <v>262</v>
      </c>
    </row>
    <row r="18" spans="2:3" ht="14" customHeight="1" x14ac:dyDescent="0.3">
      <c r="B18" s="4" t="s">
        <v>266</v>
      </c>
      <c r="C18" t="s">
        <v>267</v>
      </c>
    </row>
    <row r="19" spans="2:3" ht="14" customHeight="1" x14ac:dyDescent="0.3">
      <c r="B19" s="4" t="s">
        <v>268</v>
      </c>
      <c r="C19" t="s">
        <v>269</v>
      </c>
    </row>
    <row r="20" spans="2:3" ht="14" customHeight="1" x14ac:dyDescent="0.3">
      <c r="B20" s="4" t="s">
        <v>270</v>
      </c>
      <c r="C20" t="s">
        <v>271</v>
      </c>
    </row>
    <row r="21" spans="2:3" ht="14" customHeight="1" x14ac:dyDescent="0.3">
      <c r="B21" s="4" t="s">
        <v>272</v>
      </c>
      <c r="C21" t="s">
        <v>273</v>
      </c>
    </row>
    <row r="22" spans="2:3" ht="14" customHeight="1" x14ac:dyDescent="0.3">
      <c r="B22" s="4" t="s">
        <v>274</v>
      </c>
      <c r="C22" t="s">
        <v>42</v>
      </c>
    </row>
    <row r="23" spans="2:3" ht="14" customHeight="1" x14ac:dyDescent="0.3">
      <c r="B23" s="4" t="s">
        <v>275</v>
      </c>
      <c r="C23" t="s">
        <v>4</v>
      </c>
    </row>
    <row r="24" spans="2:3" ht="14" customHeight="1" x14ac:dyDescent="0.3">
      <c r="B24" s="4" t="s">
        <v>276</v>
      </c>
      <c r="C24" t="s">
        <v>246</v>
      </c>
    </row>
    <row r="25" spans="2:3" ht="14" customHeight="1" x14ac:dyDescent="0.3">
      <c r="B25" s="4" t="s">
        <v>277</v>
      </c>
      <c r="C25" t="s">
        <v>278</v>
      </c>
    </row>
    <row r="26" spans="2:3" ht="14" customHeight="1" x14ac:dyDescent="0.3">
      <c r="B26" s="4" t="s">
        <v>279</v>
      </c>
      <c r="C26" t="s">
        <v>267</v>
      </c>
    </row>
    <row r="27" spans="2:3" ht="14" customHeight="1" x14ac:dyDescent="0.3">
      <c r="B27" s="4" t="s">
        <v>280</v>
      </c>
      <c r="C27" t="s">
        <v>267</v>
      </c>
    </row>
    <row r="28" spans="2:3" ht="14" customHeight="1" x14ac:dyDescent="0.3">
      <c r="B28" s="4" t="s">
        <v>281</v>
      </c>
      <c r="C28" t="s">
        <v>282</v>
      </c>
    </row>
    <row r="29" spans="2:3" ht="14" customHeight="1" x14ac:dyDescent="0.3">
      <c r="B29" s="4" t="s">
        <v>283</v>
      </c>
      <c r="C29" t="s">
        <v>284</v>
      </c>
    </row>
    <row r="30" spans="2:3" ht="14" customHeight="1" x14ac:dyDescent="0.3">
      <c r="B30" s="4" t="s">
        <v>285</v>
      </c>
      <c r="C30" t="s">
        <v>286</v>
      </c>
    </row>
    <row r="31" spans="2:3" ht="14" customHeight="1" x14ac:dyDescent="0.3">
      <c r="B31" s="4" t="s">
        <v>287</v>
      </c>
      <c r="C31" t="s">
        <v>282</v>
      </c>
    </row>
    <row r="32" spans="2:3" ht="14" customHeight="1" x14ac:dyDescent="0.3">
      <c r="B32" s="4" t="s">
        <v>288</v>
      </c>
      <c r="C32" t="s">
        <v>267</v>
      </c>
    </row>
    <row r="33" spans="2:3" ht="14" customHeight="1" x14ac:dyDescent="0.3">
      <c r="B33" s="4" t="s">
        <v>289</v>
      </c>
      <c r="C33" t="s">
        <v>278</v>
      </c>
    </row>
    <row r="34" spans="2:3" ht="14" customHeight="1" x14ac:dyDescent="0.3">
      <c r="B34" s="4" t="s">
        <v>290</v>
      </c>
      <c r="C34" t="s">
        <v>291</v>
      </c>
    </row>
    <row r="35" spans="2:3" ht="14" customHeight="1" x14ac:dyDescent="0.3">
      <c r="B35" s="4" t="s">
        <v>292</v>
      </c>
      <c r="C35" t="s">
        <v>293</v>
      </c>
    </row>
    <row r="36" spans="2:3" ht="14" customHeight="1" x14ac:dyDescent="0.3">
      <c r="B36" s="4" t="s">
        <v>294</v>
      </c>
      <c r="C36" t="s">
        <v>295</v>
      </c>
    </row>
    <row r="37" spans="2:3" ht="14" customHeight="1" x14ac:dyDescent="0.3">
      <c r="B37" s="4" t="s">
        <v>296</v>
      </c>
      <c r="C37" t="s">
        <v>297</v>
      </c>
    </row>
    <row r="38" spans="2:3" ht="14" customHeight="1" x14ac:dyDescent="0.3">
      <c r="B38" s="4" t="s">
        <v>298</v>
      </c>
      <c r="C38" t="s">
        <v>299</v>
      </c>
    </row>
    <row r="39" spans="2:3" ht="14" customHeight="1" x14ac:dyDescent="0.3">
      <c r="B39" s="4" t="s">
        <v>300</v>
      </c>
      <c r="C39" t="s">
        <v>301</v>
      </c>
    </row>
    <row r="40" spans="2:3" ht="14" customHeight="1" x14ac:dyDescent="0.3">
      <c r="B40" s="4" t="s">
        <v>302</v>
      </c>
      <c r="C40" t="s">
        <v>271</v>
      </c>
    </row>
    <row r="41" spans="2:3" ht="14" customHeight="1" x14ac:dyDescent="0.3">
      <c r="B41" s="4" t="s">
        <v>303</v>
      </c>
      <c r="C41" t="s">
        <v>304</v>
      </c>
    </row>
    <row r="42" spans="2:3" ht="14" customHeight="1" x14ac:dyDescent="0.3">
      <c r="B42" s="4" t="s">
        <v>305</v>
      </c>
      <c r="C42" t="s">
        <v>306</v>
      </c>
    </row>
    <row r="43" spans="2:3" ht="14" customHeight="1" x14ac:dyDescent="0.3">
      <c r="B43" s="4" t="s">
        <v>307</v>
      </c>
      <c r="C43" t="s">
        <v>308</v>
      </c>
    </row>
    <row r="44" spans="2:3" ht="14" customHeight="1" x14ac:dyDescent="0.3">
      <c r="B44" s="4" t="s">
        <v>309</v>
      </c>
      <c r="C44" t="s">
        <v>310</v>
      </c>
    </row>
    <row r="45" spans="2:3" ht="14" customHeight="1" x14ac:dyDescent="0.3">
      <c r="B45" s="4" t="s">
        <v>311</v>
      </c>
      <c r="C45" t="s">
        <v>312</v>
      </c>
    </row>
    <row r="46" spans="2:3" ht="14" customHeight="1" x14ac:dyDescent="0.3">
      <c r="B46" s="4" t="s">
        <v>313</v>
      </c>
      <c r="C46" t="s">
        <v>314</v>
      </c>
    </row>
    <row r="47" spans="2:3" ht="14" customHeight="1" x14ac:dyDescent="0.3">
      <c r="B47" s="4" t="s">
        <v>315</v>
      </c>
      <c r="C47" t="s">
        <v>316</v>
      </c>
    </row>
    <row r="48" spans="2:3" ht="14" customHeight="1" x14ac:dyDescent="0.3">
      <c r="B48" s="4" t="s">
        <v>317</v>
      </c>
      <c r="C48" t="s">
        <v>318</v>
      </c>
    </row>
    <row r="49" spans="2:3" ht="14" customHeight="1" x14ac:dyDescent="0.3">
      <c r="B49" s="4" t="s">
        <v>319</v>
      </c>
      <c r="C49" t="s">
        <v>320</v>
      </c>
    </row>
    <row r="50" spans="2:3" ht="14" customHeight="1" x14ac:dyDescent="0.3">
      <c r="B50" s="4" t="s">
        <v>321</v>
      </c>
      <c r="C50" t="s">
        <v>322</v>
      </c>
    </row>
    <row r="51" spans="2:3" ht="14" customHeight="1" x14ac:dyDescent="0.3">
      <c r="B51" s="4" t="s">
        <v>323</v>
      </c>
      <c r="C51" t="s">
        <v>324</v>
      </c>
    </row>
    <row r="52" spans="2:3" ht="14" customHeight="1" x14ac:dyDescent="0.3">
      <c r="B52" s="4" t="s">
        <v>325</v>
      </c>
      <c r="C52" t="s">
        <v>326</v>
      </c>
    </row>
    <row r="53" spans="2:3" ht="14" customHeight="1" x14ac:dyDescent="0.3">
      <c r="B53" s="4" t="s">
        <v>327</v>
      </c>
      <c r="C53" t="s">
        <v>328</v>
      </c>
    </row>
    <row r="54" spans="2:3" ht="14" customHeight="1" x14ac:dyDescent="0.3">
      <c r="B54" s="4" t="s">
        <v>329</v>
      </c>
      <c r="C54" t="s">
        <v>330</v>
      </c>
    </row>
    <row r="55" spans="2:3" ht="14" customHeight="1" x14ac:dyDescent="0.3">
      <c r="B55" s="4" t="s">
        <v>331</v>
      </c>
      <c r="C55" t="s">
        <v>332</v>
      </c>
    </row>
    <row r="56" spans="2:3" ht="14" customHeight="1" x14ac:dyDescent="0.3">
      <c r="B56" s="4" t="s">
        <v>333</v>
      </c>
      <c r="C56" t="s">
        <v>334</v>
      </c>
    </row>
    <row r="57" spans="2:3" ht="14" customHeight="1" x14ac:dyDescent="0.3">
      <c r="B57" s="4" t="s">
        <v>335</v>
      </c>
      <c r="C57" t="s">
        <v>336</v>
      </c>
    </row>
    <row r="58" spans="2:3" ht="14" customHeight="1" x14ac:dyDescent="0.3">
      <c r="B58" s="4" t="s">
        <v>337</v>
      </c>
      <c r="C58" t="s">
        <v>338</v>
      </c>
    </row>
    <row r="59" spans="2:3" ht="14" customHeight="1" x14ac:dyDescent="0.3">
      <c r="B59" s="4" t="s">
        <v>339</v>
      </c>
      <c r="C59" t="s">
        <v>340</v>
      </c>
    </row>
    <row r="60" spans="2:3" ht="14" customHeight="1"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2026-09-06T10:14:26Z</dcterms:created>
  <dcterms:modified xsi:type="dcterms:W3CDTF">2026-09-06T10:46:10Z</dcterms:modified>
</cp:coreProperties>
</file>