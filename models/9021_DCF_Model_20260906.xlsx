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7D858847-8368-4EE1-8BA6-5EAE2C97CA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6" i="7" l="1"/>
  <c r="I3" i="7"/>
  <c r="F3" i="7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E17" i="6" s="1"/>
  <c r="J7" i="6"/>
  <c r="O6" i="6"/>
  <c r="N6" i="6"/>
  <c r="M6" i="6"/>
  <c r="L6" i="6"/>
  <c r="K6" i="6"/>
  <c r="J6" i="6"/>
  <c r="O5" i="6"/>
  <c r="N5" i="6"/>
  <c r="D5" i="6"/>
  <c r="E5" i="6" s="1"/>
  <c r="J5" i="6" s="1"/>
  <c r="C16" i="5"/>
  <c r="C14" i="5"/>
  <c r="C7" i="5"/>
  <c r="C6" i="5"/>
  <c r="C5" i="5"/>
  <c r="C13" i="4"/>
  <c r="C12" i="4"/>
  <c r="C9" i="4"/>
  <c r="C7" i="4"/>
  <c r="C6" i="4"/>
  <c r="C8" i="4" s="1"/>
  <c r="C10" i="4" s="1"/>
  <c r="D27" i="3"/>
  <c r="G5" i="5" s="1"/>
  <c r="C25" i="3"/>
  <c r="C24" i="3"/>
  <c r="C23" i="3"/>
  <c r="C26" i="3" s="1"/>
  <c r="H36" i="4" s="1"/>
  <c r="F28" i="2"/>
  <c r="E28" i="2"/>
  <c r="D28" i="2"/>
  <c r="C28" i="2"/>
  <c r="F23" i="2"/>
  <c r="E23" i="2"/>
  <c r="D23" i="2"/>
  <c r="C23" i="2"/>
  <c r="F22" i="2"/>
  <c r="F21" i="2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D9" i="2"/>
  <c r="F8" i="2"/>
  <c r="F9" i="2" s="1"/>
  <c r="E8" i="2"/>
  <c r="E9" i="2" s="1"/>
  <c r="D8" i="2"/>
  <c r="C8" i="2"/>
  <c r="C9" i="2" s="1"/>
  <c r="H46" i="4" l="1"/>
  <c r="H43" i="4"/>
  <c r="K5" i="6"/>
  <c r="F17" i="6"/>
  <c r="L5" i="6"/>
  <c r="I16" i="6"/>
  <c r="E16" i="6"/>
  <c r="I15" i="6"/>
  <c r="H5" i="5"/>
  <c r="D16" i="6"/>
  <c r="C27" i="6" s="1"/>
  <c r="C18" i="1" s="1"/>
  <c r="D18" i="1" s="1"/>
  <c r="C30" i="3"/>
  <c r="C33" i="3" s="1"/>
  <c r="D7" i="5"/>
  <c r="E7" i="5"/>
  <c r="D30" i="3"/>
  <c r="F31" i="3"/>
  <c r="C18" i="5"/>
  <c r="E15" i="6"/>
  <c r="G31" i="3"/>
  <c r="H40" i="4"/>
  <c r="H44" i="4"/>
  <c r="H38" i="4"/>
  <c r="H48" i="4" s="1"/>
  <c r="H53" i="4" s="1"/>
  <c r="H41" i="4"/>
  <c r="H51" i="4" s="1"/>
  <c r="H56" i="4" s="1"/>
  <c r="H45" i="4"/>
  <c r="H39" i="4"/>
  <c r="C71" i="4"/>
  <c r="C70" i="4"/>
  <c r="H15" i="6"/>
  <c r="H16" i="6"/>
  <c r="H17" i="6"/>
  <c r="D17" i="6"/>
  <c r="F15" i="6"/>
  <c r="C3" i="7"/>
  <c r="G36" i="4"/>
  <c r="C11" i="4"/>
  <c r="C24" i="4" s="1"/>
  <c r="C25" i="4" s="1"/>
  <c r="G46" i="3"/>
  <c r="F36" i="4"/>
  <c r="F46" i="3"/>
  <c r="E36" i="4"/>
  <c r="E46" i="3"/>
  <c r="D36" i="4"/>
  <c r="D46" i="3"/>
  <c r="C46" i="3"/>
  <c r="F16" i="6"/>
  <c r="C28" i="6" s="1"/>
  <c r="C19" i="1" s="1"/>
  <c r="D19" i="1" s="1"/>
  <c r="H6" i="7"/>
  <c r="G6" i="7"/>
  <c r="F6" i="7"/>
  <c r="E6" i="7"/>
  <c r="D6" i="7"/>
  <c r="C6" i="7"/>
  <c r="D9" i="5"/>
  <c r="C42" i="3"/>
  <c r="C34" i="3"/>
  <c r="C37" i="3"/>
  <c r="D33" i="3"/>
  <c r="G15" i="6"/>
  <c r="G16" i="6"/>
  <c r="G17" i="6"/>
  <c r="I17" i="7"/>
  <c r="H17" i="7"/>
  <c r="G17" i="7"/>
  <c r="F17" i="7"/>
  <c r="E17" i="7"/>
  <c r="D17" i="7"/>
  <c r="C17" i="7"/>
  <c r="F7" i="5"/>
  <c r="C32" i="3"/>
  <c r="D6" i="5"/>
  <c r="M5" i="6"/>
  <c r="F30" i="3"/>
  <c r="D32" i="3"/>
  <c r="E6" i="5"/>
  <c r="G7" i="5"/>
  <c r="D15" i="6"/>
  <c r="E30" i="3"/>
  <c r="G30" i="3"/>
  <c r="E32" i="3"/>
  <c r="D5" i="5"/>
  <c r="F6" i="5"/>
  <c r="H7" i="5"/>
  <c r="I17" i="6"/>
  <c r="C31" i="3"/>
  <c r="F32" i="3"/>
  <c r="G6" i="5"/>
  <c r="E5" i="5"/>
  <c r="D31" i="3"/>
  <c r="G32" i="3"/>
  <c r="F5" i="5"/>
  <c r="H6" i="5"/>
  <c r="E31" i="3"/>
  <c r="D12" i="5" l="1"/>
  <c r="H50" i="4"/>
  <c r="H55" i="4" s="1"/>
  <c r="C74" i="4"/>
  <c r="H49" i="4"/>
  <c r="H54" i="4" s="1"/>
  <c r="C29" i="4"/>
  <c r="C27" i="4"/>
  <c r="C26" i="4"/>
  <c r="E39" i="4"/>
  <c r="E49" i="4" s="1"/>
  <c r="E54" i="4" s="1"/>
  <c r="E43" i="4"/>
  <c r="E46" i="4"/>
  <c r="E40" i="4"/>
  <c r="E44" i="4"/>
  <c r="E38" i="4"/>
  <c r="E41" i="4"/>
  <c r="E45" i="4"/>
  <c r="F43" i="4"/>
  <c r="F46" i="4"/>
  <c r="F40" i="4"/>
  <c r="F44" i="4"/>
  <c r="F38" i="4"/>
  <c r="F41" i="4"/>
  <c r="F39" i="4"/>
  <c r="F49" i="4" s="1"/>
  <c r="F45" i="4"/>
  <c r="D10" i="5"/>
  <c r="C35" i="3"/>
  <c r="D45" i="4"/>
  <c r="D39" i="4"/>
  <c r="D43" i="4"/>
  <c r="D46" i="4"/>
  <c r="D40" i="4"/>
  <c r="D50" i="4" s="1"/>
  <c r="D55" i="4" s="1"/>
  <c r="D44" i="4"/>
  <c r="D41" i="4"/>
  <c r="D51" i="4" s="1"/>
  <c r="D56" i="4" s="1"/>
  <c r="D38" i="4"/>
  <c r="B24" i="7"/>
  <c r="B10" i="7"/>
  <c r="B21" i="7"/>
  <c r="B7" i="7"/>
  <c r="B23" i="7"/>
  <c r="B22" i="7"/>
  <c r="B13" i="7"/>
  <c r="B9" i="7"/>
  <c r="B19" i="7"/>
  <c r="B20" i="7"/>
  <c r="B12" i="7"/>
  <c r="B8" i="7"/>
  <c r="B18" i="7"/>
  <c r="B11" i="7"/>
  <c r="G46" i="4"/>
  <c r="G40" i="4"/>
  <c r="G44" i="4"/>
  <c r="G38" i="4"/>
  <c r="G41" i="4"/>
  <c r="G45" i="4"/>
  <c r="G39" i="4"/>
  <c r="G49" i="4" s="1"/>
  <c r="G54" i="4" s="1"/>
  <c r="G43" i="4"/>
  <c r="E9" i="5"/>
  <c r="E12" i="5" s="1"/>
  <c r="D42" i="3"/>
  <c r="D34" i="3"/>
  <c r="E10" i="5" s="1"/>
  <c r="D37" i="3"/>
  <c r="D35" i="3"/>
  <c r="E33" i="3"/>
  <c r="F50" i="4" l="1"/>
  <c r="F55" i="4" s="1"/>
  <c r="G50" i="4"/>
  <c r="G55" i="4" s="1"/>
  <c r="D48" i="4"/>
  <c r="D53" i="4" s="1"/>
  <c r="C36" i="3"/>
  <c r="C39" i="3"/>
  <c r="C38" i="3"/>
  <c r="D15" i="5"/>
  <c r="D16" i="5" s="1"/>
  <c r="D13" i="5"/>
  <c r="D14" i="5" s="1"/>
  <c r="D18" i="5" s="1"/>
  <c r="D19" i="5" s="1"/>
  <c r="C44" i="3" s="1"/>
  <c r="F54" i="4"/>
  <c r="B78" i="4" s="1"/>
  <c r="C60" i="4"/>
  <c r="E51" i="4"/>
  <c r="E56" i="4" s="1"/>
  <c r="D36" i="3"/>
  <c r="D39" i="3"/>
  <c r="D38" i="3"/>
  <c r="F51" i="4"/>
  <c r="F56" i="4" s="1"/>
  <c r="E48" i="4"/>
  <c r="E53" i="4" s="1"/>
  <c r="F9" i="5"/>
  <c r="F12" i="5" s="1"/>
  <c r="E42" i="3"/>
  <c r="E34" i="3"/>
  <c r="F10" i="5" s="1"/>
  <c r="E37" i="3"/>
  <c r="F33" i="3"/>
  <c r="E35" i="3"/>
  <c r="G48" i="4"/>
  <c r="G53" i="4" s="1"/>
  <c r="D49" i="4"/>
  <c r="D54" i="4" s="1"/>
  <c r="F48" i="4"/>
  <c r="F53" i="4" s="1"/>
  <c r="G51" i="4"/>
  <c r="G56" i="4" s="1"/>
  <c r="E13" i="5"/>
  <c r="E14" i="5" s="1"/>
  <c r="E18" i="5" s="1"/>
  <c r="E15" i="5"/>
  <c r="E16" i="5" s="1"/>
  <c r="E50" i="4"/>
  <c r="E55" i="4" s="1"/>
  <c r="F42" i="3" l="1"/>
  <c r="F34" i="3"/>
  <c r="G10" i="5" s="1"/>
  <c r="F37" i="3"/>
  <c r="F35" i="3"/>
  <c r="G33" i="3"/>
  <c r="G9" i="5"/>
  <c r="G12" i="5" s="1"/>
  <c r="D40" i="3"/>
  <c r="D41" i="3" s="1"/>
  <c r="D45" i="3" s="1"/>
  <c r="D47" i="3" s="1"/>
  <c r="E39" i="3"/>
  <c r="E38" i="3"/>
  <c r="E36" i="3"/>
  <c r="F13" i="5"/>
  <c r="F15" i="5"/>
  <c r="F16" i="5" s="1"/>
  <c r="C40" i="3"/>
  <c r="C41" i="3" s="1"/>
  <c r="C45" i="3" s="1"/>
  <c r="E19" i="5"/>
  <c r="D44" i="3" s="1"/>
  <c r="F14" i="5"/>
  <c r="F18" i="5" s="1"/>
  <c r="F19" i="5" s="1"/>
  <c r="E44" i="3" s="1"/>
  <c r="C65" i="4"/>
  <c r="D65" i="4" s="1"/>
  <c r="C64" i="4"/>
  <c r="D64" i="4" s="1"/>
  <c r="C67" i="4"/>
  <c r="D67" i="4" s="1"/>
  <c r="C63" i="4"/>
  <c r="D63" i="4" s="1"/>
  <c r="C66" i="4"/>
  <c r="D66" i="4" s="1"/>
  <c r="C47" i="3" l="1"/>
  <c r="G37" i="3"/>
  <c r="C16" i="4"/>
  <c r="C28" i="4" s="1"/>
  <c r="G34" i="3"/>
  <c r="H10" i="5" s="1"/>
  <c r="G42" i="3"/>
  <c r="H9" i="5"/>
  <c r="H12" i="5" s="1"/>
  <c r="E40" i="3"/>
  <c r="E41" i="3" s="1"/>
  <c r="E45" i="3" s="1"/>
  <c r="F38" i="3"/>
  <c r="F39" i="3"/>
  <c r="F36" i="3"/>
  <c r="G13" i="5"/>
  <c r="G14" i="5" s="1"/>
  <c r="G15" i="5"/>
  <c r="G16" i="5" s="1"/>
  <c r="G18" i="5" l="1"/>
  <c r="G19" i="5" s="1"/>
  <c r="F44" i="3" s="1"/>
  <c r="E47" i="3"/>
  <c r="H15" i="5"/>
  <c r="H16" i="5" s="1"/>
  <c r="H13" i="5"/>
  <c r="C72" i="4"/>
  <c r="C73" i="4"/>
  <c r="H14" i="5"/>
  <c r="H18" i="5" s="1"/>
  <c r="H19" i="5" s="1"/>
  <c r="G44" i="3" s="1"/>
  <c r="F40" i="3"/>
  <c r="F41" i="3" s="1"/>
  <c r="F45" i="3" s="1"/>
  <c r="F47" i="3" s="1"/>
  <c r="G35" i="3"/>
  <c r="G38" i="3" l="1"/>
  <c r="G36" i="3"/>
  <c r="G39" i="3"/>
  <c r="G40" i="3" l="1"/>
  <c r="C59" i="3"/>
  <c r="C60" i="3" s="1"/>
  <c r="C61" i="3" s="1"/>
  <c r="G41" i="3"/>
  <c r="G45" i="3" s="1"/>
  <c r="C51" i="3" l="1"/>
  <c r="C52" i="3" s="1"/>
  <c r="G47" i="3"/>
  <c r="C50" i="3" s="1"/>
  <c r="G12" i="7"/>
  <c r="C8" i="7"/>
  <c r="C19" i="7"/>
  <c r="F18" i="7"/>
  <c r="E12" i="7"/>
  <c r="C7" i="7"/>
  <c r="C9" i="7"/>
  <c r="C11" i="7"/>
  <c r="G24" i="7"/>
  <c r="G22" i="7"/>
  <c r="F9" i="7"/>
  <c r="E19" i="7"/>
  <c r="G9" i="7"/>
  <c r="I12" i="7"/>
  <c r="C24" i="7"/>
  <c r="I13" i="7"/>
  <c r="I24" i="7"/>
  <c r="G11" i="7"/>
  <c r="C12" i="7"/>
  <c r="D19" i="7"/>
  <c r="D23" i="7"/>
  <c r="G20" i="7"/>
  <c r="G21" i="7"/>
  <c r="F8" i="7"/>
  <c r="H19" i="7"/>
  <c r="F19" i="7"/>
  <c r="D24" i="7"/>
  <c r="G10" i="7"/>
  <c r="H18" i="7"/>
  <c r="F10" i="7"/>
  <c r="D10" i="7"/>
  <c r="F20" i="7"/>
  <c r="H9" i="7"/>
  <c r="G18" i="7"/>
  <c r="D20" i="7"/>
  <c r="E11" i="7"/>
  <c r="D9" i="7"/>
  <c r="H10" i="7"/>
  <c r="H22" i="7"/>
  <c r="E21" i="7"/>
  <c r="I11" i="7"/>
  <c r="D13" i="7"/>
  <c r="I23" i="7"/>
  <c r="I9" i="7"/>
  <c r="C18" i="7"/>
  <c r="G8" i="7"/>
  <c r="F21" i="7"/>
  <c r="D11" i="7"/>
  <c r="H23" i="7"/>
  <c r="G19" i="7"/>
  <c r="E22" i="7"/>
  <c r="C22" i="7"/>
  <c r="I8" i="7"/>
  <c r="E8" i="7"/>
  <c r="G13" i="7"/>
  <c r="F24" i="7"/>
  <c r="I20" i="7"/>
  <c r="D21" i="7"/>
  <c r="C13" i="7"/>
  <c r="E10" i="7"/>
  <c r="E18" i="7"/>
  <c r="I22" i="7"/>
  <c r="E7" i="7"/>
  <c r="G7" i="7"/>
  <c r="G23" i="7"/>
  <c r="E13" i="7"/>
  <c r="I18" i="7"/>
  <c r="E9" i="7"/>
  <c r="H8" i="7"/>
  <c r="D22" i="7"/>
  <c r="H24" i="7"/>
  <c r="H20" i="7"/>
  <c r="C20" i="7"/>
  <c r="C23" i="7"/>
  <c r="H13" i="7"/>
  <c r="F7" i="7"/>
  <c r="C21" i="7"/>
  <c r="F12" i="7"/>
  <c r="H12" i="7"/>
  <c r="E24" i="7"/>
  <c r="C10" i="7"/>
  <c r="F11" i="7"/>
  <c r="F22" i="7"/>
  <c r="H7" i="7"/>
  <c r="E20" i="7"/>
  <c r="D12" i="7"/>
  <c r="D18" i="7"/>
  <c r="E23" i="7"/>
  <c r="F23" i="7"/>
  <c r="H21" i="7"/>
  <c r="H11" i="7"/>
  <c r="D8" i="7"/>
  <c r="I21" i="7"/>
  <c r="I10" i="7"/>
  <c r="I7" i="7"/>
  <c r="D7" i="7"/>
  <c r="I19" i="7"/>
  <c r="F13" i="7"/>
  <c r="C58" i="3" l="1"/>
  <c r="C62" i="3" s="1"/>
  <c r="C53" i="3"/>
  <c r="C17" i="4" l="1"/>
  <c r="C54" i="3"/>
  <c r="C55" i="3" s="1"/>
  <c r="C16" i="1" s="1"/>
  <c r="C63" i="3"/>
  <c r="C64" i="3" s="1"/>
  <c r="C17" i="1" s="1"/>
  <c r="D17" i="1" s="1"/>
  <c r="C19" i="4" l="1"/>
  <c r="C20" i="4" s="1"/>
  <c r="B79" i="4" s="1"/>
  <c r="C21" i="1"/>
  <c r="D16" i="1"/>
  <c r="C10" i="1"/>
  <c r="C12" i="1" s="1"/>
  <c r="C11" i="1" s="1"/>
</calcChain>
</file>

<file path=xl/sharedStrings.xml><?xml version="1.0" encoding="utf-8"?>
<sst xmlns="http://schemas.openxmlformats.org/spreadsheetml/2006/main" count="445" uniqueCount="361">
  <si>
    <t>DISCLAIMER: This is a sample analysis for demonstration purposes only. It does not constitute investment advice.</t>
  </si>
  <si>
    <t>西日本旅客鉄道 (9021.T)</t>
  </si>
  <si>
    <t>Equity Research Report</t>
  </si>
  <si>
    <t>Company</t>
  </si>
  <si>
    <t>西日本旅客鉄道</t>
  </si>
  <si>
    <t>Ticker</t>
  </si>
  <si>
    <t>9021.T (TSE Prime)</t>
  </si>
  <si>
    <t>Sector</t>
  </si>
  <si>
    <t>陸運業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</si>
  <si>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</si>
  <si>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</si>
  <si>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</si>
  <si>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</si>
  <si>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</si>
  <si>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</si>
  <si>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</si>
  <si>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</si>
  <si>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</si>
  <si>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</si>
  <si>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</si>
  <si>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</si>
  <si>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</si>
  <si>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</si>
  <si>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</si>
  <si>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</si>
  <si>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</si>
  <si>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</si>
  <si>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</si>
  <si>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</si>
  <si>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</si>
  <si>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</si>
  <si>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西日本旅客鉄道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</si>
  <si>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</si>
  <si>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</si>
  <si>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</si>
  <si>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</si>
  <si>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</si>
  <si>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</si>
  <si>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</si>
  <si>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</si>
  <si>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</si>
  <si>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</si>
  <si>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</si>
  <si>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</si>
  <si>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</si>
  <si>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</si>
  <si>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</si>
  <si>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</si>
  <si>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</si>
  <si>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</si>
  <si>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</si>
  <si>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</si>
  <si>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</si>
  <si>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</si>
  <si>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</si>
  <si>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</si>
  <si>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</si>
  <si>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</si>
  <si>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</si>
  <si>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</si>
  <si>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西日本旅客鉄道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</si>
  <si>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</si>
  <si>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</si>
  <si>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</si>
  <si>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</si>
  <si>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</si>
  <si>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</si>
  <si>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</si>
  <si>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</si>
  <si>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</si>
  <si>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</si>
  <si>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</si>
  <si>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</si>
  <si>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</si>
  <si>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</si>
  <si>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</si>
  <si>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</si>
  <si>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</si>
  <si>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</si>
  <si>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</si>
  <si>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</si>
  <si>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</si>
  <si>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</si>
  <si>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</si>
  <si>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</si>
  <si>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</si>
  <si>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</si>
  <si>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</si>
  <si>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</si>
  <si>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</si>
  <si>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</si>
  <si>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</si>
  <si>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</si>
  <si>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</si>
  <si>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</si>
  <si>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</si>
  <si>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</si>
  <si>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</si>
  <si>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</si>
  <si>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</si>
  <si>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</si>
  <si>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</si>
  <si>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</si>
  <si>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</si>
  <si>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</si>
  <si>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</si>
  <si>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</si>
  <si>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</si>
  <si>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</si>
  <si>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</si>
  <si>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</si>
  <si>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</si>
  <si>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</si>
  <si>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</si>
  <si>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</si>
  <si>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</si>
  <si>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</si>
  <si>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</si>
  <si>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</si>
  <si>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</si>
  <si>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</si>
  <si>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</si>
  <si>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</si>
  <si>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</si>
  <si>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</si>
  <si>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西日本旅客鉄道 (9021.T)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</si>
  <si>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</si>
  <si>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</si>
  <si>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</si>
  <si>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</si>
  <si>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</si>
  <si>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</si>
  <si>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</si>
  <si>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</si>
  <si>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</si>
  <si>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</si>
  <si>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</si>
  <si>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</si>
  <si>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</si>
  <si>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</si>
  <si>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</si>
  <si>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</si>
  <si>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</si>
  <si>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</si>
  <si>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</si>
  <si>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</si>
  <si>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</si>
  <si>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</si>
  <si>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</si>
  <si>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</si>
  <si>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</si>
  <si>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</si>
  <si>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</si>
  <si>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</si>
  <si>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</si>
  <si>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</si>
  <si>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</si>
  <si>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</si>
  <si>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</si>
  <si>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</si>
  <si>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</si>
  <si>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</si>
  <si>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</si>
  <si>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</si>
  <si>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</si>
  <si>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</si>
  <si>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</si>
  <si>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</si>
  <si>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</si>
  <si>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</si>
  <si>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</si>
  <si>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</si>
  <si>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</si>
  <si>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</si>
  <si>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</si>
  <si>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</si>
  <si>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</si>
  <si>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西日本旅客鉄道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</si>
  <si>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</si>
  <si>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</si>
  <si>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</si>
  <si>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</si>
  <si>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</si>
  <si>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</si>
  <si>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</si>
  <si>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</si>
  <si>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</si>
  <si>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</si>
  <si>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</si>
  <si>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</si>
  <si>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</si>
  <si>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</si>
  <si>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</si>
  <si>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</si>
  <si>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</si>
  <si>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</si>
  <si>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</si>
  <si>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</si>
  <si>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</si>
  <si>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</si>
  <si>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</si>
  <si>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</si>
  <si>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</si>
  <si>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</si>
  <si>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</si>
  <si>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</si>
  <si>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</si>
  <si>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</si>
  <si>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</si>
  <si>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</si>
  <si>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</si>
  <si>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</si>
  <si>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West Japan Railway Company</t>
  </si>
  <si>
    <t>9021.T</t>
  </si>
  <si>
    <t>East Japan Railway Company</t>
  </si>
  <si>
    <t>9020.T</t>
  </si>
  <si>
    <t>Central Japan Railway Company</t>
  </si>
  <si>
    <t>9022.T</t>
  </si>
  <si>
    <t>Hankyu Hanshin Holdings, Inc.</t>
  </si>
  <si>
    <t>9042.T</t>
  </si>
  <si>
    <t>Tokyu Corporation</t>
  </si>
  <si>
    <t>9005.T</t>
  </si>
  <si>
    <t>Yamato Holdings Co., Ltd.</t>
  </si>
  <si>
    <t>9064.T</t>
  </si>
  <si>
    <t>Statistics</t>
  </si>
  <si>
    <t>25th Percentile</t>
  </si>
  <si>
    <t>Median (50th)</t>
  </si>
  <si>
    <t>75th Percentile</t>
  </si>
  <si>
    <t>Implied Valuation for 西日本旅客鉄道</t>
  </si>
  <si>
    <t>西日本旅客鉄道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</si>
  <si>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</si>
  <si>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</si>
  <si>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</si>
  <si>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</si>
  <si>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</si>
  <si>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</si>
  <si>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</si>
  <si>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</si>
  <si>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</si>
  <si>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</si>
  <si>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</si>
  <si>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</si>
  <si>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</si>
  <si>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</si>
  <si>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</si>
  <si>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西日本旅客鉄道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</si>
  <si>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</si>
  <si>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</si>
  <si>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</si>
  <si>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</si>
  <si>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</si>
  <si>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</si>
  <si>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</si>
  <si>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</si>
  <si>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19:30, template rev 63983ab</t>
  </si>
  <si>
    <t>初期生成（手修正なし）</t>
  </si>
  <si>
    <t>generated</t>
  </si>
  <si>
    <t>DCF Model!C11</t>
  </si>
  <si>
    <t>After-tax Cost of Debt = 1.09% (実績ベース)</t>
  </si>
  <si>
    <t>実績Kd = 支払利息21,736 ÷ 平均有利子負債1,492,446(期首1,443,294/期末1,541,599、debt_beginning/debt_ending) = 税引前1.46% × (1−25.0%) = 1.09%。【マージナルコスト注記】これは既存借入の実績平均コストであり、新規調達の限界コストではない。テンプレ既定(税引前2.8%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</si>
  <si>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</si>
  <si>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</si>
  <si>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</si>
  <si>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0.490（採用値）</t>
  </si>
  <si>
    <t>実測β(raw) = 0.238 → Blume調整 0.67×raw + 0.33×1.00 = 0.490 → 採用 0.490。クランプ域 [0.3, 2.0] の内側。置換なし。回帰βは平均回帰するため Blume 調整を既定とする（2026-09-05 バッチで85件中57件が旧下限 0.60 に張り付き、両裾の歪みが実証された）。</t>
  </si>
  <si>
    <t>実測 0.238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</si>
  <si>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</si>
  <si>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</si>
  <si>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</si>
  <si>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</si>
  <si>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</si>
  <si>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</si>
  <si>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</si>
  <si>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0.4896</t>
  </si>
  <si>
    <t>beta_basis</t>
  </si>
  <si>
    <t>Blume: 0.67 x 0.238 + 0.33 x 1.00 = 0.490</t>
  </si>
  <si>
    <t>beta_blume_adjusted</t>
  </si>
  <si>
    <t>beta_clamped</t>
  </si>
  <si>
    <t>no</t>
  </si>
  <si>
    <t>beta_raw</t>
  </si>
  <si>
    <t>0.2382</t>
  </si>
  <si>
    <t>capex_pct_basis</t>
  </si>
  <si>
    <t>explicit_override</t>
  </si>
  <si>
    <t>capex_pct_c5</t>
  </si>
  <si>
    <t>0.10122</t>
  </si>
  <si>
    <t>capex_pct_hist3yr</t>
  </si>
  <si>
    <t>0.157247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</si>
  <si>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</si>
  <si>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</si>
  <si>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</si>
  <si>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</si>
  <si>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</si>
  <si>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</si>
  <si>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</si>
  <si>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</si>
  <si>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</si>
  <si>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</si>
  <si>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</si>
  <si>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</si>
  <si>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</si>
  <si>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</si>
  <si>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</si>
  <si>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</si>
  <si>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</si>
  <si>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</si>
  <si>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</si>
  <si>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</si>
  <si>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375928.0</t>
  </si>
  <si>
    <t>core_net_income</t>
  </si>
  <si>
    <t>127499.0</t>
  </si>
  <si>
    <t>cost_of_debt_actual</t>
  </si>
  <si>
    <t>interest 21,736 (expense 21,736 + fees 0) / avg debt 1,492,446 (debt_beginning/debt_ending) = 0.014564 pre-tax -&gt; 0.010900 after-tax</t>
  </si>
  <si>
    <t>cost_of_debt_at_c11</t>
  </si>
  <si>
    <t>0.0109</t>
  </si>
  <si>
    <t>cost_of_debt_avg_debt</t>
  </si>
  <si>
    <t>1492446.5</t>
  </si>
  <si>
    <t>cost_of_debt_basis</t>
  </si>
  <si>
    <t>actual</t>
  </si>
  <si>
    <t>cost_of_debt_interest</t>
  </si>
  <si>
    <t>21736.0</t>
  </si>
  <si>
    <t>cost_of_debt_pretax</t>
  </si>
  <si>
    <t>0.01456400614695401</t>
  </si>
  <si>
    <t>da_pct_basis</t>
  </si>
  <si>
    <t>da_pct_c18</t>
  </si>
  <si>
    <t>0.0964</t>
  </si>
  <si>
    <t>da_pct_hist3yr</t>
  </si>
  <si>
    <t>0.098465</t>
  </si>
  <si>
    <t>fs_year_coverage</t>
  </si>
  <si>
    <t>OCF 4/4, Cash 4/4, Debt 4/4</t>
  </si>
  <si>
    <t>fs_year_map</t>
  </si>
  <si>
    <t>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</si>
  <si>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</si>
  <si>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</si>
  <si>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</si>
  <si>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</si>
  <si>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</si>
  <si>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19:30:42</t>
  </si>
  <si>
    <t>guidance_note</t>
  </si>
  <si>
    <t>TDnet 決算短信 via screener guidance table: FY2027 disclosed 2026-08-05 (net_income=100,000mn, operating_income=165,000mn, revenue=1,829,000mn)</t>
  </si>
  <si>
    <t>guidance_source</t>
  </si>
  <si>
    <t>tdnet_screener_db</t>
  </si>
  <si>
    <t>latest_operating_income</t>
  </si>
  <si>
    <t>198081.0</t>
  </si>
  <si>
    <t>ltm_revenue_c20</t>
  </si>
  <si>
    <t>1845840.0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</si>
  <si>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</si>
  <si>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</si>
  <si>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</si>
  <si>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</si>
  <si>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</si>
  <si>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</si>
  <si>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</si>
  <si>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</si>
  <si>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op0=198,081(FY2026) peak=198,081(FY2026) peak_opm=0.1073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</si>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</sst>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3020</v>
      </c>
    </row>
    <row r="10" spans="2:5" ht="14" x14ac:dyDescent="0.3">
      <c r="B10" s="4" t="s">
        <v>10</v>
      </c>
      <c r="C10" s="5">
        <f>IF(COUNT(C16:C17)=0,"N/A",ROUND(AVERAGE(C16:C17),0))</f>
        <v>6241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1.0665562913907285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6730</v>
      </c>
      <c r="D16" s="7">
        <f>IF(ISNUMBER(C16),(C16-C9)/C9,"N/A")</f>
        <v>1.2284768211920529</v>
      </c>
    </row>
    <row r="17" spans="2:5" ht="13.5" x14ac:dyDescent="0.25">
      <c r="B17" t="s">
        <v>18</v>
      </c>
      <c r="C17" s="11">
        <f>IF('DCF Model'!C62&lt;'DCF Model'!C16,"INVALID (EV &lt; net debt)",'DCF Model'!C64)</f>
        <v>5752</v>
      </c>
      <c r="D17" s="7">
        <f>IF(ISNUMBER(C17),(C17-C9)/C9,"N/A")</f>
        <v>0.90463576158940395</v>
      </c>
    </row>
    <row r="18" spans="2:5" ht="13.5" x14ac:dyDescent="0.25">
      <c r="B18" t="s">
        <v>19</v>
      </c>
      <c r="C18" s="11">
        <f>'Comps Analysis'!C27</f>
        <v>5410</v>
      </c>
      <c r="D18" s="7">
        <f>IF(ISNUMBER(C18),(C18-C9)/C9,"N/A")</f>
        <v>0.79139072847682124</v>
      </c>
    </row>
    <row r="19" spans="2:5" ht="13.5" x14ac:dyDescent="0.25">
      <c r="B19" t="s">
        <v>20</v>
      </c>
      <c r="C19" s="11">
        <f>'Comps Analysis'!C28</f>
        <v>3928</v>
      </c>
      <c r="D19" s="7">
        <f>IF(ISNUMBER(C19),(C19-C9)/C9,"N/A")</f>
        <v>0.30066225165562915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5752 - 6730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1395531</v>
      </c>
      <c r="D6" s="5">
        <v>1635023</v>
      </c>
      <c r="E6" s="5">
        <v>1707944</v>
      </c>
      <c r="F6" s="5">
        <v>1845840</v>
      </c>
    </row>
    <row r="7" spans="2:6" ht="14" x14ac:dyDescent="0.3">
      <c r="B7" s="4" t="s">
        <v>38</v>
      </c>
      <c r="C7" s="5">
        <v>1126833</v>
      </c>
      <c r="D7" s="5">
        <v>1239576</v>
      </c>
      <c r="E7" s="5">
        <v>1289761</v>
      </c>
      <c r="F7" s="5">
        <v>1383523</v>
      </c>
    </row>
    <row r="8" spans="2:6" ht="14" x14ac:dyDescent="0.3">
      <c r="B8" s="4" t="s">
        <v>39</v>
      </c>
      <c r="C8" s="5">
        <f>C6-C7</f>
        <v>268698</v>
      </c>
      <c r="D8" s="5">
        <f>D6-D7</f>
        <v>395447</v>
      </c>
      <c r="E8" s="5">
        <f>E6-E7</f>
        <v>418183</v>
      </c>
      <c r="F8" s="5">
        <f>F6-F7</f>
        <v>462317</v>
      </c>
    </row>
    <row r="9" spans="2:6" ht="13.5" x14ac:dyDescent="0.25">
      <c r="B9" t="s">
        <v>40</v>
      </c>
      <c r="C9" s="7">
        <f>C8/C6</f>
        <v>0.19254176367275253</v>
      </c>
      <c r="D9" s="7">
        <f>D8/D6</f>
        <v>0.24186020624786317</v>
      </c>
      <c r="E9" s="7">
        <f>E8/E6</f>
        <v>0.2448458497468301</v>
      </c>
      <c r="F9" s="7">
        <f>F8/F6</f>
        <v>0.25046428726216791</v>
      </c>
    </row>
    <row r="10" spans="2:6" ht="14" x14ac:dyDescent="0.3">
      <c r="B10" s="4" t="s">
        <v>41</v>
      </c>
      <c r="C10" s="5">
        <v>184727</v>
      </c>
      <c r="D10" s="5">
        <v>215698</v>
      </c>
      <c r="E10" s="5">
        <v>238021</v>
      </c>
      <c r="F10" s="5">
        <v>264236</v>
      </c>
    </row>
    <row r="11" spans="2:6" ht="14" x14ac:dyDescent="0.3">
      <c r="B11" s="4" t="s">
        <v>42</v>
      </c>
      <c r="C11" s="5">
        <v>83971</v>
      </c>
      <c r="D11" s="5">
        <v>179749</v>
      </c>
      <c r="E11" s="5">
        <v>180162</v>
      </c>
      <c r="F11" s="5">
        <v>198081</v>
      </c>
    </row>
    <row r="12" spans="2:6" ht="14" x14ac:dyDescent="0.3">
      <c r="B12" s="4" t="s">
        <v>43</v>
      </c>
      <c r="C12" s="5">
        <v>88528</v>
      </c>
      <c r="D12" s="5">
        <v>98761</v>
      </c>
      <c r="E12" s="5">
        <v>113958</v>
      </c>
      <c r="F12" s="5">
        <v>127499</v>
      </c>
    </row>
    <row r="13" spans="2:6" ht="13.5" x14ac:dyDescent="0.25">
      <c r="B13" t="s">
        <v>44</v>
      </c>
      <c r="C13" s="7">
        <f>C11/C6</f>
        <v>6.0171361295449546E-2</v>
      </c>
      <c r="D13" s="7">
        <f>D11/D6</f>
        <v>0.10993667978982559</v>
      </c>
      <c r="E13" s="7">
        <f>E11/E6</f>
        <v>0.10548472315251554</v>
      </c>
      <c r="F13" s="7">
        <f>F11/F6</f>
        <v>0.10731211806007021</v>
      </c>
    </row>
    <row r="14" spans="2:6" ht="13.5" x14ac:dyDescent="0.25">
      <c r="B14" t="s">
        <v>45</v>
      </c>
      <c r="C14" s="7">
        <f>C12/C6</f>
        <v>6.3436784994385653E-2</v>
      </c>
      <c r="D14" s="7">
        <f>D12/D6</f>
        <v>6.040343163368344E-2</v>
      </c>
      <c r="E14" s="7">
        <f>E12/E6</f>
        <v>6.6722328132538297E-2</v>
      </c>
      <c r="F14" s="7">
        <f>F12/F6</f>
        <v>6.907370086247995E-2</v>
      </c>
    </row>
    <row r="15" spans="2:6" ht="13.5" x14ac:dyDescent="0.25">
      <c r="B15" t="s">
        <v>46</v>
      </c>
      <c r="C15" t="s">
        <v>47</v>
      </c>
      <c r="D15" s="7">
        <f>(D6-C6)/C6</f>
        <v>0.17161352918709796</v>
      </c>
      <c r="E15" s="7">
        <f>(E6-D6)/D6</f>
        <v>4.4599372608214075E-2</v>
      </c>
      <c r="F15" s="7">
        <f>(F6-E6)/E6</f>
        <v>8.0738010145531697E-2</v>
      </c>
    </row>
    <row r="16" spans="2:6" ht="13.5" x14ac:dyDescent="0.25">
      <c r="B16" t="s">
        <v>48</v>
      </c>
      <c r="C16" t="s">
        <v>47</v>
      </c>
      <c r="D16" s="7">
        <f>(D11-C11)/C11</f>
        <v>1.1406080670707743</v>
      </c>
      <c r="E16" s="7">
        <f>(E11-D11)/D11</f>
        <v>2.2976483874736437E-3</v>
      </c>
      <c r="F16" s="7">
        <f>(F11-E11)/E11</f>
        <v>9.9460485562993306E-2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273964</v>
      </c>
      <c r="D19" s="5">
        <v>318314</v>
      </c>
      <c r="E19" s="5">
        <v>281431</v>
      </c>
      <c r="F19" s="5">
        <v>361634</v>
      </c>
    </row>
    <row r="20" spans="2:6" ht="14" x14ac:dyDescent="0.3">
      <c r="B20" s="4" t="s">
        <v>51</v>
      </c>
      <c r="C20" s="5">
        <v>246013</v>
      </c>
      <c r="D20" s="5">
        <v>249352</v>
      </c>
      <c r="E20" s="5">
        <v>283245</v>
      </c>
      <c r="F20" s="5">
        <v>283139</v>
      </c>
    </row>
    <row r="21" spans="2:6" ht="14" x14ac:dyDescent="0.3">
      <c r="B21" s="4" t="s">
        <v>52</v>
      </c>
      <c r="C21" s="5">
        <f>C19-C20</f>
        <v>27951</v>
      </c>
      <c r="D21" s="5">
        <f>D19-D20</f>
        <v>68962</v>
      </c>
      <c r="E21" s="5">
        <f>E19-E20</f>
        <v>-1814</v>
      </c>
      <c r="F21" s="5">
        <f>F19-F20</f>
        <v>78495</v>
      </c>
    </row>
    <row r="22" spans="2:6" ht="13.5" x14ac:dyDescent="0.25">
      <c r="B22" t="s">
        <v>53</v>
      </c>
      <c r="C22" s="7">
        <f>C21/C6</f>
        <v>2.0028935222506702E-2</v>
      </c>
      <c r="D22" s="7">
        <f>D21/D6</f>
        <v>4.2177999942508454E-2</v>
      </c>
      <c r="E22" s="7">
        <f>E21/E6</f>
        <v>-1.0620957127399962E-3</v>
      </c>
      <c r="F22" s="7">
        <f>F21/F6</f>
        <v>4.2525354310232737E-2</v>
      </c>
    </row>
    <row r="23" spans="2:6" ht="13.5" x14ac:dyDescent="0.25">
      <c r="B23" t="s">
        <v>54</v>
      </c>
      <c r="C23" s="7">
        <f>C20/C6</f>
        <v>0.17628630248987662</v>
      </c>
      <c r="D23" s="7">
        <f>D20/D6</f>
        <v>0.15250672314701383</v>
      </c>
      <c r="E23" s="7">
        <f>E20/E6</f>
        <v>0.16583974650222724</v>
      </c>
      <c r="F23" s="7">
        <f>F20/F6</f>
        <v>0.15339303514930872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289893</v>
      </c>
      <c r="D26" s="5">
        <v>233218</v>
      </c>
      <c r="E26" s="5">
        <v>125617</v>
      </c>
      <c r="F26" s="5">
        <v>181107</v>
      </c>
    </row>
    <row r="27" spans="2:6" ht="14" x14ac:dyDescent="0.3">
      <c r="B27" s="4" t="s">
        <v>57</v>
      </c>
      <c r="C27" s="5">
        <v>1474510</v>
      </c>
      <c r="D27" s="5">
        <v>1416277</v>
      </c>
      <c r="E27" s="5">
        <v>1387794</v>
      </c>
      <c r="F27" s="5">
        <v>1460600</v>
      </c>
    </row>
    <row r="28" spans="2:6" ht="14" x14ac:dyDescent="0.3">
      <c r="B28" s="4" t="s">
        <v>58</v>
      </c>
      <c r="C28" s="5">
        <f>C27-C26</f>
        <v>1184617</v>
      </c>
      <c r="D28" s="5">
        <f>D27-D26</f>
        <v>1183059</v>
      </c>
      <c r="E28" s="5">
        <f>E27-E26</f>
        <v>1262177</v>
      </c>
      <c r="F28" s="5">
        <f>F27-F26</f>
        <v>1279493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0.10122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0.48959999999999998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1.09E-2</v>
      </c>
    </row>
    <row r="12" spans="2:7" ht="14" x14ac:dyDescent="0.3">
      <c r="B12" s="4" t="s">
        <v>69</v>
      </c>
      <c r="C12" s="13">
        <v>0.9899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10.199999999999999</v>
      </c>
    </row>
    <row r="15" spans="2:7" ht="14" x14ac:dyDescent="0.3">
      <c r="B15" s="4" t="s">
        <v>72</v>
      </c>
      <c r="C15" s="15">
        <v>455083814</v>
      </c>
    </row>
    <row r="16" spans="2:7" ht="14" x14ac:dyDescent="0.3">
      <c r="B16" s="4" t="s">
        <v>73</v>
      </c>
      <c r="C16" s="5">
        <v>1360492</v>
      </c>
    </row>
    <row r="17" spans="2:7" ht="14" x14ac:dyDescent="0.3">
      <c r="B17" s="4" t="s">
        <v>74</v>
      </c>
      <c r="C17" s="5">
        <v>1845840</v>
      </c>
    </row>
    <row r="18" spans="2:7" ht="14" x14ac:dyDescent="0.3">
      <c r="B18" s="4" t="s">
        <v>75</v>
      </c>
      <c r="C18" s="7">
        <v>9.64E-2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1845840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7.152399999999999E-2</v>
      </c>
    </row>
    <row r="24" spans="2:7" ht="14" x14ac:dyDescent="0.3">
      <c r="B24" s="4" t="s">
        <v>80</v>
      </c>
      <c r="C24" s="16">
        <f>1/(1+C12)</f>
        <v>0.50253781597065184</v>
      </c>
    </row>
    <row r="25" spans="2:7" ht="14" x14ac:dyDescent="0.3">
      <c r="B25" s="4" t="s">
        <v>81</v>
      </c>
      <c r="C25" s="16">
        <f>C12/(1+C12)</f>
        <v>0.49746218402934822</v>
      </c>
    </row>
    <row r="26" spans="2:7" ht="14" x14ac:dyDescent="0.3">
      <c r="B26" s="4" t="s">
        <v>82</v>
      </c>
      <c r="C26" s="16">
        <f>C23*C24+C11*C25</f>
        <v>4.1365852555404786E-2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2.5000000000000001E-2</v>
      </c>
      <c r="D30" s="18">
        <f>CHOOSE($D$27,D69,D70,D71,D72,D73)</f>
        <v>2.5000000000000001E-2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1.4999999999999999E-2</v>
      </c>
    </row>
    <row r="31" spans="2:7" ht="14" x14ac:dyDescent="0.3">
      <c r="B31" s="4" t="s">
        <v>91</v>
      </c>
      <c r="C31" s="18">
        <f>CHOOSE($D$27,C76,C77,C78,C79,C80)</f>
        <v>0.75</v>
      </c>
      <c r="D31" s="18">
        <f>CHOOSE($D$27,D76,D77,D78,D79,D80)</f>
        <v>0.75</v>
      </c>
      <c r="E31" s="18">
        <f>CHOOSE($D$27,E76,E77,E78,E79,E80)</f>
        <v>0.75</v>
      </c>
      <c r="F31" s="18">
        <f>CHOOSE($D$27,F76,F77,F78,F79,F80)</f>
        <v>0.75</v>
      </c>
      <c r="G31" s="18">
        <f>CHOOSE($D$27,G76,G77,G78,G79,G80)</f>
        <v>0.75</v>
      </c>
    </row>
    <row r="32" spans="2:7" ht="14" x14ac:dyDescent="0.3">
      <c r="B32" s="4" t="s">
        <v>92</v>
      </c>
      <c r="C32" s="18">
        <f>CHOOSE($D$27,C83,C84,C85,C86,C87)</f>
        <v>0.1426</v>
      </c>
      <c r="D32" s="18">
        <f>CHOOSE($D$27,D83,D84,D85,D86,D87)</f>
        <v>0.14249999999999999</v>
      </c>
      <c r="E32" s="18">
        <f>CHOOSE($D$27,E83,E84,E85,E86,E87)</f>
        <v>0.14249999999999999</v>
      </c>
      <c r="F32" s="18">
        <f>CHOOSE($D$27,F83,F84,F85,F86,F87)</f>
        <v>0.1424</v>
      </c>
      <c r="G32" s="18">
        <f>CHOOSE($D$27,G83,G84,G85,G86,G87)</f>
        <v>0.1424</v>
      </c>
    </row>
    <row r="33" spans="2:7" ht="14" x14ac:dyDescent="0.3">
      <c r="B33" s="4" t="s">
        <v>37</v>
      </c>
      <c r="C33" s="5">
        <f>C17*(1+C30)</f>
        <v>1891985.9999999998</v>
      </c>
      <c r="D33" s="5">
        <f>C33*(1+D30)</f>
        <v>1939285.6499999997</v>
      </c>
      <c r="E33" s="5">
        <f>D33*(1+E30)</f>
        <v>1978071.3629999997</v>
      </c>
      <c r="F33" s="5">
        <f>E33*(1+F30)</f>
        <v>2017632.7902599997</v>
      </c>
      <c r="G33" s="5">
        <f>F33*(1+G30)</f>
        <v>2047897.2821138995</v>
      </c>
    </row>
    <row r="34" spans="2:7" ht="14" x14ac:dyDescent="0.3">
      <c r="B34" s="4" t="s">
        <v>38</v>
      </c>
      <c r="C34" s="5">
        <f>C33*C31</f>
        <v>1418989.4999999998</v>
      </c>
      <c r="D34" s="5">
        <f>D33*D31</f>
        <v>1454464.2374999998</v>
      </c>
      <c r="E34" s="5">
        <f>E33*E31</f>
        <v>1483553.5222499997</v>
      </c>
      <c r="F34" s="5">
        <f>F33*F31</f>
        <v>1513224.5926949997</v>
      </c>
      <c r="G34" s="5">
        <f>G33*G31</f>
        <v>1535922.9615854246</v>
      </c>
    </row>
    <row r="35" spans="2:7" ht="14" x14ac:dyDescent="0.3">
      <c r="B35" s="4" t="s">
        <v>39</v>
      </c>
      <c r="C35" s="19">
        <f>C33-C34</f>
        <v>472996.5</v>
      </c>
      <c r="D35" s="19">
        <f>D33-D34</f>
        <v>484821.41249999986</v>
      </c>
      <c r="E35" s="19">
        <f>E33-E34</f>
        <v>494517.84074999997</v>
      </c>
      <c r="F35" s="19">
        <f>F33-F34</f>
        <v>504408.19756500004</v>
      </c>
      <c r="G35" s="19">
        <f>G33-G34</f>
        <v>511974.32052847487</v>
      </c>
    </row>
    <row r="36" spans="2:7" ht="14" x14ac:dyDescent="0.3">
      <c r="B36" s="4" t="s">
        <v>40</v>
      </c>
      <c r="C36" s="7">
        <f>C35/C33</f>
        <v>0.25000000000000006</v>
      </c>
      <c r="D36" s="7">
        <f>D35/D33</f>
        <v>0.24999999999999997</v>
      </c>
      <c r="E36" s="7">
        <f>E35/E33</f>
        <v>0.25000000000000006</v>
      </c>
      <c r="F36" s="7">
        <f>F35/F33</f>
        <v>0.25000000000000006</v>
      </c>
      <c r="G36" s="7">
        <f>G35/G33</f>
        <v>0.25</v>
      </c>
    </row>
    <row r="37" spans="2:7" ht="14" x14ac:dyDescent="0.3">
      <c r="B37" s="4" t="s">
        <v>93</v>
      </c>
      <c r="C37" s="5">
        <f>C33*C32</f>
        <v>269797.20359999995</v>
      </c>
      <c r="D37" s="5">
        <f>D33*D32</f>
        <v>276348.20512499992</v>
      </c>
      <c r="E37" s="5">
        <f>E33*E32</f>
        <v>281875.16922749992</v>
      </c>
      <c r="F37" s="5">
        <f>F33*F32</f>
        <v>287310.90933302394</v>
      </c>
      <c r="G37" s="5">
        <f>G33*G32</f>
        <v>291620.57297301927</v>
      </c>
    </row>
    <row r="38" spans="2:7" ht="14" x14ac:dyDescent="0.3">
      <c r="B38" s="4" t="s">
        <v>94</v>
      </c>
      <c r="C38" s="7">
        <f>(C35-C37)/C33</f>
        <v>0.10740000000000004</v>
      </c>
      <c r="D38" s="7">
        <f>(D35-D37)/D33</f>
        <v>0.10749999999999998</v>
      </c>
      <c r="E38" s="7">
        <f>(E35-E37)/E33</f>
        <v>0.10750000000000004</v>
      </c>
      <c r="F38" s="7">
        <f>(F35-F37)/F33</f>
        <v>0.10760000000000007</v>
      </c>
      <c r="G38" s="7">
        <f>(G35-G37)/G33</f>
        <v>0.10760000000000002</v>
      </c>
    </row>
    <row r="39" spans="2:7" ht="14" x14ac:dyDescent="0.3">
      <c r="B39" s="4" t="s">
        <v>95</v>
      </c>
      <c r="C39" s="19">
        <f>C35-C37</f>
        <v>203199.29640000005</v>
      </c>
      <c r="D39" s="19">
        <f>D35-D37</f>
        <v>208473.20737499994</v>
      </c>
      <c r="E39" s="19">
        <f>E35-E37</f>
        <v>212642.67152250005</v>
      </c>
      <c r="F39" s="19">
        <f>F35-F37</f>
        <v>217097.2882319761</v>
      </c>
      <c r="G39" s="19">
        <f>G35-G37</f>
        <v>220353.7475554556</v>
      </c>
    </row>
    <row r="40" spans="2:7" ht="14" x14ac:dyDescent="0.3">
      <c r="B40" s="4" t="s">
        <v>96</v>
      </c>
      <c r="C40" s="5">
        <f>MAX(0,C39*C6)</f>
        <v>50799.824100000013</v>
      </c>
      <c r="D40" s="5">
        <f>MAX(0,D39*C6)</f>
        <v>52118.301843749985</v>
      </c>
      <c r="E40" s="5">
        <f>MAX(0,E39*C6)</f>
        <v>53160.667880625013</v>
      </c>
      <c r="F40" s="5">
        <f>MAX(0,F39*C6)</f>
        <v>54274.322057994024</v>
      </c>
      <c r="G40" s="5">
        <f>MAX(0,G39*C6)</f>
        <v>55088.4368888639</v>
      </c>
    </row>
    <row r="41" spans="2:7" ht="14" x14ac:dyDescent="0.3">
      <c r="B41" s="4" t="s">
        <v>97</v>
      </c>
      <c r="C41" s="19">
        <f>C39-C40</f>
        <v>152399.47230000002</v>
      </c>
      <c r="D41" s="19">
        <f>D39-D40</f>
        <v>156354.90553124994</v>
      </c>
      <c r="E41" s="19">
        <f>E39-E40</f>
        <v>159482.00364187505</v>
      </c>
      <c r="F41" s="19">
        <f>F39-F40</f>
        <v>162822.96617398207</v>
      </c>
      <c r="G41" s="19">
        <f>G39-G40</f>
        <v>165265.31066659169</v>
      </c>
    </row>
    <row r="42" spans="2:7" ht="14" x14ac:dyDescent="0.3">
      <c r="B42" s="4" t="s">
        <v>98</v>
      </c>
      <c r="C42" s="5">
        <f>C33*C18</f>
        <v>182387.45039999997</v>
      </c>
      <c r="D42" s="5">
        <f>D33*C18</f>
        <v>186947.13665999996</v>
      </c>
      <c r="E42" s="5">
        <f>E33*C18</f>
        <v>190686.07939319997</v>
      </c>
      <c r="F42" s="5">
        <f>F33*C18</f>
        <v>194499.80098106398</v>
      </c>
      <c r="G42" s="5">
        <f>G33*C18</f>
        <v>197417.2979957799</v>
      </c>
    </row>
    <row r="43" spans="2:7" ht="14" x14ac:dyDescent="0.3">
      <c r="B43" s="4" t="s">
        <v>99</v>
      </c>
      <c r="C43" s="5">
        <v>250300</v>
      </c>
      <c r="D43" s="5">
        <v>239600</v>
      </c>
      <c r="E43" s="5">
        <v>228800</v>
      </c>
      <c r="F43" s="5">
        <v>218100</v>
      </c>
      <c r="G43" s="5">
        <v>207300</v>
      </c>
    </row>
    <row r="44" spans="2:7" ht="14" x14ac:dyDescent="0.3">
      <c r="B44" s="4" t="s">
        <v>100</v>
      </c>
      <c r="C44" s="5">
        <f>'NWC Schedule'!D19</f>
        <v>3212.7232876711059</v>
      </c>
      <c r="D44" s="5">
        <f>'NWC Schedule'!E19</f>
        <v>9589.5180821918184</v>
      </c>
      <c r="E44" s="5">
        <f>'NWC Schedule'!F19</f>
        <v>7863.4048273972003</v>
      </c>
      <c r="F44" s="5">
        <f>'NWC Schedule'!G19</f>
        <v>8020.672923945298</v>
      </c>
      <c r="G44" s="5">
        <f>'NWC Schedule'!H19</f>
        <v>6135.8147868180531</v>
      </c>
    </row>
    <row r="45" spans="2:7" ht="14" x14ac:dyDescent="0.3">
      <c r="B45" s="4" t="s">
        <v>101</v>
      </c>
      <c r="C45" s="20">
        <f>C41+C42-C43-C44</f>
        <v>81274.19941232889</v>
      </c>
      <c r="D45" s="20">
        <f>D41+D42-D43-D44</f>
        <v>94112.524109058082</v>
      </c>
      <c r="E45" s="20">
        <f>E41+E42-E43-E44</f>
        <v>113504.67820767779</v>
      </c>
      <c r="F45" s="20">
        <f>F41+F42-F43-F44</f>
        <v>131202.09423110075</v>
      </c>
      <c r="G45" s="20">
        <f>G41+G42-G43-G44</f>
        <v>149246.79387555353</v>
      </c>
    </row>
    <row r="46" spans="2:7" ht="14" x14ac:dyDescent="0.3">
      <c r="B46" s="4" t="s">
        <v>102</v>
      </c>
      <c r="C46" s="21">
        <f>1/(1+C26)^(C19+0)</f>
        <v>0.96027731036705566</v>
      </c>
      <c r="D46" s="21">
        <f>1/(1+C26)^(C19+1)</f>
        <v>0.92213251280578656</v>
      </c>
      <c r="E46" s="21">
        <f>1/(1+C26)^(C19+2)</f>
        <v>0.8855029291991553</v>
      </c>
      <c r="F46" s="21">
        <f>1/(1+C26)^(C19+3)</f>
        <v>0.85032837117351412</v>
      </c>
      <c r="G46" s="21">
        <f>1/(1+C26)^(C19+4)</f>
        <v>0.81655104119930166</v>
      </c>
    </row>
    <row r="47" spans="2:7" ht="14" x14ac:dyDescent="0.3">
      <c r="B47" s="4" t="s">
        <v>103</v>
      </c>
      <c r="C47" s="19">
        <f>C45*C46</f>
        <v>78045.769613906916</v>
      </c>
      <c r="D47" s="19">
        <f>D45*D46</f>
        <v>86784.218343180895</v>
      </c>
      <c r="E47" s="19">
        <f>E45*E46</f>
        <v>100508.72503070621</v>
      </c>
      <c r="F47" s="19">
        <f>F45*F46</f>
        <v>111564.86308208582</v>
      </c>
      <c r="G47" s="19">
        <f>G45*G46</f>
        <v>121867.62493474079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498771.20100462058</v>
      </c>
    </row>
    <row r="51" spans="2:7" ht="14" x14ac:dyDescent="0.3">
      <c r="B51" s="4" t="s">
        <v>106</v>
      </c>
      <c r="C51" s="5">
        <f>G45*(1+C13)/(C26-C13)</f>
        <v>4805839.7758531366</v>
      </c>
    </row>
    <row r="52" spans="2:7" ht="14" x14ac:dyDescent="0.3">
      <c r="B52" s="4" t="s">
        <v>107</v>
      </c>
      <c r="C52" s="5">
        <f>C51*G46</f>
        <v>3924213.4728098973</v>
      </c>
    </row>
    <row r="53" spans="2:7" ht="14" x14ac:dyDescent="0.3">
      <c r="B53" s="4" t="s">
        <v>108</v>
      </c>
      <c r="C53" s="5">
        <f>C50+C52</f>
        <v>4422984.6738145174</v>
      </c>
    </row>
    <row r="54" spans="2:7" ht="14" x14ac:dyDescent="0.3">
      <c r="B54" s="4" t="s">
        <v>109</v>
      </c>
      <c r="C54" s="5">
        <f>C53-C16</f>
        <v>3062492.6738145174</v>
      </c>
    </row>
    <row r="55" spans="2:7" ht="14" x14ac:dyDescent="0.3">
      <c r="B55" s="4" t="s">
        <v>110</v>
      </c>
      <c r="C55" s="24">
        <f>ROUND(C54*1000000/C15,0)</f>
        <v>6730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498771.20100462058</v>
      </c>
    </row>
    <row r="59" spans="2:7" ht="14" x14ac:dyDescent="0.3">
      <c r="B59" s="4" t="s">
        <v>112</v>
      </c>
      <c r="C59" s="5">
        <f>G39+G42</f>
        <v>417771.0455512355</v>
      </c>
    </row>
    <row r="60" spans="2:7" ht="14" x14ac:dyDescent="0.3">
      <c r="B60" s="4" t="s">
        <v>113</v>
      </c>
      <c r="C60" s="5">
        <f>C59*C14</f>
        <v>4261264.6646226021</v>
      </c>
    </row>
    <row r="61" spans="2:7" ht="14" x14ac:dyDescent="0.3">
      <c r="B61" s="4" t="s">
        <v>107</v>
      </c>
      <c r="C61" s="5">
        <f>C60*G46</f>
        <v>3479540.0987233785</v>
      </c>
    </row>
    <row r="62" spans="2:7" ht="14" x14ac:dyDescent="0.3">
      <c r="B62" s="4" t="s">
        <v>108</v>
      </c>
      <c r="C62" s="5">
        <f>C58+C61</f>
        <v>3978311.2997279991</v>
      </c>
    </row>
    <row r="63" spans="2:7" ht="14" x14ac:dyDescent="0.3">
      <c r="B63" s="4" t="s">
        <v>109</v>
      </c>
      <c r="C63" s="5">
        <f>C62-C16</f>
        <v>2617819.2997279991</v>
      </c>
    </row>
    <row r="64" spans="2:7" ht="14" x14ac:dyDescent="0.3">
      <c r="B64" s="4" t="s">
        <v>114</v>
      </c>
      <c r="C64" s="24">
        <f>ROUND(C63*1000000/C15,0)</f>
        <v>5752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2.5000000000000001E-2</v>
      </c>
      <c r="D69" s="26">
        <v>2.5000000000000001E-2</v>
      </c>
      <c r="E69" s="26">
        <v>0.02</v>
      </c>
      <c r="F69" s="26">
        <v>0.02</v>
      </c>
      <c r="G69" s="26">
        <v>1.4999999999999999E-2</v>
      </c>
    </row>
    <row r="70" spans="2:7" ht="14" x14ac:dyDescent="0.3">
      <c r="B70" s="4" t="s">
        <v>121</v>
      </c>
      <c r="C70" s="26">
        <v>0.04</v>
      </c>
      <c r="D70" s="26">
        <v>3.5000000000000003E-2</v>
      </c>
      <c r="E70" s="26">
        <v>0.03</v>
      </c>
      <c r="F70" s="26">
        <v>2.5000000000000001E-2</v>
      </c>
      <c r="G70" s="26">
        <v>0.02</v>
      </c>
    </row>
    <row r="71" spans="2:7" ht="14" x14ac:dyDescent="0.3">
      <c r="B71" s="4" t="s">
        <v>122</v>
      </c>
      <c r="C71" s="26">
        <v>2.5000000000000001E-2</v>
      </c>
      <c r="D71" s="26">
        <v>2.5000000000000001E-2</v>
      </c>
      <c r="E71" s="26">
        <v>0.02</v>
      </c>
      <c r="F71" s="26">
        <v>0.02</v>
      </c>
      <c r="G71" s="26">
        <v>1.4999999999999999E-2</v>
      </c>
    </row>
    <row r="72" spans="2:7" ht="14" x14ac:dyDescent="0.3">
      <c r="B72" s="4" t="s">
        <v>123</v>
      </c>
      <c r="C72" s="26">
        <v>0.01</v>
      </c>
      <c r="D72" s="26">
        <v>1.4999999999999999E-2</v>
      </c>
      <c r="E72" s="26">
        <v>1.4999999999999999E-2</v>
      </c>
      <c r="F72" s="26">
        <v>1.4999999999999999E-2</v>
      </c>
      <c r="G72" s="26">
        <v>0.01</v>
      </c>
    </row>
    <row r="73" spans="2:7" ht="14" x14ac:dyDescent="0.3">
      <c r="B73" s="4" t="s">
        <v>124</v>
      </c>
      <c r="C73" s="26">
        <v>-0.08</v>
      </c>
      <c r="D73" s="26">
        <v>-0.02</v>
      </c>
      <c r="E73" s="26">
        <v>1.4999999999999999E-2</v>
      </c>
      <c r="F73" s="26">
        <v>0.02</v>
      </c>
      <c r="G73" s="26">
        <v>0.02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0.75</v>
      </c>
      <c r="D76" s="26">
        <v>0.75</v>
      </c>
      <c r="E76" s="26">
        <v>0.75</v>
      </c>
      <c r="F76" s="26">
        <v>0.75</v>
      </c>
      <c r="G76" s="26">
        <v>0.75</v>
      </c>
    </row>
    <row r="77" spans="2:7" ht="14" x14ac:dyDescent="0.3">
      <c r="B77" s="4" t="s">
        <v>121</v>
      </c>
      <c r="C77" s="26">
        <v>0.74</v>
      </c>
      <c r="D77" s="26">
        <v>0.74</v>
      </c>
      <c r="E77" s="26">
        <v>0.74</v>
      </c>
      <c r="F77" s="26">
        <v>0.74</v>
      </c>
      <c r="G77" s="26">
        <v>0.74</v>
      </c>
    </row>
    <row r="78" spans="2:7" ht="14" x14ac:dyDescent="0.3">
      <c r="B78" s="4" t="s">
        <v>122</v>
      </c>
      <c r="C78" s="26">
        <v>0.75</v>
      </c>
      <c r="D78" s="26">
        <v>0.75</v>
      </c>
      <c r="E78" s="26">
        <v>0.75</v>
      </c>
      <c r="F78" s="26">
        <v>0.75</v>
      </c>
      <c r="G78" s="26">
        <v>0.75</v>
      </c>
    </row>
    <row r="79" spans="2:7" ht="14" x14ac:dyDescent="0.3">
      <c r="B79" s="4" t="s">
        <v>123</v>
      </c>
      <c r="C79" s="26">
        <v>0.76</v>
      </c>
      <c r="D79" s="26">
        <v>0.76</v>
      </c>
      <c r="E79" s="26">
        <v>0.76</v>
      </c>
      <c r="F79" s="26">
        <v>0.76</v>
      </c>
      <c r="G79" s="26">
        <v>0.76</v>
      </c>
    </row>
    <row r="80" spans="2:7" ht="14" x14ac:dyDescent="0.3">
      <c r="B80" s="4" t="s">
        <v>124</v>
      </c>
      <c r="C80" s="26">
        <v>0.77</v>
      </c>
      <c r="D80" s="26">
        <v>0.77</v>
      </c>
      <c r="E80" s="26">
        <v>0.77</v>
      </c>
      <c r="F80" s="26">
        <v>0.77</v>
      </c>
      <c r="G80" s="26">
        <v>0.77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0.1426</v>
      </c>
      <c r="D83" s="26">
        <v>0.14249999999999999</v>
      </c>
      <c r="E83" s="26">
        <v>0.14249999999999999</v>
      </c>
      <c r="F83" s="26">
        <v>0.1424</v>
      </c>
      <c r="G83" s="26">
        <v>0.1424</v>
      </c>
    </row>
    <row r="84" spans="2:7" ht="14" x14ac:dyDescent="0.3">
      <c r="B84" s="4" t="s">
        <v>121</v>
      </c>
      <c r="C84" s="26">
        <v>0.1515</v>
      </c>
      <c r="D84" s="26">
        <v>0.151</v>
      </c>
      <c r="E84" s="26">
        <v>0.15060000000000001</v>
      </c>
      <c r="F84" s="26">
        <v>0.15029999999999999</v>
      </c>
      <c r="G84" s="26">
        <v>0.15010000000000001</v>
      </c>
    </row>
    <row r="85" spans="2:7" ht="14" x14ac:dyDescent="0.3">
      <c r="B85" s="4" t="s">
        <v>122</v>
      </c>
      <c r="C85" s="26">
        <v>0.1426</v>
      </c>
      <c r="D85" s="26">
        <v>0.14249999999999999</v>
      </c>
      <c r="E85" s="26">
        <v>0.14249999999999999</v>
      </c>
      <c r="F85" s="26">
        <v>0.1424</v>
      </c>
      <c r="G85" s="26">
        <v>0.1424</v>
      </c>
    </row>
    <row r="86" spans="2:7" ht="14" x14ac:dyDescent="0.3">
      <c r="B86" s="4" t="s">
        <v>123</v>
      </c>
      <c r="C86" s="26">
        <v>0.13600000000000001</v>
      </c>
      <c r="D86" s="26">
        <v>0.13900000000000001</v>
      </c>
      <c r="E86" s="26">
        <v>0.14199999999999999</v>
      </c>
      <c r="F86" s="26">
        <v>0.14419999999999999</v>
      </c>
      <c r="G86" s="26">
        <v>0.14580000000000001</v>
      </c>
    </row>
    <row r="87" spans="2:7" ht="14" x14ac:dyDescent="0.3">
      <c r="B87" s="4" t="s">
        <v>124</v>
      </c>
      <c r="C87" s="26">
        <v>0.14499999999999999</v>
      </c>
      <c r="D87" s="26">
        <v>0.16</v>
      </c>
      <c r="E87" s="26">
        <v>0.16700000000000001</v>
      </c>
      <c r="F87" s="26">
        <v>0.16900000000000001</v>
      </c>
      <c r="G87" s="26">
        <v>0.16800000000000001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3020</v>
      </c>
    </row>
    <row r="7" spans="2:9" ht="14" x14ac:dyDescent="0.3">
      <c r="B7" s="4" t="s">
        <v>72</v>
      </c>
      <c r="C7" s="15">
        <f>'DCF Model'!C15</f>
        <v>455083814</v>
      </c>
    </row>
    <row r="8" spans="2:9" ht="14" x14ac:dyDescent="0.3">
      <c r="B8" s="4" t="s">
        <v>129</v>
      </c>
      <c r="C8" s="5">
        <f>C6*C7/1000000</f>
        <v>1374353.1182800001</v>
      </c>
    </row>
    <row r="9" spans="2:9" ht="14" x14ac:dyDescent="0.3">
      <c r="B9" s="4" t="s">
        <v>73</v>
      </c>
      <c r="C9" s="5">
        <f>'DCF Model'!C16</f>
        <v>1360492</v>
      </c>
    </row>
    <row r="10" spans="2:9" ht="14" x14ac:dyDescent="0.3">
      <c r="B10" s="4" t="s">
        <v>130</v>
      </c>
      <c r="C10" s="5">
        <f>C8+C9</f>
        <v>2734845.1182800001</v>
      </c>
    </row>
    <row r="11" spans="2:9" ht="14" x14ac:dyDescent="0.3">
      <c r="B11" s="4" t="s">
        <v>131</v>
      </c>
      <c r="C11" s="16">
        <f>'DCF Model'!C26</f>
        <v>4.1365852555404786E-2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198081</v>
      </c>
    </row>
    <row r="15" spans="2:9" ht="14" x14ac:dyDescent="0.3">
      <c r="B15" s="4" t="s">
        <v>135</v>
      </c>
      <c r="C15" s="27">
        <v>198081</v>
      </c>
    </row>
    <row r="16" spans="2:9" ht="14" x14ac:dyDescent="0.3">
      <c r="B16" s="4" t="s">
        <v>136</v>
      </c>
      <c r="C16" s="5">
        <f>'DCF Model'!G33</f>
        <v>2047897.2821138995</v>
      </c>
    </row>
    <row r="17" spans="2:9" ht="14" x14ac:dyDescent="0.3">
      <c r="B17" s="4" t="s">
        <v>137</v>
      </c>
      <c r="C17" s="5">
        <f>'DCF Model'!C53</f>
        <v>4422984.6738145174</v>
      </c>
    </row>
    <row r="18" spans="2:9" ht="14" x14ac:dyDescent="0.3">
      <c r="B18" s="4" t="s">
        <v>138</v>
      </c>
      <c r="C18" s="26">
        <v>0.1073121180600702</v>
      </c>
    </row>
    <row r="19" spans="2:9" ht="14" x14ac:dyDescent="0.3">
      <c r="B19" s="4" t="s">
        <v>139</v>
      </c>
      <c r="C19" s="5">
        <f>C10-C17</f>
        <v>-1688139.5555345174</v>
      </c>
    </row>
    <row r="20" spans="2:9" ht="14" x14ac:dyDescent="0.3">
      <c r="B20" s="4" t="s">
        <v>140</v>
      </c>
      <c r="C20" s="15">
        <f>IFERROR(ROUND(C19*1000000/C7,0),"N/A")</f>
        <v>-3710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85780.748741839037</v>
      </c>
    </row>
    <row r="25" spans="2:9" ht="14" x14ac:dyDescent="0.3">
      <c r="B25" s="4" t="s">
        <v>144</v>
      </c>
      <c r="C25" s="5">
        <f>IFERROR(C24/(1-C13),"N/A")</f>
        <v>114374.33165578538</v>
      </c>
    </row>
    <row r="26" spans="2:9" ht="13.5" x14ac:dyDescent="0.25">
      <c r="B26" s="6" t="s">
        <v>145</v>
      </c>
      <c r="C26" s="14">
        <f>IFERROR(C25/C15,"N/A")</f>
        <v>0.57741192570607669</v>
      </c>
    </row>
    <row r="27" spans="2:9" ht="13.5" x14ac:dyDescent="0.25">
      <c r="B27" s="6" t="s">
        <v>146</v>
      </c>
      <c r="C27" s="14">
        <f>IFERROR(C25/C14,"N/A")</f>
        <v>0.57741192570607669</v>
      </c>
    </row>
    <row r="28" spans="2:9" ht="13.5" x14ac:dyDescent="0.25">
      <c r="B28" s="6" t="s">
        <v>147</v>
      </c>
      <c r="C28" s="7">
        <f>IFERROR(C25/C16,"N/A")</f>
        <v>5.5849642779800389E-2</v>
      </c>
    </row>
    <row r="29" spans="2:9" ht="13.5" x14ac:dyDescent="0.25">
      <c r="B29" s="6" t="s">
        <v>148</v>
      </c>
      <c r="C29" s="5">
        <f>IFERROR(C25/C18,"N/A")</f>
        <v>1065810.0289453049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2.1365852555404786E-2</v>
      </c>
      <c r="E36" s="29">
        <f>'DCF Model'!C26-0.01</f>
        <v>3.1365852555404784E-2</v>
      </c>
      <c r="F36" s="29">
        <f>'DCF Model'!C26</f>
        <v>4.1365852555404786E-2</v>
      </c>
      <c r="G36" s="29">
        <f>'DCF Model'!C26+0.01</f>
        <v>5.1365852555404788E-2</v>
      </c>
      <c r="H36" s="29">
        <f>'DCF Model'!C26+0.02</f>
        <v>6.136585255540479E-2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0.9722539969968067</v>
      </c>
      <c r="E38" s="13">
        <f t="shared" si="0"/>
        <v>0.95975902149679615</v>
      </c>
      <c r="F38" s="13">
        <f t="shared" si="0"/>
        <v>0.94756237784663222</v>
      </c>
      <c r="G38" s="13">
        <f t="shared" si="0"/>
        <v>0.9356539039569467</v>
      </c>
      <c r="H38" s="13">
        <f t="shared" si="0"/>
        <v>0.92402388229535037</v>
      </c>
    </row>
    <row r="39" spans="2:9" ht="14" x14ac:dyDescent="0.3">
      <c r="B39" s="4" t="s">
        <v>156</v>
      </c>
      <c r="C39" s="30">
        <v>5</v>
      </c>
      <c r="D39" s="13">
        <f t="shared" si="0"/>
        <v>1.9176262452952226</v>
      </c>
      <c r="E39" s="13">
        <f t="shared" si="0"/>
        <v>1.8810932565165084</v>
      </c>
      <c r="F39" s="13">
        <f t="shared" si="0"/>
        <v>1.8457682018914729</v>
      </c>
      <c r="G39" s="13">
        <f t="shared" si="0"/>
        <v>1.8115967883650472</v>
      </c>
      <c r="H39" s="13">
        <f t="shared" si="0"/>
        <v>1.7785277459505768</v>
      </c>
    </row>
    <row r="40" spans="2:9" ht="14" x14ac:dyDescent="0.3">
      <c r="B40" s="4" t="s">
        <v>157</v>
      </c>
      <c r="C40" s="30">
        <v>7</v>
      </c>
      <c r="D40" s="13">
        <f t="shared" si="0"/>
        <v>2.8369523142283177</v>
      </c>
      <c r="E40" s="13">
        <f t="shared" si="0"/>
        <v>2.765731596402095</v>
      </c>
      <c r="F40" s="13">
        <f t="shared" si="0"/>
        <v>2.6975058252239541</v>
      </c>
      <c r="G40" s="13">
        <f t="shared" si="0"/>
        <v>2.6321084710327134</v>
      </c>
      <c r="H40" s="13">
        <f t="shared" si="0"/>
        <v>2.569384223632031</v>
      </c>
    </row>
    <row r="41" spans="2:9" ht="14" x14ac:dyDescent="0.3">
      <c r="B41" s="4" t="s">
        <v>158</v>
      </c>
      <c r="C41" s="30">
        <v>10</v>
      </c>
      <c r="D41" s="13">
        <f t="shared" si="0"/>
        <v>4.1688647223803494</v>
      </c>
      <c r="E41" s="13">
        <f t="shared" si="0"/>
        <v>4.0274631829020073</v>
      </c>
      <c r="F41" s="13">
        <f t="shared" si="0"/>
        <v>3.8938621568516423</v>
      </c>
      <c r="G41" s="13">
        <f t="shared" si="0"/>
        <v>3.7675064691216309</v>
      </c>
      <c r="H41" s="13">
        <f t="shared" si="0"/>
        <v>3.6478878376120387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85.305760457807366</v>
      </c>
      <c r="E43" s="13">
        <f t="shared" si="1"/>
        <v>44.950092095142907</v>
      </c>
      <c r="F43" s="13">
        <f t="shared" si="1"/>
        <v>30.334096554749511</v>
      </c>
      <c r="G43" s="13">
        <f t="shared" si="1"/>
        <v>22.790239778511658</v>
      </c>
      <c r="H43" s="13">
        <f t="shared" si="1"/>
        <v>18.187916376861555</v>
      </c>
    </row>
    <row r="44" spans="2:9" ht="14" x14ac:dyDescent="0.3">
      <c r="B44" s="4" t="s">
        <v>156</v>
      </c>
      <c r="C44" s="30">
        <v>5</v>
      </c>
      <c r="D44" s="13">
        <f t="shared" si="1"/>
        <v>82.726141680691654</v>
      </c>
      <c r="E44" s="13">
        <f t="shared" si="1"/>
        <v>43.188491595727143</v>
      </c>
      <c r="F44" s="13">
        <f t="shared" si="1"/>
        <v>28.882476377529827</v>
      </c>
      <c r="G44" s="13">
        <f t="shared" si="1"/>
        <v>21.508428089256153</v>
      </c>
      <c r="H44" s="13">
        <f t="shared" si="1"/>
        <v>17.017170087153879</v>
      </c>
    </row>
    <row r="45" spans="2:9" ht="14" x14ac:dyDescent="0.3">
      <c r="B45" s="4" t="s">
        <v>157</v>
      </c>
      <c r="C45" s="30">
        <v>7</v>
      </c>
      <c r="D45" s="13">
        <f t="shared" si="1"/>
        <v>80.240227223056934</v>
      </c>
      <c r="E45" s="13">
        <f t="shared" si="1"/>
        <v>41.513918120777952</v>
      </c>
      <c r="F45" s="13">
        <f t="shared" si="1"/>
        <v>27.520417386081448</v>
      </c>
      <c r="G45" s="13">
        <f t="shared" si="1"/>
        <v>20.320737319407726</v>
      </c>
      <c r="H45" s="13">
        <f t="shared" si="1"/>
        <v>15.945582907770554</v>
      </c>
    </row>
    <row r="46" spans="2:9" ht="14" x14ac:dyDescent="0.3">
      <c r="B46" s="4" t="s">
        <v>158</v>
      </c>
      <c r="C46" s="30">
        <v>10</v>
      </c>
      <c r="D46" s="13">
        <f t="shared" si="1"/>
        <v>76.679195765718646</v>
      </c>
      <c r="E46" s="13">
        <f t="shared" si="1"/>
        <v>39.155109534203547</v>
      </c>
      <c r="F46" s="13">
        <f t="shared" si="1"/>
        <v>25.63211011344643</v>
      </c>
      <c r="G46" s="13">
        <f t="shared" si="1"/>
        <v>18.699143213359438</v>
      </c>
      <c r="H46" s="13">
        <f t="shared" si="1"/>
        <v>14.50396847028153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40488.181515430544</v>
      </c>
      <c r="E48" s="5">
        <f t="shared" si="2"/>
        <v>76893.060055443944</v>
      </c>
      <c r="F48" s="5">
        <f t="shared" si="2"/>
        <v>114022.38560485089</v>
      </c>
      <c r="G48" s="5">
        <f t="shared" si="2"/>
        <v>151868.73549353256</v>
      </c>
      <c r="H48" s="5">
        <f t="shared" si="2"/>
        <v>190424.70348521357</v>
      </c>
    </row>
    <row r="49" spans="2:9" ht="14" x14ac:dyDescent="0.3">
      <c r="B49" s="4" t="s">
        <v>156</v>
      </c>
      <c r="C49" s="30">
        <v>5</v>
      </c>
      <c r="D49" s="5">
        <f t="shared" si="2"/>
        <v>39487.092798560603</v>
      </c>
      <c r="E49" s="5">
        <f t="shared" si="2"/>
        <v>75803.78946799149</v>
      </c>
      <c r="F49" s="5">
        <f t="shared" si="2"/>
        <v>113593.04872695256</v>
      </c>
      <c r="G49" s="5">
        <f t="shared" si="2"/>
        <v>152852.51161207611</v>
      </c>
      <c r="H49" s="5">
        <f t="shared" si="2"/>
        <v>193579.04906572981</v>
      </c>
    </row>
    <row r="50" spans="2:9" ht="14" x14ac:dyDescent="0.3">
      <c r="B50" s="4" t="s">
        <v>157</v>
      </c>
      <c r="C50" s="30">
        <v>7</v>
      </c>
      <c r="D50" s="5">
        <f t="shared" si="2"/>
        <v>38440.990424634241</v>
      </c>
      <c r="E50" s="5">
        <f t="shared" si="2"/>
        <v>74640.540272416882</v>
      </c>
      <c r="F50" s="5">
        <f t="shared" si="2"/>
        <v>113084.60415700142</v>
      </c>
      <c r="G50" s="5">
        <f t="shared" si="2"/>
        <v>153788.19333840592</v>
      </c>
      <c r="H50" s="5">
        <f t="shared" si="2"/>
        <v>196763.82979868655</v>
      </c>
    </row>
    <row r="51" spans="2:9" ht="14" x14ac:dyDescent="0.3">
      <c r="B51" s="4" t="s">
        <v>158</v>
      </c>
      <c r="C51" s="30">
        <v>10</v>
      </c>
      <c r="D51" s="5">
        <f t="shared" si="2"/>
        <v>36785.561409003509</v>
      </c>
      <c r="E51" s="5">
        <f t="shared" si="2"/>
        <v>72754.137502432597</v>
      </c>
      <c r="F51" s="5">
        <f t="shared" si="2"/>
        <v>112170.24408408138</v>
      </c>
      <c r="G51" s="5">
        <f t="shared" si="2"/>
        <v>155097.41145383447</v>
      </c>
      <c r="H51" s="5">
        <f t="shared" si="2"/>
        <v>201591.92244078856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0.20440214616965052</v>
      </c>
      <c r="E53" s="14">
        <f t="shared" si="3"/>
        <v>0.38818998316569459</v>
      </c>
      <c r="F53" s="14">
        <f t="shared" si="3"/>
        <v>0.57563514726223564</v>
      </c>
      <c r="G53" s="14">
        <f t="shared" si="3"/>
        <v>0.76670016555617426</v>
      </c>
      <c r="H53" s="14">
        <f t="shared" si="3"/>
        <v>0.96134764810968021</v>
      </c>
    </row>
    <row r="54" spans="2:9" ht="14" x14ac:dyDescent="0.3">
      <c r="B54" s="4" t="s">
        <v>156</v>
      </c>
      <c r="C54" s="30">
        <v>5</v>
      </c>
      <c r="D54" s="14">
        <f t="shared" si="3"/>
        <v>0.19934821006840941</v>
      </c>
      <c r="E54" s="14">
        <f t="shared" si="3"/>
        <v>0.38269086620115755</v>
      </c>
      <c r="F54" s="14">
        <f t="shared" si="3"/>
        <v>0.57346766588896747</v>
      </c>
      <c r="G54" s="14">
        <f t="shared" si="3"/>
        <v>0.77166670004733473</v>
      </c>
      <c r="H54" s="14">
        <f t="shared" si="3"/>
        <v>0.97727217181723536</v>
      </c>
    </row>
    <row r="55" spans="2:9" ht="14" x14ac:dyDescent="0.3">
      <c r="B55" s="4" t="s">
        <v>157</v>
      </c>
      <c r="C55" s="30">
        <v>7</v>
      </c>
      <c r="D55" s="14">
        <f t="shared" si="3"/>
        <v>0.19406702523025551</v>
      </c>
      <c r="E55" s="14">
        <f t="shared" si="3"/>
        <v>0.37681827268853085</v>
      </c>
      <c r="F55" s="14">
        <f t="shared" si="3"/>
        <v>0.5709008140962607</v>
      </c>
      <c r="G55" s="14">
        <f t="shared" si="3"/>
        <v>0.77639043289566345</v>
      </c>
      <c r="H55" s="14">
        <f t="shared" si="3"/>
        <v>0.99335034555907209</v>
      </c>
    </row>
    <row r="56" spans="2:9" ht="14" x14ac:dyDescent="0.3">
      <c r="B56" s="4" t="s">
        <v>158</v>
      </c>
      <c r="C56" s="30">
        <v>10</v>
      </c>
      <c r="D56" s="14">
        <f t="shared" si="3"/>
        <v>0.18570969153529873</v>
      </c>
      <c r="E56" s="14">
        <f t="shared" si="3"/>
        <v>0.3672948819040322</v>
      </c>
      <c r="F56" s="14">
        <f t="shared" si="3"/>
        <v>0.56628472233117455</v>
      </c>
      <c r="G56" s="14">
        <f t="shared" si="3"/>
        <v>0.78299994170987863</v>
      </c>
      <c r="H56" s="14">
        <f t="shared" si="3"/>
        <v>1.0177246805134696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113593.04872695256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5.3699999999999998E-2</v>
      </c>
      <c r="C63" s="5">
        <f>IFERROR($C$60/B63,"N/A")</f>
        <v>2115326.791935802</v>
      </c>
      <c r="D63" s="14">
        <f>IFERROR(C63/'DCF Model'!C17,"N/A")</f>
        <v>1.1459968317599587</v>
      </c>
    </row>
    <row r="64" spans="2:9" ht="14" x14ac:dyDescent="0.3">
      <c r="B64" s="31">
        <v>8.0500000000000002E-2</v>
      </c>
      <c r="C64" s="5">
        <f>IFERROR($C$60/B64,"N/A")</f>
        <v>1411093.7730056217</v>
      </c>
      <c r="D64" s="14">
        <f>IFERROR(C64/'DCF Model'!C17,"N/A")</f>
        <v>0.76447242068956234</v>
      </c>
    </row>
    <row r="65" spans="2:9" ht="14" x14ac:dyDescent="0.3">
      <c r="B65" s="4" t="s">
        <v>168</v>
      </c>
      <c r="C65" s="5">
        <f>IFERROR($C$60/$C$18,"N/A")</f>
        <v>1058529.5564044919</v>
      </c>
      <c r="D65" s="14">
        <f>IFERROR(C65/'DCF Model'!C17,"N/A")</f>
        <v>0.57346766588896758</v>
      </c>
    </row>
    <row r="66" spans="2:9" ht="14" x14ac:dyDescent="0.3">
      <c r="B66" s="31">
        <v>0.1341</v>
      </c>
      <c r="C66" s="5">
        <f>IFERROR($C$60/B66,"N/A")</f>
        <v>847077.17171478423</v>
      </c>
      <c r="D66" s="14">
        <f>IFERROR(C66/'DCF Model'!C17,"N/A")</f>
        <v>0.45891148296427869</v>
      </c>
    </row>
    <row r="67" spans="2:9" ht="14" x14ac:dyDescent="0.3">
      <c r="B67" s="31">
        <v>0.161</v>
      </c>
      <c r="C67" s="5">
        <f>IFERROR($C$60/B67,"N/A")</f>
        <v>705546.88650281087</v>
      </c>
      <c r="D67" s="14">
        <f>IFERROR(C67/'DCF Model'!C17,"N/A")</f>
        <v>0.38223621034478117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7.2749173200187274</v>
      </c>
    </row>
    <row r="71" spans="2:9" ht="13.5" x14ac:dyDescent="0.25">
      <c r="B71" s="6" t="s">
        <v>171</v>
      </c>
      <c r="C71" s="14">
        <f>IFERROR(C10/'Comps Analysis'!F5,"N/A")</f>
        <v>1.4816263155419755</v>
      </c>
    </row>
    <row r="72" spans="2:9" ht="14" x14ac:dyDescent="0.3">
      <c r="B72" s="4" t="s">
        <v>172</v>
      </c>
      <c r="C72" s="14">
        <f>IFERROR(C10/(C25+'DCF Model'!G42),"N/A")</f>
        <v>8.7713872285033947</v>
      </c>
    </row>
    <row r="73" spans="2:9" ht="14" x14ac:dyDescent="0.3">
      <c r="B73" s="4" t="s">
        <v>173</v>
      </c>
      <c r="C73" s="14">
        <f>IFERROR(C10/(C60+'DCF Model'!G42),"N/A")</f>
        <v>8.7934216565409979</v>
      </c>
    </row>
    <row r="74" spans="2:9" ht="14" x14ac:dyDescent="0.3">
      <c r="B74" s="4" t="s">
        <v>174</v>
      </c>
      <c r="C74" s="14">
        <f>IFERROR('Comps Analysis'!D16,"N/A")</f>
        <v>10.168761395463049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3,020 yen the market is paying for a steady-state operating profit of 113,593 mn JPY - 0.57x the FY2026 cycle peak of 198,081 mn - reached in 5 years and sustained for ever, against 198,081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114,374 mn, or 0.58x the peak. The base case supports an EV of only 4,422,985 mn, leaving -3,710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48.173498244701598</v>
      </c>
      <c r="D5" s="34">
        <f>CHOOSE('DCF Model'!$D$27,D25,D26,D27,D28,D29)</f>
        <v>50</v>
      </c>
      <c r="E5" s="34">
        <f>CHOOSE('DCF Model'!$D$27,E25,E26,E27,E28,E29)</f>
        <v>50</v>
      </c>
      <c r="F5" s="34">
        <f>CHOOSE('DCF Model'!$D$27,F25,F26,F27,F28,F29)</f>
        <v>50</v>
      </c>
      <c r="G5" s="34">
        <f>CHOOSE('DCF Model'!$D$27,G25,G26,G27,G28,G29)</f>
        <v>50</v>
      </c>
      <c r="H5" s="34">
        <f>CHOOSE('DCF Model'!$D$27,H25,H26,H27,H28,H29)</f>
        <v>50</v>
      </c>
    </row>
    <row r="6" spans="2:8" ht="14" x14ac:dyDescent="0.3">
      <c r="B6" s="33" t="s">
        <v>181</v>
      </c>
      <c r="C6" s="34">
        <f>C13/C10*365</f>
        <v>54.22778298589904</v>
      </c>
      <c r="D6" s="34">
        <f>CHOOSE('DCF Model'!$D$27,D32,D33,D34,D35,D36)</f>
        <v>51</v>
      </c>
      <c r="E6" s="34">
        <f>CHOOSE('DCF Model'!$D$27,E32,E33,E34,E35,E36)</f>
        <v>51</v>
      </c>
      <c r="F6" s="34">
        <f>CHOOSE('DCF Model'!$D$27,F32,F33,F34,F35,F36)</f>
        <v>51</v>
      </c>
      <c r="G6" s="34">
        <f>CHOOSE('DCF Model'!$D$27,G32,G33,G34,G35,G36)</f>
        <v>51</v>
      </c>
      <c r="H6" s="34">
        <f>CHOOSE('DCF Model'!$D$27,H32,H33,H34,H35,H36)</f>
        <v>51</v>
      </c>
    </row>
    <row r="7" spans="2:8" ht="14" x14ac:dyDescent="0.3">
      <c r="B7" s="33" t="s">
        <v>182</v>
      </c>
      <c r="C7" s="34">
        <f>C15/C10*365</f>
        <v>18.15050056992186</v>
      </c>
      <c r="D7" s="34">
        <f>CHOOSE('DCF Model'!$D$27,D39,D40,D41,D42,D43)</f>
        <v>19</v>
      </c>
      <c r="E7" s="34">
        <f>CHOOSE('DCF Model'!$D$27,E39,E40,E41,E42,E43)</f>
        <v>19</v>
      </c>
      <c r="F7" s="34">
        <f>CHOOSE('DCF Model'!$D$27,F39,F40,F41,F42,F43)</f>
        <v>19</v>
      </c>
      <c r="G7" s="34">
        <f>CHOOSE('DCF Model'!$D$27,G39,G40,G41,G42,G43)</f>
        <v>19</v>
      </c>
      <c r="H7" s="34">
        <f>CHOOSE('DCF Model'!$D$27,H39,H40,H41,H42,H43)</f>
        <v>19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1845840</v>
      </c>
      <c r="D9" s="35">
        <f>'DCF Model'!C33</f>
        <v>1891985.9999999998</v>
      </c>
      <c r="E9" s="35">
        <f>'DCF Model'!D33</f>
        <v>1939285.6499999997</v>
      </c>
      <c r="F9" s="35">
        <f>'DCF Model'!E33</f>
        <v>1978071.3629999997</v>
      </c>
      <c r="G9" s="35">
        <f>'DCF Model'!F33</f>
        <v>2017632.7902599997</v>
      </c>
      <c r="H9" s="35">
        <f>'DCF Model'!G33</f>
        <v>2047897.2821138995</v>
      </c>
    </row>
    <row r="10" spans="2:8" ht="14" x14ac:dyDescent="0.3">
      <c r="B10" s="33" t="s">
        <v>38</v>
      </c>
      <c r="C10" s="35">
        <v>1383523</v>
      </c>
      <c r="D10" s="35">
        <f>'DCF Model'!C34</f>
        <v>1418989.4999999998</v>
      </c>
      <c r="E10" s="35">
        <f>'DCF Model'!D34</f>
        <v>1454464.2374999998</v>
      </c>
      <c r="F10" s="35">
        <f>'DCF Model'!E34</f>
        <v>1483553.5222499997</v>
      </c>
      <c r="G10" s="35">
        <f>'DCF Model'!F34</f>
        <v>1513224.5926949997</v>
      </c>
      <c r="H10" s="35">
        <f>'DCF Model'!G34</f>
        <v>1535922.9615854246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243618</v>
      </c>
      <c r="D12" s="35">
        <f t="shared" ref="D12:H13" si="0">D9*D5/365</f>
        <v>259176.16438356161</v>
      </c>
      <c r="E12" s="35">
        <f t="shared" si="0"/>
        <v>265655.56849315064</v>
      </c>
      <c r="F12" s="35">
        <f t="shared" si="0"/>
        <v>270968.67986301362</v>
      </c>
      <c r="G12" s="35">
        <f t="shared" si="0"/>
        <v>276388.05346027395</v>
      </c>
      <c r="H12" s="35">
        <f t="shared" si="0"/>
        <v>280533.87426217803</v>
      </c>
    </row>
    <row r="13" spans="2:8" ht="14" x14ac:dyDescent="0.3">
      <c r="B13" s="33" t="s">
        <v>186</v>
      </c>
      <c r="C13" s="35">
        <v>205549</v>
      </c>
      <c r="D13" s="35">
        <f t="shared" si="0"/>
        <v>198269.76575342461</v>
      </c>
      <c r="E13" s="35">
        <f t="shared" si="0"/>
        <v>203226.50989726026</v>
      </c>
      <c r="F13" s="35">
        <f t="shared" si="0"/>
        <v>207291.04009520542</v>
      </c>
      <c r="G13" s="35">
        <f t="shared" si="0"/>
        <v>211436.86089710952</v>
      </c>
      <c r="H13" s="35">
        <f t="shared" si="0"/>
        <v>214608.41381056618</v>
      </c>
    </row>
    <row r="14" spans="2:8" ht="14" x14ac:dyDescent="0.3">
      <c r="B14" s="33" t="s">
        <v>187</v>
      </c>
      <c r="C14" s="35">
        <f t="shared" ref="C14:H14" si="1">C12+C13</f>
        <v>449167</v>
      </c>
      <c r="D14" s="35">
        <f t="shared" si="1"/>
        <v>457445.93013698619</v>
      </c>
      <c r="E14" s="35">
        <f t="shared" si="1"/>
        <v>468882.07839041087</v>
      </c>
      <c r="F14" s="35">
        <f t="shared" si="1"/>
        <v>478259.71995821904</v>
      </c>
      <c r="G14" s="35">
        <f t="shared" si="1"/>
        <v>487824.9143573835</v>
      </c>
      <c r="H14" s="35">
        <f t="shared" si="1"/>
        <v>495142.28807274421</v>
      </c>
    </row>
    <row r="15" spans="2:8" ht="14" x14ac:dyDescent="0.3">
      <c r="B15" s="33" t="s">
        <v>188</v>
      </c>
      <c r="C15" s="35">
        <v>68799</v>
      </c>
      <c r="D15" s="35">
        <f>D10*D7/365</f>
        <v>73865.206849315058</v>
      </c>
      <c r="E15" s="35">
        <f>E10*E7/365</f>
        <v>75711.83702054793</v>
      </c>
      <c r="F15" s="35">
        <f>F10*F7/365</f>
        <v>77226.073760958883</v>
      </c>
      <c r="G15" s="35">
        <f>G10*G7/365</f>
        <v>78770.595236178066</v>
      </c>
      <c r="H15" s="35">
        <f>H10*H7/365</f>
        <v>79952.154164720734</v>
      </c>
    </row>
    <row r="16" spans="2:8" ht="14" x14ac:dyDescent="0.3">
      <c r="B16" s="33" t="s">
        <v>189</v>
      </c>
      <c r="C16" s="35">
        <f t="shared" ref="C16:H16" si="2">C15</f>
        <v>68799</v>
      </c>
      <c r="D16" s="35">
        <f t="shared" si="2"/>
        <v>73865.206849315058</v>
      </c>
      <c r="E16" s="35">
        <f t="shared" si="2"/>
        <v>75711.83702054793</v>
      </c>
      <c r="F16" s="35">
        <f t="shared" si="2"/>
        <v>77226.073760958883</v>
      </c>
      <c r="G16" s="35">
        <f t="shared" si="2"/>
        <v>78770.595236178066</v>
      </c>
      <c r="H16" s="35">
        <f t="shared" si="2"/>
        <v>79952.154164720734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380368</v>
      </c>
      <c r="D18" s="20">
        <f t="shared" si="3"/>
        <v>383580.72328767111</v>
      </c>
      <c r="E18" s="20">
        <f t="shared" si="3"/>
        <v>393170.24136986292</v>
      </c>
      <c r="F18" s="20">
        <f t="shared" si="3"/>
        <v>401033.64619726012</v>
      </c>
      <c r="G18" s="20">
        <f t="shared" si="3"/>
        <v>409054.31912120542</v>
      </c>
      <c r="H18" s="20">
        <f t="shared" si="3"/>
        <v>415190.13390802348</v>
      </c>
    </row>
    <row r="19" spans="2:8" ht="14" x14ac:dyDescent="0.3">
      <c r="B19" s="33" t="s">
        <v>100</v>
      </c>
      <c r="C19" s="36" t="s">
        <v>47</v>
      </c>
      <c r="D19" s="24">
        <f>D18-C18</f>
        <v>3212.7232876711059</v>
      </c>
      <c r="E19" s="24">
        <f>E18-D18</f>
        <v>9589.5180821918184</v>
      </c>
      <c r="F19" s="24">
        <f>F18-E18</f>
        <v>7863.4048273972003</v>
      </c>
      <c r="G19" s="24">
        <f>G18-F18</f>
        <v>8020.672923945298</v>
      </c>
      <c r="H19" s="24">
        <f>H18-G18</f>
        <v>6135.8147868180531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50</v>
      </c>
      <c r="E25" s="30">
        <v>50</v>
      </c>
      <c r="F25" s="30">
        <v>50</v>
      </c>
      <c r="G25" s="30">
        <v>50</v>
      </c>
      <c r="H25" s="30">
        <v>50</v>
      </c>
    </row>
    <row r="26" spans="2:8" ht="14" x14ac:dyDescent="0.3">
      <c r="B26" s="4" t="s">
        <v>121</v>
      </c>
      <c r="D26" s="30">
        <v>47</v>
      </c>
      <c r="E26" s="30">
        <v>47</v>
      </c>
      <c r="F26" s="30">
        <v>47</v>
      </c>
      <c r="G26" s="30">
        <v>47</v>
      </c>
      <c r="H26" s="30">
        <v>47</v>
      </c>
    </row>
    <row r="27" spans="2:8" ht="14" x14ac:dyDescent="0.3">
      <c r="B27" s="4" t="s">
        <v>122</v>
      </c>
      <c r="D27" s="30">
        <v>50</v>
      </c>
      <c r="E27" s="30">
        <v>50</v>
      </c>
      <c r="F27" s="30">
        <v>50</v>
      </c>
      <c r="G27" s="30">
        <v>50</v>
      </c>
      <c r="H27" s="30">
        <v>50</v>
      </c>
    </row>
    <row r="28" spans="2:8" ht="14" x14ac:dyDescent="0.3">
      <c r="B28" s="4" t="s">
        <v>123</v>
      </c>
      <c r="D28" s="30">
        <v>54</v>
      </c>
      <c r="E28" s="30">
        <v>54</v>
      </c>
      <c r="F28" s="30">
        <v>54</v>
      </c>
      <c r="G28" s="30">
        <v>54</v>
      </c>
      <c r="H28" s="30">
        <v>54</v>
      </c>
    </row>
    <row r="29" spans="2:8" ht="14" x14ac:dyDescent="0.3">
      <c r="B29" s="4" t="s">
        <v>124</v>
      </c>
      <c r="D29" s="30">
        <v>58</v>
      </c>
      <c r="E29" s="30">
        <v>58</v>
      </c>
      <c r="F29" s="30">
        <v>58</v>
      </c>
      <c r="G29" s="30">
        <v>58</v>
      </c>
      <c r="H29" s="30">
        <v>58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51</v>
      </c>
      <c r="E32" s="30">
        <v>51</v>
      </c>
      <c r="F32" s="30">
        <v>51</v>
      </c>
      <c r="G32" s="30">
        <v>51</v>
      </c>
      <c r="H32" s="30">
        <v>51</v>
      </c>
    </row>
    <row r="33" spans="2:8" ht="14" x14ac:dyDescent="0.3">
      <c r="B33" s="4" t="s">
        <v>121</v>
      </c>
      <c r="D33" s="30">
        <v>45</v>
      </c>
      <c r="E33" s="30">
        <v>45</v>
      </c>
      <c r="F33" s="30">
        <v>45</v>
      </c>
      <c r="G33" s="30">
        <v>45</v>
      </c>
      <c r="H33" s="30">
        <v>45</v>
      </c>
    </row>
    <row r="34" spans="2:8" ht="14" x14ac:dyDescent="0.3">
      <c r="B34" s="4" t="s">
        <v>122</v>
      </c>
      <c r="D34" s="30">
        <v>51</v>
      </c>
      <c r="E34" s="30">
        <v>51</v>
      </c>
      <c r="F34" s="30">
        <v>51</v>
      </c>
      <c r="G34" s="30">
        <v>51</v>
      </c>
      <c r="H34" s="30">
        <v>51</v>
      </c>
    </row>
    <row r="35" spans="2:8" ht="14" x14ac:dyDescent="0.3">
      <c r="B35" s="4" t="s">
        <v>123</v>
      </c>
      <c r="D35" s="30">
        <v>58</v>
      </c>
      <c r="E35" s="30">
        <v>58</v>
      </c>
      <c r="F35" s="30">
        <v>58</v>
      </c>
      <c r="G35" s="30">
        <v>58</v>
      </c>
      <c r="H35" s="30">
        <v>58</v>
      </c>
    </row>
    <row r="36" spans="2:8" ht="14" x14ac:dyDescent="0.3">
      <c r="B36" s="4" t="s">
        <v>124</v>
      </c>
      <c r="D36" s="30">
        <v>65</v>
      </c>
      <c r="E36" s="30">
        <v>65</v>
      </c>
      <c r="F36" s="30">
        <v>65</v>
      </c>
      <c r="G36" s="30">
        <v>65</v>
      </c>
      <c r="H36" s="30">
        <v>65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19</v>
      </c>
      <c r="E39" s="30">
        <v>19</v>
      </c>
      <c r="F39" s="30">
        <v>19</v>
      </c>
      <c r="G39" s="30">
        <v>19</v>
      </c>
      <c r="H39" s="30">
        <v>19</v>
      </c>
    </row>
    <row r="40" spans="2:8" ht="14" x14ac:dyDescent="0.3">
      <c r="B40" s="4" t="s">
        <v>121</v>
      </c>
      <c r="D40" s="30">
        <v>21</v>
      </c>
      <c r="E40" s="30">
        <v>21</v>
      </c>
      <c r="F40" s="30">
        <v>21</v>
      </c>
      <c r="G40" s="30">
        <v>21</v>
      </c>
      <c r="H40" s="30">
        <v>21</v>
      </c>
    </row>
    <row r="41" spans="2:8" ht="14" x14ac:dyDescent="0.3">
      <c r="B41" s="4" t="s">
        <v>122</v>
      </c>
      <c r="D41" s="30">
        <v>19</v>
      </c>
      <c r="E41" s="30">
        <v>19</v>
      </c>
      <c r="F41" s="30">
        <v>19</v>
      </c>
      <c r="G41" s="30">
        <v>19</v>
      </c>
      <c r="H41" s="30">
        <v>19</v>
      </c>
    </row>
    <row r="42" spans="2:8" ht="14" x14ac:dyDescent="0.3">
      <c r="B42" s="4" t="s">
        <v>123</v>
      </c>
      <c r="D42" s="30">
        <v>16</v>
      </c>
      <c r="E42" s="30">
        <v>16</v>
      </c>
      <c r="F42" s="30">
        <v>16</v>
      </c>
      <c r="G42" s="30">
        <v>16</v>
      </c>
      <c r="H42" s="30">
        <v>16</v>
      </c>
    </row>
    <row r="43" spans="2:8" ht="14" x14ac:dyDescent="0.3">
      <c r="B43" s="4" t="s">
        <v>124</v>
      </c>
      <c r="D43" s="30">
        <v>13</v>
      </c>
      <c r="E43" s="30">
        <v>13</v>
      </c>
      <c r="F43" s="30">
        <v>13</v>
      </c>
      <c r="G43" s="30">
        <v>13</v>
      </c>
      <c r="H43" s="30">
        <v>13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1374353.1182800001</v>
      </c>
      <c r="E5" s="37">
        <f>D5+C24</f>
        <v>2734845.1182800001</v>
      </c>
      <c r="F5" s="37">
        <v>1845840</v>
      </c>
      <c r="G5" s="37">
        <v>375928</v>
      </c>
      <c r="H5" s="37">
        <v>198081</v>
      </c>
      <c r="I5" s="37">
        <v>127499</v>
      </c>
      <c r="J5" s="38">
        <f t="shared" ref="J5:J10" si="0">IFERROR(E5/G5,"")</f>
        <v>7.2749173200187274</v>
      </c>
      <c r="K5" s="38">
        <f t="shared" ref="K5:K10" si="1">IFERROR(E5/F5,"")</f>
        <v>1.4816263155419755</v>
      </c>
      <c r="L5" s="38">
        <f t="shared" ref="L5:L10" si="2">IFERROR(D5/I5,"")</f>
        <v>10.779324687095585</v>
      </c>
      <c r="M5" s="38">
        <f t="shared" ref="M5:M10" si="3">IFERROR(D5/P5,"")</f>
        <v>1.137987437561325</v>
      </c>
      <c r="N5" s="39">
        <f t="shared" ref="N5:N10" si="4">IFERROR(H5/F5,"")</f>
        <v>0.10731211806007021</v>
      </c>
      <c r="O5" s="39">
        <f t="shared" ref="O5:O10" si="5">IFERROR(I5/P5,"")</f>
        <v>0.10557131087475832</v>
      </c>
      <c r="P5" s="37">
        <v>1207705</v>
      </c>
    </row>
    <row r="6" spans="2:17" ht="14" x14ac:dyDescent="0.3">
      <c r="B6" s="4" t="s">
        <v>214</v>
      </c>
      <c r="C6" t="s">
        <v>215</v>
      </c>
      <c r="D6" s="37">
        <v>3974321</v>
      </c>
      <c r="E6" s="37">
        <v>8572154</v>
      </c>
      <c r="F6" s="37">
        <v>3084679</v>
      </c>
      <c r="G6" s="37">
        <v>842989</v>
      </c>
      <c r="H6" s="37">
        <v>414259</v>
      </c>
      <c r="I6" s="37">
        <v>247846</v>
      </c>
      <c r="J6" s="38">
        <f t="shared" si="0"/>
        <v>10.168761395463049</v>
      </c>
      <c r="K6" s="38">
        <f t="shared" si="1"/>
        <v>2.7789452322267567</v>
      </c>
      <c r="L6" s="38">
        <f t="shared" si="2"/>
        <v>16.035445397545249</v>
      </c>
      <c r="M6" s="38">
        <f t="shared" si="3"/>
        <v>1.304292791722512</v>
      </c>
      <c r="N6" s="39">
        <f t="shared" si="4"/>
        <v>0.13429565928902165</v>
      </c>
      <c r="O6" s="39">
        <f t="shared" si="5"/>
        <v>8.1338108134007728E-2</v>
      </c>
      <c r="P6" s="37">
        <v>3047108</v>
      </c>
    </row>
    <row r="7" spans="2:17" ht="14" x14ac:dyDescent="0.3">
      <c r="B7" s="4" t="s">
        <v>216</v>
      </c>
      <c r="C7" t="s">
        <v>217</v>
      </c>
      <c r="D7" s="37">
        <v>3661759</v>
      </c>
      <c r="E7" s="37">
        <v>7624150</v>
      </c>
      <c r="F7" s="37">
        <v>2006218</v>
      </c>
      <c r="G7" s="37">
        <v>1036103</v>
      </c>
      <c r="H7" s="37">
        <v>830168</v>
      </c>
      <c r="I7" s="37">
        <v>552871</v>
      </c>
      <c r="J7" s="38">
        <f t="shared" si="0"/>
        <v>7.358486559733926</v>
      </c>
      <c r="K7" s="38">
        <f t="shared" si="1"/>
        <v>3.8002599916858486</v>
      </c>
      <c r="L7" s="38">
        <f t="shared" si="2"/>
        <v>6.6231706853859222</v>
      </c>
      <c r="M7" s="38">
        <f t="shared" si="3"/>
        <v>0.72250278651478772</v>
      </c>
      <c r="N7" s="39">
        <f t="shared" si="4"/>
        <v>0.41379750356142753</v>
      </c>
      <c r="O7" s="39">
        <f t="shared" si="5"/>
        <v>0.10908714584526649</v>
      </c>
      <c r="P7" s="37">
        <v>5068159</v>
      </c>
    </row>
    <row r="8" spans="2:17" ht="14" x14ac:dyDescent="0.3">
      <c r="B8" s="4" t="s">
        <v>218</v>
      </c>
      <c r="C8" t="s">
        <v>219</v>
      </c>
      <c r="D8" s="37">
        <v>1101176</v>
      </c>
      <c r="E8" s="37">
        <v>2463457</v>
      </c>
      <c r="F8" s="37">
        <v>1203506</v>
      </c>
      <c r="G8" s="37">
        <v>198526</v>
      </c>
      <c r="H8" s="37">
        <v>127137</v>
      </c>
      <c r="I8" s="37">
        <v>78538</v>
      </c>
      <c r="J8" s="38">
        <f t="shared" si="0"/>
        <v>12.408737394598189</v>
      </c>
      <c r="K8" s="38">
        <f t="shared" si="1"/>
        <v>2.0469004724529833</v>
      </c>
      <c r="L8" s="38">
        <f t="shared" si="2"/>
        <v>14.020932542208866</v>
      </c>
      <c r="M8" s="38">
        <f t="shared" si="3"/>
        <v>0.99748991572965007</v>
      </c>
      <c r="N8" s="39">
        <f t="shared" si="4"/>
        <v>0.10563885846850785</v>
      </c>
      <c r="O8" s="39">
        <f t="shared" si="5"/>
        <v>7.1142908128741689E-2</v>
      </c>
      <c r="P8" s="37">
        <v>1103947</v>
      </c>
    </row>
    <row r="9" spans="2:17" ht="14" x14ac:dyDescent="0.3">
      <c r="B9" s="4" t="s">
        <v>220</v>
      </c>
      <c r="C9" t="s">
        <v>221</v>
      </c>
      <c r="D9" s="37">
        <v>917799</v>
      </c>
      <c r="E9" s="37">
        <v>2219002</v>
      </c>
      <c r="F9" s="37">
        <v>1086179</v>
      </c>
      <c r="G9" s="37">
        <v>191777</v>
      </c>
      <c r="H9" s="37">
        <v>103194</v>
      </c>
      <c r="I9" s="37">
        <v>87071</v>
      </c>
      <c r="J9" s="38">
        <f t="shared" si="0"/>
        <v>11.570741016910265</v>
      </c>
      <c r="K9" s="38">
        <f t="shared" si="1"/>
        <v>2.0429431981284853</v>
      </c>
      <c r="L9" s="38">
        <f t="shared" si="2"/>
        <v>10.540811521631772</v>
      </c>
      <c r="M9" s="38">
        <f t="shared" si="3"/>
        <v>1.0054038599312496</v>
      </c>
      <c r="N9" s="39">
        <f t="shared" si="4"/>
        <v>9.5006440006665568E-2</v>
      </c>
      <c r="O9" s="39">
        <f t="shared" si="5"/>
        <v>9.5382016637710246E-2</v>
      </c>
      <c r="P9" s="37">
        <v>912866</v>
      </c>
    </row>
    <row r="10" spans="2:17" ht="14" x14ac:dyDescent="0.3">
      <c r="B10" s="4" t="s">
        <v>222</v>
      </c>
      <c r="C10" t="s">
        <v>223</v>
      </c>
      <c r="D10" s="37">
        <v>622269</v>
      </c>
      <c r="E10" s="37">
        <v>579371</v>
      </c>
      <c r="F10" s="37">
        <v>1865675</v>
      </c>
      <c r="G10" s="37">
        <v>96500</v>
      </c>
      <c r="H10" s="37">
        <v>28307</v>
      </c>
      <c r="I10" s="37">
        <v>13662</v>
      </c>
      <c r="J10" s="38">
        <f t="shared" si="0"/>
        <v>6.0038445595854926</v>
      </c>
      <c r="K10" s="38">
        <f t="shared" si="1"/>
        <v>0.31054229702386538</v>
      </c>
      <c r="L10" s="38">
        <f t="shared" si="2"/>
        <v>45.547430830039524</v>
      </c>
      <c r="M10" s="38">
        <f t="shared" si="3"/>
        <v>1.0897270205522633</v>
      </c>
      <c r="N10" s="39">
        <f t="shared" si="4"/>
        <v>1.5172524689455558E-2</v>
      </c>
      <c r="O10" s="39">
        <f t="shared" si="5"/>
        <v>2.3925104022191401E-2</v>
      </c>
      <c r="P10" s="37">
        <v>571032</v>
      </c>
    </row>
    <row r="14" spans="2:17" ht="14" x14ac:dyDescent="0.3">
      <c r="B14" s="3" t="s">
        <v>224</v>
      </c>
    </row>
    <row r="15" spans="2:17" ht="14" x14ac:dyDescent="0.3">
      <c r="B15" s="4" t="s">
        <v>225</v>
      </c>
      <c r="D15" s="38">
        <f t="shared" ref="D15:I15" si="6">PERCENTILE(J6:J10,0.25)</f>
        <v>7.358486559733926</v>
      </c>
      <c r="E15" s="38">
        <f t="shared" si="6"/>
        <v>2.0429431981284853</v>
      </c>
      <c r="F15" s="38">
        <f t="shared" si="6"/>
        <v>10.540811521631772</v>
      </c>
      <c r="G15" s="38">
        <f t="shared" si="6"/>
        <v>0.99748991572965007</v>
      </c>
      <c r="H15" s="39">
        <f t="shared" si="6"/>
        <v>9.5006440006665568E-2</v>
      </c>
      <c r="I15" s="39">
        <f t="shared" si="6"/>
        <v>7.1142908128741689E-2</v>
      </c>
    </row>
    <row r="16" spans="2:17" ht="14" x14ac:dyDescent="0.3">
      <c r="B16" s="4" t="s">
        <v>226</v>
      </c>
      <c r="D16" s="38">
        <f t="shared" ref="D16:I16" si="7">MEDIAN(J6:J10)</f>
        <v>10.168761395463049</v>
      </c>
      <c r="E16" s="38">
        <f t="shared" si="7"/>
        <v>2.0469004724529833</v>
      </c>
      <c r="F16" s="38">
        <f t="shared" si="7"/>
        <v>14.020932542208866</v>
      </c>
      <c r="G16" s="38">
        <f t="shared" si="7"/>
        <v>1.0054038599312496</v>
      </c>
      <c r="H16" s="39">
        <f t="shared" si="7"/>
        <v>0.10563885846850785</v>
      </c>
      <c r="I16" s="39">
        <f t="shared" si="7"/>
        <v>8.1338108134007728E-2</v>
      </c>
    </row>
    <row r="17" spans="2:9" ht="14" x14ac:dyDescent="0.3">
      <c r="B17" s="4" t="s">
        <v>227</v>
      </c>
      <c r="D17" s="38">
        <f t="shared" ref="D17:I17" si="8">PERCENTILE(J6:J10,0.75)</f>
        <v>11.570741016910265</v>
      </c>
      <c r="E17" s="38">
        <f t="shared" si="8"/>
        <v>2.7789452322267567</v>
      </c>
      <c r="F17" s="38">
        <f t="shared" si="8"/>
        <v>16.035445397545249</v>
      </c>
      <c r="G17" s="38">
        <f t="shared" si="8"/>
        <v>1.0897270205522633</v>
      </c>
      <c r="H17" s="39">
        <f t="shared" si="8"/>
        <v>0.13429565928902165</v>
      </c>
      <c r="I17" s="39">
        <f t="shared" si="8"/>
        <v>9.5382016637710246E-2</v>
      </c>
    </row>
    <row r="19" spans="2:9" ht="14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229</v>
      </c>
    </row>
    <row r="21" spans="2:9" ht="14" x14ac:dyDescent="0.3">
      <c r="B21" s="4" t="s">
        <v>230</v>
      </c>
      <c r="C21" s="5">
        <v>375928</v>
      </c>
    </row>
    <row r="22" spans="2:9" ht="14" x14ac:dyDescent="0.3">
      <c r="B22" s="4" t="s">
        <v>231</v>
      </c>
      <c r="C22" s="5">
        <v>127499</v>
      </c>
    </row>
    <row r="23" spans="2:9" ht="14" x14ac:dyDescent="0.3">
      <c r="B23" s="4" t="s">
        <v>232</v>
      </c>
      <c r="C23" s="15">
        <v>455083814</v>
      </c>
    </row>
    <row r="24" spans="2:9" ht="14" x14ac:dyDescent="0.3">
      <c r="B24" s="4" t="s">
        <v>73</v>
      </c>
      <c r="C24" s="5">
        <v>1360492</v>
      </c>
    </row>
    <row r="26" spans="2:9" ht="14" x14ac:dyDescent="0.3">
      <c r="B26" s="3" t="s">
        <v>233</v>
      </c>
    </row>
    <row r="27" spans="2:9" ht="14" x14ac:dyDescent="0.3">
      <c r="B27" s="4" t="s">
        <v>234</v>
      </c>
      <c r="C27" s="24">
        <f>ROUND((C21*D16-C24)*1000000/C23,0)</f>
        <v>5410</v>
      </c>
    </row>
    <row r="28" spans="2:9" ht="14" x14ac:dyDescent="0.3">
      <c r="B28" s="4" t="s">
        <v>235</v>
      </c>
      <c r="C28" s="24">
        <f>ROUND(C22*F16*1000000/C23,0)</f>
        <v>3928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236</v>
      </c>
    </row>
    <row r="3" spans="2:9" ht="14" x14ac:dyDescent="0.3">
      <c r="B3" s="4" t="s">
        <v>237</v>
      </c>
      <c r="C3" s="16">
        <f>'DCF Model'!C26</f>
        <v>4.1365852555404786E-2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10.199999999999999</v>
      </c>
    </row>
    <row r="5" spans="2:9" ht="14" x14ac:dyDescent="0.3">
      <c r="B5" s="3" t="s">
        <v>240</v>
      </c>
    </row>
    <row r="6" spans="2:9" ht="14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2.6365852555404787E-2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10254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11703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13536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15929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19185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23873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31205</v>
      </c>
    </row>
    <row r="8" spans="2:9" ht="13.5" x14ac:dyDescent="0.25">
      <c r="B8" s="39">
        <f>$C$3-0.01</f>
        <v>3.1365852555404784E-2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7901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8853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10005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11426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13224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15570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18764</v>
      </c>
    </row>
    <row r="9" spans="2:9" ht="13.5" x14ac:dyDescent="0.25">
      <c r="B9" s="39">
        <f>$C$3-0.005</f>
        <v>3.6365852555404789E-2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6244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6913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7698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8632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9761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11155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12918</v>
      </c>
    </row>
    <row r="10" spans="2:9" ht="13.5" x14ac:dyDescent="0.25">
      <c r="B10" s="39">
        <f>$C$3</f>
        <v>4.1365852555404786E-2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5014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5507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6073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6730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7500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8416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9524</v>
      </c>
    </row>
    <row r="11" spans="2:9" ht="13.5" x14ac:dyDescent="0.25">
      <c r="B11" s="39">
        <f>$C$3+0.005</f>
        <v>4.6365852555404784E-2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4065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4442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4867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5351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5906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6550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7306</v>
      </c>
    </row>
    <row r="12" spans="2:9" ht="13.5" x14ac:dyDescent="0.25">
      <c r="B12" s="39">
        <f>$C$3+0.01</f>
        <v>5.1365852555404788E-2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3311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3607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3937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4307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4724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5199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5744</v>
      </c>
    </row>
    <row r="13" spans="2:9" ht="13.5" x14ac:dyDescent="0.25">
      <c r="B13" s="39">
        <f>$C$3+0.015</f>
        <v>5.6365852555404786E-2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2697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2935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3197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3488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3812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4175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4584</v>
      </c>
    </row>
    <row r="16" spans="2:9" ht="14" x14ac:dyDescent="0.3">
      <c r="B16" s="3" t="s">
        <v>242</v>
      </c>
    </row>
    <row r="17" spans="2:9" ht="14" x14ac:dyDescent="0.3">
      <c r="B17" s="40" t="s">
        <v>243</v>
      </c>
      <c r="C17" s="42">
        <f>$I$3-3</f>
        <v>7.1999999999999993</v>
      </c>
      <c r="D17" s="42">
        <f>$I$3-2</f>
        <v>8.1999999999999993</v>
      </c>
      <c r="E17" s="42">
        <f>$I$3-1</f>
        <v>9.1999999999999993</v>
      </c>
      <c r="F17" s="42">
        <f>$I$3</f>
        <v>10.199999999999999</v>
      </c>
      <c r="G17" s="42">
        <f>$I$3+1</f>
        <v>11.2</v>
      </c>
      <c r="H17" s="42">
        <f>$I$3+2</f>
        <v>12.2</v>
      </c>
      <c r="I17" s="42">
        <f>$I$3+3</f>
        <v>13.2</v>
      </c>
    </row>
    <row r="18" spans="2:9" ht="13.5" x14ac:dyDescent="0.25">
      <c r="B18" s="39">
        <f>$C$3-0.015</f>
        <v>2.6365852555404787E-2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3962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4768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5574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6380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7186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7992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8798</v>
      </c>
    </row>
    <row r="19" spans="2:9" ht="13.5" x14ac:dyDescent="0.25">
      <c r="B19" s="39">
        <f>$C$3-0.01</f>
        <v>3.1365852555404784E-2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3805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4592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5378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6165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6952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7738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8525</v>
      </c>
    </row>
    <row r="20" spans="2:9" ht="13.5" x14ac:dyDescent="0.25">
      <c r="B20" s="39">
        <f>$C$3-0.005</f>
        <v>3.6365852555404789E-2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3652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4420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5188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5956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6724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7492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8259</v>
      </c>
    </row>
    <row r="21" spans="2:9" ht="13.5" x14ac:dyDescent="0.25">
      <c r="B21" s="39">
        <f>$C$3</f>
        <v>4.1365852555404786E-2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3504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4253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5003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5752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6502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7252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8001</v>
      </c>
    </row>
    <row r="22" spans="2:9" ht="13.5" x14ac:dyDescent="0.25">
      <c r="B22" s="39">
        <f>$C$3+0.005</f>
        <v>4.6365852555404784E-2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3359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4091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4823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5555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6287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7018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7750</v>
      </c>
    </row>
    <row r="23" spans="2:9" ht="13.5" x14ac:dyDescent="0.25">
      <c r="B23" s="39">
        <f>$C$3+0.01</f>
        <v>5.1365852555404788E-2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3219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3933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4648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5362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6077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6792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7506</v>
      </c>
    </row>
    <row r="24" spans="2:9" ht="13.5" x14ac:dyDescent="0.25">
      <c r="B24" s="39">
        <f>$C$3+0.015</f>
        <v>5.6365852555404786E-2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3082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3780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4478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5176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5873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6571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7269</v>
      </c>
    </row>
    <row r="26" spans="2:9" ht="14" x14ac:dyDescent="0.3">
      <c r="B26" s="45" t="s">
        <v>244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245</v>
      </c>
    </row>
    <row r="4" spans="2:7" ht="14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t="s">
        <v>252</v>
      </c>
      <c r="C6" s="4" t="s">
        <v>257</v>
      </c>
      <c r="D6" t="s">
        <v>258</v>
      </c>
      <c r="E6" t="s">
        <v>259</v>
      </c>
      <c r="F6" t="s">
        <v>260</v>
      </c>
      <c r="G6" t="s">
        <v>261</v>
      </c>
    </row>
    <row r="7" spans="2:7" ht="30" customHeight="1" x14ac:dyDescent="0.3">
      <c r="B7" t="s">
        <v>252</v>
      </c>
      <c r="C7" s="4" t="s">
        <v>262</v>
      </c>
      <c r="D7" t="s">
        <v>263</v>
      </c>
      <c r="E7" t="s">
        <v>264</v>
      </c>
      <c r="F7" t="s">
        <v>265</v>
      </c>
      <c r="G7" t="s">
        <v>266</v>
      </c>
    </row>
    <row r="12" spans="2:7" ht="14" x14ac:dyDescent="0.3">
      <c r="B12" s="8" t="s">
        <v>267</v>
      </c>
    </row>
    <row r="13" spans="2:7" ht="14" x14ac:dyDescent="0.3">
      <c r="B13" s="10" t="s">
        <v>268</v>
      </c>
      <c r="C13" s="10" t="s">
        <v>269</v>
      </c>
    </row>
    <row r="14" spans="2:7" ht="14" x14ac:dyDescent="0.3">
      <c r="B14" s="4" t="s">
        <v>270</v>
      </c>
      <c r="C14" t="s">
        <v>271</v>
      </c>
    </row>
    <row r="15" spans="2:7" ht="14" x14ac:dyDescent="0.3">
      <c r="B15" s="4" t="s">
        <v>272</v>
      </c>
      <c r="C15" t="s">
        <v>273</v>
      </c>
    </row>
    <row r="16" spans="2:7" ht="14" x14ac:dyDescent="0.3">
      <c r="B16" s="4" t="s">
        <v>274</v>
      </c>
      <c r="C16" t="s">
        <v>275</v>
      </c>
    </row>
    <row r="17" spans="2:3" ht="14" x14ac:dyDescent="0.3">
      <c r="B17" s="4" t="s">
        <v>276</v>
      </c>
      <c r="C17" t="s">
        <v>273</v>
      </c>
    </row>
    <row r="18" spans="2:3" ht="14" x14ac:dyDescent="0.3">
      <c r="B18" s="4" t="s">
        <v>277</v>
      </c>
      <c r="C18" t="s">
        <v>278</v>
      </c>
    </row>
    <row r="19" spans="2:3" ht="14" x14ac:dyDescent="0.3">
      <c r="B19" s="4" t="s">
        <v>279</v>
      </c>
      <c r="C19" t="s">
        <v>280</v>
      </c>
    </row>
    <row r="20" spans="2:3" ht="14" x14ac:dyDescent="0.3">
      <c r="B20" s="4" t="s">
        <v>281</v>
      </c>
      <c r="C20" t="s">
        <v>282</v>
      </c>
    </row>
    <row r="21" spans="2:3" ht="14" x14ac:dyDescent="0.3">
      <c r="B21" s="4" t="s">
        <v>283</v>
      </c>
      <c r="C21" t="s">
        <v>284</v>
      </c>
    </row>
    <row r="22" spans="2:3" ht="14" x14ac:dyDescent="0.3">
      <c r="B22" s="4" t="s">
        <v>285</v>
      </c>
      <c r="C22" t="s">
        <v>286</v>
      </c>
    </row>
    <row r="23" spans="2:3" ht="14" x14ac:dyDescent="0.3">
      <c r="B23" s="4" t="s">
        <v>287</v>
      </c>
      <c r="C23" t="s">
        <v>4</v>
      </c>
    </row>
    <row r="24" spans="2:3" ht="14" x14ac:dyDescent="0.3">
      <c r="B24" s="4" t="s">
        <v>288</v>
      </c>
      <c r="C24" t="s">
        <v>252</v>
      </c>
    </row>
    <row r="25" spans="2:3" ht="14" x14ac:dyDescent="0.3">
      <c r="B25" s="4" t="s">
        <v>289</v>
      </c>
      <c r="C25" t="s">
        <v>290</v>
      </c>
    </row>
    <row r="26" spans="2:3" ht="14" x14ac:dyDescent="0.3">
      <c r="B26" s="4" t="s">
        <v>291</v>
      </c>
      <c r="C26" t="s">
        <v>278</v>
      </c>
    </row>
    <row r="27" spans="2:3" ht="14" x14ac:dyDescent="0.3">
      <c r="B27" s="4" t="s">
        <v>292</v>
      </c>
      <c r="C27" t="s">
        <v>278</v>
      </c>
    </row>
    <row r="28" spans="2:3" ht="14" x14ac:dyDescent="0.3">
      <c r="B28" s="4" t="s">
        <v>293</v>
      </c>
      <c r="C28" t="s">
        <v>294</v>
      </c>
    </row>
    <row r="29" spans="2:3" ht="14" x14ac:dyDescent="0.3">
      <c r="B29" s="4" t="s">
        <v>295</v>
      </c>
      <c r="C29" t="s">
        <v>296</v>
      </c>
    </row>
    <row r="30" spans="2:3" ht="14" x14ac:dyDescent="0.3">
      <c r="B30" s="4" t="s">
        <v>297</v>
      </c>
      <c r="C30" t="s">
        <v>298</v>
      </c>
    </row>
    <row r="31" spans="2:3" ht="14" x14ac:dyDescent="0.3">
      <c r="B31" s="4" t="s">
        <v>299</v>
      </c>
      <c r="C31" t="s">
        <v>294</v>
      </c>
    </row>
    <row r="32" spans="2:3" ht="14" x14ac:dyDescent="0.3">
      <c r="B32" s="4" t="s">
        <v>300</v>
      </c>
      <c r="C32" t="s">
        <v>278</v>
      </c>
    </row>
    <row r="33" spans="2:3" ht="14" x14ac:dyDescent="0.3">
      <c r="B33" s="4" t="s">
        <v>301</v>
      </c>
      <c r="C33" t="s">
        <v>290</v>
      </c>
    </row>
    <row r="34" spans="2:3" ht="14" x14ac:dyDescent="0.3">
      <c r="B34" s="4" t="s">
        <v>302</v>
      </c>
      <c r="C34" t="s">
        <v>303</v>
      </c>
    </row>
    <row r="35" spans="2:3" ht="14" x14ac:dyDescent="0.3">
      <c r="B35" s="4" t="s">
        <v>304</v>
      </c>
      <c r="C35" t="s">
        <v>305</v>
      </c>
    </row>
    <row r="36" spans="2:3" ht="14" x14ac:dyDescent="0.3">
      <c r="B36" s="4" t="s">
        <v>306</v>
      </c>
      <c r="C36" t="s">
        <v>307</v>
      </c>
    </row>
    <row r="37" spans="2:3" ht="14" x14ac:dyDescent="0.3">
      <c r="B37" s="4" t="s">
        <v>308</v>
      </c>
      <c r="C37" t="s">
        <v>309</v>
      </c>
    </row>
    <row r="38" spans="2:3" ht="14" x14ac:dyDescent="0.3">
      <c r="B38" s="4" t="s">
        <v>310</v>
      </c>
      <c r="C38" t="s">
        <v>311</v>
      </c>
    </row>
    <row r="39" spans="2:3" ht="14" x14ac:dyDescent="0.3">
      <c r="B39" s="4" t="s">
        <v>312</v>
      </c>
      <c r="C39" t="s">
        <v>313</v>
      </c>
    </row>
    <row r="40" spans="2:3" ht="14" x14ac:dyDescent="0.3">
      <c r="B40" s="4" t="s">
        <v>314</v>
      </c>
      <c r="C40" t="s">
        <v>315</v>
      </c>
    </row>
    <row r="41" spans="2:3" ht="14" x14ac:dyDescent="0.3">
      <c r="B41" s="4" t="s">
        <v>316</v>
      </c>
      <c r="C41" t="s">
        <v>317</v>
      </c>
    </row>
    <row r="42" spans="2:3" ht="14" x14ac:dyDescent="0.3">
      <c r="B42" s="4" t="s">
        <v>318</v>
      </c>
      <c r="C42" t="s">
        <v>319</v>
      </c>
    </row>
    <row r="43" spans="2:3" ht="14" x14ac:dyDescent="0.3">
      <c r="B43" s="4" t="s">
        <v>320</v>
      </c>
      <c r="C43" t="s">
        <v>321</v>
      </c>
    </row>
    <row r="44" spans="2:3" ht="14" x14ac:dyDescent="0.3">
      <c r="B44" s="4" t="s">
        <v>322</v>
      </c>
      <c r="C44" t="s">
        <v>282</v>
      </c>
    </row>
    <row r="45" spans="2:3" ht="14" x14ac:dyDescent="0.3">
      <c r="B45" s="4" t="s">
        <v>323</v>
      </c>
      <c r="C45" t="s">
        <v>324</v>
      </c>
    </row>
    <row r="46" spans="2:3" ht="14" x14ac:dyDescent="0.3">
      <c r="B46" s="4" t="s">
        <v>325</v>
      </c>
      <c r="C46" t="s">
        <v>326</v>
      </c>
    </row>
    <row r="47" spans="2:3" ht="14" x14ac:dyDescent="0.3">
      <c r="B47" s="4" t="s">
        <v>327</v>
      </c>
      <c r="C47" t="s">
        <v>328</v>
      </c>
    </row>
    <row r="48" spans="2:3" ht="14" x14ac:dyDescent="0.3">
      <c r="B48" s="4" t="s">
        <v>329</v>
      </c>
      <c r="C48" t="s">
        <v>330</v>
      </c>
    </row>
    <row r="49" spans="2:3" ht="14" x14ac:dyDescent="0.3">
      <c r="B49" s="4" t="s">
        <v>331</v>
      </c>
      <c r="C49" t="s">
        <v>332</v>
      </c>
    </row>
    <row r="50" spans="2:3" ht="14" x14ac:dyDescent="0.3">
      <c r="B50" s="4" t="s">
        <v>333</v>
      </c>
      <c r="C50" t="s">
        <v>334</v>
      </c>
    </row>
    <row r="51" spans="2:3" ht="14" x14ac:dyDescent="0.3">
      <c r="B51" s="4" t="s">
        <v>335</v>
      </c>
      <c r="C51" t="s">
        <v>336</v>
      </c>
    </row>
    <row r="52" spans="2:3" ht="14" x14ac:dyDescent="0.3">
      <c r="B52" s="4" t="s">
        <v>337</v>
      </c>
      <c r="C52" t="s">
        <v>338</v>
      </c>
    </row>
    <row r="53" spans="2:3" ht="14" x14ac:dyDescent="0.3">
      <c r="B53" s="4" t="s">
        <v>339</v>
      </c>
      <c r="C53" t="s">
        <v>340</v>
      </c>
    </row>
    <row r="54" spans="2:3" ht="14" x14ac:dyDescent="0.3">
      <c r="B54" s="4" t="s">
        <v>341</v>
      </c>
      <c r="C54" t="s">
        <v>342</v>
      </c>
    </row>
    <row r="55" spans="2:3" ht="14" x14ac:dyDescent="0.3">
      <c r="B55" s="4" t="s">
        <v>343</v>
      </c>
      <c r="C55" t="s">
        <v>344</v>
      </c>
    </row>
    <row r="56" spans="2:3" ht="14" x14ac:dyDescent="0.3">
      <c r="B56" s="4" t="s">
        <v>345</v>
      </c>
      <c r="C56" t="s">
        <v>346</v>
      </c>
    </row>
    <row r="57" spans="2:3" ht="14" x14ac:dyDescent="0.3">
      <c r="B57" s="4" t="s">
        <v>347</v>
      </c>
      <c r="C57" t="s">
        <v>348</v>
      </c>
    </row>
    <row r="58" spans="2:3" ht="14" x14ac:dyDescent="0.3">
      <c r="B58" s="4" t="s">
        <v>349</v>
      </c>
      <c r="C58" t="s">
        <v>290</v>
      </c>
    </row>
    <row r="59" spans="2:3" ht="14" x14ac:dyDescent="0.3">
      <c r="B59" s="4" t="s">
        <v>350</v>
      </c>
      <c r="C59" t="s">
        <v>351</v>
      </c>
    </row>
    <row r="60" spans="2:3" ht="14" x14ac:dyDescent="0.3">
      <c r="B60" s="4" t="s">
        <v>352</v>
      </c>
      <c r="C60" t="s">
        <v>353</v>
      </c>
    </row>
    <row r="61" spans="2:3" ht="14" x14ac:dyDescent="0.3">
      <c r="B61" s="4" t="s">
        <v>354</v>
      </c>
      <c r="C61" t="s">
        <v>355</v>
      </c>
    </row>
    <row r="62" spans="2:3" ht="14" x14ac:dyDescent="0.3">
      <c r="B62" s="4" t="s">
        <v>356</v>
      </c>
      <c r="C62" t="s">
        <v>357</v>
      </c>
    </row>
    <row r="63" spans="2:3" ht="14" x14ac:dyDescent="0.3">
      <c r="B63" s="4" t="s">
        <v>358</v>
      </c>
      <c r="C63" t="s">
        <v>359</v>
      </c>
    </row>
    <row r="64" spans="2:3" ht="14" x14ac:dyDescent="0.3">
      <c r="B64" s="4" t="s">
        <v>360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2026-09-06T10:30:42Z</dcterms:created>
  <dcterms:modified xsi:type="dcterms:W3CDTF">2026-09-06T10:30:45Z</dcterms:modified>
</cp:coreProperties>
</file>