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yosuke0923\ryosuke-japanese-equity-research\models\"/>
    </mc:Choice>
  </mc:AlternateContent>
  <xr:revisionPtr revIDLastSave="0" documentId="13_ncr:1_{00F53E2B-4E55-4F63-9460-65453E49E445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Executive Summary" sheetId="1" r:id="rId1"/>
    <sheet name="Financial Statements" sheetId="2" r:id="rId2"/>
    <sheet name="DCF Model" sheetId="3" r:id="rId3"/>
    <sheet name="NWC Schedule" sheetId="4" r:id="rId4"/>
    <sheet name="Comps Analysis" sheetId="5" r:id="rId5"/>
    <sheet name="Sensitivity Analysis" sheetId="6" r:id="rId6"/>
  </sheets>
  <calcPr calcId="181029"/>
</workbook>
</file>

<file path=xl/calcChain.xml><?xml version="1.0" encoding="utf-8"?>
<calcChain xmlns="http://schemas.openxmlformats.org/spreadsheetml/2006/main">
  <c r="I3" i="6" l="1"/>
  <c r="I17" i="6" s="1"/>
  <c r="F3" i="6"/>
  <c r="H6" i="6" s="1"/>
  <c r="I17" i="5"/>
  <c r="G17" i="5"/>
  <c r="I16" i="5"/>
  <c r="G16" i="5"/>
  <c r="I15" i="5"/>
  <c r="G15" i="5"/>
  <c r="N9" i="5"/>
  <c r="L9" i="5"/>
  <c r="K9" i="5"/>
  <c r="J9" i="5"/>
  <c r="N8" i="5"/>
  <c r="L8" i="5"/>
  <c r="K8" i="5"/>
  <c r="J8" i="5"/>
  <c r="N7" i="5"/>
  <c r="L7" i="5"/>
  <c r="K7" i="5"/>
  <c r="J7" i="5"/>
  <c r="N6" i="5"/>
  <c r="L6" i="5"/>
  <c r="K6" i="5"/>
  <c r="E15" i="5" s="1"/>
  <c r="J6" i="5"/>
  <c r="N5" i="5"/>
  <c r="H16" i="5" s="1"/>
  <c r="L5" i="5"/>
  <c r="K5" i="5"/>
  <c r="J5" i="5"/>
  <c r="C16" i="4"/>
  <c r="C18" i="4" s="1"/>
  <c r="C14" i="4"/>
  <c r="C7" i="4"/>
  <c r="C6" i="4"/>
  <c r="C5" i="4"/>
  <c r="D27" i="3"/>
  <c r="G7" i="4" s="1"/>
  <c r="C25" i="3"/>
  <c r="C24" i="3"/>
  <c r="C23" i="3"/>
  <c r="C26" i="3" s="1"/>
  <c r="G28" i="2"/>
  <c r="F28" i="2"/>
  <c r="E28" i="2"/>
  <c r="D28" i="2"/>
  <c r="C28" i="2"/>
  <c r="G23" i="2"/>
  <c r="F23" i="2"/>
  <c r="E23" i="2"/>
  <c r="D23" i="2"/>
  <c r="C23" i="2"/>
  <c r="F22" i="2"/>
  <c r="G21" i="2"/>
  <c r="G22" i="2" s="1"/>
  <c r="F21" i="2"/>
  <c r="E21" i="2"/>
  <c r="E22" i="2" s="1"/>
  <c r="D21" i="2"/>
  <c r="D22" i="2" s="1"/>
  <c r="C21" i="2"/>
  <c r="C22" i="2" s="1"/>
  <c r="G16" i="2"/>
  <c r="F16" i="2"/>
  <c r="E16" i="2"/>
  <c r="D16" i="2"/>
  <c r="G15" i="2"/>
  <c r="F15" i="2"/>
  <c r="E15" i="2"/>
  <c r="D15" i="2"/>
  <c r="G14" i="2"/>
  <c r="F14" i="2"/>
  <c r="E14" i="2"/>
  <c r="D14" i="2"/>
  <c r="C14" i="2"/>
  <c r="G13" i="2"/>
  <c r="F13" i="2"/>
  <c r="E13" i="2"/>
  <c r="D13" i="2"/>
  <c r="C13" i="2"/>
  <c r="D9" i="2"/>
  <c r="C9" i="2"/>
  <c r="G8" i="2"/>
  <c r="G9" i="2" s="1"/>
  <c r="F8" i="2"/>
  <c r="F9" i="2" s="1"/>
  <c r="E8" i="2"/>
  <c r="E9" i="2" s="1"/>
  <c r="D8" i="2"/>
  <c r="C8" i="2"/>
  <c r="C19" i="1"/>
  <c r="D19" i="1" s="1"/>
  <c r="C3" i="6" l="1"/>
  <c r="B19" i="6" s="1"/>
  <c r="D46" i="3"/>
  <c r="C46" i="3"/>
  <c r="H15" i="5"/>
  <c r="D15" i="5"/>
  <c r="E16" i="5"/>
  <c r="C27" i="5" s="1"/>
  <c r="C18" i="1" s="1"/>
  <c r="D18" i="1" s="1"/>
  <c r="F15" i="5"/>
  <c r="B21" i="6"/>
  <c r="B11" i="6"/>
  <c r="F5" i="4"/>
  <c r="H6" i="4"/>
  <c r="E17" i="5"/>
  <c r="C17" i="6"/>
  <c r="E30" i="3"/>
  <c r="F30" i="3"/>
  <c r="D32" i="3"/>
  <c r="F46" i="3"/>
  <c r="G5" i="4"/>
  <c r="D16" i="5"/>
  <c r="F17" i="5"/>
  <c r="C6" i="6"/>
  <c r="D17" i="6"/>
  <c r="D5" i="4"/>
  <c r="F6" i="4"/>
  <c r="D30" i="3"/>
  <c r="E5" i="4"/>
  <c r="D17" i="5"/>
  <c r="I6" i="6"/>
  <c r="C32" i="3"/>
  <c r="E46" i="3"/>
  <c r="G30" i="3"/>
  <c r="E32" i="3"/>
  <c r="G46" i="3"/>
  <c r="H5" i="4"/>
  <c r="D7" i="4"/>
  <c r="D6" i="6"/>
  <c r="E17" i="6"/>
  <c r="F31" i="3"/>
  <c r="G31" i="3"/>
  <c r="G6" i="4"/>
  <c r="C31" i="3"/>
  <c r="F32" i="3"/>
  <c r="E7" i="4"/>
  <c r="F16" i="5"/>
  <c r="H17" i="5"/>
  <c r="E6" i="6"/>
  <c r="F17" i="6"/>
  <c r="C30" i="3"/>
  <c r="C33" i="3" s="1"/>
  <c r="H7" i="4"/>
  <c r="D31" i="3"/>
  <c r="G32" i="3"/>
  <c r="D6" i="4"/>
  <c r="F7" i="4"/>
  <c r="F6" i="6"/>
  <c r="G17" i="6"/>
  <c r="E31" i="3"/>
  <c r="E6" i="4"/>
  <c r="G6" i="6"/>
  <c r="H17" i="6"/>
  <c r="B23" i="6" l="1"/>
  <c r="B12" i="6"/>
  <c r="B13" i="6"/>
  <c r="B7" i="6"/>
  <c r="B8" i="6"/>
  <c r="B22" i="6"/>
  <c r="B18" i="6"/>
  <c r="B20" i="6"/>
  <c r="B9" i="6"/>
  <c r="B24" i="6"/>
  <c r="B10" i="6"/>
  <c r="D33" i="3"/>
  <c r="C42" i="3"/>
  <c r="C34" i="3"/>
  <c r="D10" i="4" s="1"/>
  <c r="D9" i="4"/>
  <c r="D12" i="4" s="1"/>
  <c r="C43" i="3"/>
  <c r="C37" i="3"/>
  <c r="D13" i="4" l="1"/>
  <c r="D14" i="4" s="1"/>
  <c r="D15" i="4"/>
  <c r="D16" i="4" s="1"/>
  <c r="D42" i="3"/>
  <c r="D34" i="3"/>
  <c r="E10" i="4" s="1"/>
  <c r="D43" i="3"/>
  <c r="D37" i="3"/>
  <c r="D35" i="3"/>
  <c r="E33" i="3"/>
  <c r="E9" i="4"/>
  <c r="E12" i="4" s="1"/>
  <c r="C35" i="3"/>
  <c r="D36" i="3" l="1"/>
  <c r="D39" i="3"/>
  <c r="D38" i="3"/>
  <c r="C36" i="3"/>
  <c r="C38" i="3"/>
  <c r="C39" i="3"/>
  <c r="E42" i="3"/>
  <c r="E34" i="3"/>
  <c r="F10" i="4" s="1"/>
  <c r="E37" i="3"/>
  <c r="F9" i="4"/>
  <c r="F12" i="4" s="1"/>
  <c r="E43" i="3"/>
  <c r="F33" i="3"/>
  <c r="E15" i="4"/>
  <c r="E16" i="4" s="1"/>
  <c r="E13" i="4"/>
  <c r="E14" i="4" s="1"/>
  <c r="E18" i="4" s="1"/>
  <c r="D18" i="4"/>
  <c r="D19" i="4" s="1"/>
  <c r="C44" i="3" s="1"/>
  <c r="E19" i="4" l="1"/>
  <c r="D44" i="3" s="1"/>
  <c r="C40" i="3"/>
  <c r="C41" i="3" s="1"/>
  <c r="C45" i="3" s="1"/>
  <c r="D40" i="3"/>
  <c r="D41" i="3" s="1"/>
  <c r="F15" i="4"/>
  <c r="F16" i="4" s="1"/>
  <c r="F13" i="4"/>
  <c r="F14" i="4" s="1"/>
  <c r="F18" i="4" s="1"/>
  <c r="F19" i="4" s="1"/>
  <c r="E44" i="3" s="1"/>
  <c r="F42" i="3"/>
  <c r="F34" i="3"/>
  <c r="G10" i="4" s="1"/>
  <c r="F37" i="3"/>
  <c r="G9" i="4"/>
  <c r="G12" i="4" s="1"/>
  <c r="F43" i="3"/>
  <c r="G33" i="3"/>
  <c r="E35" i="3"/>
  <c r="F35" i="3" l="1"/>
  <c r="D45" i="3"/>
  <c r="D47" i="3" s="1"/>
  <c r="C47" i="3"/>
  <c r="E39" i="3"/>
  <c r="E36" i="3"/>
  <c r="E38" i="3"/>
  <c r="F39" i="3"/>
  <c r="F36" i="3"/>
  <c r="F38" i="3"/>
  <c r="G37" i="3"/>
  <c r="G42" i="3"/>
  <c r="G34" i="3"/>
  <c r="H10" i="4" s="1"/>
  <c r="H9" i="4"/>
  <c r="H12" i="4" s="1"/>
  <c r="G43" i="3"/>
  <c r="C59" i="3"/>
  <c r="C60" i="3" s="1"/>
  <c r="C61" i="3" s="1"/>
  <c r="G14" i="4"/>
  <c r="G18" i="4" s="1"/>
  <c r="G19" i="4" s="1"/>
  <c r="F44" i="3" s="1"/>
  <c r="G15" i="4"/>
  <c r="G16" i="4" s="1"/>
  <c r="G13" i="4"/>
  <c r="G35" i="3" l="1"/>
  <c r="F40" i="3"/>
  <c r="F41" i="3"/>
  <c r="F45" i="3" s="1"/>
  <c r="F47" i="3" s="1"/>
  <c r="E40" i="3"/>
  <c r="E41" i="3" s="1"/>
  <c r="E45" i="3" s="1"/>
  <c r="H15" i="4"/>
  <c r="H16" i="4" s="1"/>
  <c r="H13" i="4"/>
  <c r="H14" i="4" s="1"/>
  <c r="H18" i="4" s="1"/>
  <c r="H19" i="4" s="1"/>
  <c r="G44" i="3" s="1"/>
  <c r="E47" i="3" l="1"/>
  <c r="G36" i="3"/>
  <c r="G38" i="3"/>
  <c r="G39" i="3"/>
  <c r="G40" i="3" l="1"/>
  <c r="G41" i="3"/>
  <c r="G45" i="3" s="1"/>
  <c r="G47" i="3" l="1"/>
  <c r="C50" i="3" s="1"/>
  <c r="C51" i="3"/>
  <c r="C52" i="3" s="1"/>
  <c r="I24" i="6"/>
  <c r="I13" i="6"/>
  <c r="F13" i="6"/>
  <c r="I22" i="6"/>
  <c r="E19" i="6"/>
  <c r="I9" i="6"/>
  <c r="H8" i="6"/>
  <c r="I10" i="6"/>
  <c r="H7" i="6"/>
  <c r="I8" i="6"/>
  <c r="I18" i="6"/>
  <c r="D11" i="6"/>
  <c r="F8" i="6"/>
  <c r="D24" i="6"/>
  <c r="H11" i="6"/>
  <c r="E18" i="6"/>
  <c r="H20" i="6"/>
  <c r="D19" i="6"/>
  <c r="C24" i="6"/>
  <c r="C23" i="6"/>
  <c r="C12" i="6"/>
  <c r="H22" i="6"/>
  <c r="E21" i="6"/>
  <c r="E8" i="6"/>
  <c r="H19" i="6"/>
  <c r="I19" i="6"/>
  <c r="H12" i="6"/>
  <c r="I23" i="6"/>
  <c r="E20" i="6"/>
  <c r="E11" i="6"/>
  <c r="H10" i="6"/>
  <c r="D7" i="6"/>
  <c r="I12" i="6"/>
  <c r="H18" i="6"/>
  <c r="D18" i="6"/>
  <c r="G13" i="6"/>
  <c r="C13" i="6"/>
  <c r="H24" i="6"/>
  <c r="C10" i="6"/>
  <c r="D8" i="6"/>
  <c r="D20" i="6"/>
  <c r="G24" i="6"/>
  <c r="G23" i="6"/>
  <c r="G12" i="6"/>
  <c r="C20" i="6"/>
  <c r="E13" i="6"/>
  <c r="D13" i="6"/>
  <c r="I11" i="6"/>
  <c r="H21" i="6"/>
  <c r="D21" i="6"/>
  <c r="C7" i="6"/>
  <c r="G8" i="6"/>
  <c r="C8" i="6"/>
  <c r="E22" i="6"/>
  <c r="F12" i="6"/>
  <c r="G11" i="6"/>
  <c r="F11" i="6"/>
  <c r="H13" i="6"/>
  <c r="G22" i="6"/>
  <c r="C22" i="6"/>
  <c r="E12" i="6"/>
  <c r="G10" i="6"/>
  <c r="F23" i="6"/>
  <c r="D9" i="6"/>
  <c r="G9" i="6"/>
  <c r="C9" i="6"/>
  <c r="G21" i="6"/>
  <c r="G18" i="6"/>
  <c r="C18" i="6"/>
  <c r="F18" i="6"/>
  <c r="F22" i="6"/>
  <c r="E7" i="6"/>
  <c r="F21" i="6"/>
  <c r="F19" i="6"/>
  <c r="F10" i="6"/>
  <c r="H23" i="6"/>
  <c r="F7" i="6"/>
  <c r="G7" i="6"/>
  <c r="E24" i="6"/>
  <c r="D22" i="6"/>
  <c r="D12" i="6"/>
  <c r="G19" i="6"/>
  <c r="C19" i="6"/>
  <c r="C11" i="6"/>
  <c r="F24" i="6"/>
  <c r="H9" i="6"/>
  <c r="C21" i="6"/>
  <c r="E10" i="6"/>
  <c r="G20" i="6"/>
  <c r="E9" i="6"/>
  <c r="D23" i="6"/>
  <c r="F20" i="6"/>
  <c r="F9" i="6"/>
  <c r="I21" i="6"/>
  <c r="I7" i="6"/>
  <c r="D10" i="6"/>
  <c r="I20" i="6"/>
  <c r="E23" i="6"/>
  <c r="C53" i="3" l="1"/>
  <c r="C54" i="3" s="1"/>
  <c r="C55" i="3" s="1"/>
  <c r="C16" i="1" s="1"/>
  <c r="C58" i="3"/>
  <c r="C62" i="3" s="1"/>
  <c r="C63" i="3" s="1"/>
  <c r="C64" i="3" s="1"/>
  <c r="C17" i="1" s="1"/>
  <c r="D17" i="1" s="1"/>
  <c r="C10" i="1" l="1"/>
  <c r="C12" i="1" s="1"/>
  <c r="C11" i="1" s="1"/>
  <c r="D16" i="1"/>
  <c r="C21" i="1"/>
</calcChain>
</file>

<file path=xl/sharedStrings.xml><?xml version="1.0" encoding="utf-8"?>
<sst xmlns="http://schemas.openxmlformats.org/spreadsheetml/2006/main" count="246" uniqueCount="188">
  <si>
    <t>DISCLAIMER: This is a sample analysis for demonstration purposes only. It does not constitute investment advice.</t>
  </si>
  <si>
    <t>ELEMENTS (5246.T)</t>
  </si>
  <si>
    <t>Equity Research Report</t>
  </si>
  <si>
    <t>Company</t>
  </si>
  <si>
    <t>ELEMENTS</t>
  </si>
  <si>
    <t>Ticker</t>
  </si>
  <si>
    <t>5246.T (TSE)</t>
  </si>
  <si>
    <t>Sector</t>
  </si>
  <si>
    <t>N/A</t>
  </si>
  <si>
    <t>Current Price</t>
  </si>
  <si>
    <t>Target Price (Mid)</t>
  </si>
  <si>
    <t>Recommendation</t>
  </si>
  <si>
    <t>Upside / Downside</t>
  </si>
  <si>
    <t>Valuation Summary</t>
  </si>
  <si>
    <t>Methodology</t>
  </si>
  <si>
    <t>Implied Value (JPY)</t>
  </si>
  <si>
    <t>vs Current Price</t>
  </si>
  <si>
    <t>DCF - Perpetuity Growth</t>
  </si>
  <si>
    <t>DCF - Exit Multiple</t>
  </si>
  <si>
    <t>Comps - EV/Sales Median</t>
  </si>
  <si>
    <t>Comps - PER Median</t>
  </si>
  <si>
    <t>Note: PER法は赤字（純利益≦0）のため除外（Target Mid / Range は有効手法のみで算出）</t>
  </si>
  <si>
    <t>Integrated Valuation Range</t>
  </si>
  <si>
    <t>Key Investment Thesis</t>
  </si>
  <si>
    <t>1. [Edit] Describe key competitive advantage</t>
  </si>
  <si>
    <t>2. [Edit] Describe growth driver</t>
  </si>
  <si>
    <t>3. [Edit] Describe margin expansion opportunity</t>
  </si>
  <si>
    <t>Key Risks</t>
  </si>
  <si>
    <t>1. [Edit] Describe primary risk factor</t>
  </si>
  <si>
    <t>2. [Edit] Describe secondary risk factor</t>
  </si>
  <si>
    <t>3. [Edit] Describe tertiary risk factor</t>
  </si>
  <si>
    <t>ELEMENTS - Historical Financials (JPY mn)</t>
  </si>
  <si>
    <t>FY2021</t>
  </si>
  <si>
    <t>FY2022</t>
  </si>
  <si>
    <t>FY2023</t>
  </si>
  <si>
    <t>FY2024</t>
  </si>
  <si>
    <t>FY2025</t>
  </si>
  <si>
    <t>Income Statement</t>
  </si>
  <si>
    <t>Revenue</t>
  </si>
  <si>
    <t>COGS</t>
  </si>
  <si>
    <t>Gross Profit</t>
  </si>
  <si>
    <t>Gross Margin</t>
  </si>
  <si>
    <t>SGA</t>
  </si>
  <si>
    <t>Operating Income</t>
  </si>
  <si>
    <t>Net Income</t>
  </si>
  <si>
    <t>Operating Margin</t>
  </si>
  <si>
    <t>Net Margin</t>
  </si>
  <si>
    <t>Revenue Growth (YoY)</t>
  </si>
  <si>
    <t>n/a</t>
  </si>
  <si>
    <t>Operating Income Growth (YoY)</t>
  </si>
  <si>
    <t>Cash Flow Statement</t>
  </si>
  <si>
    <t>Operating Cash Flow</t>
  </si>
  <si>
    <t>Capex</t>
  </si>
  <si>
    <t>Free Cash Flow</t>
  </si>
  <si>
    <t>FCF Margin</t>
  </si>
  <si>
    <t>Capex / Revenue</t>
  </si>
  <si>
    <t>Balance Sheet Highlights</t>
  </si>
  <si>
    <t>Cash &amp; Deposits</t>
  </si>
  <si>
    <t>Short-term Debt</t>
  </si>
  <si>
    <t>Net Debt (Cash)</t>
  </si>
  <si>
    <t>DCF Valuation Model - ELEMENTS</t>
  </si>
  <si>
    <t>Assumptions</t>
  </si>
  <si>
    <t>Effective Tax Rate</t>
  </si>
  <si>
    <t>Risk-Free Rate</t>
  </si>
  <si>
    <t>Beta</t>
  </si>
  <si>
    <t>Equity Risk Premium</t>
  </si>
  <si>
    <t>Size Premium</t>
  </si>
  <si>
    <t>After-tax Cost of Debt</t>
  </si>
  <si>
    <t>D/E Ratio</t>
  </si>
  <si>
    <t>Terminal Growth Rate</t>
  </si>
  <si>
    <t>Exit Multiple (EV/Sales)</t>
  </si>
  <si>
    <t>Fully Diluted Shares</t>
  </si>
  <si>
    <t>Net Debt (JPY mn)</t>
  </si>
  <si>
    <t>Base Year Revenue (JPY mn)</t>
  </si>
  <si>
    <t>D&amp;A / Revenue</t>
  </si>
  <si>
    <t>Stub Fraction (yr remaining)</t>
  </si>
  <si>
    <t>LTM Revenue (JPY mn)</t>
  </si>
  <si>
    <t>WACC Calculation</t>
  </si>
  <si>
    <t>Cost of Equity (Ke)</t>
  </si>
  <si>
    <t>Weight of Equity</t>
  </si>
  <si>
    <t>Weight of Debt</t>
  </si>
  <si>
    <t>WACC</t>
  </si>
  <si>
    <t>Active Scenario</t>
  </si>
  <si>
    <t>Base</t>
  </si>
  <si>
    <t>Projected Free Cash Flow</t>
  </si>
  <si>
    <t>FY2026(E)</t>
  </si>
  <si>
    <t>FY2027(E)</t>
  </si>
  <si>
    <t>FY2028(E)</t>
  </si>
  <si>
    <t>FY2029(E)</t>
  </si>
  <si>
    <t>FY2030(E)</t>
  </si>
  <si>
    <t>COGS % of Revenue</t>
  </si>
  <si>
    <t>SGA % of Revenue</t>
  </si>
  <si>
    <t>SGA Expense</t>
  </si>
  <si>
    <t>Implied Operating Margin</t>
  </si>
  <si>
    <t>Operating Income (EBIT)</t>
  </si>
  <si>
    <t>Less: Tax</t>
  </si>
  <si>
    <t>NOPAT</t>
  </si>
  <si>
    <t>Plus: D&amp;A</t>
  </si>
  <si>
    <t>Less: Capex</t>
  </si>
  <si>
    <t>Change in NWC</t>
  </si>
  <si>
    <t>Unlevered Free Cash Flow</t>
  </si>
  <si>
    <t>Discount Factor</t>
  </si>
  <si>
    <t>PV of FCF</t>
  </si>
  <si>
    <t>Valuation - Perpetuity Growth Method</t>
  </si>
  <si>
    <t>Sum of PV of FCFs</t>
  </si>
  <si>
    <t>Terminal Value (PGM)</t>
  </si>
  <si>
    <t>PV of Terminal Value</t>
  </si>
  <si>
    <t>Enterprise Value</t>
  </si>
  <si>
    <t>Equity Value</t>
  </si>
  <si>
    <t>Implied Share Price (PGM)</t>
  </si>
  <si>
    <t>Valuation - Exit Multiple Method</t>
  </si>
  <si>
    <t>Year 5 Revenue</t>
  </si>
  <si>
    <t>Terminal Value (Exit Multiple)</t>
  </si>
  <si>
    <t>Implied Share Price (Exit Multiple)</t>
  </si>
  <si>
    <t>Scenario Input Matrix</t>
  </si>
  <si>
    <t>Year 1</t>
  </si>
  <si>
    <t>Year 2</t>
  </si>
  <si>
    <t>Year 3</t>
  </si>
  <si>
    <t>Year 4</t>
  </si>
  <si>
    <t>Year 5</t>
  </si>
  <si>
    <t>Upside</t>
  </si>
  <si>
    <t>Management</t>
  </si>
  <si>
    <t>Downside 1</t>
  </si>
  <si>
    <t>Downside 2</t>
  </si>
  <si>
    <t>NWC Schedule - ELEMENTS</t>
  </si>
  <si>
    <t>Working Capital Drivers (Days)</t>
  </si>
  <si>
    <t>Base Year</t>
  </si>
  <si>
    <t>DSO (Days Sales Outstanding)</t>
  </si>
  <si>
    <t>DIH (Days Inventory Held)</t>
  </si>
  <si>
    <t>DPO (Days Payable Outstanding)</t>
  </si>
  <si>
    <t>P&amp;L Reference (JPY mn)</t>
  </si>
  <si>
    <t>Working Capital Items (JPY mn)</t>
  </si>
  <si>
    <t>Accounts Receivable</t>
  </si>
  <si>
    <t>Inventory</t>
  </si>
  <si>
    <t>Current Assets (AR + Inv)</t>
  </si>
  <si>
    <t>Accounts Payable</t>
  </si>
  <si>
    <t>Current Liabilities (AP)</t>
  </si>
  <si>
    <t>Net Working Capital (JPY mn)</t>
  </si>
  <si>
    <t>Net Working Capital</t>
  </si>
  <si>
    <t>Scenario Input Matrix (Working Capital Days)</t>
  </si>
  <si>
    <t>DSO (Days)</t>
  </si>
  <si>
    <t>DIH (Days)</t>
  </si>
  <si>
    <t>DPO (Days)</t>
  </si>
  <si>
    <t>Comparable Company Analysis</t>
  </si>
  <si>
    <t>Mkt Cap
(JPY mn)</t>
  </si>
  <si>
    <t>EV
(JPY mn)</t>
  </si>
  <si>
    <t>Revenue
(JPY mn)</t>
  </si>
  <si>
    <t>EBITDA
(JPY mn)</t>
  </si>
  <si>
    <t>Op Income
(JPY mn)</t>
  </si>
  <si>
    <t>Net Income
(JPY mn)</t>
  </si>
  <si>
    <t>EV/EBITDA</t>
  </si>
  <si>
    <t>EV/Revenue</t>
  </si>
  <si>
    <t>PER</t>
  </si>
  <si>
    <t>PBR</t>
  </si>
  <si>
    <t>Op Margin</t>
  </si>
  <si>
    <t>ROE</t>
  </si>
  <si>
    <t>Showcase</t>
  </si>
  <si>
    <t>3909.T</t>
  </si>
  <si>
    <t>Cyber Security Cloud</t>
  </si>
  <si>
    <t>4493.T</t>
  </si>
  <si>
    <t>FFRI</t>
  </si>
  <si>
    <t>3692.T</t>
  </si>
  <si>
    <t>Headwaters</t>
  </si>
  <si>
    <t>4011.T</t>
  </si>
  <si>
    <t>User Local</t>
  </si>
  <si>
    <t>3984.T</t>
  </si>
  <si>
    <t>Statistics</t>
  </si>
  <si>
    <t>25th Percentile</t>
  </si>
  <si>
    <t>Median (50th)</t>
  </si>
  <si>
    <t>75th Percentile</t>
  </si>
  <si>
    <t>Implied Valuation for ELEMENTS</t>
  </si>
  <si>
    <t>ELEMENTS Financials</t>
  </si>
  <si>
    <t>Revenue (JPY mn)</t>
  </si>
  <si>
    <t>Net Income (JPY mn)</t>
  </si>
  <si>
    <t>Shares Outstanding</t>
  </si>
  <si>
    <t>Implied Share Price (Median Multiples)</t>
  </si>
  <si>
    <t>Via EV/Sales (Median)</t>
  </si>
  <si>
    <t>Via PER (Median)</t>
  </si>
  <si>
    <t>Net income &lt;= 0 — PER not meaningful</t>
  </si>
  <si>
    <t>Sensitivity Analysis</t>
  </si>
  <si>
    <t>Current WACC:</t>
  </si>
  <si>
    <t>Terminal g:</t>
  </si>
  <si>
    <t>Exit Multiple:</t>
  </si>
  <si>
    <t>Table 1: WACC vs Terminal Growth Rate (PGM - Implied Share Price, JPY)</t>
  </si>
  <si>
    <t>WACC \ Terminal g</t>
  </si>
  <si>
    <t>Table 2: WACC vs Exit Multiple (Exit Multiple - Implied Share Price, JPY)</t>
  </si>
  <si>
    <t>WACC \ Exit Multiple</t>
  </si>
  <si>
    <t>All values dynamically linked to DCF Model. Headers auto-center on current WACC / Terminal g / Exit Multiple.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</si>
</sst>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;\(#,##0\)"/>
    <numFmt numFmtId="177" formatCode="0.0%;\(0.0%\)"/>
    <numFmt numFmtId="178" formatCode="0.000"/>
    <numFmt numFmtId="179" formatCode="0.00&quot;x&quot;"/>
    <numFmt numFmtId="180" formatCode="0.00%;\(0.00%\)"/>
    <numFmt numFmtId="181" formatCode="0.0000"/>
  </numFmts>
  <fonts count="9" x14ac:knownFonts="1">
    <font>
      <sz val="11"/>
      <color theme="1"/>
      <name val="ＭＳ Ｐゴシック"/>
      <family val="2"/>
      <scheme val="minor"/>
    </font>
    <font>
      <i/>
      <sz val="9"/>
      <color rgb="FF808080"/>
      <name val="Arial"/>
    </font>
    <font>
      <b/>
      <sz val="14"/>
      <name val="Arial"/>
    </font>
    <font>
      <b/>
      <sz val="11"/>
      <name val="Arial"/>
    </font>
    <font>
      <b/>
      <sz val="10"/>
      <name val="Arial"/>
    </font>
    <font>
      <sz val="10"/>
      <color rgb="FF000000"/>
      <name val="Arial"/>
    </font>
    <font>
      <b/>
      <sz val="11"/>
      <color rgb="FFFFFFFF"/>
      <name val="Arial"/>
    </font>
    <font>
      <sz val="10"/>
      <color rgb="FF006600"/>
      <name val="Arial"/>
    </font>
    <font>
      <sz val="6"/>
      <name val="ＭＳ Ｐゴシック"/>
      <family val="3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CE6F1"/>
        <bgColor rgb="FFDCE6F1"/>
      </patternFill>
    </fill>
    <fill>
      <patternFill patternType="solid">
        <fgColor rgb="FF000080"/>
        <bgColor rgb="FF000080"/>
      </patternFill>
    </fill>
    <fill>
      <patternFill patternType="solid">
        <fgColor rgb="FFF2F2F2"/>
        <bgColor rgb="FFF2F2F2"/>
      </patternFill>
    </fill>
    <fill>
      <patternFill patternType="solid">
        <fgColor rgb="FFE2EFDA"/>
        <bgColor rgb="FFE2EFDA"/>
      </patternFill>
    </fill>
  </fills>
  <borders count="7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double">
        <color auto="1"/>
      </bottom>
      <diagonal/>
    </border>
    <border>
      <left style="hair">
        <color rgb="FFB0B0B0"/>
      </left>
      <right style="hair">
        <color rgb="FFB0B0B0"/>
      </right>
      <top style="hair">
        <color rgb="FFB0B0B0"/>
      </top>
      <bottom style="hair">
        <color rgb="FFB0B0B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176" fontId="5" fillId="0" borderId="0" xfId="0" applyNumberFormat="1" applyFont="1"/>
    <xf numFmtId="0" fontId="5" fillId="0" borderId="0" xfId="0" applyFont="1"/>
    <xf numFmtId="177" fontId="5" fillId="0" borderId="0" xfId="0" applyNumberFormat="1" applyFont="1"/>
    <xf numFmtId="0" fontId="3" fillId="2" borderId="0" xfId="0" applyFont="1" applyFill="1"/>
    <xf numFmtId="0" fontId="0" fillId="2" borderId="0" xfId="0" applyFill="1"/>
    <xf numFmtId="0" fontId="6" fillId="3" borderId="1" xfId="0" applyFont="1" applyFill="1" applyBorder="1" applyAlignment="1">
      <alignment horizontal="center" wrapText="1"/>
    </xf>
    <xf numFmtId="176" fontId="7" fillId="0" borderId="0" xfId="0" applyNumberFormat="1" applyFont="1"/>
    <xf numFmtId="2" fontId="5" fillId="0" borderId="0" xfId="0" applyNumberFormat="1" applyFont="1"/>
    <xf numFmtId="178" fontId="5" fillId="0" borderId="0" xfId="0" applyNumberFormat="1" applyFont="1"/>
    <xf numFmtId="179" fontId="5" fillId="0" borderId="0" xfId="0" applyNumberFormat="1" applyFont="1"/>
    <xf numFmtId="3" fontId="5" fillId="0" borderId="0" xfId="0" applyNumberFormat="1" applyFont="1"/>
    <xf numFmtId="180" fontId="5" fillId="0" borderId="0" xfId="0" applyNumberFormat="1" applyFont="1"/>
    <xf numFmtId="0" fontId="5" fillId="0" borderId="2" xfId="0" applyFont="1" applyBorder="1"/>
    <xf numFmtId="177" fontId="5" fillId="2" borderId="0" xfId="0" applyNumberFormat="1" applyFont="1" applyFill="1"/>
    <xf numFmtId="176" fontId="5" fillId="0" borderId="3" xfId="0" applyNumberFormat="1" applyFont="1" applyBorder="1"/>
    <xf numFmtId="176" fontId="5" fillId="4" borderId="3" xfId="0" applyNumberFormat="1" applyFont="1" applyFill="1" applyBorder="1"/>
    <xf numFmtId="181" fontId="5" fillId="0" borderId="0" xfId="0" applyNumberFormat="1" applyFont="1"/>
    <xf numFmtId="0" fontId="3" fillId="5" borderId="0" xfId="0" applyFont="1" applyFill="1"/>
    <xf numFmtId="0" fontId="0" fillId="5" borderId="0" xfId="0" applyFill="1"/>
    <xf numFmtId="176" fontId="5" fillId="0" borderId="4" xfId="0" applyNumberFormat="1" applyFont="1" applyBorder="1"/>
    <xf numFmtId="0" fontId="6" fillId="3" borderId="0" xfId="0" applyFont="1" applyFill="1" applyAlignment="1">
      <alignment horizontal="center"/>
    </xf>
    <xf numFmtId="177" fontId="5" fillId="0" borderId="2" xfId="0" applyNumberFormat="1" applyFont="1" applyBorder="1"/>
    <xf numFmtId="0" fontId="6" fillId="2" borderId="1" xfId="0" applyFont="1" applyFill="1" applyBorder="1" applyAlignment="1">
      <alignment horizontal="center" wrapText="1"/>
    </xf>
    <xf numFmtId="0" fontId="4" fillId="0" borderId="5" xfId="0" applyFont="1" applyBorder="1"/>
    <xf numFmtId="3" fontId="5" fillId="0" borderId="5" xfId="0" applyNumberFormat="1" applyFont="1" applyBorder="1"/>
    <xf numFmtId="176" fontId="5" fillId="0" borderId="5" xfId="0" applyNumberFormat="1" applyFont="1" applyBorder="1"/>
    <xf numFmtId="0" fontId="5" fillId="0" borderId="5" xfId="0" applyFont="1" applyBorder="1"/>
    <xf numFmtId="3" fontId="5" fillId="0" borderId="2" xfId="0" applyNumberFormat="1" applyFont="1" applyBorder="1"/>
    <xf numFmtId="176" fontId="5" fillId="0" borderId="6" xfId="0" applyNumberFormat="1" applyFont="1" applyBorder="1"/>
    <xf numFmtId="179" fontId="5" fillId="0" borderId="6" xfId="0" applyNumberFormat="1" applyFont="1" applyBorder="1"/>
    <xf numFmtId="177" fontId="5" fillId="0" borderId="6" xfId="0" applyNumberFormat="1" applyFont="1" applyBorder="1"/>
    <xf numFmtId="0" fontId="5" fillId="0" borderId="4" xfId="0" applyFont="1" applyBorder="1" applyAlignment="1">
      <alignment horizontal="right"/>
    </xf>
    <xf numFmtId="0" fontId="6" fillId="3" borderId="6" xfId="0" applyFont="1" applyFill="1" applyBorder="1" applyAlignment="1">
      <alignment horizontal="center" wrapText="1"/>
    </xf>
    <xf numFmtId="177" fontId="6" fillId="3" borderId="6" xfId="0" applyNumberFormat="1" applyFont="1" applyFill="1" applyBorder="1" applyAlignment="1">
      <alignment horizontal="center"/>
    </xf>
    <xf numFmtId="179" fontId="6" fillId="3" borderId="6" xfId="0" applyNumberFormat="1" applyFont="1" applyFill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0" xfId="0" applyFont="1"/>
  </cellXfs>
  <cellStyles count="1">
    <cellStyle name="標準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03366"/>
  </sheetPr>
  <dimension ref="B1:E31"/>
  <sheetViews>
    <sheetView tabSelected="1" workbookViewId="0"/>
  </sheetViews>
  <sheetFormatPr defaultRowHeight="13" x14ac:dyDescent="0.2"/>
  <cols>
    <col min="1" max="1" width="3" customWidth="1"/>
    <col min="2" max="2" width="30" customWidth="1"/>
    <col min="3" max="5" width="22" customWidth="1"/>
  </cols>
  <sheetData>
    <row r="1" spans="2:5" ht="14" x14ac:dyDescent="0.3">
      <c r="B1" s="42" t="s">
        <v>0</v>
      </c>
      <c r="C1" s="41"/>
      <c r="D1" s="41"/>
      <c r="E1" s="41"/>
    </row>
    <row r="3" spans="2:5" ht="18" x14ac:dyDescent="0.4">
      <c r="B3" s="40" t="s">
        <v>1</v>
      </c>
      <c r="C3" s="41"/>
      <c r="D3" s="41"/>
    </row>
    <row r="4" spans="2:5" ht="14" x14ac:dyDescent="0.3">
      <c r="B4" s="3" t="s">
        <v>2</v>
      </c>
    </row>
    <row r="6" spans="2:5" ht="14" x14ac:dyDescent="0.3">
      <c r="B6" s="4" t="s">
        <v>3</v>
      </c>
      <c r="C6" t="s">
        <v>4</v>
      </c>
    </row>
    <row r="7" spans="2:5" ht="14" x14ac:dyDescent="0.3">
      <c r="B7" s="4" t="s">
        <v>5</v>
      </c>
      <c r="C7" t="s">
        <v>6</v>
      </c>
    </row>
    <row r="8" spans="2:5" ht="14" x14ac:dyDescent="0.3">
      <c r="B8" s="4" t="s">
        <v>7</v>
      </c>
      <c r="C8" t="s">
        <v>8</v>
      </c>
    </row>
    <row r="9" spans="2:5" ht="14" x14ac:dyDescent="0.3">
      <c r="B9" s="4" t="s">
        <v>9</v>
      </c>
      <c r="C9" s="5">
        <v>557</v>
      </c>
    </row>
    <row r="10" spans="2:5" ht="14" x14ac:dyDescent="0.3">
      <c r="B10" s="4" t="s">
        <v>10</v>
      </c>
      <c r="C10" s="5">
        <f>ROUND(AVERAGE(C16:C19),0)</f>
        <v>644</v>
      </c>
    </row>
    <row r="11" spans="2:5" ht="14" x14ac:dyDescent="0.3">
      <c r="B11" s="4" t="s">
        <v>11</v>
      </c>
      <c r="C11" s="6" t="str">
        <f>IF(C12&gt;0.15,"BUY",IF(C12&gt;0.05,"HOLD","SELL"))</f>
        <v>BUY</v>
      </c>
    </row>
    <row r="12" spans="2:5" ht="14" x14ac:dyDescent="0.3">
      <c r="B12" s="4" t="s">
        <v>12</v>
      </c>
      <c r="C12" s="7">
        <f>(C10-C9)/C9</f>
        <v>0.15619389587073609</v>
      </c>
    </row>
    <row r="14" spans="2:5" ht="14" x14ac:dyDescent="0.3">
      <c r="B14" s="8" t="s">
        <v>13</v>
      </c>
      <c r="C14" s="9"/>
      <c r="D14" s="9"/>
    </row>
    <row r="15" spans="2:5" ht="14" x14ac:dyDescent="0.3">
      <c r="B15" s="10" t="s">
        <v>14</v>
      </c>
      <c r="C15" s="10" t="s">
        <v>15</v>
      </c>
      <c r="D15" s="10" t="s">
        <v>16</v>
      </c>
    </row>
    <row r="16" spans="2:5" ht="13.5" x14ac:dyDescent="0.25">
      <c r="B16" t="s">
        <v>17</v>
      </c>
      <c r="C16" s="11">
        <f>'DCF Model'!C55</f>
        <v>347</v>
      </c>
      <c r="D16" s="7">
        <f>(C16-C9)/C9</f>
        <v>-0.37701974865350091</v>
      </c>
    </row>
    <row r="17" spans="2:5" ht="13.5" x14ac:dyDescent="0.25">
      <c r="B17" t="s">
        <v>18</v>
      </c>
      <c r="C17" s="11">
        <f>'DCF Model'!C64</f>
        <v>1129</v>
      </c>
      <c r="D17" s="7">
        <f>(C17-C9)/C9</f>
        <v>1.0269299820466786</v>
      </c>
    </row>
    <row r="18" spans="2:5" ht="13.5" x14ac:dyDescent="0.25">
      <c r="B18" t="s">
        <v>19</v>
      </c>
      <c r="C18" s="11">
        <f>'Comps Analysis'!C27</f>
        <v>456</v>
      </c>
      <c r="D18" s="7">
        <f>IF(ISNUMBER(C18),(C18-C9)/C9,"N/A")</f>
        <v>-0.18132854578096949</v>
      </c>
    </row>
    <row r="19" spans="2:5" ht="13.5" x14ac:dyDescent="0.25">
      <c r="B19" t="s">
        <v>20</v>
      </c>
      <c r="C19" s="11" t="str">
        <f>'Comps Analysis'!C28</f>
        <v>N/A</v>
      </c>
      <c r="D19" s="7" t="str">
        <f>IF(ISNUMBER(C19),(C19-C9)/C9,"N/A")</f>
        <v>N/A</v>
      </c>
    </row>
    <row r="20" spans="2:5" ht="14" x14ac:dyDescent="0.3">
      <c r="B20" s="42" t="s">
        <v>21</v>
      </c>
      <c r="C20" s="41"/>
      <c r="D20" s="41"/>
      <c r="E20" s="41"/>
    </row>
    <row r="21" spans="2:5" ht="14" x14ac:dyDescent="0.3">
      <c r="B21" s="4" t="s">
        <v>22</v>
      </c>
      <c r="C21" s="6" t="str">
        <f>MIN(C16:C19)&amp;" - "&amp;MAX(C16:C19)</f>
        <v>347 - 1129</v>
      </c>
    </row>
    <row r="23" spans="2:5" ht="14" x14ac:dyDescent="0.3">
      <c r="B23" s="8" t="s">
        <v>23</v>
      </c>
      <c r="C23" s="9"/>
      <c r="D23" s="9"/>
    </row>
    <row r="24" spans="2:5" x14ac:dyDescent="0.2">
      <c r="B24" t="s">
        <v>24</v>
      </c>
    </row>
    <row r="25" spans="2:5" x14ac:dyDescent="0.2">
      <c r="B25" t="s">
        <v>25</v>
      </c>
    </row>
    <row r="26" spans="2:5" x14ac:dyDescent="0.2">
      <c r="B26" t="s">
        <v>26</v>
      </c>
    </row>
    <row r="28" spans="2:5" ht="14" x14ac:dyDescent="0.3">
      <c r="B28" s="8" t="s">
        <v>27</v>
      </c>
      <c r="C28" s="9"/>
      <c r="D28" s="9"/>
    </row>
    <row r="29" spans="2:5" x14ac:dyDescent="0.2">
      <c r="B29" t="s">
        <v>28</v>
      </c>
    </row>
    <row r="30" spans="2:5" x14ac:dyDescent="0.2">
      <c r="B30" t="s">
        <v>29</v>
      </c>
    </row>
    <row r="31" spans="2:5" x14ac:dyDescent="0.2">
      <c r="B31" t="s">
        <v>30</v>
      </c>
    </row>
  </sheetData>
  <mergeCells count="3">
    <mergeCell ref="B3:D3"/>
    <mergeCell ref="B1:E1"/>
    <mergeCell ref="B20:E20"/>
  </mergeCells>
  <phoneticPr fontId="8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3366"/>
  </sheetPr>
  <dimension ref="B2:G28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8" customWidth="1"/>
  </cols>
  <sheetData>
    <row r="2" spans="2:7" ht="18" x14ac:dyDescent="0.4">
      <c r="B2" s="2" t="s">
        <v>31</v>
      </c>
    </row>
    <row r="4" spans="2:7" ht="14" x14ac:dyDescent="0.3">
      <c r="C4" s="10" t="s">
        <v>32</v>
      </c>
      <c r="D4" s="10" t="s">
        <v>33</v>
      </c>
      <c r="E4" s="10" t="s">
        <v>34</v>
      </c>
      <c r="F4" s="10" t="s">
        <v>35</v>
      </c>
      <c r="G4" s="10" t="s">
        <v>36</v>
      </c>
    </row>
    <row r="5" spans="2:7" ht="14" x14ac:dyDescent="0.3">
      <c r="B5" s="3" t="s">
        <v>37</v>
      </c>
    </row>
    <row r="6" spans="2:7" ht="14" x14ac:dyDescent="0.3">
      <c r="B6" s="4" t="s">
        <v>38</v>
      </c>
      <c r="C6" s="5">
        <v>1362.0509999999999</v>
      </c>
      <c r="D6" s="5">
        <v>1651.627</v>
      </c>
      <c r="E6" s="5">
        <v>1940.3969999999999</v>
      </c>
      <c r="F6" s="5">
        <v>2545.7240000000002</v>
      </c>
      <c r="G6" s="5">
        <v>3895</v>
      </c>
    </row>
    <row r="7" spans="2:7" ht="14" x14ac:dyDescent="0.3">
      <c r="B7" s="4" t="s">
        <v>39</v>
      </c>
      <c r="C7" s="5">
        <v>545.80799999999999</v>
      </c>
      <c r="D7" s="5">
        <v>563.41399999999999</v>
      </c>
      <c r="E7" s="5">
        <v>441.053</v>
      </c>
      <c r="F7" s="5">
        <v>362.35199999999998</v>
      </c>
      <c r="G7" s="5">
        <v>876.56299999999999</v>
      </c>
    </row>
    <row r="8" spans="2:7" ht="14" x14ac:dyDescent="0.3">
      <c r="B8" s="4" t="s">
        <v>40</v>
      </c>
      <c r="C8" s="5">
        <f>C6-C7</f>
        <v>816.24299999999994</v>
      </c>
      <c r="D8" s="5">
        <f>D6-D7</f>
        <v>1088.213</v>
      </c>
      <c r="E8" s="5">
        <f>E6-E7</f>
        <v>1499.3440000000001</v>
      </c>
      <c r="F8" s="5">
        <f>F6-F7</f>
        <v>2183.3720000000003</v>
      </c>
      <c r="G8" s="5">
        <f>G6-G7</f>
        <v>3018.4369999999999</v>
      </c>
    </row>
    <row r="9" spans="2:7" ht="13.5" x14ac:dyDescent="0.25">
      <c r="B9" t="s">
        <v>41</v>
      </c>
      <c r="C9" s="7">
        <f>C8/C6</f>
        <v>0.59927491701852575</v>
      </c>
      <c r="D9" s="7">
        <f>D8/D6</f>
        <v>0.65887334125683339</v>
      </c>
      <c r="E9" s="7">
        <f>E8/E6</f>
        <v>0.77269960734839316</v>
      </c>
      <c r="F9" s="7">
        <f>F8/F6</f>
        <v>0.8576624960129221</v>
      </c>
      <c r="G9" s="7">
        <f>G8/G6</f>
        <v>0.77495173299101405</v>
      </c>
    </row>
    <row r="10" spans="2:7" ht="14" x14ac:dyDescent="0.3">
      <c r="B10" s="4" t="s">
        <v>42</v>
      </c>
      <c r="C10" s="5">
        <v>1522.299</v>
      </c>
      <c r="D10" s="5">
        <v>1668.204</v>
      </c>
      <c r="E10" s="5">
        <v>1796.829</v>
      </c>
      <c r="F10" s="5">
        <v>2125.4549999999999</v>
      </c>
      <c r="G10" s="5">
        <v>3233.864</v>
      </c>
    </row>
    <row r="11" spans="2:7" ht="14" x14ac:dyDescent="0.3">
      <c r="B11" s="4" t="s">
        <v>43</v>
      </c>
      <c r="C11" s="5">
        <v>-706.05600000000004</v>
      </c>
      <c r="D11" s="5">
        <v>-579.99099999999999</v>
      </c>
      <c r="E11" s="5">
        <v>-297.48500000000001</v>
      </c>
      <c r="F11" s="5">
        <v>57.915999999999997</v>
      </c>
      <c r="G11" s="5">
        <v>-215</v>
      </c>
    </row>
    <row r="12" spans="2:7" ht="14" x14ac:dyDescent="0.3">
      <c r="B12" s="4" t="s">
        <v>44</v>
      </c>
      <c r="C12" s="5">
        <v>-568.98800000000006</v>
      </c>
      <c r="D12" s="5">
        <v>-561.56899999999996</v>
      </c>
      <c r="E12" s="5">
        <v>-338.71100000000001</v>
      </c>
      <c r="F12" s="5">
        <v>-132.91499999999999</v>
      </c>
      <c r="G12" s="5">
        <v>-700</v>
      </c>
    </row>
    <row r="13" spans="2:7" ht="13.5" x14ac:dyDescent="0.25">
      <c r="B13" t="s">
        <v>45</v>
      </c>
      <c r="C13" s="7">
        <f>C11/C6</f>
        <v>-0.51837706517597359</v>
      </c>
      <c r="D13" s="7">
        <f>D11/D6</f>
        <v>-0.35116342854651805</v>
      </c>
      <c r="E13" s="7">
        <f>E11/E6</f>
        <v>-0.15331140998465778</v>
      </c>
      <c r="F13" s="7">
        <f>F11/F6</f>
        <v>2.2750306003321646E-2</v>
      </c>
      <c r="G13" s="7">
        <f>G11/G6</f>
        <v>-5.5198973042362001E-2</v>
      </c>
    </row>
    <row r="14" spans="2:7" ht="13.5" x14ac:dyDescent="0.25">
      <c r="B14" t="s">
        <v>46</v>
      </c>
      <c r="C14" s="7">
        <f>C12/C6</f>
        <v>-0.41774353530080743</v>
      </c>
      <c r="D14" s="7">
        <f>D12/D6</f>
        <v>-0.34000957843387153</v>
      </c>
      <c r="E14" s="7">
        <f>E12/E6</f>
        <v>-0.17455757765034682</v>
      </c>
      <c r="F14" s="7">
        <f>F12/F6</f>
        <v>-5.2211080227078814E-2</v>
      </c>
      <c r="G14" s="7">
        <f>G12/G6</f>
        <v>-0.1797175866495507</v>
      </c>
    </row>
    <row r="15" spans="2:7" ht="13.5" x14ac:dyDescent="0.25">
      <c r="B15" t="s">
        <v>47</v>
      </c>
      <c r="C15" t="s">
        <v>48</v>
      </c>
      <c r="D15" s="7">
        <f>(D6-C6)/C6</f>
        <v>0.21260290547123423</v>
      </c>
      <c r="E15" s="7">
        <f>(E6-D6)/D6</f>
        <v>0.1748397186531826</v>
      </c>
      <c r="F15" s="7">
        <f>(F6-E6)/E6</f>
        <v>0.31196038748771526</v>
      </c>
      <c r="G15" s="7">
        <f>(G6-F6)/F6</f>
        <v>0.53001660824189889</v>
      </c>
    </row>
    <row r="16" spans="2:7" ht="13.5" x14ac:dyDescent="0.25">
      <c r="B16" t="s">
        <v>49</v>
      </c>
      <c r="C16" t="s">
        <v>48</v>
      </c>
      <c r="D16" s="7">
        <f>(D11-C11)/C11</f>
        <v>-0.17854816048585387</v>
      </c>
      <c r="E16" s="7">
        <f>(E11-D11)/D11</f>
        <v>-0.48708686858934014</v>
      </c>
      <c r="F16" s="7">
        <f>(F11-E11)/E11</f>
        <v>-1.1946854463250247</v>
      </c>
      <c r="G16" s="7">
        <f>(G11-F11)/F11</f>
        <v>-4.7122729470267286</v>
      </c>
    </row>
    <row r="18" spans="2:7" ht="14" x14ac:dyDescent="0.3">
      <c r="B18" s="3" t="s">
        <v>50</v>
      </c>
    </row>
    <row r="19" spans="2:7" ht="14" x14ac:dyDescent="0.3">
      <c r="B19" s="4" t="s">
        <v>51</v>
      </c>
      <c r="C19" s="5">
        <v>-757.76900000000001</v>
      </c>
      <c r="D19" s="5">
        <v>-567.00900000000001</v>
      </c>
      <c r="E19" s="5">
        <v>-341.36099999999999</v>
      </c>
      <c r="F19" s="5">
        <v>222.732</v>
      </c>
      <c r="G19" s="5">
        <v>-497.74400000000003</v>
      </c>
    </row>
    <row r="20" spans="2:7" ht="14" x14ac:dyDescent="0.3">
      <c r="B20" s="4" t="s">
        <v>52</v>
      </c>
      <c r="C20" s="5">
        <v>12.888</v>
      </c>
      <c r="D20" s="5">
        <v>10.569000000000001</v>
      </c>
      <c r="E20" s="5">
        <v>43.311</v>
      </c>
      <c r="F20" s="5">
        <v>238.61600000000001</v>
      </c>
      <c r="G20" s="5">
        <v>183.48699999999999</v>
      </c>
    </row>
    <row r="21" spans="2:7" ht="14" x14ac:dyDescent="0.3">
      <c r="B21" s="4" t="s">
        <v>53</v>
      </c>
      <c r="C21" s="5">
        <f>C19-C20</f>
        <v>-770.65700000000004</v>
      </c>
      <c r="D21" s="5">
        <f>D19-D20</f>
        <v>-577.57799999999997</v>
      </c>
      <c r="E21" s="5">
        <f>E19-E20</f>
        <v>-384.67199999999997</v>
      </c>
      <c r="F21" s="5">
        <f>F19-F20</f>
        <v>-15.884000000000015</v>
      </c>
      <c r="G21" s="5">
        <f>G19-G20</f>
        <v>-681.23099999999999</v>
      </c>
    </row>
    <row r="22" spans="2:7" ht="13.5" x14ac:dyDescent="0.25">
      <c r="B22" t="s">
        <v>54</v>
      </c>
      <c r="C22" s="7">
        <f>C21/C6</f>
        <v>-0.56580627303970266</v>
      </c>
      <c r="D22" s="7">
        <f>D21/D6</f>
        <v>-0.34970244492249158</v>
      </c>
      <c r="E22" s="7">
        <f>E21/E6</f>
        <v>-0.19824396760044463</v>
      </c>
      <c r="F22" s="7">
        <f>F21/F6</f>
        <v>-6.2394823633669686E-3</v>
      </c>
      <c r="G22" s="7">
        <f>G21/G6</f>
        <v>-0.17489884467265726</v>
      </c>
    </row>
    <row r="23" spans="2:7" ht="13.5" x14ac:dyDescent="0.25">
      <c r="B23" t="s">
        <v>55</v>
      </c>
      <c r="C23" s="7">
        <f>C20/C6</f>
        <v>9.4622007545972948E-3</v>
      </c>
      <c r="D23" s="7">
        <f>D20/D6</f>
        <v>6.399144601050964E-3</v>
      </c>
      <c r="E23" s="7">
        <f>E20/E6</f>
        <v>2.2320690044356904E-2</v>
      </c>
      <c r="F23" s="7">
        <f>F20/F6</f>
        <v>9.3732077790051077E-2</v>
      </c>
      <c r="G23" s="7">
        <f>G20/G6</f>
        <v>4.7108344030808727E-2</v>
      </c>
    </row>
    <row r="25" spans="2:7" ht="14" x14ac:dyDescent="0.3">
      <c r="B25" s="3" t="s">
        <v>56</v>
      </c>
    </row>
    <row r="26" spans="2:7" ht="14" x14ac:dyDescent="0.3">
      <c r="B26" s="4" t="s">
        <v>57</v>
      </c>
      <c r="C26" s="5">
        <v>2304.4549999999999</v>
      </c>
      <c r="D26" s="5">
        <v>2062.9279999999999</v>
      </c>
      <c r="E26" s="5">
        <v>2741.884</v>
      </c>
      <c r="F26" s="5">
        <v>2746.2759999999998</v>
      </c>
      <c r="G26" s="5">
        <v>3275.3380000000002</v>
      </c>
    </row>
    <row r="27" spans="2:7" ht="14" x14ac:dyDescent="0.3">
      <c r="B27" s="4" t="s">
        <v>58</v>
      </c>
      <c r="C27" s="5">
        <v>1100.5999999999999</v>
      </c>
      <c r="D27" s="5">
        <v>1432.2</v>
      </c>
      <c r="E27" s="5">
        <v>1444.3</v>
      </c>
      <c r="F27" s="5">
        <v>1535.8</v>
      </c>
      <c r="G27" s="5">
        <v>2727.4</v>
      </c>
    </row>
    <row r="28" spans="2:7" ht="14" x14ac:dyDescent="0.3">
      <c r="B28" s="4" t="s">
        <v>59</v>
      </c>
      <c r="C28" s="5">
        <f>C27-C26</f>
        <v>-1203.855</v>
      </c>
      <c r="D28" s="5">
        <f>D27-D26</f>
        <v>-630.72799999999984</v>
      </c>
      <c r="E28" s="5">
        <f>E27-E26</f>
        <v>-1297.5840000000001</v>
      </c>
      <c r="F28" s="5">
        <f>F27-F26</f>
        <v>-1210.4759999999999</v>
      </c>
      <c r="G28" s="5">
        <f>G27-G26</f>
        <v>-547.9380000000001</v>
      </c>
    </row>
  </sheetData>
  <phoneticPr fontId="8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006600"/>
  </sheetPr>
  <dimension ref="B2:G87"/>
  <sheetViews>
    <sheetView workbookViewId="0"/>
  </sheetViews>
  <sheetFormatPr defaultRowHeight="13" x14ac:dyDescent="0.2"/>
  <cols>
    <col min="1" max="1" width="3" customWidth="1"/>
    <col min="2" max="2" width="32" customWidth="1"/>
    <col min="3" max="7" width="16" customWidth="1"/>
  </cols>
  <sheetData>
    <row r="2" spans="2:7" ht="18" x14ac:dyDescent="0.4">
      <c r="B2" s="2" t="s">
        <v>60</v>
      </c>
    </row>
    <row r="4" spans="2:7" ht="14" x14ac:dyDescent="0.3">
      <c r="B4" s="8" t="s">
        <v>61</v>
      </c>
      <c r="C4" s="9"/>
      <c r="D4" s="9"/>
      <c r="E4" s="9"/>
      <c r="F4" s="9"/>
      <c r="G4" s="9"/>
    </row>
    <row r="5" spans="2:7" ht="14" x14ac:dyDescent="0.3">
      <c r="B5" s="4" t="s">
        <v>55</v>
      </c>
      <c r="C5" s="7">
        <v>3.5799999999999998E-2</v>
      </c>
    </row>
    <row r="6" spans="2:7" ht="14" x14ac:dyDescent="0.3">
      <c r="B6" s="4" t="s">
        <v>62</v>
      </c>
      <c r="C6" s="7">
        <v>0.3</v>
      </c>
    </row>
    <row r="7" spans="2:7" ht="14" x14ac:dyDescent="0.3">
      <c r="B7" s="4" t="s">
        <v>63</v>
      </c>
      <c r="C7" s="7">
        <v>2.3E-2</v>
      </c>
    </row>
    <row r="8" spans="2:7" ht="14" x14ac:dyDescent="0.3">
      <c r="B8" s="4" t="s">
        <v>64</v>
      </c>
      <c r="C8" s="12">
        <v>1.6</v>
      </c>
    </row>
    <row r="9" spans="2:7" ht="14" x14ac:dyDescent="0.3">
      <c r="B9" s="4" t="s">
        <v>65</v>
      </c>
      <c r="C9" s="7">
        <v>0.06</v>
      </c>
    </row>
    <row r="10" spans="2:7" ht="14" x14ac:dyDescent="0.3">
      <c r="B10" s="4" t="s">
        <v>66</v>
      </c>
      <c r="C10" s="7">
        <v>0.04</v>
      </c>
    </row>
    <row r="11" spans="2:7" ht="14" x14ac:dyDescent="0.3">
      <c r="B11" s="4" t="s">
        <v>67</v>
      </c>
      <c r="C11" s="7">
        <v>1.7500000000000002E-2</v>
      </c>
    </row>
    <row r="12" spans="2:7" ht="14" x14ac:dyDescent="0.3">
      <c r="B12" s="4" t="s">
        <v>68</v>
      </c>
      <c r="C12" s="13">
        <v>0.2</v>
      </c>
    </row>
    <row r="13" spans="2:7" ht="14" x14ac:dyDescent="0.3">
      <c r="B13" s="4" t="s">
        <v>69</v>
      </c>
      <c r="C13" s="7">
        <v>1.4999999999999999E-2</v>
      </c>
    </row>
    <row r="14" spans="2:7" ht="14" x14ac:dyDescent="0.3">
      <c r="B14" s="4" t="s">
        <v>70</v>
      </c>
      <c r="C14" s="14">
        <v>4</v>
      </c>
    </row>
    <row r="15" spans="2:7" ht="14" x14ac:dyDescent="0.3">
      <c r="B15" s="4" t="s">
        <v>71</v>
      </c>
      <c r="C15" s="15">
        <v>27115114</v>
      </c>
    </row>
    <row r="16" spans="2:7" ht="14" x14ac:dyDescent="0.3">
      <c r="B16" s="4" t="s">
        <v>72</v>
      </c>
      <c r="C16" s="5">
        <v>-548</v>
      </c>
    </row>
    <row r="17" spans="2:7" ht="14" x14ac:dyDescent="0.3">
      <c r="B17" s="4" t="s">
        <v>73</v>
      </c>
      <c r="C17" s="5">
        <v>3895</v>
      </c>
    </row>
    <row r="18" spans="2:7" ht="14" x14ac:dyDescent="0.3">
      <c r="B18" s="4" t="s">
        <v>74</v>
      </c>
      <c r="C18" s="7">
        <v>4.1599999999999998E-2</v>
      </c>
    </row>
    <row r="19" spans="2:7" ht="14" x14ac:dyDescent="0.3">
      <c r="B19" s="4" t="s">
        <v>75</v>
      </c>
      <c r="C19" s="12">
        <v>1</v>
      </c>
    </row>
    <row r="20" spans="2:7" ht="14" x14ac:dyDescent="0.3">
      <c r="B20" s="4" t="s">
        <v>76</v>
      </c>
      <c r="C20" s="5">
        <v>3895</v>
      </c>
    </row>
    <row r="22" spans="2:7" ht="14" x14ac:dyDescent="0.3">
      <c r="B22" s="8" t="s">
        <v>77</v>
      </c>
      <c r="C22" s="9"/>
      <c r="D22" s="9"/>
      <c r="E22" s="9"/>
      <c r="F22" s="9"/>
      <c r="G22" s="9"/>
    </row>
    <row r="23" spans="2:7" ht="14" x14ac:dyDescent="0.3">
      <c r="B23" s="4" t="s">
        <v>78</v>
      </c>
      <c r="C23" s="16">
        <f>C7+C8*C9+C10</f>
        <v>0.159</v>
      </c>
    </row>
    <row r="24" spans="2:7" ht="14" x14ac:dyDescent="0.3">
      <c r="B24" s="4" t="s">
        <v>79</v>
      </c>
      <c r="C24" s="16">
        <f>1/(1+C12)</f>
        <v>0.83333333333333337</v>
      </c>
    </row>
    <row r="25" spans="2:7" ht="14" x14ac:dyDescent="0.3">
      <c r="B25" s="4" t="s">
        <v>80</v>
      </c>
      <c r="C25" s="16">
        <f>C12/(1+C12)</f>
        <v>0.16666666666666669</v>
      </c>
    </row>
    <row r="26" spans="2:7" ht="14" x14ac:dyDescent="0.3">
      <c r="B26" s="4" t="s">
        <v>81</v>
      </c>
      <c r="C26" s="16">
        <f>C23*C24+C11*C25</f>
        <v>0.13541666666666669</v>
      </c>
    </row>
    <row r="27" spans="2:7" ht="14" x14ac:dyDescent="0.3">
      <c r="B27" s="4" t="s">
        <v>82</v>
      </c>
      <c r="C27" s="17" t="s">
        <v>83</v>
      </c>
      <c r="D27" s="6">
        <f>MATCH(C27,B69:B73,0)</f>
        <v>1</v>
      </c>
    </row>
    <row r="28" spans="2:7" ht="14" x14ac:dyDescent="0.3">
      <c r="B28" s="8" t="s">
        <v>84</v>
      </c>
      <c r="C28" s="9"/>
      <c r="D28" s="9"/>
      <c r="E28" s="9"/>
      <c r="F28" s="9"/>
      <c r="G28" s="9"/>
    </row>
    <row r="29" spans="2:7" ht="14" x14ac:dyDescent="0.3">
      <c r="C29" s="10" t="s">
        <v>85</v>
      </c>
      <c r="D29" s="10" t="s">
        <v>86</v>
      </c>
      <c r="E29" s="10" t="s">
        <v>87</v>
      </c>
      <c r="F29" s="10" t="s">
        <v>88</v>
      </c>
      <c r="G29" s="10" t="s">
        <v>89</v>
      </c>
    </row>
    <row r="30" spans="2:7" ht="14" x14ac:dyDescent="0.3">
      <c r="B30" s="4" t="s">
        <v>47</v>
      </c>
      <c r="C30" s="18">
        <f>CHOOSE($D$27,C69,C70,C71,C72,C73)</f>
        <v>0.33</v>
      </c>
      <c r="D30" s="18">
        <f>CHOOSE($D$27,D69,D70,D71,D72,D73)</f>
        <v>0.35</v>
      </c>
      <c r="E30" s="18">
        <f>CHOOSE($D$27,E69,E70,E71,E72,E73)</f>
        <v>0.3</v>
      </c>
      <c r="F30" s="18">
        <f>CHOOSE($D$27,F69,F70,F71,F72,F73)</f>
        <v>0.24</v>
      </c>
      <c r="G30" s="18">
        <f>CHOOSE($D$27,G69,G70,G71,G72,G73)</f>
        <v>0.18</v>
      </c>
    </row>
    <row r="31" spans="2:7" ht="14" x14ac:dyDescent="0.3">
      <c r="B31" s="4" t="s">
        <v>90</v>
      </c>
      <c r="C31" s="18">
        <f>CHOOSE($D$27,C76,C77,C78,C79,C80)</f>
        <v>0.16</v>
      </c>
      <c r="D31" s="18">
        <f>CHOOSE($D$27,D76,D77,D78,D79,D80)</f>
        <v>0.15</v>
      </c>
      <c r="E31" s="18">
        <f>CHOOSE($D$27,E76,E77,E78,E79,E80)</f>
        <v>0.15</v>
      </c>
      <c r="F31" s="18">
        <f>CHOOSE($D$27,F76,F77,F78,F79,F80)</f>
        <v>0.14000000000000001</v>
      </c>
      <c r="G31" s="18">
        <f>CHOOSE($D$27,G76,G77,G78,G79,G80)</f>
        <v>0.14000000000000001</v>
      </c>
    </row>
    <row r="32" spans="2:7" ht="14" x14ac:dyDescent="0.3">
      <c r="B32" s="4" t="s">
        <v>91</v>
      </c>
      <c r="C32" s="18">
        <f>CHOOSE($D$27,C83,C84,C85,C86,C87)</f>
        <v>0.82</v>
      </c>
      <c r="D32" s="18">
        <f>CHOOSE($D$27,D83,D84,D85,D86,D87)</f>
        <v>0.78</v>
      </c>
      <c r="E32" s="18">
        <f>CHOOSE($D$27,E83,E84,E85,E86,E87)</f>
        <v>0.74</v>
      </c>
      <c r="F32" s="18">
        <f>CHOOSE($D$27,F83,F84,F85,F86,F87)</f>
        <v>0.7</v>
      </c>
      <c r="G32" s="18">
        <f>CHOOSE($D$27,G83,G84,G85,G86,G87)</f>
        <v>0.67</v>
      </c>
    </row>
    <row r="33" spans="2:7" ht="14" x14ac:dyDescent="0.3">
      <c r="B33" s="4" t="s">
        <v>38</v>
      </c>
      <c r="C33" s="5">
        <f>C17*(1+C30)</f>
        <v>5180.3500000000004</v>
      </c>
      <c r="D33" s="5">
        <f>C33*(1+D30)</f>
        <v>6993.4725000000008</v>
      </c>
      <c r="E33" s="5">
        <f>D33*(1+E30)</f>
        <v>9091.514250000002</v>
      </c>
      <c r="F33" s="5">
        <f>E33*(1+F30)</f>
        <v>11273.477670000002</v>
      </c>
      <c r="G33" s="5">
        <f>F33*(1+G30)</f>
        <v>13302.703650600002</v>
      </c>
    </row>
    <row r="34" spans="2:7" ht="14" x14ac:dyDescent="0.3">
      <c r="B34" s="4" t="s">
        <v>39</v>
      </c>
      <c r="C34" s="5">
        <f>C33*C31</f>
        <v>828.85600000000011</v>
      </c>
      <c r="D34" s="5">
        <f>D33*D31</f>
        <v>1049.0208750000002</v>
      </c>
      <c r="E34" s="5">
        <f>E33*E31</f>
        <v>1363.7271375000003</v>
      </c>
      <c r="F34" s="5">
        <f>F33*F31</f>
        <v>1578.2868738000004</v>
      </c>
      <c r="G34" s="5">
        <f>G33*G31</f>
        <v>1862.3785110840006</v>
      </c>
    </row>
    <row r="35" spans="2:7" ht="14" x14ac:dyDescent="0.3">
      <c r="B35" s="4" t="s">
        <v>40</v>
      </c>
      <c r="C35" s="19">
        <f>C33-C34</f>
        <v>4351.4940000000006</v>
      </c>
      <c r="D35" s="19">
        <f>D33-D34</f>
        <v>5944.4516250000006</v>
      </c>
      <c r="E35" s="19">
        <f>E33-E34</f>
        <v>7727.787112500002</v>
      </c>
      <c r="F35" s="19">
        <f>F33-F34</f>
        <v>9695.1907962000023</v>
      </c>
      <c r="G35" s="19">
        <f>G33-G34</f>
        <v>11440.325139516002</v>
      </c>
    </row>
    <row r="36" spans="2:7" ht="14" x14ac:dyDescent="0.3">
      <c r="B36" s="4" t="s">
        <v>41</v>
      </c>
      <c r="C36" s="7">
        <f>C35/C33</f>
        <v>0.84000000000000008</v>
      </c>
      <c r="D36" s="7">
        <f>D35/D33</f>
        <v>0.85</v>
      </c>
      <c r="E36" s="7">
        <f>E35/E33</f>
        <v>0.85</v>
      </c>
      <c r="F36" s="7">
        <f>F35/F33</f>
        <v>0.8600000000000001</v>
      </c>
      <c r="G36" s="7">
        <f>G35/G33</f>
        <v>0.86</v>
      </c>
    </row>
    <row r="37" spans="2:7" ht="14" x14ac:dyDescent="0.3">
      <c r="B37" s="4" t="s">
        <v>92</v>
      </c>
      <c r="C37" s="5">
        <f>C33*C32</f>
        <v>4247.8869999999997</v>
      </c>
      <c r="D37" s="5">
        <f>D33*D32</f>
        <v>5454.908550000001</v>
      </c>
      <c r="E37" s="5">
        <f>E33*E32</f>
        <v>6727.720545000001</v>
      </c>
      <c r="F37" s="5">
        <f>F33*F32</f>
        <v>7891.4343690000005</v>
      </c>
      <c r="G37" s="5">
        <f>G33*G32</f>
        <v>8912.8114459020017</v>
      </c>
    </row>
    <row r="38" spans="2:7" ht="14" x14ac:dyDescent="0.3">
      <c r="B38" s="4" t="s">
        <v>93</v>
      </c>
      <c r="C38" s="7">
        <f>(C35-C37)/C33</f>
        <v>2.0000000000000167E-2</v>
      </c>
      <c r="D38" s="7">
        <f>(D35-D37)/D33</f>
        <v>6.9999999999999937E-2</v>
      </c>
      <c r="E38" s="7">
        <f>(E35-E37)/E33</f>
        <v>0.11000000000000008</v>
      </c>
      <c r="F38" s="7">
        <f>(F35-F37)/F33</f>
        <v>0.16000000000000014</v>
      </c>
      <c r="G38" s="7">
        <f>(G35-G37)/G33</f>
        <v>0.19000000000000003</v>
      </c>
    </row>
    <row r="39" spans="2:7" ht="14" x14ac:dyDescent="0.3">
      <c r="B39" s="4" t="s">
        <v>94</v>
      </c>
      <c r="C39" s="19">
        <f>C35-C37</f>
        <v>103.60700000000088</v>
      </c>
      <c r="D39" s="19">
        <f>D35-D37</f>
        <v>489.54307499999959</v>
      </c>
      <c r="E39" s="19">
        <f>E35-E37</f>
        <v>1000.0665675000009</v>
      </c>
      <c r="F39" s="19">
        <f>F35-F37</f>
        <v>1803.7564272000018</v>
      </c>
      <c r="G39" s="19">
        <f>G35-G37</f>
        <v>2527.5136936140007</v>
      </c>
    </row>
    <row r="40" spans="2:7" ht="14" x14ac:dyDescent="0.3">
      <c r="B40" s="4" t="s">
        <v>95</v>
      </c>
      <c r="C40" s="5">
        <f>MAX(0,C39*C6)</f>
        <v>31.082100000000263</v>
      </c>
      <c r="D40" s="5">
        <f>MAX(0,D39*C6)</f>
        <v>146.86292249999988</v>
      </c>
      <c r="E40" s="5">
        <f>MAX(0,E39*C6)</f>
        <v>300.01997025000026</v>
      </c>
      <c r="F40" s="5">
        <f>MAX(0,F39*C6)</f>
        <v>541.12692816000049</v>
      </c>
      <c r="G40" s="5">
        <f>MAX(0,G39*C6)</f>
        <v>758.2541080842002</v>
      </c>
    </row>
    <row r="41" spans="2:7" ht="14" x14ac:dyDescent="0.3">
      <c r="B41" s="4" t="s">
        <v>96</v>
      </c>
      <c r="C41" s="19">
        <f>C39-C40</f>
        <v>72.524900000000613</v>
      </c>
      <c r="D41" s="19">
        <f>D39-D40</f>
        <v>342.68015249999974</v>
      </c>
      <c r="E41" s="19">
        <f>E39-E40</f>
        <v>700.04659725000067</v>
      </c>
      <c r="F41" s="19">
        <f>F39-F40</f>
        <v>1262.6294990400013</v>
      </c>
      <c r="G41" s="19">
        <f>G39-G40</f>
        <v>1769.2595855298005</v>
      </c>
    </row>
    <row r="42" spans="2:7" ht="14" x14ac:dyDescent="0.3">
      <c r="B42" s="4" t="s">
        <v>97</v>
      </c>
      <c r="C42" s="5">
        <f>C33*C18</f>
        <v>215.50256000000002</v>
      </c>
      <c r="D42" s="5">
        <f>D33*C18</f>
        <v>290.92845600000004</v>
      </c>
      <c r="E42" s="5">
        <f>E33*C18</f>
        <v>378.20699280000008</v>
      </c>
      <c r="F42" s="5">
        <f>F33*C18</f>
        <v>468.97667107200004</v>
      </c>
      <c r="G42" s="5">
        <f>G33*C18</f>
        <v>553.39247186496004</v>
      </c>
    </row>
    <row r="43" spans="2:7" ht="14" x14ac:dyDescent="0.3">
      <c r="B43" s="4" t="s">
        <v>98</v>
      </c>
      <c r="C43" s="5">
        <f>C33*C5</f>
        <v>185.45653000000001</v>
      </c>
      <c r="D43" s="5">
        <f>D33*C5</f>
        <v>250.36631550000001</v>
      </c>
      <c r="E43" s="5">
        <f>E33*C5</f>
        <v>325.47621015000004</v>
      </c>
      <c r="F43" s="5">
        <f>F33*C5</f>
        <v>403.59050058600008</v>
      </c>
      <c r="G43" s="5">
        <f>G33*C5</f>
        <v>476.23679069148005</v>
      </c>
    </row>
    <row r="44" spans="2:7" ht="14" x14ac:dyDescent="0.3">
      <c r="B44" s="4" t="s">
        <v>99</v>
      </c>
      <c r="C44" s="5">
        <f>'NWC Schedule'!D19</f>
        <v>133.57423287671224</v>
      </c>
      <c r="D44" s="5">
        <f>'NWC Schedule'!E19</f>
        <v>241.63139383561668</v>
      </c>
      <c r="E44" s="5">
        <f>'NWC Schedule'!F19</f>
        <v>257.70467157534267</v>
      </c>
      <c r="F44" s="5">
        <f>'NWC Schedule'!G19</f>
        <v>286.24570345479447</v>
      </c>
      <c r="G44" s="5">
        <f>'NWC Schedule'!H19</f>
        <v>282.42378031364387</v>
      </c>
    </row>
    <row r="45" spans="2:7" ht="14" x14ac:dyDescent="0.3">
      <c r="B45" s="4" t="s">
        <v>100</v>
      </c>
      <c r="C45" s="20">
        <f>C41+C42-C43-C44</f>
        <v>-31.003302876711615</v>
      </c>
      <c r="D45" s="20">
        <f>D41+D42-D43-D44</f>
        <v>141.610899164383</v>
      </c>
      <c r="E45" s="20">
        <f>E41+E42-E43-E44</f>
        <v>495.07270832465792</v>
      </c>
      <c r="F45" s="20">
        <f>F41+F42-F43-F44</f>
        <v>1041.7699660712067</v>
      </c>
      <c r="G45" s="20">
        <f>G41+G42-G43-G44</f>
        <v>1563.9914863896365</v>
      </c>
    </row>
    <row r="46" spans="2:7" ht="14" x14ac:dyDescent="0.3">
      <c r="B46" s="4" t="s">
        <v>101</v>
      </c>
      <c r="C46" s="21">
        <f>1/(1+C26)^(C19+0)</f>
        <v>0.88073394495412838</v>
      </c>
      <c r="D46" s="21">
        <f>1/(1+C26)^(C19+1)</f>
        <v>0.77569228179446159</v>
      </c>
      <c r="E46" s="21">
        <f>1/(1+C26)^(C19+2)</f>
        <v>0.68317852341530561</v>
      </c>
      <c r="F46" s="21">
        <f>1/(1+C26)^(C19+3)</f>
        <v>0.60169851603549851</v>
      </c>
      <c r="G46" s="21">
        <f>1/(1+C26)^(C19+4)</f>
        <v>0.52993630770098943</v>
      </c>
    </row>
    <row r="47" spans="2:7" ht="14" x14ac:dyDescent="0.3">
      <c r="B47" s="4" t="s">
        <v>102</v>
      </c>
      <c r="C47" s="19">
        <f>C45*C46</f>
        <v>-27.305661249213898</v>
      </c>
      <c r="D47" s="19">
        <f>D45*D46</f>
        <v>109.84648149978567</v>
      </c>
      <c r="E47" s="19">
        <f>E45*E46</f>
        <v>338.22304185645606</v>
      </c>
      <c r="F47" s="19">
        <f>F45*F46</f>
        <v>626.83144263539668</v>
      </c>
      <c r="G47" s="19">
        <f>G45*G46</f>
        <v>828.81587357310627</v>
      </c>
    </row>
    <row r="49" spans="2:7" ht="14" x14ac:dyDescent="0.3">
      <c r="B49" s="22" t="s">
        <v>103</v>
      </c>
      <c r="C49" s="23"/>
      <c r="D49" s="23"/>
      <c r="E49" s="23"/>
      <c r="F49" s="23"/>
      <c r="G49" s="23"/>
    </row>
    <row r="50" spans="2:7" ht="14" x14ac:dyDescent="0.3">
      <c r="B50" s="4" t="s">
        <v>104</v>
      </c>
      <c r="C50" s="5">
        <f>SUM(C47:G47)</f>
        <v>1876.4111783155308</v>
      </c>
    </row>
    <row r="51" spans="2:7" ht="14" x14ac:dyDescent="0.3">
      <c r="B51" s="4" t="s">
        <v>105</v>
      </c>
      <c r="C51" s="5">
        <f>G45*(1+C13)/(C26-C13)</f>
        <v>13182.987061747937</v>
      </c>
    </row>
    <row r="52" spans="2:7" ht="14" x14ac:dyDescent="0.3">
      <c r="B52" s="4" t="s">
        <v>106</v>
      </c>
      <c r="C52" s="5">
        <f>C51*G46</f>
        <v>6986.1434879726175</v>
      </c>
    </row>
    <row r="53" spans="2:7" ht="14" x14ac:dyDescent="0.3">
      <c r="B53" s="4" t="s">
        <v>107</v>
      </c>
      <c r="C53" s="5">
        <f>C50+C52</f>
        <v>8862.5546662881479</v>
      </c>
    </row>
    <row r="54" spans="2:7" ht="14" x14ac:dyDescent="0.3">
      <c r="B54" s="4" t="s">
        <v>108</v>
      </c>
      <c r="C54" s="5">
        <f>C53-C16</f>
        <v>9410.5546662881479</v>
      </c>
    </row>
    <row r="55" spans="2:7" ht="14" x14ac:dyDescent="0.3">
      <c r="B55" s="4" t="s">
        <v>109</v>
      </c>
      <c r="C55" s="24">
        <f>ROUND(C54*1000000/C15,0)</f>
        <v>347</v>
      </c>
    </row>
    <row r="57" spans="2:7" ht="14" x14ac:dyDescent="0.3">
      <c r="B57" s="22" t="s">
        <v>110</v>
      </c>
      <c r="C57" s="23"/>
      <c r="D57" s="23"/>
      <c r="E57" s="23"/>
      <c r="F57" s="23"/>
      <c r="G57" s="23"/>
    </row>
    <row r="58" spans="2:7" ht="14" x14ac:dyDescent="0.3">
      <c r="B58" s="4" t="s">
        <v>104</v>
      </c>
      <c r="C58" s="5">
        <f>C50</f>
        <v>1876.4111783155308</v>
      </c>
    </row>
    <row r="59" spans="2:7" ht="14" x14ac:dyDescent="0.3">
      <c r="B59" s="4" t="s">
        <v>111</v>
      </c>
      <c r="C59" s="5">
        <f>G33</f>
        <v>13302.703650600002</v>
      </c>
    </row>
    <row r="60" spans="2:7" ht="14" x14ac:dyDescent="0.3">
      <c r="B60" s="4" t="s">
        <v>112</v>
      </c>
      <c r="C60" s="5">
        <f>C59*C14</f>
        <v>53210.814602400009</v>
      </c>
    </row>
    <row r="61" spans="2:7" ht="14" x14ac:dyDescent="0.3">
      <c r="B61" s="4" t="s">
        <v>106</v>
      </c>
      <c r="C61" s="5">
        <f>C60*G46</f>
        <v>28198.342620157753</v>
      </c>
    </row>
    <row r="62" spans="2:7" ht="14" x14ac:dyDescent="0.3">
      <c r="B62" s="4" t="s">
        <v>107</v>
      </c>
      <c r="C62" s="5">
        <f>C58+C61</f>
        <v>30074.753798473284</v>
      </c>
    </row>
    <row r="63" spans="2:7" ht="14" x14ac:dyDescent="0.3">
      <c r="B63" s="4" t="s">
        <v>108</v>
      </c>
      <c r="C63" s="5">
        <f>C62-C16</f>
        <v>30622.753798473284</v>
      </c>
    </row>
    <row r="64" spans="2:7" ht="14" x14ac:dyDescent="0.3">
      <c r="B64" s="4" t="s">
        <v>113</v>
      </c>
      <c r="C64" s="24">
        <f>ROUND(C63*1000000/C15,0)</f>
        <v>1129</v>
      </c>
    </row>
    <row r="66" spans="2:7" ht="14" x14ac:dyDescent="0.3">
      <c r="B66" s="22" t="s">
        <v>114</v>
      </c>
      <c r="C66" s="23"/>
      <c r="D66" s="23"/>
      <c r="E66" s="23"/>
      <c r="F66" s="23"/>
      <c r="G66" s="23"/>
    </row>
    <row r="67" spans="2:7" ht="14" x14ac:dyDescent="0.3">
      <c r="C67" s="25" t="s">
        <v>115</v>
      </c>
      <c r="D67" s="25" t="s">
        <v>116</v>
      </c>
      <c r="E67" s="25" t="s">
        <v>117</v>
      </c>
      <c r="F67" s="25" t="s">
        <v>118</v>
      </c>
      <c r="G67" s="25" t="s">
        <v>119</v>
      </c>
    </row>
    <row r="68" spans="2:7" ht="14" x14ac:dyDescent="0.3">
      <c r="B68" s="3" t="s">
        <v>47</v>
      </c>
    </row>
    <row r="69" spans="2:7" ht="14" x14ac:dyDescent="0.3">
      <c r="B69" s="4" t="s">
        <v>83</v>
      </c>
      <c r="C69" s="26">
        <v>0.33</v>
      </c>
      <c r="D69" s="26">
        <v>0.35</v>
      </c>
      <c r="E69" s="26">
        <v>0.3</v>
      </c>
      <c r="F69" s="26">
        <v>0.24</v>
      </c>
      <c r="G69" s="26">
        <v>0.18</v>
      </c>
    </row>
    <row r="70" spans="2:7" ht="14" x14ac:dyDescent="0.3">
      <c r="B70" s="4" t="s">
        <v>120</v>
      </c>
      <c r="C70" s="26">
        <v>0.42</v>
      </c>
      <c r="D70" s="26">
        <v>0.53</v>
      </c>
      <c r="E70" s="26">
        <v>0.46</v>
      </c>
      <c r="F70" s="26">
        <v>0.35</v>
      </c>
      <c r="G70" s="26">
        <v>0.26</v>
      </c>
    </row>
    <row r="71" spans="2:7" ht="14" x14ac:dyDescent="0.3">
      <c r="B71" s="4" t="s">
        <v>121</v>
      </c>
      <c r="C71" s="26">
        <v>0.33</v>
      </c>
      <c r="D71" s="26">
        <v>0.28000000000000003</v>
      </c>
      <c r="E71" s="26">
        <v>0.22</v>
      </c>
      <c r="F71" s="26">
        <v>0.17</v>
      </c>
      <c r="G71" s="26">
        <v>0.13</v>
      </c>
    </row>
    <row r="72" spans="2:7" ht="14" x14ac:dyDescent="0.3">
      <c r="B72" s="4" t="s">
        <v>122</v>
      </c>
      <c r="C72" s="26">
        <v>0.28000000000000003</v>
      </c>
      <c r="D72" s="26">
        <v>0.25</v>
      </c>
      <c r="E72" s="26">
        <v>0.2</v>
      </c>
      <c r="F72" s="26">
        <v>0.16</v>
      </c>
      <c r="G72" s="26">
        <v>0.12</v>
      </c>
    </row>
    <row r="73" spans="2:7" ht="14" x14ac:dyDescent="0.3">
      <c r="B73" s="4" t="s">
        <v>123</v>
      </c>
      <c r="C73" s="26">
        <v>0.22</v>
      </c>
      <c r="D73" s="26">
        <v>0.18</v>
      </c>
      <c r="E73" s="26">
        <v>0.14000000000000001</v>
      </c>
      <c r="F73" s="26">
        <v>0.1</v>
      </c>
      <c r="G73" s="26">
        <v>0.08</v>
      </c>
    </row>
    <row r="75" spans="2:7" ht="14" x14ac:dyDescent="0.3">
      <c r="B75" s="3" t="s">
        <v>90</v>
      </c>
    </row>
    <row r="76" spans="2:7" ht="14" x14ac:dyDescent="0.3">
      <c r="B76" s="4" t="s">
        <v>83</v>
      </c>
      <c r="C76" s="26">
        <v>0.16</v>
      </c>
      <c r="D76" s="26">
        <v>0.15</v>
      </c>
      <c r="E76" s="26">
        <v>0.15</v>
      </c>
      <c r="F76" s="26">
        <v>0.14000000000000001</v>
      </c>
      <c r="G76" s="26">
        <v>0.14000000000000001</v>
      </c>
    </row>
    <row r="77" spans="2:7" ht="14" x14ac:dyDescent="0.3">
      <c r="B77" s="4" t="s">
        <v>120</v>
      </c>
      <c r="C77" s="26">
        <v>0.15</v>
      </c>
      <c r="D77" s="26">
        <v>0.13500000000000001</v>
      </c>
      <c r="E77" s="26">
        <v>0.125</v>
      </c>
      <c r="F77" s="26">
        <v>0.125</v>
      </c>
      <c r="G77" s="26">
        <v>0.125</v>
      </c>
    </row>
    <row r="78" spans="2:7" ht="14" x14ac:dyDescent="0.3">
      <c r="B78" s="4" t="s">
        <v>121</v>
      </c>
      <c r="C78" s="26">
        <v>0.16</v>
      </c>
      <c r="D78" s="26">
        <v>0.15</v>
      </c>
      <c r="E78" s="26">
        <v>0.15</v>
      </c>
      <c r="F78" s="26">
        <v>0.14000000000000001</v>
      </c>
      <c r="G78" s="26">
        <v>0.14000000000000001</v>
      </c>
    </row>
    <row r="79" spans="2:7" ht="14" x14ac:dyDescent="0.3">
      <c r="B79" s="4" t="s">
        <v>122</v>
      </c>
      <c r="C79" s="26">
        <v>0.17</v>
      </c>
      <c r="D79" s="26">
        <v>0.17</v>
      </c>
      <c r="E79" s="26">
        <v>0.16</v>
      </c>
      <c r="F79" s="26">
        <v>0.16</v>
      </c>
      <c r="G79" s="26">
        <v>0.15</v>
      </c>
    </row>
    <row r="80" spans="2:7" ht="14" x14ac:dyDescent="0.3">
      <c r="B80" s="4" t="s">
        <v>123</v>
      </c>
      <c r="C80" s="26">
        <v>0.18</v>
      </c>
      <c r="D80" s="26">
        <v>0.18</v>
      </c>
      <c r="E80" s="26">
        <v>0.17</v>
      </c>
      <c r="F80" s="26">
        <v>0.17</v>
      </c>
      <c r="G80" s="26">
        <v>0.17</v>
      </c>
    </row>
    <row r="82" spans="2:7" ht="14" x14ac:dyDescent="0.3">
      <c r="B82" s="3" t="s">
        <v>91</v>
      </c>
    </row>
    <row r="83" spans="2:7" ht="14" x14ac:dyDescent="0.3">
      <c r="B83" s="4" t="s">
        <v>83</v>
      </c>
      <c r="C83" s="26">
        <v>0.82</v>
      </c>
      <c r="D83" s="26">
        <v>0.78</v>
      </c>
      <c r="E83" s="26">
        <v>0.74</v>
      </c>
      <c r="F83" s="26">
        <v>0.7</v>
      </c>
      <c r="G83" s="26">
        <v>0.67</v>
      </c>
    </row>
    <row r="84" spans="2:7" ht="14" x14ac:dyDescent="0.3">
      <c r="B84" s="4" t="s">
        <v>120</v>
      </c>
      <c r="C84" s="26">
        <v>0.79</v>
      </c>
      <c r="D84" s="26">
        <v>0.72</v>
      </c>
      <c r="E84" s="26">
        <v>0.65</v>
      </c>
      <c r="F84" s="26">
        <v>0.6</v>
      </c>
      <c r="G84" s="26">
        <v>0.56999999999999995</v>
      </c>
    </row>
    <row r="85" spans="2:7" ht="14" x14ac:dyDescent="0.3">
      <c r="B85" s="4" t="s">
        <v>121</v>
      </c>
      <c r="C85" s="26">
        <v>0.82</v>
      </c>
      <c r="D85" s="26">
        <v>0.78</v>
      </c>
      <c r="E85" s="26">
        <v>0.74</v>
      </c>
      <c r="F85" s="26">
        <v>0.7</v>
      </c>
      <c r="G85" s="26">
        <v>0.67</v>
      </c>
    </row>
    <row r="86" spans="2:7" ht="14" x14ac:dyDescent="0.3">
      <c r="B86" s="4" t="s">
        <v>122</v>
      </c>
      <c r="C86" s="26">
        <v>0.85</v>
      </c>
      <c r="D86" s="26">
        <v>0.82</v>
      </c>
      <c r="E86" s="26">
        <v>0.8</v>
      </c>
      <c r="F86" s="26">
        <v>0.78</v>
      </c>
      <c r="G86" s="26">
        <v>0.76</v>
      </c>
    </row>
    <row r="87" spans="2:7" ht="14" x14ac:dyDescent="0.3">
      <c r="B87" s="4" t="s">
        <v>123</v>
      </c>
      <c r="C87" s="26">
        <v>0.88</v>
      </c>
      <c r="D87" s="26">
        <v>0.86</v>
      </c>
      <c r="E87" s="26">
        <v>0.84</v>
      </c>
      <c r="F87" s="26">
        <v>0.82</v>
      </c>
      <c r="G87" s="26">
        <v>0.8</v>
      </c>
    </row>
  </sheetData>
  <phoneticPr fontId="8"/>
  <dataValidations count="1">
    <dataValidation type="list" sqref="C27" xr:uid="{00000000-0002-0000-0200-000000000000}">
      <formula1>"Base,Upside,Management,Downside 1,Downside 2"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CC6600"/>
  </sheetPr>
  <dimension ref="B2:H43"/>
  <sheetViews>
    <sheetView workbookViewId="0"/>
  </sheetViews>
  <sheetFormatPr defaultRowHeight="13" x14ac:dyDescent="0.2"/>
  <cols>
    <col min="1" max="1" width="3" customWidth="1"/>
    <col min="2" max="2" width="28" customWidth="1"/>
    <col min="3" max="8" width="16" customWidth="1"/>
  </cols>
  <sheetData>
    <row r="2" spans="2:8" ht="18" x14ac:dyDescent="0.4">
      <c r="B2" s="2" t="s">
        <v>124</v>
      </c>
    </row>
    <row r="4" spans="2:8" ht="14" x14ac:dyDescent="0.3">
      <c r="B4" s="8" t="s">
        <v>125</v>
      </c>
      <c r="C4" s="27" t="s">
        <v>126</v>
      </c>
      <c r="D4" s="27" t="s">
        <v>85</v>
      </c>
      <c r="E4" s="27" t="s">
        <v>86</v>
      </c>
      <c r="F4" s="27" t="s">
        <v>87</v>
      </c>
      <c r="G4" s="27" t="s">
        <v>88</v>
      </c>
      <c r="H4" s="27" t="s">
        <v>89</v>
      </c>
    </row>
    <row r="5" spans="2:8" ht="14" x14ac:dyDescent="0.3">
      <c r="B5" s="28" t="s">
        <v>127</v>
      </c>
      <c r="C5" s="29">
        <f>C12/C9*365</f>
        <v>70.984206675224655</v>
      </c>
      <c r="D5" s="29">
        <f>CHOOSE('DCF Model'!$D$27,D25,D26,D27,D28,D29)</f>
        <v>60</v>
      </c>
      <c r="E5" s="29">
        <f>CHOOSE('DCF Model'!$D$27,E25,E26,E27,E28,E29)</f>
        <v>58</v>
      </c>
      <c r="F5" s="29">
        <f>CHOOSE('DCF Model'!$D$27,F25,F26,F27,F28,F29)</f>
        <v>56</v>
      </c>
      <c r="G5" s="29">
        <f>CHOOSE('DCF Model'!$D$27,G25,G26,G27,G28,G29)</f>
        <v>55</v>
      </c>
      <c r="H5" s="29">
        <f>CHOOSE('DCF Model'!$D$27,H25,H26,H27,H28,H29)</f>
        <v>55</v>
      </c>
    </row>
    <row r="6" spans="2:8" ht="14" x14ac:dyDescent="0.3">
      <c r="B6" s="28" t="s">
        <v>128</v>
      </c>
      <c r="C6" s="29">
        <f>C13/C10*365</f>
        <v>3.6226717303833263E-2</v>
      </c>
      <c r="D6" s="29">
        <f>CHOOSE('DCF Model'!$D$27,D32,D33,D34,D35,D36)</f>
        <v>0</v>
      </c>
      <c r="E6" s="29">
        <f>CHOOSE('DCF Model'!$D$27,E32,E33,E34,E35,E36)</f>
        <v>0</v>
      </c>
      <c r="F6" s="29">
        <f>CHOOSE('DCF Model'!$D$27,F32,F33,F34,F35,F36)</f>
        <v>0</v>
      </c>
      <c r="G6" s="29">
        <f>CHOOSE('DCF Model'!$D$27,G32,G33,G34,G35,G36)</f>
        <v>0</v>
      </c>
      <c r="H6" s="29">
        <f>CHOOSE('DCF Model'!$D$27,H32,H33,H34,H35,H36)</f>
        <v>0</v>
      </c>
    </row>
    <row r="7" spans="2:8" ht="14" x14ac:dyDescent="0.3">
      <c r="B7" s="28" t="s">
        <v>129</v>
      </c>
      <c r="C7" s="29">
        <f>C15/C10*365</f>
        <v>44.850758017392934</v>
      </c>
      <c r="D7" s="29">
        <f>CHOOSE('DCF Model'!$D$27,D39,D40,D41,D42,D43)</f>
        <v>30</v>
      </c>
      <c r="E7" s="29">
        <f>CHOOSE('DCF Model'!$D$27,E39,E40,E41,E42,E43)</f>
        <v>30</v>
      </c>
      <c r="F7" s="29">
        <f>CHOOSE('DCF Model'!$D$27,F39,F40,F41,F42,F43)</f>
        <v>30</v>
      </c>
      <c r="G7" s="29">
        <f>CHOOSE('DCF Model'!$D$27,G39,G40,G41,G42,G43)</f>
        <v>30</v>
      </c>
      <c r="H7" s="29">
        <f>CHOOSE('DCF Model'!$D$27,H39,H40,H41,H42,H43)</f>
        <v>30</v>
      </c>
    </row>
    <row r="8" spans="2:8" ht="14" x14ac:dyDescent="0.3">
      <c r="B8" s="8" t="s">
        <v>130</v>
      </c>
      <c r="C8" s="9"/>
      <c r="D8" s="9"/>
      <c r="E8" s="9"/>
      <c r="F8" s="9"/>
      <c r="G8" s="9"/>
      <c r="H8" s="9"/>
    </row>
    <row r="9" spans="2:8" ht="14" x14ac:dyDescent="0.3">
      <c r="B9" s="28" t="s">
        <v>38</v>
      </c>
      <c r="C9" s="30">
        <v>3895</v>
      </c>
      <c r="D9" s="30">
        <f>'DCF Model'!C33</f>
        <v>5180.3500000000004</v>
      </c>
      <c r="E9" s="30">
        <f>'DCF Model'!D33</f>
        <v>6993.4725000000008</v>
      </c>
      <c r="F9" s="30">
        <f>'DCF Model'!E33</f>
        <v>9091.514250000002</v>
      </c>
      <c r="G9" s="30">
        <f>'DCF Model'!F33</f>
        <v>11273.477670000002</v>
      </c>
      <c r="H9" s="30">
        <f>'DCF Model'!G33</f>
        <v>13302.703650600002</v>
      </c>
    </row>
    <row r="10" spans="2:8" ht="14" x14ac:dyDescent="0.3">
      <c r="B10" s="28" t="s">
        <v>39</v>
      </c>
      <c r="C10" s="30">
        <v>876.56299999999999</v>
      </c>
      <c r="D10" s="30">
        <f>'DCF Model'!C34</f>
        <v>828.85600000000011</v>
      </c>
      <c r="E10" s="30">
        <f>'DCF Model'!D34</f>
        <v>1049.0208750000002</v>
      </c>
      <c r="F10" s="30">
        <f>'DCF Model'!E34</f>
        <v>1363.7271375000003</v>
      </c>
      <c r="G10" s="30">
        <f>'DCF Model'!F34</f>
        <v>1578.2868738000004</v>
      </c>
      <c r="H10" s="30">
        <f>'DCF Model'!G34</f>
        <v>1862.3785110840006</v>
      </c>
    </row>
    <row r="11" spans="2:8" ht="14" x14ac:dyDescent="0.3">
      <c r="B11" s="8" t="s">
        <v>131</v>
      </c>
      <c r="C11" s="9"/>
      <c r="D11" s="9"/>
      <c r="E11" s="9"/>
      <c r="F11" s="9"/>
      <c r="G11" s="9"/>
      <c r="H11" s="9"/>
    </row>
    <row r="12" spans="2:8" ht="14" x14ac:dyDescent="0.3">
      <c r="B12" s="28" t="s">
        <v>132</v>
      </c>
      <c r="C12" s="30">
        <v>757.48900000000003</v>
      </c>
      <c r="D12" s="30">
        <f t="shared" ref="D12:H13" si="0">D9*D5/365</f>
        <v>851.56438356164381</v>
      </c>
      <c r="E12" s="30">
        <f t="shared" si="0"/>
        <v>1111.2915205479453</v>
      </c>
      <c r="F12" s="30">
        <f t="shared" si="0"/>
        <v>1394.8624602739731</v>
      </c>
      <c r="G12" s="30">
        <f t="shared" si="0"/>
        <v>1698.7432105479456</v>
      </c>
      <c r="H12" s="30">
        <f t="shared" si="0"/>
        <v>2004.5169884465756</v>
      </c>
    </row>
    <row r="13" spans="2:8" ht="14" x14ac:dyDescent="0.3">
      <c r="B13" s="28" t="s">
        <v>133</v>
      </c>
      <c r="C13" s="30">
        <v>8.6999999999999994E-2</v>
      </c>
      <c r="D13" s="30">
        <f t="shared" si="0"/>
        <v>0</v>
      </c>
      <c r="E13" s="30">
        <f t="shared" si="0"/>
        <v>0</v>
      </c>
      <c r="F13" s="30">
        <f t="shared" si="0"/>
        <v>0</v>
      </c>
      <c r="G13" s="30">
        <f t="shared" si="0"/>
        <v>0</v>
      </c>
      <c r="H13" s="30">
        <f t="shared" si="0"/>
        <v>0</v>
      </c>
    </row>
    <row r="14" spans="2:8" ht="14" x14ac:dyDescent="0.3">
      <c r="B14" s="28" t="s">
        <v>134</v>
      </c>
      <c r="C14" s="30">
        <f t="shared" ref="C14:H14" si="1">C12+C13</f>
        <v>757.57600000000002</v>
      </c>
      <c r="D14" s="30">
        <f t="shared" si="1"/>
        <v>851.56438356164381</v>
      </c>
      <c r="E14" s="30">
        <f t="shared" si="1"/>
        <v>1111.2915205479453</v>
      </c>
      <c r="F14" s="30">
        <f t="shared" si="1"/>
        <v>1394.8624602739731</v>
      </c>
      <c r="G14" s="30">
        <f t="shared" si="1"/>
        <v>1698.7432105479456</v>
      </c>
      <c r="H14" s="30">
        <f t="shared" si="1"/>
        <v>2004.5169884465756</v>
      </c>
    </row>
    <row r="15" spans="2:8" ht="14" x14ac:dyDescent="0.3">
      <c r="B15" s="28" t="s">
        <v>135</v>
      </c>
      <c r="C15" s="30">
        <v>107.711</v>
      </c>
      <c r="D15" s="30">
        <f>D10*D7/365</f>
        <v>68.125150684931512</v>
      </c>
      <c r="E15" s="30">
        <f>E10*E7/365</f>
        <v>86.220893835616451</v>
      </c>
      <c r="F15" s="30">
        <f>F10*F7/365</f>
        <v>112.08716198630138</v>
      </c>
      <c r="G15" s="30">
        <f>G10*G7/365</f>
        <v>129.72220880547948</v>
      </c>
      <c r="H15" s="30">
        <f>H10*H7/365</f>
        <v>153.07220639046579</v>
      </c>
    </row>
    <row r="16" spans="2:8" ht="14" x14ac:dyDescent="0.3">
      <c r="B16" s="28" t="s">
        <v>136</v>
      </c>
      <c r="C16" s="30">
        <f t="shared" ref="C16:H16" si="2">C15</f>
        <v>107.711</v>
      </c>
      <c r="D16" s="30">
        <f t="shared" si="2"/>
        <v>68.125150684931512</v>
      </c>
      <c r="E16" s="30">
        <f t="shared" si="2"/>
        <v>86.220893835616451</v>
      </c>
      <c r="F16" s="30">
        <f t="shared" si="2"/>
        <v>112.08716198630138</v>
      </c>
      <c r="G16" s="30">
        <f t="shared" si="2"/>
        <v>129.72220880547948</v>
      </c>
      <c r="H16" s="30">
        <f t="shared" si="2"/>
        <v>153.07220639046579</v>
      </c>
    </row>
    <row r="17" spans="2:8" ht="14" x14ac:dyDescent="0.3">
      <c r="B17" s="22" t="s">
        <v>137</v>
      </c>
      <c r="C17" s="23"/>
      <c r="D17" s="23"/>
      <c r="E17" s="23"/>
      <c r="F17" s="23"/>
      <c r="G17" s="23"/>
      <c r="H17" s="23"/>
    </row>
    <row r="18" spans="2:8" ht="14" x14ac:dyDescent="0.3">
      <c r="B18" s="28" t="s">
        <v>138</v>
      </c>
      <c r="C18" s="20">
        <f t="shared" ref="C18:H18" si="3">C14-C16</f>
        <v>649.86500000000001</v>
      </c>
      <c r="D18" s="20">
        <f t="shared" si="3"/>
        <v>783.43923287671225</v>
      </c>
      <c r="E18" s="20">
        <f t="shared" si="3"/>
        <v>1025.0706267123289</v>
      </c>
      <c r="F18" s="20">
        <f t="shared" si="3"/>
        <v>1282.7752982876716</v>
      </c>
      <c r="G18" s="20">
        <f t="shared" si="3"/>
        <v>1569.0210017424661</v>
      </c>
      <c r="H18" s="20">
        <f t="shared" si="3"/>
        <v>1851.4447820561099</v>
      </c>
    </row>
    <row r="19" spans="2:8" ht="14" x14ac:dyDescent="0.3">
      <c r="B19" s="28" t="s">
        <v>99</v>
      </c>
      <c r="C19" s="31" t="s">
        <v>48</v>
      </c>
      <c r="D19" s="24">
        <f>D18-C18</f>
        <v>133.57423287671224</v>
      </c>
      <c r="E19" s="24">
        <f>E18-D18</f>
        <v>241.63139383561668</v>
      </c>
      <c r="F19" s="24">
        <f>F18-E18</f>
        <v>257.70467157534267</v>
      </c>
      <c r="G19" s="24">
        <f>G18-F18</f>
        <v>286.24570345479447</v>
      </c>
      <c r="H19" s="24">
        <f>H18-G18</f>
        <v>282.42378031364387</v>
      </c>
    </row>
    <row r="22" spans="2:8" ht="14" x14ac:dyDescent="0.3">
      <c r="B22" s="22" t="s">
        <v>139</v>
      </c>
      <c r="C22" s="23"/>
      <c r="D22" s="23"/>
      <c r="E22" s="23"/>
      <c r="F22" s="23"/>
      <c r="G22" s="23"/>
      <c r="H22" s="23"/>
    </row>
    <row r="23" spans="2:8" ht="14" x14ac:dyDescent="0.3">
      <c r="D23" s="25" t="s">
        <v>85</v>
      </c>
      <c r="E23" s="25" t="s">
        <v>86</v>
      </c>
      <c r="F23" s="25" t="s">
        <v>87</v>
      </c>
      <c r="G23" s="25" t="s">
        <v>88</v>
      </c>
      <c r="H23" s="25" t="s">
        <v>89</v>
      </c>
    </row>
    <row r="24" spans="2:8" ht="14" x14ac:dyDescent="0.3">
      <c r="B24" s="3" t="s">
        <v>140</v>
      </c>
    </row>
    <row r="25" spans="2:8" ht="14" x14ac:dyDescent="0.3">
      <c r="B25" s="4" t="s">
        <v>83</v>
      </c>
      <c r="D25" s="32">
        <v>60</v>
      </c>
      <c r="E25" s="32">
        <v>58</v>
      </c>
      <c r="F25" s="32">
        <v>56</v>
      </c>
      <c r="G25" s="32">
        <v>55</v>
      </c>
      <c r="H25" s="32">
        <v>55</v>
      </c>
    </row>
    <row r="26" spans="2:8" ht="14" x14ac:dyDescent="0.3">
      <c r="B26" s="4" t="s">
        <v>120</v>
      </c>
      <c r="D26" s="32">
        <v>60</v>
      </c>
      <c r="E26" s="32">
        <v>58</v>
      </c>
      <c r="F26" s="32">
        <v>56</v>
      </c>
      <c r="G26" s="32">
        <v>55</v>
      </c>
      <c r="H26" s="32">
        <v>55</v>
      </c>
    </row>
    <row r="27" spans="2:8" ht="14" x14ac:dyDescent="0.3">
      <c r="B27" s="4" t="s">
        <v>121</v>
      </c>
      <c r="D27" s="32">
        <v>60</v>
      </c>
      <c r="E27" s="32">
        <v>58</v>
      </c>
      <c r="F27" s="32">
        <v>56</v>
      </c>
      <c r="G27" s="32">
        <v>55</v>
      </c>
      <c r="H27" s="32">
        <v>55</v>
      </c>
    </row>
    <row r="28" spans="2:8" ht="14" x14ac:dyDescent="0.3">
      <c r="B28" s="4" t="s">
        <v>122</v>
      </c>
      <c r="D28" s="32">
        <v>62</v>
      </c>
      <c r="E28" s="32">
        <v>60</v>
      </c>
      <c r="F28" s="32">
        <v>58</v>
      </c>
      <c r="G28" s="32">
        <v>57</v>
      </c>
      <c r="H28" s="32">
        <v>57</v>
      </c>
    </row>
    <row r="29" spans="2:8" ht="14" x14ac:dyDescent="0.3">
      <c r="B29" s="4" t="s">
        <v>123</v>
      </c>
      <c r="D29" s="32">
        <v>65</v>
      </c>
      <c r="E29" s="32">
        <v>63</v>
      </c>
      <c r="F29" s="32">
        <v>62</v>
      </c>
      <c r="G29" s="32">
        <v>60</v>
      </c>
      <c r="H29" s="32">
        <v>60</v>
      </c>
    </row>
    <row r="31" spans="2:8" ht="14" x14ac:dyDescent="0.3">
      <c r="B31" s="3" t="s">
        <v>141</v>
      </c>
    </row>
    <row r="32" spans="2:8" ht="14" x14ac:dyDescent="0.3">
      <c r="B32" s="4" t="s">
        <v>83</v>
      </c>
      <c r="D32" s="32">
        <v>0</v>
      </c>
      <c r="E32" s="32">
        <v>0</v>
      </c>
      <c r="F32" s="32">
        <v>0</v>
      </c>
      <c r="G32" s="32">
        <v>0</v>
      </c>
      <c r="H32" s="32">
        <v>0</v>
      </c>
    </row>
    <row r="33" spans="2:8" ht="14" x14ac:dyDescent="0.3">
      <c r="B33" s="4" t="s">
        <v>120</v>
      </c>
      <c r="D33" s="32">
        <v>0</v>
      </c>
      <c r="E33" s="32">
        <v>0</v>
      </c>
      <c r="F33" s="32">
        <v>0</v>
      </c>
      <c r="G33" s="32">
        <v>0</v>
      </c>
      <c r="H33" s="32">
        <v>0</v>
      </c>
    </row>
    <row r="34" spans="2:8" ht="14" x14ac:dyDescent="0.3">
      <c r="B34" s="4" t="s">
        <v>121</v>
      </c>
      <c r="D34" s="32">
        <v>0</v>
      </c>
      <c r="E34" s="32">
        <v>0</v>
      </c>
      <c r="F34" s="32">
        <v>0</v>
      </c>
      <c r="G34" s="32">
        <v>0</v>
      </c>
      <c r="H34" s="32">
        <v>0</v>
      </c>
    </row>
    <row r="35" spans="2:8" ht="14" x14ac:dyDescent="0.3">
      <c r="B35" s="4" t="s">
        <v>122</v>
      </c>
      <c r="D35" s="32">
        <v>0</v>
      </c>
      <c r="E35" s="32">
        <v>0</v>
      </c>
      <c r="F35" s="32">
        <v>0</v>
      </c>
      <c r="G35" s="32">
        <v>0</v>
      </c>
      <c r="H35" s="32">
        <v>0</v>
      </c>
    </row>
    <row r="36" spans="2:8" ht="14" x14ac:dyDescent="0.3">
      <c r="B36" s="4" t="s">
        <v>123</v>
      </c>
      <c r="D36" s="32">
        <v>0</v>
      </c>
      <c r="E36" s="32">
        <v>0</v>
      </c>
      <c r="F36" s="32">
        <v>0</v>
      </c>
      <c r="G36" s="32">
        <v>0</v>
      </c>
      <c r="H36" s="32">
        <v>0</v>
      </c>
    </row>
    <row r="38" spans="2:8" ht="14" x14ac:dyDescent="0.3">
      <c r="B38" s="3" t="s">
        <v>142</v>
      </c>
    </row>
    <row r="39" spans="2:8" ht="14" x14ac:dyDescent="0.3">
      <c r="B39" s="4" t="s">
        <v>83</v>
      </c>
      <c r="D39" s="32">
        <v>30</v>
      </c>
      <c r="E39" s="32">
        <v>30</v>
      </c>
      <c r="F39" s="32">
        <v>30</v>
      </c>
      <c r="G39" s="32">
        <v>30</v>
      </c>
      <c r="H39" s="32">
        <v>30</v>
      </c>
    </row>
    <row r="40" spans="2:8" ht="14" x14ac:dyDescent="0.3">
      <c r="B40" s="4" t="s">
        <v>120</v>
      </c>
      <c r="D40" s="32">
        <v>30</v>
      </c>
      <c r="E40" s="32">
        <v>30</v>
      </c>
      <c r="F40" s="32">
        <v>30</v>
      </c>
      <c r="G40" s="32">
        <v>30</v>
      </c>
      <c r="H40" s="32">
        <v>30</v>
      </c>
    </row>
    <row r="41" spans="2:8" ht="14" x14ac:dyDescent="0.3">
      <c r="B41" s="4" t="s">
        <v>121</v>
      </c>
      <c r="D41" s="32">
        <v>30</v>
      </c>
      <c r="E41" s="32">
        <v>30</v>
      </c>
      <c r="F41" s="32">
        <v>30</v>
      </c>
      <c r="G41" s="32">
        <v>30</v>
      </c>
      <c r="H41" s="32">
        <v>30</v>
      </c>
    </row>
    <row r="42" spans="2:8" ht="14" x14ac:dyDescent="0.3">
      <c r="B42" s="4" t="s">
        <v>122</v>
      </c>
      <c r="D42" s="32">
        <v>30</v>
      </c>
      <c r="E42" s="32">
        <v>30</v>
      </c>
      <c r="F42" s="32">
        <v>30</v>
      </c>
      <c r="G42" s="32">
        <v>30</v>
      </c>
      <c r="H42" s="32">
        <v>30</v>
      </c>
    </row>
    <row r="43" spans="2:8" ht="14" x14ac:dyDescent="0.3">
      <c r="B43" s="4" t="s">
        <v>123</v>
      </c>
      <c r="D43" s="32">
        <v>30</v>
      </c>
      <c r="E43" s="32">
        <v>30</v>
      </c>
      <c r="F43" s="32">
        <v>30</v>
      </c>
      <c r="G43" s="32">
        <v>30</v>
      </c>
      <c r="H43" s="32">
        <v>30</v>
      </c>
    </row>
  </sheetData>
  <phoneticPr fontId="8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006600"/>
  </sheetPr>
  <dimension ref="B2:O28"/>
  <sheetViews>
    <sheetView workbookViewId="0"/>
  </sheetViews>
  <sheetFormatPr defaultRowHeight="13" x14ac:dyDescent="0.2"/>
  <cols>
    <col min="1" max="1" width="3" customWidth="1"/>
    <col min="2" max="2" width="16" customWidth="1"/>
    <col min="3" max="3" width="10" customWidth="1"/>
    <col min="4" max="15" width="12" customWidth="1"/>
  </cols>
  <sheetData>
    <row r="2" spans="2:15" ht="18" x14ac:dyDescent="0.4">
      <c r="B2" s="2" t="s">
        <v>143</v>
      </c>
    </row>
    <row r="4" spans="2:15" ht="28" x14ac:dyDescent="0.3">
      <c r="B4" s="10" t="s">
        <v>3</v>
      </c>
      <c r="C4" s="10" t="s">
        <v>5</v>
      </c>
      <c r="D4" s="10" t="s">
        <v>144</v>
      </c>
      <c r="E4" s="10" t="s">
        <v>145</v>
      </c>
      <c r="F4" s="10" t="s">
        <v>146</v>
      </c>
      <c r="G4" s="10" t="s">
        <v>147</v>
      </c>
      <c r="H4" s="10" t="s">
        <v>148</v>
      </c>
      <c r="I4" s="10" t="s">
        <v>149</v>
      </c>
      <c r="J4" s="10" t="s">
        <v>150</v>
      </c>
      <c r="K4" s="10" t="s">
        <v>151</v>
      </c>
      <c r="L4" s="10" t="s">
        <v>152</v>
      </c>
      <c r="M4" s="10" t="s">
        <v>153</v>
      </c>
      <c r="N4" s="10" t="s">
        <v>154</v>
      </c>
      <c r="O4" s="10" t="s">
        <v>155</v>
      </c>
    </row>
    <row r="5" spans="2:15" ht="14" x14ac:dyDescent="0.3">
      <c r="B5" s="4" t="s">
        <v>156</v>
      </c>
      <c r="C5" t="s">
        <v>157</v>
      </c>
      <c r="D5" s="33">
        <v>1689</v>
      </c>
      <c r="E5" s="33">
        <v>2278</v>
      </c>
      <c r="F5" s="33">
        <v>3261</v>
      </c>
      <c r="G5" s="33">
        <v>214</v>
      </c>
      <c r="H5" s="33">
        <v>150</v>
      </c>
      <c r="I5" s="33">
        <v>110</v>
      </c>
      <c r="J5" s="34">
        <f>E5/G5</f>
        <v>10.644859813084112</v>
      </c>
      <c r="K5" s="34">
        <f>E5/F5</f>
        <v>0.69855872431769395</v>
      </c>
      <c r="L5" s="34">
        <f>D5/I5</f>
        <v>15.354545454545455</v>
      </c>
      <c r="M5" s="34">
        <v>1.002969121140143</v>
      </c>
      <c r="N5" s="35">
        <f>H5/F5</f>
        <v>4.5998160073597055E-2</v>
      </c>
      <c r="O5" s="35">
        <v>6.5320665083135387E-2</v>
      </c>
    </row>
    <row r="6" spans="2:15" ht="14" x14ac:dyDescent="0.3">
      <c r="B6" s="4" t="s">
        <v>158</v>
      </c>
      <c r="C6" t="s">
        <v>159</v>
      </c>
      <c r="D6" s="33">
        <v>17947</v>
      </c>
      <c r="E6" s="33">
        <v>18223</v>
      </c>
      <c r="F6" s="33">
        <v>6000</v>
      </c>
      <c r="G6" s="33">
        <v>1266</v>
      </c>
      <c r="H6" s="33">
        <v>1200</v>
      </c>
      <c r="I6" s="33">
        <v>865</v>
      </c>
      <c r="J6" s="34">
        <f>E6/G6</f>
        <v>14.394154818325434</v>
      </c>
      <c r="K6" s="34">
        <f>E6/F6</f>
        <v>3.0371666666666668</v>
      </c>
      <c r="L6" s="34">
        <f>D6/I6</f>
        <v>20.747976878612718</v>
      </c>
      <c r="M6" s="34">
        <v>4.0585707824513797</v>
      </c>
      <c r="N6" s="35">
        <f>H6/F6</f>
        <v>0.2</v>
      </c>
      <c r="O6" s="35">
        <v>0.19561284486657621</v>
      </c>
    </row>
    <row r="7" spans="2:15" ht="14" x14ac:dyDescent="0.3">
      <c r="B7" s="4" t="s">
        <v>160</v>
      </c>
      <c r="C7" t="s">
        <v>161</v>
      </c>
      <c r="D7" s="33">
        <v>37096</v>
      </c>
      <c r="E7" s="33">
        <v>37105</v>
      </c>
      <c r="F7" s="33">
        <v>5135</v>
      </c>
      <c r="G7" s="33">
        <v>1503</v>
      </c>
      <c r="H7" s="33">
        <v>1452</v>
      </c>
      <c r="I7" s="33">
        <v>1133</v>
      </c>
      <c r="J7" s="34">
        <f>E7/G7</f>
        <v>24.687292082501664</v>
      </c>
      <c r="K7" s="34">
        <f>E7/F7</f>
        <v>7.225900681596884</v>
      </c>
      <c r="L7" s="34">
        <f>D7/I7</f>
        <v>32.741394527802292</v>
      </c>
      <c r="M7" s="34">
        <v>6.3131381892443841</v>
      </c>
      <c r="N7" s="35">
        <f>H7/F7</f>
        <v>0.28276533592989289</v>
      </c>
      <c r="O7" s="35">
        <v>0.19281824370319939</v>
      </c>
    </row>
    <row r="8" spans="2:15" ht="14" x14ac:dyDescent="0.3">
      <c r="B8" s="4" t="s">
        <v>162</v>
      </c>
      <c r="C8" t="s">
        <v>163</v>
      </c>
      <c r="D8" s="33">
        <v>11742</v>
      </c>
      <c r="E8" s="33">
        <v>13642</v>
      </c>
      <c r="F8" s="33">
        <v>8555</v>
      </c>
      <c r="G8" s="33">
        <v>780</v>
      </c>
      <c r="H8" s="33">
        <v>753</v>
      </c>
      <c r="I8" s="33">
        <v>391</v>
      </c>
      <c r="J8" s="34">
        <f>E8/G8</f>
        <v>17.48974358974359</v>
      </c>
      <c r="K8" s="34">
        <f>E8/F8</f>
        <v>1.5946230274693163</v>
      </c>
      <c r="L8" s="34">
        <f>D8/I8</f>
        <v>30.0306905370844</v>
      </c>
      <c r="M8" s="34">
        <v>8.6720827178729696</v>
      </c>
      <c r="N8" s="35">
        <f>H8/F8</f>
        <v>8.8018702513150207E-2</v>
      </c>
      <c r="O8" s="35">
        <v>0.28877400295420969</v>
      </c>
    </row>
    <row r="9" spans="2:15" ht="14" x14ac:dyDescent="0.3">
      <c r="B9" s="4" t="s">
        <v>164</v>
      </c>
      <c r="C9" t="s">
        <v>165</v>
      </c>
      <c r="D9" s="33">
        <v>27692</v>
      </c>
      <c r="E9" s="33">
        <v>27692</v>
      </c>
      <c r="F9" s="33">
        <v>5284</v>
      </c>
      <c r="G9" s="33">
        <v>2249</v>
      </c>
      <c r="H9" s="33">
        <v>2207</v>
      </c>
      <c r="I9" s="33">
        <v>1523</v>
      </c>
      <c r="J9" s="34">
        <f>E9/G9</f>
        <v>12.313028012449978</v>
      </c>
      <c r="K9" s="34">
        <f>E9/F9</f>
        <v>5.2407267221801668</v>
      </c>
      <c r="L9" s="34">
        <f>D9/I9</f>
        <v>18.18253447143795</v>
      </c>
      <c r="M9" s="34">
        <v>3.1833544085527068</v>
      </c>
      <c r="N9" s="35">
        <f>H9/F9</f>
        <v>0.41767600302800906</v>
      </c>
      <c r="O9" s="35">
        <v>0.17507759512587651</v>
      </c>
    </row>
    <row r="14" spans="2:15" ht="14" x14ac:dyDescent="0.3">
      <c r="B14" s="3" t="s">
        <v>166</v>
      </c>
    </row>
    <row r="15" spans="2:15" ht="14" x14ac:dyDescent="0.3">
      <c r="B15" s="4" t="s">
        <v>167</v>
      </c>
      <c r="D15" s="34">
        <f t="shared" ref="D15:I15" si="0">PERCENTILE(J5:J9,0.25)</f>
        <v>12.313028012449978</v>
      </c>
      <c r="E15" s="34">
        <f t="shared" si="0"/>
        <v>1.5946230274693163</v>
      </c>
      <c r="F15" s="34">
        <f t="shared" si="0"/>
        <v>18.18253447143795</v>
      </c>
      <c r="G15" s="34">
        <f t="shared" si="0"/>
        <v>3.1833544085527068</v>
      </c>
      <c r="H15" s="35">
        <f t="shared" si="0"/>
        <v>8.8018702513150207E-2</v>
      </c>
      <c r="I15" s="35">
        <f t="shared" si="0"/>
        <v>0.17507759512587651</v>
      </c>
    </row>
    <row r="16" spans="2:15" ht="14" x14ac:dyDescent="0.3">
      <c r="B16" s="4" t="s">
        <v>168</v>
      </c>
      <c r="D16" s="34">
        <f t="shared" ref="D16:I16" si="1">MEDIAN(J5:J9)</f>
        <v>14.394154818325434</v>
      </c>
      <c r="E16" s="34">
        <f t="shared" si="1"/>
        <v>3.0371666666666668</v>
      </c>
      <c r="F16" s="34">
        <f t="shared" si="1"/>
        <v>20.747976878612718</v>
      </c>
      <c r="G16" s="34">
        <f t="shared" si="1"/>
        <v>4.0585707824513797</v>
      </c>
      <c r="H16" s="35">
        <f t="shared" si="1"/>
        <v>0.2</v>
      </c>
      <c r="I16" s="35">
        <f t="shared" si="1"/>
        <v>0.19281824370319939</v>
      </c>
    </row>
    <row r="17" spans="2:9" ht="14" x14ac:dyDescent="0.3">
      <c r="B17" s="4" t="s">
        <v>169</v>
      </c>
      <c r="D17" s="34">
        <f t="shared" ref="D17:I17" si="2">PERCENTILE(J5:J9,0.75)</f>
        <v>17.48974358974359</v>
      </c>
      <c r="E17" s="34">
        <f t="shared" si="2"/>
        <v>5.2407267221801668</v>
      </c>
      <c r="F17" s="34">
        <f t="shared" si="2"/>
        <v>30.0306905370844</v>
      </c>
      <c r="G17" s="34">
        <f t="shared" si="2"/>
        <v>6.3131381892443841</v>
      </c>
      <c r="H17" s="35">
        <f t="shared" si="2"/>
        <v>0.28276533592989289</v>
      </c>
      <c r="I17" s="35">
        <f t="shared" si="2"/>
        <v>0.19561284486657621</v>
      </c>
    </row>
    <row r="19" spans="2:9" ht="14" x14ac:dyDescent="0.3">
      <c r="B19" s="22" t="s">
        <v>170</v>
      </c>
      <c r="C19" s="23"/>
      <c r="D19" s="23"/>
      <c r="E19" s="23"/>
      <c r="F19" s="23"/>
      <c r="G19" s="23"/>
      <c r="H19" s="23"/>
      <c r="I19" s="23"/>
    </row>
    <row r="20" spans="2:9" ht="14" x14ac:dyDescent="0.3">
      <c r="B20" s="3" t="s">
        <v>171</v>
      </c>
    </row>
    <row r="21" spans="2:9" ht="14" x14ac:dyDescent="0.3">
      <c r="B21" s="4" t="s">
        <v>172</v>
      </c>
      <c r="C21" s="5">
        <v>3895</v>
      </c>
    </row>
    <row r="22" spans="2:9" ht="14" x14ac:dyDescent="0.3">
      <c r="B22" s="4" t="s">
        <v>173</v>
      </c>
      <c r="C22" s="5">
        <v>-700</v>
      </c>
    </row>
    <row r="23" spans="2:9" ht="14" x14ac:dyDescent="0.3">
      <c r="B23" s="4" t="s">
        <v>174</v>
      </c>
      <c r="C23" s="15">
        <v>27115114</v>
      </c>
    </row>
    <row r="24" spans="2:9" ht="14" x14ac:dyDescent="0.3">
      <c r="B24" s="4" t="s">
        <v>72</v>
      </c>
      <c r="C24" s="5">
        <v>-548</v>
      </c>
    </row>
    <row r="26" spans="2:9" ht="14" x14ac:dyDescent="0.3">
      <c r="B26" s="3" t="s">
        <v>175</v>
      </c>
    </row>
    <row r="27" spans="2:9" ht="14" x14ac:dyDescent="0.3">
      <c r="B27" s="4" t="s">
        <v>176</v>
      </c>
      <c r="C27" s="24">
        <f>ROUND((C21*E16-C24)*1000000/C23,0)</f>
        <v>456</v>
      </c>
    </row>
    <row r="28" spans="2:9" ht="14" x14ac:dyDescent="0.3">
      <c r="B28" s="4" t="s">
        <v>177</v>
      </c>
      <c r="C28" s="36" t="s">
        <v>8</v>
      </c>
      <c r="D28" s="1" t="s">
        <v>178</v>
      </c>
    </row>
  </sheetData>
  <phoneticPr fontId="8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996600"/>
  </sheetPr>
  <dimension ref="B2:I26"/>
  <sheetViews>
    <sheetView workbookViewId="0"/>
  </sheetViews>
  <sheetFormatPr defaultRowHeight="13" x14ac:dyDescent="0.2"/>
  <cols>
    <col min="1" max="1" width="3" customWidth="1"/>
    <col min="2" max="2" width="24" customWidth="1"/>
    <col min="3" max="9" width="14" customWidth="1"/>
  </cols>
  <sheetData>
    <row r="2" spans="2:9" ht="18" x14ac:dyDescent="0.4">
      <c r="B2" s="2" t="s">
        <v>179</v>
      </c>
    </row>
    <row r="3" spans="2:9" ht="14" x14ac:dyDescent="0.3">
      <c r="B3" s="4" t="s">
        <v>180</v>
      </c>
      <c r="C3" s="16">
        <f>'DCF Model'!C26</f>
        <v>0.13541666666666669</v>
      </c>
      <c r="E3" s="4" t="s">
        <v>181</v>
      </c>
      <c r="F3" s="16">
        <f>'DCF Model'!C13</f>
        <v>1.4999999999999999E-2</v>
      </c>
      <c r="H3" s="4" t="s">
        <v>182</v>
      </c>
      <c r="I3" s="14">
        <f>'DCF Model'!C14</f>
        <v>4</v>
      </c>
    </row>
    <row r="5" spans="2:9" ht="14" x14ac:dyDescent="0.3">
      <c r="B5" s="3" t="s">
        <v>183</v>
      </c>
    </row>
    <row r="6" spans="2:9" ht="14" x14ac:dyDescent="0.3">
      <c r="B6" s="37" t="s">
        <v>184</v>
      </c>
      <c r="C6" s="38">
        <f>$F$3-0.0075</f>
        <v>7.4999999999999997E-3</v>
      </c>
      <c r="D6" s="38">
        <f>$F$3-0.005</f>
        <v>9.9999999999999985E-3</v>
      </c>
      <c r="E6" s="38">
        <f>$F$3-0.0025</f>
        <v>1.2499999999999999E-2</v>
      </c>
      <c r="F6" s="38">
        <f>$F$3</f>
        <v>1.4999999999999999E-2</v>
      </c>
      <c r="G6" s="38">
        <f>$F$3+0.0025</f>
        <v>1.7499999999999998E-2</v>
      </c>
      <c r="H6" s="38">
        <f>$F$3+0.005</f>
        <v>0.02</v>
      </c>
      <c r="I6" s="38">
        <f>$F$3+0.0075</f>
        <v>2.2499999999999999E-2</v>
      </c>
    </row>
    <row r="7" spans="2:9" ht="13.5" x14ac:dyDescent="0.25">
      <c r="B7" s="35">
        <f>$C$3-0.015</f>
        <v>0.12041666666666669</v>
      </c>
      <c r="C7" s="33">
        <f>IFERROR(ROUND(('DCF Model'!C45/(1+$B7)^('DCF Model'!C19+0)+'DCF Model'!D45/(1+$B7)^('DCF Model'!C19+1)+'DCF Model'!E45/(1+$B7)^('DCF Model'!C19+2)+'DCF Model'!F45/(1+$B7)^('DCF Model'!C19+3)+'DCF Model'!G45/(1+$B7)^('DCF Model'!C19+4)+'DCF Model'!G45*(1+C$6)/($B7-C$6)/(1+$B7)^('DCF Model'!C19+4)-'DCF Model'!C16)*1000000/'DCF Model'!C15,0),"")</f>
        <v>385</v>
      </c>
      <c r="D7" s="33">
        <f>IFERROR(ROUND(('DCF Model'!C45/(1+$B7)^('DCF Model'!C19+0)+'DCF Model'!D45/(1+$B7)^('DCF Model'!C19+1)+'DCF Model'!E45/(1+$B7)^('DCF Model'!C19+2)+'DCF Model'!F45/(1+$B7)^('DCF Model'!C19+3)+'DCF Model'!G45/(1+$B7)^('DCF Model'!C19+4)+'DCF Model'!G45*(1+D$6)/($B7-D$6)/(1+$B7)^('DCF Model'!C19+4)-'DCF Model'!C16)*1000000/'DCF Model'!C15,0),"")</f>
        <v>392</v>
      </c>
      <c r="E7" s="33">
        <f>IFERROR(ROUND(('DCF Model'!C45/(1+$B7)^('DCF Model'!C19+0)+'DCF Model'!D45/(1+$B7)^('DCF Model'!C19+1)+'DCF Model'!E45/(1+$B7)^('DCF Model'!C19+2)+'DCF Model'!F45/(1+$B7)^('DCF Model'!C19+3)+'DCF Model'!G45/(1+$B7)^('DCF Model'!C19+4)+'DCF Model'!G45*(1+E$6)/($B7-E$6)/(1+$B7)^('DCF Model'!C19+4)-'DCF Model'!C16)*1000000/'DCF Model'!C15,0),"")</f>
        <v>400</v>
      </c>
      <c r="F7" s="33">
        <f>IFERROR(ROUND(('DCF Model'!C45/(1+$B7)^('DCF Model'!C19+0)+'DCF Model'!D45/(1+$B7)^('DCF Model'!C19+1)+'DCF Model'!E45/(1+$B7)^('DCF Model'!C19+2)+'DCF Model'!F45/(1+$B7)^('DCF Model'!C19+3)+'DCF Model'!G45/(1+$B7)^('DCF Model'!C19+4)+'DCF Model'!G45*(1+F$6)/($B7-F$6)/(1+$B7)^('DCF Model'!C19+4)-'DCF Model'!C16)*1000000/'DCF Model'!C15,0),"")</f>
        <v>408</v>
      </c>
      <c r="G7" s="33">
        <f>IFERROR(ROUND(('DCF Model'!C45/(1+$B7)^('DCF Model'!C19+0)+'DCF Model'!D45/(1+$B7)^('DCF Model'!C19+1)+'DCF Model'!E45/(1+$B7)^('DCF Model'!C19+2)+'DCF Model'!F45/(1+$B7)^('DCF Model'!C19+3)+'DCF Model'!G45/(1+$B7)^('DCF Model'!C19+4)+'DCF Model'!G45*(1+G$6)/($B7-G$6)/(1+$B7)^('DCF Model'!C19+4)-'DCF Model'!C16)*1000000/'DCF Model'!C15,0),"")</f>
        <v>416</v>
      </c>
      <c r="H7" s="33">
        <f>IFERROR(ROUND(('DCF Model'!C45/(1+$B7)^('DCF Model'!C19+0)+'DCF Model'!D45/(1+$B7)^('DCF Model'!C19+1)+'DCF Model'!E45/(1+$B7)^('DCF Model'!C19+2)+'DCF Model'!F45/(1+$B7)^('DCF Model'!C19+3)+'DCF Model'!G45/(1+$B7)^('DCF Model'!C19+4)+'DCF Model'!G45*(1+H$6)/($B7-H$6)/(1+$B7)^('DCF Model'!C19+4)-'DCF Model'!C16)*1000000/'DCF Model'!C15,0),"")</f>
        <v>425</v>
      </c>
      <c r="I7" s="33">
        <f>IFERROR(ROUND(('DCF Model'!C45/(1+$B7)^('DCF Model'!C19+0)+'DCF Model'!D45/(1+$B7)^('DCF Model'!C19+1)+'DCF Model'!E45/(1+$B7)^('DCF Model'!C19+2)+'DCF Model'!F45/(1+$B7)^('DCF Model'!C19+3)+'DCF Model'!G45/(1+$B7)^('DCF Model'!C19+4)+'DCF Model'!G45*(1+I$6)/($B7-I$6)/(1+$B7)^('DCF Model'!C19+4)-'DCF Model'!C16)*1000000/'DCF Model'!C15,0),"")</f>
        <v>435</v>
      </c>
    </row>
    <row r="8" spans="2:9" ht="13.5" x14ac:dyDescent="0.25">
      <c r="B8" s="35">
        <f>$C$3-0.01</f>
        <v>0.12541666666666668</v>
      </c>
      <c r="C8" s="33">
        <f>IFERROR(ROUND(('DCF Model'!C45/(1+$B8)^('DCF Model'!C19+0)+'DCF Model'!D45/(1+$B8)^('DCF Model'!C19+1)+'DCF Model'!E45/(1+$B8)^('DCF Model'!C19+2)+'DCF Model'!F45/(1+$B8)^('DCF Model'!C19+3)+'DCF Model'!G45/(1+$B8)^('DCF Model'!C19+4)+'DCF Model'!G45*(1+C$6)/($B8-C$6)/(1+$B8)^('DCF Model'!C19+4)-'DCF Model'!C16)*1000000/'DCF Model'!C15,0),"")</f>
        <v>365</v>
      </c>
      <c r="D8" s="33">
        <f>IFERROR(ROUND(('DCF Model'!C45/(1+$B8)^('DCF Model'!C19+0)+'DCF Model'!D45/(1+$B8)^('DCF Model'!C19+1)+'DCF Model'!E45/(1+$B8)^('DCF Model'!C19+2)+'DCF Model'!F45/(1+$B8)^('DCF Model'!C19+3)+'DCF Model'!G45/(1+$B8)^('DCF Model'!C19+4)+'DCF Model'!G45*(1+D$6)/($B8-D$6)/(1+$B8)^('DCF Model'!C19+4)-'DCF Model'!C16)*1000000/'DCF Model'!C15,0),"")</f>
        <v>372</v>
      </c>
      <c r="E8" s="33">
        <f>IFERROR(ROUND(('DCF Model'!C45/(1+$B8)^('DCF Model'!C19+0)+'DCF Model'!D45/(1+$B8)^('DCF Model'!C19+1)+'DCF Model'!E45/(1+$B8)^('DCF Model'!C19+2)+'DCF Model'!F45/(1+$B8)^('DCF Model'!C19+3)+'DCF Model'!G45/(1+$B8)^('DCF Model'!C19+4)+'DCF Model'!G45*(1+E$6)/($B8-E$6)/(1+$B8)^('DCF Model'!C19+4)-'DCF Model'!C16)*1000000/'DCF Model'!C15,0),"")</f>
        <v>379</v>
      </c>
      <c r="F8" s="33">
        <f>IFERROR(ROUND(('DCF Model'!C45/(1+$B8)^('DCF Model'!C19+0)+'DCF Model'!D45/(1+$B8)^('DCF Model'!C19+1)+'DCF Model'!E45/(1+$B8)^('DCF Model'!C19+2)+'DCF Model'!F45/(1+$B8)^('DCF Model'!C19+3)+'DCF Model'!G45/(1+$B8)^('DCF Model'!C19+4)+'DCF Model'!G45*(1+F$6)/($B8-F$6)/(1+$B8)^('DCF Model'!C19+4)-'DCF Model'!C16)*1000000/'DCF Model'!C15,0),"")</f>
        <v>386</v>
      </c>
      <c r="G8" s="33">
        <f>IFERROR(ROUND(('DCF Model'!C45/(1+$B8)^('DCF Model'!C19+0)+'DCF Model'!D45/(1+$B8)^('DCF Model'!C19+1)+'DCF Model'!E45/(1+$B8)^('DCF Model'!C19+2)+'DCF Model'!F45/(1+$B8)^('DCF Model'!C19+3)+'DCF Model'!G45/(1+$B8)^('DCF Model'!C19+4)+'DCF Model'!G45*(1+G$6)/($B8-G$6)/(1+$B8)^('DCF Model'!C19+4)-'DCF Model'!C16)*1000000/'DCF Model'!C15,0),"")</f>
        <v>393</v>
      </c>
      <c r="H8" s="33">
        <f>IFERROR(ROUND(('DCF Model'!C45/(1+$B8)^('DCF Model'!C19+0)+'DCF Model'!D45/(1+$B8)^('DCF Model'!C19+1)+'DCF Model'!E45/(1+$B8)^('DCF Model'!C19+2)+'DCF Model'!F45/(1+$B8)^('DCF Model'!C19+3)+'DCF Model'!G45/(1+$B8)^('DCF Model'!C19+4)+'DCF Model'!G45*(1+H$6)/($B8-H$6)/(1+$B8)^('DCF Model'!C19+4)-'DCF Model'!C16)*1000000/'DCF Model'!C15,0),"")</f>
        <v>401</v>
      </c>
      <c r="I8" s="33">
        <f>IFERROR(ROUND(('DCF Model'!C45/(1+$B8)^('DCF Model'!C19+0)+'DCF Model'!D45/(1+$B8)^('DCF Model'!C19+1)+'DCF Model'!E45/(1+$B8)^('DCF Model'!C19+2)+'DCF Model'!F45/(1+$B8)^('DCF Model'!C19+3)+'DCF Model'!G45/(1+$B8)^('DCF Model'!C19+4)+'DCF Model'!G45*(1+I$6)/($B8-I$6)/(1+$B8)^('DCF Model'!C19+4)-'DCF Model'!C16)*1000000/'DCF Model'!C15,0),"")</f>
        <v>409</v>
      </c>
    </row>
    <row r="9" spans="2:9" ht="13.5" x14ac:dyDescent="0.25">
      <c r="B9" s="35">
        <f>$C$3-0.005</f>
        <v>0.13041666666666668</v>
      </c>
      <c r="C9" s="33">
        <f>IFERROR(ROUND(('DCF Model'!C45/(1+$B9)^('DCF Model'!C19+0)+'DCF Model'!D45/(1+$B9)^('DCF Model'!C19+1)+'DCF Model'!E45/(1+$B9)^('DCF Model'!C19+2)+'DCF Model'!F45/(1+$B9)^('DCF Model'!C19+3)+'DCF Model'!G45/(1+$B9)^('DCF Model'!C19+4)+'DCF Model'!G45*(1+C$6)/($B9-C$6)/(1+$B9)^('DCF Model'!C19+4)-'DCF Model'!C16)*1000000/'DCF Model'!C15,0),"")</f>
        <v>347</v>
      </c>
      <c r="D9" s="33">
        <f>IFERROR(ROUND(('DCF Model'!C45/(1+$B9)^('DCF Model'!C19+0)+'DCF Model'!D45/(1+$B9)^('DCF Model'!C19+1)+'DCF Model'!E45/(1+$B9)^('DCF Model'!C19+2)+'DCF Model'!F45/(1+$B9)^('DCF Model'!C19+3)+'DCF Model'!G45/(1+$B9)^('DCF Model'!C19+4)+'DCF Model'!G45*(1+D$6)/($B9-D$6)/(1+$B9)^('DCF Model'!C19+4)-'DCF Model'!C16)*1000000/'DCF Model'!C15,0),"")</f>
        <v>353</v>
      </c>
      <c r="E9" s="33">
        <f>IFERROR(ROUND(('DCF Model'!C45/(1+$B9)^('DCF Model'!C19+0)+'DCF Model'!D45/(1+$B9)^('DCF Model'!C19+1)+'DCF Model'!E45/(1+$B9)^('DCF Model'!C19+2)+'DCF Model'!F45/(1+$B9)^('DCF Model'!C19+3)+'DCF Model'!G45/(1+$B9)^('DCF Model'!C19+4)+'DCF Model'!G45*(1+E$6)/($B9-E$6)/(1+$B9)^('DCF Model'!C19+4)-'DCF Model'!C16)*1000000/'DCF Model'!C15,0),"")</f>
        <v>359</v>
      </c>
      <c r="F9" s="33">
        <f>IFERROR(ROUND(('DCF Model'!C45/(1+$B9)^('DCF Model'!C19+0)+'DCF Model'!D45/(1+$B9)^('DCF Model'!C19+1)+'DCF Model'!E45/(1+$B9)^('DCF Model'!C19+2)+'DCF Model'!F45/(1+$B9)^('DCF Model'!C19+3)+'DCF Model'!G45/(1+$B9)^('DCF Model'!C19+4)+'DCF Model'!G45*(1+F$6)/($B9-F$6)/(1+$B9)^('DCF Model'!C19+4)-'DCF Model'!C16)*1000000/'DCF Model'!C15,0),"")</f>
        <v>366</v>
      </c>
      <c r="G9" s="33">
        <f>IFERROR(ROUND(('DCF Model'!C45/(1+$B9)^('DCF Model'!C19+0)+'DCF Model'!D45/(1+$B9)^('DCF Model'!C19+1)+'DCF Model'!E45/(1+$B9)^('DCF Model'!C19+2)+'DCF Model'!F45/(1+$B9)^('DCF Model'!C19+3)+'DCF Model'!G45/(1+$B9)^('DCF Model'!C19+4)+'DCF Model'!G45*(1+G$6)/($B9-G$6)/(1+$B9)^('DCF Model'!C19+4)-'DCF Model'!C16)*1000000/'DCF Model'!C15,0),"")</f>
        <v>372</v>
      </c>
      <c r="H9" s="33">
        <f>IFERROR(ROUND(('DCF Model'!C45/(1+$B9)^('DCF Model'!C19+0)+'DCF Model'!D45/(1+$B9)^('DCF Model'!C19+1)+'DCF Model'!E45/(1+$B9)^('DCF Model'!C19+2)+'DCF Model'!F45/(1+$B9)^('DCF Model'!C19+3)+'DCF Model'!G45/(1+$B9)^('DCF Model'!C19+4)+'DCF Model'!G45*(1+H$6)/($B9-H$6)/(1+$B9)^('DCF Model'!C19+4)-'DCF Model'!C16)*1000000/'DCF Model'!C15,0),"")</f>
        <v>379</v>
      </c>
      <c r="I9" s="33">
        <f>IFERROR(ROUND(('DCF Model'!C45/(1+$B9)^('DCF Model'!C19+0)+'DCF Model'!D45/(1+$B9)^('DCF Model'!C19+1)+'DCF Model'!E45/(1+$B9)^('DCF Model'!C19+2)+'DCF Model'!F45/(1+$B9)^('DCF Model'!C19+3)+'DCF Model'!G45/(1+$B9)^('DCF Model'!C19+4)+'DCF Model'!G45*(1+I$6)/($B9-I$6)/(1+$B9)^('DCF Model'!C19+4)-'DCF Model'!C16)*1000000/'DCF Model'!C15,0),"")</f>
        <v>387</v>
      </c>
    </row>
    <row r="10" spans="2:9" ht="13.5" x14ac:dyDescent="0.25">
      <c r="B10" s="35">
        <f>$C$3</f>
        <v>0.13541666666666669</v>
      </c>
      <c r="C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Model'!G45*(1+C$6)/($B10-C$6)/(1+$B10)^('DCF Model'!C19+4)-'DCF Model'!C16)*1000000/'DCF Model'!C15,0),"")</f>
        <v>330</v>
      </c>
      <c r="D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Model'!G45*(1+D$6)/($B10-D$6)/(1+$B10)^('DCF Model'!C19+4)-'DCF Model'!C16)*1000000/'DCF Model'!C15,0),"")</f>
        <v>336</v>
      </c>
      <c r="E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Model'!G45*(1+E$6)/($B10-E$6)/(1+$B10)^('DCF Model'!C19+4)-'DCF Model'!C16)*1000000/'DCF Model'!C15,0),"")</f>
        <v>341</v>
      </c>
      <c r="F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Model'!G45*(1+F$6)/($B10-F$6)/(1+$B10)^('DCF Model'!C19+4)-'DCF Model'!C16)*1000000/'DCF Model'!C15,0),"")</f>
        <v>347</v>
      </c>
      <c r="G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Model'!G45*(1+G$6)/($B10-G$6)/(1+$B10)^('DCF Model'!C19+4)-'DCF Model'!C16)*1000000/'DCF Model'!C15,0),"")</f>
        <v>353</v>
      </c>
      <c r="H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Model'!G45*(1+H$6)/($B10-H$6)/(1+$B10)^('DCF Model'!C19+4)-'DCF Model'!C16)*1000000/'DCF Model'!C15,0),"")</f>
        <v>360</v>
      </c>
      <c r="I10" s="33">
        <f>IFERROR(ROUND(('DCF Model'!C45/(1+$B10)^('DCF Model'!C19+0)+'DCF Model'!D45/(1+$B10)^('DCF Model'!C19+1)+'DCF Model'!E45/(1+$B10)^('DCF Model'!C19+2)+'DCF Model'!F45/(1+$B10)^('DCF Model'!C19+3)+'DCF Model'!G45/(1+$B10)^('DCF Model'!C19+4)+'DCF Model'!G45*(1+I$6)/($B10-I$6)/(1+$B10)^('DCF Model'!C19+4)-'DCF Model'!C16)*1000000/'DCF Model'!C15,0),"")</f>
        <v>366</v>
      </c>
    </row>
    <row r="11" spans="2:9" ht="13.5" x14ac:dyDescent="0.25">
      <c r="B11" s="35">
        <f>$C$3+0.005</f>
        <v>0.14041666666666669</v>
      </c>
      <c r="C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Model'!G45*(1+C$6)/($B11-C$6)/(1+$B11)^('DCF Model'!C19+4)-'DCF Model'!C16)*1000000/'DCF Model'!C15,0),"")</f>
        <v>315</v>
      </c>
      <c r="D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Model'!G45*(1+D$6)/($B11-D$6)/(1+$B11)^('DCF Model'!C19+4)-'DCF Model'!C16)*1000000/'DCF Model'!C15,0),"")</f>
        <v>320</v>
      </c>
      <c r="E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Model'!G45*(1+E$6)/($B11-E$6)/(1+$B11)^('DCF Model'!C19+4)-'DCF Model'!C16)*1000000/'DCF Model'!C15,0),"")</f>
        <v>325</v>
      </c>
      <c r="F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Model'!G45*(1+F$6)/($B11-F$6)/(1+$B11)^('DCF Model'!C19+4)-'DCF Model'!C16)*1000000/'DCF Model'!C15,0),"")</f>
        <v>330</v>
      </c>
      <c r="G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Model'!G45*(1+G$6)/($B11-G$6)/(1+$B11)^('DCF Model'!C19+4)-'DCF Model'!C16)*1000000/'DCF Model'!C15,0),"")</f>
        <v>336</v>
      </c>
      <c r="H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Model'!G45*(1+H$6)/($B11-H$6)/(1+$B11)^('DCF Model'!C19+4)-'DCF Model'!C16)*1000000/'DCF Model'!C15,0),"")</f>
        <v>341</v>
      </c>
      <c r="I11" s="33">
        <f>IFERROR(ROUND(('DCF Model'!C45/(1+$B11)^('DCF Model'!C19+0)+'DCF Model'!D45/(1+$B11)^('DCF Model'!C19+1)+'DCF Model'!E45/(1+$B11)^('DCF Model'!C19+2)+'DCF Model'!F45/(1+$B11)^('DCF Model'!C19+3)+'DCF Model'!G45/(1+$B11)^('DCF Model'!C19+4)+'DCF Model'!G45*(1+I$6)/($B11-I$6)/(1+$B11)^('DCF Model'!C19+4)-'DCF Model'!C16)*1000000/'DCF Model'!C15,0),"")</f>
        <v>347</v>
      </c>
    </row>
    <row r="12" spans="2:9" ht="13.5" x14ac:dyDescent="0.25">
      <c r="B12" s="35">
        <f>$C$3+0.01</f>
        <v>0.14541666666666669</v>
      </c>
      <c r="C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Model'!G45*(1+C$6)/($B12-C$6)/(1+$B12)^('DCF Model'!C19+4)-'DCF Model'!C16)*1000000/'DCF Model'!C15,0),"")</f>
        <v>301</v>
      </c>
      <c r="D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Model'!G45*(1+D$6)/($B12-D$6)/(1+$B12)^('DCF Model'!C19+4)-'DCF Model'!C16)*1000000/'DCF Model'!C15,0),"")</f>
        <v>305</v>
      </c>
      <c r="E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Model'!G45*(1+E$6)/($B12-E$6)/(1+$B12)^('DCF Model'!C19+4)-'DCF Model'!C16)*1000000/'DCF Model'!C15,0),"")</f>
        <v>310</v>
      </c>
      <c r="F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Model'!G45*(1+F$6)/($B12-F$6)/(1+$B12)^('DCF Model'!C19+4)-'DCF Model'!C16)*1000000/'DCF Model'!C15,0),"")</f>
        <v>315</v>
      </c>
      <c r="G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Model'!G45*(1+G$6)/($B12-G$6)/(1+$B12)^('DCF Model'!C19+4)-'DCF Model'!C16)*1000000/'DCF Model'!C15,0),"")</f>
        <v>320</v>
      </c>
      <c r="H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Model'!G45*(1+H$6)/($B12-H$6)/(1+$B12)^('DCF Model'!C19+4)-'DCF Model'!C16)*1000000/'DCF Model'!C15,0),"")</f>
        <v>325</v>
      </c>
      <c r="I12" s="33">
        <f>IFERROR(ROUND(('DCF Model'!C45/(1+$B12)^('DCF Model'!C19+0)+'DCF Model'!D45/(1+$B12)^('DCF Model'!C19+1)+'DCF Model'!E45/(1+$B12)^('DCF Model'!C19+2)+'DCF Model'!F45/(1+$B12)^('DCF Model'!C19+3)+'DCF Model'!G45/(1+$B12)^('DCF Model'!C19+4)+'DCF Model'!G45*(1+I$6)/($B12-I$6)/(1+$B12)^('DCF Model'!C19+4)-'DCF Model'!C16)*1000000/'DCF Model'!C15,0),"")</f>
        <v>330</v>
      </c>
    </row>
    <row r="13" spans="2:9" ht="13.5" x14ac:dyDescent="0.25">
      <c r="B13" s="35">
        <f>$C$3+0.015</f>
        <v>0.1504166666666667</v>
      </c>
      <c r="C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Model'!G45*(1+C$6)/($B13-C$6)/(1+$B13)^('DCF Model'!C19+4)-'DCF Model'!C16)*1000000/'DCF Model'!C15,0),"")</f>
        <v>288</v>
      </c>
      <c r="D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Model'!G45*(1+D$6)/($B13-D$6)/(1+$B13)^('DCF Model'!C19+4)-'DCF Model'!C16)*1000000/'DCF Model'!C15,0),"")</f>
        <v>292</v>
      </c>
      <c r="E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Model'!G45*(1+E$6)/($B13-E$6)/(1+$B13)^('DCF Model'!C19+4)-'DCF Model'!C16)*1000000/'DCF Model'!C15,0),"")</f>
        <v>296</v>
      </c>
      <c r="F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Model'!G45*(1+F$6)/($B13-F$6)/(1+$B13)^('DCF Model'!C19+4)-'DCF Model'!C16)*1000000/'DCF Model'!C15,0),"")</f>
        <v>300</v>
      </c>
      <c r="G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Model'!G45*(1+G$6)/($B13-G$6)/(1+$B13)^('DCF Model'!C19+4)-'DCF Model'!C16)*1000000/'DCF Model'!C15,0),"")</f>
        <v>305</v>
      </c>
      <c r="H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Model'!G45*(1+H$6)/($B13-H$6)/(1+$B13)^('DCF Model'!C19+4)-'DCF Model'!C16)*1000000/'DCF Model'!C15,0),"")</f>
        <v>310</v>
      </c>
      <c r="I13" s="33">
        <f>IFERROR(ROUND(('DCF Model'!C45/(1+$B13)^('DCF Model'!C19+0)+'DCF Model'!D45/(1+$B13)^('DCF Model'!C19+1)+'DCF Model'!E45/(1+$B13)^('DCF Model'!C19+2)+'DCF Model'!F45/(1+$B13)^('DCF Model'!C19+3)+'DCF Model'!G45/(1+$B13)^('DCF Model'!C19+4)+'DCF Model'!G45*(1+I$6)/($B13-I$6)/(1+$B13)^('DCF Model'!C19+4)-'DCF Model'!C16)*1000000/'DCF Model'!C15,0),"")</f>
        <v>315</v>
      </c>
    </row>
    <row r="16" spans="2:9" ht="14" x14ac:dyDescent="0.3">
      <c r="B16" s="3" t="s">
        <v>185</v>
      </c>
    </row>
    <row r="17" spans="2:9" ht="14" x14ac:dyDescent="0.3">
      <c r="B17" s="37" t="s">
        <v>186</v>
      </c>
      <c r="C17" s="39">
        <f>$I$3-3</f>
        <v>1</v>
      </c>
      <c r="D17" s="39">
        <f>$I$3-2</f>
        <v>2</v>
      </c>
      <c r="E17" s="39">
        <f>$I$3-1</f>
        <v>3</v>
      </c>
      <c r="F17" s="39">
        <f>$I$3</f>
        <v>4</v>
      </c>
      <c r="G17" s="39">
        <f>$I$3+1</f>
        <v>5</v>
      </c>
      <c r="H17" s="39">
        <f>$I$3+2</f>
        <v>6</v>
      </c>
      <c r="I17" s="39">
        <f>$I$3+3</f>
        <v>7</v>
      </c>
    </row>
    <row r="18" spans="2:9" ht="13.5" x14ac:dyDescent="0.25">
      <c r="B18" s="35">
        <f>$C$3-0.015</f>
        <v>0.12041666666666669</v>
      </c>
      <c r="C18" s="33">
        <f>IFERROR(ROUND(('DCF Model'!C45/(1+$B18)^('DCF Model'!C19+0)+'DCF Model'!D45/(1+$B18)^('DCF Model'!C19+1)+'DCF Model'!E45/(1+$B18)^('DCF Model'!C19+2)+'DCF Model'!F45/(1+$B18)^('DCF Model'!C19+3)+'DCF Model'!G45/(1+$B18)^('DCF Model'!C19+4)+'DCF Model'!G33*C$17/(1+$B18)^('DCF Model'!C19+4)-'DCF Model'!C16)*1000000/'DCF Model'!C15,0),"")</f>
        <v>371</v>
      </c>
      <c r="D18" s="33">
        <f>IFERROR(ROUND(('DCF Model'!C45/(1+$B18)^('DCF Model'!C19+0)+'DCF Model'!D45/(1+$B18)^('DCF Model'!C19+1)+'DCF Model'!E45/(1+$B18)^('DCF Model'!C19+2)+'DCF Model'!F45/(1+$B18)^('DCF Model'!C19+3)+'DCF Model'!G45/(1+$B18)^('DCF Model'!C19+4)+'DCF Model'!G33*D$17/(1+$B18)^('DCF Model'!C19+4)-'DCF Model'!C16)*1000000/'DCF Model'!C15,0),"")</f>
        <v>649</v>
      </c>
      <c r="E18" s="33">
        <f>IFERROR(ROUND(('DCF Model'!C45/(1+$B18)^('DCF Model'!C19+0)+'DCF Model'!D45/(1+$B18)^('DCF Model'!C19+1)+'DCF Model'!E45/(1+$B18)^('DCF Model'!C19+2)+'DCF Model'!F45/(1+$B18)^('DCF Model'!C19+3)+'DCF Model'!G45/(1+$B18)^('DCF Model'!C19+4)+'DCF Model'!G33*E$17/(1+$B18)^('DCF Model'!C19+4)-'DCF Model'!C16)*1000000/'DCF Model'!C15,0),"")</f>
        <v>927</v>
      </c>
      <c r="F18" s="33">
        <f>IFERROR(ROUND(('DCF Model'!C45/(1+$B18)^('DCF Model'!C19+0)+'DCF Model'!D45/(1+$B18)^('DCF Model'!C19+1)+'DCF Model'!E45/(1+$B18)^('DCF Model'!C19+2)+'DCF Model'!F45/(1+$B18)^('DCF Model'!C19+3)+'DCF Model'!G45/(1+$B18)^('DCF Model'!C19+4)+'DCF Model'!G33*F$17/(1+$B18)^('DCF Model'!C19+4)-'DCF Model'!C16)*1000000/'DCF Model'!C15,0),"")</f>
        <v>1205</v>
      </c>
      <c r="G18" s="33">
        <f>IFERROR(ROUND(('DCF Model'!C45/(1+$B18)^('DCF Model'!C19+0)+'DCF Model'!D45/(1+$B18)^('DCF Model'!C19+1)+'DCF Model'!E45/(1+$B18)^('DCF Model'!C19+2)+'DCF Model'!F45/(1+$B18)^('DCF Model'!C19+3)+'DCF Model'!G45/(1+$B18)^('DCF Model'!C19+4)+'DCF Model'!G33*G$17/(1+$B18)^('DCF Model'!C19+4)-'DCF Model'!C16)*1000000/'DCF Model'!C15,0),"")</f>
        <v>1483</v>
      </c>
      <c r="H18" s="33">
        <f>IFERROR(ROUND(('DCF Model'!C45/(1+$B18)^('DCF Model'!C19+0)+'DCF Model'!D45/(1+$B18)^('DCF Model'!C19+1)+'DCF Model'!E45/(1+$B18)^('DCF Model'!C19+2)+'DCF Model'!F45/(1+$B18)^('DCF Model'!C19+3)+'DCF Model'!G45/(1+$B18)^('DCF Model'!C19+4)+'DCF Model'!G33*H$17/(1+$B18)^('DCF Model'!C19+4)-'DCF Model'!C16)*1000000/'DCF Model'!C15,0),"")</f>
        <v>1761</v>
      </c>
      <c r="I18" s="33">
        <f>IFERROR(ROUND(('DCF Model'!C45/(1+$B18)^('DCF Model'!C19+0)+'DCF Model'!D45/(1+$B18)^('DCF Model'!C19+1)+'DCF Model'!E45/(1+$B18)^('DCF Model'!C19+2)+'DCF Model'!F45/(1+$B18)^('DCF Model'!C19+3)+'DCF Model'!G45/(1+$B18)^('DCF Model'!C19+4)+'DCF Model'!G33*I$17/(1+$B18)^('DCF Model'!C19+4)-'DCF Model'!C16)*1000000/'DCF Model'!C15,0),"")</f>
        <v>2038</v>
      </c>
    </row>
    <row r="19" spans="2:9" ht="13.5" x14ac:dyDescent="0.25">
      <c r="B19" s="35">
        <f>$C$3-0.01</f>
        <v>0.12541666666666668</v>
      </c>
      <c r="C19" s="33">
        <f>IFERROR(ROUND(('DCF Model'!C45/(1+$B19)^('DCF Model'!C19+0)+'DCF Model'!D45/(1+$B19)^('DCF Model'!C19+1)+'DCF Model'!E45/(1+$B19)^('DCF Model'!C19+2)+'DCF Model'!F45/(1+$B19)^('DCF Model'!C19+3)+'DCF Model'!G45/(1+$B19)^('DCF Model'!C19+4)+'DCF Model'!G33*C$17/(1+$B19)^('DCF Model'!C19+4)-'DCF Model'!C16)*1000000/'DCF Model'!C15,0),"")</f>
        <v>364</v>
      </c>
      <c r="D19" s="33">
        <f>IFERROR(ROUND(('DCF Model'!C45/(1+$B19)^('DCF Model'!C19+0)+'DCF Model'!D45/(1+$B19)^('DCF Model'!C19+1)+'DCF Model'!E45/(1+$B19)^('DCF Model'!C19+2)+'DCF Model'!F45/(1+$B19)^('DCF Model'!C19+3)+'DCF Model'!G45/(1+$B19)^('DCF Model'!C19+4)+'DCF Model'!G33*D$17/(1+$B19)^('DCF Model'!C19+4)-'DCF Model'!C16)*1000000/'DCF Model'!C15,0),"")</f>
        <v>636</v>
      </c>
      <c r="E19" s="33">
        <f>IFERROR(ROUND(('DCF Model'!C45/(1+$B19)^('DCF Model'!C19+0)+'DCF Model'!D45/(1+$B19)^('DCF Model'!C19+1)+'DCF Model'!E45/(1+$B19)^('DCF Model'!C19+2)+'DCF Model'!F45/(1+$B19)^('DCF Model'!C19+3)+'DCF Model'!G45/(1+$B19)^('DCF Model'!C19+4)+'DCF Model'!G33*E$17/(1+$B19)^('DCF Model'!C19+4)-'DCF Model'!C16)*1000000/'DCF Model'!C15,0),"")</f>
        <v>907</v>
      </c>
      <c r="F19" s="33">
        <f>IFERROR(ROUND(('DCF Model'!C45/(1+$B19)^('DCF Model'!C19+0)+'DCF Model'!D45/(1+$B19)^('DCF Model'!C19+1)+'DCF Model'!E45/(1+$B19)^('DCF Model'!C19+2)+'DCF Model'!F45/(1+$B19)^('DCF Model'!C19+3)+'DCF Model'!G45/(1+$B19)^('DCF Model'!C19+4)+'DCF Model'!G33*F$17/(1+$B19)^('DCF Model'!C19+4)-'DCF Model'!C16)*1000000/'DCF Model'!C15,0),"")</f>
        <v>1179</v>
      </c>
      <c r="G19" s="33">
        <f>IFERROR(ROUND(('DCF Model'!C45/(1+$B19)^('DCF Model'!C19+0)+'DCF Model'!D45/(1+$B19)^('DCF Model'!C19+1)+'DCF Model'!E45/(1+$B19)^('DCF Model'!C19+2)+'DCF Model'!F45/(1+$B19)^('DCF Model'!C19+3)+'DCF Model'!G45/(1+$B19)^('DCF Model'!C19+4)+'DCF Model'!G33*G$17/(1+$B19)^('DCF Model'!C19+4)-'DCF Model'!C16)*1000000/'DCF Model'!C15,0),"")</f>
        <v>1451</v>
      </c>
      <c r="H19" s="33">
        <f>IFERROR(ROUND(('DCF Model'!C45/(1+$B19)^('DCF Model'!C19+0)+'DCF Model'!D45/(1+$B19)^('DCF Model'!C19+1)+'DCF Model'!E45/(1+$B19)^('DCF Model'!C19+2)+'DCF Model'!F45/(1+$B19)^('DCF Model'!C19+3)+'DCF Model'!G45/(1+$B19)^('DCF Model'!C19+4)+'DCF Model'!G33*H$17/(1+$B19)^('DCF Model'!C19+4)-'DCF Model'!C16)*1000000/'DCF Model'!C15,0),"")</f>
        <v>1722</v>
      </c>
      <c r="I19" s="33">
        <f>IFERROR(ROUND(('DCF Model'!C45/(1+$B19)^('DCF Model'!C19+0)+'DCF Model'!D45/(1+$B19)^('DCF Model'!C19+1)+'DCF Model'!E45/(1+$B19)^('DCF Model'!C19+2)+'DCF Model'!F45/(1+$B19)^('DCF Model'!C19+3)+'DCF Model'!G45/(1+$B19)^('DCF Model'!C19+4)+'DCF Model'!G33*I$17/(1+$B19)^('DCF Model'!C19+4)-'DCF Model'!C16)*1000000/'DCF Model'!C15,0),"")</f>
        <v>1994</v>
      </c>
    </row>
    <row r="20" spans="2:9" ht="13.5" x14ac:dyDescent="0.25">
      <c r="B20" s="35">
        <f>$C$3-0.005</f>
        <v>0.13041666666666668</v>
      </c>
      <c r="C20" s="33">
        <f>IFERROR(ROUND(('DCF Model'!C45/(1+$B20)^('DCF Model'!C19+0)+'DCF Model'!D45/(1+$B20)^('DCF Model'!C19+1)+'DCF Model'!E45/(1+$B20)^('DCF Model'!C19+2)+'DCF Model'!F45/(1+$B20)^('DCF Model'!C19+3)+'DCF Model'!G45/(1+$B20)^('DCF Model'!C19+4)+'DCF Model'!G33*C$17/(1+$B20)^('DCF Model'!C19+4)-'DCF Model'!C16)*1000000/'DCF Model'!C15,0),"")</f>
        <v>356</v>
      </c>
      <c r="D20" s="33">
        <f>IFERROR(ROUND(('DCF Model'!C45/(1+$B20)^('DCF Model'!C19+0)+'DCF Model'!D45/(1+$B20)^('DCF Model'!C19+1)+'DCF Model'!E45/(1+$B20)^('DCF Model'!C19+2)+'DCF Model'!F45/(1+$B20)^('DCF Model'!C19+3)+'DCF Model'!G45/(1+$B20)^('DCF Model'!C19+4)+'DCF Model'!G33*D$17/(1+$B20)^('DCF Model'!C19+4)-'DCF Model'!C16)*1000000/'DCF Model'!C15,0),"")</f>
        <v>622</v>
      </c>
      <c r="E20" s="33">
        <f>IFERROR(ROUND(('DCF Model'!C45/(1+$B20)^('DCF Model'!C19+0)+'DCF Model'!D45/(1+$B20)^('DCF Model'!C19+1)+'DCF Model'!E45/(1+$B20)^('DCF Model'!C19+2)+'DCF Model'!F45/(1+$B20)^('DCF Model'!C19+3)+'DCF Model'!G45/(1+$B20)^('DCF Model'!C19+4)+'DCF Model'!G33*E$17/(1+$B20)^('DCF Model'!C19+4)-'DCF Model'!C16)*1000000/'DCF Model'!C15,0),"")</f>
        <v>888</v>
      </c>
      <c r="F20" s="33">
        <f>IFERROR(ROUND(('DCF Model'!C45/(1+$B20)^('DCF Model'!C19+0)+'DCF Model'!D45/(1+$B20)^('DCF Model'!C19+1)+'DCF Model'!E45/(1+$B20)^('DCF Model'!C19+2)+'DCF Model'!F45/(1+$B20)^('DCF Model'!C19+3)+'DCF Model'!G45/(1+$B20)^('DCF Model'!C19+4)+'DCF Model'!G33*F$17/(1+$B20)^('DCF Model'!C19+4)-'DCF Model'!C16)*1000000/'DCF Model'!C15,0),"")</f>
        <v>1154</v>
      </c>
      <c r="G20" s="33">
        <f>IFERROR(ROUND(('DCF Model'!C45/(1+$B20)^('DCF Model'!C19+0)+'DCF Model'!D45/(1+$B20)^('DCF Model'!C19+1)+'DCF Model'!E45/(1+$B20)^('DCF Model'!C19+2)+'DCF Model'!F45/(1+$B20)^('DCF Model'!C19+3)+'DCF Model'!G45/(1+$B20)^('DCF Model'!C19+4)+'DCF Model'!G33*G$17/(1+$B20)^('DCF Model'!C19+4)-'DCF Model'!C16)*1000000/'DCF Model'!C15,0),"")</f>
        <v>1420</v>
      </c>
      <c r="H20" s="33">
        <f>IFERROR(ROUND(('DCF Model'!C45/(1+$B20)^('DCF Model'!C19+0)+'DCF Model'!D45/(1+$B20)^('DCF Model'!C19+1)+'DCF Model'!E45/(1+$B20)^('DCF Model'!C19+2)+'DCF Model'!F45/(1+$B20)^('DCF Model'!C19+3)+'DCF Model'!G45/(1+$B20)^('DCF Model'!C19+4)+'DCF Model'!G33*H$17/(1+$B20)^('DCF Model'!C19+4)-'DCF Model'!C16)*1000000/'DCF Model'!C15,0),"")</f>
        <v>1685</v>
      </c>
      <c r="I20" s="33">
        <f>IFERROR(ROUND(('DCF Model'!C45/(1+$B20)^('DCF Model'!C19+0)+'DCF Model'!D45/(1+$B20)^('DCF Model'!C19+1)+'DCF Model'!E45/(1+$B20)^('DCF Model'!C19+2)+'DCF Model'!F45/(1+$B20)^('DCF Model'!C19+3)+'DCF Model'!G45/(1+$B20)^('DCF Model'!C19+4)+'DCF Model'!G33*I$17/(1+$B20)^('DCF Model'!C19+4)-'DCF Model'!C16)*1000000/'DCF Model'!C15,0),"")</f>
        <v>1951</v>
      </c>
    </row>
    <row r="21" spans="2:9" ht="13.5" x14ac:dyDescent="0.25">
      <c r="B21" s="35">
        <f>$C$3</f>
        <v>0.13541666666666669</v>
      </c>
      <c r="C21" s="33">
        <f>IFERROR(ROUND(('DCF Model'!C45/(1+$B21)^('DCF Model'!C19+0)+'DCF Model'!D45/(1+$B21)^('DCF Model'!C19+1)+'DCF Model'!E45/(1+$B21)^('DCF Model'!C19+2)+'DCF Model'!F45/(1+$B21)^('DCF Model'!C19+3)+'DCF Model'!G45/(1+$B21)^('DCF Model'!C19+4)+'DCF Model'!G33*C$17/(1+$B21)^('DCF Model'!C19+4)-'DCF Model'!C16)*1000000/'DCF Model'!C15,0),"")</f>
        <v>349</v>
      </c>
      <c r="D21" s="33">
        <f>IFERROR(ROUND(('DCF Model'!C45/(1+$B21)^('DCF Model'!C19+0)+'DCF Model'!D45/(1+$B21)^('DCF Model'!C19+1)+'DCF Model'!E45/(1+$B21)^('DCF Model'!C19+2)+'DCF Model'!F45/(1+$B21)^('DCF Model'!C19+3)+'DCF Model'!G45/(1+$B21)^('DCF Model'!C19+4)+'DCF Model'!G33*D$17/(1+$B21)^('DCF Model'!C19+4)-'DCF Model'!C16)*1000000/'DCF Model'!C15,0),"")</f>
        <v>609</v>
      </c>
      <c r="E21" s="33">
        <f>IFERROR(ROUND(('DCF Model'!C45/(1+$B21)^('DCF Model'!C19+0)+'DCF Model'!D45/(1+$B21)^('DCF Model'!C19+1)+'DCF Model'!E45/(1+$B21)^('DCF Model'!C19+2)+'DCF Model'!F45/(1+$B21)^('DCF Model'!C19+3)+'DCF Model'!G45/(1+$B21)^('DCF Model'!C19+4)+'DCF Model'!G33*E$17/(1+$B21)^('DCF Model'!C19+4)-'DCF Model'!C16)*1000000/'DCF Model'!C15,0),"")</f>
        <v>869</v>
      </c>
      <c r="F21" s="33">
        <f>IFERROR(ROUND(('DCF Model'!C45/(1+$B21)^('DCF Model'!C19+0)+'DCF Model'!D45/(1+$B21)^('DCF Model'!C19+1)+'DCF Model'!E45/(1+$B21)^('DCF Model'!C19+2)+'DCF Model'!F45/(1+$B21)^('DCF Model'!C19+3)+'DCF Model'!G45/(1+$B21)^('DCF Model'!C19+4)+'DCF Model'!G33*F$17/(1+$B21)^('DCF Model'!C19+4)-'DCF Model'!C16)*1000000/'DCF Model'!C15,0),"")</f>
        <v>1129</v>
      </c>
      <c r="G21" s="33">
        <f>IFERROR(ROUND(('DCF Model'!C45/(1+$B21)^('DCF Model'!C19+0)+'DCF Model'!D45/(1+$B21)^('DCF Model'!C19+1)+'DCF Model'!E45/(1+$B21)^('DCF Model'!C19+2)+'DCF Model'!F45/(1+$B21)^('DCF Model'!C19+3)+'DCF Model'!G45/(1+$B21)^('DCF Model'!C19+4)+'DCF Model'!G33*G$17/(1+$B21)^('DCF Model'!C19+4)-'DCF Model'!C16)*1000000/'DCF Model'!C15,0),"")</f>
        <v>1389</v>
      </c>
      <c r="H21" s="33">
        <f>IFERROR(ROUND(('DCF Model'!C45/(1+$B21)^('DCF Model'!C19+0)+'DCF Model'!D45/(1+$B21)^('DCF Model'!C19+1)+'DCF Model'!E45/(1+$B21)^('DCF Model'!C19+2)+'DCF Model'!F45/(1+$B21)^('DCF Model'!C19+3)+'DCF Model'!G45/(1+$B21)^('DCF Model'!C19+4)+'DCF Model'!G33*H$17/(1+$B21)^('DCF Model'!C19+4)-'DCF Model'!C16)*1000000/'DCF Model'!C15,0),"")</f>
        <v>1649</v>
      </c>
      <c r="I21" s="33">
        <f>IFERROR(ROUND(('DCF Model'!C45/(1+$B21)^('DCF Model'!C19+0)+'DCF Model'!D45/(1+$B21)^('DCF Model'!C19+1)+'DCF Model'!E45/(1+$B21)^('DCF Model'!C19+2)+'DCF Model'!F45/(1+$B21)^('DCF Model'!C19+3)+'DCF Model'!G45/(1+$B21)^('DCF Model'!C19+4)+'DCF Model'!G33*I$17/(1+$B21)^('DCF Model'!C19+4)-'DCF Model'!C16)*1000000/'DCF Model'!C15,0),"")</f>
        <v>1909</v>
      </c>
    </row>
    <row r="22" spans="2:9" ht="13.5" x14ac:dyDescent="0.25">
      <c r="B22" s="35">
        <f>$C$3+0.005</f>
        <v>0.14041666666666669</v>
      </c>
      <c r="C22" s="33">
        <f>IFERROR(ROUND(('DCF Model'!C45/(1+$B22)^('DCF Model'!C19+0)+'DCF Model'!D45/(1+$B22)^('DCF Model'!C19+1)+'DCF Model'!E45/(1+$B22)^('DCF Model'!C19+2)+'DCF Model'!F45/(1+$B22)^('DCF Model'!C19+3)+'DCF Model'!G45/(1+$B22)^('DCF Model'!C19+4)+'DCF Model'!G33*C$17/(1+$B22)^('DCF Model'!C19+4)-'DCF Model'!C16)*1000000/'DCF Model'!C15,0),"")</f>
        <v>342</v>
      </c>
      <c r="D22" s="33">
        <f>IFERROR(ROUND(('DCF Model'!C45/(1+$B22)^('DCF Model'!C19+0)+'DCF Model'!D45/(1+$B22)^('DCF Model'!C19+1)+'DCF Model'!E45/(1+$B22)^('DCF Model'!C19+2)+'DCF Model'!F45/(1+$B22)^('DCF Model'!C19+3)+'DCF Model'!G45/(1+$B22)^('DCF Model'!C19+4)+'DCF Model'!G33*D$17/(1+$B22)^('DCF Model'!C19+4)-'DCF Model'!C16)*1000000/'DCF Model'!C15,0),"")</f>
        <v>597</v>
      </c>
      <c r="E22" s="33">
        <f>IFERROR(ROUND(('DCF Model'!C45/(1+$B22)^('DCF Model'!C19+0)+'DCF Model'!D45/(1+$B22)^('DCF Model'!C19+1)+'DCF Model'!E45/(1+$B22)^('DCF Model'!C19+2)+'DCF Model'!F45/(1+$B22)^('DCF Model'!C19+3)+'DCF Model'!G45/(1+$B22)^('DCF Model'!C19+4)+'DCF Model'!G33*E$17/(1+$B22)^('DCF Model'!C19+4)-'DCF Model'!C16)*1000000/'DCF Model'!C15,0),"")</f>
        <v>851</v>
      </c>
      <c r="F22" s="33">
        <f>IFERROR(ROUND(('DCF Model'!C45/(1+$B22)^('DCF Model'!C19+0)+'DCF Model'!D45/(1+$B22)^('DCF Model'!C19+1)+'DCF Model'!E45/(1+$B22)^('DCF Model'!C19+2)+'DCF Model'!F45/(1+$B22)^('DCF Model'!C19+3)+'DCF Model'!G45/(1+$B22)^('DCF Model'!C19+4)+'DCF Model'!G33*F$17/(1+$B22)^('DCF Model'!C19+4)-'DCF Model'!C16)*1000000/'DCF Model'!C15,0),"")</f>
        <v>1106</v>
      </c>
      <c r="G22" s="33">
        <f>IFERROR(ROUND(('DCF Model'!C45/(1+$B22)^('DCF Model'!C19+0)+'DCF Model'!D45/(1+$B22)^('DCF Model'!C19+1)+'DCF Model'!E45/(1+$B22)^('DCF Model'!C19+2)+'DCF Model'!F45/(1+$B22)^('DCF Model'!C19+3)+'DCF Model'!G45/(1+$B22)^('DCF Model'!C19+4)+'DCF Model'!G33*G$17/(1+$B22)^('DCF Model'!C19+4)-'DCF Model'!C16)*1000000/'DCF Model'!C15,0),"")</f>
        <v>1360</v>
      </c>
      <c r="H22" s="33">
        <f>IFERROR(ROUND(('DCF Model'!C45/(1+$B22)^('DCF Model'!C19+0)+'DCF Model'!D45/(1+$B22)^('DCF Model'!C19+1)+'DCF Model'!E45/(1+$B22)^('DCF Model'!C19+2)+'DCF Model'!F45/(1+$B22)^('DCF Model'!C19+3)+'DCF Model'!G45/(1+$B22)^('DCF Model'!C19+4)+'DCF Model'!G33*H$17/(1+$B22)^('DCF Model'!C19+4)-'DCF Model'!C16)*1000000/'DCF Model'!C15,0),"")</f>
        <v>1614</v>
      </c>
      <c r="I22" s="33">
        <f>IFERROR(ROUND(('DCF Model'!C45/(1+$B22)^('DCF Model'!C19+0)+'DCF Model'!D45/(1+$B22)^('DCF Model'!C19+1)+'DCF Model'!E45/(1+$B22)^('DCF Model'!C19+2)+'DCF Model'!F45/(1+$B22)^('DCF Model'!C19+3)+'DCF Model'!G45/(1+$B22)^('DCF Model'!C19+4)+'DCF Model'!G33*I$17/(1+$B22)^('DCF Model'!C19+4)-'DCF Model'!C16)*1000000/'DCF Model'!C15,0),"")</f>
        <v>1869</v>
      </c>
    </row>
    <row r="23" spans="2:9" ht="13.5" x14ac:dyDescent="0.25">
      <c r="B23" s="35">
        <f>$C$3+0.01</f>
        <v>0.14541666666666669</v>
      </c>
      <c r="C23" s="33">
        <f>IFERROR(ROUND(('DCF Model'!C45/(1+$B23)^('DCF Model'!C19+0)+'DCF Model'!D45/(1+$B23)^('DCF Model'!C19+1)+'DCF Model'!E45/(1+$B23)^('DCF Model'!C19+2)+'DCF Model'!F45/(1+$B23)^('DCF Model'!C19+3)+'DCF Model'!G45/(1+$B23)^('DCF Model'!C19+4)+'DCF Model'!G33*C$17/(1+$B23)^('DCF Model'!C19+4)-'DCF Model'!C16)*1000000/'DCF Model'!C15,0),"")</f>
        <v>336</v>
      </c>
      <c r="D23" s="33">
        <f>IFERROR(ROUND(('DCF Model'!C45/(1+$B23)^('DCF Model'!C19+0)+'DCF Model'!D45/(1+$B23)^('DCF Model'!C19+1)+'DCF Model'!E45/(1+$B23)^('DCF Model'!C19+2)+'DCF Model'!F45/(1+$B23)^('DCF Model'!C19+3)+'DCF Model'!G45/(1+$B23)^('DCF Model'!C19+4)+'DCF Model'!G33*D$17/(1+$B23)^('DCF Model'!C19+4)-'DCF Model'!C16)*1000000/'DCF Model'!C15,0),"")</f>
        <v>585</v>
      </c>
      <c r="E23" s="33">
        <f>IFERROR(ROUND(('DCF Model'!C45/(1+$B23)^('DCF Model'!C19+0)+'DCF Model'!D45/(1+$B23)^('DCF Model'!C19+1)+'DCF Model'!E45/(1+$B23)^('DCF Model'!C19+2)+'DCF Model'!F45/(1+$B23)^('DCF Model'!C19+3)+'DCF Model'!G45/(1+$B23)^('DCF Model'!C19+4)+'DCF Model'!G33*E$17/(1+$B23)^('DCF Model'!C19+4)-'DCF Model'!C16)*1000000/'DCF Model'!C15,0),"")</f>
        <v>833</v>
      </c>
      <c r="F23" s="33">
        <f>IFERROR(ROUND(('DCF Model'!C45/(1+$B23)^('DCF Model'!C19+0)+'DCF Model'!D45/(1+$B23)^('DCF Model'!C19+1)+'DCF Model'!E45/(1+$B23)^('DCF Model'!C19+2)+'DCF Model'!F45/(1+$B23)^('DCF Model'!C19+3)+'DCF Model'!G45/(1+$B23)^('DCF Model'!C19+4)+'DCF Model'!G33*F$17/(1+$B23)^('DCF Model'!C19+4)-'DCF Model'!C16)*1000000/'DCF Model'!C15,0),"")</f>
        <v>1082</v>
      </c>
      <c r="G23" s="33">
        <f>IFERROR(ROUND(('DCF Model'!C45/(1+$B23)^('DCF Model'!C19+0)+'DCF Model'!D45/(1+$B23)^('DCF Model'!C19+1)+'DCF Model'!E45/(1+$B23)^('DCF Model'!C19+2)+'DCF Model'!F45/(1+$B23)^('DCF Model'!C19+3)+'DCF Model'!G45/(1+$B23)^('DCF Model'!C19+4)+'DCF Model'!G33*G$17/(1+$B23)^('DCF Model'!C19+4)-'DCF Model'!C16)*1000000/'DCF Model'!C15,0),"")</f>
        <v>1331</v>
      </c>
      <c r="H23" s="33">
        <f>IFERROR(ROUND(('DCF Model'!C45/(1+$B23)^('DCF Model'!C19+0)+'DCF Model'!D45/(1+$B23)^('DCF Model'!C19+1)+'DCF Model'!E45/(1+$B23)^('DCF Model'!C19+2)+'DCF Model'!F45/(1+$B23)^('DCF Model'!C19+3)+'DCF Model'!G45/(1+$B23)^('DCF Model'!C19+4)+'DCF Model'!G33*H$17/(1+$B23)^('DCF Model'!C19+4)-'DCF Model'!C16)*1000000/'DCF Model'!C15,0),"")</f>
        <v>1580</v>
      </c>
      <c r="I23" s="33">
        <f>IFERROR(ROUND(('DCF Model'!C45/(1+$B23)^('DCF Model'!C19+0)+'DCF Model'!D45/(1+$B23)^('DCF Model'!C19+1)+'DCF Model'!E45/(1+$B23)^('DCF Model'!C19+2)+'DCF Model'!F45/(1+$B23)^('DCF Model'!C19+3)+'DCF Model'!G45/(1+$B23)^('DCF Model'!C19+4)+'DCF Model'!G33*I$17/(1+$B23)^('DCF Model'!C19+4)-'DCF Model'!C16)*1000000/'DCF Model'!C15,0),"")</f>
        <v>1829</v>
      </c>
    </row>
    <row r="24" spans="2:9" ht="13.5" x14ac:dyDescent="0.25">
      <c r="B24" s="35">
        <f>$C$3+0.015</f>
        <v>0.1504166666666667</v>
      </c>
      <c r="C24" s="33">
        <f>IFERROR(ROUND(('DCF Model'!C45/(1+$B24)^('DCF Model'!C19+0)+'DCF Model'!D45/(1+$B24)^('DCF Model'!C19+1)+'DCF Model'!E45/(1+$B24)^('DCF Model'!C19+2)+'DCF Model'!F45/(1+$B24)^('DCF Model'!C19+3)+'DCF Model'!G45/(1+$B24)^('DCF Model'!C19+4)+'DCF Model'!G33*C$17/(1+$B24)^('DCF Model'!C19+4)-'DCF Model'!C16)*1000000/'DCF Model'!C15,0),"")</f>
        <v>329</v>
      </c>
      <c r="D24" s="33">
        <f>IFERROR(ROUND(('DCF Model'!C45/(1+$B24)^('DCF Model'!C19+0)+'DCF Model'!D45/(1+$B24)^('DCF Model'!C19+1)+'DCF Model'!E45/(1+$B24)^('DCF Model'!C19+2)+'DCF Model'!F45/(1+$B24)^('DCF Model'!C19+3)+'DCF Model'!G45/(1+$B24)^('DCF Model'!C19+4)+'DCF Model'!G33*D$17/(1+$B24)^('DCF Model'!C19+4)-'DCF Model'!C16)*1000000/'DCF Model'!C15,0),"")</f>
        <v>573</v>
      </c>
      <c r="E24" s="33">
        <f>IFERROR(ROUND(('DCF Model'!C45/(1+$B24)^('DCF Model'!C19+0)+'DCF Model'!D45/(1+$B24)^('DCF Model'!C19+1)+'DCF Model'!E45/(1+$B24)^('DCF Model'!C19+2)+'DCF Model'!F45/(1+$B24)^('DCF Model'!C19+3)+'DCF Model'!G45/(1+$B24)^('DCF Model'!C19+4)+'DCF Model'!G33*E$17/(1+$B24)^('DCF Model'!C19+4)-'DCF Model'!C16)*1000000/'DCF Model'!C15,0),"")</f>
        <v>816</v>
      </c>
      <c r="F24" s="33">
        <f>IFERROR(ROUND(('DCF Model'!C45/(1+$B24)^('DCF Model'!C19+0)+'DCF Model'!D45/(1+$B24)^('DCF Model'!C19+1)+'DCF Model'!E45/(1+$B24)^('DCF Model'!C19+2)+'DCF Model'!F45/(1+$B24)^('DCF Model'!C19+3)+'DCF Model'!G45/(1+$B24)^('DCF Model'!C19+4)+'DCF Model'!G33*F$17/(1+$B24)^('DCF Model'!C19+4)-'DCF Model'!C16)*1000000/'DCF Model'!C15,0),"")</f>
        <v>1060</v>
      </c>
      <c r="G24" s="33">
        <f>IFERROR(ROUND(('DCF Model'!C45/(1+$B24)^('DCF Model'!C19+0)+'DCF Model'!D45/(1+$B24)^('DCF Model'!C19+1)+'DCF Model'!E45/(1+$B24)^('DCF Model'!C19+2)+'DCF Model'!F45/(1+$B24)^('DCF Model'!C19+3)+'DCF Model'!G45/(1+$B24)^('DCF Model'!C19+4)+'DCF Model'!G33*G$17/(1+$B24)^('DCF Model'!C19+4)-'DCF Model'!C16)*1000000/'DCF Model'!C15,0),"")</f>
        <v>1303</v>
      </c>
      <c r="H24" s="33">
        <f>IFERROR(ROUND(('DCF Model'!C45/(1+$B24)^('DCF Model'!C19+0)+'DCF Model'!D45/(1+$B24)^('DCF Model'!C19+1)+'DCF Model'!E45/(1+$B24)^('DCF Model'!C19+2)+'DCF Model'!F45/(1+$B24)^('DCF Model'!C19+3)+'DCF Model'!G45/(1+$B24)^('DCF Model'!C19+4)+'DCF Model'!G33*H$17/(1+$B24)^('DCF Model'!C19+4)-'DCF Model'!C16)*1000000/'DCF Model'!C15,0),"")</f>
        <v>1547</v>
      </c>
      <c r="I24" s="33">
        <f>IFERROR(ROUND(('DCF Model'!C45/(1+$B24)^('DCF Model'!C19+0)+'DCF Model'!D45/(1+$B24)^('DCF Model'!C19+1)+'DCF Model'!E45/(1+$B24)^('DCF Model'!C19+2)+'DCF Model'!F45/(1+$B24)^('DCF Model'!C19+3)+'DCF Model'!G45/(1+$B24)^('DCF Model'!C19+4)+'DCF Model'!G33*I$17/(1+$B24)^('DCF Model'!C19+4)-'DCF Model'!C16)*1000000/'DCF Model'!C15,0),"")</f>
        <v>1790</v>
      </c>
    </row>
    <row r="26" spans="2:9" ht="14" x14ac:dyDescent="0.3">
      <c r="B26" s="42" t="s">
        <v>187</v>
      </c>
      <c r="C26" s="41"/>
      <c r="D26" s="41"/>
      <c r="E26" s="41"/>
      <c r="F26" s="41"/>
      <c r="G26" s="41"/>
      <c r="H26" s="41"/>
      <c r="I26" s="41"/>
    </row>
  </sheetData>
  <mergeCells count="1">
    <mergeCell ref="B26:I26"/>
  </mergeCells>
  <phoneticPr fontId="8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6</vt:i4>
      </vt:variant>
    </vt:vector>
  </HeadingPairs>
  <TitlesOfParts>
    <vt:vector size="6" baseType="lpstr">
      <vt:lpstr>Executive Summary</vt:lpstr>
      <vt:lpstr>Financial Statements</vt:lpstr>
      <vt:lpstr>DCF Model</vt:lpstr>
      <vt:lpstr>NWC Schedule</vt:lpstr>
      <vt:lpstr>Comps Analysis</vt:lpstr>
      <vt:lpstr>Sensitivity 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良亮 佐藤</cp:lastModifiedBy>
  <dcterms:created xsi:type="dcterms:W3CDTF">2026-06-12T07:10:45Z</dcterms:created>
  <dcterms:modified xsi:type="dcterms:W3CDTF">2026-06-12T07:10:48Z</dcterms:modified>
</cp:coreProperties>
</file>