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5C64C98A-8C79-4C5C-A930-D3F92E6A708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NWC Schedule" sheetId="4" r:id="rId4"/>
    <sheet name="Comps Analysis" sheetId="5" r:id="rId5"/>
    <sheet name="Sensitivity Analysis" sheetId="6" r:id="rId6"/>
    <sheet name="Segment Analysis" sheetId="7" r:id="rId7"/>
    <sheet name="Driver Analysis" sheetId="8" r:id="rId8"/>
  </sheets>
  <calcPr calcId="181029"/>
</workbook>
</file>

<file path=xl/calcChain.xml><?xml version="1.0" encoding="utf-8"?>
<calcChain xmlns="http://schemas.openxmlformats.org/spreadsheetml/2006/main">
  <c r="K24" i="8" l="1"/>
  <c r="J24" i="8"/>
  <c r="I24" i="8"/>
  <c r="H24" i="8"/>
  <c r="G24" i="8"/>
  <c r="F24" i="8"/>
  <c r="E24" i="8"/>
  <c r="D24" i="8"/>
  <c r="C24" i="8"/>
  <c r="G23" i="8"/>
  <c r="H20" i="8" s="1"/>
  <c r="H23" i="8" s="1"/>
  <c r="I20" i="8" s="1"/>
  <c r="I23" i="8" s="1"/>
  <c r="J20" i="8" s="1"/>
  <c r="J23" i="8" s="1"/>
  <c r="K20" i="8" s="1"/>
  <c r="K23" i="8" s="1"/>
  <c r="G20" i="8"/>
  <c r="K17" i="8"/>
  <c r="J17" i="8"/>
  <c r="I17" i="8"/>
  <c r="H17" i="8"/>
  <c r="G17" i="8"/>
  <c r="F17" i="8"/>
  <c r="E17" i="8"/>
  <c r="D17" i="8"/>
  <c r="C17" i="8"/>
  <c r="G13" i="8"/>
  <c r="G16" i="8" s="1"/>
  <c r="H13" i="8" s="1"/>
  <c r="H16" i="8" s="1"/>
  <c r="I13" i="8" s="1"/>
  <c r="I16" i="8" s="1"/>
  <c r="J13" i="8" s="1"/>
  <c r="J16" i="8" s="1"/>
  <c r="K13" i="8" s="1"/>
  <c r="K16" i="8" s="1"/>
  <c r="K10" i="8"/>
  <c r="J10" i="8"/>
  <c r="I10" i="8"/>
  <c r="H10" i="8"/>
  <c r="G10" i="8"/>
  <c r="F10" i="8"/>
  <c r="E10" i="8"/>
  <c r="D10" i="8"/>
  <c r="C10" i="8"/>
  <c r="G9" i="8"/>
  <c r="H6" i="8" s="1"/>
  <c r="H9" i="8" s="1"/>
  <c r="I6" i="8" s="1"/>
  <c r="I9" i="8" s="1"/>
  <c r="J6" i="8" s="1"/>
  <c r="J9" i="8" s="1"/>
  <c r="K6" i="8" s="1"/>
  <c r="K9" i="8" s="1"/>
  <c r="G6" i="8"/>
  <c r="E23" i="7"/>
  <c r="F22" i="7"/>
  <c r="F23" i="7" s="1"/>
  <c r="E22" i="7"/>
  <c r="D22" i="7"/>
  <c r="C22" i="7"/>
  <c r="C23" i="7" s="1"/>
  <c r="F21" i="7"/>
  <c r="E21" i="7"/>
  <c r="D21" i="7"/>
  <c r="D23" i="7" s="1"/>
  <c r="C21" i="7"/>
  <c r="F18" i="7"/>
  <c r="E18" i="7"/>
  <c r="D18" i="7"/>
  <c r="F13" i="7"/>
  <c r="E13" i="7"/>
  <c r="D13" i="7"/>
  <c r="F8" i="7"/>
  <c r="E8" i="7"/>
  <c r="D8" i="7"/>
  <c r="I17" i="6"/>
  <c r="G17" i="6"/>
  <c r="E17" i="6"/>
  <c r="D17" i="6"/>
  <c r="H6" i="6"/>
  <c r="F6" i="6"/>
  <c r="E6" i="6"/>
  <c r="D6" i="6"/>
  <c r="C6" i="6"/>
  <c r="I3" i="6"/>
  <c r="H17" i="6" s="1"/>
  <c r="F3" i="6"/>
  <c r="I6" i="6" s="1"/>
  <c r="I17" i="5"/>
  <c r="G17" i="5"/>
  <c r="I16" i="5"/>
  <c r="G16" i="5"/>
  <c r="E16" i="5"/>
  <c r="I15" i="5"/>
  <c r="H15" i="5"/>
  <c r="G15" i="5"/>
  <c r="N8" i="5"/>
  <c r="L8" i="5"/>
  <c r="K8" i="5"/>
  <c r="J8" i="5"/>
  <c r="N7" i="5"/>
  <c r="L7" i="5"/>
  <c r="K7" i="5"/>
  <c r="J7" i="5"/>
  <c r="N6" i="5"/>
  <c r="L6" i="5"/>
  <c r="K6" i="5"/>
  <c r="J6" i="5"/>
  <c r="D17" i="5" s="1"/>
  <c r="N5" i="5"/>
  <c r="H16" i="5" s="1"/>
  <c r="L5" i="5"/>
  <c r="F15" i="5" s="1"/>
  <c r="K5" i="5"/>
  <c r="E17" i="5" s="1"/>
  <c r="J5" i="5"/>
  <c r="D15" i="5" s="1"/>
  <c r="C5" i="4"/>
  <c r="D27" i="3"/>
  <c r="H13" i="7" s="1"/>
  <c r="C25" i="3"/>
  <c r="C24" i="3"/>
  <c r="C23" i="3"/>
  <c r="C26" i="3" s="1"/>
  <c r="I28" i="2"/>
  <c r="H28" i="2"/>
  <c r="G28" i="2"/>
  <c r="F28" i="2"/>
  <c r="E28" i="2"/>
  <c r="D28" i="2"/>
  <c r="C28" i="2"/>
  <c r="I23" i="2"/>
  <c r="H23" i="2"/>
  <c r="G23" i="2"/>
  <c r="F23" i="2"/>
  <c r="E23" i="2"/>
  <c r="D23" i="2"/>
  <c r="C23" i="2"/>
  <c r="H22" i="2"/>
  <c r="G22" i="2"/>
  <c r="E22" i="2"/>
  <c r="I21" i="2"/>
  <c r="I22" i="2" s="1"/>
  <c r="H21" i="2"/>
  <c r="G21" i="2"/>
  <c r="F21" i="2"/>
  <c r="F22" i="2" s="1"/>
  <c r="E21" i="2"/>
  <c r="D21" i="2"/>
  <c r="D22" i="2" s="1"/>
  <c r="C21" i="2"/>
  <c r="C22" i="2" s="1"/>
  <c r="I16" i="2"/>
  <c r="H16" i="2"/>
  <c r="G16" i="2"/>
  <c r="F16" i="2"/>
  <c r="E16" i="2"/>
  <c r="D16" i="2"/>
  <c r="I15" i="2"/>
  <c r="H15" i="2"/>
  <c r="G15" i="2"/>
  <c r="F15" i="2"/>
  <c r="E15" i="2"/>
  <c r="D15" i="2"/>
  <c r="I14" i="2"/>
  <c r="H14" i="2"/>
  <c r="G14" i="2"/>
  <c r="F14" i="2"/>
  <c r="E14" i="2"/>
  <c r="D14" i="2"/>
  <c r="C14" i="2"/>
  <c r="I13" i="2"/>
  <c r="H13" i="2"/>
  <c r="G13" i="2"/>
  <c r="F13" i="2"/>
  <c r="E13" i="2"/>
  <c r="D13" i="2"/>
  <c r="C13" i="2"/>
  <c r="H9" i="2"/>
  <c r="G9" i="2"/>
  <c r="E9" i="2"/>
  <c r="I8" i="2"/>
  <c r="I9" i="2" s="1"/>
  <c r="H8" i="2"/>
  <c r="G8" i="2"/>
  <c r="F8" i="2"/>
  <c r="F9" i="2" s="1"/>
  <c r="E8" i="2"/>
  <c r="D8" i="2"/>
  <c r="D9" i="2" s="1"/>
  <c r="C8" i="2"/>
  <c r="C9" i="2" s="1"/>
  <c r="D46" i="3" l="1"/>
  <c r="C3" i="6"/>
  <c r="C46" i="3"/>
  <c r="F46" i="3"/>
  <c r="G46" i="3"/>
  <c r="E46" i="3"/>
  <c r="F5" i="4"/>
  <c r="D16" i="5"/>
  <c r="C27" i="5" s="1"/>
  <c r="C18" i="1" s="1"/>
  <c r="D18" i="1" s="1"/>
  <c r="F17" i="5"/>
  <c r="C17" i="6"/>
  <c r="K8" i="7"/>
  <c r="I13" i="7"/>
  <c r="G18" i="7"/>
  <c r="C32" i="3"/>
  <c r="G5" i="4"/>
  <c r="G11" i="7"/>
  <c r="J13" i="7"/>
  <c r="H18" i="7"/>
  <c r="E32" i="3"/>
  <c r="H5" i="4"/>
  <c r="F16" i="5"/>
  <c r="C28" i="5" s="1"/>
  <c r="C19" i="1" s="1"/>
  <c r="D19" i="1" s="1"/>
  <c r="H17" i="5"/>
  <c r="K13" i="7"/>
  <c r="I18" i="7"/>
  <c r="D32" i="3"/>
  <c r="F32" i="3"/>
  <c r="E15" i="5"/>
  <c r="F17" i="6"/>
  <c r="G16" i="7"/>
  <c r="J18" i="7"/>
  <c r="G32" i="3"/>
  <c r="G8" i="7"/>
  <c r="K18" i="7"/>
  <c r="G6" i="6"/>
  <c r="H8" i="7"/>
  <c r="D5" i="4"/>
  <c r="I8" i="7"/>
  <c r="G13" i="7"/>
  <c r="E5" i="4"/>
  <c r="G6" i="7"/>
  <c r="J8" i="7"/>
  <c r="G12" i="7" l="1"/>
  <c r="H11" i="7"/>
  <c r="B24" i="6"/>
  <c r="B23" i="6"/>
  <c r="B22" i="6"/>
  <c r="B21" i="6"/>
  <c r="B20" i="6"/>
  <c r="B19" i="6"/>
  <c r="B18" i="6"/>
  <c r="B13" i="6"/>
  <c r="B12" i="6"/>
  <c r="B11" i="6"/>
  <c r="B10" i="6"/>
  <c r="B9" i="6"/>
  <c r="B8" i="6"/>
  <c r="B7" i="6"/>
  <c r="G7" i="7"/>
  <c r="G21" i="7"/>
  <c r="H6" i="7"/>
  <c r="H16" i="7"/>
  <c r="G17" i="7"/>
  <c r="H7" i="7" l="1"/>
  <c r="H21" i="7"/>
  <c r="I6" i="7"/>
  <c r="G27" i="7"/>
  <c r="C33" i="3"/>
  <c r="H12" i="7"/>
  <c r="I11" i="7"/>
  <c r="I16" i="7"/>
  <c r="H17" i="7"/>
  <c r="G22" i="7"/>
  <c r="H27" i="7" l="1"/>
  <c r="D33" i="3"/>
  <c r="J11" i="7"/>
  <c r="I12" i="7"/>
  <c r="J16" i="7"/>
  <c r="I17" i="7"/>
  <c r="G23" i="7"/>
  <c r="C39" i="3"/>
  <c r="H22" i="7"/>
  <c r="C43" i="3"/>
  <c r="C30" i="3"/>
  <c r="D9" i="4"/>
  <c r="D18" i="4" s="1"/>
  <c r="D19" i="4" s="1"/>
  <c r="C44" i="3" s="1"/>
  <c r="C42" i="3"/>
  <c r="C37" i="3"/>
  <c r="C34" i="3" s="1"/>
  <c r="G26" i="7"/>
  <c r="G28" i="7" s="1"/>
  <c r="I7" i="7"/>
  <c r="I21" i="7"/>
  <c r="J6" i="7"/>
  <c r="C31" i="3" l="1"/>
  <c r="C35" i="3"/>
  <c r="C36" i="3" s="1"/>
  <c r="H28" i="7"/>
  <c r="J7" i="7"/>
  <c r="J21" i="7"/>
  <c r="K6" i="7"/>
  <c r="H23" i="7"/>
  <c r="D39" i="3"/>
  <c r="C38" i="3"/>
  <c r="C40" i="3"/>
  <c r="C41" i="3" s="1"/>
  <c r="C45" i="3" s="1"/>
  <c r="K16" i="7"/>
  <c r="K17" i="7" s="1"/>
  <c r="J17" i="7"/>
  <c r="I27" i="7"/>
  <c r="E33" i="3"/>
  <c r="I22" i="7"/>
  <c r="K11" i="7"/>
  <c r="K12" i="7" s="1"/>
  <c r="J12" i="7"/>
  <c r="D30" i="3"/>
  <c r="E9" i="4"/>
  <c r="E18" i="4" s="1"/>
  <c r="E19" i="4" s="1"/>
  <c r="D44" i="3" s="1"/>
  <c r="D42" i="3"/>
  <c r="D43" i="3"/>
  <c r="D37" i="3"/>
  <c r="D34" i="3" s="1"/>
  <c r="H26" i="7"/>
  <c r="D31" i="3" l="1"/>
  <c r="D35" i="3"/>
  <c r="D36" i="3" s="1"/>
  <c r="C47" i="3"/>
  <c r="I23" i="7"/>
  <c r="E39" i="3"/>
  <c r="D38" i="3"/>
  <c r="D41" i="3"/>
  <c r="D45" i="3" s="1"/>
  <c r="D47" i="3" s="1"/>
  <c r="D40" i="3"/>
  <c r="F9" i="4"/>
  <c r="F18" i="4" s="1"/>
  <c r="F19" i="4" s="1"/>
  <c r="E44" i="3" s="1"/>
  <c r="E42" i="3"/>
  <c r="E34" i="3"/>
  <c r="E31" i="3" s="1"/>
  <c r="E37" i="3"/>
  <c r="E30" i="3"/>
  <c r="I26" i="7"/>
  <c r="I28" i="7" s="1"/>
  <c r="E43" i="3"/>
  <c r="K21" i="7"/>
  <c r="K7" i="7"/>
  <c r="K22" i="7" s="1"/>
  <c r="J22" i="7"/>
  <c r="J27" i="7"/>
  <c r="F33" i="3"/>
  <c r="G9" i="4" l="1"/>
  <c r="G18" i="4" s="1"/>
  <c r="G19" i="4" s="1"/>
  <c r="F44" i="3" s="1"/>
  <c r="F42" i="3"/>
  <c r="F37" i="3"/>
  <c r="F34" i="3" s="1"/>
  <c r="J26" i="7"/>
  <c r="J28" i="7" s="1"/>
  <c r="F43" i="3"/>
  <c r="F30" i="3"/>
  <c r="E38" i="3"/>
  <c r="E40" i="3"/>
  <c r="E41" i="3" s="1"/>
  <c r="E45" i="3" s="1"/>
  <c r="J23" i="7"/>
  <c r="F39" i="3"/>
  <c r="K23" i="7"/>
  <c r="G39" i="3"/>
  <c r="K27" i="7"/>
  <c r="G33" i="3"/>
  <c r="E35" i="3"/>
  <c r="E36" i="3" s="1"/>
  <c r="E47" i="3" l="1"/>
  <c r="F31" i="3"/>
  <c r="F35" i="3"/>
  <c r="F36" i="3" s="1"/>
  <c r="C59" i="3"/>
  <c r="C60" i="3" s="1"/>
  <c r="C61" i="3" s="1"/>
  <c r="G40" i="3"/>
  <c r="G41" i="3"/>
  <c r="G45" i="3" s="1"/>
  <c r="G38" i="3"/>
  <c r="H9" i="4"/>
  <c r="H18" i="4" s="1"/>
  <c r="H19" i="4" s="1"/>
  <c r="G44" i="3" s="1"/>
  <c r="G42" i="3"/>
  <c r="G37" i="3"/>
  <c r="G34" i="3" s="1"/>
  <c r="K26" i="7"/>
  <c r="K28" i="7" s="1"/>
  <c r="G43" i="3"/>
  <c r="G30" i="3"/>
  <c r="F40" i="3"/>
  <c r="F38" i="3"/>
  <c r="F41" i="3"/>
  <c r="F45" i="3" s="1"/>
  <c r="F47" i="3" s="1"/>
  <c r="G31" i="3" l="1"/>
  <c r="G35" i="3"/>
  <c r="G36" i="3" s="1"/>
  <c r="G47" i="3"/>
  <c r="C51" i="3"/>
  <c r="C52" i="3" s="1"/>
  <c r="I24" i="6"/>
  <c r="F21" i="6"/>
  <c r="D22" i="6"/>
  <c r="C21" i="6"/>
  <c r="H24" i="6"/>
  <c r="H8" i="6"/>
  <c r="E22" i="6"/>
  <c r="F18" i="6"/>
  <c r="C13" i="6"/>
  <c r="D11" i="6"/>
  <c r="F7" i="6"/>
  <c r="E20" i="6"/>
  <c r="G23" i="6"/>
  <c r="C12" i="6"/>
  <c r="D21" i="6"/>
  <c r="D20" i="6"/>
  <c r="G24" i="6"/>
  <c r="I8" i="6"/>
  <c r="H21" i="6"/>
  <c r="E10" i="6"/>
  <c r="C7" i="6"/>
  <c r="H7" i="6"/>
  <c r="G11" i="6"/>
  <c r="G21" i="6"/>
  <c r="G20" i="6"/>
  <c r="D9" i="6"/>
  <c r="G8" i="6"/>
  <c r="D13" i="6"/>
  <c r="G18" i="6"/>
  <c r="G13" i="6"/>
  <c r="H18" i="6"/>
  <c r="E13" i="6"/>
  <c r="D8" i="6"/>
  <c r="E24" i="6"/>
  <c r="G22" i="6"/>
  <c r="C20" i="6"/>
  <c r="F13" i="6"/>
  <c r="E23" i="6"/>
  <c r="C23" i="6"/>
  <c r="H23" i="6"/>
  <c r="E11" i="6"/>
  <c r="G12" i="6"/>
  <c r="H11" i="6"/>
  <c r="E8" i="6"/>
  <c r="C8" i="6"/>
  <c r="I18" i="6"/>
  <c r="E12" i="6"/>
  <c r="F19" i="6"/>
  <c r="C9" i="6"/>
  <c r="F12" i="6"/>
  <c r="I20" i="6"/>
  <c r="H19" i="6"/>
  <c r="E9" i="6"/>
  <c r="F9" i="6"/>
  <c r="I11" i="6"/>
  <c r="I22" i="6"/>
  <c r="D23" i="6"/>
  <c r="C22" i="6"/>
  <c r="D24" i="6"/>
  <c r="D18" i="6"/>
  <c r="I13" i="6"/>
  <c r="G9" i="6"/>
  <c r="I9" i="6"/>
  <c r="G7" i="6"/>
  <c r="C10" i="6"/>
  <c r="E7" i="6"/>
  <c r="H20" i="6"/>
  <c r="I23" i="6"/>
  <c r="H22" i="6"/>
  <c r="F20" i="6"/>
  <c r="C11" i="6"/>
  <c r="D19" i="6"/>
  <c r="D10" i="6"/>
  <c r="I12" i="6"/>
  <c r="G19" i="6"/>
  <c r="I21" i="6"/>
  <c r="F23" i="6"/>
  <c r="F10" i="6"/>
  <c r="E18" i="6"/>
  <c r="C18" i="6"/>
  <c r="H10" i="6"/>
  <c r="I19" i="6"/>
  <c r="H12" i="6"/>
  <c r="D12" i="6"/>
  <c r="C19" i="6"/>
  <c r="F8" i="6"/>
  <c r="I10" i="6"/>
  <c r="D7" i="6"/>
  <c r="E19" i="6"/>
  <c r="H13" i="6"/>
  <c r="C24" i="6"/>
  <c r="F11" i="6"/>
  <c r="G10" i="6"/>
  <c r="F22" i="6"/>
  <c r="E21" i="6"/>
  <c r="H9" i="6"/>
  <c r="I7" i="6"/>
  <c r="F24" i="6"/>
  <c r="C50" i="3"/>
  <c r="C58" i="3" l="1"/>
  <c r="C62" i="3" s="1"/>
  <c r="C63" i="3" s="1"/>
  <c r="C64" i="3" s="1"/>
  <c r="C17" i="1" s="1"/>
  <c r="D17" i="1" s="1"/>
  <c r="C53" i="3"/>
  <c r="C54" i="3" s="1"/>
  <c r="C55" i="3" s="1"/>
  <c r="C16" i="1" s="1"/>
  <c r="C21" i="1" l="1"/>
  <c r="C10" i="1"/>
  <c r="C12" i="1" s="1"/>
  <c r="C11" i="1" s="1"/>
  <c r="D16" i="1"/>
</calcChain>
</file>

<file path=xl/sharedStrings.xml><?xml version="1.0" encoding="utf-8"?>
<sst xmlns="http://schemas.openxmlformats.org/spreadsheetml/2006/main" count="413" uniqueCount="206">
  <si>
    <t>DISCLAIMER: This is a sample analysis for demonstration purposes only. It does not constitute investment advice.</t>
  </si>
  <si>
    <t>Torishima Pump Mfg. Co., Ltd. (6363.T)</t>
  </si>
  <si>
    <t>Equity Research Report</t>
  </si>
  <si>
    <t>Company</t>
  </si>
  <si>
    <t>Torishima Pump Mfg. Co., Ltd.</t>
  </si>
  <si>
    <t>Ticker</t>
  </si>
  <si>
    <t>6363.T (TSE Prime)</t>
  </si>
  <si>
    <t>Sector</t>
  </si>
  <si>
    <t>Machinery - Pumps</t>
  </si>
  <si>
    <t>Current Price</t>
  </si>
  <si>
    <t>Target Price (Mid)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</si>
  <si>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</si>
  <si>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</si>
  <si>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</si>
  <si>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</si>
  <si>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</si>
  <si>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</si>
  <si>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</si>
  <si>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</si>
  <si>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</t>
  </si>
  <si>
    <t>Comps - PER Median</t>
  </si>
  <si>
    <t>Integrated Valuation Range</t>
  </si>
  <si>
    <t>Key Investment Thesis</t>
  </si>
  <si>
    <t>1. World-class desalination pump technology positions Torishima for Middle East/North Africa water infrastructure boom (backlog &gt;¥115B)</t>
  </si>
  <si>
    <t>2. Super Eco Pump (SEP) drives domestic replacement cycle with 30-40% energy savings, creating recurring revenue</t>
  </si>
  <si>
    <t>3. Ammonia co-firing pump development opens new market as Japan transitions power generation fuel mix</t>
  </si>
  <si>
    <t>4. Mid-term plan targets ¥100B revenue / 10%+ OPM by FY2029, implying significant margin recovery from FY2025 trough</t>
  </si>
  <si>
    <t>Key Risks</t>
  </si>
  <si>
    <t>1. Middle East/North Africa geopolitical risk could freeze or delay large desalination contracts (Egypt is a major customer)</t>
  </si>
  <si>
    <t>2. FY2025 margin compression (OPM 6.2%) reflects execution risk on overseas mega-projects — recovery pace uncertain</t>
  </si>
  <si>
    <t>3. Shin Nippon Machinery M&amp;A integration costs in FY2026-2027 may weigh on near-term earnings</t>
  </si>
  <si>
    <t>4. Yen appreciation would compress overseas margins given JPY-denominated manufacturing cost base</t>
  </si>
  <si>
    <t>Torishima Pump Mfg. Co., Ltd. - Historical Financials (JPY mn)</t>
  </si>
  <si>
    <t>FY2019</t>
  </si>
  <si>
    <t>FY2020</t>
  </si>
  <si>
    <t>FY2021</t>
  </si>
  <si>
    <t>FY2022</t>
  </si>
  <si>
    <t>FY2023</t>
  </si>
  <si>
    <t>FY2024</t>
  </si>
  <si>
    <t>FY2025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</si>
  <si>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</si>
  <si>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</si>
  <si>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</si>
  <si>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</si>
  <si>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</si>
  <si>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</si>
  <si>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</si>
  <si>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</si>
  <si>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</si>
  <si>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</si>
  <si>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</si>
  <si>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</si>
  <si>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</si>
  <si>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</si>
  <si>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</si>
  <si>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</si>
  <si>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</si>
  <si>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</si>
  <si>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</si>
  <si>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</si>
  <si>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</si>
  <si>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Short-term Debt</t>
  </si>
  <si>
    <t>Net Debt (Cash)</t>
  </si>
  <si>
    <t>DCF Valuation Model - Torishima Pump Mfg. Co., Ltd.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</si>
  <si>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</si>
  <si>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</si>
  <si>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</si>
  <si>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</si>
  <si>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</si>
  <si>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</si>
  <si>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</si>
  <si>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</si>
  <si>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</si>
  <si>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</si>
  <si>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</si>
  <si>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</si>
  <si>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</si>
  <si>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</si>
  <si>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</si>
  <si>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</si>
  <si>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</si>
  <si>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</si>
  <si>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</si>
  <si>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</si>
  <si>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</si>
  <si>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</si>
  <si>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</si>
  <si>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</si>
  <si>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FY2026(E)</t>
  </si>
  <si>
    <t>FY2027(E)</t>
  </si>
  <si>
    <t>FY2028(E)</t>
  </si>
  <si>
    <t>FY2029(E)</t>
  </si>
  <si>
    <t>FY2030(E)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</si>
  <si>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</si>
  <si>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</si>
  <si>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</si>
  <si>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</si>
  <si>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</si>
  <si>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</si>
  <si>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</si>
  <si>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</si>
  <si>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</si>
  <si>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</si>
  <si>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</si>
  <si>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</si>
  <si>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</si>
  <si>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</si>
  <si>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</si>
  <si>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</si>
  <si>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</si>
  <si>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</si>
  <si>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</si>
  <si>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</si>
  <si>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</si>
  <si>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</si>
  <si>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</si>
  <si>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</si>
  <si>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All scenario inputs are in Segment Analysis sheet.</t>
  </si>
  <si>
    <t>NWC Schedule - Torishima Pump Mfg. Co., Ltd.</t>
  </si>
  <si>
    <t>Working Capital Drivers (% of Revenue)</t>
  </si>
  <si>
    <t>Base Year</t>
  </si>
  <si>
    <t>NWC % of Revenue</t>
  </si>
  <si>
    <t>—</t>
  </si>
  <si>
    <t>P&amp;L Reference (JPY mn)</t>
  </si>
  <si>
    <t>Working Capital Items (JPY mn)</t>
  </si>
  <si>
    <t>Net Working Capital (JPY mn)</t>
  </si>
  <si>
    <t>Net Working Capital</t>
  </si>
  <si>
    <t>NWC inputs are in Segment Analysis sheet.</t>
  </si>
  <si>
    <t>Comparable Company Analysis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</si>
  <si>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</si>
  <si>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</si>
  <si>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</si>
  <si>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</si>
  <si>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</si>
  <si>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</si>
  <si>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</si>
  <si>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</si>
  <si>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</si>
  <si>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</si>
  <si>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</si>
  <si>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</si>
  <si>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DMW Corporation</t>
  </si>
  <si>
    <t>6365.T</t>
  </si>
  <si>
    <t>Tsurumi Manufacturing Co., Ltd.</t>
  </si>
  <si>
    <t>6351.T</t>
  </si>
  <si>
    <t>Iwaki Co., Ltd.</t>
  </si>
  <si>
    <t>6237.T</t>
  </si>
  <si>
    <t>Nikkiso Co., Ltd.</t>
  </si>
  <si>
    <t>6376.T</t>
  </si>
  <si>
    <t>Statistics</t>
  </si>
  <si>
    <t>25th Percentile</t>
  </si>
  <si>
    <t>Median (50th)</t>
  </si>
  <si>
    <t>75th Percentile</t>
  </si>
  <si>
    <t>Implied Valuation for Torishima Pump Mfg. Co., Ltd.</t>
  </si>
  <si>
    <t>Torishima Pump Mfg. Co., Ltd.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</si>
  <si>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</si>
  <si>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</si>
  <si>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</si>
  <si>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</si>
  <si>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</si>
  <si>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</si>
  <si>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</si>
  <si>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</si>
  <si>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</si>
  <si>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</si>
  <si>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</si>
  <si>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</si>
  <si>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</si>
  <si>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</si>
  <si>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</si>
  <si>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Segment Analysis - Torishima Pump Mfg. Co., Ltd.</t>
  </si>
  <si>
    <t>FY2026</t>
  </si>
  <si>
    <t>Domestic Public Sector (Water Infrastructure &amp; Drainage) (国内公共（上下水道・排水ポンプ場）)</t>
  </si>
  <si>
    <t>Operating Profit</t>
  </si>
  <si>
    <t>OP Margin</t>
  </si>
  <si>
    <t>Domestic Private Sector (Power &amp; Industrial Pumps) (国内民需（発電・産業用ポンプ）)</t>
  </si>
  <si>
    <t>Overseas (Desalination, Power &amp; O&amp;G) (海外（淡水化・発電・O&amp;G）)</t>
  </si>
  <si>
    <t>Consolidated Total</t>
  </si>
  <si>
    <t>Total Revenue</t>
  </si>
  <si>
    <t>Total Operating Profit</t>
  </si>
  <si>
    <t>Total OP Margin</t>
  </si>
  <si>
    <t>Reconciliation vs DCF Model</t>
  </si>
  <si>
    <t>DCF Model Revenue</t>
  </si>
  <si>
    <t>Segment Total Revenue</t>
  </si>
  <si>
    <t>Difference</t>
  </si>
  <si>
    <t>Segment Scenario Input Matrix</t>
  </si>
  <si>
    <t>Domestic Public Sector (Water Infrastructure &amp; Drainage) - Revenue Growth (YoY)</t>
  </si>
  <si>
    <t>Upside</t>
  </si>
  <si>
    <t>Management</t>
  </si>
  <si>
    <t>Downside 1</t>
  </si>
  <si>
    <t>Downside 2</t>
  </si>
  <si>
    <t>Domestic Public Sector (Water Infrastructure &amp; Drainage) - OP Margin</t>
  </si>
  <si>
    <t>Domestic Private Sector (Power &amp; Industrial Pumps) - Revenue Growth (YoY)</t>
  </si>
  <si>
    <t>Domestic Private Sector (Power &amp; Industrial Pumps) - OP Margin</t>
  </si>
  <si>
    <t>Overseas (Desalination, Power &amp; O&amp;G) - Revenue Growth (YoY)</t>
  </si>
  <si>
    <t>Overseas (Desalination, Power &amp; O&amp;G) - OP Margin</t>
  </si>
  <si>
    <t>Consolidated Inputs (連結レベル)</t>
  </si>
  <si>
    <t>Driver Analysis - Torishima Pump Mfg. Co., Ltd.</t>
  </si>
  <si>
    <t>Domestic Public Sector (Water Infrastructure &amp; Drainage) (国内公共（上下水道・排水ポンプ場）) [backlog]</t>
  </si>
  <si>
    <t>Beginning Backlog</t>
  </si>
  <si>
    <t>+ New Orders</t>
  </si>
  <si>
    <t>- Revenue (Recognized)</t>
  </si>
  <si>
    <t>Ending Backlog</t>
  </si>
  <si>
    <t>Book-to-Bill</t>
  </si>
  <si>
    <t>Domestic Private Sector (Power &amp; Industrial Pumps) (国内民需（発電・産業用ポンプ）) [backlog]</t>
  </si>
  <si>
    <t>Overseas (Desalination, Power &amp; O&amp;G) (海外（淡水化・発電・O&amp;G）) [backlog]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</si>
</sst>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10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i/>
      <sz val="10"/>
      <color rgb="FF808080"/>
      <name val="Arial"/>
    </font>
    <font>
      <sz val="6"/>
      <name val="ＭＳ Ｐ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6CCE6"/>
        <bgColor rgb="FFE6CCE6"/>
      </patternFill>
    </fill>
    <fill>
      <patternFill patternType="solid">
        <fgColor rgb="FFD9E2F3"/>
        <bgColor rgb="FFD9E2F3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177" fontId="5" fillId="0" borderId="5" xfId="0" applyNumberFormat="1" applyFont="1" applyBorder="1"/>
    <xf numFmtId="0" fontId="1" fillId="0" borderId="5" xfId="0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8" fillId="0" borderId="0" xfId="0" applyFont="1"/>
    <xf numFmtId="0" fontId="3" fillId="6" borderId="0" xfId="0" applyFont="1" applyFill="1"/>
    <xf numFmtId="0" fontId="0" fillId="6" borderId="0" xfId="0" applyFill="1"/>
    <xf numFmtId="176" fontId="7" fillId="0" borderId="5" xfId="0" applyNumberFormat="1" applyFont="1" applyBorder="1"/>
    <xf numFmtId="0" fontId="3" fillId="7" borderId="0" xfId="0" applyFont="1" applyFill="1"/>
    <xf numFmtId="0" fontId="0" fillId="7" borderId="0" xfId="0" applyFill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0" fontId="3" fillId="8" borderId="0" xfId="0" applyFont="1" applyFill="1"/>
    <xf numFmtId="0" fontId="0" fillId="8" borderId="0" xfId="0" applyFill="1"/>
    <xf numFmtId="176" fontId="5" fillId="0" borderId="2" xfId="0" applyNumberFormat="1" applyFont="1" applyBorder="1"/>
    <xf numFmtId="179" fontId="5" fillId="0" borderId="5" xfId="0" applyNumberFormat="1" applyFont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2"/>
  <sheetViews>
    <sheetView tabSelected="1" topLeftCell="A4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51" t="s">
        <v>0</v>
      </c>
      <c r="C1" s="50"/>
      <c r="D1" s="50"/>
      <c r="E1" s="50"/>
    </row>
    <row r="3" spans="2:5" ht="18" x14ac:dyDescent="0.4">
      <c r="B3" s="49" t="s">
        <v>1</v>
      </c>
      <c r="C3" s="50"/>
      <c r="D3" s="50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3375</v>
      </c>
    </row>
    <row r="10" spans="2:5" ht="14" x14ac:dyDescent="0.3">
      <c r="B10" s="4" t="s">
        <v>10</v>
      </c>
      <c r="C10" s="5">
        <f>ROUND(AVERAGE(C16:C19),0)</f>
        <v>3439</v>
      </c>
    </row>
    <row r="11" spans="2:5" ht="14" x14ac:dyDescent="0.3">
      <c r="B11" s="4" t="s">
        <v>11</v>
      </c>
      <c r="C11" s="6" t="str">
        <f>IF(C12&gt;0.15,"BUY",IF(C12&gt;0.05,"HOLD","SELL"))</f>
        <v>SELL</v>
      </c>
    </row>
    <row r="12" spans="2:5" ht="14" x14ac:dyDescent="0.3">
      <c r="B12" s="4" t="s">
        <v>12</v>
      </c>
      <c r="C12" s="7">
        <f>(C10-C9)/C9</f>
        <v>1.8962962962962963E-2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'DCF Model'!C55</f>
        <v>3207</v>
      </c>
      <c r="D16" s="7">
        <f>(C16-C9)/C9</f>
        <v>-4.9777777777777775E-2</v>
      </c>
    </row>
    <row r="17" spans="2:4" ht="13.5" x14ac:dyDescent="0.25">
      <c r="B17" t="s">
        <v>18</v>
      </c>
      <c r="C17" s="11">
        <f>'DCF Model'!C64</f>
        <v>5507</v>
      </c>
      <c r="D17" s="7">
        <f>(C17-C9)/C9</f>
        <v>0.63170370370370366</v>
      </c>
    </row>
    <row r="18" spans="2:4" ht="13.5" x14ac:dyDescent="0.25">
      <c r="B18" t="s">
        <v>19</v>
      </c>
      <c r="C18" s="11">
        <f>'Comps Analysis'!C27</f>
        <v>2718</v>
      </c>
      <c r="D18" s="7">
        <f>(C18-C9)/C9</f>
        <v>-0.19466666666666665</v>
      </c>
    </row>
    <row r="19" spans="2:4" ht="13.5" x14ac:dyDescent="0.25">
      <c r="B19" t="s">
        <v>20</v>
      </c>
      <c r="C19" s="11">
        <f>'Comps Analysis'!C28</f>
        <v>2322</v>
      </c>
      <c r="D19" s="7">
        <f>(C19-C9)/C9</f>
        <v>-0.312</v>
      </c>
    </row>
    <row r="21" spans="2:4" ht="14" x14ac:dyDescent="0.3">
      <c r="B21" s="4" t="s">
        <v>21</v>
      </c>
      <c r="C21" s="6" t="str">
        <f>MIN(C16:C19)&amp;" - "&amp;MAX(C16:C19)</f>
        <v>2322 - 5507</v>
      </c>
    </row>
    <row r="23" spans="2:4" ht="14" x14ac:dyDescent="0.3">
      <c r="B23" s="8" t="s">
        <v>22</v>
      </c>
      <c r="C23" s="9"/>
      <c r="D23" s="9"/>
    </row>
    <row r="24" spans="2:4" x14ac:dyDescent="0.2">
      <c r="B24" t="s">
        <v>23</v>
      </c>
    </row>
    <row r="25" spans="2:4" x14ac:dyDescent="0.2">
      <c r="B25" t="s">
        <v>24</v>
      </c>
    </row>
    <row r="26" spans="2:4" x14ac:dyDescent="0.2">
      <c r="B26" t="s">
        <v>25</v>
      </c>
    </row>
    <row r="27" spans="2:4" x14ac:dyDescent="0.2">
      <c r="B27" t="s">
        <v>26</v>
      </c>
    </row>
    <row r="28" spans="2:4" ht="14" x14ac:dyDescent="0.3">
      <c r="B28" s="8" t="s">
        <v>27</v>
      </c>
      <c r="C28" s="9"/>
      <c r="D28" s="9"/>
    </row>
    <row r="29" spans="2:4" x14ac:dyDescent="0.2">
      <c r="B29" t="s">
        <v>28</v>
      </c>
    </row>
    <row r="30" spans="2:4" x14ac:dyDescent="0.2">
      <c r="B30" t="s">
        <v>29</v>
      </c>
    </row>
    <row r="31" spans="2:4" x14ac:dyDescent="0.2">
      <c r="B31" t="s">
        <v>30</v>
      </c>
    </row>
    <row r="32" spans="2:4" x14ac:dyDescent="0.2">
      <c r="B32" t="s">
        <v>31</v>
      </c>
    </row>
  </sheetData>
  <mergeCells count="2">
    <mergeCell ref="B3:D3"/>
    <mergeCell ref="B1:E1"/>
  </mergeCells>
  <phoneticPr fontId="9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I28"/>
  <sheetViews>
    <sheetView workbookViewId="0"/>
  </sheetViews>
  <sheetFormatPr defaultRowHeight="13" x14ac:dyDescent="0.2"/>
  <cols>
    <col min="1" max="1" width="3" customWidth="1"/>
    <col min="2" max="2" width="32" customWidth="1"/>
    <col min="3" max="9" width="18" customWidth="1"/>
  </cols>
  <sheetData>
    <row r="2" spans="2:9" ht="18" x14ac:dyDescent="0.4">
      <c r="B2" s="2" t="s">
        <v>32</v>
      </c>
    </row>
    <row r="4" spans="2:9" ht="14" x14ac:dyDescent="0.3">
      <c r="C4" s="10" t="s">
        <v>33</v>
      </c>
      <c r="D4" s="10" t="s">
        <v>34</v>
      </c>
      <c r="E4" s="10" t="s">
        <v>35</v>
      </c>
      <c r="F4" s="10" t="s">
        <v>36</v>
      </c>
      <c r="G4" s="10" t="s">
        <v>37</v>
      </c>
      <c r="H4" s="10" t="s">
        <v>38</v>
      </c>
      <c r="I4" s="10" t="s">
        <v>39</v>
      </c>
    </row>
    <row r="5" spans="2:9" ht="14" x14ac:dyDescent="0.3">
      <c r="B5" s="3" t="s">
        <v>40</v>
      </c>
    </row>
    <row r="6" spans="2:9" ht="14" x14ac:dyDescent="0.3">
      <c r="B6" s="4" t="s">
        <v>41</v>
      </c>
      <c r="C6" s="5">
        <v>48154</v>
      </c>
      <c r="D6" s="5">
        <v>47126</v>
      </c>
      <c r="E6" s="5">
        <v>50787</v>
      </c>
      <c r="F6" s="5">
        <v>52240</v>
      </c>
      <c r="G6" s="5">
        <v>64659</v>
      </c>
      <c r="H6" s="5">
        <v>81103</v>
      </c>
      <c r="I6" s="5">
        <v>86501</v>
      </c>
    </row>
    <row r="7" spans="2:9" ht="14" x14ac:dyDescent="0.3">
      <c r="B7" s="4" t="s">
        <v>42</v>
      </c>
      <c r="C7" s="5">
        <v>36391</v>
      </c>
      <c r="D7" s="5">
        <v>34815</v>
      </c>
      <c r="E7" s="5">
        <v>37325</v>
      </c>
      <c r="F7" s="5">
        <v>37147</v>
      </c>
      <c r="G7" s="5">
        <v>46334</v>
      </c>
      <c r="H7" s="5">
        <v>57959</v>
      </c>
      <c r="I7" s="5">
        <v>62959</v>
      </c>
    </row>
    <row r="8" spans="2:9" ht="14" x14ac:dyDescent="0.3">
      <c r="B8" s="4" t="s">
        <v>43</v>
      </c>
      <c r="C8" s="5">
        <f t="shared" ref="C8:I8" si="0">C6-C7</f>
        <v>11763</v>
      </c>
      <c r="D8" s="5">
        <f t="shared" si="0"/>
        <v>12311</v>
      </c>
      <c r="E8" s="5">
        <f t="shared" si="0"/>
        <v>13462</v>
      </c>
      <c r="F8" s="5">
        <f t="shared" si="0"/>
        <v>15093</v>
      </c>
      <c r="G8" s="5">
        <f t="shared" si="0"/>
        <v>18325</v>
      </c>
      <c r="H8" s="5">
        <f t="shared" si="0"/>
        <v>23144</v>
      </c>
      <c r="I8" s="5">
        <f t="shared" si="0"/>
        <v>23542</v>
      </c>
    </row>
    <row r="9" spans="2:9" ht="13.5" x14ac:dyDescent="0.25">
      <c r="B9" t="s">
        <v>44</v>
      </c>
      <c r="C9" s="7">
        <f t="shared" ref="C9:I9" si="1">C8/C6</f>
        <v>0.24427877227229305</v>
      </c>
      <c r="D9" s="7">
        <f t="shared" si="1"/>
        <v>0.26123583584433224</v>
      </c>
      <c r="E9" s="7">
        <f t="shared" si="1"/>
        <v>0.26506783231929432</v>
      </c>
      <c r="F9" s="7">
        <f t="shared" si="1"/>
        <v>0.28891653905053599</v>
      </c>
      <c r="G9" s="7">
        <f t="shared" si="1"/>
        <v>0.28340988880124962</v>
      </c>
      <c r="H9" s="7">
        <f t="shared" si="1"/>
        <v>0.28536552285365524</v>
      </c>
      <c r="I9" s="7">
        <f t="shared" si="1"/>
        <v>0.27215870336759113</v>
      </c>
    </row>
    <row r="10" spans="2:9" ht="14" x14ac:dyDescent="0.3">
      <c r="B10" s="4" t="s">
        <v>45</v>
      </c>
      <c r="C10" s="5">
        <v>10032</v>
      </c>
      <c r="D10" s="5">
        <v>11090</v>
      </c>
      <c r="E10" s="5">
        <v>9870</v>
      </c>
      <c r="F10" s="5">
        <v>10646</v>
      </c>
      <c r="G10" s="5">
        <v>12397</v>
      </c>
      <c r="H10" s="5">
        <v>16321</v>
      </c>
      <c r="I10" s="5">
        <v>18093</v>
      </c>
    </row>
    <row r="11" spans="2:9" ht="14" x14ac:dyDescent="0.3">
      <c r="B11" s="4" t="s">
        <v>46</v>
      </c>
      <c r="C11" s="5">
        <v>1731</v>
      </c>
      <c r="D11" s="5">
        <v>1220</v>
      </c>
      <c r="E11" s="5">
        <v>3591</v>
      </c>
      <c r="F11" s="5">
        <v>4445</v>
      </c>
      <c r="G11" s="5">
        <v>5927</v>
      </c>
      <c r="H11" s="5">
        <v>6822</v>
      </c>
      <c r="I11" s="5">
        <v>5449</v>
      </c>
    </row>
    <row r="12" spans="2:9" ht="14" x14ac:dyDescent="0.3">
      <c r="B12" s="4" t="s">
        <v>47</v>
      </c>
      <c r="C12" s="5">
        <v>2183</v>
      </c>
      <c r="D12" s="5">
        <v>543</v>
      </c>
      <c r="E12" s="5">
        <v>3353</v>
      </c>
      <c r="F12" s="5">
        <v>3626</v>
      </c>
      <c r="G12" s="5">
        <v>4404</v>
      </c>
      <c r="H12" s="5">
        <v>6225</v>
      </c>
      <c r="I12" s="5">
        <v>4068</v>
      </c>
    </row>
    <row r="13" spans="2:9" ht="13.5" x14ac:dyDescent="0.25">
      <c r="B13" t="s">
        <v>48</v>
      </c>
      <c r="C13" s="7">
        <f t="shared" ref="C13:I13" si="2">C11/C6</f>
        <v>3.5947169497861031E-2</v>
      </c>
      <c r="D13" s="7">
        <f t="shared" si="2"/>
        <v>2.5888044816025125E-2</v>
      </c>
      <c r="E13" s="7">
        <f t="shared" si="2"/>
        <v>7.0707070707070704E-2</v>
      </c>
      <c r="F13" s="7">
        <f t="shared" si="2"/>
        <v>8.5088055130168455E-2</v>
      </c>
      <c r="G13" s="7">
        <f t="shared" si="2"/>
        <v>9.1665506735334606E-2</v>
      </c>
      <c r="H13" s="7">
        <f t="shared" si="2"/>
        <v>8.4115260841152603E-2</v>
      </c>
      <c r="I13" s="7">
        <f t="shared" si="2"/>
        <v>6.2993491404723642E-2</v>
      </c>
    </row>
    <row r="14" spans="2:9" ht="13.5" x14ac:dyDescent="0.25">
      <c r="B14" t="s">
        <v>49</v>
      </c>
      <c r="C14" s="7">
        <f t="shared" ref="C14:I14" si="3">C12/C6</f>
        <v>4.5333720978527225E-2</v>
      </c>
      <c r="D14" s="7">
        <f t="shared" si="3"/>
        <v>1.152230191401774E-2</v>
      </c>
      <c r="E14" s="7">
        <f t="shared" si="3"/>
        <v>6.6020832102703444E-2</v>
      </c>
      <c r="F14" s="7">
        <f t="shared" si="3"/>
        <v>6.9410413476263394E-2</v>
      </c>
      <c r="G14" s="7">
        <f t="shared" si="3"/>
        <v>6.8111167818865129E-2</v>
      </c>
      <c r="H14" s="7">
        <f t="shared" si="3"/>
        <v>7.6754250767542512E-2</v>
      </c>
      <c r="I14" s="7">
        <f t="shared" si="3"/>
        <v>4.7028358053664121E-2</v>
      </c>
    </row>
    <row r="15" spans="2:9" ht="13.5" x14ac:dyDescent="0.25">
      <c r="B15" t="s">
        <v>50</v>
      </c>
      <c r="C15" t="s">
        <v>51</v>
      </c>
      <c r="D15" s="7">
        <f t="shared" ref="D15:I15" si="4">(D6-C6)/C6</f>
        <v>-2.1348174606470906E-2</v>
      </c>
      <c r="E15" s="7">
        <f t="shared" si="4"/>
        <v>7.7685354156940972E-2</v>
      </c>
      <c r="F15" s="7">
        <f t="shared" si="4"/>
        <v>2.8609683580443815E-2</v>
      </c>
      <c r="G15" s="7">
        <f t="shared" si="4"/>
        <v>0.23772970903522206</v>
      </c>
      <c r="H15" s="7">
        <f t="shared" si="4"/>
        <v>0.25431881099305587</v>
      </c>
      <c r="I15" s="7">
        <f t="shared" si="4"/>
        <v>6.6557340665573408E-2</v>
      </c>
    </row>
    <row r="16" spans="2:9" ht="13.5" x14ac:dyDescent="0.25">
      <c r="B16" t="s">
        <v>52</v>
      </c>
      <c r="C16" t="s">
        <v>51</v>
      </c>
      <c r="D16" s="7">
        <f t="shared" ref="D16:I16" si="5">(D11-C11)/C11</f>
        <v>-0.29520508376660892</v>
      </c>
      <c r="E16" s="7">
        <f t="shared" si="5"/>
        <v>1.9434426229508197</v>
      </c>
      <c r="F16" s="7">
        <f t="shared" si="5"/>
        <v>0.23781676413255359</v>
      </c>
      <c r="G16" s="7">
        <f t="shared" si="5"/>
        <v>0.33340832395950504</v>
      </c>
      <c r="H16" s="7">
        <f t="shared" si="5"/>
        <v>0.15100388054665093</v>
      </c>
      <c r="I16" s="7">
        <f t="shared" si="5"/>
        <v>-0.2012606273819994</v>
      </c>
    </row>
    <row r="18" spans="2:9" ht="14" x14ac:dyDescent="0.3">
      <c r="B18" s="3" t="s">
        <v>53</v>
      </c>
    </row>
    <row r="19" spans="2:9" ht="14" x14ac:dyDescent="0.3">
      <c r="B19" s="4" t="s">
        <v>54</v>
      </c>
      <c r="C19" s="5">
        <v>3769</v>
      </c>
      <c r="D19" s="5">
        <v>4207</v>
      </c>
      <c r="E19" s="5">
        <v>4366</v>
      </c>
      <c r="F19" s="5">
        <v>3130</v>
      </c>
      <c r="G19" s="5">
        <v>1246</v>
      </c>
      <c r="H19" s="5">
        <v>2857</v>
      </c>
      <c r="I19" s="5">
        <v>-668</v>
      </c>
    </row>
    <row r="20" spans="2:9" ht="14" x14ac:dyDescent="0.3">
      <c r="B20" s="4" t="s">
        <v>55</v>
      </c>
      <c r="C20" s="5">
        <v>1558</v>
      </c>
      <c r="D20" s="5">
        <v>2242</v>
      </c>
      <c r="E20" s="5">
        <v>2342</v>
      </c>
      <c r="F20" s="5">
        <v>3322</v>
      </c>
      <c r="G20" s="5">
        <v>839</v>
      </c>
      <c r="H20" s="5">
        <v>3158</v>
      </c>
      <c r="I20" s="5">
        <v>4117</v>
      </c>
    </row>
    <row r="21" spans="2:9" ht="14" x14ac:dyDescent="0.3">
      <c r="B21" s="4" t="s">
        <v>56</v>
      </c>
      <c r="C21" s="5">
        <f t="shared" ref="C21:I21" si="6">C19-C20</f>
        <v>2211</v>
      </c>
      <c r="D21" s="5">
        <f t="shared" si="6"/>
        <v>1965</v>
      </c>
      <c r="E21" s="5">
        <f t="shared" si="6"/>
        <v>2024</v>
      </c>
      <c r="F21" s="5">
        <f t="shared" si="6"/>
        <v>-192</v>
      </c>
      <c r="G21" s="5">
        <f t="shared" si="6"/>
        <v>407</v>
      </c>
      <c r="H21" s="5">
        <f t="shared" si="6"/>
        <v>-301</v>
      </c>
      <c r="I21" s="5">
        <f t="shared" si="6"/>
        <v>-4785</v>
      </c>
    </row>
    <row r="22" spans="2:9" ht="13.5" x14ac:dyDescent="0.25">
      <c r="B22" t="s">
        <v>57</v>
      </c>
      <c r="C22" s="7">
        <f t="shared" ref="C22:I22" si="7">C21/C6</f>
        <v>4.5915188769364956E-2</v>
      </c>
      <c r="D22" s="7">
        <f t="shared" si="7"/>
        <v>4.1696727920892927E-2</v>
      </c>
      <c r="E22" s="7">
        <f t="shared" si="7"/>
        <v>3.9852718215291315E-2</v>
      </c>
      <c r="F22" s="7">
        <f t="shared" si="7"/>
        <v>-3.675344563552833E-3</v>
      </c>
      <c r="G22" s="7">
        <f t="shared" si="7"/>
        <v>6.2945606953401694E-3</v>
      </c>
      <c r="H22" s="7">
        <f t="shared" si="7"/>
        <v>-3.7113300371133004E-3</v>
      </c>
      <c r="I22" s="7">
        <f t="shared" si="7"/>
        <v>-5.5317279569022326E-2</v>
      </c>
    </row>
    <row r="23" spans="2:9" ht="13.5" x14ac:dyDescent="0.25">
      <c r="B23" t="s">
        <v>58</v>
      </c>
      <c r="C23" s="7">
        <f t="shared" ref="C23:I23" si="8">C20/C6</f>
        <v>3.2354529218756492E-2</v>
      </c>
      <c r="D23" s="7">
        <f t="shared" si="8"/>
        <v>4.7574587276662562E-2</v>
      </c>
      <c r="E23" s="7">
        <f t="shared" si="8"/>
        <v>4.6114163073227403E-2</v>
      </c>
      <c r="F23" s="7">
        <f t="shared" si="8"/>
        <v>6.3591117917304749E-2</v>
      </c>
      <c r="G23" s="7">
        <f t="shared" si="8"/>
        <v>1.2975765168035386E-2</v>
      </c>
      <c r="H23" s="7">
        <f t="shared" si="8"/>
        <v>3.8938140389381405E-2</v>
      </c>
      <c r="I23" s="7">
        <f t="shared" si="8"/>
        <v>4.7594825493346898E-2</v>
      </c>
    </row>
    <row r="25" spans="2:9" ht="14" x14ac:dyDescent="0.3">
      <c r="B25" s="3" t="s">
        <v>59</v>
      </c>
    </row>
    <row r="26" spans="2:9" ht="14" x14ac:dyDescent="0.3">
      <c r="B26" s="4" t="s">
        <v>60</v>
      </c>
      <c r="C26" s="5">
        <v>15931</v>
      </c>
      <c r="D26" s="5">
        <v>16265</v>
      </c>
      <c r="E26" s="5">
        <v>16746</v>
      </c>
      <c r="F26" s="5">
        <v>13496</v>
      </c>
      <c r="G26" s="5">
        <v>11730</v>
      </c>
      <c r="H26" s="5">
        <v>13402</v>
      </c>
      <c r="I26" s="5">
        <v>17115</v>
      </c>
    </row>
    <row r="27" spans="2:9" ht="14" x14ac:dyDescent="0.3">
      <c r="B27" s="4" t="s">
        <v>61</v>
      </c>
      <c r="C27" s="5">
        <v>17913</v>
      </c>
      <c r="D27" s="5">
        <v>17568</v>
      </c>
      <c r="E27" s="5">
        <v>16560</v>
      </c>
      <c r="F27" s="5">
        <v>15496</v>
      </c>
      <c r="G27" s="5">
        <v>15553</v>
      </c>
      <c r="H27" s="5">
        <v>14824</v>
      </c>
      <c r="I27" s="5">
        <v>22728</v>
      </c>
    </row>
    <row r="28" spans="2:9" ht="14" x14ac:dyDescent="0.3">
      <c r="B28" s="4" t="s">
        <v>62</v>
      </c>
      <c r="C28" s="5">
        <f t="shared" ref="C28:I28" si="9">C27-C26</f>
        <v>1982</v>
      </c>
      <c r="D28" s="5">
        <f t="shared" si="9"/>
        <v>1303</v>
      </c>
      <c r="E28" s="5">
        <f t="shared" si="9"/>
        <v>-186</v>
      </c>
      <c r="F28" s="5">
        <f t="shared" si="9"/>
        <v>2000</v>
      </c>
      <c r="G28" s="5">
        <f t="shared" si="9"/>
        <v>3823</v>
      </c>
      <c r="H28" s="5">
        <f t="shared" si="9"/>
        <v>1422</v>
      </c>
      <c r="I28" s="5">
        <f t="shared" si="9"/>
        <v>5613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66"/>
  <sheetViews>
    <sheetView topLeftCell="A23"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63</v>
      </c>
    </row>
    <row r="4" spans="2:7" ht="14" x14ac:dyDescent="0.3">
      <c r="B4" s="8" t="s">
        <v>64</v>
      </c>
      <c r="C4" s="9"/>
      <c r="D4" s="9"/>
      <c r="E4" s="9"/>
      <c r="F4" s="9"/>
      <c r="G4" s="9"/>
    </row>
    <row r="5" spans="2:7" ht="14" x14ac:dyDescent="0.3">
      <c r="B5" s="4" t="s">
        <v>58</v>
      </c>
      <c r="C5" s="7">
        <v>0.05</v>
      </c>
    </row>
    <row r="6" spans="2:7" ht="14" x14ac:dyDescent="0.3">
      <c r="B6" s="4" t="s">
        <v>65</v>
      </c>
      <c r="C6" s="7">
        <v>0.30620000000000003</v>
      </c>
    </row>
    <row r="7" spans="2:7" ht="14" x14ac:dyDescent="0.3">
      <c r="B7" s="4" t="s">
        <v>66</v>
      </c>
      <c r="C7" s="7">
        <v>2.3E-2</v>
      </c>
    </row>
    <row r="8" spans="2:7" ht="14" x14ac:dyDescent="0.3">
      <c r="B8" s="4" t="s">
        <v>67</v>
      </c>
      <c r="C8" s="12">
        <v>1.05</v>
      </c>
    </row>
    <row r="9" spans="2:7" ht="14" x14ac:dyDescent="0.3">
      <c r="B9" s="4" t="s">
        <v>68</v>
      </c>
      <c r="C9" s="7">
        <v>0.06</v>
      </c>
    </row>
    <row r="10" spans="2:7" ht="14" x14ac:dyDescent="0.3">
      <c r="B10" s="4" t="s">
        <v>69</v>
      </c>
      <c r="C10" s="7">
        <v>0.03</v>
      </c>
    </row>
    <row r="11" spans="2:7" ht="14" x14ac:dyDescent="0.3">
      <c r="B11" s="4" t="s">
        <v>70</v>
      </c>
      <c r="C11" s="7">
        <v>8.0000000000000002E-3</v>
      </c>
    </row>
    <row r="12" spans="2:7" ht="14" x14ac:dyDescent="0.3">
      <c r="B12" s="4" t="s">
        <v>71</v>
      </c>
      <c r="C12" s="13">
        <v>0</v>
      </c>
    </row>
    <row r="13" spans="2:7" ht="14" x14ac:dyDescent="0.3">
      <c r="B13" s="4" t="s">
        <v>72</v>
      </c>
      <c r="C13" s="7">
        <v>0.02</v>
      </c>
    </row>
    <row r="14" spans="2:7" ht="14" x14ac:dyDescent="0.3">
      <c r="B14" s="4" t="s">
        <v>73</v>
      </c>
      <c r="C14" s="14">
        <v>9</v>
      </c>
    </row>
    <row r="15" spans="2:7" ht="14" x14ac:dyDescent="0.3">
      <c r="B15" s="4" t="s">
        <v>74</v>
      </c>
      <c r="C15" s="15">
        <v>23667789</v>
      </c>
    </row>
    <row r="16" spans="2:7" ht="14" x14ac:dyDescent="0.3">
      <c r="B16" s="4" t="s">
        <v>75</v>
      </c>
      <c r="C16" s="5">
        <v>-5000</v>
      </c>
    </row>
    <row r="17" spans="2:7" ht="14" x14ac:dyDescent="0.3">
      <c r="B17" s="4" t="s">
        <v>76</v>
      </c>
      <c r="C17" s="5">
        <v>86501</v>
      </c>
    </row>
    <row r="18" spans="2:7" ht="14" x14ac:dyDescent="0.3">
      <c r="B18" s="4" t="s">
        <v>77</v>
      </c>
      <c r="C18" s="7">
        <v>3.5000000000000003E-2</v>
      </c>
    </row>
    <row r="19" spans="2:7" ht="14" x14ac:dyDescent="0.3">
      <c r="B19" s="4" t="s">
        <v>78</v>
      </c>
      <c r="C19" s="12">
        <v>0.5</v>
      </c>
    </row>
    <row r="20" spans="2:7" ht="14" x14ac:dyDescent="0.3">
      <c r="B20" s="4" t="s">
        <v>79</v>
      </c>
      <c r="C20" s="5">
        <v>90176</v>
      </c>
    </row>
    <row r="22" spans="2:7" ht="14" x14ac:dyDescent="0.3">
      <c r="B22" s="8" t="s">
        <v>80</v>
      </c>
      <c r="C22" s="9"/>
      <c r="D22" s="9"/>
      <c r="E22" s="9"/>
      <c r="F22" s="9"/>
      <c r="G22" s="9"/>
    </row>
    <row r="23" spans="2:7" ht="14" x14ac:dyDescent="0.3">
      <c r="B23" s="4" t="s">
        <v>81</v>
      </c>
      <c r="C23" s="16">
        <f>C7+C8*C9+C10</f>
        <v>0.11599999999999999</v>
      </c>
    </row>
    <row r="24" spans="2:7" ht="14" x14ac:dyDescent="0.3">
      <c r="B24" s="4" t="s">
        <v>82</v>
      </c>
      <c r="C24" s="16">
        <f>1/(1+C12)</f>
        <v>1</v>
      </c>
    </row>
    <row r="25" spans="2:7" ht="14" x14ac:dyDescent="0.3">
      <c r="B25" s="4" t="s">
        <v>83</v>
      </c>
      <c r="C25" s="16">
        <f>C12/(1+C12)</f>
        <v>0</v>
      </c>
    </row>
    <row r="26" spans="2:7" ht="14" x14ac:dyDescent="0.3">
      <c r="B26" s="4" t="s">
        <v>84</v>
      </c>
      <c r="C26" s="16">
        <f>C23*C24+C11*C25</f>
        <v>0.11599999999999999</v>
      </c>
    </row>
    <row r="27" spans="2:7" ht="14" x14ac:dyDescent="0.3">
      <c r="B27" s="4" t="s">
        <v>85</v>
      </c>
      <c r="C27" s="17" t="s">
        <v>86</v>
      </c>
      <c r="D27" s="6">
        <f>MATCH(C27,{"Base","Upside","Management","Downside 1","Downside 2"},0)</f>
        <v>1</v>
      </c>
    </row>
    <row r="28" spans="2:7" ht="14" x14ac:dyDescent="0.3">
      <c r="B28" s="8" t="s">
        <v>87</v>
      </c>
      <c r="C28" s="9"/>
      <c r="D28" s="9"/>
      <c r="E28" s="9"/>
      <c r="F28" s="9"/>
      <c r="G28" s="9"/>
    </row>
    <row r="29" spans="2:7" ht="14" x14ac:dyDescent="0.3">
      <c r="C29" s="10" t="s">
        <v>88</v>
      </c>
      <c r="D29" s="10" t="s">
        <v>89</v>
      </c>
      <c r="E29" s="10" t="s">
        <v>90</v>
      </c>
      <c r="F29" s="10" t="s">
        <v>91</v>
      </c>
      <c r="G29" s="10" t="s">
        <v>92</v>
      </c>
    </row>
    <row r="30" spans="2:7" ht="14" x14ac:dyDescent="0.3">
      <c r="B30" s="4" t="s">
        <v>50</v>
      </c>
      <c r="C30" s="18">
        <f>(C33/C17)-1</f>
        <v>5.0219072611877413E-2</v>
      </c>
      <c r="D30" s="18">
        <f>(D33/C33)-1</f>
        <v>6.2918157300897226E-2</v>
      </c>
      <c r="E30" s="18">
        <f>(E33/D33)-1</f>
        <v>7.6367842851343459E-2</v>
      </c>
      <c r="F30" s="18">
        <f>(F33/E33)-1</f>
        <v>7.9463749149227603E-2</v>
      </c>
      <c r="G30" s="18">
        <f>(G33/F33)-1</f>
        <v>7.0505713540831128E-2</v>
      </c>
    </row>
    <row r="31" spans="2:7" ht="14" x14ac:dyDescent="0.3">
      <c r="B31" s="4" t="s">
        <v>93</v>
      </c>
      <c r="C31" s="18">
        <f>IFERROR(C34/C33,0)</f>
        <v>0.79756233144366784</v>
      </c>
      <c r="D31" s="18">
        <f>IFERROR(D34/D33,0)</f>
        <v>0.79030853099808629</v>
      </c>
      <c r="E31" s="18">
        <f>IFERROR(E34/E33,0)</f>
        <v>0.78882886640431027</v>
      </c>
      <c r="F31" s="18">
        <f>IFERROR(F34/F33,0)</f>
        <v>0.78637250882400134</v>
      </c>
      <c r="G31" s="18">
        <f>IFERROR(G34/G33,0)</f>
        <v>0.78464151361638768</v>
      </c>
    </row>
    <row r="32" spans="2:7" ht="14" x14ac:dyDescent="0.3">
      <c r="B32" s="4" t="s">
        <v>94</v>
      </c>
      <c r="C32" s="18">
        <f>CHOOSE($D$27,'Segment Analysis'!G79,'Segment Analysis'!G80,'Segment Analysis'!G81,'Segment Analysis'!G82,'Segment Analysis'!G83)</f>
        <v>0.12</v>
      </c>
      <c r="D32" s="18">
        <f>CHOOSE($D$27,'Segment Analysis'!H79,'Segment Analysis'!H80,'Segment Analysis'!H81,'Segment Analysis'!H82,'Segment Analysis'!H83)</f>
        <v>0.12</v>
      </c>
      <c r="E32" s="18">
        <f>CHOOSE($D$27,'Segment Analysis'!I79,'Segment Analysis'!I80,'Segment Analysis'!I81,'Segment Analysis'!I82,'Segment Analysis'!I83)</f>
        <v>0.115</v>
      </c>
      <c r="F32" s="18">
        <f>CHOOSE($D$27,'Segment Analysis'!J79,'Segment Analysis'!J80,'Segment Analysis'!J81,'Segment Analysis'!J82,'Segment Analysis'!J83)</f>
        <v>0.115</v>
      </c>
      <c r="G32" s="18">
        <f>CHOOSE($D$27,'Segment Analysis'!K79,'Segment Analysis'!K80,'Segment Analysis'!K81,'Segment Analysis'!K82,'Segment Analysis'!K83)</f>
        <v>0.11</v>
      </c>
    </row>
    <row r="33" spans="2:7" ht="14" x14ac:dyDescent="0.3">
      <c r="B33" s="4" t="s">
        <v>41</v>
      </c>
      <c r="C33" s="5">
        <f>'Segment Analysis'!G21</f>
        <v>90845</v>
      </c>
      <c r="D33" s="5">
        <f>'Segment Analysis'!H21</f>
        <v>96560.800000000017</v>
      </c>
      <c r="E33" s="5">
        <f>'Segment Analysis'!I21</f>
        <v>103934.94000000002</v>
      </c>
      <c r="F33" s="5">
        <f>'Segment Analysis'!J21</f>
        <v>112194.00000000003</v>
      </c>
      <c r="G33" s="5">
        <f>'Segment Analysis'!K21</f>
        <v>120104.31802500004</v>
      </c>
    </row>
    <row r="34" spans="2:7" ht="14" x14ac:dyDescent="0.3">
      <c r="B34" s="4" t="s">
        <v>42</v>
      </c>
      <c r="C34" s="5">
        <f>C33-C37-C39</f>
        <v>72454.55</v>
      </c>
      <c r="D34" s="5">
        <f>D33-D37-D39</f>
        <v>76312.824000000022</v>
      </c>
      <c r="E34" s="5">
        <f>E33-E37-E39</f>
        <v>81986.880900000018</v>
      </c>
      <c r="F34" s="5">
        <f>F33-F37-F39</f>
        <v>88226.277255000023</v>
      </c>
      <c r="G34" s="5">
        <f>G33-G37-G39</f>
        <v>94238.83388700003</v>
      </c>
    </row>
    <row r="35" spans="2:7" ht="14" x14ac:dyDescent="0.3">
      <c r="B35" s="4" t="s">
        <v>43</v>
      </c>
      <c r="C35" s="19">
        <f>C33-C34</f>
        <v>18390.449999999997</v>
      </c>
      <c r="D35" s="19">
        <f>D33-D34</f>
        <v>20247.975999999995</v>
      </c>
      <c r="E35" s="19">
        <f>E33-E34</f>
        <v>21948.059099999999</v>
      </c>
      <c r="F35" s="19">
        <f>F33-F34</f>
        <v>23967.722745000006</v>
      </c>
      <c r="G35" s="19">
        <f>G33-G34</f>
        <v>25865.484138000014</v>
      </c>
    </row>
    <row r="36" spans="2:7" ht="14" x14ac:dyDescent="0.3">
      <c r="B36" s="4" t="s">
        <v>44</v>
      </c>
      <c r="C36" s="7">
        <f>C35/C33</f>
        <v>0.20243766855633219</v>
      </c>
      <c r="D36" s="7">
        <f>D35/D33</f>
        <v>0.20969146900191374</v>
      </c>
      <c r="E36" s="7">
        <f>E35/E33</f>
        <v>0.21117113359568973</v>
      </c>
      <c r="F36" s="7">
        <f>F35/F33</f>
        <v>0.21362749117599872</v>
      </c>
      <c r="G36" s="7">
        <f>G35/G33</f>
        <v>0.2153584863836123</v>
      </c>
    </row>
    <row r="37" spans="2:7" ht="14" x14ac:dyDescent="0.3">
      <c r="B37" s="4" t="s">
        <v>95</v>
      </c>
      <c r="C37" s="5">
        <f>C33*C32</f>
        <v>10901.4</v>
      </c>
      <c r="D37" s="5">
        <f>D33*D32</f>
        <v>11587.296000000002</v>
      </c>
      <c r="E37" s="5">
        <f>E33*E32</f>
        <v>11952.518100000003</v>
      </c>
      <c r="F37" s="5">
        <f>F33*F32</f>
        <v>12902.310000000003</v>
      </c>
      <c r="G37" s="5">
        <f>G33*G32</f>
        <v>13211.474982750005</v>
      </c>
    </row>
    <row r="38" spans="2:7" ht="14" x14ac:dyDescent="0.3">
      <c r="B38" s="4" t="s">
        <v>96</v>
      </c>
      <c r="C38" s="7">
        <f>C39/C33</f>
        <v>8.2437668556332222E-2</v>
      </c>
      <c r="D38" s="7">
        <f>D39/D33</f>
        <v>8.9691469001913812E-2</v>
      </c>
      <c r="E38" s="7">
        <f>E39/E33</f>
        <v>9.6171133595689753E-2</v>
      </c>
      <c r="F38" s="7">
        <f>F39/F33</f>
        <v>9.8627491175998713E-2</v>
      </c>
      <c r="G38" s="7">
        <f>G39/G33</f>
        <v>0.10535848638361227</v>
      </c>
    </row>
    <row r="39" spans="2:7" ht="14" x14ac:dyDescent="0.3">
      <c r="B39" s="4" t="s">
        <v>97</v>
      </c>
      <c r="C39" s="19">
        <f>'Segment Analysis'!G22</f>
        <v>7489.05</v>
      </c>
      <c r="D39" s="19">
        <f>'Segment Analysis'!H22</f>
        <v>8660.68</v>
      </c>
      <c r="E39" s="19">
        <f>'Segment Analysis'!I22</f>
        <v>9995.5410000000011</v>
      </c>
      <c r="F39" s="19">
        <f>'Segment Analysis'!J22</f>
        <v>11065.412745000003</v>
      </c>
      <c r="G39" s="19">
        <f>'Segment Analysis'!K22</f>
        <v>12654.009155250005</v>
      </c>
    </row>
    <row r="40" spans="2:7" ht="14" x14ac:dyDescent="0.3">
      <c r="B40" s="4" t="s">
        <v>98</v>
      </c>
      <c r="C40" s="5">
        <f>MAX(0,C39*C6)</f>
        <v>2293.1471100000003</v>
      </c>
      <c r="D40" s="5">
        <f>MAX(0,D39*C6)</f>
        <v>2651.9002160000005</v>
      </c>
      <c r="E40" s="5">
        <f>MAX(0,E39*C6)</f>
        <v>3060.6346542000006</v>
      </c>
      <c r="F40" s="5">
        <f>MAX(0,F39*C6)</f>
        <v>3388.2293825190013</v>
      </c>
      <c r="G40" s="5">
        <f>MAX(0,G39*C6)</f>
        <v>3874.6576033375518</v>
      </c>
    </row>
    <row r="41" spans="2:7" ht="14" x14ac:dyDescent="0.3">
      <c r="B41" s="4" t="s">
        <v>99</v>
      </c>
      <c r="C41" s="19">
        <f>C39-C40</f>
        <v>5195.9028899999994</v>
      </c>
      <c r="D41" s="19">
        <f>D39-D40</f>
        <v>6008.7797840000003</v>
      </c>
      <c r="E41" s="19">
        <f>E39-E40</f>
        <v>6934.9063458000001</v>
      </c>
      <c r="F41" s="19">
        <f>F39-F40</f>
        <v>7677.1833624810024</v>
      </c>
      <c r="G41" s="19">
        <f>G39-G40</f>
        <v>8779.3515519124539</v>
      </c>
    </row>
    <row r="42" spans="2:7" ht="14" x14ac:dyDescent="0.3">
      <c r="B42" s="4" t="s">
        <v>100</v>
      </c>
      <c r="C42" s="5">
        <f>C33*C18</f>
        <v>3179.5750000000003</v>
      </c>
      <c r="D42" s="5">
        <f>D33*C18</f>
        <v>3379.6280000000011</v>
      </c>
      <c r="E42" s="5">
        <f>E33*C18</f>
        <v>3637.7229000000011</v>
      </c>
      <c r="F42" s="5">
        <f>F33*C18</f>
        <v>3926.7900000000013</v>
      </c>
      <c r="G42" s="5">
        <f>G33*C18</f>
        <v>4203.6511308750023</v>
      </c>
    </row>
    <row r="43" spans="2:7" ht="14" x14ac:dyDescent="0.3">
      <c r="B43" s="4" t="s">
        <v>101</v>
      </c>
      <c r="C43" s="5">
        <f>C33*C5</f>
        <v>4542.25</v>
      </c>
      <c r="D43" s="5">
        <f>D33*C5</f>
        <v>4828.0400000000009</v>
      </c>
      <c r="E43" s="5">
        <f>E33*C5</f>
        <v>5196.7470000000012</v>
      </c>
      <c r="F43" s="5">
        <f>F33*C5</f>
        <v>5609.7000000000016</v>
      </c>
      <c r="G43" s="5">
        <f>G33*C5</f>
        <v>6005.2159012500024</v>
      </c>
    </row>
    <row r="44" spans="2:7" ht="14" x14ac:dyDescent="0.3">
      <c r="B44" s="4" t="s">
        <v>102</v>
      </c>
      <c r="C44" s="5">
        <f>'NWC Schedule'!D19</f>
        <v>-18447.5</v>
      </c>
      <c r="D44" s="5">
        <f>'NWC Schedule'!E19</f>
        <v>1714.7400000000052</v>
      </c>
      <c r="E44" s="5">
        <f>'NWC Schedule'!F19</f>
        <v>1172.8925999999992</v>
      </c>
      <c r="F44" s="5">
        <f>'NWC Schedule'!G19</f>
        <v>2395.1274000000012</v>
      </c>
      <c r="G44" s="5">
        <f>'NWC Schedule'!H19</f>
        <v>1092.9490470000128</v>
      </c>
    </row>
    <row r="45" spans="2:7" ht="14" x14ac:dyDescent="0.3">
      <c r="B45" s="4" t="s">
        <v>103</v>
      </c>
      <c r="C45" s="20">
        <f>C41+C42-C43-C44</f>
        <v>22280.727890000002</v>
      </c>
      <c r="D45" s="20">
        <f>D41+D42-D43-D44</f>
        <v>2845.6277839999948</v>
      </c>
      <c r="E45" s="20">
        <f>E41+E42-E43-E44</f>
        <v>4202.9896458000003</v>
      </c>
      <c r="F45" s="20">
        <f>F41+F42-F43-F44</f>
        <v>3599.1459624810004</v>
      </c>
      <c r="G45" s="20">
        <f>G41+G42-G43-G44</f>
        <v>5884.837734537442</v>
      </c>
    </row>
    <row r="46" spans="2:7" ht="14" x14ac:dyDescent="0.3">
      <c r="B46" s="4" t="s">
        <v>104</v>
      </c>
      <c r="C46" s="21">
        <f>1/(1+C26)^(C19+0)</f>
        <v>0.94660305707844128</v>
      </c>
      <c r="D46" s="21">
        <f>1/(1+C26)^(C19+1)</f>
        <v>0.84821062462225916</v>
      </c>
      <c r="E46" s="21">
        <f>1/(1+C26)^(C19+2)</f>
        <v>0.76004536256474831</v>
      </c>
      <c r="F46" s="21">
        <f>1/(1+C26)^(C19+3)</f>
        <v>0.68104423168884243</v>
      </c>
      <c r="G46" s="21">
        <f>1/(1+C26)^(C19+4)</f>
        <v>0.6102546878932279</v>
      </c>
    </row>
    <row r="47" spans="2:7" ht="14" x14ac:dyDescent="0.3">
      <c r="B47" s="4" t="s">
        <v>105</v>
      </c>
      <c r="C47" s="19">
        <f>C45*C46</f>
        <v>21091.00513460689</v>
      </c>
      <c r="D47" s="19">
        <f>D45*D46</f>
        <v>2413.691720109091</v>
      </c>
      <c r="E47" s="19">
        <f>E45*E46</f>
        <v>3194.4627891979444</v>
      </c>
      <c r="F47" s="19">
        <f>F45*F46</f>
        <v>2451.1775967538724</v>
      </c>
      <c r="G47" s="19">
        <f>G45*G46</f>
        <v>3591.2498149924368</v>
      </c>
    </row>
    <row r="49" spans="2:7" ht="14" x14ac:dyDescent="0.3">
      <c r="B49" s="22" t="s">
        <v>106</v>
      </c>
      <c r="C49" s="23"/>
      <c r="D49" s="23"/>
      <c r="E49" s="23"/>
      <c r="F49" s="23"/>
      <c r="G49" s="23"/>
    </row>
    <row r="50" spans="2:7" ht="14" x14ac:dyDescent="0.3">
      <c r="B50" s="4" t="s">
        <v>107</v>
      </c>
      <c r="C50" s="5">
        <f>SUM(C47:G47)</f>
        <v>32741.587055660231</v>
      </c>
    </row>
    <row r="51" spans="2:7" ht="14" x14ac:dyDescent="0.3">
      <c r="B51" s="4" t="s">
        <v>108</v>
      </c>
      <c r="C51" s="5">
        <f>G45*(1+C13)/(C26-C13)</f>
        <v>62526.400929460331</v>
      </c>
    </row>
    <row r="52" spans="2:7" ht="14" x14ac:dyDescent="0.3">
      <c r="B52" s="4" t="s">
        <v>109</v>
      </c>
      <c r="C52" s="5">
        <f>C51*G46</f>
        <v>38157.029284294651</v>
      </c>
    </row>
    <row r="53" spans="2:7" ht="14" x14ac:dyDescent="0.3">
      <c r="B53" s="4" t="s">
        <v>110</v>
      </c>
      <c r="C53" s="5">
        <f>C50+C52</f>
        <v>70898.616339954882</v>
      </c>
    </row>
    <row r="54" spans="2:7" ht="14" x14ac:dyDescent="0.3">
      <c r="B54" s="4" t="s">
        <v>111</v>
      </c>
      <c r="C54" s="5">
        <f>C53-C16</f>
        <v>75898.616339954882</v>
      </c>
    </row>
    <row r="55" spans="2:7" ht="14" x14ac:dyDescent="0.3">
      <c r="B55" s="4" t="s">
        <v>112</v>
      </c>
      <c r="C55" s="24">
        <f>ROUND(C54*1000000/C15,0)</f>
        <v>3207</v>
      </c>
    </row>
    <row r="57" spans="2:7" ht="14" x14ac:dyDescent="0.3">
      <c r="B57" s="22" t="s">
        <v>113</v>
      </c>
      <c r="C57" s="23"/>
      <c r="D57" s="23"/>
      <c r="E57" s="23"/>
      <c r="F57" s="23"/>
      <c r="G57" s="23"/>
    </row>
    <row r="58" spans="2:7" ht="14" x14ac:dyDescent="0.3">
      <c r="B58" s="4" t="s">
        <v>107</v>
      </c>
      <c r="C58" s="5">
        <f>C50</f>
        <v>32741.587055660231</v>
      </c>
    </row>
    <row r="59" spans="2:7" ht="14" x14ac:dyDescent="0.3">
      <c r="B59" s="4" t="s">
        <v>114</v>
      </c>
      <c r="C59" s="5">
        <f>G39+G42</f>
        <v>16857.660286125007</v>
      </c>
    </row>
    <row r="60" spans="2:7" ht="14" x14ac:dyDescent="0.3">
      <c r="B60" s="4" t="s">
        <v>115</v>
      </c>
      <c r="C60" s="5">
        <f>C59*C14</f>
        <v>151718.94257512505</v>
      </c>
    </row>
    <row r="61" spans="2:7" ht="14" x14ac:dyDescent="0.3">
      <c r="B61" s="4" t="s">
        <v>109</v>
      </c>
      <c r="C61" s="5">
        <f>C60*G46</f>
        <v>92587.1959486735</v>
      </c>
    </row>
    <row r="62" spans="2:7" ht="14" x14ac:dyDescent="0.3">
      <c r="B62" s="4" t="s">
        <v>110</v>
      </c>
      <c r="C62" s="5">
        <f>C58+C61</f>
        <v>125328.78300433373</v>
      </c>
    </row>
    <row r="63" spans="2:7" ht="14" x14ac:dyDescent="0.3">
      <c r="B63" s="4" t="s">
        <v>111</v>
      </c>
      <c r="C63" s="5">
        <f>C62-C16</f>
        <v>130328.78300433373</v>
      </c>
    </row>
    <row r="64" spans="2:7" ht="14" x14ac:dyDescent="0.3">
      <c r="B64" s="4" t="s">
        <v>116</v>
      </c>
      <c r="C64" s="24">
        <f>ROUND(C63*1000000/C15,0)</f>
        <v>5507</v>
      </c>
    </row>
    <row r="66" spans="2:2" ht="14" x14ac:dyDescent="0.3">
      <c r="B66" s="1" t="s">
        <v>117</v>
      </c>
    </row>
  </sheetData>
  <phoneticPr fontId="9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6600"/>
  </sheetPr>
  <dimension ref="B2:H22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118</v>
      </c>
    </row>
    <row r="4" spans="2:8" ht="14" x14ac:dyDescent="0.3">
      <c r="B4" s="8" t="s">
        <v>119</v>
      </c>
      <c r="C4" s="25" t="s">
        <v>120</v>
      </c>
      <c r="D4" s="25" t="s">
        <v>88</v>
      </c>
      <c r="E4" s="25" t="s">
        <v>89</v>
      </c>
      <c r="F4" s="25" t="s">
        <v>90</v>
      </c>
      <c r="G4" s="25" t="s">
        <v>91</v>
      </c>
      <c r="H4" s="25" t="s">
        <v>92</v>
      </c>
    </row>
    <row r="5" spans="2:8" ht="14" x14ac:dyDescent="0.3">
      <c r="B5" s="26" t="s">
        <v>121</v>
      </c>
      <c r="C5" s="27">
        <f>C18/C9</f>
        <v>0.52832915226413568</v>
      </c>
      <c r="D5" s="27">
        <f>CHOOSE('DCF Model'!$D$27,'Segment Analysis'!G86,'Segment Analysis'!G87,'Segment Analysis'!G88,'Segment Analysis'!G89,'Segment Analysis'!G90)</f>
        <v>0.3</v>
      </c>
      <c r="E5" s="27">
        <f>CHOOSE('DCF Model'!$D$27,'Segment Analysis'!H86,'Segment Analysis'!H87,'Segment Analysis'!H88,'Segment Analysis'!H89,'Segment Analysis'!H90)</f>
        <v>0.3</v>
      </c>
      <c r="F5" s="27">
        <f>CHOOSE('DCF Model'!$D$27,'Segment Analysis'!I86,'Segment Analysis'!I87,'Segment Analysis'!I88,'Segment Analysis'!I89,'Segment Analysis'!I90)</f>
        <v>0.28999999999999998</v>
      </c>
      <c r="G5" s="27">
        <f>CHOOSE('DCF Model'!$D$27,'Segment Analysis'!J86,'Segment Analysis'!J87,'Segment Analysis'!J88,'Segment Analysis'!J89,'Segment Analysis'!J90)</f>
        <v>0.28999999999999998</v>
      </c>
      <c r="H5" s="27">
        <f>CHOOSE('DCF Model'!$D$27,'Segment Analysis'!K86,'Segment Analysis'!K87,'Segment Analysis'!K88,'Segment Analysis'!K89,'Segment Analysis'!K90)</f>
        <v>0.28000000000000003</v>
      </c>
    </row>
    <row r="6" spans="2:8" ht="14" x14ac:dyDescent="0.3">
      <c r="B6" s="28" t="s">
        <v>122</v>
      </c>
      <c r="C6" s="28" t="s">
        <v>122</v>
      </c>
      <c r="D6" s="28" t="s">
        <v>122</v>
      </c>
      <c r="E6" s="28" t="s">
        <v>122</v>
      </c>
      <c r="F6" s="28" t="s">
        <v>122</v>
      </c>
      <c r="G6" s="28" t="s">
        <v>122</v>
      </c>
      <c r="H6" s="28" t="s">
        <v>122</v>
      </c>
    </row>
    <row r="7" spans="2:8" ht="14" x14ac:dyDescent="0.3">
      <c r="B7" s="28" t="s">
        <v>122</v>
      </c>
      <c r="C7" s="28" t="s">
        <v>122</v>
      </c>
      <c r="D7" s="28" t="s">
        <v>122</v>
      </c>
      <c r="E7" s="28" t="s">
        <v>122</v>
      </c>
      <c r="F7" s="28" t="s">
        <v>122</v>
      </c>
      <c r="G7" s="28" t="s">
        <v>122</v>
      </c>
      <c r="H7" s="28" t="s">
        <v>122</v>
      </c>
    </row>
    <row r="8" spans="2:8" ht="14" x14ac:dyDescent="0.3">
      <c r="B8" s="8" t="s">
        <v>123</v>
      </c>
      <c r="C8" s="9"/>
      <c r="D8" s="9"/>
      <c r="E8" s="9"/>
      <c r="F8" s="9"/>
      <c r="G8" s="9"/>
      <c r="H8" s="9"/>
    </row>
    <row r="9" spans="2:8" ht="14" x14ac:dyDescent="0.3">
      <c r="B9" s="26" t="s">
        <v>41</v>
      </c>
      <c r="C9" s="29">
        <v>86501</v>
      </c>
      <c r="D9" s="29">
        <f>'DCF Model'!C33</f>
        <v>90845</v>
      </c>
      <c r="E9" s="29">
        <f>'DCF Model'!D33</f>
        <v>96560.800000000017</v>
      </c>
      <c r="F9" s="29">
        <f>'DCF Model'!E33</f>
        <v>103934.94000000002</v>
      </c>
      <c r="G9" s="29">
        <f>'DCF Model'!F33</f>
        <v>112194.00000000003</v>
      </c>
      <c r="H9" s="29">
        <f>'DCF Model'!G33</f>
        <v>120104.31802500004</v>
      </c>
    </row>
    <row r="10" spans="2:8" ht="14" x14ac:dyDescent="0.3">
      <c r="B10" s="28" t="s">
        <v>122</v>
      </c>
      <c r="C10" s="28" t="s">
        <v>122</v>
      </c>
      <c r="D10" s="28" t="s">
        <v>122</v>
      </c>
      <c r="E10" s="28" t="s">
        <v>122</v>
      </c>
      <c r="F10" s="28" t="s">
        <v>122</v>
      </c>
      <c r="G10" s="28" t="s">
        <v>122</v>
      </c>
      <c r="H10" s="28" t="s">
        <v>122</v>
      </c>
    </row>
    <row r="11" spans="2:8" ht="14" x14ac:dyDescent="0.3">
      <c r="B11" s="8" t="s">
        <v>124</v>
      </c>
      <c r="C11" s="9"/>
      <c r="D11" s="9"/>
      <c r="E11" s="9"/>
      <c r="F11" s="9"/>
      <c r="G11" s="9"/>
      <c r="H11" s="9"/>
    </row>
    <row r="12" spans="2:8" ht="14" x14ac:dyDescent="0.3">
      <c r="B12" s="28" t="s">
        <v>122</v>
      </c>
      <c r="C12" s="28" t="s">
        <v>122</v>
      </c>
      <c r="D12" s="28" t="s">
        <v>122</v>
      </c>
      <c r="E12" s="28" t="s">
        <v>122</v>
      </c>
      <c r="F12" s="28" t="s">
        <v>122</v>
      </c>
      <c r="G12" s="28" t="s">
        <v>122</v>
      </c>
      <c r="H12" s="28" t="s">
        <v>122</v>
      </c>
    </row>
    <row r="13" spans="2:8" ht="14" x14ac:dyDescent="0.3">
      <c r="B13" s="28" t="s">
        <v>122</v>
      </c>
      <c r="C13" s="28" t="s">
        <v>122</v>
      </c>
      <c r="D13" s="28" t="s">
        <v>122</v>
      </c>
      <c r="E13" s="28" t="s">
        <v>122</v>
      </c>
      <c r="F13" s="28" t="s">
        <v>122</v>
      </c>
      <c r="G13" s="28" t="s">
        <v>122</v>
      </c>
      <c r="H13" s="28" t="s">
        <v>122</v>
      </c>
    </row>
    <row r="14" spans="2:8" ht="14" x14ac:dyDescent="0.3">
      <c r="B14" s="28" t="s">
        <v>122</v>
      </c>
      <c r="C14" s="28" t="s">
        <v>122</v>
      </c>
      <c r="D14" s="28" t="s">
        <v>122</v>
      </c>
      <c r="E14" s="28" t="s">
        <v>122</v>
      </c>
      <c r="F14" s="28" t="s">
        <v>122</v>
      </c>
      <c r="G14" s="28" t="s">
        <v>122</v>
      </c>
      <c r="H14" s="28" t="s">
        <v>122</v>
      </c>
    </row>
    <row r="15" spans="2:8" ht="14" x14ac:dyDescent="0.3">
      <c r="B15" s="28" t="s">
        <v>122</v>
      </c>
      <c r="C15" s="28" t="s">
        <v>122</v>
      </c>
      <c r="D15" s="28" t="s">
        <v>122</v>
      </c>
      <c r="E15" s="28" t="s">
        <v>122</v>
      </c>
      <c r="F15" s="28" t="s">
        <v>122</v>
      </c>
      <c r="G15" s="28" t="s">
        <v>122</v>
      </c>
      <c r="H15" s="28" t="s">
        <v>122</v>
      </c>
    </row>
    <row r="16" spans="2:8" ht="14" x14ac:dyDescent="0.3">
      <c r="B16" s="28" t="s">
        <v>122</v>
      </c>
      <c r="C16" s="28" t="s">
        <v>122</v>
      </c>
      <c r="D16" s="28" t="s">
        <v>122</v>
      </c>
      <c r="E16" s="28" t="s">
        <v>122</v>
      </c>
      <c r="F16" s="28" t="s">
        <v>122</v>
      </c>
      <c r="G16" s="28" t="s">
        <v>122</v>
      </c>
      <c r="H16" s="28" t="s">
        <v>122</v>
      </c>
    </row>
    <row r="17" spans="2:8" ht="14" x14ac:dyDescent="0.3">
      <c r="B17" s="22" t="s">
        <v>125</v>
      </c>
      <c r="C17" s="23"/>
      <c r="D17" s="23"/>
      <c r="E17" s="23"/>
      <c r="F17" s="23"/>
      <c r="G17" s="23"/>
      <c r="H17" s="23"/>
    </row>
    <row r="18" spans="2:8" ht="14" x14ac:dyDescent="0.3">
      <c r="B18" s="26" t="s">
        <v>126</v>
      </c>
      <c r="C18" s="20">
        <v>45701</v>
      </c>
      <c r="D18" s="20">
        <f>D9*D5</f>
        <v>27253.5</v>
      </c>
      <c r="E18" s="20">
        <f>E9*E5</f>
        <v>28968.240000000005</v>
      </c>
      <c r="F18" s="20">
        <f>F9*F5</f>
        <v>30141.132600000004</v>
      </c>
      <c r="G18" s="20">
        <f>G9*G5</f>
        <v>32536.260000000006</v>
      </c>
      <c r="H18" s="20">
        <f>H9*H5</f>
        <v>33629.209047000018</v>
      </c>
    </row>
    <row r="19" spans="2:8" ht="14" x14ac:dyDescent="0.3">
      <c r="B19" s="26" t="s">
        <v>102</v>
      </c>
      <c r="C19" s="30" t="s">
        <v>51</v>
      </c>
      <c r="D19" s="24">
        <f>D18-C18</f>
        <v>-18447.5</v>
      </c>
      <c r="E19" s="24">
        <f>E18-D18</f>
        <v>1714.7400000000052</v>
      </c>
      <c r="F19" s="24">
        <f>F18-E18</f>
        <v>1172.8925999999992</v>
      </c>
      <c r="G19" s="24">
        <f>G18-F18</f>
        <v>2395.1274000000012</v>
      </c>
      <c r="H19" s="24">
        <f>H18-G18</f>
        <v>1092.9490470000128</v>
      </c>
    </row>
    <row r="22" spans="2:8" ht="14" x14ac:dyDescent="0.3">
      <c r="B22" s="1" t="s">
        <v>127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600"/>
  </sheetPr>
  <dimension ref="B2:O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5" width="12" customWidth="1"/>
  </cols>
  <sheetData>
    <row r="2" spans="2:15" ht="18" x14ac:dyDescent="0.4">
      <c r="B2" s="2" t="s">
        <v>128</v>
      </c>
    </row>
    <row r="4" spans="2:15" ht="28" x14ac:dyDescent="0.3">
      <c r="B4" s="10" t="s">
        <v>3</v>
      </c>
      <c r="C4" s="10" t="s">
        <v>5</v>
      </c>
      <c r="D4" s="10" t="s">
        <v>129</v>
      </c>
      <c r="E4" s="10" t="s">
        <v>130</v>
      </c>
      <c r="F4" s="10" t="s">
        <v>131</v>
      </c>
      <c r="G4" s="10" t="s">
        <v>132</v>
      </c>
      <c r="H4" s="10" t="s">
        <v>133</v>
      </c>
      <c r="I4" s="10" t="s">
        <v>134</v>
      </c>
      <c r="J4" s="10" t="s">
        <v>135</v>
      </c>
      <c r="K4" s="10" t="s">
        <v>136</v>
      </c>
      <c r="L4" s="10" t="s">
        <v>137</v>
      </c>
      <c r="M4" s="10" t="s">
        <v>138</v>
      </c>
      <c r="N4" s="10" t="s">
        <v>139</v>
      </c>
      <c r="O4" s="10" t="s">
        <v>140</v>
      </c>
    </row>
    <row r="5" spans="2:15" ht="14" x14ac:dyDescent="0.3">
      <c r="B5" s="4" t="s">
        <v>141</v>
      </c>
      <c r="C5" t="s">
        <v>142</v>
      </c>
      <c r="D5" s="31">
        <v>24328.544256000001</v>
      </c>
      <c r="E5" s="31">
        <v>17681.544256000001</v>
      </c>
      <c r="F5" s="31">
        <v>28100</v>
      </c>
      <c r="G5" s="31">
        <v>4044</v>
      </c>
      <c r="H5" s="31">
        <v>3350</v>
      </c>
      <c r="I5" s="31">
        <v>2500</v>
      </c>
      <c r="J5" s="32">
        <f>E5/G5</f>
        <v>4.372290864490604</v>
      </c>
      <c r="K5" s="32">
        <f>E5/F5</f>
        <v>0.62923645039145915</v>
      </c>
      <c r="L5" s="32">
        <f>D5/I5</f>
        <v>9.7314177023999999</v>
      </c>
      <c r="M5" s="32">
        <v>0.87418412705713266</v>
      </c>
      <c r="N5" s="33">
        <f>H5/F5</f>
        <v>0.11921708185053381</v>
      </c>
      <c r="O5" s="33">
        <v>8.9831117499101693E-2</v>
      </c>
    </row>
    <row r="6" spans="2:15" ht="14" x14ac:dyDescent="0.3">
      <c r="B6" s="4" t="s">
        <v>143</v>
      </c>
      <c r="C6" t="s">
        <v>144</v>
      </c>
      <c r="D6" s="31">
        <v>112434.307072</v>
      </c>
      <c r="E6" s="31">
        <v>91022.307071999996</v>
      </c>
      <c r="F6" s="31">
        <v>74000</v>
      </c>
      <c r="G6" s="31">
        <v>12694</v>
      </c>
      <c r="H6" s="31">
        <v>11000</v>
      </c>
      <c r="I6" s="31">
        <v>7800</v>
      </c>
      <c r="J6" s="32">
        <f>E6/G6</f>
        <v>7.1704984301244679</v>
      </c>
      <c r="K6" s="32">
        <f>E6/F6</f>
        <v>1.2300311766486487</v>
      </c>
      <c r="L6" s="32">
        <f>D6/I6</f>
        <v>14.414654752820512</v>
      </c>
      <c r="M6" s="32">
        <v>1.1729990722363639</v>
      </c>
      <c r="N6" s="33">
        <f>H6/F6</f>
        <v>0.14864864864864866</v>
      </c>
      <c r="O6" s="33">
        <v>8.1375453824646324E-2</v>
      </c>
    </row>
    <row r="7" spans="2:15" ht="14" x14ac:dyDescent="0.3">
      <c r="B7" s="4" t="s">
        <v>145</v>
      </c>
      <c r="C7" t="s">
        <v>146</v>
      </c>
      <c r="D7" s="31">
        <v>61093.666815999997</v>
      </c>
      <c r="E7" s="31">
        <v>54968.666815999997</v>
      </c>
      <c r="F7" s="31">
        <v>48439</v>
      </c>
      <c r="G7" s="31">
        <v>7407</v>
      </c>
      <c r="H7" s="31">
        <v>6159</v>
      </c>
      <c r="I7" s="31">
        <v>4788</v>
      </c>
      <c r="J7" s="32">
        <f>E7/G7</f>
        <v>7.4211781849601728</v>
      </c>
      <c r="K7" s="32">
        <f>E7/F7</f>
        <v>1.1348018500794814</v>
      </c>
      <c r="L7" s="32">
        <f>D7/I7</f>
        <v>12.759746619883041</v>
      </c>
      <c r="M7" s="32">
        <v>1.603087557491472</v>
      </c>
      <c r="N7" s="33">
        <f>H7/F7</f>
        <v>0.12714961085076076</v>
      </c>
      <c r="O7" s="33">
        <v>0.1256363159275781</v>
      </c>
    </row>
    <row r="8" spans="2:15" ht="14" x14ac:dyDescent="0.3">
      <c r="B8" s="4" t="s">
        <v>147</v>
      </c>
      <c r="C8" t="s">
        <v>148</v>
      </c>
      <c r="D8" s="31">
        <v>185351.79878400001</v>
      </c>
      <c r="E8" s="31">
        <v>250582.79878400001</v>
      </c>
      <c r="F8" s="31">
        <v>223500</v>
      </c>
      <c r="G8" s="31">
        <v>27746</v>
      </c>
      <c r="H8" s="31">
        <v>16500</v>
      </c>
      <c r="I8" s="31">
        <v>13000</v>
      </c>
      <c r="J8" s="32">
        <f>E8/G8</f>
        <v>9.0313125778130185</v>
      </c>
      <c r="K8" s="32">
        <f>E8/F8</f>
        <v>1.1211758334854587</v>
      </c>
      <c r="L8" s="32">
        <f>D8/I8</f>
        <v>14.257830675692309</v>
      </c>
      <c r="M8" s="32">
        <v>1.1568003019696931</v>
      </c>
      <c r="N8" s="33">
        <f>H8/F8</f>
        <v>7.3825503355704702E-2</v>
      </c>
      <c r="O8" s="33">
        <v>8.1134383503507504E-2</v>
      </c>
    </row>
    <row r="14" spans="2:15" ht="14" x14ac:dyDescent="0.3">
      <c r="B14" s="3" t="s">
        <v>149</v>
      </c>
    </row>
    <row r="15" spans="2:15" ht="14" x14ac:dyDescent="0.3">
      <c r="B15" s="4" t="s">
        <v>150</v>
      </c>
      <c r="D15" s="32">
        <f t="shared" ref="D15:I15" si="0">PERCENTILE(J5:J8,0.25)</f>
        <v>6.4709465387160021</v>
      </c>
      <c r="E15" s="32">
        <f t="shared" si="0"/>
        <v>0.9981909877119588</v>
      </c>
      <c r="F15" s="32">
        <f t="shared" si="0"/>
        <v>12.00266439051228</v>
      </c>
      <c r="G15" s="32">
        <f t="shared" si="0"/>
        <v>1.0861462582415529</v>
      </c>
      <c r="H15" s="33">
        <f t="shared" si="0"/>
        <v>0.10786918722682654</v>
      </c>
      <c r="I15" s="33">
        <f t="shared" si="0"/>
        <v>8.1315186244361626E-2</v>
      </c>
    </row>
    <row r="16" spans="2:15" ht="14" x14ac:dyDescent="0.3">
      <c r="B16" s="4" t="s">
        <v>151</v>
      </c>
      <c r="D16" s="32">
        <f t="shared" ref="D16:I16" si="1">MEDIAN(J5:J8)</f>
        <v>7.2958383075423203</v>
      </c>
      <c r="E16" s="32">
        <f t="shared" si="1"/>
        <v>1.1279888417824702</v>
      </c>
      <c r="F16" s="32">
        <f t="shared" si="1"/>
        <v>13.508788647787675</v>
      </c>
      <c r="G16" s="32">
        <f t="shared" si="1"/>
        <v>1.1648996871030284</v>
      </c>
      <c r="H16" s="33">
        <f t="shared" si="1"/>
        <v>0.12318334635064729</v>
      </c>
      <c r="I16" s="33">
        <f t="shared" si="1"/>
        <v>8.5603285661874001E-2</v>
      </c>
    </row>
    <row r="17" spans="2:9" ht="14" x14ac:dyDescent="0.3">
      <c r="B17" s="4" t="s">
        <v>152</v>
      </c>
      <c r="D17" s="32">
        <f t="shared" ref="D17:I17" si="2">PERCENTILE(J5:J8,0.75)</f>
        <v>7.8237117831733842</v>
      </c>
      <c r="E17" s="32">
        <f t="shared" si="2"/>
        <v>1.1586091817217732</v>
      </c>
      <c r="F17" s="32">
        <f t="shared" si="2"/>
        <v>14.297036694974359</v>
      </c>
      <c r="G17" s="32">
        <f t="shared" si="2"/>
        <v>1.280521193550141</v>
      </c>
      <c r="H17" s="33">
        <f t="shared" si="2"/>
        <v>0.13252437030023273</v>
      </c>
      <c r="I17" s="33">
        <f t="shared" si="2"/>
        <v>9.8782417106220793E-2</v>
      </c>
    </row>
    <row r="19" spans="2:9" ht="14" x14ac:dyDescent="0.3">
      <c r="B19" s="22" t="s">
        <v>153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154</v>
      </c>
    </row>
    <row r="21" spans="2:9" ht="14" x14ac:dyDescent="0.3">
      <c r="B21" s="4" t="s">
        <v>155</v>
      </c>
      <c r="C21" s="5">
        <v>8132</v>
      </c>
    </row>
    <row r="22" spans="2:9" ht="14" x14ac:dyDescent="0.3">
      <c r="B22" s="4" t="s">
        <v>156</v>
      </c>
      <c r="C22" s="5">
        <v>4068</v>
      </c>
    </row>
    <row r="23" spans="2:9" ht="14" x14ac:dyDescent="0.3">
      <c r="B23" s="4" t="s">
        <v>157</v>
      </c>
      <c r="C23" s="15">
        <v>23667789</v>
      </c>
    </row>
    <row r="24" spans="2:9" ht="14" x14ac:dyDescent="0.3">
      <c r="B24" s="4" t="s">
        <v>75</v>
      </c>
      <c r="C24" s="5">
        <v>-5000</v>
      </c>
    </row>
    <row r="26" spans="2:9" ht="14" x14ac:dyDescent="0.3">
      <c r="B26" s="3" t="s">
        <v>158</v>
      </c>
    </row>
    <row r="27" spans="2:9" ht="14" x14ac:dyDescent="0.3">
      <c r="B27" s="4" t="s">
        <v>159</v>
      </c>
      <c r="C27" s="24">
        <f>ROUND((C21*D16-C24)*1000000/C23,0)</f>
        <v>2718</v>
      </c>
    </row>
    <row r="28" spans="2:9" ht="14" x14ac:dyDescent="0.3">
      <c r="B28" s="4" t="s">
        <v>160</v>
      </c>
      <c r="C28" s="24">
        <f>ROUND(C22*F16*1000000/C23,0)</f>
        <v>2322</v>
      </c>
    </row>
  </sheetData>
  <phoneticPr fontId="9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161</v>
      </c>
    </row>
    <row r="3" spans="2:9" ht="14" x14ac:dyDescent="0.3">
      <c r="B3" s="4" t="s">
        <v>162</v>
      </c>
      <c r="C3" s="16">
        <f>'DCF Model'!C26</f>
        <v>0.11599999999999999</v>
      </c>
      <c r="E3" s="4" t="s">
        <v>163</v>
      </c>
      <c r="F3" s="16">
        <f>'DCF Model'!C13</f>
        <v>0.02</v>
      </c>
      <c r="H3" s="4" t="s">
        <v>164</v>
      </c>
      <c r="I3" s="14">
        <f>'DCF Model'!C14</f>
        <v>9</v>
      </c>
    </row>
    <row r="5" spans="2:9" ht="14" x14ac:dyDescent="0.3">
      <c r="B5" s="3" t="s">
        <v>165</v>
      </c>
    </row>
    <row r="6" spans="2:9" ht="14" x14ac:dyDescent="0.3">
      <c r="B6" s="34" t="s">
        <v>166</v>
      </c>
      <c r="C6" s="35">
        <f>$F$3-0.0075</f>
        <v>1.2500000000000001E-2</v>
      </c>
      <c r="D6" s="35">
        <f>$F$3-0.005</f>
        <v>1.4999999999999999E-2</v>
      </c>
      <c r="E6" s="35">
        <f>$F$3-0.0025</f>
        <v>1.7500000000000002E-2</v>
      </c>
      <c r="F6" s="35">
        <f>$F$3</f>
        <v>0.02</v>
      </c>
      <c r="G6" s="35">
        <f>$F$3+0.0025</f>
        <v>2.2499999999999999E-2</v>
      </c>
      <c r="H6" s="35">
        <f>$F$3+0.005</f>
        <v>2.5000000000000001E-2</v>
      </c>
      <c r="I6" s="35">
        <f>$F$3+0.0075</f>
        <v>2.75E-2</v>
      </c>
    </row>
    <row r="7" spans="2:9" ht="13.5" x14ac:dyDescent="0.25">
      <c r="B7" s="33">
        <f>$C$3-0.015</f>
        <v>0.10099999999999999</v>
      </c>
      <c r="C7" s="31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3467</v>
      </c>
      <c r="D7" s="31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3525</v>
      </c>
      <c r="E7" s="31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3587</v>
      </c>
      <c r="F7" s="31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3653</v>
      </c>
      <c r="G7" s="31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3722</v>
      </c>
      <c r="H7" s="31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3797</v>
      </c>
      <c r="I7" s="31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3876</v>
      </c>
    </row>
    <row r="8" spans="2:9" ht="13.5" x14ac:dyDescent="0.25">
      <c r="B8" s="33">
        <f>$C$3-0.01</f>
        <v>0.106</v>
      </c>
      <c r="C8" s="31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3324</v>
      </c>
      <c r="D8" s="31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3375</v>
      </c>
      <c r="E8" s="31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3429</v>
      </c>
      <c r="F8" s="31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3487</v>
      </c>
      <c r="G8" s="31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3548</v>
      </c>
      <c r="H8" s="31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3612</v>
      </c>
      <c r="I8" s="31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3681</v>
      </c>
    </row>
    <row r="9" spans="2:9" ht="13.5" x14ac:dyDescent="0.25">
      <c r="B9" s="33">
        <f>$C$3-0.005</f>
        <v>0.11099999999999999</v>
      </c>
      <c r="C9" s="31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3195</v>
      </c>
      <c r="D9" s="31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3241</v>
      </c>
      <c r="E9" s="31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3289</v>
      </c>
      <c r="F9" s="31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3339</v>
      </c>
      <c r="G9" s="31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3392</v>
      </c>
      <c r="H9" s="31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3449</v>
      </c>
      <c r="I9" s="31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3509</v>
      </c>
    </row>
    <row r="10" spans="2:9" ht="13.5" x14ac:dyDescent="0.25">
      <c r="B10" s="33">
        <f>$C$3</f>
        <v>0.11599999999999999</v>
      </c>
      <c r="C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3079</v>
      </c>
      <c r="D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3120</v>
      </c>
      <c r="E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3162</v>
      </c>
      <c r="F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3207</v>
      </c>
      <c r="G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3254</v>
      </c>
      <c r="H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3304</v>
      </c>
      <c r="I10" s="31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3356</v>
      </c>
    </row>
    <row r="11" spans="2:9" ht="13.5" x14ac:dyDescent="0.25">
      <c r="B11" s="33">
        <f>$C$3+0.005</f>
        <v>0.121</v>
      </c>
      <c r="C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2974</v>
      </c>
      <c r="D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3010</v>
      </c>
      <c r="E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3048</v>
      </c>
      <c r="F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3088</v>
      </c>
      <c r="G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3130</v>
      </c>
      <c r="H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3174</v>
      </c>
      <c r="I11" s="31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3220</v>
      </c>
    </row>
    <row r="12" spans="2:9" ht="13.5" x14ac:dyDescent="0.25">
      <c r="B12" s="33">
        <f>$C$3+0.01</f>
        <v>0.126</v>
      </c>
      <c r="C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2878</v>
      </c>
      <c r="D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2910</v>
      </c>
      <c r="E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2944</v>
      </c>
      <c r="F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2980</v>
      </c>
      <c r="G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3017</v>
      </c>
      <c r="H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3056</v>
      </c>
      <c r="I12" s="31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3098</v>
      </c>
    </row>
    <row r="13" spans="2:9" ht="13.5" x14ac:dyDescent="0.25">
      <c r="B13" s="33">
        <f>$C$3+0.015</f>
        <v>0.13100000000000001</v>
      </c>
      <c r="C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2790</v>
      </c>
      <c r="D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2819</v>
      </c>
      <c r="E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2850</v>
      </c>
      <c r="F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2882</v>
      </c>
      <c r="G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2915</v>
      </c>
      <c r="H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2950</v>
      </c>
      <c r="I13" s="31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2987</v>
      </c>
    </row>
    <row r="16" spans="2:9" ht="14" x14ac:dyDescent="0.3">
      <c r="B16" s="3" t="s">
        <v>167</v>
      </c>
    </row>
    <row r="17" spans="2:9" ht="14" x14ac:dyDescent="0.3">
      <c r="B17" s="34" t="s">
        <v>168</v>
      </c>
      <c r="C17" s="36">
        <f>$I$3-3</f>
        <v>6</v>
      </c>
      <c r="D17" s="36">
        <f>$I$3-2</f>
        <v>7</v>
      </c>
      <c r="E17" s="36">
        <f>$I$3-1</f>
        <v>8</v>
      </c>
      <c r="F17" s="36">
        <f>$I$3</f>
        <v>9</v>
      </c>
      <c r="G17" s="36">
        <f>$I$3+1</f>
        <v>10</v>
      </c>
      <c r="H17" s="36">
        <f>$I$3+2</f>
        <v>11</v>
      </c>
      <c r="I17" s="36">
        <f>$I$3+3</f>
        <v>12</v>
      </c>
    </row>
    <row r="18" spans="2:9" ht="13.5" x14ac:dyDescent="0.25">
      <c r="B18" s="33">
        <f>$C$3-0.015</f>
        <v>0.10099999999999999</v>
      </c>
      <c r="C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4394</v>
      </c>
      <c r="D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4856</v>
      </c>
      <c r="E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5318</v>
      </c>
      <c r="F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5780</v>
      </c>
      <c r="G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6241</v>
      </c>
      <c r="H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6703</v>
      </c>
      <c r="I18" s="31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7165</v>
      </c>
    </row>
    <row r="19" spans="2:9" ht="13.5" x14ac:dyDescent="0.25">
      <c r="B19" s="33">
        <f>$C$3-0.01</f>
        <v>0.106</v>
      </c>
      <c r="C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4328</v>
      </c>
      <c r="D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4781</v>
      </c>
      <c r="E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5234</v>
      </c>
      <c r="F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5686</v>
      </c>
      <c r="G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6139</v>
      </c>
      <c r="H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6592</v>
      </c>
      <c r="I19" s="31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7044</v>
      </c>
    </row>
    <row r="20" spans="2:9" ht="13.5" x14ac:dyDescent="0.25">
      <c r="B20" s="33">
        <f>$C$3-0.005</f>
        <v>0.11099999999999999</v>
      </c>
      <c r="C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4265</v>
      </c>
      <c r="D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4708</v>
      </c>
      <c r="E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5152</v>
      </c>
      <c r="F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5595</v>
      </c>
      <c r="G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6039</v>
      </c>
      <c r="H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6482</v>
      </c>
      <c r="I20" s="31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6926</v>
      </c>
    </row>
    <row r="21" spans="2:9" ht="13.5" x14ac:dyDescent="0.25">
      <c r="B21" s="33">
        <f>$C$3</f>
        <v>0.11599999999999999</v>
      </c>
      <c r="C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4203</v>
      </c>
      <c r="D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4637</v>
      </c>
      <c r="E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5072</v>
      </c>
      <c r="F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5507</v>
      </c>
      <c r="G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5941</v>
      </c>
      <c r="H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6376</v>
      </c>
      <c r="I21" s="31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6811</v>
      </c>
    </row>
    <row r="22" spans="2:9" ht="13.5" x14ac:dyDescent="0.25">
      <c r="B22" s="33">
        <f>$C$3+0.005</f>
        <v>0.121</v>
      </c>
      <c r="C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4142</v>
      </c>
      <c r="D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4568</v>
      </c>
      <c r="E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4994</v>
      </c>
      <c r="F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5420</v>
      </c>
      <c r="G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5846</v>
      </c>
      <c r="H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6272</v>
      </c>
      <c r="I22" s="31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6698</v>
      </c>
    </row>
    <row r="23" spans="2:9" ht="13.5" x14ac:dyDescent="0.25">
      <c r="B23" s="33">
        <f>$C$3+0.01</f>
        <v>0.126</v>
      </c>
      <c r="C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4083</v>
      </c>
      <c r="D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4500</v>
      </c>
      <c r="E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4918</v>
      </c>
      <c r="F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5335</v>
      </c>
      <c r="G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5753</v>
      </c>
      <c r="H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6170</v>
      </c>
      <c r="I23" s="31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6588</v>
      </c>
    </row>
    <row r="24" spans="2:9" ht="13.5" x14ac:dyDescent="0.25">
      <c r="B24" s="33">
        <f>$C$3+0.015</f>
        <v>0.13100000000000001</v>
      </c>
      <c r="C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4025</v>
      </c>
      <c r="D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4434</v>
      </c>
      <c r="E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4843</v>
      </c>
      <c r="F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5253</v>
      </c>
      <c r="G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5662</v>
      </c>
      <c r="H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6071</v>
      </c>
      <c r="I24" s="31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6480</v>
      </c>
    </row>
    <row r="26" spans="2:9" ht="14" x14ac:dyDescent="0.3">
      <c r="B26" s="51" t="s">
        <v>169</v>
      </c>
      <c r="C26" s="50"/>
      <c r="D26" s="50"/>
      <c r="E26" s="50"/>
      <c r="F26" s="50"/>
      <c r="G26" s="50"/>
      <c r="H26" s="50"/>
      <c r="I26" s="50"/>
    </row>
  </sheetData>
  <mergeCells count="1">
    <mergeCell ref="B26:I26"/>
  </mergeCells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B0000"/>
  </sheetPr>
  <dimension ref="B2:K9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34" customWidth="1"/>
    <col min="3" max="11" width="16" customWidth="1"/>
  </cols>
  <sheetData>
    <row r="2" spans="2:11" ht="18" x14ac:dyDescent="0.4">
      <c r="B2" s="2" t="s">
        <v>170</v>
      </c>
    </row>
    <row r="4" spans="2:11" ht="14" x14ac:dyDescent="0.3">
      <c r="C4" s="10" t="s">
        <v>37</v>
      </c>
      <c r="D4" s="10" t="s">
        <v>38</v>
      </c>
      <c r="E4" s="10" t="s">
        <v>39</v>
      </c>
      <c r="F4" s="10" t="s">
        <v>171</v>
      </c>
      <c r="G4" s="10" t="s">
        <v>88</v>
      </c>
      <c r="H4" s="10" t="s">
        <v>89</v>
      </c>
      <c r="I4" s="10" t="s">
        <v>90</v>
      </c>
      <c r="J4" s="10" t="s">
        <v>91</v>
      </c>
      <c r="K4" s="10" t="s">
        <v>92</v>
      </c>
    </row>
    <row r="5" spans="2:11" ht="14" x14ac:dyDescent="0.3">
      <c r="B5" s="8" t="s">
        <v>172</v>
      </c>
      <c r="C5" s="9"/>
      <c r="D5" s="9"/>
      <c r="E5" s="9"/>
      <c r="F5" s="9"/>
      <c r="G5" s="9"/>
      <c r="H5" s="9"/>
      <c r="I5" s="9"/>
      <c r="J5" s="9"/>
      <c r="K5" s="9"/>
    </row>
    <row r="6" spans="2:11" ht="14" x14ac:dyDescent="0.3">
      <c r="B6" s="4" t="s">
        <v>41</v>
      </c>
      <c r="C6" s="28" t="s">
        <v>122</v>
      </c>
      <c r="D6" s="29">
        <v>23000</v>
      </c>
      <c r="E6" s="29">
        <v>24000</v>
      </c>
      <c r="F6" s="29">
        <v>25000</v>
      </c>
      <c r="G6" s="29">
        <f>F6*(1+CHOOSE('DCF Model'!$D$27,G34,G35,G36,G37,G38))</f>
        <v>25500</v>
      </c>
      <c r="H6" s="29">
        <f>G6*(1+CHOOSE('DCF Model'!$D$27,H34,H35,H36,H37,H38))</f>
        <v>26010</v>
      </c>
      <c r="I6" s="29">
        <f>H6*(1+CHOOSE('DCF Model'!$D$27,I34,I35,I36,I37,I38))</f>
        <v>26530.2</v>
      </c>
      <c r="J6" s="29">
        <f>I6*(1+CHOOSE('DCF Model'!$D$27,J34,J35,J36,J37,J38))</f>
        <v>27193.454999999998</v>
      </c>
      <c r="K6" s="29">
        <f>J6*(1+CHOOSE('DCF Model'!$D$27,K34,K35,K36,K37,K38))</f>
        <v>27873.291374999997</v>
      </c>
    </row>
    <row r="7" spans="2:11" ht="14" x14ac:dyDescent="0.3">
      <c r="B7" s="4" t="s">
        <v>173</v>
      </c>
      <c r="C7" s="28" t="s">
        <v>122</v>
      </c>
      <c r="D7" s="29">
        <v>1900</v>
      </c>
      <c r="E7" s="29">
        <v>2000</v>
      </c>
      <c r="F7" s="29">
        <v>2000</v>
      </c>
      <c r="G7" s="29">
        <f>G6*CHOOSE('DCF Model'!$D$27,G41,G42,G43,G44,G45)</f>
        <v>2040</v>
      </c>
      <c r="H7" s="29">
        <f>H6*CHOOSE('DCF Model'!$D$27,H41,H42,H43,H44,H45)</f>
        <v>2080.8000000000002</v>
      </c>
      <c r="I7" s="29">
        <f>I6*CHOOSE('DCF Model'!$D$27,I41,I42,I43,I44,I45)</f>
        <v>2255.067</v>
      </c>
      <c r="J7" s="29">
        <f>J6*CHOOSE('DCF Model'!$D$27,J41,J42,J43,J44,J45)</f>
        <v>2311.443675</v>
      </c>
      <c r="K7" s="29">
        <f>K6*CHOOSE('DCF Model'!$D$27,K41,K42,K43,K44,K45)</f>
        <v>2508.5962237499998</v>
      </c>
    </row>
    <row r="8" spans="2:11" ht="14" x14ac:dyDescent="0.3">
      <c r="B8" s="37" t="s">
        <v>174</v>
      </c>
      <c r="C8" s="28" t="s">
        <v>122</v>
      </c>
      <c r="D8" s="27">
        <f>D7/D6</f>
        <v>8.2608695652173908E-2</v>
      </c>
      <c r="E8" s="27">
        <f>E7/E6</f>
        <v>8.3333333333333329E-2</v>
      </c>
      <c r="F8" s="27">
        <f>F7/F6</f>
        <v>0.08</v>
      </c>
      <c r="G8" s="27">
        <f>CHOOSE('DCF Model'!$D$27,G41,G42,G43,G44,G45)</f>
        <v>0.08</v>
      </c>
      <c r="H8" s="27">
        <f>CHOOSE('DCF Model'!$D$27,H41,H42,H43,H44,H45)</f>
        <v>0.08</v>
      </c>
      <c r="I8" s="27">
        <f>CHOOSE('DCF Model'!$D$27,I41,I42,I43,I44,I45)</f>
        <v>8.5000000000000006E-2</v>
      </c>
      <c r="J8" s="27">
        <f>CHOOSE('DCF Model'!$D$27,J41,J42,J43,J44,J45)</f>
        <v>8.5000000000000006E-2</v>
      </c>
      <c r="K8" s="27">
        <f>CHOOSE('DCF Model'!$D$27,K41,K42,K43,K44,K45)</f>
        <v>0.09</v>
      </c>
    </row>
    <row r="10" spans="2:11" ht="14" x14ac:dyDescent="0.3">
      <c r="B10" s="8" t="s">
        <v>175</v>
      </c>
      <c r="C10" s="9"/>
      <c r="D10" s="9"/>
      <c r="E10" s="9"/>
      <c r="F10" s="9"/>
      <c r="G10" s="9"/>
      <c r="H10" s="9"/>
      <c r="I10" s="9"/>
      <c r="J10" s="9"/>
      <c r="K10" s="9"/>
    </row>
    <row r="11" spans="2:11" ht="14" x14ac:dyDescent="0.3">
      <c r="B11" s="4" t="s">
        <v>41</v>
      </c>
      <c r="C11" s="28" t="s">
        <v>122</v>
      </c>
      <c r="D11" s="29">
        <v>19500</v>
      </c>
      <c r="E11" s="29">
        <v>20500</v>
      </c>
      <c r="F11" s="29">
        <v>21500</v>
      </c>
      <c r="G11" s="29">
        <f>F11*(1+CHOOSE('DCF Model'!$D$27,G48,G49,G50,G51,G52))</f>
        <v>22145</v>
      </c>
      <c r="H11" s="29">
        <f>G11*(1+CHOOSE('DCF Model'!$D$27,H48,H49,H50,H51,H52))</f>
        <v>23030.799999999999</v>
      </c>
      <c r="I11" s="29">
        <f>H11*(1+CHOOSE('DCF Model'!$D$27,I48,I49,I50,I51,I52))</f>
        <v>24182.34</v>
      </c>
      <c r="J11" s="29">
        <f>I11*(1+CHOOSE('DCF Model'!$D$27,J48,J49,J50,J51,J52))</f>
        <v>25391.457000000002</v>
      </c>
      <c r="K11" s="29">
        <f>J11*(1+CHOOSE('DCF Model'!$D$27,K48,K49,K50,K51,K52))</f>
        <v>26661.029850000003</v>
      </c>
    </row>
    <row r="12" spans="2:11" ht="14" x14ac:dyDescent="0.3">
      <c r="B12" s="4" t="s">
        <v>173</v>
      </c>
      <c r="C12" s="28" t="s">
        <v>122</v>
      </c>
      <c r="D12" s="29">
        <v>1800</v>
      </c>
      <c r="E12" s="29">
        <v>1800</v>
      </c>
      <c r="F12" s="29">
        <v>1700</v>
      </c>
      <c r="G12" s="29">
        <f>G11*CHOOSE('DCF Model'!$D$27,G55,G56,G57,G58,G59)</f>
        <v>1993.05</v>
      </c>
      <c r="H12" s="29">
        <f>H11*CHOOSE('DCF Model'!$D$27,H55,H56,H57,H58,H59)</f>
        <v>2303.08</v>
      </c>
      <c r="I12" s="29">
        <f>I11*CHOOSE('DCF Model'!$D$27,I55,I56,I57,I58,I59)</f>
        <v>2418.2339999999999</v>
      </c>
      <c r="J12" s="29">
        <f>J11*CHOOSE('DCF Model'!$D$27,J55,J56,J57,J58,J59)</f>
        <v>2793.0602700000004</v>
      </c>
      <c r="K12" s="29">
        <f>K11*CHOOSE('DCF Model'!$D$27,K55,K56,K57,K58,K59)</f>
        <v>2932.7132835000002</v>
      </c>
    </row>
    <row r="13" spans="2:11" ht="14" x14ac:dyDescent="0.3">
      <c r="B13" s="37" t="s">
        <v>174</v>
      </c>
      <c r="C13" s="28" t="s">
        <v>122</v>
      </c>
      <c r="D13" s="27">
        <f>D12/D11</f>
        <v>9.2307692307692313E-2</v>
      </c>
      <c r="E13" s="27">
        <f>E12/E11</f>
        <v>8.7804878048780483E-2</v>
      </c>
      <c r="F13" s="27">
        <f>F12/F11</f>
        <v>7.9069767441860464E-2</v>
      </c>
      <c r="G13" s="27">
        <f>CHOOSE('DCF Model'!$D$27,G55,G56,G57,G58,G59)</f>
        <v>0.09</v>
      </c>
      <c r="H13" s="27">
        <f>CHOOSE('DCF Model'!$D$27,H55,H56,H57,H58,H59)</f>
        <v>0.1</v>
      </c>
      <c r="I13" s="27">
        <f>CHOOSE('DCF Model'!$D$27,I55,I56,I57,I58,I59)</f>
        <v>0.1</v>
      </c>
      <c r="J13" s="27">
        <f>CHOOSE('DCF Model'!$D$27,J55,J56,J57,J58,J59)</f>
        <v>0.11</v>
      </c>
      <c r="K13" s="27">
        <f>CHOOSE('DCF Model'!$D$27,K55,K56,K57,K58,K59)</f>
        <v>0.11</v>
      </c>
    </row>
    <row r="15" spans="2:11" ht="14" x14ac:dyDescent="0.3">
      <c r="B15" s="8" t="s">
        <v>176</v>
      </c>
      <c r="C15" s="9"/>
      <c r="D15" s="9"/>
      <c r="E15" s="9"/>
      <c r="F15" s="9"/>
      <c r="G15" s="9"/>
      <c r="H15" s="9"/>
      <c r="I15" s="9"/>
      <c r="J15" s="9"/>
      <c r="K15" s="9"/>
    </row>
    <row r="16" spans="2:11" ht="14" x14ac:dyDescent="0.3">
      <c r="B16" s="4" t="s">
        <v>41</v>
      </c>
      <c r="C16" s="28" t="s">
        <v>122</v>
      </c>
      <c r="D16" s="29">
        <v>34000</v>
      </c>
      <c r="E16" s="29">
        <v>36000</v>
      </c>
      <c r="F16" s="29">
        <v>40000</v>
      </c>
      <c r="G16" s="29">
        <f>F16*(1+CHOOSE('DCF Model'!$D$27,G62,G63,G64,G65,G66))</f>
        <v>43200</v>
      </c>
      <c r="H16" s="29">
        <f>G16*(1+CHOOSE('DCF Model'!$D$27,H62,H63,H64,H65,H66))</f>
        <v>47520.000000000007</v>
      </c>
      <c r="I16" s="29">
        <f>H16*(1+CHOOSE('DCF Model'!$D$27,I62,I63,I64,I65,I66))</f>
        <v>53222.400000000016</v>
      </c>
      <c r="J16" s="29">
        <f>I16*(1+CHOOSE('DCF Model'!$D$27,J62,J63,J64,J65,J66))</f>
        <v>59609.088000000025</v>
      </c>
      <c r="K16" s="29">
        <f>J16*(1+CHOOSE('DCF Model'!$D$27,K62,K63,K64,K65,K66))</f>
        <v>65569.996800000037</v>
      </c>
    </row>
    <row r="17" spans="2:11" ht="14" x14ac:dyDescent="0.3">
      <c r="B17" s="4" t="s">
        <v>173</v>
      </c>
      <c r="C17" s="28" t="s">
        <v>122</v>
      </c>
      <c r="D17" s="29">
        <v>2100</v>
      </c>
      <c r="E17" s="29">
        <v>1600</v>
      </c>
      <c r="F17" s="29">
        <v>1900</v>
      </c>
      <c r="G17" s="29">
        <f>G16*CHOOSE('DCF Model'!$D$27,G69,G70,G71,G72,G73)</f>
        <v>3456</v>
      </c>
      <c r="H17" s="29">
        <f>H16*CHOOSE('DCF Model'!$D$27,H69,H70,H71,H72,H73)</f>
        <v>4276.8</v>
      </c>
      <c r="I17" s="29">
        <f>I16*CHOOSE('DCF Model'!$D$27,I69,I70,I71,I72,I73)</f>
        <v>5322.2400000000016</v>
      </c>
      <c r="J17" s="29">
        <f>J16*CHOOSE('DCF Model'!$D$27,J69,J70,J71,J72,J73)</f>
        <v>5960.9088000000029</v>
      </c>
      <c r="K17" s="29">
        <f>K16*CHOOSE('DCF Model'!$D$27,K69,K70,K71,K72,K73)</f>
        <v>7212.6996480000043</v>
      </c>
    </row>
    <row r="18" spans="2:11" ht="14" x14ac:dyDescent="0.3">
      <c r="B18" s="37" t="s">
        <v>174</v>
      </c>
      <c r="C18" s="28" t="s">
        <v>122</v>
      </c>
      <c r="D18" s="27">
        <f>D17/D16</f>
        <v>6.1764705882352944E-2</v>
      </c>
      <c r="E18" s="27">
        <f>E17/E16</f>
        <v>4.4444444444444446E-2</v>
      </c>
      <c r="F18" s="27">
        <f>F17/F16</f>
        <v>4.7500000000000001E-2</v>
      </c>
      <c r="G18" s="27">
        <f>CHOOSE('DCF Model'!$D$27,G69,G70,G71,G72,G73)</f>
        <v>0.08</v>
      </c>
      <c r="H18" s="27">
        <f>CHOOSE('DCF Model'!$D$27,H69,H70,H71,H72,H73)</f>
        <v>0.09</v>
      </c>
      <c r="I18" s="27">
        <f>CHOOSE('DCF Model'!$D$27,I69,I70,I71,I72,I73)</f>
        <v>0.1</v>
      </c>
      <c r="J18" s="27">
        <f>CHOOSE('DCF Model'!$D$27,J69,J70,J71,J72,J73)</f>
        <v>0.1</v>
      </c>
      <c r="K18" s="27">
        <f>CHOOSE('DCF Model'!$D$27,K69,K70,K71,K72,K73)</f>
        <v>0.11</v>
      </c>
    </row>
    <row r="20" spans="2:11" ht="14" x14ac:dyDescent="0.3">
      <c r="B20" s="22" t="s">
        <v>177</v>
      </c>
      <c r="C20" s="23"/>
      <c r="D20" s="23"/>
      <c r="E20" s="23"/>
      <c r="F20" s="23"/>
      <c r="G20" s="23"/>
      <c r="H20" s="23"/>
      <c r="I20" s="23"/>
      <c r="J20" s="23"/>
      <c r="K20" s="23"/>
    </row>
    <row r="21" spans="2:11" ht="14" x14ac:dyDescent="0.3">
      <c r="B21" s="4" t="s">
        <v>178</v>
      </c>
      <c r="C21" s="20" t="e">
        <f t="shared" ref="C21:K21" si="0">C6+C11+C16</f>
        <v>#VALUE!</v>
      </c>
      <c r="D21" s="20">
        <f t="shared" si="0"/>
        <v>76500</v>
      </c>
      <c r="E21" s="20">
        <f t="shared" si="0"/>
        <v>80500</v>
      </c>
      <c r="F21" s="20">
        <f t="shared" si="0"/>
        <v>86500</v>
      </c>
      <c r="G21" s="20">
        <f t="shared" si="0"/>
        <v>90845</v>
      </c>
      <c r="H21" s="20">
        <f t="shared" si="0"/>
        <v>96560.800000000017</v>
      </c>
      <c r="I21" s="20">
        <f t="shared" si="0"/>
        <v>103934.94000000002</v>
      </c>
      <c r="J21" s="20">
        <f t="shared" si="0"/>
        <v>112194.00000000003</v>
      </c>
      <c r="K21" s="20">
        <f t="shared" si="0"/>
        <v>120104.31802500004</v>
      </c>
    </row>
    <row r="22" spans="2:11" ht="14" x14ac:dyDescent="0.3">
      <c r="B22" s="4" t="s">
        <v>179</v>
      </c>
      <c r="C22" s="20" t="e">
        <f t="shared" ref="C22:K22" si="1">C7+C12+C17</f>
        <v>#VALUE!</v>
      </c>
      <c r="D22" s="20">
        <f t="shared" si="1"/>
        <v>5800</v>
      </c>
      <c r="E22" s="20">
        <f t="shared" si="1"/>
        <v>5400</v>
      </c>
      <c r="F22" s="20">
        <f t="shared" si="1"/>
        <v>5600</v>
      </c>
      <c r="G22" s="20">
        <f t="shared" si="1"/>
        <v>7489.05</v>
      </c>
      <c r="H22" s="20">
        <f t="shared" si="1"/>
        <v>8660.68</v>
      </c>
      <c r="I22" s="20">
        <f t="shared" si="1"/>
        <v>9995.5410000000011</v>
      </c>
      <c r="J22" s="20">
        <f t="shared" si="1"/>
        <v>11065.412745000003</v>
      </c>
      <c r="K22" s="20">
        <f t="shared" si="1"/>
        <v>12654.009155250005</v>
      </c>
    </row>
    <row r="23" spans="2:11" ht="14" x14ac:dyDescent="0.3">
      <c r="B23" s="37" t="s">
        <v>180</v>
      </c>
      <c r="C23" s="27" t="str">
        <f t="shared" ref="C23:K23" si="2">IFERROR(C22/C21,"—")</f>
        <v>—</v>
      </c>
      <c r="D23" s="27">
        <f t="shared" si="2"/>
        <v>7.5816993464052282E-2</v>
      </c>
      <c r="E23" s="27">
        <f t="shared" si="2"/>
        <v>6.70807453416149E-2</v>
      </c>
      <c r="F23" s="27">
        <f t="shared" si="2"/>
        <v>6.4739884393063579E-2</v>
      </c>
      <c r="G23" s="27">
        <f t="shared" si="2"/>
        <v>8.2437668556332222E-2</v>
      </c>
      <c r="H23" s="27">
        <f t="shared" si="2"/>
        <v>8.9691469001913812E-2</v>
      </c>
      <c r="I23" s="27">
        <f t="shared" si="2"/>
        <v>9.6171133595689753E-2</v>
      </c>
      <c r="J23" s="27">
        <f t="shared" si="2"/>
        <v>9.8627491175998713E-2</v>
      </c>
      <c r="K23" s="27">
        <f t="shared" si="2"/>
        <v>0.10535848638361227</v>
      </c>
    </row>
    <row r="25" spans="2:11" ht="14" x14ac:dyDescent="0.3">
      <c r="B25" s="38" t="s">
        <v>181</v>
      </c>
      <c r="C25" s="39"/>
      <c r="D25" s="39"/>
      <c r="E25" s="39"/>
      <c r="F25" s="39"/>
      <c r="G25" s="39"/>
      <c r="H25" s="39"/>
      <c r="I25" s="39"/>
      <c r="J25" s="39"/>
      <c r="K25" s="39"/>
    </row>
    <row r="26" spans="2:11" ht="14" x14ac:dyDescent="0.3">
      <c r="B26" s="4" t="s">
        <v>182</v>
      </c>
      <c r="G26" s="40">
        <f>'DCF Model'!C33</f>
        <v>90845</v>
      </c>
      <c r="H26" s="40">
        <f>'DCF Model'!D33</f>
        <v>96560.800000000017</v>
      </c>
      <c r="I26" s="40">
        <f>'DCF Model'!E33</f>
        <v>103934.94000000002</v>
      </c>
      <c r="J26" s="40">
        <f>'DCF Model'!F33</f>
        <v>112194.00000000003</v>
      </c>
      <c r="K26" s="40">
        <f>'DCF Model'!G33</f>
        <v>120104.31802500004</v>
      </c>
    </row>
    <row r="27" spans="2:11" ht="14" x14ac:dyDescent="0.3">
      <c r="B27" s="4" t="s">
        <v>183</v>
      </c>
      <c r="G27" s="29">
        <f>G21</f>
        <v>90845</v>
      </c>
      <c r="H27" s="29">
        <f>H21</f>
        <v>96560.800000000017</v>
      </c>
      <c r="I27" s="29">
        <f>I21</f>
        <v>103934.94000000002</v>
      </c>
      <c r="J27" s="29">
        <f>J21</f>
        <v>112194.00000000003</v>
      </c>
      <c r="K27" s="29">
        <f>K21</f>
        <v>120104.31802500004</v>
      </c>
    </row>
    <row r="28" spans="2:11" ht="14" x14ac:dyDescent="0.3">
      <c r="B28" s="4" t="s">
        <v>184</v>
      </c>
      <c r="G28" s="24">
        <f>G27-G26</f>
        <v>0</v>
      </c>
      <c r="H28" s="24">
        <f>H27-H26</f>
        <v>0</v>
      </c>
      <c r="I28" s="24">
        <f>I27-I26</f>
        <v>0</v>
      </c>
      <c r="J28" s="24">
        <f>J27-J26</f>
        <v>0</v>
      </c>
      <c r="K28" s="24">
        <f>K27-K26</f>
        <v>0</v>
      </c>
    </row>
    <row r="31" spans="2:11" ht="14" x14ac:dyDescent="0.3">
      <c r="B31" s="41" t="s">
        <v>185</v>
      </c>
      <c r="C31" s="42"/>
      <c r="D31" s="42"/>
      <c r="E31" s="42"/>
      <c r="F31" s="42"/>
      <c r="G31" s="42"/>
      <c r="H31" s="42"/>
      <c r="I31" s="42"/>
      <c r="J31" s="42"/>
      <c r="K31" s="42"/>
    </row>
    <row r="32" spans="2:11" ht="14" x14ac:dyDescent="0.3">
      <c r="G32" s="43" t="s">
        <v>88</v>
      </c>
      <c r="H32" s="43" t="s">
        <v>89</v>
      </c>
      <c r="I32" s="43" t="s">
        <v>90</v>
      </c>
      <c r="J32" s="43" t="s">
        <v>91</v>
      </c>
      <c r="K32" s="43" t="s">
        <v>92</v>
      </c>
    </row>
    <row r="33" spans="2:11" ht="14" x14ac:dyDescent="0.3">
      <c r="B33" s="3" t="s">
        <v>186</v>
      </c>
    </row>
    <row r="34" spans="2:11" ht="14" x14ac:dyDescent="0.3">
      <c r="B34" s="4" t="s">
        <v>86</v>
      </c>
      <c r="G34" s="44">
        <v>0.02</v>
      </c>
      <c r="H34" s="44">
        <v>0.02</v>
      </c>
      <c r="I34" s="44">
        <v>0.02</v>
      </c>
      <c r="J34" s="44">
        <v>2.5000000000000001E-2</v>
      </c>
      <c r="K34" s="44">
        <v>2.5000000000000001E-2</v>
      </c>
    </row>
    <row r="35" spans="2:11" ht="14" x14ac:dyDescent="0.3">
      <c r="B35" s="4" t="s">
        <v>187</v>
      </c>
      <c r="G35" s="44">
        <v>0.03</v>
      </c>
      <c r="H35" s="44">
        <v>0.03</v>
      </c>
      <c r="I35" s="44">
        <v>3.2500000000000001E-2</v>
      </c>
      <c r="J35" s="44">
        <v>3.2500000000000001E-2</v>
      </c>
      <c r="K35" s="44">
        <v>3.2500000000000001E-2</v>
      </c>
    </row>
    <row r="36" spans="2:11" ht="14" x14ac:dyDescent="0.3">
      <c r="B36" s="4" t="s">
        <v>188</v>
      </c>
      <c r="G36" s="44">
        <v>0.02</v>
      </c>
      <c r="H36" s="44">
        <v>0.02</v>
      </c>
      <c r="I36" s="44">
        <v>0.02</v>
      </c>
      <c r="J36" s="44">
        <v>2.5000000000000001E-2</v>
      </c>
      <c r="K36" s="44">
        <v>2.5000000000000001E-2</v>
      </c>
    </row>
    <row r="37" spans="2:11" ht="14" x14ac:dyDescent="0.3">
      <c r="B37" s="4" t="s">
        <v>189</v>
      </c>
      <c r="G37" s="44">
        <v>0.01</v>
      </c>
      <c r="H37" s="44">
        <v>0.01</v>
      </c>
      <c r="I37" s="44">
        <v>0.01</v>
      </c>
      <c r="J37" s="44">
        <v>0.01</v>
      </c>
      <c r="K37" s="44">
        <v>0.01</v>
      </c>
    </row>
    <row r="38" spans="2:11" ht="14" x14ac:dyDescent="0.3">
      <c r="B38" s="4" t="s">
        <v>190</v>
      </c>
      <c r="G38" s="44">
        <v>0</v>
      </c>
      <c r="H38" s="44">
        <v>0</v>
      </c>
      <c r="I38" s="44">
        <v>0</v>
      </c>
      <c r="J38" s="44">
        <v>0</v>
      </c>
      <c r="K38" s="44">
        <v>0</v>
      </c>
    </row>
    <row r="40" spans="2:11" ht="14" x14ac:dyDescent="0.3">
      <c r="B40" s="3" t="s">
        <v>191</v>
      </c>
    </row>
    <row r="41" spans="2:11" ht="14" x14ac:dyDescent="0.3">
      <c r="B41" s="4" t="s">
        <v>86</v>
      </c>
      <c r="G41" s="44">
        <v>0.08</v>
      </c>
      <c r="H41" s="44">
        <v>0.08</v>
      </c>
      <c r="I41" s="44">
        <v>8.5000000000000006E-2</v>
      </c>
      <c r="J41" s="44">
        <v>8.5000000000000006E-2</v>
      </c>
      <c r="K41" s="44">
        <v>0.09</v>
      </c>
    </row>
    <row r="42" spans="2:11" ht="14" x14ac:dyDescent="0.3">
      <c r="B42" s="4" t="s">
        <v>187</v>
      </c>
      <c r="G42" s="44">
        <v>8.5000000000000006E-2</v>
      </c>
      <c r="H42" s="44">
        <v>0.09</v>
      </c>
      <c r="I42" s="44">
        <v>0.09</v>
      </c>
      <c r="J42" s="44">
        <v>9.5000000000000001E-2</v>
      </c>
      <c r="K42" s="44">
        <v>9.5000000000000001E-2</v>
      </c>
    </row>
    <row r="43" spans="2:11" ht="14" x14ac:dyDescent="0.3">
      <c r="B43" s="4" t="s">
        <v>188</v>
      </c>
      <c r="G43" s="44">
        <v>0.08</v>
      </c>
      <c r="H43" s="44">
        <v>0.08</v>
      </c>
      <c r="I43" s="44">
        <v>8.5000000000000006E-2</v>
      </c>
      <c r="J43" s="44">
        <v>8.5000000000000006E-2</v>
      </c>
      <c r="K43" s="44">
        <v>0.09</v>
      </c>
    </row>
    <row r="44" spans="2:11" ht="14" x14ac:dyDescent="0.3">
      <c r="B44" s="4" t="s">
        <v>189</v>
      </c>
      <c r="G44" s="44">
        <v>7.4999999999999997E-2</v>
      </c>
      <c r="H44" s="44">
        <v>7.4999999999999997E-2</v>
      </c>
      <c r="I44" s="44">
        <v>0.08</v>
      </c>
      <c r="J44" s="44">
        <v>0.08</v>
      </c>
      <c r="K44" s="44">
        <v>0.08</v>
      </c>
    </row>
    <row r="45" spans="2:11" ht="14" x14ac:dyDescent="0.3">
      <c r="B45" s="4" t="s">
        <v>190</v>
      </c>
      <c r="G45" s="44">
        <v>7.0000000000000007E-2</v>
      </c>
      <c r="H45" s="44">
        <v>7.0000000000000007E-2</v>
      </c>
      <c r="I45" s="44">
        <v>7.4999999999999997E-2</v>
      </c>
      <c r="J45" s="44">
        <v>7.4999999999999997E-2</v>
      </c>
      <c r="K45" s="44">
        <v>7.4999999999999997E-2</v>
      </c>
    </row>
    <row r="47" spans="2:11" ht="14" x14ac:dyDescent="0.3">
      <c r="B47" s="3" t="s">
        <v>192</v>
      </c>
    </row>
    <row r="48" spans="2:11" ht="14" x14ac:dyDescent="0.3">
      <c r="B48" s="4" t="s">
        <v>86</v>
      </c>
      <c r="G48" s="44">
        <v>0.03</v>
      </c>
      <c r="H48" s="44">
        <v>0.04</v>
      </c>
      <c r="I48" s="44">
        <v>0.05</v>
      </c>
      <c r="J48" s="44">
        <v>0.05</v>
      </c>
      <c r="K48" s="44">
        <v>0.05</v>
      </c>
    </row>
    <row r="49" spans="2:11" ht="14" x14ac:dyDescent="0.3">
      <c r="B49" s="4" t="s">
        <v>187</v>
      </c>
      <c r="G49" s="44">
        <v>0.05</v>
      </c>
      <c r="H49" s="44">
        <v>0.05</v>
      </c>
      <c r="I49" s="44">
        <v>0.06</v>
      </c>
      <c r="J49" s="44">
        <v>0.06</v>
      </c>
      <c r="K49" s="44">
        <v>0.06</v>
      </c>
    </row>
    <row r="50" spans="2:11" ht="14" x14ac:dyDescent="0.3">
      <c r="B50" s="4" t="s">
        <v>188</v>
      </c>
      <c r="G50" s="44">
        <v>0.03</v>
      </c>
      <c r="H50" s="44">
        <v>0.04</v>
      </c>
      <c r="I50" s="44">
        <v>0.05</v>
      </c>
      <c r="J50" s="44">
        <v>0.05</v>
      </c>
      <c r="K50" s="44">
        <v>0.05</v>
      </c>
    </row>
    <row r="51" spans="2:11" ht="14" x14ac:dyDescent="0.3">
      <c r="B51" s="4" t="s">
        <v>189</v>
      </c>
      <c r="G51" s="44">
        <v>0.01</v>
      </c>
      <c r="H51" s="44">
        <v>0.02</v>
      </c>
      <c r="I51" s="44">
        <v>0.03</v>
      </c>
      <c r="J51" s="44">
        <v>0.03</v>
      </c>
      <c r="K51" s="44">
        <v>0.03</v>
      </c>
    </row>
    <row r="52" spans="2:11" ht="14" x14ac:dyDescent="0.3">
      <c r="B52" s="4" t="s">
        <v>190</v>
      </c>
      <c r="G52" s="44">
        <v>0</v>
      </c>
      <c r="H52" s="44">
        <v>0</v>
      </c>
      <c r="I52" s="44">
        <v>0.01</v>
      </c>
      <c r="J52" s="44">
        <v>0.01</v>
      </c>
      <c r="K52" s="44">
        <v>0.01</v>
      </c>
    </row>
    <row r="54" spans="2:11" ht="14" x14ac:dyDescent="0.3">
      <c r="B54" s="3" t="s">
        <v>193</v>
      </c>
    </row>
    <row r="55" spans="2:11" ht="14" x14ac:dyDescent="0.3">
      <c r="B55" s="4" t="s">
        <v>86</v>
      </c>
      <c r="G55" s="44">
        <v>0.09</v>
      </c>
      <c r="H55" s="44">
        <v>0.1</v>
      </c>
      <c r="I55" s="44">
        <v>0.1</v>
      </c>
      <c r="J55" s="44">
        <v>0.11</v>
      </c>
      <c r="K55" s="44">
        <v>0.11</v>
      </c>
    </row>
    <row r="56" spans="2:11" ht="14" x14ac:dyDescent="0.3">
      <c r="B56" s="4" t="s">
        <v>187</v>
      </c>
      <c r="G56" s="44">
        <v>0.1</v>
      </c>
      <c r="H56" s="44">
        <v>0.11</v>
      </c>
      <c r="I56" s="44">
        <v>0.11</v>
      </c>
      <c r="J56" s="44">
        <v>0.12</v>
      </c>
      <c r="K56" s="44">
        <v>0.12</v>
      </c>
    </row>
    <row r="57" spans="2:11" ht="14" x14ac:dyDescent="0.3">
      <c r="B57" s="4" t="s">
        <v>188</v>
      </c>
      <c r="G57" s="44">
        <v>0.09</v>
      </c>
      <c r="H57" s="44">
        <v>0.1</v>
      </c>
      <c r="I57" s="44">
        <v>0.1</v>
      </c>
      <c r="J57" s="44">
        <v>0.11</v>
      </c>
      <c r="K57" s="44">
        <v>0.11</v>
      </c>
    </row>
    <row r="58" spans="2:11" ht="14" x14ac:dyDescent="0.3">
      <c r="B58" s="4" t="s">
        <v>189</v>
      </c>
      <c r="G58" s="44">
        <v>0.08</v>
      </c>
      <c r="H58" s="44">
        <v>0.09</v>
      </c>
      <c r="I58" s="44">
        <v>0.09</v>
      </c>
      <c r="J58" s="44">
        <v>0.1</v>
      </c>
      <c r="K58" s="44">
        <v>0.1</v>
      </c>
    </row>
    <row r="59" spans="2:11" ht="14" x14ac:dyDescent="0.3">
      <c r="B59" s="4" t="s">
        <v>190</v>
      </c>
      <c r="G59" s="44">
        <v>7.0000000000000007E-2</v>
      </c>
      <c r="H59" s="44">
        <v>0.08</v>
      </c>
      <c r="I59" s="44">
        <v>0.08</v>
      </c>
      <c r="J59" s="44">
        <v>0.09</v>
      </c>
      <c r="K59" s="44">
        <v>0.09</v>
      </c>
    </row>
    <row r="61" spans="2:11" ht="14" x14ac:dyDescent="0.3">
      <c r="B61" s="3" t="s">
        <v>194</v>
      </c>
    </row>
    <row r="62" spans="2:11" ht="14" x14ac:dyDescent="0.3">
      <c r="B62" s="4" t="s">
        <v>86</v>
      </c>
      <c r="G62" s="44">
        <v>0.08</v>
      </c>
      <c r="H62" s="44">
        <v>0.1</v>
      </c>
      <c r="I62" s="44">
        <v>0.12</v>
      </c>
      <c r="J62" s="44">
        <v>0.12</v>
      </c>
      <c r="K62" s="44">
        <v>0.1</v>
      </c>
    </row>
    <row r="63" spans="2:11" ht="14" x14ac:dyDescent="0.3">
      <c r="B63" s="4" t="s">
        <v>187</v>
      </c>
      <c r="G63" s="44">
        <v>0.1</v>
      </c>
      <c r="H63" s="44">
        <v>0.12</v>
      </c>
      <c r="I63" s="44">
        <v>0.14000000000000001</v>
      </c>
      <c r="J63" s="44">
        <v>0.13700000000000001</v>
      </c>
      <c r="K63" s="44">
        <v>0.11600000000000001</v>
      </c>
    </row>
    <row r="64" spans="2:11" ht="14" x14ac:dyDescent="0.3">
      <c r="B64" s="4" t="s">
        <v>188</v>
      </c>
      <c r="G64" s="44">
        <v>0.08</v>
      </c>
      <c r="H64" s="44">
        <v>0.1</v>
      </c>
      <c r="I64" s="44">
        <v>0.12</v>
      </c>
      <c r="J64" s="44">
        <v>0.12</v>
      </c>
      <c r="K64" s="44">
        <v>0.1</v>
      </c>
    </row>
    <row r="65" spans="2:11" ht="14" x14ac:dyDescent="0.3">
      <c r="B65" s="4" t="s">
        <v>189</v>
      </c>
      <c r="G65" s="44">
        <v>0.05</v>
      </c>
      <c r="H65" s="44">
        <v>7.0000000000000007E-2</v>
      </c>
      <c r="I65" s="44">
        <v>0.1</v>
      </c>
      <c r="J65" s="44">
        <v>0.1</v>
      </c>
      <c r="K65" s="44">
        <v>6.9000000000000006E-2</v>
      </c>
    </row>
    <row r="66" spans="2:11" ht="14" x14ac:dyDescent="0.3">
      <c r="B66" s="4" t="s">
        <v>190</v>
      </c>
      <c r="G66" s="44">
        <v>0.02</v>
      </c>
      <c r="H66" s="44">
        <v>0.04</v>
      </c>
      <c r="I66" s="44">
        <v>6.9000000000000006E-2</v>
      </c>
      <c r="J66" s="44">
        <v>7.0000000000000007E-2</v>
      </c>
      <c r="K66" s="44">
        <v>0.04</v>
      </c>
    </row>
    <row r="68" spans="2:11" ht="14" x14ac:dyDescent="0.3">
      <c r="B68" s="3" t="s">
        <v>195</v>
      </c>
    </row>
    <row r="69" spans="2:11" ht="14" x14ac:dyDescent="0.3">
      <c r="B69" s="4" t="s">
        <v>86</v>
      </c>
      <c r="G69" s="44">
        <v>0.08</v>
      </c>
      <c r="H69" s="44">
        <v>0.09</v>
      </c>
      <c r="I69" s="44">
        <v>0.1</v>
      </c>
      <c r="J69" s="44">
        <v>0.1</v>
      </c>
      <c r="K69" s="44">
        <v>0.11</v>
      </c>
    </row>
    <row r="70" spans="2:11" ht="14" x14ac:dyDescent="0.3">
      <c r="B70" s="4" t="s">
        <v>187</v>
      </c>
      <c r="G70" s="44">
        <v>0.09</v>
      </c>
      <c r="H70" s="44">
        <v>0.1</v>
      </c>
      <c r="I70" s="44">
        <v>0.11</v>
      </c>
      <c r="J70" s="44">
        <v>0.11</v>
      </c>
      <c r="K70" s="44">
        <v>0.12</v>
      </c>
    </row>
    <row r="71" spans="2:11" ht="14" x14ac:dyDescent="0.3">
      <c r="B71" s="4" t="s">
        <v>188</v>
      </c>
      <c r="G71" s="44">
        <v>0.08</v>
      </c>
      <c r="H71" s="44">
        <v>0.09</v>
      </c>
      <c r="I71" s="44">
        <v>0.1</v>
      </c>
      <c r="J71" s="44">
        <v>0.1</v>
      </c>
      <c r="K71" s="44">
        <v>0.11</v>
      </c>
    </row>
    <row r="72" spans="2:11" ht="14" x14ac:dyDescent="0.3">
      <c r="B72" s="4" t="s">
        <v>189</v>
      </c>
      <c r="G72" s="44">
        <v>7.0000000000000007E-2</v>
      </c>
      <c r="H72" s="44">
        <v>0.08</v>
      </c>
      <c r="I72" s="44">
        <v>0.09</v>
      </c>
      <c r="J72" s="44">
        <v>0.09</v>
      </c>
      <c r="K72" s="44">
        <v>0.1</v>
      </c>
    </row>
    <row r="73" spans="2:11" ht="14" x14ac:dyDescent="0.3">
      <c r="B73" s="4" t="s">
        <v>190</v>
      </c>
      <c r="G73" s="44">
        <v>0.06</v>
      </c>
      <c r="H73" s="44">
        <v>7.0000000000000007E-2</v>
      </c>
      <c r="I73" s="44">
        <v>0.08</v>
      </c>
      <c r="J73" s="44">
        <v>0.08</v>
      </c>
      <c r="K73" s="44">
        <v>0.09</v>
      </c>
    </row>
    <row r="76" spans="2:11" ht="14" x14ac:dyDescent="0.3">
      <c r="B76" s="45" t="s">
        <v>196</v>
      </c>
      <c r="C76" s="46"/>
      <c r="D76" s="46"/>
      <c r="E76" s="46"/>
      <c r="F76" s="46"/>
      <c r="G76" s="46"/>
      <c r="H76" s="46"/>
      <c r="I76" s="46"/>
      <c r="J76" s="46"/>
      <c r="K76" s="46"/>
    </row>
    <row r="77" spans="2:11" ht="14" x14ac:dyDescent="0.3">
      <c r="G77" s="43" t="s">
        <v>88</v>
      </c>
      <c r="H77" s="43" t="s">
        <v>89</v>
      </c>
      <c r="I77" s="43" t="s">
        <v>90</v>
      </c>
      <c r="J77" s="43" t="s">
        <v>91</v>
      </c>
      <c r="K77" s="43" t="s">
        <v>92</v>
      </c>
    </row>
    <row r="78" spans="2:11" ht="14" x14ac:dyDescent="0.3">
      <c r="B78" s="3" t="s">
        <v>94</v>
      </c>
    </row>
    <row r="79" spans="2:11" ht="14" x14ac:dyDescent="0.3">
      <c r="B79" s="4" t="s">
        <v>86</v>
      </c>
      <c r="G79" s="44">
        <v>0.12</v>
      </c>
      <c r="H79" s="44">
        <v>0.12</v>
      </c>
      <c r="I79" s="44">
        <v>0.115</v>
      </c>
      <c r="J79" s="44">
        <v>0.115</v>
      </c>
      <c r="K79" s="44">
        <v>0.11</v>
      </c>
    </row>
    <row r="80" spans="2:11" ht="14" x14ac:dyDescent="0.3">
      <c r="B80" s="4" t="s">
        <v>187</v>
      </c>
      <c r="G80" s="44">
        <v>0.115</v>
      </c>
      <c r="H80" s="44">
        <v>0.11</v>
      </c>
      <c r="I80" s="44">
        <v>0.11</v>
      </c>
      <c r="J80" s="44">
        <v>0.105</v>
      </c>
      <c r="K80" s="44">
        <v>0.105</v>
      </c>
    </row>
    <row r="81" spans="2:11" ht="14" x14ac:dyDescent="0.3">
      <c r="B81" s="4" t="s">
        <v>188</v>
      </c>
      <c r="G81" s="44">
        <v>0.12</v>
      </c>
      <c r="H81" s="44">
        <v>0.12</v>
      </c>
      <c r="I81" s="44">
        <v>0.115</v>
      </c>
      <c r="J81" s="44">
        <v>0.115</v>
      </c>
      <c r="K81" s="44">
        <v>0.11</v>
      </c>
    </row>
    <row r="82" spans="2:11" ht="14" x14ac:dyDescent="0.3">
      <c r="B82" s="4" t="s">
        <v>189</v>
      </c>
      <c r="G82" s="44">
        <v>0.125</v>
      </c>
      <c r="H82" s="44">
        <v>0.125</v>
      </c>
      <c r="I82" s="44">
        <v>0.12</v>
      </c>
      <c r="J82" s="44">
        <v>0.12</v>
      </c>
      <c r="K82" s="44">
        <v>0.12</v>
      </c>
    </row>
    <row r="83" spans="2:11" ht="14" x14ac:dyDescent="0.3">
      <c r="B83" s="4" t="s">
        <v>190</v>
      </c>
      <c r="G83" s="44">
        <v>0.13</v>
      </c>
      <c r="H83" s="44">
        <v>0.13</v>
      </c>
      <c r="I83" s="44">
        <v>0.125</v>
      </c>
      <c r="J83" s="44">
        <v>0.125</v>
      </c>
      <c r="K83" s="44">
        <v>0.125</v>
      </c>
    </row>
    <row r="85" spans="2:11" ht="14" x14ac:dyDescent="0.3">
      <c r="B85" s="3" t="s">
        <v>121</v>
      </c>
    </row>
    <row r="86" spans="2:11" ht="14" x14ac:dyDescent="0.3">
      <c r="B86" s="4" t="s">
        <v>86</v>
      </c>
      <c r="G86" s="44">
        <v>0.3</v>
      </c>
      <c r="H86" s="44">
        <v>0.3</v>
      </c>
      <c r="I86" s="44">
        <v>0.28999999999999998</v>
      </c>
      <c r="J86" s="44">
        <v>0.28999999999999998</v>
      </c>
      <c r="K86" s="44">
        <v>0.28000000000000003</v>
      </c>
    </row>
    <row r="87" spans="2:11" ht="14" x14ac:dyDescent="0.3">
      <c r="B87" s="4" t="s">
        <v>187</v>
      </c>
      <c r="G87" s="44">
        <v>0.28000000000000003</v>
      </c>
      <c r="H87" s="44">
        <v>0.27</v>
      </c>
      <c r="I87" s="44">
        <v>0.27</v>
      </c>
      <c r="J87" s="44">
        <v>0.26</v>
      </c>
      <c r="K87" s="44">
        <v>0.26</v>
      </c>
    </row>
    <row r="88" spans="2:11" ht="14" x14ac:dyDescent="0.3">
      <c r="B88" s="4" t="s">
        <v>188</v>
      </c>
      <c r="G88" s="44">
        <v>0.3</v>
      </c>
      <c r="H88" s="44">
        <v>0.3</v>
      </c>
      <c r="I88" s="44">
        <v>0.28999999999999998</v>
      </c>
      <c r="J88" s="44">
        <v>0.28999999999999998</v>
      </c>
      <c r="K88" s="44">
        <v>0.28000000000000003</v>
      </c>
    </row>
    <row r="89" spans="2:11" ht="14" x14ac:dyDescent="0.3">
      <c r="B89" s="4" t="s">
        <v>189</v>
      </c>
      <c r="G89" s="44">
        <v>0.32</v>
      </c>
      <c r="H89" s="44">
        <v>0.32</v>
      </c>
      <c r="I89" s="44">
        <v>0.31</v>
      </c>
      <c r="J89" s="44">
        <v>0.31</v>
      </c>
      <c r="K89" s="44">
        <v>0.3</v>
      </c>
    </row>
    <row r="90" spans="2:11" ht="14" x14ac:dyDescent="0.3">
      <c r="B90" s="4" t="s">
        <v>190</v>
      </c>
      <c r="G90" s="44">
        <v>0.34</v>
      </c>
      <c r="H90" s="44">
        <v>0.34</v>
      </c>
      <c r="I90" s="44">
        <v>0.33</v>
      </c>
      <c r="J90" s="44">
        <v>0.33</v>
      </c>
      <c r="K90" s="44">
        <v>0.32</v>
      </c>
    </row>
  </sheetData>
  <phoneticPr fontId="9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B0082"/>
  </sheetPr>
  <dimension ref="B2:K24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34" customWidth="1"/>
    <col min="3" max="11" width="16" customWidth="1"/>
  </cols>
  <sheetData>
    <row r="2" spans="2:11" ht="18" x14ac:dyDescent="0.4">
      <c r="B2" s="2" t="s">
        <v>197</v>
      </c>
    </row>
    <row r="4" spans="2:11" ht="14" x14ac:dyDescent="0.3">
      <c r="C4" s="10" t="s">
        <v>37</v>
      </c>
      <c r="D4" s="10" t="s">
        <v>38</v>
      </c>
      <c r="E4" s="10" t="s">
        <v>39</v>
      </c>
      <c r="F4" s="10" t="s">
        <v>171</v>
      </c>
      <c r="G4" s="10" t="s">
        <v>88</v>
      </c>
      <c r="H4" s="10" t="s">
        <v>89</v>
      </c>
      <c r="I4" s="10" t="s">
        <v>90</v>
      </c>
      <c r="J4" s="10" t="s">
        <v>91</v>
      </c>
      <c r="K4" s="10" t="s">
        <v>92</v>
      </c>
    </row>
    <row r="5" spans="2:11" ht="14" x14ac:dyDescent="0.3">
      <c r="B5" s="8" t="s">
        <v>198</v>
      </c>
      <c r="C5" s="9"/>
      <c r="D5" s="9"/>
      <c r="E5" s="9"/>
      <c r="F5" s="9"/>
      <c r="G5" s="9"/>
      <c r="H5" s="9"/>
      <c r="I5" s="9"/>
      <c r="J5" s="9"/>
      <c r="K5" s="9"/>
    </row>
    <row r="6" spans="2:11" ht="14" x14ac:dyDescent="0.3">
      <c r="B6" s="4" t="s">
        <v>199</v>
      </c>
      <c r="C6" s="28" t="s">
        <v>122</v>
      </c>
      <c r="D6" s="28" t="s">
        <v>122</v>
      </c>
      <c r="E6" s="28" t="s">
        <v>122</v>
      </c>
      <c r="F6" s="28" t="s">
        <v>122</v>
      </c>
      <c r="G6" s="29" t="str">
        <f>F9</f>
        <v>—</v>
      </c>
      <c r="H6" s="29" t="e">
        <f>G9</f>
        <v>#VALUE!</v>
      </c>
      <c r="I6" s="29" t="e">
        <f>H9</f>
        <v>#VALUE!</v>
      </c>
      <c r="J6" s="29" t="e">
        <f>I9</f>
        <v>#VALUE!</v>
      </c>
      <c r="K6" s="29" t="e">
        <f>J9</f>
        <v>#VALUE!</v>
      </c>
    </row>
    <row r="7" spans="2:11" ht="14" x14ac:dyDescent="0.3">
      <c r="B7" s="4" t="s">
        <v>200</v>
      </c>
      <c r="C7" s="28" t="s">
        <v>122</v>
      </c>
      <c r="D7" s="28" t="s">
        <v>122</v>
      </c>
      <c r="E7" s="28" t="s">
        <v>122</v>
      </c>
      <c r="F7" s="28" t="s">
        <v>122</v>
      </c>
      <c r="G7" s="47">
        <v>25500</v>
      </c>
      <c r="H7" s="47">
        <v>26010</v>
      </c>
      <c r="I7" s="47">
        <v>26530</v>
      </c>
      <c r="J7" s="47">
        <v>27193</v>
      </c>
      <c r="K7" s="47">
        <v>27873</v>
      </c>
    </row>
    <row r="8" spans="2:11" ht="14" x14ac:dyDescent="0.3">
      <c r="B8" s="4" t="s">
        <v>201</v>
      </c>
      <c r="C8" s="28" t="s">
        <v>122</v>
      </c>
      <c r="D8" s="29">
        <v>23000</v>
      </c>
      <c r="E8" s="29">
        <v>24000</v>
      </c>
      <c r="F8" s="29">
        <v>25000</v>
      </c>
      <c r="G8" s="47">
        <v>25500</v>
      </c>
      <c r="H8" s="47">
        <v>26010</v>
      </c>
      <c r="I8" s="47">
        <v>26530</v>
      </c>
      <c r="J8" s="47">
        <v>27193</v>
      </c>
      <c r="K8" s="47">
        <v>27873</v>
      </c>
    </row>
    <row r="9" spans="2:11" ht="14" x14ac:dyDescent="0.3">
      <c r="B9" s="4" t="s">
        <v>202</v>
      </c>
      <c r="C9" s="28" t="s">
        <v>122</v>
      </c>
      <c r="D9" s="28" t="s">
        <v>122</v>
      </c>
      <c r="E9" s="28" t="s">
        <v>122</v>
      </c>
      <c r="F9" s="28" t="s">
        <v>122</v>
      </c>
      <c r="G9" s="20" t="e">
        <f>G6+G7-G8</f>
        <v>#VALUE!</v>
      </c>
      <c r="H9" s="20" t="e">
        <f>H6+H7-H8</f>
        <v>#VALUE!</v>
      </c>
      <c r="I9" s="20" t="e">
        <f>I6+I7-I8</f>
        <v>#VALUE!</v>
      </c>
      <c r="J9" s="20" t="e">
        <f>J6+J7-J8</f>
        <v>#VALUE!</v>
      </c>
      <c r="K9" s="20" t="e">
        <f>K6+K7-K8</f>
        <v>#VALUE!</v>
      </c>
    </row>
    <row r="10" spans="2:11" ht="14" x14ac:dyDescent="0.3">
      <c r="B10" s="37" t="s">
        <v>203</v>
      </c>
      <c r="C10" s="48" t="str">
        <f t="shared" ref="C10:K10" si="0">IFERROR(C7/C8,"—")</f>
        <v>—</v>
      </c>
      <c r="D10" s="48" t="str">
        <f t="shared" si="0"/>
        <v>—</v>
      </c>
      <c r="E10" s="48" t="str">
        <f t="shared" si="0"/>
        <v>—</v>
      </c>
      <c r="F10" s="48" t="str">
        <f t="shared" si="0"/>
        <v>—</v>
      </c>
      <c r="G10" s="48">
        <f t="shared" si="0"/>
        <v>1</v>
      </c>
      <c r="H10" s="48">
        <f t="shared" si="0"/>
        <v>1</v>
      </c>
      <c r="I10" s="48">
        <f t="shared" si="0"/>
        <v>1</v>
      </c>
      <c r="J10" s="48">
        <f t="shared" si="0"/>
        <v>1</v>
      </c>
      <c r="K10" s="48">
        <f t="shared" si="0"/>
        <v>1</v>
      </c>
    </row>
    <row r="12" spans="2:11" ht="14" x14ac:dyDescent="0.3">
      <c r="B12" s="8" t="s">
        <v>204</v>
      </c>
      <c r="C12" s="9"/>
      <c r="D12" s="9"/>
      <c r="E12" s="9"/>
      <c r="F12" s="9"/>
      <c r="G12" s="9"/>
      <c r="H12" s="9"/>
      <c r="I12" s="9"/>
      <c r="J12" s="9"/>
      <c r="K12" s="9"/>
    </row>
    <row r="13" spans="2:11" ht="14" x14ac:dyDescent="0.3">
      <c r="B13" s="4" t="s">
        <v>199</v>
      </c>
      <c r="C13" s="28" t="s">
        <v>122</v>
      </c>
      <c r="D13" s="28" t="s">
        <v>122</v>
      </c>
      <c r="E13" s="28" t="s">
        <v>122</v>
      </c>
      <c r="F13" s="28" t="s">
        <v>122</v>
      </c>
      <c r="G13" s="29" t="str">
        <f>F16</f>
        <v>—</v>
      </c>
      <c r="H13" s="29" t="e">
        <f>G16</f>
        <v>#VALUE!</v>
      </c>
      <c r="I13" s="29" t="e">
        <f>H16</f>
        <v>#VALUE!</v>
      </c>
      <c r="J13" s="29" t="e">
        <f>I16</f>
        <v>#VALUE!</v>
      </c>
      <c r="K13" s="29" t="e">
        <f>J16</f>
        <v>#VALUE!</v>
      </c>
    </row>
    <row r="14" spans="2:11" ht="14" x14ac:dyDescent="0.3">
      <c r="B14" s="4" t="s">
        <v>200</v>
      </c>
      <c r="C14" s="28" t="s">
        <v>122</v>
      </c>
      <c r="D14" s="28" t="s">
        <v>122</v>
      </c>
      <c r="E14" s="28" t="s">
        <v>122</v>
      </c>
      <c r="F14" s="28" t="s">
        <v>122</v>
      </c>
      <c r="G14" s="47">
        <v>22145</v>
      </c>
      <c r="H14" s="47">
        <v>23031</v>
      </c>
      <c r="I14" s="47">
        <v>24183</v>
      </c>
      <c r="J14" s="47">
        <v>25392</v>
      </c>
      <c r="K14" s="47">
        <v>26661</v>
      </c>
    </row>
    <row r="15" spans="2:11" ht="14" x14ac:dyDescent="0.3">
      <c r="B15" s="4" t="s">
        <v>201</v>
      </c>
      <c r="C15" s="28" t="s">
        <v>122</v>
      </c>
      <c r="D15" s="29">
        <v>19500</v>
      </c>
      <c r="E15" s="29">
        <v>20500</v>
      </c>
      <c r="F15" s="29">
        <v>21500</v>
      </c>
      <c r="G15" s="47">
        <v>22145</v>
      </c>
      <c r="H15" s="47">
        <v>23031</v>
      </c>
      <c r="I15" s="47">
        <v>24183</v>
      </c>
      <c r="J15" s="47">
        <v>25392</v>
      </c>
      <c r="K15" s="47">
        <v>26661</v>
      </c>
    </row>
    <row r="16" spans="2:11" ht="14" x14ac:dyDescent="0.3">
      <c r="B16" s="4" t="s">
        <v>202</v>
      </c>
      <c r="C16" s="28" t="s">
        <v>122</v>
      </c>
      <c r="D16" s="28" t="s">
        <v>122</v>
      </c>
      <c r="E16" s="28" t="s">
        <v>122</v>
      </c>
      <c r="F16" s="28" t="s">
        <v>122</v>
      </c>
      <c r="G16" s="20" t="e">
        <f>G13+G14-G15</f>
        <v>#VALUE!</v>
      </c>
      <c r="H16" s="20" t="e">
        <f>H13+H14-H15</f>
        <v>#VALUE!</v>
      </c>
      <c r="I16" s="20" t="e">
        <f>I13+I14-I15</f>
        <v>#VALUE!</v>
      </c>
      <c r="J16" s="20" t="e">
        <f>J13+J14-J15</f>
        <v>#VALUE!</v>
      </c>
      <c r="K16" s="20" t="e">
        <f>K13+K14-K15</f>
        <v>#VALUE!</v>
      </c>
    </row>
    <row r="17" spans="2:11" ht="14" x14ac:dyDescent="0.3">
      <c r="B17" s="37" t="s">
        <v>203</v>
      </c>
      <c r="C17" s="48" t="str">
        <f t="shared" ref="C17:K17" si="1">IFERROR(C14/C15,"—")</f>
        <v>—</v>
      </c>
      <c r="D17" s="48" t="str">
        <f t="shared" si="1"/>
        <v>—</v>
      </c>
      <c r="E17" s="48" t="str">
        <f t="shared" si="1"/>
        <v>—</v>
      </c>
      <c r="F17" s="48" t="str">
        <f t="shared" si="1"/>
        <v>—</v>
      </c>
      <c r="G17" s="48">
        <f t="shared" si="1"/>
        <v>1</v>
      </c>
      <c r="H17" s="48">
        <f t="shared" si="1"/>
        <v>1</v>
      </c>
      <c r="I17" s="48">
        <f t="shared" si="1"/>
        <v>1</v>
      </c>
      <c r="J17" s="48">
        <f t="shared" si="1"/>
        <v>1</v>
      </c>
      <c r="K17" s="48">
        <f t="shared" si="1"/>
        <v>1</v>
      </c>
    </row>
    <row r="19" spans="2:11" ht="14" x14ac:dyDescent="0.3">
      <c r="B19" s="8" t="s">
        <v>205</v>
      </c>
      <c r="C19" s="9"/>
      <c r="D19" s="9"/>
      <c r="E19" s="9"/>
      <c r="F19" s="9"/>
      <c r="G19" s="9"/>
      <c r="H19" s="9"/>
      <c r="I19" s="9"/>
      <c r="J19" s="9"/>
      <c r="K19" s="9"/>
    </row>
    <row r="20" spans="2:11" ht="14" x14ac:dyDescent="0.3">
      <c r="B20" s="4" t="s">
        <v>199</v>
      </c>
      <c r="C20" s="28" t="s">
        <v>122</v>
      </c>
      <c r="D20" s="28" t="s">
        <v>122</v>
      </c>
      <c r="E20" s="28" t="s">
        <v>122</v>
      </c>
      <c r="F20" s="28" t="s">
        <v>122</v>
      </c>
      <c r="G20" s="29" t="str">
        <f>F23</f>
        <v>—</v>
      </c>
      <c r="H20" s="29" t="e">
        <f>G23</f>
        <v>#VALUE!</v>
      </c>
      <c r="I20" s="29" t="e">
        <f>H23</f>
        <v>#VALUE!</v>
      </c>
      <c r="J20" s="29" t="e">
        <f>I23</f>
        <v>#VALUE!</v>
      </c>
      <c r="K20" s="29" t="e">
        <f>J23</f>
        <v>#VALUE!</v>
      </c>
    </row>
    <row r="21" spans="2:11" ht="14" x14ac:dyDescent="0.3">
      <c r="B21" s="4" t="s">
        <v>200</v>
      </c>
      <c r="C21" s="28" t="s">
        <v>122</v>
      </c>
      <c r="D21" s="28" t="s">
        <v>122</v>
      </c>
      <c r="E21" s="28" t="s">
        <v>122</v>
      </c>
      <c r="F21" s="28" t="s">
        <v>122</v>
      </c>
      <c r="G21" s="47">
        <v>43200</v>
      </c>
      <c r="H21" s="47">
        <v>47520</v>
      </c>
      <c r="I21" s="47">
        <v>53222</v>
      </c>
      <c r="J21" s="47">
        <v>59609</v>
      </c>
      <c r="K21" s="47">
        <v>65570</v>
      </c>
    </row>
    <row r="22" spans="2:11" ht="14" x14ac:dyDescent="0.3">
      <c r="B22" s="4" t="s">
        <v>201</v>
      </c>
      <c r="C22" s="28" t="s">
        <v>122</v>
      </c>
      <c r="D22" s="29">
        <v>34000</v>
      </c>
      <c r="E22" s="29">
        <v>36000</v>
      </c>
      <c r="F22" s="29">
        <v>40000</v>
      </c>
      <c r="G22" s="47">
        <v>43200</v>
      </c>
      <c r="H22" s="47">
        <v>47520</v>
      </c>
      <c r="I22" s="47">
        <v>53222</v>
      </c>
      <c r="J22" s="47">
        <v>59609</v>
      </c>
      <c r="K22" s="47">
        <v>65570</v>
      </c>
    </row>
    <row r="23" spans="2:11" ht="14" x14ac:dyDescent="0.3">
      <c r="B23" s="4" t="s">
        <v>202</v>
      </c>
      <c r="C23" s="28" t="s">
        <v>122</v>
      </c>
      <c r="D23" s="28" t="s">
        <v>122</v>
      </c>
      <c r="E23" s="28" t="s">
        <v>122</v>
      </c>
      <c r="F23" s="28" t="s">
        <v>122</v>
      </c>
      <c r="G23" s="20" t="e">
        <f>G20+G21-G22</f>
        <v>#VALUE!</v>
      </c>
      <c r="H23" s="20" t="e">
        <f>H20+H21-H22</f>
        <v>#VALUE!</v>
      </c>
      <c r="I23" s="20" t="e">
        <f>I20+I21-I22</f>
        <v>#VALUE!</v>
      </c>
      <c r="J23" s="20" t="e">
        <f>J20+J21-J22</f>
        <v>#VALUE!</v>
      </c>
      <c r="K23" s="20" t="e">
        <f>K20+K21-K22</f>
        <v>#VALUE!</v>
      </c>
    </row>
    <row r="24" spans="2:11" ht="14" x14ac:dyDescent="0.3">
      <c r="B24" s="37" t="s">
        <v>203</v>
      </c>
      <c r="C24" s="48" t="str">
        <f t="shared" ref="C24:K24" si="2">IFERROR(C21/C22,"—")</f>
        <v>—</v>
      </c>
      <c r="D24" s="48" t="str">
        <f t="shared" si="2"/>
        <v>—</v>
      </c>
      <c r="E24" s="48" t="str">
        <f t="shared" si="2"/>
        <v>—</v>
      </c>
      <c r="F24" s="48" t="str">
        <f t="shared" si="2"/>
        <v>—</v>
      </c>
      <c r="G24" s="48">
        <f t="shared" si="2"/>
        <v>1</v>
      </c>
      <c r="H24" s="48">
        <f t="shared" si="2"/>
        <v>1</v>
      </c>
      <c r="I24" s="48">
        <f t="shared" si="2"/>
        <v>1</v>
      </c>
      <c r="J24" s="48">
        <f t="shared" si="2"/>
        <v>1</v>
      </c>
      <c r="K24" s="48">
        <f t="shared" si="2"/>
        <v>1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NWC Schedule</vt:lpstr>
      <vt:lpstr>Comps Analysis</vt:lpstr>
      <vt:lpstr>Sensitivity Analysis</vt:lpstr>
      <vt:lpstr>Segment Analysis</vt:lpstr>
      <vt:lpstr>Driver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2026-04-13T08:56:03Z</dcterms:created>
  <dcterms:modified xsi:type="dcterms:W3CDTF">2026-04-13T09:17:19Z</dcterms:modified>
</cp:coreProperties>
</file>