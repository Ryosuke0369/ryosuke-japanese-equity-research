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5327E528-10F0-4E75-84CE-361F8D387AB2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  <sheet name="Adjustments Log" sheetId="7" r:id="rId7"/>
  </sheets>
  <calcPr calcId="181029"/>
</workbook>
</file>

<file path=xl/calcChain.xml><?xml version="1.0" encoding="utf-8"?>
<calcChain xmlns="http://schemas.openxmlformats.org/spreadsheetml/2006/main">
  <c r="I3" i="6" l="1"/>
  <c r="I17" i="6" s="1"/>
  <c r="F3" i="6"/>
  <c r="H6" i="6" s="1"/>
  <c r="O10" i="5"/>
  <c r="N10" i="5"/>
  <c r="M10" i="5"/>
  <c r="L10" i="5"/>
  <c r="K10" i="5"/>
  <c r="J10" i="5"/>
  <c r="O9" i="5"/>
  <c r="N9" i="5"/>
  <c r="M9" i="5"/>
  <c r="L9" i="5"/>
  <c r="K9" i="5"/>
  <c r="J9" i="5"/>
  <c r="O8" i="5"/>
  <c r="N8" i="5"/>
  <c r="M8" i="5"/>
  <c r="L8" i="5"/>
  <c r="K8" i="5"/>
  <c r="J8" i="5"/>
  <c r="O7" i="5"/>
  <c r="I15" i="5" s="1"/>
  <c r="N7" i="5"/>
  <c r="M7" i="5"/>
  <c r="L7" i="5"/>
  <c r="K7" i="5"/>
  <c r="J7" i="5"/>
  <c r="O6" i="5"/>
  <c r="N6" i="5"/>
  <c r="H16" i="5" s="1"/>
  <c r="M6" i="5"/>
  <c r="G15" i="5" s="1"/>
  <c r="L6" i="5"/>
  <c r="K6" i="5"/>
  <c r="O5" i="5"/>
  <c r="N5" i="5"/>
  <c r="D5" i="5"/>
  <c r="M5" i="5" s="1"/>
  <c r="C16" i="4"/>
  <c r="C18" i="4" s="1"/>
  <c r="C14" i="4"/>
  <c r="C7" i="4"/>
  <c r="C6" i="4"/>
  <c r="C5" i="4"/>
  <c r="D27" i="3"/>
  <c r="H7" i="4" s="1"/>
  <c r="C25" i="3"/>
  <c r="C24" i="3"/>
  <c r="C23" i="3"/>
  <c r="E28" i="2"/>
  <c r="D28" i="2"/>
  <c r="C28" i="2"/>
  <c r="E23" i="2"/>
  <c r="D23" i="2"/>
  <c r="C23" i="2"/>
  <c r="C22" i="2"/>
  <c r="E21" i="2"/>
  <c r="E22" i="2" s="1"/>
  <c r="D21" i="2"/>
  <c r="D22" i="2" s="1"/>
  <c r="C21" i="2"/>
  <c r="E16" i="2"/>
  <c r="D16" i="2"/>
  <c r="E15" i="2"/>
  <c r="D15" i="2"/>
  <c r="E14" i="2"/>
  <c r="D14" i="2"/>
  <c r="C14" i="2"/>
  <c r="E13" i="2"/>
  <c r="D13" i="2"/>
  <c r="C13" i="2"/>
  <c r="D9" i="2"/>
  <c r="E8" i="2"/>
  <c r="E9" i="2" s="1"/>
  <c r="D8" i="2"/>
  <c r="C8" i="2"/>
  <c r="C9" i="2" s="1"/>
  <c r="C19" i="1"/>
  <c r="D19" i="1" s="1"/>
  <c r="C26" i="3" l="1"/>
  <c r="E46" i="3" s="1"/>
  <c r="C3" i="6"/>
  <c r="B11" i="6" s="1"/>
  <c r="E16" i="5"/>
  <c r="F15" i="5"/>
  <c r="I16" i="5"/>
  <c r="E5" i="5"/>
  <c r="K5" i="5" s="1"/>
  <c r="D15" i="5"/>
  <c r="E15" i="5"/>
  <c r="D30" i="3"/>
  <c r="G31" i="3"/>
  <c r="E5" i="4"/>
  <c r="G6" i="4"/>
  <c r="H15" i="5"/>
  <c r="D17" i="5"/>
  <c r="I6" i="6"/>
  <c r="C32" i="3"/>
  <c r="E17" i="5"/>
  <c r="C17" i="6"/>
  <c r="F5" i="4"/>
  <c r="H6" i="4"/>
  <c r="F30" i="3"/>
  <c r="D32" i="3"/>
  <c r="G5" i="4"/>
  <c r="D16" i="5"/>
  <c r="C27" i="5" s="1"/>
  <c r="C18" i="1" s="1"/>
  <c r="D18" i="1" s="1"/>
  <c r="F17" i="5"/>
  <c r="C6" i="6"/>
  <c r="D17" i="6"/>
  <c r="G30" i="3"/>
  <c r="E32" i="3"/>
  <c r="H5" i="4"/>
  <c r="D7" i="4"/>
  <c r="G17" i="5"/>
  <c r="D6" i="6"/>
  <c r="E17" i="6"/>
  <c r="C31" i="3"/>
  <c r="F32" i="3"/>
  <c r="E7" i="4"/>
  <c r="F16" i="5"/>
  <c r="H17" i="5"/>
  <c r="E6" i="6"/>
  <c r="F17" i="6"/>
  <c r="E30" i="3"/>
  <c r="I17" i="5"/>
  <c r="F6" i="6"/>
  <c r="G17" i="6"/>
  <c r="E31" i="3"/>
  <c r="E6" i="4"/>
  <c r="G7" i="4"/>
  <c r="G6" i="6"/>
  <c r="H17" i="6"/>
  <c r="D31" i="3"/>
  <c r="G32" i="3"/>
  <c r="D6" i="4"/>
  <c r="F7" i="4"/>
  <c r="G16" i="5"/>
  <c r="C30" i="3"/>
  <c r="C33" i="3" s="1"/>
  <c r="F31" i="3"/>
  <c r="D5" i="4"/>
  <c r="F6" i="4"/>
  <c r="B23" i="6" l="1"/>
  <c r="B13" i="6"/>
  <c r="D46" i="3"/>
  <c r="G46" i="3"/>
  <c r="F46" i="3"/>
  <c r="B18" i="6"/>
  <c r="B22" i="6"/>
  <c r="C46" i="3"/>
  <c r="B12" i="6"/>
  <c r="J5" i="5"/>
  <c r="B24" i="6"/>
  <c r="B7" i="6"/>
  <c r="B8" i="6"/>
  <c r="B20" i="6"/>
  <c r="B10" i="6"/>
  <c r="B19" i="6"/>
  <c r="B9" i="6"/>
  <c r="B21" i="6"/>
  <c r="D33" i="3"/>
  <c r="C42" i="3"/>
  <c r="C34" i="3"/>
  <c r="D10" i="4" s="1"/>
  <c r="C37" i="3"/>
  <c r="D9" i="4"/>
  <c r="D12" i="4" s="1"/>
  <c r="C43" i="3"/>
  <c r="C35" i="3"/>
  <c r="C38" i="3" l="1"/>
  <c r="C36" i="3"/>
  <c r="C39" i="3"/>
  <c r="D13" i="4"/>
  <c r="D14" i="4" s="1"/>
  <c r="D15" i="4"/>
  <c r="D16" i="4" s="1"/>
  <c r="D43" i="3"/>
  <c r="D42" i="3"/>
  <c r="D34" i="3"/>
  <c r="E10" i="4" s="1"/>
  <c r="D37" i="3"/>
  <c r="E9" i="4"/>
  <c r="E12" i="4" s="1"/>
  <c r="D35" i="3"/>
  <c r="E33" i="3"/>
  <c r="D18" i="4" l="1"/>
  <c r="D19" i="4" s="1"/>
  <c r="C44" i="3" s="1"/>
  <c r="E42" i="3"/>
  <c r="E34" i="3"/>
  <c r="F10" i="4" s="1"/>
  <c r="F33" i="3"/>
  <c r="E37" i="3"/>
  <c r="F9" i="4"/>
  <c r="F12" i="4" s="1"/>
  <c r="E43" i="3"/>
  <c r="E35" i="3"/>
  <c r="D39" i="3"/>
  <c r="D36" i="3"/>
  <c r="D38" i="3"/>
  <c r="C40" i="3"/>
  <c r="C41" i="3" s="1"/>
  <c r="E15" i="4"/>
  <c r="E16" i="4" s="1"/>
  <c r="E13" i="4"/>
  <c r="E14" i="4" s="1"/>
  <c r="E18" i="4" s="1"/>
  <c r="E19" i="4" s="1"/>
  <c r="D44" i="3" s="1"/>
  <c r="C45" i="3" l="1"/>
  <c r="C47" i="3" s="1"/>
  <c r="E36" i="3"/>
  <c r="E39" i="3"/>
  <c r="E38" i="3"/>
  <c r="D40" i="3"/>
  <c r="D41" i="3" s="1"/>
  <c r="D45" i="3" s="1"/>
  <c r="F37" i="3"/>
  <c r="F42" i="3"/>
  <c r="F34" i="3"/>
  <c r="G10" i="4" s="1"/>
  <c r="G9" i="4"/>
  <c r="G12" i="4" s="1"/>
  <c r="F43" i="3"/>
  <c r="G33" i="3"/>
  <c r="F15" i="4"/>
  <c r="F16" i="4" s="1"/>
  <c r="F13" i="4"/>
  <c r="F14" i="4" s="1"/>
  <c r="F18" i="4" s="1"/>
  <c r="F19" i="4" s="1"/>
  <c r="E44" i="3" s="1"/>
  <c r="F35" i="3" l="1"/>
  <c r="D47" i="3"/>
  <c r="G42" i="3"/>
  <c r="G34" i="3"/>
  <c r="H10" i="4" s="1"/>
  <c r="G37" i="3"/>
  <c r="H9" i="4"/>
  <c r="H12" i="4" s="1"/>
  <c r="G43" i="3"/>
  <c r="G35" i="3"/>
  <c r="F39" i="3"/>
  <c r="F38" i="3"/>
  <c r="F36" i="3"/>
  <c r="E40" i="3"/>
  <c r="E41" i="3" s="1"/>
  <c r="E45" i="3" s="1"/>
  <c r="G15" i="4"/>
  <c r="G16" i="4" s="1"/>
  <c r="G13" i="4"/>
  <c r="G14" i="4" s="1"/>
  <c r="G18" i="4" s="1"/>
  <c r="G19" i="4" s="1"/>
  <c r="F44" i="3" s="1"/>
  <c r="E47" i="3" l="1"/>
  <c r="G36" i="3"/>
  <c r="G38" i="3"/>
  <c r="G39" i="3"/>
  <c r="H15" i="4"/>
  <c r="H16" i="4" s="1"/>
  <c r="H13" i="4"/>
  <c r="H14" i="4" s="1"/>
  <c r="F40" i="3"/>
  <c r="F41" i="3" s="1"/>
  <c r="F45" i="3" s="1"/>
  <c r="F47" i="3" s="1"/>
  <c r="H18" i="4" l="1"/>
  <c r="H19" i="4" s="1"/>
  <c r="G44" i="3" s="1"/>
  <c r="G40" i="3"/>
  <c r="G41" i="3" s="1"/>
  <c r="G45" i="3" s="1"/>
  <c r="C59" i="3"/>
  <c r="C60" i="3" s="1"/>
  <c r="C61" i="3" s="1"/>
  <c r="F7" i="6" l="1"/>
  <c r="I11" i="6"/>
  <c r="C19" i="6"/>
  <c r="G18" i="6"/>
  <c r="I23" i="6"/>
  <c r="G19" i="6"/>
  <c r="H24" i="6"/>
  <c r="C24" i="6"/>
  <c r="G11" i="6"/>
  <c r="F22" i="6"/>
  <c r="C18" i="6"/>
  <c r="I10" i="6"/>
  <c r="H10" i="6"/>
  <c r="D20" i="6"/>
  <c r="E24" i="6"/>
  <c r="H19" i="6"/>
  <c r="C51" i="3"/>
  <c r="C52" i="3" s="1"/>
  <c r="G47" i="3"/>
  <c r="C50" i="3" s="1"/>
  <c r="C12" i="6"/>
  <c r="E21" i="6"/>
  <c r="G23" i="6"/>
  <c r="E9" i="6"/>
  <c r="I19" i="6"/>
  <c r="I12" i="6"/>
  <c r="D10" i="6"/>
  <c r="D19" i="6"/>
  <c r="D23" i="6"/>
  <c r="I13" i="6"/>
  <c r="H11" i="6"/>
  <c r="H13" i="6"/>
  <c r="F21" i="6"/>
  <c r="D24" i="6"/>
  <c r="E22" i="6"/>
  <c r="I24" i="6"/>
  <c r="F9" i="6"/>
  <c r="D11" i="6"/>
  <c r="I20" i="6"/>
  <c r="H18" i="6"/>
  <c r="I22" i="6"/>
  <c r="C8" i="6"/>
  <c r="H22" i="6"/>
  <c r="G13" i="6"/>
  <c r="H8" i="6"/>
  <c r="C7" i="6"/>
  <c r="F12" i="6"/>
  <c r="F8" i="6"/>
  <c r="F24" i="6"/>
  <c r="G20" i="6"/>
  <c r="D7" i="6"/>
  <c r="C20" i="6"/>
  <c r="C13" i="6"/>
  <c r="E11" i="6"/>
  <c r="E19" i="6"/>
  <c r="F11" i="6"/>
  <c r="I9" i="6"/>
  <c r="F13" i="6"/>
  <c r="I21" i="6"/>
  <c r="G12" i="6"/>
  <c r="F10" i="6"/>
  <c r="I8" i="6"/>
  <c r="E7" i="6"/>
  <c r="H12" i="6"/>
  <c r="H20" i="6"/>
  <c r="C22" i="6"/>
  <c r="F23" i="6"/>
  <c r="E8" i="6"/>
  <c r="D18" i="6"/>
  <c r="E13" i="6"/>
  <c r="I18" i="6"/>
  <c r="E23" i="6"/>
  <c r="G8" i="6"/>
  <c r="E20" i="6"/>
  <c r="G7" i="6"/>
  <c r="C10" i="6"/>
  <c r="F18" i="6"/>
  <c r="D22" i="6"/>
  <c r="C21" i="6"/>
  <c r="G9" i="6"/>
  <c r="D8" i="6"/>
  <c r="G10" i="6"/>
  <c r="H7" i="6"/>
  <c r="H21" i="6"/>
  <c r="I7" i="6"/>
  <c r="G21" i="6"/>
  <c r="C9" i="6"/>
  <c r="D13" i="6"/>
  <c r="G22" i="6"/>
  <c r="E12" i="6"/>
  <c r="G24" i="6"/>
  <c r="F20" i="6"/>
  <c r="F19" i="6"/>
  <c r="D9" i="6"/>
  <c r="D12" i="6"/>
  <c r="C23" i="6"/>
  <c r="E10" i="6"/>
  <c r="H9" i="6"/>
  <c r="D21" i="6"/>
  <c r="C11" i="6"/>
  <c r="E18" i="6"/>
  <c r="H23" i="6"/>
  <c r="C58" i="3" l="1"/>
  <c r="C62" i="3" s="1"/>
  <c r="C63" i="3" s="1"/>
  <c r="C64" i="3" s="1"/>
  <c r="C17" i="1" s="1"/>
  <c r="D17" i="1" s="1"/>
  <c r="C53" i="3"/>
  <c r="C54" i="3" l="1"/>
  <c r="C55" i="3" s="1"/>
  <c r="C16" i="1"/>
  <c r="D16" i="1" l="1"/>
  <c r="C10" i="1"/>
  <c r="C21" i="1"/>
  <c r="C12" i="1" l="1"/>
  <c r="C11" i="1" s="1"/>
  <c r="B26" i="1"/>
</calcChain>
</file>

<file path=xl/sharedStrings.xml><?xml version="1.0" encoding="utf-8"?>
<sst xmlns="http://schemas.openxmlformats.org/spreadsheetml/2006/main" count="322" uniqueCount="256">
  <si>
    <t>DISCLAIMER: This is a sample analysis for demonstration purposes only. It does not constitute investment advice.</t>
  </si>
  <si>
    <t>Tsudakoma Corp (6217.T)</t>
  </si>
  <si>
    <t>Equity Research Report</t>
  </si>
  <si>
    <t>Company</t>
  </si>
  <si>
    <t>Tsudakoma Corp</t>
  </si>
  <si>
    <t>Ticker</t>
  </si>
  <si>
    <t>6217.T (TSE Standard)</t>
  </si>
  <si>
    <t>Sector</t>
  </si>
  <si>
    <t>Textile Machinery / Machine Tools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</si>
  <si>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</si>
  <si>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</si>
  <si>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</si>
  <si>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</si>
  <si>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</si>
  <si>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</si>
  <si>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</si>
  <si>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</si>
  <si>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</si>
  <si>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</si>
  <si>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</t>
  </si>
  <si>
    <t>Comps - PER Median</t>
  </si>
  <si>
    <t>Note: PER法は赤字（純利益≦0）のため除外（Target Mid / Range は有効手法のみで算出）</t>
  </si>
  <si>
    <t>Integrated Valuation Range</t>
  </si>
  <si>
    <t>Key Investment Thesis</t>
  </si>
  <si>
    <t>Tsudakoma is a pure-cycle play on emerging-market loom replacement; FY11/24 showed the upside (OP margin 1.1%) but FY11/25 slipped back to a loss.</t>
  </si>
  <si>
    <t>Working capital release (receivables down ~JPY3.5bn in two years) has funded debt paydown, keeping operating cash flow positive despite operating losses.</t>
  </si>
  <si>
    <t>Key Risks</t>
  </si>
  <si>
    <t>Equity ratio is ~9% and interest-bearing debt is ~4.5x parent equity; another down-cycle could require dilutive financing.</t>
  </si>
  <si>
    <t>FY11/26 guidance (OP JPY500m) is back-loaded: H1 was a JPY89m loss, so a second-half miss is the base case risk.</t>
  </si>
  <si>
    <t>Capex has run at one-third to one-half of D&amp;A for three years; deferred maintenance may cap the next upturn.</t>
  </si>
  <si>
    <t>Tsudakoma Corp - Historical Financials (JPY mn)</t>
  </si>
  <si>
    <t>FY2023/11</t>
  </si>
  <si>
    <t>FY2024/11</t>
  </si>
  <si>
    <t>FY2025/11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</si>
  <si>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</si>
  <si>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</si>
  <si>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</si>
  <si>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</si>
  <si>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</si>
  <si>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</si>
  <si>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</si>
  <si>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</si>
  <si>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</si>
  <si>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</si>
  <si>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</si>
  <si>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</si>
  <si>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</si>
  <si>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</si>
  <si>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</si>
  <si>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</si>
  <si>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</si>
  <si>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</si>
  <si>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</si>
  <si>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</si>
  <si>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</si>
  <si>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</si>
  <si>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</si>
  <si>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Note: OCF / Cash / Debt coverage OCF 3/3, Cash 3/3, Debt 3/3 — blank cells are years with no year-key match in the source data (verify against 決算短信 or set hist_ocf / hist_cash / hist_debt in overrides).</t>
  </si>
  <si>
    <t>DCF Valuation Model - Tsudakoma Corp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</si>
  <si>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</si>
  <si>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</si>
  <si>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</si>
  <si>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</si>
  <si>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</si>
  <si>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</si>
  <si>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</si>
  <si>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</si>
  <si>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</si>
  <si>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</si>
  <si>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</si>
  <si>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</si>
  <si>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</si>
  <si>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</si>
  <si>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</si>
  <si>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</si>
  <si>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</si>
  <si>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</si>
  <si>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</si>
  <si>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</si>
  <si>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</si>
  <si>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</si>
  <si>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</si>
  <si>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</si>
  <si>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FY2026(E)</t>
  </si>
  <si>
    <t>FY2027(E)</t>
  </si>
  <si>
    <t>FY2028(E)</t>
  </si>
  <si>
    <t>FY2029(E)</t>
  </si>
  <si>
    <t>FY2030(E)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</si>
  <si>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</si>
  <si>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</si>
  <si>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</si>
  <si>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</si>
  <si>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</si>
  <si>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</si>
  <si>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</si>
  <si>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</si>
  <si>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</si>
  <si>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</si>
  <si>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</si>
  <si>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</si>
  <si>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</si>
  <si>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</si>
  <si>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</si>
  <si>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</si>
  <si>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</si>
  <si>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</si>
  <si>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</si>
  <si>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</si>
  <si>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</si>
  <si>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</si>
  <si>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</si>
  <si>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</si>
  <si>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</si>
  <si>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</si>
  <si>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</si>
  <si>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</si>
  <si>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</si>
  <si>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</si>
  <si>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</si>
  <si>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</si>
  <si>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</si>
  <si>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</si>
  <si>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NWC Schedule - Tsudakoma Corp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</si>
  <si>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</si>
  <si>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</si>
  <si>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</si>
  <si>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</si>
  <si>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</si>
  <si>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</si>
  <si>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</si>
  <si>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</si>
  <si>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</si>
  <si>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</si>
  <si>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</si>
  <si>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</si>
  <si>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</si>
  <si>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</si>
  <si>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</si>
  <si>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</si>
  <si>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</si>
  <si>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</si>
  <si>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</si>
  <si>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2026-08-21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</si>
  <si>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</si>
  <si>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</si>
  <si>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</si>
  <si>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</si>
  <si>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</si>
  <si>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</si>
  <si>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</si>
  <si>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</si>
  <si>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</si>
  <si>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</si>
  <si>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</si>
  <si>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</si>
  <si>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</si>
  <si>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</si>
  <si>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Tsudakoma</t>
  </si>
  <si>
    <t>6217.T</t>
  </si>
  <si>
    <t>N/A</t>
  </si>
  <si>
    <t>Shima Seiki</t>
  </si>
  <si>
    <t>6222.T</t>
  </si>
  <si>
    <t>(D&amp;A n/a)</t>
  </si>
  <si>
    <t>Howa Machinery</t>
  </si>
  <si>
    <t>6203.T</t>
  </si>
  <si>
    <t>ENSHU</t>
  </si>
  <si>
    <t>6218.T</t>
  </si>
  <si>
    <t>Sodick</t>
  </si>
  <si>
    <t>6143.T</t>
  </si>
  <si>
    <t>Makino Milling</t>
  </si>
  <si>
    <t>6135.T</t>
  </si>
  <si>
    <t>Statistics</t>
  </si>
  <si>
    <t>25th Percentile</t>
  </si>
  <si>
    <t>Median (50th)</t>
  </si>
  <si>
    <t>75th Percentile</t>
  </si>
  <si>
    <t>Implied Valuation for Tsudakoma Corp</t>
  </si>
  <si>
    <t>Tsudakoma Corp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</si>
  <si>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</si>
  <si>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</si>
  <si>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</si>
  <si>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</si>
  <si>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</si>
  <si>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</si>
  <si>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Net income &lt;= 0 — PER not meaningful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</si>
  <si>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</si>
  <si>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</si>
  <si>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</si>
  <si>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</si>
  <si>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</si>
  <si>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</si>
  <si>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</si>
  <si>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</si>
  <si>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</si>
  <si>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Tsudakoma Corp</t>
  </si>
  <si>
    <t>日付</t>
  </si>
  <si>
    <t>セル</t>
  </si>
  <si>
    <t>変更内容</t>
  </si>
  <si>
    <t>理由</t>
  </si>
  <si>
    <t>元の値</t>
  </si>
  <si>
    <t>状態</t>
  </si>
  <si>
    <t>2026-08-21</t>
  </si>
  <si>
    <t>-</t>
  </si>
  <si>
    <t>Generated by pipeline on 2026-08-21 14:31, template rev e5effd6</t>
  </si>
  <si>
    <t>初期生成（手修正なし）</t>
  </si>
  <si>
    <t>generated</t>
  </si>
  <si>
    <t>Pipeline Metadata (do not edit — read by scripts/validate_output.py)</t>
  </si>
  <si>
    <t>key</t>
  </si>
  <si>
    <t>value</t>
  </si>
  <si>
    <t>capex_pct_basis</t>
  </si>
  <si>
    <t>assumption</t>
  </si>
  <si>
    <t>capex_pct_c5</t>
  </si>
  <si>
    <t>0.016</t>
  </si>
  <si>
    <t>capex_pct_hist3yr</t>
  </si>
  <si>
    <t>0.007335</t>
  </si>
  <si>
    <t>company_name</t>
  </si>
  <si>
    <t>comps_asof</t>
  </si>
  <si>
    <t>comps_da_missing</t>
  </si>
  <si>
    <t>comps_ev_ebitda_invalid</t>
  </si>
  <si>
    <t>no</t>
  </si>
  <si>
    <t>comps_ev_ebitda_rows</t>
  </si>
  <si>
    <t>7,8,9,10</t>
  </si>
  <si>
    <t>comps_impl_mult_row</t>
  </si>
  <si>
    <t>27</t>
  </si>
  <si>
    <t>comps_impl_per_row</t>
  </si>
  <si>
    <t>28</t>
  </si>
  <si>
    <t>comps_peer_rows</t>
  </si>
  <si>
    <t>6,7,8,9,10</t>
  </si>
  <si>
    <t>comps_stale_excluded</t>
  </si>
  <si>
    <t>none</t>
  </si>
  <si>
    <t>comps_stat_median_row</t>
  </si>
  <si>
    <t>16</t>
  </si>
  <si>
    <t>comps_subject_row</t>
  </si>
  <si>
    <t>5</t>
  </si>
  <si>
    <t>da_pct_basis</t>
  </si>
  <si>
    <t>da_pct_c18</t>
  </si>
  <si>
    <t>da_pct_hist3yr</t>
  </si>
  <si>
    <t>0.02312</t>
  </si>
  <si>
    <t>fs_year_coverage</t>
  </si>
  <si>
    <t>OCF 3/3, Cash 3/3, Debt 3/3</t>
  </si>
  <si>
    <t>fs_year_map</t>
  </si>
  <si>
    <t>FY2023/11&lt;-FY2023[ocf+cash+debt]; FY2024/11&lt;-FY2024[ocf+cash+debt]; FY2025/11&lt;-FY2025[ocf+cash+debt]</t>
  </si>
  <si>
    <t>fs_year_sources</t>
  </si>
  <si>
    <t>overrides: hist_ocf, hist_cash, hist_debt, hist_capex, hist_depreciation | EDINET year-key match: none</t>
  </si>
  <si>
    <t>generated_at</t>
  </si>
  <si>
    <t>2026-08-21 14:31:34</t>
  </si>
  <si>
    <t>ltm_revenue_c20</t>
  </si>
  <si>
    <t>34599.0</t>
  </si>
  <si>
    <t>ltm_revenue_source</t>
  </si>
  <si>
    <t>LTM row</t>
  </si>
  <si>
    <t>narrative_tokens_used</t>
  </si>
  <si>
    <t>pb,price,target_price,upside_pct,wacc</t>
  </si>
  <si>
    <t>scenario_index_range</t>
  </si>
  <si>
    <t>B69:B73</t>
  </si>
  <si>
    <t>template_rev</t>
  </si>
  <si>
    <t>e5effd6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</si>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</sst>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3" fontId="5" fillId="0" borderId="2" xfId="0" applyNumberFormat="1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0" fontId="5" fillId="0" borderId="6" xfId="0" applyFont="1" applyBorder="1" applyAlignment="1">
      <alignment horizontal="right"/>
    </xf>
    <xf numFmtId="177" fontId="5" fillId="0" borderId="6" xfId="0" applyNumberFormat="1" applyFont="1" applyBorder="1"/>
    <xf numFmtId="0" fontId="0" fillId="0" borderId="6" xfId="0" applyBorder="1"/>
    <xf numFmtId="0" fontId="5" fillId="0" borderId="4" xfId="0" applyFont="1" applyBorder="1" applyAlignment="1">
      <alignment horizontal="right"/>
    </xf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opLeftCell="A9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4" t="s">
        <v>0</v>
      </c>
      <c r="C1" s="43"/>
      <c r="D1" s="43"/>
      <c r="E1" s="43"/>
    </row>
    <row r="3" spans="2:5" ht="18" x14ac:dyDescent="0.4">
      <c r="B3" s="42" t="s">
        <v>1</v>
      </c>
      <c r="C3" s="43"/>
      <c r="D3" s="43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841</v>
      </c>
    </row>
    <row r="10" spans="2:5" ht="14" x14ac:dyDescent="0.3">
      <c r="B10" s="4" t="s">
        <v>10</v>
      </c>
      <c r="C10" s="5">
        <f>ROUND(AVERAGE(C16:C19),0)</f>
        <v>-265</v>
      </c>
    </row>
    <row r="11" spans="2:5" ht="14" x14ac:dyDescent="0.3">
      <c r="B11" s="4" t="s">
        <v>11</v>
      </c>
      <c r="C11" s="6" t="str">
        <f>IF(C12&gt;0.15,"BUY",IF(C12&gt;0.05,"HOLD","SELL"))</f>
        <v>SELL</v>
      </c>
    </row>
    <row r="12" spans="2:5" ht="14" x14ac:dyDescent="0.3">
      <c r="B12" s="4" t="s">
        <v>12</v>
      </c>
      <c r="C12" s="7">
        <f>(C10-C9)/C9</f>
        <v>-1.3151010701545778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 t="str">
        <f>IF('DCF Model'!C53&lt;'DCF Model'!C16,"INVALID (EV &lt; net debt)",'DCF Model'!C55)</f>
        <v>INVALID (EV &lt; net debt)</v>
      </c>
      <c r="D16" s="7" t="str">
        <f>IF(ISNUMBER(C16),(C16-C9)/C9,"N/A")</f>
        <v>N/A</v>
      </c>
    </row>
    <row r="17" spans="2:5" ht="13.5" x14ac:dyDescent="0.25">
      <c r="B17" t="s">
        <v>18</v>
      </c>
      <c r="C17" s="11">
        <f>'DCF Model'!C64</f>
        <v>-168</v>
      </c>
      <c r="D17" s="7">
        <f>(C17-C9)/C9</f>
        <v>-1.1997621878715814</v>
      </c>
    </row>
    <row r="18" spans="2:5" ht="13.5" x14ac:dyDescent="0.25">
      <c r="B18" t="s">
        <v>19</v>
      </c>
      <c r="C18" s="11">
        <f>'Comps Analysis'!C27</f>
        <v>-361</v>
      </c>
      <c r="D18" s="7">
        <f>IF(ISNUMBER(C18),(C18-C9)/C9,"N/A")</f>
        <v>-1.4292508917954816</v>
      </c>
    </row>
    <row r="19" spans="2:5" ht="13.5" x14ac:dyDescent="0.25">
      <c r="B19" t="s">
        <v>20</v>
      </c>
      <c r="C19" s="11" t="str">
        <f>'Comps Analysis'!C28</f>
        <v>N/A</v>
      </c>
      <c r="D19" s="7" t="str">
        <f>IF(ISNUMBER(C19),(C19-C9)/C9,"N/A")</f>
        <v>N/A</v>
      </c>
    </row>
    <row r="20" spans="2:5" ht="14" x14ac:dyDescent="0.3">
      <c r="B20" s="44" t="s">
        <v>21</v>
      </c>
      <c r="C20" s="43"/>
      <c r="D20" s="43"/>
      <c r="E20" s="43"/>
    </row>
    <row r="21" spans="2:5" ht="14" x14ac:dyDescent="0.3">
      <c r="B21" s="4" t="s">
        <v>22</v>
      </c>
      <c r="C21" s="6" t="str">
        <f>MIN(C16:C19)&amp;" - "&amp;MAX(C16:C19)</f>
        <v>-361 - -168</v>
      </c>
    </row>
    <row r="23" spans="2:5" ht="14" x14ac:dyDescent="0.3">
      <c r="B23" s="8" t="s">
        <v>23</v>
      </c>
      <c r="C23" s="9"/>
      <c r="D23" s="9"/>
    </row>
    <row r="24" spans="2:5" x14ac:dyDescent="0.2">
      <c r="B24" t="s">
        <v>24</v>
      </c>
    </row>
    <row r="25" spans="2:5" x14ac:dyDescent="0.2">
      <c r="B25" t="s">
        <v>25</v>
      </c>
    </row>
    <row r="26" spans="2:5" x14ac:dyDescent="0.2">
      <c r="B26" t="str">
        <f>"At "&amp;TEXT(C9,"#,##0")&amp;" the stock trades at "&amp;TEXT('Comps Analysis'!M5,"0.00""x""")&amp;" PBR with WACC of "&amp;TEXT('DCF Model'!C26,"0.00%")&amp;"; our target of "&amp;TEXT(C10,"#,##0")&amp;" implies "&amp;TEXT(C12,"+0.0%;-0.0%")&amp;", reflecting mid-cycle margins of ~1.5%."</f>
        <v>At 841 the stock trades at 2.27x PBR with WACC of 6.66%; our target of -265 implies -131.5%, reflecting mid-cycle margins of ~1.5%.</v>
      </c>
    </row>
    <row r="28" spans="2:5" ht="14" x14ac:dyDescent="0.3">
      <c r="B28" s="8" t="s">
        <v>26</v>
      </c>
      <c r="C28" s="9"/>
      <c r="D28" s="9"/>
    </row>
    <row r="29" spans="2:5" x14ac:dyDescent="0.2">
      <c r="B29" t="s">
        <v>27</v>
      </c>
    </row>
    <row r="30" spans="2:5" x14ac:dyDescent="0.2">
      <c r="B30" t="s">
        <v>28</v>
      </c>
    </row>
    <row r="31" spans="2:5" x14ac:dyDescent="0.2">
      <c r="B31" t="s">
        <v>29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E30"/>
  <sheetViews>
    <sheetView tabSelected="1" workbookViewId="0"/>
  </sheetViews>
  <sheetFormatPr defaultRowHeight="13" x14ac:dyDescent="0.2"/>
  <cols>
    <col min="1" max="1" width="3" customWidth="1"/>
    <col min="2" max="2" width="32" customWidth="1"/>
    <col min="3" max="5" width="18" customWidth="1"/>
  </cols>
  <sheetData>
    <row r="2" spans="2:5" ht="18" x14ac:dyDescent="0.4">
      <c r="B2" s="2" t="s">
        <v>30</v>
      </c>
    </row>
    <row r="4" spans="2:5" ht="14" x14ac:dyDescent="0.3">
      <c r="C4" s="10" t="s">
        <v>31</v>
      </c>
      <c r="D4" s="10" t="s">
        <v>32</v>
      </c>
      <c r="E4" s="10" t="s">
        <v>33</v>
      </c>
    </row>
    <row r="5" spans="2:5" ht="14" x14ac:dyDescent="0.3">
      <c r="B5" s="3" t="s">
        <v>34</v>
      </c>
    </row>
    <row r="6" spans="2:5" ht="14" x14ac:dyDescent="0.3">
      <c r="B6" s="4" t="s">
        <v>35</v>
      </c>
      <c r="C6" s="5">
        <v>39278</v>
      </c>
      <c r="D6" s="5">
        <v>36445</v>
      </c>
      <c r="E6" s="5">
        <v>35447</v>
      </c>
    </row>
    <row r="7" spans="2:5" ht="14" x14ac:dyDescent="0.3">
      <c r="B7" s="4" t="s">
        <v>36</v>
      </c>
      <c r="C7" s="5">
        <v>34344</v>
      </c>
      <c r="D7" s="5">
        <v>30512</v>
      </c>
      <c r="E7" s="5">
        <v>29658</v>
      </c>
    </row>
    <row r="8" spans="2:5" ht="14" x14ac:dyDescent="0.3">
      <c r="B8" s="4" t="s">
        <v>37</v>
      </c>
      <c r="C8" s="5">
        <f>C6-C7</f>
        <v>4934</v>
      </c>
      <c r="D8" s="5">
        <f>D6-D7</f>
        <v>5933</v>
      </c>
      <c r="E8" s="5">
        <f>E6-E7</f>
        <v>5789</v>
      </c>
    </row>
    <row r="9" spans="2:5" ht="13.5" x14ac:dyDescent="0.25">
      <c r="B9" t="s">
        <v>38</v>
      </c>
      <c r="C9" s="7">
        <f>C8/C6</f>
        <v>0.12561739396099597</v>
      </c>
      <c r="D9" s="7">
        <f>D8/D6</f>
        <v>0.16279325010289478</v>
      </c>
      <c r="E9" s="7">
        <f>E8/E6</f>
        <v>0.16331424380060372</v>
      </c>
    </row>
    <row r="10" spans="2:5" ht="14" x14ac:dyDescent="0.3">
      <c r="B10" s="4" t="s">
        <v>39</v>
      </c>
      <c r="C10" s="5">
        <v>6150</v>
      </c>
      <c r="D10" s="5">
        <v>5534</v>
      </c>
      <c r="E10" s="5">
        <v>5869</v>
      </c>
    </row>
    <row r="11" spans="2:5" ht="14" x14ac:dyDescent="0.3">
      <c r="B11" s="4" t="s">
        <v>40</v>
      </c>
      <c r="C11" s="5">
        <v>-1216</v>
      </c>
      <c r="D11" s="5">
        <v>398</v>
      </c>
      <c r="E11" s="5">
        <v>-79</v>
      </c>
    </row>
    <row r="12" spans="2:5" ht="14" x14ac:dyDescent="0.3">
      <c r="B12" s="4" t="s">
        <v>41</v>
      </c>
      <c r="C12" s="5">
        <v>-1246</v>
      </c>
      <c r="D12" s="5">
        <v>488</v>
      </c>
      <c r="E12" s="5">
        <v>-262</v>
      </c>
    </row>
    <row r="13" spans="2:5" ht="13.5" x14ac:dyDescent="0.25">
      <c r="B13" t="s">
        <v>42</v>
      </c>
      <c r="C13" s="7">
        <f>C11/C6</f>
        <v>-3.0958806456540557E-2</v>
      </c>
      <c r="D13" s="7">
        <f>D11/D6</f>
        <v>1.0920565235286048E-2</v>
      </c>
      <c r="E13" s="7">
        <f>E11/E6</f>
        <v>-2.2286794369058031E-3</v>
      </c>
    </row>
    <row r="14" spans="2:5" ht="13.5" x14ac:dyDescent="0.25">
      <c r="B14" t="s">
        <v>43</v>
      </c>
      <c r="C14" s="7">
        <f>C12/C6</f>
        <v>-3.1722592800040736E-2</v>
      </c>
      <c r="D14" s="7">
        <f>D12/D6</f>
        <v>1.3390039785978872E-2</v>
      </c>
      <c r="E14" s="7">
        <f>E12/E6</f>
        <v>-7.3913166135357016E-3</v>
      </c>
    </row>
    <row r="15" spans="2:5" ht="13.5" x14ac:dyDescent="0.25">
      <c r="B15" t="s">
        <v>44</v>
      </c>
      <c r="C15" t="s">
        <v>45</v>
      </c>
      <c r="D15" s="7">
        <f>(D6-C6)/C6</f>
        <v>-7.2126890371200167E-2</v>
      </c>
      <c r="E15" s="7">
        <f>(E6-D6)/D6</f>
        <v>-2.7383728906571547E-2</v>
      </c>
    </row>
    <row r="16" spans="2:5" ht="13.5" x14ac:dyDescent="0.25">
      <c r="B16" t="s">
        <v>46</v>
      </c>
      <c r="C16" t="s">
        <v>45</v>
      </c>
      <c r="D16" s="7">
        <f>(D11-C11)/C11</f>
        <v>-1.3273026315789473</v>
      </c>
      <c r="E16" s="7">
        <f>(E11-D11)/D11</f>
        <v>-1.1984924623115578</v>
      </c>
    </row>
    <row r="18" spans="2:5" ht="14" x14ac:dyDescent="0.3">
      <c r="B18" s="3" t="s">
        <v>47</v>
      </c>
    </row>
    <row r="19" spans="2:5" ht="14" x14ac:dyDescent="0.3">
      <c r="B19" s="4" t="s">
        <v>48</v>
      </c>
      <c r="C19" s="5">
        <v>-1285</v>
      </c>
      <c r="D19" s="5">
        <v>801</v>
      </c>
      <c r="E19" s="5">
        <v>987</v>
      </c>
    </row>
    <row r="20" spans="2:5" ht="14" x14ac:dyDescent="0.3">
      <c r="B20" s="4" t="s">
        <v>49</v>
      </c>
      <c r="C20" s="5">
        <v>228</v>
      </c>
      <c r="D20" s="5">
        <v>209</v>
      </c>
      <c r="E20" s="5">
        <v>371</v>
      </c>
    </row>
    <row r="21" spans="2:5" ht="14" x14ac:dyDescent="0.3">
      <c r="B21" s="4" t="s">
        <v>50</v>
      </c>
      <c r="C21" s="5">
        <f>C19-C20</f>
        <v>-1513</v>
      </c>
      <c r="D21" s="5">
        <f>D19-D20</f>
        <v>592</v>
      </c>
      <c r="E21" s="5">
        <f>E19-E20</f>
        <v>616</v>
      </c>
    </row>
    <row r="22" spans="2:5" ht="13.5" x14ac:dyDescent="0.25">
      <c r="B22" t="s">
        <v>51</v>
      </c>
      <c r="C22" s="7">
        <f>C21/C6</f>
        <v>-3.8520291257192321E-2</v>
      </c>
      <c r="D22" s="7">
        <f>D21/D6</f>
        <v>1.6243654822335026E-2</v>
      </c>
      <c r="E22" s="7">
        <f>E21/E6</f>
        <v>1.7378057381442717E-2</v>
      </c>
    </row>
    <row r="23" spans="2:5" ht="13.5" x14ac:dyDescent="0.25">
      <c r="B23" t="s">
        <v>52</v>
      </c>
      <c r="C23" s="7">
        <f>C20/C6</f>
        <v>5.8047762106013543E-3</v>
      </c>
      <c r="D23" s="7">
        <f>D20/D6</f>
        <v>5.7346686788311155E-3</v>
      </c>
      <c r="E23" s="7">
        <f>E20/E6</f>
        <v>1.0466330013823454E-2</v>
      </c>
    </row>
    <row r="25" spans="2:5" ht="14" x14ac:dyDescent="0.3">
      <c r="B25" s="3" t="s">
        <v>53</v>
      </c>
    </row>
    <row r="26" spans="2:5" ht="14" x14ac:dyDescent="0.3">
      <c r="B26" s="4" t="s">
        <v>54</v>
      </c>
      <c r="C26" s="5">
        <v>2574</v>
      </c>
      <c r="D26" s="5">
        <v>2937</v>
      </c>
      <c r="E26" s="5">
        <v>3467</v>
      </c>
    </row>
    <row r="27" spans="2:5" ht="14" x14ac:dyDescent="0.3">
      <c r="B27" s="4" t="s">
        <v>55</v>
      </c>
      <c r="C27" s="5">
        <v>13423</v>
      </c>
      <c r="D27" s="5">
        <v>12454</v>
      </c>
      <c r="E27" s="5">
        <v>12129</v>
      </c>
    </row>
    <row r="28" spans="2:5" ht="14" x14ac:dyDescent="0.3">
      <c r="B28" s="4" t="s">
        <v>56</v>
      </c>
      <c r="C28" s="5">
        <f>C27-C26</f>
        <v>10849</v>
      </c>
      <c r="D28" s="5">
        <f>D27-D26</f>
        <v>9517</v>
      </c>
      <c r="E28" s="5">
        <f>E27-E26</f>
        <v>8662</v>
      </c>
    </row>
    <row r="30" spans="2:5" ht="14" x14ac:dyDescent="0.3">
      <c r="B30" s="1" t="s">
        <v>57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topLeftCell="A29" workbookViewId="0">
      <selection activeCell="C10" sqref="C10"/>
    </sheetView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58</v>
      </c>
    </row>
    <row r="4" spans="2:7" ht="14" x14ac:dyDescent="0.3">
      <c r="B4" s="8" t="s">
        <v>59</v>
      </c>
      <c r="C4" s="9"/>
      <c r="D4" s="9"/>
      <c r="E4" s="9"/>
      <c r="F4" s="9"/>
      <c r="G4" s="9"/>
    </row>
    <row r="5" spans="2:7" ht="14" x14ac:dyDescent="0.3">
      <c r="B5" s="4" t="s">
        <v>52</v>
      </c>
      <c r="C5" s="7">
        <v>1.6E-2</v>
      </c>
    </row>
    <row r="6" spans="2:7" ht="14" x14ac:dyDescent="0.3">
      <c r="B6" s="4" t="s">
        <v>60</v>
      </c>
      <c r="C6" s="7">
        <v>0.30599999999999999</v>
      </c>
    </row>
    <row r="7" spans="2:7" ht="14" x14ac:dyDescent="0.3">
      <c r="B7" s="4" t="s">
        <v>61</v>
      </c>
      <c r="C7" s="7">
        <v>1.6E-2</v>
      </c>
    </row>
    <row r="8" spans="2:7" ht="14" x14ac:dyDescent="0.3">
      <c r="B8" s="4" t="s">
        <v>62</v>
      </c>
      <c r="C8" s="12">
        <v>0.92</v>
      </c>
    </row>
    <row r="9" spans="2:7" ht="14" x14ac:dyDescent="0.3">
      <c r="B9" s="4" t="s">
        <v>63</v>
      </c>
      <c r="C9" s="7">
        <v>6.5000000000000002E-2</v>
      </c>
    </row>
    <row r="10" spans="2:7" ht="14" x14ac:dyDescent="0.3">
      <c r="B10" s="4" t="s">
        <v>64</v>
      </c>
      <c r="C10" s="7">
        <v>0.04</v>
      </c>
    </row>
    <row r="11" spans="2:7" ht="14" x14ac:dyDescent="0.3">
      <c r="B11" s="4" t="s">
        <v>65</v>
      </c>
      <c r="C11" s="7">
        <v>1.7350000000000001E-2</v>
      </c>
    </row>
    <row r="12" spans="2:7" ht="14" x14ac:dyDescent="0.3">
      <c r="B12" s="4" t="s">
        <v>66</v>
      </c>
      <c r="C12" s="13">
        <v>1</v>
      </c>
    </row>
    <row r="13" spans="2:7" ht="14" x14ac:dyDescent="0.3">
      <c r="B13" s="4" t="s">
        <v>67</v>
      </c>
      <c r="C13" s="7">
        <v>5.0000000000000001E-3</v>
      </c>
    </row>
    <row r="14" spans="2:7" ht="14" x14ac:dyDescent="0.3">
      <c r="B14" s="4" t="s">
        <v>68</v>
      </c>
      <c r="C14" s="14">
        <v>7</v>
      </c>
    </row>
    <row r="15" spans="2:7" ht="14" x14ac:dyDescent="0.3">
      <c r="B15" s="4" t="s">
        <v>69</v>
      </c>
      <c r="C15" s="15">
        <v>6807555</v>
      </c>
    </row>
    <row r="16" spans="2:7" ht="14" x14ac:dyDescent="0.3">
      <c r="B16" s="4" t="s">
        <v>70</v>
      </c>
      <c r="C16" s="5">
        <v>8441</v>
      </c>
    </row>
    <row r="17" spans="2:7" ht="14" x14ac:dyDescent="0.3">
      <c r="B17" s="4" t="s">
        <v>71</v>
      </c>
      <c r="C17" s="5">
        <v>35447</v>
      </c>
    </row>
    <row r="18" spans="2:7" ht="14" x14ac:dyDescent="0.3">
      <c r="B18" s="4" t="s">
        <v>72</v>
      </c>
      <c r="C18" s="7">
        <v>1.6E-2</v>
      </c>
    </row>
    <row r="19" spans="2:7" ht="14" x14ac:dyDescent="0.3">
      <c r="B19" s="4" t="s">
        <v>73</v>
      </c>
      <c r="C19" s="12">
        <v>0.5</v>
      </c>
    </row>
    <row r="20" spans="2:7" ht="14" x14ac:dyDescent="0.3">
      <c r="B20" s="4" t="s">
        <v>74</v>
      </c>
      <c r="C20" s="5">
        <v>34599</v>
      </c>
    </row>
    <row r="22" spans="2:7" ht="14" x14ac:dyDescent="0.3">
      <c r="B22" s="8" t="s">
        <v>75</v>
      </c>
      <c r="C22" s="9"/>
      <c r="D22" s="9"/>
      <c r="E22" s="9"/>
      <c r="F22" s="9"/>
      <c r="G22" s="9"/>
    </row>
    <row r="23" spans="2:7" ht="14" x14ac:dyDescent="0.3">
      <c r="B23" s="4" t="s">
        <v>76</v>
      </c>
      <c r="C23" s="16">
        <f>C7+C8*C9+C10</f>
        <v>0.11580000000000001</v>
      </c>
    </row>
    <row r="24" spans="2:7" ht="14" x14ac:dyDescent="0.3">
      <c r="B24" s="4" t="s">
        <v>77</v>
      </c>
      <c r="C24" s="16">
        <f>1/(1+C12)</f>
        <v>0.5</v>
      </c>
    </row>
    <row r="25" spans="2:7" ht="14" x14ac:dyDescent="0.3">
      <c r="B25" s="4" t="s">
        <v>78</v>
      </c>
      <c r="C25" s="16">
        <f>C12/(1+C12)</f>
        <v>0.5</v>
      </c>
    </row>
    <row r="26" spans="2:7" ht="14" x14ac:dyDescent="0.3">
      <c r="B26" s="4" t="s">
        <v>79</v>
      </c>
      <c r="C26" s="16">
        <f>C23*C24+C11*C25</f>
        <v>6.6575000000000009E-2</v>
      </c>
    </row>
    <row r="27" spans="2:7" ht="14" x14ac:dyDescent="0.3">
      <c r="B27" s="4" t="s">
        <v>80</v>
      </c>
      <c r="C27" s="17" t="s">
        <v>81</v>
      </c>
      <c r="D27" s="6">
        <f>MATCH(C27,B69:B73,0)</f>
        <v>1</v>
      </c>
    </row>
    <row r="28" spans="2:7" ht="14" x14ac:dyDescent="0.3">
      <c r="B28" s="8" t="s">
        <v>82</v>
      </c>
      <c r="C28" s="9"/>
      <c r="D28" s="9"/>
      <c r="E28" s="9"/>
      <c r="F28" s="9"/>
      <c r="G28" s="9"/>
    </row>
    <row r="29" spans="2:7" ht="14" x14ac:dyDescent="0.3">
      <c r="C29" s="10" t="s">
        <v>83</v>
      </c>
      <c r="D29" s="10" t="s">
        <v>84</v>
      </c>
      <c r="E29" s="10" t="s">
        <v>85</v>
      </c>
      <c r="F29" s="10" t="s">
        <v>86</v>
      </c>
      <c r="G29" s="10" t="s">
        <v>87</v>
      </c>
    </row>
    <row r="30" spans="2:7" ht="14" x14ac:dyDescent="0.3">
      <c r="B30" s="4" t="s">
        <v>44</v>
      </c>
      <c r="C30" s="18">
        <f>CHOOSE($D$27,C69,C70,C71,C72,C73)</f>
        <v>0</v>
      </c>
      <c r="D30" s="18">
        <f>CHOOSE($D$27,D69,D70,D71,D72,D73)</f>
        <v>0.04</v>
      </c>
      <c r="E30" s="18">
        <f>CHOOSE($D$27,E69,E70,E71,E72,E73)</f>
        <v>0.05</v>
      </c>
      <c r="F30" s="18">
        <f>CHOOSE($D$27,F69,F70,F71,F72,F73)</f>
        <v>-0.03</v>
      </c>
      <c r="G30" s="18">
        <f>CHOOSE($D$27,G69,G70,G71,G72,G73)</f>
        <v>0.02</v>
      </c>
    </row>
    <row r="31" spans="2:7" ht="14" x14ac:dyDescent="0.3">
      <c r="B31" s="4" t="s">
        <v>88</v>
      </c>
      <c r="C31" s="18">
        <f>CHOOSE($D$27,C76,C77,C78,C79,C80)</f>
        <v>0.83</v>
      </c>
      <c r="D31" s="18">
        <f>CHOOSE($D$27,D76,D77,D78,D79,D80)</f>
        <v>0.82199999999999995</v>
      </c>
      <c r="E31" s="18">
        <f>CHOOSE($D$27,E76,E77,E78,E79,E80)</f>
        <v>0.81399999999999995</v>
      </c>
      <c r="F31" s="18">
        <f>CHOOSE($D$27,F76,F77,F78,F79,F80)</f>
        <v>0.82599999999999996</v>
      </c>
      <c r="G31" s="18">
        <f>CHOOSE($D$27,G76,G77,G78,G79,G80)</f>
        <v>0.82199999999999995</v>
      </c>
    </row>
    <row r="32" spans="2:7" ht="14" x14ac:dyDescent="0.3">
      <c r="B32" s="4" t="s">
        <v>89</v>
      </c>
      <c r="C32" s="18">
        <f>CHOOSE($D$27,C83,C84,C85,C86,C87)</f>
        <v>0.16500000000000001</v>
      </c>
      <c r="D32" s="18">
        <f>CHOOSE($D$27,D83,D84,D85,D86,D87)</f>
        <v>0.16300000000000001</v>
      </c>
      <c r="E32" s="18">
        <f>CHOOSE($D$27,E83,E84,E85,E86,E87)</f>
        <v>0.161</v>
      </c>
      <c r="F32" s="18">
        <f>CHOOSE($D$27,F83,F84,F85,F86,F87)</f>
        <v>0.16400000000000001</v>
      </c>
      <c r="G32" s="18">
        <f>CHOOSE($D$27,G83,G84,G85,G86,G87)</f>
        <v>0.16300000000000001</v>
      </c>
    </row>
    <row r="33" spans="2:7" ht="14" x14ac:dyDescent="0.3">
      <c r="B33" s="4" t="s">
        <v>35</v>
      </c>
      <c r="C33" s="5">
        <f>C17*(1+C30)</f>
        <v>35447</v>
      </c>
      <c r="D33" s="5">
        <f>C33*(1+D30)</f>
        <v>36864.880000000005</v>
      </c>
      <c r="E33" s="5">
        <f>D33*(1+E30)</f>
        <v>38708.124000000003</v>
      </c>
      <c r="F33" s="5">
        <f>E33*(1+F30)</f>
        <v>37546.880280000005</v>
      </c>
      <c r="G33" s="5">
        <f>F33*(1+G30)</f>
        <v>38297.817885600009</v>
      </c>
    </row>
    <row r="34" spans="2:7" ht="14" x14ac:dyDescent="0.3">
      <c r="B34" s="4" t="s">
        <v>36</v>
      </c>
      <c r="C34" s="5">
        <f>C33*C31</f>
        <v>29421.01</v>
      </c>
      <c r="D34" s="5">
        <f>D33*D31</f>
        <v>30302.931360000002</v>
      </c>
      <c r="E34" s="5">
        <f>E33*E31</f>
        <v>31508.412936000001</v>
      </c>
      <c r="F34" s="5">
        <f>F33*F31</f>
        <v>31013.723111280004</v>
      </c>
      <c r="G34" s="5">
        <f>G33*G31</f>
        <v>31480.806301963206</v>
      </c>
    </row>
    <row r="35" spans="2:7" ht="14" x14ac:dyDescent="0.3">
      <c r="B35" s="4" t="s">
        <v>37</v>
      </c>
      <c r="C35" s="19">
        <f>C33-C34</f>
        <v>6025.9900000000016</v>
      </c>
      <c r="D35" s="19">
        <f>D33-D34</f>
        <v>6561.9486400000023</v>
      </c>
      <c r="E35" s="19">
        <f>E33-E34</f>
        <v>7199.7110640000028</v>
      </c>
      <c r="F35" s="19">
        <f>F33-F34</f>
        <v>6533.1571687200012</v>
      </c>
      <c r="G35" s="19">
        <f>G33-G34</f>
        <v>6817.0115836368022</v>
      </c>
    </row>
    <row r="36" spans="2:7" ht="14" x14ac:dyDescent="0.3">
      <c r="B36" s="4" t="s">
        <v>38</v>
      </c>
      <c r="C36" s="7">
        <f>C35/C33</f>
        <v>0.17000000000000004</v>
      </c>
      <c r="D36" s="7">
        <f>D35/D33</f>
        <v>0.17800000000000005</v>
      </c>
      <c r="E36" s="7">
        <f>E35/E33</f>
        <v>0.18600000000000005</v>
      </c>
      <c r="F36" s="7">
        <f>F35/F33</f>
        <v>0.17400000000000002</v>
      </c>
      <c r="G36" s="7">
        <f>G35/G33</f>
        <v>0.17800000000000002</v>
      </c>
    </row>
    <row r="37" spans="2:7" ht="14" x14ac:dyDescent="0.3">
      <c r="B37" s="4" t="s">
        <v>90</v>
      </c>
      <c r="C37" s="5">
        <f>C33*C32</f>
        <v>5848.7550000000001</v>
      </c>
      <c r="D37" s="5">
        <f>D33*D32</f>
        <v>6008.9754400000011</v>
      </c>
      <c r="E37" s="5">
        <f>E33*E32</f>
        <v>6232.0079640000004</v>
      </c>
      <c r="F37" s="5">
        <f>F33*F32</f>
        <v>6157.6883659200012</v>
      </c>
      <c r="G37" s="5">
        <f>G33*G32</f>
        <v>6242.5443153528013</v>
      </c>
    </row>
    <row r="38" spans="2:7" ht="14" x14ac:dyDescent="0.3">
      <c r="B38" s="4" t="s">
        <v>91</v>
      </c>
      <c r="C38" s="7">
        <f>(C35-C37)/C33</f>
        <v>5.0000000000000417E-3</v>
      </c>
      <c r="D38" s="7">
        <f>(D35-D37)/D33</f>
        <v>1.5000000000000032E-2</v>
      </c>
      <c r="E38" s="7">
        <f>(E35-E37)/E33</f>
        <v>2.500000000000006E-2</v>
      </c>
      <c r="F38" s="7">
        <f>(F35-F37)/F33</f>
        <v>0.01</v>
      </c>
      <c r="G38" s="7">
        <f>(G35-G37)/G33</f>
        <v>1.5000000000000022E-2</v>
      </c>
    </row>
    <row r="39" spans="2:7" ht="14" x14ac:dyDescent="0.3">
      <c r="B39" s="4" t="s">
        <v>92</v>
      </c>
      <c r="C39" s="19">
        <f>C35-C37</f>
        <v>177.23500000000149</v>
      </c>
      <c r="D39" s="19">
        <f>D35-D37</f>
        <v>552.97320000000127</v>
      </c>
      <c r="E39" s="19">
        <f>E35-E37</f>
        <v>967.70310000000245</v>
      </c>
      <c r="F39" s="19">
        <f>F35-F37</f>
        <v>375.46880280000005</v>
      </c>
      <c r="G39" s="19">
        <f>G35-G37</f>
        <v>574.46726828400097</v>
      </c>
    </row>
    <row r="40" spans="2:7" ht="14" x14ac:dyDescent="0.3">
      <c r="B40" s="4" t="s">
        <v>93</v>
      </c>
      <c r="C40" s="5">
        <f>MAX(0,C39*C6)</f>
        <v>54.233910000000456</v>
      </c>
      <c r="D40" s="5">
        <f>MAX(0,D39*C6)</f>
        <v>169.20979920000039</v>
      </c>
      <c r="E40" s="5">
        <f>MAX(0,E39*C6)</f>
        <v>296.11714860000075</v>
      </c>
      <c r="F40" s="5">
        <f>MAX(0,F39*C6)</f>
        <v>114.89345365680002</v>
      </c>
      <c r="G40" s="5">
        <f>MAX(0,G39*C6)</f>
        <v>175.78698409490428</v>
      </c>
    </row>
    <row r="41" spans="2:7" ht="14" x14ac:dyDescent="0.3">
      <c r="B41" s="4" t="s">
        <v>94</v>
      </c>
      <c r="C41" s="19">
        <f>C39-C40</f>
        <v>123.00109000000103</v>
      </c>
      <c r="D41" s="19">
        <f>D39-D40</f>
        <v>383.76340080000091</v>
      </c>
      <c r="E41" s="19">
        <f>E39-E40</f>
        <v>671.5859514000017</v>
      </c>
      <c r="F41" s="19">
        <f>F39-F40</f>
        <v>260.57534914320001</v>
      </c>
      <c r="G41" s="19">
        <f>G39-G40</f>
        <v>398.68028418909671</v>
      </c>
    </row>
    <row r="42" spans="2:7" ht="14" x14ac:dyDescent="0.3">
      <c r="B42" s="4" t="s">
        <v>95</v>
      </c>
      <c r="C42" s="5">
        <f>C33*C18</f>
        <v>567.15200000000004</v>
      </c>
      <c r="D42" s="5">
        <f>D33*C18</f>
        <v>589.8380800000001</v>
      </c>
      <c r="E42" s="5">
        <f>E33*C18</f>
        <v>619.32998400000008</v>
      </c>
      <c r="F42" s="5">
        <f>F33*C18</f>
        <v>600.75008448000006</v>
      </c>
      <c r="G42" s="5">
        <f>G33*C18</f>
        <v>612.76508616960018</v>
      </c>
    </row>
    <row r="43" spans="2:7" ht="14" x14ac:dyDescent="0.3">
      <c r="B43" s="4" t="s">
        <v>96</v>
      </c>
      <c r="C43" s="5">
        <f>C33*C5</f>
        <v>567.15200000000004</v>
      </c>
      <c r="D43" s="5">
        <f>D33*C5</f>
        <v>589.8380800000001</v>
      </c>
      <c r="E43" s="5">
        <f>E33*C5</f>
        <v>619.32998400000008</v>
      </c>
      <c r="F43" s="5">
        <f>F33*C5</f>
        <v>600.75008448000006</v>
      </c>
      <c r="G43" s="5">
        <f>G33*C5</f>
        <v>612.76508616960018</v>
      </c>
    </row>
    <row r="44" spans="2:7" ht="14" x14ac:dyDescent="0.3">
      <c r="B44" s="4" t="s">
        <v>97</v>
      </c>
      <c r="C44" s="5">
        <f>'NWC Schedule'!D19</f>
        <v>-36.439397260275655</v>
      </c>
      <c r="D44" s="5">
        <f>'NWC Schedule'!E19</f>
        <v>303.74485742466095</v>
      </c>
      <c r="E44" s="5">
        <f>'NWC Schedule'!F19</f>
        <v>423.18862246575191</v>
      </c>
      <c r="F44" s="5">
        <f>'NWC Schedule'!G19</f>
        <v>-275.38974357041116</v>
      </c>
      <c r="G44" s="5">
        <f>'NWC Schedule'!H19</f>
        <v>116.0311755633702</v>
      </c>
    </row>
    <row r="45" spans="2:7" ht="14" x14ac:dyDescent="0.3">
      <c r="B45" s="4" t="s">
        <v>98</v>
      </c>
      <c r="C45" s="20">
        <f>C41+C42-C43-C44</f>
        <v>159.44048726027665</v>
      </c>
      <c r="D45" s="20">
        <f>D41+D42-D43-D44</f>
        <v>80.018543375339959</v>
      </c>
      <c r="E45" s="20">
        <f>E41+E42-E43-E44</f>
        <v>248.39732893424969</v>
      </c>
      <c r="F45" s="20">
        <f>F41+F42-F43-F44</f>
        <v>535.96509271361117</v>
      </c>
      <c r="G45" s="20">
        <f>G41+G42-G43-G44</f>
        <v>282.64910862572651</v>
      </c>
    </row>
    <row r="46" spans="2:7" ht="14" x14ac:dyDescent="0.3">
      <c r="B46" s="4" t="s">
        <v>99</v>
      </c>
      <c r="C46" s="21">
        <f>1/(1+C26)^(C19+0)</f>
        <v>0.96828744354686358</v>
      </c>
      <c r="D46" s="21">
        <f>1/(1+C26)^(C19+1)</f>
        <v>0.90784749646941243</v>
      </c>
      <c r="E46" s="21">
        <f>1/(1+C26)^(C19+2)</f>
        <v>0.85118017623646935</v>
      </c>
      <c r="F46" s="21">
        <f>1/(1+C26)^(C19+3)</f>
        <v>0.7980499976433626</v>
      </c>
      <c r="G46" s="21">
        <f>1/(1+C26)^(C19+4)</f>
        <v>0.7482361743368845</v>
      </c>
    </row>
    <row r="47" spans="2:7" ht="14" x14ac:dyDescent="0.3">
      <c r="B47" s="4" t="s">
        <v>100</v>
      </c>
      <c r="C47" s="19">
        <f>C45*C46</f>
        <v>154.38422180711956</v>
      </c>
      <c r="D47" s="19">
        <f>D45*D46</f>
        <v>72.644634274431468</v>
      </c>
      <c r="E47" s="19">
        <f>E45*E46</f>
        <v>211.4308822189229</v>
      </c>
      <c r="F47" s="19">
        <f>F45*F46</f>
        <v>427.72694097702202</v>
      </c>
      <c r="G47" s="19">
        <f>G45*G46</f>
        <v>211.48828771784412</v>
      </c>
    </row>
    <row r="49" spans="2:7" ht="14" x14ac:dyDescent="0.3">
      <c r="B49" s="22" t="s">
        <v>101</v>
      </c>
      <c r="C49" s="23"/>
      <c r="D49" s="23"/>
      <c r="E49" s="23"/>
      <c r="F49" s="23"/>
      <c r="G49" s="23"/>
    </row>
    <row r="50" spans="2:7" ht="14" x14ac:dyDescent="0.3">
      <c r="B50" s="4" t="s">
        <v>102</v>
      </c>
      <c r="C50" s="5">
        <f>SUM(C47:G47)</f>
        <v>1077.6749669953401</v>
      </c>
    </row>
    <row r="51" spans="2:7" ht="14" x14ac:dyDescent="0.3">
      <c r="B51" s="4" t="s">
        <v>103</v>
      </c>
      <c r="C51" s="5">
        <f>G45*(1+C13)/(C26-C13)</f>
        <v>4613.2741237329283</v>
      </c>
    </row>
    <row r="52" spans="2:7" ht="14" x14ac:dyDescent="0.3">
      <c r="B52" s="4" t="s">
        <v>104</v>
      </c>
      <c r="C52" s="5">
        <f>C51*G46</f>
        <v>3451.8185815092693</v>
      </c>
    </row>
    <row r="53" spans="2:7" ht="14" x14ac:dyDescent="0.3">
      <c r="B53" s="4" t="s">
        <v>105</v>
      </c>
      <c r="C53" s="5">
        <f>C50+C52</f>
        <v>4529.4935485046099</v>
      </c>
    </row>
    <row r="54" spans="2:7" ht="14" x14ac:dyDescent="0.3">
      <c r="B54" s="4" t="s">
        <v>106</v>
      </c>
      <c r="C54" s="5">
        <f>C53-C16</f>
        <v>-3911.5064514953901</v>
      </c>
    </row>
    <row r="55" spans="2:7" ht="14" x14ac:dyDescent="0.3">
      <c r="B55" s="4" t="s">
        <v>107</v>
      </c>
      <c r="C55" s="24">
        <f>ROUND(C54*1000000/C15,0)</f>
        <v>-575</v>
      </c>
    </row>
    <row r="57" spans="2:7" ht="14" x14ac:dyDescent="0.3">
      <c r="B57" s="22" t="s">
        <v>108</v>
      </c>
      <c r="C57" s="23"/>
      <c r="D57" s="23"/>
      <c r="E57" s="23"/>
      <c r="F57" s="23"/>
      <c r="G57" s="23"/>
    </row>
    <row r="58" spans="2:7" ht="14" x14ac:dyDescent="0.3">
      <c r="B58" s="4" t="s">
        <v>102</v>
      </c>
      <c r="C58" s="5">
        <f>C50</f>
        <v>1077.6749669953401</v>
      </c>
    </row>
    <row r="59" spans="2:7" ht="14" x14ac:dyDescent="0.3">
      <c r="B59" s="4" t="s">
        <v>109</v>
      </c>
      <c r="C59" s="5">
        <f>G39+G42</f>
        <v>1187.2323544536011</v>
      </c>
    </row>
    <row r="60" spans="2:7" ht="14" x14ac:dyDescent="0.3">
      <c r="B60" s="4" t="s">
        <v>110</v>
      </c>
      <c r="C60" s="5">
        <f>C59*C14</f>
        <v>8310.626481175208</v>
      </c>
    </row>
    <row r="61" spans="2:7" ht="14" x14ac:dyDescent="0.3">
      <c r="B61" s="4" t="s">
        <v>104</v>
      </c>
      <c r="C61" s="5">
        <f>C60*G46</f>
        <v>6218.3113646173415</v>
      </c>
    </row>
    <row r="62" spans="2:7" ht="14" x14ac:dyDescent="0.3">
      <c r="B62" s="4" t="s">
        <v>105</v>
      </c>
      <c r="C62" s="5">
        <f>C58+C61</f>
        <v>7295.9863316126812</v>
      </c>
    </row>
    <row r="63" spans="2:7" ht="14" x14ac:dyDescent="0.3">
      <c r="B63" s="4" t="s">
        <v>106</v>
      </c>
      <c r="C63" s="5">
        <f>C62-C16</f>
        <v>-1145.0136683873188</v>
      </c>
    </row>
    <row r="64" spans="2:7" ht="14" x14ac:dyDescent="0.3">
      <c r="B64" s="4" t="s">
        <v>111</v>
      </c>
      <c r="C64" s="24">
        <f>ROUND(C63*1000000/C15,0)</f>
        <v>-168</v>
      </c>
    </row>
    <row r="66" spans="2:7" ht="14" x14ac:dyDescent="0.3">
      <c r="B66" s="22" t="s">
        <v>112</v>
      </c>
      <c r="C66" s="23"/>
      <c r="D66" s="23"/>
      <c r="E66" s="23"/>
      <c r="F66" s="23"/>
      <c r="G66" s="23"/>
    </row>
    <row r="67" spans="2:7" ht="14" x14ac:dyDescent="0.3">
      <c r="C67" s="25" t="s">
        <v>113</v>
      </c>
      <c r="D67" s="25" t="s">
        <v>114</v>
      </c>
      <c r="E67" s="25" t="s">
        <v>115</v>
      </c>
      <c r="F67" s="25" t="s">
        <v>116</v>
      </c>
      <c r="G67" s="25" t="s">
        <v>117</v>
      </c>
    </row>
    <row r="68" spans="2:7" ht="14" x14ac:dyDescent="0.3">
      <c r="B68" s="3" t="s">
        <v>44</v>
      </c>
    </row>
    <row r="69" spans="2:7" ht="14" x14ac:dyDescent="0.3">
      <c r="B69" s="4" t="s">
        <v>81</v>
      </c>
      <c r="C69" s="26">
        <v>0</v>
      </c>
      <c r="D69" s="26">
        <v>0.04</v>
      </c>
      <c r="E69" s="26">
        <v>0.05</v>
      </c>
      <c r="F69" s="26">
        <v>-0.03</v>
      </c>
      <c r="G69" s="26">
        <v>0.02</v>
      </c>
    </row>
    <row r="70" spans="2:7" ht="14" x14ac:dyDescent="0.3">
      <c r="B70" s="4" t="s">
        <v>118</v>
      </c>
      <c r="C70" s="26">
        <v>0.03</v>
      </c>
      <c r="D70" s="26">
        <v>0.08</v>
      </c>
      <c r="E70" s="26">
        <v>0.08</v>
      </c>
      <c r="F70" s="26">
        <v>0.03</v>
      </c>
      <c r="G70" s="26">
        <v>0</v>
      </c>
    </row>
    <row r="71" spans="2:7" ht="14" x14ac:dyDescent="0.3">
      <c r="B71" s="4" t="s">
        <v>119</v>
      </c>
      <c r="C71" s="26">
        <v>1.6E-2</v>
      </c>
      <c r="D71" s="26">
        <v>0.03</v>
      </c>
      <c r="E71" s="26">
        <v>0.03</v>
      </c>
      <c r="F71" s="26">
        <v>0.02</v>
      </c>
      <c r="G71" s="26">
        <v>0.02</v>
      </c>
    </row>
    <row r="72" spans="2:7" ht="14" x14ac:dyDescent="0.3">
      <c r="B72" s="4" t="s">
        <v>120</v>
      </c>
      <c r="C72" s="26">
        <v>-0.05</v>
      </c>
      <c r="D72" s="26">
        <v>-0.08</v>
      </c>
      <c r="E72" s="26">
        <v>0.02</v>
      </c>
      <c r="F72" s="26">
        <v>0.05</v>
      </c>
      <c r="G72" s="26">
        <v>0.03</v>
      </c>
    </row>
    <row r="73" spans="2:7" ht="14" x14ac:dyDescent="0.3">
      <c r="B73" s="4" t="s">
        <v>121</v>
      </c>
      <c r="C73" s="26">
        <v>-0.1</v>
      </c>
      <c r="D73" s="26">
        <v>-0.15</v>
      </c>
      <c r="E73" s="26">
        <v>-0.05</v>
      </c>
      <c r="F73" s="26">
        <v>0.03</v>
      </c>
      <c r="G73" s="26">
        <v>0.03</v>
      </c>
    </row>
    <row r="75" spans="2:7" ht="14" x14ac:dyDescent="0.3">
      <c r="B75" s="3" t="s">
        <v>88</v>
      </c>
    </row>
    <row r="76" spans="2:7" ht="14" x14ac:dyDescent="0.3">
      <c r="B76" s="4" t="s">
        <v>81</v>
      </c>
      <c r="C76" s="26">
        <v>0.83</v>
      </c>
      <c r="D76" s="26">
        <v>0.82199999999999995</v>
      </c>
      <c r="E76" s="26">
        <v>0.81399999999999995</v>
      </c>
      <c r="F76" s="26">
        <v>0.82599999999999996</v>
      </c>
      <c r="G76" s="26">
        <v>0.82199999999999995</v>
      </c>
    </row>
    <row r="77" spans="2:7" ht="14" x14ac:dyDescent="0.3">
      <c r="B77" s="4" t="s">
        <v>118</v>
      </c>
      <c r="C77" s="26">
        <v>0.82099999999999995</v>
      </c>
      <c r="D77" s="26">
        <v>0.81</v>
      </c>
      <c r="E77" s="26">
        <v>0.80300000000000005</v>
      </c>
      <c r="F77" s="26">
        <v>0.80700000000000005</v>
      </c>
      <c r="G77" s="26">
        <v>0.81499999999999995</v>
      </c>
    </row>
    <row r="78" spans="2:7" ht="14" x14ac:dyDescent="0.3">
      <c r="B78" s="4" t="s">
        <v>119</v>
      </c>
      <c r="C78" s="26">
        <v>0.82099999999999995</v>
      </c>
      <c r="D78" s="26">
        <v>0.81699999999999995</v>
      </c>
      <c r="E78" s="26">
        <v>0.81299999999999994</v>
      </c>
      <c r="F78" s="26">
        <v>0.81299999999999994</v>
      </c>
      <c r="G78" s="26">
        <v>0.81299999999999994</v>
      </c>
    </row>
    <row r="79" spans="2:7" ht="14" x14ac:dyDescent="0.3">
      <c r="B79" s="4" t="s">
        <v>120</v>
      </c>
      <c r="C79" s="26">
        <v>0.83799999999999997</v>
      </c>
      <c r="D79" s="26">
        <v>0.85</v>
      </c>
      <c r="E79" s="26">
        <v>0.84</v>
      </c>
      <c r="F79" s="26">
        <v>0.82499999999999996</v>
      </c>
      <c r="G79" s="26">
        <v>0.82</v>
      </c>
    </row>
    <row r="80" spans="2:7" ht="14" x14ac:dyDescent="0.3">
      <c r="B80" s="4" t="s">
        <v>121</v>
      </c>
      <c r="C80" s="26">
        <v>0.85</v>
      </c>
      <c r="D80" s="26">
        <v>0.87</v>
      </c>
      <c r="E80" s="26">
        <v>0.86</v>
      </c>
      <c r="F80" s="26">
        <v>0.84499999999999997</v>
      </c>
      <c r="G80" s="26">
        <v>0.83799999999999997</v>
      </c>
    </row>
    <row r="82" spans="2:7" ht="14" x14ac:dyDescent="0.3">
      <c r="B82" s="3" t="s">
        <v>89</v>
      </c>
    </row>
    <row r="83" spans="2:7" ht="14" x14ac:dyDescent="0.3">
      <c r="B83" s="4" t="s">
        <v>81</v>
      </c>
      <c r="C83" s="26">
        <v>0.16500000000000001</v>
      </c>
      <c r="D83" s="26">
        <v>0.16300000000000001</v>
      </c>
      <c r="E83" s="26">
        <v>0.161</v>
      </c>
      <c r="F83" s="26">
        <v>0.16400000000000001</v>
      </c>
      <c r="G83" s="26">
        <v>0.16300000000000001</v>
      </c>
    </row>
    <row r="84" spans="2:7" ht="14" x14ac:dyDescent="0.3">
      <c r="B84" s="4" t="s">
        <v>118</v>
      </c>
      <c r="C84" s="26">
        <v>0.16400000000000001</v>
      </c>
      <c r="D84" s="26">
        <v>0.16</v>
      </c>
      <c r="E84" s="26">
        <v>0.157</v>
      </c>
      <c r="F84" s="26">
        <v>0.158</v>
      </c>
      <c r="G84" s="26">
        <v>0.16</v>
      </c>
    </row>
    <row r="85" spans="2:7" ht="14" x14ac:dyDescent="0.3">
      <c r="B85" s="4" t="s">
        <v>119</v>
      </c>
      <c r="C85" s="26">
        <v>0.16500000000000001</v>
      </c>
      <c r="D85" s="26">
        <v>0.16300000000000001</v>
      </c>
      <c r="E85" s="26">
        <v>0.16200000000000001</v>
      </c>
      <c r="F85" s="26">
        <v>0.16200000000000001</v>
      </c>
      <c r="G85" s="26">
        <v>0.16200000000000001</v>
      </c>
    </row>
    <row r="86" spans="2:7" ht="14" x14ac:dyDescent="0.3">
      <c r="B86" s="4" t="s">
        <v>120</v>
      </c>
      <c r="C86" s="26">
        <v>0.17199999999999999</v>
      </c>
      <c r="D86" s="26">
        <v>0.18</v>
      </c>
      <c r="E86" s="26">
        <v>0.17</v>
      </c>
      <c r="F86" s="26">
        <v>0.16500000000000001</v>
      </c>
      <c r="G86" s="26">
        <v>0.16500000000000001</v>
      </c>
    </row>
    <row r="87" spans="2:7" ht="14" x14ac:dyDescent="0.3">
      <c r="B87" s="4" t="s">
        <v>121</v>
      </c>
      <c r="C87" s="26">
        <v>0.18</v>
      </c>
      <c r="D87" s="26">
        <v>0.19</v>
      </c>
      <c r="E87" s="26">
        <v>0.18</v>
      </c>
      <c r="F87" s="26">
        <v>0.16500000000000001</v>
      </c>
      <c r="G87" s="26">
        <v>0.157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122</v>
      </c>
    </row>
    <row r="4" spans="2:8" ht="14" x14ac:dyDescent="0.3">
      <c r="B4" s="8" t="s">
        <v>123</v>
      </c>
      <c r="C4" s="27" t="s">
        <v>124</v>
      </c>
      <c r="D4" s="27" t="s">
        <v>83</v>
      </c>
      <c r="E4" s="27" t="s">
        <v>84</v>
      </c>
      <c r="F4" s="27" t="s">
        <v>85</v>
      </c>
      <c r="G4" s="27" t="s">
        <v>86</v>
      </c>
      <c r="H4" s="27" t="s">
        <v>87</v>
      </c>
    </row>
    <row r="5" spans="2:8" ht="14" x14ac:dyDescent="0.3">
      <c r="B5" s="28" t="s">
        <v>125</v>
      </c>
      <c r="C5" s="29">
        <f>C12/C9*365</f>
        <v>61.010099585296359</v>
      </c>
      <c r="D5" s="29">
        <f>CHOOSE('DCF Model'!$D$27,D25,D26,D27,D28,D29)</f>
        <v>61</v>
      </c>
      <c r="E5" s="29">
        <f>CHOOSE('DCF Model'!$D$27,E25,E26,E27,E28,E29)</f>
        <v>61</v>
      </c>
      <c r="F5" s="29">
        <f>CHOOSE('DCF Model'!$D$27,F25,F26,F27,F28,F29)</f>
        <v>61</v>
      </c>
      <c r="G5" s="29">
        <f>CHOOSE('DCF Model'!$D$27,G25,G26,G27,G28,G29)</f>
        <v>61</v>
      </c>
      <c r="H5" s="29">
        <f>CHOOSE('DCF Model'!$D$27,H25,H26,H27,H28,H29)</f>
        <v>61</v>
      </c>
    </row>
    <row r="6" spans="2:8" ht="14" x14ac:dyDescent="0.3">
      <c r="B6" s="28" t="s">
        <v>126</v>
      </c>
      <c r="C6" s="29">
        <f>C13/C10*365</f>
        <v>96.671218558230493</v>
      </c>
      <c r="D6" s="29">
        <f>CHOOSE('DCF Model'!$D$27,D32,D33,D34,D35,D36)</f>
        <v>97</v>
      </c>
      <c r="E6" s="29">
        <f>CHOOSE('DCF Model'!$D$27,E32,E33,E34,E35,E36)</f>
        <v>96</v>
      </c>
      <c r="F6" s="29">
        <f>CHOOSE('DCF Model'!$D$27,F32,F33,F34,F35,F36)</f>
        <v>95</v>
      </c>
      <c r="G6" s="29">
        <f>CHOOSE('DCF Model'!$D$27,G32,G33,G34,G35,G36)</f>
        <v>95</v>
      </c>
      <c r="H6" s="29">
        <f>CHOOSE('DCF Model'!$D$27,H32,H33,H34,H35,H36)</f>
        <v>94</v>
      </c>
    </row>
    <row r="7" spans="2:8" ht="14" x14ac:dyDescent="0.3">
      <c r="B7" s="28" t="s">
        <v>127</v>
      </c>
      <c r="C7" s="29">
        <f>C15/C10*365</f>
        <v>34.7302582776991</v>
      </c>
      <c r="D7" s="29">
        <f>CHOOSE('DCF Model'!$D$27,D39,D40,D41,D42,D43)</f>
        <v>35</v>
      </c>
      <c r="E7" s="29">
        <f>CHOOSE('DCF Model'!$D$27,E39,E40,E41,E42,E43)</f>
        <v>35</v>
      </c>
      <c r="F7" s="29">
        <f>CHOOSE('DCF Model'!$D$27,F39,F40,F41,F42,F43)</f>
        <v>35</v>
      </c>
      <c r="G7" s="29">
        <f>CHOOSE('DCF Model'!$D$27,G39,G40,G41,G42,G43)</f>
        <v>35</v>
      </c>
      <c r="H7" s="29">
        <f>CHOOSE('DCF Model'!$D$27,H39,H40,H41,H42,H43)</f>
        <v>35</v>
      </c>
    </row>
    <row r="8" spans="2:8" ht="14" x14ac:dyDescent="0.3">
      <c r="B8" s="8" t="s">
        <v>128</v>
      </c>
      <c r="C8" s="9"/>
      <c r="D8" s="9"/>
      <c r="E8" s="9"/>
      <c r="F8" s="9"/>
      <c r="G8" s="9"/>
      <c r="H8" s="9"/>
    </row>
    <row r="9" spans="2:8" ht="14" x14ac:dyDescent="0.3">
      <c r="B9" s="28" t="s">
        <v>35</v>
      </c>
      <c r="C9" s="30">
        <v>35447</v>
      </c>
      <c r="D9" s="30">
        <f>'DCF Model'!C33</f>
        <v>35447</v>
      </c>
      <c r="E9" s="30">
        <f>'DCF Model'!D33</f>
        <v>36864.880000000005</v>
      </c>
      <c r="F9" s="30">
        <f>'DCF Model'!E33</f>
        <v>38708.124000000003</v>
      </c>
      <c r="G9" s="30">
        <f>'DCF Model'!F33</f>
        <v>37546.880280000005</v>
      </c>
      <c r="H9" s="30">
        <f>'DCF Model'!G33</f>
        <v>38297.817885600009</v>
      </c>
    </row>
    <row r="10" spans="2:8" ht="14" x14ac:dyDescent="0.3">
      <c r="B10" s="28" t="s">
        <v>36</v>
      </c>
      <c r="C10" s="30">
        <v>29658</v>
      </c>
      <c r="D10" s="30">
        <f>'DCF Model'!C34</f>
        <v>29421.01</v>
      </c>
      <c r="E10" s="30">
        <f>'DCF Model'!D34</f>
        <v>30302.931360000002</v>
      </c>
      <c r="F10" s="30">
        <f>'DCF Model'!E34</f>
        <v>31508.412936000001</v>
      </c>
      <c r="G10" s="30">
        <f>'DCF Model'!F34</f>
        <v>31013.723111280004</v>
      </c>
      <c r="H10" s="30">
        <f>'DCF Model'!G34</f>
        <v>31480.806301963206</v>
      </c>
    </row>
    <row r="11" spans="2:8" ht="14" x14ac:dyDescent="0.3">
      <c r="B11" s="8" t="s">
        <v>129</v>
      </c>
      <c r="C11" s="9"/>
      <c r="D11" s="9"/>
      <c r="E11" s="9"/>
      <c r="F11" s="9"/>
      <c r="G11" s="9"/>
      <c r="H11" s="9"/>
    </row>
    <row r="12" spans="2:8" ht="14" x14ac:dyDescent="0.3">
      <c r="B12" s="28" t="s">
        <v>130</v>
      </c>
      <c r="C12" s="30">
        <v>5925</v>
      </c>
      <c r="D12" s="30">
        <f t="shared" ref="D12:H13" si="0">D9*D5/365</f>
        <v>5924.0191780821915</v>
      </c>
      <c r="E12" s="30">
        <f t="shared" si="0"/>
        <v>6160.9799452054804</v>
      </c>
      <c r="F12" s="30">
        <f t="shared" si="0"/>
        <v>6469.028942465754</v>
      </c>
      <c r="G12" s="30">
        <f t="shared" si="0"/>
        <v>6274.9580741917816</v>
      </c>
      <c r="H12" s="30">
        <f t="shared" si="0"/>
        <v>6400.457235675618</v>
      </c>
    </row>
    <row r="13" spans="2:8" ht="14" x14ac:dyDescent="0.3">
      <c r="B13" s="28" t="s">
        <v>131</v>
      </c>
      <c r="C13" s="30">
        <v>7855</v>
      </c>
      <c r="D13" s="30">
        <f t="shared" si="0"/>
        <v>7818.7341643835607</v>
      </c>
      <c r="E13" s="30">
        <f t="shared" si="0"/>
        <v>7970.0860563287679</v>
      </c>
      <c r="F13" s="30">
        <f t="shared" si="0"/>
        <v>8200.8198052602747</v>
      </c>
      <c r="G13" s="30">
        <f t="shared" si="0"/>
        <v>8072.0649193742474</v>
      </c>
      <c r="H13" s="30">
        <f t="shared" si="0"/>
        <v>8107.3857325603876</v>
      </c>
    </row>
    <row r="14" spans="2:8" ht="14" x14ac:dyDescent="0.3">
      <c r="B14" s="28" t="s">
        <v>132</v>
      </c>
      <c r="C14" s="30">
        <f t="shared" ref="C14:H14" si="1">C12+C13</f>
        <v>13780</v>
      </c>
      <c r="D14" s="30">
        <f t="shared" si="1"/>
        <v>13742.753342465752</v>
      </c>
      <c r="E14" s="30">
        <f t="shared" si="1"/>
        <v>14131.066001534247</v>
      </c>
      <c r="F14" s="30">
        <f t="shared" si="1"/>
        <v>14669.848747726028</v>
      </c>
      <c r="G14" s="30">
        <f t="shared" si="1"/>
        <v>14347.022993566028</v>
      </c>
      <c r="H14" s="30">
        <f t="shared" si="1"/>
        <v>14507.842968236006</v>
      </c>
    </row>
    <row r="15" spans="2:8" ht="14" x14ac:dyDescent="0.3">
      <c r="B15" s="28" t="s">
        <v>133</v>
      </c>
      <c r="C15" s="30">
        <v>2822</v>
      </c>
      <c r="D15" s="30">
        <f>D10*D7/365</f>
        <v>2821.1927397260274</v>
      </c>
      <c r="E15" s="30">
        <f>E10*E7/365</f>
        <v>2905.7605413698629</v>
      </c>
      <c r="F15" s="30">
        <f>F10*F7/365</f>
        <v>3021.3546650958906</v>
      </c>
      <c r="G15" s="30">
        <f>G10*G7/365</f>
        <v>2973.9186545063012</v>
      </c>
      <c r="H15" s="30">
        <f>H10*H7/365</f>
        <v>3018.7074536129103</v>
      </c>
    </row>
    <row r="16" spans="2:8" ht="14" x14ac:dyDescent="0.3">
      <c r="B16" s="28" t="s">
        <v>134</v>
      </c>
      <c r="C16" s="30">
        <f t="shared" ref="C16:H16" si="2">C15</f>
        <v>2822</v>
      </c>
      <c r="D16" s="30">
        <f t="shared" si="2"/>
        <v>2821.1927397260274</v>
      </c>
      <c r="E16" s="30">
        <f t="shared" si="2"/>
        <v>2905.7605413698629</v>
      </c>
      <c r="F16" s="30">
        <f t="shared" si="2"/>
        <v>3021.3546650958906</v>
      </c>
      <c r="G16" s="30">
        <f t="shared" si="2"/>
        <v>2973.9186545063012</v>
      </c>
      <c r="H16" s="30">
        <f t="shared" si="2"/>
        <v>3018.7074536129103</v>
      </c>
    </row>
    <row r="17" spans="2:8" ht="14" x14ac:dyDescent="0.3">
      <c r="B17" s="22" t="s">
        <v>135</v>
      </c>
      <c r="C17" s="23"/>
      <c r="D17" s="23"/>
      <c r="E17" s="23"/>
      <c r="F17" s="23"/>
      <c r="G17" s="23"/>
      <c r="H17" s="23"/>
    </row>
    <row r="18" spans="2:8" ht="14" x14ac:dyDescent="0.3">
      <c r="B18" s="28" t="s">
        <v>136</v>
      </c>
      <c r="C18" s="20">
        <f t="shared" ref="C18:H18" si="3">C14-C16</f>
        <v>10958</v>
      </c>
      <c r="D18" s="20">
        <f t="shared" si="3"/>
        <v>10921.560602739724</v>
      </c>
      <c r="E18" s="20">
        <f t="shared" si="3"/>
        <v>11225.305460164385</v>
      </c>
      <c r="F18" s="20">
        <f t="shared" si="3"/>
        <v>11648.494082630137</v>
      </c>
      <c r="G18" s="20">
        <f t="shared" si="3"/>
        <v>11373.104339059726</v>
      </c>
      <c r="H18" s="20">
        <f t="shared" si="3"/>
        <v>11489.135514623096</v>
      </c>
    </row>
    <row r="19" spans="2:8" ht="14" x14ac:dyDescent="0.3">
      <c r="B19" s="28" t="s">
        <v>97</v>
      </c>
      <c r="C19" s="31" t="s">
        <v>45</v>
      </c>
      <c r="D19" s="24">
        <f>D18-C18</f>
        <v>-36.439397260275655</v>
      </c>
      <c r="E19" s="24">
        <f>E18-D18</f>
        <v>303.74485742466095</v>
      </c>
      <c r="F19" s="24">
        <f>F18-E18</f>
        <v>423.18862246575191</v>
      </c>
      <c r="G19" s="24">
        <f>G18-F18</f>
        <v>-275.38974357041116</v>
      </c>
      <c r="H19" s="24">
        <f>H18-G18</f>
        <v>116.0311755633702</v>
      </c>
    </row>
    <row r="22" spans="2:8" ht="14" x14ac:dyDescent="0.3">
      <c r="B22" s="22" t="s">
        <v>137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83</v>
      </c>
      <c r="E23" s="25" t="s">
        <v>84</v>
      </c>
      <c r="F23" s="25" t="s">
        <v>85</v>
      </c>
      <c r="G23" s="25" t="s">
        <v>86</v>
      </c>
      <c r="H23" s="25" t="s">
        <v>87</v>
      </c>
    </row>
    <row r="24" spans="2:8" ht="14" x14ac:dyDescent="0.3">
      <c r="B24" s="3" t="s">
        <v>138</v>
      </c>
    </row>
    <row r="25" spans="2:8" ht="14" x14ac:dyDescent="0.3">
      <c r="B25" s="4" t="s">
        <v>81</v>
      </c>
      <c r="D25" s="32">
        <v>61</v>
      </c>
      <c r="E25" s="32">
        <v>61</v>
      </c>
      <c r="F25" s="32">
        <v>61</v>
      </c>
      <c r="G25" s="32">
        <v>61</v>
      </c>
      <c r="H25" s="32">
        <v>61</v>
      </c>
    </row>
    <row r="26" spans="2:8" ht="14" x14ac:dyDescent="0.3">
      <c r="B26" s="4" t="s">
        <v>118</v>
      </c>
      <c r="D26" s="32">
        <v>60</v>
      </c>
      <c r="E26" s="32">
        <v>59</v>
      </c>
      <c r="F26" s="32">
        <v>58</v>
      </c>
      <c r="G26" s="32">
        <v>58</v>
      </c>
      <c r="H26" s="32">
        <v>58</v>
      </c>
    </row>
    <row r="27" spans="2:8" ht="14" x14ac:dyDescent="0.3">
      <c r="B27" s="4" t="s">
        <v>119</v>
      </c>
      <c r="D27" s="32">
        <v>61</v>
      </c>
      <c r="E27" s="32">
        <v>61</v>
      </c>
      <c r="F27" s="32">
        <v>61</v>
      </c>
      <c r="G27" s="32">
        <v>61</v>
      </c>
      <c r="H27" s="32">
        <v>61</v>
      </c>
    </row>
    <row r="28" spans="2:8" ht="14" x14ac:dyDescent="0.3">
      <c r="B28" s="4" t="s">
        <v>120</v>
      </c>
      <c r="D28" s="32">
        <v>63</v>
      </c>
      <c r="E28" s="32">
        <v>65</v>
      </c>
      <c r="F28" s="32">
        <v>64</v>
      </c>
      <c r="G28" s="32">
        <v>63</v>
      </c>
      <c r="H28" s="32">
        <v>62</v>
      </c>
    </row>
    <row r="29" spans="2:8" ht="14" x14ac:dyDescent="0.3">
      <c r="B29" s="4" t="s">
        <v>121</v>
      </c>
      <c r="D29" s="32">
        <v>65</v>
      </c>
      <c r="E29" s="32">
        <v>68</v>
      </c>
      <c r="F29" s="32">
        <v>68</v>
      </c>
      <c r="G29" s="32">
        <v>66</v>
      </c>
      <c r="H29" s="32">
        <v>65</v>
      </c>
    </row>
    <row r="31" spans="2:8" ht="14" x14ac:dyDescent="0.3">
      <c r="B31" s="3" t="s">
        <v>139</v>
      </c>
    </row>
    <row r="32" spans="2:8" ht="14" x14ac:dyDescent="0.3">
      <c r="B32" s="4" t="s">
        <v>81</v>
      </c>
      <c r="D32" s="32">
        <v>97</v>
      </c>
      <c r="E32" s="32">
        <v>96</v>
      </c>
      <c r="F32" s="32">
        <v>95</v>
      </c>
      <c r="G32" s="32">
        <v>95</v>
      </c>
      <c r="H32" s="32">
        <v>94</v>
      </c>
    </row>
    <row r="33" spans="2:8" ht="14" x14ac:dyDescent="0.3">
      <c r="B33" s="4" t="s">
        <v>118</v>
      </c>
      <c r="D33" s="32">
        <v>95</v>
      </c>
      <c r="E33" s="32">
        <v>92</v>
      </c>
      <c r="F33" s="32">
        <v>90</v>
      </c>
      <c r="G33" s="32">
        <v>88</v>
      </c>
      <c r="H33" s="32">
        <v>88</v>
      </c>
    </row>
    <row r="34" spans="2:8" ht="14" x14ac:dyDescent="0.3">
      <c r="B34" s="4" t="s">
        <v>119</v>
      </c>
      <c r="D34" s="32">
        <v>97</v>
      </c>
      <c r="E34" s="32">
        <v>96</v>
      </c>
      <c r="F34" s="32">
        <v>95</v>
      </c>
      <c r="G34" s="32">
        <v>95</v>
      </c>
      <c r="H34" s="32">
        <v>94</v>
      </c>
    </row>
    <row r="35" spans="2:8" ht="14" x14ac:dyDescent="0.3">
      <c r="B35" s="4" t="s">
        <v>120</v>
      </c>
      <c r="D35" s="32">
        <v>100</v>
      </c>
      <c r="E35" s="32">
        <v>106</v>
      </c>
      <c r="F35" s="32">
        <v>104</v>
      </c>
      <c r="G35" s="32">
        <v>101</v>
      </c>
      <c r="H35" s="32">
        <v>99</v>
      </c>
    </row>
    <row r="36" spans="2:8" ht="14" x14ac:dyDescent="0.3">
      <c r="B36" s="4" t="s">
        <v>121</v>
      </c>
      <c r="D36" s="32">
        <v>104</v>
      </c>
      <c r="E36" s="32">
        <v>112</v>
      </c>
      <c r="F36" s="32">
        <v>112</v>
      </c>
      <c r="G36" s="32">
        <v>108</v>
      </c>
      <c r="H36" s="32">
        <v>105</v>
      </c>
    </row>
    <row r="38" spans="2:8" ht="14" x14ac:dyDescent="0.3">
      <c r="B38" s="3" t="s">
        <v>140</v>
      </c>
    </row>
    <row r="39" spans="2:8" ht="14" x14ac:dyDescent="0.3">
      <c r="B39" s="4" t="s">
        <v>81</v>
      </c>
      <c r="D39" s="32">
        <v>35</v>
      </c>
      <c r="E39" s="32">
        <v>35</v>
      </c>
      <c r="F39" s="32">
        <v>35</v>
      </c>
      <c r="G39" s="32">
        <v>35</v>
      </c>
      <c r="H39" s="32">
        <v>35</v>
      </c>
    </row>
    <row r="40" spans="2:8" ht="14" x14ac:dyDescent="0.3">
      <c r="B40" s="4" t="s">
        <v>118</v>
      </c>
      <c r="D40" s="32">
        <v>35</v>
      </c>
      <c r="E40" s="32">
        <v>36</v>
      </c>
      <c r="F40" s="32">
        <v>36</v>
      </c>
      <c r="G40" s="32">
        <v>36</v>
      </c>
      <c r="H40" s="32">
        <v>36</v>
      </c>
    </row>
    <row r="41" spans="2:8" ht="14" x14ac:dyDescent="0.3">
      <c r="B41" s="4" t="s">
        <v>119</v>
      </c>
      <c r="D41" s="32">
        <v>35</v>
      </c>
      <c r="E41" s="32">
        <v>35</v>
      </c>
      <c r="F41" s="32">
        <v>35</v>
      </c>
      <c r="G41" s="32">
        <v>35</v>
      </c>
      <c r="H41" s="32">
        <v>35</v>
      </c>
    </row>
    <row r="42" spans="2:8" ht="14" x14ac:dyDescent="0.3">
      <c r="B42" s="4" t="s">
        <v>120</v>
      </c>
      <c r="D42" s="32">
        <v>34</v>
      </c>
      <c r="E42" s="32">
        <v>33</v>
      </c>
      <c r="F42" s="32">
        <v>33</v>
      </c>
      <c r="G42" s="32">
        <v>34</v>
      </c>
      <c r="H42" s="32">
        <v>34</v>
      </c>
    </row>
    <row r="43" spans="2:8" ht="14" x14ac:dyDescent="0.3">
      <c r="B43" s="4" t="s">
        <v>121</v>
      </c>
      <c r="D43" s="32">
        <v>33</v>
      </c>
      <c r="E43" s="32">
        <v>32</v>
      </c>
      <c r="F43" s="32">
        <v>32</v>
      </c>
      <c r="G43" s="32">
        <v>33</v>
      </c>
      <c r="H43" s="32">
        <v>33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Q28"/>
  <sheetViews>
    <sheetView topLeftCell="A3"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x14ac:dyDescent="0.4">
      <c r="B2" s="2" t="s">
        <v>141</v>
      </c>
    </row>
    <row r="3" spans="2:17" ht="14" x14ac:dyDescent="0.3">
      <c r="B3" s="1" t="s">
        <v>142</v>
      </c>
    </row>
    <row r="4" spans="2:17" ht="28" x14ac:dyDescent="0.3">
      <c r="B4" s="10" t="s">
        <v>3</v>
      </c>
      <c r="C4" s="10" t="s">
        <v>5</v>
      </c>
      <c r="D4" s="10" t="s">
        <v>143</v>
      </c>
      <c r="E4" s="10" t="s">
        <v>144</v>
      </c>
      <c r="F4" s="10" t="s">
        <v>145</v>
      </c>
      <c r="G4" s="10" t="s">
        <v>146</v>
      </c>
      <c r="H4" s="10" t="s">
        <v>147</v>
      </c>
      <c r="I4" s="10" t="s">
        <v>148</v>
      </c>
      <c r="J4" s="10" t="s">
        <v>149</v>
      </c>
      <c r="K4" s="10" t="s">
        <v>150</v>
      </c>
      <c r="L4" s="10" t="s">
        <v>151</v>
      </c>
      <c r="M4" s="10" t="s">
        <v>152</v>
      </c>
      <c r="N4" s="10" t="s">
        <v>153</v>
      </c>
      <c r="O4" s="10" t="s">
        <v>154</v>
      </c>
      <c r="P4" s="10" t="s">
        <v>155</v>
      </c>
      <c r="Q4" s="10" t="s">
        <v>156</v>
      </c>
    </row>
    <row r="5" spans="2:17" ht="14" x14ac:dyDescent="0.3">
      <c r="B5" s="4" t="s">
        <v>157</v>
      </c>
      <c r="C5" t="s">
        <v>158</v>
      </c>
      <c r="D5" s="33">
        <f>'Executive Summary'!C9*C23/1000000</f>
        <v>5725.1537550000003</v>
      </c>
      <c r="E5" s="33">
        <f>D5+C24</f>
        <v>14166.153754999999</v>
      </c>
      <c r="F5" s="33">
        <v>35447</v>
      </c>
      <c r="G5" s="33">
        <v>615</v>
      </c>
      <c r="H5" s="33">
        <v>-79</v>
      </c>
      <c r="I5" s="33">
        <v>-262</v>
      </c>
      <c r="J5" s="34">
        <f>IFERROR(E5/G5,"")</f>
        <v>23.034396349593496</v>
      </c>
      <c r="K5" s="34">
        <f t="shared" ref="K5:K10" si="0">IFERROR(E5/F5,"")</f>
        <v>0.39964323511157501</v>
      </c>
      <c r="L5" s="35" t="s">
        <v>159</v>
      </c>
      <c r="M5" s="34">
        <f t="shared" ref="M5:M10" si="1">IFERROR(D5/P5,"")</f>
        <v>2.2655930965571827</v>
      </c>
      <c r="N5" s="36">
        <f t="shared" ref="N5:N10" si="2">IFERROR(H5/F5,"")</f>
        <v>-2.2286794369058031E-3</v>
      </c>
      <c r="O5" s="36">
        <f t="shared" ref="O5:O10" si="3">IFERROR(I5/P5,"")</f>
        <v>-0.1036802532647408</v>
      </c>
      <c r="P5" s="33">
        <v>2527</v>
      </c>
    </row>
    <row r="6" spans="2:17" ht="14" x14ac:dyDescent="0.3">
      <c r="B6" s="4" t="s">
        <v>160</v>
      </c>
      <c r="C6" t="s">
        <v>161</v>
      </c>
      <c r="D6" s="33">
        <v>32936</v>
      </c>
      <c r="E6" s="33">
        <v>28670</v>
      </c>
      <c r="F6" s="33">
        <v>33509</v>
      </c>
      <c r="G6" s="37"/>
      <c r="H6" s="33">
        <v>-1720</v>
      </c>
      <c r="I6" s="33">
        <v>856</v>
      </c>
      <c r="J6" s="35" t="s">
        <v>159</v>
      </c>
      <c r="K6" s="34">
        <f t="shared" si="0"/>
        <v>0.85559103524426272</v>
      </c>
      <c r="L6" s="34">
        <f>IFERROR(D6/I6,"")</f>
        <v>38.476635514018689</v>
      </c>
      <c r="M6" s="34">
        <f t="shared" si="1"/>
        <v>0.39994657016915397</v>
      </c>
      <c r="N6" s="36">
        <f t="shared" si="2"/>
        <v>-5.1329493568891937E-2</v>
      </c>
      <c r="O6" s="36">
        <f t="shared" si="3"/>
        <v>1.0394530728224308E-2</v>
      </c>
      <c r="P6" s="33">
        <v>82351</v>
      </c>
      <c r="Q6" s="1" t="s">
        <v>162</v>
      </c>
    </row>
    <row r="7" spans="2:17" ht="14" x14ac:dyDescent="0.3">
      <c r="B7" s="4" t="s">
        <v>163</v>
      </c>
      <c r="C7" t="s">
        <v>164</v>
      </c>
      <c r="D7" s="33">
        <v>17455</v>
      </c>
      <c r="E7" s="33">
        <v>18029</v>
      </c>
      <c r="F7" s="33">
        <v>24064</v>
      </c>
      <c r="G7" s="33">
        <v>1780</v>
      </c>
      <c r="H7" s="33">
        <v>1187</v>
      </c>
      <c r="I7" s="33">
        <v>741</v>
      </c>
      <c r="J7" s="34">
        <f>IFERROR(E7/G7,"")</f>
        <v>10.128651685393258</v>
      </c>
      <c r="K7" s="34">
        <f t="shared" si="0"/>
        <v>0.74921043882978722</v>
      </c>
      <c r="L7" s="34">
        <f>IFERROR(D7/I7,"")</f>
        <v>23.55600539811066</v>
      </c>
      <c r="M7" s="34">
        <f t="shared" si="1"/>
        <v>0.83028112067735338</v>
      </c>
      <c r="N7" s="36">
        <f t="shared" si="2"/>
        <v>4.9326795212765957E-2</v>
      </c>
      <c r="O7" s="36">
        <f t="shared" si="3"/>
        <v>3.5247110307758171E-2</v>
      </c>
      <c r="P7" s="33">
        <v>21023</v>
      </c>
    </row>
    <row r="8" spans="2:17" ht="14" x14ac:dyDescent="0.3">
      <c r="B8" s="4" t="s">
        <v>165</v>
      </c>
      <c r="C8" t="s">
        <v>166</v>
      </c>
      <c r="D8" s="33">
        <v>3984</v>
      </c>
      <c r="E8" s="33">
        <v>10575</v>
      </c>
      <c r="F8" s="33">
        <v>19218</v>
      </c>
      <c r="G8" s="33">
        <v>1371</v>
      </c>
      <c r="H8" s="33">
        <v>380</v>
      </c>
      <c r="I8" s="33">
        <v>236</v>
      </c>
      <c r="J8" s="34">
        <f>IFERROR(E8/G8,"")</f>
        <v>7.7133479212253828</v>
      </c>
      <c r="K8" s="34">
        <f t="shared" si="0"/>
        <v>0.55026537620980331</v>
      </c>
      <c r="L8" s="34">
        <f>IFERROR(D8/I8,"")</f>
        <v>16.881355932203391</v>
      </c>
      <c r="M8" s="34">
        <f t="shared" si="1"/>
        <v>0.37461212976022568</v>
      </c>
      <c r="N8" s="36">
        <f t="shared" si="2"/>
        <v>1.9773129357893642E-2</v>
      </c>
      <c r="O8" s="36">
        <f t="shared" si="3"/>
        <v>2.219087917254349E-2</v>
      </c>
      <c r="P8" s="33">
        <v>10635</v>
      </c>
    </row>
    <row r="9" spans="2:17" ht="14" x14ac:dyDescent="0.3">
      <c r="B9" s="4" t="s">
        <v>167</v>
      </c>
      <c r="C9" t="s">
        <v>168</v>
      </c>
      <c r="D9" s="33">
        <v>83734</v>
      </c>
      <c r="E9" s="33">
        <v>75281</v>
      </c>
      <c r="F9" s="33">
        <v>80572</v>
      </c>
      <c r="G9" s="33">
        <v>7891</v>
      </c>
      <c r="H9" s="33">
        <v>4225</v>
      </c>
      <c r="I9" s="33">
        <v>4514</v>
      </c>
      <c r="J9" s="34">
        <f>IFERROR(E9/G9,"")</f>
        <v>9.5401089849195291</v>
      </c>
      <c r="K9" s="34">
        <f t="shared" si="0"/>
        <v>0.93433202601399989</v>
      </c>
      <c r="L9" s="34">
        <f>IFERROR(D9/I9,"")</f>
        <v>18.549844926894107</v>
      </c>
      <c r="M9" s="34">
        <f t="shared" si="1"/>
        <v>0.92505358050332531</v>
      </c>
      <c r="N9" s="36">
        <f t="shared" si="2"/>
        <v>5.2437571364742093E-2</v>
      </c>
      <c r="O9" s="36">
        <f t="shared" si="3"/>
        <v>4.9868534435139972E-2</v>
      </c>
      <c r="P9" s="33">
        <v>90518</v>
      </c>
    </row>
    <row r="10" spans="2:17" ht="14" x14ac:dyDescent="0.3">
      <c r="B10" s="4" t="s">
        <v>169</v>
      </c>
      <c r="C10" t="s">
        <v>170</v>
      </c>
      <c r="D10" s="33">
        <v>352278</v>
      </c>
      <c r="E10" s="33">
        <v>330499</v>
      </c>
      <c r="F10" s="33">
        <v>261184</v>
      </c>
      <c r="G10" s="33">
        <v>33291</v>
      </c>
      <c r="H10" s="33">
        <v>25035</v>
      </c>
      <c r="I10" s="33">
        <v>20992</v>
      </c>
      <c r="J10" s="34">
        <f>IFERROR(E10/G10,"")</f>
        <v>9.9275780240905949</v>
      </c>
      <c r="K10" s="34">
        <f t="shared" si="0"/>
        <v>1.2653876194560156</v>
      </c>
      <c r="L10" s="34">
        <f>IFERROR(D10/I10,"")</f>
        <v>16.781535823170731</v>
      </c>
      <c r="M10" s="34">
        <f t="shared" si="1"/>
        <v>1.3494449424257051</v>
      </c>
      <c r="N10" s="36">
        <f t="shared" si="2"/>
        <v>9.5851966429796612E-2</v>
      </c>
      <c r="O10" s="36">
        <f t="shared" si="3"/>
        <v>8.0412481708765235E-2</v>
      </c>
      <c r="P10" s="33">
        <v>261054</v>
      </c>
    </row>
    <row r="14" spans="2:17" ht="14" x14ac:dyDescent="0.3">
      <c r="B14" s="3" t="s">
        <v>171</v>
      </c>
    </row>
    <row r="15" spans="2:17" ht="14" x14ac:dyDescent="0.3">
      <c r="B15" s="4" t="s">
        <v>172</v>
      </c>
      <c r="D15" s="34">
        <f>PERCENTILE(J7:J10,0.25)</f>
        <v>9.0834187189959934</v>
      </c>
      <c r="E15" s="34">
        <f>PERCENTILE(K6:K10,0.25)</f>
        <v>0.74921043882978722</v>
      </c>
      <c r="F15" s="34">
        <f>PERCENTILE(L6:L10,0.25)</f>
        <v>16.881355932203391</v>
      </c>
      <c r="G15" s="34">
        <f>PERCENTILE(M6:M10,0.25)</f>
        <v>0.39994657016915397</v>
      </c>
      <c r="H15" s="36">
        <f>PERCENTILE(N6:N10,0.25)</f>
        <v>1.9773129357893642E-2</v>
      </c>
      <c r="I15" s="36">
        <f>PERCENTILE(O6:O10,0.25)</f>
        <v>2.219087917254349E-2</v>
      </c>
    </row>
    <row r="16" spans="2:17" ht="14" x14ac:dyDescent="0.3">
      <c r="B16" s="4" t="s">
        <v>173</v>
      </c>
      <c r="D16" s="34">
        <f>MEDIAN(J7:J10)</f>
        <v>9.733843504505062</v>
      </c>
      <c r="E16" s="34">
        <f>MEDIAN(K6:K10)</f>
        <v>0.85559103524426272</v>
      </c>
      <c r="F16" s="34">
        <f>MEDIAN(L6:L10)</f>
        <v>18.549844926894107</v>
      </c>
      <c r="G16" s="34">
        <f>MEDIAN(M6:M10)</f>
        <v>0.83028112067735338</v>
      </c>
      <c r="H16" s="36">
        <f>MEDIAN(N6:N10)</f>
        <v>4.9326795212765957E-2</v>
      </c>
      <c r="I16" s="36">
        <f>MEDIAN(O6:O10)</f>
        <v>3.5247110307758171E-2</v>
      </c>
    </row>
    <row r="17" spans="2:9" ht="14" x14ac:dyDescent="0.3">
      <c r="B17" s="4" t="s">
        <v>174</v>
      </c>
      <c r="D17" s="34">
        <f>PERCENTILE(J7:J10,0.75)</f>
        <v>9.9778464394162611</v>
      </c>
      <c r="E17" s="34">
        <f>PERCENTILE(K6:K10,0.75)</f>
        <v>0.93433202601399989</v>
      </c>
      <c r="F17" s="34">
        <f>PERCENTILE(L6:L10,0.75)</f>
        <v>23.55600539811066</v>
      </c>
      <c r="G17" s="34">
        <f>PERCENTILE(M6:M10,0.75)</f>
        <v>0.92505358050332531</v>
      </c>
      <c r="H17" s="36">
        <f>PERCENTILE(N6:N10,0.75)</f>
        <v>5.2437571364742093E-2</v>
      </c>
      <c r="I17" s="36">
        <f>PERCENTILE(O6:O10,0.75)</f>
        <v>4.9868534435139972E-2</v>
      </c>
    </row>
    <row r="19" spans="2:9" ht="14" x14ac:dyDescent="0.3">
      <c r="B19" s="22" t="s">
        <v>175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176</v>
      </c>
    </row>
    <row r="21" spans="2:9" ht="14" x14ac:dyDescent="0.3">
      <c r="B21" s="4" t="s">
        <v>177</v>
      </c>
      <c r="C21" s="5">
        <v>615</v>
      </c>
    </row>
    <row r="22" spans="2:9" ht="14" x14ac:dyDescent="0.3">
      <c r="B22" s="4" t="s">
        <v>178</v>
      </c>
      <c r="C22" s="5">
        <v>-262</v>
      </c>
    </row>
    <row r="23" spans="2:9" ht="14" x14ac:dyDescent="0.3">
      <c r="B23" s="4" t="s">
        <v>179</v>
      </c>
      <c r="C23" s="15">
        <v>6807555</v>
      </c>
    </row>
    <row r="24" spans="2:9" ht="14" x14ac:dyDescent="0.3">
      <c r="B24" s="4" t="s">
        <v>70</v>
      </c>
      <c r="C24" s="5">
        <v>8441</v>
      </c>
    </row>
    <row r="26" spans="2:9" ht="14" x14ac:dyDescent="0.3">
      <c r="B26" s="3" t="s">
        <v>180</v>
      </c>
    </row>
    <row r="27" spans="2:9" ht="14" x14ac:dyDescent="0.3">
      <c r="B27" s="4" t="s">
        <v>181</v>
      </c>
      <c r="C27" s="24">
        <f>ROUND((C21*D16-C24)*1000000/C23,0)</f>
        <v>-361</v>
      </c>
    </row>
    <row r="28" spans="2:9" ht="14" x14ac:dyDescent="0.3">
      <c r="B28" s="4" t="s">
        <v>182</v>
      </c>
      <c r="C28" s="38" t="s">
        <v>159</v>
      </c>
      <c r="D28" s="1" t="s">
        <v>183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184</v>
      </c>
    </row>
    <row r="3" spans="2:9" ht="14" x14ac:dyDescent="0.3">
      <c r="B3" s="4" t="s">
        <v>185</v>
      </c>
      <c r="C3" s="16">
        <f>'DCF Model'!C26</f>
        <v>6.6575000000000009E-2</v>
      </c>
      <c r="E3" s="4" t="s">
        <v>186</v>
      </c>
      <c r="F3" s="16">
        <f>'DCF Model'!C13</f>
        <v>5.0000000000000001E-3</v>
      </c>
      <c r="H3" s="4" t="s">
        <v>187</v>
      </c>
      <c r="I3" s="14">
        <f>'DCF Model'!C14</f>
        <v>7</v>
      </c>
    </row>
    <row r="5" spans="2:9" ht="14" x14ac:dyDescent="0.3">
      <c r="B5" s="3" t="s">
        <v>188</v>
      </c>
    </row>
    <row r="6" spans="2:9" ht="14" x14ac:dyDescent="0.3">
      <c r="B6" s="39" t="s">
        <v>189</v>
      </c>
      <c r="C6" s="40">
        <f>$F$3-0.0075</f>
        <v>-2.4999999999999996E-3</v>
      </c>
      <c r="D6" s="40">
        <f>$F$3-0.005</f>
        <v>0</v>
      </c>
      <c r="E6" s="40">
        <f>$F$3-0.0025</f>
        <v>2.5000000000000001E-3</v>
      </c>
      <c r="F6" s="40">
        <f>$F$3</f>
        <v>5.0000000000000001E-3</v>
      </c>
      <c r="G6" s="40">
        <f>$F$3+0.0025</f>
        <v>7.4999999999999997E-3</v>
      </c>
      <c r="H6" s="40">
        <f>$F$3+0.005</f>
        <v>0.01</v>
      </c>
      <c r="I6" s="40">
        <f>$F$3+0.0075</f>
        <v>1.2500000000000001E-2</v>
      </c>
    </row>
    <row r="7" spans="2:9" ht="13.5" x14ac:dyDescent="0.25">
      <c r="B7" s="36">
        <f>$C$3-0.015</f>
        <v>5.157500000000001E-2</v>
      </c>
      <c r="C7" s="33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-464</v>
      </c>
      <c r="D7" s="33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-433</v>
      </c>
      <c r="E7" s="33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-398</v>
      </c>
      <c r="F7" s="33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-360</v>
      </c>
      <c r="G7" s="33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-318</v>
      </c>
      <c r="H7" s="33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-271</v>
      </c>
      <c r="I7" s="33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-217</v>
      </c>
    </row>
    <row r="8" spans="2:9" ht="13.5" x14ac:dyDescent="0.25">
      <c r="B8" s="36">
        <f>$C$3-0.01</f>
        <v>5.6575000000000007E-2</v>
      </c>
      <c r="C8" s="33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-530</v>
      </c>
      <c r="D8" s="33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-504</v>
      </c>
      <c r="E8" s="33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-476</v>
      </c>
      <c r="F8" s="33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-446</v>
      </c>
      <c r="G8" s="33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-412</v>
      </c>
      <c r="H8" s="33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-374</v>
      </c>
      <c r="I8" s="33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-333</v>
      </c>
    </row>
    <row r="9" spans="2:9" ht="13.5" x14ac:dyDescent="0.25">
      <c r="B9" s="36">
        <f>$C$3-0.005</f>
        <v>6.1575000000000012E-2</v>
      </c>
      <c r="C9" s="33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-585</v>
      </c>
      <c r="D9" s="33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-564</v>
      </c>
      <c r="E9" s="33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-541</v>
      </c>
      <c r="F9" s="33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-516</v>
      </c>
      <c r="G9" s="33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-488</v>
      </c>
      <c r="H9" s="33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-458</v>
      </c>
      <c r="I9" s="33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-425</v>
      </c>
    </row>
    <row r="10" spans="2:9" ht="13.5" x14ac:dyDescent="0.25">
      <c r="B10" s="36">
        <f>$C$3</f>
        <v>6.6575000000000009E-2</v>
      </c>
      <c r="C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-633</v>
      </c>
      <c r="D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-615</v>
      </c>
      <c r="E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-596</v>
      </c>
      <c r="F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-575</v>
      </c>
      <c r="G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-552</v>
      </c>
      <c r="H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-527</v>
      </c>
      <c r="I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-500</v>
      </c>
    </row>
    <row r="11" spans="2:9" ht="13.5" x14ac:dyDescent="0.25">
      <c r="B11" s="36">
        <f>$C$3+0.005</f>
        <v>7.1575000000000014E-2</v>
      </c>
      <c r="C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-674</v>
      </c>
      <c r="D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-659</v>
      </c>
      <c r="E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-642</v>
      </c>
      <c r="F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-625</v>
      </c>
      <c r="G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-605</v>
      </c>
      <c r="H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-585</v>
      </c>
      <c r="I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-562</v>
      </c>
    </row>
    <row r="12" spans="2:9" ht="13.5" x14ac:dyDescent="0.25">
      <c r="B12" s="36">
        <f>$C$3+0.01</f>
        <v>7.6575000000000004E-2</v>
      </c>
      <c r="C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-710</v>
      </c>
      <c r="D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-697</v>
      </c>
      <c r="E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-683</v>
      </c>
      <c r="F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-668</v>
      </c>
      <c r="G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-651</v>
      </c>
      <c r="H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-634</v>
      </c>
      <c r="I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-615</v>
      </c>
    </row>
    <row r="13" spans="2:9" ht="13.5" x14ac:dyDescent="0.25">
      <c r="B13" s="36">
        <f>$C$3+0.015</f>
        <v>8.1575000000000009E-2</v>
      </c>
      <c r="C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-742</v>
      </c>
      <c r="D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-730</v>
      </c>
      <c r="E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-718</v>
      </c>
      <c r="F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-705</v>
      </c>
      <c r="G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-691</v>
      </c>
      <c r="H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-676</v>
      </c>
      <c r="I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-660</v>
      </c>
    </row>
    <row r="16" spans="2:9" ht="14" x14ac:dyDescent="0.3">
      <c r="B16" s="3" t="s">
        <v>190</v>
      </c>
    </row>
    <row r="17" spans="2:9" ht="14" x14ac:dyDescent="0.3">
      <c r="B17" s="39" t="s">
        <v>191</v>
      </c>
      <c r="C17" s="41">
        <f>$I$3-3</f>
        <v>4</v>
      </c>
      <c r="D17" s="41">
        <f>$I$3-2</f>
        <v>5</v>
      </c>
      <c r="E17" s="41">
        <f>$I$3-1</f>
        <v>6</v>
      </c>
      <c r="F17" s="41">
        <f>$I$3</f>
        <v>7</v>
      </c>
      <c r="G17" s="41">
        <f>$I$3+1</f>
        <v>8</v>
      </c>
      <c r="H17" s="41">
        <f>$I$3+2</f>
        <v>9</v>
      </c>
      <c r="I17" s="41">
        <f>$I$3+3</f>
        <v>10</v>
      </c>
    </row>
    <row r="18" spans="2:9" ht="13.5" x14ac:dyDescent="0.25">
      <c r="B18" s="36">
        <f>$C$3-0.015</f>
        <v>5.157500000000001E-2</v>
      </c>
      <c r="C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-519</v>
      </c>
      <c r="D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-379</v>
      </c>
      <c r="E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-240</v>
      </c>
      <c r="F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-101</v>
      </c>
      <c r="G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38</v>
      </c>
      <c r="H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177</v>
      </c>
      <c r="I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316</v>
      </c>
    </row>
    <row r="19" spans="2:9" ht="13.5" x14ac:dyDescent="0.25">
      <c r="B19" s="36">
        <f>$C$3-0.01</f>
        <v>5.6575000000000007E-2</v>
      </c>
      <c r="C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-533</v>
      </c>
      <c r="D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-396</v>
      </c>
      <c r="E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-260</v>
      </c>
      <c r="F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-124</v>
      </c>
      <c r="G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12</v>
      </c>
      <c r="H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148</v>
      </c>
      <c r="I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284</v>
      </c>
    </row>
    <row r="20" spans="2:9" ht="13.5" x14ac:dyDescent="0.25">
      <c r="B20" s="36">
        <f>$C$3-0.005</f>
        <v>6.1575000000000012E-2</v>
      </c>
      <c r="C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-546</v>
      </c>
      <c r="D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-413</v>
      </c>
      <c r="E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-280</v>
      </c>
      <c r="F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-146</v>
      </c>
      <c r="G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-13</v>
      </c>
      <c r="H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120</v>
      </c>
      <c r="I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253</v>
      </c>
    </row>
    <row r="21" spans="2:9" ht="13.5" x14ac:dyDescent="0.25">
      <c r="B21" s="36">
        <f>$C$3</f>
        <v>6.6575000000000009E-2</v>
      </c>
      <c r="C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-560</v>
      </c>
      <c r="D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-429</v>
      </c>
      <c r="E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-299</v>
      </c>
      <c r="F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-168</v>
      </c>
      <c r="G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-38</v>
      </c>
      <c r="H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93</v>
      </c>
      <c r="I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223</v>
      </c>
    </row>
    <row r="22" spans="2:9" ht="13.5" x14ac:dyDescent="0.25">
      <c r="B22" s="36">
        <f>$C$3+0.005</f>
        <v>7.1575000000000014E-2</v>
      </c>
      <c r="C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-573</v>
      </c>
      <c r="D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-445</v>
      </c>
      <c r="E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-317</v>
      </c>
      <c r="F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-189</v>
      </c>
      <c r="G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-62</v>
      </c>
      <c r="H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66</v>
      </c>
      <c r="I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194</v>
      </c>
    </row>
    <row r="23" spans="2:9" ht="13.5" x14ac:dyDescent="0.25">
      <c r="B23" s="36">
        <f>$C$3+0.01</f>
        <v>7.6575000000000004E-2</v>
      </c>
      <c r="C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-585</v>
      </c>
      <c r="D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-460</v>
      </c>
      <c r="E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-335</v>
      </c>
      <c r="F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-210</v>
      </c>
      <c r="G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-85</v>
      </c>
      <c r="H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40</v>
      </c>
      <c r="I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165</v>
      </c>
    </row>
    <row r="24" spans="2:9" ht="13.5" x14ac:dyDescent="0.25">
      <c r="B24" s="36">
        <f>$C$3+0.015</f>
        <v>8.1575000000000009E-2</v>
      </c>
      <c r="C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-598</v>
      </c>
      <c r="D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-475</v>
      </c>
      <c r="E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-353</v>
      </c>
      <c r="F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-230</v>
      </c>
      <c r="G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-108</v>
      </c>
      <c r="H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15</v>
      </c>
      <c r="I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137</v>
      </c>
    </row>
    <row r="26" spans="2:9" ht="14" x14ac:dyDescent="0.3">
      <c r="B26" s="44" t="s">
        <v>192</v>
      </c>
      <c r="C26" s="43"/>
      <c r="D26" s="43"/>
      <c r="E26" s="43"/>
      <c r="F26" s="43"/>
      <c r="G26" s="43"/>
      <c r="H26" s="43"/>
      <c r="I26" s="43"/>
    </row>
  </sheetData>
  <mergeCells count="1">
    <mergeCell ref="B26:I26"/>
  </mergeCells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B2:G40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x14ac:dyDescent="0.4">
      <c r="B2" s="2" t="s">
        <v>193</v>
      </c>
    </row>
    <row r="4" spans="2:7" ht="14" x14ac:dyDescent="0.3">
      <c r="B4" s="10" t="s">
        <v>194</v>
      </c>
      <c r="C4" s="10" t="s">
        <v>195</v>
      </c>
      <c r="D4" s="10" t="s">
        <v>196</v>
      </c>
      <c r="E4" s="10" t="s">
        <v>197</v>
      </c>
      <c r="F4" s="10" t="s">
        <v>198</v>
      </c>
      <c r="G4" s="10" t="s">
        <v>199</v>
      </c>
    </row>
    <row r="5" spans="2:7" x14ac:dyDescent="0.2">
      <c r="B5" t="s">
        <v>200</v>
      </c>
      <c r="C5" t="s">
        <v>201</v>
      </c>
      <c r="D5" t="s">
        <v>202</v>
      </c>
      <c r="E5" t="s">
        <v>203</v>
      </c>
      <c r="F5" t="s">
        <v>201</v>
      </c>
      <c r="G5" t="s">
        <v>204</v>
      </c>
    </row>
    <row r="12" spans="2:7" ht="14" x14ac:dyDescent="0.3">
      <c r="B12" s="8" t="s">
        <v>205</v>
      </c>
    </row>
    <row r="13" spans="2:7" ht="14" x14ac:dyDescent="0.3">
      <c r="B13" s="10" t="s">
        <v>206</v>
      </c>
      <c r="C13" s="10" t="s">
        <v>207</v>
      </c>
    </row>
    <row r="14" spans="2:7" ht="14" x14ac:dyDescent="0.3">
      <c r="B14" s="4" t="s">
        <v>208</v>
      </c>
      <c r="C14" t="s">
        <v>209</v>
      </c>
    </row>
    <row r="15" spans="2:7" ht="14" x14ac:dyDescent="0.3">
      <c r="B15" s="4" t="s">
        <v>210</v>
      </c>
      <c r="C15" t="s">
        <v>211</v>
      </c>
    </row>
    <row r="16" spans="2:7" ht="14" x14ac:dyDescent="0.3">
      <c r="B16" s="4" t="s">
        <v>212</v>
      </c>
      <c r="C16" t="s">
        <v>213</v>
      </c>
    </row>
    <row r="17" spans="2:3" ht="14" x14ac:dyDescent="0.3">
      <c r="B17" s="4" t="s">
        <v>214</v>
      </c>
      <c r="C17" t="s">
        <v>4</v>
      </c>
    </row>
    <row r="18" spans="2:3" ht="14" x14ac:dyDescent="0.3">
      <c r="B18" s="4" t="s">
        <v>215</v>
      </c>
      <c r="C18" t="s">
        <v>200</v>
      </c>
    </row>
    <row r="19" spans="2:3" ht="14" x14ac:dyDescent="0.3">
      <c r="B19" s="4" t="s">
        <v>216</v>
      </c>
      <c r="C19" t="s">
        <v>160</v>
      </c>
    </row>
    <row r="20" spans="2:3" ht="14" x14ac:dyDescent="0.3">
      <c r="B20" s="4" t="s">
        <v>217</v>
      </c>
      <c r="C20" t="s">
        <v>218</v>
      </c>
    </row>
    <row r="21" spans="2:3" ht="14" x14ac:dyDescent="0.3">
      <c r="B21" s="4" t="s">
        <v>219</v>
      </c>
      <c r="C21" t="s">
        <v>220</v>
      </c>
    </row>
    <row r="22" spans="2:3" ht="14" x14ac:dyDescent="0.3">
      <c r="B22" s="4" t="s">
        <v>221</v>
      </c>
      <c r="C22" t="s">
        <v>222</v>
      </c>
    </row>
    <row r="23" spans="2:3" ht="14" x14ac:dyDescent="0.3">
      <c r="B23" s="4" t="s">
        <v>223</v>
      </c>
      <c r="C23" t="s">
        <v>224</v>
      </c>
    </row>
    <row r="24" spans="2:3" ht="14" x14ac:dyDescent="0.3">
      <c r="B24" s="4" t="s">
        <v>225</v>
      </c>
      <c r="C24" t="s">
        <v>226</v>
      </c>
    </row>
    <row r="25" spans="2:3" ht="14" x14ac:dyDescent="0.3">
      <c r="B25" s="4" t="s">
        <v>227</v>
      </c>
      <c r="C25" t="s">
        <v>228</v>
      </c>
    </row>
    <row r="26" spans="2:3" ht="14" x14ac:dyDescent="0.3">
      <c r="B26" s="4" t="s">
        <v>229</v>
      </c>
      <c r="C26" t="s">
        <v>230</v>
      </c>
    </row>
    <row r="27" spans="2:3" ht="14" x14ac:dyDescent="0.3">
      <c r="B27" s="4" t="s">
        <v>231</v>
      </c>
      <c r="C27" t="s">
        <v>232</v>
      </c>
    </row>
    <row r="28" spans="2:3" ht="14" x14ac:dyDescent="0.3">
      <c r="B28" s="4" t="s">
        <v>233</v>
      </c>
      <c r="C28" t="s">
        <v>209</v>
      </c>
    </row>
    <row r="29" spans="2:3" ht="14" x14ac:dyDescent="0.3">
      <c r="B29" s="4" t="s">
        <v>234</v>
      </c>
      <c r="C29" t="s">
        <v>211</v>
      </c>
    </row>
    <row r="30" spans="2:3" ht="14" x14ac:dyDescent="0.3">
      <c r="B30" s="4" t="s">
        <v>235</v>
      </c>
      <c r="C30" t="s">
        <v>236</v>
      </c>
    </row>
    <row r="31" spans="2:3" ht="14" x14ac:dyDescent="0.3">
      <c r="B31" s="4" t="s">
        <v>237</v>
      </c>
      <c r="C31" t="s">
        <v>238</v>
      </c>
    </row>
    <row r="32" spans="2:3" ht="14" x14ac:dyDescent="0.3">
      <c r="B32" s="4" t="s">
        <v>239</v>
      </c>
      <c r="C32" t="s">
        <v>240</v>
      </c>
    </row>
    <row r="33" spans="2:3" ht="14" x14ac:dyDescent="0.3">
      <c r="B33" s="4" t="s">
        <v>241</v>
      </c>
      <c r="C33" t="s">
        <v>242</v>
      </c>
    </row>
    <row r="34" spans="2:3" ht="14" x14ac:dyDescent="0.3">
      <c r="B34" s="4" t="s">
        <v>243</v>
      </c>
      <c r="C34" t="s">
        <v>244</v>
      </c>
    </row>
    <row r="35" spans="2:3" ht="14" x14ac:dyDescent="0.3">
      <c r="B35" s="4" t="s">
        <v>245</v>
      </c>
      <c r="C35" t="s">
        <v>246</v>
      </c>
    </row>
    <row r="36" spans="2:3" ht="14" x14ac:dyDescent="0.3">
      <c r="B36" s="4" t="s">
        <v>247</v>
      </c>
      <c r="C36" t="s">
        <v>248</v>
      </c>
    </row>
    <row r="37" spans="2:3" ht="14" x14ac:dyDescent="0.3">
      <c r="B37" s="4" t="s">
        <v>249</v>
      </c>
      <c r="C37" t="s">
        <v>250</v>
      </c>
    </row>
    <row r="38" spans="2:3" ht="14" x14ac:dyDescent="0.3">
      <c r="B38" s="4" t="s">
        <v>251</v>
      </c>
      <c r="C38" t="s">
        <v>252</v>
      </c>
    </row>
    <row r="39" spans="2:3" ht="14" x14ac:dyDescent="0.3">
      <c r="B39" s="4" t="s">
        <v>253</v>
      </c>
      <c r="C39" t="s">
        <v>254</v>
      </c>
    </row>
    <row r="40" spans="2:3" ht="14" x14ac:dyDescent="0.3">
      <c r="B40" s="4" t="s">
        <v>255</v>
      </c>
      <c r="C40" t="s">
        <v>158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2026-08-21T05:31:34Z</dcterms:created>
  <dcterms:modified xsi:type="dcterms:W3CDTF">2026-08-22T04:01:09Z</dcterms:modified>
</cp:coreProperties>
</file>