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CE14A4C-BFDA-4F2E-A1F2-14246E0FD4B0}"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D17" i="7" l="1"/>
  <c r="I3" i="7"/>
  <c r="I17" i="7" s="1"/>
  <c r="F3" i="7"/>
  <c r="H6" i="7" s="1"/>
  <c r="O9" i="6"/>
  <c r="N9" i="6"/>
  <c r="M9" i="6"/>
  <c r="L9" i="6"/>
  <c r="K9" i="6"/>
  <c r="J9" i="6"/>
  <c r="O8" i="6"/>
  <c r="N8" i="6"/>
  <c r="M8" i="6"/>
  <c r="L8" i="6"/>
  <c r="K8" i="6"/>
  <c r="J8" i="6"/>
  <c r="O7" i="6"/>
  <c r="N7" i="6"/>
  <c r="M7" i="6"/>
  <c r="L7" i="6"/>
  <c r="K7" i="6"/>
  <c r="J7" i="6"/>
  <c r="O6" i="6"/>
  <c r="I17" i="6" s="1"/>
  <c r="N6" i="6"/>
  <c r="H15" i="6" s="1"/>
  <c r="M6" i="6"/>
  <c r="L6" i="6"/>
  <c r="F15" i="6" s="1"/>
  <c r="K6" i="6"/>
  <c r="J6" i="6"/>
  <c r="O5" i="6"/>
  <c r="N5" i="6"/>
  <c r="D5" i="6"/>
  <c r="E5" i="6" s="1"/>
  <c r="C5" i="5"/>
  <c r="C13" i="4"/>
  <c r="C12" i="4"/>
  <c r="C9" i="4"/>
  <c r="C7" i="4"/>
  <c r="C8" i="4" s="1"/>
  <c r="C6" i="4"/>
  <c r="D27" i="3"/>
  <c r="D5" i="5" s="1"/>
  <c r="C25" i="3"/>
  <c r="C24" i="3"/>
  <c r="C23" i="3"/>
  <c r="C26" i="3" s="1"/>
  <c r="D16" i="2"/>
  <c r="D15" i="2"/>
  <c r="D14" i="2"/>
  <c r="C14" i="2"/>
  <c r="D13" i="2"/>
  <c r="C13" i="2"/>
  <c r="C10" i="4" l="1"/>
  <c r="L5" i="6"/>
  <c r="D17" i="6"/>
  <c r="I16" i="6"/>
  <c r="E15" i="6"/>
  <c r="G16" i="6"/>
  <c r="C6" i="7"/>
  <c r="C3" i="7"/>
  <c r="D36" i="4"/>
  <c r="D46" i="3"/>
  <c r="H36" i="4"/>
  <c r="G36" i="4"/>
  <c r="C11" i="4"/>
  <c r="G46" i="3"/>
  <c r="F36" i="4"/>
  <c r="F46" i="3"/>
  <c r="E46" i="3"/>
  <c r="C46" i="3"/>
  <c r="E36" i="4"/>
  <c r="J5" i="6"/>
  <c r="K5" i="6"/>
  <c r="C70" i="4"/>
  <c r="C24" i="4"/>
  <c r="C25" i="4" s="1"/>
  <c r="C71" i="4"/>
  <c r="E5" i="5"/>
  <c r="M5" i="6"/>
  <c r="I15" i="6"/>
  <c r="E17" i="6"/>
  <c r="I6" i="7"/>
  <c r="G15" i="6"/>
  <c r="C32" i="3"/>
  <c r="F30" i="3"/>
  <c r="D32" i="3"/>
  <c r="F5" i="5"/>
  <c r="D16" i="6"/>
  <c r="F17" i="6"/>
  <c r="C17" i="7"/>
  <c r="G30" i="3"/>
  <c r="E32" i="3"/>
  <c r="G5" i="5"/>
  <c r="E16" i="6"/>
  <c r="G17" i="6"/>
  <c r="F31" i="3"/>
  <c r="E30" i="3"/>
  <c r="C31" i="3"/>
  <c r="F32" i="3"/>
  <c r="H5" i="5"/>
  <c r="D15" i="6"/>
  <c r="F16" i="6"/>
  <c r="C28" i="6" s="1"/>
  <c r="C19" i="1" s="1"/>
  <c r="D19" i="1" s="1"/>
  <c r="H17" i="6"/>
  <c r="D6" i="7"/>
  <c r="E17" i="7"/>
  <c r="C30" i="3"/>
  <c r="C33" i="3" s="1"/>
  <c r="D31" i="3"/>
  <c r="G32" i="3"/>
  <c r="E6" i="7"/>
  <c r="F17" i="7"/>
  <c r="E31" i="3"/>
  <c r="H16" i="6"/>
  <c r="F6" i="7"/>
  <c r="G17" i="7"/>
  <c r="G6" i="7"/>
  <c r="H17" i="7"/>
  <c r="D30" i="3"/>
  <c r="G31" i="3"/>
  <c r="D46" i="4" l="1"/>
  <c r="D44" i="4"/>
  <c r="D38" i="4"/>
  <c r="D40" i="4"/>
  <c r="D41" i="4"/>
  <c r="D51" i="4" s="1"/>
  <c r="D56" i="4" s="1"/>
  <c r="D45" i="4"/>
  <c r="D39" i="4"/>
  <c r="D49" i="4" s="1"/>
  <c r="D54" i="4" s="1"/>
  <c r="D43" i="4"/>
  <c r="B13" i="7"/>
  <c r="B12" i="7"/>
  <c r="B11" i="7"/>
  <c r="B10" i="7"/>
  <c r="B9" i="7"/>
  <c r="B8" i="7"/>
  <c r="B7" i="7"/>
  <c r="B24" i="7"/>
  <c r="B23" i="7"/>
  <c r="B22" i="7"/>
  <c r="B21" i="7"/>
  <c r="B20" i="7"/>
  <c r="B19" i="7"/>
  <c r="B18" i="7"/>
  <c r="F44" i="4"/>
  <c r="F41" i="4"/>
  <c r="F51" i="4" s="1"/>
  <c r="F56" i="4" s="1"/>
  <c r="F45" i="4"/>
  <c r="F39" i="4"/>
  <c r="F43" i="4"/>
  <c r="F46" i="4"/>
  <c r="F38" i="4"/>
  <c r="F40" i="4"/>
  <c r="F50" i="4" s="1"/>
  <c r="F55" i="4" s="1"/>
  <c r="C43" i="3"/>
  <c r="C35" i="3"/>
  <c r="D9" i="5"/>
  <c r="D18" i="5" s="1"/>
  <c r="D19" i="5" s="1"/>
  <c r="C44" i="3" s="1"/>
  <c r="C42" i="3"/>
  <c r="C34" i="3"/>
  <c r="C37" i="3"/>
  <c r="D33" i="3"/>
  <c r="G38" i="4"/>
  <c r="G48" i="4" s="1"/>
  <c r="G53" i="4" s="1"/>
  <c r="G45" i="4"/>
  <c r="G39" i="4"/>
  <c r="G49" i="4" s="1"/>
  <c r="G54" i="4" s="1"/>
  <c r="G43" i="4"/>
  <c r="G46" i="4"/>
  <c r="G40" i="4"/>
  <c r="G41" i="4"/>
  <c r="G51" i="4" s="1"/>
  <c r="G56" i="4" s="1"/>
  <c r="G44" i="4"/>
  <c r="E40" i="4"/>
  <c r="E50" i="4" s="1"/>
  <c r="E55" i="4" s="1"/>
  <c r="E38" i="4"/>
  <c r="E48" i="4" s="1"/>
  <c r="E53" i="4" s="1"/>
  <c r="E41" i="4"/>
  <c r="E51" i="4" s="1"/>
  <c r="E56" i="4" s="1"/>
  <c r="E44" i="4"/>
  <c r="E45" i="4"/>
  <c r="E39" i="4"/>
  <c r="E43" i="4"/>
  <c r="E46" i="4"/>
  <c r="H41" i="4"/>
  <c r="H39" i="4"/>
  <c r="H49" i="4" s="1"/>
  <c r="H54" i="4" s="1"/>
  <c r="H43" i="4"/>
  <c r="H46" i="4"/>
  <c r="H45" i="4"/>
  <c r="H40" i="4"/>
  <c r="H50" i="4" s="1"/>
  <c r="H55" i="4" s="1"/>
  <c r="H44" i="4"/>
  <c r="H38" i="4"/>
  <c r="C27" i="6"/>
  <c r="C18" i="1" s="1"/>
  <c r="D18" i="1" s="1"/>
  <c r="C74" i="4"/>
  <c r="C27" i="4"/>
  <c r="C29" i="4"/>
  <c r="C26" i="4"/>
  <c r="F48" i="4" l="1"/>
  <c r="F53" i="4" s="1"/>
  <c r="E33" i="3"/>
  <c r="E9" i="5"/>
  <c r="E18" i="5" s="1"/>
  <c r="E19" i="5" s="1"/>
  <c r="D44" i="3" s="1"/>
  <c r="D42" i="3"/>
  <c r="D34" i="3"/>
  <c r="D37" i="3"/>
  <c r="D43" i="3"/>
  <c r="D35" i="3"/>
  <c r="C36" i="3"/>
  <c r="C38" i="3"/>
  <c r="C39" i="3"/>
  <c r="D50" i="4"/>
  <c r="D55" i="4" s="1"/>
  <c r="H51" i="4"/>
  <c r="H56" i="4" s="1"/>
  <c r="E49" i="4"/>
  <c r="E54" i="4" s="1"/>
  <c r="G50" i="4"/>
  <c r="G55" i="4" s="1"/>
  <c r="D48" i="4"/>
  <c r="D53" i="4" s="1"/>
  <c r="H48" i="4"/>
  <c r="H53" i="4" s="1"/>
  <c r="F49" i="4"/>
  <c r="D38" i="3" l="1"/>
  <c r="D36" i="3"/>
  <c r="D39" i="3"/>
  <c r="C40" i="3"/>
  <c r="C41" i="3" s="1"/>
  <c r="C45" i="3" s="1"/>
  <c r="F54" i="4"/>
  <c r="C60" i="4"/>
  <c r="B78" i="4"/>
  <c r="E42" i="3"/>
  <c r="E34" i="3"/>
  <c r="F33" i="3"/>
  <c r="E37" i="3"/>
  <c r="E43" i="3"/>
  <c r="E35" i="3"/>
  <c r="F9" i="5"/>
  <c r="F18" i="5" s="1"/>
  <c r="F19" i="5" s="1"/>
  <c r="E44" i="3" s="1"/>
  <c r="C47" i="3" l="1"/>
  <c r="C64" i="4"/>
  <c r="D64" i="4" s="1"/>
  <c r="C67" i="4"/>
  <c r="D67" i="4" s="1"/>
  <c r="C63" i="4"/>
  <c r="D63" i="4" s="1"/>
  <c r="C66" i="4"/>
  <c r="D66" i="4" s="1"/>
  <c r="C65" i="4"/>
  <c r="D65" i="4" s="1"/>
  <c r="E39" i="3"/>
  <c r="E38" i="3"/>
  <c r="E36" i="3"/>
  <c r="G9" i="5"/>
  <c r="G18" i="5" s="1"/>
  <c r="G19" i="5" s="1"/>
  <c r="F44" i="3" s="1"/>
  <c r="F42" i="3"/>
  <c r="F34" i="3"/>
  <c r="F35" i="3" s="1"/>
  <c r="F37" i="3"/>
  <c r="F43" i="3"/>
  <c r="G33" i="3"/>
  <c r="D40" i="3"/>
  <c r="D41" i="3" s="1"/>
  <c r="D45" i="3" s="1"/>
  <c r="D47" i="3" l="1"/>
  <c r="F36" i="3"/>
  <c r="F38" i="3"/>
  <c r="F39" i="3"/>
  <c r="C16" i="4"/>
  <c r="C28" i="4" s="1"/>
  <c r="G37" i="3"/>
  <c r="G34" i="3"/>
  <c r="G35" i="3" s="1"/>
  <c r="G43" i="3"/>
  <c r="G42" i="3"/>
  <c r="H9" i="5"/>
  <c r="H18" i="5" s="1"/>
  <c r="H19" i="5" s="1"/>
  <c r="G44" i="3" s="1"/>
  <c r="E40" i="3"/>
  <c r="E41" i="3" s="1"/>
  <c r="E45" i="3" s="1"/>
  <c r="E47" i="3" l="1"/>
  <c r="F40" i="3"/>
  <c r="F41" i="3" s="1"/>
  <c r="F45" i="3" s="1"/>
  <c r="G39" i="3"/>
  <c r="G38" i="3"/>
  <c r="G36" i="3"/>
  <c r="C72" i="4"/>
  <c r="C73" i="4"/>
  <c r="F47" i="3" l="1"/>
  <c r="C59" i="3"/>
  <c r="C60" i="3" s="1"/>
  <c r="C61" i="3" s="1"/>
  <c r="G40" i="3"/>
  <c r="G41" i="3" s="1"/>
  <c r="G45" i="3" s="1"/>
  <c r="G47" i="3" l="1"/>
  <c r="C50" i="3" s="1"/>
  <c r="C51" i="3"/>
  <c r="C52" i="3" s="1"/>
  <c r="F11" i="7"/>
  <c r="E11" i="7"/>
  <c r="D24" i="7"/>
  <c r="H18" i="7"/>
  <c r="D10" i="7"/>
  <c r="F18" i="7"/>
  <c r="F23" i="7"/>
  <c r="C24" i="7"/>
  <c r="H9" i="7"/>
  <c r="E10" i="7"/>
  <c r="C18" i="7"/>
  <c r="H10" i="7"/>
  <c r="C7" i="7"/>
  <c r="H22" i="7"/>
  <c r="D7" i="7"/>
  <c r="H8" i="7"/>
  <c r="H20" i="7"/>
  <c r="E24" i="7"/>
  <c r="I9" i="7"/>
  <c r="C22" i="7"/>
  <c r="C11" i="7"/>
  <c r="E23" i="7"/>
  <c r="G9" i="7"/>
  <c r="D18" i="7"/>
  <c r="F13" i="7"/>
  <c r="C12" i="7"/>
  <c r="E9" i="7"/>
  <c r="D22" i="7"/>
  <c r="G11" i="7"/>
  <c r="C8" i="7"/>
  <c r="G18" i="7"/>
  <c r="H19" i="7"/>
  <c r="E18" i="7"/>
  <c r="F22" i="7"/>
  <c r="D19" i="7"/>
  <c r="H23" i="7"/>
  <c r="H21" i="7"/>
  <c r="D13" i="7"/>
  <c r="I21" i="7"/>
  <c r="F12" i="7"/>
  <c r="G12" i="7"/>
  <c r="C13" i="7"/>
  <c r="E13" i="7"/>
  <c r="G7" i="7"/>
  <c r="C23" i="7"/>
  <c r="I12" i="7"/>
  <c r="I20" i="7"/>
  <c r="F8" i="7"/>
  <c r="I18" i="7"/>
  <c r="C19" i="7"/>
  <c r="I19" i="7"/>
  <c r="H11" i="7"/>
  <c r="D9" i="7"/>
  <c r="E12" i="7"/>
  <c r="F24" i="7"/>
  <c r="E21" i="7"/>
  <c r="F20" i="7"/>
  <c r="H13" i="7"/>
  <c r="I8" i="7"/>
  <c r="C20" i="7"/>
  <c r="H7" i="7"/>
  <c r="E20" i="7"/>
  <c r="I24" i="7"/>
  <c r="I23" i="7"/>
  <c r="F7" i="7"/>
  <c r="G20" i="7"/>
  <c r="D23" i="7"/>
  <c r="I22" i="7"/>
  <c r="E8" i="7"/>
  <c r="C21" i="7"/>
  <c r="G22" i="7"/>
  <c r="H12" i="7"/>
  <c r="G24" i="7"/>
  <c r="F10" i="7"/>
  <c r="H24" i="7"/>
  <c r="E7" i="7"/>
  <c r="G10" i="7"/>
  <c r="F9" i="7"/>
  <c r="F19" i="7"/>
  <c r="D12" i="7"/>
  <c r="D11" i="7"/>
  <c r="I10" i="7"/>
  <c r="D8" i="7"/>
  <c r="C9" i="7"/>
  <c r="G13" i="7"/>
  <c r="I7" i="7"/>
  <c r="G19" i="7"/>
  <c r="I11" i="7"/>
  <c r="F21" i="7"/>
  <c r="D20" i="7"/>
  <c r="D21" i="7"/>
  <c r="E19" i="7"/>
  <c r="C10" i="7"/>
  <c r="G8" i="7"/>
  <c r="E22" i="7"/>
  <c r="G21" i="7"/>
  <c r="I13" i="7"/>
  <c r="G23" i="7"/>
  <c r="C58" i="3" l="1"/>
  <c r="C62" i="3" s="1"/>
  <c r="C53" i="3"/>
  <c r="C63" i="3" l="1"/>
  <c r="C64" i="3" s="1"/>
  <c r="C17" i="1" s="1"/>
  <c r="D17" i="1" s="1"/>
  <c r="C54" i="3"/>
  <c r="C55" i="3" s="1"/>
  <c r="C16" i="1"/>
  <c r="C17" i="4"/>
  <c r="C19" i="4" l="1"/>
  <c r="C20" i="4" s="1"/>
  <c r="B79" i="4" s="1"/>
  <c r="C10" i="1"/>
  <c r="C12" i="1" s="1"/>
  <c r="C11" i="1" s="1"/>
  <c r="D16" i="1"/>
  <c r="C21" i="1"/>
</calcChain>
</file>

<file path=xl/sharedStrings.xml><?xml version="1.0" encoding="utf-8"?>
<sst xmlns="http://schemas.openxmlformats.org/spreadsheetml/2006/main" count="467" uniqueCount="337">
  <si>
    <t>DISCLAIMER: This is a sample analysis for demonstration purposes only. It does not constitute investment advice.</t>
  </si>
  <si>
    <t>HOYA (7741.T)</t>
  </si>
  <si>
    <t>Equity Research Report</t>
  </si>
  <si>
    <t>Company</t>
  </si>
  <si>
    <t>HOYA</t>
  </si>
  <si>
    <t>Ticker</t>
  </si>
  <si>
    <t>7741.T (TSE Prime)</t>
  </si>
  <si>
    <t>Sector</t>
  </si>
  <si>
    <t>精密機器</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</si>
  <si>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</si>
  <si>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</si>
  <si>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</si>
  <si>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</si>
  <si>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</si>
  <si>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</si>
  <si>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</si>
  <si>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</si>
  <si>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</si>
  <si>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</si>
  <si>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</si>
  <si>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</si>
  <si>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</si>
  <si>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</si>
  <si>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</si>
  <si>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</si>
  <si>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</si>
  <si>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</si>
  <si>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</si>
  <si>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</si>
  <si>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</si>
  <si>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</si>
  <si>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HOYA - Historical Financials (JPY mn)</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</si>
  <si>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</si>
  <si>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</si>
  <si>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</si>
  <si>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</si>
  <si>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</si>
  <si>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</si>
  <si>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</si>
  <si>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</si>
  <si>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</si>
  <si>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</si>
  <si>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</si>
  <si>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</si>
  <si>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</si>
  <si>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</si>
  <si>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</si>
  <si>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</si>
  <si>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</si>
  <si>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</si>
  <si>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</si>
  <si>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</si>
  <si>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</si>
  <si>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</si>
  <si>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</si>
  <si>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</si>
  <si>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</si>
  <si>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2/2, Cash 2/2, Debt 0/2 — blank cells are years with no year-key match in the source data (verify against 決算短信 or set hist_ocf / hist_cash / hist_debt in overrides).</t>
  </si>
  <si>
    <t>DCF Valuation Model - HOYA</t>
  </si>
  <si>
    <t>Assumptions</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</si>
  <si>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</si>
  <si>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</si>
  <si>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</si>
  <si>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</si>
  <si>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</si>
  <si>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</si>
  <si>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</si>
  <si>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</si>
  <si>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</si>
  <si>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</si>
  <si>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</si>
  <si>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</si>
  <si>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</si>
  <si>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</si>
  <si>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</si>
  <si>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</si>
  <si>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</si>
  <si>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</si>
  <si>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</si>
  <si>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</si>
  <si>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</si>
  <si>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</si>
  <si>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</si>
  <si>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</si>
  <si>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</si>
  <si>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</si>
  <si>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</si>
  <si>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</si>
  <si>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</si>
  <si>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</si>
  <si>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</si>
  <si>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</si>
  <si>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</si>
  <si>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</si>
  <si>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</si>
  <si>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</si>
  <si>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</si>
  <si>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</si>
  <si>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</si>
  <si>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</si>
  <si>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</si>
  <si>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</si>
  <si>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</si>
  <si>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</si>
  <si>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</si>
  <si>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</si>
  <si>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</si>
  <si>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</si>
  <si>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</si>
  <si>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</si>
  <si>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</si>
  <si>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</si>
  <si>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</si>
  <si>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</si>
  <si>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</si>
  <si>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</si>
  <si>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</si>
  <si>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</si>
  <si>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</si>
  <si>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</si>
  <si>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</si>
  <si>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</si>
  <si>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HOYA (7741.T)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</si>
  <si>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</si>
  <si>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</si>
  <si>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</si>
  <si>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</si>
  <si>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</si>
  <si>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</si>
  <si>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</si>
  <si>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</si>
  <si>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</si>
  <si>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</si>
  <si>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</si>
  <si>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</si>
  <si>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</si>
  <si>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</si>
  <si>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</si>
  <si>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</si>
  <si>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</si>
  <si>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</si>
  <si>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</si>
  <si>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</si>
  <si>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</si>
  <si>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</si>
  <si>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</si>
  <si>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</si>
  <si>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</si>
  <si>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</si>
  <si>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</si>
  <si>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</si>
  <si>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</si>
  <si>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</si>
  <si>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</si>
  <si>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</si>
  <si>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</si>
  <si>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</si>
  <si>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</si>
  <si>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</si>
  <si>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</si>
  <si>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</si>
  <si>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</si>
  <si>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</si>
  <si>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</si>
  <si>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</si>
  <si>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</si>
  <si>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</si>
  <si>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</si>
  <si>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</si>
  <si>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</si>
  <si>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</si>
  <si>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</si>
  <si>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</si>
  <si>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</si>
  <si>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HOYA</t>
  </si>
  <si>
    <t>Working Capital Drivers (% of Revenue)</t>
  </si>
  <si>
    <t>Base Year</t>
  </si>
  <si>
    <t>NWC % of Revenue</t>
  </si>
  <si>
    <t>—</t>
  </si>
  <si>
    <t>P&amp;L Reference (JPY mn)</t>
  </si>
  <si>
    <t>Working Capital Items (JPY mn)</t>
  </si>
  <si>
    <t>Net Working Capital (JPY mn)</t>
  </si>
  <si>
    <t>Net Working Capital</t>
  </si>
  <si>
    <t>Scenario Input Matrix (NWC % of Revenue)</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</si>
  <si>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</si>
  <si>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</si>
  <si>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</si>
  <si>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</si>
  <si>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</si>
  <si>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</si>
  <si>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</si>
  <si>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</si>
  <si>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</si>
  <si>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</si>
  <si>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</si>
  <si>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</si>
  <si>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</si>
  <si>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</si>
  <si>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</si>
  <si>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</si>
  <si>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HOYA Corporation</t>
  </si>
  <si>
    <t>7741.T</t>
  </si>
  <si>
    <t>Terumo Corporation</t>
  </si>
  <si>
    <t>4543.T</t>
  </si>
  <si>
    <t>Olympus Corporation</t>
  </si>
  <si>
    <t>7733.T</t>
  </si>
  <si>
    <t>Disco Corporation</t>
  </si>
  <si>
    <t>6146.T</t>
  </si>
  <si>
    <t>Keyence Corporation</t>
  </si>
  <si>
    <t>6861.T</t>
  </si>
  <si>
    <t>Statistics</t>
  </si>
  <si>
    <t>25th Percentile</t>
  </si>
  <si>
    <t>Median (50th)</t>
  </si>
  <si>
    <t>75th Percentile</t>
  </si>
  <si>
    <t>Implied Valuation for HOYA</t>
  </si>
  <si>
    <t>HOYA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</si>
  <si>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</si>
  <si>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</si>
  <si>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</si>
  <si>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</si>
  <si>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</si>
  <si>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</si>
  <si>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</si>
  <si>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</si>
  <si>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</si>
  <si>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</si>
  <si>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</si>
  <si>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</si>
  <si>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</si>
  <si>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</si>
  <si>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</si>
  <si>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HOYA</t>
  </si>
  <si>
    <t>日付</t>
  </si>
  <si>
    <t>セル</t>
  </si>
  <si>
    <t>変更内容</t>
  </si>
  <si>
    <t>理由</t>
  </si>
  <si>
    <t>元の値</t>
  </si>
  <si>
    <t>状態</t>
  </si>
  <si>
    <t>2026-09-07</t>
  </si>
  <si>
    <t>-</t>
  </si>
  <si>
    <t>Generated by pipeline on 2026-09-07 02:39, template rev ab03726</t>
  </si>
  <si>
    <t>初期生成（手修正なし）</t>
  </si>
  <si>
    <t>generated</t>
  </si>
  <si>
    <t>DCF Model!C8</t>
  </si>
  <si>
    <t>Beta = 0.984（採用値）</t>
  </si>
  <si>
    <t>実測β(raw) = 0.976 → Blume調整 0.67×raw + 0.33×1.00 = 0.984 → 採用 0.984。クランプ域 [0.3, 2.0] の内側。置換なし。回帰βは平均回帰するため Blume 調整を既定とする（2026-09-05 バッチで85件中57件が旧下限 0.60 に張り付き、両裾の歪みが実証された）。</t>
  </si>
  <si>
    <t>実測 0.976</t>
  </si>
  <si>
    <t>確定</t>
  </si>
  <si>
    <t>Pipeline Metadata (do not edit — read by scripts/validate_output.py)</t>
  </si>
  <si>
    <t>key</t>
  </si>
  <si>
    <t>value</t>
  </si>
  <si>
    <t>annual_doc_ids</t>
  </si>
  <si>
    <t>2026-03-31=S100Y90T (有価証券報告書, 2026-06-05 提出)</t>
  </si>
  <si>
    <t>auto_log_entries</t>
  </si>
  <si>
    <t>1</t>
  </si>
  <si>
    <t>beta_adopted_c8</t>
  </si>
  <si>
    <t>0.9838</t>
  </si>
  <si>
    <t>beta_basis</t>
  </si>
  <si>
    <t>Blume: 0.67 x 0.976 + 0.33 x 1.00 = 0.984</t>
  </si>
  <si>
    <t>beta_blume_adjusted</t>
  </si>
  <si>
    <t>beta_clamped</t>
  </si>
  <si>
    <t>no</t>
  </si>
  <si>
    <t>beta_raw</t>
  </si>
  <si>
    <t>0.9758</t>
  </si>
  <si>
    <t>capex_pct_basis</t>
  </si>
  <si>
    <t>explicit_override</t>
  </si>
  <si>
    <t>capex_pct_c5</t>
  </si>
  <si>
    <t>0.0597</t>
  </si>
  <si>
    <t>capex_pct_hist3yr</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</si>
  <si>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</si>
  <si>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</si>
  <si>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</si>
  <si>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</si>
  <si>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</si>
  <si>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</si>
  <si>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</si>
  <si>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</si>
  <si>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</si>
  <si>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</si>
  <si>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</si>
  <si>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</si>
  <si>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</si>
  <si>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</si>
  <si>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</si>
  <si>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</si>
  <si>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</si>
  <si>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</si>
  <si>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</si>
  <si>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</si>
  <si>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374036</t>
  </si>
  <si>
    <t>core_net_income</t>
  </si>
  <si>
    <t>253085.0</t>
  </si>
  <si>
    <t>cost_of_debt_at_c11</t>
  </si>
  <si>
    <t>0.01</t>
  </si>
  <si>
    <t>cost_of_debt_basis</t>
  </si>
  <si>
    <t>assumption</t>
  </si>
  <si>
    <t>da_pct_basis</t>
  </si>
  <si>
    <t>da_pct_c18</t>
  </si>
  <si>
    <t>0.06143</t>
  </si>
  <si>
    <t>da_pct_hist3yr</t>
  </si>
  <si>
    <t>0.05876</t>
  </si>
  <si>
    <t>disclosure_basis_date</t>
  </si>
  <si>
    <t>2026-03-31</t>
  </si>
  <si>
    <t>fs_year_coverage</t>
  </si>
  <si>
    <t>OCF 2/2, Cash 2/2, Debt 0/2</t>
  </si>
  <si>
    <t>fs_year_map</t>
  </si>
  <si>
    <t>FY2025&lt;-FY2025[ocf+cash]; FY2026&lt;-FY2026[ocf+cash]</t>
  </si>
  <si>
    <t>fs_year_sources</t>
  </si>
  <si>
    <t>overrides: none | EDINET year-key match: hist_ocf, hist_cash, hist_debt, hist_capex, hist_depreciation</t>
  </si>
  <si>
    <t>fx_sensitivity</t>
  </si>
  <si>
    <t>not enabled</t>
  </si>
  <si>
    <t>generated_at</t>
  </si>
  <si>
    <t>2026-09-07 02:39:13</t>
  </si>
  <si>
    <t>guidance_note</t>
  </si>
  <si>
    <t>TDnet 決算短信 via screener guidance table: FY2027 disclosed 2026-07-31 (net_income=131,000mn, operating_income=165,000mn, revenue=521,000mn)</t>
  </si>
  <si>
    <t>guidance_source</t>
  </si>
  <si>
    <t>tdnet_screener_db</t>
  </si>
  <si>
    <t>latest_operating_income</t>
  </si>
  <si>
    <t>315818</t>
  </si>
  <si>
    <t>ltm_revenue_c20</t>
  </si>
  <si>
    <t>947749.0</t>
  </si>
  <si>
    <t>ltm_revenue_source</t>
  </si>
  <si>
    <t>latest FY (no LTM)</t>
  </si>
  <si>
    <t>market_data_source</t>
  </si>
  <si>
    <t>yfinance (no beta); from overrides: beta, current_price, shares_outstanding</t>
  </si>
  <si>
    <t>narrative_tokens_used</t>
  </si>
  <si>
    <t>net_debt_source</t>
  </si>
  <si>
    <t>UNAVAILABLE (no net_debt, and total_debt/cash incomplete)</t>
  </si>
  <si>
    <t>reverse_dcf_sheet</t>
  </si>
  <si>
    <t>op0=315,818(FY2026) peak=315,818(FY2026) peak_opm=0.3332 N=3/5/7/10</t>
  </si>
  <si>
    <t>scenario_index_range</t>
  </si>
  <si>
    <t>B69:B73</t>
  </si>
  <si>
    <t>tax_rate_c6</t>
  </si>
  <si>
    <t>0.25</t>
  </si>
  <si>
    <t>template_rev</t>
  </si>
  <si>
    <t>ab03726</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</si>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</sst>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177" fontId="5" fillId="0" borderId="5" xfId="0" applyNumberFormat="1" applyFont="1" applyBorder="1"/>
    <xf numFmtId="0" fontId="1" fillId="0" borderId="5" xfId="0"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24140</v>
      </c>
    </row>
    <row r="10" spans="2:5" ht="14" x14ac:dyDescent="0.3">
      <c r="B10" s="4" t="s">
        <v>10</v>
      </c>
      <c r="C10" s="5">
        <f>IF(COUNT(C16:C17)=0,"N/A",ROUND(AVERAGE(C16:C17),0))</f>
        <v>13345</v>
      </c>
    </row>
    <row r="11" spans="2:5" ht="14" x14ac:dyDescent="0.3">
      <c r="B11" s="4" t="s">
        <v>11</v>
      </c>
      <c r="C11" s="6" t="str">
        <f>IF(NOT(ISNUMBER(C12)),"N/A",IF(C12&gt;0.15,"BUY",IF(C12&gt;0.05,"HOLD","SELL")))</f>
        <v>SELL</v>
      </c>
    </row>
    <row r="12" spans="2:5" ht="14" x14ac:dyDescent="0.3">
      <c r="B12" s="4" t="s">
        <v>12</v>
      </c>
      <c r="C12" s="7">
        <f>IF(ISNUMBER(C10),(C10-C9)/C9,"N/A")</f>
        <v>-0.44718309859154931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9775</v>
      </c>
      <c r="D16" s="7">
        <f>IF(ISNUMBER(C16),(C16-C9)/C9,"N/A")</f>
        <v>-0.59507042253521125</v>
      </c>
    </row>
    <row r="17" spans="2:5" ht="13.5" x14ac:dyDescent="0.25">
      <c r="B17" t="s">
        <v>18</v>
      </c>
      <c r="C17" s="11">
        <f>IF('DCF Model'!C62&lt;'DCF Model'!C16,"INVALID (EV &lt; net debt)",'DCF Model'!C64)</f>
        <v>16914</v>
      </c>
      <c r="D17" s="7">
        <f>IF(ISNUMBER(C17),(C17-C9)/C9,"N/A")</f>
        <v>-0.29933719966859984</v>
      </c>
    </row>
    <row r="18" spans="2:5" ht="13.5" x14ac:dyDescent="0.25">
      <c r="B18" t="s">
        <v>19</v>
      </c>
      <c r="C18" s="11">
        <f>'Comps Analysis'!C27</f>
        <v>24864</v>
      </c>
      <c r="D18" s="7">
        <f>IF(ISNUMBER(C18),(C18-C9)/C9,"N/A")</f>
        <v>2.9991714995857496E-2</v>
      </c>
    </row>
    <row r="19" spans="2:5" ht="13.5" x14ac:dyDescent="0.25">
      <c r="B19" t="s">
        <v>20</v>
      </c>
      <c r="C19" s="11">
        <f>'Comps Analysis'!C28</f>
        <v>28171</v>
      </c>
      <c r="D19" s="7">
        <f>IF(ISNUMBER(C19),(C19-C9)/C9,"N/A")</f>
        <v>0.16698425849212925</v>
      </c>
    </row>
    <row r="20" spans="2:5" ht="14" x14ac:dyDescent="0.3">
      <c r="B20" s="46" t="s">
        <v>21</v>
      </c>
      <c r="C20" s="45"/>
      <c r="D20" s="45"/>
      <c r="E20" s="45"/>
    </row>
    <row r="21" spans="2:5" ht="14" x14ac:dyDescent="0.3">
      <c r="B21" s="4" t="s">
        <v>22</v>
      </c>
      <c r="C21" s="6" t="str">
        <f>IF(COUNT(C16:C17)=0,"N/A",MIN(C16:C17)&amp;" - "&amp;MAX(C16:C17))</f>
        <v>9775 - 16914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D30"/>
  <sheetViews>
    <sheetView workbookViewId="0"/>
  </sheetViews>
  <sheetFormatPr defaultRowHeight="13" x14ac:dyDescent="0.2"/>
  <cols>
    <col min="1" max="1" width="3" customWidth="1"/>
    <col min="2" max="2" width="32" customWidth="1"/>
    <col min="3" max="4" width="18" customWidth="1"/>
  </cols>
  <sheetData>
    <row r="2" spans="2:4" ht="18" x14ac:dyDescent="0.4">
      <c r="B2" s="2" t="s">
        <v>31</v>
      </c>
    </row>
    <row r="4" spans="2:4" ht="14" x14ac:dyDescent="0.3">
      <c r="C4" s="10" t="s">
        <v>32</v>
      </c>
      <c r="D4" s="10" t="s">
        <v>33</v>
      </c>
    </row>
    <row r="5" spans="2:4" ht="14" x14ac:dyDescent="0.3">
      <c r="B5" s="3" t="s">
        <v>34</v>
      </c>
    </row>
    <row r="6" spans="2:4" ht="14" x14ac:dyDescent="0.3">
      <c r="B6" s="4" t="s">
        <v>35</v>
      </c>
      <c r="C6" s="5">
        <v>866032</v>
      </c>
      <c r="D6" s="5">
        <v>947749</v>
      </c>
    </row>
    <row r="7" spans="2:4" ht="14" x14ac:dyDescent="0.3">
      <c r="B7" s="4" t="s">
        <v>36</v>
      </c>
      <c r="C7" s="5"/>
      <c r="D7" s="5"/>
    </row>
    <row r="8" spans="2:4" ht="14" x14ac:dyDescent="0.3">
      <c r="B8" s="4" t="s">
        <v>37</v>
      </c>
    </row>
    <row r="9" spans="2:4" x14ac:dyDescent="0.2">
      <c r="B9" t="s">
        <v>38</v>
      </c>
    </row>
    <row r="10" spans="2:4" ht="14" x14ac:dyDescent="0.3">
      <c r="B10" s="4" t="s">
        <v>39</v>
      </c>
      <c r="C10" s="5"/>
      <c r="D10" s="5"/>
    </row>
    <row r="11" spans="2:4" ht="14" x14ac:dyDescent="0.3">
      <c r="B11" s="4" t="s">
        <v>40</v>
      </c>
      <c r="C11" s="5">
        <v>244823</v>
      </c>
      <c r="D11" s="5">
        <v>315818</v>
      </c>
    </row>
    <row r="12" spans="2:4" ht="14" x14ac:dyDescent="0.3">
      <c r="B12" s="4" t="s">
        <v>41</v>
      </c>
      <c r="C12" s="5">
        <v>202101</v>
      </c>
      <c r="D12" s="5">
        <v>253085</v>
      </c>
    </row>
    <row r="13" spans="2:4" ht="13.5" x14ac:dyDescent="0.25">
      <c r="B13" t="s">
        <v>42</v>
      </c>
      <c r="C13" s="7">
        <f>C11/C6</f>
        <v>0.28269509671698045</v>
      </c>
      <c r="D13" s="7">
        <f>D11/D6</f>
        <v>0.33322957871757186</v>
      </c>
    </row>
    <row r="14" spans="2:4" ht="13.5" x14ac:dyDescent="0.25">
      <c r="B14" t="s">
        <v>43</v>
      </c>
      <c r="C14" s="7">
        <f>C12/C6</f>
        <v>0.23336435605150849</v>
      </c>
      <c r="D14" s="7">
        <f>D12/D6</f>
        <v>0.26703800267792421</v>
      </c>
    </row>
    <row r="15" spans="2:4" ht="13.5" x14ac:dyDescent="0.25">
      <c r="B15" t="s">
        <v>44</v>
      </c>
      <c r="C15" t="s">
        <v>45</v>
      </c>
      <c r="D15" s="7">
        <f>(D6-C6)/C6</f>
        <v>9.4357945202948615E-2</v>
      </c>
    </row>
    <row r="16" spans="2:4" ht="13.5" x14ac:dyDescent="0.25">
      <c r="B16" t="s">
        <v>46</v>
      </c>
      <c r="C16" t="s">
        <v>45</v>
      </c>
      <c r="D16" s="7">
        <f>(D11-C11)/C11</f>
        <v>0.28998500957834844</v>
      </c>
    </row>
    <row r="18" spans="2:4" ht="14" x14ac:dyDescent="0.3">
      <c r="B18" s="3" t="s">
        <v>47</v>
      </c>
    </row>
    <row r="19" spans="2:4" ht="14" x14ac:dyDescent="0.3">
      <c r="B19" s="4" t="s">
        <v>48</v>
      </c>
      <c r="C19" s="5">
        <v>235113</v>
      </c>
      <c r="D19" s="5">
        <v>278446</v>
      </c>
    </row>
    <row r="20" spans="2:4" ht="14" x14ac:dyDescent="0.3">
      <c r="B20" s="4" t="s">
        <v>49</v>
      </c>
      <c r="C20" s="5"/>
      <c r="D20" s="5"/>
    </row>
    <row r="21" spans="2:4" ht="14" x14ac:dyDescent="0.3">
      <c r="B21" s="4" t="s">
        <v>50</v>
      </c>
    </row>
    <row r="22" spans="2:4" x14ac:dyDescent="0.2">
      <c r="B22" t="s">
        <v>51</v>
      </c>
    </row>
    <row r="23" spans="2:4" x14ac:dyDescent="0.2">
      <c r="B23" t="s">
        <v>52</v>
      </c>
    </row>
    <row r="25" spans="2:4" ht="14" x14ac:dyDescent="0.3">
      <c r="B25" s="3" t="s">
        <v>53</v>
      </c>
    </row>
    <row r="26" spans="2:4" ht="14" x14ac:dyDescent="0.3">
      <c r="B26" s="4" t="s">
        <v>54</v>
      </c>
      <c r="C26" s="5">
        <v>533967</v>
      </c>
      <c r="D26" s="5">
        <v>574092</v>
      </c>
    </row>
    <row r="27" spans="2:4" ht="14" x14ac:dyDescent="0.3">
      <c r="B27" s="4" t="s">
        <v>55</v>
      </c>
      <c r="C27" s="5"/>
      <c r="D27" s="5"/>
    </row>
    <row r="28" spans="2:4" ht="14" x14ac:dyDescent="0.3">
      <c r="B28" s="4" t="s">
        <v>56</v>
      </c>
    </row>
    <row r="30" spans="2:4"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52</v>
      </c>
      <c r="C5" s="7">
        <v>5.9700000000000003E-2</v>
      </c>
    </row>
    <row r="6" spans="2:7" ht="14" x14ac:dyDescent="0.3">
      <c r="B6" s="4" t="s">
        <v>60</v>
      </c>
      <c r="C6" s="7">
        <v>0.25</v>
      </c>
    </row>
    <row r="7" spans="2:7" ht="14" x14ac:dyDescent="0.3">
      <c r="B7" s="4" t="s">
        <v>61</v>
      </c>
      <c r="C7" s="7">
        <v>2.9700000000000001E-2</v>
      </c>
    </row>
    <row r="8" spans="2:7" ht="14" x14ac:dyDescent="0.3">
      <c r="B8" s="4" t="s">
        <v>62</v>
      </c>
      <c r="C8" s="12">
        <v>0.98380000000000001</v>
      </c>
    </row>
    <row r="9" spans="2:7" ht="14" x14ac:dyDescent="0.3">
      <c r="B9" s="4" t="s">
        <v>63</v>
      </c>
      <c r="C9" s="7">
        <v>6.5000000000000002E-2</v>
      </c>
    </row>
    <row r="10" spans="2:7" ht="14" x14ac:dyDescent="0.3">
      <c r="B10" s="4" t="s">
        <v>64</v>
      </c>
      <c r="C10" s="7">
        <v>0.01</v>
      </c>
    </row>
    <row r="11" spans="2:7" ht="14" x14ac:dyDescent="0.3">
      <c r="B11" s="4" t="s">
        <v>65</v>
      </c>
      <c r="C11" s="7">
        <v>0.01</v>
      </c>
    </row>
    <row r="12" spans="2:7" ht="14" x14ac:dyDescent="0.3">
      <c r="B12" s="4" t="s">
        <v>66</v>
      </c>
      <c r="C12" s="13">
        <v>0</v>
      </c>
    </row>
    <row r="13" spans="2:7" ht="14" x14ac:dyDescent="0.3">
      <c r="B13" s="4" t="s">
        <v>67</v>
      </c>
      <c r="C13" s="7">
        <v>0.01</v>
      </c>
    </row>
    <row r="14" spans="2:7" ht="14" x14ac:dyDescent="0.3">
      <c r="B14" s="4" t="s">
        <v>68</v>
      </c>
      <c r="C14" s="14">
        <v>15</v>
      </c>
    </row>
    <row r="15" spans="2:7" ht="14" x14ac:dyDescent="0.3">
      <c r="B15" s="4" t="s">
        <v>69</v>
      </c>
      <c r="C15" s="15">
        <v>334520495</v>
      </c>
    </row>
    <row r="16" spans="2:7" ht="14" x14ac:dyDescent="0.3">
      <c r="B16" s="4" t="s">
        <v>70</v>
      </c>
      <c r="C16" s="5">
        <v>-517307</v>
      </c>
    </row>
    <row r="17" spans="2:7" ht="14" x14ac:dyDescent="0.3">
      <c r="B17" s="4" t="s">
        <v>71</v>
      </c>
      <c r="C17" s="5">
        <v>947749</v>
      </c>
    </row>
    <row r="18" spans="2:7" ht="14" x14ac:dyDescent="0.3">
      <c r="B18" s="4" t="s">
        <v>72</v>
      </c>
      <c r="C18" s="7">
        <v>6.1429999999999998E-2</v>
      </c>
    </row>
    <row r="19" spans="2:7" ht="14" x14ac:dyDescent="0.3">
      <c r="B19" s="4" t="s">
        <v>73</v>
      </c>
      <c r="C19" s="12">
        <v>1</v>
      </c>
    </row>
    <row r="20" spans="2:7" ht="14" x14ac:dyDescent="0.3">
      <c r="B20" s="4" t="s">
        <v>74</v>
      </c>
      <c r="C20" s="5">
        <v>947749</v>
      </c>
    </row>
    <row r="22" spans="2:7" ht="14" x14ac:dyDescent="0.3">
      <c r="B22" s="8" t="s">
        <v>75</v>
      </c>
      <c r="C22" s="9"/>
      <c r="D22" s="9"/>
      <c r="E22" s="9"/>
      <c r="F22" s="9"/>
      <c r="G22" s="9"/>
    </row>
    <row r="23" spans="2:7" ht="14" x14ac:dyDescent="0.3">
      <c r="B23" s="4" t="s">
        <v>76</v>
      </c>
      <c r="C23" s="16">
        <f>C7+C8*C9+C10</f>
        <v>0.103647</v>
      </c>
    </row>
    <row r="24" spans="2:7" ht="14" x14ac:dyDescent="0.3">
      <c r="B24" s="4" t="s">
        <v>77</v>
      </c>
      <c r="C24" s="16">
        <f>1/(1+C12)</f>
        <v>1</v>
      </c>
    </row>
    <row r="25" spans="2:7" ht="14" x14ac:dyDescent="0.3">
      <c r="B25" s="4" t="s">
        <v>78</v>
      </c>
      <c r="C25" s="16">
        <f>C12/(1+C12)</f>
        <v>0</v>
      </c>
    </row>
    <row r="26" spans="2:7" ht="14" x14ac:dyDescent="0.3">
      <c r="B26" s="4" t="s">
        <v>79</v>
      </c>
      <c r="C26" s="16">
        <f>C23*C24+C11*C25</f>
        <v>0.103647</v>
      </c>
    </row>
    <row r="27" spans="2:7" ht="14" x14ac:dyDescent="0.3">
      <c r="B27" s="4" t="s">
        <v>80</v>
      </c>
      <c r="C27" s="17" t="s">
        <v>81</v>
      </c>
      <c r="D27" s="6">
        <f>MATCH(C27,B69:B73,0)</f>
        <v>1</v>
      </c>
    </row>
    <row r="28" spans="2:7" ht="14" x14ac:dyDescent="0.3">
      <c r="B28" s="8" t="s">
        <v>82</v>
      </c>
      <c r="C28" s="9"/>
      <c r="D28" s="9"/>
      <c r="E28" s="9"/>
      <c r="F28" s="9"/>
      <c r="G28" s="9"/>
    </row>
    <row r="29" spans="2:7" ht="14" x14ac:dyDescent="0.3">
      <c r="C29" s="10" t="s">
        <v>83</v>
      </c>
      <c r="D29" s="10" t="s">
        <v>84</v>
      </c>
      <c r="E29" s="10" t="s">
        <v>85</v>
      </c>
      <c r="F29" s="10" t="s">
        <v>86</v>
      </c>
      <c r="G29" s="10" t="s">
        <v>87</v>
      </c>
    </row>
    <row r="30" spans="2:7" ht="14" x14ac:dyDescent="0.3">
      <c r="B30" s="4" t="s">
        <v>44</v>
      </c>
      <c r="C30" s="18">
        <f>CHOOSE($D$27,C69,C70,C71,C72,C73)</f>
        <v>0.06</v>
      </c>
      <c r="D30" s="18">
        <f>CHOOSE($D$27,D69,D70,D71,D72,D73)</f>
        <v>0.05</v>
      </c>
      <c r="E30" s="18">
        <f>CHOOSE($D$27,E69,E70,E71,E72,E73)</f>
        <v>0.05</v>
      </c>
      <c r="F30" s="18">
        <f>CHOOSE($D$27,F69,F70,F71,F72,F73)</f>
        <v>0.04</v>
      </c>
      <c r="G30" s="18">
        <f>CHOOSE($D$27,G69,G70,G71,G72,G73)</f>
        <v>0.03</v>
      </c>
    </row>
    <row r="31" spans="2:7" ht="14" x14ac:dyDescent="0.3">
      <c r="B31" s="4" t="s">
        <v>88</v>
      </c>
      <c r="C31" s="18">
        <f>CHOOSE($D$27,C76,C77,C78,C79,C80)</f>
        <v>0.4</v>
      </c>
      <c r="D31" s="18">
        <f>CHOOSE($D$27,D76,D77,D78,D79,D80)</f>
        <v>0.4</v>
      </c>
      <c r="E31" s="18">
        <f>CHOOSE($D$27,E76,E77,E78,E79,E80)</f>
        <v>0.4</v>
      </c>
      <c r="F31" s="18">
        <f>CHOOSE($D$27,F76,F77,F78,F79,F80)</f>
        <v>0.4</v>
      </c>
      <c r="G31" s="18">
        <f>CHOOSE($D$27,G76,G77,G78,G79,G80)</f>
        <v>0.4</v>
      </c>
    </row>
    <row r="32" spans="2:7" ht="14" x14ac:dyDescent="0.3">
      <c r="B32" s="4" t="s">
        <v>89</v>
      </c>
      <c r="C32" s="18">
        <f>CHOOSE($D$27,C83,C84,C85,C86,C87)</f>
        <v>0.26679999999999998</v>
      </c>
      <c r="D32" s="18">
        <f>CHOOSE($D$27,D83,D84,D85,D86,D87)</f>
        <v>0.26679999999999998</v>
      </c>
      <c r="E32" s="18">
        <f>CHOOSE($D$27,E83,E84,E85,E86,E87)</f>
        <v>0.26679999999999998</v>
      </c>
      <c r="F32" s="18">
        <f>CHOOSE($D$27,F83,F84,F85,F86,F87)</f>
        <v>0.26679999999999998</v>
      </c>
      <c r="G32" s="18">
        <f>CHOOSE($D$27,G83,G84,G85,G86,G87)</f>
        <v>0.26679999999999998</v>
      </c>
    </row>
    <row r="33" spans="2:7" ht="14" x14ac:dyDescent="0.3">
      <c r="B33" s="4" t="s">
        <v>35</v>
      </c>
      <c r="C33" s="5">
        <f>C17*(1+C30)</f>
        <v>1004613.9400000001</v>
      </c>
      <c r="D33" s="5">
        <f>C33*(1+D30)</f>
        <v>1054844.6370000001</v>
      </c>
      <c r="E33" s="5">
        <f>D33*(1+E30)</f>
        <v>1107586.8688500002</v>
      </c>
      <c r="F33" s="5">
        <f>E33*(1+F30)</f>
        <v>1151890.3436040003</v>
      </c>
      <c r="G33" s="5">
        <f>F33*(1+G30)</f>
        <v>1186447.0539121204</v>
      </c>
    </row>
    <row r="34" spans="2:7" ht="14" x14ac:dyDescent="0.3">
      <c r="B34" s="4" t="s">
        <v>36</v>
      </c>
      <c r="C34" s="5">
        <f>C33*C31</f>
        <v>401845.57600000006</v>
      </c>
      <c r="D34" s="5">
        <f>D33*D31</f>
        <v>421937.85480000009</v>
      </c>
      <c r="E34" s="5">
        <f>E33*E31</f>
        <v>443034.74754000013</v>
      </c>
      <c r="F34" s="5">
        <f>F33*F31</f>
        <v>460756.13744160015</v>
      </c>
      <c r="G34" s="5">
        <f>G33*G31</f>
        <v>474578.82156484819</v>
      </c>
    </row>
    <row r="35" spans="2:7" ht="14" x14ac:dyDescent="0.3">
      <c r="B35" s="4" t="s">
        <v>37</v>
      </c>
      <c r="C35" s="19">
        <f>C33-C34</f>
        <v>602768.36400000006</v>
      </c>
      <c r="D35" s="19">
        <f>D33-D34</f>
        <v>632906.78220000002</v>
      </c>
      <c r="E35" s="19">
        <f>E33-E34</f>
        <v>664552.12131000008</v>
      </c>
      <c r="F35" s="19">
        <f>F33-F34</f>
        <v>691134.20616240008</v>
      </c>
      <c r="G35" s="19">
        <f>G33-G34</f>
        <v>711868.23234727222</v>
      </c>
    </row>
    <row r="36" spans="2:7" ht="14" x14ac:dyDescent="0.3">
      <c r="B36" s="4" t="s">
        <v>38</v>
      </c>
      <c r="C36" s="7">
        <f>C35/C33</f>
        <v>0.6</v>
      </c>
      <c r="D36" s="7">
        <f>D35/D33</f>
        <v>0.6</v>
      </c>
      <c r="E36" s="7">
        <f>E35/E33</f>
        <v>0.6</v>
      </c>
      <c r="F36" s="7">
        <f>F35/F33</f>
        <v>0.59999999999999987</v>
      </c>
      <c r="G36" s="7">
        <f>G35/G33</f>
        <v>0.6</v>
      </c>
    </row>
    <row r="37" spans="2:7" ht="14" x14ac:dyDescent="0.3">
      <c r="B37" s="4" t="s">
        <v>90</v>
      </c>
      <c r="C37" s="5">
        <f>C33*C32</f>
        <v>268030.99919200002</v>
      </c>
      <c r="D37" s="5">
        <f>D33*D32</f>
        <v>281432.54915159999</v>
      </c>
      <c r="E37" s="5">
        <f>E33*E32</f>
        <v>295504.17660918005</v>
      </c>
      <c r="F37" s="5">
        <f>F33*F32</f>
        <v>307324.34367354726</v>
      </c>
      <c r="G37" s="5">
        <f>G33*G32</f>
        <v>316544.07398375368</v>
      </c>
    </row>
    <row r="38" spans="2:7" ht="14" x14ac:dyDescent="0.3">
      <c r="B38" s="4" t="s">
        <v>91</v>
      </c>
      <c r="C38" s="7">
        <f>(C35-C37)/C33</f>
        <v>0.3332</v>
      </c>
      <c r="D38" s="7">
        <f>(D35-D37)/D33</f>
        <v>0.3332</v>
      </c>
      <c r="E38" s="7">
        <f>(E35-E37)/E33</f>
        <v>0.33319999999999994</v>
      </c>
      <c r="F38" s="7">
        <f>(F35-F37)/F33</f>
        <v>0.33319999999999994</v>
      </c>
      <c r="G38" s="7">
        <f>(G35-G37)/G33</f>
        <v>0.3332</v>
      </c>
    </row>
    <row r="39" spans="2:7" ht="14" x14ac:dyDescent="0.3">
      <c r="B39" s="4" t="s">
        <v>92</v>
      </c>
      <c r="C39" s="19">
        <f>C35-C37</f>
        <v>334737.36480800004</v>
      </c>
      <c r="D39" s="19">
        <f>D35-D37</f>
        <v>351474.23304840003</v>
      </c>
      <c r="E39" s="19">
        <f>E35-E37</f>
        <v>369047.94470082002</v>
      </c>
      <c r="F39" s="19">
        <f>F35-F37</f>
        <v>383809.86248885281</v>
      </c>
      <c r="G39" s="19">
        <f>G35-G37</f>
        <v>395324.15836351854</v>
      </c>
    </row>
    <row r="40" spans="2:7" ht="14" x14ac:dyDescent="0.3">
      <c r="B40" s="4" t="s">
        <v>93</v>
      </c>
      <c r="C40" s="5">
        <f>MAX(0,C39*C6)</f>
        <v>83684.341202000011</v>
      </c>
      <c r="D40" s="5">
        <f>MAX(0,D39*C6)</f>
        <v>87868.558262100007</v>
      </c>
      <c r="E40" s="5">
        <f>MAX(0,E39*C6)</f>
        <v>92261.986175205006</v>
      </c>
      <c r="F40" s="5">
        <f>MAX(0,F39*C6)</f>
        <v>95952.465622213203</v>
      </c>
      <c r="G40" s="5">
        <f>MAX(0,G39*C6)</f>
        <v>98831.039590879634</v>
      </c>
    </row>
    <row r="41" spans="2:7" ht="14" x14ac:dyDescent="0.3">
      <c r="B41" s="4" t="s">
        <v>94</v>
      </c>
      <c r="C41" s="19">
        <f>C39-C40</f>
        <v>251053.02360600003</v>
      </c>
      <c r="D41" s="19">
        <f>D39-D40</f>
        <v>263605.67478630005</v>
      </c>
      <c r="E41" s="19">
        <f>E39-E40</f>
        <v>276785.95852561505</v>
      </c>
      <c r="F41" s="19">
        <f>F39-F40</f>
        <v>287857.39686663961</v>
      </c>
      <c r="G41" s="19">
        <f>G39-G40</f>
        <v>296493.1187726389</v>
      </c>
    </row>
    <row r="42" spans="2:7" ht="14" x14ac:dyDescent="0.3">
      <c r="B42" s="4" t="s">
        <v>95</v>
      </c>
      <c r="C42" s="5">
        <f>C33*C18</f>
        <v>61713.434334199999</v>
      </c>
      <c r="D42" s="5">
        <f>D33*C18</f>
        <v>64799.106050910006</v>
      </c>
      <c r="E42" s="5">
        <f>E33*C18</f>
        <v>68039.061353455516</v>
      </c>
      <c r="F42" s="5">
        <f>F33*C18</f>
        <v>70760.623807593729</v>
      </c>
      <c r="G42" s="5">
        <f>G33*C18</f>
        <v>72883.442521821562</v>
      </c>
    </row>
    <row r="43" spans="2:7" ht="14" x14ac:dyDescent="0.3">
      <c r="B43" s="4" t="s">
        <v>96</v>
      </c>
      <c r="C43" s="5">
        <f>C33*C5</f>
        <v>59975.452218000006</v>
      </c>
      <c r="D43" s="5">
        <f>D33*C5</f>
        <v>62974.224828900013</v>
      </c>
      <c r="E43" s="5">
        <f>E33*C5</f>
        <v>66122.936070345022</v>
      </c>
      <c r="F43" s="5">
        <f>F33*C5</f>
        <v>68767.853513158814</v>
      </c>
      <c r="G43" s="5">
        <f>G33*C5</f>
        <v>70830.88911855359</v>
      </c>
    </row>
    <row r="44" spans="2:7" ht="14" x14ac:dyDescent="0.3">
      <c r="B44" s="4" t="s">
        <v>97</v>
      </c>
      <c r="C44" s="5">
        <f>'NWC Schedule'!D19</f>
        <v>157148.19890200003</v>
      </c>
      <c r="D44" s="5">
        <f>'NWC Schedule'!E19</f>
        <v>14481.509945099999</v>
      </c>
      <c r="E44" s="5">
        <f>'NWC Schedule'!F19</f>
        <v>15205.585442355019</v>
      </c>
      <c r="F44" s="5">
        <f>'NWC Schedule'!G19</f>
        <v>12772.691771578218</v>
      </c>
      <c r="G44" s="5">
        <f>'NWC Schedule'!H19</f>
        <v>9962.6995818310534</v>
      </c>
    </row>
    <row r="45" spans="2:7" ht="14" x14ac:dyDescent="0.3">
      <c r="B45" s="4" t="s">
        <v>98</v>
      </c>
      <c r="C45" s="20">
        <f>C41+C42-C43-C44</f>
        <v>95642.806820199999</v>
      </c>
      <c r="D45" s="20">
        <f>D41+D42-D43-D44</f>
        <v>250949.04606321006</v>
      </c>
      <c r="E45" s="20">
        <f>E41+E42-E43-E44</f>
        <v>263496.49836637056</v>
      </c>
      <c r="F45" s="20">
        <f>F41+F42-F43-F44</f>
        <v>277077.47538949631</v>
      </c>
      <c r="G45" s="20">
        <f>G41+G42-G43-G44</f>
        <v>288582.97259407578</v>
      </c>
    </row>
    <row r="46" spans="2:7" ht="14" x14ac:dyDescent="0.3">
      <c r="B46" s="4" t="s">
        <v>99</v>
      </c>
      <c r="C46" s="21">
        <f>1/(1+C26)^(C19+0)</f>
        <v>0.90608681942686375</v>
      </c>
      <c r="D46" s="21">
        <f>1/(1+C26)^(C19+1)</f>
        <v>0.82099332433909011</v>
      </c>
      <c r="E46" s="21">
        <f>1/(1+C26)^(C19+2)</f>
        <v>0.74389123002109381</v>
      </c>
      <c r="F46" s="21">
        <f>1/(1+C26)^(C19+3)</f>
        <v>0.67403003860935051</v>
      </c>
      <c r="G46" s="21">
        <f>1/(1+C26)^(C19+4)</f>
        <v>0.61072973388171259</v>
      </c>
    </row>
    <row r="47" spans="2:7" ht="14" x14ac:dyDescent="0.3">
      <c r="B47" s="4" t="s">
        <v>100</v>
      </c>
      <c r="C47" s="19">
        <f>C45*C46</f>
        <v>86660.686632772966</v>
      </c>
      <c r="D47" s="19">
        <f>D45*D46</f>
        <v>206027.49156715829</v>
      </c>
      <c r="E47" s="19">
        <f>E45*E46</f>
        <v>196012.73427601054</v>
      </c>
      <c r="F47" s="19">
        <f>F45*F46</f>
        <v>186758.54143456355</v>
      </c>
      <c r="G47" s="19">
        <f>G45*G46</f>
        <v>176246.20205517346</v>
      </c>
    </row>
    <row r="49" spans="2:7" ht="14" x14ac:dyDescent="0.3">
      <c r="B49" s="22" t="s">
        <v>101</v>
      </c>
      <c r="C49" s="23"/>
      <c r="D49" s="23"/>
      <c r="E49" s="23"/>
      <c r="F49" s="23"/>
      <c r="G49" s="23"/>
    </row>
    <row r="50" spans="2:7" ht="14" x14ac:dyDescent="0.3">
      <c r="B50" s="4" t="s">
        <v>102</v>
      </c>
      <c r="C50" s="5">
        <f>SUM(C47:G47)</f>
        <v>851705.65596567886</v>
      </c>
    </row>
    <row r="51" spans="2:7" ht="14" x14ac:dyDescent="0.3">
      <c r="B51" s="4" t="s">
        <v>103</v>
      </c>
      <c r="C51" s="5">
        <f>G45*(1+C13)/(C26-C13)</f>
        <v>3112420.0702640396</v>
      </c>
    </row>
    <row r="52" spans="2:7" ht="14" x14ac:dyDescent="0.3">
      <c r="B52" s="4" t="s">
        <v>104</v>
      </c>
      <c r="C52" s="5">
        <f>C51*G46</f>
        <v>1900847.4812404581</v>
      </c>
    </row>
    <row r="53" spans="2:7" ht="14" x14ac:dyDescent="0.3">
      <c r="B53" s="4" t="s">
        <v>105</v>
      </c>
      <c r="C53" s="5">
        <f>C50+C52</f>
        <v>2752553.1372061372</v>
      </c>
    </row>
    <row r="54" spans="2:7" ht="14" x14ac:dyDescent="0.3">
      <c r="B54" s="4" t="s">
        <v>106</v>
      </c>
      <c r="C54" s="5">
        <f>C53-C16</f>
        <v>3269860.1372061372</v>
      </c>
    </row>
    <row r="55" spans="2:7" ht="14" x14ac:dyDescent="0.3">
      <c r="B55" s="4" t="s">
        <v>107</v>
      </c>
      <c r="C55" s="24">
        <f>ROUND(C54*1000000/C15,0)</f>
        <v>9775</v>
      </c>
    </row>
    <row r="57" spans="2:7" ht="14" x14ac:dyDescent="0.3">
      <c r="B57" s="22" t="s">
        <v>108</v>
      </c>
      <c r="C57" s="23"/>
      <c r="D57" s="23"/>
      <c r="E57" s="23"/>
      <c r="F57" s="23"/>
      <c r="G57" s="23"/>
    </row>
    <row r="58" spans="2:7" ht="14" x14ac:dyDescent="0.3">
      <c r="B58" s="4" t="s">
        <v>102</v>
      </c>
      <c r="C58" s="5">
        <f>C50</f>
        <v>851705.65596567886</v>
      </c>
    </row>
    <row r="59" spans="2:7" ht="14" x14ac:dyDescent="0.3">
      <c r="B59" s="4" t="s">
        <v>109</v>
      </c>
      <c r="C59" s="5">
        <f>G39+G42</f>
        <v>468207.60088534013</v>
      </c>
    </row>
    <row r="60" spans="2:7" ht="14" x14ac:dyDescent="0.3">
      <c r="B60" s="4" t="s">
        <v>110</v>
      </c>
      <c r="C60" s="5">
        <f>C59*C14</f>
        <v>7023114.0132801021</v>
      </c>
    </row>
    <row r="61" spans="2:7" ht="14" x14ac:dyDescent="0.3">
      <c r="B61" s="4" t="s">
        <v>104</v>
      </c>
      <c r="C61" s="5">
        <f>C60*G46</f>
        <v>4289224.5523514831</v>
      </c>
    </row>
    <row r="62" spans="2:7" ht="14" x14ac:dyDescent="0.3">
      <c r="B62" s="4" t="s">
        <v>105</v>
      </c>
      <c r="C62" s="5">
        <f>C58+C61</f>
        <v>5140930.2083171625</v>
      </c>
    </row>
    <row r="63" spans="2:7" ht="14" x14ac:dyDescent="0.3">
      <c r="B63" s="4" t="s">
        <v>106</v>
      </c>
      <c r="C63" s="5">
        <f>C62-C16</f>
        <v>5658237.2083171625</v>
      </c>
    </row>
    <row r="64" spans="2:7" ht="14" x14ac:dyDescent="0.3">
      <c r="B64" s="4" t="s">
        <v>111</v>
      </c>
      <c r="C64" s="24">
        <f>ROUND(C63*1000000/C15,0)</f>
        <v>16914</v>
      </c>
    </row>
    <row r="66" spans="2:7" ht="14" x14ac:dyDescent="0.3">
      <c r="B66" s="22" t="s">
        <v>112</v>
      </c>
      <c r="C66" s="23"/>
      <c r="D66" s="23"/>
      <c r="E66" s="23"/>
      <c r="F66" s="23"/>
      <c r="G66" s="23"/>
    </row>
    <row r="67" spans="2:7" ht="14" x14ac:dyDescent="0.3">
      <c r="C67" s="25" t="s">
        <v>113</v>
      </c>
      <c r="D67" s="25" t="s">
        <v>114</v>
      </c>
      <c r="E67" s="25" t="s">
        <v>115</v>
      </c>
      <c r="F67" s="25" t="s">
        <v>116</v>
      </c>
      <c r="G67" s="25" t="s">
        <v>117</v>
      </c>
    </row>
    <row r="68" spans="2:7" ht="14" x14ac:dyDescent="0.3">
      <c r="B68" s="3" t="s">
        <v>44</v>
      </c>
    </row>
    <row r="69" spans="2:7" ht="14" x14ac:dyDescent="0.3">
      <c r="B69" s="4" t="s">
        <v>81</v>
      </c>
      <c r="C69" s="26">
        <v>0.06</v>
      </c>
      <c r="D69" s="26">
        <v>0.05</v>
      </c>
      <c r="E69" s="26">
        <v>0.05</v>
      </c>
      <c r="F69" s="26">
        <v>0.04</v>
      </c>
      <c r="G69" s="26">
        <v>0.03</v>
      </c>
    </row>
    <row r="70" spans="2:7" ht="14" x14ac:dyDescent="0.3">
      <c r="B70" s="4" t="s">
        <v>118</v>
      </c>
      <c r="C70" s="26">
        <v>0.09</v>
      </c>
      <c r="D70" s="26">
        <v>0.08</v>
      </c>
      <c r="E70" s="26">
        <v>7.0000000000000007E-2</v>
      </c>
      <c r="F70" s="26">
        <v>0.06</v>
      </c>
      <c r="G70" s="26">
        <v>0.05</v>
      </c>
    </row>
    <row r="71" spans="2:7" ht="14" x14ac:dyDescent="0.3">
      <c r="B71" s="4" t="s">
        <v>119</v>
      </c>
      <c r="C71" s="26">
        <v>0.06</v>
      </c>
      <c r="D71" s="26">
        <v>0.05</v>
      </c>
      <c r="E71" s="26">
        <v>0.05</v>
      </c>
      <c r="F71" s="26">
        <v>0.04</v>
      </c>
      <c r="G71" s="26">
        <v>0.03</v>
      </c>
    </row>
    <row r="72" spans="2:7" ht="14" x14ac:dyDescent="0.3">
      <c r="B72" s="4" t="s">
        <v>120</v>
      </c>
      <c r="C72" s="26">
        <v>0.02</v>
      </c>
      <c r="D72" s="26">
        <v>0.02</v>
      </c>
      <c r="E72" s="26">
        <v>0.02</v>
      </c>
      <c r="F72" s="26">
        <v>0.02</v>
      </c>
      <c r="G72" s="26">
        <v>0.02</v>
      </c>
    </row>
    <row r="73" spans="2:7" ht="14" x14ac:dyDescent="0.3">
      <c r="B73" s="4" t="s">
        <v>121</v>
      </c>
      <c r="C73" s="26">
        <v>-0.05</v>
      </c>
      <c r="D73" s="26">
        <v>0</v>
      </c>
      <c r="E73" s="26">
        <v>0.02</v>
      </c>
      <c r="F73" s="26">
        <v>0.02</v>
      </c>
      <c r="G73" s="26">
        <v>0.02</v>
      </c>
    </row>
    <row r="75" spans="2:7" ht="14" x14ac:dyDescent="0.3">
      <c r="B75" s="3" t="s">
        <v>88</v>
      </c>
    </row>
    <row r="76" spans="2:7" ht="14" x14ac:dyDescent="0.3">
      <c r="B76" s="4" t="s">
        <v>81</v>
      </c>
      <c r="C76" s="26">
        <v>0.4</v>
      </c>
      <c r="D76" s="26">
        <v>0.4</v>
      </c>
      <c r="E76" s="26">
        <v>0.4</v>
      </c>
      <c r="F76" s="26">
        <v>0.4</v>
      </c>
      <c r="G76" s="26">
        <v>0.4</v>
      </c>
    </row>
    <row r="77" spans="2:7" ht="14" x14ac:dyDescent="0.3">
      <c r="B77" s="4" t="s">
        <v>118</v>
      </c>
      <c r="C77" s="26">
        <v>0.4</v>
      </c>
      <c r="D77" s="26">
        <v>0.4</v>
      </c>
      <c r="E77" s="26">
        <v>0.4</v>
      </c>
      <c r="F77" s="26">
        <v>0.4</v>
      </c>
      <c r="G77" s="26">
        <v>0.4</v>
      </c>
    </row>
    <row r="78" spans="2:7" ht="14" x14ac:dyDescent="0.3">
      <c r="B78" s="4" t="s">
        <v>119</v>
      </c>
      <c r="C78" s="26">
        <v>0.4</v>
      </c>
      <c r="D78" s="26">
        <v>0.4</v>
      </c>
      <c r="E78" s="26">
        <v>0.4</v>
      </c>
      <c r="F78" s="26">
        <v>0.4</v>
      </c>
      <c r="G78" s="26">
        <v>0.4</v>
      </c>
    </row>
    <row r="79" spans="2:7" ht="14" x14ac:dyDescent="0.3">
      <c r="B79" s="4" t="s">
        <v>120</v>
      </c>
      <c r="C79" s="26">
        <v>0.4</v>
      </c>
      <c r="D79" s="26">
        <v>0.4</v>
      </c>
      <c r="E79" s="26">
        <v>0.4</v>
      </c>
      <c r="F79" s="26">
        <v>0.4</v>
      </c>
      <c r="G79" s="26">
        <v>0.4</v>
      </c>
    </row>
    <row r="80" spans="2:7" ht="14" x14ac:dyDescent="0.3">
      <c r="B80" s="4" t="s">
        <v>121</v>
      </c>
      <c r="C80" s="26">
        <v>0.4</v>
      </c>
      <c r="D80" s="26">
        <v>0.4</v>
      </c>
      <c r="E80" s="26">
        <v>0.4</v>
      </c>
      <c r="F80" s="26">
        <v>0.4</v>
      </c>
      <c r="G80" s="26">
        <v>0.4</v>
      </c>
    </row>
    <row r="82" spans="2:7" ht="14" x14ac:dyDescent="0.3">
      <c r="B82" s="3" t="s">
        <v>89</v>
      </c>
    </row>
    <row r="83" spans="2:7" ht="14" x14ac:dyDescent="0.3">
      <c r="B83" s="4" t="s">
        <v>81</v>
      </c>
      <c r="C83" s="26">
        <v>0.26679999999999998</v>
      </c>
      <c r="D83" s="26">
        <v>0.26679999999999998</v>
      </c>
      <c r="E83" s="26">
        <v>0.26679999999999998</v>
      </c>
      <c r="F83" s="26">
        <v>0.26679999999999998</v>
      </c>
      <c r="G83" s="26">
        <v>0.26679999999999998</v>
      </c>
    </row>
    <row r="84" spans="2:7" ht="14" x14ac:dyDescent="0.3">
      <c r="B84" s="4" t="s">
        <v>118</v>
      </c>
      <c r="C84" s="26">
        <v>0.24679999999999999</v>
      </c>
      <c r="D84" s="26">
        <v>0.24679999999999999</v>
      </c>
      <c r="E84" s="26">
        <v>0.24679999999999999</v>
      </c>
      <c r="F84" s="26">
        <v>0.24679999999999999</v>
      </c>
      <c r="G84" s="26">
        <v>0.24679999999999999</v>
      </c>
    </row>
    <row r="85" spans="2:7" ht="14" x14ac:dyDescent="0.3">
      <c r="B85" s="4" t="s">
        <v>119</v>
      </c>
      <c r="C85" s="26">
        <v>0.26679999999999998</v>
      </c>
      <c r="D85" s="26">
        <v>0.26679999999999998</v>
      </c>
      <c r="E85" s="26">
        <v>0.26679999999999998</v>
      </c>
      <c r="F85" s="26">
        <v>0.26679999999999998</v>
      </c>
      <c r="G85" s="26">
        <v>0.26679999999999998</v>
      </c>
    </row>
    <row r="86" spans="2:7" ht="14" x14ac:dyDescent="0.3">
      <c r="B86" s="4" t="s">
        <v>120</v>
      </c>
      <c r="C86" s="26">
        <v>0.29339999999999999</v>
      </c>
      <c r="D86" s="26">
        <v>0.29339999999999999</v>
      </c>
      <c r="E86" s="26">
        <v>0.29339999999999999</v>
      </c>
      <c r="F86" s="26">
        <v>0.29339999999999999</v>
      </c>
      <c r="G86" s="26">
        <v>0.29339999999999999</v>
      </c>
    </row>
    <row r="87" spans="2:7" ht="14" x14ac:dyDescent="0.3">
      <c r="B87" s="4" t="s">
        <v>121</v>
      </c>
      <c r="C87" s="26">
        <v>0.31680000000000003</v>
      </c>
      <c r="D87" s="26">
        <v>0.31680000000000003</v>
      </c>
      <c r="E87" s="26">
        <v>0.31680000000000003</v>
      </c>
      <c r="F87" s="26">
        <v>0.31680000000000003</v>
      </c>
      <c r="G87" s="26">
        <v>0.31680000000000003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122</v>
      </c>
    </row>
    <row r="3" spans="2:9" ht="14" x14ac:dyDescent="0.3">
      <c r="B3" s="1" t="s">
        <v>123</v>
      </c>
    </row>
    <row r="5" spans="2:9" ht="14" x14ac:dyDescent="0.3">
      <c r="B5" s="8" t="s">
        <v>124</v>
      </c>
      <c r="C5" s="9"/>
      <c r="D5" s="9"/>
      <c r="E5" s="9"/>
      <c r="F5" s="9"/>
      <c r="G5" s="9"/>
      <c r="H5" s="9"/>
      <c r="I5" s="9"/>
    </row>
    <row r="6" spans="2:9" ht="14" x14ac:dyDescent="0.3">
      <c r="B6" s="4" t="s">
        <v>125</v>
      </c>
      <c r="C6" s="15">
        <f>'Executive Summary'!C9</f>
        <v>24140</v>
      </c>
    </row>
    <row r="7" spans="2:9" ht="14" x14ac:dyDescent="0.3">
      <c r="B7" s="4" t="s">
        <v>69</v>
      </c>
      <c r="C7" s="15">
        <f>'DCF Model'!C15</f>
        <v>334520495</v>
      </c>
    </row>
    <row r="8" spans="2:9" ht="14" x14ac:dyDescent="0.3">
      <c r="B8" s="4" t="s">
        <v>126</v>
      </c>
      <c r="C8" s="5">
        <f>C6*C7/1000000</f>
        <v>8075324.7493000003</v>
      </c>
    </row>
    <row r="9" spans="2:9" ht="14" x14ac:dyDescent="0.3">
      <c r="B9" s="4" t="s">
        <v>70</v>
      </c>
      <c r="C9" s="5">
        <f>'DCF Model'!C16</f>
        <v>-517307</v>
      </c>
    </row>
    <row r="10" spans="2:9" ht="14" x14ac:dyDescent="0.3">
      <c r="B10" s="4" t="s">
        <v>127</v>
      </c>
      <c r="C10" s="5">
        <f>C8+C9</f>
        <v>7558017.7493000003</v>
      </c>
    </row>
    <row r="11" spans="2:9" ht="14" x14ac:dyDescent="0.3">
      <c r="B11" s="4" t="s">
        <v>128</v>
      </c>
      <c r="C11" s="16">
        <f>'DCF Model'!C26</f>
        <v>0.103647</v>
      </c>
    </row>
    <row r="12" spans="2:9" ht="14" x14ac:dyDescent="0.3">
      <c r="B12" s="4" t="s">
        <v>129</v>
      </c>
      <c r="C12" s="16">
        <f>'DCF Model'!C13</f>
        <v>0.01</v>
      </c>
    </row>
    <row r="13" spans="2:9" ht="14" x14ac:dyDescent="0.3">
      <c r="B13" s="4" t="s">
        <v>130</v>
      </c>
      <c r="C13" s="16">
        <f>'DCF Model'!C6</f>
        <v>0.25</v>
      </c>
    </row>
    <row r="14" spans="2:9" ht="14" x14ac:dyDescent="0.3">
      <c r="B14" s="4" t="s">
        <v>131</v>
      </c>
      <c r="C14" s="27">
        <v>315818</v>
      </c>
    </row>
    <row r="15" spans="2:9" ht="14" x14ac:dyDescent="0.3">
      <c r="B15" s="4" t="s">
        <v>132</v>
      </c>
      <c r="C15" s="27">
        <v>315818</v>
      </c>
    </row>
    <row r="16" spans="2:9" ht="14" x14ac:dyDescent="0.3">
      <c r="B16" s="4" t="s">
        <v>133</v>
      </c>
      <c r="C16" s="5">
        <f>'DCF Model'!G33</f>
        <v>1186447.0539121204</v>
      </c>
    </row>
    <row r="17" spans="2:9" ht="14" x14ac:dyDescent="0.3">
      <c r="B17" s="4" t="s">
        <v>134</v>
      </c>
      <c r="C17" s="5">
        <f>'DCF Model'!C53</f>
        <v>2752553.1372061372</v>
      </c>
    </row>
    <row r="18" spans="2:9" ht="14" x14ac:dyDescent="0.3">
      <c r="B18" s="4" t="s">
        <v>135</v>
      </c>
      <c r="C18" s="26">
        <v>0.33322957871757192</v>
      </c>
    </row>
    <row r="19" spans="2:9" ht="14" x14ac:dyDescent="0.3">
      <c r="B19" s="4" t="s">
        <v>136</v>
      </c>
      <c r="C19" s="5">
        <f>C10-C17</f>
        <v>4805464.6120938631</v>
      </c>
    </row>
    <row r="20" spans="2:9" ht="14" x14ac:dyDescent="0.3">
      <c r="B20" s="4" t="s">
        <v>137</v>
      </c>
      <c r="C20" s="15">
        <f>IFERROR(ROUND(C19*1000000/C7,0),"N/A")</f>
        <v>14365</v>
      </c>
    </row>
    <row r="22" spans="2:9" ht="14" x14ac:dyDescent="0.3">
      <c r="B22" s="8" t="s">
        <v>138</v>
      </c>
      <c r="C22" s="9"/>
      <c r="D22" s="9"/>
      <c r="E22" s="9"/>
      <c r="F22" s="9"/>
      <c r="G22" s="9"/>
      <c r="H22" s="9"/>
      <c r="I22" s="9"/>
    </row>
    <row r="23" spans="2:9" ht="14" x14ac:dyDescent="0.3">
      <c r="B23" s="1" t="s">
        <v>139</v>
      </c>
    </row>
    <row r="24" spans="2:9" ht="14" x14ac:dyDescent="0.3">
      <c r="B24" s="4" t="s">
        <v>140</v>
      </c>
      <c r="C24" s="5">
        <f>C10*(C11-C12)</f>
        <v>707785.68816869718</v>
      </c>
    </row>
    <row r="25" spans="2:9" ht="14" x14ac:dyDescent="0.3">
      <c r="B25" s="4" t="s">
        <v>141</v>
      </c>
      <c r="C25" s="5">
        <f>IFERROR(C24/(1-C13),"N/A")</f>
        <v>943714.2508915962</v>
      </c>
    </row>
    <row r="26" spans="2:9" ht="13.5" x14ac:dyDescent="0.25">
      <c r="B26" s="6" t="s">
        <v>142</v>
      </c>
      <c r="C26" s="14">
        <f>IFERROR(C25/C15,"N/A")</f>
        <v>2.9881585308361025</v>
      </c>
    </row>
    <row r="27" spans="2:9" ht="13.5" x14ac:dyDescent="0.25">
      <c r="B27" s="6" t="s">
        <v>143</v>
      </c>
      <c r="C27" s="14">
        <f>IFERROR(C25/C14,"N/A")</f>
        <v>2.9881585308361025</v>
      </c>
    </row>
    <row r="28" spans="2:9" ht="13.5" x14ac:dyDescent="0.25">
      <c r="B28" s="6" t="s">
        <v>144</v>
      </c>
      <c r="C28" s="7">
        <f>IFERROR(C25/C16,"N/A")</f>
        <v>0.79541202262658806</v>
      </c>
    </row>
    <row r="29" spans="2:9" ht="13.5" x14ac:dyDescent="0.25">
      <c r="B29" s="6" t="s">
        <v>145</v>
      </c>
      <c r="C29" s="5">
        <f>IFERROR(C25/C18,"N/A")</f>
        <v>2832024.2594413846</v>
      </c>
    </row>
    <row r="32" spans="2:9" ht="14" x14ac:dyDescent="0.3">
      <c r="B32" s="8" t="s">
        <v>146</v>
      </c>
      <c r="C32" s="9"/>
      <c r="D32" s="9"/>
      <c r="E32" s="9"/>
      <c r="F32" s="9"/>
      <c r="G32" s="9"/>
      <c r="H32" s="9"/>
      <c r="I32" s="9"/>
    </row>
    <row r="33" spans="2:9" ht="14" x14ac:dyDescent="0.3">
      <c r="B33" s="1" t="s">
        <v>147</v>
      </c>
    </row>
    <row r="34" spans="2:9" ht="14" x14ac:dyDescent="0.3">
      <c r="B34" s="1" t="s">
        <v>148</v>
      </c>
    </row>
    <row r="36" spans="2:9" ht="14" x14ac:dyDescent="0.3">
      <c r="B36" s="28" t="s">
        <v>149</v>
      </c>
      <c r="C36" s="28" t="s">
        <v>150</v>
      </c>
      <c r="D36" s="29">
        <f>'DCF Model'!C26-0.02</f>
        <v>8.3646999999999999E-2</v>
      </c>
      <c r="E36" s="29">
        <f>'DCF Model'!C26-0.01</f>
        <v>9.3647000000000008E-2</v>
      </c>
      <c r="F36" s="29">
        <f>'DCF Model'!C26</f>
        <v>0.103647</v>
      </c>
      <c r="G36" s="29">
        <f>'DCF Model'!C26+0.01</f>
        <v>0.113647</v>
      </c>
      <c r="H36" s="29">
        <f>'DCF Model'!C26+0.02</f>
        <v>0.12364700000000001</v>
      </c>
    </row>
    <row r="37" spans="2:9" ht="14" x14ac:dyDescent="0.3">
      <c r="B37" s="3" t="s">
        <v>151</v>
      </c>
    </row>
    <row r="38" spans="2:9" ht="14" x14ac:dyDescent="0.3">
      <c r="B38" s="4" t="s">
        <v>152</v>
      </c>
      <c r="C38" s="30">
        <v>3</v>
      </c>
      <c r="D38" s="13">
        <f t="shared" ref="D38:H41" si="0">IFERROR((1-(1+D$36)^(-$C38))/D$36-(1+D$36)/(D$36^2*$C38)*(1-($C38+1)/(1+D$36)^$C38+$C38/(1+D$36)^($C38+1)),"N/A")</f>
        <v>0.89906575793476762</v>
      </c>
      <c r="E38" s="13">
        <f t="shared" si="0"/>
        <v>0.88827315760523828</v>
      </c>
      <c r="F38" s="13">
        <f t="shared" si="0"/>
        <v>0.87772232106426573</v>
      </c>
      <c r="G38" s="13">
        <f t="shared" si="0"/>
        <v>0.86740550262003691</v>
      </c>
      <c r="H38" s="13">
        <f t="shared" si="0"/>
        <v>0.85731527581445577</v>
      </c>
    </row>
    <row r="39" spans="2:9" ht="14" x14ac:dyDescent="0.3">
      <c r="B39" s="4" t="s">
        <v>153</v>
      </c>
      <c r="C39" s="30">
        <v>5</v>
      </c>
      <c r="D39" s="13">
        <f t="shared" si="0"/>
        <v>1.7085691376862977</v>
      </c>
      <c r="E39" s="13">
        <f t="shared" si="0"/>
        <v>1.6787411847849785</v>
      </c>
      <c r="F39" s="13">
        <f t="shared" si="0"/>
        <v>1.6498279498752604</v>
      </c>
      <c r="G39" s="13">
        <f t="shared" si="0"/>
        <v>1.6217910550867494</v>
      </c>
      <c r="H39" s="13">
        <f t="shared" si="0"/>
        <v>1.5945941250968008</v>
      </c>
    </row>
    <row r="40" spans="2:9" ht="14" x14ac:dyDescent="0.3">
      <c r="B40" s="4" t="s">
        <v>154</v>
      </c>
      <c r="C40" s="30">
        <v>7</v>
      </c>
      <c r="D40" s="13">
        <f t="shared" si="0"/>
        <v>2.438520745170885</v>
      </c>
      <c r="E40" s="13">
        <f t="shared" si="0"/>
        <v>2.3834835305058224</v>
      </c>
      <c r="F40" s="13">
        <f t="shared" si="0"/>
        <v>2.3305680291478161</v>
      </c>
      <c r="G40" s="13">
        <f t="shared" si="0"/>
        <v>2.2796649657801256</v>
      </c>
      <c r="H40" s="13">
        <f t="shared" si="0"/>
        <v>2.2306719268753183</v>
      </c>
    </row>
    <row r="41" spans="2:9" ht="14" x14ac:dyDescent="0.3">
      <c r="B41" s="4" t="s">
        <v>155</v>
      </c>
      <c r="C41" s="30">
        <v>10</v>
      </c>
      <c r="D41" s="13">
        <f t="shared" si="0"/>
        <v>3.4032903265569927</v>
      </c>
      <c r="E41" s="13">
        <f t="shared" si="0"/>
        <v>3.302429042999862</v>
      </c>
      <c r="F41" s="13">
        <f t="shared" si="0"/>
        <v>3.2065790404656496</v>
      </c>
      <c r="G41" s="13">
        <f t="shared" si="0"/>
        <v>3.1154138598721137</v>
      </c>
      <c r="H41" s="13">
        <f t="shared" si="0"/>
        <v>3.0286325274585559</v>
      </c>
    </row>
    <row r="42" spans="2:9" ht="14" x14ac:dyDescent="0.3">
      <c r="B42" s="3" t="s">
        <v>156</v>
      </c>
    </row>
    <row r="43" spans="2:9" ht="14" x14ac:dyDescent="0.3">
      <c r="B43" s="4" t="s">
        <v>152</v>
      </c>
      <c r="C43" s="30">
        <v>3</v>
      </c>
      <c r="D43" s="13">
        <f t="shared" ref="D43:H46" si="1">IFERROR((1+D$36)/(D$36^2*$C43)*(1-($C43+1)/(1+D$36)^$C43+$C43/(1+D$36)^($C43+1))+(1+$C$12)/((D$36-$C$12)*(1+D$36)^$C43),"N/A")</f>
        <v>12.438288439841367</v>
      </c>
      <c r="E43" s="13">
        <f t="shared" si="1"/>
        <v>10.857462176497689</v>
      </c>
      <c r="F43" s="13">
        <f t="shared" si="1"/>
        <v>9.6162518432158546</v>
      </c>
      <c r="G43" s="13">
        <f t="shared" si="1"/>
        <v>8.6162972673075817</v>
      </c>
      <c r="H43" s="13">
        <f t="shared" si="1"/>
        <v>7.7938601521093682</v>
      </c>
    </row>
    <row r="44" spans="2:9" ht="14" x14ac:dyDescent="0.3">
      <c r="B44" s="4" t="s">
        <v>153</v>
      </c>
      <c r="C44" s="30">
        <v>5</v>
      </c>
      <c r="D44" s="13">
        <f t="shared" si="1"/>
        <v>11.423613220495328</v>
      </c>
      <c r="E44" s="13">
        <f t="shared" si="1"/>
        <v>9.8920318708724615</v>
      </c>
      <c r="F44" s="13">
        <f t="shared" si="1"/>
        <v>8.6927349285515554</v>
      </c>
      <c r="G44" s="13">
        <f t="shared" si="1"/>
        <v>7.7293294250223914</v>
      </c>
      <c r="H44" s="13">
        <f t="shared" si="1"/>
        <v>6.939360479857946</v>
      </c>
    </row>
    <row r="45" spans="2:9" ht="14" x14ac:dyDescent="0.3">
      <c r="B45" s="4" t="s">
        <v>154</v>
      </c>
      <c r="C45" s="30">
        <v>7</v>
      </c>
      <c r="D45" s="13">
        <f t="shared" si="1"/>
        <v>10.51894182810422</v>
      </c>
      <c r="E45" s="13">
        <f t="shared" si="1"/>
        <v>9.0410077931840824</v>
      </c>
      <c r="F45" s="13">
        <f t="shared" si="1"/>
        <v>7.8876871943638394</v>
      </c>
      <c r="G45" s="13">
        <f t="shared" si="1"/>
        <v>6.9645523864405945</v>
      </c>
      <c r="H45" s="13">
        <f t="shared" si="1"/>
        <v>6.2104405743078601</v>
      </c>
    </row>
    <row r="46" spans="2:9" ht="14" x14ac:dyDescent="0.3">
      <c r="B46" s="4" t="s">
        <v>155</v>
      </c>
      <c r="C46" s="30">
        <v>10</v>
      </c>
      <c r="D46" s="13">
        <f t="shared" si="1"/>
        <v>9.339489455301754</v>
      </c>
      <c r="E46" s="13">
        <f t="shared" si="1"/>
        <v>7.9463456561403412</v>
      </c>
      <c r="F46" s="13">
        <f t="shared" si="1"/>
        <v>6.8656627802089503</v>
      </c>
      <c r="G46" s="13">
        <f t="shared" si="1"/>
        <v>6.0059861217316826</v>
      </c>
      <c r="H46" s="13">
        <f t="shared" si="1"/>
        <v>5.3081307184895703</v>
      </c>
    </row>
    <row r="47" spans="2:9" ht="14" x14ac:dyDescent="0.3">
      <c r="B47" s="22" t="s">
        <v>157</v>
      </c>
      <c r="C47" s="23"/>
      <c r="D47" s="23"/>
      <c r="E47" s="23"/>
      <c r="F47" s="23"/>
      <c r="G47" s="23"/>
      <c r="H47" s="23"/>
      <c r="I47" s="23"/>
    </row>
    <row r="48" spans="2:9" ht="14" x14ac:dyDescent="0.3">
      <c r="B48" s="4" t="s">
        <v>152</v>
      </c>
      <c r="C48" s="30">
        <v>3</v>
      </c>
      <c r="D48" s="5">
        <f t="shared" ref="D48:H51" si="2">IFERROR(($C$10/(1-$C$13)-$C$14*D38)/D43,"N/A")</f>
        <v>787360.40709248313</v>
      </c>
      <c r="E48" s="5">
        <f t="shared" si="2"/>
        <v>902312.54668190563</v>
      </c>
      <c r="F48" s="5">
        <f t="shared" si="2"/>
        <v>1019124.3585188215</v>
      </c>
      <c r="G48" s="5">
        <f t="shared" si="2"/>
        <v>1137775.824568734</v>
      </c>
      <c r="H48" s="5">
        <f t="shared" si="2"/>
        <v>1258247.0318812933</v>
      </c>
    </row>
    <row r="49" spans="2:9" ht="14" x14ac:dyDescent="0.3">
      <c r="B49" s="4" t="s">
        <v>153</v>
      </c>
      <c r="C49" s="30">
        <v>5</v>
      </c>
      <c r="D49" s="5">
        <f t="shared" si="2"/>
        <v>834916.23246040707</v>
      </c>
      <c r="E49" s="5">
        <f t="shared" si="2"/>
        <v>965138.4508457107</v>
      </c>
      <c r="F49" s="5">
        <f t="shared" si="2"/>
        <v>1099344.6497724168</v>
      </c>
      <c r="G49" s="5">
        <f t="shared" si="2"/>
        <v>1237515.6583009232</v>
      </c>
      <c r="H49" s="5">
        <f t="shared" si="2"/>
        <v>1379630.8030769471</v>
      </c>
    </row>
    <row r="50" spans="2:9" ht="14" x14ac:dyDescent="0.3">
      <c r="B50" s="4" t="s">
        <v>154</v>
      </c>
      <c r="C50" s="30">
        <v>7</v>
      </c>
      <c r="D50" s="5">
        <f t="shared" si="2"/>
        <v>884806.51442538563</v>
      </c>
      <c r="E50" s="5">
        <f t="shared" si="2"/>
        <v>1031368.4282474684</v>
      </c>
      <c r="F50" s="5">
        <f t="shared" si="2"/>
        <v>1184291.5971505716</v>
      </c>
      <c r="G50" s="5">
        <f t="shared" si="2"/>
        <v>1343574.8989586176</v>
      </c>
      <c r="H50" s="5">
        <f t="shared" si="2"/>
        <v>1509211.8731865243</v>
      </c>
    </row>
    <row r="51" spans="2:9" ht="14" x14ac:dyDescent="0.3">
      <c r="B51" s="4" t="s">
        <v>155</v>
      </c>
      <c r="C51" s="30">
        <v>10</v>
      </c>
      <c r="D51" s="5">
        <f t="shared" si="2"/>
        <v>963921.71090290323</v>
      </c>
      <c r="E51" s="5">
        <f t="shared" si="2"/>
        <v>1136923.9213226819</v>
      </c>
      <c r="F51" s="5">
        <f t="shared" si="2"/>
        <v>1320289.3747992984</v>
      </c>
      <c r="G51" s="5">
        <f t="shared" si="2"/>
        <v>1514064.9745703535</v>
      </c>
      <c r="H51" s="5">
        <f t="shared" si="2"/>
        <v>1718281.032480885</v>
      </c>
    </row>
    <row r="52" spans="2:9" ht="14" x14ac:dyDescent="0.3">
      <c r="B52" s="22" t="s">
        <v>158</v>
      </c>
      <c r="C52" s="23"/>
      <c r="D52" s="23"/>
      <c r="E52" s="23"/>
      <c r="F52" s="23"/>
      <c r="G52" s="23"/>
      <c r="H52" s="23"/>
      <c r="I52" s="23"/>
    </row>
    <row r="53" spans="2:9" ht="14" x14ac:dyDescent="0.3">
      <c r="B53" s="4" t="s">
        <v>152</v>
      </c>
      <c r="C53" s="30">
        <v>3</v>
      </c>
      <c r="D53" s="14">
        <f t="shared" ref="D53:H56" si="3">IFERROR(D48/$C$15,"N/A")</f>
        <v>2.4930827473180224</v>
      </c>
      <c r="E53" s="14">
        <f t="shared" si="3"/>
        <v>2.857064976289843</v>
      </c>
      <c r="F53" s="14">
        <f t="shared" si="3"/>
        <v>3.2269356354571985</v>
      </c>
      <c r="G53" s="14">
        <f t="shared" si="3"/>
        <v>3.6026313401032684</v>
      </c>
      <c r="H53" s="14">
        <f t="shared" si="3"/>
        <v>3.9840890382476402</v>
      </c>
    </row>
    <row r="54" spans="2:9" ht="14" x14ac:dyDescent="0.3">
      <c r="B54" s="4" t="s">
        <v>153</v>
      </c>
      <c r="C54" s="30">
        <v>5</v>
      </c>
      <c r="D54" s="14">
        <f t="shared" si="3"/>
        <v>2.6436625919371508</v>
      </c>
      <c r="E54" s="14">
        <f t="shared" si="3"/>
        <v>3.055995702732937</v>
      </c>
      <c r="F54" s="14">
        <f t="shared" si="3"/>
        <v>3.480943612373002</v>
      </c>
      <c r="G54" s="14">
        <f t="shared" si="3"/>
        <v>3.9184456183653977</v>
      </c>
      <c r="H54" s="14">
        <f t="shared" si="3"/>
        <v>4.3684362610014222</v>
      </c>
    </row>
    <row r="55" spans="2:9" ht="14" x14ac:dyDescent="0.3">
      <c r="B55" s="4" t="s">
        <v>154</v>
      </c>
      <c r="C55" s="30">
        <v>7</v>
      </c>
      <c r="D55" s="14">
        <f t="shared" si="3"/>
        <v>2.8016342147229913</v>
      </c>
      <c r="E55" s="14">
        <f t="shared" si="3"/>
        <v>3.2657050207634413</v>
      </c>
      <c r="F55" s="14">
        <f t="shared" si="3"/>
        <v>3.7499179817191282</v>
      </c>
      <c r="G55" s="14">
        <f t="shared" si="3"/>
        <v>4.2542695443534493</v>
      </c>
      <c r="H55" s="14">
        <f t="shared" si="3"/>
        <v>4.7787392523115351</v>
      </c>
    </row>
    <row r="56" spans="2:9" ht="14" x14ac:dyDescent="0.3">
      <c r="B56" s="4" t="s">
        <v>155</v>
      </c>
      <c r="C56" s="30">
        <v>10</v>
      </c>
      <c r="D56" s="14">
        <f t="shared" si="3"/>
        <v>3.0521430409378287</v>
      </c>
      <c r="E56" s="14">
        <f t="shared" si="3"/>
        <v>3.5999338901604152</v>
      </c>
      <c r="F56" s="14">
        <f t="shared" si="3"/>
        <v>4.1805387115341697</v>
      </c>
      <c r="G56" s="14">
        <f t="shared" si="3"/>
        <v>4.7941060185624425</v>
      </c>
      <c r="H56" s="14">
        <f t="shared" si="3"/>
        <v>5.4407317900844321</v>
      </c>
    </row>
    <row r="58" spans="2:9" ht="14" x14ac:dyDescent="0.3">
      <c r="B58" s="8" t="s">
        <v>159</v>
      </c>
      <c r="C58" s="9"/>
      <c r="D58" s="9"/>
      <c r="E58" s="9"/>
      <c r="F58" s="9"/>
      <c r="G58" s="9"/>
      <c r="H58" s="9"/>
      <c r="I58" s="9"/>
    </row>
    <row r="59" spans="2:9" ht="14" x14ac:dyDescent="0.3">
      <c r="B59" s="1" t="s">
        <v>160</v>
      </c>
    </row>
    <row r="60" spans="2:9" ht="14" x14ac:dyDescent="0.3">
      <c r="B60" s="4" t="s">
        <v>161</v>
      </c>
      <c r="C60" s="5">
        <f>F49</f>
        <v>1099344.6497724168</v>
      </c>
    </row>
    <row r="62" spans="2:9" ht="14" x14ac:dyDescent="0.3">
      <c r="B62" s="28" t="s">
        <v>162</v>
      </c>
      <c r="C62" s="28" t="s">
        <v>163</v>
      </c>
      <c r="D62" s="28" t="s">
        <v>164</v>
      </c>
    </row>
    <row r="63" spans="2:9" ht="14" x14ac:dyDescent="0.3">
      <c r="B63" s="31">
        <v>0.1666</v>
      </c>
      <c r="C63" s="5">
        <f>IFERROR($C$60/B63,"N/A")</f>
        <v>6598707.3815871356</v>
      </c>
      <c r="D63" s="14">
        <f>IFERROR(C63/'DCF Model'!C17,"N/A")</f>
        <v>6.9625052430412859</v>
      </c>
    </row>
    <row r="64" spans="2:9" ht="14" x14ac:dyDescent="0.3">
      <c r="B64" s="31">
        <v>0.24990000000000001</v>
      </c>
      <c r="C64" s="5">
        <f>IFERROR($C$60/B64,"N/A")</f>
        <v>4399138.2543914234</v>
      </c>
      <c r="D64" s="14">
        <f>IFERROR(C64/'DCF Model'!C17,"N/A")</f>
        <v>4.6416701620275234</v>
      </c>
    </row>
    <row r="65" spans="2:9" ht="14" x14ac:dyDescent="0.3">
      <c r="B65" s="4" t="s">
        <v>165</v>
      </c>
      <c r="C65" s="5">
        <f>IFERROR($C$60/$C$18,"N/A")</f>
        <v>3299060.8276828998</v>
      </c>
      <c r="D65" s="14">
        <f>IFERROR(C65/'DCF Model'!C17,"N/A")</f>
        <v>3.4809436123730015</v>
      </c>
    </row>
    <row r="66" spans="2:9" ht="14" x14ac:dyDescent="0.3">
      <c r="B66" s="31">
        <v>0.41649999999999998</v>
      </c>
      <c r="C66" s="5">
        <f>IFERROR($C$60/B66,"N/A")</f>
        <v>2639482.9526348542</v>
      </c>
      <c r="D66" s="14">
        <f>IFERROR(C66/'DCF Model'!C17,"N/A")</f>
        <v>2.7850020972165144</v>
      </c>
    </row>
    <row r="67" spans="2:9" ht="14" x14ac:dyDescent="0.3">
      <c r="B67" s="31">
        <v>0.49980000000000002</v>
      </c>
      <c r="C67" s="5">
        <f>IFERROR($C$60/B67,"N/A")</f>
        <v>2199569.1271957117</v>
      </c>
      <c r="D67" s="14">
        <f>IFERROR(C67/'DCF Model'!C17,"N/A")</f>
        <v>2.3208350810137617</v>
      </c>
    </row>
    <row r="69" spans="2:9" ht="14" x14ac:dyDescent="0.3">
      <c r="B69" s="8" t="s">
        <v>166</v>
      </c>
      <c r="C69" s="9"/>
      <c r="D69" s="9"/>
      <c r="E69" s="9"/>
      <c r="F69" s="9"/>
      <c r="G69" s="9"/>
      <c r="H69" s="9"/>
      <c r="I69" s="9"/>
    </row>
    <row r="70" spans="2:9" ht="13.5" x14ac:dyDescent="0.25">
      <c r="B70" s="6" t="s">
        <v>167</v>
      </c>
      <c r="C70" s="14">
        <f>IFERROR(C10/'Comps Analysis'!G5,"N/A")</f>
        <v>12.403531911859311</v>
      </c>
    </row>
    <row r="71" spans="2:9" ht="13.5" x14ac:dyDescent="0.25">
      <c r="B71" s="6" t="s">
        <v>168</v>
      </c>
      <c r="C71" s="14">
        <f>IFERROR(C10/'Comps Analysis'!F5,"N/A")</f>
        <v>7.589559960495821</v>
      </c>
    </row>
    <row r="72" spans="2:9" ht="14" x14ac:dyDescent="0.3">
      <c r="B72" s="4" t="s">
        <v>169</v>
      </c>
      <c r="C72" s="14">
        <f>IFERROR(C10/(C25+'DCF Model'!G42),"N/A")</f>
        <v>7.4346202025331527</v>
      </c>
    </row>
    <row r="73" spans="2:9" ht="14" x14ac:dyDescent="0.3">
      <c r="B73" s="4" t="s">
        <v>170</v>
      </c>
      <c r="C73" s="14">
        <f>IFERROR(C10/(C60+'DCF Model'!G42),"N/A")</f>
        <v>6.4475657928549968</v>
      </c>
    </row>
    <row r="74" spans="2:9" ht="14" x14ac:dyDescent="0.3">
      <c r="B74" s="4" t="s">
        <v>171</v>
      </c>
      <c r="C74" s="14">
        <f>IFERROR('Comps Analysis'!D16,"N/A")</f>
        <v>20.854333544491041</v>
      </c>
    </row>
    <row r="75" spans="2:9" ht="14" x14ac:dyDescent="0.3">
      <c r="B75" s="1" t="s">
        <v>172</v>
      </c>
    </row>
    <row r="77" spans="2:9" ht="14" x14ac:dyDescent="0.3">
      <c r="B77" s="22" t="s">
        <v>173</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24,140 yen the market is paying for a steady-state operating profit of 1,099,345 mn JPY - 3.48x the FY2026 cycle peak of 315,818 mn - reached in 5 years and sustained for ever, against 315,818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943,714 mn, or 2.99x the peak. The base case supports an EV of only 2,752,553 mn, leaving 14,365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29"/>
  <sheetViews>
    <sheetView workbookViewId="0"/>
  </sheetViews>
  <sheetFormatPr defaultRowHeight="13" x14ac:dyDescent="0.2"/>
  <cols>
    <col min="1" max="1" width="3" customWidth="1"/>
    <col min="2" max="2" width="28" customWidth="1"/>
    <col min="3" max="8" width="16" customWidth="1"/>
  </cols>
  <sheetData>
    <row r="2" spans="2:8" ht="18" x14ac:dyDescent="0.4">
      <c r="B2" s="2" t="s">
        <v>174</v>
      </c>
    </row>
    <row r="4" spans="2:8" ht="14" x14ac:dyDescent="0.3">
      <c r="B4" s="8" t="s">
        <v>175</v>
      </c>
      <c r="C4" s="32" t="s">
        <v>176</v>
      </c>
      <c r="D4" s="32" t="s">
        <v>83</v>
      </c>
      <c r="E4" s="32" t="s">
        <v>84</v>
      </c>
      <c r="F4" s="32" t="s">
        <v>85</v>
      </c>
      <c r="G4" s="32" t="s">
        <v>86</v>
      </c>
      <c r="H4" s="32" t="s">
        <v>87</v>
      </c>
    </row>
    <row r="5" spans="2:8" ht="14" x14ac:dyDescent="0.3">
      <c r="B5" s="33" t="s">
        <v>177</v>
      </c>
      <c r="C5" s="34">
        <f>C18/C9</f>
        <v>0.13978595598623686</v>
      </c>
      <c r="D5" s="34">
        <f>CHOOSE('DCF Model'!$D$27,D25,D26,D27,D28,D29)</f>
        <v>0.2883</v>
      </c>
      <c r="E5" s="34">
        <f>CHOOSE('DCF Model'!$D$27,E25,E26,E27,E28,E29)</f>
        <v>0.2883</v>
      </c>
      <c r="F5" s="34">
        <f>CHOOSE('DCF Model'!$D$27,F25,F26,F27,F28,F29)</f>
        <v>0.2883</v>
      </c>
      <c r="G5" s="34">
        <f>CHOOSE('DCF Model'!$D$27,G25,G26,G27,G28,G29)</f>
        <v>0.2883</v>
      </c>
      <c r="H5" s="34">
        <f>CHOOSE('DCF Model'!$D$27,H25,H26,H27,H28,H29)</f>
        <v>0.2883</v>
      </c>
    </row>
    <row r="6" spans="2:8" ht="14" x14ac:dyDescent="0.3">
      <c r="B6" s="35" t="s">
        <v>178</v>
      </c>
      <c r="C6" s="35" t="s">
        <v>178</v>
      </c>
      <c r="D6" s="35" t="s">
        <v>178</v>
      </c>
      <c r="E6" s="35" t="s">
        <v>178</v>
      </c>
      <c r="F6" s="35" t="s">
        <v>178</v>
      </c>
      <c r="G6" s="35" t="s">
        <v>178</v>
      </c>
      <c r="H6" s="35" t="s">
        <v>178</v>
      </c>
    </row>
    <row r="7" spans="2:8" ht="14" x14ac:dyDescent="0.3">
      <c r="B7" s="35" t="s">
        <v>178</v>
      </c>
      <c r="C7" s="35" t="s">
        <v>178</v>
      </c>
      <c r="D7" s="35" t="s">
        <v>178</v>
      </c>
      <c r="E7" s="35" t="s">
        <v>178</v>
      </c>
      <c r="F7" s="35" t="s">
        <v>178</v>
      </c>
      <c r="G7" s="35" t="s">
        <v>178</v>
      </c>
      <c r="H7" s="35" t="s">
        <v>178</v>
      </c>
    </row>
    <row r="8" spans="2:8" ht="14" x14ac:dyDescent="0.3">
      <c r="B8" s="8" t="s">
        <v>179</v>
      </c>
      <c r="C8" s="9"/>
      <c r="D8" s="9"/>
      <c r="E8" s="9"/>
      <c r="F8" s="9"/>
      <c r="G8" s="9"/>
      <c r="H8" s="9"/>
    </row>
    <row r="9" spans="2:8" ht="14" x14ac:dyDescent="0.3">
      <c r="B9" s="33" t="s">
        <v>35</v>
      </c>
      <c r="C9" s="36">
        <v>947749</v>
      </c>
      <c r="D9" s="36">
        <f>'DCF Model'!C33</f>
        <v>1004613.9400000001</v>
      </c>
      <c r="E9" s="36">
        <f>'DCF Model'!D33</f>
        <v>1054844.6370000001</v>
      </c>
      <c r="F9" s="36">
        <f>'DCF Model'!E33</f>
        <v>1107586.8688500002</v>
      </c>
      <c r="G9" s="36">
        <f>'DCF Model'!F33</f>
        <v>1151890.3436040003</v>
      </c>
      <c r="H9" s="36">
        <f>'DCF Model'!G33</f>
        <v>1186447.0539121204</v>
      </c>
    </row>
    <row r="10" spans="2:8" ht="14" x14ac:dyDescent="0.3">
      <c r="B10" s="35" t="s">
        <v>178</v>
      </c>
      <c r="C10" s="35" t="s">
        <v>178</v>
      </c>
      <c r="D10" s="35" t="s">
        <v>178</v>
      </c>
      <c r="E10" s="35" t="s">
        <v>178</v>
      </c>
      <c r="F10" s="35" t="s">
        <v>178</v>
      </c>
      <c r="G10" s="35" t="s">
        <v>178</v>
      </c>
      <c r="H10" s="35" t="s">
        <v>178</v>
      </c>
    </row>
    <row r="11" spans="2:8" ht="14" x14ac:dyDescent="0.3">
      <c r="B11" s="8" t="s">
        <v>180</v>
      </c>
      <c r="C11" s="9"/>
      <c r="D11" s="9"/>
      <c r="E11" s="9"/>
      <c r="F11" s="9"/>
      <c r="G11" s="9"/>
      <c r="H11" s="9"/>
    </row>
    <row r="12" spans="2:8" ht="14" x14ac:dyDescent="0.3">
      <c r="B12" s="35" t="s">
        <v>178</v>
      </c>
      <c r="C12" s="35" t="s">
        <v>178</v>
      </c>
      <c r="D12" s="35" t="s">
        <v>178</v>
      </c>
      <c r="E12" s="35" t="s">
        <v>178</v>
      </c>
      <c r="F12" s="35" t="s">
        <v>178</v>
      </c>
      <c r="G12" s="35" t="s">
        <v>178</v>
      </c>
      <c r="H12" s="35" t="s">
        <v>178</v>
      </c>
    </row>
    <row r="13" spans="2:8" ht="14" x14ac:dyDescent="0.3">
      <c r="B13" s="35" t="s">
        <v>178</v>
      </c>
      <c r="C13" s="35" t="s">
        <v>178</v>
      </c>
      <c r="D13" s="35" t="s">
        <v>178</v>
      </c>
      <c r="E13" s="35" t="s">
        <v>178</v>
      </c>
      <c r="F13" s="35" t="s">
        <v>178</v>
      </c>
      <c r="G13" s="35" t="s">
        <v>178</v>
      </c>
      <c r="H13" s="35" t="s">
        <v>178</v>
      </c>
    </row>
    <row r="14" spans="2:8" ht="14" x14ac:dyDescent="0.3">
      <c r="B14" s="35" t="s">
        <v>178</v>
      </c>
      <c r="C14" s="35" t="s">
        <v>178</v>
      </c>
      <c r="D14" s="35" t="s">
        <v>178</v>
      </c>
      <c r="E14" s="35" t="s">
        <v>178</v>
      </c>
      <c r="F14" s="35" t="s">
        <v>178</v>
      </c>
      <c r="G14" s="35" t="s">
        <v>178</v>
      </c>
      <c r="H14" s="35" t="s">
        <v>178</v>
      </c>
    </row>
    <row r="15" spans="2:8" ht="14" x14ac:dyDescent="0.3">
      <c r="B15" s="35" t="s">
        <v>178</v>
      </c>
      <c r="C15" s="35" t="s">
        <v>178</v>
      </c>
      <c r="D15" s="35" t="s">
        <v>178</v>
      </c>
      <c r="E15" s="35" t="s">
        <v>178</v>
      </c>
      <c r="F15" s="35" t="s">
        <v>178</v>
      </c>
      <c r="G15" s="35" t="s">
        <v>178</v>
      </c>
      <c r="H15" s="35" t="s">
        <v>178</v>
      </c>
    </row>
    <row r="16" spans="2:8" ht="14" x14ac:dyDescent="0.3">
      <c r="B16" s="35" t="s">
        <v>178</v>
      </c>
      <c r="C16" s="35" t="s">
        <v>178</v>
      </c>
      <c r="D16" s="35" t="s">
        <v>178</v>
      </c>
      <c r="E16" s="35" t="s">
        <v>178</v>
      </c>
      <c r="F16" s="35" t="s">
        <v>178</v>
      </c>
      <c r="G16" s="35" t="s">
        <v>178</v>
      </c>
      <c r="H16" s="35" t="s">
        <v>178</v>
      </c>
    </row>
    <row r="17" spans="2:8" ht="14" x14ac:dyDescent="0.3">
      <c r="B17" s="22" t="s">
        <v>181</v>
      </c>
      <c r="C17" s="23"/>
      <c r="D17" s="23"/>
      <c r="E17" s="23"/>
      <c r="F17" s="23"/>
      <c r="G17" s="23"/>
      <c r="H17" s="23"/>
    </row>
    <row r="18" spans="2:8" ht="14" x14ac:dyDescent="0.3">
      <c r="B18" s="33" t="s">
        <v>182</v>
      </c>
      <c r="C18" s="20">
        <v>132482</v>
      </c>
      <c r="D18" s="20">
        <f>D9*D5</f>
        <v>289630.19890200003</v>
      </c>
      <c r="E18" s="20">
        <f>E9*E5</f>
        <v>304111.70884710003</v>
      </c>
      <c r="F18" s="20">
        <f>F9*F5</f>
        <v>319317.29428945505</v>
      </c>
      <c r="G18" s="20">
        <f>G9*G5</f>
        <v>332089.98606103327</v>
      </c>
      <c r="H18" s="20">
        <f>H9*H5</f>
        <v>342052.68564286432</v>
      </c>
    </row>
    <row r="19" spans="2:8" ht="14" x14ac:dyDescent="0.3">
      <c r="B19" s="33" t="s">
        <v>97</v>
      </c>
      <c r="C19" s="37" t="s">
        <v>45</v>
      </c>
      <c r="D19" s="24">
        <f>D18-C18</f>
        <v>157148.19890200003</v>
      </c>
      <c r="E19" s="24">
        <f>E18-D18</f>
        <v>14481.509945099999</v>
      </c>
      <c r="F19" s="24">
        <f>F18-E18</f>
        <v>15205.585442355019</v>
      </c>
      <c r="G19" s="24">
        <f>G18-F18</f>
        <v>12772.691771578218</v>
      </c>
      <c r="H19" s="24">
        <f>H18-G18</f>
        <v>9962.6995818310534</v>
      </c>
    </row>
    <row r="22" spans="2:8" ht="14" x14ac:dyDescent="0.3">
      <c r="B22" s="22" t="s">
        <v>183</v>
      </c>
      <c r="C22" s="23"/>
      <c r="D22" s="23"/>
      <c r="E22" s="23"/>
      <c r="F22" s="23"/>
      <c r="G22" s="23"/>
      <c r="H22" s="23"/>
    </row>
    <row r="23" spans="2:8" ht="14" x14ac:dyDescent="0.3">
      <c r="D23" s="25" t="s">
        <v>83</v>
      </c>
      <c r="E23" s="25" t="s">
        <v>84</v>
      </c>
      <c r="F23" s="25" t="s">
        <v>85</v>
      </c>
      <c r="G23" s="25" t="s">
        <v>86</v>
      </c>
      <c r="H23" s="25" t="s">
        <v>87</v>
      </c>
    </row>
    <row r="24" spans="2:8" ht="14" x14ac:dyDescent="0.3">
      <c r="B24" s="3" t="s">
        <v>177</v>
      </c>
    </row>
    <row r="25" spans="2:8" ht="14" x14ac:dyDescent="0.3">
      <c r="B25" s="4" t="s">
        <v>81</v>
      </c>
      <c r="D25" s="26">
        <v>0.2883</v>
      </c>
      <c r="E25" s="26">
        <v>0.2883</v>
      </c>
      <c r="F25" s="26">
        <v>0.2883</v>
      </c>
      <c r="G25" s="26">
        <v>0.2883</v>
      </c>
      <c r="H25" s="26">
        <v>0.2883</v>
      </c>
    </row>
    <row r="26" spans="2:8" ht="14" x14ac:dyDescent="0.3">
      <c r="B26" s="4" t="s">
        <v>118</v>
      </c>
      <c r="D26" s="26">
        <v>0.2883</v>
      </c>
      <c r="E26" s="26">
        <v>0.2883</v>
      </c>
      <c r="F26" s="26">
        <v>0.2883</v>
      </c>
      <c r="G26" s="26">
        <v>0.2883</v>
      </c>
      <c r="H26" s="26">
        <v>0.2883</v>
      </c>
    </row>
    <row r="27" spans="2:8" ht="14" x14ac:dyDescent="0.3">
      <c r="B27" s="4" t="s">
        <v>119</v>
      </c>
      <c r="D27" s="26">
        <v>0.2883</v>
      </c>
      <c r="E27" s="26">
        <v>0.2883</v>
      </c>
      <c r="F27" s="26">
        <v>0.2883</v>
      </c>
      <c r="G27" s="26">
        <v>0.2883</v>
      </c>
      <c r="H27" s="26">
        <v>0.2883</v>
      </c>
    </row>
    <row r="28" spans="2:8" ht="14" x14ac:dyDescent="0.3">
      <c r="B28" s="4" t="s">
        <v>120</v>
      </c>
      <c r="D28" s="26">
        <v>0.2883</v>
      </c>
      <c r="E28" s="26">
        <v>0.2883</v>
      </c>
      <c r="F28" s="26">
        <v>0.2883</v>
      </c>
      <c r="G28" s="26">
        <v>0.2883</v>
      </c>
      <c r="H28" s="26">
        <v>0.2883</v>
      </c>
    </row>
    <row r="29" spans="2:8" ht="14" x14ac:dyDescent="0.3">
      <c r="B29" s="4" t="s">
        <v>121</v>
      </c>
      <c r="D29" s="26">
        <v>0.2883</v>
      </c>
      <c r="E29" s="26">
        <v>0.2883</v>
      </c>
      <c r="F29" s="26">
        <v>0.2883</v>
      </c>
      <c r="G29" s="26">
        <v>0.2883</v>
      </c>
      <c r="H29" s="26">
        <v>0.2883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184</v>
      </c>
    </row>
    <row r="3" spans="2:17" ht="14" x14ac:dyDescent="0.3">
      <c r="B3" s="1" t="s">
        <v>185</v>
      </c>
    </row>
    <row r="4" spans="2:17" ht="28" x14ac:dyDescent="0.3">
      <c r="B4" s="10" t="s">
        <v>3</v>
      </c>
      <c r="C4" s="10" t="s">
        <v>5</v>
      </c>
      <c r="D4" s="10" t="s">
        <v>186</v>
      </c>
      <c r="E4" s="10" t="s">
        <v>187</v>
      </c>
      <c r="F4" s="10" t="s">
        <v>188</v>
      </c>
      <c r="G4" s="10" t="s">
        <v>189</v>
      </c>
      <c r="H4" s="10" t="s">
        <v>190</v>
      </c>
      <c r="I4" s="10" t="s">
        <v>191</v>
      </c>
      <c r="J4" s="10" t="s">
        <v>192</v>
      </c>
      <c r="K4" s="10" t="s">
        <v>193</v>
      </c>
      <c r="L4" s="10" t="s">
        <v>194</v>
      </c>
      <c r="M4" s="10" t="s">
        <v>195</v>
      </c>
      <c r="N4" s="10" t="s">
        <v>196</v>
      </c>
      <c r="O4" s="10" t="s">
        <v>197</v>
      </c>
      <c r="P4" s="10" t="s">
        <v>198</v>
      </c>
      <c r="Q4" s="10" t="s">
        <v>199</v>
      </c>
    </row>
    <row r="5" spans="2:17" ht="14" x14ac:dyDescent="0.3">
      <c r="B5" s="4" t="s">
        <v>200</v>
      </c>
      <c r="C5" t="s">
        <v>201</v>
      </c>
      <c r="D5" s="38">
        <f>'Executive Summary'!C9*C23/1000000</f>
        <v>8075324.7493000003</v>
      </c>
      <c r="E5" s="38">
        <f>D5+C24</f>
        <v>7558017.7493000003</v>
      </c>
      <c r="F5" s="38">
        <v>995844</v>
      </c>
      <c r="G5" s="38">
        <v>609344</v>
      </c>
      <c r="H5" s="38">
        <v>551126</v>
      </c>
      <c r="I5" s="38">
        <v>253085</v>
      </c>
      <c r="J5" s="39">
        <f>IFERROR(E5/G5,"")</f>
        <v>12.403531911859311</v>
      </c>
      <c r="K5" s="39">
        <f>IFERROR(E5/F5,"")</f>
        <v>7.589559960495821</v>
      </c>
      <c r="L5" s="39">
        <f>IFERROR(D5/I5,"")</f>
        <v>31.907559710373985</v>
      </c>
      <c r="M5" s="39">
        <f>IFERROR(D5/P5,"")</f>
        <v>7.9134162527683598</v>
      </c>
      <c r="N5" s="40">
        <f>IFERROR(H5/F5,"")</f>
        <v>0.55342603861649009</v>
      </c>
      <c r="O5" s="40">
        <f>IFERROR(I5/P5,"")</f>
        <v>0.24801070105638634</v>
      </c>
      <c r="P5" s="38">
        <v>1020460</v>
      </c>
    </row>
    <row r="6" spans="2:17" ht="14" x14ac:dyDescent="0.3">
      <c r="B6" s="4" t="s">
        <v>202</v>
      </c>
      <c r="C6" t="s">
        <v>203</v>
      </c>
      <c r="D6" s="38">
        <v>3587447</v>
      </c>
      <c r="E6" s="38">
        <v>3686749</v>
      </c>
      <c r="F6" s="38">
        <v>1131877</v>
      </c>
      <c r="G6" s="38">
        <v>271700</v>
      </c>
      <c r="H6" s="38">
        <v>176321</v>
      </c>
      <c r="I6" s="38">
        <v>135914</v>
      </c>
      <c r="J6" s="39">
        <f>IFERROR(E6/G6,"")</f>
        <v>13.569190283400809</v>
      </c>
      <c r="K6" s="39">
        <f>IFERROR(E6/F6,"")</f>
        <v>3.257199324661602</v>
      </c>
      <c r="L6" s="39">
        <f>IFERROR(D6/I6,"")</f>
        <v>26.39497770649087</v>
      </c>
      <c r="M6" s="39">
        <f>IFERROR(D6/P6,"")</f>
        <v>2.2640748648319446</v>
      </c>
      <c r="N6" s="40">
        <f>IFERROR(H6/F6,"")</f>
        <v>0.15577752706345302</v>
      </c>
      <c r="O6" s="40">
        <f>IFERROR(I6/P6,"")</f>
        <v>8.5776729573640798E-2</v>
      </c>
      <c r="P6" s="38">
        <v>1584509</v>
      </c>
    </row>
    <row r="7" spans="2:17" ht="14" x14ac:dyDescent="0.3">
      <c r="B7" s="4" t="s">
        <v>204</v>
      </c>
      <c r="C7" t="s">
        <v>205</v>
      </c>
      <c r="D7" s="38">
        <v>2190539</v>
      </c>
      <c r="E7" s="38">
        <v>2242077</v>
      </c>
      <c r="F7" s="38">
        <v>1010676</v>
      </c>
      <c r="G7" s="38">
        <v>168036</v>
      </c>
      <c r="H7" s="38">
        <v>100820</v>
      </c>
      <c r="I7" s="38">
        <v>68172</v>
      </c>
      <c r="J7" s="39">
        <f>IFERROR(E7/G7,"")</f>
        <v>13.342837249160894</v>
      </c>
      <c r="K7" s="39">
        <f>IFERROR(E7/F7,"")</f>
        <v>2.2183934317229261</v>
      </c>
      <c r="L7" s="39">
        <f>IFERROR(D7/I7,"")</f>
        <v>32.132532418001524</v>
      </c>
      <c r="M7" s="39">
        <f>IFERROR(D7/P7,"")</f>
        <v>2.6975752425988868</v>
      </c>
      <c r="N7" s="40">
        <f>IFERROR(H7/F7,"")</f>
        <v>9.9755015455002399E-2</v>
      </c>
      <c r="O7" s="40">
        <f>IFERROR(I7/P7,"")</f>
        <v>8.3951529481306339E-2</v>
      </c>
      <c r="P7" s="38">
        <v>812040</v>
      </c>
    </row>
    <row r="8" spans="2:17" ht="14" x14ac:dyDescent="0.3">
      <c r="B8" s="4" t="s">
        <v>206</v>
      </c>
      <c r="C8" t="s">
        <v>207</v>
      </c>
      <c r="D8" s="38">
        <v>5907152</v>
      </c>
      <c r="E8" s="38">
        <v>5622577</v>
      </c>
      <c r="F8" s="38">
        <v>436889</v>
      </c>
      <c r="G8" s="38">
        <v>199811</v>
      </c>
      <c r="H8" s="38">
        <v>184990</v>
      </c>
      <c r="I8" s="38">
        <v>135521</v>
      </c>
      <c r="J8" s="39">
        <f>IFERROR(E8/G8,"")</f>
        <v>28.139476805581275</v>
      </c>
      <c r="K8" s="39">
        <f>IFERROR(E8/F8,"")</f>
        <v>12.869577856160261</v>
      </c>
      <c r="L8" s="39">
        <f>IFERROR(D8/I8,"")</f>
        <v>43.58846230473506</v>
      </c>
      <c r="M8" s="39">
        <f>IFERROR(D8/P8,"")</f>
        <v>10.050313224150075</v>
      </c>
      <c r="N8" s="40">
        <f>IFERROR(H8/F8,"")</f>
        <v>0.42342562985106058</v>
      </c>
      <c r="O8" s="40">
        <f>IFERROR(I8/P8,"")</f>
        <v>0.23057278675917639</v>
      </c>
      <c r="P8" s="38">
        <v>587758</v>
      </c>
    </row>
    <row r="9" spans="2:17" ht="14" x14ac:dyDescent="0.3">
      <c r="B9" s="4" t="s">
        <v>208</v>
      </c>
      <c r="C9" t="s">
        <v>209</v>
      </c>
      <c r="D9" s="38">
        <v>18849053</v>
      </c>
      <c r="E9" s="38">
        <v>18252077</v>
      </c>
      <c r="F9" s="38">
        <v>1169289</v>
      </c>
      <c r="G9" s="38">
        <v>612986</v>
      </c>
      <c r="H9" s="38">
        <v>595759</v>
      </c>
      <c r="I9" s="38">
        <v>445185</v>
      </c>
      <c r="J9" s="39">
        <f>IFERROR(E9/G9,"")</f>
        <v>29.775683294561375</v>
      </c>
      <c r="K9" s="39">
        <f>IFERROR(E9/F9,"")</f>
        <v>15.609551616409631</v>
      </c>
      <c r="L9" s="39">
        <f>IFERROR(D9/I9,"")</f>
        <v>42.339820524051795</v>
      </c>
      <c r="M9" s="39">
        <f>IFERROR(D9/P9,"")</f>
        <v>5.4297019908851318</v>
      </c>
      <c r="N9" s="40">
        <f>IFERROR(H9/F9,"")</f>
        <v>0.50950534897702793</v>
      </c>
      <c r="O9" s="40">
        <f>IFERROR(I9/P9,"")</f>
        <v>0.12824102520228456</v>
      </c>
      <c r="P9" s="38">
        <v>3471471</v>
      </c>
    </row>
    <row r="14" spans="2:17" ht="14" x14ac:dyDescent="0.3">
      <c r="B14" s="3" t="s">
        <v>210</v>
      </c>
    </row>
    <row r="15" spans="2:17" ht="14" x14ac:dyDescent="0.3">
      <c r="B15" s="4" t="s">
        <v>211</v>
      </c>
      <c r="D15" s="39">
        <f t="shared" ref="D15:I15" si="0">PERCENTILE(J6:J9,0.25)</f>
        <v>13.512602024840831</v>
      </c>
      <c r="E15" s="39">
        <f t="shared" si="0"/>
        <v>2.997497851426933</v>
      </c>
      <c r="F15" s="39">
        <f t="shared" si="0"/>
        <v>30.698143740123861</v>
      </c>
      <c r="G15" s="39">
        <f t="shared" si="0"/>
        <v>2.5892001481571514</v>
      </c>
      <c r="H15" s="40">
        <f t="shared" si="0"/>
        <v>0.14177189916134036</v>
      </c>
      <c r="I15" s="40">
        <f t="shared" si="0"/>
        <v>8.5320429550557186E-2</v>
      </c>
    </row>
    <row r="16" spans="2:17" ht="14" x14ac:dyDescent="0.3">
      <c r="B16" s="4" t="s">
        <v>212</v>
      </c>
      <c r="D16" s="39">
        <f t="shared" ref="D16:I16" si="1">MEDIAN(J6:J9)</f>
        <v>20.854333544491041</v>
      </c>
      <c r="E16" s="39">
        <f t="shared" si="1"/>
        <v>8.0633885904109306</v>
      </c>
      <c r="F16" s="39">
        <f t="shared" si="1"/>
        <v>37.23617647102666</v>
      </c>
      <c r="G16" s="39">
        <f t="shared" si="1"/>
        <v>4.0636386167420095</v>
      </c>
      <c r="H16" s="40">
        <f t="shared" si="1"/>
        <v>0.28960157845725676</v>
      </c>
      <c r="I16" s="40">
        <f t="shared" si="1"/>
        <v>0.10700887738796268</v>
      </c>
    </row>
    <row r="17" spans="2:9" ht="14" x14ac:dyDescent="0.3">
      <c r="B17" s="4" t="s">
        <v>213</v>
      </c>
      <c r="D17" s="39">
        <f t="shared" ref="D17:I17" si="2">PERCENTILE(J6:J9,0.75)</f>
        <v>28.548528427826298</v>
      </c>
      <c r="E17" s="39">
        <f t="shared" si="2"/>
        <v>13.554571296222603</v>
      </c>
      <c r="F17" s="39">
        <f t="shared" si="2"/>
        <v>42.651980969222613</v>
      </c>
      <c r="G17" s="39">
        <f t="shared" si="2"/>
        <v>6.5848547992013682</v>
      </c>
      <c r="H17" s="40">
        <f t="shared" si="2"/>
        <v>0.44494555963255245</v>
      </c>
      <c r="I17" s="40">
        <f t="shared" si="2"/>
        <v>0.15382396559150752</v>
      </c>
    </row>
    <row r="19" spans="2:9" ht="14" x14ac:dyDescent="0.3">
      <c r="B19" s="22" t="s">
        <v>214</v>
      </c>
      <c r="C19" s="23"/>
      <c r="D19" s="23"/>
      <c r="E19" s="23"/>
      <c r="F19" s="23"/>
      <c r="G19" s="23"/>
      <c r="H19" s="23"/>
      <c r="I19" s="23"/>
    </row>
    <row r="20" spans="2:9" ht="14" x14ac:dyDescent="0.3">
      <c r="B20" s="3" t="s">
        <v>215</v>
      </c>
    </row>
    <row r="21" spans="2:9" ht="14" x14ac:dyDescent="0.3">
      <c r="B21" s="4" t="s">
        <v>216</v>
      </c>
      <c r="C21" s="5">
        <v>374036</v>
      </c>
    </row>
    <row r="22" spans="2:9" ht="14" x14ac:dyDescent="0.3">
      <c r="B22" s="4" t="s">
        <v>217</v>
      </c>
      <c r="C22" s="5">
        <v>253085</v>
      </c>
    </row>
    <row r="23" spans="2:9" ht="14" x14ac:dyDescent="0.3">
      <c r="B23" s="4" t="s">
        <v>218</v>
      </c>
      <c r="C23" s="15">
        <v>334520495</v>
      </c>
    </row>
    <row r="24" spans="2:9" ht="14" x14ac:dyDescent="0.3">
      <c r="B24" s="4" t="s">
        <v>70</v>
      </c>
      <c r="C24" s="5">
        <v>-517307</v>
      </c>
    </row>
    <row r="26" spans="2:9" ht="14" x14ac:dyDescent="0.3">
      <c r="B26" s="3" t="s">
        <v>219</v>
      </c>
    </row>
    <row r="27" spans="2:9" ht="14" x14ac:dyDescent="0.3">
      <c r="B27" s="4" t="s">
        <v>220</v>
      </c>
      <c r="C27" s="24">
        <f>ROUND((C21*D16-C24)*1000000/C23,0)</f>
        <v>24864</v>
      </c>
    </row>
    <row r="28" spans="2:9" ht="14" x14ac:dyDescent="0.3">
      <c r="B28" s="4" t="s">
        <v>221</v>
      </c>
      <c r="C28" s="24">
        <f>ROUND(C22*F16*1000000/C23,0)</f>
        <v>28171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222</v>
      </c>
    </row>
    <row r="3" spans="2:9" ht="14" x14ac:dyDescent="0.3">
      <c r="B3" s="4" t="s">
        <v>223</v>
      </c>
      <c r="C3" s="16">
        <f>'DCF Model'!C26</f>
        <v>0.103647</v>
      </c>
      <c r="E3" s="4" t="s">
        <v>224</v>
      </c>
      <c r="F3" s="16">
        <f>'DCF Model'!C13</f>
        <v>0.01</v>
      </c>
      <c r="H3" s="4" t="s">
        <v>225</v>
      </c>
      <c r="I3" s="14">
        <f>'DCF Model'!C14</f>
        <v>15</v>
      </c>
    </row>
    <row r="5" spans="2:9" ht="14" x14ac:dyDescent="0.3">
      <c r="B5" s="3" t="s">
        <v>226</v>
      </c>
    </row>
    <row r="6" spans="2:9" ht="14" x14ac:dyDescent="0.3">
      <c r="B6" s="41" t="s">
        <v>227</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40">
        <f>$C$3-0.015</f>
        <v>8.8647000000000004E-2</v>
      </c>
      <c r="C7" s="38">
        <f>IFERROR(ROUND(('DCF Model'!C45/(1+$B7)^('DCF Model'!C19+0)+'DCF Model'!D45/(1+$B7)^('DCF Model'!C19+1)+'DCF Model'!E45/(1+$B7)^('DCF Model'!C19+2)+'DCF Model'!F45/(1+$B7)^('DCF Model'!C19+3)+'DCF Model'!G45/(1+$B7)^('DCF Model'!C19+4)+'DCF Model'!G45*(1+C$6)/($B7-C$6)/(1+$B7)^('DCF Model'!C19+4)-'DCF Model'!C16)*1000000/'DCF Model'!C15,0),"")</f>
        <v>10772</v>
      </c>
      <c r="D7" s="38">
        <f>IFERROR(ROUND(('DCF Model'!C45/(1+$B7)^('DCF Model'!C19+0)+'DCF Model'!D45/(1+$B7)^('DCF Model'!C19+1)+'DCF Model'!E45/(1+$B7)^('DCF Model'!C19+2)+'DCF Model'!F45/(1+$B7)^('DCF Model'!C19+3)+'DCF Model'!G45/(1+$B7)^('DCF Model'!C19+4)+'DCF Model'!G45*(1+D$6)/($B7-D$6)/(1+$B7)^('DCF Model'!C19+4)-'DCF Model'!C16)*1000000/'DCF Model'!C15,0),"")</f>
        <v>10985</v>
      </c>
      <c r="E7" s="38">
        <f>IFERROR(ROUND(('DCF Model'!C45/(1+$B7)^('DCF Model'!C19+0)+'DCF Model'!D45/(1+$B7)^('DCF Model'!C19+1)+'DCF Model'!E45/(1+$B7)^('DCF Model'!C19+2)+'DCF Model'!F45/(1+$B7)^('DCF Model'!C19+3)+'DCF Model'!G45/(1+$B7)^('DCF Model'!C19+4)+'DCF Model'!G45*(1+E$6)/($B7-E$6)/(1+$B7)^('DCF Model'!C19+4)-'DCF Model'!C16)*1000000/'DCF Model'!C15,0),"")</f>
        <v>11211</v>
      </c>
      <c r="F7" s="38">
        <f>IFERROR(ROUND(('DCF Model'!C45/(1+$B7)^('DCF Model'!C19+0)+'DCF Model'!D45/(1+$B7)^('DCF Model'!C19+1)+'DCF Model'!E45/(1+$B7)^('DCF Model'!C19+2)+'DCF Model'!F45/(1+$B7)^('DCF Model'!C19+3)+'DCF Model'!G45/(1+$B7)^('DCF Model'!C19+4)+'DCF Model'!G45*(1+F$6)/($B7-F$6)/(1+$B7)^('DCF Model'!C19+4)-'DCF Model'!C16)*1000000/'DCF Model'!C15,0),"")</f>
        <v>11452</v>
      </c>
      <c r="G7" s="38">
        <f>IFERROR(ROUND(('DCF Model'!C45/(1+$B7)^('DCF Model'!C19+0)+'DCF Model'!D45/(1+$B7)^('DCF Model'!C19+1)+'DCF Model'!E45/(1+$B7)^('DCF Model'!C19+2)+'DCF Model'!F45/(1+$B7)^('DCF Model'!C19+3)+'DCF Model'!G45/(1+$B7)^('DCF Model'!C19+4)+'DCF Model'!G45*(1+G$6)/($B7-G$6)/(1+$B7)^('DCF Model'!C19+4)-'DCF Model'!C16)*1000000/'DCF Model'!C15,0),"")</f>
        <v>11708</v>
      </c>
      <c r="H7" s="38">
        <f>IFERROR(ROUND(('DCF Model'!C45/(1+$B7)^('DCF Model'!C19+0)+'DCF Model'!D45/(1+$B7)^('DCF Model'!C19+1)+'DCF Model'!E45/(1+$B7)^('DCF Model'!C19+2)+'DCF Model'!F45/(1+$B7)^('DCF Model'!C19+3)+'DCF Model'!G45/(1+$B7)^('DCF Model'!C19+4)+'DCF Model'!G45*(1+H$6)/($B7-H$6)/(1+$B7)^('DCF Model'!C19+4)-'DCF Model'!C16)*1000000/'DCF Model'!C15,0),"")</f>
        <v>11982</v>
      </c>
      <c r="I7" s="38">
        <f>IFERROR(ROUND(('DCF Model'!C45/(1+$B7)^('DCF Model'!C19+0)+'DCF Model'!D45/(1+$B7)^('DCF Model'!C19+1)+'DCF Model'!E45/(1+$B7)^('DCF Model'!C19+2)+'DCF Model'!F45/(1+$B7)^('DCF Model'!C19+3)+'DCF Model'!G45/(1+$B7)^('DCF Model'!C19+4)+'DCF Model'!G45*(1+I$6)/($B7-I$6)/(1+$B7)^('DCF Model'!C19+4)-'DCF Model'!C16)*1000000/'DCF Model'!C15,0),"")</f>
        <v>12275</v>
      </c>
    </row>
    <row r="8" spans="2:9" ht="13.5" x14ac:dyDescent="0.25">
      <c r="B8" s="40">
        <f>$C$3-0.01</f>
        <v>9.3647000000000008E-2</v>
      </c>
      <c r="C8" s="38">
        <f>IFERROR(ROUND(('DCF Model'!C45/(1+$B8)^('DCF Model'!C19+0)+'DCF Model'!D45/(1+$B8)^('DCF Model'!C19+1)+'DCF Model'!E45/(1+$B8)^('DCF Model'!C19+2)+'DCF Model'!F45/(1+$B8)^('DCF Model'!C19+3)+'DCF Model'!G45/(1+$B8)^('DCF Model'!C19+4)+'DCF Model'!G45*(1+C$6)/($B8-C$6)/(1+$B8)^('DCF Model'!C19+4)-'DCF Model'!C16)*1000000/'DCF Model'!C15,0),"")</f>
        <v>10232</v>
      </c>
      <c r="D8" s="38">
        <f>IFERROR(ROUND(('DCF Model'!C45/(1+$B8)^('DCF Model'!C19+0)+'DCF Model'!D45/(1+$B8)^('DCF Model'!C19+1)+'DCF Model'!E45/(1+$B8)^('DCF Model'!C19+2)+'DCF Model'!F45/(1+$B8)^('DCF Model'!C19+3)+'DCF Model'!G45/(1+$B8)^('DCF Model'!C19+4)+'DCF Model'!G45*(1+D$6)/($B8-D$6)/(1+$B8)^('DCF Model'!C19+4)-'DCF Model'!C16)*1000000/'DCF Model'!C15,0),"")</f>
        <v>10419</v>
      </c>
      <c r="E8" s="38">
        <f>IFERROR(ROUND(('DCF Model'!C45/(1+$B8)^('DCF Model'!C19+0)+'DCF Model'!D45/(1+$B8)^('DCF Model'!C19+1)+'DCF Model'!E45/(1+$B8)^('DCF Model'!C19+2)+'DCF Model'!F45/(1+$B8)^('DCF Model'!C19+3)+'DCF Model'!G45/(1+$B8)^('DCF Model'!C19+4)+'DCF Model'!G45*(1+E$6)/($B8-E$6)/(1+$B8)^('DCF Model'!C19+4)-'DCF Model'!C16)*1000000/'DCF Model'!C15,0),"")</f>
        <v>10616</v>
      </c>
      <c r="F8" s="38">
        <f>IFERROR(ROUND(('DCF Model'!C45/(1+$B8)^('DCF Model'!C19+0)+'DCF Model'!D45/(1+$B8)^('DCF Model'!C19+1)+'DCF Model'!E45/(1+$B8)^('DCF Model'!C19+2)+'DCF Model'!F45/(1+$B8)^('DCF Model'!C19+3)+'DCF Model'!G45/(1+$B8)^('DCF Model'!C19+4)+'DCF Model'!G45*(1+F$6)/($B8-F$6)/(1+$B8)^('DCF Model'!C19+4)-'DCF Model'!C16)*1000000/'DCF Model'!C15,0),"")</f>
        <v>10825</v>
      </c>
      <c r="G8" s="38">
        <f>IFERROR(ROUND(('DCF Model'!C45/(1+$B8)^('DCF Model'!C19+0)+'DCF Model'!D45/(1+$B8)^('DCF Model'!C19+1)+'DCF Model'!E45/(1+$B8)^('DCF Model'!C19+2)+'DCF Model'!F45/(1+$B8)^('DCF Model'!C19+3)+'DCF Model'!G45/(1+$B8)^('DCF Model'!C19+4)+'DCF Model'!G45*(1+G$6)/($B8-G$6)/(1+$B8)^('DCF Model'!C19+4)-'DCF Model'!C16)*1000000/'DCF Model'!C15,0),"")</f>
        <v>11048</v>
      </c>
      <c r="H8" s="38">
        <f>IFERROR(ROUND(('DCF Model'!C45/(1+$B8)^('DCF Model'!C19+0)+'DCF Model'!D45/(1+$B8)^('DCF Model'!C19+1)+'DCF Model'!E45/(1+$B8)^('DCF Model'!C19+2)+'DCF Model'!F45/(1+$B8)^('DCF Model'!C19+3)+'DCF Model'!G45/(1+$B8)^('DCF Model'!C19+4)+'DCF Model'!G45*(1+H$6)/($B8-H$6)/(1+$B8)^('DCF Model'!C19+4)-'DCF Model'!C16)*1000000/'DCF Model'!C15,0),"")</f>
        <v>11284</v>
      </c>
      <c r="I8" s="38">
        <f>IFERROR(ROUND(('DCF Model'!C45/(1+$B8)^('DCF Model'!C19+0)+'DCF Model'!D45/(1+$B8)^('DCF Model'!C19+1)+'DCF Model'!E45/(1+$B8)^('DCF Model'!C19+2)+'DCF Model'!F45/(1+$B8)^('DCF Model'!C19+3)+'DCF Model'!G45/(1+$B8)^('DCF Model'!C19+4)+'DCF Model'!G45*(1+I$6)/($B8-I$6)/(1+$B8)^('DCF Model'!C19+4)-'DCF Model'!C16)*1000000/'DCF Model'!C15,0),"")</f>
        <v>11536</v>
      </c>
    </row>
    <row r="9" spans="2:9" ht="13.5" x14ac:dyDescent="0.25">
      <c r="B9" s="40">
        <f>$C$3-0.005</f>
        <v>9.8646999999999999E-2</v>
      </c>
      <c r="C9" s="38">
        <f>IFERROR(ROUND(('DCF Model'!C45/(1+$B9)^('DCF Model'!C19+0)+'DCF Model'!D45/(1+$B9)^('DCF Model'!C19+1)+'DCF Model'!E45/(1+$B9)^('DCF Model'!C19+2)+'DCF Model'!F45/(1+$B9)^('DCF Model'!C19+3)+'DCF Model'!G45/(1+$B9)^('DCF Model'!C19+4)+'DCF Model'!G45*(1+C$6)/($B9-C$6)/(1+$B9)^('DCF Model'!C19+4)-'DCF Model'!C16)*1000000/'DCF Model'!C15,0),"")</f>
        <v>9749</v>
      </c>
      <c r="D9" s="38">
        <f>IFERROR(ROUND(('DCF Model'!C45/(1+$B9)^('DCF Model'!C19+0)+'DCF Model'!D45/(1+$B9)^('DCF Model'!C19+1)+'DCF Model'!E45/(1+$B9)^('DCF Model'!C19+2)+'DCF Model'!F45/(1+$B9)^('DCF Model'!C19+3)+'DCF Model'!G45/(1+$B9)^('DCF Model'!C19+4)+'DCF Model'!G45*(1+D$6)/($B9-D$6)/(1+$B9)^('DCF Model'!C19+4)-'DCF Model'!C16)*1000000/'DCF Model'!C15,0),"")</f>
        <v>9914</v>
      </c>
      <c r="E9" s="38">
        <f>IFERROR(ROUND(('DCF Model'!C45/(1+$B9)^('DCF Model'!C19+0)+'DCF Model'!D45/(1+$B9)^('DCF Model'!C19+1)+'DCF Model'!E45/(1+$B9)^('DCF Model'!C19+2)+'DCF Model'!F45/(1+$B9)^('DCF Model'!C19+3)+'DCF Model'!G45/(1+$B9)^('DCF Model'!C19+4)+'DCF Model'!G45*(1+E$6)/($B9-E$6)/(1+$B9)^('DCF Model'!C19+4)-'DCF Model'!C16)*1000000/'DCF Model'!C15,0),"")</f>
        <v>10087</v>
      </c>
      <c r="F9" s="38">
        <f>IFERROR(ROUND(('DCF Model'!C45/(1+$B9)^('DCF Model'!C19+0)+'DCF Model'!D45/(1+$B9)^('DCF Model'!C19+1)+'DCF Model'!E45/(1+$B9)^('DCF Model'!C19+2)+'DCF Model'!F45/(1+$B9)^('DCF Model'!C19+3)+'DCF Model'!G45/(1+$B9)^('DCF Model'!C19+4)+'DCF Model'!G45*(1+F$6)/($B9-F$6)/(1+$B9)^('DCF Model'!C19+4)-'DCF Model'!C16)*1000000/'DCF Model'!C15,0),"")</f>
        <v>10270</v>
      </c>
      <c r="G9" s="38">
        <f>IFERROR(ROUND(('DCF Model'!C45/(1+$B9)^('DCF Model'!C19+0)+'DCF Model'!D45/(1+$B9)^('DCF Model'!C19+1)+'DCF Model'!E45/(1+$B9)^('DCF Model'!C19+2)+'DCF Model'!F45/(1+$B9)^('DCF Model'!C19+3)+'DCF Model'!G45/(1+$B9)^('DCF Model'!C19+4)+'DCF Model'!G45*(1+G$6)/($B9-G$6)/(1+$B9)^('DCF Model'!C19+4)-'DCF Model'!C16)*1000000/'DCF Model'!C15,0),"")</f>
        <v>10464</v>
      </c>
      <c r="H9" s="38">
        <f>IFERROR(ROUND(('DCF Model'!C45/(1+$B9)^('DCF Model'!C19+0)+'DCF Model'!D45/(1+$B9)^('DCF Model'!C19+1)+'DCF Model'!E45/(1+$B9)^('DCF Model'!C19+2)+'DCF Model'!F45/(1+$B9)^('DCF Model'!C19+3)+'DCF Model'!G45/(1+$B9)^('DCF Model'!C19+4)+'DCF Model'!G45*(1+H$6)/($B9-H$6)/(1+$B9)^('DCF Model'!C19+4)-'DCF Model'!C16)*1000000/'DCF Model'!C15,0),"")</f>
        <v>10670</v>
      </c>
      <c r="I9" s="38">
        <f>IFERROR(ROUND(('DCF Model'!C45/(1+$B9)^('DCF Model'!C19+0)+'DCF Model'!D45/(1+$B9)^('DCF Model'!C19+1)+'DCF Model'!E45/(1+$B9)^('DCF Model'!C19+2)+'DCF Model'!F45/(1+$B9)^('DCF Model'!C19+3)+'DCF Model'!G45/(1+$B9)^('DCF Model'!C19+4)+'DCF Model'!G45*(1+I$6)/($B9-I$6)/(1+$B9)^('DCF Model'!C19+4)-'DCF Model'!C16)*1000000/'DCF Model'!C15,0),"")</f>
        <v>10888</v>
      </c>
    </row>
    <row r="10" spans="2:9" ht="13.5" x14ac:dyDescent="0.25">
      <c r="B10" s="40">
        <f>$C$3</f>
        <v>0.103647</v>
      </c>
      <c r="C10" s="38">
        <f>IFERROR(ROUND(('DCF Model'!C45/(1+$B10)^('DCF Model'!C19+0)+'DCF Model'!D45/(1+$B10)^('DCF Model'!C19+1)+'DCF Model'!E45/(1+$B10)^('DCF Model'!C19+2)+'DCF Model'!F45/(1+$B10)^('DCF Model'!C19+3)+'DCF Model'!G45/(1+$B10)^('DCF Model'!C19+4)+'DCF Model'!G45*(1+C$6)/($B10-C$6)/(1+$B10)^('DCF Model'!C19+4)-'DCF Model'!C16)*1000000/'DCF Model'!C15,0),"")</f>
        <v>9314</v>
      </c>
      <c r="D10" s="38">
        <f>IFERROR(ROUND(('DCF Model'!C45/(1+$B10)^('DCF Model'!C19+0)+'DCF Model'!D45/(1+$B10)^('DCF Model'!C19+1)+'DCF Model'!E45/(1+$B10)^('DCF Model'!C19+2)+'DCF Model'!F45/(1+$B10)^('DCF Model'!C19+3)+'DCF Model'!G45/(1+$B10)^('DCF Model'!C19+4)+'DCF Model'!G45*(1+D$6)/($B10-D$6)/(1+$B10)^('DCF Model'!C19+4)-'DCF Model'!C16)*1000000/'DCF Model'!C15,0),"")</f>
        <v>9460</v>
      </c>
      <c r="E10" s="38">
        <f>IFERROR(ROUND(('DCF Model'!C45/(1+$B10)^('DCF Model'!C19+0)+'DCF Model'!D45/(1+$B10)^('DCF Model'!C19+1)+'DCF Model'!E45/(1+$B10)^('DCF Model'!C19+2)+'DCF Model'!F45/(1+$B10)^('DCF Model'!C19+3)+'DCF Model'!G45/(1+$B10)^('DCF Model'!C19+4)+'DCF Model'!G45*(1+E$6)/($B10-E$6)/(1+$B10)^('DCF Model'!C19+4)-'DCF Model'!C16)*1000000/'DCF Model'!C15,0),"")</f>
        <v>9613</v>
      </c>
      <c r="F10" s="38">
        <f>IFERROR(ROUND(('DCF Model'!C45/(1+$B10)^('DCF Model'!C19+0)+'DCF Model'!D45/(1+$B10)^('DCF Model'!C19+1)+'DCF Model'!E45/(1+$B10)^('DCF Model'!C19+2)+'DCF Model'!F45/(1+$B10)^('DCF Model'!C19+3)+'DCF Model'!G45/(1+$B10)^('DCF Model'!C19+4)+'DCF Model'!G45*(1+F$6)/($B10-F$6)/(1+$B10)^('DCF Model'!C19+4)-'DCF Model'!C16)*1000000/'DCF Model'!C15,0),"")</f>
        <v>9775</v>
      </c>
      <c r="G10" s="38">
        <f>IFERROR(ROUND(('DCF Model'!C45/(1+$B10)^('DCF Model'!C19+0)+'DCF Model'!D45/(1+$B10)^('DCF Model'!C19+1)+'DCF Model'!E45/(1+$B10)^('DCF Model'!C19+2)+'DCF Model'!F45/(1+$B10)^('DCF Model'!C19+3)+'DCF Model'!G45/(1+$B10)^('DCF Model'!C19+4)+'DCF Model'!G45*(1+G$6)/($B10-G$6)/(1+$B10)^('DCF Model'!C19+4)-'DCF Model'!C16)*1000000/'DCF Model'!C15,0),"")</f>
        <v>9945</v>
      </c>
      <c r="H10" s="38">
        <f>IFERROR(ROUND(('DCF Model'!C45/(1+$B10)^('DCF Model'!C19+0)+'DCF Model'!D45/(1+$B10)^('DCF Model'!C19+1)+'DCF Model'!E45/(1+$B10)^('DCF Model'!C19+2)+'DCF Model'!F45/(1+$B10)^('DCF Model'!C19+3)+'DCF Model'!G45/(1+$B10)^('DCF Model'!C19+4)+'DCF Model'!G45*(1+H$6)/($B10-H$6)/(1+$B10)^('DCF Model'!C19+4)-'DCF Model'!C16)*1000000/'DCF Model'!C15,0),"")</f>
        <v>10125</v>
      </c>
      <c r="I10" s="38">
        <f>IFERROR(ROUND(('DCF Model'!C45/(1+$B10)^('DCF Model'!C19+0)+'DCF Model'!D45/(1+$B10)^('DCF Model'!C19+1)+'DCF Model'!E45/(1+$B10)^('DCF Model'!C19+2)+'DCF Model'!F45/(1+$B10)^('DCF Model'!C19+3)+'DCF Model'!G45/(1+$B10)^('DCF Model'!C19+4)+'DCF Model'!G45*(1+I$6)/($B10-I$6)/(1+$B10)^('DCF Model'!C19+4)-'DCF Model'!C16)*1000000/'DCF Model'!C15,0),"")</f>
        <v>10315</v>
      </c>
    </row>
    <row r="11" spans="2:9" ht="13.5" x14ac:dyDescent="0.25">
      <c r="B11" s="40">
        <f>$C$3+0.005</f>
        <v>0.10864700000000001</v>
      </c>
      <c r="C11" s="38">
        <f>IFERROR(ROUND(('DCF Model'!C45/(1+$B11)^('DCF Model'!C19+0)+'DCF Model'!D45/(1+$B11)^('DCF Model'!C19+1)+'DCF Model'!E45/(1+$B11)^('DCF Model'!C19+2)+'DCF Model'!F45/(1+$B11)^('DCF Model'!C19+3)+'DCF Model'!G45/(1+$B11)^('DCF Model'!C19+4)+'DCF Model'!G45*(1+C$6)/($B11-C$6)/(1+$B11)^('DCF Model'!C19+4)-'DCF Model'!C16)*1000000/'DCF Model'!C15,0),"")</f>
        <v>8921</v>
      </c>
      <c r="D11" s="38">
        <f>IFERROR(ROUND(('DCF Model'!C45/(1+$B11)^('DCF Model'!C19+0)+'DCF Model'!D45/(1+$B11)^('DCF Model'!C19+1)+'DCF Model'!E45/(1+$B11)^('DCF Model'!C19+2)+'DCF Model'!F45/(1+$B11)^('DCF Model'!C19+3)+'DCF Model'!G45/(1+$B11)^('DCF Model'!C19+4)+'DCF Model'!G45*(1+D$6)/($B11-D$6)/(1+$B11)^('DCF Model'!C19+4)-'DCF Model'!C16)*1000000/'DCF Model'!C15,0),"")</f>
        <v>9051</v>
      </c>
      <c r="E11" s="38">
        <f>IFERROR(ROUND(('DCF Model'!C45/(1+$B11)^('DCF Model'!C19+0)+'DCF Model'!D45/(1+$B11)^('DCF Model'!C19+1)+'DCF Model'!E45/(1+$B11)^('DCF Model'!C19+2)+'DCF Model'!F45/(1+$B11)^('DCF Model'!C19+3)+'DCF Model'!G45/(1+$B11)^('DCF Model'!C19+4)+'DCF Model'!G45*(1+E$6)/($B11-E$6)/(1+$B11)^('DCF Model'!C19+4)-'DCF Model'!C16)*1000000/'DCF Model'!C15,0),"")</f>
        <v>9187</v>
      </c>
      <c r="F11" s="38">
        <f>IFERROR(ROUND(('DCF Model'!C45/(1+$B11)^('DCF Model'!C19+0)+'DCF Model'!D45/(1+$B11)^('DCF Model'!C19+1)+'DCF Model'!E45/(1+$B11)^('DCF Model'!C19+2)+'DCF Model'!F45/(1+$B11)^('DCF Model'!C19+3)+'DCF Model'!G45/(1+$B11)^('DCF Model'!C19+4)+'DCF Model'!G45*(1+F$6)/($B11-F$6)/(1+$B11)^('DCF Model'!C19+4)-'DCF Model'!C16)*1000000/'DCF Model'!C15,0),"")</f>
        <v>9330</v>
      </c>
      <c r="G11" s="38">
        <f>IFERROR(ROUND(('DCF Model'!C45/(1+$B11)^('DCF Model'!C19+0)+'DCF Model'!D45/(1+$B11)^('DCF Model'!C19+1)+'DCF Model'!E45/(1+$B11)^('DCF Model'!C19+2)+'DCF Model'!F45/(1+$B11)^('DCF Model'!C19+3)+'DCF Model'!G45/(1+$B11)^('DCF Model'!C19+4)+'DCF Model'!G45*(1+G$6)/($B11-G$6)/(1+$B11)^('DCF Model'!C19+4)-'DCF Model'!C16)*1000000/'DCF Model'!C15,0),"")</f>
        <v>9480</v>
      </c>
      <c r="H11" s="38">
        <f>IFERROR(ROUND(('DCF Model'!C45/(1+$B11)^('DCF Model'!C19+0)+'DCF Model'!D45/(1+$B11)^('DCF Model'!C19+1)+'DCF Model'!E45/(1+$B11)^('DCF Model'!C19+2)+'DCF Model'!F45/(1+$B11)^('DCF Model'!C19+3)+'DCF Model'!G45/(1+$B11)^('DCF Model'!C19+4)+'DCF Model'!G45*(1+H$6)/($B11-H$6)/(1+$B11)^('DCF Model'!C19+4)-'DCF Model'!C16)*1000000/'DCF Model'!C15,0),"")</f>
        <v>9639</v>
      </c>
      <c r="I11" s="38">
        <f>IFERROR(ROUND(('DCF Model'!C45/(1+$B11)^('DCF Model'!C19+0)+'DCF Model'!D45/(1+$B11)^('DCF Model'!C19+1)+'DCF Model'!E45/(1+$B11)^('DCF Model'!C19+2)+'DCF Model'!F45/(1+$B11)^('DCF Model'!C19+3)+'DCF Model'!G45/(1+$B11)^('DCF Model'!C19+4)+'DCF Model'!G45*(1+I$6)/($B11-I$6)/(1+$B11)^('DCF Model'!C19+4)-'DCF Model'!C16)*1000000/'DCF Model'!C15,0),"")</f>
        <v>9806</v>
      </c>
    </row>
    <row r="12" spans="2:9" ht="13.5" x14ac:dyDescent="0.25">
      <c r="B12" s="40">
        <f>$C$3+0.01</f>
        <v>0.113647</v>
      </c>
      <c r="C12" s="38">
        <f>IFERROR(ROUND(('DCF Model'!C45/(1+$B12)^('DCF Model'!C19+0)+'DCF Model'!D45/(1+$B12)^('DCF Model'!C19+1)+'DCF Model'!E45/(1+$B12)^('DCF Model'!C19+2)+'DCF Model'!F45/(1+$B12)^('DCF Model'!C19+3)+'DCF Model'!G45/(1+$B12)^('DCF Model'!C19+4)+'DCF Model'!G45*(1+C$6)/($B12-C$6)/(1+$B12)^('DCF Model'!C19+4)-'DCF Model'!C16)*1000000/'DCF Model'!C15,0),"")</f>
        <v>8563</v>
      </c>
      <c r="D12" s="38">
        <f>IFERROR(ROUND(('DCF Model'!C45/(1+$B12)^('DCF Model'!C19+0)+'DCF Model'!D45/(1+$B12)^('DCF Model'!C19+1)+'DCF Model'!E45/(1+$B12)^('DCF Model'!C19+2)+'DCF Model'!F45/(1+$B12)^('DCF Model'!C19+3)+'DCF Model'!G45/(1+$B12)^('DCF Model'!C19+4)+'DCF Model'!G45*(1+D$6)/($B12-D$6)/(1+$B12)^('DCF Model'!C19+4)-'DCF Model'!C16)*1000000/'DCF Model'!C15,0),"")</f>
        <v>8679</v>
      </c>
      <c r="E12" s="38">
        <f>IFERROR(ROUND(('DCF Model'!C45/(1+$B12)^('DCF Model'!C19+0)+'DCF Model'!D45/(1+$B12)^('DCF Model'!C19+1)+'DCF Model'!E45/(1+$B12)^('DCF Model'!C19+2)+'DCF Model'!F45/(1+$B12)^('DCF Model'!C19+3)+'DCF Model'!G45/(1+$B12)^('DCF Model'!C19+4)+'DCF Model'!G45*(1+E$6)/($B12-E$6)/(1+$B12)^('DCF Model'!C19+4)-'DCF Model'!C16)*1000000/'DCF Model'!C15,0),"")</f>
        <v>8801</v>
      </c>
      <c r="F12" s="38">
        <f>IFERROR(ROUND(('DCF Model'!C45/(1+$B12)^('DCF Model'!C19+0)+'DCF Model'!D45/(1+$B12)^('DCF Model'!C19+1)+'DCF Model'!E45/(1+$B12)^('DCF Model'!C19+2)+'DCF Model'!F45/(1+$B12)^('DCF Model'!C19+3)+'DCF Model'!G45/(1+$B12)^('DCF Model'!C19+4)+'DCF Model'!G45*(1+F$6)/($B12-F$6)/(1+$B12)^('DCF Model'!C19+4)-'DCF Model'!C16)*1000000/'DCF Model'!C15,0),"")</f>
        <v>8928</v>
      </c>
      <c r="G12" s="38">
        <f>IFERROR(ROUND(('DCF Model'!C45/(1+$B12)^('DCF Model'!C19+0)+'DCF Model'!D45/(1+$B12)^('DCF Model'!C19+1)+'DCF Model'!E45/(1+$B12)^('DCF Model'!C19+2)+'DCF Model'!F45/(1+$B12)^('DCF Model'!C19+3)+'DCF Model'!G45/(1+$B12)^('DCF Model'!C19+4)+'DCF Model'!G45*(1+G$6)/($B12-G$6)/(1+$B12)^('DCF Model'!C19+4)-'DCF Model'!C16)*1000000/'DCF Model'!C15,0),"")</f>
        <v>9062</v>
      </c>
      <c r="H12" s="38">
        <f>IFERROR(ROUND(('DCF Model'!C45/(1+$B12)^('DCF Model'!C19+0)+'DCF Model'!D45/(1+$B12)^('DCF Model'!C19+1)+'DCF Model'!E45/(1+$B12)^('DCF Model'!C19+2)+'DCF Model'!F45/(1+$B12)^('DCF Model'!C19+3)+'DCF Model'!G45/(1+$B12)^('DCF Model'!C19+4)+'DCF Model'!G45*(1+H$6)/($B12-H$6)/(1+$B12)^('DCF Model'!C19+4)-'DCF Model'!C16)*1000000/'DCF Model'!C15,0),"")</f>
        <v>9202</v>
      </c>
      <c r="I12" s="38">
        <f>IFERROR(ROUND(('DCF Model'!C45/(1+$B12)^('DCF Model'!C19+0)+'DCF Model'!D45/(1+$B12)^('DCF Model'!C19+1)+'DCF Model'!E45/(1+$B12)^('DCF Model'!C19+2)+'DCF Model'!F45/(1+$B12)^('DCF Model'!C19+3)+'DCF Model'!G45/(1+$B12)^('DCF Model'!C19+4)+'DCF Model'!G45*(1+I$6)/($B12-I$6)/(1+$B12)^('DCF Model'!C19+4)-'DCF Model'!C16)*1000000/'DCF Model'!C15,0),"")</f>
        <v>9350</v>
      </c>
    </row>
    <row r="13" spans="2:9" ht="13.5" x14ac:dyDescent="0.25">
      <c r="B13" s="40">
        <f>$C$3+0.015</f>
        <v>0.118647</v>
      </c>
      <c r="C13" s="38">
        <f>IFERROR(ROUND(('DCF Model'!C45/(1+$B13)^('DCF Model'!C19+0)+'DCF Model'!D45/(1+$B13)^('DCF Model'!C19+1)+'DCF Model'!E45/(1+$B13)^('DCF Model'!C19+2)+'DCF Model'!F45/(1+$B13)^('DCF Model'!C19+3)+'DCF Model'!G45/(1+$B13)^('DCF Model'!C19+4)+'DCF Model'!G45*(1+C$6)/($B13-C$6)/(1+$B13)^('DCF Model'!C19+4)-'DCF Model'!C16)*1000000/'DCF Model'!C15,0),"")</f>
        <v>8236</v>
      </c>
      <c r="D13" s="38">
        <f>IFERROR(ROUND(('DCF Model'!C45/(1+$B13)^('DCF Model'!C19+0)+'DCF Model'!D45/(1+$B13)^('DCF Model'!C19+1)+'DCF Model'!E45/(1+$B13)^('DCF Model'!C19+2)+'DCF Model'!F45/(1+$B13)^('DCF Model'!C19+3)+'DCF Model'!G45/(1+$B13)^('DCF Model'!C19+4)+'DCF Model'!G45*(1+D$6)/($B13-D$6)/(1+$B13)^('DCF Model'!C19+4)-'DCF Model'!C16)*1000000/'DCF Model'!C15,0),"")</f>
        <v>8341</v>
      </c>
      <c r="E13" s="38">
        <f>IFERROR(ROUND(('DCF Model'!C45/(1+$B13)^('DCF Model'!C19+0)+'DCF Model'!D45/(1+$B13)^('DCF Model'!C19+1)+'DCF Model'!E45/(1+$B13)^('DCF Model'!C19+2)+'DCF Model'!F45/(1+$B13)^('DCF Model'!C19+3)+'DCF Model'!G45/(1+$B13)^('DCF Model'!C19+4)+'DCF Model'!G45*(1+E$6)/($B13-E$6)/(1+$B13)^('DCF Model'!C19+4)-'DCF Model'!C16)*1000000/'DCF Model'!C15,0),"")</f>
        <v>8450</v>
      </c>
      <c r="F13" s="38">
        <f>IFERROR(ROUND(('DCF Model'!C45/(1+$B13)^('DCF Model'!C19+0)+'DCF Model'!D45/(1+$B13)^('DCF Model'!C19+1)+'DCF Model'!E45/(1+$B13)^('DCF Model'!C19+2)+'DCF Model'!F45/(1+$B13)^('DCF Model'!C19+3)+'DCF Model'!G45/(1+$B13)^('DCF Model'!C19+4)+'DCF Model'!G45*(1+F$6)/($B13-F$6)/(1+$B13)^('DCF Model'!C19+4)-'DCF Model'!C16)*1000000/'DCF Model'!C15,0),"")</f>
        <v>8564</v>
      </c>
      <c r="G13" s="38">
        <f>IFERROR(ROUND(('DCF Model'!C45/(1+$B13)^('DCF Model'!C19+0)+'DCF Model'!D45/(1+$B13)^('DCF Model'!C19+1)+'DCF Model'!E45/(1+$B13)^('DCF Model'!C19+2)+'DCF Model'!F45/(1+$B13)^('DCF Model'!C19+3)+'DCF Model'!G45/(1+$B13)^('DCF Model'!C19+4)+'DCF Model'!G45*(1+G$6)/($B13-G$6)/(1+$B13)^('DCF Model'!C19+4)-'DCF Model'!C16)*1000000/'DCF Model'!C15,0),"")</f>
        <v>8683</v>
      </c>
      <c r="H13" s="38">
        <f>IFERROR(ROUND(('DCF Model'!C45/(1+$B13)^('DCF Model'!C19+0)+'DCF Model'!D45/(1+$B13)^('DCF Model'!C19+1)+'DCF Model'!E45/(1+$B13)^('DCF Model'!C19+2)+'DCF Model'!F45/(1+$B13)^('DCF Model'!C19+3)+'DCF Model'!G45/(1+$B13)^('DCF Model'!C19+4)+'DCF Model'!G45*(1+H$6)/($B13-H$6)/(1+$B13)^('DCF Model'!C19+4)-'DCF Model'!C16)*1000000/'DCF Model'!C15,0),"")</f>
        <v>8808</v>
      </c>
      <c r="I13" s="38">
        <f>IFERROR(ROUND(('DCF Model'!C45/(1+$B13)^('DCF Model'!C19+0)+'DCF Model'!D45/(1+$B13)^('DCF Model'!C19+1)+'DCF Model'!E45/(1+$B13)^('DCF Model'!C19+2)+'DCF Model'!F45/(1+$B13)^('DCF Model'!C19+3)+'DCF Model'!G45/(1+$B13)^('DCF Model'!C19+4)+'DCF Model'!G45*(1+I$6)/($B13-I$6)/(1+$B13)^('DCF Model'!C19+4)-'DCF Model'!C16)*1000000/'DCF Model'!C15,0),"")</f>
        <v>8940</v>
      </c>
    </row>
    <row r="16" spans="2:9" ht="14" x14ac:dyDescent="0.3">
      <c r="B16" s="3" t="s">
        <v>228</v>
      </c>
    </row>
    <row r="17" spans="2:9" ht="14" x14ac:dyDescent="0.3">
      <c r="B17" s="41" t="s">
        <v>229</v>
      </c>
      <c r="C17" s="43">
        <f>$I$3-3</f>
        <v>12</v>
      </c>
      <c r="D17" s="43">
        <f>$I$3-2</f>
        <v>13</v>
      </c>
      <c r="E17" s="43">
        <f>$I$3-1</f>
        <v>14</v>
      </c>
      <c r="F17" s="43">
        <f>$I$3</f>
        <v>15</v>
      </c>
      <c r="G17" s="43">
        <f>$I$3+1</f>
        <v>16</v>
      </c>
      <c r="H17" s="43">
        <f>$I$3+2</f>
        <v>17</v>
      </c>
      <c r="I17" s="43">
        <f>$I$3+3</f>
        <v>18</v>
      </c>
    </row>
    <row r="18" spans="2:9" ht="13.5" x14ac:dyDescent="0.25">
      <c r="B18" s="40">
        <f>$C$3-0.015</f>
        <v>8.8647000000000004E-2</v>
      </c>
      <c r="C18" s="38">
        <f>IFERROR(ROUND(('DCF Model'!C45/(1+$B18)^('DCF Model'!C19+0)+'DCF Model'!D45/(1+$B18)^('DCF Model'!C19+1)+'DCF Model'!E45/(1+$B18)^('DCF Model'!C19+2)+'DCF Model'!F45/(1+$B18)^('DCF Model'!C19+3)+'DCF Model'!G45/(1+$B18)^('DCF Model'!C19+4)+('DCF Model'!G39+'DCF Model'!G42)*C$17/(1+$B18)^('DCF Model'!C19+4)-'DCF Model'!C16)*1000000/'DCF Model'!C15,0),"")</f>
        <v>15190</v>
      </c>
      <c r="D18" s="38">
        <f>IFERROR(ROUND(('DCF Model'!C45/(1+$B18)^('DCF Model'!C19+0)+'DCF Model'!D45/(1+$B18)^('DCF Model'!C19+1)+'DCF Model'!E45/(1+$B18)^('DCF Model'!C19+2)+'DCF Model'!F45/(1+$B18)^('DCF Model'!C19+3)+'DCF Model'!G45/(1+$B18)^('DCF Model'!C19+4)+('DCF Model'!G39+'DCF Model'!G42)*D$17/(1+$B18)^('DCF Model'!C19+4)-'DCF Model'!C16)*1000000/'DCF Model'!C15,0),"")</f>
        <v>16106</v>
      </c>
      <c r="E18" s="38">
        <f>IFERROR(ROUND(('DCF Model'!C45/(1+$B18)^('DCF Model'!C19+0)+'DCF Model'!D45/(1+$B18)^('DCF Model'!C19+1)+'DCF Model'!E45/(1+$B18)^('DCF Model'!C19+2)+'DCF Model'!F45/(1+$B18)^('DCF Model'!C19+3)+'DCF Model'!G45/(1+$B18)^('DCF Model'!C19+4)+('DCF Model'!G39+'DCF Model'!G42)*E$17/(1+$B18)^('DCF Model'!C19+4)-'DCF Model'!C16)*1000000/'DCF Model'!C15,0),"")</f>
        <v>17021</v>
      </c>
      <c r="F18" s="38">
        <f>IFERROR(ROUND(('DCF Model'!C45/(1+$B18)^('DCF Model'!C19+0)+'DCF Model'!D45/(1+$B18)^('DCF Model'!C19+1)+'DCF Model'!E45/(1+$B18)^('DCF Model'!C19+2)+'DCF Model'!F45/(1+$B18)^('DCF Model'!C19+3)+'DCF Model'!G45/(1+$B18)^('DCF Model'!C19+4)+('DCF Model'!G39+'DCF Model'!G42)*F$17/(1+$B18)^('DCF Model'!C19+4)-'DCF Model'!C16)*1000000/'DCF Model'!C15,0),"")</f>
        <v>17936</v>
      </c>
      <c r="G18" s="38">
        <f>IFERROR(ROUND(('DCF Model'!C45/(1+$B18)^('DCF Model'!C19+0)+'DCF Model'!D45/(1+$B18)^('DCF Model'!C19+1)+'DCF Model'!E45/(1+$B18)^('DCF Model'!C19+2)+'DCF Model'!F45/(1+$B18)^('DCF Model'!C19+3)+'DCF Model'!G45/(1+$B18)^('DCF Model'!C19+4)+('DCF Model'!G39+'DCF Model'!G42)*G$17/(1+$B18)^('DCF Model'!C19+4)-'DCF Model'!C16)*1000000/'DCF Model'!C15,0),"")</f>
        <v>18852</v>
      </c>
      <c r="H18" s="38">
        <f>IFERROR(ROUND(('DCF Model'!C45/(1+$B18)^('DCF Model'!C19+0)+'DCF Model'!D45/(1+$B18)^('DCF Model'!C19+1)+'DCF Model'!E45/(1+$B18)^('DCF Model'!C19+2)+'DCF Model'!F45/(1+$B18)^('DCF Model'!C19+3)+'DCF Model'!G45/(1+$B18)^('DCF Model'!C19+4)+('DCF Model'!G39+'DCF Model'!G42)*H$17/(1+$B18)^('DCF Model'!C19+4)-'DCF Model'!C16)*1000000/'DCF Model'!C15,0),"")</f>
        <v>19767</v>
      </c>
      <c r="I18" s="38">
        <f>IFERROR(ROUND(('DCF Model'!C45/(1+$B18)^('DCF Model'!C19+0)+'DCF Model'!D45/(1+$B18)^('DCF Model'!C19+1)+'DCF Model'!E45/(1+$B18)^('DCF Model'!C19+2)+'DCF Model'!F45/(1+$B18)^('DCF Model'!C19+3)+'DCF Model'!G45/(1+$B18)^('DCF Model'!C19+4)+('DCF Model'!G39+'DCF Model'!G42)*I$17/(1+$B18)^('DCF Model'!C19+4)-'DCF Model'!C16)*1000000/'DCF Model'!C15,0),"")</f>
        <v>20682</v>
      </c>
    </row>
    <row r="19" spans="2:9" ht="13.5" x14ac:dyDescent="0.25">
      <c r="B19" s="40">
        <f>$C$3-0.01</f>
        <v>9.3647000000000008E-2</v>
      </c>
      <c r="C19" s="38">
        <f>IFERROR(ROUND(('DCF Model'!C45/(1+$B19)^('DCF Model'!C19+0)+'DCF Model'!D45/(1+$B19)^('DCF Model'!C19+1)+'DCF Model'!E45/(1+$B19)^('DCF Model'!C19+2)+'DCF Model'!F45/(1+$B19)^('DCF Model'!C19+3)+'DCF Model'!G45/(1+$B19)^('DCF Model'!C19+4)+('DCF Model'!G39+'DCF Model'!G42)*C$17/(1+$B19)^('DCF Model'!C19+4)-'DCF Model'!C16)*1000000/'DCF Model'!C15,0),"")</f>
        <v>14903</v>
      </c>
      <c r="D19" s="38">
        <f>IFERROR(ROUND(('DCF Model'!C45/(1+$B19)^('DCF Model'!C19+0)+'DCF Model'!D45/(1+$B19)^('DCF Model'!C19+1)+'DCF Model'!E45/(1+$B19)^('DCF Model'!C19+2)+'DCF Model'!F45/(1+$B19)^('DCF Model'!C19+3)+'DCF Model'!G45/(1+$B19)^('DCF Model'!C19+4)+('DCF Model'!G39+'DCF Model'!G42)*D$17/(1+$B19)^('DCF Model'!C19+4)-'DCF Model'!C16)*1000000/'DCF Model'!C15,0),"")</f>
        <v>15797</v>
      </c>
      <c r="E19" s="38">
        <f>IFERROR(ROUND(('DCF Model'!C45/(1+$B19)^('DCF Model'!C19+0)+'DCF Model'!D45/(1+$B19)^('DCF Model'!C19+1)+'DCF Model'!E45/(1+$B19)^('DCF Model'!C19+2)+'DCF Model'!F45/(1+$B19)^('DCF Model'!C19+3)+'DCF Model'!G45/(1+$B19)^('DCF Model'!C19+4)+('DCF Model'!G39+'DCF Model'!G42)*E$17/(1+$B19)^('DCF Model'!C19+4)-'DCF Model'!C16)*1000000/'DCF Model'!C15,0),"")</f>
        <v>16692</v>
      </c>
      <c r="F19" s="38">
        <f>IFERROR(ROUND(('DCF Model'!C45/(1+$B19)^('DCF Model'!C19+0)+'DCF Model'!D45/(1+$B19)^('DCF Model'!C19+1)+'DCF Model'!E45/(1+$B19)^('DCF Model'!C19+2)+'DCF Model'!F45/(1+$B19)^('DCF Model'!C19+3)+'DCF Model'!G45/(1+$B19)^('DCF Model'!C19+4)+('DCF Model'!G39+'DCF Model'!G42)*F$17/(1+$B19)^('DCF Model'!C19+4)-'DCF Model'!C16)*1000000/'DCF Model'!C15,0),"")</f>
        <v>17587</v>
      </c>
      <c r="G19" s="38">
        <f>IFERROR(ROUND(('DCF Model'!C45/(1+$B19)^('DCF Model'!C19+0)+'DCF Model'!D45/(1+$B19)^('DCF Model'!C19+1)+'DCF Model'!E45/(1+$B19)^('DCF Model'!C19+2)+'DCF Model'!F45/(1+$B19)^('DCF Model'!C19+3)+'DCF Model'!G45/(1+$B19)^('DCF Model'!C19+4)+('DCF Model'!G39+'DCF Model'!G42)*G$17/(1+$B19)^('DCF Model'!C19+4)-'DCF Model'!C16)*1000000/'DCF Model'!C15,0),"")</f>
        <v>18481</v>
      </c>
      <c r="H19" s="38">
        <f>IFERROR(ROUND(('DCF Model'!C45/(1+$B19)^('DCF Model'!C19+0)+'DCF Model'!D45/(1+$B19)^('DCF Model'!C19+1)+'DCF Model'!E45/(1+$B19)^('DCF Model'!C19+2)+'DCF Model'!F45/(1+$B19)^('DCF Model'!C19+3)+'DCF Model'!G45/(1+$B19)^('DCF Model'!C19+4)+('DCF Model'!G39+'DCF Model'!G42)*H$17/(1+$B19)^('DCF Model'!C19+4)-'DCF Model'!C16)*1000000/'DCF Model'!C15,0),"")</f>
        <v>19376</v>
      </c>
      <c r="I19" s="38">
        <f>IFERROR(ROUND(('DCF Model'!C45/(1+$B19)^('DCF Model'!C19+0)+'DCF Model'!D45/(1+$B19)^('DCF Model'!C19+1)+'DCF Model'!E45/(1+$B19)^('DCF Model'!C19+2)+'DCF Model'!F45/(1+$B19)^('DCF Model'!C19+3)+'DCF Model'!G45/(1+$B19)^('DCF Model'!C19+4)+('DCF Model'!G39+'DCF Model'!G42)*I$17/(1+$B19)^('DCF Model'!C19+4)-'DCF Model'!C16)*1000000/'DCF Model'!C15,0),"")</f>
        <v>20270</v>
      </c>
    </row>
    <row r="20" spans="2:9" ht="13.5" x14ac:dyDescent="0.25">
      <c r="B20" s="40">
        <f>$C$3-0.005</f>
        <v>9.8646999999999999E-2</v>
      </c>
      <c r="C20" s="38">
        <f>IFERROR(ROUND(('DCF Model'!C45/(1+$B20)^('DCF Model'!C19+0)+'DCF Model'!D45/(1+$B20)^('DCF Model'!C19+1)+'DCF Model'!E45/(1+$B20)^('DCF Model'!C19+2)+'DCF Model'!F45/(1+$B20)^('DCF Model'!C19+3)+'DCF Model'!G45/(1+$B20)^('DCF Model'!C19+4)+('DCF Model'!G39+'DCF Model'!G42)*C$17/(1+$B20)^('DCF Model'!C19+4)-'DCF Model'!C16)*1000000/'DCF Model'!C15,0),"")</f>
        <v>14623</v>
      </c>
      <c r="D20" s="38">
        <f>IFERROR(ROUND(('DCF Model'!C45/(1+$B20)^('DCF Model'!C19+0)+'DCF Model'!D45/(1+$B20)^('DCF Model'!C19+1)+'DCF Model'!E45/(1+$B20)^('DCF Model'!C19+2)+'DCF Model'!F45/(1+$B20)^('DCF Model'!C19+3)+'DCF Model'!G45/(1+$B20)^('DCF Model'!C19+4)+('DCF Model'!G39+'DCF Model'!G42)*D$17/(1+$B20)^('DCF Model'!C19+4)-'DCF Model'!C16)*1000000/'DCF Model'!C15,0),"")</f>
        <v>15497</v>
      </c>
      <c r="E20" s="38">
        <f>IFERROR(ROUND(('DCF Model'!C45/(1+$B20)^('DCF Model'!C19+0)+'DCF Model'!D45/(1+$B20)^('DCF Model'!C19+1)+'DCF Model'!E45/(1+$B20)^('DCF Model'!C19+2)+'DCF Model'!F45/(1+$B20)^('DCF Model'!C19+3)+'DCF Model'!G45/(1+$B20)^('DCF Model'!C19+4)+('DCF Model'!G39+'DCF Model'!G42)*E$17/(1+$B20)^('DCF Model'!C19+4)-'DCF Model'!C16)*1000000/'DCF Model'!C15,0),"")</f>
        <v>16372</v>
      </c>
      <c r="F20" s="38">
        <f>IFERROR(ROUND(('DCF Model'!C45/(1+$B20)^('DCF Model'!C19+0)+'DCF Model'!D45/(1+$B20)^('DCF Model'!C19+1)+'DCF Model'!E45/(1+$B20)^('DCF Model'!C19+2)+'DCF Model'!F45/(1+$B20)^('DCF Model'!C19+3)+'DCF Model'!G45/(1+$B20)^('DCF Model'!C19+4)+('DCF Model'!G39+'DCF Model'!G42)*F$17/(1+$B20)^('DCF Model'!C19+4)-'DCF Model'!C16)*1000000/'DCF Model'!C15,0),"")</f>
        <v>17246</v>
      </c>
      <c r="G20" s="38">
        <f>IFERROR(ROUND(('DCF Model'!C45/(1+$B20)^('DCF Model'!C19+0)+'DCF Model'!D45/(1+$B20)^('DCF Model'!C19+1)+'DCF Model'!E45/(1+$B20)^('DCF Model'!C19+2)+'DCF Model'!F45/(1+$B20)^('DCF Model'!C19+3)+'DCF Model'!G45/(1+$B20)^('DCF Model'!C19+4)+('DCF Model'!G39+'DCF Model'!G42)*G$17/(1+$B20)^('DCF Model'!C19+4)-'DCF Model'!C16)*1000000/'DCF Model'!C15,0),"")</f>
        <v>18121</v>
      </c>
      <c r="H20" s="38">
        <f>IFERROR(ROUND(('DCF Model'!C45/(1+$B20)^('DCF Model'!C19+0)+'DCF Model'!D45/(1+$B20)^('DCF Model'!C19+1)+'DCF Model'!E45/(1+$B20)^('DCF Model'!C19+2)+'DCF Model'!F45/(1+$B20)^('DCF Model'!C19+3)+'DCF Model'!G45/(1+$B20)^('DCF Model'!C19+4)+('DCF Model'!G39+'DCF Model'!G42)*H$17/(1+$B20)^('DCF Model'!C19+4)-'DCF Model'!C16)*1000000/'DCF Model'!C15,0),"")</f>
        <v>18995</v>
      </c>
      <c r="I20" s="38">
        <f>IFERROR(ROUND(('DCF Model'!C45/(1+$B20)^('DCF Model'!C19+0)+'DCF Model'!D45/(1+$B20)^('DCF Model'!C19+1)+'DCF Model'!E45/(1+$B20)^('DCF Model'!C19+2)+'DCF Model'!F45/(1+$B20)^('DCF Model'!C19+3)+'DCF Model'!G45/(1+$B20)^('DCF Model'!C19+4)+('DCF Model'!G39+'DCF Model'!G42)*I$17/(1+$B20)^('DCF Model'!C19+4)-'DCF Model'!C16)*1000000/'DCF Model'!C15,0),"")</f>
        <v>19869</v>
      </c>
    </row>
    <row r="21" spans="2:9" ht="13.5" x14ac:dyDescent="0.25">
      <c r="B21" s="40">
        <f>$C$3</f>
        <v>0.103647</v>
      </c>
      <c r="C21" s="38">
        <f>IFERROR(ROUND(('DCF Model'!C45/(1+$B21)^('DCF Model'!C19+0)+'DCF Model'!D45/(1+$B21)^('DCF Model'!C19+1)+'DCF Model'!E45/(1+$B21)^('DCF Model'!C19+2)+'DCF Model'!F45/(1+$B21)^('DCF Model'!C19+3)+'DCF Model'!G45/(1+$B21)^('DCF Model'!C19+4)+('DCF Model'!G39+'DCF Model'!G42)*C$17/(1+$B21)^('DCF Model'!C19+4)-'DCF Model'!C16)*1000000/'DCF Model'!C15,0),"")</f>
        <v>14350</v>
      </c>
      <c r="D21" s="38">
        <f>IFERROR(ROUND(('DCF Model'!C45/(1+$B21)^('DCF Model'!C19+0)+'DCF Model'!D45/(1+$B21)^('DCF Model'!C19+1)+'DCF Model'!E45/(1+$B21)^('DCF Model'!C19+2)+'DCF Model'!F45/(1+$B21)^('DCF Model'!C19+3)+'DCF Model'!G45/(1+$B21)^('DCF Model'!C19+4)+('DCF Model'!G39+'DCF Model'!G42)*D$17/(1+$B21)^('DCF Model'!C19+4)-'DCF Model'!C16)*1000000/'DCF Model'!C15,0),"")</f>
        <v>15205</v>
      </c>
      <c r="E21" s="38">
        <f>IFERROR(ROUND(('DCF Model'!C45/(1+$B21)^('DCF Model'!C19+0)+'DCF Model'!D45/(1+$B21)^('DCF Model'!C19+1)+'DCF Model'!E45/(1+$B21)^('DCF Model'!C19+2)+'DCF Model'!F45/(1+$B21)^('DCF Model'!C19+3)+'DCF Model'!G45/(1+$B21)^('DCF Model'!C19+4)+('DCF Model'!G39+'DCF Model'!G42)*E$17/(1+$B21)^('DCF Model'!C19+4)-'DCF Model'!C16)*1000000/'DCF Model'!C15,0),"")</f>
        <v>16060</v>
      </c>
      <c r="F21" s="38">
        <f>IFERROR(ROUND(('DCF Model'!C45/(1+$B21)^('DCF Model'!C19+0)+'DCF Model'!D45/(1+$B21)^('DCF Model'!C19+1)+'DCF Model'!E45/(1+$B21)^('DCF Model'!C19+2)+'DCF Model'!F45/(1+$B21)^('DCF Model'!C19+3)+'DCF Model'!G45/(1+$B21)^('DCF Model'!C19+4)+('DCF Model'!G39+'DCF Model'!G42)*F$17/(1+$B21)^('DCF Model'!C19+4)-'DCF Model'!C16)*1000000/'DCF Model'!C15,0),"")</f>
        <v>16914</v>
      </c>
      <c r="G21" s="38">
        <f>IFERROR(ROUND(('DCF Model'!C45/(1+$B21)^('DCF Model'!C19+0)+'DCF Model'!D45/(1+$B21)^('DCF Model'!C19+1)+'DCF Model'!E45/(1+$B21)^('DCF Model'!C19+2)+'DCF Model'!F45/(1+$B21)^('DCF Model'!C19+3)+'DCF Model'!G45/(1+$B21)^('DCF Model'!C19+4)+('DCF Model'!G39+'DCF Model'!G42)*G$17/(1+$B21)^('DCF Model'!C19+4)-'DCF Model'!C16)*1000000/'DCF Model'!C15,0),"")</f>
        <v>17769</v>
      </c>
      <c r="H21" s="38">
        <f>IFERROR(ROUND(('DCF Model'!C45/(1+$B21)^('DCF Model'!C19+0)+'DCF Model'!D45/(1+$B21)^('DCF Model'!C19+1)+'DCF Model'!E45/(1+$B21)^('DCF Model'!C19+2)+'DCF Model'!F45/(1+$B21)^('DCF Model'!C19+3)+'DCF Model'!G45/(1+$B21)^('DCF Model'!C19+4)+('DCF Model'!G39+'DCF Model'!G42)*H$17/(1+$B21)^('DCF Model'!C19+4)-'DCF Model'!C16)*1000000/'DCF Model'!C15,0),"")</f>
        <v>18624</v>
      </c>
      <c r="I21" s="38">
        <f>IFERROR(ROUND(('DCF Model'!C45/(1+$B21)^('DCF Model'!C19+0)+'DCF Model'!D45/(1+$B21)^('DCF Model'!C19+1)+'DCF Model'!E45/(1+$B21)^('DCF Model'!C19+2)+'DCF Model'!F45/(1+$B21)^('DCF Model'!C19+3)+'DCF Model'!G45/(1+$B21)^('DCF Model'!C19+4)+('DCF Model'!G39+'DCF Model'!G42)*I$17/(1+$B21)^('DCF Model'!C19+4)-'DCF Model'!C16)*1000000/'DCF Model'!C15,0),"")</f>
        <v>19479</v>
      </c>
    </row>
    <row r="22" spans="2:9" ht="13.5" x14ac:dyDescent="0.25">
      <c r="B22" s="40">
        <f>$C$3+0.005</f>
        <v>0.10864700000000001</v>
      </c>
      <c r="C22" s="38">
        <f>IFERROR(ROUND(('DCF Model'!C45/(1+$B22)^('DCF Model'!C19+0)+'DCF Model'!D45/(1+$B22)^('DCF Model'!C19+1)+'DCF Model'!E45/(1+$B22)^('DCF Model'!C19+2)+'DCF Model'!F45/(1+$B22)^('DCF Model'!C19+3)+'DCF Model'!G45/(1+$B22)^('DCF Model'!C19+4)+('DCF Model'!G39+'DCF Model'!G42)*C$17/(1+$B22)^('DCF Model'!C19+4)-'DCF Model'!C16)*1000000/'DCF Model'!C15,0),"")</f>
        <v>14084</v>
      </c>
      <c r="D22" s="38">
        <f>IFERROR(ROUND(('DCF Model'!C45/(1+$B22)^('DCF Model'!C19+0)+'DCF Model'!D45/(1+$B22)^('DCF Model'!C19+1)+'DCF Model'!E45/(1+$B22)^('DCF Model'!C19+2)+'DCF Model'!F45/(1+$B22)^('DCF Model'!C19+3)+'DCF Model'!G45/(1+$B22)^('DCF Model'!C19+4)+('DCF Model'!G39+'DCF Model'!G42)*D$17/(1+$B22)^('DCF Model'!C19+4)-'DCF Model'!C16)*1000000/'DCF Model'!C15,0),"")</f>
        <v>14920</v>
      </c>
      <c r="E22" s="38">
        <f>IFERROR(ROUND(('DCF Model'!C45/(1+$B22)^('DCF Model'!C19+0)+'DCF Model'!D45/(1+$B22)^('DCF Model'!C19+1)+'DCF Model'!E45/(1+$B22)^('DCF Model'!C19+2)+'DCF Model'!F45/(1+$B22)^('DCF Model'!C19+3)+'DCF Model'!G45/(1+$B22)^('DCF Model'!C19+4)+('DCF Model'!G39+'DCF Model'!G42)*E$17/(1+$B22)^('DCF Model'!C19+4)-'DCF Model'!C16)*1000000/'DCF Model'!C15,0),"")</f>
        <v>15756</v>
      </c>
      <c r="F22" s="38">
        <f>IFERROR(ROUND(('DCF Model'!C45/(1+$B22)^('DCF Model'!C19+0)+'DCF Model'!D45/(1+$B22)^('DCF Model'!C19+1)+'DCF Model'!E45/(1+$B22)^('DCF Model'!C19+2)+'DCF Model'!F45/(1+$B22)^('DCF Model'!C19+3)+'DCF Model'!G45/(1+$B22)^('DCF Model'!C19+4)+('DCF Model'!G39+'DCF Model'!G42)*F$17/(1+$B22)^('DCF Model'!C19+4)-'DCF Model'!C16)*1000000/'DCF Model'!C15,0),"")</f>
        <v>16592</v>
      </c>
      <c r="G22" s="38">
        <f>IFERROR(ROUND(('DCF Model'!C45/(1+$B22)^('DCF Model'!C19+0)+'DCF Model'!D45/(1+$B22)^('DCF Model'!C19+1)+'DCF Model'!E45/(1+$B22)^('DCF Model'!C19+2)+'DCF Model'!F45/(1+$B22)^('DCF Model'!C19+3)+'DCF Model'!G45/(1+$B22)^('DCF Model'!C19+4)+('DCF Model'!G39+'DCF Model'!G42)*G$17/(1+$B22)^('DCF Model'!C19+4)-'DCF Model'!C16)*1000000/'DCF Model'!C15,0),"")</f>
        <v>17427</v>
      </c>
      <c r="H22" s="38">
        <f>IFERROR(ROUND(('DCF Model'!C45/(1+$B22)^('DCF Model'!C19+0)+'DCF Model'!D45/(1+$B22)^('DCF Model'!C19+1)+'DCF Model'!E45/(1+$B22)^('DCF Model'!C19+2)+'DCF Model'!F45/(1+$B22)^('DCF Model'!C19+3)+'DCF Model'!G45/(1+$B22)^('DCF Model'!C19+4)+('DCF Model'!G39+'DCF Model'!G42)*H$17/(1+$B22)^('DCF Model'!C19+4)-'DCF Model'!C16)*1000000/'DCF Model'!C15,0),"")</f>
        <v>18263</v>
      </c>
      <c r="I22" s="38">
        <f>IFERROR(ROUND(('DCF Model'!C45/(1+$B22)^('DCF Model'!C19+0)+'DCF Model'!D45/(1+$B22)^('DCF Model'!C19+1)+'DCF Model'!E45/(1+$B22)^('DCF Model'!C19+2)+'DCF Model'!F45/(1+$B22)^('DCF Model'!C19+3)+'DCF Model'!G45/(1+$B22)^('DCF Model'!C19+4)+('DCF Model'!G39+'DCF Model'!G42)*I$17/(1+$B22)^('DCF Model'!C19+4)-'DCF Model'!C16)*1000000/'DCF Model'!C15,0),"")</f>
        <v>19099</v>
      </c>
    </row>
    <row r="23" spans="2:9" ht="13.5" x14ac:dyDescent="0.25">
      <c r="B23" s="40">
        <f>$C$3+0.01</f>
        <v>0.113647</v>
      </c>
      <c r="C23" s="38">
        <f>IFERROR(ROUND(('DCF Model'!C45/(1+$B23)^('DCF Model'!C19+0)+'DCF Model'!D45/(1+$B23)^('DCF Model'!C19+1)+'DCF Model'!E45/(1+$B23)^('DCF Model'!C19+2)+'DCF Model'!F45/(1+$B23)^('DCF Model'!C19+3)+'DCF Model'!G45/(1+$B23)^('DCF Model'!C19+4)+('DCF Model'!G39+'DCF Model'!G42)*C$17/(1+$B23)^('DCF Model'!C19+4)-'DCF Model'!C16)*1000000/'DCF Model'!C15,0),"")</f>
        <v>13826</v>
      </c>
      <c r="D23" s="38">
        <f>IFERROR(ROUND(('DCF Model'!C45/(1+$B23)^('DCF Model'!C19+0)+'DCF Model'!D45/(1+$B23)^('DCF Model'!C19+1)+'DCF Model'!E45/(1+$B23)^('DCF Model'!C19+2)+'DCF Model'!F45/(1+$B23)^('DCF Model'!C19+3)+'DCF Model'!G45/(1+$B23)^('DCF Model'!C19+4)+('DCF Model'!G39+'DCF Model'!G42)*D$17/(1+$B23)^('DCF Model'!C19+4)-'DCF Model'!C16)*1000000/'DCF Model'!C15,0),"")</f>
        <v>14643</v>
      </c>
      <c r="E23" s="38">
        <f>IFERROR(ROUND(('DCF Model'!C45/(1+$B23)^('DCF Model'!C19+0)+'DCF Model'!D45/(1+$B23)^('DCF Model'!C19+1)+'DCF Model'!E45/(1+$B23)^('DCF Model'!C19+2)+'DCF Model'!F45/(1+$B23)^('DCF Model'!C19+3)+'DCF Model'!G45/(1+$B23)^('DCF Model'!C19+4)+('DCF Model'!G39+'DCF Model'!G42)*E$17/(1+$B23)^('DCF Model'!C19+4)-'DCF Model'!C16)*1000000/'DCF Model'!C15,0),"")</f>
        <v>15460</v>
      </c>
      <c r="F23" s="38">
        <f>IFERROR(ROUND(('DCF Model'!C45/(1+$B23)^('DCF Model'!C19+0)+'DCF Model'!D45/(1+$B23)^('DCF Model'!C19+1)+'DCF Model'!E45/(1+$B23)^('DCF Model'!C19+2)+'DCF Model'!F45/(1+$B23)^('DCF Model'!C19+3)+'DCF Model'!G45/(1+$B23)^('DCF Model'!C19+4)+('DCF Model'!G39+'DCF Model'!G42)*F$17/(1+$B23)^('DCF Model'!C19+4)-'DCF Model'!C16)*1000000/'DCF Model'!C15,0),"")</f>
        <v>16277</v>
      </c>
      <c r="G23" s="38">
        <f>IFERROR(ROUND(('DCF Model'!C45/(1+$B23)^('DCF Model'!C19+0)+'DCF Model'!D45/(1+$B23)^('DCF Model'!C19+1)+'DCF Model'!E45/(1+$B23)^('DCF Model'!C19+2)+'DCF Model'!F45/(1+$B23)^('DCF Model'!C19+3)+'DCF Model'!G45/(1+$B23)^('DCF Model'!C19+4)+('DCF Model'!G39+'DCF Model'!G42)*G$17/(1+$B23)^('DCF Model'!C19+4)-'DCF Model'!C16)*1000000/'DCF Model'!C15,0),"")</f>
        <v>17094</v>
      </c>
      <c r="H23" s="38">
        <f>IFERROR(ROUND(('DCF Model'!C45/(1+$B23)^('DCF Model'!C19+0)+'DCF Model'!D45/(1+$B23)^('DCF Model'!C19+1)+'DCF Model'!E45/(1+$B23)^('DCF Model'!C19+2)+'DCF Model'!F45/(1+$B23)^('DCF Model'!C19+3)+'DCF Model'!G45/(1+$B23)^('DCF Model'!C19+4)+('DCF Model'!G39+'DCF Model'!G42)*H$17/(1+$B23)^('DCF Model'!C19+4)-'DCF Model'!C16)*1000000/'DCF Model'!C15,0),"")</f>
        <v>17911</v>
      </c>
      <c r="I23" s="38">
        <f>IFERROR(ROUND(('DCF Model'!C45/(1+$B23)^('DCF Model'!C19+0)+'DCF Model'!D45/(1+$B23)^('DCF Model'!C19+1)+'DCF Model'!E45/(1+$B23)^('DCF Model'!C19+2)+'DCF Model'!F45/(1+$B23)^('DCF Model'!C19+3)+'DCF Model'!G45/(1+$B23)^('DCF Model'!C19+4)+('DCF Model'!G39+'DCF Model'!G42)*I$17/(1+$B23)^('DCF Model'!C19+4)-'DCF Model'!C16)*1000000/'DCF Model'!C15,0),"")</f>
        <v>18728</v>
      </c>
    </row>
    <row r="24" spans="2:9" ht="13.5" x14ac:dyDescent="0.25">
      <c r="B24" s="40">
        <f>$C$3+0.015</f>
        <v>0.118647</v>
      </c>
      <c r="C24" s="38">
        <f>IFERROR(ROUND(('DCF Model'!C45/(1+$B24)^('DCF Model'!C19+0)+'DCF Model'!D45/(1+$B24)^('DCF Model'!C19+1)+'DCF Model'!E45/(1+$B24)^('DCF Model'!C19+2)+'DCF Model'!F45/(1+$B24)^('DCF Model'!C19+3)+'DCF Model'!G45/(1+$B24)^('DCF Model'!C19+4)+('DCF Model'!G39+'DCF Model'!G42)*C$17/(1+$B24)^('DCF Model'!C19+4)-'DCF Model'!C16)*1000000/'DCF Model'!C15,0),"")</f>
        <v>13574</v>
      </c>
      <c r="D24" s="38">
        <f>IFERROR(ROUND(('DCF Model'!C45/(1+$B24)^('DCF Model'!C19+0)+'DCF Model'!D45/(1+$B24)^('DCF Model'!C19+1)+'DCF Model'!E45/(1+$B24)^('DCF Model'!C19+2)+'DCF Model'!F45/(1+$B24)^('DCF Model'!C19+3)+'DCF Model'!G45/(1+$B24)^('DCF Model'!C19+4)+('DCF Model'!G39+'DCF Model'!G42)*D$17/(1+$B24)^('DCF Model'!C19+4)-'DCF Model'!C16)*1000000/'DCF Model'!C15,0),"")</f>
        <v>14373</v>
      </c>
      <c r="E24" s="38">
        <f>IFERROR(ROUND(('DCF Model'!C45/(1+$B24)^('DCF Model'!C19+0)+'DCF Model'!D45/(1+$B24)^('DCF Model'!C19+1)+'DCF Model'!E45/(1+$B24)^('DCF Model'!C19+2)+'DCF Model'!F45/(1+$B24)^('DCF Model'!C19+3)+'DCF Model'!G45/(1+$B24)^('DCF Model'!C19+4)+('DCF Model'!G39+'DCF Model'!G42)*E$17/(1+$B24)^('DCF Model'!C19+4)-'DCF Model'!C16)*1000000/'DCF Model'!C15,0),"")</f>
        <v>15172</v>
      </c>
      <c r="F24" s="38">
        <f>IFERROR(ROUND(('DCF Model'!C45/(1+$B24)^('DCF Model'!C19+0)+'DCF Model'!D45/(1+$B24)^('DCF Model'!C19+1)+'DCF Model'!E45/(1+$B24)^('DCF Model'!C19+2)+'DCF Model'!F45/(1+$B24)^('DCF Model'!C19+3)+'DCF Model'!G45/(1+$B24)^('DCF Model'!C19+4)+('DCF Model'!G39+'DCF Model'!G42)*F$17/(1+$B24)^('DCF Model'!C19+4)-'DCF Model'!C16)*1000000/'DCF Model'!C15,0),"")</f>
        <v>15971</v>
      </c>
      <c r="G24" s="38">
        <f>IFERROR(ROUND(('DCF Model'!C45/(1+$B24)^('DCF Model'!C19+0)+'DCF Model'!D45/(1+$B24)^('DCF Model'!C19+1)+'DCF Model'!E45/(1+$B24)^('DCF Model'!C19+2)+'DCF Model'!F45/(1+$B24)^('DCF Model'!C19+3)+'DCF Model'!G45/(1+$B24)^('DCF Model'!C19+4)+('DCF Model'!G39+'DCF Model'!G42)*G$17/(1+$B24)^('DCF Model'!C19+4)-'DCF Model'!C16)*1000000/'DCF Model'!C15,0),"")</f>
        <v>16770</v>
      </c>
      <c r="H24" s="38">
        <f>IFERROR(ROUND(('DCF Model'!C45/(1+$B24)^('DCF Model'!C19+0)+'DCF Model'!D45/(1+$B24)^('DCF Model'!C19+1)+'DCF Model'!E45/(1+$B24)^('DCF Model'!C19+2)+'DCF Model'!F45/(1+$B24)^('DCF Model'!C19+3)+'DCF Model'!G45/(1+$B24)^('DCF Model'!C19+4)+('DCF Model'!G39+'DCF Model'!G42)*H$17/(1+$B24)^('DCF Model'!C19+4)-'DCF Model'!C16)*1000000/'DCF Model'!C15,0),"")</f>
        <v>17569</v>
      </c>
      <c r="I24" s="38">
        <f>IFERROR(ROUND(('DCF Model'!C45/(1+$B24)^('DCF Model'!C19+0)+'DCF Model'!D45/(1+$B24)^('DCF Model'!C19+1)+'DCF Model'!E45/(1+$B24)^('DCF Model'!C19+2)+'DCF Model'!F45/(1+$B24)^('DCF Model'!C19+3)+'DCF Model'!G45/(1+$B24)^('DCF Model'!C19+4)+('DCF Model'!G39+'DCF Model'!G42)*I$17/(1+$B24)^('DCF Model'!C19+4)-'DCF Model'!C16)*1000000/'DCF Model'!C15,0),"")</f>
        <v>18368</v>
      </c>
    </row>
    <row r="26" spans="2:9" ht="14" x14ac:dyDescent="0.3">
      <c r="B26" s="46" t="s">
        <v>230</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231</v>
      </c>
    </row>
    <row r="4" spans="2:7" ht="14" x14ac:dyDescent="0.3">
      <c r="B4" s="10" t="s">
        <v>232</v>
      </c>
      <c r="C4" s="10" t="s">
        <v>233</v>
      </c>
      <c r="D4" s="10" t="s">
        <v>234</v>
      </c>
      <c r="E4" s="10" t="s">
        <v>235</v>
      </c>
      <c r="F4" s="10" t="s">
        <v>236</v>
      </c>
      <c r="G4" s="10" t="s">
        <v>237</v>
      </c>
    </row>
    <row r="5" spans="2:7" x14ac:dyDescent="0.2">
      <c r="B5" t="s">
        <v>238</v>
      </c>
      <c r="C5" t="s">
        <v>239</v>
      </c>
      <c r="D5" t="s">
        <v>240</v>
      </c>
      <c r="E5" t="s">
        <v>241</v>
      </c>
      <c r="F5" t="s">
        <v>239</v>
      </c>
      <c r="G5" t="s">
        <v>242</v>
      </c>
    </row>
    <row r="6" spans="2:7" ht="30" customHeight="1" x14ac:dyDescent="0.3">
      <c r="B6" t="s">
        <v>238</v>
      </c>
      <c r="C6" s="4" t="s">
        <v>243</v>
      </c>
      <c r="D6" t="s">
        <v>244</v>
      </c>
      <c r="E6" t="s">
        <v>245</v>
      </c>
      <c r="F6" t="s">
        <v>246</v>
      </c>
      <c r="G6" t="s">
        <v>247</v>
      </c>
    </row>
    <row r="12" spans="2:7" ht="14" x14ac:dyDescent="0.3">
      <c r="B12" s="8" t="s">
        <v>248</v>
      </c>
    </row>
    <row r="13" spans="2:7" ht="14" x14ac:dyDescent="0.3">
      <c r="B13" s="10" t="s">
        <v>249</v>
      </c>
      <c r="C13" s="10" t="s">
        <v>250</v>
      </c>
    </row>
    <row r="14" spans="2:7" ht="14" x14ac:dyDescent="0.3">
      <c r="B14" s="4" t="s">
        <v>251</v>
      </c>
      <c r="C14" t="s">
        <v>252</v>
      </c>
    </row>
    <row r="15" spans="2:7" ht="14" x14ac:dyDescent="0.3">
      <c r="B15" s="4" t="s">
        <v>253</v>
      </c>
      <c r="C15" t="s">
        <v>254</v>
      </c>
    </row>
    <row r="16" spans="2:7" ht="14" x14ac:dyDescent="0.3">
      <c r="B16" s="4" t="s">
        <v>255</v>
      </c>
      <c r="C16" t="s">
        <v>256</v>
      </c>
    </row>
    <row r="17" spans="2:3" ht="14" x14ac:dyDescent="0.3">
      <c r="B17" s="4" t="s">
        <v>257</v>
      </c>
      <c r="C17" t="s">
        <v>258</v>
      </c>
    </row>
    <row r="18" spans="2:3" ht="14" x14ac:dyDescent="0.3">
      <c r="B18" s="4" t="s">
        <v>259</v>
      </c>
      <c r="C18" t="s">
        <v>256</v>
      </c>
    </row>
    <row r="19" spans="2:3" ht="14" x14ac:dyDescent="0.3">
      <c r="B19" s="4" t="s">
        <v>260</v>
      </c>
      <c r="C19" t="s">
        <v>261</v>
      </c>
    </row>
    <row r="20" spans="2:3" ht="14" x14ac:dyDescent="0.3">
      <c r="B20" s="4" t="s">
        <v>262</v>
      </c>
      <c r="C20" t="s">
        <v>263</v>
      </c>
    </row>
    <row r="21" spans="2:3" ht="14" x14ac:dyDescent="0.3">
      <c r="B21" s="4" t="s">
        <v>264</v>
      </c>
      <c r="C21" t="s">
        <v>265</v>
      </c>
    </row>
    <row r="22" spans="2:3" ht="14" x14ac:dyDescent="0.3">
      <c r="B22" s="4" t="s">
        <v>266</v>
      </c>
      <c r="C22" t="s">
        <v>267</v>
      </c>
    </row>
    <row r="23" spans="2:3" ht="14" x14ac:dyDescent="0.3">
      <c r="B23" s="4" t="s">
        <v>268</v>
      </c>
      <c r="C23" t="s">
        <v>45</v>
      </c>
    </row>
    <row r="24" spans="2:3" ht="14" x14ac:dyDescent="0.3">
      <c r="B24" s="4" t="s">
        <v>269</v>
      </c>
      <c r="C24" t="s">
        <v>4</v>
      </c>
    </row>
    <row r="25" spans="2:3" ht="14" x14ac:dyDescent="0.3">
      <c r="B25" s="4" t="s">
        <v>270</v>
      </c>
      <c r="C25" t="s">
        <v>238</v>
      </c>
    </row>
    <row r="26" spans="2:3" ht="14" x14ac:dyDescent="0.3">
      <c r="B26" s="4" t="s">
        <v>271</v>
      </c>
      <c r="C26" t="s">
        <v>272</v>
      </c>
    </row>
    <row r="27" spans="2:3" ht="14" x14ac:dyDescent="0.3">
      <c r="B27" s="4" t="s">
        <v>273</v>
      </c>
      <c r="C27" t="s">
        <v>261</v>
      </c>
    </row>
    <row r="28" spans="2:3" ht="14" x14ac:dyDescent="0.3">
      <c r="B28" s="4" t="s">
        <v>274</v>
      </c>
      <c r="C28" t="s">
        <v>261</v>
      </c>
    </row>
    <row r="29" spans="2:3" ht="14" x14ac:dyDescent="0.3">
      <c r="B29" s="4" t="s">
        <v>275</v>
      </c>
      <c r="C29" t="s">
        <v>276</v>
      </c>
    </row>
    <row r="30" spans="2:3" ht="14" x14ac:dyDescent="0.3">
      <c r="B30" s="4" t="s">
        <v>277</v>
      </c>
      <c r="C30" t="s">
        <v>278</v>
      </c>
    </row>
    <row r="31" spans="2:3" ht="14" x14ac:dyDescent="0.3">
      <c r="B31" s="4" t="s">
        <v>279</v>
      </c>
      <c r="C31" t="s">
        <v>280</v>
      </c>
    </row>
    <row r="32" spans="2:3" ht="14" x14ac:dyDescent="0.3">
      <c r="B32" s="4" t="s">
        <v>281</v>
      </c>
      <c r="C32" t="s">
        <v>276</v>
      </c>
    </row>
    <row r="33" spans="2:3" ht="14" x14ac:dyDescent="0.3">
      <c r="B33" s="4" t="s">
        <v>282</v>
      </c>
      <c r="C33" t="s">
        <v>261</v>
      </c>
    </row>
    <row r="34" spans="2:3" ht="14" x14ac:dyDescent="0.3">
      <c r="B34" s="4" t="s">
        <v>283</v>
      </c>
      <c r="C34" t="s">
        <v>272</v>
      </c>
    </row>
    <row r="35" spans="2:3" ht="14" x14ac:dyDescent="0.3">
      <c r="B35" s="4" t="s">
        <v>284</v>
      </c>
      <c r="C35" t="s">
        <v>285</v>
      </c>
    </row>
    <row r="36" spans="2:3" ht="14" x14ac:dyDescent="0.3">
      <c r="B36" s="4" t="s">
        <v>286</v>
      </c>
      <c r="C36" t="s">
        <v>287</v>
      </c>
    </row>
    <row r="37" spans="2:3" ht="14" x14ac:dyDescent="0.3">
      <c r="B37" s="4" t="s">
        <v>288</v>
      </c>
      <c r="C37" t="s">
        <v>289</v>
      </c>
    </row>
    <row r="38" spans="2:3" ht="14" x14ac:dyDescent="0.3">
      <c r="B38" s="4" t="s">
        <v>290</v>
      </c>
      <c r="C38" t="s">
        <v>291</v>
      </c>
    </row>
    <row r="39" spans="2:3" ht="14" x14ac:dyDescent="0.3">
      <c r="B39" s="4" t="s">
        <v>292</v>
      </c>
      <c r="C39" t="s">
        <v>293</v>
      </c>
    </row>
    <row r="40" spans="2:3" ht="14" x14ac:dyDescent="0.3">
      <c r="B40" s="4" t="s">
        <v>294</v>
      </c>
      <c r="C40" t="s">
        <v>295</v>
      </c>
    </row>
    <row r="41" spans="2:3" ht="14" x14ac:dyDescent="0.3">
      <c r="B41" s="4" t="s">
        <v>296</v>
      </c>
      <c r="C41" t="s">
        <v>265</v>
      </c>
    </row>
    <row r="42" spans="2:3" ht="14" x14ac:dyDescent="0.3">
      <c r="B42" s="4" t="s">
        <v>297</v>
      </c>
      <c r="C42" t="s">
        <v>298</v>
      </c>
    </row>
    <row r="43" spans="2:3" ht="14" x14ac:dyDescent="0.3">
      <c r="B43" s="4" t="s">
        <v>299</v>
      </c>
      <c r="C43" t="s">
        <v>300</v>
      </c>
    </row>
    <row r="44" spans="2:3" ht="14" x14ac:dyDescent="0.3">
      <c r="B44" s="4" t="s">
        <v>301</v>
      </c>
      <c r="C44" t="s">
        <v>302</v>
      </c>
    </row>
    <row r="45" spans="2:3" ht="14" x14ac:dyDescent="0.3">
      <c r="B45" s="4" t="s">
        <v>303</v>
      </c>
      <c r="C45" t="s">
        <v>304</v>
      </c>
    </row>
    <row r="46" spans="2:3" ht="14" x14ac:dyDescent="0.3">
      <c r="B46" s="4" t="s">
        <v>305</v>
      </c>
      <c r="C46" t="s">
        <v>306</v>
      </c>
    </row>
    <row r="47" spans="2:3" ht="14" x14ac:dyDescent="0.3">
      <c r="B47" s="4" t="s">
        <v>307</v>
      </c>
      <c r="C47" t="s">
        <v>308</v>
      </c>
    </row>
    <row r="48" spans="2:3" ht="14" x14ac:dyDescent="0.3">
      <c r="B48" s="4" t="s">
        <v>309</v>
      </c>
      <c r="C48" t="s">
        <v>310</v>
      </c>
    </row>
    <row r="49" spans="2:3" ht="14" x14ac:dyDescent="0.3">
      <c r="B49" s="4" t="s">
        <v>311</v>
      </c>
      <c r="C49" t="s">
        <v>312</v>
      </c>
    </row>
    <row r="50" spans="2:3" ht="14" x14ac:dyDescent="0.3">
      <c r="B50" s="4" t="s">
        <v>313</v>
      </c>
      <c r="C50" t="s">
        <v>314</v>
      </c>
    </row>
    <row r="51" spans="2:3" ht="14" x14ac:dyDescent="0.3">
      <c r="B51" s="4" t="s">
        <v>315</v>
      </c>
      <c r="C51" t="s">
        <v>316</v>
      </c>
    </row>
    <row r="52" spans="2:3" ht="14" x14ac:dyDescent="0.3">
      <c r="B52" s="4" t="s">
        <v>317</v>
      </c>
      <c r="C52" t="s">
        <v>318</v>
      </c>
    </row>
    <row r="53" spans="2:3" ht="14" x14ac:dyDescent="0.3">
      <c r="B53" s="4" t="s">
        <v>319</v>
      </c>
      <c r="C53" t="s">
        <v>320</v>
      </c>
    </row>
    <row r="54" spans="2:3" ht="14" x14ac:dyDescent="0.3">
      <c r="B54" s="4" t="s">
        <v>321</v>
      </c>
      <c r="C54" t="s">
        <v>322</v>
      </c>
    </row>
    <row r="55" spans="2:3" ht="14" x14ac:dyDescent="0.3">
      <c r="B55" s="4" t="s">
        <v>323</v>
      </c>
      <c r="C55" t="s">
        <v>324</v>
      </c>
    </row>
    <row r="56" spans="2:3" ht="14" x14ac:dyDescent="0.3">
      <c r="B56" s="4" t="s">
        <v>325</v>
      </c>
      <c r="C56" t="s">
        <v>272</v>
      </c>
    </row>
    <row r="57" spans="2:3" ht="14" x14ac:dyDescent="0.3">
      <c r="B57" s="4" t="s">
        <v>326</v>
      </c>
      <c r="C57" t="s">
        <v>327</v>
      </c>
    </row>
    <row r="58" spans="2:3" ht="14" x14ac:dyDescent="0.3">
      <c r="B58" s="4" t="s">
        <v>328</v>
      </c>
      <c r="C58" t="s">
        <v>329</v>
      </c>
    </row>
    <row r="59" spans="2:3" ht="14" x14ac:dyDescent="0.3">
      <c r="B59" s="4" t="s">
        <v>330</v>
      </c>
      <c r="C59" t="s">
        <v>331</v>
      </c>
    </row>
    <row r="60" spans="2:3" ht="14" x14ac:dyDescent="0.3">
      <c r="B60" s="4" t="s">
        <v>332</v>
      </c>
      <c r="C60" t="s">
        <v>333</v>
      </c>
    </row>
    <row r="61" spans="2:3" ht="14" x14ac:dyDescent="0.3">
      <c r="B61" s="4" t="s">
        <v>334</v>
      </c>
      <c r="C61" t="s">
        <v>335</v>
      </c>
    </row>
    <row r="62" spans="2:3" ht="14" x14ac:dyDescent="0.3">
      <c r="B62" s="4" t="s">
        <v>336</v>
      </c>
      <c r="C62" t="s">
        <v>201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2026-09-06T17:39:13Z</dcterms:created>
  <dcterms:modified xsi:type="dcterms:W3CDTF">2026-09-06T17:39:16Z</dcterms:modified>
</cp:coreProperties>
</file>