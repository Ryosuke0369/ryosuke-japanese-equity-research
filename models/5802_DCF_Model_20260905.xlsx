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1BDDA17-5227-4126-BF91-620ED5C8915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H16" i="6"/>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E5" i="6" s="1"/>
  <c r="C16" i="5"/>
  <c r="C14" i="5"/>
  <c r="C7" i="5"/>
  <c r="C6" i="5"/>
  <c r="C5" i="5"/>
  <c r="C13" i="4"/>
  <c r="C12" i="4"/>
  <c r="C9" i="4"/>
  <c r="C8" i="4"/>
  <c r="C10" i="4" s="1"/>
  <c r="C7" i="4"/>
  <c r="C6" i="4"/>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F16" i="6" l="1"/>
  <c r="C28" i="6" s="1"/>
  <c r="C19" i="1" s="1"/>
  <c r="D19" i="1" s="1"/>
  <c r="C18" i="5"/>
  <c r="G15" i="6"/>
  <c r="I16" i="6"/>
  <c r="E15" i="6"/>
  <c r="H15" i="6"/>
  <c r="C26" i="3"/>
  <c r="F36" i="4" s="1"/>
  <c r="F15" i="6"/>
  <c r="C24" i="4"/>
  <c r="C25" i="4" s="1"/>
  <c r="C70" i="4"/>
  <c r="C71" i="4"/>
  <c r="J5" i="6"/>
  <c r="K5" i="6"/>
  <c r="C3" i="7"/>
  <c r="G36" i="4"/>
  <c r="C11" i="4"/>
  <c r="G46" i="3"/>
  <c r="D36" i="4"/>
  <c r="D46" i="3"/>
  <c r="C46" i="3"/>
  <c r="E36" i="4"/>
  <c r="E46" i="3"/>
  <c r="H36" i="4"/>
  <c r="C30" i="3"/>
  <c r="C33" i="3" s="1"/>
  <c r="F31" i="3"/>
  <c r="H5" i="5"/>
  <c r="D7" i="5"/>
  <c r="I15" i="6"/>
  <c r="E17" i="6"/>
  <c r="I6" i="7"/>
  <c r="D30" i="3"/>
  <c r="G31" i="3"/>
  <c r="E7" i="5"/>
  <c r="L5" i="6"/>
  <c r="D16" i="6"/>
  <c r="F17" i="6"/>
  <c r="C17" i="7"/>
  <c r="C31" i="3"/>
  <c r="E5" i="5"/>
  <c r="E30" i="3"/>
  <c r="C32" i="3"/>
  <c r="D6" i="5"/>
  <c r="F7" i="5"/>
  <c r="M5" i="6"/>
  <c r="E16" i="6"/>
  <c r="G17" i="6"/>
  <c r="C6" i="7"/>
  <c r="D17" i="7"/>
  <c r="F32" i="3"/>
  <c r="G6" i="5"/>
  <c r="F30" i="3"/>
  <c r="D32" i="3"/>
  <c r="E6" i="5"/>
  <c r="G7" i="5"/>
  <c r="D15" i="6"/>
  <c r="H17" i="6"/>
  <c r="D6" i="7"/>
  <c r="E17" i="7"/>
  <c r="G30" i="3"/>
  <c r="E32" i="3"/>
  <c r="D5" i="5"/>
  <c r="F6" i="5"/>
  <c r="H7" i="5"/>
  <c r="G16" i="6"/>
  <c r="I17" i="6"/>
  <c r="E6" i="7"/>
  <c r="F17" i="7"/>
  <c r="F6" i="7"/>
  <c r="G17" i="7"/>
  <c r="D31" i="3"/>
  <c r="G32" i="3"/>
  <c r="F5" i="5"/>
  <c r="H6" i="5"/>
  <c r="G6" i="7"/>
  <c r="H17" i="7"/>
  <c r="E31" i="3"/>
  <c r="F46" i="3" l="1"/>
  <c r="H40" i="4"/>
  <c r="H44" i="4"/>
  <c r="H41" i="4"/>
  <c r="H45" i="4"/>
  <c r="H39" i="4"/>
  <c r="H49" i="4" s="1"/>
  <c r="H54" i="4" s="1"/>
  <c r="H43" i="4"/>
  <c r="H46" i="4"/>
  <c r="H38" i="4"/>
  <c r="E39" i="4"/>
  <c r="E43" i="4"/>
  <c r="E40" i="4"/>
  <c r="E44" i="4"/>
  <c r="E38" i="4"/>
  <c r="E48" i="4" s="1"/>
  <c r="E53" i="4" s="1"/>
  <c r="E46" i="4"/>
  <c r="E41" i="4"/>
  <c r="E45" i="4"/>
  <c r="B13" i="7"/>
  <c r="B12" i="7"/>
  <c r="B11" i="7"/>
  <c r="B10" i="7"/>
  <c r="B9" i="7"/>
  <c r="B8" i="7"/>
  <c r="B7" i="7"/>
  <c r="B24" i="7"/>
  <c r="B23" i="7"/>
  <c r="B22" i="7"/>
  <c r="B21" i="7"/>
  <c r="B20" i="7"/>
  <c r="B19" i="7"/>
  <c r="B18" i="7"/>
  <c r="G46" i="4"/>
  <c r="G40" i="4"/>
  <c r="G38" i="4"/>
  <c r="G41" i="4"/>
  <c r="G45" i="4"/>
  <c r="G39" i="4"/>
  <c r="G43" i="4"/>
  <c r="G44" i="4"/>
  <c r="C27" i="6"/>
  <c r="C18" i="1" s="1"/>
  <c r="D18" i="1" s="1"/>
  <c r="C74" i="4"/>
  <c r="D45" i="4"/>
  <c r="D39" i="4"/>
  <c r="D46" i="4"/>
  <c r="D40" i="4"/>
  <c r="D43" i="4"/>
  <c r="D44" i="4"/>
  <c r="D38" i="4"/>
  <c r="D48" i="4" s="1"/>
  <c r="D53" i="4" s="1"/>
  <c r="D41" i="4"/>
  <c r="C29" i="4"/>
  <c r="C27" i="4"/>
  <c r="C26" i="4"/>
  <c r="C42" i="3"/>
  <c r="C34" i="3"/>
  <c r="D10" i="5" s="1"/>
  <c r="C37" i="3"/>
  <c r="D9" i="5"/>
  <c r="D12" i="5" s="1"/>
  <c r="D33" i="3"/>
  <c r="F43" i="4"/>
  <c r="F46" i="4"/>
  <c r="F44" i="4"/>
  <c r="F38" i="4"/>
  <c r="F48" i="4" s="1"/>
  <c r="F53" i="4" s="1"/>
  <c r="F41" i="4"/>
  <c r="F51" i="4" s="1"/>
  <c r="F56" i="4" s="1"/>
  <c r="F40" i="4"/>
  <c r="F45" i="4"/>
  <c r="F39" i="4"/>
  <c r="F50" i="4" l="1"/>
  <c r="F55" i="4" s="1"/>
  <c r="E49" i="4"/>
  <c r="E54" i="4" s="1"/>
  <c r="H50" i="4"/>
  <c r="H55" i="4" s="1"/>
  <c r="D51" i="4"/>
  <c r="D56" i="4" s="1"/>
  <c r="G50" i="4"/>
  <c r="G55" i="4" s="1"/>
  <c r="E51" i="4"/>
  <c r="E56" i="4" s="1"/>
  <c r="D15" i="5"/>
  <c r="D16" i="5" s="1"/>
  <c r="D13" i="5"/>
  <c r="D14" i="5" s="1"/>
  <c r="D18" i="5" s="1"/>
  <c r="D19" i="5" s="1"/>
  <c r="C44" i="3" s="1"/>
  <c r="D50" i="4"/>
  <c r="D55" i="4" s="1"/>
  <c r="G49" i="4"/>
  <c r="G54" i="4" s="1"/>
  <c r="F49" i="4"/>
  <c r="E9" i="5"/>
  <c r="E12" i="5" s="1"/>
  <c r="D37" i="3"/>
  <c r="D42" i="3"/>
  <c r="D34" i="3"/>
  <c r="E10" i="5" s="1"/>
  <c r="E33" i="3"/>
  <c r="E50" i="4"/>
  <c r="E55" i="4" s="1"/>
  <c r="H51" i="4"/>
  <c r="H56" i="4" s="1"/>
  <c r="C35" i="3"/>
  <c r="D49" i="4"/>
  <c r="D54" i="4" s="1"/>
  <c r="G51" i="4"/>
  <c r="G56" i="4" s="1"/>
  <c r="G48" i="4"/>
  <c r="G53" i="4" s="1"/>
  <c r="H48" i="4"/>
  <c r="H53" i="4" s="1"/>
  <c r="D35" i="3" l="1"/>
  <c r="C36" i="3"/>
  <c r="C39" i="3"/>
  <c r="C38" i="3"/>
  <c r="F54" i="4"/>
  <c r="C60" i="4"/>
  <c r="B78" i="4"/>
  <c r="F9" i="5"/>
  <c r="F12" i="5" s="1"/>
  <c r="E42" i="3"/>
  <c r="E34" i="3"/>
  <c r="F10" i="5" s="1"/>
  <c r="E35" i="3"/>
  <c r="F33" i="3"/>
  <c r="E37" i="3"/>
  <c r="E13" i="5"/>
  <c r="E14" i="5" s="1"/>
  <c r="E15" i="5"/>
  <c r="E16" i="5" s="1"/>
  <c r="D36" i="3"/>
  <c r="D39" i="3"/>
  <c r="D38" i="3"/>
  <c r="E18" i="5" l="1"/>
  <c r="E19" i="5" s="1"/>
  <c r="D44" i="3" s="1"/>
  <c r="C65" i="4"/>
  <c r="D65" i="4" s="1"/>
  <c r="C64" i="4"/>
  <c r="D64" i="4" s="1"/>
  <c r="C67" i="4"/>
  <c r="D67" i="4" s="1"/>
  <c r="C63" i="4"/>
  <c r="D63" i="4" s="1"/>
  <c r="C66" i="4"/>
  <c r="D66" i="4" s="1"/>
  <c r="F42" i="3"/>
  <c r="F34" i="3"/>
  <c r="G10" i="5" s="1"/>
  <c r="F37" i="3"/>
  <c r="F35" i="3"/>
  <c r="G33" i="3"/>
  <c r="G9" i="5"/>
  <c r="G12" i="5" s="1"/>
  <c r="E39" i="3"/>
  <c r="E38" i="3"/>
  <c r="E36" i="3"/>
  <c r="F13" i="5"/>
  <c r="F14" i="5" s="1"/>
  <c r="F15" i="5"/>
  <c r="F16" i="5" s="1"/>
  <c r="C40" i="3"/>
  <c r="C41" i="3" s="1"/>
  <c r="C45" i="3" s="1"/>
  <c r="D40" i="3"/>
  <c r="D41" i="3" s="1"/>
  <c r="D45" i="3" s="1"/>
  <c r="D47" i="3" s="1"/>
  <c r="F18" i="5" l="1"/>
  <c r="F19" i="5" s="1"/>
  <c r="E44" i="3" s="1"/>
  <c r="C47" i="3"/>
  <c r="E40" i="3"/>
  <c r="E41" i="3"/>
  <c r="E45" i="3" s="1"/>
  <c r="E47" i="3" s="1"/>
  <c r="G37" i="3"/>
  <c r="G35" i="3"/>
  <c r="C16" i="4"/>
  <c r="C28" i="4" s="1"/>
  <c r="H9" i="5"/>
  <c r="H12" i="5" s="1"/>
  <c r="G42" i="3"/>
  <c r="G34" i="3"/>
  <c r="H10" i="5" s="1"/>
  <c r="F38" i="3"/>
  <c r="F36" i="3"/>
  <c r="F39" i="3"/>
  <c r="G13" i="5"/>
  <c r="G14" i="5" s="1"/>
  <c r="G18" i="5" s="1"/>
  <c r="G19" i="5" s="1"/>
  <c r="F44" i="3" s="1"/>
  <c r="G15" i="5"/>
  <c r="G16" i="5" s="1"/>
  <c r="F40" i="3" l="1"/>
  <c r="F41" i="3" s="1"/>
  <c r="F45" i="3" s="1"/>
  <c r="C72" i="4"/>
  <c r="C73" i="4"/>
  <c r="G38" i="3"/>
  <c r="G36" i="3"/>
  <c r="G39" i="3"/>
  <c r="H15" i="5"/>
  <c r="H16" i="5" s="1"/>
  <c r="H13" i="5"/>
  <c r="H14" i="5" s="1"/>
  <c r="F47" i="3" l="1"/>
  <c r="H18" i="5"/>
  <c r="H19" i="5" s="1"/>
  <c r="G44" i="3" s="1"/>
  <c r="G40" i="3"/>
  <c r="C59" i="3"/>
  <c r="C60" i="3" s="1"/>
  <c r="C61" i="3" s="1"/>
  <c r="G41" i="3"/>
  <c r="G45" i="3" l="1"/>
  <c r="C51" i="3" l="1"/>
  <c r="C52" i="3" s="1"/>
  <c r="G47" i="3"/>
  <c r="C50" i="3" s="1"/>
  <c r="E18" i="7"/>
  <c r="D24" i="7"/>
  <c r="H8" i="7"/>
  <c r="D12" i="7"/>
  <c r="F11" i="7"/>
  <c r="H13" i="7"/>
  <c r="G13" i="7"/>
  <c r="I22" i="7"/>
  <c r="F23" i="7"/>
  <c r="F13" i="7"/>
  <c r="E19" i="7"/>
  <c r="G19" i="7"/>
  <c r="F8" i="7"/>
  <c r="C13" i="7"/>
  <c r="C10" i="7"/>
  <c r="H22" i="7"/>
  <c r="E23" i="7"/>
  <c r="I18" i="7"/>
  <c r="I10" i="7"/>
  <c r="D19" i="7"/>
  <c r="D23" i="7"/>
  <c r="D18" i="7"/>
  <c r="E21" i="7"/>
  <c r="E10" i="7"/>
  <c r="D10" i="7"/>
  <c r="G7" i="7"/>
  <c r="G21" i="7"/>
  <c r="D11" i="7"/>
  <c r="F20" i="7"/>
  <c r="I9" i="7"/>
  <c r="H9" i="7"/>
  <c r="G23" i="7"/>
  <c r="I20" i="7"/>
  <c r="C8" i="7"/>
  <c r="D7" i="7"/>
  <c r="G24" i="7"/>
  <c r="E22" i="7"/>
  <c r="D21" i="7"/>
  <c r="C12" i="7"/>
  <c r="I7" i="7"/>
  <c r="G18" i="7"/>
  <c r="I11" i="7"/>
  <c r="D9" i="7"/>
  <c r="H20" i="7"/>
  <c r="E11" i="7"/>
  <c r="G10" i="7"/>
  <c r="F19" i="7"/>
  <c r="E13" i="7"/>
  <c r="C9" i="7"/>
  <c r="G12" i="7"/>
  <c r="C21" i="7"/>
  <c r="G9" i="7"/>
  <c r="E24" i="7"/>
  <c r="I21" i="7"/>
  <c r="E20" i="7"/>
  <c r="D20" i="7"/>
  <c r="E7" i="7"/>
  <c r="C23" i="7"/>
  <c r="I8" i="7"/>
  <c r="H18" i="7"/>
  <c r="C19" i="7"/>
  <c r="E8" i="7"/>
  <c r="G11" i="7"/>
  <c r="D22" i="7"/>
  <c r="F7" i="7"/>
  <c r="C18" i="7"/>
  <c r="H11" i="7"/>
  <c r="H10" i="7"/>
  <c r="H7" i="7"/>
  <c r="I19" i="7"/>
  <c r="G20" i="7"/>
  <c r="C7" i="7"/>
  <c r="H24" i="7"/>
  <c r="C22" i="7"/>
  <c r="F21" i="7"/>
  <c r="H12" i="7"/>
  <c r="C11" i="7"/>
  <c r="H21" i="7"/>
  <c r="E12" i="7"/>
  <c r="I23" i="7"/>
  <c r="F22" i="7"/>
  <c r="F12" i="7"/>
  <c r="I13" i="7"/>
  <c r="H19" i="7"/>
  <c r="F10" i="7"/>
  <c r="G22" i="7"/>
  <c r="C24" i="7"/>
  <c r="G8" i="7"/>
  <c r="H23" i="7"/>
  <c r="I24" i="7"/>
  <c r="D13" i="7"/>
  <c r="F18" i="7"/>
  <c r="I12" i="7"/>
  <c r="D8" i="7"/>
  <c r="F9" i="7"/>
  <c r="F24" i="7"/>
  <c r="C20" i="7"/>
  <c r="E9" i="7"/>
  <c r="C58" i="3" l="1"/>
  <c r="C62" i="3" s="1"/>
  <c r="C53" i="3"/>
  <c r="C17" i="4" l="1"/>
  <c r="C54" i="3"/>
  <c r="C55" i="3" s="1"/>
  <c r="C16" i="1"/>
  <c r="C63" i="3"/>
  <c r="C64" i="3" s="1"/>
  <c r="C17" i="1" s="1"/>
  <c r="D17" i="1" s="1"/>
  <c r="C19" i="4" l="1"/>
  <c r="C20" i="4" s="1"/>
  <c r="B79" i="4"/>
  <c r="C21" i="1"/>
  <c r="D16" i="1"/>
  <c r="C10" i="1"/>
  <c r="C12" i="1" s="1"/>
  <c r="C11" i="1" s="1"/>
</calcChain>
</file>

<file path=xl/sharedStrings.xml><?xml version="1.0" encoding="utf-8"?>
<sst xmlns="http://schemas.openxmlformats.org/spreadsheetml/2006/main" count="507" uniqueCount="396">
  <si>
    <t>DISCLAIMER: This is a sample analysis for demonstration purposes only. It does not constitute investment advice.</t>
  </si>
  <si>
    <t>住友電気工業 (5802.T)</t>
  </si>
  <si>
    <t>Equity Research Report</t>
  </si>
  <si>
    <t>Company</t>
  </si>
  <si>
    <t>住友電気工業</t>
  </si>
  <si>
    <t>Ticker</t>
  </si>
  <si>
    <t>5802.T (TSE Prime)</t>
  </si>
  <si>
    <t>Sector</t>
  </si>
  <si>
    <t>非鉄金属</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</si>
  <si>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</si>
  <si>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</si>
  <si>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</si>
  <si>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</si>
  <si>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</si>
  <si>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</si>
  <si>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</si>
  <si>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</si>
  <si>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</si>
  <si>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</si>
  <si>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</si>
  <si>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</si>
  <si>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</si>
  <si>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</si>
  <si>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</si>
  <si>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</si>
  <si>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</si>
  <si>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</si>
  <si>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</si>
  <si>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</si>
  <si>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</si>
  <si>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</si>
  <si>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住友電気工業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</si>
  <si>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</si>
  <si>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</si>
  <si>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</si>
  <si>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</si>
  <si>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</si>
  <si>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</si>
  <si>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</si>
  <si>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</si>
  <si>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</si>
  <si>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</si>
  <si>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</si>
  <si>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</si>
  <si>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</si>
  <si>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</si>
  <si>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</si>
  <si>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</si>
  <si>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</si>
  <si>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</si>
  <si>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</si>
  <si>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</si>
  <si>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</si>
  <si>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</si>
  <si>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</si>
  <si>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</si>
  <si>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</si>
  <si>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</si>
  <si>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</si>
  <si>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</si>
  <si>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住友電気工業</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</si>
  <si>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</si>
  <si>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</si>
  <si>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</si>
  <si>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</si>
  <si>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</si>
  <si>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</si>
  <si>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</si>
  <si>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</si>
  <si>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</si>
  <si>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</si>
  <si>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</si>
  <si>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</si>
  <si>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</si>
  <si>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</si>
  <si>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</si>
  <si>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</si>
  <si>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</si>
  <si>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</si>
  <si>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</si>
  <si>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</si>
  <si>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</si>
  <si>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</si>
  <si>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</si>
  <si>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</si>
  <si>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</si>
  <si>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</si>
  <si>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</si>
  <si>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</si>
  <si>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</si>
  <si>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</si>
  <si>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</si>
  <si>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</si>
  <si>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</si>
  <si>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</si>
  <si>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</si>
  <si>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</si>
  <si>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</si>
  <si>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</si>
  <si>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</si>
  <si>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</si>
  <si>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</si>
  <si>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</si>
  <si>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</si>
  <si>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</si>
  <si>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</si>
  <si>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</si>
  <si>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</si>
  <si>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</si>
  <si>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</si>
  <si>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</si>
  <si>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</si>
  <si>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</si>
  <si>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</si>
  <si>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</si>
  <si>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</si>
  <si>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</si>
  <si>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</si>
  <si>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</si>
  <si>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</si>
  <si>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</si>
  <si>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</si>
  <si>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</si>
  <si>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</si>
  <si>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</si>
  <si>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住友電気工業 (5802.T)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</si>
  <si>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</si>
  <si>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</si>
  <si>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</si>
  <si>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</si>
  <si>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</si>
  <si>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</si>
  <si>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</si>
  <si>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</si>
  <si>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</si>
  <si>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</si>
  <si>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</si>
  <si>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</si>
  <si>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</si>
  <si>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</si>
  <si>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</si>
  <si>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</si>
  <si>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</si>
  <si>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</si>
  <si>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</si>
  <si>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</si>
  <si>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</si>
  <si>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</si>
  <si>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</si>
  <si>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</si>
  <si>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</si>
  <si>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</si>
  <si>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</si>
  <si>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</si>
  <si>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</si>
  <si>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</si>
  <si>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</si>
  <si>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</si>
  <si>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</si>
  <si>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</si>
  <si>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</si>
  <si>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</si>
  <si>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</si>
  <si>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</si>
  <si>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</si>
  <si>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</si>
  <si>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</si>
  <si>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</si>
  <si>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</si>
  <si>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</si>
  <si>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</si>
  <si>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</si>
  <si>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</si>
  <si>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</si>
  <si>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</si>
  <si>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</si>
  <si>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</si>
  <si>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住友電気工業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</si>
  <si>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</si>
  <si>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</si>
  <si>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</si>
  <si>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</si>
  <si>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</si>
  <si>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</si>
  <si>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</si>
  <si>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</si>
  <si>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</si>
  <si>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</si>
  <si>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</si>
  <si>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</si>
  <si>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</si>
  <si>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</si>
  <si>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</si>
  <si>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</si>
  <si>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</si>
  <si>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</si>
  <si>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</si>
  <si>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</si>
  <si>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</si>
  <si>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</si>
  <si>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</si>
  <si>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</si>
  <si>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</si>
  <si>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</si>
  <si>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</si>
  <si>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</si>
  <si>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</si>
  <si>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</si>
  <si>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</si>
  <si>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</si>
  <si>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</si>
  <si>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</si>
  <si>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Sumitomo Electric Industries, Ltd.</t>
  </si>
  <si>
    <t>5802.T</t>
  </si>
  <si>
    <t>Fujikura Ltd.</t>
  </si>
  <si>
    <t>5803.T</t>
  </si>
  <si>
    <t>Furukawa Electric Co., Ltd.</t>
  </si>
  <si>
    <t>5801.T</t>
  </si>
  <si>
    <t>DENSO Corporation</t>
  </si>
  <si>
    <t>6902.T</t>
  </si>
  <si>
    <t>Aisin Corporation</t>
  </si>
  <si>
    <t>7259.T</t>
  </si>
  <si>
    <t>Koito Manufacturing Co., Ltd.</t>
  </si>
  <si>
    <t>7276.T</t>
  </si>
  <si>
    <t>Statistics</t>
  </si>
  <si>
    <t>25th Percentile</t>
  </si>
  <si>
    <t>Median (50th)</t>
  </si>
  <si>
    <t>75th Percentile</t>
  </si>
  <si>
    <t>Implied Valuation for 住友電気工業</t>
  </si>
  <si>
    <t>住友電気工業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</si>
  <si>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</si>
  <si>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</si>
  <si>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</si>
  <si>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</si>
  <si>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</si>
  <si>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</si>
  <si>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</si>
  <si>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</si>
  <si>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</si>
  <si>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</si>
  <si>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</si>
  <si>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</si>
  <si>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</si>
  <si>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</si>
  <si>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</si>
  <si>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住友電気工業</t>
  </si>
  <si>
    <t>日付</t>
  </si>
  <si>
    <t>セル</t>
  </si>
  <si>
    <t>変更内容</t>
  </si>
  <si>
    <t>理由</t>
  </si>
  <si>
    <t>元の値</t>
  </si>
  <si>
    <t>状態</t>
  </si>
  <si>
    <t>2026-09-06</t>
  </si>
  <si>
    <t>-</t>
  </si>
  <si>
    <t>Generated by pipeline on 2026-09-06 10:54,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</si>
  <si>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</si>
  <si>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</si>
  <si>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</si>
  <si>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</si>
  <si>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</si>
  <si>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</si>
  <si>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</si>
  <si>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</si>
  <si>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</si>
  <si>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</si>
  <si>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</si>
  <si>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</si>
  <si>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</si>
  <si>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</si>
  <si>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</si>
  <si>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6,654,286百万円。■テンプレートの自動規則(&gt;=1兆円 -&gt; 0.0%、&gt;=1,000億円 -&gt; 1.5%)とは異なる値であり、明示指定で上書きしている。</t>
  </si>
  <si>
    <t>テンプレ自動値</t>
  </si>
  <si>
    <t>DCF Model!C8</t>
  </si>
  <si>
    <t>Beta = 0.86</t>
  </si>
  <si>
    <t>yfinance実測 **0.862** はクランプ域 [0.6, 1.75] の**内側**のため素通し（置換なし）。</t>
  </si>
  <si>
    <t>yfinance実測 0.862</t>
  </si>
  <si>
    <t>DCF Model!C6</t>
  </si>
  <si>
    <t>Effective Tax Rate = 25%</t>
  </si>
  <si>
    <t>バッチ共通の既定値(v2 §1-3)。当社の実績税負担率を個別に検証したものではない。</t>
  </si>
  <si>
    <t>テンプレ既定 30%</t>
  </si>
  <si>
    <t>推定</t>
  </si>
  <si>
    <t>DCF Model!C11</t>
  </si>
  <si>
    <t>After-tax Cost of Debt = 2.46%(実績ベース)</t>
  </si>
  <si>
    <t>支払利息 23,717百万円 ÷ 平均有利子負債 ((756,562 + 689,186)/2)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</si>
  <si>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</si>
  <si>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</si>
  <si>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</si>
  <si>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</si>
  <si>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</si>
  <si>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</si>
  <si>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</si>
  <si>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4.8x</t>
  </si>
  <si>
    <t>Peer 5社の実測EV/EBITDA中央値。 自社の現在倍率 11.26x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</si>
  <si>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</si>
  <si>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</si>
  <si>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</si>
  <si>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</si>
  <si>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</si>
  <si>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**追補8 §AE の rework wave により Base を再設計**</t>
  </si>
  <si>
    <t>【追補8 §AE の rework wave（第8セッション）】追補7 §Y の単調性判定と、追補8 §AE-2 が確定した方向別の定義に従って **Base を再設計**した。■実績OPM: 0.04% → 0.05% → 0.07% → 0.08%。**判定: 単調増加**。■**適用ルール: 単調増加 → 直近水準の維持** により Base 到達OPM = **8.18%**（旧: 7.09%、差 +1.09pt）。■**平均回帰（§4-4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</si>
  <si>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</si>
  <si>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</si>
  <si>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</si>
  <si>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</si>
  <si>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</si>
  <si>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</si>
  <si>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</si>
  <si>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71 / DIH 90 / DPO 47 日</t>
  </si>
  <si>
    <t>実績4期の平均。Downside では運転資本の悪化を織り込み DSO/DIH を延ばし DPO を縮めた。</t>
  </si>
  <si>
    <t>Comps Analysis</t>
  </si>
  <si>
    <t>Peer 5社 = 5803 フジクラ / 5801 古河電工 / 6902 デンソー / 7259 アイシン / 7276 小糸製作所</t>
  </si>
  <si>
    <t>電線・自動車部品で事業比較可能性を優先。■**Peer の倍率が二極化している**: 電線系の 5803 フジクラ **38.50x** / 5801 古河電工 **27.69x**（AI・データセンター向け需要による再評価）に対し、自動車部品系は 6902 デンソー 4.76x / 7259 アイシン 3.37x / 7276 小糸 4.39x。**中央値 4.76x は自動車部品クラスタの値**であり、当社の電線事業のオプション価値を織り込んでいない。自社倍率 11.26x が両クラスタの中間にあるのは、当社が実際に両方の事業を持つためである。■自動車関連が売上の過半を占めることから、**保守側（自動車部品クラスタ）の中央値を採用する設計判断**とした。■6201 豊田自動織機 はトヨタによる非公開化で yfinance が空を返すため Peer から除外した。</t>
  </si>
  <si>
    <t>Executive Summary!C10 / Target</t>
  </si>
  <si>
    <t>Target Price = 844円 = PGM 849円 と Exit 838円 の2本平均。Comps 2本(EV/EBITDA 2,015円 / PER 1,543円)は [参考・Target不算入]</t>
  </si>
  <si>
    <t>メモ§2 の規約どおり。validate チェック14 PASS(C10 が C16:C17 のみを平均)。 ■**追補8 §AE の rework 後の値に更新**: Target 977円 / SELL / -54.2%（rework 前 844円）。</t>
  </si>
  <si>
    <t>全体(納品状態)</t>
  </si>
  <si>
    <t>本ファイルは DRAFT。_FINAL は付けない</t>
  </si>
  <si>
    <t>バッチモードでの機械生成物であり人間の検証を経ていない。FINAL化は手順書v2 §6 に従い検証後に行う。</t>
  </si>
  <si>
    <t>DRAFT</t>
  </si>
  <si>
    <t>全体(未解決)</t>
  </si>
  <si>
    <t>**Peer 倍率が二極化しており、採用した 4.76x は電線事業のオプション価値を織り込んでいない**</t>
  </si>
  <si>
    <t>電線系 Peer は 27.69〜38.50x、自動車部品系は 3.37〜4.76x。当社は両方の事業を持ち、自社倍率 11.26x は中間にある。**保守側を採ったため Target −60.4% は下方に偏っている可能性が高い**。FINAL化時は電線・光ファイバ事業のセグメント別評価（SOTP）を検討すること。**本銘柄の最重要レビュー項目**。</t>
  </si>
  <si>
    <t>未解決</t>
  </si>
  <si>
    <t>§Y を単調上昇に適用した点が従来運用と異なる</t>
  </si>
  <si>
    <t>第4〜6セッションでは単調上昇に特則を適用していなかった（4578 / 6501 / 6503 / 6701）。追補7 §Y に従い本銘柄では適用したが、**既存 done 銘柄には遡及していない**（バッチレポート §19 参照）。</t>
  </si>
  <si>
    <t>Pipeline Metadata (do not edit — read by scripts/validate_output.py)</t>
  </si>
  <si>
    <t>key</t>
  </si>
  <si>
    <t>value</t>
  </si>
  <si>
    <t>auto_log_entries</t>
  </si>
  <si>
    <t>1</t>
  </si>
  <si>
    <t>capex_pct_basis</t>
  </si>
  <si>
    <t>hist_3yr_avg</t>
  </si>
  <si>
    <t>capex_pct_c5</t>
  </si>
  <si>
    <t>0.0423</t>
  </si>
  <si>
    <t>capex_pct_hist3yr</t>
  </si>
  <si>
    <t>0.042305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</si>
  <si>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</si>
  <si>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</si>
  <si>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</si>
  <si>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</si>
  <si>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</si>
  <si>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</si>
  <si>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</si>
  <si>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</si>
  <si>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</si>
  <si>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</si>
  <si>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</si>
  <si>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</si>
  <si>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</si>
  <si>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</si>
  <si>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</si>
  <si>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</si>
  <si>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</si>
  <si>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</si>
  <si>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</si>
  <si>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23,717 (expense 23,717 + fees 0) / avg debt 722,874 (debt_beginning/debt_ending) = 0.032809 pre-tax -&gt; 0.024600 after-tax</t>
  </si>
  <si>
    <t>cost_of_debt_at_c11</t>
  </si>
  <si>
    <t>0.0246</t>
  </si>
  <si>
    <t>cost_of_debt_avg_debt</t>
  </si>
  <si>
    <t>722874.0</t>
  </si>
  <si>
    <t>cost_of_debt_basis</t>
  </si>
  <si>
    <t>actual</t>
  </si>
  <si>
    <t>cost_of_debt_interest</t>
  </si>
  <si>
    <t>23717.0</t>
  </si>
  <si>
    <t>cost_of_debt_pretax</t>
  </si>
  <si>
    <t>0.032809313932995236</t>
  </si>
  <si>
    <t>da_pct_basis</t>
  </si>
  <si>
    <t>assumption</t>
  </si>
  <si>
    <t>da_pct_c18</t>
  </si>
  <si>
    <t>0.0416</t>
  </si>
  <si>
    <t>da_pct_hist3yr</t>
  </si>
  <si>
    <t>0.043993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</si>
  <si>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</si>
  <si>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</si>
  <si>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</si>
  <si>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</si>
  <si>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</si>
  <si>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</si>
  <si>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</si>
  <si>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</si>
  <si>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</si>
  <si>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10:54:54</t>
  </si>
  <si>
    <t>ltm_revenue_c20</t>
  </si>
  <si>
    <t>5110171.0</t>
  </si>
  <si>
    <t>ltm_revenue_source</t>
  </si>
  <si>
    <t>latest FY (no LTM)</t>
  </si>
  <si>
    <t>narrative_tokens_used</t>
  </si>
  <si>
    <t>reverse_dcf_sheet</t>
  </si>
  <si>
    <t>op0=418,173(FY2026) peak=418,173(FY2026) peak_opm=0.0818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</si>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</sst>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2133</v>
      </c>
    </row>
    <row r="10" spans="2:5" ht="14" customHeight="1" x14ac:dyDescent="0.3">
      <c r="B10" s="4" t="s">
        <v>10</v>
      </c>
      <c r="C10" s="5">
        <f>IF(COUNT(C16:C17)=0,"N/A",ROUND(AVERAGE(C16:C17),0))</f>
        <v>977</v>
      </c>
    </row>
    <row r="11" spans="2:5" ht="14" customHeight="1" x14ac:dyDescent="0.3">
      <c r="B11" s="4" t="s">
        <v>11</v>
      </c>
      <c r="C11" s="6" t="str">
        <f>IF(NOT(ISNUMBER(C12)),"N/A",IF(C12&gt;0.15,"BUY",IF(C12&gt;0.05,"HOLD","SELL")))</f>
        <v>SELL</v>
      </c>
    </row>
    <row r="12" spans="2:5" ht="14" customHeight="1" x14ac:dyDescent="0.3">
      <c r="B12" s="4" t="s">
        <v>12</v>
      </c>
      <c r="C12" s="7">
        <f>IF(ISNUMBER(C10),(C10-C9)/C9,"N/A")</f>
        <v>-0.54195968120018756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1013</v>
      </c>
      <c r="D16" s="7">
        <f>IF(ISNUMBER(C16),(C16-C9)/C9,"N/A")</f>
        <v>-0.52508204406938586</v>
      </c>
    </row>
    <row r="17" spans="2:5" ht="13.5" customHeight="1" x14ac:dyDescent="0.25">
      <c r="B17" t="s">
        <v>18</v>
      </c>
      <c r="C17" s="11">
        <f>IF('DCF Model'!C62&lt;'DCF Model'!C16,"INVALID (EV &lt; net debt)",'DCF Model'!C64)</f>
        <v>940</v>
      </c>
      <c r="D17" s="7">
        <f>IF(ISNUMBER(C17),(C17-C9)/C9,"N/A")</f>
        <v>-0.55930614158462255</v>
      </c>
    </row>
    <row r="18" spans="2:5" ht="13.5" customHeight="1" x14ac:dyDescent="0.25">
      <c r="B18" t="s">
        <v>19</v>
      </c>
      <c r="C18" s="11">
        <f>'Comps Analysis'!C27</f>
        <v>817</v>
      </c>
      <c r="D18" s="7">
        <f>IF(ISNUMBER(C18),(C18-C9)/C9,"N/A")</f>
        <v>-0.61697140178152832</v>
      </c>
    </row>
    <row r="19" spans="2:5" ht="13.5" customHeight="1" x14ac:dyDescent="0.25">
      <c r="B19" t="s">
        <v>20</v>
      </c>
      <c r="C19" s="11">
        <f>'Comps Analysis'!C28</f>
        <v>4417</v>
      </c>
      <c r="D19" s="7">
        <f>IF(ISNUMBER(C19),(C19-C9)/C9,"N/A")</f>
        <v>1.0707923112986404</v>
      </c>
    </row>
    <row r="20" spans="2:5" ht="14" customHeight="1" x14ac:dyDescent="0.3">
      <c r="B20" s="46" t="s">
        <v>21</v>
      </c>
      <c r="C20" s="45"/>
      <c r="D20" s="45"/>
      <c r="E20" s="45"/>
    </row>
    <row r="21" spans="2:5" ht="14" customHeight="1" x14ac:dyDescent="0.3">
      <c r="B21" s="4" t="s">
        <v>22</v>
      </c>
      <c r="C21" s="6" t="str">
        <f>IF(COUNT(C16:C17)=0,"N/A",MIN(C16:C17)&amp;" - "&amp;MAX(C16:C17))</f>
        <v>940 - 1013</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4005561</v>
      </c>
      <c r="D6" s="5">
        <v>4402814</v>
      </c>
      <c r="E6" s="5">
        <v>4679789</v>
      </c>
      <c r="F6" s="5">
        <v>5110171</v>
      </c>
    </row>
    <row r="7" spans="2:6" ht="14" customHeight="1" x14ac:dyDescent="0.3">
      <c r="B7" s="4" t="s">
        <v>38</v>
      </c>
      <c r="C7" s="5">
        <v>3335585</v>
      </c>
      <c r="D7" s="5">
        <v>3635226</v>
      </c>
      <c r="E7" s="5">
        <v>3799663</v>
      </c>
      <c r="F7" s="5">
        <v>4076140</v>
      </c>
    </row>
    <row r="8" spans="2:6" ht="14" customHeight="1" x14ac:dyDescent="0.3">
      <c r="B8" s="4" t="s">
        <v>39</v>
      </c>
      <c r="C8" s="5">
        <f>C6-C7</f>
        <v>669976</v>
      </c>
      <c r="D8" s="5">
        <f>D6-D7</f>
        <v>767588</v>
      </c>
      <c r="E8" s="5">
        <f>E6-E7</f>
        <v>880126</v>
      </c>
      <c r="F8" s="5">
        <f>F6-F7</f>
        <v>1034031</v>
      </c>
    </row>
    <row r="9" spans="2:6" ht="13.5" customHeight="1" x14ac:dyDescent="0.25">
      <c r="B9" t="s">
        <v>40</v>
      </c>
      <c r="C9" s="7">
        <f>C8/C6</f>
        <v>0.16726146474863321</v>
      </c>
      <c r="D9" s="7">
        <f>D8/D6</f>
        <v>0.17434031962285937</v>
      </c>
      <c r="E9" s="7">
        <f>E8/E6</f>
        <v>0.18806959031699932</v>
      </c>
      <c r="F9" s="7">
        <f>F8/F6</f>
        <v>0.20234763181114682</v>
      </c>
    </row>
    <row r="10" spans="2:6" ht="14" customHeight="1" x14ac:dyDescent="0.3">
      <c r="B10" s="4" t="s">
        <v>41</v>
      </c>
      <c r="C10" s="5">
        <v>492533</v>
      </c>
      <c r="D10" s="5">
        <v>540970</v>
      </c>
      <c r="E10" s="5">
        <v>559463</v>
      </c>
      <c r="F10" s="5">
        <v>615858</v>
      </c>
    </row>
    <row r="11" spans="2:6" ht="14" customHeight="1" x14ac:dyDescent="0.3">
      <c r="B11" s="4" t="s">
        <v>42</v>
      </c>
      <c r="C11" s="5">
        <v>177443</v>
      </c>
      <c r="D11" s="5">
        <v>226618</v>
      </c>
      <c r="E11" s="5">
        <v>320663</v>
      </c>
      <c r="F11" s="5">
        <v>418173</v>
      </c>
    </row>
    <row r="12" spans="2:6" ht="14" customHeight="1" x14ac:dyDescent="0.3">
      <c r="B12" s="4" t="s">
        <v>43</v>
      </c>
      <c r="C12" s="5">
        <v>112654</v>
      </c>
      <c r="D12" s="5">
        <v>149723</v>
      </c>
      <c r="E12" s="5">
        <v>193771</v>
      </c>
      <c r="F12" s="5">
        <v>369508</v>
      </c>
    </row>
    <row r="13" spans="2:6" ht="13.5" customHeight="1" x14ac:dyDescent="0.25">
      <c r="B13" t="s">
        <v>44</v>
      </c>
      <c r="C13" s="7">
        <f>C11/C6</f>
        <v>4.429916308851619E-2</v>
      </c>
      <c r="D13" s="7">
        <f>D11/D6</f>
        <v>5.1471172754515633E-2</v>
      </c>
      <c r="E13" s="7">
        <f>E11/E6</f>
        <v>6.852082433631089E-2</v>
      </c>
      <c r="F13" s="7">
        <f>F11/F6</f>
        <v>8.1831508182407198E-2</v>
      </c>
    </row>
    <row r="14" spans="2:6" ht="13.5" customHeight="1" x14ac:dyDescent="0.25">
      <c r="B14" t="s">
        <v>45</v>
      </c>
      <c r="C14" s="7">
        <f>C12/C6</f>
        <v>2.8124400052826556E-2</v>
      </c>
      <c r="D14" s="7">
        <f>D12/D6</f>
        <v>3.4006206030961106E-2</v>
      </c>
      <c r="E14" s="7">
        <f>E12/E6</f>
        <v>4.1405926634726482E-2</v>
      </c>
      <c r="F14" s="7">
        <f>F12/F6</f>
        <v>7.2308343497702918E-2</v>
      </c>
    </row>
    <row r="15" spans="2:6" ht="13.5" customHeight="1" x14ac:dyDescent="0.25">
      <c r="B15" t="s">
        <v>46</v>
      </c>
      <c r="C15" t="s">
        <v>47</v>
      </c>
      <c r="D15" s="7">
        <f>(D6-C6)/C6</f>
        <v>9.9175371439855747E-2</v>
      </c>
      <c r="E15" s="7">
        <f>(E6-D6)/D6</f>
        <v>6.2908630707542948E-2</v>
      </c>
      <c r="F15" s="7">
        <f>(F6-E6)/E6</f>
        <v>9.1966112147363915E-2</v>
      </c>
    </row>
    <row r="16" spans="2:6" ht="13.5" customHeight="1" x14ac:dyDescent="0.25">
      <c r="B16" t="s">
        <v>48</v>
      </c>
      <c r="C16" t="s">
        <v>47</v>
      </c>
      <c r="D16" s="7">
        <f>(D11-C11)/C11</f>
        <v>0.27713124778097753</v>
      </c>
      <c r="E16" s="7">
        <f>(E11-D11)/D11</f>
        <v>0.41499351331315254</v>
      </c>
      <c r="F16" s="7">
        <f>(F11-E11)/E11</f>
        <v>0.30408871619114147</v>
      </c>
    </row>
    <row r="18" spans="2:6" ht="14" customHeight="1" x14ac:dyDescent="0.3">
      <c r="B18" s="3" t="s">
        <v>49</v>
      </c>
    </row>
    <row r="19" spans="2:6" ht="14" customHeight="1" x14ac:dyDescent="0.3">
      <c r="B19" s="4" t="s">
        <v>50</v>
      </c>
      <c r="C19" s="5">
        <v>265191</v>
      </c>
      <c r="D19" s="5">
        <v>393465</v>
      </c>
      <c r="E19" s="5">
        <v>402253</v>
      </c>
      <c r="F19" s="5">
        <v>425192</v>
      </c>
    </row>
    <row r="20" spans="2:6" ht="14" customHeight="1" x14ac:dyDescent="0.3">
      <c r="B20" s="4" t="s">
        <v>51</v>
      </c>
      <c r="C20" s="5">
        <v>184467</v>
      </c>
      <c r="D20" s="5">
        <v>179323</v>
      </c>
      <c r="E20" s="5">
        <v>199824</v>
      </c>
      <c r="F20" s="5">
        <v>222228</v>
      </c>
    </row>
    <row r="21" spans="2:6" ht="14" customHeight="1" x14ac:dyDescent="0.3">
      <c r="B21" s="4" t="s">
        <v>52</v>
      </c>
      <c r="C21" s="5">
        <f>C19-C20</f>
        <v>80724</v>
      </c>
      <c r="D21" s="5">
        <f>D19-D20</f>
        <v>214142</v>
      </c>
      <c r="E21" s="5">
        <f>E19-E20</f>
        <v>202429</v>
      </c>
      <c r="F21" s="5">
        <f>F19-F20</f>
        <v>202964</v>
      </c>
    </row>
    <row r="22" spans="2:6" ht="13.5" customHeight="1" x14ac:dyDescent="0.25">
      <c r="B22" t="s">
        <v>53</v>
      </c>
      <c r="C22" s="7">
        <f>C21/C6</f>
        <v>2.0152982316334715E-2</v>
      </c>
      <c r="D22" s="7">
        <f>D21/D6</f>
        <v>4.8637530452115399E-2</v>
      </c>
      <c r="E22" s="7">
        <f>E21/E6</f>
        <v>4.3256010046606799E-2</v>
      </c>
      <c r="F22" s="7">
        <f>F21/F6</f>
        <v>3.9717653284009481E-2</v>
      </c>
    </row>
    <row r="23" spans="2:6" ht="13.5" customHeight="1" x14ac:dyDescent="0.25">
      <c r="B23" t="s">
        <v>54</v>
      </c>
      <c r="C23" s="7">
        <f>C20/C6</f>
        <v>4.6052725198792381E-2</v>
      </c>
      <c r="D23" s="7">
        <f>D20/D6</f>
        <v>4.0729179111359239E-2</v>
      </c>
      <c r="E23" s="7">
        <f>E20/E6</f>
        <v>4.2699361018199752E-2</v>
      </c>
      <c r="F23" s="7">
        <f>F20/F6</f>
        <v>4.3487390148000918E-2</v>
      </c>
    </row>
    <row r="25" spans="2:6" ht="14" customHeight="1" x14ac:dyDescent="0.3">
      <c r="B25" s="3" t="s">
        <v>55</v>
      </c>
    </row>
    <row r="26" spans="2:6" ht="14" customHeight="1" x14ac:dyDescent="0.3">
      <c r="B26" s="4" t="s">
        <v>56</v>
      </c>
      <c r="C26" s="5">
        <v>279432</v>
      </c>
      <c r="D26" s="5">
        <v>268273</v>
      </c>
      <c r="E26" s="5">
        <v>295903</v>
      </c>
      <c r="F26" s="5">
        <v>236982</v>
      </c>
    </row>
    <row r="27" spans="2:6" ht="14" customHeight="1" x14ac:dyDescent="0.3">
      <c r="B27" s="4" t="s">
        <v>57</v>
      </c>
      <c r="C27" s="5">
        <v>891679</v>
      </c>
      <c r="D27" s="5">
        <v>725044</v>
      </c>
      <c r="E27" s="5">
        <v>655575</v>
      </c>
      <c r="F27" s="5">
        <v>512269</v>
      </c>
    </row>
    <row r="28" spans="2:6" ht="14" customHeight="1" x14ac:dyDescent="0.3">
      <c r="B28" s="4" t="s">
        <v>58</v>
      </c>
      <c r="C28" s="5">
        <f>C27-C26</f>
        <v>612247</v>
      </c>
      <c r="D28" s="5">
        <f>D27-D26</f>
        <v>456771</v>
      </c>
      <c r="E28" s="5">
        <f>E27-E26</f>
        <v>359672</v>
      </c>
      <c r="F28" s="5">
        <f>F27-F26</f>
        <v>275287</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4.2299999999999997E-2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0.86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2.46E-2</v>
      </c>
    </row>
    <row r="12" spans="2:7" ht="14" customHeight="1" x14ac:dyDescent="0.3">
      <c r="B12" s="4" t="s">
        <v>69</v>
      </c>
      <c r="C12" s="13">
        <v>6.8000000000000005E-2</v>
      </c>
    </row>
    <row r="13" spans="2:7" ht="14" customHeight="1" x14ac:dyDescent="0.3">
      <c r="B13" s="4" t="s">
        <v>70</v>
      </c>
      <c r="C13" s="7">
        <v>0.01</v>
      </c>
    </row>
    <row r="14" spans="2:7" ht="14" customHeight="1" x14ac:dyDescent="0.3">
      <c r="B14" s="4" t="s">
        <v>71</v>
      </c>
      <c r="C14" s="14">
        <v>4.8</v>
      </c>
    </row>
    <row r="15" spans="2:7" ht="14" customHeight="1" x14ac:dyDescent="0.3">
      <c r="B15" s="4" t="s">
        <v>72</v>
      </c>
      <c r="C15" s="15">
        <v>3119679500</v>
      </c>
    </row>
    <row r="16" spans="2:7" ht="14" customHeight="1" x14ac:dyDescent="0.3">
      <c r="B16" s="4" t="s">
        <v>73</v>
      </c>
      <c r="C16" s="5">
        <v>452204</v>
      </c>
    </row>
    <row r="17" spans="2:7" ht="14" customHeight="1" x14ac:dyDescent="0.3">
      <c r="B17" s="4" t="s">
        <v>74</v>
      </c>
      <c r="C17" s="5">
        <v>5110171</v>
      </c>
    </row>
    <row r="18" spans="2:7" ht="14" customHeight="1" x14ac:dyDescent="0.3">
      <c r="B18" s="4" t="s">
        <v>75</v>
      </c>
      <c r="C18" s="7">
        <v>4.1599999999999998E-2</v>
      </c>
    </row>
    <row r="19" spans="2:7" ht="14" customHeight="1" x14ac:dyDescent="0.3">
      <c r="B19" s="4" t="s">
        <v>76</v>
      </c>
      <c r="C19" s="12">
        <v>1</v>
      </c>
    </row>
    <row r="20" spans="2:7" ht="14" customHeight="1" x14ac:dyDescent="0.3">
      <c r="B20" s="4" t="s">
        <v>77</v>
      </c>
      <c r="C20" s="5">
        <v>5110171</v>
      </c>
    </row>
    <row r="22" spans="2:7" ht="14" customHeight="1" x14ac:dyDescent="0.3">
      <c r="B22" s="8" t="s">
        <v>78</v>
      </c>
      <c r="C22" s="9"/>
      <c r="D22" s="9"/>
      <c r="E22" s="9"/>
      <c r="F22" s="9"/>
      <c r="G22" s="9"/>
    </row>
    <row r="23" spans="2:7" ht="14" customHeight="1" x14ac:dyDescent="0.3">
      <c r="B23" s="4" t="s">
        <v>79</v>
      </c>
      <c r="C23" s="16">
        <f>C7+C8*C9+C10</f>
        <v>9.5599999999999991E-2</v>
      </c>
    </row>
    <row r="24" spans="2:7" ht="14" customHeight="1" x14ac:dyDescent="0.3">
      <c r="B24" s="4" t="s">
        <v>80</v>
      </c>
      <c r="C24" s="16">
        <f>1/(1+C12)</f>
        <v>0.93632958801498123</v>
      </c>
    </row>
    <row r="25" spans="2:7" ht="14" customHeight="1" x14ac:dyDescent="0.3">
      <c r="B25" s="4" t="s">
        <v>81</v>
      </c>
      <c r="C25" s="16">
        <f>C12/(1+C12)</f>
        <v>6.3670411985018729E-2</v>
      </c>
    </row>
    <row r="26" spans="2:7" ht="14" customHeight="1" x14ac:dyDescent="0.3">
      <c r="B26" s="4" t="s">
        <v>82</v>
      </c>
      <c r="C26" s="16">
        <f>C23*C24+C11*C25</f>
        <v>9.1079400749063663E-2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91</v>
      </c>
      <c r="C31" s="18">
        <f>CHOOSE($D$27,C76,C77,C78,C79,C80)</f>
        <v>0.79800000000000004</v>
      </c>
      <c r="D31" s="18">
        <f>CHOOSE($D$27,D76,D77,D78,D79,D80)</f>
        <v>0.79800000000000004</v>
      </c>
      <c r="E31" s="18">
        <f>CHOOSE($D$27,E76,E77,E78,E79,E80)</f>
        <v>0.79800000000000004</v>
      </c>
      <c r="F31" s="18">
        <f>CHOOSE($D$27,F76,F77,F78,F79,F80)</f>
        <v>0.79800000000000004</v>
      </c>
      <c r="G31" s="18">
        <f>CHOOSE($D$27,G76,G77,G78,G79,G80)</f>
        <v>0.79800000000000004</v>
      </c>
    </row>
    <row r="32" spans="2:7" ht="14" customHeight="1" x14ac:dyDescent="0.3">
      <c r="B32" s="4" t="s">
        <v>92</v>
      </c>
      <c r="C32" s="18">
        <f>CHOOSE($D$27,C83,C84,C85,C86,C87)</f>
        <v>0.120168</v>
      </c>
      <c r="D32" s="18">
        <f>CHOOSE($D$27,D83,D84,D85,D86,D87)</f>
        <v>0.120168</v>
      </c>
      <c r="E32" s="18">
        <f>CHOOSE($D$27,E83,E84,E85,E86,E87)</f>
        <v>0.120168</v>
      </c>
      <c r="F32" s="18">
        <f>CHOOSE($D$27,F83,F84,F85,F86,F87)</f>
        <v>0.120168</v>
      </c>
      <c r="G32" s="18">
        <f>CHOOSE($D$27,G83,G84,G85,G86,G87)</f>
        <v>0.120168</v>
      </c>
    </row>
    <row r="33" spans="2:7" ht="14" customHeight="1" x14ac:dyDescent="0.3">
      <c r="B33" s="4" t="s">
        <v>37</v>
      </c>
      <c r="C33" s="5">
        <f>C17*(1+C30)</f>
        <v>5314577.84</v>
      </c>
      <c r="D33" s="5">
        <f>C33*(1+D30)</f>
        <v>5500588.0643999996</v>
      </c>
      <c r="E33" s="5">
        <f>D33*(1+E30)</f>
        <v>5665605.706332</v>
      </c>
      <c r="F33" s="5">
        <f>E33*(1+F30)</f>
        <v>5835573.8775219601</v>
      </c>
      <c r="G33" s="5">
        <f>F33*(1+G30)</f>
        <v>5981463.2244600086</v>
      </c>
    </row>
    <row r="34" spans="2:7" ht="14" customHeight="1" x14ac:dyDescent="0.3">
      <c r="B34" s="4" t="s">
        <v>38</v>
      </c>
      <c r="C34" s="5">
        <f>C33*C31</f>
        <v>4241033.11632</v>
      </c>
      <c r="D34" s="5">
        <f>D33*D31</f>
        <v>4389469.2753911996</v>
      </c>
      <c r="E34" s="5">
        <f>E33*E31</f>
        <v>4521153.3536529364</v>
      </c>
      <c r="F34" s="5">
        <f>F33*F31</f>
        <v>4656787.9542625248</v>
      </c>
      <c r="G34" s="5">
        <f>G33*G31</f>
        <v>4773207.6531190872</v>
      </c>
    </row>
    <row r="35" spans="2:7" ht="14" customHeight="1" x14ac:dyDescent="0.3">
      <c r="B35" s="4" t="s">
        <v>39</v>
      </c>
      <c r="C35" s="19">
        <f>C33-C34</f>
        <v>1073544.7236799998</v>
      </c>
      <c r="D35" s="19">
        <f>D33-D34</f>
        <v>1111118.7890087999</v>
      </c>
      <c r="E35" s="19">
        <f>E33-E34</f>
        <v>1144452.3526790636</v>
      </c>
      <c r="F35" s="19">
        <f>F33-F34</f>
        <v>1178785.9232594352</v>
      </c>
      <c r="G35" s="19">
        <f>G33-G34</f>
        <v>1208255.5713409213</v>
      </c>
    </row>
    <row r="36" spans="2:7" ht="14" customHeight="1" x14ac:dyDescent="0.3">
      <c r="B36" s="4" t="s">
        <v>40</v>
      </c>
      <c r="C36" s="7">
        <f>C35/C33</f>
        <v>0.20199999999999999</v>
      </c>
      <c r="D36" s="7">
        <f>D35/D33</f>
        <v>0.20200000000000001</v>
      </c>
      <c r="E36" s="7">
        <f>E35/E33</f>
        <v>0.20199999999999993</v>
      </c>
      <c r="F36" s="7">
        <f>F35/F33</f>
        <v>0.20199999999999987</v>
      </c>
      <c r="G36" s="7">
        <f>G35/G33</f>
        <v>0.20199999999999993</v>
      </c>
    </row>
    <row r="37" spans="2:7" ht="14" customHeight="1" x14ac:dyDescent="0.3">
      <c r="B37" s="4" t="s">
        <v>93</v>
      </c>
      <c r="C37" s="5">
        <f>C33*C32</f>
        <v>638642.18987711996</v>
      </c>
      <c r="D37" s="5">
        <f>D33*D32</f>
        <v>660994.66652281908</v>
      </c>
      <c r="E37" s="5">
        <f>E33*E32</f>
        <v>680824.50651850377</v>
      </c>
      <c r="F37" s="5">
        <f>F33*F32</f>
        <v>701249.24171405891</v>
      </c>
      <c r="G37" s="5">
        <f>G33*G32</f>
        <v>718780.47275691025</v>
      </c>
    </row>
    <row r="38" spans="2:7" ht="14" customHeight="1" x14ac:dyDescent="0.3">
      <c r="B38" s="4" t="s">
        <v>94</v>
      </c>
      <c r="C38" s="7">
        <f>(C35-C37)/C33</f>
        <v>8.1831999999999974E-2</v>
      </c>
      <c r="D38" s="7">
        <f>(D35-D37)/D33</f>
        <v>8.1832000000000016E-2</v>
      </c>
      <c r="E38" s="7">
        <f>(E35-E37)/E33</f>
        <v>8.1831999999999919E-2</v>
      </c>
      <c r="F38" s="7">
        <f>(F35-F37)/F33</f>
        <v>8.1831999999999877E-2</v>
      </c>
      <c r="G38" s="7">
        <f>(G35-G37)/G33</f>
        <v>8.1831999999999946E-2</v>
      </c>
    </row>
    <row r="39" spans="2:7" ht="14" customHeight="1" x14ac:dyDescent="0.3">
      <c r="B39" s="4" t="s">
        <v>95</v>
      </c>
      <c r="C39" s="19">
        <f>C35-C37</f>
        <v>434902.53380287986</v>
      </c>
      <c r="D39" s="19">
        <f>D35-D37</f>
        <v>450124.12248598086</v>
      </c>
      <c r="E39" s="19">
        <f>E35-E37</f>
        <v>463627.8461605598</v>
      </c>
      <c r="F39" s="19">
        <f>F35-F37</f>
        <v>477536.68154537631</v>
      </c>
      <c r="G39" s="19">
        <f>G35-G37</f>
        <v>489475.09858401108</v>
      </c>
    </row>
    <row r="40" spans="2:7" ht="14" customHeight="1" x14ac:dyDescent="0.3">
      <c r="B40" s="4" t="s">
        <v>96</v>
      </c>
      <c r="C40" s="5">
        <f>MAX(0,C39*C6)</f>
        <v>108725.63345071996</v>
      </c>
      <c r="D40" s="5">
        <f>MAX(0,D39*C6)</f>
        <v>112531.03062149521</v>
      </c>
      <c r="E40" s="5">
        <f>MAX(0,E39*C6)</f>
        <v>115906.96154013995</v>
      </c>
      <c r="F40" s="5">
        <f>MAX(0,F39*C6)</f>
        <v>119384.17038634408</v>
      </c>
      <c r="G40" s="5">
        <f>MAX(0,G39*C6)</f>
        <v>122368.77464600277</v>
      </c>
    </row>
    <row r="41" spans="2:7" ht="14" customHeight="1" x14ac:dyDescent="0.3">
      <c r="B41" s="4" t="s">
        <v>97</v>
      </c>
      <c r="C41" s="19">
        <f>C39-C40</f>
        <v>326176.90035215986</v>
      </c>
      <c r="D41" s="19">
        <f>D39-D40</f>
        <v>337593.09186448564</v>
      </c>
      <c r="E41" s="19">
        <f>E39-E40</f>
        <v>347720.88462041982</v>
      </c>
      <c r="F41" s="19">
        <f>F39-F40</f>
        <v>358152.51115903223</v>
      </c>
      <c r="G41" s="19">
        <f>G39-G40</f>
        <v>367106.32393800828</v>
      </c>
    </row>
    <row r="42" spans="2:7" ht="14" customHeight="1" x14ac:dyDescent="0.3">
      <c r="B42" s="4" t="s">
        <v>98</v>
      </c>
      <c r="C42" s="5">
        <f>C33*C18</f>
        <v>221086.43814399999</v>
      </c>
      <c r="D42" s="5">
        <f>D33*C18</f>
        <v>228824.46347903996</v>
      </c>
      <c r="E42" s="5">
        <f>E33*C18</f>
        <v>235689.1973834112</v>
      </c>
      <c r="F42" s="5">
        <f>F33*C18</f>
        <v>242759.87330491352</v>
      </c>
      <c r="G42" s="5">
        <f>G33*C18</f>
        <v>248828.87013753635</v>
      </c>
    </row>
    <row r="43" spans="2:7" ht="14" customHeight="1" x14ac:dyDescent="0.3">
      <c r="B43" s="4" t="s">
        <v>99</v>
      </c>
      <c r="C43" s="5">
        <v>230000</v>
      </c>
      <c r="D43" s="5">
        <v>237900</v>
      </c>
      <c r="E43" s="5">
        <v>245700</v>
      </c>
      <c r="F43" s="5">
        <v>253500</v>
      </c>
      <c r="G43" s="5">
        <v>261300</v>
      </c>
    </row>
    <row r="44" spans="2:7" ht="14" customHeight="1" x14ac:dyDescent="0.3">
      <c r="B44" s="4" t="s">
        <v>100</v>
      </c>
      <c r="C44" s="5">
        <f>'NWC Schedule'!D19</f>
        <v>69984.152443177998</v>
      </c>
      <c r="D44" s="5">
        <f>'NWC Schedule'!E19</f>
        <v>53669.810335511342</v>
      </c>
      <c r="E44" s="5">
        <f>'NWC Schedule'!F19</f>
        <v>47612.788883360568</v>
      </c>
      <c r="F44" s="5">
        <f>'NWC Schedule'!G19</f>
        <v>49041.172549861483</v>
      </c>
      <c r="G44" s="5">
        <f>'NWC Schedule'!H19</f>
        <v>42093.673105297843</v>
      </c>
    </row>
    <row r="45" spans="2:7" ht="14" customHeight="1" x14ac:dyDescent="0.3">
      <c r="B45" s="4" t="s">
        <v>101</v>
      </c>
      <c r="C45" s="20">
        <f>C41+C42-C43-C44</f>
        <v>247279.18605298188</v>
      </c>
      <c r="D45" s="20">
        <f>D41+D42-D43-D44</f>
        <v>274847.74500801426</v>
      </c>
      <c r="E45" s="20">
        <f>E41+E42-E43-E44</f>
        <v>290097.29312047048</v>
      </c>
      <c r="F45" s="20">
        <f>F41+F42-F43-F44</f>
        <v>298371.21191408427</v>
      </c>
      <c r="G45" s="20">
        <f>G41+G42-G43-G44</f>
        <v>312541.52097024675</v>
      </c>
    </row>
    <row r="46" spans="2:7" ht="14" customHeight="1" x14ac:dyDescent="0.3">
      <c r="B46" s="4" t="s">
        <v>102</v>
      </c>
      <c r="C46" s="21">
        <f>1/(1+C26)^(C19+0)</f>
        <v>0.91652358143088897</v>
      </c>
      <c r="D46" s="21">
        <f>1/(1+C26)^(C19+1)</f>
        <v>0.84001547531890353</v>
      </c>
      <c r="E46" s="21">
        <f>1/(1+C26)^(C19+2)</f>
        <v>0.76989399189665197</v>
      </c>
      <c r="F46" s="21">
        <f>1/(1+C26)^(C19+3)</f>
        <v>0.70562599877524335</v>
      </c>
      <c r="G46" s="21">
        <f>1/(1+C26)^(C19+4)</f>
        <v>0.64672286754823416</v>
      </c>
    </row>
    <row r="47" spans="2:7" ht="14" customHeight="1" x14ac:dyDescent="0.3">
      <c r="B47" s="4" t="s">
        <v>103</v>
      </c>
      <c r="C47" s="19">
        <f>C45*C46</f>
        <v>226637.20521459408</v>
      </c>
      <c r="D47" s="19">
        <f>D45*D46</f>
        <v>230876.3591632359</v>
      </c>
      <c r="E47" s="19">
        <f>E45*E46</f>
        <v>223344.16303893217</v>
      </c>
      <c r="F47" s="19">
        <f>F45*F46</f>
        <v>210538.4844126555</v>
      </c>
      <c r="G47" s="19">
        <f>G45*G46</f>
        <v>202127.74866976455</v>
      </c>
    </row>
    <row r="49" spans="2:7" ht="14" customHeight="1" x14ac:dyDescent="0.3">
      <c r="B49" s="22" t="s">
        <v>104</v>
      </c>
      <c r="C49" s="23"/>
      <c r="D49" s="23"/>
      <c r="E49" s="23"/>
      <c r="F49" s="23"/>
      <c r="G49" s="23"/>
    </row>
    <row r="50" spans="2:7" ht="14" customHeight="1" x14ac:dyDescent="0.3">
      <c r="B50" s="4" t="s">
        <v>105</v>
      </c>
      <c r="C50" s="5">
        <f>SUM(C47:G47)</f>
        <v>1093523.9604991821</v>
      </c>
    </row>
    <row r="51" spans="2:7" ht="14" customHeight="1" x14ac:dyDescent="0.3">
      <c r="B51" s="4" t="s">
        <v>106</v>
      </c>
      <c r="C51" s="5">
        <f>G45*(1+C13)/(C26-C13)</f>
        <v>3893306.2314671171</v>
      </c>
    </row>
    <row r="52" spans="2:7" ht="14" customHeight="1" x14ac:dyDescent="0.3">
      <c r="B52" s="4" t="s">
        <v>107</v>
      </c>
      <c r="C52" s="5">
        <f>C51*G46</f>
        <v>2517890.1702578231</v>
      </c>
    </row>
    <row r="53" spans="2:7" ht="14" customHeight="1" x14ac:dyDescent="0.3">
      <c r="B53" s="4" t="s">
        <v>108</v>
      </c>
      <c r="C53" s="5">
        <f>C50+C52</f>
        <v>3611414.130757005</v>
      </c>
    </row>
    <row r="54" spans="2:7" ht="14" customHeight="1" x14ac:dyDescent="0.3">
      <c r="B54" s="4" t="s">
        <v>109</v>
      </c>
      <c r="C54" s="5">
        <f>C53-C16</f>
        <v>3159210.130757005</v>
      </c>
    </row>
    <row r="55" spans="2:7" ht="14" customHeight="1" x14ac:dyDescent="0.3">
      <c r="B55" s="4" t="s">
        <v>110</v>
      </c>
      <c r="C55" s="24">
        <f>ROUND(C54*1000000/C15,0)</f>
        <v>1013</v>
      </c>
    </row>
    <row r="57" spans="2:7" ht="14" customHeight="1" x14ac:dyDescent="0.3">
      <c r="B57" s="22" t="s">
        <v>111</v>
      </c>
      <c r="C57" s="23"/>
      <c r="D57" s="23"/>
      <c r="E57" s="23"/>
      <c r="F57" s="23"/>
      <c r="G57" s="23"/>
    </row>
    <row r="58" spans="2:7" ht="14" customHeight="1" x14ac:dyDescent="0.3">
      <c r="B58" s="4" t="s">
        <v>105</v>
      </c>
      <c r="C58" s="5">
        <f>C50</f>
        <v>1093523.9604991821</v>
      </c>
    </row>
    <row r="59" spans="2:7" ht="14" customHeight="1" x14ac:dyDescent="0.3">
      <c r="B59" s="4" t="s">
        <v>112</v>
      </c>
      <c r="C59" s="5">
        <f>G39+G42</f>
        <v>738303.9687215474</v>
      </c>
    </row>
    <row r="60" spans="2:7" ht="14" customHeight="1" x14ac:dyDescent="0.3">
      <c r="B60" s="4" t="s">
        <v>113</v>
      </c>
      <c r="C60" s="5">
        <f>C59*C14</f>
        <v>3543859.0498634274</v>
      </c>
    </row>
    <row r="61" spans="2:7" ht="14" customHeight="1" x14ac:dyDescent="0.3">
      <c r="B61" s="4" t="s">
        <v>107</v>
      </c>
      <c r="C61" s="5">
        <f>C60*G46</f>
        <v>2291894.6869144365</v>
      </c>
    </row>
    <row r="62" spans="2:7" ht="14" customHeight="1" x14ac:dyDescent="0.3">
      <c r="B62" s="4" t="s">
        <v>108</v>
      </c>
      <c r="C62" s="5">
        <f>C58+C61</f>
        <v>3385418.6474136189</v>
      </c>
    </row>
    <row r="63" spans="2:7" ht="14" customHeight="1" x14ac:dyDescent="0.3">
      <c r="B63" s="4" t="s">
        <v>109</v>
      </c>
      <c r="C63" s="5">
        <f>C62-C16</f>
        <v>2933214.6474136189</v>
      </c>
    </row>
    <row r="64" spans="2:7" ht="14" customHeight="1" x14ac:dyDescent="0.3">
      <c r="B64" s="4" t="s">
        <v>114</v>
      </c>
      <c r="C64" s="24">
        <f>ROUND(C63*1000000/C15,0)</f>
        <v>940</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0.04</v>
      </c>
      <c r="D69" s="26">
        <v>3.5000000000000003E-2</v>
      </c>
      <c r="E69" s="26">
        <v>0.03</v>
      </c>
      <c r="F69" s="26">
        <v>0.03</v>
      </c>
      <c r="G69" s="26">
        <v>2.5000000000000001E-2</v>
      </c>
    </row>
    <row r="70" spans="2:7" ht="14" customHeight="1" x14ac:dyDescent="0.3">
      <c r="B70" s="4" t="s">
        <v>121</v>
      </c>
      <c r="C70" s="26">
        <v>0.06</v>
      </c>
      <c r="D70" s="26">
        <v>0.05</v>
      </c>
      <c r="E70" s="26">
        <v>4.4999999999999998E-2</v>
      </c>
      <c r="F70" s="26">
        <v>0.04</v>
      </c>
      <c r="G70" s="26">
        <v>3.5000000000000003E-2</v>
      </c>
    </row>
    <row r="71" spans="2:7" ht="14" customHeight="1" x14ac:dyDescent="0.3">
      <c r="B71" s="4" t="s">
        <v>122</v>
      </c>
      <c r="C71" s="26">
        <v>0.04</v>
      </c>
      <c r="D71" s="26">
        <v>3.5000000000000003E-2</v>
      </c>
      <c r="E71" s="26">
        <v>0.03</v>
      </c>
      <c r="F71" s="26">
        <v>0.03</v>
      </c>
      <c r="G71" s="26">
        <v>2.5000000000000001E-2</v>
      </c>
    </row>
    <row r="72" spans="2:7" ht="14" customHeight="1" x14ac:dyDescent="0.3">
      <c r="B72" s="4" t="s">
        <v>123</v>
      </c>
      <c r="C72" s="26">
        <v>0.01</v>
      </c>
      <c r="D72" s="26">
        <v>1.4999999999999999E-2</v>
      </c>
      <c r="E72" s="26">
        <v>0.02</v>
      </c>
      <c r="F72" s="26">
        <v>0.02</v>
      </c>
      <c r="G72" s="26">
        <v>0.02</v>
      </c>
    </row>
    <row r="73" spans="2:7" ht="14" customHeight="1" x14ac:dyDescent="0.3">
      <c r="B73" s="4" t="s">
        <v>124</v>
      </c>
      <c r="C73" s="26">
        <v>-0.08</v>
      </c>
      <c r="D73" s="26">
        <v>-0.01</v>
      </c>
      <c r="E73" s="26">
        <v>0.01</v>
      </c>
      <c r="F73" s="26">
        <v>1.4999999999999999E-2</v>
      </c>
      <c r="G73" s="26">
        <v>1.4999999999999999E-2</v>
      </c>
    </row>
    <row r="75" spans="2:7" ht="14" customHeight="1" x14ac:dyDescent="0.3">
      <c r="B75" s="3" t="s">
        <v>91</v>
      </c>
    </row>
    <row r="76" spans="2:7" ht="14" customHeight="1" x14ac:dyDescent="0.3">
      <c r="B76" s="4" t="s">
        <v>84</v>
      </c>
      <c r="C76" s="26">
        <v>0.79800000000000004</v>
      </c>
      <c r="D76" s="26">
        <v>0.79800000000000004</v>
      </c>
      <c r="E76" s="26">
        <v>0.79800000000000004</v>
      </c>
      <c r="F76" s="26">
        <v>0.79800000000000004</v>
      </c>
      <c r="G76" s="26">
        <v>0.79800000000000004</v>
      </c>
    </row>
    <row r="77" spans="2:7" ht="14" customHeight="1" x14ac:dyDescent="0.3">
      <c r="B77" s="4" t="s">
        <v>121</v>
      </c>
      <c r="C77" s="26">
        <v>0.78800000000000003</v>
      </c>
      <c r="D77" s="26">
        <v>0.78800000000000003</v>
      </c>
      <c r="E77" s="26">
        <v>0.78800000000000003</v>
      </c>
      <c r="F77" s="26">
        <v>0.78800000000000003</v>
      </c>
      <c r="G77" s="26">
        <v>0.78800000000000003</v>
      </c>
    </row>
    <row r="78" spans="2:7" ht="14" customHeight="1" x14ac:dyDescent="0.3">
      <c r="B78" s="4" t="s">
        <v>122</v>
      </c>
      <c r="C78" s="26">
        <v>0.79800000000000004</v>
      </c>
      <c r="D78" s="26">
        <v>0.79800000000000004</v>
      </c>
      <c r="E78" s="26">
        <v>0.79800000000000004</v>
      </c>
      <c r="F78" s="26">
        <v>0.79800000000000004</v>
      </c>
      <c r="G78" s="26">
        <v>0.79800000000000004</v>
      </c>
    </row>
    <row r="79" spans="2:7" ht="14" customHeight="1" x14ac:dyDescent="0.3">
      <c r="B79" s="4" t="s">
        <v>123</v>
      </c>
      <c r="C79" s="26">
        <v>0.81</v>
      </c>
      <c r="D79" s="26">
        <v>0.81</v>
      </c>
      <c r="E79" s="26">
        <v>0.81</v>
      </c>
      <c r="F79" s="26">
        <v>0.81</v>
      </c>
      <c r="G79" s="26">
        <v>0.81</v>
      </c>
    </row>
    <row r="80" spans="2:7" ht="14" customHeight="1" x14ac:dyDescent="0.3">
      <c r="B80" s="4" t="s">
        <v>124</v>
      </c>
      <c r="C80" s="26">
        <v>0.82499999999999996</v>
      </c>
      <c r="D80" s="26">
        <v>0.82499999999999996</v>
      </c>
      <c r="E80" s="26">
        <v>0.82499999999999996</v>
      </c>
      <c r="F80" s="26">
        <v>0.82499999999999996</v>
      </c>
      <c r="G80" s="26">
        <v>0.82499999999999996</v>
      </c>
    </row>
    <row r="82" spans="2:7" ht="14" customHeight="1" x14ac:dyDescent="0.3">
      <c r="B82" s="3" t="s">
        <v>92</v>
      </c>
    </row>
    <row r="83" spans="2:7" ht="14" customHeight="1" x14ac:dyDescent="0.3">
      <c r="B83" s="4" t="s">
        <v>84</v>
      </c>
      <c r="C83" s="26">
        <v>0.120168</v>
      </c>
      <c r="D83" s="26">
        <v>0.120168</v>
      </c>
      <c r="E83" s="26">
        <v>0.120168</v>
      </c>
      <c r="F83" s="26">
        <v>0.120168</v>
      </c>
      <c r="G83" s="26">
        <v>0.120168</v>
      </c>
    </row>
    <row r="84" spans="2:7" ht="14" customHeight="1" x14ac:dyDescent="0.3">
      <c r="B84" s="4" t="s">
        <v>121</v>
      </c>
      <c r="C84" s="26">
        <v>0.128</v>
      </c>
      <c r="D84" s="26">
        <v>0.125</v>
      </c>
      <c r="E84" s="26">
        <v>0.1225</v>
      </c>
      <c r="F84" s="26">
        <v>0.121</v>
      </c>
      <c r="G84" s="26">
        <v>0.1202</v>
      </c>
    </row>
    <row r="85" spans="2:7" ht="14" customHeight="1" x14ac:dyDescent="0.3">
      <c r="B85" s="4" t="s">
        <v>122</v>
      </c>
      <c r="C85" s="26">
        <v>0.120168</v>
      </c>
      <c r="D85" s="26">
        <v>0.120168</v>
      </c>
      <c r="E85" s="26">
        <v>0.120168</v>
      </c>
      <c r="F85" s="26">
        <v>0.120168</v>
      </c>
      <c r="G85" s="26">
        <v>0.120168</v>
      </c>
    </row>
    <row r="86" spans="2:7" ht="14" customHeight="1" x14ac:dyDescent="0.3">
      <c r="B86" s="4" t="s">
        <v>123</v>
      </c>
      <c r="C86" s="26">
        <v>0.12</v>
      </c>
      <c r="D86" s="26">
        <v>0.126</v>
      </c>
      <c r="E86" s="26">
        <v>0.13</v>
      </c>
      <c r="F86" s="26">
        <v>0.13250000000000001</v>
      </c>
      <c r="G86" s="26">
        <v>0.13400000000000001</v>
      </c>
    </row>
    <row r="87" spans="2:7" ht="14" customHeight="1" x14ac:dyDescent="0.3">
      <c r="B87" s="4" t="s">
        <v>124</v>
      </c>
      <c r="C87" s="26">
        <v>0.123</v>
      </c>
      <c r="D87" s="26">
        <v>0.129</v>
      </c>
      <c r="E87" s="26">
        <v>0.13100000000000001</v>
      </c>
      <c r="F87" s="26">
        <v>0.13100000000000001</v>
      </c>
      <c r="G87" s="26">
        <v>0.13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2133</v>
      </c>
    </row>
    <row r="7" spans="2:9" ht="14" customHeight="1" x14ac:dyDescent="0.3">
      <c r="B7" s="4" t="s">
        <v>72</v>
      </c>
      <c r="C7" s="15">
        <f>'DCF Model'!C15</f>
        <v>3119679500</v>
      </c>
    </row>
    <row r="8" spans="2:9" ht="14" customHeight="1" x14ac:dyDescent="0.3">
      <c r="B8" s="4" t="s">
        <v>129</v>
      </c>
      <c r="C8" s="5">
        <f>C6*C7/1000000</f>
        <v>6654276.3734999998</v>
      </c>
    </row>
    <row r="9" spans="2:9" ht="14" customHeight="1" x14ac:dyDescent="0.3">
      <c r="B9" s="4" t="s">
        <v>73</v>
      </c>
      <c r="C9" s="5">
        <f>'DCF Model'!C16</f>
        <v>452204</v>
      </c>
    </row>
    <row r="10" spans="2:9" ht="14" customHeight="1" x14ac:dyDescent="0.3">
      <c r="B10" s="4" t="s">
        <v>130</v>
      </c>
      <c r="C10" s="5">
        <f>C8+C9</f>
        <v>7106480.3734999998</v>
      </c>
    </row>
    <row r="11" spans="2:9" ht="14" customHeight="1" x14ac:dyDescent="0.3">
      <c r="B11" s="4" t="s">
        <v>131</v>
      </c>
      <c r="C11" s="16">
        <f>'DCF Model'!C26</f>
        <v>9.1079400749063663E-2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418173</v>
      </c>
    </row>
    <row r="15" spans="2:9" ht="14" customHeight="1" x14ac:dyDescent="0.3">
      <c r="B15" s="4" t="s">
        <v>135</v>
      </c>
      <c r="C15" s="27">
        <v>418173</v>
      </c>
    </row>
    <row r="16" spans="2:9" ht="14" customHeight="1" x14ac:dyDescent="0.3">
      <c r="B16" s="4" t="s">
        <v>136</v>
      </c>
      <c r="C16" s="5">
        <f>'DCF Model'!G33</f>
        <v>5981463.2244600086</v>
      </c>
    </row>
    <row r="17" spans="2:9" ht="14" customHeight="1" x14ac:dyDescent="0.3">
      <c r="B17" s="4" t="s">
        <v>137</v>
      </c>
      <c r="C17" s="5">
        <f>'DCF Model'!C53</f>
        <v>3611414.130757005</v>
      </c>
    </row>
    <row r="18" spans="2:9" ht="14" customHeight="1" x14ac:dyDescent="0.3">
      <c r="B18" s="4" t="s">
        <v>138</v>
      </c>
      <c r="C18" s="26">
        <v>8.1831508182407198E-2</v>
      </c>
    </row>
    <row r="19" spans="2:9" ht="14" customHeight="1" x14ac:dyDescent="0.3">
      <c r="B19" s="4" t="s">
        <v>139</v>
      </c>
      <c r="C19" s="5">
        <f>C10-C17</f>
        <v>3495066.2427429948</v>
      </c>
    </row>
    <row r="20" spans="2:9" ht="14" customHeight="1" x14ac:dyDescent="0.3">
      <c r="B20" s="4" t="s">
        <v>140</v>
      </c>
      <c r="C20" s="15">
        <f>IFERROR(ROUND(C19*1000000/C7,0),"N/A")</f>
        <v>1120</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576189.17011836218</v>
      </c>
    </row>
    <row r="25" spans="2:9" ht="14" customHeight="1" x14ac:dyDescent="0.3">
      <c r="B25" s="4" t="s">
        <v>144</v>
      </c>
      <c r="C25" s="5">
        <f>IFERROR(C24/(1-C13),"N/A")</f>
        <v>768252.2268244829</v>
      </c>
    </row>
    <row r="26" spans="2:9" ht="13.5" customHeight="1" x14ac:dyDescent="0.25">
      <c r="B26" s="6" t="s">
        <v>145</v>
      </c>
      <c r="C26" s="14">
        <f>IFERROR(C25/C15,"N/A")</f>
        <v>1.8371636304220571</v>
      </c>
    </row>
    <row r="27" spans="2:9" ht="13.5" customHeight="1" x14ac:dyDescent="0.25">
      <c r="B27" s="6" t="s">
        <v>146</v>
      </c>
      <c r="C27" s="14">
        <f>IFERROR(C25/C14,"N/A")</f>
        <v>1.8371636304220571</v>
      </c>
    </row>
    <row r="28" spans="2:9" ht="13.5" customHeight="1" x14ac:dyDescent="0.25">
      <c r="B28" s="6" t="s">
        <v>147</v>
      </c>
      <c r="C28" s="7">
        <f>IFERROR(C25/C16,"N/A")</f>
        <v>0.1284388448102243</v>
      </c>
    </row>
    <row r="29" spans="2:9" ht="13.5" customHeight="1" x14ac:dyDescent="0.25">
      <c r="B29" s="6" t="s">
        <v>148</v>
      </c>
      <c r="C29" s="5">
        <f>IFERROR(C25/C18,"N/A")</f>
        <v>9388220.3064375147</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7.1079400749063659E-2</v>
      </c>
      <c r="E36" s="29">
        <f>'DCF Model'!C26-0.01</f>
        <v>8.1079400749063668E-2</v>
      </c>
      <c r="F36" s="29">
        <f>'DCF Model'!C26</f>
        <v>9.1079400749063663E-2</v>
      </c>
      <c r="G36" s="29">
        <f>'DCF Model'!C26+0.01</f>
        <v>0.10107940074906366</v>
      </c>
      <c r="H36" s="29">
        <f>'DCF Model'!C26+0.02</f>
        <v>0.11107940074906367</v>
      </c>
    </row>
    <row r="37" spans="2:9" ht="14" customHeight="1" x14ac:dyDescent="0.3">
      <c r="B37" s="3" t="s">
        <v>154</v>
      </c>
    </row>
    <row r="38" spans="2:9" ht="14" customHeight="1" x14ac:dyDescent="0.3">
      <c r="B38" s="4" t="s">
        <v>155</v>
      </c>
      <c r="C38" s="30">
        <v>3</v>
      </c>
      <c r="D38" s="13">
        <f t="shared" ref="D38:H41" si="0">IFERROR((1-(1+D$36)^(-$C38))/D$36-(1+D$36)/(D$36^2*$C38)*(1-($C38+1)/(1+D$36)^$C38+$C38/(1+D$36)^($C38+1)),"N/A")</f>
        <v>0.91298478802417593</v>
      </c>
      <c r="E38" s="13">
        <f t="shared" si="0"/>
        <v>0.90187684509562804</v>
      </c>
      <c r="F38" s="13">
        <f t="shared" si="0"/>
        <v>0.89102087939355767</v>
      </c>
      <c r="G38" s="13">
        <f t="shared" si="0"/>
        <v>0.88040871980740776</v>
      </c>
      <c r="H38" s="13">
        <f t="shared" si="0"/>
        <v>0.87003253597992969</v>
      </c>
    </row>
    <row r="39" spans="2:9" ht="14" customHeight="1" x14ac:dyDescent="0.3">
      <c r="B39" s="4" t="s">
        <v>156</v>
      </c>
      <c r="C39" s="30">
        <v>5</v>
      </c>
      <c r="D39" s="13">
        <f t="shared" si="0"/>
        <v>1.7474154701156084</v>
      </c>
      <c r="E39" s="13">
        <f t="shared" si="0"/>
        <v>1.7163802107235164</v>
      </c>
      <c r="F39" s="13">
        <f t="shared" si="0"/>
        <v>1.6863109468497646</v>
      </c>
      <c r="G39" s="13">
        <f t="shared" si="0"/>
        <v>1.6571665938933058</v>
      </c>
      <c r="H39" s="13">
        <f t="shared" si="0"/>
        <v>1.6289082387308933</v>
      </c>
    </row>
    <row r="40" spans="2:9" ht="14" customHeight="1" x14ac:dyDescent="0.3">
      <c r="B40" s="4" t="s">
        <v>157</v>
      </c>
      <c r="C40" s="30">
        <v>7</v>
      </c>
      <c r="D40" s="13">
        <f t="shared" si="0"/>
        <v>2.5108785320432605</v>
      </c>
      <c r="E40" s="13">
        <f t="shared" si="0"/>
        <v>2.4530084058219148</v>
      </c>
      <c r="F40" s="13">
        <f t="shared" si="0"/>
        <v>2.3974079032781805</v>
      </c>
      <c r="G40" s="13">
        <f t="shared" si="0"/>
        <v>2.3439583439435032</v>
      </c>
      <c r="H40" s="13">
        <f t="shared" si="0"/>
        <v>2.2925486043589292</v>
      </c>
    </row>
    <row r="41" spans="2:9" ht="14" customHeight="1" x14ac:dyDescent="0.3">
      <c r="B41" s="4" t="s">
        <v>158</v>
      </c>
      <c r="C41" s="30">
        <v>10</v>
      </c>
      <c r="D41" s="13">
        <f t="shared" si="0"/>
        <v>3.5377039708277933</v>
      </c>
      <c r="E41" s="13">
        <f t="shared" si="0"/>
        <v>3.4300383475389422</v>
      </c>
      <c r="F41" s="13">
        <f t="shared" si="0"/>
        <v>3.3278343564721649</v>
      </c>
      <c r="G41" s="13">
        <f t="shared" si="0"/>
        <v>3.2307298813092609</v>
      </c>
      <c r="H41" s="13">
        <f t="shared" si="0"/>
        <v>3.1383915213393228</v>
      </c>
    </row>
    <row r="42" spans="2:9" ht="14" customHeight="1" x14ac:dyDescent="0.3">
      <c r="B42" s="3" t="s">
        <v>159</v>
      </c>
    </row>
    <row r="43" spans="2:9" ht="14" customHeight="1" x14ac:dyDescent="0.3">
      <c r="B43" s="4" t="s">
        <v>155</v>
      </c>
      <c r="C43" s="30">
        <v>3</v>
      </c>
      <c r="D43" s="13">
        <f t="shared" ref="D43:H46" si="1">IFERROR((1+D$36)/(D$36^2*$C43)*(1-($C43+1)/(1+D$36)^$C43+$C43/(1+D$36)^($C43+1))+(1+$C$12)/((D$36-$C$12)*(1+D$36)^$C43),"N/A")</f>
        <v>15.163578182574817</v>
      </c>
      <c r="E43" s="13">
        <f t="shared" si="1"/>
        <v>12.916384123254375</v>
      </c>
      <c r="F43" s="13">
        <f t="shared" si="1"/>
        <v>11.2259237496508</v>
      </c>
      <c r="G43" s="13">
        <f t="shared" si="1"/>
        <v>9.9087458803832806</v>
      </c>
      <c r="H43" s="13">
        <f t="shared" si="1"/>
        <v>8.8539990025724009</v>
      </c>
    </row>
    <row r="44" spans="2:9" ht="14" customHeight="1" x14ac:dyDescent="0.3">
      <c r="B44" s="4" t="s">
        <v>156</v>
      </c>
      <c r="C44" s="30">
        <v>5</v>
      </c>
      <c r="D44" s="13">
        <f t="shared" si="1"/>
        <v>14.071506300143986</v>
      </c>
      <c r="E44" s="13">
        <f t="shared" si="1"/>
        <v>11.887535181879008</v>
      </c>
      <c r="F44" s="13">
        <f t="shared" si="1"/>
        <v>10.248649111879557</v>
      </c>
      <c r="G44" s="13">
        <f t="shared" si="1"/>
        <v>8.9750429106533129</v>
      </c>
      <c r="H44" s="13">
        <f t="shared" si="1"/>
        <v>7.9580788265901141</v>
      </c>
    </row>
    <row r="45" spans="2:9" ht="14" customHeight="1" x14ac:dyDescent="0.3">
      <c r="B45" s="4" t="s">
        <v>157</v>
      </c>
      <c r="C45" s="30">
        <v>7</v>
      </c>
      <c r="D45" s="13">
        <f t="shared" si="1"/>
        <v>13.083462771532714</v>
      </c>
      <c r="E45" s="13">
        <f t="shared" si="1"/>
        <v>10.967506983412258</v>
      </c>
      <c r="F45" s="13">
        <f t="shared" si="1"/>
        <v>9.3846823001172517</v>
      </c>
      <c r="G45" s="13">
        <f t="shared" si="1"/>
        <v>8.1587986512477997</v>
      </c>
      <c r="H45" s="13">
        <f t="shared" si="1"/>
        <v>7.1834261012993164</v>
      </c>
    </row>
    <row r="46" spans="2:9" ht="14" customHeight="1" x14ac:dyDescent="0.3">
      <c r="B46" s="4" t="s">
        <v>158</v>
      </c>
      <c r="C46" s="30">
        <v>10</v>
      </c>
      <c r="D46" s="13">
        <f t="shared" si="1"/>
        <v>11.772626129975267</v>
      </c>
      <c r="E46" s="13">
        <f t="shared" si="1"/>
        <v>9.7638059377736397</v>
      </c>
      <c r="F46" s="13">
        <f t="shared" si="1"/>
        <v>8.2695591517528229</v>
      </c>
      <c r="G46" s="13">
        <f t="shared" si="1"/>
        <v>7.1190969322820035</v>
      </c>
      <c r="H46" s="13">
        <f t="shared" si="1"/>
        <v>6.2093198614805232</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599694.97089770192</v>
      </c>
      <c r="E48" s="5">
        <f t="shared" si="2"/>
        <v>704389.59788617247</v>
      </c>
      <c r="F48" s="5">
        <f t="shared" si="2"/>
        <v>810864.78881091438</v>
      </c>
      <c r="G48" s="5">
        <f t="shared" si="2"/>
        <v>919101.58147343353</v>
      </c>
      <c r="H48" s="5">
        <f t="shared" si="2"/>
        <v>1029081.1018107322</v>
      </c>
    </row>
    <row r="49" spans="2:9" ht="14" customHeight="1" x14ac:dyDescent="0.3">
      <c r="B49" s="4" t="s">
        <v>156</v>
      </c>
      <c r="C49" s="30">
        <v>5</v>
      </c>
      <c r="D49" s="5">
        <f t="shared" si="2"/>
        <v>621439.16996238951</v>
      </c>
      <c r="E49" s="5">
        <f t="shared" si="2"/>
        <v>736701.35724666785</v>
      </c>
      <c r="F49" s="5">
        <f t="shared" si="2"/>
        <v>855735.94737709337</v>
      </c>
      <c r="G49" s="5">
        <f t="shared" si="2"/>
        <v>978527.33697506471</v>
      </c>
      <c r="H49" s="5">
        <f t="shared" si="2"/>
        <v>1105058.3829816089</v>
      </c>
    </row>
    <row r="50" spans="2:9" ht="14" customHeight="1" x14ac:dyDescent="0.3">
      <c r="B50" s="4" t="s">
        <v>157</v>
      </c>
      <c r="C50" s="30">
        <v>7</v>
      </c>
      <c r="D50" s="5">
        <f t="shared" si="2"/>
        <v>643967.55686258746</v>
      </c>
      <c r="E50" s="5">
        <f t="shared" si="2"/>
        <v>770414.39712400758</v>
      </c>
      <c r="F50" s="5">
        <f t="shared" si="2"/>
        <v>902830.33975729381</v>
      </c>
      <c r="G50" s="5">
        <f t="shared" si="2"/>
        <v>1041222.7872305125</v>
      </c>
      <c r="H50" s="5">
        <f t="shared" si="2"/>
        <v>1185593.7705819258</v>
      </c>
    </row>
    <row r="51" spans="2:9" ht="14" customHeight="1" x14ac:dyDescent="0.3">
      <c r="B51" s="4" t="s">
        <v>158</v>
      </c>
      <c r="C51" s="30">
        <v>10</v>
      </c>
      <c r="D51" s="5">
        <f t="shared" si="2"/>
        <v>679197.21511537489</v>
      </c>
      <c r="E51" s="5">
        <f t="shared" si="2"/>
        <v>823547.47626157524</v>
      </c>
      <c r="F51" s="5">
        <f t="shared" si="2"/>
        <v>977524.50160589325</v>
      </c>
      <c r="G51" s="5">
        <f t="shared" si="2"/>
        <v>1141198.5586500096</v>
      </c>
      <c r="H51" s="5">
        <f t="shared" si="2"/>
        <v>1314623.2999933276</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1.4340834317320867</v>
      </c>
      <c r="E53" s="14">
        <f t="shared" si="3"/>
        <v>1.6844454278161729</v>
      </c>
      <c r="F53" s="14">
        <f t="shared" si="3"/>
        <v>1.939065383970066</v>
      </c>
      <c r="G53" s="14">
        <f t="shared" si="3"/>
        <v>2.1978979548498674</v>
      </c>
      <c r="H53" s="14">
        <f t="shared" si="3"/>
        <v>2.4608980058749181</v>
      </c>
    </row>
    <row r="54" spans="2:9" ht="14" customHeight="1" x14ac:dyDescent="0.3">
      <c r="B54" s="4" t="s">
        <v>156</v>
      </c>
      <c r="C54" s="30">
        <v>5</v>
      </c>
      <c r="D54" s="14">
        <f t="shared" si="3"/>
        <v>1.4860815259770226</v>
      </c>
      <c r="E54" s="14">
        <f t="shared" si="3"/>
        <v>1.7617143078263491</v>
      </c>
      <c r="F54" s="14">
        <f t="shared" si="3"/>
        <v>2.0463682432320915</v>
      </c>
      <c r="G54" s="14">
        <f t="shared" si="3"/>
        <v>2.3400060189803376</v>
      </c>
      <c r="H54" s="14">
        <f t="shared" si="3"/>
        <v>2.6425866399351676</v>
      </c>
    </row>
    <row r="55" spans="2:9" ht="14" customHeight="1" x14ac:dyDescent="0.3">
      <c r="B55" s="4" t="s">
        <v>157</v>
      </c>
      <c r="C55" s="30">
        <v>7</v>
      </c>
      <c r="D55" s="14">
        <f t="shared" si="3"/>
        <v>1.5399548915462917</v>
      </c>
      <c r="E55" s="14">
        <f t="shared" si="3"/>
        <v>1.8423341466905028</v>
      </c>
      <c r="F55" s="14">
        <f t="shared" si="3"/>
        <v>2.158987643289485</v>
      </c>
      <c r="G55" s="14">
        <f t="shared" si="3"/>
        <v>2.4899330832705902</v>
      </c>
      <c r="H55" s="14">
        <f t="shared" si="3"/>
        <v>2.8351753235668631</v>
      </c>
    </row>
    <row r="56" spans="2:9" ht="14" customHeight="1" x14ac:dyDescent="0.3">
      <c r="B56" s="4" t="s">
        <v>158</v>
      </c>
      <c r="C56" s="30">
        <v>10</v>
      </c>
      <c r="D56" s="14">
        <f t="shared" si="3"/>
        <v>1.6242015030032424</v>
      </c>
      <c r="E56" s="14">
        <f t="shared" si="3"/>
        <v>1.969394189155147</v>
      </c>
      <c r="F56" s="14">
        <f t="shared" si="3"/>
        <v>2.3376078838325127</v>
      </c>
      <c r="G56" s="14">
        <f t="shared" si="3"/>
        <v>2.7290106215609558</v>
      </c>
      <c r="H56" s="14">
        <f t="shared" si="3"/>
        <v>3.1437307047402094</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855735.94737709337</v>
      </c>
    </row>
    <row r="62" spans="2:9" ht="14" customHeight="1" x14ac:dyDescent="0.3">
      <c r="B62" s="28" t="s">
        <v>165</v>
      </c>
      <c r="C62" s="28" t="s">
        <v>166</v>
      </c>
      <c r="D62" s="28" t="s">
        <v>167</v>
      </c>
    </row>
    <row r="63" spans="2:9" ht="14" customHeight="1" x14ac:dyDescent="0.3">
      <c r="B63" s="31">
        <v>4.0899999999999999E-2</v>
      </c>
      <c r="C63" s="5">
        <f>IFERROR($C$60/B63,"N/A")</f>
        <v>20922639.300173432</v>
      </c>
      <c r="D63" s="14">
        <f>IFERROR(C63/'DCF Model'!C17,"N/A")</f>
        <v>4.0943129496397344</v>
      </c>
    </row>
    <row r="64" spans="2:9" ht="14" customHeight="1" x14ac:dyDescent="0.3">
      <c r="B64" s="31">
        <v>6.1400000000000003E-2</v>
      </c>
      <c r="C64" s="5">
        <f>IFERROR($C$60/B64,"N/A")</f>
        <v>13937067.546858197</v>
      </c>
      <c r="D64" s="14">
        <f>IFERROR(C64/'DCF Model'!C17,"N/A")</f>
        <v>2.7273192123821683</v>
      </c>
    </row>
    <row r="65" spans="2:9" ht="14" customHeight="1" x14ac:dyDescent="0.3">
      <c r="B65" s="4" t="s">
        <v>168</v>
      </c>
      <c r="C65" s="5">
        <f>IFERROR($C$60/$C$18,"N/A")</f>
        <v>10457291.65188558</v>
      </c>
      <c r="D65" s="14">
        <f>IFERROR(C65/'DCF Model'!C17,"N/A")</f>
        <v>2.0463682432320915</v>
      </c>
    </row>
    <row r="66" spans="2:9" ht="14" customHeight="1" x14ac:dyDescent="0.3">
      <c r="B66" s="31">
        <v>0.1023</v>
      </c>
      <c r="C66" s="5">
        <f>IFERROR($C$60/B66,"N/A")</f>
        <v>8364965.2725033564</v>
      </c>
      <c r="D66" s="14">
        <f>IFERROR(C66/'DCF Model'!C17,"N/A")</f>
        <v>1.6369247276663259</v>
      </c>
    </row>
    <row r="67" spans="2:9" ht="14" customHeight="1" x14ac:dyDescent="0.3">
      <c r="B67" s="31">
        <v>0.1227</v>
      </c>
      <c r="C67" s="5">
        <f>IFERROR($C$60/B67,"N/A")</f>
        <v>6974213.1000578105</v>
      </c>
      <c r="D67" s="14">
        <f>IFERROR(C67/'DCF Model'!C17,"N/A")</f>
        <v>1.3647709832132449</v>
      </c>
    </row>
    <row r="69" spans="2:9" ht="14" customHeight="1" x14ac:dyDescent="0.3">
      <c r="B69" s="8" t="s">
        <v>169</v>
      </c>
      <c r="C69" s="9"/>
      <c r="D69" s="9"/>
      <c r="E69" s="9"/>
      <c r="F69" s="9"/>
      <c r="G69" s="9"/>
      <c r="H69" s="9"/>
      <c r="I69" s="9"/>
    </row>
    <row r="70" spans="2:9" ht="13.5" customHeight="1" x14ac:dyDescent="0.25">
      <c r="B70" s="6" t="s">
        <v>170</v>
      </c>
      <c r="C70" s="14">
        <f>IFERROR(C10/'Comps Analysis'!G5,"N/A")</f>
        <v>11.26341124442296</v>
      </c>
    </row>
    <row r="71" spans="2:9" ht="13.5" customHeight="1" x14ac:dyDescent="0.25">
      <c r="B71" s="6" t="s">
        <v>171</v>
      </c>
      <c r="C71" s="14">
        <f>IFERROR(C10/'Comps Analysis'!F5,"N/A")</f>
        <v>1.3906541236095622</v>
      </c>
    </row>
    <row r="72" spans="2:9" ht="14" customHeight="1" x14ac:dyDescent="0.3">
      <c r="B72" s="4" t="s">
        <v>172</v>
      </c>
      <c r="C72" s="14">
        <f>IFERROR(C10/(C25+'DCF Model'!G42),"N/A")</f>
        <v>6.9871324860198207</v>
      </c>
    </row>
    <row r="73" spans="2:9" ht="14" customHeight="1" x14ac:dyDescent="0.3">
      <c r="B73" s="4" t="s">
        <v>173</v>
      </c>
      <c r="C73" s="14">
        <f>IFERROR(C10/(C60+'DCF Model'!G42),"N/A")</f>
        <v>6.43373775881276</v>
      </c>
    </row>
    <row r="74" spans="2:9" ht="14" customHeight="1" x14ac:dyDescent="0.3">
      <c r="B74" s="4" t="s">
        <v>174</v>
      </c>
      <c r="C74" s="14">
        <f>IFERROR('Comps Analysis'!D16,"N/A")</f>
        <v>4.75718237031115</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2,133 yen the market is paying for a steady-state operating profit of 855,736 mn JPY - 2.05x the FY2026 cycle peak of 418,173 mn - reached in 5 years and sustained for ever, against 418,173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768,252 mn, or 1.84x the peak. The base case supports an EV of only 3,611,414 mn, leaving 1,120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66.636698654506873</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customHeight="1" x14ac:dyDescent="0.3">
      <c r="B6" s="33" t="s">
        <v>181</v>
      </c>
      <c r="C6" s="34">
        <f>C13/C10*365</f>
        <v>91.170573140274868</v>
      </c>
      <c r="D6" s="34">
        <f>CHOOSE('DCF Model'!$D$27,D32,D33,D34,D35,D36)</f>
        <v>90</v>
      </c>
      <c r="E6" s="34">
        <f>CHOOSE('DCF Model'!$D$27,E32,E33,E34,E35,E36)</f>
        <v>90</v>
      </c>
      <c r="F6" s="34">
        <f>CHOOSE('DCF Model'!$D$27,F32,F33,F34,F35,F36)</f>
        <v>90</v>
      </c>
      <c r="G6" s="34">
        <f>CHOOSE('DCF Model'!$D$27,G32,G33,G34,G35,G36)</f>
        <v>90</v>
      </c>
      <c r="H6" s="34">
        <f>CHOOSE('DCF Model'!$D$27,H32,H33,H34,H35,H36)</f>
        <v>90</v>
      </c>
    </row>
    <row r="7" spans="2:8" ht="14" customHeight="1" x14ac:dyDescent="0.3">
      <c r="B7" s="33" t="s">
        <v>182</v>
      </c>
      <c r="C7" s="34">
        <f>C15/C10*365</f>
        <v>43.667221930551946</v>
      </c>
      <c r="D7" s="34">
        <f>CHOOSE('DCF Model'!$D$27,D39,D40,D41,D42,D43)</f>
        <v>47</v>
      </c>
      <c r="E7" s="34">
        <f>CHOOSE('DCF Model'!$D$27,E39,E40,E41,E42,E43)</f>
        <v>47</v>
      </c>
      <c r="F7" s="34">
        <f>CHOOSE('DCF Model'!$D$27,F39,F40,F41,F42,F43)</f>
        <v>47</v>
      </c>
      <c r="G7" s="34">
        <f>CHOOSE('DCF Model'!$D$27,G39,G40,G41,G42,G43)</f>
        <v>47</v>
      </c>
      <c r="H7" s="34">
        <f>CHOOSE('DCF Model'!$D$27,H39,H40,H41,H42,H43)</f>
        <v>47</v>
      </c>
    </row>
    <row r="8" spans="2:8" ht="14" customHeight="1" x14ac:dyDescent="0.3">
      <c r="B8" s="8" t="s">
        <v>183</v>
      </c>
      <c r="C8" s="9"/>
      <c r="D8" s="9"/>
      <c r="E8" s="9"/>
      <c r="F8" s="9"/>
      <c r="G8" s="9"/>
      <c r="H8" s="9"/>
    </row>
    <row r="9" spans="2:8" ht="14" customHeight="1" x14ac:dyDescent="0.3">
      <c r="B9" s="33" t="s">
        <v>37</v>
      </c>
      <c r="C9" s="35">
        <v>5110171</v>
      </c>
      <c r="D9" s="35">
        <f>'DCF Model'!C33</f>
        <v>5314577.84</v>
      </c>
      <c r="E9" s="35">
        <f>'DCF Model'!D33</f>
        <v>5500588.0643999996</v>
      </c>
      <c r="F9" s="35">
        <f>'DCF Model'!E33</f>
        <v>5665605.706332</v>
      </c>
      <c r="G9" s="35">
        <f>'DCF Model'!F33</f>
        <v>5835573.8775219601</v>
      </c>
      <c r="H9" s="35">
        <f>'DCF Model'!G33</f>
        <v>5981463.2244600086</v>
      </c>
    </row>
    <row r="10" spans="2:8" ht="14" customHeight="1" x14ac:dyDescent="0.3">
      <c r="B10" s="33" t="s">
        <v>38</v>
      </c>
      <c r="C10" s="35">
        <v>4076140</v>
      </c>
      <c r="D10" s="35">
        <f>'DCF Model'!C34</f>
        <v>4241033.11632</v>
      </c>
      <c r="E10" s="35">
        <f>'DCF Model'!D34</f>
        <v>4389469.2753911996</v>
      </c>
      <c r="F10" s="35">
        <f>'DCF Model'!E34</f>
        <v>4521153.3536529364</v>
      </c>
      <c r="G10" s="35">
        <f>'DCF Model'!F34</f>
        <v>4656787.9542625248</v>
      </c>
      <c r="H10" s="35">
        <f>'DCF Model'!G34</f>
        <v>4773207.6531190872</v>
      </c>
    </row>
    <row r="11" spans="2:8" ht="14" customHeight="1" x14ac:dyDescent="0.3">
      <c r="B11" s="8" t="s">
        <v>184</v>
      </c>
      <c r="C11" s="9"/>
      <c r="D11" s="9"/>
      <c r="E11" s="9"/>
      <c r="F11" s="9"/>
      <c r="G11" s="9"/>
      <c r="H11" s="9"/>
    </row>
    <row r="12" spans="2:8" ht="14" customHeight="1" x14ac:dyDescent="0.3">
      <c r="B12" s="33" t="s">
        <v>185</v>
      </c>
      <c r="C12" s="35">
        <v>932945</v>
      </c>
      <c r="D12" s="35">
        <f t="shared" ref="D12:H13" si="0">D9*D5/365</f>
        <v>1033794.5935342466</v>
      </c>
      <c r="E12" s="35">
        <f t="shared" si="0"/>
        <v>1069977.4043079452</v>
      </c>
      <c r="F12" s="35">
        <f t="shared" si="0"/>
        <v>1102076.7264371836</v>
      </c>
      <c r="G12" s="35">
        <f t="shared" si="0"/>
        <v>1135139.028230299</v>
      </c>
      <c r="H12" s="35">
        <f t="shared" si="0"/>
        <v>1163517.5039360565</v>
      </c>
    </row>
    <row r="13" spans="2:8" ht="14" customHeight="1" x14ac:dyDescent="0.3">
      <c r="B13" s="33" t="s">
        <v>186</v>
      </c>
      <c r="C13" s="35">
        <v>1018148</v>
      </c>
      <c r="D13" s="35">
        <f t="shared" si="0"/>
        <v>1045734.1930652055</v>
      </c>
      <c r="E13" s="35">
        <f t="shared" si="0"/>
        <v>1082334.8898224877</v>
      </c>
      <c r="F13" s="35">
        <f t="shared" si="0"/>
        <v>1114804.9365171622</v>
      </c>
      <c r="G13" s="35">
        <f t="shared" si="0"/>
        <v>1148249.0846126773</v>
      </c>
      <c r="H13" s="35">
        <f t="shared" si="0"/>
        <v>1176955.3117279941</v>
      </c>
    </row>
    <row r="14" spans="2:8" ht="14" customHeight="1" x14ac:dyDescent="0.3">
      <c r="B14" s="33" t="s">
        <v>187</v>
      </c>
      <c r="C14" s="35">
        <f t="shared" ref="C14:H14" si="1">C12+C13</f>
        <v>1951093</v>
      </c>
      <c r="D14" s="35">
        <f t="shared" si="1"/>
        <v>2079528.7865994521</v>
      </c>
      <c r="E14" s="35">
        <f t="shared" si="1"/>
        <v>2152312.2941304329</v>
      </c>
      <c r="F14" s="35">
        <f t="shared" si="1"/>
        <v>2216881.6629543458</v>
      </c>
      <c r="G14" s="35">
        <f t="shared" si="1"/>
        <v>2283388.1128429761</v>
      </c>
      <c r="H14" s="35">
        <f t="shared" si="1"/>
        <v>2340472.8156640506</v>
      </c>
    </row>
    <row r="15" spans="2:8" ht="14" customHeight="1" x14ac:dyDescent="0.3">
      <c r="B15" s="33" t="s">
        <v>188</v>
      </c>
      <c r="C15" s="35">
        <v>487654</v>
      </c>
      <c r="D15" s="35">
        <f>D10*D7/365</f>
        <v>546105.63415627403</v>
      </c>
      <c r="E15" s="35">
        <f>E10*E7/365</f>
        <v>565219.33135174355</v>
      </c>
      <c r="F15" s="35">
        <f>F10*F7/365</f>
        <v>582175.9112922959</v>
      </c>
      <c r="G15" s="35">
        <f>G10*G7/365</f>
        <v>599641.18863106484</v>
      </c>
      <c r="H15" s="35">
        <f>H10*H7/365</f>
        <v>614632.2183468414</v>
      </c>
    </row>
    <row r="16" spans="2:8" ht="14" customHeight="1" x14ac:dyDescent="0.3">
      <c r="B16" s="33" t="s">
        <v>189</v>
      </c>
      <c r="C16" s="35">
        <f t="shared" ref="C16:H16" si="2">C15</f>
        <v>487654</v>
      </c>
      <c r="D16" s="35">
        <f t="shared" si="2"/>
        <v>546105.63415627403</v>
      </c>
      <c r="E16" s="35">
        <f t="shared" si="2"/>
        <v>565219.33135174355</v>
      </c>
      <c r="F16" s="35">
        <f t="shared" si="2"/>
        <v>582175.9112922959</v>
      </c>
      <c r="G16" s="35">
        <f t="shared" si="2"/>
        <v>599641.18863106484</v>
      </c>
      <c r="H16" s="35">
        <f t="shared" si="2"/>
        <v>614632.2183468414</v>
      </c>
    </row>
    <row r="17" spans="2:8" ht="14" customHeight="1" x14ac:dyDescent="0.3">
      <c r="B17" s="22" t="s">
        <v>190</v>
      </c>
      <c r="C17" s="23"/>
      <c r="D17" s="23"/>
      <c r="E17" s="23"/>
      <c r="F17" s="23"/>
      <c r="G17" s="23"/>
      <c r="H17" s="23"/>
    </row>
    <row r="18" spans="2:8" ht="14" customHeight="1" x14ac:dyDescent="0.3">
      <c r="B18" s="33" t="s">
        <v>191</v>
      </c>
      <c r="C18" s="20">
        <f t="shared" ref="C18:H18" si="3">C14-C16</f>
        <v>1463439</v>
      </c>
      <c r="D18" s="20">
        <f t="shared" si="3"/>
        <v>1533423.152443178</v>
      </c>
      <c r="E18" s="20">
        <f t="shared" si="3"/>
        <v>1587092.9627786893</v>
      </c>
      <c r="F18" s="20">
        <f t="shared" si="3"/>
        <v>1634705.7516620499</v>
      </c>
      <c r="G18" s="20">
        <f t="shared" si="3"/>
        <v>1683746.9242119114</v>
      </c>
      <c r="H18" s="20">
        <f t="shared" si="3"/>
        <v>1725840.5973172092</v>
      </c>
    </row>
    <row r="19" spans="2:8" ht="14" customHeight="1" x14ac:dyDescent="0.3">
      <c r="B19" s="33" t="s">
        <v>100</v>
      </c>
      <c r="C19" s="36" t="s">
        <v>47</v>
      </c>
      <c r="D19" s="24">
        <f>D18-C18</f>
        <v>69984.152443177998</v>
      </c>
      <c r="E19" s="24">
        <f>E18-D18</f>
        <v>53669.810335511342</v>
      </c>
      <c r="F19" s="24">
        <f>F18-E18</f>
        <v>47612.788883360568</v>
      </c>
      <c r="G19" s="24">
        <f>G18-F18</f>
        <v>49041.172549861483</v>
      </c>
      <c r="H19" s="24">
        <f>H18-G18</f>
        <v>42093.673105297843</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71</v>
      </c>
      <c r="E25" s="30">
        <v>71</v>
      </c>
      <c r="F25" s="30">
        <v>71</v>
      </c>
      <c r="G25" s="30">
        <v>71</v>
      </c>
      <c r="H25" s="30">
        <v>71</v>
      </c>
    </row>
    <row r="26" spans="2:8" ht="14" customHeight="1" x14ac:dyDescent="0.3">
      <c r="B26" s="4" t="s">
        <v>121</v>
      </c>
      <c r="D26" s="30">
        <v>68</v>
      </c>
      <c r="E26" s="30">
        <v>68</v>
      </c>
      <c r="F26" s="30">
        <v>68</v>
      </c>
      <c r="G26" s="30">
        <v>68</v>
      </c>
      <c r="H26" s="30">
        <v>68</v>
      </c>
    </row>
    <row r="27" spans="2:8" ht="14" customHeight="1" x14ac:dyDescent="0.3">
      <c r="B27" s="4" t="s">
        <v>122</v>
      </c>
      <c r="D27" s="30">
        <v>71</v>
      </c>
      <c r="E27" s="30">
        <v>71</v>
      </c>
      <c r="F27" s="30">
        <v>71</v>
      </c>
      <c r="G27" s="30">
        <v>71</v>
      </c>
      <c r="H27" s="30">
        <v>71</v>
      </c>
    </row>
    <row r="28" spans="2:8" ht="14" customHeight="1" x14ac:dyDescent="0.3">
      <c r="B28" s="4" t="s">
        <v>123</v>
      </c>
      <c r="D28" s="30">
        <v>75</v>
      </c>
      <c r="E28" s="30">
        <v>75</v>
      </c>
      <c r="F28" s="30">
        <v>75</v>
      </c>
      <c r="G28" s="30">
        <v>75</v>
      </c>
      <c r="H28" s="30">
        <v>75</v>
      </c>
    </row>
    <row r="29" spans="2:8" ht="14" customHeight="1" x14ac:dyDescent="0.3">
      <c r="B29" s="4" t="s">
        <v>124</v>
      </c>
      <c r="D29" s="30">
        <v>79</v>
      </c>
      <c r="E29" s="30">
        <v>79</v>
      </c>
      <c r="F29" s="30">
        <v>79</v>
      </c>
      <c r="G29" s="30">
        <v>79</v>
      </c>
      <c r="H29" s="30">
        <v>79</v>
      </c>
    </row>
    <row r="31" spans="2:8" ht="14" customHeight="1" x14ac:dyDescent="0.3">
      <c r="B31" s="3" t="s">
        <v>194</v>
      </c>
    </row>
    <row r="32" spans="2:8" ht="14" customHeight="1" x14ac:dyDescent="0.3">
      <c r="B32" s="4" t="s">
        <v>84</v>
      </c>
      <c r="D32" s="30">
        <v>90</v>
      </c>
      <c r="E32" s="30">
        <v>90</v>
      </c>
      <c r="F32" s="30">
        <v>90</v>
      </c>
      <c r="G32" s="30">
        <v>90</v>
      </c>
      <c r="H32" s="30">
        <v>90</v>
      </c>
    </row>
    <row r="33" spans="2:8" ht="14" customHeight="1" x14ac:dyDescent="0.3">
      <c r="B33" s="4" t="s">
        <v>121</v>
      </c>
      <c r="D33" s="30">
        <v>84</v>
      </c>
      <c r="E33" s="30">
        <v>84</v>
      </c>
      <c r="F33" s="30">
        <v>84</v>
      </c>
      <c r="G33" s="30">
        <v>84</v>
      </c>
      <c r="H33" s="30">
        <v>84</v>
      </c>
    </row>
    <row r="34" spans="2:8" ht="14" customHeight="1" x14ac:dyDescent="0.3">
      <c r="B34" s="4" t="s">
        <v>122</v>
      </c>
      <c r="D34" s="30">
        <v>90</v>
      </c>
      <c r="E34" s="30">
        <v>90</v>
      </c>
      <c r="F34" s="30">
        <v>90</v>
      </c>
      <c r="G34" s="30">
        <v>90</v>
      </c>
      <c r="H34" s="30">
        <v>90</v>
      </c>
    </row>
    <row r="35" spans="2:8" ht="14" customHeight="1" x14ac:dyDescent="0.3">
      <c r="B35" s="4" t="s">
        <v>123</v>
      </c>
      <c r="D35" s="30">
        <v>97</v>
      </c>
      <c r="E35" s="30">
        <v>97</v>
      </c>
      <c r="F35" s="30">
        <v>97</v>
      </c>
      <c r="G35" s="30">
        <v>97</v>
      </c>
      <c r="H35" s="30">
        <v>97</v>
      </c>
    </row>
    <row r="36" spans="2:8" ht="14" customHeight="1" x14ac:dyDescent="0.3">
      <c r="B36" s="4" t="s">
        <v>124</v>
      </c>
      <c r="D36" s="30">
        <v>104</v>
      </c>
      <c r="E36" s="30">
        <v>104</v>
      </c>
      <c r="F36" s="30">
        <v>104</v>
      </c>
      <c r="G36" s="30">
        <v>104</v>
      </c>
      <c r="H36" s="30">
        <v>104</v>
      </c>
    </row>
    <row r="38" spans="2:8" ht="14" customHeight="1" x14ac:dyDescent="0.3">
      <c r="B38" s="3" t="s">
        <v>195</v>
      </c>
    </row>
    <row r="39" spans="2:8" ht="14" customHeight="1" x14ac:dyDescent="0.3">
      <c r="B39" s="4" t="s">
        <v>84</v>
      </c>
      <c r="D39" s="30">
        <v>47</v>
      </c>
      <c r="E39" s="30">
        <v>47</v>
      </c>
      <c r="F39" s="30">
        <v>47</v>
      </c>
      <c r="G39" s="30">
        <v>47</v>
      </c>
      <c r="H39" s="30">
        <v>47</v>
      </c>
    </row>
    <row r="40" spans="2:8" ht="14" customHeight="1" x14ac:dyDescent="0.3">
      <c r="B40" s="4" t="s">
        <v>121</v>
      </c>
      <c r="D40" s="30">
        <v>49</v>
      </c>
      <c r="E40" s="30">
        <v>49</v>
      </c>
      <c r="F40" s="30">
        <v>49</v>
      </c>
      <c r="G40" s="30">
        <v>49</v>
      </c>
      <c r="H40" s="30">
        <v>49</v>
      </c>
    </row>
    <row r="41" spans="2:8" ht="14" customHeight="1" x14ac:dyDescent="0.3">
      <c r="B41" s="4" t="s">
        <v>122</v>
      </c>
      <c r="D41" s="30">
        <v>47</v>
      </c>
      <c r="E41" s="30">
        <v>47</v>
      </c>
      <c r="F41" s="30">
        <v>47</v>
      </c>
      <c r="G41" s="30">
        <v>47</v>
      </c>
      <c r="H41" s="30">
        <v>47</v>
      </c>
    </row>
    <row r="42" spans="2:8" ht="14" customHeight="1" x14ac:dyDescent="0.3">
      <c r="B42" s="4" t="s">
        <v>123</v>
      </c>
      <c r="D42" s="30">
        <v>44</v>
      </c>
      <c r="E42" s="30">
        <v>44</v>
      </c>
      <c r="F42" s="30">
        <v>44</v>
      </c>
      <c r="G42" s="30">
        <v>44</v>
      </c>
      <c r="H42" s="30">
        <v>44</v>
      </c>
    </row>
    <row r="43" spans="2:8" ht="14" customHeight="1" x14ac:dyDescent="0.3">
      <c r="B43" s="4" t="s">
        <v>124</v>
      </c>
      <c r="D43" s="30">
        <v>41</v>
      </c>
      <c r="E43" s="30">
        <v>41</v>
      </c>
      <c r="F43" s="30">
        <v>41</v>
      </c>
      <c r="G43" s="30">
        <v>41</v>
      </c>
      <c r="H43" s="30">
        <v>41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6654276.3734999998</v>
      </c>
      <c r="E5" s="37">
        <f>D5+C24</f>
        <v>7106480.3734999998</v>
      </c>
      <c r="F5" s="37">
        <v>5110171</v>
      </c>
      <c r="G5" s="37">
        <v>630935</v>
      </c>
      <c r="H5" s="37">
        <v>418173</v>
      </c>
      <c r="I5" s="37">
        <v>369508</v>
      </c>
      <c r="J5" s="38">
        <f t="shared" ref="J5:J10" si="0">IFERROR(E5/G5,"")</f>
        <v>11.26341124442296</v>
      </c>
      <c r="K5" s="38">
        <f t="shared" ref="K5:K10" si="1">IFERROR(E5/F5,"")</f>
        <v>1.3906541236095622</v>
      </c>
      <c r="L5" s="38">
        <f t="shared" ref="L5:L10" si="2">IFERROR(D5/I5,"")</f>
        <v>18.008477146638231</v>
      </c>
      <c r="M5" s="38">
        <f t="shared" ref="M5:M10" si="3">IFERROR(D5/P5,"")</f>
        <v>2.4255281422844508</v>
      </c>
      <c r="N5" s="39">
        <f t="shared" ref="N5:N10" si="4">IFERROR(H5/F5,"")</f>
        <v>8.1831508182407198E-2</v>
      </c>
      <c r="O5" s="39">
        <f t="shared" ref="O5:O10" si="5">IFERROR(I5/P5,"")</f>
        <v>0.13468813173562769</v>
      </c>
      <c r="P5" s="37">
        <v>2743434</v>
      </c>
    </row>
    <row r="6" spans="2:17" ht="14" customHeight="1" x14ac:dyDescent="0.3">
      <c r="B6" s="4" t="s">
        <v>214</v>
      </c>
      <c r="C6" t="s">
        <v>215</v>
      </c>
      <c r="D6" s="37">
        <v>8366255</v>
      </c>
      <c r="E6" s="37">
        <v>8286649</v>
      </c>
      <c r="F6" s="37">
        <v>1182358</v>
      </c>
      <c r="G6" s="37">
        <v>215260</v>
      </c>
      <c r="H6" s="37">
        <v>188707</v>
      </c>
      <c r="I6" s="37">
        <v>157163</v>
      </c>
      <c r="J6" s="38">
        <f t="shared" si="0"/>
        <v>38.496000185821799</v>
      </c>
      <c r="K6" s="38">
        <f t="shared" si="1"/>
        <v>7.0085786200118747</v>
      </c>
      <c r="L6" s="38">
        <f t="shared" si="2"/>
        <v>53.23298104515694</v>
      </c>
      <c r="M6" s="38">
        <f t="shared" si="3"/>
        <v>14.929983260940171</v>
      </c>
      <c r="N6" s="39">
        <f t="shared" si="4"/>
        <v>0.15960225244807411</v>
      </c>
      <c r="O6" s="39">
        <f t="shared" si="5"/>
        <v>0.28046491043353811</v>
      </c>
      <c r="P6" s="37">
        <v>560366</v>
      </c>
    </row>
    <row r="7" spans="2:17" ht="14" customHeight="1" x14ac:dyDescent="0.3">
      <c r="B7" s="4" t="s">
        <v>216</v>
      </c>
      <c r="C7" t="s">
        <v>217</v>
      </c>
      <c r="D7" s="37">
        <v>2704240</v>
      </c>
      <c r="E7" s="37">
        <v>2964453</v>
      </c>
      <c r="F7" s="37">
        <v>1307560</v>
      </c>
      <c r="G7" s="37">
        <v>107075</v>
      </c>
      <c r="H7" s="37">
        <v>63857</v>
      </c>
      <c r="I7" s="37">
        <v>72514</v>
      </c>
      <c r="J7" s="38">
        <f t="shared" si="0"/>
        <v>27.685762316133552</v>
      </c>
      <c r="K7" s="38">
        <f t="shared" si="1"/>
        <v>2.2671640307136958</v>
      </c>
      <c r="L7" s="38">
        <f t="shared" si="2"/>
        <v>37.292660727583637</v>
      </c>
      <c r="M7" s="38">
        <f t="shared" si="3"/>
        <v>6.4842416220674837</v>
      </c>
      <c r="N7" s="39">
        <f t="shared" si="4"/>
        <v>4.88367646608951E-2</v>
      </c>
      <c r="O7" s="39">
        <f t="shared" si="5"/>
        <v>0.17387447008497822</v>
      </c>
      <c r="P7" s="37">
        <v>417048</v>
      </c>
    </row>
    <row r="8" spans="2:17" ht="14" customHeight="1" x14ac:dyDescent="0.3">
      <c r="B8" s="4" t="s">
        <v>218</v>
      </c>
      <c r="C8" t="s">
        <v>219</v>
      </c>
      <c r="D8" s="37">
        <v>4804935</v>
      </c>
      <c r="E8" s="37">
        <v>4427091</v>
      </c>
      <c r="F8" s="37">
        <v>7539975</v>
      </c>
      <c r="G8" s="37">
        <v>930612</v>
      </c>
      <c r="H8" s="37">
        <v>552538</v>
      </c>
      <c r="I8" s="37">
        <v>443755</v>
      </c>
      <c r="J8" s="38">
        <f t="shared" si="0"/>
        <v>4.75718237031115</v>
      </c>
      <c r="K8" s="38">
        <f t="shared" si="1"/>
        <v>0.5871492942615858</v>
      </c>
      <c r="L8" s="38">
        <f t="shared" si="2"/>
        <v>10.827900530698246</v>
      </c>
      <c r="M8" s="38">
        <f t="shared" si="3"/>
        <v>0.87478737645623117</v>
      </c>
      <c r="N8" s="39">
        <f t="shared" si="4"/>
        <v>7.3281144831382067E-2</v>
      </c>
      <c r="O8" s="39">
        <f t="shared" si="5"/>
        <v>8.0790119375045627E-2</v>
      </c>
      <c r="P8" s="37">
        <v>5492689</v>
      </c>
    </row>
    <row r="9" spans="2:17" ht="14" customHeight="1" x14ac:dyDescent="0.3">
      <c r="B9" s="4" t="s">
        <v>220</v>
      </c>
      <c r="C9" t="s">
        <v>221</v>
      </c>
      <c r="D9" s="37">
        <v>1568946</v>
      </c>
      <c r="E9" s="37">
        <v>1662550</v>
      </c>
      <c r="F9" s="37">
        <v>5117764</v>
      </c>
      <c r="G9" s="37">
        <v>493431</v>
      </c>
      <c r="H9" s="37">
        <v>228797</v>
      </c>
      <c r="I9" s="37">
        <v>171697</v>
      </c>
      <c r="J9" s="38">
        <f t="shared" si="0"/>
        <v>3.3693667402331835</v>
      </c>
      <c r="K9" s="38">
        <f t="shared" si="1"/>
        <v>0.32485866874674174</v>
      </c>
      <c r="L9" s="38">
        <f t="shared" si="2"/>
        <v>9.137876608210977</v>
      </c>
      <c r="M9" s="38">
        <f t="shared" si="3"/>
        <v>0.71297157603951333</v>
      </c>
      <c r="N9" s="39">
        <f t="shared" si="4"/>
        <v>4.4706438202308664E-2</v>
      </c>
      <c r="O9" s="39">
        <f t="shared" si="5"/>
        <v>7.8023769263732667E-2</v>
      </c>
      <c r="P9" s="37">
        <v>2200573</v>
      </c>
    </row>
    <row r="10" spans="2:17" ht="14" customHeight="1" x14ac:dyDescent="0.3">
      <c r="B10" s="4" t="s">
        <v>222</v>
      </c>
      <c r="C10" t="s">
        <v>223</v>
      </c>
      <c r="D10" s="37">
        <v>694192</v>
      </c>
      <c r="E10" s="37">
        <v>431194</v>
      </c>
      <c r="F10" s="37">
        <v>947610</v>
      </c>
      <c r="G10" s="37">
        <v>98142</v>
      </c>
      <c r="H10" s="37">
        <v>51439</v>
      </c>
      <c r="I10" s="37">
        <v>16539</v>
      </c>
      <c r="J10" s="38">
        <f t="shared" si="0"/>
        <v>4.3935725785086914</v>
      </c>
      <c r="K10" s="38">
        <f t="shared" si="1"/>
        <v>0.45503318875908866</v>
      </c>
      <c r="L10" s="38">
        <f t="shared" si="2"/>
        <v>41.973033436120687</v>
      </c>
      <c r="M10" s="38">
        <f t="shared" si="3"/>
        <v>1.1254350938116569</v>
      </c>
      <c r="N10" s="39">
        <f t="shared" si="4"/>
        <v>5.4282880087799835E-2</v>
      </c>
      <c r="O10" s="39">
        <f t="shared" si="5"/>
        <v>2.6813289430807317E-2</v>
      </c>
      <c r="P10" s="37">
        <v>616821</v>
      </c>
    </row>
    <row r="14" spans="2:17" ht="14" customHeight="1" x14ac:dyDescent="0.3">
      <c r="B14" s="3" t="s">
        <v>224</v>
      </c>
    </row>
    <row r="15" spans="2:17" ht="14" customHeight="1" x14ac:dyDescent="0.3">
      <c r="B15" s="4" t="s">
        <v>225</v>
      </c>
      <c r="D15" s="38">
        <f t="shared" ref="D15:I15" si="6">PERCENTILE(J6:J10,0.25)</f>
        <v>4.3935725785086914</v>
      </c>
      <c r="E15" s="38">
        <f t="shared" si="6"/>
        <v>0.45503318875908866</v>
      </c>
      <c r="F15" s="38">
        <f t="shared" si="6"/>
        <v>10.827900530698246</v>
      </c>
      <c r="G15" s="38">
        <f t="shared" si="6"/>
        <v>0.87478737645623117</v>
      </c>
      <c r="H15" s="39">
        <f t="shared" si="6"/>
        <v>4.88367646608951E-2</v>
      </c>
      <c r="I15" s="39">
        <f t="shared" si="6"/>
        <v>7.8023769263732667E-2</v>
      </c>
    </row>
    <row r="16" spans="2:17" ht="14" customHeight="1" x14ac:dyDescent="0.3">
      <c r="B16" s="4" t="s">
        <v>226</v>
      </c>
      <c r="D16" s="38">
        <f t="shared" ref="D16:I16" si="7">MEDIAN(J6:J10)</f>
        <v>4.75718237031115</v>
      </c>
      <c r="E16" s="38">
        <f t="shared" si="7"/>
        <v>0.5871492942615858</v>
      </c>
      <c r="F16" s="38">
        <f t="shared" si="7"/>
        <v>37.292660727583637</v>
      </c>
      <c r="G16" s="38">
        <f t="shared" si="7"/>
        <v>1.1254350938116569</v>
      </c>
      <c r="H16" s="39">
        <f t="shared" si="7"/>
        <v>5.4282880087799835E-2</v>
      </c>
      <c r="I16" s="39">
        <f t="shared" si="7"/>
        <v>8.0790119375045627E-2</v>
      </c>
    </row>
    <row r="17" spans="2:9" ht="14" customHeight="1" x14ac:dyDescent="0.3">
      <c r="B17" s="4" t="s">
        <v>227</v>
      </c>
      <c r="D17" s="38">
        <f t="shared" ref="D17:I17" si="8">PERCENTILE(J6:J10,0.75)</f>
        <v>27.685762316133552</v>
      </c>
      <c r="E17" s="38">
        <f t="shared" si="8"/>
        <v>2.2671640307136958</v>
      </c>
      <c r="F17" s="38">
        <f t="shared" si="8"/>
        <v>41.973033436120687</v>
      </c>
      <c r="G17" s="38">
        <f t="shared" si="8"/>
        <v>6.4842416220674837</v>
      </c>
      <c r="H17" s="39">
        <f t="shared" si="8"/>
        <v>7.3281144831382067E-2</v>
      </c>
      <c r="I17" s="39">
        <f t="shared" si="8"/>
        <v>0.17387447008497822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630935</v>
      </c>
    </row>
    <row r="22" spans="2:9" ht="14" customHeight="1" x14ac:dyDescent="0.3">
      <c r="B22" s="4" t="s">
        <v>231</v>
      </c>
      <c r="C22" s="5">
        <v>369508</v>
      </c>
    </row>
    <row r="23" spans="2:9" ht="14" customHeight="1" x14ac:dyDescent="0.3">
      <c r="B23" s="4" t="s">
        <v>232</v>
      </c>
      <c r="C23" s="15">
        <v>3119679500</v>
      </c>
    </row>
    <row r="24" spans="2:9" ht="14" customHeight="1" x14ac:dyDescent="0.3">
      <c r="B24" s="4" t="s">
        <v>73</v>
      </c>
      <c r="C24" s="5">
        <v>452204</v>
      </c>
    </row>
    <row r="26" spans="2:9" ht="14" customHeight="1" x14ac:dyDescent="0.3">
      <c r="B26" s="3" t="s">
        <v>233</v>
      </c>
    </row>
    <row r="27" spans="2:9" ht="14" customHeight="1" x14ac:dyDescent="0.3">
      <c r="B27" s="4" t="s">
        <v>234</v>
      </c>
      <c r="C27" s="24">
        <f>ROUND((C21*D16-C24)*1000000/C23,0)</f>
        <v>817</v>
      </c>
    </row>
    <row r="28" spans="2:9" ht="14" customHeight="1" x14ac:dyDescent="0.3">
      <c r="B28" s="4" t="s">
        <v>235</v>
      </c>
      <c r="C28" s="24">
        <f>ROUND(C22*F16*1000000/C23,0)</f>
        <v>4417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9.1079400749063663E-2</v>
      </c>
      <c r="E3" s="4" t="s">
        <v>238</v>
      </c>
      <c r="F3" s="16">
        <f>'DCF Model'!C13</f>
        <v>0.01</v>
      </c>
      <c r="H3" s="4" t="s">
        <v>239</v>
      </c>
      <c r="I3" s="14">
        <f>'DCF Model'!C14</f>
        <v>4.8</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7.6079400749063664E-2</v>
      </c>
      <c r="C7" s="37">
        <f>IFERROR(ROUND(('DCF Model'!C45/(1+$B7)^('DCF Model'!C19+0)+'DCF Model'!D45/(1+$B7)^('DCF Model'!C19+1)+'DCF Model'!E45/(1+$B7)^('DCF Model'!C19+2)+'DCF Model'!F45/(1+$B7)^('DCF Model'!C19+3)+'DCF Model'!G45/(1+$B7)^('DCF Model'!C19+4)+'DCF Model'!G45*(1+C$6)/($B7-C$6)/(1+$B7)^('DCF Model'!C19+4)-'DCF Model'!C16)*1000000/'DCF Model'!C15,0),"")</f>
        <v>1166</v>
      </c>
      <c r="D7" s="37">
        <f>IFERROR(ROUND(('DCF Model'!C45/(1+$B7)^('DCF Model'!C19+0)+'DCF Model'!D45/(1+$B7)^('DCF Model'!C19+1)+'DCF Model'!E45/(1+$B7)^('DCF Model'!C19+2)+'DCF Model'!F45/(1+$B7)^('DCF Model'!C19+3)+'DCF Model'!G45/(1+$B7)^('DCF Model'!C19+4)+'DCF Model'!G45*(1+D$6)/($B7-D$6)/(1+$B7)^('DCF Model'!C19+4)-'DCF Model'!C16)*1000000/'DCF Model'!C15,0),"")</f>
        <v>1202</v>
      </c>
      <c r="E7" s="37">
        <f>IFERROR(ROUND(('DCF Model'!C45/(1+$B7)^('DCF Model'!C19+0)+'DCF Model'!D45/(1+$B7)^('DCF Model'!C19+1)+'DCF Model'!E45/(1+$B7)^('DCF Model'!C19+2)+'DCF Model'!F45/(1+$B7)^('DCF Model'!C19+3)+'DCF Model'!G45/(1+$B7)^('DCF Model'!C19+4)+'DCF Model'!G45*(1+E$6)/($B7-E$6)/(1+$B7)^('DCF Model'!C19+4)-'DCF Model'!C16)*1000000/'DCF Model'!C15,0),"")</f>
        <v>1240</v>
      </c>
      <c r="F7" s="37">
        <f>IFERROR(ROUND(('DCF Model'!C45/(1+$B7)^('DCF Model'!C19+0)+'DCF Model'!D45/(1+$B7)^('DCF Model'!C19+1)+'DCF Model'!E45/(1+$B7)^('DCF Model'!C19+2)+'DCF Model'!F45/(1+$B7)^('DCF Model'!C19+3)+'DCF Model'!G45/(1+$B7)^('DCF Model'!C19+4)+'DCF Model'!G45*(1+F$6)/($B7-F$6)/(1+$B7)^('DCF Model'!C19+4)-'DCF Model'!C16)*1000000/'DCF Model'!C15,0),"")</f>
        <v>1281</v>
      </c>
      <c r="G7" s="37">
        <f>IFERROR(ROUND(('DCF Model'!C45/(1+$B7)^('DCF Model'!C19+0)+'DCF Model'!D45/(1+$B7)^('DCF Model'!C19+1)+'DCF Model'!E45/(1+$B7)^('DCF Model'!C19+2)+'DCF Model'!F45/(1+$B7)^('DCF Model'!C19+3)+'DCF Model'!G45/(1+$B7)^('DCF Model'!C19+4)+'DCF Model'!G45*(1+G$6)/($B7-G$6)/(1+$B7)^('DCF Model'!C19+4)-'DCF Model'!C16)*1000000/'DCF Model'!C15,0),"")</f>
        <v>1326</v>
      </c>
      <c r="H7" s="37">
        <f>IFERROR(ROUND(('DCF Model'!C45/(1+$B7)^('DCF Model'!C19+0)+'DCF Model'!D45/(1+$B7)^('DCF Model'!C19+1)+'DCF Model'!E45/(1+$B7)^('DCF Model'!C19+2)+'DCF Model'!F45/(1+$B7)^('DCF Model'!C19+3)+'DCF Model'!G45/(1+$B7)^('DCF Model'!C19+4)+'DCF Model'!G45*(1+H$6)/($B7-H$6)/(1+$B7)^('DCF Model'!C19+4)-'DCF Model'!C16)*1000000/'DCF Model'!C15,0),"")</f>
        <v>1374</v>
      </c>
      <c r="I7" s="37">
        <f>IFERROR(ROUND(('DCF Model'!C45/(1+$B7)^('DCF Model'!C19+0)+'DCF Model'!D45/(1+$B7)^('DCF Model'!C19+1)+'DCF Model'!E45/(1+$B7)^('DCF Model'!C19+2)+'DCF Model'!F45/(1+$B7)^('DCF Model'!C19+3)+'DCF Model'!G45/(1+$B7)^('DCF Model'!C19+4)+'DCF Model'!G45*(1+I$6)/($B7-I$6)/(1+$B7)^('DCF Model'!C19+4)-'DCF Model'!C16)*1000000/'DCF Model'!C15,0),"")</f>
        <v>1426</v>
      </c>
    </row>
    <row r="8" spans="2:9" ht="13.5" customHeight="1" x14ac:dyDescent="0.25">
      <c r="B8" s="39">
        <f>$C$3-0.01</f>
        <v>8.1079400749063668E-2</v>
      </c>
      <c r="C8" s="37">
        <f>IFERROR(ROUND(('DCF Model'!C45/(1+$B8)^('DCF Model'!C19+0)+'DCF Model'!D45/(1+$B8)^('DCF Model'!C19+1)+'DCF Model'!E45/(1+$B8)^('DCF Model'!C19+2)+'DCF Model'!F45/(1+$B8)^('DCF Model'!C19+3)+'DCF Model'!G45/(1+$B8)^('DCF Model'!C19+4)+'DCF Model'!G45*(1+C$6)/($B8-C$6)/(1+$B8)^('DCF Model'!C19+4)-'DCF Model'!C16)*1000000/'DCF Model'!C15,0),"")</f>
        <v>1081</v>
      </c>
      <c r="D8" s="37">
        <f>IFERROR(ROUND(('DCF Model'!C45/(1+$B8)^('DCF Model'!C19+0)+'DCF Model'!D45/(1+$B8)^('DCF Model'!C19+1)+'DCF Model'!E45/(1+$B8)^('DCF Model'!C19+2)+'DCF Model'!F45/(1+$B8)^('DCF Model'!C19+3)+'DCF Model'!G45/(1+$B8)^('DCF Model'!C19+4)+'DCF Model'!G45*(1+D$6)/($B8-D$6)/(1+$B8)^('DCF Model'!C19+4)-'DCF Model'!C16)*1000000/'DCF Model'!C15,0),"")</f>
        <v>1111</v>
      </c>
      <c r="E8" s="37">
        <f>IFERROR(ROUND(('DCF Model'!C45/(1+$B8)^('DCF Model'!C19+0)+'DCF Model'!D45/(1+$B8)^('DCF Model'!C19+1)+'DCF Model'!E45/(1+$B8)^('DCF Model'!C19+2)+'DCF Model'!F45/(1+$B8)^('DCF Model'!C19+3)+'DCF Model'!G45/(1+$B8)^('DCF Model'!C19+4)+'DCF Model'!G45*(1+E$6)/($B8-E$6)/(1+$B8)^('DCF Model'!C19+4)-'DCF Model'!C16)*1000000/'DCF Model'!C15,0),"")</f>
        <v>1144</v>
      </c>
      <c r="F8" s="37">
        <f>IFERROR(ROUND(('DCF Model'!C45/(1+$B8)^('DCF Model'!C19+0)+'DCF Model'!D45/(1+$B8)^('DCF Model'!C19+1)+'DCF Model'!E45/(1+$B8)^('DCF Model'!C19+2)+'DCF Model'!F45/(1+$B8)^('DCF Model'!C19+3)+'DCF Model'!G45/(1+$B8)^('DCF Model'!C19+4)+'DCF Model'!G45*(1+F$6)/($B8-F$6)/(1+$B8)^('DCF Model'!C19+4)-'DCF Model'!C16)*1000000/'DCF Model'!C15,0),"")</f>
        <v>1179</v>
      </c>
      <c r="G8" s="37">
        <f>IFERROR(ROUND(('DCF Model'!C45/(1+$B8)^('DCF Model'!C19+0)+'DCF Model'!D45/(1+$B8)^('DCF Model'!C19+1)+'DCF Model'!E45/(1+$B8)^('DCF Model'!C19+2)+'DCF Model'!F45/(1+$B8)^('DCF Model'!C19+3)+'DCF Model'!G45/(1+$B8)^('DCF Model'!C19+4)+'DCF Model'!G45*(1+G$6)/($B8-G$6)/(1+$B8)^('DCF Model'!C19+4)-'DCF Model'!C16)*1000000/'DCF Model'!C15,0),"")</f>
        <v>1217</v>
      </c>
      <c r="H8" s="37">
        <f>IFERROR(ROUND(('DCF Model'!C45/(1+$B8)^('DCF Model'!C19+0)+'DCF Model'!D45/(1+$B8)^('DCF Model'!C19+1)+'DCF Model'!E45/(1+$B8)^('DCF Model'!C19+2)+'DCF Model'!F45/(1+$B8)^('DCF Model'!C19+3)+'DCF Model'!G45/(1+$B8)^('DCF Model'!C19+4)+'DCF Model'!G45*(1+H$6)/($B8-H$6)/(1+$B8)^('DCF Model'!C19+4)-'DCF Model'!C16)*1000000/'DCF Model'!C15,0),"")</f>
        <v>1257</v>
      </c>
      <c r="I8" s="37">
        <f>IFERROR(ROUND(('DCF Model'!C45/(1+$B8)^('DCF Model'!C19+0)+'DCF Model'!D45/(1+$B8)^('DCF Model'!C19+1)+'DCF Model'!E45/(1+$B8)^('DCF Model'!C19+2)+'DCF Model'!F45/(1+$B8)^('DCF Model'!C19+3)+'DCF Model'!G45/(1+$B8)^('DCF Model'!C19+4)+'DCF Model'!G45*(1+I$6)/($B8-I$6)/(1+$B8)^('DCF Model'!C19+4)-'DCF Model'!C16)*1000000/'DCF Model'!C15,0),"")</f>
        <v>1301</v>
      </c>
    </row>
    <row r="9" spans="2:9" ht="13.5" customHeight="1" x14ac:dyDescent="0.25">
      <c r="B9" s="39">
        <f>$C$3-0.005</f>
        <v>8.6079400749063659E-2</v>
      </c>
      <c r="C9" s="37">
        <f>IFERROR(ROUND(('DCF Model'!C45/(1+$B9)^('DCF Model'!C19+0)+'DCF Model'!D45/(1+$B9)^('DCF Model'!C19+1)+'DCF Model'!E45/(1+$B9)^('DCF Model'!C19+2)+'DCF Model'!F45/(1+$B9)^('DCF Model'!C19+3)+'DCF Model'!G45/(1+$B9)^('DCF Model'!C19+4)+'DCF Model'!G45*(1+C$6)/($B9-C$6)/(1+$B9)^('DCF Model'!C19+4)-'DCF Model'!C16)*1000000/'DCF Model'!C15,0),"")</f>
        <v>1006</v>
      </c>
      <c r="D9" s="37">
        <f>IFERROR(ROUND(('DCF Model'!C45/(1+$B9)^('DCF Model'!C19+0)+'DCF Model'!D45/(1+$B9)^('DCF Model'!C19+1)+'DCF Model'!E45/(1+$B9)^('DCF Model'!C19+2)+'DCF Model'!F45/(1+$B9)^('DCF Model'!C19+3)+'DCF Model'!G45/(1+$B9)^('DCF Model'!C19+4)+'DCF Model'!G45*(1+D$6)/($B9-D$6)/(1+$B9)^('DCF Model'!C19+4)-'DCF Model'!C16)*1000000/'DCF Model'!C15,0),"")</f>
        <v>1032</v>
      </c>
      <c r="E9" s="37">
        <f>IFERROR(ROUND(('DCF Model'!C45/(1+$B9)^('DCF Model'!C19+0)+'DCF Model'!D45/(1+$B9)^('DCF Model'!C19+1)+'DCF Model'!E45/(1+$B9)^('DCF Model'!C19+2)+'DCF Model'!F45/(1+$B9)^('DCF Model'!C19+3)+'DCF Model'!G45/(1+$B9)^('DCF Model'!C19+4)+'DCF Model'!G45*(1+E$6)/($B9-E$6)/(1+$B9)^('DCF Model'!C19+4)-'DCF Model'!C16)*1000000/'DCF Model'!C15,0),"")</f>
        <v>1060</v>
      </c>
      <c r="F9" s="37">
        <f>IFERROR(ROUND(('DCF Model'!C45/(1+$B9)^('DCF Model'!C19+0)+'DCF Model'!D45/(1+$B9)^('DCF Model'!C19+1)+'DCF Model'!E45/(1+$B9)^('DCF Model'!C19+2)+'DCF Model'!F45/(1+$B9)^('DCF Model'!C19+3)+'DCF Model'!G45/(1+$B9)^('DCF Model'!C19+4)+'DCF Model'!G45*(1+F$6)/($B9-F$6)/(1+$B9)^('DCF Model'!C19+4)-'DCF Model'!C16)*1000000/'DCF Model'!C15,0),"")</f>
        <v>1090</v>
      </c>
      <c r="G9" s="37">
        <f>IFERROR(ROUND(('DCF Model'!C45/(1+$B9)^('DCF Model'!C19+0)+'DCF Model'!D45/(1+$B9)^('DCF Model'!C19+1)+'DCF Model'!E45/(1+$B9)^('DCF Model'!C19+2)+'DCF Model'!F45/(1+$B9)^('DCF Model'!C19+3)+'DCF Model'!G45/(1+$B9)^('DCF Model'!C19+4)+'DCF Model'!G45*(1+G$6)/($B9-G$6)/(1+$B9)^('DCF Model'!C19+4)-'DCF Model'!C16)*1000000/'DCF Model'!C15,0),"")</f>
        <v>1123</v>
      </c>
      <c r="H9" s="37">
        <f>IFERROR(ROUND(('DCF Model'!C45/(1+$B9)^('DCF Model'!C19+0)+'DCF Model'!D45/(1+$B9)^('DCF Model'!C19+1)+'DCF Model'!E45/(1+$B9)^('DCF Model'!C19+2)+'DCF Model'!F45/(1+$B9)^('DCF Model'!C19+3)+'DCF Model'!G45/(1+$B9)^('DCF Model'!C19+4)+'DCF Model'!G45*(1+H$6)/($B9-H$6)/(1+$B9)^('DCF Model'!C19+4)-'DCF Model'!C16)*1000000/'DCF Model'!C15,0),"")</f>
        <v>1157</v>
      </c>
      <c r="I9" s="37">
        <f>IFERROR(ROUND(('DCF Model'!C45/(1+$B9)^('DCF Model'!C19+0)+'DCF Model'!D45/(1+$B9)^('DCF Model'!C19+1)+'DCF Model'!E45/(1+$B9)^('DCF Model'!C19+2)+'DCF Model'!F45/(1+$B9)^('DCF Model'!C19+3)+'DCF Model'!G45/(1+$B9)^('DCF Model'!C19+4)+'DCF Model'!G45*(1+I$6)/($B9-I$6)/(1+$B9)^('DCF Model'!C19+4)-'DCF Model'!C16)*1000000/'DCF Model'!C15,0),"")</f>
        <v>1194</v>
      </c>
    </row>
    <row r="10" spans="2:9" ht="13.5" customHeight="1" x14ac:dyDescent="0.25">
      <c r="B10" s="39">
        <f>$C$3</f>
        <v>9.1079400749063663E-2</v>
      </c>
      <c r="C10" s="37">
        <f>IFERROR(ROUND(('DCF Model'!C45/(1+$B10)^('DCF Model'!C19+0)+'DCF Model'!D45/(1+$B10)^('DCF Model'!C19+1)+'DCF Model'!E45/(1+$B10)^('DCF Model'!C19+2)+'DCF Model'!F45/(1+$B10)^('DCF Model'!C19+3)+'DCF Model'!G45/(1+$B10)^('DCF Model'!C19+4)+'DCF Model'!G45*(1+C$6)/($B10-C$6)/(1+$B10)^('DCF Model'!C19+4)-'DCF Model'!C16)*1000000/'DCF Model'!C15,0),"")</f>
        <v>939</v>
      </c>
      <c r="D10" s="37">
        <f>IFERROR(ROUND(('DCF Model'!C45/(1+$B10)^('DCF Model'!C19+0)+'DCF Model'!D45/(1+$B10)^('DCF Model'!C19+1)+'DCF Model'!E45/(1+$B10)^('DCF Model'!C19+2)+'DCF Model'!F45/(1+$B10)^('DCF Model'!C19+3)+'DCF Model'!G45/(1+$B10)^('DCF Model'!C19+4)+'DCF Model'!G45*(1+D$6)/($B10-D$6)/(1+$B10)^('DCF Model'!C19+4)-'DCF Model'!C16)*1000000/'DCF Model'!C15,0),"")</f>
        <v>962</v>
      </c>
      <c r="E10" s="37">
        <f>IFERROR(ROUND(('DCF Model'!C45/(1+$B10)^('DCF Model'!C19+0)+'DCF Model'!D45/(1+$B10)^('DCF Model'!C19+1)+'DCF Model'!E45/(1+$B10)^('DCF Model'!C19+2)+'DCF Model'!F45/(1+$B10)^('DCF Model'!C19+3)+'DCF Model'!G45/(1+$B10)^('DCF Model'!C19+4)+'DCF Model'!G45*(1+E$6)/($B10-E$6)/(1+$B10)^('DCF Model'!C19+4)-'DCF Model'!C16)*1000000/'DCF Model'!C15,0),"")</f>
        <v>987</v>
      </c>
      <c r="F10" s="37">
        <f>IFERROR(ROUND(('DCF Model'!C45/(1+$B10)^('DCF Model'!C19+0)+'DCF Model'!D45/(1+$B10)^('DCF Model'!C19+1)+'DCF Model'!E45/(1+$B10)^('DCF Model'!C19+2)+'DCF Model'!F45/(1+$B10)^('DCF Model'!C19+3)+'DCF Model'!G45/(1+$B10)^('DCF Model'!C19+4)+'DCF Model'!G45*(1+F$6)/($B10-F$6)/(1+$B10)^('DCF Model'!C19+4)-'DCF Model'!C16)*1000000/'DCF Model'!C15,0),"")</f>
        <v>1013</v>
      </c>
      <c r="G10" s="37">
        <f>IFERROR(ROUND(('DCF Model'!C45/(1+$B10)^('DCF Model'!C19+0)+'DCF Model'!D45/(1+$B10)^('DCF Model'!C19+1)+'DCF Model'!E45/(1+$B10)^('DCF Model'!C19+2)+'DCF Model'!F45/(1+$B10)^('DCF Model'!C19+3)+'DCF Model'!G45/(1+$B10)^('DCF Model'!C19+4)+'DCF Model'!G45*(1+G$6)/($B10-G$6)/(1+$B10)^('DCF Model'!C19+4)-'DCF Model'!C16)*1000000/'DCF Model'!C15,0),"")</f>
        <v>1040</v>
      </c>
      <c r="H10" s="37">
        <f>IFERROR(ROUND(('DCF Model'!C45/(1+$B10)^('DCF Model'!C19+0)+'DCF Model'!D45/(1+$B10)^('DCF Model'!C19+1)+'DCF Model'!E45/(1+$B10)^('DCF Model'!C19+2)+'DCF Model'!F45/(1+$B10)^('DCF Model'!C19+3)+'DCF Model'!G45/(1+$B10)^('DCF Model'!C19+4)+'DCF Model'!G45*(1+H$6)/($B10-H$6)/(1+$B10)^('DCF Model'!C19+4)-'DCF Model'!C16)*1000000/'DCF Model'!C15,0),"")</f>
        <v>1070</v>
      </c>
      <c r="I10" s="37">
        <f>IFERROR(ROUND(('DCF Model'!C45/(1+$B10)^('DCF Model'!C19+0)+'DCF Model'!D45/(1+$B10)^('DCF Model'!C19+1)+'DCF Model'!E45/(1+$B10)^('DCF Model'!C19+2)+'DCF Model'!F45/(1+$B10)^('DCF Model'!C19+3)+'DCF Model'!G45/(1+$B10)^('DCF Model'!C19+4)+'DCF Model'!G45*(1+I$6)/($B10-I$6)/(1+$B10)^('DCF Model'!C19+4)-'DCF Model'!C16)*1000000/'DCF Model'!C15,0),"")</f>
        <v>1102</v>
      </c>
    </row>
    <row r="11" spans="2:9" ht="13.5" customHeight="1" x14ac:dyDescent="0.25">
      <c r="B11" s="39">
        <f>$C$3+0.005</f>
        <v>9.6079400749063668E-2</v>
      </c>
      <c r="C11" s="37">
        <f>IFERROR(ROUND(('DCF Model'!C45/(1+$B11)^('DCF Model'!C19+0)+'DCF Model'!D45/(1+$B11)^('DCF Model'!C19+1)+'DCF Model'!E45/(1+$B11)^('DCF Model'!C19+2)+'DCF Model'!F45/(1+$B11)^('DCF Model'!C19+3)+'DCF Model'!G45/(1+$B11)^('DCF Model'!C19+4)+'DCF Model'!G45*(1+C$6)/($B11-C$6)/(1+$B11)^('DCF Model'!C19+4)-'DCF Model'!C16)*1000000/'DCF Model'!C15,0),"")</f>
        <v>879</v>
      </c>
      <c r="D11" s="37">
        <f>IFERROR(ROUND(('DCF Model'!C45/(1+$B11)^('DCF Model'!C19+0)+'DCF Model'!D45/(1+$B11)^('DCF Model'!C19+1)+'DCF Model'!E45/(1+$B11)^('DCF Model'!C19+2)+'DCF Model'!F45/(1+$B11)^('DCF Model'!C19+3)+'DCF Model'!G45/(1+$B11)^('DCF Model'!C19+4)+'DCF Model'!G45*(1+D$6)/($B11-D$6)/(1+$B11)^('DCF Model'!C19+4)-'DCF Model'!C16)*1000000/'DCF Model'!C15,0),"")</f>
        <v>900</v>
      </c>
      <c r="E11" s="37">
        <f>IFERROR(ROUND(('DCF Model'!C45/(1+$B11)^('DCF Model'!C19+0)+'DCF Model'!D45/(1+$B11)^('DCF Model'!C19+1)+'DCF Model'!E45/(1+$B11)^('DCF Model'!C19+2)+'DCF Model'!F45/(1+$B11)^('DCF Model'!C19+3)+'DCF Model'!G45/(1+$B11)^('DCF Model'!C19+4)+'DCF Model'!G45*(1+E$6)/($B11-E$6)/(1+$B11)^('DCF Model'!C19+4)-'DCF Model'!C16)*1000000/'DCF Model'!C15,0),"")</f>
        <v>921</v>
      </c>
      <c r="F11" s="37">
        <f>IFERROR(ROUND(('DCF Model'!C45/(1+$B11)^('DCF Model'!C19+0)+'DCF Model'!D45/(1+$B11)^('DCF Model'!C19+1)+'DCF Model'!E45/(1+$B11)^('DCF Model'!C19+2)+'DCF Model'!F45/(1+$B11)^('DCF Model'!C19+3)+'DCF Model'!G45/(1+$B11)^('DCF Model'!C19+4)+'DCF Model'!G45*(1+F$6)/($B11-F$6)/(1+$B11)^('DCF Model'!C19+4)-'DCF Model'!C16)*1000000/'DCF Model'!C15,0),"")</f>
        <v>944</v>
      </c>
      <c r="G11" s="37">
        <f>IFERROR(ROUND(('DCF Model'!C45/(1+$B11)^('DCF Model'!C19+0)+'DCF Model'!D45/(1+$B11)^('DCF Model'!C19+1)+'DCF Model'!E45/(1+$B11)^('DCF Model'!C19+2)+'DCF Model'!F45/(1+$B11)^('DCF Model'!C19+3)+'DCF Model'!G45/(1+$B11)^('DCF Model'!C19+4)+'DCF Model'!G45*(1+G$6)/($B11-G$6)/(1+$B11)^('DCF Model'!C19+4)-'DCF Model'!C16)*1000000/'DCF Model'!C15,0),"")</f>
        <v>968</v>
      </c>
      <c r="H11" s="37">
        <f>IFERROR(ROUND(('DCF Model'!C45/(1+$B11)^('DCF Model'!C19+0)+'DCF Model'!D45/(1+$B11)^('DCF Model'!C19+1)+'DCF Model'!E45/(1+$B11)^('DCF Model'!C19+2)+'DCF Model'!F45/(1+$B11)^('DCF Model'!C19+3)+'DCF Model'!G45/(1+$B11)^('DCF Model'!C19+4)+'DCF Model'!G45*(1+H$6)/($B11-H$6)/(1+$B11)^('DCF Model'!C19+4)-'DCF Model'!C16)*1000000/'DCF Model'!C15,0),"")</f>
        <v>994</v>
      </c>
      <c r="I11" s="37">
        <f>IFERROR(ROUND(('DCF Model'!C45/(1+$B11)^('DCF Model'!C19+0)+'DCF Model'!D45/(1+$B11)^('DCF Model'!C19+1)+'DCF Model'!E45/(1+$B11)^('DCF Model'!C19+2)+'DCF Model'!F45/(1+$B11)^('DCF Model'!C19+3)+'DCF Model'!G45/(1+$B11)^('DCF Model'!C19+4)+'DCF Model'!G45*(1+I$6)/($B11-I$6)/(1+$B11)^('DCF Model'!C19+4)-'DCF Model'!C16)*1000000/'DCF Model'!C15,0),"")</f>
        <v>1021</v>
      </c>
    </row>
    <row r="12" spans="2:9" ht="13.5" customHeight="1" x14ac:dyDescent="0.25">
      <c r="B12" s="39">
        <f>$C$3+0.01</f>
        <v>0.10107940074906366</v>
      </c>
      <c r="C12" s="37">
        <f>IFERROR(ROUND(('DCF Model'!C45/(1+$B12)^('DCF Model'!C19+0)+'DCF Model'!D45/(1+$B12)^('DCF Model'!C19+1)+'DCF Model'!E45/(1+$B12)^('DCF Model'!C19+2)+'DCF Model'!F45/(1+$B12)^('DCF Model'!C19+3)+'DCF Model'!G45/(1+$B12)^('DCF Model'!C19+4)+'DCF Model'!G45*(1+C$6)/($B12-C$6)/(1+$B12)^('DCF Model'!C19+4)-'DCF Model'!C16)*1000000/'DCF Model'!C15,0),"")</f>
        <v>826</v>
      </c>
      <c r="D12" s="37">
        <f>IFERROR(ROUND(('DCF Model'!C45/(1+$B12)^('DCF Model'!C19+0)+'DCF Model'!D45/(1+$B12)^('DCF Model'!C19+1)+'DCF Model'!E45/(1+$B12)^('DCF Model'!C19+2)+'DCF Model'!F45/(1+$B12)^('DCF Model'!C19+3)+'DCF Model'!G45/(1+$B12)^('DCF Model'!C19+4)+'DCF Model'!G45*(1+D$6)/($B12-D$6)/(1+$B12)^('DCF Model'!C19+4)-'DCF Model'!C16)*1000000/'DCF Model'!C15,0),"")</f>
        <v>844</v>
      </c>
      <c r="E12" s="37">
        <f>IFERROR(ROUND(('DCF Model'!C45/(1+$B12)^('DCF Model'!C19+0)+'DCF Model'!D45/(1+$B12)^('DCF Model'!C19+1)+'DCF Model'!E45/(1+$B12)^('DCF Model'!C19+2)+'DCF Model'!F45/(1+$B12)^('DCF Model'!C19+3)+'DCF Model'!G45/(1+$B12)^('DCF Model'!C19+4)+'DCF Model'!G45*(1+E$6)/($B12-E$6)/(1+$B12)^('DCF Model'!C19+4)-'DCF Model'!C16)*1000000/'DCF Model'!C15,0),"")</f>
        <v>863</v>
      </c>
      <c r="F12" s="37">
        <f>IFERROR(ROUND(('DCF Model'!C45/(1+$B12)^('DCF Model'!C19+0)+'DCF Model'!D45/(1+$B12)^('DCF Model'!C19+1)+'DCF Model'!E45/(1+$B12)^('DCF Model'!C19+2)+'DCF Model'!F45/(1+$B12)^('DCF Model'!C19+3)+'DCF Model'!G45/(1+$B12)^('DCF Model'!C19+4)+'DCF Model'!G45*(1+F$6)/($B12-F$6)/(1+$B12)^('DCF Model'!C19+4)-'DCF Model'!C16)*1000000/'DCF Model'!C15,0),"")</f>
        <v>883</v>
      </c>
      <c r="G12" s="37">
        <f>IFERROR(ROUND(('DCF Model'!C45/(1+$B12)^('DCF Model'!C19+0)+'DCF Model'!D45/(1+$B12)^('DCF Model'!C19+1)+'DCF Model'!E45/(1+$B12)^('DCF Model'!C19+2)+'DCF Model'!F45/(1+$B12)^('DCF Model'!C19+3)+'DCF Model'!G45/(1+$B12)^('DCF Model'!C19+4)+'DCF Model'!G45*(1+G$6)/($B12-G$6)/(1+$B12)^('DCF Model'!C19+4)-'DCF Model'!C16)*1000000/'DCF Model'!C15,0),"")</f>
        <v>904</v>
      </c>
      <c r="H12" s="37">
        <f>IFERROR(ROUND(('DCF Model'!C45/(1+$B12)^('DCF Model'!C19+0)+'DCF Model'!D45/(1+$B12)^('DCF Model'!C19+1)+'DCF Model'!E45/(1+$B12)^('DCF Model'!C19+2)+'DCF Model'!F45/(1+$B12)^('DCF Model'!C19+3)+'DCF Model'!G45/(1+$B12)^('DCF Model'!C19+4)+'DCF Model'!G45*(1+H$6)/($B12-H$6)/(1+$B12)^('DCF Model'!C19+4)-'DCF Model'!C16)*1000000/'DCF Model'!C15,0),"")</f>
        <v>926</v>
      </c>
      <c r="I12" s="37">
        <f>IFERROR(ROUND(('DCF Model'!C45/(1+$B12)^('DCF Model'!C19+0)+'DCF Model'!D45/(1+$B12)^('DCF Model'!C19+1)+'DCF Model'!E45/(1+$B12)^('DCF Model'!C19+2)+'DCF Model'!F45/(1+$B12)^('DCF Model'!C19+3)+'DCF Model'!G45/(1+$B12)^('DCF Model'!C19+4)+'DCF Model'!G45*(1+I$6)/($B12-I$6)/(1+$B12)^('DCF Model'!C19+4)-'DCF Model'!C16)*1000000/'DCF Model'!C15,0),"")</f>
        <v>950</v>
      </c>
    </row>
    <row r="13" spans="2:9" ht="13.5" customHeight="1" x14ac:dyDescent="0.25">
      <c r="B13" s="39">
        <f>$C$3+0.015</f>
        <v>0.10607940074906366</v>
      </c>
      <c r="C13" s="37">
        <f>IFERROR(ROUND(('DCF Model'!C45/(1+$B13)^('DCF Model'!C19+0)+'DCF Model'!D45/(1+$B13)^('DCF Model'!C19+1)+'DCF Model'!E45/(1+$B13)^('DCF Model'!C19+2)+'DCF Model'!F45/(1+$B13)^('DCF Model'!C19+3)+'DCF Model'!G45/(1+$B13)^('DCF Model'!C19+4)+'DCF Model'!G45*(1+C$6)/($B13-C$6)/(1+$B13)^('DCF Model'!C19+4)-'DCF Model'!C16)*1000000/'DCF Model'!C15,0),"")</f>
        <v>778</v>
      </c>
      <c r="D13" s="37">
        <f>IFERROR(ROUND(('DCF Model'!C45/(1+$B13)^('DCF Model'!C19+0)+'DCF Model'!D45/(1+$B13)^('DCF Model'!C19+1)+'DCF Model'!E45/(1+$B13)^('DCF Model'!C19+2)+'DCF Model'!F45/(1+$B13)^('DCF Model'!C19+3)+'DCF Model'!G45/(1+$B13)^('DCF Model'!C19+4)+'DCF Model'!G45*(1+D$6)/($B13-D$6)/(1+$B13)^('DCF Model'!C19+4)-'DCF Model'!C16)*1000000/'DCF Model'!C15,0),"")</f>
        <v>794</v>
      </c>
      <c r="E13" s="37">
        <f>IFERROR(ROUND(('DCF Model'!C45/(1+$B13)^('DCF Model'!C19+0)+'DCF Model'!D45/(1+$B13)^('DCF Model'!C19+1)+'DCF Model'!E45/(1+$B13)^('DCF Model'!C19+2)+'DCF Model'!F45/(1+$B13)^('DCF Model'!C19+3)+'DCF Model'!G45/(1+$B13)^('DCF Model'!C19+4)+'DCF Model'!G45*(1+E$6)/($B13-E$6)/(1+$B13)^('DCF Model'!C19+4)-'DCF Model'!C16)*1000000/'DCF Model'!C15,0),"")</f>
        <v>810</v>
      </c>
      <c r="F13" s="37">
        <f>IFERROR(ROUND(('DCF Model'!C45/(1+$B13)^('DCF Model'!C19+0)+'DCF Model'!D45/(1+$B13)^('DCF Model'!C19+1)+'DCF Model'!E45/(1+$B13)^('DCF Model'!C19+2)+'DCF Model'!F45/(1+$B13)^('DCF Model'!C19+3)+'DCF Model'!G45/(1+$B13)^('DCF Model'!C19+4)+'DCF Model'!G45*(1+F$6)/($B13-F$6)/(1+$B13)^('DCF Model'!C19+4)-'DCF Model'!C16)*1000000/'DCF Model'!C15,0),"")</f>
        <v>828</v>
      </c>
      <c r="G13" s="37">
        <f>IFERROR(ROUND(('DCF Model'!C45/(1+$B13)^('DCF Model'!C19+0)+'DCF Model'!D45/(1+$B13)^('DCF Model'!C19+1)+'DCF Model'!E45/(1+$B13)^('DCF Model'!C19+2)+'DCF Model'!F45/(1+$B13)^('DCF Model'!C19+3)+'DCF Model'!G45/(1+$B13)^('DCF Model'!C19+4)+'DCF Model'!G45*(1+G$6)/($B13-G$6)/(1+$B13)^('DCF Model'!C19+4)-'DCF Model'!C16)*1000000/'DCF Model'!C15,0),"")</f>
        <v>847</v>
      </c>
      <c r="H13" s="37">
        <f>IFERROR(ROUND(('DCF Model'!C45/(1+$B13)^('DCF Model'!C19+0)+'DCF Model'!D45/(1+$B13)^('DCF Model'!C19+1)+'DCF Model'!E45/(1+$B13)^('DCF Model'!C19+2)+'DCF Model'!F45/(1+$B13)^('DCF Model'!C19+3)+'DCF Model'!G45/(1+$B13)^('DCF Model'!C19+4)+'DCF Model'!G45*(1+H$6)/($B13-H$6)/(1+$B13)^('DCF Model'!C19+4)-'DCF Model'!C16)*1000000/'DCF Model'!C15,0),"")</f>
        <v>866</v>
      </c>
      <c r="I13" s="37">
        <f>IFERROR(ROUND(('DCF Model'!C45/(1+$B13)^('DCF Model'!C19+0)+'DCF Model'!D45/(1+$B13)^('DCF Model'!C19+1)+'DCF Model'!E45/(1+$B13)^('DCF Model'!C19+2)+'DCF Model'!F45/(1+$B13)^('DCF Model'!C19+3)+'DCF Model'!G45/(1+$B13)^('DCF Model'!C19+4)+'DCF Model'!G45*(1+I$6)/($B13-I$6)/(1+$B13)^('DCF Model'!C19+4)-'DCF Model'!C16)*1000000/'DCF Model'!C15,0),"")</f>
        <v>887</v>
      </c>
    </row>
    <row r="16" spans="2:9" ht="14" customHeight="1" x14ac:dyDescent="0.3">
      <c r="B16" s="3" t="s">
        <v>242</v>
      </c>
    </row>
    <row r="17" spans="2:9" ht="14" customHeight="1" x14ac:dyDescent="0.3">
      <c r="B17" s="40" t="s">
        <v>243</v>
      </c>
      <c r="C17" s="42">
        <f>$I$3-3</f>
        <v>1.7999999999999998</v>
      </c>
      <c r="D17" s="42">
        <f>$I$3-2</f>
        <v>2.8</v>
      </c>
      <c r="E17" s="42">
        <f>$I$3-1</f>
        <v>3.8</v>
      </c>
      <c r="F17" s="42">
        <f>$I$3</f>
        <v>4.8</v>
      </c>
      <c r="G17" s="42">
        <f>$I$3+1</f>
        <v>5.8</v>
      </c>
      <c r="H17" s="42">
        <f>$I$3+2</f>
        <v>6.8</v>
      </c>
      <c r="I17" s="42">
        <f>$I$3+3</f>
        <v>7.8</v>
      </c>
    </row>
    <row r="18" spans="2:9" ht="13.5" customHeight="1" x14ac:dyDescent="0.25">
      <c r="B18" s="39">
        <f>$C$3-0.015</f>
        <v>7.6079400749063664E-2</v>
      </c>
      <c r="C18" s="37">
        <f>IFERROR(ROUND(('DCF Model'!C45/(1+$B18)^('DCF Model'!C19+0)+'DCF Model'!D45/(1+$B18)^('DCF Model'!C19+1)+'DCF Model'!E45/(1+$B18)^('DCF Model'!C19+2)+'DCF Model'!F45/(1+$B18)^('DCF Model'!C19+3)+'DCF Model'!G45/(1+$B18)^('DCF Model'!C19+4)+('DCF Model'!G39+'DCF Model'!G42)*C$17/(1+$B18)^('DCF Model'!C19+4)-'DCF Model'!C16)*1000000/'DCF Model'!C15,0),"")</f>
        <v>515</v>
      </c>
      <c r="D18" s="37">
        <f>IFERROR(ROUND(('DCF Model'!C45/(1+$B18)^('DCF Model'!C19+0)+'DCF Model'!D45/(1+$B18)^('DCF Model'!C19+1)+'DCF Model'!E45/(1+$B18)^('DCF Model'!C19+2)+'DCF Model'!F45/(1+$B18)^('DCF Model'!C19+3)+'DCF Model'!G45/(1+$B18)^('DCF Model'!C19+4)+('DCF Model'!G39+'DCF Model'!G42)*D$17/(1+$B18)^('DCF Model'!C19+4)-'DCF Model'!C16)*1000000/'DCF Model'!C15,0),"")</f>
        <v>679</v>
      </c>
      <c r="E18" s="37">
        <f>IFERROR(ROUND(('DCF Model'!C45/(1+$B18)^('DCF Model'!C19+0)+'DCF Model'!D45/(1+$B18)^('DCF Model'!C19+1)+'DCF Model'!E45/(1+$B18)^('DCF Model'!C19+2)+'DCF Model'!F45/(1+$B18)^('DCF Model'!C19+3)+'DCF Model'!G45/(1+$B18)^('DCF Model'!C19+4)+('DCF Model'!G39+'DCF Model'!G42)*E$17/(1+$B18)^('DCF Model'!C19+4)-'DCF Model'!C16)*1000000/'DCF Model'!C15,0),"")</f>
        <v>843</v>
      </c>
      <c r="F18" s="37">
        <f>IFERROR(ROUND(('DCF Model'!C45/(1+$B18)^('DCF Model'!C19+0)+'DCF Model'!D45/(1+$B18)^('DCF Model'!C19+1)+'DCF Model'!E45/(1+$B18)^('DCF Model'!C19+2)+'DCF Model'!F45/(1+$B18)^('DCF Model'!C19+3)+'DCF Model'!G45/(1+$B18)^('DCF Model'!C19+4)+('DCF Model'!G39+'DCF Model'!G42)*F$17/(1+$B18)^('DCF Model'!C19+4)-'DCF Model'!C16)*1000000/'DCF Model'!C15,0),"")</f>
        <v>1007</v>
      </c>
      <c r="G18" s="37">
        <f>IFERROR(ROUND(('DCF Model'!C45/(1+$B18)^('DCF Model'!C19+0)+'DCF Model'!D45/(1+$B18)^('DCF Model'!C19+1)+'DCF Model'!E45/(1+$B18)^('DCF Model'!C19+2)+'DCF Model'!F45/(1+$B18)^('DCF Model'!C19+3)+'DCF Model'!G45/(1+$B18)^('DCF Model'!C19+4)+('DCF Model'!G39+'DCF Model'!G42)*G$17/(1+$B18)^('DCF Model'!C19+4)-'DCF Model'!C16)*1000000/'DCF Model'!C15,0),"")</f>
        <v>1172</v>
      </c>
      <c r="H18" s="37">
        <f>IFERROR(ROUND(('DCF Model'!C45/(1+$B18)^('DCF Model'!C19+0)+'DCF Model'!D45/(1+$B18)^('DCF Model'!C19+1)+'DCF Model'!E45/(1+$B18)^('DCF Model'!C19+2)+'DCF Model'!F45/(1+$B18)^('DCF Model'!C19+3)+'DCF Model'!G45/(1+$B18)^('DCF Model'!C19+4)+('DCF Model'!G39+'DCF Model'!G42)*H$17/(1+$B18)^('DCF Model'!C19+4)-'DCF Model'!C16)*1000000/'DCF Model'!C15,0),"")</f>
        <v>1336</v>
      </c>
      <c r="I18" s="37">
        <f>IFERROR(ROUND(('DCF Model'!C45/(1+$B18)^('DCF Model'!C19+0)+'DCF Model'!D45/(1+$B18)^('DCF Model'!C19+1)+'DCF Model'!E45/(1+$B18)^('DCF Model'!C19+2)+'DCF Model'!F45/(1+$B18)^('DCF Model'!C19+3)+'DCF Model'!G45/(1+$B18)^('DCF Model'!C19+4)+('DCF Model'!G39+'DCF Model'!G42)*I$17/(1+$B18)^('DCF Model'!C19+4)-'DCF Model'!C16)*1000000/'DCF Model'!C15,0),"")</f>
        <v>1500</v>
      </c>
    </row>
    <row r="19" spans="2:9" ht="13.5" customHeight="1" x14ac:dyDescent="0.25">
      <c r="B19" s="39">
        <f>$C$3-0.01</f>
        <v>8.1079400749063668E-2</v>
      </c>
      <c r="C19" s="37">
        <f>IFERROR(ROUND(('DCF Model'!C45/(1+$B19)^('DCF Model'!C19+0)+'DCF Model'!D45/(1+$B19)^('DCF Model'!C19+1)+'DCF Model'!E45/(1+$B19)^('DCF Model'!C19+2)+'DCF Model'!F45/(1+$B19)^('DCF Model'!C19+3)+'DCF Model'!G45/(1+$B19)^('DCF Model'!C19+4)+('DCF Model'!G39+'DCF Model'!G42)*C$17/(1+$B19)^('DCF Model'!C19+4)-'DCF Model'!C16)*1000000/'DCF Model'!C15,0),"")</f>
        <v>504</v>
      </c>
      <c r="D19" s="37">
        <f>IFERROR(ROUND(('DCF Model'!C45/(1+$B19)^('DCF Model'!C19+0)+'DCF Model'!D45/(1+$B19)^('DCF Model'!C19+1)+'DCF Model'!E45/(1+$B19)^('DCF Model'!C19+2)+'DCF Model'!F45/(1+$B19)^('DCF Model'!C19+3)+'DCF Model'!G45/(1+$B19)^('DCF Model'!C19+4)+('DCF Model'!G39+'DCF Model'!G42)*D$17/(1+$B19)^('DCF Model'!C19+4)-'DCF Model'!C16)*1000000/'DCF Model'!C15,0),"")</f>
        <v>664</v>
      </c>
      <c r="E19" s="37">
        <f>IFERROR(ROUND(('DCF Model'!C45/(1+$B19)^('DCF Model'!C19+0)+'DCF Model'!D45/(1+$B19)^('DCF Model'!C19+1)+'DCF Model'!E45/(1+$B19)^('DCF Model'!C19+2)+'DCF Model'!F45/(1+$B19)^('DCF Model'!C19+3)+'DCF Model'!G45/(1+$B19)^('DCF Model'!C19+4)+('DCF Model'!G39+'DCF Model'!G42)*E$17/(1+$B19)^('DCF Model'!C19+4)-'DCF Model'!C16)*1000000/'DCF Model'!C15,0),"")</f>
        <v>824</v>
      </c>
      <c r="F19" s="37">
        <f>IFERROR(ROUND(('DCF Model'!C45/(1+$B19)^('DCF Model'!C19+0)+'DCF Model'!D45/(1+$B19)^('DCF Model'!C19+1)+'DCF Model'!E45/(1+$B19)^('DCF Model'!C19+2)+'DCF Model'!F45/(1+$B19)^('DCF Model'!C19+3)+'DCF Model'!G45/(1+$B19)^('DCF Model'!C19+4)+('DCF Model'!G39+'DCF Model'!G42)*F$17/(1+$B19)^('DCF Model'!C19+4)-'DCF Model'!C16)*1000000/'DCF Model'!C15,0),"")</f>
        <v>984</v>
      </c>
      <c r="G19" s="37">
        <f>IFERROR(ROUND(('DCF Model'!C45/(1+$B19)^('DCF Model'!C19+0)+'DCF Model'!D45/(1+$B19)^('DCF Model'!C19+1)+'DCF Model'!E45/(1+$B19)^('DCF Model'!C19+2)+'DCF Model'!F45/(1+$B19)^('DCF Model'!C19+3)+'DCF Model'!G45/(1+$B19)^('DCF Model'!C19+4)+('DCF Model'!G39+'DCF Model'!G42)*G$17/(1+$B19)^('DCF Model'!C19+4)-'DCF Model'!C16)*1000000/'DCF Model'!C15,0),"")</f>
        <v>1145</v>
      </c>
      <c r="H19" s="37">
        <f>IFERROR(ROUND(('DCF Model'!C45/(1+$B19)^('DCF Model'!C19+0)+'DCF Model'!D45/(1+$B19)^('DCF Model'!C19+1)+'DCF Model'!E45/(1+$B19)^('DCF Model'!C19+2)+'DCF Model'!F45/(1+$B19)^('DCF Model'!C19+3)+'DCF Model'!G45/(1+$B19)^('DCF Model'!C19+4)+('DCF Model'!G39+'DCF Model'!G42)*H$17/(1+$B19)^('DCF Model'!C19+4)-'DCF Model'!C16)*1000000/'DCF Model'!C15,0),"")</f>
        <v>1305</v>
      </c>
      <c r="I19" s="37">
        <f>IFERROR(ROUND(('DCF Model'!C45/(1+$B19)^('DCF Model'!C19+0)+'DCF Model'!D45/(1+$B19)^('DCF Model'!C19+1)+'DCF Model'!E45/(1+$B19)^('DCF Model'!C19+2)+'DCF Model'!F45/(1+$B19)^('DCF Model'!C19+3)+'DCF Model'!G45/(1+$B19)^('DCF Model'!C19+4)+('DCF Model'!G39+'DCF Model'!G42)*I$17/(1+$B19)^('DCF Model'!C19+4)-'DCF Model'!C16)*1000000/'DCF Model'!C15,0),"")</f>
        <v>1465</v>
      </c>
    </row>
    <row r="20" spans="2:9" ht="13.5" customHeight="1" x14ac:dyDescent="0.25">
      <c r="B20" s="39">
        <f>$C$3-0.005</f>
        <v>8.6079400749063659E-2</v>
      </c>
      <c r="C20" s="37">
        <f>IFERROR(ROUND(('DCF Model'!C45/(1+$B20)^('DCF Model'!C19+0)+'DCF Model'!D45/(1+$B20)^('DCF Model'!C19+1)+'DCF Model'!E45/(1+$B20)^('DCF Model'!C19+2)+'DCF Model'!F45/(1+$B20)^('DCF Model'!C19+3)+'DCF Model'!G45/(1+$B20)^('DCF Model'!C19+4)+('DCF Model'!G39+'DCF Model'!G42)*C$17/(1+$B20)^('DCF Model'!C19+4)-'DCF Model'!C16)*1000000/'DCF Model'!C15,0),"")</f>
        <v>492</v>
      </c>
      <c r="D20" s="37">
        <f>IFERROR(ROUND(('DCF Model'!C45/(1+$B20)^('DCF Model'!C19+0)+'DCF Model'!D45/(1+$B20)^('DCF Model'!C19+1)+'DCF Model'!E45/(1+$B20)^('DCF Model'!C19+2)+'DCF Model'!F45/(1+$B20)^('DCF Model'!C19+3)+'DCF Model'!G45/(1+$B20)^('DCF Model'!C19+4)+('DCF Model'!G39+'DCF Model'!G42)*D$17/(1+$B20)^('DCF Model'!C19+4)-'DCF Model'!C16)*1000000/'DCF Model'!C15,0),"")</f>
        <v>649</v>
      </c>
      <c r="E20" s="37">
        <f>IFERROR(ROUND(('DCF Model'!C45/(1+$B20)^('DCF Model'!C19+0)+'DCF Model'!D45/(1+$B20)^('DCF Model'!C19+1)+'DCF Model'!E45/(1+$B20)^('DCF Model'!C19+2)+'DCF Model'!F45/(1+$B20)^('DCF Model'!C19+3)+'DCF Model'!G45/(1+$B20)^('DCF Model'!C19+4)+('DCF Model'!G39+'DCF Model'!G42)*E$17/(1+$B20)^('DCF Model'!C19+4)-'DCF Model'!C16)*1000000/'DCF Model'!C15,0),"")</f>
        <v>805</v>
      </c>
      <c r="F20" s="37">
        <f>IFERROR(ROUND(('DCF Model'!C45/(1+$B20)^('DCF Model'!C19+0)+'DCF Model'!D45/(1+$B20)^('DCF Model'!C19+1)+'DCF Model'!E45/(1+$B20)^('DCF Model'!C19+2)+'DCF Model'!F45/(1+$B20)^('DCF Model'!C19+3)+'DCF Model'!G45/(1+$B20)^('DCF Model'!C19+4)+('DCF Model'!G39+'DCF Model'!G42)*F$17/(1+$B20)^('DCF Model'!C19+4)-'DCF Model'!C16)*1000000/'DCF Model'!C15,0),"")</f>
        <v>962</v>
      </c>
      <c r="G20" s="37">
        <f>IFERROR(ROUND(('DCF Model'!C45/(1+$B20)^('DCF Model'!C19+0)+'DCF Model'!D45/(1+$B20)^('DCF Model'!C19+1)+'DCF Model'!E45/(1+$B20)^('DCF Model'!C19+2)+'DCF Model'!F45/(1+$B20)^('DCF Model'!C19+3)+'DCF Model'!G45/(1+$B20)^('DCF Model'!C19+4)+('DCF Model'!G39+'DCF Model'!G42)*G$17/(1+$B20)^('DCF Model'!C19+4)-'DCF Model'!C16)*1000000/'DCF Model'!C15,0),"")</f>
        <v>1119</v>
      </c>
      <c r="H20" s="37">
        <f>IFERROR(ROUND(('DCF Model'!C45/(1+$B20)^('DCF Model'!C19+0)+'DCF Model'!D45/(1+$B20)^('DCF Model'!C19+1)+'DCF Model'!E45/(1+$B20)^('DCF Model'!C19+2)+'DCF Model'!F45/(1+$B20)^('DCF Model'!C19+3)+'DCF Model'!G45/(1+$B20)^('DCF Model'!C19+4)+('DCF Model'!G39+'DCF Model'!G42)*H$17/(1+$B20)^('DCF Model'!C19+4)-'DCF Model'!C16)*1000000/'DCF Model'!C15,0),"")</f>
        <v>1275</v>
      </c>
      <c r="I20" s="37">
        <f>IFERROR(ROUND(('DCF Model'!C45/(1+$B20)^('DCF Model'!C19+0)+'DCF Model'!D45/(1+$B20)^('DCF Model'!C19+1)+'DCF Model'!E45/(1+$B20)^('DCF Model'!C19+2)+'DCF Model'!F45/(1+$B20)^('DCF Model'!C19+3)+'DCF Model'!G45/(1+$B20)^('DCF Model'!C19+4)+('DCF Model'!G39+'DCF Model'!G42)*I$17/(1+$B20)^('DCF Model'!C19+4)-'DCF Model'!C16)*1000000/'DCF Model'!C15,0),"")</f>
        <v>1432</v>
      </c>
    </row>
    <row r="21" spans="2:9" ht="13.5" customHeight="1" x14ac:dyDescent="0.25">
      <c r="B21" s="39">
        <f>$C$3</f>
        <v>9.1079400749063663E-2</v>
      </c>
      <c r="C21" s="37">
        <f>IFERROR(ROUND(('DCF Model'!C45/(1+$B21)^('DCF Model'!C19+0)+'DCF Model'!D45/(1+$B21)^('DCF Model'!C19+1)+'DCF Model'!E45/(1+$B21)^('DCF Model'!C19+2)+'DCF Model'!F45/(1+$B21)^('DCF Model'!C19+3)+'DCF Model'!G45/(1+$B21)^('DCF Model'!C19+4)+('DCF Model'!G39+'DCF Model'!G42)*C$17/(1+$B21)^('DCF Model'!C19+4)-'DCF Model'!C16)*1000000/'DCF Model'!C15,0),"")</f>
        <v>481</v>
      </c>
      <c r="D21" s="37">
        <f>IFERROR(ROUND(('DCF Model'!C45/(1+$B21)^('DCF Model'!C19+0)+'DCF Model'!D45/(1+$B21)^('DCF Model'!C19+1)+'DCF Model'!E45/(1+$B21)^('DCF Model'!C19+2)+'DCF Model'!F45/(1+$B21)^('DCF Model'!C19+3)+'DCF Model'!G45/(1+$B21)^('DCF Model'!C19+4)+('DCF Model'!G39+'DCF Model'!G42)*D$17/(1+$B21)^('DCF Model'!C19+4)-'DCF Model'!C16)*1000000/'DCF Model'!C15,0),"")</f>
        <v>634</v>
      </c>
      <c r="E21" s="37">
        <f>IFERROR(ROUND(('DCF Model'!C45/(1+$B21)^('DCF Model'!C19+0)+'DCF Model'!D45/(1+$B21)^('DCF Model'!C19+1)+'DCF Model'!E45/(1+$B21)^('DCF Model'!C19+2)+'DCF Model'!F45/(1+$B21)^('DCF Model'!C19+3)+'DCF Model'!G45/(1+$B21)^('DCF Model'!C19+4)+('DCF Model'!G39+'DCF Model'!G42)*E$17/(1+$B21)^('DCF Model'!C19+4)-'DCF Model'!C16)*1000000/'DCF Model'!C15,0),"")</f>
        <v>787</v>
      </c>
      <c r="F21" s="37">
        <f>IFERROR(ROUND(('DCF Model'!C45/(1+$B21)^('DCF Model'!C19+0)+'DCF Model'!D45/(1+$B21)^('DCF Model'!C19+1)+'DCF Model'!E45/(1+$B21)^('DCF Model'!C19+2)+'DCF Model'!F45/(1+$B21)^('DCF Model'!C19+3)+'DCF Model'!G45/(1+$B21)^('DCF Model'!C19+4)+('DCF Model'!G39+'DCF Model'!G42)*F$17/(1+$B21)^('DCF Model'!C19+4)-'DCF Model'!C16)*1000000/'DCF Model'!C15,0),"")</f>
        <v>940</v>
      </c>
      <c r="G21" s="37">
        <f>IFERROR(ROUND(('DCF Model'!C45/(1+$B21)^('DCF Model'!C19+0)+'DCF Model'!D45/(1+$B21)^('DCF Model'!C19+1)+'DCF Model'!E45/(1+$B21)^('DCF Model'!C19+2)+'DCF Model'!F45/(1+$B21)^('DCF Model'!C19+3)+'DCF Model'!G45/(1+$B21)^('DCF Model'!C19+4)+('DCF Model'!G39+'DCF Model'!G42)*G$17/(1+$B21)^('DCF Model'!C19+4)-'DCF Model'!C16)*1000000/'DCF Model'!C15,0),"")</f>
        <v>1093</v>
      </c>
      <c r="H21" s="37">
        <f>IFERROR(ROUND(('DCF Model'!C45/(1+$B21)^('DCF Model'!C19+0)+'DCF Model'!D45/(1+$B21)^('DCF Model'!C19+1)+'DCF Model'!E45/(1+$B21)^('DCF Model'!C19+2)+'DCF Model'!F45/(1+$B21)^('DCF Model'!C19+3)+'DCF Model'!G45/(1+$B21)^('DCF Model'!C19+4)+('DCF Model'!G39+'DCF Model'!G42)*H$17/(1+$B21)^('DCF Model'!C19+4)-'DCF Model'!C16)*1000000/'DCF Model'!C15,0),"")</f>
        <v>1246</v>
      </c>
      <c r="I21" s="37">
        <f>IFERROR(ROUND(('DCF Model'!C45/(1+$B21)^('DCF Model'!C19+0)+'DCF Model'!D45/(1+$B21)^('DCF Model'!C19+1)+'DCF Model'!E45/(1+$B21)^('DCF Model'!C19+2)+'DCF Model'!F45/(1+$B21)^('DCF Model'!C19+3)+'DCF Model'!G45/(1+$B21)^('DCF Model'!C19+4)+('DCF Model'!G39+'DCF Model'!G42)*I$17/(1+$B21)^('DCF Model'!C19+4)-'DCF Model'!C16)*1000000/'DCF Model'!C15,0),"")</f>
        <v>1399</v>
      </c>
    </row>
    <row r="22" spans="2:9" ht="13.5" customHeight="1" x14ac:dyDescent="0.25">
      <c r="B22" s="39">
        <f>$C$3+0.005</f>
        <v>9.6079400749063668E-2</v>
      </c>
      <c r="C22" s="37">
        <f>IFERROR(ROUND(('DCF Model'!C45/(1+$B22)^('DCF Model'!C19+0)+'DCF Model'!D45/(1+$B22)^('DCF Model'!C19+1)+'DCF Model'!E45/(1+$B22)^('DCF Model'!C19+2)+'DCF Model'!F45/(1+$B22)^('DCF Model'!C19+3)+'DCF Model'!G45/(1+$B22)^('DCF Model'!C19+4)+('DCF Model'!G39+'DCF Model'!G42)*C$17/(1+$B22)^('DCF Model'!C19+4)-'DCF Model'!C16)*1000000/'DCF Model'!C15,0),"")</f>
        <v>470</v>
      </c>
      <c r="D22" s="37">
        <f>IFERROR(ROUND(('DCF Model'!C45/(1+$B22)^('DCF Model'!C19+0)+'DCF Model'!D45/(1+$B22)^('DCF Model'!C19+1)+'DCF Model'!E45/(1+$B22)^('DCF Model'!C19+2)+'DCF Model'!F45/(1+$B22)^('DCF Model'!C19+3)+'DCF Model'!G45/(1+$B22)^('DCF Model'!C19+4)+('DCF Model'!G39+'DCF Model'!G42)*D$17/(1+$B22)^('DCF Model'!C19+4)-'DCF Model'!C16)*1000000/'DCF Model'!C15,0),"")</f>
        <v>620</v>
      </c>
      <c r="E22" s="37">
        <f>IFERROR(ROUND(('DCF Model'!C45/(1+$B22)^('DCF Model'!C19+0)+'DCF Model'!D45/(1+$B22)^('DCF Model'!C19+1)+'DCF Model'!E45/(1+$B22)^('DCF Model'!C19+2)+'DCF Model'!F45/(1+$B22)^('DCF Model'!C19+3)+'DCF Model'!G45/(1+$B22)^('DCF Model'!C19+4)+('DCF Model'!G39+'DCF Model'!G42)*E$17/(1+$B22)^('DCF Model'!C19+4)-'DCF Model'!C16)*1000000/'DCF Model'!C15,0),"")</f>
        <v>769</v>
      </c>
      <c r="F22" s="37">
        <f>IFERROR(ROUND(('DCF Model'!C45/(1+$B22)^('DCF Model'!C19+0)+'DCF Model'!D45/(1+$B22)^('DCF Model'!C19+1)+'DCF Model'!E45/(1+$B22)^('DCF Model'!C19+2)+'DCF Model'!F45/(1+$B22)^('DCF Model'!C19+3)+'DCF Model'!G45/(1+$B22)^('DCF Model'!C19+4)+('DCF Model'!G39+'DCF Model'!G42)*F$17/(1+$B22)^('DCF Model'!C19+4)-'DCF Model'!C16)*1000000/'DCF Model'!C15,0),"")</f>
        <v>919</v>
      </c>
      <c r="G22" s="37">
        <f>IFERROR(ROUND(('DCF Model'!C45/(1+$B22)^('DCF Model'!C19+0)+'DCF Model'!D45/(1+$B22)^('DCF Model'!C19+1)+'DCF Model'!E45/(1+$B22)^('DCF Model'!C19+2)+'DCF Model'!F45/(1+$B22)^('DCF Model'!C19+3)+'DCF Model'!G45/(1+$B22)^('DCF Model'!C19+4)+('DCF Model'!G39+'DCF Model'!G42)*G$17/(1+$B22)^('DCF Model'!C19+4)-'DCF Model'!C16)*1000000/'DCF Model'!C15,0),"")</f>
        <v>1069</v>
      </c>
      <c r="H22" s="37">
        <f>IFERROR(ROUND(('DCF Model'!C45/(1+$B22)^('DCF Model'!C19+0)+'DCF Model'!D45/(1+$B22)^('DCF Model'!C19+1)+'DCF Model'!E45/(1+$B22)^('DCF Model'!C19+2)+'DCF Model'!F45/(1+$B22)^('DCF Model'!C19+3)+'DCF Model'!G45/(1+$B22)^('DCF Model'!C19+4)+('DCF Model'!G39+'DCF Model'!G42)*H$17/(1+$B22)^('DCF Model'!C19+4)-'DCF Model'!C16)*1000000/'DCF Model'!C15,0),"")</f>
        <v>1218</v>
      </c>
      <c r="I22" s="37">
        <f>IFERROR(ROUND(('DCF Model'!C45/(1+$B22)^('DCF Model'!C19+0)+'DCF Model'!D45/(1+$B22)^('DCF Model'!C19+1)+'DCF Model'!E45/(1+$B22)^('DCF Model'!C19+2)+'DCF Model'!F45/(1+$B22)^('DCF Model'!C19+3)+'DCF Model'!G45/(1+$B22)^('DCF Model'!C19+4)+('DCF Model'!G39+'DCF Model'!G42)*I$17/(1+$B22)^('DCF Model'!C19+4)-'DCF Model'!C16)*1000000/'DCF Model'!C15,0),"")</f>
        <v>1368</v>
      </c>
    </row>
    <row r="23" spans="2:9" ht="13.5" customHeight="1" x14ac:dyDescent="0.25">
      <c r="B23" s="39">
        <f>$C$3+0.01</f>
        <v>0.10107940074906366</v>
      </c>
      <c r="C23" s="37">
        <f>IFERROR(ROUND(('DCF Model'!C45/(1+$B23)^('DCF Model'!C19+0)+'DCF Model'!D45/(1+$B23)^('DCF Model'!C19+1)+'DCF Model'!E45/(1+$B23)^('DCF Model'!C19+2)+'DCF Model'!F45/(1+$B23)^('DCF Model'!C19+3)+'DCF Model'!G45/(1+$B23)^('DCF Model'!C19+4)+('DCF Model'!G39+'DCF Model'!G42)*C$17/(1+$B23)^('DCF Model'!C19+4)-'DCF Model'!C16)*1000000/'DCF Model'!C15,0),"")</f>
        <v>460</v>
      </c>
      <c r="D23" s="37">
        <f>IFERROR(ROUND(('DCF Model'!C45/(1+$B23)^('DCF Model'!C19+0)+'DCF Model'!D45/(1+$B23)^('DCF Model'!C19+1)+'DCF Model'!E45/(1+$B23)^('DCF Model'!C19+2)+'DCF Model'!F45/(1+$B23)^('DCF Model'!C19+3)+'DCF Model'!G45/(1+$B23)^('DCF Model'!C19+4)+('DCF Model'!G39+'DCF Model'!G42)*D$17/(1+$B23)^('DCF Model'!C19+4)-'DCF Model'!C16)*1000000/'DCF Model'!C15,0),"")</f>
        <v>606</v>
      </c>
      <c r="E23" s="37">
        <f>IFERROR(ROUND(('DCF Model'!C45/(1+$B23)^('DCF Model'!C19+0)+'DCF Model'!D45/(1+$B23)^('DCF Model'!C19+1)+'DCF Model'!E45/(1+$B23)^('DCF Model'!C19+2)+'DCF Model'!F45/(1+$B23)^('DCF Model'!C19+3)+'DCF Model'!G45/(1+$B23)^('DCF Model'!C19+4)+('DCF Model'!G39+'DCF Model'!G42)*E$17/(1+$B23)^('DCF Model'!C19+4)-'DCF Model'!C16)*1000000/'DCF Model'!C15,0),"")</f>
        <v>752</v>
      </c>
      <c r="F23" s="37">
        <f>IFERROR(ROUND(('DCF Model'!C45/(1+$B23)^('DCF Model'!C19+0)+'DCF Model'!D45/(1+$B23)^('DCF Model'!C19+1)+'DCF Model'!E45/(1+$B23)^('DCF Model'!C19+2)+'DCF Model'!F45/(1+$B23)^('DCF Model'!C19+3)+'DCF Model'!G45/(1+$B23)^('DCF Model'!C19+4)+('DCF Model'!G39+'DCF Model'!G42)*F$17/(1+$B23)^('DCF Model'!C19+4)-'DCF Model'!C16)*1000000/'DCF Model'!C15,0),"")</f>
        <v>898</v>
      </c>
      <c r="G23" s="37">
        <f>IFERROR(ROUND(('DCF Model'!C45/(1+$B23)^('DCF Model'!C19+0)+'DCF Model'!D45/(1+$B23)^('DCF Model'!C19+1)+'DCF Model'!E45/(1+$B23)^('DCF Model'!C19+2)+'DCF Model'!F45/(1+$B23)^('DCF Model'!C19+3)+'DCF Model'!G45/(1+$B23)^('DCF Model'!C19+4)+('DCF Model'!G39+'DCF Model'!G42)*G$17/(1+$B23)^('DCF Model'!C19+4)-'DCF Model'!C16)*1000000/'DCF Model'!C15,0),"")</f>
        <v>1044</v>
      </c>
      <c r="H23" s="37">
        <f>IFERROR(ROUND(('DCF Model'!C45/(1+$B23)^('DCF Model'!C19+0)+'DCF Model'!D45/(1+$B23)^('DCF Model'!C19+1)+'DCF Model'!E45/(1+$B23)^('DCF Model'!C19+2)+'DCF Model'!F45/(1+$B23)^('DCF Model'!C19+3)+'DCF Model'!G45/(1+$B23)^('DCF Model'!C19+4)+('DCF Model'!G39+'DCF Model'!G42)*H$17/(1+$B23)^('DCF Model'!C19+4)-'DCF Model'!C16)*1000000/'DCF Model'!C15,0),"")</f>
        <v>1191</v>
      </c>
      <c r="I23" s="37">
        <f>IFERROR(ROUND(('DCF Model'!C45/(1+$B23)^('DCF Model'!C19+0)+'DCF Model'!D45/(1+$B23)^('DCF Model'!C19+1)+'DCF Model'!E45/(1+$B23)^('DCF Model'!C19+2)+'DCF Model'!F45/(1+$B23)^('DCF Model'!C19+3)+'DCF Model'!G45/(1+$B23)^('DCF Model'!C19+4)+('DCF Model'!G39+'DCF Model'!G42)*I$17/(1+$B23)^('DCF Model'!C19+4)-'DCF Model'!C16)*1000000/'DCF Model'!C15,0),"")</f>
        <v>1337</v>
      </c>
    </row>
    <row r="24" spans="2:9" ht="13.5" customHeight="1" x14ac:dyDescent="0.25">
      <c r="B24" s="39">
        <f>$C$3+0.015</f>
        <v>0.10607940074906366</v>
      </c>
      <c r="C24" s="37">
        <f>IFERROR(ROUND(('DCF Model'!C45/(1+$B24)^('DCF Model'!C19+0)+'DCF Model'!D45/(1+$B24)^('DCF Model'!C19+1)+'DCF Model'!E45/(1+$B24)^('DCF Model'!C19+2)+'DCF Model'!F45/(1+$B24)^('DCF Model'!C19+3)+'DCF Model'!G45/(1+$B24)^('DCF Model'!C19+4)+('DCF Model'!G39+'DCF Model'!G42)*C$17/(1+$B24)^('DCF Model'!C19+4)-'DCF Model'!C16)*1000000/'DCF Model'!C15,0),"")</f>
        <v>449</v>
      </c>
      <c r="D24" s="37">
        <f>IFERROR(ROUND(('DCF Model'!C45/(1+$B24)^('DCF Model'!C19+0)+'DCF Model'!D45/(1+$B24)^('DCF Model'!C19+1)+'DCF Model'!E45/(1+$B24)^('DCF Model'!C19+2)+'DCF Model'!F45/(1+$B24)^('DCF Model'!C19+3)+'DCF Model'!G45/(1+$B24)^('DCF Model'!C19+4)+('DCF Model'!G39+'DCF Model'!G42)*D$17/(1+$B24)^('DCF Model'!C19+4)-'DCF Model'!C16)*1000000/'DCF Model'!C15,0),"")</f>
        <v>592</v>
      </c>
      <c r="E24" s="37">
        <f>IFERROR(ROUND(('DCF Model'!C45/(1+$B24)^('DCF Model'!C19+0)+'DCF Model'!D45/(1+$B24)^('DCF Model'!C19+1)+'DCF Model'!E45/(1+$B24)^('DCF Model'!C19+2)+'DCF Model'!F45/(1+$B24)^('DCF Model'!C19+3)+'DCF Model'!G45/(1+$B24)^('DCF Model'!C19+4)+('DCF Model'!G39+'DCF Model'!G42)*E$17/(1+$B24)^('DCF Model'!C19+4)-'DCF Model'!C16)*1000000/'DCF Model'!C15,0),"")</f>
        <v>735</v>
      </c>
      <c r="F24" s="37">
        <f>IFERROR(ROUND(('DCF Model'!C45/(1+$B24)^('DCF Model'!C19+0)+'DCF Model'!D45/(1+$B24)^('DCF Model'!C19+1)+'DCF Model'!E45/(1+$B24)^('DCF Model'!C19+2)+'DCF Model'!F45/(1+$B24)^('DCF Model'!C19+3)+'DCF Model'!G45/(1+$B24)^('DCF Model'!C19+4)+('DCF Model'!G39+'DCF Model'!G42)*F$17/(1+$B24)^('DCF Model'!C19+4)-'DCF Model'!C16)*1000000/'DCF Model'!C15,0),"")</f>
        <v>878</v>
      </c>
      <c r="G24" s="37">
        <f>IFERROR(ROUND(('DCF Model'!C45/(1+$B24)^('DCF Model'!C19+0)+'DCF Model'!D45/(1+$B24)^('DCF Model'!C19+1)+'DCF Model'!E45/(1+$B24)^('DCF Model'!C19+2)+'DCF Model'!F45/(1+$B24)^('DCF Model'!C19+3)+'DCF Model'!G45/(1+$B24)^('DCF Model'!C19+4)+('DCF Model'!G39+'DCF Model'!G42)*G$17/(1+$B24)^('DCF Model'!C19+4)-'DCF Model'!C16)*1000000/'DCF Model'!C15,0),"")</f>
        <v>1021</v>
      </c>
      <c r="H24" s="37">
        <f>IFERROR(ROUND(('DCF Model'!C45/(1+$B24)^('DCF Model'!C19+0)+'DCF Model'!D45/(1+$B24)^('DCF Model'!C19+1)+'DCF Model'!E45/(1+$B24)^('DCF Model'!C19+2)+'DCF Model'!F45/(1+$B24)^('DCF Model'!C19+3)+'DCF Model'!G45/(1+$B24)^('DCF Model'!C19+4)+('DCF Model'!G39+'DCF Model'!G42)*H$17/(1+$B24)^('DCF Model'!C19+4)-'DCF Model'!C16)*1000000/'DCF Model'!C15,0),"")</f>
        <v>1164</v>
      </c>
      <c r="I24" s="37">
        <f>IFERROR(ROUND(('DCF Model'!C45/(1+$B24)^('DCF Model'!C19+0)+'DCF Model'!D45/(1+$B24)^('DCF Model'!C19+1)+'DCF Model'!E45/(1+$B24)^('DCF Model'!C19+2)+'DCF Model'!F45/(1+$B24)^('DCF Model'!C19+3)+'DCF Model'!G45/(1+$B24)^('DCF Model'!C19+4)+('DCF Model'!G39+'DCF Model'!G42)*I$17/(1+$B24)^('DCF Model'!C19+4)-'DCF Model'!C16)*1000000/'DCF Model'!C15,0),"")</f>
        <v>1307</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262</v>
      </c>
    </row>
    <row r="10" spans="2:7" ht="30" customHeight="1" x14ac:dyDescent="0.3">
      <c r="B10" s="43" t="s">
        <v>257</v>
      </c>
      <c r="C10" s="4" t="s">
        <v>276</v>
      </c>
      <c r="D10" s="43" t="s">
        <v>277</v>
      </c>
      <c r="E10" s="43" t="s">
        <v>278</v>
      </c>
      <c r="F10" s="43" t="s">
        <v>279</v>
      </c>
      <c r="G10" s="43" t="s">
        <v>280</v>
      </c>
    </row>
    <row r="11" spans="2:7" ht="30" customHeight="1" x14ac:dyDescent="0.3">
      <c r="B11" s="43" t="s">
        <v>257</v>
      </c>
      <c r="C11" s="4" t="s">
        <v>281</v>
      </c>
      <c r="D11" s="43" t="s">
        <v>282</v>
      </c>
      <c r="E11" s="43" t="s">
        <v>283</v>
      </c>
      <c r="F11" s="43" t="s">
        <v>284</v>
      </c>
      <c r="G11" s="43" t="s">
        <v>285</v>
      </c>
    </row>
    <row r="12" spans="2:7" ht="30" customHeight="1" x14ac:dyDescent="0.3">
      <c r="B12" s="43" t="s">
        <v>257</v>
      </c>
      <c r="C12" s="4" t="s">
        <v>286</v>
      </c>
      <c r="D12" s="43" t="s">
        <v>287</v>
      </c>
      <c r="E12" s="43" t="s">
        <v>288</v>
      </c>
      <c r="F12" s="43" t="s">
        <v>289</v>
      </c>
      <c r="G12" s="43" t="s">
        <v>267</v>
      </c>
    </row>
    <row r="13" spans="2:7" ht="30" customHeight="1" x14ac:dyDescent="0.3">
      <c r="B13" s="43" t="s">
        <v>257</v>
      </c>
      <c r="C13" s="4" t="s">
        <v>290</v>
      </c>
      <c r="D13" s="43" t="s">
        <v>291</v>
      </c>
      <c r="E13" s="43" t="s">
        <v>292</v>
      </c>
      <c r="F13" s="43" t="s">
        <v>293</v>
      </c>
      <c r="G13" s="43" t="s">
        <v>267</v>
      </c>
    </row>
    <row r="14" spans="2:7" ht="30" customHeight="1" x14ac:dyDescent="0.3">
      <c r="B14" s="43" t="s">
        <v>257</v>
      </c>
      <c r="C14" s="4" t="s">
        <v>294</v>
      </c>
      <c r="D14" s="43" t="s">
        <v>295</v>
      </c>
      <c r="E14" s="43" t="s">
        <v>296</v>
      </c>
      <c r="F14" s="43" t="s">
        <v>253</v>
      </c>
      <c r="G14" s="43" t="s">
        <v>267</v>
      </c>
    </row>
    <row r="15" spans="2:7" ht="30" customHeight="1" x14ac:dyDescent="0.3">
      <c r="B15" s="43" t="s">
        <v>257</v>
      </c>
      <c r="C15" s="4" t="s">
        <v>297</v>
      </c>
      <c r="D15" s="43" t="s">
        <v>298</v>
      </c>
      <c r="E15" s="43" t="s">
        <v>299</v>
      </c>
      <c r="F15" s="43" t="s">
        <v>300</v>
      </c>
      <c r="G15" s="43" t="s">
        <v>301</v>
      </c>
    </row>
    <row r="16" spans="2:7" ht="30" customHeight="1" x14ac:dyDescent="0.3">
      <c r="B16" s="43" t="s">
        <v>257</v>
      </c>
      <c r="C16" s="4" t="s">
        <v>302</v>
      </c>
      <c r="D16" s="43" t="s">
        <v>303</v>
      </c>
      <c r="E16" s="43" t="s">
        <v>304</v>
      </c>
      <c r="F16" s="43" t="s">
        <v>253</v>
      </c>
      <c r="G16" s="43" t="s">
        <v>305</v>
      </c>
    </row>
    <row r="17" spans="2:7" ht="30" customHeight="1" x14ac:dyDescent="0.3">
      <c r="B17" s="43" t="s">
        <v>257</v>
      </c>
      <c r="C17" s="4" t="s">
        <v>306</v>
      </c>
      <c r="D17" s="43" t="s">
        <v>307</v>
      </c>
      <c r="E17" s="43" t="s">
        <v>308</v>
      </c>
      <c r="F17" s="43" t="s">
        <v>271</v>
      </c>
      <c r="G17" s="43" t="s">
        <v>267</v>
      </c>
    </row>
    <row r="18" spans="2:7" ht="30" customHeight="1" x14ac:dyDescent="0.3">
      <c r="B18" s="43" t="s">
        <v>257</v>
      </c>
      <c r="C18" s="4" t="s">
        <v>309</v>
      </c>
      <c r="D18" s="43" t="s">
        <v>310</v>
      </c>
      <c r="E18" s="43" t="s">
        <v>311</v>
      </c>
      <c r="F18" s="43" t="s">
        <v>253</v>
      </c>
      <c r="G18" s="43" t="s">
        <v>267</v>
      </c>
    </row>
    <row r="19" spans="2:7" ht="30" customHeight="1" x14ac:dyDescent="0.3">
      <c r="B19" s="43" t="s">
        <v>257</v>
      </c>
      <c r="C19" s="4" t="s">
        <v>312</v>
      </c>
      <c r="D19" s="43" t="s">
        <v>313</v>
      </c>
      <c r="E19" s="43" t="s">
        <v>314</v>
      </c>
      <c r="F19" s="43" t="s">
        <v>253</v>
      </c>
      <c r="G19" s="43" t="s">
        <v>262</v>
      </c>
    </row>
    <row r="20" spans="2:7" ht="30" customHeight="1" x14ac:dyDescent="0.3">
      <c r="B20" s="43" t="s">
        <v>257</v>
      </c>
      <c r="C20" s="4" t="s">
        <v>315</v>
      </c>
      <c r="D20" s="43" t="s">
        <v>316</v>
      </c>
      <c r="E20" s="43" t="s">
        <v>317</v>
      </c>
      <c r="F20" s="43" t="s">
        <v>253</v>
      </c>
      <c r="G20" s="43" t="s">
        <v>318</v>
      </c>
    </row>
    <row r="21" spans="2:7" ht="30" customHeight="1" x14ac:dyDescent="0.3">
      <c r="B21" s="43" t="s">
        <v>257</v>
      </c>
      <c r="C21" s="4" t="s">
        <v>319</v>
      </c>
      <c r="D21" s="43" t="s">
        <v>320</v>
      </c>
      <c r="E21" s="43" t="s">
        <v>321</v>
      </c>
      <c r="F21" s="43" t="s">
        <v>253</v>
      </c>
      <c r="G21" s="43" t="s">
        <v>322</v>
      </c>
    </row>
    <row r="22" spans="2:7" ht="30" customHeight="1" x14ac:dyDescent="0.3">
      <c r="B22" s="43" t="s">
        <v>257</v>
      </c>
      <c r="C22" s="4" t="s">
        <v>319</v>
      </c>
      <c r="D22" s="43" t="s">
        <v>323</v>
      </c>
      <c r="E22" s="43" t="s">
        <v>324</v>
      </c>
      <c r="F22" s="43" t="s">
        <v>253</v>
      </c>
      <c r="G22" s="43" t="s">
        <v>322</v>
      </c>
    </row>
    <row r="23" spans="2:7" ht="14" customHeight="1" x14ac:dyDescent="0.2"/>
    <row r="24" spans="2:7" ht="14" customHeight="1" x14ac:dyDescent="0.3">
      <c r="B24" s="8" t="s">
        <v>325</v>
      </c>
    </row>
    <row r="25" spans="2:7" ht="14" customHeight="1" x14ac:dyDescent="0.3">
      <c r="B25" s="10" t="s">
        <v>326</v>
      </c>
      <c r="C25" s="10" t="s">
        <v>327</v>
      </c>
    </row>
    <row r="26" spans="2:7" ht="14" customHeight="1" x14ac:dyDescent="0.3">
      <c r="B26" s="4" t="s">
        <v>328</v>
      </c>
      <c r="C26" t="s">
        <v>329</v>
      </c>
    </row>
    <row r="27" spans="2:7" ht="14" customHeight="1" x14ac:dyDescent="0.3">
      <c r="B27" s="4" t="s">
        <v>330</v>
      </c>
      <c r="C27" t="s">
        <v>331</v>
      </c>
    </row>
    <row r="28" spans="2:7" ht="14" customHeight="1" x14ac:dyDescent="0.3">
      <c r="B28" s="4" t="s">
        <v>332</v>
      </c>
      <c r="C28" t="s">
        <v>333</v>
      </c>
    </row>
    <row r="29" spans="2:7" ht="14" customHeight="1" x14ac:dyDescent="0.3">
      <c r="B29" s="4" t="s">
        <v>334</v>
      </c>
      <c r="C29" t="s">
        <v>335</v>
      </c>
    </row>
    <row r="30" spans="2:7" ht="14" customHeight="1" x14ac:dyDescent="0.3">
      <c r="B30" s="4" t="s">
        <v>336</v>
      </c>
      <c r="C30" t="s">
        <v>4</v>
      </c>
    </row>
    <row r="31" spans="2:7" ht="14" customHeight="1" x14ac:dyDescent="0.3">
      <c r="B31" s="4" t="s">
        <v>337</v>
      </c>
      <c r="C31" t="s">
        <v>252</v>
      </c>
    </row>
    <row r="32" spans="2:7" ht="14" customHeight="1" x14ac:dyDescent="0.3">
      <c r="B32" s="4" t="s">
        <v>338</v>
      </c>
      <c r="C32" t="s">
        <v>339</v>
      </c>
    </row>
    <row r="33" spans="2:3" ht="14" customHeight="1" x14ac:dyDescent="0.3">
      <c r="B33" s="4" t="s">
        <v>340</v>
      </c>
      <c r="C33" t="s">
        <v>341</v>
      </c>
    </row>
    <row r="34" spans="2:3" ht="14" customHeight="1" x14ac:dyDescent="0.3">
      <c r="B34" s="4" t="s">
        <v>342</v>
      </c>
      <c r="C34" t="s">
        <v>343</v>
      </c>
    </row>
    <row r="35" spans="2:3" ht="14" customHeight="1" x14ac:dyDescent="0.3">
      <c r="B35" s="4" t="s">
        <v>344</v>
      </c>
      <c r="C35" t="s">
        <v>345</v>
      </c>
    </row>
    <row r="36" spans="2:3" ht="14" customHeight="1" x14ac:dyDescent="0.3">
      <c r="B36" s="4" t="s">
        <v>346</v>
      </c>
      <c r="C36" t="s">
        <v>347</v>
      </c>
    </row>
    <row r="37" spans="2:3" ht="14" customHeight="1" x14ac:dyDescent="0.3">
      <c r="B37" s="4" t="s">
        <v>348</v>
      </c>
      <c r="C37" t="s">
        <v>343</v>
      </c>
    </row>
    <row r="38" spans="2:3" ht="14" customHeight="1" x14ac:dyDescent="0.3">
      <c r="B38" s="4" t="s">
        <v>349</v>
      </c>
      <c r="C38" t="s">
        <v>339</v>
      </c>
    </row>
    <row r="39" spans="2:3" ht="14" customHeight="1" x14ac:dyDescent="0.3">
      <c r="B39" s="4" t="s">
        <v>350</v>
      </c>
      <c r="C39" t="s">
        <v>351</v>
      </c>
    </row>
    <row r="40" spans="2:3" ht="14" customHeight="1" x14ac:dyDescent="0.3">
      <c r="B40" s="4" t="s">
        <v>352</v>
      </c>
      <c r="C40" t="s">
        <v>353</v>
      </c>
    </row>
    <row r="41" spans="2:3" ht="14" customHeight="1" x14ac:dyDescent="0.3">
      <c r="B41" s="4" t="s">
        <v>354</v>
      </c>
      <c r="C41" t="s">
        <v>355</v>
      </c>
    </row>
    <row r="42" spans="2:3" ht="14" customHeight="1" x14ac:dyDescent="0.3">
      <c r="B42" s="4" t="s">
        <v>356</v>
      </c>
      <c r="C42" t="s">
        <v>357</v>
      </c>
    </row>
    <row r="43" spans="2:3" ht="14" customHeight="1" x14ac:dyDescent="0.3">
      <c r="B43" s="4" t="s">
        <v>358</v>
      </c>
      <c r="C43" t="s">
        <v>359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customHeight="1" x14ac:dyDescent="0.3">
      <c r="B47" s="4" t="s">
        <v>366</v>
      </c>
      <c r="C47" t="s">
        <v>367</v>
      </c>
    </row>
    <row r="48" spans="2:3" ht="14" customHeight="1" x14ac:dyDescent="0.3">
      <c r="B48" s="4" t="s">
        <v>368</v>
      </c>
      <c r="C48" t="s">
        <v>369</v>
      </c>
    </row>
    <row r="49" spans="2:3" ht="14" customHeight="1" x14ac:dyDescent="0.3">
      <c r="B49" s="4" t="s">
        <v>370</v>
      </c>
      <c r="C49" t="s">
        <v>371</v>
      </c>
    </row>
    <row r="50" spans="2:3" ht="14" customHeight="1" x14ac:dyDescent="0.3">
      <c r="B50" s="4" t="s">
        <v>372</v>
      </c>
      <c r="C50" t="s">
        <v>373</v>
      </c>
    </row>
    <row r="51" spans="2:3" ht="14" x14ac:dyDescent="0.3">
      <c r="B51" s="4" t="s">
        <v>374</v>
      </c>
      <c r="C51" t="s">
        <v>375</v>
      </c>
    </row>
    <row r="52" spans="2:3" ht="14" x14ac:dyDescent="0.3">
      <c r="B52" s="4" t="s">
        <v>376</v>
      </c>
      <c r="C52" t="s">
        <v>377</v>
      </c>
    </row>
    <row r="53" spans="2:3" ht="14" x14ac:dyDescent="0.3">
      <c r="B53" s="4" t="s">
        <v>378</v>
      </c>
      <c r="C53" t="s">
        <v>379</v>
      </c>
    </row>
    <row r="54" spans="2:3" ht="14" x14ac:dyDescent="0.3">
      <c r="B54" s="4" t="s">
        <v>380</v>
      </c>
      <c r="C54" t="s">
        <v>381</v>
      </c>
    </row>
    <row r="55" spans="2:3" ht="14" x14ac:dyDescent="0.3">
      <c r="B55" s="4" t="s">
        <v>382</v>
      </c>
      <c r="C55" t="s">
        <v>383</v>
      </c>
    </row>
    <row r="56" spans="2:3" ht="14" x14ac:dyDescent="0.3">
      <c r="B56" s="4" t="s">
        <v>384</v>
      </c>
      <c r="C56" t="s">
        <v>385</v>
      </c>
    </row>
    <row r="57" spans="2:3" ht="14" x14ac:dyDescent="0.3">
      <c r="B57" s="4" t="s">
        <v>386</v>
      </c>
      <c r="C57" t="s">
        <v>339</v>
      </c>
    </row>
    <row r="58" spans="2:3" ht="14" x14ac:dyDescent="0.3">
      <c r="B58" s="4" t="s">
        <v>387</v>
      </c>
      <c r="C58" t="s">
        <v>388</v>
      </c>
    </row>
    <row r="59" spans="2:3" ht="14" x14ac:dyDescent="0.3">
      <c r="B59" s="4" t="s">
        <v>389</v>
      </c>
      <c r="C59" t="s">
        <v>390</v>
      </c>
    </row>
    <row r="60" spans="2:3" ht="14" x14ac:dyDescent="0.3">
      <c r="B60" s="4" t="s">
        <v>391</v>
      </c>
      <c r="C60" t="s">
        <v>392</v>
      </c>
    </row>
    <row r="61" spans="2:3" ht="14" x14ac:dyDescent="0.3">
      <c r="B61" s="4" t="s">
        <v>393</v>
      </c>
      <c r="C61" t="s">
        <v>394</v>
      </c>
    </row>
    <row r="62" spans="2:3" ht="14" x14ac:dyDescent="0.3">
      <c r="B62" s="4" t="s">
        <v>395</v>
      </c>
      <c r="C62"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2026-09-06T01:54:54Z</dcterms:created>
  <dcterms:modified xsi:type="dcterms:W3CDTF">2026-09-06T02:33:13Z</dcterms:modified>
</cp:coreProperties>
</file>