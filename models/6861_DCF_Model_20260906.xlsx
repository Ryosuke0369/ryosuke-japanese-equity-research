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E5CA50C-1717-4926-A1AD-7467C7A784DB}"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6" i="6" s="1"/>
  <c r="L6" i="6"/>
  <c r="F15" i="6" s="1"/>
  <c r="K6" i="6"/>
  <c r="J6" i="6"/>
  <c r="O5" i="6"/>
  <c r="N5" i="6"/>
  <c r="D5" i="6"/>
  <c r="L5" i="6" s="1"/>
  <c r="C18" i="5"/>
  <c r="C16" i="5"/>
  <c r="C14" i="5"/>
  <c r="C7" i="5"/>
  <c r="C6" i="5"/>
  <c r="C5" i="5"/>
  <c r="C13" i="4"/>
  <c r="C12" i="4"/>
  <c r="C9" i="4"/>
  <c r="C7" i="4"/>
  <c r="C6" i="4"/>
  <c r="C8" i="4" s="1"/>
  <c r="D27" i="3"/>
  <c r="G5" i="5" s="1"/>
  <c r="C25" i="3"/>
  <c r="C24" i="3"/>
  <c r="C23" i="3"/>
  <c r="C26" i="3" s="1"/>
  <c r="F23" i="2"/>
  <c r="E23" i="2"/>
  <c r="D23" i="2"/>
  <c r="C23" i="2"/>
  <c r="F21" i="2"/>
  <c r="F22" i="2" s="1"/>
  <c r="E21" i="2"/>
  <c r="E22" i="2" s="1"/>
  <c r="D21" i="2"/>
  <c r="D22" i="2" s="1"/>
  <c r="C21" i="2"/>
  <c r="C22" i="2" s="1"/>
  <c r="F16" i="2"/>
  <c r="E16" i="2"/>
  <c r="D16" i="2"/>
  <c r="F15" i="2"/>
  <c r="E15" i="2"/>
  <c r="D15" i="2"/>
  <c r="F14" i="2"/>
  <c r="E14" i="2"/>
  <c r="D14" i="2"/>
  <c r="C14" i="2"/>
  <c r="F13" i="2"/>
  <c r="E13" i="2"/>
  <c r="D13" i="2"/>
  <c r="C13" i="2"/>
  <c r="C9" i="2"/>
  <c r="F8" i="2"/>
  <c r="F9" i="2" s="1"/>
  <c r="E8" i="2"/>
  <c r="E9" i="2" s="1"/>
  <c r="D8" i="2"/>
  <c r="D9" i="2" s="1"/>
  <c r="C8" i="2"/>
  <c r="H15" i="6" l="1"/>
  <c r="M5" i="6"/>
  <c r="I17" i="6"/>
  <c r="G15" i="6"/>
  <c r="I16" i="6"/>
  <c r="E5" i="6"/>
  <c r="J5" i="6" s="1"/>
  <c r="C10" i="4"/>
  <c r="C71" i="4" s="1"/>
  <c r="D17" i="6"/>
  <c r="E15" i="6"/>
  <c r="B24" i="1"/>
  <c r="B30" i="1"/>
  <c r="C70" i="4"/>
  <c r="C3" i="7"/>
  <c r="G36" i="4"/>
  <c r="C11" i="4"/>
  <c r="C24" i="4" s="1"/>
  <c r="C25" i="4" s="1"/>
  <c r="G46" i="3"/>
  <c r="E36" i="4"/>
  <c r="D36" i="4"/>
  <c r="D46" i="3"/>
  <c r="F46" i="3"/>
  <c r="C46" i="3"/>
  <c r="B25" i="1"/>
  <c r="F36" i="4"/>
  <c r="E46" i="3"/>
  <c r="H36" i="4"/>
  <c r="E30" i="3"/>
  <c r="C32" i="3"/>
  <c r="D32" i="3"/>
  <c r="H6" i="5"/>
  <c r="C31" i="3"/>
  <c r="F32" i="3"/>
  <c r="H5" i="5"/>
  <c r="D7" i="5"/>
  <c r="K5" i="6"/>
  <c r="I15" i="6"/>
  <c r="E17" i="6"/>
  <c r="I6" i="7"/>
  <c r="F30" i="3"/>
  <c r="F5" i="5"/>
  <c r="D31" i="3"/>
  <c r="G32" i="3"/>
  <c r="E7" i="5"/>
  <c r="D16" i="6"/>
  <c r="F17" i="6"/>
  <c r="C17" i="7"/>
  <c r="E31" i="3"/>
  <c r="D6" i="5"/>
  <c r="F7" i="5"/>
  <c r="E16" i="6"/>
  <c r="G17" i="6"/>
  <c r="C6" i="7"/>
  <c r="D17" i="7"/>
  <c r="C30" i="3"/>
  <c r="C33" i="3" s="1"/>
  <c r="F31" i="3"/>
  <c r="E6" i="5"/>
  <c r="G7" i="5"/>
  <c r="D15" i="6"/>
  <c r="F16" i="6"/>
  <c r="C28" i="6" s="1"/>
  <c r="C19" i="1" s="1"/>
  <c r="D19" i="1" s="1"/>
  <c r="H17" i="6"/>
  <c r="D6" i="7"/>
  <c r="E17" i="7"/>
  <c r="D30" i="3"/>
  <c r="G31" i="3"/>
  <c r="D5" i="5"/>
  <c r="F6" i="5"/>
  <c r="H7" i="5"/>
  <c r="E6" i="7"/>
  <c r="F17" i="7"/>
  <c r="E5" i="5"/>
  <c r="G6" i="5"/>
  <c r="H16" i="6"/>
  <c r="F6" i="7"/>
  <c r="G17" i="7"/>
  <c r="G6" i="7"/>
  <c r="H17" i="7"/>
  <c r="G30" i="3"/>
  <c r="E32" i="3"/>
  <c r="C29" i="4" l="1"/>
  <c r="C27" i="4"/>
  <c r="C26" i="4"/>
  <c r="D45" i="4"/>
  <c r="D43" i="4"/>
  <c r="D46" i="4"/>
  <c r="D39" i="4"/>
  <c r="D40" i="4"/>
  <c r="D44" i="4"/>
  <c r="D38" i="4"/>
  <c r="D41" i="4"/>
  <c r="D51" i="4" s="1"/>
  <c r="D56" i="4" s="1"/>
  <c r="H40" i="4"/>
  <c r="H38" i="4"/>
  <c r="H41" i="4"/>
  <c r="H44" i="4"/>
  <c r="H45" i="4"/>
  <c r="H39" i="4"/>
  <c r="H43" i="4"/>
  <c r="H46" i="4"/>
  <c r="E39" i="4"/>
  <c r="E46" i="4"/>
  <c r="E40" i="4"/>
  <c r="E44" i="4"/>
  <c r="E38" i="4"/>
  <c r="E41" i="4"/>
  <c r="E45" i="4"/>
  <c r="E43" i="4"/>
  <c r="F43" i="4"/>
  <c r="F40" i="4"/>
  <c r="F50" i="4" s="1"/>
  <c r="F55" i="4" s="1"/>
  <c r="F44" i="4"/>
  <c r="F38" i="4"/>
  <c r="F41" i="4"/>
  <c r="F45" i="4"/>
  <c r="F46" i="4"/>
  <c r="F39" i="4"/>
  <c r="F49" i="4" s="1"/>
  <c r="G46" i="4"/>
  <c r="G44" i="4"/>
  <c r="G38" i="4"/>
  <c r="G41" i="4"/>
  <c r="G45" i="4"/>
  <c r="G39" i="4"/>
  <c r="G40" i="4"/>
  <c r="G43" i="4"/>
  <c r="B13" i="7"/>
  <c r="B12" i="7"/>
  <c r="B11" i="7"/>
  <c r="B10" i="7"/>
  <c r="B9" i="7"/>
  <c r="B8" i="7"/>
  <c r="B7" i="7"/>
  <c r="B24" i="7"/>
  <c r="B23" i="7"/>
  <c r="B22" i="7"/>
  <c r="B21" i="7"/>
  <c r="B20" i="7"/>
  <c r="B19" i="7"/>
  <c r="B18" i="7"/>
  <c r="C42" i="3"/>
  <c r="C34" i="3"/>
  <c r="D10" i="5" s="1"/>
  <c r="D9" i="5"/>
  <c r="D12" i="5" s="1"/>
  <c r="C43" i="3"/>
  <c r="C37" i="3"/>
  <c r="D33" i="3"/>
  <c r="C27" i="6"/>
  <c r="C18" i="1" s="1"/>
  <c r="D18" i="1" s="1"/>
  <c r="C74" i="4"/>
  <c r="H48" i="4" l="1"/>
  <c r="H53" i="4" s="1"/>
  <c r="E49" i="4"/>
  <c r="E54" i="4" s="1"/>
  <c r="H50" i="4"/>
  <c r="H55" i="4" s="1"/>
  <c r="G50" i="4"/>
  <c r="G55" i="4" s="1"/>
  <c r="H49" i="4"/>
  <c r="H54" i="4" s="1"/>
  <c r="F54" i="4"/>
  <c r="B78" i="4" s="1"/>
  <c r="C60" i="4"/>
  <c r="D48" i="4"/>
  <c r="D53" i="4" s="1"/>
  <c r="E51" i="4"/>
  <c r="E56" i="4" s="1"/>
  <c r="D15" i="5"/>
  <c r="D16" i="5" s="1"/>
  <c r="D13" i="5"/>
  <c r="D14" i="5" s="1"/>
  <c r="D18" i="5" s="1"/>
  <c r="D19" i="5" s="1"/>
  <c r="C44" i="3" s="1"/>
  <c r="F51" i="4"/>
  <c r="F56" i="4" s="1"/>
  <c r="E48" i="4"/>
  <c r="E53" i="4" s="1"/>
  <c r="D50" i="4"/>
  <c r="D55" i="4" s="1"/>
  <c r="G49" i="4"/>
  <c r="G54" i="4" s="1"/>
  <c r="D49" i="4"/>
  <c r="D54" i="4" s="1"/>
  <c r="D37" i="3"/>
  <c r="E33" i="3"/>
  <c r="E9" i="5"/>
  <c r="E12" i="5" s="1"/>
  <c r="D43" i="3"/>
  <c r="D42" i="3"/>
  <c r="D34" i="3"/>
  <c r="E10" i="5" s="1"/>
  <c r="G51" i="4"/>
  <c r="G56" i="4" s="1"/>
  <c r="F48" i="4"/>
  <c r="F53" i="4" s="1"/>
  <c r="C35" i="3"/>
  <c r="G48" i="4"/>
  <c r="G53" i="4" s="1"/>
  <c r="E50" i="4"/>
  <c r="E55" i="4" s="1"/>
  <c r="H51" i="4"/>
  <c r="H56" i="4" s="1"/>
  <c r="D35" i="3" l="1"/>
  <c r="D38" i="3" s="1"/>
  <c r="C64" i="4"/>
  <c r="D64" i="4" s="1"/>
  <c r="C67" i="4"/>
  <c r="D67" i="4" s="1"/>
  <c r="C63" i="4"/>
  <c r="D63" i="4" s="1"/>
  <c r="C65" i="4"/>
  <c r="D65" i="4" s="1"/>
  <c r="C66" i="4"/>
  <c r="D66" i="4" s="1"/>
  <c r="C38" i="3"/>
  <c r="C36" i="3"/>
  <c r="C39" i="3"/>
  <c r="F9" i="5"/>
  <c r="F12" i="5" s="1"/>
  <c r="E42" i="3"/>
  <c r="E34" i="3"/>
  <c r="F10" i="5" s="1"/>
  <c r="F33" i="3"/>
  <c r="E37" i="3"/>
  <c r="E43" i="3"/>
  <c r="E13" i="5"/>
  <c r="E14" i="5" s="1"/>
  <c r="E15" i="5"/>
  <c r="E16" i="5" s="1"/>
  <c r="E35" i="3" l="1"/>
  <c r="E36" i="3" s="1"/>
  <c r="E18" i="5"/>
  <c r="E19" i="5" s="1"/>
  <c r="D44" i="3" s="1"/>
  <c r="D39" i="3"/>
  <c r="D36" i="3"/>
  <c r="F43" i="3"/>
  <c r="G33" i="3"/>
  <c r="F42" i="3"/>
  <c r="F34" i="3"/>
  <c r="G10" i="5" s="1"/>
  <c r="F37" i="3"/>
  <c r="G9" i="5"/>
  <c r="G12" i="5" s="1"/>
  <c r="F15" i="5"/>
  <c r="F16" i="5" s="1"/>
  <c r="F13" i="5"/>
  <c r="F14" i="5" s="1"/>
  <c r="F18" i="5" s="1"/>
  <c r="F19" i="5" s="1"/>
  <c r="E44" i="3" s="1"/>
  <c r="D40" i="3"/>
  <c r="D41" i="3" s="1"/>
  <c r="D45" i="3" s="1"/>
  <c r="D47" i="3" s="1"/>
  <c r="C41" i="3"/>
  <c r="C45" i="3" s="1"/>
  <c r="C40" i="3"/>
  <c r="E39" i="3" l="1"/>
  <c r="E38" i="3"/>
  <c r="C47" i="3"/>
  <c r="G13" i="5"/>
  <c r="G15" i="5"/>
  <c r="G16" i="5" s="1"/>
  <c r="G42" i="3"/>
  <c r="G34" i="3"/>
  <c r="H10" i="5" s="1"/>
  <c r="C16" i="4"/>
  <c r="C28" i="4" s="1"/>
  <c r="G37" i="3"/>
  <c r="H9" i="5"/>
  <c r="H12" i="5" s="1"/>
  <c r="G43" i="3"/>
  <c r="F35" i="3"/>
  <c r="G14" i="5"/>
  <c r="E40" i="3"/>
  <c r="E41" i="3" s="1"/>
  <c r="E45" i="3" s="1"/>
  <c r="E47" i="3" s="1"/>
  <c r="G18" i="5" l="1"/>
  <c r="G19" i="5" s="1"/>
  <c r="F44" i="3" s="1"/>
  <c r="H15" i="5"/>
  <c r="H16" i="5" s="1"/>
  <c r="H13" i="5"/>
  <c r="C72" i="4"/>
  <c r="C73" i="4"/>
  <c r="F36" i="3"/>
  <c r="F39" i="3"/>
  <c r="F38" i="3"/>
  <c r="G35" i="3"/>
  <c r="H14" i="5"/>
  <c r="H18" i="5" s="1"/>
  <c r="H19" i="5" s="1"/>
  <c r="G44" i="3" s="1"/>
  <c r="F40" i="3" l="1"/>
  <c r="F41" i="3" s="1"/>
  <c r="F45" i="3" s="1"/>
  <c r="G38" i="3"/>
  <c r="G39" i="3"/>
  <c r="G36" i="3"/>
  <c r="F47" i="3" l="1"/>
  <c r="C59" i="3"/>
  <c r="C60" i="3" s="1"/>
  <c r="C61" i="3" s="1"/>
  <c r="G40" i="3"/>
  <c r="G41" i="3" s="1"/>
  <c r="G45" i="3" s="1"/>
  <c r="G47" i="3" l="1"/>
  <c r="C51" i="3"/>
  <c r="C52" i="3" s="1"/>
  <c r="G20" i="7"/>
  <c r="I21" i="7"/>
  <c r="D21" i="7"/>
  <c r="D23" i="7"/>
  <c r="G7" i="7"/>
  <c r="E11" i="7"/>
  <c r="F24" i="7"/>
  <c r="F9" i="7"/>
  <c r="F10" i="7"/>
  <c r="I10" i="7"/>
  <c r="C19" i="7"/>
  <c r="G18" i="7"/>
  <c r="F18" i="7"/>
  <c r="D22" i="7"/>
  <c r="I12" i="7"/>
  <c r="D11" i="7"/>
  <c r="F12" i="7"/>
  <c r="C12" i="7"/>
  <c r="I9" i="7"/>
  <c r="H24" i="7"/>
  <c r="E22" i="7"/>
  <c r="C13" i="7"/>
  <c r="G22" i="7"/>
  <c r="C22" i="7"/>
  <c r="G21" i="7"/>
  <c r="I8" i="7"/>
  <c r="F21" i="7"/>
  <c r="C8" i="7"/>
  <c r="F8" i="7"/>
  <c r="D24" i="7"/>
  <c r="C24" i="7"/>
  <c r="I11" i="7"/>
  <c r="E21" i="7"/>
  <c r="F19" i="7"/>
  <c r="I22" i="7"/>
  <c r="F20" i="7"/>
  <c r="D10" i="7"/>
  <c r="D18" i="7"/>
  <c r="I20" i="7"/>
  <c r="E20" i="7"/>
  <c r="G10" i="7"/>
  <c r="C7" i="7"/>
  <c r="H10" i="7"/>
  <c r="G23" i="7"/>
  <c r="H9" i="7"/>
  <c r="H20" i="7"/>
  <c r="G8" i="7"/>
  <c r="G12" i="7"/>
  <c r="D12" i="7"/>
  <c r="I18" i="7"/>
  <c r="C9" i="7"/>
  <c r="E13" i="7"/>
  <c r="C18" i="7"/>
  <c r="E8" i="7"/>
  <c r="D7" i="7"/>
  <c r="H13" i="7"/>
  <c r="E7" i="7"/>
  <c r="F13" i="7"/>
  <c r="I13" i="7"/>
  <c r="C11" i="7"/>
  <c r="D13" i="7"/>
  <c r="H7" i="7"/>
  <c r="D8" i="7"/>
  <c r="E24" i="7"/>
  <c r="F22" i="7"/>
  <c r="H21" i="7"/>
  <c r="G9" i="7"/>
  <c r="H11" i="7"/>
  <c r="G11" i="7"/>
  <c r="I23" i="7"/>
  <c r="H18" i="7"/>
  <c r="G19" i="7"/>
  <c r="G13" i="7"/>
  <c r="E19" i="7"/>
  <c r="E18" i="7"/>
  <c r="F23" i="7"/>
  <c r="F11" i="7"/>
  <c r="E9" i="7"/>
  <c r="H8" i="7"/>
  <c r="C20" i="7"/>
  <c r="C23" i="7"/>
  <c r="H22" i="7"/>
  <c r="C21" i="7"/>
  <c r="I24" i="7"/>
  <c r="G24" i="7"/>
  <c r="E23" i="7"/>
  <c r="I19" i="7"/>
  <c r="D19" i="7"/>
  <c r="I7" i="7"/>
  <c r="F7" i="7"/>
  <c r="H19" i="7"/>
  <c r="C10" i="7"/>
  <c r="D9" i="7"/>
  <c r="E12" i="7"/>
  <c r="H23" i="7"/>
  <c r="H12" i="7"/>
  <c r="D20" i="7"/>
  <c r="E10" i="7"/>
  <c r="C50" i="3"/>
  <c r="C58" i="3" l="1"/>
  <c r="C62" i="3" s="1"/>
  <c r="C53" i="3"/>
  <c r="C17" i="4" l="1"/>
  <c r="C54" i="3"/>
  <c r="C55" i="3" s="1"/>
  <c r="C16" i="1" s="1"/>
  <c r="C63" i="3"/>
  <c r="C64" i="3" s="1"/>
  <c r="C17" i="1" s="1"/>
  <c r="D17" i="1" s="1"/>
  <c r="D16" i="1" l="1"/>
  <c r="C21" i="1"/>
  <c r="C10" i="1"/>
  <c r="C19" i="4"/>
  <c r="C20" i="4" s="1"/>
  <c r="B79" i="4" s="1"/>
  <c r="B29" i="1" l="1"/>
  <c r="C12" i="1"/>
  <c r="C11" i="1" s="1"/>
  <c r="B26" i="1" l="1"/>
</calcChain>
</file>

<file path=xl/sharedStrings.xml><?xml version="1.0" encoding="utf-8"?>
<sst xmlns="http://schemas.openxmlformats.org/spreadsheetml/2006/main" count="426" uniqueCount="342">
  <si>
    <t>DISCLAIMER: This is a sample analysis for demonstration purposes only. It does not constitute investment advice.</t>
  </si>
  <si>
    <t>キーエンス (6861.T)</t>
  </si>
  <si>
    <t>Equity Research Report</t>
  </si>
  <si>
    <t>Company</t>
  </si>
  <si>
    <t>キーエンス</t>
  </si>
  <si>
    <t>Ticker</t>
  </si>
  <si>
    <t>6861.T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</si>
  <si>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</si>
  <si>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</si>
  <si>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</si>
  <si>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</si>
  <si>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</si>
  <si>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</si>
  <si>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</si>
  <si>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</si>
  <si>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</si>
  <si>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</si>
  <si>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</si>
  <si>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</si>
  <si>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</si>
  <si>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</si>
  <si>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</si>
  <si>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</si>
  <si>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</si>
  <si>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</si>
  <si>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tracks global capital spending on automation, and the base case assumes high-single-digit growth decaying only gradually — a path the last two years support but the cycle may not.</t>
  </si>
  <si>
    <t>キーエンス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</si>
  <si>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</si>
  <si>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</si>
  <si>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</si>
  <si>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</si>
  <si>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</si>
  <si>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</si>
  <si>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</si>
  <si>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</si>
  <si>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</si>
  <si>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</si>
  <si>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</si>
  <si>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</si>
  <si>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</si>
  <si>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</si>
  <si>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</si>
  <si>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</si>
  <si>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</si>
  <si>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</si>
  <si>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</si>
  <si>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</si>
  <si>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</si>
  <si>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</si>
  <si>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</si>
  <si>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</si>
  <si>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</si>
  <si>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</si>
  <si>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</si>
  <si>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</si>
  <si>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キーエンス</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</si>
  <si>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</si>
  <si>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</si>
  <si>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</si>
  <si>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</si>
  <si>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</si>
  <si>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</si>
  <si>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</si>
  <si>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</si>
  <si>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</si>
  <si>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</si>
  <si>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</si>
  <si>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</si>
  <si>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</si>
  <si>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</si>
  <si>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</si>
  <si>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</si>
  <si>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</si>
  <si>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</si>
  <si>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</si>
  <si>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</si>
  <si>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</si>
  <si>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</si>
  <si>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</si>
  <si>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</si>
  <si>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</si>
  <si>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</si>
  <si>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</si>
  <si>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</si>
  <si>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</si>
  <si>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</si>
  <si>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</si>
  <si>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</si>
  <si>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</si>
  <si>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</si>
  <si>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</si>
  <si>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</si>
  <si>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</si>
  <si>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</si>
  <si>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</si>
  <si>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</si>
  <si>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</si>
  <si>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</si>
  <si>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</si>
  <si>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</si>
  <si>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</si>
  <si>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</si>
  <si>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</si>
  <si>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</si>
  <si>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</si>
  <si>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</si>
  <si>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</si>
  <si>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</si>
  <si>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</si>
  <si>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</si>
  <si>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</si>
  <si>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</si>
  <si>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</si>
  <si>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</si>
  <si>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</si>
  <si>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</si>
  <si>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</si>
  <si>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</si>
  <si>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</si>
  <si>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キーエンス (6861.T)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</si>
  <si>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</si>
  <si>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</si>
  <si>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</si>
  <si>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</si>
  <si>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</si>
  <si>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</si>
  <si>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</si>
  <si>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</si>
  <si>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</si>
  <si>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</si>
  <si>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</si>
  <si>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</si>
  <si>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</si>
  <si>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</si>
  <si>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</si>
  <si>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</si>
  <si>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</si>
  <si>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</si>
  <si>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</si>
  <si>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</si>
  <si>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</si>
  <si>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</si>
  <si>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</si>
  <si>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</si>
  <si>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</si>
  <si>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</si>
  <si>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</si>
  <si>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</si>
  <si>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</si>
  <si>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</si>
  <si>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</si>
  <si>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</si>
  <si>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</si>
  <si>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</si>
  <si>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</si>
  <si>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</si>
  <si>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</si>
  <si>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</si>
  <si>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</si>
  <si>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</si>
  <si>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</si>
  <si>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</si>
  <si>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</si>
  <si>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</si>
  <si>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</si>
  <si>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</si>
  <si>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</si>
  <si>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</si>
  <si>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</si>
  <si>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</si>
  <si>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</si>
  <si>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キーエンス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</si>
  <si>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</si>
  <si>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</si>
  <si>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</si>
  <si>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</si>
  <si>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</si>
  <si>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</si>
  <si>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</si>
  <si>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</si>
  <si>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</si>
  <si>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</si>
  <si>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</si>
  <si>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</si>
  <si>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</si>
  <si>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</si>
  <si>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</si>
  <si>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</si>
  <si>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</si>
  <si>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</si>
  <si>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</si>
  <si>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</si>
  <si>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</si>
  <si>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</si>
  <si>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</si>
  <si>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</si>
  <si>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</si>
  <si>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</si>
  <si>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</si>
  <si>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</si>
  <si>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</si>
  <si>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</si>
  <si>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</si>
  <si>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</si>
  <si>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</si>
  <si>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</si>
  <si>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Keyence Corporation</t>
  </si>
  <si>
    <t>6861.T</t>
  </si>
  <si>
    <t>Fanuc Corporation</t>
  </si>
  <si>
    <t>6954.T</t>
  </si>
  <si>
    <t>SMC Corporation</t>
  </si>
  <si>
    <t>6273.T</t>
  </si>
  <si>
    <t>OMRON Corporation</t>
  </si>
  <si>
    <t>6645.T</t>
  </si>
  <si>
    <t>YASKAWA Electric Corporation</t>
  </si>
  <si>
    <t>6506.T</t>
  </si>
  <si>
    <t>Murata Manufacturing Co., Ltd.</t>
  </si>
  <si>
    <t>6981.T</t>
  </si>
  <si>
    <t>Statistics</t>
  </si>
  <si>
    <t>25th Percentile</t>
  </si>
  <si>
    <t>Median (50th)</t>
  </si>
  <si>
    <t>75th Percentile</t>
  </si>
  <si>
    <t>Implied Valuation for キーエンス</t>
  </si>
  <si>
    <t>キーエンス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</si>
  <si>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</si>
  <si>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</si>
  <si>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</si>
  <si>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</si>
  <si>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</si>
  <si>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</si>
  <si>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</si>
  <si>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</si>
  <si>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</si>
  <si>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</si>
  <si>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</si>
  <si>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</si>
  <si>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</si>
  <si>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</si>
  <si>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</si>
  <si>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キーエンス</t>
  </si>
  <si>
    <t>日付</t>
  </si>
  <si>
    <t>セル</t>
  </si>
  <si>
    <t>変更内容</t>
  </si>
  <si>
    <t>理由</t>
  </si>
  <si>
    <t>元の値</t>
  </si>
  <si>
    <t>状態</t>
  </si>
  <si>
    <t>2026-09-06</t>
  </si>
  <si>
    <t>-</t>
  </si>
  <si>
    <t>Generated by pipeline on 2026-09-06 19:19, template rev 63983ab</t>
  </si>
  <si>
    <t>初期生成（手修正なし）</t>
  </si>
  <si>
    <t>generated</t>
  </si>
  <si>
    <t>DCF Model!C8</t>
  </si>
  <si>
    <t>Beta = 1.029（採用値）</t>
  </si>
  <si>
    <t>実測β(raw) = 1.044 → Blume調整 0.67×raw + 0.33×1.00 = 1.029 → 採用 1.029。クランプ域 [0.3, 2.0] の内側。置換なし。回帰βは平均回帰するため Blume 調整を既定とする（2026-09-05 バッチで85件中57件が旧下限 0.60 に張り付き、両裾の歪みが実証された）。</t>
  </si>
  <si>
    <t>実測 1.044</t>
  </si>
  <si>
    <t>確定</t>
  </si>
  <si>
    <t>Pipeline Metadata (do not edit — read by scripts/validate_output.py)</t>
  </si>
  <si>
    <t>key</t>
  </si>
  <si>
    <t>value</t>
  </si>
  <si>
    <t>auto_log_entries</t>
  </si>
  <si>
    <t>1</t>
  </si>
  <si>
    <t>beta_adopted_c8</t>
  </si>
  <si>
    <t>1.0293</t>
  </si>
  <si>
    <t>beta_basis</t>
  </si>
  <si>
    <t>Blume: 0.67 x 1.044 + 0.33 x 1.00 = 1.029</t>
  </si>
  <si>
    <t>beta_blume_adjusted</t>
  </si>
  <si>
    <t>beta_clamped</t>
  </si>
  <si>
    <t>no</t>
  </si>
  <si>
    <t>beta_raw</t>
  </si>
  <si>
    <t>1.0438</t>
  </si>
  <si>
    <t>capex_pct_basis</t>
  </si>
  <si>
    <t>explicit_override</t>
  </si>
  <si>
    <t>capex_pct_c5</t>
  </si>
  <si>
    <t>0.0157</t>
  </si>
  <si>
    <t>capex_pct_hist3yr</t>
  </si>
  <si>
    <t>0.016906</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</si>
  <si>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</si>
  <si>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</si>
  <si>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</si>
  <si>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</si>
  <si>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</si>
  <si>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</si>
  <si>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</si>
  <si>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</si>
  <si>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</si>
  <si>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</si>
  <si>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</si>
  <si>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</si>
  <si>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</si>
  <si>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</si>
  <si>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</si>
  <si>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</si>
  <si>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</si>
  <si>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</si>
  <si>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</si>
  <si>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</si>
  <si>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612986.0</t>
  </si>
  <si>
    <t>core_net_income</t>
  </si>
  <si>
    <t>445185.0</t>
  </si>
  <si>
    <t>cost_of_debt_at_c11</t>
  </si>
  <si>
    <t>0.01</t>
  </si>
  <si>
    <t>cost_of_debt_basis</t>
  </si>
  <si>
    <t>assumption</t>
  </si>
  <si>
    <t>da_pct_basis</t>
  </si>
  <si>
    <t>da_pct_c18</t>
  </si>
  <si>
    <t>0.015</t>
  </si>
  <si>
    <t>da_pct_hist3yr</t>
  </si>
  <si>
    <t>0.014437</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</si>
  <si>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</si>
  <si>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</si>
  <si>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</si>
  <si>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</si>
  <si>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</si>
  <si>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</si>
  <si>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</si>
  <si>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</si>
  <si>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</si>
  <si>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19:19:29</t>
  </si>
  <si>
    <t>guidance_note</t>
  </si>
  <si>
    <t>screener DB: no guidance row for code=6861 in the TDnet archive | EDINET XBRL: 5 cached EDINET XBRL file(s) for this ticker carry no ForecastMember context | EDINET tanshin: skipped (--tanshin-fallback not given; EDINET does not host 決算短信)</t>
  </si>
  <si>
    <t>guidance_source</t>
  </si>
  <si>
    <t>latest_operating_income</t>
  </si>
  <si>
    <t>595759.0</t>
  </si>
  <si>
    <t>ltm_revenue_c20</t>
  </si>
  <si>
    <t>1169289.0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</si>
  <si>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</si>
  <si>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</si>
  <si>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</si>
  <si>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</si>
  <si>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</si>
  <si>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</si>
  <si>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</si>
  <si>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</si>
  <si>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</si>
  <si>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op0=595,759(FY2026) peak=595,759(FY2026) peak_opm=0.5095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</si>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</sst>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77720</v>
      </c>
    </row>
    <row r="10" spans="2:5" ht="14" x14ac:dyDescent="0.3">
      <c r="B10" s="4" t="s">
        <v>10</v>
      </c>
      <c r="C10" s="5">
        <f>IF(COUNT(C16:C17)=0,"N/A",ROUND(AVERAGE(C16:C17),0))</f>
        <v>37170</v>
      </c>
    </row>
    <row r="11" spans="2:5" ht="14" x14ac:dyDescent="0.3">
      <c r="B11" s="4" t="s">
        <v>11</v>
      </c>
      <c r="C11" s="6" t="str">
        <f>IF(NOT(ISNUMBER(C12)),"N/A",IF(C12&gt;0.15,"BUY",IF(C12&gt;0.05,"HOLD","SELL")))</f>
        <v>SELL</v>
      </c>
    </row>
    <row r="12" spans="2:5" ht="14" x14ac:dyDescent="0.3">
      <c r="B12" s="4" t="s">
        <v>12</v>
      </c>
      <c r="C12" s="7">
        <f>IF(ISNUMBER(C10),(C10-C9)/C9,"N/A")</f>
        <v>-0.52174472465259902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25690</v>
      </c>
      <c r="D16" s="7">
        <f>IF(ISNUMBER(C16),(C16-C9)/C9,"N/A")</f>
        <v>-0.66945445187853836</v>
      </c>
    </row>
    <row r="17" spans="2:5" ht="13.5" x14ac:dyDescent="0.25">
      <c r="B17" t="s">
        <v>18</v>
      </c>
      <c r="C17" s="11">
        <f>IF('DCF Model'!C62&lt;'DCF Model'!C16,"INVALID (EV &lt; net debt)",'DCF Model'!C64)</f>
        <v>48649</v>
      </c>
      <c r="D17" s="7">
        <f>IF(ISNUMBER(C17),(C17-C9)/C9,"N/A")</f>
        <v>-0.37404786412763769</v>
      </c>
    </row>
    <row r="18" spans="2:5" ht="13.5" x14ac:dyDescent="0.25">
      <c r="B18" t="s">
        <v>19</v>
      </c>
      <c r="C18" s="11">
        <f>'Comps Analysis'!C27</f>
        <v>48611</v>
      </c>
      <c r="D18" s="7">
        <f>IF(ISNUMBER(C18),(C18-C9)/C9,"N/A")</f>
        <v>-0.37453679876479673</v>
      </c>
    </row>
    <row r="19" spans="2:5" ht="13.5" x14ac:dyDescent="0.25">
      <c r="B19" t="s">
        <v>20</v>
      </c>
      <c r="C19" s="11">
        <f>'Comps Analysis'!C28</f>
        <v>61742</v>
      </c>
      <c r="D19" s="7">
        <f>IF(ISNUMBER(C19),(C19-C9)/C9,"N/A")</f>
        <v>-0.20558414822439527</v>
      </c>
    </row>
    <row r="20" spans="2:5" ht="14" x14ac:dyDescent="0.3">
      <c r="B20" s="45" t="s">
        <v>21</v>
      </c>
      <c r="C20" s="44"/>
      <c r="D20" s="44"/>
      <c r="E20" s="44"/>
    </row>
    <row r="21" spans="2:5" ht="14" x14ac:dyDescent="0.3">
      <c r="B21" s="4" t="s">
        <v>22</v>
      </c>
      <c r="C21" s="6" t="str">
        <f>IF(COUNT(C16:C17)=0,"N/A",MIN(C16:C17)&amp;" - "&amp;MAX(C16:C17))</f>
        <v>25690 - 48649</v>
      </c>
    </row>
    <row r="23" spans="2:5" ht="14" x14ac:dyDescent="0.3">
      <c r="B23" s="8" t="s">
        <v>23</v>
      </c>
      <c r="C23" s="9"/>
      <c r="D23" s="9"/>
    </row>
    <row r="24" spans="2:5" x14ac:dyDescent="0.2">
      <c r="B24" t="str">
        <f>"Keyence sells factory-automation sensors through a direct consultative model that sustains an operating margin above fifty percent — the highest in this batch by a wide margin; the shares trade at "&amp;TEXT('Comps Analysis'!L5,"0.0""x""")&amp;" earnings and "&amp;TEXT('Comps Analysis'!M5,"0.00""x""")&amp;" book."</f>
        <v>Keyence sells factory-automation sensors through a direct consultative model that sustains an operating margin above fifty percent — the highest in this batch by a wide margin; the shares trade at 42.3x earnings and 5.43x book.</v>
      </c>
    </row>
    <row r="25" spans="2:5" x14ac:dyDescent="0.2">
      <c r="B25" t="str">
        <f>"The company carries no interest-bearing debt and holds substantial net cash, so the "&amp;TEXT('DCF Model'!C26,"0.00%")&amp;" discount rate is the cost of equity and the asset base is unusually light for a manufacturer."</f>
        <v>The company carries no interest-bearing debt and holds substantial net cash, so the 10.66% discount rate is the cost of equity and the asset base is unusually light for a manufacturer.</v>
      </c>
    </row>
    <row r="26" spans="2:5" x14ac:dyDescent="0.2">
      <c r="B26" t="str">
        <f>"At "&amp;TEXT(C9,"#,##0")&amp;" the shares are held at roughly 1.6 times the automation peer median EV/EBITDA; this model values the exit on that peer median rather than on the premium the market awards, which is why "&amp;TEXT(C10,"#,##0")&amp;" sits "&amp;TEXT(C12,"+0.0%;-0.0%")&amp;" from here."</f>
        <v>At 77,720 the shares are held at roughly 1.6 times the automation peer median EV/EBITDA; this model values the exit on that peer median rather than on the premium the market awards, which is why 37,170 sits -52.2% from here.</v>
      </c>
    </row>
    <row r="28" spans="2:5" ht="14" x14ac:dyDescent="0.3">
      <c r="B28" s="8" t="s">
        <v>24</v>
      </c>
      <c r="C28" s="9"/>
      <c r="D28" s="9"/>
    </row>
    <row r="29" spans="2:5" x14ac:dyDescent="0.2">
      <c r="B29" t="str">
        <f>"The exit leg deliberately does not extend the valuation premium into the terminal year, and that single choice accounts for most of the gap between "&amp;TEXT(C9,"#,##0")&amp;" and "&amp;TEXT(C10,"#,##0")&amp;"."</f>
        <v>The exit leg deliberately does not extend the valuation premium into the terminal year, and that single choice accounts for most of the gap between 77,720 and 37,170.</v>
      </c>
    </row>
    <row r="30" spans="2:5" x14ac:dyDescent="0.2">
      <c r="B30" t="str">
        <f>"A fifty-percent operating margin invites competitive and customer pushback; the second downside case halves it, which is far below anything the "&amp;TEXT('Comps Analysis'!L5,"0.0""x""")&amp;" the market pays contemplates."</f>
        <v>A fifty-percent operating margin invites competitive and customer pushback; the second downside case halves it, which is far below anything the 42.3x the market pays contemplates.</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922422</v>
      </c>
      <c r="D6" s="5">
        <v>967288</v>
      </c>
      <c r="E6" s="5">
        <v>1059145</v>
      </c>
      <c r="F6" s="5">
        <v>1169289</v>
      </c>
    </row>
    <row r="7" spans="2:6" ht="14" x14ac:dyDescent="0.3">
      <c r="B7" s="4" t="s">
        <v>33</v>
      </c>
      <c r="C7" s="5">
        <v>167690</v>
      </c>
      <c r="D7" s="5">
        <v>164782</v>
      </c>
      <c r="E7" s="5">
        <v>171444</v>
      </c>
      <c r="F7" s="5">
        <v>198552</v>
      </c>
    </row>
    <row r="8" spans="2:6" ht="14" x14ac:dyDescent="0.3">
      <c r="B8" s="4" t="s">
        <v>34</v>
      </c>
      <c r="C8" s="5">
        <f>C6-C7</f>
        <v>754732</v>
      </c>
      <c r="D8" s="5">
        <f>D6-D7</f>
        <v>802506</v>
      </c>
      <c r="E8" s="5">
        <f>E6-E7</f>
        <v>887701</v>
      </c>
      <c r="F8" s="5">
        <f>F6-F7</f>
        <v>970737</v>
      </c>
    </row>
    <row r="9" spans="2:6" ht="13.5" x14ac:dyDescent="0.25">
      <c r="B9" t="s">
        <v>35</v>
      </c>
      <c r="C9" s="7">
        <f>C8/C6</f>
        <v>0.81820685109418467</v>
      </c>
      <c r="D9" s="7">
        <f>D8/D6</f>
        <v>0.82964535898305369</v>
      </c>
      <c r="E9" s="7">
        <f>E8/E6</f>
        <v>0.83812981225422389</v>
      </c>
      <c r="F9" s="7">
        <f>F8/F6</f>
        <v>0.83019424624707838</v>
      </c>
    </row>
    <row r="10" spans="2:6" ht="14" x14ac:dyDescent="0.3">
      <c r="B10" s="4" t="s">
        <v>36</v>
      </c>
      <c r="C10" s="5">
        <v>255817</v>
      </c>
      <c r="D10" s="5">
        <v>307492</v>
      </c>
      <c r="E10" s="5">
        <v>337926</v>
      </c>
      <c r="F10" s="5">
        <v>374978</v>
      </c>
    </row>
    <row r="11" spans="2:6" ht="14" x14ac:dyDescent="0.3">
      <c r="B11" s="4" t="s">
        <v>37</v>
      </c>
      <c r="C11" s="5">
        <v>498915</v>
      </c>
      <c r="D11" s="5">
        <v>495014</v>
      </c>
      <c r="E11" s="5">
        <v>549775</v>
      </c>
      <c r="F11" s="5">
        <v>595759</v>
      </c>
    </row>
    <row r="12" spans="2:6" ht="14" x14ac:dyDescent="0.3">
      <c r="B12" s="4" t="s">
        <v>38</v>
      </c>
      <c r="C12" s="5">
        <v>362963</v>
      </c>
      <c r="D12" s="5">
        <v>369642</v>
      </c>
      <c r="E12" s="5">
        <v>398656</v>
      </c>
      <c r="F12" s="5">
        <v>445185</v>
      </c>
    </row>
    <row r="13" spans="2:6" ht="13.5" x14ac:dyDescent="0.25">
      <c r="B13" t="s">
        <v>39</v>
      </c>
      <c r="C13" s="7">
        <f>C11/C6</f>
        <v>0.54087500081307682</v>
      </c>
      <c r="D13" s="7">
        <f>D11/D6</f>
        <v>0.51175451365053637</v>
      </c>
      <c r="E13" s="7">
        <f>E11/E6</f>
        <v>0.5190743477049885</v>
      </c>
      <c r="F13" s="7">
        <f>F11/F6</f>
        <v>0.50950534897702793</v>
      </c>
    </row>
    <row r="14" spans="2:6" ht="13.5" x14ac:dyDescent="0.25">
      <c r="B14" t="s">
        <v>40</v>
      </c>
      <c r="C14" s="7">
        <f>C12/C6</f>
        <v>0.39348909718111669</v>
      </c>
      <c r="D14" s="7">
        <f>D12/D6</f>
        <v>0.38214265037920453</v>
      </c>
      <c r="E14" s="7">
        <f>E12/E6</f>
        <v>0.3763941669931879</v>
      </c>
      <c r="F14" s="7">
        <f>F12/F6</f>
        <v>0.38073136752334108</v>
      </c>
    </row>
    <row r="15" spans="2:6" ht="13.5" x14ac:dyDescent="0.25">
      <c r="B15" t="s">
        <v>41</v>
      </c>
      <c r="C15" t="s">
        <v>42</v>
      </c>
      <c r="D15" s="7">
        <f>(D6-C6)/C6</f>
        <v>4.8639342947154336E-2</v>
      </c>
      <c r="E15" s="7">
        <f>(E6-D6)/D6</f>
        <v>9.4963444186219617E-2</v>
      </c>
      <c r="F15" s="7">
        <f>(F6-E6)/E6</f>
        <v>0.10399331536286344</v>
      </c>
    </row>
    <row r="16" spans="2:6" ht="13.5" x14ac:dyDescent="0.25">
      <c r="B16" t="s">
        <v>43</v>
      </c>
      <c r="C16" t="s">
        <v>42</v>
      </c>
      <c r="D16" s="7">
        <f>(D11-C11)/C11</f>
        <v>-7.818967158734454E-3</v>
      </c>
      <c r="E16" s="7">
        <f>(E11-D11)/D11</f>
        <v>0.11062515403604746</v>
      </c>
      <c r="F16" s="7">
        <f>(F11-E11)/E11</f>
        <v>8.3641489700331959E-2</v>
      </c>
    </row>
    <row r="18" spans="2:6" ht="14" x14ac:dyDescent="0.3">
      <c r="B18" s="3" t="s">
        <v>44</v>
      </c>
    </row>
    <row r="19" spans="2:6" ht="14" x14ac:dyDescent="0.3">
      <c r="B19" s="4" t="s">
        <v>45</v>
      </c>
      <c r="C19" s="5">
        <v>302628</v>
      </c>
      <c r="D19" s="5">
        <v>387916</v>
      </c>
      <c r="E19" s="5">
        <v>409522</v>
      </c>
      <c r="F19" s="5">
        <v>430680</v>
      </c>
    </row>
    <row r="20" spans="2:6" ht="14" x14ac:dyDescent="0.3">
      <c r="B20" s="4" t="s">
        <v>46</v>
      </c>
      <c r="C20" s="5">
        <v>39345</v>
      </c>
      <c r="D20" s="5">
        <v>12492</v>
      </c>
      <c r="E20" s="5">
        <v>14342</v>
      </c>
      <c r="F20" s="5">
        <v>28371</v>
      </c>
    </row>
    <row r="21" spans="2:6" ht="14" x14ac:dyDescent="0.3">
      <c r="B21" s="4" t="s">
        <v>47</v>
      </c>
      <c r="C21" s="5">
        <f>C19-C20</f>
        <v>263283</v>
      </c>
      <c r="D21" s="5">
        <f>D19-D20</f>
        <v>375424</v>
      </c>
      <c r="E21" s="5">
        <f>E19-E20</f>
        <v>395180</v>
      </c>
      <c r="F21" s="5">
        <f>F19-F20</f>
        <v>402309</v>
      </c>
    </row>
    <row r="22" spans="2:6" ht="13.5" x14ac:dyDescent="0.25">
      <c r="B22" t="s">
        <v>48</v>
      </c>
      <c r="C22" s="7">
        <f>C21/C6</f>
        <v>0.28542575957641947</v>
      </c>
      <c r="D22" s="7">
        <f>D21/D6</f>
        <v>0.38812018757598565</v>
      </c>
      <c r="E22" s="7">
        <f>E21/E6</f>
        <v>0.37311227452331835</v>
      </c>
      <c r="F22" s="7">
        <f>F21/F6</f>
        <v>0.34406293055010351</v>
      </c>
    </row>
    <row r="23" spans="2:6" ht="13.5" x14ac:dyDescent="0.25">
      <c r="B23" t="s">
        <v>49</v>
      </c>
      <c r="C23" s="7">
        <f>C20/C6</f>
        <v>4.2654013022239277E-2</v>
      </c>
      <c r="D23" s="7">
        <f>D20/D6</f>
        <v>1.291445774164468E-2</v>
      </c>
      <c r="E23" s="7">
        <f>E20/E6</f>
        <v>1.3541110990468726E-2</v>
      </c>
      <c r="F23" s="7">
        <f>F20/F6</f>
        <v>2.4263462668339477E-2</v>
      </c>
    </row>
    <row r="25" spans="2:6" ht="14" x14ac:dyDescent="0.3">
      <c r="B25" s="3" t="s">
        <v>50</v>
      </c>
    </row>
    <row r="26" spans="2:6" ht="14" x14ac:dyDescent="0.3">
      <c r="B26" s="4" t="s">
        <v>51</v>
      </c>
      <c r="C26" s="5">
        <v>344002</v>
      </c>
      <c r="D26" s="5">
        <v>406065</v>
      </c>
      <c r="E26" s="5">
        <v>579051</v>
      </c>
      <c r="F26" s="5">
        <v>596976</v>
      </c>
    </row>
    <row r="27" spans="2:6" ht="14" x14ac:dyDescent="0.3">
      <c r="B27" s="4" t="s">
        <v>52</v>
      </c>
      <c r="C27" s="5"/>
      <c r="D27" s="5"/>
      <c r="E27" s="5"/>
      <c r="F27" s="5"/>
    </row>
    <row r="28" spans="2:6" ht="14" x14ac:dyDescent="0.3">
      <c r="B28" s="4" t="s">
        <v>53</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49</v>
      </c>
      <c r="C5" s="7">
        <v>1.5699999999999999E-2</v>
      </c>
    </row>
    <row r="6" spans="2:7" ht="14" x14ac:dyDescent="0.3">
      <c r="B6" s="4" t="s">
        <v>57</v>
      </c>
      <c r="C6" s="7">
        <v>0.25</v>
      </c>
    </row>
    <row r="7" spans="2:7" ht="14" x14ac:dyDescent="0.3">
      <c r="B7" s="4" t="s">
        <v>58</v>
      </c>
      <c r="C7" s="7">
        <v>2.9700000000000001E-2</v>
      </c>
    </row>
    <row r="8" spans="2:7" ht="14" x14ac:dyDescent="0.3">
      <c r="B8" s="4" t="s">
        <v>59</v>
      </c>
      <c r="C8" s="12">
        <v>1.0293000000000001</v>
      </c>
    </row>
    <row r="9" spans="2:7" ht="14" x14ac:dyDescent="0.3">
      <c r="B9" s="4" t="s">
        <v>60</v>
      </c>
      <c r="C9" s="7">
        <v>6.5000000000000002E-2</v>
      </c>
    </row>
    <row r="10" spans="2:7" ht="14" x14ac:dyDescent="0.3">
      <c r="B10" s="4" t="s">
        <v>61</v>
      </c>
      <c r="C10" s="7">
        <v>0.01</v>
      </c>
    </row>
    <row r="11" spans="2:7" ht="14" x14ac:dyDescent="0.3">
      <c r="B11" s="4" t="s">
        <v>62</v>
      </c>
      <c r="C11" s="7">
        <v>0.01</v>
      </c>
    </row>
    <row r="12" spans="2:7" ht="14" x14ac:dyDescent="0.3">
      <c r="B12" s="4" t="s">
        <v>63</v>
      </c>
      <c r="C12" s="13">
        <v>0</v>
      </c>
    </row>
    <row r="13" spans="2:7" ht="14" x14ac:dyDescent="0.3">
      <c r="B13" s="4" t="s">
        <v>64</v>
      </c>
      <c r="C13" s="7">
        <v>0.01</v>
      </c>
    </row>
    <row r="14" spans="2:7" ht="14" x14ac:dyDescent="0.3">
      <c r="B14" s="4" t="s">
        <v>65</v>
      </c>
      <c r="C14" s="14">
        <v>18.3</v>
      </c>
    </row>
    <row r="15" spans="2:7" ht="14" x14ac:dyDescent="0.3">
      <c r="B15" s="4" t="s">
        <v>66</v>
      </c>
      <c r="C15" s="15">
        <v>242525136</v>
      </c>
    </row>
    <row r="16" spans="2:7" ht="14" x14ac:dyDescent="0.3">
      <c r="B16" s="4" t="s">
        <v>67</v>
      </c>
      <c r="C16" s="5">
        <v>-596976</v>
      </c>
    </row>
    <row r="17" spans="2:7" ht="14" x14ac:dyDescent="0.3">
      <c r="B17" s="4" t="s">
        <v>68</v>
      </c>
      <c r="C17" s="5">
        <v>1169289</v>
      </c>
    </row>
    <row r="18" spans="2:7" ht="14" x14ac:dyDescent="0.3">
      <c r="B18" s="4" t="s">
        <v>69</v>
      </c>
      <c r="C18" s="7">
        <v>1.4999999999999999E-2</v>
      </c>
    </row>
    <row r="19" spans="2:7" ht="14" x14ac:dyDescent="0.3">
      <c r="B19" s="4" t="s">
        <v>70</v>
      </c>
      <c r="C19" s="12">
        <v>1</v>
      </c>
    </row>
    <row r="20" spans="2:7" ht="14" x14ac:dyDescent="0.3">
      <c r="B20" s="4" t="s">
        <v>71</v>
      </c>
      <c r="C20" s="5">
        <v>1169289</v>
      </c>
    </row>
    <row r="22" spans="2:7" ht="14" x14ac:dyDescent="0.3">
      <c r="B22" s="8" t="s">
        <v>72</v>
      </c>
      <c r="C22" s="9"/>
      <c r="D22" s="9"/>
      <c r="E22" s="9"/>
      <c r="F22" s="9"/>
      <c r="G22" s="9"/>
    </row>
    <row r="23" spans="2:7" ht="14" x14ac:dyDescent="0.3">
      <c r="B23" s="4" t="s">
        <v>73</v>
      </c>
      <c r="C23" s="16">
        <f>C7+C8*C9+C10</f>
        <v>0.1066045</v>
      </c>
    </row>
    <row r="24" spans="2:7" ht="14" x14ac:dyDescent="0.3">
      <c r="B24" s="4" t="s">
        <v>74</v>
      </c>
      <c r="C24" s="16">
        <f>1/(1+C12)</f>
        <v>1</v>
      </c>
    </row>
    <row r="25" spans="2:7" ht="14" x14ac:dyDescent="0.3">
      <c r="B25" s="4" t="s">
        <v>75</v>
      </c>
      <c r="C25" s="16">
        <f>C12/(1+C12)</f>
        <v>0</v>
      </c>
    </row>
    <row r="26" spans="2:7" ht="14" x14ac:dyDescent="0.3">
      <c r="B26" s="4" t="s">
        <v>76</v>
      </c>
      <c r="C26" s="16">
        <f>C23*C24+C11*C25</f>
        <v>0.1066045</v>
      </c>
    </row>
    <row r="27" spans="2:7" ht="14" x14ac:dyDescent="0.3">
      <c r="B27" s="4" t="s">
        <v>77</v>
      </c>
      <c r="C27" s="17" t="s">
        <v>78</v>
      </c>
      <c r="D27" s="6">
        <f>MATCH(C27,B69:B73,0)</f>
        <v>1</v>
      </c>
    </row>
    <row r="28" spans="2:7" ht="14" x14ac:dyDescent="0.3">
      <c r="B28" s="8" t="s">
        <v>79</v>
      </c>
      <c r="C28" s="9"/>
      <c r="D28" s="9"/>
      <c r="E28" s="9"/>
      <c r="F28" s="9"/>
      <c r="G28" s="9"/>
    </row>
    <row r="29" spans="2:7" ht="14" x14ac:dyDescent="0.3">
      <c r="C29" s="10" t="s">
        <v>80</v>
      </c>
      <c r="D29" s="10" t="s">
        <v>81</v>
      </c>
      <c r="E29" s="10" t="s">
        <v>82</v>
      </c>
      <c r="F29" s="10" t="s">
        <v>83</v>
      </c>
      <c r="G29" s="10" t="s">
        <v>84</v>
      </c>
    </row>
    <row r="30" spans="2:7" ht="14" x14ac:dyDescent="0.3">
      <c r="B30" s="4" t="s">
        <v>41</v>
      </c>
      <c r="C30" s="18">
        <f>CHOOSE($D$27,C69,C70,C71,C72,C73)</f>
        <v>0.09</v>
      </c>
      <c r="D30" s="18">
        <f>CHOOSE($D$27,D69,D70,D71,D72,D73)</f>
        <v>7.4999999999999997E-2</v>
      </c>
      <c r="E30" s="18">
        <f>CHOOSE($D$27,E69,E70,E71,E72,E73)</f>
        <v>0.06</v>
      </c>
      <c r="F30" s="18">
        <f>CHOOSE($D$27,F69,F70,F71,F72,F73)</f>
        <v>0.05</v>
      </c>
      <c r="G30" s="18">
        <f>CHOOSE($D$27,G69,G70,G71,G72,G73)</f>
        <v>0.04</v>
      </c>
    </row>
    <row r="31" spans="2:7" ht="14" x14ac:dyDescent="0.3">
      <c r="B31" s="4" t="s">
        <v>85</v>
      </c>
      <c r="C31" s="18">
        <f>CHOOSE($D$27,C76,C77,C78,C79,C80)</f>
        <v>0.17</v>
      </c>
      <c r="D31" s="18">
        <f>CHOOSE($D$27,D76,D77,D78,D79,D80)</f>
        <v>0.17</v>
      </c>
      <c r="E31" s="18">
        <f>CHOOSE($D$27,E76,E77,E78,E79,E80)</f>
        <v>0.17</v>
      </c>
      <c r="F31" s="18">
        <f>CHOOSE($D$27,F76,F77,F78,F79,F80)</f>
        <v>0.17</v>
      </c>
      <c r="G31" s="18">
        <f>CHOOSE($D$27,G76,G77,G78,G79,G80)</f>
        <v>0.17</v>
      </c>
    </row>
    <row r="32" spans="2:7" ht="14" x14ac:dyDescent="0.3">
      <c r="B32" s="4" t="s">
        <v>86</v>
      </c>
      <c r="C32" s="18">
        <f>CHOOSE($D$27,C83,C84,C85,C86,C87)</f>
        <v>0.31900000000000001</v>
      </c>
      <c r="D32" s="18">
        <f>CHOOSE($D$27,D83,D84,D85,D86,D87)</f>
        <v>0.318</v>
      </c>
      <c r="E32" s="18">
        <f>CHOOSE($D$27,E83,E84,E85,E86,E87)</f>
        <v>0.3165</v>
      </c>
      <c r="F32" s="18">
        <f>CHOOSE($D$27,F83,F84,F85,F86,F87)</f>
        <v>0.3155</v>
      </c>
      <c r="G32" s="18">
        <f>CHOOSE($D$27,G83,G84,G85,G86,G87)</f>
        <v>0.31459999999999999</v>
      </c>
    </row>
    <row r="33" spans="2:7" ht="14" x14ac:dyDescent="0.3">
      <c r="B33" s="4" t="s">
        <v>32</v>
      </c>
      <c r="C33" s="5">
        <f>C17*(1+C30)</f>
        <v>1274525.01</v>
      </c>
      <c r="D33" s="5">
        <f>C33*(1+D30)</f>
        <v>1370114.3857499999</v>
      </c>
      <c r="E33" s="5">
        <f>D33*(1+E30)</f>
        <v>1452321.248895</v>
      </c>
      <c r="F33" s="5">
        <f>E33*(1+F30)</f>
        <v>1524937.31133975</v>
      </c>
      <c r="G33" s="5">
        <f>F33*(1+G30)</f>
        <v>1585934.80379334</v>
      </c>
    </row>
    <row r="34" spans="2:7" ht="14" x14ac:dyDescent="0.3">
      <c r="B34" s="4" t="s">
        <v>33</v>
      </c>
      <c r="C34" s="5">
        <f>C33*C31</f>
        <v>216669.25170000002</v>
      </c>
      <c r="D34" s="5">
        <f>D33*D31</f>
        <v>232919.44557750001</v>
      </c>
      <c r="E34" s="5">
        <f>E33*E31</f>
        <v>246894.61231215001</v>
      </c>
      <c r="F34" s="5">
        <f>F33*F31</f>
        <v>259239.34292775751</v>
      </c>
      <c r="G34" s="5">
        <f>G33*G31</f>
        <v>269608.9166448678</v>
      </c>
    </row>
    <row r="35" spans="2:7" ht="14" x14ac:dyDescent="0.3">
      <c r="B35" s="4" t="s">
        <v>34</v>
      </c>
      <c r="C35" s="19">
        <f>C33-C34</f>
        <v>1057855.7582999999</v>
      </c>
      <c r="D35" s="19">
        <f>D33-D34</f>
        <v>1137194.9401725</v>
      </c>
      <c r="E35" s="19">
        <f>E33-E34</f>
        <v>1205426.63658285</v>
      </c>
      <c r="F35" s="19">
        <f>F33-F34</f>
        <v>1265697.9684119925</v>
      </c>
      <c r="G35" s="19">
        <f>G33-G34</f>
        <v>1316325.8871484722</v>
      </c>
    </row>
    <row r="36" spans="2:7" ht="14" x14ac:dyDescent="0.3">
      <c r="B36" s="4" t="s">
        <v>35</v>
      </c>
      <c r="C36" s="7">
        <f>C35/C33</f>
        <v>0.82999999999999985</v>
      </c>
      <c r="D36" s="7">
        <f>D35/D33</f>
        <v>0.83000000000000007</v>
      </c>
      <c r="E36" s="7">
        <f>E35/E33</f>
        <v>0.83000000000000007</v>
      </c>
      <c r="F36" s="7">
        <f>F35/F33</f>
        <v>0.83000000000000007</v>
      </c>
      <c r="G36" s="7">
        <f>G35/G33</f>
        <v>0.83000000000000007</v>
      </c>
    </row>
    <row r="37" spans="2:7" ht="14" x14ac:dyDescent="0.3">
      <c r="B37" s="4" t="s">
        <v>87</v>
      </c>
      <c r="C37" s="5">
        <f>C33*C32</f>
        <v>406573.47818999999</v>
      </c>
      <c r="D37" s="5">
        <f>D33*D32</f>
        <v>435696.37466849998</v>
      </c>
      <c r="E37" s="5">
        <f>E33*E32</f>
        <v>459659.67527526751</v>
      </c>
      <c r="F37" s="5">
        <f>F33*F32</f>
        <v>481117.72172769113</v>
      </c>
      <c r="G37" s="5">
        <f>G33*G32</f>
        <v>498935.08927338477</v>
      </c>
    </row>
    <row r="38" spans="2:7" ht="14" x14ac:dyDescent="0.3">
      <c r="B38" s="4" t="s">
        <v>88</v>
      </c>
      <c r="C38" s="7">
        <f>(C35-C37)/C33</f>
        <v>0.5109999999999999</v>
      </c>
      <c r="D38" s="7">
        <f>(D35-D37)/D33</f>
        <v>0.51200000000000012</v>
      </c>
      <c r="E38" s="7">
        <f>(E35-E37)/E33</f>
        <v>0.51349999999999996</v>
      </c>
      <c r="F38" s="7">
        <f>(F35-F37)/F33</f>
        <v>0.51450000000000007</v>
      </c>
      <c r="G38" s="7">
        <f>(G35-G37)/G33</f>
        <v>0.51540000000000008</v>
      </c>
    </row>
    <row r="39" spans="2:7" ht="14" x14ac:dyDescent="0.3">
      <c r="B39" s="4" t="s">
        <v>89</v>
      </c>
      <c r="C39" s="19">
        <f>C35-C37</f>
        <v>651282.28010999993</v>
      </c>
      <c r="D39" s="19">
        <f>D35-D37</f>
        <v>701498.56550400006</v>
      </c>
      <c r="E39" s="19">
        <f>E35-E37</f>
        <v>745766.96130758245</v>
      </c>
      <c r="F39" s="19">
        <f>F35-F37</f>
        <v>784580.24668430141</v>
      </c>
      <c r="G39" s="19">
        <f>G35-G37</f>
        <v>817390.79787508748</v>
      </c>
    </row>
    <row r="40" spans="2:7" ht="14" x14ac:dyDescent="0.3">
      <c r="B40" s="4" t="s">
        <v>90</v>
      </c>
      <c r="C40" s="5">
        <f>MAX(0,C39*C6)</f>
        <v>162820.57002749998</v>
      </c>
      <c r="D40" s="5">
        <f>MAX(0,D39*C6)</f>
        <v>175374.64137600001</v>
      </c>
      <c r="E40" s="5">
        <f>MAX(0,E39*C6)</f>
        <v>186441.74032689561</v>
      </c>
      <c r="F40" s="5">
        <f>MAX(0,F39*C6)</f>
        <v>196145.06167107535</v>
      </c>
      <c r="G40" s="5">
        <f>MAX(0,G39*C6)</f>
        <v>204347.69946877187</v>
      </c>
    </row>
    <row r="41" spans="2:7" ht="14" x14ac:dyDescent="0.3">
      <c r="B41" s="4" t="s">
        <v>91</v>
      </c>
      <c r="C41" s="19">
        <f>C39-C40</f>
        <v>488461.71008249995</v>
      </c>
      <c r="D41" s="19">
        <f>D39-D40</f>
        <v>526123.92412800004</v>
      </c>
      <c r="E41" s="19">
        <f>E39-E40</f>
        <v>559325.22098068683</v>
      </c>
      <c r="F41" s="19">
        <f>F39-F40</f>
        <v>588435.185013226</v>
      </c>
      <c r="G41" s="19">
        <f>G39-G40</f>
        <v>613043.09840631555</v>
      </c>
    </row>
    <row r="42" spans="2:7" ht="14" x14ac:dyDescent="0.3">
      <c r="B42" s="4" t="s">
        <v>92</v>
      </c>
      <c r="C42" s="5">
        <f>C33*C18</f>
        <v>19117.87515</v>
      </c>
      <c r="D42" s="5">
        <f>D33*C18</f>
        <v>20551.715786249999</v>
      </c>
      <c r="E42" s="5">
        <f>E33*C18</f>
        <v>21784.818733425</v>
      </c>
      <c r="F42" s="5">
        <f>F33*C18</f>
        <v>22874.059670096249</v>
      </c>
      <c r="G42" s="5">
        <f>G33*C18</f>
        <v>23789.022056900099</v>
      </c>
    </row>
    <row r="43" spans="2:7" ht="14" x14ac:dyDescent="0.3">
      <c r="B43" s="4" t="s">
        <v>93</v>
      </c>
      <c r="C43" s="5">
        <f>C33*C5</f>
        <v>20010.042656999998</v>
      </c>
      <c r="D43" s="5">
        <f>D33*C5</f>
        <v>21510.795856274995</v>
      </c>
      <c r="E43" s="5">
        <f>E33*C5</f>
        <v>22801.443607651498</v>
      </c>
      <c r="F43" s="5">
        <f>F33*C5</f>
        <v>23941.515788034074</v>
      </c>
      <c r="G43" s="5">
        <f>G33*C5</f>
        <v>24899.176419555435</v>
      </c>
    </row>
    <row r="44" spans="2:7" ht="14" x14ac:dyDescent="0.3">
      <c r="B44" s="4" t="s">
        <v>94</v>
      </c>
      <c r="C44" s="5">
        <f>'NWC Schedule'!D19</f>
        <v>34187.538076712342</v>
      </c>
      <c r="D44" s="5">
        <f>'NWC Schedule'!E19</f>
        <v>36612.040355753445</v>
      </c>
      <c r="E44" s="5">
        <f>'NWC Schedule'!F19</f>
        <v>31486.354705947917</v>
      </c>
      <c r="F44" s="5">
        <f>'NWC Schedule'!G19</f>
        <v>27812.946656920598</v>
      </c>
      <c r="G44" s="5">
        <f>'NWC Schedule'!H19</f>
        <v>23362.875191813335</v>
      </c>
    </row>
    <row r="45" spans="2:7" ht="14" x14ac:dyDescent="0.3">
      <c r="B45" s="4" t="s">
        <v>95</v>
      </c>
      <c r="C45" s="20">
        <f>C41+C42-C43-C44</f>
        <v>453382.00449878757</v>
      </c>
      <c r="D45" s="20">
        <f>D41+D42-D43-D44</f>
        <v>488552.80370222154</v>
      </c>
      <c r="E45" s="20">
        <f>E41+E42-E43-E44</f>
        <v>526822.2414005124</v>
      </c>
      <c r="F45" s="20">
        <f>F41+F42-F43-F44</f>
        <v>559554.7822383676</v>
      </c>
      <c r="G45" s="20">
        <f>G41+G42-G43-G44</f>
        <v>588570.06885184685</v>
      </c>
    </row>
    <row r="46" spans="2:7" ht="14" x14ac:dyDescent="0.3">
      <c r="B46" s="4" t="s">
        <v>96</v>
      </c>
      <c r="C46" s="21">
        <f>1/(1+C26)^(C19+0)</f>
        <v>0.90366522095292401</v>
      </c>
      <c r="D46" s="21">
        <f>1/(1+C26)^(C19+1)</f>
        <v>0.81661083155989689</v>
      </c>
      <c r="E46" s="21">
        <f>1/(1+C26)^(C19+2)</f>
        <v>0.73794280753412533</v>
      </c>
      <c r="F46" s="21">
        <f>1/(1+C26)^(C19+3)</f>
        <v>0.66685325022094633</v>
      </c>
      <c r="G46" s="21">
        <f>1/(1+C26)^(C19+4)</f>
        <v>0.60261208970408708</v>
      </c>
    </row>
    <row r="47" spans="2:7" ht="14" x14ac:dyDescent="0.3">
      <c r="B47" s="4" t="s">
        <v>97</v>
      </c>
      <c r="C47" s="19">
        <f>C45*C46</f>
        <v>409705.54927147646</v>
      </c>
      <c r="D47" s="19">
        <f>D45*D46</f>
        <v>398957.51129219023</v>
      </c>
      <c r="E47" s="19">
        <f>E45*E46</f>
        <v>388764.68389051483</v>
      </c>
      <c r="F47" s="19">
        <f>F45*F46</f>
        <v>373140.92521232925</v>
      </c>
      <c r="G47" s="19">
        <f>G45*G46</f>
        <v>354679.43912808987</v>
      </c>
    </row>
    <row r="49" spans="2:7" ht="14" x14ac:dyDescent="0.3">
      <c r="B49" s="22" t="s">
        <v>98</v>
      </c>
      <c r="C49" s="23"/>
      <c r="D49" s="23"/>
      <c r="E49" s="23"/>
      <c r="F49" s="23"/>
      <c r="G49" s="23"/>
    </row>
    <row r="50" spans="2:7" ht="14" x14ac:dyDescent="0.3">
      <c r="B50" s="4" t="s">
        <v>99</v>
      </c>
      <c r="C50" s="5">
        <f>SUM(C47:G47)</f>
        <v>1925248.1087946007</v>
      </c>
    </row>
    <row r="51" spans="2:7" ht="14" x14ac:dyDescent="0.3">
      <c r="B51" s="4" t="s">
        <v>100</v>
      </c>
      <c r="C51" s="5">
        <f>G45*(1+C13)/(C26-C13)</f>
        <v>6153499.7804487916</v>
      </c>
    </row>
    <row r="52" spans="2:7" ht="14" x14ac:dyDescent="0.3">
      <c r="B52" s="4" t="s">
        <v>101</v>
      </c>
      <c r="C52" s="5">
        <f>C51*G46</f>
        <v>3708173.3616898875</v>
      </c>
    </row>
    <row r="53" spans="2:7" ht="14" x14ac:dyDescent="0.3">
      <c r="B53" s="4" t="s">
        <v>102</v>
      </c>
      <c r="C53" s="5">
        <f>C50+C52</f>
        <v>5633421.4704844877</v>
      </c>
    </row>
    <row r="54" spans="2:7" ht="14" x14ac:dyDescent="0.3">
      <c r="B54" s="4" t="s">
        <v>103</v>
      </c>
      <c r="C54" s="5">
        <f>C53-C16</f>
        <v>6230397.4704844877</v>
      </c>
    </row>
    <row r="55" spans="2:7" ht="14" x14ac:dyDescent="0.3">
      <c r="B55" s="4" t="s">
        <v>104</v>
      </c>
      <c r="C55" s="24">
        <f>ROUND(C54*1000000/C15,0)</f>
        <v>25690</v>
      </c>
    </row>
    <row r="57" spans="2:7" ht="14" x14ac:dyDescent="0.3">
      <c r="B57" s="22" t="s">
        <v>105</v>
      </c>
      <c r="C57" s="23"/>
      <c r="D57" s="23"/>
      <c r="E57" s="23"/>
      <c r="F57" s="23"/>
      <c r="G57" s="23"/>
    </row>
    <row r="58" spans="2:7" ht="14" x14ac:dyDescent="0.3">
      <c r="B58" s="4" t="s">
        <v>99</v>
      </c>
      <c r="C58" s="5">
        <f>C50</f>
        <v>1925248.1087946007</v>
      </c>
    </row>
    <row r="59" spans="2:7" ht="14" x14ac:dyDescent="0.3">
      <c r="B59" s="4" t="s">
        <v>106</v>
      </c>
      <c r="C59" s="5">
        <f>G39+G42</f>
        <v>841179.81993198756</v>
      </c>
    </row>
    <row r="60" spans="2:7" ht="14" x14ac:dyDescent="0.3">
      <c r="B60" s="4" t="s">
        <v>107</v>
      </c>
      <c r="C60" s="5">
        <f>C59*C14</f>
        <v>15393590.704755373</v>
      </c>
    </row>
    <row r="61" spans="2:7" ht="14" x14ac:dyDescent="0.3">
      <c r="B61" s="4" t="s">
        <v>101</v>
      </c>
      <c r="C61" s="5">
        <f>C60*G46</f>
        <v>9276363.8626420461</v>
      </c>
    </row>
    <row r="62" spans="2:7" ht="14" x14ac:dyDescent="0.3">
      <c r="B62" s="4" t="s">
        <v>102</v>
      </c>
      <c r="C62" s="5">
        <f>C58+C61</f>
        <v>11201611.971436646</v>
      </c>
    </row>
    <row r="63" spans="2:7" ht="14" x14ac:dyDescent="0.3">
      <c r="B63" s="4" t="s">
        <v>103</v>
      </c>
      <c r="C63" s="5">
        <f>C62-C16</f>
        <v>11798587.971436646</v>
      </c>
    </row>
    <row r="64" spans="2:7" ht="14" x14ac:dyDescent="0.3">
      <c r="B64" s="4" t="s">
        <v>108</v>
      </c>
      <c r="C64" s="24">
        <f>ROUND(C63*1000000/C15,0)</f>
        <v>48649</v>
      </c>
    </row>
    <row r="66" spans="2:7" ht="14" x14ac:dyDescent="0.3">
      <c r="B66" s="22" t="s">
        <v>109</v>
      </c>
      <c r="C66" s="23"/>
      <c r="D66" s="23"/>
      <c r="E66" s="23"/>
      <c r="F66" s="23"/>
      <c r="G66" s="23"/>
    </row>
    <row r="67" spans="2:7" ht="14" x14ac:dyDescent="0.3">
      <c r="C67" s="25" t="s">
        <v>110</v>
      </c>
      <c r="D67" s="25" t="s">
        <v>111</v>
      </c>
      <c r="E67" s="25" t="s">
        <v>112</v>
      </c>
      <c r="F67" s="25" t="s">
        <v>113</v>
      </c>
      <c r="G67" s="25" t="s">
        <v>114</v>
      </c>
    </row>
    <row r="68" spans="2:7" ht="14" x14ac:dyDescent="0.3">
      <c r="B68" s="3" t="s">
        <v>41</v>
      </c>
    </row>
    <row r="69" spans="2:7" ht="14" x14ac:dyDescent="0.3">
      <c r="B69" s="4" t="s">
        <v>78</v>
      </c>
      <c r="C69" s="26">
        <v>0.09</v>
      </c>
      <c r="D69" s="26">
        <v>7.4999999999999997E-2</v>
      </c>
      <c r="E69" s="26">
        <v>0.06</v>
      </c>
      <c r="F69" s="26">
        <v>0.05</v>
      </c>
      <c r="G69" s="26">
        <v>0.04</v>
      </c>
    </row>
    <row r="70" spans="2:7" ht="14" x14ac:dyDescent="0.3">
      <c r="B70" s="4" t="s">
        <v>115</v>
      </c>
      <c r="C70" s="26">
        <v>0.11</v>
      </c>
      <c r="D70" s="26">
        <v>0.09</v>
      </c>
      <c r="E70" s="26">
        <v>7.4999999999999997E-2</v>
      </c>
      <c r="F70" s="26">
        <v>0.06</v>
      </c>
      <c r="G70" s="26">
        <v>0.05</v>
      </c>
    </row>
    <row r="71" spans="2:7" ht="14" x14ac:dyDescent="0.3">
      <c r="B71" s="4" t="s">
        <v>116</v>
      </c>
      <c r="C71" s="26">
        <v>0.09</v>
      </c>
      <c r="D71" s="26">
        <v>7.4999999999999997E-2</v>
      </c>
      <c r="E71" s="26">
        <v>0.06</v>
      </c>
      <c r="F71" s="26">
        <v>0.05</v>
      </c>
      <c r="G71" s="26">
        <v>0.04</v>
      </c>
    </row>
    <row r="72" spans="2:7" ht="14" x14ac:dyDescent="0.3">
      <c r="B72" s="4" t="s">
        <v>117</v>
      </c>
      <c r="C72" s="26">
        <v>0.03</v>
      </c>
      <c r="D72" s="26">
        <v>2.5000000000000001E-2</v>
      </c>
      <c r="E72" s="26">
        <v>0.02</v>
      </c>
      <c r="F72" s="26">
        <v>1.4999999999999999E-2</v>
      </c>
      <c r="G72" s="26">
        <v>1.4999999999999999E-2</v>
      </c>
    </row>
    <row r="73" spans="2:7" ht="14" x14ac:dyDescent="0.3">
      <c r="B73" s="4" t="s">
        <v>118</v>
      </c>
      <c r="C73" s="26">
        <v>-0.12</v>
      </c>
      <c r="D73" s="26">
        <v>-0.03</v>
      </c>
      <c r="E73" s="26">
        <v>0.02</v>
      </c>
      <c r="F73" s="26">
        <v>0.04</v>
      </c>
      <c r="G73" s="26">
        <v>4.4999999999999998E-2</v>
      </c>
    </row>
    <row r="75" spans="2:7" ht="14" x14ac:dyDescent="0.3">
      <c r="B75" s="3" t="s">
        <v>85</v>
      </c>
    </row>
    <row r="76" spans="2:7" ht="14" x14ac:dyDescent="0.3">
      <c r="B76" s="4" t="s">
        <v>78</v>
      </c>
      <c r="C76" s="26">
        <v>0.17</v>
      </c>
      <c r="D76" s="26">
        <v>0.17</v>
      </c>
      <c r="E76" s="26">
        <v>0.17</v>
      </c>
      <c r="F76" s="26">
        <v>0.17</v>
      </c>
      <c r="G76" s="26">
        <v>0.17</v>
      </c>
    </row>
    <row r="77" spans="2:7" ht="14" x14ac:dyDescent="0.3">
      <c r="B77" s="4" t="s">
        <v>115</v>
      </c>
      <c r="C77" s="26">
        <v>0.16700000000000001</v>
      </c>
      <c r="D77" s="26">
        <v>0.16700000000000001</v>
      </c>
      <c r="E77" s="26">
        <v>0.16700000000000001</v>
      </c>
      <c r="F77" s="26">
        <v>0.16700000000000001</v>
      </c>
      <c r="G77" s="26">
        <v>0.16700000000000001</v>
      </c>
    </row>
    <row r="78" spans="2:7" ht="14" x14ac:dyDescent="0.3">
      <c r="B78" s="4" t="s">
        <v>116</v>
      </c>
      <c r="C78" s="26">
        <v>0.17</v>
      </c>
      <c r="D78" s="26">
        <v>0.17</v>
      </c>
      <c r="E78" s="26">
        <v>0.17</v>
      </c>
      <c r="F78" s="26">
        <v>0.17</v>
      </c>
      <c r="G78" s="26">
        <v>0.17</v>
      </c>
    </row>
    <row r="79" spans="2:7" ht="14" x14ac:dyDescent="0.3">
      <c r="B79" s="4" t="s">
        <v>117</v>
      </c>
      <c r="C79" s="26">
        <v>0.17599999999999999</v>
      </c>
      <c r="D79" s="26">
        <v>0.17599999999999999</v>
      </c>
      <c r="E79" s="26">
        <v>0.17599999999999999</v>
      </c>
      <c r="F79" s="26">
        <v>0.17599999999999999</v>
      </c>
      <c r="G79" s="26">
        <v>0.17599999999999999</v>
      </c>
    </row>
    <row r="80" spans="2:7" ht="14" x14ac:dyDescent="0.3">
      <c r="B80" s="4" t="s">
        <v>118</v>
      </c>
      <c r="C80" s="26">
        <v>0.19500000000000001</v>
      </c>
      <c r="D80" s="26">
        <v>0.19500000000000001</v>
      </c>
      <c r="E80" s="26">
        <v>0.19500000000000001</v>
      </c>
      <c r="F80" s="26">
        <v>0.19500000000000001</v>
      </c>
      <c r="G80" s="26">
        <v>0.19500000000000001</v>
      </c>
    </row>
    <row r="82" spans="2:7" ht="14" x14ac:dyDescent="0.3">
      <c r="B82" s="3" t="s">
        <v>86</v>
      </c>
    </row>
    <row r="83" spans="2:7" ht="14" x14ac:dyDescent="0.3">
      <c r="B83" s="4" t="s">
        <v>78</v>
      </c>
      <c r="C83" s="26">
        <v>0.31900000000000001</v>
      </c>
      <c r="D83" s="26">
        <v>0.318</v>
      </c>
      <c r="E83" s="26">
        <v>0.3165</v>
      </c>
      <c r="F83" s="26">
        <v>0.3155</v>
      </c>
      <c r="G83" s="26">
        <v>0.31459999999999999</v>
      </c>
    </row>
    <row r="84" spans="2:7" ht="14" x14ac:dyDescent="0.3">
      <c r="B84" s="4" t="s">
        <v>115</v>
      </c>
      <c r="C84" s="26">
        <v>0.318</v>
      </c>
      <c r="D84" s="26">
        <v>0.315</v>
      </c>
      <c r="E84" s="26">
        <v>0.312</v>
      </c>
      <c r="F84" s="26">
        <v>0.31</v>
      </c>
      <c r="G84" s="26">
        <v>0.3085</v>
      </c>
    </row>
    <row r="85" spans="2:7" ht="14" x14ac:dyDescent="0.3">
      <c r="B85" s="4" t="s">
        <v>116</v>
      </c>
      <c r="C85" s="26">
        <v>0.31900000000000001</v>
      </c>
      <c r="D85" s="26">
        <v>0.318</v>
      </c>
      <c r="E85" s="26">
        <v>0.3165</v>
      </c>
      <c r="F85" s="26">
        <v>0.3155</v>
      </c>
      <c r="G85" s="26">
        <v>0.31459999999999999</v>
      </c>
    </row>
    <row r="86" spans="2:7" ht="14" x14ac:dyDescent="0.3">
      <c r="B86" s="4" t="s">
        <v>117</v>
      </c>
      <c r="C86" s="26">
        <v>0.32400000000000001</v>
      </c>
      <c r="D86" s="26">
        <v>0.33400000000000002</v>
      </c>
      <c r="E86" s="26">
        <v>0.34200000000000003</v>
      </c>
      <c r="F86" s="26">
        <v>0.34699999999999998</v>
      </c>
      <c r="G86" s="26">
        <v>0.34699999999999998</v>
      </c>
    </row>
    <row r="87" spans="2:7" ht="14" x14ac:dyDescent="0.3">
      <c r="B87" s="4" t="s">
        <v>118</v>
      </c>
      <c r="C87" s="26">
        <v>0.48499999999999999</v>
      </c>
      <c r="D87" s="26">
        <v>0.54500000000000004</v>
      </c>
      <c r="E87" s="26">
        <v>0.55000000000000004</v>
      </c>
      <c r="F87" s="26">
        <v>0.53500000000000003</v>
      </c>
      <c r="G87" s="26">
        <v>0.51500000000000001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119</v>
      </c>
    </row>
    <row r="3" spans="2:9" ht="14" x14ac:dyDescent="0.3">
      <c r="B3" s="1" t="s">
        <v>120</v>
      </c>
    </row>
    <row r="5" spans="2:9" ht="14" x14ac:dyDescent="0.3">
      <c r="B5" s="8" t="s">
        <v>121</v>
      </c>
      <c r="C5" s="9"/>
      <c r="D5" s="9"/>
      <c r="E5" s="9"/>
      <c r="F5" s="9"/>
      <c r="G5" s="9"/>
      <c r="H5" s="9"/>
      <c r="I5" s="9"/>
    </row>
    <row r="6" spans="2:9" ht="14" x14ac:dyDescent="0.3">
      <c r="B6" s="4" t="s">
        <v>122</v>
      </c>
      <c r="C6" s="15">
        <f>'Executive Summary'!C9</f>
        <v>77720</v>
      </c>
    </row>
    <row r="7" spans="2:9" ht="14" x14ac:dyDescent="0.3">
      <c r="B7" s="4" t="s">
        <v>66</v>
      </c>
      <c r="C7" s="15">
        <f>'DCF Model'!C15</f>
        <v>242525136</v>
      </c>
    </row>
    <row r="8" spans="2:9" ht="14" x14ac:dyDescent="0.3">
      <c r="B8" s="4" t="s">
        <v>123</v>
      </c>
      <c r="C8" s="5">
        <f>C6*C7/1000000</f>
        <v>18849053.56992</v>
      </c>
    </row>
    <row r="9" spans="2:9" ht="14" x14ac:dyDescent="0.3">
      <c r="B9" s="4" t="s">
        <v>67</v>
      </c>
      <c r="C9" s="5">
        <f>'DCF Model'!C16</f>
        <v>-596976</v>
      </c>
    </row>
    <row r="10" spans="2:9" ht="14" x14ac:dyDescent="0.3">
      <c r="B10" s="4" t="s">
        <v>124</v>
      </c>
      <c r="C10" s="5">
        <f>C8+C9</f>
        <v>18252077.56992</v>
      </c>
    </row>
    <row r="11" spans="2:9" ht="14" x14ac:dyDescent="0.3">
      <c r="B11" s="4" t="s">
        <v>125</v>
      </c>
      <c r="C11" s="16">
        <f>'DCF Model'!C26</f>
        <v>0.1066045</v>
      </c>
    </row>
    <row r="12" spans="2:9" ht="14" x14ac:dyDescent="0.3">
      <c r="B12" s="4" t="s">
        <v>126</v>
      </c>
      <c r="C12" s="16">
        <f>'DCF Model'!C13</f>
        <v>0.01</v>
      </c>
    </row>
    <row r="13" spans="2:9" ht="14" x14ac:dyDescent="0.3">
      <c r="B13" s="4" t="s">
        <v>127</v>
      </c>
      <c r="C13" s="16">
        <f>'DCF Model'!C6</f>
        <v>0.25</v>
      </c>
    </row>
    <row r="14" spans="2:9" ht="14" x14ac:dyDescent="0.3">
      <c r="B14" s="4" t="s">
        <v>128</v>
      </c>
      <c r="C14" s="27">
        <v>595759</v>
      </c>
    </row>
    <row r="15" spans="2:9" ht="14" x14ac:dyDescent="0.3">
      <c r="B15" s="4" t="s">
        <v>129</v>
      </c>
      <c r="C15" s="27">
        <v>595759</v>
      </c>
    </row>
    <row r="16" spans="2:9" ht="14" x14ac:dyDescent="0.3">
      <c r="B16" s="4" t="s">
        <v>130</v>
      </c>
      <c r="C16" s="5">
        <f>'DCF Model'!G33</f>
        <v>1585934.80379334</v>
      </c>
    </row>
    <row r="17" spans="2:9" ht="14" x14ac:dyDescent="0.3">
      <c r="B17" s="4" t="s">
        <v>131</v>
      </c>
      <c r="C17" s="5">
        <f>'DCF Model'!C53</f>
        <v>5633421.4704844877</v>
      </c>
    </row>
    <row r="18" spans="2:9" ht="14" x14ac:dyDescent="0.3">
      <c r="B18" s="4" t="s">
        <v>132</v>
      </c>
      <c r="C18" s="26">
        <v>0.50950534897702793</v>
      </c>
    </row>
    <row r="19" spans="2:9" ht="14" x14ac:dyDescent="0.3">
      <c r="B19" s="4" t="s">
        <v>133</v>
      </c>
      <c r="C19" s="5">
        <f>C10-C17</f>
        <v>12618656.099435512</v>
      </c>
    </row>
    <row r="20" spans="2:9" ht="14" x14ac:dyDescent="0.3">
      <c r="B20" s="4" t="s">
        <v>134</v>
      </c>
      <c r="C20" s="15">
        <f>IFERROR(ROUND(C19*1000000/C7,0),"N/A")</f>
        <v>52030</v>
      </c>
    </row>
    <row r="22" spans="2:9" ht="14" x14ac:dyDescent="0.3">
      <c r="B22" s="8" t="s">
        <v>135</v>
      </c>
      <c r="C22" s="9"/>
      <c r="D22" s="9"/>
      <c r="E22" s="9"/>
      <c r="F22" s="9"/>
      <c r="G22" s="9"/>
      <c r="H22" s="9"/>
      <c r="I22" s="9"/>
    </row>
    <row r="23" spans="2:9" ht="14" x14ac:dyDescent="0.3">
      <c r="B23" s="1" t="s">
        <v>136</v>
      </c>
    </row>
    <row r="24" spans="2:9" ht="14" x14ac:dyDescent="0.3">
      <c r="B24" s="4" t="s">
        <v>137</v>
      </c>
      <c r="C24" s="5">
        <f>C10*(C11-C12)</f>
        <v>1763232.8276033369</v>
      </c>
    </row>
    <row r="25" spans="2:9" ht="14" x14ac:dyDescent="0.3">
      <c r="B25" s="4" t="s">
        <v>138</v>
      </c>
      <c r="C25" s="5">
        <f>IFERROR(C24/(1-C13),"N/A")</f>
        <v>2350977.1034711157</v>
      </c>
    </row>
    <row r="26" spans="2:9" ht="13.5" x14ac:dyDescent="0.25">
      <c r="B26" s="6" t="s">
        <v>139</v>
      </c>
      <c r="C26" s="14">
        <f>IFERROR(C25/C15,"N/A")</f>
        <v>3.9461881456614432</v>
      </c>
    </row>
    <row r="27" spans="2:9" ht="13.5" x14ac:dyDescent="0.25">
      <c r="B27" s="6" t="s">
        <v>140</v>
      </c>
      <c r="C27" s="14">
        <f>IFERROR(C25/C14,"N/A")</f>
        <v>3.9461881456614432</v>
      </c>
    </row>
    <row r="28" spans="2:9" ht="13.5" x14ac:dyDescent="0.25">
      <c r="B28" s="6" t="s">
        <v>141</v>
      </c>
      <c r="C28" s="7">
        <f>IFERROR(C25/C16,"N/A")</f>
        <v>1.4823920238384949</v>
      </c>
    </row>
    <row r="29" spans="2:9" ht="13.5" x14ac:dyDescent="0.25">
      <c r="B29" s="6" t="s">
        <v>142</v>
      </c>
      <c r="C29" s="5">
        <f>IFERROR(C25/C18,"N/A")</f>
        <v>4614234.3906523231</v>
      </c>
    </row>
    <row r="32" spans="2:9" ht="14" x14ac:dyDescent="0.3">
      <c r="B32" s="8" t="s">
        <v>143</v>
      </c>
      <c r="C32" s="9"/>
      <c r="D32" s="9"/>
      <c r="E32" s="9"/>
      <c r="F32" s="9"/>
      <c r="G32" s="9"/>
      <c r="H32" s="9"/>
      <c r="I32" s="9"/>
    </row>
    <row r="33" spans="2:9" ht="14" x14ac:dyDescent="0.3">
      <c r="B33" s="1" t="s">
        <v>144</v>
      </c>
    </row>
    <row r="34" spans="2:9" ht="14" x14ac:dyDescent="0.3">
      <c r="B34" s="1" t="s">
        <v>145</v>
      </c>
    </row>
    <row r="36" spans="2:9" ht="14" x14ac:dyDescent="0.3">
      <c r="B36" s="28" t="s">
        <v>146</v>
      </c>
      <c r="C36" s="28" t="s">
        <v>147</v>
      </c>
      <c r="D36" s="29">
        <f>'DCF Model'!C26-0.02</f>
        <v>8.6604500000000001E-2</v>
      </c>
      <c r="E36" s="29">
        <f>'DCF Model'!C26-0.01</f>
        <v>9.660450000000001E-2</v>
      </c>
      <c r="F36" s="29">
        <f>'DCF Model'!C26</f>
        <v>0.1066045</v>
      </c>
      <c r="G36" s="29">
        <f>'DCF Model'!C26+0.01</f>
        <v>0.1166045</v>
      </c>
      <c r="H36" s="29">
        <f>'DCF Model'!C26+0.02</f>
        <v>0.12660450000000001</v>
      </c>
    </row>
    <row r="37" spans="2:9" ht="14" x14ac:dyDescent="0.3">
      <c r="B37" s="3" t="s">
        <v>148</v>
      </c>
    </row>
    <row r="38" spans="2:9" ht="14" x14ac:dyDescent="0.3">
      <c r="B38" s="4" t="s">
        <v>149</v>
      </c>
      <c r="C38" s="30">
        <v>3</v>
      </c>
      <c r="D38" s="13">
        <f t="shared" ref="D38:H41" si="0">IFERROR((1-(1+D$36)^(-$C38))/D$36-(1+D$36)/(D$36^2*$C38)*(1-($C38+1)/(1+D$36)^$C38+$C38/(1+D$36)^($C38+1)),"N/A")</f>
        <v>0.89584819736641008</v>
      </c>
      <c r="E38" s="13">
        <f t="shared" si="0"/>
        <v>0.88512792487584679</v>
      </c>
      <c r="F38" s="13">
        <f t="shared" si="0"/>
        <v>0.87464709115526107</v>
      </c>
      <c r="G38" s="13">
        <f t="shared" si="0"/>
        <v>0.8643980466485619</v>
      </c>
      <c r="H38" s="13">
        <f t="shared" si="0"/>
        <v>0.85437345620550142</v>
      </c>
    </row>
    <row r="39" spans="2:9" ht="14" x14ac:dyDescent="0.3">
      <c r="B39" s="4" t="s">
        <v>150</v>
      </c>
      <c r="C39" s="30">
        <v>5</v>
      </c>
      <c r="D39" s="13">
        <f t="shared" si="0"/>
        <v>1.6996499065597561</v>
      </c>
      <c r="E39" s="13">
        <f t="shared" si="0"/>
        <v>1.6700966019056542</v>
      </c>
      <c r="F39" s="13">
        <f t="shared" si="0"/>
        <v>1.6414464487561218</v>
      </c>
      <c r="G39" s="13">
        <f t="shared" si="0"/>
        <v>1.613661674913911</v>
      </c>
      <c r="H39" s="13">
        <f t="shared" si="0"/>
        <v>1.5867064732186886</v>
      </c>
    </row>
    <row r="40" spans="2:9" ht="14" x14ac:dyDescent="0.3">
      <c r="B40" s="4" t="s">
        <v>151</v>
      </c>
      <c r="C40" s="30">
        <v>7</v>
      </c>
      <c r="D40" s="13">
        <f t="shared" si="0"/>
        <v>2.4220157765050252</v>
      </c>
      <c r="E40" s="13">
        <f t="shared" si="0"/>
        <v>2.367617865907826</v>
      </c>
      <c r="F40" s="13">
        <f t="shared" si="0"/>
        <v>2.3153086044165732</v>
      </c>
      <c r="G40" s="13">
        <f t="shared" si="0"/>
        <v>2.2649808009034968</v>
      </c>
      <c r="H40" s="13">
        <f t="shared" si="0"/>
        <v>2.2165339732309604</v>
      </c>
    </row>
    <row r="41" spans="2:9" ht="14" x14ac:dyDescent="0.3">
      <c r="B41" s="4" t="s">
        <v>152</v>
      </c>
      <c r="C41" s="30">
        <v>10</v>
      </c>
      <c r="D41" s="13">
        <f t="shared" si="0"/>
        <v>3.3729183160678935</v>
      </c>
      <c r="E41" s="13">
        <f t="shared" si="0"/>
        <v>3.2735747228950198</v>
      </c>
      <c r="F41" s="13">
        <f t="shared" si="0"/>
        <v>3.179143061675179</v>
      </c>
      <c r="G41" s="13">
        <f t="shared" si="0"/>
        <v>3.0893046624838014</v>
      </c>
      <c r="H41" s="13">
        <f t="shared" si="0"/>
        <v>3.0037656414359653</v>
      </c>
    </row>
    <row r="42" spans="2:9" ht="14" x14ac:dyDescent="0.3">
      <c r="B42" s="3" t="s">
        <v>153</v>
      </c>
    </row>
    <row r="43" spans="2:9" ht="14" x14ac:dyDescent="0.3">
      <c r="B43" s="4" t="s">
        <v>149</v>
      </c>
      <c r="C43" s="30">
        <v>3</v>
      </c>
      <c r="D43" s="13">
        <f t="shared" ref="D43:H46" si="1">IFERROR((1+D$36)/(D$36^2*$C43)*(1-($C43+1)/(1+D$36)^$C43+$C43/(1+D$36)^($C43+1))+(1+$C$12)/((D$36-$C$12)*(1+D$36)^$C43),"N/A")</f>
        <v>11.927517721819338</v>
      </c>
      <c r="E43" s="13">
        <f t="shared" si="1"/>
        <v>10.460301241259399</v>
      </c>
      <c r="F43" s="13">
        <f t="shared" si="1"/>
        <v>9.2987634588177919</v>
      </c>
      <c r="G43" s="13">
        <f t="shared" si="1"/>
        <v>8.3568241443556914</v>
      </c>
      <c r="H43" s="13">
        <f t="shared" si="1"/>
        <v>7.5779342654268964</v>
      </c>
    </row>
    <row r="44" spans="2:9" ht="14" x14ac:dyDescent="0.3">
      <c r="B44" s="4" t="s">
        <v>150</v>
      </c>
      <c r="C44" s="30">
        <v>5</v>
      </c>
      <c r="D44" s="13">
        <f t="shared" si="1"/>
        <v>10.92832712503281</v>
      </c>
      <c r="E44" s="13">
        <f t="shared" si="1"/>
        <v>9.5079246597948295</v>
      </c>
      <c r="F44" s="13">
        <f t="shared" si="1"/>
        <v>8.3865468527704223</v>
      </c>
      <c r="G44" s="13">
        <f t="shared" si="1"/>
        <v>7.4798382302366679</v>
      </c>
      <c r="H44" s="13">
        <f t="shared" si="1"/>
        <v>6.7323910657650607</v>
      </c>
    </row>
    <row r="45" spans="2:9" ht="14" x14ac:dyDescent="0.3">
      <c r="B45" s="4" t="s">
        <v>151</v>
      </c>
      <c r="C45" s="30">
        <v>7</v>
      </c>
      <c r="D45" s="13">
        <f t="shared" si="1"/>
        <v>10.040476930478809</v>
      </c>
      <c r="E45" s="13">
        <f t="shared" si="1"/>
        <v>8.6711916394746495</v>
      </c>
      <c r="F45" s="13">
        <f t="shared" si="1"/>
        <v>7.5939353969329151</v>
      </c>
      <c r="G45" s="13">
        <f t="shared" si="1"/>
        <v>6.7260794898527712</v>
      </c>
      <c r="H45" s="13">
        <f t="shared" si="1"/>
        <v>6.0133681512923145</v>
      </c>
    </row>
    <row r="46" spans="2:9" ht="14" x14ac:dyDescent="0.3">
      <c r="B46" s="4" t="s">
        <v>152</v>
      </c>
      <c r="C46" s="30">
        <v>10</v>
      </c>
      <c r="D46" s="13">
        <f t="shared" si="1"/>
        <v>8.887601502355178</v>
      </c>
      <c r="E46" s="13">
        <f t="shared" si="1"/>
        <v>7.5991190162500715</v>
      </c>
      <c r="F46" s="13">
        <f t="shared" si="1"/>
        <v>6.5915311372682979</v>
      </c>
      <c r="G46" s="13">
        <f t="shared" si="1"/>
        <v>5.7848299430127694</v>
      </c>
      <c r="H46" s="13">
        <f t="shared" si="1"/>
        <v>5.1265297135041781</v>
      </c>
    </row>
    <row r="47" spans="2:9" ht="14" x14ac:dyDescent="0.3">
      <c r="B47" s="22" t="s">
        <v>154</v>
      </c>
      <c r="C47" s="23"/>
      <c r="D47" s="23"/>
      <c r="E47" s="23"/>
      <c r="F47" s="23"/>
      <c r="G47" s="23"/>
      <c r="H47" s="23"/>
      <c r="I47" s="23"/>
    </row>
    <row r="48" spans="2:9" ht="14" x14ac:dyDescent="0.3">
      <c r="B48" s="4" t="s">
        <v>149</v>
      </c>
      <c r="C48" s="30">
        <v>3</v>
      </c>
      <c r="D48" s="5">
        <f t="shared" ref="D48:H51" si="2">IFERROR(($C$10/(1-$C$13)-$C$14*D38)/D43,"N/A")</f>
        <v>1995586.5382453222</v>
      </c>
      <c r="E48" s="5">
        <f t="shared" si="2"/>
        <v>2276108.493439273</v>
      </c>
      <c r="F48" s="5">
        <f t="shared" si="2"/>
        <v>2561095.8549114638</v>
      </c>
      <c r="G48" s="5">
        <f t="shared" si="2"/>
        <v>2850500.3933552681</v>
      </c>
      <c r="H48" s="5">
        <f t="shared" si="2"/>
        <v>3144274.1406944874</v>
      </c>
    </row>
    <row r="49" spans="2:9" ht="14" x14ac:dyDescent="0.3">
      <c r="B49" s="4" t="s">
        <v>150</v>
      </c>
      <c r="C49" s="30">
        <v>5</v>
      </c>
      <c r="D49" s="5">
        <f t="shared" si="2"/>
        <v>2134226.1657277979</v>
      </c>
      <c r="E49" s="5">
        <f t="shared" si="2"/>
        <v>2454913.0520360018</v>
      </c>
      <c r="F49" s="5">
        <f t="shared" si="2"/>
        <v>2785198.4066576012</v>
      </c>
      <c r="G49" s="5">
        <f t="shared" si="2"/>
        <v>3125034.1573276734</v>
      </c>
      <c r="H49" s="5">
        <f t="shared" si="2"/>
        <v>3474368.6955035198</v>
      </c>
    </row>
    <row r="50" spans="2:9" ht="14" x14ac:dyDescent="0.3">
      <c r="B50" s="4" t="s">
        <v>151</v>
      </c>
      <c r="C50" s="30">
        <v>7</v>
      </c>
      <c r="D50" s="5">
        <f t="shared" si="2"/>
        <v>2280087.4787203376</v>
      </c>
      <c r="E50" s="5">
        <f t="shared" si="2"/>
        <v>2643878.1112873177</v>
      </c>
      <c r="F50" s="5">
        <f t="shared" si="2"/>
        <v>3023035.6577662346</v>
      </c>
      <c r="G50" s="5">
        <f t="shared" si="2"/>
        <v>3417551.1550633926</v>
      </c>
      <c r="H50" s="5">
        <f t="shared" si="2"/>
        <v>3827403.010117664</v>
      </c>
    </row>
    <row r="51" spans="2:9" ht="14" x14ac:dyDescent="0.3">
      <c r="B51" s="4" t="s">
        <v>152</v>
      </c>
      <c r="C51" s="30">
        <v>10</v>
      </c>
      <c r="D51" s="5">
        <f t="shared" si="2"/>
        <v>2512112.7424065126</v>
      </c>
      <c r="E51" s="5">
        <f t="shared" si="2"/>
        <v>2945846.982440012</v>
      </c>
      <c r="F51" s="5">
        <f t="shared" si="2"/>
        <v>3404686.9942542738</v>
      </c>
      <c r="G51" s="5">
        <f t="shared" si="2"/>
        <v>3888726.6508697881</v>
      </c>
      <c r="H51" s="5">
        <f t="shared" si="2"/>
        <v>4398020.5464121467</v>
      </c>
    </row>
    <row r="52" spans="2:9" ht="14" x14ac:dyDescent="0.3">
      <c r="B52" s="22" t="s">
        <v>155</v>
      </c>
      <c r="C52" s="23"/>
      <c r="D52" s="23"/>
      <c r="E52" s="23"/>
      <c r="F52" s="23"/>
      <c r="G52" s="23"/>
      <c r="H52" s="23"/>
      <c r="I52" s="23"/>
    </row>
    <row r="53" spans="2:9" ht="14" x14ac:dyDescent="0.3">
      <c r="B53" s="4" t="s">
        <v>149</v>
      </c>
      <c r="C53" s="30">
        <v>3</v>
      </c>
      <c r="D53" s="14">
        <f t="shared" ref="D53:H56" si="3">IFERROR(D48/$C$15,"N/A")</f>
        <v>3.3496540350130206</v>
      </c>
      <c r="E53" s="14">
        <f t="shared" si="3"/>
        <v>3.820518856516264</v>
      </c>
      <c r="F53" s="14">
        <f t="shared" si="3"/>
        <v>4.2988790012596771</v>
      </c>
      <c r="G53" s="14">
        <f t="shared" si="3"/>
        <v>4.7846535148529323</v>
      </c>
      <c r="H53" s="14">
        <f t="shared" si="3"/>
        <v>5.2777618813890976</v>
      </c>
    </row>
    <row r="54" spans="2:9" ht="14" x14ac:dyDescent="0.3">
      <c r="B54" s="4" t="s">
        <v>150</v>
      </c>
      <c r="C54" s="30">
        <v>5</v>
      </c>
      <c r="D54" s="14">
        <f t="shared" si="3"/>
        <v>3.5823649591996056</v>
      </c>
      <c r="E54" s="14">
        <f t="shared" si="3"/>
        <v>4.1206478660599366</v>
      </c>
      <c r="F54" s="14">
        <f t="shared" si="3"/>
        <v>4.6750421003419191</v>
      </c>
      <c r="G54" s="14">
        <f t="shared" si="3"/>
        <v>5.2454669712546069</v>
      </c>
      <c r="H54" s="14">
        <f t="shared" si="3"/>
        <v>5.8318358522548879</v>
      </c>
    </row>
    <row r="55" spans="2:9" ht="14" x14ac:dyDescent="0.3">
      <c r="B55" s="4" t="s">
        <v>151</v>
      </c>
      <c r="C55" s="30">
        <v>7</v>
      </c>
      <c r="D55" s="14">
        <f t="shared" si="3"/>
        <v>3.8271977069928238</v>
      </c>
      <c r="E55" s="14">
        <f t="shared" si="3"/>
        <v>4.4378315917800952</v>
      </c>
      <c r="F55" s="14">
        <f t="shared" si="3"/>
        <v>5.0742593192318282</v>
      </c>
      <c r="G55" s="14">
        <f t="shared" si="3"/>
        <v>5.7364658445166459</v>
      </c>
      <c r="H55" s="14">
        <f t="shared" si="3"/>
        <v>6.424414923010251</v>
      </c>
    </row>
    <row r="56" spans="2:9" ht="14" x14ac:dyDescent="0.3">
      <c r="B56" s="4" t="s">
        <v>152</v>
      </c>
      <c r="C56" s="30">
        <v>10</v>
      </c>
      <c r="D56" s="14">
        <f t="shared" si="3"/>
        <v>4.216659324335029</v>
      </c>
      <c r="E56" s="14">
        <f t="shared" si="3"/>
        <v>4.9446957283734063</v>
      </c>
      <c r="F56" s="14">
        <f t="shared" si="3"/>
        <v>5.7148729507305367</v>
      </c>
      <c r="G56" s="14">
        <f t="shared" si="3"/>
        <v>6.5273485601892514</v>
      </c>
      <c r="H56" s="14">
        <f t="shared" si="3"/>
        <v>7.3822141946863526</v>
      </c>
    </row>
    <row r="58" spans="2:9" ht="14" x14ac:dyDescent="0.3">
      <c r="B58" s="8" t="s">
        <v>156</v>
      </c>
      <c r="C58" s="9"/>
      <c r="D58" s="9"/>
      <c r="E58" s="9"/>
      <c r="F58" s="9"/>
      <c r="G58" s="9"/>
      <c r="H58" s="9"/>
      <c r="I58" s="9"/>
    </row>
    <row r="59" spans="2:9" ht="14" x14ac:dyDescent="0.3">
      <c r="B59" s="1" t="s">
        <v>157</v>
      </c>
    </row>
    <row r="60" spans="2:9" ht="14" x14ac:dyDescent="0.3">
      <c r="B60" s="4" t="s">
        <v>158</v>
      </c>
      <c r="C60" s="5">
        <f>F49</f>
        <v>2785198.4066576012</v>
      </c>
    </row>
    <row r="62" spans="2:9" ht="14" x14ac:dyDescent="0.3">
      <c r="B62" s="28" t="s">
        <v>159</v>
      </c>
      <c r="C62" s="28" t="s">
        <v>160</v>
      </c>
      <c r="D62" s="28" t="s">
        <v>161</v>
      </c>
    </row>
    <row r="63" spans="2:9" ht="14" x14ac:dyDescent="0.3">
      <c r="B63" s="31">
        <v>0.25480000000000003</v>
      </c>
      <c r="C63" s="5">
        <f>IFERROR($C$60/B63,"N/A")</f>
        <v>10930919.963334383</v>
      </c>
      <c r="D63" s="14">
        <f>IFERROR(C63/'DCF Model'!C17,"N/A")</f>
        <v>9.348347554226871</v>
      </c>
    </row>
    <row r="64" spans="2:9" ht="14" x14ac:dyDescent="0.3">
      <c r="B64" s="31">
        <v>0.3821</v>
      </c>
      <c r="C64" s="5">
        <f>IFERROR($C$60/B64,"N/A")</f>
        <v>7289187.1412132978</v>
      </c>
      <c r="D64" s="14">
        <f>IFERROR(C64/'DCF Model'!C17,"N/A")</f>
        <v>6.2338627501099371</v>
      </c>
    </row>
    <row r="65" spans="2:9" ht="14" x14ac:dyDescent="0.3">
      <c r="B65" s="4" t="s">
        <v>162</v>
      </c>
      <c r="C65" s="5">
        <f>IFERROR($C$60/$C$18,"N/A")</f>
        <v>5466475.3024667017</v>
      </c>
      <c r="D65" s="14">
        <f>IFERROR(C65/'DCF Model'!C17,"N/A")</f>
        <v>4.6750421003419182</v>
      </c>
    </row>
    <row r="66" spans="2:9" ht="14" x14ac:dyDescent="0.3">
      <c r="B66" s="31">
        <v>0.63690000000000002</v>
      </c>
      <c r="C66" s="5">
        <f>IFERROR($C$60/B66,"N/A")</f>
        <v>4373054.4931034716</v>
      </c>
      <c r="D66" s="14">
        <f>IFERROR(C66/'DCF Model'!C17,"N/A")</f>
        <v>3.7399261372538968</v>
      </c>
    </row>
    <row r="67" spans="2:9" ht="14" x14ac:dyDescent="0.3">
      <c r="B67" s="31">
        <v>0.76429999999999998</v>
      </c>
      <c r="C67" s="5">
        <f>IFERROR($C$60/B67,"N/A")</f>
        <v>3644116.7168096313</v>
      </c>
      <c r="D67" s="14">
        <f>IFERROR(C67/'DCF Model'!C17,"N/A")</f>
        <v>3.116523559880946</v>
      </c>
    </row>
    <row r="69" spans="2:9" ht="14" x14ac:dyDescent="0.3">
      <c r="B69" s="8" t="s">
        <v>163</v>
      </c>
      <c r="C69" s="9"/>
      <c r="D69" s="9"/>
      <c r="E69" s="9"/>
      <c r="F69" s="9"/>
      <c r="G69" s="9"/>
      <c r="H69" s="9"/>
      <c r="I69" s="9"/>
    </row>
    <row r="70" spans="2:9" ht="13.5" x14ac:dyDescent="0.25">
      <c r="B70" s="6" t="s">
        <v>164</v>
      </c>
      <c r="C70" s="14">
        <f>IFERROR(C10/'Comps Analysis'!G5,"N/A")</f>
        <v>29.775684224305284</v>
      </c>
    </row>
    <row r="71" spans="2:9" ht="13.5" x14ac:dyDescent="0.25">
      <c r="B71" s="6" t="s">
        <v>165</v>
      </c>
      <c r="C71" s="14">
        <f>IFERROR(C10/'Comps Analysis'!F5,"N/A")</f>
        <v>15.609552103816934</v>
      </c>
    </row>
    <row r="72" spans="2:9" ht="14" x14ac:dyDescent="0.3">
      <c r="B72" s="4" t="s">
        <v>166</v>
      </c>
      <c r="C72" s="14">
        <f>IFERROR(C10/(C25+'DCF Model'!G42),"N/A")</f>
        <v>7.6858421440813478</v>
      </c>
    </row>
    <row r="73" spans="2:9" ht="14" x14ac:dyDescent="0.3">
      <c r="B73" s="4" t="s">
        <v>167</v>
      </c>
      <c r="C73" s="14">
        <f>IFERROR(C10/(C60+'DCF Model'!G42),"N/A")</f>
        <v>6.4977427037730964</v>
      </c>
    </row>
    <row r="74" spans="2:9" ht="14" x14ac:dyDescent="0.3">
      <c r="B74" s="4" t="s">
        <v>168</v>
      </c>
      <c r="C74" s="14">
        <f>IFERROR('Comps Analysis'!D16,"N/A")</f>
        <v>18.258808221981813</v>
      </c>
    </row>
    <row r="75" spans="2:9" ht="14" x14ac:dyDescent="0.3">
      <c r="B75" s="1" t="s">
        <v>169</v>
      </c>
    </row>
    <row r="77" spans="2:9" ht="14" x14ac:dyDescent="0.3">
      <c r="B77" s="22" t="s">
        <v>170</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77,720 yen the market is paying for a steady-state operating profit of 2,785,198 mn JPY - 4.68x the FY2026 cycle peak of 595,759 mn - reached in 5 years and sustained for ever, against 595,759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2,350,977 mn, or 3.95x the peak. The base case supports an EV of only 5,633,421 mn, leaving 52,030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171</v>
      </c>
    </row>
    <row r="4" spans="2:8" ht="14" x14ac:dyDescent="0.3">
      <c r="B4" s="8" t="s">
        <v>172</v>
      </c>
      <c r="C4" s="32" t="s">
        <v>173</v>
      </c>
      <c r="D4" s="32" t="s">
        <v>80</v>
      </c>
      <c r="E4" s="32" t="s">
        <v>81</v>
      </c>
      <c r="F4" s="32" t="s">
        <v>82</v>
      </c>
      <c r="G4" s="32" t="s">
        <v>83</v>
      </c>
      <c r="H4" s="32" t="s">
        <v>84</v>
      </c>
    </row>
    <row r="5" spans="2:8" ht="14" x14ac:dyDescent="0.3">
      <c r="B5" s="33" t="s">
        <v>174</v>
      </c>
      <c r="C5" s="34">
        <f>C12/C9*365</f>
        <v>118.49110869938912</v>
      </c>
      <c r="D5" s="34">
        <f>CHOOSE('DCF Model'!$D$27,D25,D26,D27,D28,D29)</f>
        <v>116</v>
      </c>
      <c r="E5" s="34">
        <f>CHOOSE('DCF Model'!$D$27,E25,E26,E27,E28,E29)</f>
        <v>116</v>
      </c>
      <c r="F5" s="34">
        <f>CHOOSE('DCF Model'!$D$27,F25,F26,F27,F28,F29)</f>
        <v>116</v>
      </c>
      <c r="G5" s="34">
        <f>CHOOSE('DCF Model'!$D$27,G25,G26,G27,G28,G29)</f>
        <v>116</v>
      </c>
      <c r="H5" s="34">
        <f>CHOOSE('DCF Model'!$D$27,H25,H26,H27,H28,H29)</f>
        <v>116</v>
      </c>
    </row>
    <row r="6" spans="2:8" ht="14" x14ac:dyDescent="0.3">
      <c r="B6" s="33" t="s">
        <v>175</v>
      </c>
      <c r="C6" s="34">
        <f>C13/C10*365</f>
        <v>156.75815403521497</v>
      </c>
      <c r="D6" s="34">
        <f>CHOOSE('DCF Model'!$D$27,D32,D33,D34,D35,D36)</f>
        <v>171</v>
      </c>
      <c r="E6" s="34">
        <f>CHOOSE('DCF Model'!$D$27,E32,E33,E34,E35,E36)</f>
        <v>171</v>
      </c>
      <c r="F6" s="34">
        <f>CHOOSE('DCF Model'!$D$27,F32,F33,F34,F35,F36)</f>
        <v>171</v>
      </c>
      <c r="G6" s="34">
        <f>CHOOSE('DCF Model'!$D$27,G32,G33,G34,G35,G36)</f>
        <v>171</v>
      </c>
      <c r="H6" s="34">
        <f>CHOOSE('DCF Model'!$D$27,H32,H33,H34,H35,H36)</f>
        <v>171</v>
      </c>
    </row>
    <row r="7" spans="2:8" ht="14" x14ac:dyDescent="0.3">
      <c r="B7" s="33" t="s">
        <v>176</v>
      </c>
      <c r="C7" s="34">
        <f>C15/C10*365</f>
        <v>20.019188927837543</v>
      </c>
      <c r="D7" s="34">
        <f>CHOOSE('DCF Model'!$D$27,D39,D40,D41,D42,D43)</f>
        <v>31</v>
      </c>
      <c r="E7" s="34">
        <f>CHOOSE('DCF Model'!$D$27,E39,E40,E41,E42,E43)</f>
        <v>31</v>
      </c>
      <c r="F7" s="34">
        <f>CHOOSE('DCF Model'!$D$27,F39,F40,F41,F42,F43)</f>
        <v>31</v>
      </c>
      <c r="G7" s="34">
        <f>CHOOSE('DCF Model'!$D$27,G39,G40,G41,G42,G43)</f>
        <v>31</v>
      </c>
      <c r="H7" s="34">
        <f>CHOOSE('DCF Model'!$D$27,H39,H40,H41,H42,H43)</f>
        <v>31</v>
      </c>
    </row>
    <row r="8" spans="2:8" ht="14" x14ac:dyDescent="0.3">
      <c r="B8" s="8" t="s">
        <v>177</v>
      </c>
      <c r="C8" s="9"/>
      <c r="D8" s="9"/>
      <c r="E8" s="9"/>
      <c r="F8" s="9"/>
      <c r="G8" s="9"/>
      <c r="H8" s="9"/>
    </row>
    <row r="9" spans="2:8" ht="14" x14ac:dyDescent="0.3">
      <c r="B9" s="33" t="s">
        <v>32</v>
      </c>
      <c r="C9" s="35">
        <v>1169289</v>
      </c>
      <c r="D9" s="35">
        <f>'DCF Model'!C33</f>
        <v>1274525.01</v>
      </c>
      <c r="E9" s="35">
        <f>'DCF Model'!D33</f>
        <v>1370114.3857499999</v>
      </c>
      <c r="F9" s="35">
        <f>'DCF Model'!E33</f>
        <v>1452321.248895</v>
      </c>
      <c r="G9" s="35">
        <f>'DCF Model'!F33</f>
        <v>1524937.31133975</v>
      </c>
      <c r="H9" s="35">
        <f>'DCF Model'!G33</f>
        <v>1585934.80379334</v>
      </c>
    </row>
    <row r="10" spans="2:8" ht="14" x14ac:dyDescent="0.3">
      <c r="B10" s="33" t="s">
        <v>33</v>
      </c>
      <c r="C10" s="35">
        <v>198552</v>
      </c>
      <c r="D10" s="35">
        <f>'DCF Model'!C34</f>
        <v>216669.25170000002</v>
      </c>
      <c r="E10" s="35">
        <f>'DCF Model'!D34</f>
        <v>232919.44557750001</v>
      </c>
      <c r="F10" s="35">
        <f>'DCF Model'!E34</f>
        <v>246894.61231215001</v>
      </c>
      <c r="G10" s="35">
        <f>'DCF Model'!F34</f>
        <v>259239.34292775751</v>
      </c>
      <c r="H10" s="35">
        <f>'DCF Model'!G34</f>
        <v>269608.9166448678</v>
      </c>
    </row>
    <row r="11" spans="2:8" ht="14" x14ac:dyDescent="0.3">
      <c r="B11" s="8" t="s">
        <v>178</v>
      </c>
      <c r="C11" s="9"/>
      <c r="D11" s="9"/>
      <c r="E11" s="9"/>
      <c r="F11" s="9"/>
      <c r="G11" s="9"/>
      <c r="H11" s="9"/>
    </row>
    <row r="12" spans="2:8" ht="14" x14ac:dyDescent="0.3">
      <c r="B12" s="33" t="s">
        <v>179</v>
      </c>
      <c r="C12" s="35">
        <v>379590</v>
      </c>
      <c r="D12" s="35">
        <f t="shared" ref="D12:H13" si="0">D9*D5/365</f>
        <v>405054.5237260274</v>
      </c>
      <c r="E12" s="35">
        <f t="shared" si="0"/>
        <v>435433.61300547939</v>
      </c>
      <c r="F12" s="35">
        <f t="shared" si="0"/>
        <v>461559.62978580821</v>
      </c>
      <c r="G12" s="35">
        <f t="shared" si="0"/>
        <v>484637.61127509858</v>
      </c>
      <c r="H12" s="35">
        <f t="shared" si="0"/>
        <v>504023.11572610255</v>
      </c>
    </row>
    <row r="13" spans="2:8" ht="14" x14ac:dyDescent="0.3">
      <c r="B13" s="33" t="s">
        <v>180</v>
      </c>
      <c r="C13" s="35">
        <v>85273</v>
      </c>
      <c r="D13" s="35">
        <f t="shared" si="0"/>
        <v>101508.06038547946</v>
      </c>
      <c r="E13" s="35">
        <f t="shared" si="0"/>
        <v>109121.16491439042</v>
      </c>
      <c r="F13" s="35">
        <f t="shared" si="0"/>
        <v>115668.43480925384</v>
      </c>
      <c r="G13" s="35">
        <f t="shared" si="0"/>
        <v>121451.85654971653</v>
      </c>
      <c r="H13" s="35">
        <f t="shared" si="0"/>
        <v>126309.93081170518</v>
      </c>
    </row>
    <row r="14" spans="2:8" ht="14" x14ac:dyDescent="0.3">
      <c r="B14" s="33" t="s">
        <v>181</v>
      </c>
      <c r="C14" s="35">
        <f t="shared" ref="C14:H14" si="1">C12+C13</f>
        <v>464863</v>
      </c>
      <c r="D14" s="35">
        <f t="shared" si="1"/>
        <v>506562.58411150688</v>
      </c>
      <c r="E14" s="35">
        <f t="shared" si="1"/>
        <v>544554.77791986987</v>
      </c>
      <c r="F14" s="35">
        <f t="shared" si="1"/>
        <v>577228.06459506205</v>
      </c>
      <c r="G14" s="35">
        <f t="shared" si="1"/>
        <v>606089.46782481507</v>
      </c>
      <c r="H14" s="35">
        <f t="shared" si="1"/>
        <v>630333.04653780768</v>
      </c>
    </row>
    <row r="15" spans="2:8" ht="14" x14ac:dyDescent="0.3">
      <c r="B15" s="33" t="s">
        <v>182</v>
      </c>
      <c r="C15" s="35">
        <v>10890</v>
      </c>
      <c r="D15" s="35">
        <f>D10*D7/365</f>
        <v>18402.046034794523</v>
      </c>
      <c r="E15" s="35">
        <f>E10*E7/365</f>
        <v>19782.199487404108</v>
      </c>
      <c r="F15" s="35">
        <f>F10*F7/365</f>
        <v>20969.131456648356</v>
      </c>
      <c r="G15" s="35">
        <f>G10*G7/365</f>
        <v>22017.588029480776</v>
      </c>
      <c r="H15" s="35">
        <f>H10*H7/365</f>
        <v>22898.291550660007</v>
      </c>
    </row>
    <row r="16" spans="2:8" ht="14" x14ac:dyDescent="0.3">
      <c r="B16" s="33" t="s">
        <v>183</v>
      </c>
      <c r="C16" s="35">
        <f t="shared" ref="C16:H16" si="2">C15</f>
        <v>10890</v>
      </c>
      <c r="D16" s="35">
        <f t="shared" si="2"/>
        <v>18402.046034794523</v>
      </c>
      <c r="E16" s="35">
        <f t="shared" si="2"/>
        <v>19782.199487404108</v>
      </c>
      <c r="F16" s="35">
        <f t="shared" si="2"/>
        <v>20969.131456648356</v>
      </c>
      <c r="G16" s="35">
        <f t="shared" si="2"/>
        <v>22017.588029480776</v>
      </c>
      <c r="H16" s="35">
        <f t="shared" si="2"/>
        <v>22898.291550660007</v>
      </c>
    </row>
    <row r="17" spans="2:8" ht="14" x14ac:dyDescent="0.3">
      <c r="B17" s="22" t="s">
        <v>184</v>
      </c>
      <c r="C17" s="23"/>
      <c r="D17" s="23"/>
      <c r="E17" s="23"/>
      <c r="F17" s="23"/>
      <c r="G17" s="23"/>
      <c r="H17" s="23"/>
    </row>
    <row r="18" spans="2:8" ht="14" x14ac:dyDescent="0.3">
      <c r="B18" s="33" t="s">
        <v>185</v>
      </c>
      <c r="C18" s="20">
        <f t="shared" ref="C18:H18" si="3">C14-C16</f>
        <v>453973</v>
      </c>
      <c r="D18" s="20">
        <f t="shared" si="3"/>
        <v>488160.53807671234</v>
      </c>
      <c r="E18" s="20">
        <f t="shared" si="3"/>
        <v>524772.57843246579</v>
      </c>
      <c r="F18" s="20">
        <f t="shared" si="3"/>
        <v>556258.9331384137</v>
      </c>
      <c r="G18" s="20">
        <f t="shared" si="3"/>
        <v>584071.8797953343</v>
      </c>
      <c r="H18" s="20">
        <f t="shared" si="3"/>
        <v>607434.75498714764</v>
      </c>
    </row>
    <row r="19" spans="2:8" ht="14" x14ac:dyDescent="0.3">
      <c r="B19" s="33" t="s">
        <v>94</v>
      </c>
      <c r="C19" s="36" t="s">
        <v>42</v>
      </c>
      <c r="D19" s="24">
        <f>D18-C18</f>
        <v>34187.538076712342</v>
      </c>
      <c r="E19" s="24">
        <f>E18-D18</f>
        <v>36612.040355753445</v>
      </c>
      <c r="F19" s="24">
        <f>F18-E18</f>
        <v>31486.354705947917</v>
      </c>
      <c r="G19" s="24">
        <f>G18-F18</f>
        <v>27812.946656920598</v>
      </c>
      <c r="H19" s="24">
        <f>H18-G18</f>
        <v>23362.875191813335</v>
      </c>
    </row>
    <row r="22" spans="2:8" ht="14" x14ac:dyDescent="0.3">
      <c r="B22" s="22" t="s">
        <v>186</v>
      </c>
      <c r="C22" s="23"/>
      <c r="D22" s="23"/>
      <c r="E22" s="23"/>
      <c r="F22" s="23"/>
      <c r="G22" s="23"/>
      <c r="H22" s="23"/>
    </row>
    <row r="23" spans="2:8" ht="14" x14ac:dyDescent="0.3">
      <c r="D23" s="25" t="s">
        <v>80</v>
      </c>
      <c r="E23" s="25" t="s">
        <v>81</v>
      </c>
      <c r="F23" s="25" t="s">
        <v>82</v>
      </c>
      <c r="G23" s="25" t="s">
        <v>83</v>
      </c>
      <c r="H23" s="25" t="s">
        <v>84</v>
      </c>
    </row>
    <row r="24" spans="2:8" ht="14" x14ac:dyDescent="0.3">
      <c r="B24" s="3" t="s">
        <v>187</v>
      </c>
    </row>
    <row r="25" spans="2:8" ht="14" x14ac:dyDescent="0.3">
      <c r="B25" s="4" t="s">
        <v>78</v>
      </c>
      <c r="D25" s="30">
        <v>116</v>
      </c>
      <c r="E25" s="30">
        <v>116</v>
      </c>
      <c r="F25" s="30">
        <v>116</v>
      </c>
      <c r="G25" s="30">
        <v>116</v>
      </c>
      <c r="H25" s="30">
        <v>116</v>
      </c>
    </row>
    <row r="26" spans="2:8" ht="14" x14ac:dyDescent="0.3">
      <c r="B26" s="4" t="s">
        <v>115</v>
      </c>
      <c r="D26" s="30">
        <v>111</v>
      </c>
      <c r="E26" s="30">
        <v>111</v>
      </c>
      <c r="F26" s="30">
        <v>111</v>
      </c>
      <c r="G26" s="30">
        <v>111</v>
      </c>
      <c r="H26" s="30">
        <v>111</v>
      </c>
    </row>
    <row r="27" spans="2:8" ht="14" x14ac:dyDescent="0.3">
      <c r="B27" s="4" t="s">
        <v>116</v>
      </c>
      <c r="D27" s="30">
        <v>116</v>
      </c>
      <c r="E27" s="30">
        <v>116</v>
      </c>
      <c r="F27" s="30">
        <v>116</v>
      </c>
      <c r="G27" s="30">
        <v>116</v>
      </c>
      <c r="H27" s="30">
        <v>116</v>
      </c>
    </row>
    <row r="28" spans="2:8" ht="14" x14ac:dyDescent="0.3">
      <c r="B28" s="4" t="s">
        <v>117</v>
      </c>
      <c r="D28" s="30">
        <v>122</v>
      </c>
      <c r="E28" s="30">
        <v>122</v>
      </c>
      <c r="F28" s="30">
        <v>122</v>
      </c>
      <c r="G28" s="30">
        <v>122</v>
      </c>
      <c r="H28" s="30">
        <v>122</v>
      </c>
    </row>
    <row r="29" spans="2:8" ht="14" x14ac:dyDescent="0.3">
      <c r="B29" s="4" t="s">
        <v>118</v>
      </c>
      <c r="D29" s="30">
        <v>128</v>
      </c>
      <c r="E29" s="30">
        <v>128</v>
      </c>
      <c r="F29" s="30">
        <v>128</v>
      </c>
      <c r="G29" s="30">
        <v>128</v>
      </c>
      <c r="H29" s="30">
        <v>128</v>
      </c>
    </row>
    <row r="31" spans="2:8" ht="14" x14ac:dyDescent="0.3">
      <c r="B31" s="3" t="s">
        <v>188</v>
      </c>
    </row>
    <row r="32" spans="2:8" ht="14" x14ac:dyDescent="0.3">
      <c r="B32" s="4" t="s">
        <v>78</v>
      </c>
      <c r="D32" s="30">
        <v>171</v>
      </c>
      <c r="E32" s="30">
        <v>171</v>
      </c>
      <c r="F32" s="30">
        <v>171</v>
      </c>
      <c r="G32" s="30">
        <v>171</v>
      </c>
      <c r="H32" s="30">
        <v>171</v>
      </c>
    </row>
    <row r="33" spans="2:8" ht="14" x14ac:dyDescent="0.3">
      <c r="B33" s="4" t="s">
        <v>115</v>
      </c>
      <c r="D33" s="30">
        <v>163</v>
      </c>
      <c r="E33" s="30">
        <v>163</v>
      </c>
      <c r="F33" s="30">
        <v>163</v>
      </c>
      <c r="G33" s="30">
        <v>163</v>
      </c>
      <c r="H33" s="30">
        <v>163</v>
      </c>
    </row>
    <row r="34" spans="2:8" ht="14" x14ac:dyDescent="0.3">
      <c r="B34" s="4" t="s">
        <v>116</v>
      </c>
      <c r="D34" s="30">
        <v>171</v>
      </c>
      <c r="E34" s="30">
        <v>171</v>
      </c>
      <c r="F34" s="30">
        <v>171</v>
      </c>
      <c r="G34" s="30">
        <v>171</v>
      </c>
      <c r="H34" s="30">
        <v>171</v>
      </c>
    </row>
    <row r="35" spans="2:8" ht="14" x14ac:dyDescent="0.3">
      <c r="B35" s="4" t="s">
        <v>117</v>
      </c>
      <c r="D35" s="30">
        <v>180</v>
      </c>
      <c r="E35" s="30">
        <v>180</v>
      </c>
      <c r="F35" s="30">
        <v>180</v>
      </c>
      <c r="G35" s="30">
        <v>180</v>
      </c>
      <c r="H35" s="30">
        <v>180</v>
      </c>
    </row>
    <row r="36" spans="2:8" ht="14" x14ac:dyDescent="0.3">
      <c r="B36" s="4" t="s">
        <v>118</v>
      </c>
      <c r="D36" s="30">
        <v>189</v>
      </c>
      <c r="E36" s="30">
        <v>189</v>
      </c>
      <c r="F36" s="30">
        <v>189</v>
      </c>
      <c r="G36" s="30">
        <v>189</v>
      </c>
      <c r="H36" s="30">
        <v>189</v>
      </c>
    </row>
    <row r="38" spans="2:8" ht="14" x14ac:dyDescent="0.3">
      <c r="B38" s="3" t="s">
        <v>189</v>
      </c>
    </row>
    <row r="39" spans="2:8" ht="14" x14ac:dyDescent="0.3">
      <c r="B39" s="4" t="s">
        <v>78</v>
      </c>
      <c r="D39" s="30">
        <v>31</v>
      </c>
      <c r="E39" s="30">
        <v>31</v>
      </c>
      <c r="F39" s="30">
        <v>31</v>
      </c>
      <c r="G39" s="30">
        <v>31</v>
      </c>
      <c r="H39" s="30">
        <v>31</v>
      </c>
    </row>
    <row r="40" spans="2:8" ht="14" x14ac:dyDescent="0.3">
      <c r="B40" s="4" t="s">
        <v>115</v>
      </c>
      <c r="D40" s="30">
        <v>33</v>
      </c>
      <c r="E40" s="30">
        <v>33</v>
      </c>
      <c r="F40" s="30">
        <v>33</v>
      </c>
      <c r="G40" s="30">
        <v>33</v>
      </c>
      <c r="H40" s="30">
        <v>33</v>
      </c>
    </row>
    <row r="41" spans="2:8" ht="14" x14ac:dyDescent="0.3">
      <c r="B41" s="4" t="s">
        <v>116</v>
      </c>
      <c r="D41" s="30">
        <v>31</v>
      </c>
      <c r="E41" s="30">
        <v>31</v>
      </c>
      <c r="F41" s="30">
        <v>31</v>
      </c>
      <c r="G41" s="30">
        <v>31</v>
      </c>
      <c r="H41" s="30">
        <v>31</v>
      </c>
    </row>
    <row r="42" spans="2:8" ht="14" x14ac:dyDescent="0.3">
      <c r="B42" s="4" t="s">
        <v>117</v>
      </c>
      <c r="D42" s="30">
        <v>29</v>
      </c>
      <c r="E42" s="30">
        <v>29</v>
      </c>
      <c r="F42" s="30">
        <v>29</v>
      </c>
      <c r="G42" s="30">
        <v>29</v>
      </c>
      <c r="H42" s="30">
        <v>29</v>
      </c>
    </row>
    <row r="43" spans="2:8" ht="14" x14ac:dyDescent="0.3">
      <c r="B43" s="4" t="s">
        <v>118</v>
      </c>
      <c r="D43" s="30">
        <v>28</v>
      </c>
      <c r="E43" s="30">
        <v>28</v>
      </c>
      <c r="F43" s="30">
        <v>28</v>
      </c>
      <c r="G43" s="30">
        <v>28</v>
      </c>
      <c r="H43" s="30">
        <v>28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190</v>
      </c>
    </row>
    <row r="3" spans="2:17" ht="14" x14ac:dyDescent="0.3">
      <c r="B3" s="1" t="s">
        <v>191</v>
      </c>
    </row>
    <row r="4" spans="2:17" ht="28"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x14ac:dyDescent="0.3">
      <c r="B5" s="4" t="s">
        <v>206</v>
      </c>
      <c r="C5" t="s">
        <v>207</v>
      </c>
      <c r="D5" s="37">
        <f>'Executive Summary'!C9*C23/1000000</f>
        <v>18849053.56992</v>
      </c>
      <c r="E5" s="37">
        <f>D5+C24</f>
        <v>18252077.56992</v>
      </c>
      <c r="F5" s="37">
        <v>1169289</v>
      </c>
      <c r="G5" s="37">
        <v>612986</v>
      </c>
      <c r="H5" s="37">
        <v>595759</v>
      </c>
      <c r="I5" s="37">
        <v>445185</v>
      </c>
      <c r="J5" s="38">
        <f t="shared" ref="J5:J10" si="0">IFERROR(E5/G5,"")</f>
        <v>29.775684224305284</v>
      </c>
      <c r="K5" s="38">
        <f t="shared" ref="K5:K10" si="1">IFERROR(E5/F5,"")</f>
        <v>15.609552103816934</v>
      </c>
      <c r="L5" s="38">
        <f t="shared" ref="L5:L10" si="2">IFERROR(D5/I5,"")</f>
        <v>42.339821804238689</v>
      </c>
      <c r="M5" s="38">
        <f t="shared" ref="M5:M10" si="3">IFERROR(D5/P5,"")</f>
        <v>5.429702155057611</v>
      </c>
      <c r="N5" s="39">
        <f t="shared" ref="N5:N10" si="4">IFERROR(H5/F5,"")</f>
        <v>0.50950534897702793</v>
      </c>
      <c r="O5" s="39">
        <f t="shared" ref="O5:O10" si="5">IFERROR(I5/P5,"")</f>
        <v>0.12824102520228456</v>
      </c>
      <c r="P5" s="37">
        <v>3471471</v>
      </c>
    </row>
    <row r="6" spans="2:17" ht="14" x14ac:dyDescent="0.3">
      <c r="B6" s="4" t="s">
        <v>208</v>
      </c>
      <c r="C6" t="s">
        <v>209</v>
      </c>
      <c r="D6" s="37">
        <v>5511090</v>
      </c>
      <c r="E6" s="37">
        <v>4793019</v>
      </c>
      <c r="F6" s="37">
        <v>857831</v>
      </c>
      <c r="G6" s="37">
        <v>231545</v>
      </c>
      <c r="H6" s="37">
        <v>183763</v>
      </c>
      <c r="I6" s="37">
        <v>166543</v>
      </c>
      <c r="J6" s="38">
        <f t="shared" si="0"/>
        <v>20.700161955559395</v>
      </c>
      <c r="K6" s="38">
        <f t="shared" si="1"/>
        <v>5.5873697733003356</v>
      </c>
      <c r="L6" s="38">
        <f t="shared" si="2"/>
        <v>33.091093591444853</v>
      </c>
      <c r="M6" s="38">
        <f t="shared" si="3"/>
        <v>2.9552124516923692</v>
      </c>
      <c r="N6" s="39">
        <f t="shared" si="4"/>
        <v>0.21421818516700841</v>
      </c>
      <c r="O6" s="39">
        <f t="shared" si="5"/>
        <v>8.9305372864932744E-2</v>
      </c>
      <c r="P6" s="37">
        <v>1864871</v>
      </c>
    </row>
    <row r="7" spans="2:17" ht="14" x14ac:dyDescent="0.3">
      <c r="B7" s="4" t="s">
        <v>210</v>
      </c>
      <c r="C7" t="s">
        <v>211</v>
      </c>
      <c r="D7" s="37">
        <v>4194759</v>
      </c>
      <c r="E7" s="37">
        <v>3535981</v>
      </c>
      <c r="F7" s="37">
        <v>842541</v>
      </c>
      <c r="G7" s="37">
        <v>235405</v>
      </c>
      <c r="H7" s="37">
        <v>190559</v>
      </c>
      <c r="I7" s="37">
        <v>167304</v>
      </c>
      <c r="J7" s="38">
        <f t="shared" si="0"/>
        <v>15.020840678830101</v>
      </c>
      <c r="K7" s="38">
        <f t="shared" si="1"/>
        <v>4.1968058527715568</v>
      </c>
      <c r="L7" s="38">
        <f t="shared" si="2"/>
        <v>25.07267608664467</v>
      </c>
      <c r="M7" s="38">
        <f t="shared" si="3"/>
        <v>1.9832531948995078</v>
      </c>
      <c r="N7" s="39">
        <f t="shared" si="4"/>
        <v>0.22617178273816943</v>
      </c>
      <c r="O7" s="39">
        <f t="shared" si="5"/>
        <v>7.9100180134178688E-2</v>
      </c>
      <c r="P7" s="37">
        <v>2115090</v>
      </c>
    </row>
    <row r="8" spans="2:17" ht="14" x14ac:dyDescent="0.3">
      <c r="B8" s="4" t="s">
        <v>212</v>
      </c>
      <c r="C8" t="s">
        <v>213</v>
      </c>
      <c r="D8" s="37">
        <v>1222445</v>
      </c>
      <c r="E8" s="37">
        <v>1297113</v>
      </c>
      <c r="F8" s="37">
        <v>767351</v>
      </c>
      <c r="G8" s="37">
        <v>88966</v>
      </c>
      <c r="H8" s="37">
        <v>55188</v>
      </c>
      <c r="I8" s="37">
        <v>28487</v>
      </c>
      <c r="J8" s="38">
        <f t="shared" si="0"/>
        <v>14.579873209990334</v>
      </c>
      <c r="K8" s="38">
        <f t="shared" si="1"/>
        <v>1.690377675926662</v>
      </c>
      <c r="L8" s="38">
        <f t="shared" si="2"/>
        <v>42.912381086109455</v>
      </c>
      <c r="M8" s="38">
        <f t="shared" si="3"/>
        <v>1.4624559598509363</v>
      </c>
      <c r="N8" s="39">
        <f t="shared" si="4"/>
        <v>7.1920151273667465E-2</v>
      </c>
      <c r="O8" s="39">
        <f t="shared" si="5"/>
        <v>3.4080046896403211E-2</v>
      </c>
      <c r="P8" s="37">
        <v>835885</v>
      </c>
    </row>
    <row r="9" spans="2:17" ht="14" x14ac:dyDescent="0.3">
      <c r="B9" s="4" t="s">
        <v>214</v>
      </c>
      <c r="C9" t="s">
        <v>215</v>
      </c>
      <c r="D9" s="37">
        <v>1185311</v>
      </c>
      <c r="E9" s="37">
        <v>1248939</v>
      </c>
      <c r="F9" s="37">
        <v>542122</v>
      </c>
      <c r="G9" s="37">
        <v>68402</v>
      </c>
      <c r="H9" s="37">
        <v>47308</v>
      </c>
      <c r="I9" s="37">
        <v>35240</v>
      </c>
      <c r="J9" s="38">
        <f t="shared" si="0"/>
        <v>18.258808221981813</v>
      </c>
      <c r="K9" s="38">
        <f t="shared" si="1"/>
        <v>2.3037969313180429</v>
      </c>
      <c r="L9" s="38">
        <f t="shared" si="2"/>
        <v>33.635385925085131</v>
      </c>
      <c r="M9" s="38">
        <f t="shared" si="3"/>
        <v>2.4513092968139274</v>
      </c>
      <c r="N9" s="39">
        <f t="shared" si="4"/>
        <v>8.7264490280785506E-2</v>
      </c>
      <c r="O9" s="39">
        <f t="shared" si="5"/>
        <v>7.2878881255402844E-2</v>
      </c>
      <c r="P9" s="37">
        <v>483542</v>
      </c>
    </row>
    <row r="10" spans="2:17" ht="14" x14ac:dyDescent="0.3">
      <c r="B10" s="4" t="s">
        <v>216</v>
      </c>
      <c r="C10" t="s">
        <v>217</v>
      </c>
      <c r="D10" s="37">
        <v>13089866</v>
      </c>
      <c r="E10" s="37">
        <v>12491933</v>
      </c>
      <c r="F10" s="37">
        <v>1830856</v>
      </c>
      <c r="G10" s="37">
        <v>460047</v>
      </c>
      <c r="H10" s="37">
        <v>281835</v>
      </c>
      <c r="I10" s="37">
        <v>233920</v>
      </c>
      <c r="J10" s="38">
        <f t="shared" si="0"/>
        <v>27.153601697217894</v>
      </c>
      <c r="K10" s="38">
        <f t="shared" si="1"/>
        <v>6.8230013720358125</v>
      </c>
      <c r="L10" s="38">
        <f t="shared" si="2"/>
        <v>55.958729480164159</v>
      </c>
      <c r="M10" s="38">
        <f t="shared" si="3"/>
        <v>4.814675752728375</v>
      </c>
      <c r="N10" s="39">
        <f t="shared" si="4"/>
        <v>0.15393619159562522</v>
      </c>
      <c r="O10" s="39">
        <f t="shared" si="5"/>
        <v>8.6039761757547517E-2</v>
      </c>
      <c r="P10" s="37">
        <v>2718743</v>
      </c>
    </row>
    <row r="14" spans="2:17" ht="14" x14ac:dyDescent="0.3">
      <c r="B14" s="3" t="s">
        <v>218</v>
      </c>
    </row>
    <row r="15" spans="2:17" ht="14" x14ac:dyDescent="0.3">
      <c r="B15" s="4" t="s">
        <v>219</v>
      </c>
      <c r="D15" s="38">
        <f t="shared" ref="D15:I15" si="6">PERCENTILE(J6:J10,0.25)</f>
        <v>15.020840678830101</v>
      </c>
      <c r="E15" s="38">
        <f t="shared" si="6"/>
        <v>2.3037969313180429</v>
      </c>
      <c r="F15" s="38">
        <f t="shared" si="6"/>
        <v>33.091093591444853</v>
      </c>
      <c r="G15" s="38">
        <f t="shared" si="6"/>
        <v>1.9832531948995078</v>
      </c>
      <c r="H15" s="39">
        <f t="shared" si="6"/>
        <v>8.7264490280785506E-2</v>
      </c>
      <c r="I15" s="39">
        <f t="shared" si="6"/>
        <v>7.2878881255402844E-2</v>
      </c>
    </row>
    <row r="16" spans="2:17" ht="14" x14ac:dyDescent="0.3">
      <c r="B16" s="4" t="s">
        <v>220</v>
      </c>
      <c r="D16" s="38">
        <f t="shared" ref="D16:I16" si="7">MEDIAN(J6:J10)</f>
        <v>18.258808221981813</v>
      </c>
      <c r="E16" s="38">
        <f t="shared" si="7"/>
        <v>4.1968058527715568</v>
      </c>
      <c r="F16" s="38">
        <f t="shared" si="7"/>
        <v>33.635385925085131</v>
      </c>
      <c r="G16" s="38">
        <f t="shared" si="7"/>
        <v>2.4513092968139274</v>
      </c>
      <c r="H16" s="39">
        <f t="shared" si="7"/>
        <v>0.15393619159562522</v>
      </c>
      <c r="I16" s="39">
        <f t="shared" si="7"/>
        <v>7.9100180134178688E-2</v>
      </c>
    </row>
    <row r="17" spans="2:9" ht="14" x14ac:dyDescent="0.3">
      <c r="B17" s="4" t="s">
        <v>221</v>
      </c>
      <c r="D17" s="38">
        <f t="shared" ref="D17:I17" si="8">PERCENTILE(J6:J10,0.75)</f>
        <v>20.700161955559395</v>
      </c>
      <c r="E17" s="38">
        <f t="shared" si="8"/>
        <v>5.5873697733003356</v>
      </c>
      <c r="F17" s="38">
        <f t="shared" si="8"/>
        <v>42.912381086109455</v>
      </c>
      <c r="G17" s="38">
        <f t="shared" si="8"/>
        <v>2.9552124516923692</v>
      </c>
      <c r="H17" s="39">
        <f t="shared" si="8"/>
        <v>0.21421818516700841</v>
      </c>
      <c r="I17" s="39">
        <f t="shared" si="8"/>
        <v>8.6039761757547517E-2</v>
      </c>
    </row>
    <row r="19" spans="2:9" ht="14" x14ac:dyDescent="0.3">
      <c r="B19" s="22" t="s">
        <v>222</v>
      </c>
      <c r="C19" s="23"/>
      <c r="D19" s="23"/>
      <c r="E19" s="23"/>
      <c r="F19" s="23"/>
      <c r="G19" s="23"/>
      <c r="H19" s="23"/>
      <c r="I19" s="23"/>
    </row>
    <row r="20" spans="2:9" ht="14" x14ac:dyDescent="0.3">
      <c r="B20" s="3" t="s">
        <v>223</v>
      </c>
    </row>
    <row r="21" spans="2:9" ht="14" x14ac:dyDescent="0.3">
      <c r="B21" s="4" t="s">
        <v>224</v>
      </c>
      <c r="C21" s="5">
        <v>612986</v>
      </c>
    </row>
    <row r="22" spans="2:9" ht="14" x14ac:dyDescent="0.3">
      <c r="B22" s="4" t="s">
        <v>225</v>
      </c>
      <c r="C22" s="5">
        <v>445185</v>
      </c>
    </row>
    <row r="23" spans="2:9" ht="14" x14ac:dyDescent="0.3">
      <c r="B23" s="4" t="s">
        <v>226</v>
      </c>
      <c r="C23" s="15">
        <v>242525136</v>
      </c>
    </row>
    <row r="24" spans="2:9" ht="14" x14ac:dyDescent="0.3">
      <c r="B24" s="4" t="s">
        <v>67</v>
      </c>
      <c r="C24" s="5">
        <v>-596976</v>
      </c>
    </row>
    <row r="26" spans="2:9" ht="14" x14ac:dyDescent="0.3">
      <c r="B26" s="3" t="s">
        <v>227</v>
      </c>
    </row>
    <row r="27" spans="2:9" ht="14" x14ac:dyDescent="0.3">
      <c r="B27" s="4" t="s">
        <v>228</v>
      </c>
      <c r="C27" s="24">
        <f>ROUND((C21*D16-C24)*1000000/C23,0)</f>
        <v>48611</v>
      </c>
    </row>
    <row r="28" spans="2:9" ht="14" x14ac:dyDescent="0.3">
      <c r="B28" s="4" t="s">
        <v>229</v>
      </c>
      <c r="C28" s="24">
        <f>ROUND(C22*F16*1000000/C23,0)</f>
        <v>61742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230</v>
      </c>
    </row>
    <row r="3" spans="2:9" ht="14" x14ac:dyDescent="0.3">
      <c r="B3" s="4" t="s">
        <v>231</v>
      </c>
      <c r="C3" s="16">
        <f>'DCF Model'!C26</f>
        <v>0.1066045</v>
      </c>
      <c r="E3" s="4" t="s">
        <v>232</v>
      </c>
      <c r="F3" s="16">
        <f>'DCF Model'!C13</f>
        <v>0.01</v>
      </c>
      <c r="H3" s="4" t="s">
        <v>233</v>
      </c>
      <c r="I3" s="14">
        <f>'DCF Model'!C14</f>
        <v>18.3</v>
      </c>
    </row>
    <row r="5" spans="2:9" ht="14" x14ac:dyDescent="0.3">
      <c r="B5" s="3" t="s">
        <v>234</v>
      </c>
    </row>
    <row r="6" spans="2:9" ht="14"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9.1604500000000005E-2</v>
      </c>
      <c r="C7" s="37">
        <f>IFERROR(ROUND(('DCF Model'!C45/(1+$B7)^('DCF Model'!C19+0)+'DCF Model'!D45/(1+$B7)^('DCF Model'!C19+1)+'DCF Model'!E45/(1+$B7)^('DCF Model'!C19+2)+'DCF Model'!F45/(1+$B7)^('DCF Model'!C19+3)+'DCF Model'!G45/(1+$B7)^('DCF Model'!C19+4)+'DCF Model'!G45*(1+C$6)/($B7-C$6)/(1+$B7)^('DCF Model'!C19+4)-'DCF Model'!C16)*1000000/'DCF Model'!C15,0),"")</f>
        <v>28341</v>
      </c>
      <c r="D7" s="37">
        <f>IFERROR(ROUND(('DCF Model'!C45/(1+$B7)^('DCF Model'!C19+0)+'DCF Model'!D45/(1+$B7)^('DCF Model'!C19+1)+'DCF Model'!E45/(1+$B7)^('DCF Model'!C19+2)+'DCF Model'!F45/(1+$B7)^('DCF Model'!C19+3)+'DCF Model'!G45/(1+$B7)^('DCF Model'!C19+4)+'DCF Model'!G45*(1+D$6)/($B7-D$6)/(1+$B7)^('DCF Model'!C19+4)-'DCF Model'!C16)*1000000/'DCF Model'!C15,0),"")</f>
        <v>28895</v>
      </c>
      <c r="E7" s="37">
        <f>IFERROR(ROUND(('DCF Model'!C45/(1+$B7)^('DCF Model'!C19+0)+'DCF Model'!D45/(1+$B7)^('DCF Model'!C19+1)+'DCF Model'!E45/(1+$B7)^('DCF Model'!C19+2)+'DCF Model'!F45/(1+$B7)^('DCF Model'!C19+3)+'DCF Model'!G45/(1+$B7)^('DCF Model'!C19+4)+'DCF Model'!G45*(1+E$6)/($B7-E$6)/(1+$B7)^('DCF Model'!C19+4)-'DCF Model'!C16)*1000000/'DCF Model'!C15,0),"")</f>
        <v>29481</v>
      </c>
      <c r="F7" s="37">
        <f>IFERROR(ROUND(('DCF Model'!C45/(1+$B7)^('DCF Model'!C19+0)+'DCF Model'!D45/(1+$B7)^('DCF Model'!C19+1)+'DCF Model'!E45/(1+$B7)^('DCF Model'!C19+2)+'DCF Model'!F45/(1+$B7)^('DCF Model'!C19+3)+'DCF Model'!G45/(1+$B7)^('DCF Model'!C19+4)+'DCF Model'!G45*(1+F$6)/($B7-F$6)/(1+$B7)^('DCF Model'!C19+4)-'DCF Model'!C16)*1000000/'DCF Model'!C15,0),"")</f>
        <v>30104</v>
      </c>
      <c r="G7" s="37">
        <f>IFERROR(ROUND(('DCF Model'!C45/(1+$B7)^('DCF Model'!C19+0)+'DCF Model'!D45/(1+$B7)^('DCF Model'!C19+1)+'DCF Model'!E45/(1+$B7)^('DCF Model'!C19+2)+'DCF Model'!F45/(1+$B7)^('DCF Model'!C19+3)+'DCF Model'!G45/(1+$B7)^('DCF Model'!C19+4)+'DCF Model'!G45*(1+G$6)/($B7-G$6)/(1+$B7)^('DCF Model'!C19+4)-'DCF Model'!C16)*1000000/'DCF Model'!C15,0),"")</f>
        <v>30766</v>
      </c>
      <c r="H7" s="37">
        <f>IFERROR(ROUND(('DCF Model'!C45/(1+$B7)^('DCF Model'!C19+0)+'DCF Model'!D45/(1+$B7)^('DCF Model'!C19+1)+'DCF Model'!E45/(1+$B7)^('DCF Model'!C19+2)+'DCF Model'!F45/(1+$B7)^('DCF Model'!C19+3)+'DCF Model'!G45/(1+$B7)^('DCF Model'!C19+4)+'DCF Model'!G45*(1+H$6)/($B7-H$6)/(1+$B7)^('DCF Model'!C19+4)-'DCF Model'!C16)*1000000/'DCF Model'!C15,0),"")</f>
        <v>31471</v>
      </c>
      <c r="I7" s="37">
        <f>IFERROR(ROUND(('DCF Model'!C45/(1+$B7)^('DCF Model'!C19+0)+'DCF Model'!D45/(1+$B7)^('DCF Model'!C19+1)+'DCF Model'!E45/(1+$B7)^('DCF Model'!C19+2)+'DCF Model'!F45/(1+$B7)^('DCF Model'!C19+3)+'DCF Model'!G45/(1+$B7)^('DCF Model'!C19+4)+'DCF Model'!G45*(1+I$6)/($B7-I$6)/(1+$B7)^('DCF Model'!C19+4)-'DCF Model'!C16)*1000000/'DCF Model'!C15,0),"")</f>
        <v>32224</v>
      </c>
    </row>
    <row r="8" spans="2:9" ht="13.5" x14ac:dyDescent="0.25">
      <c r="B8" s="39">
        <f>$C$3-0.01</f>
        <v>9.660450000000001E-2</v>
      </c>
      <c r="C8" s="37">
        <f>IFERROR(ROUND(('DCF Model'!C45/(1+$B8)^('DCF Model'!C19+0)+'DCF Model'!D45/(1+$B8)^('DCF Model'!C19+1)+'DCF Model'!E45/(1+$B8)^('DCF Model'!C19+2)+'DCF Model'!F45/(1+$B8)^('DCF Model'!C19+3)+'DCF Model'!G45/(1+$B8)^('DCF Model'!C19+4)+'DCF Model'!G45*(1+C$6)/($B8-C$6)/(1+$B8)^('DCF Model'!C19+4)-'DCF Model'!C16)*1000000/'DCF Model'!C15,0),"")</f>
        <v>26917</v>
      </c>
      <c r="D8" s="37">
        <f>IFERROR(ROUND(('DCF Model'!C45/(1+$B8)^('DCF Model'!C19+0)+'DCF Model'!D45/(1+$B8)^('DCF Model'!C19+1)+'DCF Model'!E45/(1+$B8)^('DCF Model'!C19+2)+'DCF Model'!F45/(1+$B8)^('DCF Model'!C19+3)+'DCF Model'!G45/(1+$B8)^('DCF Model'!C19+4)+'DCF Model'!G45*(1+D$6)/($B8-D$6)/(1+$B8)^('DCF Model'!C19+4)-'DCF Model'!C16)*1000000/'DCF Model'!C15,0),"")</f>
        <v>27404</v>
      </c>
      <c r="E8" s="37">
        <f>IFERROR(ROUND(('DCF Model'!C45/(1+$B8)^('DCF Model'!C19+0)+'DCF Model'!D45/(1+$B8)^('DCF Model'!C19+1)+'DCF Model'!E45/(1+$B8)^('DCF Model'!C19+2)+'DCF Model'!F45/(1+$B8)^('DCF Model'!C19+3)+'DCF Model'!G45/(1+$B8)^('DCF Model'!C19+4)+'DCF Model'!G45*(1+E$6)/($B8-E$6)/(1+$B8)^('DCF Model'!C19+4)-'DCF Model'!C16)*1000000/'DCF Model'!C15,0),"")</f>
        <v>27918</v>
      </c>
      <c r="F8" s="37">
        <f>IFERROR(ROUND(('DCF Model'!C45/(1+$B8)^('DCF Model'!C19+0)+'DCF Model'!D45/(1+$B8)^('DCF Model'!C19+1)+'DCF Model'!E45/(1+$B8)^('DCF Model'!C19+2)+'DCF Model'!F45/(1+$B8)^('DCF Model'!C19+3)+'DCF Model'!G45/(1+$B8)^('DCF Model'!C19+4)+'DCF Model'!G45*(1+F$6)/($B8-F$6)/(1+$B8)^('DCF Model'!C19+4)-'DCF Model'!C16)*1000000/'DCF Model'!C15,0),"")</f>
        <v>28462</v>
      </c>
      <c r="G8" s="37">
        <f>IFERROR(ROUND(('DCF Model'!C45/(1+$B8)^('DCF Model'!C19+0)+'DCF Model'!D45/(1+$B8)^('DCF Model'!C19+1)+'DCF Model'!E45/(1+$B8)^('DCF Model'!C19+2)+'DCF Model'!F45/(1+$B8)^('DCF Model'!C19+3)+'DCF Model'!G45/(1+$B8)^('DCF Model'!C19+4)+'DCF Model'!G45*(1+G$6)/($B8-G$6)/(1+$B8)^('DCF Model'!C19+4)-'DCF Model'!C16)*1000000/'DCF Model'!C15,0),"")</f>
        <v>29038</v>
      </c>
      <c r="H8" s="37">
        <f>IFERROR(ROUND(('DCF Model'!C45/(1+$B8)^('DCF Model'!C19+0)+'DCF Model'!D45/(1+$B8)^('DCF Model'!C19+1)+'DCF Model'!E45/(1+$B8)^('DCF Model'!C19+2)+'DCF Model'!F45/(1+$B8)^('DCF Model'!C19+3)+'DCF Model'!G45/(1+$B8)^('DCF Model'!C19+4)+'DCF Model'!G45*(1+H$6)/($B8-H$6)/(1+$B8)^('DCF Model'!C19+4)-'DCF Model'!C16)*1000000/'DCF Model'!C15,0),"")</f>
        <v>29649</v>
      </c>
      <c r="I8" s="37">
        <f>IFERROR(ROUND(('DCF Model'!C45/(1+$B8)^('DCF Model'!C19+0)+'DCF Model'!D45/(1+$B8)^('DCF Model'!C19+1)+'DCF Model'!E45/(1+$B8)^('DCF Model'!C19+2)+'DCF Model'!F45/(1+$B8)^('DCF Model'!C19+3)+'DCF Model'!G45/(1+$B8)^('DCF Model'!C19+4)+'DCF Model'!G45*(1+I$6)/($B8-I$6)/(1+$B8)^('DCF Model'!C19+4)-'DCF Model'!C16)*1000000/'DCF Model'!C15,0),"")</f>
        <v>30299</v>
      </c>
    </row>
    <row r="9" spans="2:9" ht="13.5" x14ac:dyDescent="0.25">
      <c r="B9" s="39">
        <f>$C$3-0.005</f>
        <v>0.1016045</v>
      </c>
      <c r="C9" s="37">
        <f>IFERROR(ROUND(('DCF Model'!C45/(1+$B9)^('DCF Model'!C19+0)+'DCF Model'!D45/(1+$B9)^('DCF Model'!C19+1)+'DCF Model'!E45/(1+$B9)^('DCF Model'!C19+2)+'DCF Model'!F45/(1+$B9)^('DCF Model'!C19+3)+'DCF Model'!G45/(1+$B9)^('DCF Model'!C19+4)+'DCF Model'!G45*(1+C$6)/($B9-C$6)/(1+$B9)^('DCF Model'!C19+4)-'DCF Model'!C16)*1000000/'DCF Model'!C15,0),"")</f>
        <v>25638</v>
      </c>
      <c r="D9" s="37">
        <f>IFERROR(ROUND(('DCF Model'!C45/(1+$B9)^('DCF Model'!C19+0)+'DCF Model'!D45/(1+$B9)^('DCF Model'!C19+1)+'DCF Model'!E45/(1+$B9)^('DCF Model'!C19+2)+'DCF Model'!F45/(1+$B9)^('DCF Model'!C19+3)+'DCF Model'!G45/(1+$B9)^('DCF Model'!C19+4)+'DCF Model'!G45*(1+D$6)/($B9-D$6)/(1+$B9)^('DCF Model'!C19+4)-'DCF Model'!C16)*1000000/'DCF Model'!C15,0),"")</f>
        <v>26069</v>
      </c>
      <c r="E9" s="37">
        <f>IFERROR(ROUND(('DCF Model'!C45/(1+$B9)^('DCF Model'!C19+0)+'DCF Model'!D45/(1+$B9)^('DCF Model'!C19+1)+'DCF Model'!E45/(1+$B9)^('DCF Model'!C19+2)+'DCF Model'!F45/(1+$B9)^('DCF Model'!C19+3)+'DCF Model'!G45/(1+$B9)^('DCF Model'!C19+4)+'DCF Model'!G45*(1+E$6)/($B9-E$6)/(1+$B9)^('DCF Model'!C19+4)-'DCF Model'!C16)*1000000/'DCF Model'!C15,0),"")</f>
        <v>26522</v>
      </c>
      <c r="F9" s="37">
        <f>IFERROR(ROUND(('DCF Model'!C45/(1+$B9)^('DCF Model'!C19+0)+'DCF Model'!D45/(1+$B9)^('DCF Model'!C19+1)+'DCF Model'!E45/(1+$B9)^('DCF Model'!C19+2)+'DCF Model'!F45/(1+$B9)^('DCF Model'!C19+3)+'DCF Model'!G45/(1+$B9)^('DCF Model'!C19+4)+'DCF Model'!G45*(1+F$6)/($B9-F$6)/(1+$B9)^('DCF Model'!C19+4)-'DCF Model'!C16)*1000000/'DCF Model'!C15,0),"")</f>
        <v>27000</v>
      </c>
      <c r="G9" s="37">
        <f>IFERROR(ROUND(('DCF Model'!C45/(1+$B9)^('DCF Model'!C19+0)+'DCF Model'!D45/(1+$B9)^('DCF Model'!C19+1)+'DCF Model'!E45/(1+$B9)^('DCF Model'!C19+2)+'DCF Model'!F45/(1+$B9)^('DCF Model'!C19+3)+'DCF Model'!G45/(1+$B9)^('DCF Model'!C19+4)+'DCF Model'!G45*(1+G$6)/($B9-G$6)/(1+$B9)^('DCF Model'!C19+4)-'DCF Model'!C16)*1000000/'DCF Model'!C15,0),"")</f>
        <v>27504</v>
      </c>
      <c r="H9" s="37">
        <f>IFERROR(ROUND(('DCF Model'!C45/(1+$B9)^('DCF Model'!C19+0)+'DCF Model'!D45/(1+$B9)^('DCF Model'!C19+1)+'DCF Model'!E45/(1+$B9)^('DCF Model'!C19+2)+'DCF Model'!F45/(1+$B9)^('DCF Model'!C19+3)+'DCF Model'!G45/(1+$B9)^('DCF Model'!C19+4)+'DCF Model'!G45*(1+H$6)/($B9-H$6)/(1+$B9)^('DCF Model'!C19+4)-'DCF Model'!C16)*1000000/'DCF Model'!C15,0),"")</f>
        <v>28038</v>
      </c>
      <c r="I9" s="37">
        <f>IFERROR(ROUND(('DCF Model'!C45/(1+$B9)^('DCF Model'!C19+0)+'DCF Model'!D45/(1+$B9)^('DCF Model'!C19+1)+'DCF Model'!E45/(1+$B9)^('DCF Model'!C19+2)+'DCF Model'!F45/(1+$B9)^('DCF Model'!C19+3)+'DCF Model'!G45/(1+$B9)^('DCF Model'!C19+4)+'DCF Model'!G45*(1+I$6)/($B9-I$6)/(1+$B9)^('DCF Model'!C19+4)-'DCF Model'!C16)*1000000/'DCF Model'!C15,0),"")</f>
        <v>28604</v>
      </c>
    </row>
    <row r="10" spans="2:9" ht="13.5" x14ac:dyDescent="0.25">
      <c r="B10" s="39">
        <f>$C$3</f>
        <v>0.1066045</v>
      </c>
      <c r="C10" s="37">
        <f>IFERROR(ROUND(('DCF Model'!C45/(1+$B10)^('DCF Model'!C19+0)+'DCF Model'!D45/(1+$B10)^('DCF Model'!C19+1)+'DCF Model'!E45/(1+$B10)^('DCF Model'!C19+2)+'DCF Model'!F45/(1+$B10)^('DCF Model'!C19+3)+'DCF Model'!G45/(1+$B10)^('DCF Model'!C19+4)+'DCF Model'!G45*(1+C$6)/($B10-C$6)/(1+$B10)^('DCF Model'!C19+4)-'DCF Model'!C16)*1000000/'DCF Model'!C15,0),"")</f>
        <v>24483</v>
      </c>
      <c r="D10" s="37">
        <f>IFERROR(ROUND(('DCF Model'!C45/(1+$B10)^('DCF Model'!C19+0)+'DCF Model'!D45/(1+$B10)^('DCF Model'!C19+1)+'DCF Model'!E45/(1+$B10)^('DCF Model'!C19+2)+'DCF Model'!F45/(1+$B10)^('DCF Model'!C19+3)+'DCF Model'!G45/(1+$B10)^('DCF Model'!C19+4)+'DCF Model'!G45*(1+D$6)/($B10-D$6)/(1+$B10)^('DCF Model'!C19+4)-'DCF Model'!C16)*1000000/'DCF Model'!C15,0),"")</f>
        <v>24865</v>
      </c>
      <c r="E10" s="37">
        <f>IFERROR(ROUND(('DCF Model'!C45/(1+$B10)^('DCF Model'!C19+0)+'DCF Model'!D45/(1+$B10)^('DCF Model'!C19+1)+'DCF Model'!E45/(1+$B10)^('DCF Model'!C19+2)+'DCF Model'!F45/(1+$B10)^('DCF Model'!C19+3)+'DCF Model'!G45/(1+$B10)^('DCF Model'!C19+4)+'DCF Model'!G45*(1+E$6)/($B10-E$6)/(1+$B10)^('DCF Model'!C19+4)-'DCF Model'!C16)*1000000/'DCF Model'!C15,0),"")</f>
        <v>25267</v>
      </c>
      <c r="F10" s="37">
        <f>IFERROR(ROUND(('DCF Model'!C45/(1+$B10)^('DCF Model'!C19+0)+'DCF Model'!D45/(1+$B10)^('DCF Model'!C19+1)+'DCF Model'!E45/(1+$B10)^('DCF Model'!C19+2)+'DCF Model'!F45/(1+$B10)^('DCF Model'!C19+3)+'DCF Model'!G45/(1+$B10)^('DCF Model'!C19+4)+'DCF Model'!G45*(1+F$6)/($B10-F$6)/(1+$B10)^('DCF Model'!C19+4)-'DCF Model'!C16)*1000000/'DCF Model'!C15,0),"")</f>
        <v>25690</v>
      </c>
      <c r="G10" s="37">
        <f>IFERROR(ROUND(('DCF Model'!C45/(1+$B10)^('DCF Model'!C19+0)+'DCF Model'!D45/(1+$B10)^('DCF Model'!C19+1)+'DCF Model'!E45/(1+$B10)^('DCF Model'!C19+2)+'DCF Model'!F45/(1+$B10)^('DCF Model'!C19+3)+'DCF Model'!G45/(1+$B10)^('DCF Model'!C19+4)+'DCF Model'!G45*(1+G$6)/($B10-G$6)/(1+$B10)^('DCF Model'!C19+4)-'DCF Model'!C16)*1000000/'DCF Model'!C15,0),"")</f>
        <v>26135</v>
      </c>
      <c r="H10" s="37">
        <f>IFERROR(ROUND(('DCF Model'!C45/(1+$B10)^('DCF Model'!C19+0)+'DCF Model'!D45/(1+$B10)^('DCF Model'!C19+1)+'DCF Model'!E45/(1+$B10)^('DCF Model'!C19+2)+'DCF Model'!F45/(1+$B10)^('DCF Model'!C19+3)+'DCF Model'!G45/(1+$B10)^('DCF Model'!C19+4)+'DCF Model'!G45*(1+H$6)/($B10-H$6)/(1+$B10)^('DCF Model'!C19+4)-'DCF Model'!C16)*1000000/'DCF Model'!C15,0),"")</f>
        <v>26604</v>
      </c>
      <c r="I10" s="37">
        <f>IFERROR(ROUND(('DCF Model'!C45/(1+$B10)^('DCF Model'!C19+0)+'DCF Model'!D45/(1+$B10)^('DCF Model'!C19+1)+'DCF Model'!E45/(1+$B10)^('DCF Model'!C19+2)+'DCF Model'!F45/(1+$B10)^('DCF Model'!C19+3)+'DCF Model'!G45/(1+$B10)^('DCF Model'!C19+4)+'DCF Model'!G45*(1+I$6)/($B10-I$6)/(1+$B10)^('DCF Model'!C19+4)-'DCF Model'!C16)*1000000/'DCF Model'!C15,0),"")</f>
        <v>27100</v>
      </c>
    </row>
    <row r="11" spans="2:9" ht="13.5" x14ac:dyDescent="0.25">
      <c r="B11" s="39">
        <f>$C$3+0.005</f>
        <v>0.11160450000000001</v>
      </c>
      <c r="C11" s="37">
        <f>IFERROR(ROUND(('DCF Model'!C45/(1+$B11)^('DCF Model'!C19+0)+'DCF Model'!D45/(1+$B11)^('DCF Model'!C19+1)+'DCF Model'!E45/(1+$B11)^('DCF Model'!C19+2)+'DCF Model'!F45/(1+$B11)^('DCF Model'!C19+3)+'DCF Model'!G45/(1+$B11)^('DCF Model'!C19+4)+'DCF Model'!G45*(1+C$6)/($B11-C$6)/(1+$B11)^('DCF Model'!C19+4)-'DCF Model'!C16)*1000000/'DCF Model'!C15,0),"")</f>
        <v>23434</v>
      </c>
      <c r="D11" s="37">
        <f>IFERROR(ROUND(('DCF Model'!C45/(1+$B11)^('DCF Model'!C19+0)+'DCF Model'!D45/(1+$B11)^('DCF Model'!C19+1)+'DCF Model'!E45/(1+$B11)^('DCF Model'!C19+2)+'DCF Model'!F45/(1+$B11)^('DCF Model'!C19+3)+'DCF Model'!G45/(1+$B11)^('DCF Model'!C19+4)+'DCF Model'!G45*(1+D$6)/($B11-D$6)/(1+$B11)^('DCF Model'!C19+4)-'DCF Model'!C16)*1000000/'DCF Model'!C15,0),"")</f>
        <v>23776</v>
      </c>
      <c r="E11" s="37">
        <f>IFERROR(ROUND(('DCF Model'!C45/(1+$B11)^('DCF Model'!C19+0)+'DCF Model'!D45/(1+$B11)^('DCF Model'!C19+1)+'DCF Model'!E45/(1+$B11)^('DCF Model'!C19+2)+'DCF Model'!F45/(1+$B11)^('DCF Model'!C19+3)+'DCF Model'!G45/(1+$B11)^('DCF Model'!C19+4)+'DCF Model'!G45*(1+E$6)/($B11-E$6)/(1+$B11)^('DCF Model'!C19+4)-'DCF Model'!C16)*1000000/'DCF Model'!C15,0),"")</f>
        <v>24134</v>
      </c>
      <c r="F11" s="37">
        <f>IFERROR(ROUND(('DCF Model'!C45/(1+$B11)^('DCF Model'!C19+0)+'DCF Model'!D45/(1+$B11)^('DCF Model'!C19+1)+'DCF Model'!E45/(1+$B11)^('DCF Model'!C19+2)+'DCF Model'!F45/(1+$B11)^('DCF Model'!C19+3)+'DCF Model'!G45/(1+$B11)^('DCF Model'!C19+4)+'DCF Model'!G45*(1+F$6)/($B11-F$6)/(1+$B11)^('DCF Model'!C19+4)-'DCF Model'!C16)*1000000/'DCF Model'!C15,0),"")</f>
        <v>24509</v>
      </c>
      <c r="G11" s="37">
        <f>IFERROR(ROUND(('DCF Model'!C45/(1+$B11)^('DCF Model'!C19+0)+'DCF Model'!D45/(1+$B11)^('DCF Model'!C19+1)+'DCF Model'!E45/(1+$B11)^('DCF Model'!C19+2)+'DCF Model'!F45/(1+$B11)^('DCF Model'!C19+3)+'DCF Model'!G45/(1+$B11)^('DCF Model'!C19+4)+'DCF Model'!G45*(1+G$6)/($B11-G$6)/(1+$B11)^('DCF Model'!C19+4)-'DCF Model'!C16)*1000000/'DCF Model'!C15,0),"")</f>
        <v>24904</v>
      </c>
      <c r="H11" s="37">
        <f>IFERROR(ROUND(('DCF Model'!C45/(1+$B11)^('DCF Model'!C19+0)+'DCF Model'!D45/(1+$B11)^('DCF Model'!C19+1)+'DCF Model'!E45/(1+$B11)^('DCF Model'!C19+2)+'DCF Model'!F45/(1+$B11)^('DCF Model'!C19+3)+'DCF Model'!G45/(1+$B11)^('DCF Model'!C19+4)+'DCF Model'!G45*(1+H$6)/($B11-H$6)/(1+$B11)^('DCF Model'!C19+4)-'DCF Model'!C16)*1000000/'DCF Model'!C15,0),"")</f>
        <v>25319</v>
      </c>
      <c r="I11" s="37">
        <f>IFERROR(ROUND(('DCF Model'!C45/(1+$B11)^('DCF Model'!C19+0)+'DCF Model'!D45/(1+$B11)^('DCF Model'!C19+1)+'DCF Model'!E45/(1+$B11)^('DCF Model'!C19+2)+'DCF Model'!F45/(1+$B11)^('DCF Model'!C19+3)+'DCF Model'!G45/(1+$B11)^('DCF Model'!C19+4)+'DCF Model'!G45*(1+I$6)/($B11-I$6)/(1+$B11)^('DCF Model'!C19+4)-'DCF Model'!C16)*1000000/'DCF Model'!C15,0),"")</f>
        <v>25756</v>
      </c>
    </row>
    <row r="12" spans="2:9" ht="13.5" x14ac:dyDescent="0.25">
      <c r="B12" s="39">
        <f>$C$3+0.01</f>
        <v>0.1166045</v>
      </c>
      <c r="C12" s="37">
        <f>IFERROR(ROUND(('DCF Model'!C45/(1+$B12)^('DCF Model'!C19+0)+'DCF Model'!D45/(1+$B12)^('DCF Model'!C19+1)+'DCF Model'!E45/(1+$B12)^('DCF Model'!C19+2)+'DCF Model'!F45/(1+$B12)^('DCF Model'!C19+3)+'DCF Model'!G45/(1+$B12)^('DCF Model'!C19+4)+'DCF Model'!G45*(1+C$6)/($B12-C$6)/(1+$B12)^('DCF Model'!C19+4)-'DCF Model'!C16)*1000000/'DCF Model'!C15,0),"")</f>
        <v>22478</v>
      </c>
      <c r="D12" s="37">
        <f>IFERROR(ROUND(('DCF Model'!C45/(1+$B12)^('DCF Model'!C19+0)+'DCF Model'!D45/(1+$B12)^('DCF Model'!C19+1)+'DCF Model'!E45/(1+$B12)^('DCF Model'!C19+2)+'DCF Model'!F45/(1+$B12)^('DCF Model'!C19+3)+'DCF Model'!G45/(1+$B12)^('DCF Model'!C19+4)+'DCF Model'!G45*(1+D$6)/($B12-D$6)/(1+$B12)^('DCF Model'!C19+4)-'DCF Model'!C16)*1000000/'DCF Model'!C15,0),"")</f>
        <v>22784</v>
      </c>
      <c r="E12" s="37">
        <f>IFERROR(ROUND(('DCF Model'!C45/(1+$B12)^('DCF Model'!C19+0)+'DCF Model'!D45/(1+$B12)^('DCF Model'!C19+1)+'DCF Model'!E45/(1+$B12)^('DCF Model'!C19+2)+'DCF Model'!F45/(1+$B12)^('DCF Model'!C19+3)+'DCF Model'!G45/(1+$B12)^('DCF Model'!C19+4)+'DCF Model'!G45*(1+E$6)/($B12-E$6)/(1+$B12)^('DCF Model'!C19+4)-'DCF Model'!C16)*1000000/'DCF Model'!C15,0),"")</f>
        <v>23105</v>
      </c>
      <c r="F12" s="37">
        <f>IFERROR(ROUND(('DCF Model'!C45/(1+$B12)^('DCF Model'!C19+0)+'DCF Model'!D45/(1+$B12)^('DCF Model'!C19+1)+'DCF Model'!E45/(1+$B12)^('DCF Model'!C19+2)+'DCF Model'!F45/(1+$B12)^('DCF Model'!C19+3)+'DCF Model'!G45/(1+$B12)^('DCF Model'!C19+4)+'DCF Model'!G45*(1+F$6)/($B12-F$6)/(1+$B12)^('DCF Model'!C19+4)-'DCF Model'!C16)*1000000/'DCF Model'!C15,0),"")</f>
        <v>23440</v>
      </c>
      <c r="G12" s="37">
        <f>IFERROR(ROUND(('DCF Model'!C45/(1+$B12)^('DCF Model'!C19+0)+'DCF Model'!D45/(1+$B12)^('DCF Model'!C19+1)+'DCF Model'!E45/(1+$B12)^('DCF Model'!C19+2)+'DCF Model'!F45/(1+$B12)^('DCF Model'!C19+3)+'DCF Model'!G45/(1+$B12)^('DCF Model'!C19+4)+'DCF Model'!G45*(1+G$6)/($B12-G$6)/(1+$B12)^('DCF Model'!C19+4)-'DCF Model'!C16)*1000000/'DCF Model'!C15,0),"")</f>
        <v>23792</v>
      </c>
      <c r="H12" s="37">
        <f>IFERROR(ROUND(('DCF Model'!C45/(1+$B12)^('DCF Model'!C19+0)+'DCF Model'!D45/(1+$B12)^('DCF Model'!C19+1)+'DCF Model'!E45/(1+$B12)^('DCF Model'!C19+2)+'DCF Model'!F45/(1+$B12)^('DCF Model'!C19+3)+'DCF Model'!G45/(1+$B12)^('DCF Model'!C19+4)+'DCF Model'!G45*(1+H$6)/($B12-H$6)/(1+$B12)^('DCF Model'!C19+4)-'DCF Model'!C16)*1000000/'DCF Model'!C15,0),"")</f>
        <v>24161</v>
      </c>
      <c r="I12" s="37">
        <f>IFERROR(ROUND(('DCF Model'!C45/(1+$B12)^('DCF Model'!C19+0)+'DCF Model'!D45/(1+$B12)^('DCF Model'!C19+1)+'DCF Model'!E45/(1+$B12)^('DCF Model'!C19+2)+'DCF Model'!F45/(1+$B12)^('DCF Model'!C19+3)+'DCF Model'!G45/(1+$B12)^('DCF Model'!C19+4)+'DCF Model'!G45*(1+I$6)/($B12-I$6)/(1+$B12)^('DCF Model'!C19+4)-'DCF Model'!C16)*1000000/'DCF Model'!C15,0),"")</f>
        <v>24548</v>
      </c>
    </row>
    <row r="13" spans="2:9" ht="13.5" x14ac:dyDescent="0.25">
      <c r="B13" s="39">
        <f>$C$3+0.015</f>
        <v>0.1216045</v>
      </c>
      <c r="C13" s="37">
        <f>IFERROR(ROUND(('DCF Model'!C45/(1+$B13)^('DCF Model'!C19+0)+'DCF Model'!D45/(1+$B13)^('DCF Model'!C19+1)+'DCF Model'!E45/(1+$B13)^('DCF Model'!C19+2)+'DCF Model'!F45/(1+$B13)^('DCF Model'!C19+3)+'DCF Model'!G45/(1+$B13)^('DCF Model'!C19+4)+'DCF Model'!G45*(1+C$6)/($B13-C$6)/(1+$B13)^('DCF Model'!C19+4)-'DCF Model'!C16)*1000000/'DCF Model'!C15,0),"")</f>
        <v>21602</v>
      </c>
      <c r="D13" s="37">
        <f>IFERROR(ROUND(('DCF Model'!C45/(1+$B13)^('DCF Model'!C19+0)+'DCF Model'!D45/(1+$B13)^('DCF Model'!C19+1)+'DCF Model'!E45/(1+$B13)^('DCF Model'!C19+2)+'DCF Model'!F45/(1+$B13)^('DCF Model'!C19+3)+'DCF Model'!G45/(1+$B13)^('DCF Model'!C19+4)+'DCF Model'!G45*(1+D$6)/($B13-D$6)/(1+$B13)^('DCF Model'!C19+4)-'DCF Model'!C16)*1000000/'DCF Model'!C15,0),"")</f>
        <v>21878</v>
      </c>
      <c r="E13" s="37">
        <f>IFERROR(ROUND(('DCF Model'!C45/(1+$B13)^('DCF Model'!C19+0)+'DCF Model'!D45/(1+$B13)^('DCF Model'!C19+1)+'DCF Model'!E45/(1+$B13)^('DCF Model'!C19+2)+'DCF Model'!F45/(1+$B13)^('DCF Model'!C19+3)+'DCF Model'!G45/(1+$B13)^('DCF Model'!C19+4)+'DCF Model'!G45*(1+E$6)/($B13-E$6)/(1+$B13)^('DCF Model'!C19+4)-'DCF Model'!C16)*1000000/'DCF Model'!C15,0),"")</f>
        <v>22166</v>
      </c>
      <c r="F13" s="37">
        <f>IFERROR(ROUND(('DCF Model'!C45/(1+$B13)^('DCF Model'!C19+0)+'DCF Model'!D45/(1+$B13)^('DCF Model'!C19+1)+'DCF Model'!E45/(1+$B13)^('DCF Model'!C19+2)+'DCF Model'!F45/(1+$B13)^('DCF Model'!C19+3)+'DCF Model'!G45/(1+$B13)^('DCF Model'!C19+4)+'DCF Model'!G45*(1+F$6)/($B13-F$6)/(1+$B13)^('DCF Model'!C19+4)-'DCF Model'!C16)*1000000/'DCF Model'!C15,0),"")</f>
        <v>22467</v>
      </c>
      <c r="G13" s="37">
        <f>IFERROR(ROUND(('DCF Model'!C45/(1+$B13)^('DCF Model'!C19+0)+'DCF Model'!D45/(1+$B13)^('DCF Model'!C19+1)+'DCF Model'!E45/(1+$B13)^('DCF Model'!C19+2)+'DCF Model'!F45/(1+$B13)^('DCF Model'!C19+3)+'DCF Model'!G45/(1+$B13)^('DCF Model'!C19+4)+'DCF Model'!G45*(1+G$6)/($B13-G$6)/(1+$B13)^('DCF Model'!C19+4)-'DCF Model'!C16)*1000000/'DCF Model'!C15,0),"")</f>
        <v>22782</v>
      </c>
      <c r="H13" s="37">
        <f>IFERROR(ROUND(('DCF Model'!C45/(1+$B13)^('DCF Model'!C19+0)+'DCF Model'!D45/(1+$B13)^('DCF Model'!C19+1)+'DCF Model'!E45/(1+$B13)^('DCF Model'!C19+2)+'DCF Model'!F45/(1+$B13)^('DCF Model'!C19+3)+'DCF Model'!G45/(1+$B13)^('DCF Model'!C19+4)+'DCF Model'!G45*(1+H$6)/($B13-H$6)/(1+$B13)^('DCF Model'!C19+4)-'DCF Model'!C16)*1000000/'DCF Model'!C15,0),"")</f>
        <v>23112</v>
      </c>
      <c r="I13" s="37">
        <f>IFERROR(ROUND(('DCF Model'!C45/(1+$B13)^('DCF Model'!C19+0)+'DCF Model'!D45/(1+$B13)^('DCF Model'!C19+1)+'DCF Model'!E45/(1+$B13)^('DCF Model'!C19+2)+'DCF Model'!F45/(1+$B13)^('DCF Model'!C19+3)+'DCF Model'!G45/(1+$B13)^('DCF Model'!C19+4)+'DCF Model'!G45*(1+I$6)/($B13-I$6)/(1+$B13)^('DCF Model'!C19+4)-'DCF Model'!C16)*1000000/'DCF Model'!C15,0),"")</f>
        <v>23457</v>
      </c>
    </row>
    <row r="16" spans="2:9" ht="14" x14ac:dyDescent="0.3">
      <c r="B16" s="3" t="s">
        <v>236</v>
      </c>
    </row>
    <row r="17" spans="2:9" ht="14" x14ac:dyDescent="0.3">
      <c r="B17" s="40" t="s">
        <v>237</v>
      </c>
      <c r="C17" s="42">
        <f>$I$3-3</f>
        <v>15.3</v>
      </c>
      <c r="D17" s="42">
        <f>$I$3-2</f>
        <v>16.3</v>
      </c>
      <c r="E17" s="42">
        <f>$I$3-1</f>
        <v>17.3</v>
      </c>
      <c r="F17" s="42">
        <f>$I$3</f>
        <v>18.3</v>
      </c>
      <c r="G17" s="42">
        <f>$I$3+1</f>
        <v>19.3</v>
      </c>
      <c r="H17" s="42">
        <f>$I$3+2</f>
        <v>20.3</v>
      </c>
      <c r="I17" s="42">
        <f>$I$3+3</f>
        <v>21.3</v>
      </c>
    </row>
    <row r="18" spans="2:9" ht="13.5" x14ac:dyDescent="0.25">
      <c r="B18" s="39">
        <f>$C$3-0.015</f>
        <v>9.1604500000000005E-2</v>
      </c>
      <c r="C18" s="37">
        <f>IFERROR(ROUND(('DCF Model'!C45/(1+$B18)^('DCF Model'!C19+0)+'DCF Model'!D45/(1+$B18)^('DCF Model'!C19+1)+'DCF Model'!E45/(1+$B18)^('DCF Model'!C19+2)+'DCF Model'!F45/(1+$B18)^('DCF Model'!C19+3)+'DCF Model'!G45/(1+$B18)^('DCF Model'!C19+4)+('DCF Model'!G39+'DCF Model'!G42)*C$17/(1+$B18)^('DCF Model'!C19+4)-'DCF Model'!C16)*1000000/'DCF Model'!C15,0),"")</f>
        <v>44962</v>
      </c>
      <c r="D18" s="37">
        <f>IFERROR(ROUND(('DCF Model'!C45/(1+$B18)^('DCF Model'!C19+0)+'DCF Model'!D45/(1+$B18)^('DCF Model'!C19+1)+'DCF Model'!E45/(1+$B18)^('DCF Model'!C19+2)+'DCF Model'!F45/(1+$B18)^('DCF Model'!C19+3)+'DCF Model'!G45/(1+$B18)^('DCF Model'!C19+4)+('DCF Model'!G39+'DCF Model'!G42)*D$17/(1+$B18)^('DCF Model'!C19+4)-'DCF Model'!C16)*1000000/'DCF Model'!C15,0),"")</f>
        <v>47200</v>
      </c>
      <c r="E18" s="37">
        <f>IFERROR(ROUND(('DCF Model'!C45/(1+$B18)^('DCF Model'!C19+0)+'DCF Model'!D45/(1+$B18)^('DCF Model'!C19+1)+'DCF Model'!E45/(1+$B18)^('DCF Model'!C19+2)+'DCF Model'!F45/(1+$B18)^('DCF Model'!C19+3)+'DCF Model'!G45/(1+$B18)^('DCF Model'!C19+4)+('DCF Model'!G39+'DCF Model'!G42)*E$17/(1+$B18)^('DCF Model'!C19+4)-'DCF Model'!C16)*1000000/'DCF Model'!C15,0),"")</f>
        <v>49438</v>
      </c>
      <c r="F18" s="37">
        <f>IFERROR(ROUND(('DCF Model'!C45/(1+$B18)^('DCF Model'!C19+0)+'DCF Model'!D45/(1+$B18)^('DCF Model'!C19+1)+'DCF Model'!E45/(1+$B18)^('DCF Model'!C19+2)+'DCF Model'!F45/(1+$B18)^('DCF Model'!C19+3)+'DCF Model'!G45/(1+$B18)^('DCF Model'!C19+4)+('DCF Model'!G39+'DCF Model'!G42)*F$17/(1+$B18)^('DCF Model'!C19+4)-'DCF Model'!C16)*1000000/'DCF Model'!C15,0),"")</f>
        <v>51675</v>
      </c>
      <c r="G18" s="37">
        <f>IFERROR(ROUND(('DCF Model'!C45/(1+$B18)^('DCF Model'!C19+0)+'DCF Model'!D45/(1+$B18)^('DCF Model'!C19+1)+'DCF Model'!E45/(1+$B18)^('DCF Model'!C19+2)+'DCF Model'!F45/(1+$B18)^('DCF Model'!C19+3)+'DCF Model'!G45/(1+$B18)^('DCF Model'!C19+4)+('DCF Model'!G39+'DCF Model'!G42)*G$17/(1+$B18)^('DCF Model'!C19+4)-'DCF Model'!C16)*1000000/'DCF Model'!C15,0),"")</f>
        <v>53913</v>
      </c>
      <c r="H18" s="37">
        <f>IFERROR(ROUND(('DCF Model'!C45/(1+$B18)^('DCF Model'!C19+0)+'DCF Model'!D45/(1+$B18)^('DCF Model'!C19+1)+'DCF Model'!E45/(1+$B18)^('DCF Model'!C19+2)+'DCF Model'!F45/(1+$B18)^('DCF Model'!C19+3)+'DCF Model'!G45/(1+$B18)^('DCF Model'!C19+4)+('DCF Model'!G39+'DCF Model'!G42)*H$17/(1+$B18)^('DCF Model'!C19+4)-'DCF Model'!C16)*1000000/'DCF Model'!C15,0),"")</f>
        <v>56151</v>
      </c>
      <c r="I18" s="37">
        <f>IFERROR(ROUND(('DCF Model'!C45/(1+$B18)^('DCF Model'!C19+0)+'DCF Model'!D45/(1+$B18)^('DCF Model'!C19+1)+'DCF Model'!E45/(1+$B18)^('DCF Model'!C19+2)+'DCF Model'!F45/(1+$B18)^('DCF Model'!C19+3)+'DCF Model'!G45/(1+$B18)^('DCF Model'!C19+4)+('DCF Model'!G39+'DCF Model'!G42)*I$17/(1+$B18)^('DCF Model'!C19+4)-'DCF Model'!C16)*1000000/'DCF Model'!C15,0),"")</f>
        <v>58389</v>
      </c>
    </row>
    <row r="19" spans="2:9" ht="13.5" x14ac:dyDescent="0.25">
      <c r="B19" s="39">
        <f>$C$3-0.01</f>
        <v>9.660450000000001E-2</v>
      </c>
      <c r="C19" s="37">
        <f>IFERROR(ROUND(('DCF Model'!C45/(1+$B19)^('DCF Model'!C19+0)+'DCF Model'!D45/(1+$B19)^('DCF Model'!C19+1)+'DCF Model'!E45/(1+$B19)^('DCF Model'!C19+2)+'DCF Model'!F45/(1+$B19)^('DCF Model'!C19+3)+'DCF Model'!G45/(1+$B19)^('DCF Model'!C19+4)+('DCF Model'!G39+'DCF Model'!G42)*C$17/(1+$B19)^('DCF Model'!C19+4)-'DCF Model'!C16)*1000000/'DCF Model'!C15,0),"")</f>
        <v>44078</v>
      </c>
      <c r="D19" s="37">
        <f>IFERROR(ROUND(('DCF Model'!C45/(1+$B19)^('DCF Model'!C19+0)+'DCF Model'!D45/(1+$B19)^('DCF Model'!C19+1)+'DCF Model'!E45/(1+$B19)^('DCF Model'!C19+2)+'DCF Model'!F45/(1+$B19)^('DCF Model'!C19+3)+'DCF Model'!G45/(1+$B19)^('DCF Model'!C19+4)+('DCF Model'!G39+'DCF Model'!G42)*D$17/(1+$B19)^('DCF Model'!C19+4)-'DCF Model'!C16)*1000000/'DCF Model'!C15,0),"")</f>
        <v>46265</v>
      </c>
      <c r="E19" s="37">
        <f>IFERROR(ROUND(('DCF Model'!C45/(1+$B19)^('DCF Model'!C19+0)+'DCF Model'!D45/(1+$B19)^('DCF Model'!C19+1)+'DCF Model'!E45/(1+$B19)^('DCF Model'!C19+2)+'DCF Model'!F45/(1+$B19)^('DCF Model'!C19+3)+'DCF Model'!G45/(1+$B19)^('DCF Model'!C19+4)+('DCF Model'!G39+'DCF Model'!G42)*E$17/(1+$B19)^('DCF Model'!C19+4)-'DCF Model'!C16)*1000000/'DCF Model'!C15,0),"")</f>
        <v>48452</v>
      </c>
      <c r="F19" s="37">
        <f>IFERROR(ROUND(('DCF Model'!C45/(1+$B19)^('DCF Model'!C19+0)+'DCF Model'!D45/(1+$B19)^('DCF Model'!C19+1)+'DCF Model'!E45/(1+$B19)^('DCF Model'!C19+2)+'DCF Model'!F45/(1+$B19)^('DCF Model'!C19+3)+'DCF Model'!G45/(1+$B19)^('DCF Model'!C19+4)+('DCF Model'!G39+'DCF Model'!G42)*F$17/(1+$B19)^('DCF Model'!C19+4)-'DCF Model'!C16)*1000000/'DCF Model'!C15,0),"")</f>
        <v>50640</v>
      </c>
      <c r="G19" s="37">
        <f>IFERROR(ROUND(('DCF Model'!C45/(1+$B19)^('DCF Model'!C19+0)+'DCF Model'!D45/(1+$B19)^('DCF Model'!C19+1)+'DCF Model'!E45/(1+$B19)^('DCF Model'!C19+2)+'DCF Model'!F45/(1+$B19)^('DCF Model'!C19+3)+'DCF Model'!G45/(1+$B19)^('DCF Model'!C19+4)+('DCF Model'!G39+'DCF Model'!G42)*G$17/(1+$B19)^('DCF Model'!C19+4)-'DCF Model'!C16)*1000000/'DCF Model'!C15,0),"")</f>
        <v>52827</v>
      </c>
      <c r="H19" s="37">
        <f>IFERROR(ROUND(('DCF Model'!C45/(1+$B19)^('DCF Model'!C19+0)+'DCF Model'!D45/(1+$B19)^('DCF Model'!C19+1)+'DCF Model'!E45/(1+$B19)^('DCF Model'!C19+2)+'DCF Model'!F45/(1+$B19)^('DCF Model'!C19+3)+'DCF Model'!G45/(1+$B19)^('DCF Model'!C19+4)+('DCF Model'!G39+'DCF Model'!G42)*H$17/(1+$B19)^('DCF Model'!C19+4)-'DCF Model'!C16)*1000000/'DCF Model'!C15,0),"")</f>
        <v>55014</v>
      </c>
      <c r="I19" s="37">
        <f>IFERROR(ROUND(('DCF Model'!C45/(1+$B19)^('DCF Model'!C19+0)+'DCF Model'!D45/(1+$B19)^('DCF Model'!C19+1)+'DCF Model'!E45/(1+$B19)^('DCF Model'!C19+2)+'DCF Model'!F45/(1+$B19)^('DCF Model'!C19+3)+'DCF Model'!G45/(1+$B19)^('DCF Model'!C19+4)+('DCF Model'!G39+'DCF Model'!G42)*I$17/(1+$B19)^('DCF Model'!C19+4)-'DCF Model'!C16)*1000000/'DCF Model'!C15,0),"")</f>
        <v>57201</v>
      </c>
    </row>
    <row r="20" spans="2:9" ht="13.5" x14ac:dyDescent="0.25">
      <c r="B20" s="39">
        <f>$C$3-0.005</f>
        <v>0.1016045</v>
      </c>
      <c r="C20" s="37">
        <f>IFERROR(ROUND(('DCF Model'!C45/(1+$B20)^('DCF Model'!C19+0)+'DCF Model'!D45/(1+$B20)^('DCF Model'!C19+1)+'DCF Model'!E45/(1+$B20)^('DCF Model'!C19+2)+'DCF Model'!F45/(1+$B20)^('DCF Model'!C19+3)+'DCF Model'!G45/(1+$B20)^('DCF Model'!C19+4)+('DCF Model'!G39+'DCF Model'!G42)*C$17/(1+$B20)^('DCF Model'!C19+4)-'DCF Model'!C16)*1000000/'DCF Model'!C15,0),"")</f>
        <v>43217</v>
      </c>
      <c r="D20" s="37">
        <f>IFERROR(ROUND(('DCF Model'!C45/(1+$B20)^('DCF Model'!C19+0)+'DCF Model'!D45/(1+$B20)^('DCF Model'!C19+1)+'DCF Model'!E45/(1+$B20)^('DCF Model'!C19+2)+'DCF Model'!F45/(1+$B20)^('DCF Model'!C19+3)+'DCF Model'!G45/(1+$B20)^('DCF Model'!C19+4)+('DCF Model'!G39+'DCF Model'!G42)*D$17/(1+$B20)^('DCF Model'!C19+4)-'DCF Model'!C16)*1000000/'DCF Model'!C15,0),"")</f>
        <v>45355</v>
      </c>
      <c r="E20" s="37">
        <f>IFERROR(ROUND(('DCF Model'!C45/(1+$B20)^('DCF Model'!C19+0)+'DCF Model'!D45/(1+$B20)^('DCF Model'!C19+1)+'DCF Model'!E45/(1+$B20)^('DCF Model'!C19+2)+'DCF Model'!F45/(1+$B20)^('DCF Model'!C19+3)+'DCF Model'!G45/(1+$B20)^('DCF Model'!C19+4)+('DCF Model'!G39+'DCF Model'!G42)*E$17/(1+$B20)^('DCF Model'!C19+4)-'DCF Model'!C16)*1000000/'DCF Model'!C15,0),"")</f>
        <v>47493</v>
      </c>
      <c r="F20" s="37">
        <f>IFERROR(ROUND(('DCF Model'!C45/(1+$B20)^('DCF Model'!C19+0)+'DCF Model'!D45/(1+$B20)^('DCF Model'!C19+1)+'DCF Model'!E45/(1+$B20)^('DCF Model'!C19+2)+'DCF Model'!F45/(1+$B20)^('DCF Model'!C19+3)+'DCF Model'!G45/(1+$B20)^('DCF Model'!C19+4)+('DCF Model'!G39+'DCF Model'!G42)*F$17/(1+$B20)^('DCF Model'!C19+4)-'DCF Model'!C16)*1000000/'DCF Model'!C15,0),"")</f>
        <v>49631</v>
      </c>
      <c r="G20" s="37">
        <f>IFERROR(ROUND(('DCF Model'!C45/(1+$B20)^('DCF Model'!C19+0)+'DCF Model'!D45/(1+$B20)^('DCF Model'!C19+1)+'DCF Model'!E45/(1+$B20)^('DCF Model'!C19+2)+'DCF Model'!F45/(1+$B20)^('DCF Model'!C19+3)+'DCF Model'!G45/(1+$B20)^('DCF Model'!C19+4)+('DCF Model'!G39+'DCF Model'!G42)*G$17/(1+$B20)^('DCF Model'!C19+4)-'DCF Model'!C16)*1000000/'DCF Model'!C15,0),"")</f>
        <v>51769</v>
      </c>
      <c r="H20" s="37">
        <f>IFERROR(ROUND(('DCF Model'!C45/(1+$B20)^('DCF Model'!C19+0)+'DCF Model'!D45/(1+$B20)^('DCF Model'!C19+1)+'DCF Model'!E45/(1+$B20)^('DCF Model'!C19+2)+'DCF Model'!F45/(1+$B20)^('DCF Model'!C19+3)+'DCF Model'!G45/(1+$B20)^('DCF Model'!C19+4)+('DCF Model'!G39+'DCF Model'!G42)*H$17/(1+$B20)^('DCF Model'!C19+4)-'DCF Model'!C16)*1000000/'DCF Model'!C15,0),"")</f>
        <v>53907</v>
      </c>
      <c r="I20" s="37">
        <f>IFERROR(ROUND(('DCF Model'!C45/(1+$B20)^('DCF Model'!C19+0)+'DCF Model'!D45/(1+$B20)^('DCF Model'!C19+1)+'DCF Model'!E45/(1+$B20)^('DCF Model'!C19+2)+'DCF Model'!F45/(1+$B20)^('DCF Model'!C19+3)+'DCF Model'!G45/(1+$B20)^('DCF Model'!C19+4)+('DCF Model'!G39+'DCF Model'!G42)*I$17/(1+$B20)^('DCF Model'!C19+4)-'DCF Model'!C16)*1000000/'DCF Model'!C15,0),"")</f>
        <v>56045</v>
      </c>
    </row>
    <row r="21" spans="2:9" ht="13.5" x14ac:dyDescent="0.25">
      <c r="B21" s="39">
        <f>$C$3</f>
        <v>0.1066045</v>
      </c>
      <c r="C21" s="37">
        <f>IFERROR(ROUND(('DCF Model'!C45/(1+$B21)^('DCF Model'!C19+0)+'DCF Model'!D45/(1+$B21)^('DCF Model'!C19+1)+'DCF Model'!E45/(1+$B21)^('DCF Model'!C19+2)+'DCF Model'!F45/(1+$B21)^('DCF Model'!C19+3)+'DCF Model'!G45/(1+$B21)^('DCF Model'!C19+4)+('DCF Model'!G39+'DCF Model'!G42)*C$17/(1+$B21)^('DCF Model'!C19+4)-'DCF Model'!C16)*1000000/'DCF Model'!C15,0),"")</f>
        <v>42379</v>
      </c>
      <c r="D21" s="37">
        <f>IFERROR(ROUND(('DCF Model'!C45/(1+$B21)^('DCF Model'!C19+0)+'DCF Model'!D45/(1+$B21)^('DCF Model'!C19+1)+'DCF Model'!E45/(1+$B21)^('DCF Model'!C19+2)+'DCF Model'!F45/(1+$B21)^('DCF Model'!C19+3)+'DCF Model'!G45/(1+$B21)^('DCF Model'!C19+4)+('DCF Model'!G39+'DCF Model'!G42)*D$17/(1+$B21)^('DCF Model'!C19+4)-'DCF Model'!C16)*1000000/'DCF Model'!C15,0),"")</f>
        <v>44469</v>
      </c>
      <c r="E21" s="37">
        <f>IFERROR(ROUND(('DCF Model'!C45/(1+$B21)^('DCF Model'!C19+0)+'DCF Model'!D45/(1+$B21)^('DCF Model'!C19+1)+'DCF Model'!E45/(1+$B21)^('DCF Model'!C19+2)+'DCF Model'!F45/(1+$B21)^('DCF Model'!C19+3)+'DCF Model'!G45/(1+$B21)^('DCF Model'!C19+4)+('DCF Model'!G39+'DCF Model'!G42)*E$17/(1+$B21)^('DCF Model'!C19+4)-'DCF Model'!C16)*1000000/'DCF Model'!C15,0),"")</f>
        <v>46559</v>
      </c>
      <c r="F21" s="37">
        <f>IFERROR(ROUND(('DCF Model'!C45/(1+$B21)^('DCF Model'!C19+0)+'DCF Model'!D45/(1+$B21)^('DCF Model'!C19+1)+'DCF Model'!E45/(1+$B21)^('DCF Model'!C19+2)+'DCF Model'!F45/(1+$B21)^('DCF Model'!C19+3)+'DCF Model'!G45/(1+$B21)^('DCF Model'!C19+4)+('DCF Model'!G39+'DCF Model'!G42)*F$17/(1+$B21)^('DCF Model'!C19+4)-'DCF Model'!C16)*1000000/'DCF Model'!C15,0),"")</f>
        <v>48649</v>
      </c>
      <c r="G21" s="37">
        <f>IFERROR(ROUND(('DCF Model'!C45/(1+$B21)^('DCF Model'!C19+0)+'DCF Model'!D45/(1+$B21)^('DCF Model'!C19+1)+'DCF Model'!E45/(1+$B21)^('DCF Model'!C19+2)+'DCF Model'!F45/(1+$B21)^('DCF Model'!C19+3)+'DCF Model'!G45/(1+$B21)^('DCF Model'!C19+4)+('DCF Model'!G39+'DCF Model'!G42)*G$17/(1+$B21)^('DCF Model'!C19+4)-'DCF Model'!C16)*1000000/'DCF Model'!C15,0),"")</f>
        <v>50739</v>
      </c>
      <c r="H21" s="37">
        <f>IFERROR(ROUND(('DCF Model'!C45/(1+$B21)^('DCF Model'!C19+0)+'DCF Model'!D45/(1+$B21)^('DCF Model'!C19+1)+'DCF Model'!E45/(1+$B21)^('DCF Model'!C19+2)+'DCF Model'!F45/(1+$B21)^('DCF Model'!C19+3)+'DCF Model'!G45/(1+$B21)^('DCF Model'!C19+4)+('DCF Model'!G39+'DCF Model'!G42)*H$17/(1+$B21)^('DCF Model'!C19+4)-'DCF Model'!C16)*1000000/'DCF Model'!C15,0),"")</f>
        <v>52829</v>
      </c>
      <c r="I21" s="37">
        <f>IFERROR(ROUND(('DCF Model'!C45/(1+$B21)^('DCF Model'!C19+0)+'DCF Model'!D45/(1+$B21)^('DCF Model'!C19+1)+'DCF Model'!E45/(1+$B21)^('DCF Model'!C19+2)+'DCF Model'!F45/(1+$B21)^('DCF Model'!C19+3)+'DCF Model'!G45/(1+$B21)^('DCF Model'!C19+4)+('DCF Model'!G39+'DCF Model'!G42)*I$17/(1+$B21)^('DCF Model'!C19+4)-'DCF Model'!C16)*1000000/'DCF Model'!C15,0),"")</f>
        <v>54919</v>
      </c>
    </row>
    <row r="22" spans="2:9" ht="13.5" x14ac:dyDescent="0.25">
      <c r="B22" s="39">
        <f>$C$3+0.005</f>
        <v>0.11160450000000001</v>
      </c>
      <c r="C22" s="37">
        <f>IFERROR(ROUND(('DCF Model'!C45/(1+$B22)^('DCF Model'!C19+0)+'DCF Model'!D45/(1+$B22)^('DCF Model'!C19+1)+'DCF Model'!E45/(1+$B22)^('DCF Model'!C19+2)+'DCF Model'!F45/(1+$B22)^('DCF Model'!C19+3)+'DCF Model'!G45/(1+$B22)^('DCF Model'!C19+4)+('DCF Model'!G39+'DCF Model'!G42)*C$17/(1+$B22)^('DCF Model'!C19+4)-'DCF Model'!C16)*1000000/'DCF Model'!C15,0),"")</f>
        <v>41562</v>
      </c>
      <c r="D22" s="37">
        <f>IFERROR(ROUND(('DCF Model'!C45/(1+$B22)^('DCF Model'!C19+0)+'DCF Model'!D45/(1+$B22)^('DCF Model'!C19+1)+'DCF Model'!E45/(1+$B22)^('DCF Model'!C19+2)+'DCF Model'!F45/(1+$B22)^('DCF Model'!C19+3)+'DCF Model'!G45/(1+$B22)^('DCF Model'!C19+4)+('DCF Model'!G39+'DCF Model'!G42)*D$17/(1+$B22)^('DCF Model'!C19+4)-'DCF Model'!C16)*1000000/'DCF Model'!C15,0),"")</f>
        <v>43605</v>
      </c>
      <c r="E22" s="37">
        <f>IFERROR(ROUND(('DCF Model'!C45/(1+$B22)^('DCF Model'!C19+0)+'DCF Model'!D45/(1+$B22)^('DCF Model'!C19+1)+'DCF Model'!E45/(1+$B22)^('DCF Model'!C19+2)+'DCF Model'!F45/(1+$B22)^('DCF Model'!C19+3)+'DCF Model'!G45/(1+$B22)^('DCF Model'!C19+4)+('DCF Model'!G39+'DCF Model'!G42)*E$17/(1+$B22)^('DCF Model'!C19+4)-'DCF Model'!C16)*1000000/'DCF Model'!C15,0),"")</f>
        <v>45649</v>
      </c>
      <c r="F22" s="37">
        <f>IFERROR(ROUND(('DCF Model'!C45/(1+$B22)^('DCF Model'!C19+0)+'DCF Model'!D45/(1+$B22)^('DCF Model'!C19+1)+'DCF Model'!E45/(1+$B22)^('DCF Model'!C19+2)+'DCF Model'!F45/(1+$B22)^('DCF Model'!C19+3)+'DCF Model'!G45/(1+$B22)^('DCF Model'!C19+4)+('DCF Model'!G39+'DCF Model'!G42)*F$17/(1+$B22)^('DCF Model'!C19+4)-'DCF Model'!C16)*1000000/'DCF Model'!C15,0),"")</f>
        <v>47692</v>
      </c>
      <c r="G22" s="37">
        <f>IFERROR(ROUND(('DCF Model'!C45/(1+$B22)^('DCF Model'!C19+0)+'DCF Model'!D45/(1+$B22)^('DCF Model'!C19+1)+'DCF Model'!E45/(1+$B22)^('DCF Model'!C19+2)+'DCF Model'!F45/(1+$B22)^('DCF Model'!C19+3)+'DCF Model'!G45/(1+$B22)^('DCF Model'!C19+4)+('DCF Model'!G39+'DCF Model'!G42)*G$17/(1+$B22)^('DCF Model'!C19+4)-'DCF Model'!C16)*1000000/'DCF Model'!C15,0),"")</f>
        <v>49736</v>
      </c>
      <c r="H22" s="37">
        <f>IFERROR(ROUND(('DCF Model'!C45/(1+$B22)^('DCF Model'!C19+0)+'DCF Model'!D45/(1+$B22)^('DCF Model'!C19+1)+'DCF Model'!E45/(1+$B22)^('DCF Model'!C19+2)+'DCF Model'!F45/(1+$B22)^('DCF Model'!C19+3)+'DCF Model'!G45/(1+$B22)^('DCF Model'!C19+4)+('DCF Model'!G39+'DCF Model'!G42)*H$17/(1+$B22)^('DCF Model'!C19+4)-'DCF Model'!C16)*1000000/'DCF Model'!C15,0),"")</f>
        <v>51779</v>
      </c>
      <c r="I22" s="37">
        <f>IFERROR(ROUND(('DCF Model'!C45/(1+$B22)^('DCF Model'!C19+0)+'DCF Model'!D45/(1+$B22)^('DCF Model'!C19+1)+'DCF Model'!E45/(1+$B22)^('DCF Model'!C19+2)+'DCF Model'!F45/(1+$B22)^('DCF Model'!C19+3)+'DCF Model'!G45/(1+$B22)^('DCF Model'!C19+4)+('DCF Model'!G39+'DCF Model'!G42)*I$17/(1+$B22)^('DCF Model'!C19+4)-'DCF Model'!C16)*1000000/'DCF Model'!C15,0),"")</f>
        <v>53823</v>
      </c>
    </row>
    <row r="23" spans="2:9" ht="13.5" x14ac:dyDescent="0.25">
      <c r="B23" s="39">
        <f>$C$3+0.01</f>
        <v>0.1166045</v>
      </c>
      <c r="C23" s="37">
        <f>IFERROR(ROUND(('DCF Model'!C45/(1+$B23)^('DCF Model'!C19+0)+'DCF Model'!D45/(1+$B23)^('DCF Model'!C19+1)+'DCF Model'!E45/(1+$B23)^('DCF Model'!C19+2)+'DCF Model'!F45/(1+$B23)^('DCF Model'!C19+3)+'DCF Model'!G45/(1+$B23)^('DCF Model'!C19+4)+('DCF Model'!G39+'DCF Model'!G42)*C$17/(1+$B23)^('DCF Model'!C19+4)-'DCF Model'!C16)*1000000/'DCF Model'!C15,0),"")</f>
        <v>40766</v>
      </c>
      <c r="D23" s="37">
        <f>IFERROR(ROUND(('DCF Model'!C45/(1+$B23)^('DCF Model'!C19+0)+'DCF Model'!D45/(1+$B23)^('DCF Model'!C19+1)+'DCF Model'!E45/(1+$B23)^('DCF Model'!C19+2)+'DCF Model'!F45/(1+$B23)^('DCF Model'!C19+3)+'DCF Model'!G45/(1+$B23)^('DCF Model'!C19+4)+('DCF Model'!G39+'DCF Model'!G42)*D$17/(1+$B23)^('DCF Model'!C19+4)-'DCF Model'!C16)*1000000/'DCF Model'!C15,0),"")</f>
        <v>42764</v>
      </c>
      <c r="E23" s="37">
        <f>IFERROR(ROUND(('DCF Model'!C45/(1+$B23)^('DCF Model'!C19+0)+'DCF Model'!D45/(1+$B23)^('DCF Model'!C19+1)+'DCF Model'!E45/(1+$B23)^('DCF Model'!C19+2)+'DCF Model'!F45/(1+$B23)^('DCF Model'!C19+3)+'DCF Model'!G45/(1+$B23)^('DCF Model'!C19+4)+('DCF Model'!G39+'DCF Model'!G42)*E$17/(1+$B23)^('DCF Model'!C19+4)-'DCF Model'!C16)*1000000/'DCF Model'!C15,0),"")</f>
        <v>44763</v>
      </c>
      <c r="F23" s="37">
        <f>IFERROR(ROUND(('DCF Model'!C45/(1+$B23)^('DCF Model'!C19+0)+'DCF Model'!D45/(1+$B23)^('DCF Model'!C19+1)+'DCF Model'!E45/(1+$B23)^('DCF Model'!C19+2)+'DCF Model'!F45/(1+$B23)^('DCF Model'!C19+3)+'DCF Model'!G45/(1+$B23)^('DCF Model'!C19+4)+('DCF Model'!G39+'DCF Model'!G42)*F$17/(1+$B23)^('DCF Model'!C19+4)-'DCF Model'!C16)*1000000/'DCF Model'!C15,0),"")</f>
        <v>46761</v>
      </c>
      <c r="G23" s="37">
        <f>IFERROR(ROUND(('DCF Model'!C45/(1+$B23)^('DCF Model'!C19+0)+'DCF Model'!D45/(1+$B23)^('DCF Model'!C19+1)+'DCF Model'!E45/(1+$B23)^('DCF Model'!C19+2)+'DCF Model'!F45/(1+$B23)^('DCF Model'!C19+3)+'DCF Model'!G45/(1+$B23)^('DCF Model'!C19+4)+('DCF Model'!G39+'DCF Model'!G42)*G$17/(1+$B23)^('DCF Model'!C19+4)-'DCF Model'!C16)*1000000/'DCF Model'!C15,0),"")</f>
        <v>48759</v>
      </c>
      <c r="H23" s="37">
        <f>IFERROR(ROUND(('DCF Model'!C45/(1+$B23)^('DCF Model'!C19+0)+'DCF Model'!D45/(1+$B23)^('DCF Model'!C19+1)+'DCF Model'!E45/(1+$B23)^('DCF Model'!C19+2)+'DCF Model'!F45/(1+$B23)^('DCF Model'!C19+3)+'DCF Model'!G45/(1+$B23)^('DCF Model'!C19+4)+('DCF Model'!G39+'DCF Model'!G42)*H$17/(1+$B23)^('DCF Model'!C19+4)-'DCF Model'!C16)*1000000/'DCF Model'!C15,0),"")</f>
        <v>50757</v>
      </c>
      <c r="I23" s="37">
        <f>IFERROR(ROUND(('DCF Model'!C45/(1+$B23)^('DCF Model'!C19+0)+'DCF Model'!D45/(1+$B23)^('DCF Model'!C19+1)+'DCF Model'!E45/(1+$B23)^('DCF Model'!C19+2)+'DCF Model'!F45/(1+$B23)^('DCF Model'!C19+3)+'DCF Model'!G45/(1+$B23)^('DCF Model'!C19+4)+('DCF Model'!G39+'DCF Model'!G42)*I$17/(1+$B23)^('DCF Model'!C19+4)-'DCF Model'!C16)*1000000/'DCF Model'!C15,0),"")</f>
        <v>52755</v>
      </c>
    </row>
    <row r="24" spans="2:9" ht="13.5" x14ac:dyDescent="0.25">
      <c r="B24" s="39">
        <f>$C$3+0.015</f>
        <v>0.1216045</v>
      </c>
      <c r="C24" s="37">
        <f>IFERROR(ROUND(('DCF Model'!C45/(1+$B24)^('DCF Model'!C19+0)+'DCF Model'!D45/(1+$B24)^('DCF Model'!C19+1)+'DCF Model'!E45/(1+$B24)^('DCF Model'!C19+2)+'DCF Model'!F45/(1+$B24)^('DCF Model'!C19+3)+'DCF Model'!G45/(1+$B24)^('DCF Model'!C19+4)+('DCF Model'!G39+'DCF Model'!G42)*C$17/(1+$B24)^('DCF Model'!C19+4)-'DCF Model'!C16)*1000000/'DCF Model'!C15,0),"")</f>
        <v>39991</v>
      </c>
      <c r="D24" s="37">
        <f>IFERROR(ROUND(('DCF Model'!C45/(1+$B24)^('DCF Model'!C19+0)+'DCF Model'!D45/(1+$B24)^('DCF Model'!C19+1)+'DCF Model'!E45/(1+$B24)^('DCF Model'!C19+2)+'DCF Model'!F45/(1+$B24)^('DCF Model'!C19+3)+'DCF Model'!G45/(1+$B24)^('DCF Model'!C19+4)+('DCF Model'!G39+'DCF Model'!G42)*D$17/(1+$B24)^('DCF Model'!C19+4)-'DCF Model'!C16)*1000000/'DCF Model'!C15,0),"")</f>
        <v>41945</v>
      </c>
      <c r="E24" s="37">
        <f>IFERROR(ROUND(('DCF Model'!C45/(1+$B24)^('DCF Model'!C19+0)+'DCF Model'!D45/(1+$B24)^('DCF Model'!C19+1)+'DCF Model'!E45/(1+$B24)^('DCF Model'!C19+2)+'DCF Model'!F45/(1+$B24)^('DCF Model'!C19+3)+'DCF Model'!G45/(1+$B24)^('DCF Model'!C19+4)+('DCF Model'!G39+'DCF Model'!G42)*E$17/(1+$B24)^('DCF Model'!C19+4)-'DCF Model'!C16)*1000000/'DCF Model'!C15,0),"")</f>
        <v>43899</v>
      </c>
      <c r="F24" s="37">
        <f>IFERROR(ROUND(('DCF Model'!C45/(1+$B24)^('DCF Model'!C19+0)+'DCF Model'!D45/(1+$B24)^('DCF Model'!C19+1)+'DCF Model'!E45/(1+$B24)^('DCF Model'!C19+2)+'DCF Model'!F45/(1+$B24)^('DCF Model'!C19+3)+'DCF Model'!G45/(1+$B24)^('DCF Model'!C19+4)+('DCF Model'!G39+'DCF Model'!G42)*F$17/(1+$B24)^('DCF Model'!C19+4)-'DCF Model'!C16)*1000000/'DCF Model'!C15,0),"")</f>
        <v>45853</v>
      </c>
      <c r="G24" s="37">
        <f>IFERROR(ROUND(('DCF Model'!C45/(1+$B24)^('DCF Model'!C19+0)+'DCF Model'!D45/(1+$B24)^('DCF Model'!C19+1)+'DCF Model'!E45/(1+$B24)^('DCF Model'!C19+2)+'DCF Model'!F45/(1+$B24)^('DCF Model'!C19+3)+'DCF Model'!G45/(1+$B24)^('DCF Model'!C19+4)+('DCF Model'!G39+'DCF Model'!G42)*G$17/(1+$B24)^('DCF Model'!C19+4)-'DCF Model'!C16)*1000000/'DCF Model'!C15,0),"")</f>
        <v>47807</v>
      </c>
      <c r="H24" s="37">
        <f>IFERROR(ROUND(('DCF Model'!C45/(1+$B24)^('DCF Model'!C19+0)+'DCF Model'!D45/(1+$B24)^('DCF Model'!C19+1)+'DCF Model'!E45/(1+$B24)^('DCF Model'!C19+2)+'DCF Model'!F45/(1+$B24)^('DCF Model'!C19+3)+'DCF Model'!G45/(1+$B24)^('DCF Model'!C19+4)+('DCF Model'!G39+'DCF Model'!G42)*H$17/(1+$B24)^('DCF Model'!C19+4)-'DCF Model'!C16)*1000000/'DCF Model'!C15,0),"")</f>
        <v>49761</v>
      </c>
      <c r="I24" s="37">
        <f>IFERROR(ROUND(('DCF Model'!C45/(1+$B24)^('DCF Model'!C19+0)+'DCF Model'!D45/(1+$B24)^('DCF Model'!C19+1)+'DCF Model'!E45/(1+$B24)^('DCF Model'!C19+2)+'DCF Model'!F45/(1+$B24)^('DCF Model'!C19+3)+'DCF Model'!G45/(1+$B24)^('DCF Model'!C19+4)+('DCF Model'!G39+'DCF Model'!G42)*I$17/(1+$B24)^('DCF Model'!C19+4)-'DCF Model'!C16)*1000000/'DCF Model'!C15,0),"")</f>
        <v>51715</v>
      </c>
    </row>
    <row r="26" spans="2:9" ht="14" x14ac:dyDescent="0.3">
      <c r="B26" s="45" t="s">
        <v>238</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239</v>
      </c>
    </row>
    <row r="4" spans="2:7" ht="14"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t="s">
        <v>246</v>
      </c>
      <c r="C6" s="4" t="s">
        <v>251</v>
      </c>
      <c r="D6" t="s">
        <v>252</v>
      </c>
      <c r="E6" t="s">
        <v>253</v>
      </c>
      <c r="F6" t="s">
        <v>254</v>
      </c>
      <c r="G6" t="s">
        <v>255</v>
      </c>
    </row>
    <row r="12" spans="2:7" ht="14" x14ac:dyDescent="0.3">
      <c r="B12" s="8" t="s">
        <v>256</v>
      </c>
    </row>
    <row r="13" spans="2:7" ht="14" x14ac:dyDescent="0.3">
      <c r="B13" s="10" t="s">
        <v>257</v>
      </c>
      <c r="C13" s="10" t="s">
        <v>258</v>
      </c>
    </row>
    <row r="14" spans="2:7" ht="14" x14ac:dyDescent="0.3">
      <c r="B14" s="4" t="s">
        <v>259</v>
      </c>
      <c r="C14" t="s">
        <v>260</v>
      </c>
    </row>
    <row r="15" spans="2:7" ht="14" x14ac:dyDescent="0.3">
      <c r="B15" s="4" t="s">
        <v>261</v>
      </c>
      <c r="C15" t="s">
        <v>262</v>
      </c>
    </row>
    <row r="16" spans="2:7" ht="14" x14ac:dyDescent="0.3">
      <c r="B16" s="4" t="s">
        <v>263</v>
      </c>
      <c r="C16" t="s">
        <v>264</v>
      </c>
    </row>
    <row r="17" spans="2:3" ht="14" x14ac:dyDescent="0.3">
      <c r="B17" s="4" t="s">
        <v>265</v>
      </c>
      <c r="C17" t="s">
        <v>262</v>
      </c>
    </row>
    <row r="18" spans="2:3" ht="14" x14ac:dyDescent="0.3">
      <c r="B18" s="4" t="s">
        <v>266</v>
      </c>
      <c r="C18" t="s">
        <v>267</v>
      </c>
    </row>
    <row r="19" spans="2:3" ht="14" x14ac:dyDescent="0.3">
      <c r="B19" s="4" t="s">
        <v>268</v>
      </c>
      <c r="C19" t="s">
        <v>269</v>
      </c>
    </row>
    <row r="20" spans="2:3" ht="14" x14ac:dyDescent="0.3">
      <c r="B20" s="4" t="s">
        <v>270</v>
      </c>
      <c r="C20" t="s">
        <v>271</v>
      </c>
    </row>
    <row r="21" spans="2:3" ht="14" x14ac:dyDescent="0.3">
      <c r="B21" s="4" t="s">
        <v>272</v>
      </c>
      <c r="C21" t="s">
        <v>273</v>
      </c>
    </row>
    <row r="22" spans="2:3" ht="14" x14ac:dyDescent="0.3">
      <c r="B22" s="4" t="s">
        <v>274</v>
      </c>
      <c r="C22" t="s">
        <v>275</v>
      </c>
    </row>
    <row r="23" spans="2:3" ht="14" x14ac:dyDescent="0.3">
      <c r="B23" s="4" t="s">
        <v>276</v>
      </c>
      <c r="C23" t="s">
        <v>4</v>
      </c>
    </row>
    <row r="24" spans="2:3" ht="14" x14ac:dyDescent="0.3">
      <c r="B24" s="4" t="s">
        <v>277</v>
      </c>
      <c r="C24" t="s">
        <v>246</v>
      </c>
    </row>
    <row r="25" spans="2:3" ht="14" x14ac:dyDescent="0.3">
      <c r="B25" s="4" t="s">
        <v>278</v>
      </c>
      <c r="C25" t="s">
        <v>279</v>
      </c>
    </row>
    <row r="26" spans="2:3" ht="14" x14ac:dyDescent="0.3">
      <c r="B26" s="4" t="s">
        <v>280</v>
      </c>
      <c r="C26" t="s">
        <v>267</v>
      </c>
    </row>
    <row r="27" spans="2:3" ht="14" x14ac:dyDescent="0.3">
      <c r="B27" s="4" t="s">
        <v>281</v>
      </c>
      <c r="C27" t="s">
        <v>267</v>
      </c>
    </row>
    <row r="28" spans="2:3" ht="14" x14ac:dyDescent="0.3">
      <c r="B28" s="4" t="s">
        <v>282</v>
      </c>
      <c r="C28" t="s">
        <v>283</v>
      </c>
    </row>
    <row r="29" spans="2:3" ht="14" x14ac:dyDescent="0.3">
      <c r="B29" s="4" t="s">
        <v>284</v>
      </c>
      <c r="C29" t="s">
        <v>285</v>
      </c>
    </row>
    <row r="30" spans="2:3" ht="14" x14ac:dyDescent="0.3">
      <c r="B30" s="4" t="s">
        <v>286</v>
      </c>
      <c r="C30" t="s">
        <v>287</v>
      </c>
    </row>
    <row r="31" spans="2:3" ht="14" x14ac:dyDescent="0.3">
      <c r="B31" s="4" t="s">
        <v>288</v>
      </c>
      <c r="C31" t="s">
        <v>283</v>
      </c>
    </row>
    <row r="32" spans="2:3" ht="14" x14ac:dyDescent="0.3">
      <c r="B32" s="4" t="s">
        <v>289</v>
      </c>
      <c r="C32" t="s">
        <v>267</v>
      </c>
    </row>
    <row r="33" spans="2:3" ht="14" x14ac:dyDescent="0.3">
      <c r="B33" s="4" t="s">
        <v>290</v>
      </c>
      <c r="C33" t="s">
        <v>279</v>
      </c>
    </row>
    <row r="34" spans="2:3" ht="14" x14ac:dyDescent="0.3">
      <c r="B34" s="4" t="s">
        <v>291</v>
      </c>
      <c r="C34" t="s">
        <v>292</v>
      </c>
    </row>
    <row r="35" spans="2:3" ht="14" x14ac:dyDescent="0.3">
      <c r="B35" s="4" t="s">
        <v>293</v>
      </c>
      <c r="C35" t="s">
        <v>294</v>
      </c>
    </row>
    <row r="36" spans="2:3" ht="14" x14ac:dyDescent="0.3">
      <c r="B36" s="4" t="s">
        <v>295</v>
      </c>
      <c r="C36" t="s">
        <v>296</v>
      </c>
    </row>
    <row r="37" spans="2:3" ht="14" x14ac:dyDescent="0.3">
      <c r="B37" s="4" t="s">
        <v>297</v>
      </c>
      <c r="C37" t="s">
        <v>298</v>
      </c>
    </row>
    <row r="38" spans="2:3" ht="14" x14ac:dyDescent="0.3">
      <c r="B38" s="4" t="s">
        <v>299</v>
      </c>
      <c r="C38" t="s">
        <v>300</v>
      </c>
    </row>
    <row r="39" spans="2:3" ht="14" x14ac:dyDescent="0.3">
      <c r="B39" s="4" t="s">
        <v>301</v>
      </c>
      <c r="C39" t="s">
        <v>302</v>
      </c>
    </row>
    <row r="40" spans="2:3" ht="14" x14ac:dyDescent="0.3">
      <c r="B40" s="4" t="s">
        <v>303</v>
      </c>
      <c r="C40" t="s">
        <v>271</v>
      </c>
    </row>
    <row r="41" spans="2:3" ht="14" x14ac:dyDescent="0.3">
      <c r="B41" s="4" t="s">
        <v>304</v>
      </c>
      <c r="C41" t="s">
        <v>305</v>
      </c>
    </row>
    <row r="42" spans="2:3" ht="14" x14ac:dyDescent="0.3">
      <c r="B42" s="4" t="s">
        <v>306</v>
      </c>
      <c r="C42" t="s">
        <v>307</v>
      </c>
    </row>
    <row r="43" spans="2:3" ht="14" x14ac:dyDescent="0.3">
      <c r="B43" s="4" t="s">
        <v>308</v>
      </c>
      <c r="C43" t="s">
        <v>309</v>
      </c>
    </row>
    <row r="44" spans="2:3" ht="14" x14ac:dyDescent="0.3">
      <c r="B44" s="4" t="s">
        <v>310</v>
      </c>
      <c r="C44" t="s">
        <v>311</v>
      </c>
    </row>
    <row r="45" spans="2:3" ht="14" x14ac:dyDescent="0.3">
      <c r="B45" s="4" t="s">
        <v>312</v>
      </c>
      <c r="C45" t="s">
        <v>313</v>
      </c>
    </row>
    <row r="46" spans="2:3" ht="14" x14ac:dyDescent="0.3">
      <c r="B46" s="4" t="s">
        <v>314</v>
      </c>
      <c r="C46" t="s">
        <v>315</v>
      </c>
    </row>
    <row r="47" spans="2:3" ht="14" x14ac:dyDescent="0.3">
      <c r="B47" s="4" t="s">
        <v>316</v>
      </c>
      <c r="C47" t="s">
        <v>317</v>
      </c>
    </row>
    <row r="48" spans="2:3" ht="14" x14ac:dyDescent="0.3">
      <c r="B48" s="4" t="s">
        <v>318</v>
      </c>
      <c r="C48" t="s">
        <v>319</v>
      </c>
    </row>
    <row r="49" spans="2:3" ht="14" x14ac:dyDescent="0.3">
      <c r="B49" s="4" t="s">
        <v>320</v>
      </c>
      <c r="C49" t="s">
        <v>279</v>
      </c>
    </row>
    <row r="50" spans="2:3" ht="14" x14ac:dyDescent="0.3">
      <c r="B50" s="4" t="s">
        <v>321</v>
      </c>
      <c r="C50" t="s">
        <v>322</v>
      </c>
    </row>
    <row r="51" spans="2:3" ht="14" x14ac:dyDescent="0.3">
      <c r="B51" s="4" t="s">
        <v>323</v>
      </c>
      <c r="C51" t="s">
        <v>324</v>
      </c>
    </row>
    <row r="52" spans="2:3" ht="14" x14ac:dyDescent="0.3">
      <c r="B52" s="4" t="s">
        <v>325</v>
      </c>
      <c r="C52" t="s">
        <v>326</v>
      </c>
    </row>
    <row r="53" spans="2:3" ht="14" x14ac:dyDescent="0.3">
      <c r="B53" s="4" t="s">
        <v>327</v>
      </c>
      <c r="C53" t="s">
        <v>328</v>
      </c>
    </row>
    <row r="54" spans="2:3" ht="14" x14ac:dyDescent="0.3">
      <c r="B54" s="4" t="s">
        <v>329</v>
      </c>
      <c r="C54" t="s">
        <v>330</v>
      </c>
    </row>
    <row r="55" spans="2:3" ht="14" x14ac:dyDescent="0.3">
      <c r="B55" s="4" t="s">
        <v>331</v>
      </c>
      <c r="C55" t="s">
        <v>332</v>
      </c>
    </row>
    <row r="56" spans="2:3" ht="14" x14ac:dyDescent="0.3">
      <c r="B56" s="4" t="s">
        <v>333</v>
      </c>
      <c r="C56" t="s">
        <v>334</v>
      </c>
    </row>
    <row r="57" spans="2:3" ht="14" x14ac:dyDescent="0.3">
      <c r="B57" s="4" t="s">
        <v>335</v>
      </c>
      <c r="C57" t="s">
        <v>336</v>
      </c>
    </row>
    <row r="58" spans="2:3" ht="14" x14ac:dyDescent="0.3">
      <c r="B58" s="4" t="s">
        <v>337</v>
      </c>
      <c r="C58" t="s">
        <v>338</v>
      </c>
    </row>
    <row r="59" spans="2:3" ht="14" x14ac:dyDescent="0.3">
      <c r="B59" s="4" t="s">
        <v>339</v>
      </c>
      <c r="C59" t="s">
        <v>340</v>
      </c>
    </row>
    <row r="60" spans="2:3" ht="14" x14ac:dyDescent="0.3">
      <c r="B60" s="4" t="s">
        <v>341</v>
      </c>
      <c r="C60"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2026-09-06T10:19:29Z</dcterms:created>
  <dcterms:modified xsi:type="dcterms:W3CDTF">2026-09-06T10:19:32Z</dcterms:modified>
</cp:coreProperties>
</file>