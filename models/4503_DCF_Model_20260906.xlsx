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54BF527-8425-4F5A-9ACE-9C3A3AEA99F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K9" i="6"/>
  <c r="J9" i="6"/>
  <c r="O8" i="6"/>
  <c r="N8" i="6"/>
  <c r="M8" i="6"/>
  <c r="L8" i="6"/>
  <c r="K8" i="6"/>
  <c r="J8" i="6"/>
  <c r="O7" i="6"/>
  <c r="N7" i="6"/>
  <c r="M7" i="6"/>
  <c r="L7" i="6"/>
  <c r="K7" i="6"/>
  <c r="J7" i="6"/>
  <c r="O6" i="6"/>
  <c r="I17" i="6" s="1"/>
  <c r="N6" i="6"/>
  <c r="H15" i="6" s="1"/>
  <c r="M6" i="6"/>
  <c r="L6" i="6"/>
  <c r="F16" i="6" s="1"/>
  <c r="C28" i="6" s="1"/>
  <c r="C19" i="1" s="1"/>
  <c r="D19" i="1" s="1"/>
  <c r="K6" i="6"/>
  <c r="J6" i="6"/>
  <c r="D15" i="6" s="1"/>
  <c r="O5" i="6"/>
  <c r="N5" i="6"/>
  <c r="D5" i="6"/>
  <c r="E5" i="6" s="1"/>
  <c r="C16" i="5"/>
  <c r="C14" i="5"/>
  <c r="C7" i="5"/>
  <c r="C6" i="5"/>
  <c r="C5" i="5"/>
  <c r="C13" i="4"/>
  <c r="C12" i="4"/>
  <c r="C9" i="4"/>
  <c r="C7" i="4"/>
  <c r="C6" i="4"/>
  <c r="D27" i="3"/>
  <c r="C25" i="3"/>
  <c r="C24" i="3"/>
  <c r="C26" i="3" s="1"/>
  <c r="D36" i="4" s="1"/>
  <c r="D46" i="4" s="1"/>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D9" i="2"/>
  <c r="F8" i="2"/>
  <c r="F9" i="2" s="1"/>
  <c r="E8" i="2"/>
  <c r="E9" i="2" s="1"/>
  <c r="D8" i="2"/>
  <c r="C8" i="2"/>
  <c r="C9" i="2" s="1"/>
  <c r="M5" i="6" l="1"/>
  <c r="B25" i="1"/>
  <c r="D46" i="3"/>
  <c r="D17" i="6"/>
  <c r="D16" i="6"/>
  <c r="C74" i="4" s="1"/>
  <c r="F15" i="6"/>
  <c r="I16" i="6"/>
  <c r="C18" i="5"/>
  <c r="D7" i="5"/>
  <c r="H5" i="5"/>
  <c r="F32" i="3"/>
  <c r="C31" i="3"/>
  <c r="E32" i="3"/>
  <c r="G30" i="3"/>
  <c r="H6" i="5"/>
  <c r="F5" i="5"/>
  <c r="D32" i="3"/>
  <c r="F30" i="3"/>
  <c r="G6" i="5"/>
  <c r="E5" i="5"/>
  <c r="G7" i="5"/>
  <c r="E6" i="5"/>
  <c r="F31" i="3"/>
  <c r="C30" i="3"/>
  <c r="C33" i="3" s="1"/>
  <c r="F7" i="5"/>
  <c r="D6" i="5"/>
  <c r="E7" i="5"/>
  <c r="G32" i="3"/>
  <c r="D31" i="3"/>
  <c r="G5" i="5"/>
  <c r="C32" i="3"/>
  <c r="E30" i="3"/>
  <c r="D30" i="3"/>
  <c r="E15" i="6"/>
  <c r="E16" i="6"/>
  <c r="G15" i="6"/>
  <c r="G16" i="6"/>
  <c r="E31" i="3"/>
  <c r="D41" i="4"/>
  <c r="D39" i="4"/>
  <c r="D43" i="4"/>
  <c r="D40" i="4"/>
  <c r="D44" i="4"/>
  <c r="D38" i="4"/>
  <c r="D45" i="4"/>
  <c r="E17" i="6"/>
  <c r="F6" i="5"/>
  <c r="G17" i="6"/>
  <c r="G31" i="3"/>
  <c r="D5" i="5"/>
  <c r="C8" i="4"/>
  <c r="C10" i="4" s="1"/>
  <c r="C3" i="7"/>
  <c r="H36" i="4"/>
  <c r="G36" i="4"/>
  <c r="C11" i="4"/>
  <c r="F36" i="4"/>
  <c r="F46" i="3"/>
  <c r="E36" i="4"/>
  <c r="C46" i="3"/>
  <c r="G46" i="3"/>
  <c r="E46" i="3"/>
  <c r="H7" i="5"/>
  <c r="K5" i="6"/>
  <c r="J5" i="6"/>
  <c r="L5" i="6"/>
  <c r="I15" i="6"/>
  <c r="I6" i="7"/>
  <c r="F17" i="6"/>
  <c r="C17" i="7"/>
  <c r="C6" i="7"/>
  <c r="D17" i="7"/>
  <c r="H17" i="6"/>
  <c r="D6" i="7"/>
  <c r="E17" i="7"/>
  <c r="E6" i="7"/>
  <c r="F17" i="7"/>
  <c r="H16" i="6"/>
  <c r="C27" i="6"/>
  <c r="C18" i="1" s="1"/>
  <c r="D18" i="1" s="1"/>
  <c r="F6" i="7"/>
  <c r="G17" i="7"/>
  <c r="G6" i="7"/>
  <c r="H17" i="7"/>
  <c r="C42" i="3" l="1"/>
  <c r="C37" i="3"/>
  <c r="D9" i="5"/>
  <c r="D12" i="5" s="1"/>
  <c r="D33" i="3"/>
  <c r="C34" i="3"/>
  <c r="D10" i="5" s="1"/>
  <c r="C43" i="3"/>
  <c r="G43" i="4"/>
  <c r="G46" i="4"/>
  <c r="G40" i="4"/>
  <c r="G44" i="4"/>
  <c r="G41" i="4"/>
  <c r="G45" i="4"/>
  <c r="G39" i="4"/>
  <c r="G49" i="4" s="1"/>
  <c r="G54" i="4" s="1"/>
  <c r="G38" i="4"/>
  <c r="H46" i="4"/>
  <c r="H44" i="4"/>
  <c r="H38" i="4"/>
  <c r="H45" i="4"/>
  <c r="H43" i="4"/>
  <c r="H40" i="4"/>
  <c r="H50" i="4" s="1"/>
  <c r="H55" i="4" s="1"/>
  <c r="H39" i="4"/>
  <c r="H49" i="4" s="1"/>
  <c r="H54" i="4" s="1"/>
  <c r="H41" i="4"/>
  <c r="F39" i="4"/>
  <c r="F49" i="4" s="1"/>
  <c r="F43" i="4"/>
  <c r="F46" i="4"/>
  <c r="F40" i="4"/>
  <c r="F38" i="4"/>
  <c r="F41" i="4"/>
  <c r="F45" i="4"/>
  <c r="F44" i="4"/>
  <c r="B13" i="7"/>
  <c r="B12" i="7"/>
  <c r="B11" i="7"/>
  <c r="B10" i="7"/>
  <c r="B9" i="7"/>
  <c r="B8" i="7"/>
  <c r="B7" i="7"/>
  <c r="B24" i="7"/>
  <c r="B23" i="7"/>
  <c r="B22" i="7"/>
  <c r="B21" i="7"/>
  <c r="B20" i="7"/>
  <c r="B19" i="7"/>
  <c r="B18" i="7"/>
  <c r="B29" i="1"/>
  <c r="B24" i="1"/>
  <c r="D51" i="4"/>
  <c r="D56" i="4" s="1"/>
  <c r="G50" i="4"/>
  <c r="G55" i="4" s="1"/>
  <c r="D49" i="4"/>
  <c r="D54" i="4" s="1"/>
  <c r="C24" i="4"/>
  <c r="C25" i="4" s="1"/>
  <c r="C71" i="4"/>
  <c r="H48" i="4"/>
  <c r="H53" i="4" s="1"/>
  <c r="G51" i="4"/>
  <c r="G56" i="4" s="1"/>
  <c r="D50" i="4"/>
  <c r="D55" i="4" s="1"/>
  <c r="F48" i="4"/>
  <c r="F53" i="4" s="1"/>
  <c r="F51" i="4"/>
  <c r="F56" i="4" s="1"/>
  <c r="D48" i="4"/>
  <c r="D53" i="4" s="1"/>
  <c r="C70" i="4"/>
  <c r="E45" i="4"/>
  <c r="E39" i="4"/>
  <c r="E49" i="4" s="1"/>
  <c r="E54" i="4" s="1"/>
  <c r="E43" i="4"/>
  <c r="E46" i="4"/>
  <c r="E44" i="4"/>
  <c r="E41" i="4"/>
  <c r="E40" i="4"/>
  <c r="E38" i="4"/>
  <c r="H51" i="4" l="1"/>
  <c r="H56" i="4" s="1"/>
  <c r="G48" i="4"/>
  <c r="G53" i="4" s="1"/>
  <c r="F50" i="4"/>
  <c r="F55" i="4" s="1"/>
  <c r="E48" i="4"/>
  <c r="E53" i="4" s="1"/>
  <c r="E50" i="4"/>
  <c r="E55" i="4" s="1"/>
  <c r="E51" i="4"/>
  <c r="E56" i="4" s="1"/>
  <c r="C60" i="4"/>
  <c r="F54" i="4"/>
  <c r="B78" i="4" s="1"/>
  <c r="C35" i="3"/>
  <c r="D15" i="5"/>
  <c r="D16" i="5" s="1"/>
  <c r="D13" i="5"/>
  <c r="D42" i="3"/>
  <c r="D34" i="3"/>
  <c r="E10" i="5" s="1"/>
  <c r="E9" i="5"/>
  <c r="E12" i="5" s="1"/>
  <c r="D37" i="3"/>
  <c r="D43" i="3"/>
  <c r="E33" i="3"/>
  <c r="C26" i="4"/>
  <c r="C29" i="4"/>
  <c r="C27" i="4"/>
  <c r="D14" i="5"/>
  <c r="D18" i="5" s="1"/>
  <c r="D19" i="5" s="1"/>
  <c r="C44" i="3" s="1"/>
  <c r="E15" i="5" l="1"/>
  <c r="E16" i="5" s="1"/>
  <c r="E13" i="5"/>
  <c r="E14" i="5" s="1"/>
  <c r="E18" i="5" s="1"/>
  <c r="E19" i="5" s="1"/>
  <c r="D44" i="3" s="1"/>
  <c r="C66" i="4"/>
  <c r="D66" i="4" s="1"/>
  <c r="C65" i="4"/>
  <c r="D65" i="4" s="1"/>
  <c r="C67" i="4"/>
  <c r="D67" i="4" s="1"/>
  <c r="C63" i="4"/>
  <c r="D63" i="4" s="1"/>
  <c r="C64" i="4"/>
  <c r="D64" i="4" s="1"/>
  <c r="E37" i="3"/>
  <c r="F9" i="5"/>
  <c r="F12" i="5" s="1"/>
  <c r="E43" i="3"/>
  <c r="E42" i="3"/>
  <c r="E34" i="3"/>
  <c r="F10" i="5" s="1"/>
  <c r="F33" i="3"/>
  <c r="D35" i="3"/>
  <c r="C39" i="3"/>
  <c r="C38" i="3"/>
  <c r="C36" i="3"/>
  <c r="G9" i="5" l="1"/>
  <c r="G12" i="5" s="1"/>
  <c r="G33" i="3"/>
  <c r="F37" i="3"/>
  <c r="F43" i="3"/>
  <c r="F34" i="3"/>
  <c r="G10" i="5" s="1"/>
  <c r="F42" i="3"/>
  <c r="D39" i="3"/>
  <c r="D38" i="3"/>
  <c r="D36" i="3"/>
  <c r="F13" i="5"/>
  <c r="F15" i="5"/>
  <c r="F16" i="5" s="1"/>
  <c r="E35" i="3"/>
  <c r="F14" i="5"/>
  <c r="F18" i="5" s="1"/>
  <c r="F19" i="5" s="1"/>
  <c r="E44" i="3" s="1"/>
  <c r="C40" i="3"/>
  <c r="C41" i="3" s="1"/>
  <c r="C45" i="3" s="1"/>
  <c r="C47" i="3" l="1"/>
  <c r="G13" i="5"/>
  <c r="G14" i="5" s="1"/>
  <c r="G15" i="5"/>
  <c r="G16" i="5" s="1"/>
  <c r="E36" i="3"/>
  <c r="E38" i="3"/>
  <c r="E39" i="3"/>
  <c r="G43" i="3"/>
  <c r="G42" i="3"/>
  <c r="G34" i="3"/>
  <c r="H10" i="5" s="1"/>
  <c r="H9" i="5"/>
  <c r="H12" i="5" s="1"/>
  <c r="G37" i="3"/>
  <c r="C16" i="4"/>
  <c r="C28" i="4" s="1"/>
  <c r="F35" i="3"/>
  <c r="D40" i="3"/>
  <c r="D41" i="3" s="1"/>
  <c r="D45" i="3" s="1"/>
  <c r="G18" i="5" l="1"/>
  <c r="G19" i="5" s="1"/>
  <c r="F44" i="3" s="1"/>
  <c r="D47" i="3"/>
  <c r="F38" i="3"/>
  <c r="F39" i="3"/>
  <c r="F36" i="3"/>
  <c r="C72" i="4"/>
  <c r="C73" i="4"/>
  <c r="G35" i="3"/>
  <c r="E40" i="3"/>
  <c r="E41" i="3" s="1"/>
  <c r="E45" i="3" s="1"/>
  <c r="H13" i="5"/>
  <c r="H14" i="5" s="1"/>
  <c r="H15" i="5"/>
  <c r="H16" i="5" s="1"/>
  <c r="H18" i="5" l="1"/>
  <c r="H19" i="5" s="1"/>
  <c r="G44" i="3" s="1"/>
  <c r="E47" i="3"/>
  <c r="F40" i="3"/>
  <c r="F41" i="3" s="1"/>
  <c r="F45" i="3" s="1"/>
  <c r="G38" i="3"/>
  <c r="G36" i="3"/>
  <c r="G39" i="3"/>
  <c r="F47" i="3" l="1"/>
  <c r="G40" i="3"/>
  <c r="G41" i="3" s="1"/>
  <c r="G45" i="3" s="1"/>
  <c r="C59" i="3"/>
  <c r="C60" i="3" s="1"/>
  <c r="C61" i="3" s="1"/>
  <c r="C51" i="3" l="1"/>
  <c r="C52" i="3" s="1"/>
  <c r="G47" i="3"/>
  <c r="C50" i="3" s="1"/>
  <c r="C8" i="7"/>
  <c r="E21" i="7"/>
  <c r="I23" i="7"/>
  <c r="H21" i="7"/>
  <c r="G22" i="7"/>
  <c r="F10" i="7"/>
  <c r="H7" i="7"/>
  <c r="E12" i="7"/>
  <c r="F11" i="7"/>
  <c r="G18" i="7"/>
  <c r="H9" i="7"/>
  <c r="H19" i="7"/>
  <c r="E13" i="7"/>
  <c r="C23" i="7"/>
  <c r="C24" i="7"/>
  <c r="I13" i="7"/>
  <c r="I10" i="7"/>
  <c r="C9" i="7"/>
  <c r="C12" i="7"/>
  <c r="I9" i="7"/>
  <c r="G13" i="7"/>
  <c r="I7" i="7"/>
  <c r="E18" i="7"/>
  <c r="F19" i="7"/>
  <c r="F7" i="7"/>
  <c r="D20" i="7"/>
  <c r="H22" i="7"/>
  <c r="C7" i="7"/>
  <c r="H12" i="7"/>
  <c r="D10" i="7"/>
  <c r="C22" i="7"/>
  <c r="G8" i="7"/>
  <c r="G23" i="7"/>
  <c r="E22" i="7"/>
  <c r="H10" i="7"/>
  <c r="E19" i="7"/>
  <c r="D13" i="7"/>
  <c r="F9" i="7"/>
  <c r="F12" i="7"/>
  <c r="D18" i="7"/>
  <c r="F18" i="7"/>
  <c r="C10" i="7"/>
  <c r="F20" i="7"/>
  <c r="D8" i="7"/>
  <c r="I18" i="7"/>
  <c r="H8" i="7"/>
  <c r="I22" i="7"/>
  <c r="I24" i="7"/>
  <c r="C20" i="7"/>
  <c r="D23" i="7"/>
  <c r="E10" i="7"/>
  <c r="E8" i="7"/>
  <c r="D9" i="7"/>
  <c r="F23" i="7"/>
  <c r="F8" i="7"/>
  <c r="H20" i="7"/>
  <c r="C21" i="7"/>
  <c r="G10" i="7"/>
  <c r="E20" i="7"/>
  <c r="I21" i="7"/>
  <c r="I20" i="7"/>
  <c r="C19" i="7"/>
  <c r="G7" i="7"/>
  <c r="F24" i="7"/>
  <c r="D7" i="7"/>
  <c r="E23" i="7"/>
  <c r="C13" i="7"/>
  <c r="C18" i="7"/>
  <c r="D24" i="7"/>
  <c r="I12" i="7"/>
  <c r="D11" i="7"/>
  <c r="E24" i="7"/>
  <c r="G12" i="7"/>
  <c r="E7" i="7"/>
  <c r="H13" i="7"/>
  <c r="F22" i="7"/>
  <c r="D22" i="7"/>
  <c r="H24" i="7"/>
  <c r="G24" i="7"/>
  <c r="D12" i="7"/>
  <c r="I8" i="7"/>
  <c r="G19" i="7"/>
  <c r="F21" i="7"/>
  <c r="H23" i="7"/>
  <c r="C11" i="7"/>
  <c r="G21" i="7"/>
  <c r="G11" i="7"/>
  <c r="G20" i="7"/>
  <c r="H11" i="7"/>
  <c r="I19" i="7"/>
  <c r="I11" i="7"/>
  <c r="G9" i="7"/>
  <c r="E11" i="7"/>
  <c r="D21" i="7"/>
  <c r="H18" i="7"/>
  <c r="D19" i="7"/>
  <c r="E9" i="7"/>
  <c r="F13" i="7"/>
  <c r="C53" i="3" l="1"/>
  <c r="C58" i="3"/>
  <c r="C62" i="3" s="1"/>
  <c r="C63" i="3" l="1"/>
  <c r="C64" i="3" s="1"/>
  <c r="C17" i="1"/>
  <c r="D17" i="1" s="1"/>
  <c r="C17" i="4"/>
  <c r="C54" i="3"/>
  <c r="C55" i="3" s="1"/>
  <c r="C16" i="1"/>
  <c r="C10" i="1" l="1"/>
  <c r="D16" i="1"/>
  <c r="C21" i="1"/>
  <c r="C19" i="4"/>
  <c r="C20" i="4" s="1"/>
  <c r="B79" i="4" s="1"/>
  <c r="B31" i="1" l="1"/>
  <c r="C12" i="1"/>
  <c r="C11" i="1" s="1"/>
  <c r="B26" i="1"/>
</calcChain>
</file>

<file path=xl/sharedStrings.xml><?xml version="1.0" encoding="utf-8"?>
<sst xmlns="http://schemas.openxmlformats.org/spreadsheetml/2006/main" count="439" uniqueCount="355">
  <si>
    <t>DISCLAIMER: This is a sample analysis for demonstration purposes only. It does not constitute investment advice.</t>
  </si>
  <si>
    <t>アステラス製薬 (4503.T)</t>
  </si>
  <si>
    <t>Equity Research Report</t>
  </si>
  <si>
    <t>Company</t>
  </si>
  <si>
    <t>アステラス製薬</t>
  </si>
  <si>
    <t>Ticker</t>
  </si>
  <si>
    <t>4503.T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</si>
  <si>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</si>
  <si>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</si>
  <si>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</si>
  <si>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</si>
  <si>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</si>
  <si>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</si>
  <si>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</si>
  <si>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</si>
  <si>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</si>
  <si>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</si>
  <si>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</si>
  <si>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</si>
  <si>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</si>
  <si>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</si>
  <si>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</si>
  <si>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</si>
  <si>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</si>
  <si>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</si>
  <si>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is concentrated in a small number of oncology products whose exclusivity periods are finite, and the terminal growth assumed in this model does not price a cliff.</t>
  </si>
  <si>
    <t>アステラス製薬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</si>
  <si>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</si>
  <si>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</si>
  <si>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</si>
  <si>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</si>
  <si>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</si>
  <si>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</si>
  <si>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</si>
  <si>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</si>
  <si>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</si>
  <si>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</si>
  <si>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</si>
  <si>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</si>
  <si>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</si>
  <si>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</si>
  <si>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</si>
  <si>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</si>
  <si>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</si>
  <si>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</si>
  <si>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</si>
  <si>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</si>
  <si>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</si>
  <si>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</si>
  <si>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</si>
  <si>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</si>
  <si>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</si>
  <si>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</si>
  <si>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</si>
  <si>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</si>
  <si>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アステラス製薬</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</si>
  <si>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</si>
  <si>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</si>
  <si>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</si>
  <si>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</si>
  <si>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</si>
  <si>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</si>
  <si>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</si>
  <si>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</si>
  <si>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</si>
  <si>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</si>
  <si>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</si>
  <si>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</si>
  <si>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</si>
  <si>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</si>
  <si>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</si>
  <si>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</si>
  <si>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</si>
  <si>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</si>
  <si>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</si>
  <si>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</si>
  <si>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</si>
  <si>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</si>
  <si>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</si>
  <si>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</si>
  <si>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</si>
  <si>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</si>
  <si>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</si>
  <si>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</si>
  <si>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</si>
  <si>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</si>
  <si>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</si>
  <si>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</si>
  <si>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</si>
  <si>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</si>
  <si>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</si>
  <si>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</si>
  <si>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</si>
  <si>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</si>
  <si>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</si>
  <si>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</si>
  <si>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</si>
  <si>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</si>
  <si>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</si>
  <si>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</si>
  <si>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</si>
  <si>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</si>
  <si>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</si>
  <si>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</si>
  <si>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</si>
  <si>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</si>
  <si>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</si>
  <si>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</si>
  <si>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</si>
  <si>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</si>
  <si>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</si>
  <si>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</si>
  <si>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</si>
  <si>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</si>
  <si>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</si>
  <si>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</si>
  <si>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</si>
  <si>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</si>
  <si>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</si>
  <si>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アステラス製薬 (4503.T)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</si>
  <si>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</si>
  <si>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</si>
  <si>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</si>
  <si>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</si>
  <si>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</si>
  <si>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</si>
  <si>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</si>
  <si>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</si>
  <si>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</si>
  <si>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</si>
  <si>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</si>
  <si>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</si>
  <si>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</si>
  <si>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</si>
  <si>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</si>
  <si>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</si>
  <si>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</si>
  <si>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</si>
  <si>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</si>
  <si>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</si>
  <si>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</si>
  <si>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</si>
  <si>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</si>
  <si>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</si>
  <si>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</si>
  <si>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</si>
  <si>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</si>
  <si>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</si>
  <si>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</si>
  <si>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</si>
  <si>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</si>
  <si>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</si>
  <si>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</si>
  <si>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</si>
  <si>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</si>
  <si>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</si>
  <si>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</si>
  <si>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</si>
  <si>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</si>
  <si>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</si>
  <si>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</si>
  <si>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</si>
  <si>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</si>
  <si>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</si>
  <si>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</si>
  <si>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</si>
  <si>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</si>
  <si>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</si>
  <si>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</si>
  <si>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</si>
  <si>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</si>
  <si>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アステラス製薬</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</si>
  <si>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</si>
  <si>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</si>
  <si>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</si>
  <si>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</si>
  <si>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</si>
  <si>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</si>
  <si>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</si>
  <si>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</si>
  <si>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</si>
  <si>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</si>
  <si>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</si>
  <si>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</si>
  <si>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</si>
  <si>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</si>
  <si>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</si>
  <si>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</si>
  <si>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</si>
  <si>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</si>
  <si>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</si>
  <si>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</si>
  <si>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</si>
  <si>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</si>
  <si>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</si>
  <si>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</si>
  <si>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</si>
  <si>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</si>
  <si>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</si>
  <si>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</si>
  <si>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</si>
  <si>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</si>
  <si>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</si>
  <si>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</si>
  <si>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</si>
  <si>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</si>
  <si>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Astellas Pharma Inc.</t>
  </si>
  <si>
    <t>4503.T</t>
  </si>
  <si>
    <t>Daiichi Sankyo Company, Limited</t>
  </si>
  <si>
    <t>4568.T</t>
  </si>
  <si>
    <t>Otsuka Holdings Co., Ltd.</t>
  </si>
  <si>
    <t>4578.T</t>
  </si>
  <si>
    <t>Shionogi &amp; Co., Ltd.</t>
  </si>
  <si>
    <t>4507.T</t>
  </si>
  <si>
    <t>Takeda Pharmaceutical Company Limited</t>
  </si>
  <si>
    <t>4502.T</t>
  </si>
  <si>
    <t>N/A</t>
  </si>
  <si>
    <t>Statistics</t>
  </si>
  <si>
    <t>25th Percentile</t>
  </si>
  <si>
    <t>Median (50th)</t>
  </si>
  <si>
    <t>75th Percentile</t>
  </si>
  <si>
    <t>Implied Valuation for アステラス製薬</t>
  </si>
  <si>
    <t>アステラス製薬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</si>
  <si>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</si>
  <si>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</si>
  <si>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</si>
  <si>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</si>
  <si>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</si>
  <si>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</si>
  <si>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</si>
  <si>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</si>
  <si>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</si>
  <si>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</si>
  <si>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</si>
  <si>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</si>
  <si>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</si>
  <si>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</si>
  <si>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</si>
  <si>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アステラス製薬</t>
  </si>
  <si>
    <t>日付</t>
  </si>
  <si>
    <t>セル</t>
  </si>
  <si>
    <t>変更内容</t>
  </si>
  <si>
    <t>理由</t>
  </si>
  <si>
    <t>元の値</t>
  </si>
  <si>
    <t>状態</t>
  </si>
  <si>
    <t>2026-09-06</t>
  </si>
  <si>
    <t>-</t>
  </si>
  <si>
    <t>Generated by pipeline on 2026-09-06 18:59, template rev 63983ab</t>
  </si>
  <si>
    <t>初期生成（手修正なし）</t>
  </si>
  <si>
    <t>generated</t>
  </si>
  <si>
    <t>DCF Model!C11</t>
  </si>
  <si>
    <t>After-tax Cost of Debt = 1.51% (実績ベース)</t>
  </si>
  <si>
    <t>実績Kd = 支払利息14,072 ÷ 平均有利子負債698,689(期首831,426/期末565,952、debt_beginning/debt_ending) = 税引前2.01% × (1−25.0%) = 1.51%。【マージナルコスト注記】これは既存借入の実績平均コストであり、新規調達の限界コストではない。テンプレ既定(税引前2.8%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</si>
  <si>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</si>
  <si>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</si>
  <si>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</si>
  <si>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0.815（採用値）</t>
  </si>
  <si>
    <t>実測β(raw) = 0.723 → Blume調整 0.67×raw + 0.33×1.00 = 0.815 → 採用 0.815。クランプ域 [0.3, 2.0] の内側。置換なし。回帰βは平均回帰するため Blume 調整を既定とする（2026-09-05 バッチで85件中57件が旧下限 0.60 に張り付き、両裾の歪みが実証された）。</t>
  </si>
  <si>
    <t>実測 0.723</t>
  </si>
  <si>
    <t>確定</t>
  </si>
  <si>
    <t>Pipeline Metadata (do not edit — read by scripts/validate_output.py)</t>
  </si>
  <si>
    <t>key</t>
  </si>
  <si>
    <t>value</t>
  </si>
  <si>
    <t>auto_log_entries</t>
  </si>
  <si>
    <t>2</t>
  </si>
  <si>
    <t>beta_adopted_c8</t>
  </si>
  <si>
    <t>0.8147</t>
  </si>
  <si>
    <t>beta_basis</t>
  </si>
  <si>
    <t>Blume: 0.67 x 0.723 + 0.33 x 1.00 = 0.815</t>
  </si>
  <si>
    <t>beta_blume_adjusted</t>
  </si>
  <si>
    <t>beta_clamped</t>
  </si>
  <si>
    <t>no</t>
  </si>
  <si>
    <t>beta_raw</t>
  </si>
  <si>
    <t>0.7234</t>
  </si>
  <si>
    <t>capex_pct_basis</t>
  </si>
  <si>
    <t>explicit_override</t>
  </si>
  <si>
    <t>capex_pct_c5</t>
  </si>
  <si>
    <t>0.0956</t>
  </si>
  <si>
    <t>capex_pct_hist3yr</t>
  </si>
  <si>
    <t>0.04033</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</si>
  <si>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</si>
  <si>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</si>
  <si>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</si>
  <si>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</si>
  <si>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</si>
  <si>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</si>
  <si>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</si>
  <si>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</si>
  <si>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</si>
  <si>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</si>
  <si>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</si>
  <si>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</si>
  <si>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</si>
  <si>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</si>
  <si>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</si>
  <si>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</si>
  <si>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</si>
  <si>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</si>
  <si>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</si>
  <si>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</si>
  <si>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574653</t>
  </si>
  <si>
    <t>core_net_income</t>
  </si>
  <si>
    <t>291535.0</t>
  </si>
  <si>
    <t>cost_of_debt_actual</t>
  </si>
  <si>
    <t>interest 14,072 (expense 14,072 + fees 0) / avg debt 698,689 (debt_beginning/debt_ending) = 0.020141 pre-tax -&gt; 0.015100 after-tax</t>
  </si>
  <si>
    <t>cost_of_debt_at_c11</t>
  </si>
  <si>
    <t>0.0151</t>
  </si>
  <si>
    <t>cost_of_debt_avg_debt</t>
  </si>
  <si>
    <t>698689.0</t>
  </si>
  <si>
    <t>cost_of_debt_basis</t>
  </si>
  <si>
    <t>actual</t>
  </si>
  <si>
    <t>cost_of_debt_interest</t>
  </si>
  <si>
    <t>14072.0</t>
  </si>
  <si>
    <t>cost_of_debt_pretax</t>
  </si>
  <si>
    <t>0.020140577567415545</t>
  </si>
  <si>
    <t>da_pct_basis</t>
  </si>
  <si>
    <t>da_pct_c18</t>
  </si>
  <si>
    <t>0.091</t>
  </si>
  <si>
    <t>da_pct_hist3yr</t>
  </si>
  <si>
    <t>0.09784</t>
  </si>
  <si>
    <t>fs_year_coverage</t>
  </si>
  <si>
    <t>OCF 4/4, Cash 4/4, Debt 4/4</t>
  </si>
  <si>
    <t>fs_year_map</t>
  </si>
  <si>
    <t>FY2023&lt;-FY2023[ocf+cash+debt]; FY2024&lt;-FY2024[ocf+cash+debt]; FY2025&lt;-FY2025[ocf+cash+debt]; FY2026&lt;-FY2026[ocf+cash+debt]</t>
  </si>
  <si>
    <t>fs_year_sources</t>
  </si>
  <si>
    <t>overrides: hist_capex, hist_depreciation | EDINET year-key match: hist_ocf, hist_cash, hist_debt</t>
  </si>
  <si>
    <t>fx_sensitivity</t>
  </si>
  <si>
    <t>not enabled</t>
  </si>
  <si>
    <t>generated_at</t>
  </si>
  <si>
    <t>2026-09-06 18:59:53</t>
  </si>
  <si>
    <t>guidance_note</t>
  </si>
  <si>
    <t>TDnet 決算短信 via screener guidance table: FY2027 disclosed 2026-08-05 (net_income=300,000mn, operating_income=395,000mn, revenue=2,220,000mn)</t>
  </si>
  <si>
    <t>guidance_source</t>
  </si>
  <si>
    <t>tdnet_screener_db</t>
  </si>
  <si>
    <t>latest_operating_income</t>
  </si>
  <si>
    <t>380059</t>
  </si>
  <si>
    <t>ltm_revenue_c20</t>
  </si>
  <si>
    <t>2139245.0</t>
  </si>
  <si>
    <t>ltm_revenue_source</t>
  </si>
  <si>
    <t>latest FY (no LTM)</t>
  </si>
  <si>
    <t>market_data_source</t>
  </si>
  <si>
    <t>yfinance; from overrides: beta</t>
  </si>
  <si>
    <t>narrative_tokens_used</t>
  </si>
  <si>
    <t>pb,per,price,target_price,upside_pct,wacc</t>
  </si>
  <si>
    <t>net_debt_source</t>
  </si>
  <si>
    <t>EDINET net_debt</t>
  </si>
  <si>
    <t>reverse_dcf_sheet</t>
  </si>
  <si>
    <t>op0=380,059(FY2026) peak=380,059(FY2026) peak_opm=0.1777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</si>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</sst>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2355.5</v>
      </c>
    </row>
    <row r="10" spans="2:5" ht="14" x14ac:dyDescent="0.3">
      <c r="B10" s="4" t="s">
        <v>10</v>
      </c>
      <c r="C10" s="5">
        <f>IF(COUNT(C16:C17)=0,"N/A",ROUND(AVERAGE(C16:C17),0))</f>
        <v>2322</v>
      </c>
    </row>
    <row r="11" spans="2:5" ht="14" x14ac:dyDescent="0.3">
      <c r="B11" s="4" t="s">
        <v>11</v>
      </c>
      <c r="C11" s="6" t="str">
        <f>IF(NOT(ISNUMBER(C12)),"N/A",IF(C12&gt;0.15,"BUY",IF(C12&gt;0.05,"HOLD","SELL")))</f>
        <v>SELL</v>
      </c>
    </row>
    <row r="12" spans="2:5" ht="14" x14ac:dyDescent="0.3">
      <c r="B12" s="4" t="s">
        <v>12</v>
      </c>
      <c r="C12" s="7">
        <f>IF(ISNUMBER(C10),(C10-C9)/C9,"N/A")</f>
        <v>-1.4222033538526852E-2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1567</v>
      </c>
      <c r="D16" s="7">
        <f>IF(ISNUMBER(C16),(C16-C9)/C9,"N/A")</f>
        <v>-0.33474846104860961</v>
      </c>
    </row>
    <row r="17" spans="2:5" ht="13.5" x14ac:dyDescent="0.25">
      <c r="B17" t="s">
        <v>18</v>
      </c>
      <c r="C17" s="11">
        <f>IF('DCF Model'!C62&lt;'DCF Model'!C16,"INVALID (EV &lt; net debt)",'DCF Model'!C64)</f>
        <v>3077</v>
      </c>
      <c r="D17" s="7">
        <f>IF(ISNUMBER(C17),(C17-C9)/C9,"N/A")</f>
        <v>0.30630439397155595</v>
      </c>
    </row>
    <row r="18" spans="2:5" ht="13.5" x14ac:dyDescent="0.25">
      <c r="B18" t="s">
        <v>19</v>
      </c>
      <c r="C18" s="11">
        <f>'Comps Analysis'!C27</f>
        <v>3689</v>
      </c>
      <c r="D18" s="7">
        <f>IF(ISNUMBER(C18),(C18-C9)/C9,"N/A")</f>
        <v>0.56612184249628528</v>
      </c>
    </row>
    <row r="19" spans="2:5" ht="13.5" x14ac:dyDescent="0.25">
      <c r="B19" t="s">
        <v>20</v>
      </c>
      <c r="C19" s="11">
        <f>'Comps Analysis'!C28</f>
        <v>2830</v>
      </c>
      <c r="D19" s="7">
        <f>IF(ISNUMBER(C19),(C19-C9)/C9,"N/A")</f>
        <v>0.20144343026958184</v>
      </c>
    </row>
    <row r="20" spans="2:5" ht="14" x14ac:dyDescent="0.3">
      <c r="B20" s="46" t="s">
        <v>21</v>
      </c>
      <c r="C20" s="45"/>
      <c r="D20" s="45"/>
      <c r="E20" s="45"/>
    </row>
    <row r="21" spans="2:5" ht="14" x14ac:dyDescent="0.3">
      <c r="B21" s="4" t="s">
        <v>22</v>
      </c>
      <c r="C21" s="6" t="str">
        <f>IF(COUNT(C16:C17)=0,"N/A",MIN(C16:C17)&amp;" - "&amp;MAX(C16:C17))</f>
        <v>1567 - 3077</v>
      </c>
    </row>
    <row r="23" spans="2:5" ht="14" x14ac:dyDescent="0.3">
      <c r="B23" s="8" t="s">
        <v>23</v>
      </c>
      <c r="C23" s="9"/>
      <c r="D23" s="9"/>
    </row>
    <row r="24" spans="2:5" x14ac:dyDescent="0.2">
      <c r="B24" t="str">
        <f>"Astellas has replaced the Xtandi patent cliff with Padcev and Izervay, and the latest year lifted the operating margin to the top of its four-year range after two years depressed by impairments; the shares trade at "&amp;TEXT('Comps Analysis'!L5,"0.0""x""")&amp;" earnings and "&amp;TEXT('Comps Analysis'!M5,"0.00""x""")&amp;" book."</f>
        <v>Astellas has replaced the Xtandi patent cliff with Padcev and Izervay, and the latest year lifted the operating margin to the top of its four-year range after two years depressed by impairments; the shares trade at 14.5x earnings and 2.31x book.</v>
      </c>
    </row>
    <row r="25" spans="2:5" x14ac:dyDescent="0.2">
      <c r="B25" t="str">
        <f>"The stock changes hands well below the Japanese pharmaceutical peer median on EV/EBITDA, which is where the exit leg of this model finds value against a "&amp;TEXT('DCF Model'!C26,"0.00%")&amp;" cost of capital."</f>
        <v>The stock changes hands well below the Japanese pharmaceutical peer median on EV/EBITDA, which is where the exit leg of this model finds value against a 8.78% cost of capital.</v>
      </c>
    </row>
    <row r="26" spans="2:5" x14ac:dyDescent="0.2">
      <c r="B26" t="str">
        <f>"At "&amp;TEXT(C9,"#,##0")&amp;" the market has not accepted the margin recovery as durable; a base case that gives back part of it still supports "&amp;TEXT(C10,"#,##0")&amp;", or "&amp;TEXT(C12,"+0.0%;-0.0%")&amp;" from here."</f>
        <v>At 2,356 the market has not accepted the margin recovery as durable; a base case that gives back part of it still supports 2,322, or -1.4% from here.</v>
      </c>
    </row>
    <row r="28" spans="2:5" ht="14" x14ac:dyDescent="0.3">
      <c r="B28" s="8" t="s">
        <v>24</v>
      </c>
      <c r="C28" s="9"/>
      <c r="D28" s="9"/>
    </row>
    <row r="29" spans="2:5" x14ac:dyDescent="0.2">
      <c r="B29" t="str">
        <f>"The company has written down acquired intangibles twice in four years, which is why the historical margin range is so wide; a third write-down would put earnings far below the "&amp;TEXT('Comps Analysis'!L5,"0.0""x""")&amp;" implied by "&amp;TEXT(C9,"#,##0")&amp;"."</f>
        <v>The company has written down acquired intangibles twice in four years, which is why the historical margin range is so wide; a third write-down would put earnings far below the 14.5x implied by 2,356.</v>
      </c>
    </row>
    <row r="30" spans="2:5" x14ac:dyDescent="0.2">
      <c r="B30" t="s">
        <v>25</v>
      </c>
    </row>
    <row r="31" spans="2:5" x14ac:dyDescent="0.2">
      <c r="B31" t="str">
        <f>"Capital expenditure in this model is set well above the recent actual level in order to converge on depreciation in the terminal year, so near-term free cash flow behind "&amp;TEXT(C10,"#,##0")&amp;" is understated by construction."</f>
        <v>Capital expenditure in this model is set well above the recent actual level in order to converge on depreciation in the terminal year, so near-term free cash flow behind 2,322 is understated by construction.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1518619</v>
      </c>
      <c r="D6" s="5">
        <v>1603672</v>
      </c>
      <c r="E6" s="5">
        <v>1912323</v>
      </c>
      <c r="F6" s="5">
        <v>2139245</v>
      </c>
    </row>
    <row r="7" spans="2:6" ht="14" x14ac:dyDescent="0.3">
      <c r="B7" s="4" t="s">
        <v>33</v>
      </c>
      <c r="C7" s="5">
        <v>288353</v>
      </c>
      <c r="D7" s="5">
        <v>292485</v>
      </c>
      <c r="E7" s="5">
        <v>349206</v>
      </c>
      <c r="F7" s="5">
        <v>408426</v>
      </c>
    </row>
    <row r="8" spans="2:6" ht="14" x14ac:dyDescent="0.3">
      <c r="B8" s="4" t="s">
        <v>34</v>
      </c>
      <c r="C8" s="5">
        <f>C6-C7</f>
        <v>1230266</v>
      </c>
      <c r="D8" s="5">
        <f>D6-D7</f>
        <v>1311187</v>
      </c>
      <c r="E8" s="5">
        <f>E6-E7</f>
        <v>1563117</v>
      </c>
      <c r="F8" s="5">
        <f>F6-F7</f>
        <v>1730819</v>
      </c>
    </row>
    <row r="9" spans="2:6" ht="13.5" x14ac:dyDescent="0.25">
      <c r="B9" t="s">
        <v>35</v>
      </c>
      <c r="C9" s="7">
        <f>C8/C6</f>
        <v>0.81012156439501937</v>
      </c>
      <c r="D9" s="7">
        <f>D8/D6</f>
        <v>0.81761544754787763</v>
      </c>
      <c r="E9" s="7">
        <f>E8/E6</f>
        <v>0.8173917272343636</v>
      </c>
      <c r="F9" s="7">
        <f>F8/F6</f>
        <v>0.80907937146049191</v>
      </c>
    </row>
    <row r="10" spans="2:6" ht="14" x14ac:dyDescent="0.3">
      <c r="B10" s="4" t="s">
        <v>36</v>
      </c>
      <c r="C10" s="5">
        <v>1098709</v>
      </c>
      <c r="D10" s="5">
        <v>1292240</v>
      </c>
      <c r="E10" s="5">
        <v>1522869</v>
      </c>
      <c r="F10" s="5">
        <v>1350760</v>
      </c>
    </row>
    <row r="11" spans="2:6" ht="14" x14ac:dyDescent="0.3">
      <c r="B11" s="4" t="s">
        <v>37</v>
      </c>
      <c r="C11" s="5">
        <v>131557</v>
      </c>
      <c r="D11" s="5">
        <v>18947</v>
      </c>
      <c r="E11" s="5">
        <v>40248</v>
      </c>
      <c r="F11" s="5">
        <v>380059</v>
      </c>
    </row>
    <row r="12" spans="2:6" ht="14" x14ac:dyDescent="0.3">
      <c r="B12" s="4" t="s">
        <v>38</v>
      </c>
      <c r="C12" s="5">
        <v>98714</v>
      </c>
      <c r="D12" s="5">
        <v>17045</v>
      </c>
      <c r="E12" s="5">
        <v>50747</v>
      </c>
      <c r="F12" s="5">
        <v>291535</v>
      </c>
    </row>
    <row r="13" spans="2:6" ht="13.5" x14ac:dyDescent="0.25">
      <c r="B13" t="s">
        <v>39</v>
      </c>
      <c r="C13" s="7">
        <f>C11/C6</f>
        <v>8.6629365232490832E-2</v>
      </c>
      <c r="D13" s="7">
        <f>D11/D6</f>
        <v>1.181476012551195E-2</v>
      </c>
      <c r="E13" s="7">
        <f>E11/E6</f>
        <v>2.1046653729521633E-2</v>
      </c>
      <c r="F13" s="7">
        <f>F11/F6</f>
        <v>0.17766034278448706</v>
      </c>
    </row>
    <row r="14" spans="2:6" ht="13.5" x14ac:dyDescent="0.25">
      <c r="B14" t="s">
        <v>40</v>
      </c>
      <c r="C14" s="7">
        <f>C12/C6</f>
        <v>6.5002479226191692E-2</v>
      </c>
      <c r="D14" s="7">
        <f>D12/D6</f>
        <v>1.0628732059922479E-2</v>
      </c>
      <c r="E14" s="7">
        <f>E12/E6</f>
        <v>2.6536835043034047E-2</v>
      </c>
      <c r="F14" s="7">
        <f>F12/F6</f>
        <v>0.13627938828885891</v>
      </c>
    </row>
    <row r="15" spans="2:6" ht="13.5" x14ac:dyDescent="0.25">
      <c r="B15" t="s">
        <v>41</v>
      </c>
      <c r="C15" t="s">
        <v>42</v>
      </c>
      <c r="D15" s="7">
        <f>(D6-C6)/C6</f>
        <v>5.6006806183776181E-2</v>
      </c>
      <c r="E15" s="7">
        <f>(E6-D6)/D6</f>
        <v>0.19246516744072353</v>
      </c>
      <c r="F15" s="7">
        <f>(F6-E6)/E6</f>
        <v>0.1186630082888717</v>
      </c>
    </row>
    <row r="16" spans="2:6" ht="13.5" x14ac:dyDescent="0.25">
      <c r="B16" t="s">
        <v>43</v>
      </c>
      <c r="C16" t="s">
        <v>42</v>
      </c>
      <c r="D16" s="7">
        <f>(D11-C11)/C11</f>
        <v>-0.85597877726004701</v>
      </c>
      <c r="E16" s="7">
        <f>(E11-D11)/D11</f>
        <v>1.1242413046920356</v>
      </c>
      <c r="F16" s="7">
        <f>(F11-E11)/E11</f>
        <v>8.4429288411846546</v>
      </c>
    </row>
    <row r="18" spans="2:6" ht="14" x14ac:dyDescent="0.3">
      <c r="B18" s="3" t="s">
        <v>44</v>
      </c>
    </row>
    <row r="19" spans="2:6" ht="14" x14ac:dyDescent="0.3">
      <c r="B19" s="4" t="s">
        <v>45</v>
      </c>
      <c r="C19" s="5">
        <v>327767</v>
      </c>
      <c r="D19" s="5">
        <v>172475</v>
      </c>
      <c r="E19" s="5">
        <v>194512</v>
      </c>
      <c r="F19" s="5">
        <v>560188</v>
      </c>
    </row>
    <row r="20" spans="2:6" ht="14" x14ac:dyDescent="0.3">
      <c r="B20" s="4" t="s">
        <v>46</v>
      </c>
      <c r="C20" s="5">
        <v>88541</v>
      </c>
      <c r="D20" s="5">
        <v>82497</v>
      </c>
      <c r="E20" s="5">
        <v>57330</v>
      </c>
      <c r="F20" s="5">
        <v>84645</v>
      </c>
    </row>
    <row r="21" spans="2:6" ht="14" x14ac:dyDescent="0.3">
      <c r="B21" s="4" t="s">
        <v>47</v>
      </c>
      <c r="C21" s="5">
        <f>C19-C20</f>
        <v>239226</v>
      </c>
      <c r="D21" s="5">
        <f>D19-D20</f>
        <v>89978</v>
      </c>
      <c r="E21" s="5">
        <f>E19-E20</f>
        <v>137182</v>
      </c>
      <c r="F21" s="5">
        <f>F19-F20</f>
        <v>475543</v>
      </c>
    </row>
    <row r="22" spans="2:6" ht="13.5" x14ac:dyDescent="0.25">
      <c r="B22" t="s">
        <v>48</v>
      </c>
      <c r="C22" s="7">
        <f>C21/C6</f>
        <v>0.15752864938473704</v>
      </c>
      <c r="D22" s="7">
        <f>D21/D6</f>
        <v>5.6107483325767364E-2</v>
      </c>
      <c r="E22" s="7">
        <f>E21/E6</f>
        <v>7.1735789403777506E-2</v>
      </c>
      <c r="F22" s="7">
        <f>F21/F6</f>
        <v>0.22229478157013338</v>
      </c>
    </row>
    <row r="23" spans="2:6" ht="13.5" x14ac:dyDescent="0.25">
      <c r="B23" t="s">
        <v>49</v>
      </c>
      <c r="C23" s="7">
        <f>C20/C6</f>
        <v>5.8303629811032258E-2</v>
      </c>
      <c r="D23" s="7">
        <f>D20/D6</f>
        <v>5.1442564314897313E-2</v>
      </c>
      <c r="E23" s="7">
        <f>E20/E6</f>
        <v>2.9979245137981399E-2</v>
      </c>
      <c r="F23" s="7">
        <f>F20/F6</f>
        <v>3.9567697949510226E-2</v>
      </c>
    </row>
    <row r="25" spans="2:6" ht="14" x14ac:dyDescent="0.3">
      <c r="B25" s="3" t="s">
        <v>50</v>
      </c>
    </row>
    <row r="26" spans="2:6" ht="14" x14ac:dyDescent="0.3">
      <c r="B26" s="4" t="s">
        <v>51</v>
      </c>
      <c r="C26" s="5">
        <v>376840</v>
      </c>
      <c r="D26" s="5">
        <v>335687</v>
      </c>
      <c r="E26" s="5">
        <v>188372</v>
      </c>
      <c r="F26" s="5">
        <v>281605</v>
      </c>
    </row>
    <row r="27" spans="2:6" ht="14" x14ac:dyDescent="0.3">
      <c r="B27" s="4" t="s">
        <v>52</v>
      </c>
      <c r="C27" s="5">
        <v>125000</v>
      </c>
      <c r="D27" s="5">
        <v>920016</v>
      </c>
      <c r="E27" s="5">
        <v>831426</v>
      </c>
      <c r="F27" s="5">
        <v>565952</v>
      </c>
    </row>
    <row r="28" spans="2:6" ht="14" x14ac:dyDescent="0.3">
      <c r="B28" s="4" t="s">
        <v>53</v>
      </c>
      <c r="C28" s="5">
        <f>C27-C26</f>
        <v>-251840</v>
      </c>
      <c r="D28" s="5">
        <f>D27-D26</f>
        <v>584329</v>
      </c>
      <c r="E28" s="5">
        <f>E27-E26</f>
        <v>643054</v>
      </c>
      <c r="F28" s="5">
        <f>F27-F26</f>
        <v>284347</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9.5600000000000004E-2</v>
      </c>
    </row>
    <row r="6" spans="2:7" ht="14" x14ac:dyDescent="0.3">
      <c r="B6" s="4" t="s">
        <v>57</v>
      </c>
      <c r="C6" s="7">
        <v>0.25</v>
      </c>
    </row>
    <row r="7" spans="2:7" ht="14" x14ac:dyDescent="0.3">
      <c r="B7" s="4" t="s">
        <v>58</v>
      </c>
      <c r="C7" s="7">
        <v>2.9700000000000001E-2</v>
      </c>
    </row>
    <row r="8" spans="2:7" ht="14" x14ac:dyDescent="0.3">
      <c r="B8" s="4" t="s">
        <v>59</v>
      </c>
      <c r="C8" s="12">
        <v>0.81469999999999998</v>
      </c>
    </row>
    <row r="9" spans="2:7" ht="14" x14ac:dyDescent="0.3">
      <c r="B9" s="4" t="s">
        <v>60</v>
      </c>
      <c r="C9" s="7">
        <v>6.5000000000000002E-2</v>
      </c>
    </row>
    <row r="10" spans="2:7" ht="14" x14ac:dyDescent="0.3">
      <c r="B10" s="4" t="s">
        <v>61</v>
      </c>
      <c r="C10" s="7">
        <v>0.01</v>
      </c>
    </row>
    <row r="11" spans="2:7" ht="14" x14ac:dyDescent="0.3">
      <c r="B11" s="4" t="s">
        <v>62</v>
      </c>
      <c r="C11" s="7">
        <v>1.5100000000000001E-2</v>
      </c>
    </row>
    <row r="12" spans="2:7" ht="14" x14ac:dyDescent="0.3">
      <c r="B12" s="4" t="s">
        <v>63</v>
      </c>
      <c r="C12" s="13">
        <v>6.7299999999999999E-2</v>
      </c>
    </row>
    <row r="13" spans="2:7" ht="14" x14ac:dyDescent="0.3">
      <c r="B13" s="4" t="s">
        <v>64</v>
      </c>
      <c r="C13" s="7">
        <v>0.01</v>
      </c>
    </row>
    <row r="14" spans="2:7" ht="14" x14ac:dyDescent="0.3">
      <c r="B14" s="4" t="s">
        <v>65</v>
      </c>
      <c r="C14" s="14">
        <v>12</v>
      </c>
    </row>
    <row r="15" spans="2:7" ht="14" x14ac:dyDescent="0.3">
      <c r="B15" s="4" t="s">
        <v>66</v>
      </c>
      <c r="C15" s="15">
        <v>1793013747</v>
      </c>
    </row>
    <row r="16" spans="2:7" ht="14" x14ac:dyDescent="0.3">
      <c r="B16" s="4" t="s">
        <v>67</v>
      </c>
      <c r="C16" s="5">
        <v>284347</v>
      </c>
    </row>
    <row r="17" spans="2:7" ht="14" x14ac:dyDescent="0.3">
      <c r="B17" s="4" t="s">
        <v>68</v>
      </c>
      <c r="C17" s="5">
        <v>2139245</v>
      </c>
    </row>
    <row r="18" spans="2:7" ht="14" x14ac:dyDescent="0.3">
      <c r="B18" s="4" t="s">
        <v>69</v>
      </c>
      <c r="C18" s="7">
        <v>9.0999999999999998E-2</v>
      </c>
    </row>
    <row r="19" spans="2:7" ht="14" x14ac:dyDescent="0.3">
      <c r="B19" s="4" t="s">
        <v>70</v>
      </c>
      <c r="C19" s="12">
        <v>1</v>
      </c>
    </row>
    <row r="20" spans="2:7" ht="14" x14ac:dyDescent="0.3">
      <c r="B20" s="4" t="s">
        <v>71</v>
      </c>
      <c r="C20" s="5">
        <v>2139245</v>
      </c>
    </row>
    <row r="22" spans="2:7" ht="14" x14ac:dyDescent="0.3">
      <c r="B22" s="8" t="s">
        <v>72</v>
      </c>
      <c r="C22" s="9"/>
      <c r="D22" s="9"/>
      <c r="E22" s="9"/>
      <c r="F22" s="9"/>
      <c r="G22" s="9"/>
    </row>
    <row r="23" spans="2:7" ht="14" x14ac:dyDescent="0.3">
      <c r="B23" s="4" t="s">
        <v>73</v>
      </c>
      <c r="C23" s="16">
        <f>C7+C8*C9+C10</f>
        <v>9.2655500000000002E-2</v>
      </c>
    </row>
    <row r="24" spans="2:7" ht="14" x14ac:dyDescent="0.3">
      <c r="B24" s="4" t="s">
        <v>74</v>
      </c>
      <c r="C24" s="16">
        <f>1/(1+C12)</f>
        <v>0.93694368968425001</v>
      </c>
    </row>
    <row r="25" spans="2:7" ht="14" x14ac:dyDescent="0.3">
      <c r="B25" s="4" t="s">
        <v>75</v>
      </c>
      <c r="C25" s="16">
        <f>C12/(1+C12)</f>
        <v>6.3056310315750028E-2</v>
      </c>
    </row>
    <row r="26" spans="2:7" ht="14" x14ac:dyDescent="0.3">
      <c r="B26" s="4" t="s">
        <v>76</v>
      </c>
      <c r="C26" s="16">
        <f>C23*C24+C11*C25</f>
        <v>8.7765136325306858E-2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0.06</v>
      </c>
      <c r="D30" s="18">
        <f>CHOOSE($D$27,D69,D70,D71,D72,D73)</f>
        <v>4.4999999999999998E-2</v>
      </c>
      <c r="E30" s="18">
        <f>CHOOSE($D$27,E69,E70,E71,E72,E73)</f>
        <v>3.5000000000000003E-2</v>
      </c>
      <c r="F30" s="18">
        <f>CHOOSE($D$27,F69,F70,F71,F72,F73)</f>
        <v>0.03</v>
      </c>
      <c r="G30" s="18">
        <f>CHOOSE($D$27,G69,G70,G71,G72,G73)</f>
        <v>2.5000000000000001E-2</v>
      </c>
    </row>
    <row r="31" spans="2:7" ht="14" x14ac:dyDescent="0.3">
      <c r="B31" s="4" t="s">
        <v>85</v>
      </c>
      <c r="C31" s="18">
        <f>CHOOSE($D$27,C76,C77,C78,C79,C80)</f>
        <v>0.191</v>
      </c>
      <c r="D31" s="18">
        <f>CHOOSE($D$27,D76,D77,D78,D79,D80)</f>
        <v>0.191</v>
      </c>
      <c r="E31" s="18">
        <f>CHOOSE($D$27,E76,E77,E78,E79,E80)</f>
        <v>0.191</v>
      </c>
      <c r="F31" s="18">
        <f>CHOOSE($D$27,F76,F77,F78,F79,F80)</f>
        <v>0.191</v>
      </c>
      <c r="G31" s="18">
        <f>CHOOSE($D$27,G76,G77,G78,G79,G80)</f>
        <v>0.191</v>
      </c>
    </row>
    <row r="32" spans="2:7" ht="14" x14ac:dyDescent="0.3">
      <c r="B32" s="4" t="s">
        <v>86</v>
      </c>
      <c r="C32" s="18">
        <f>CHOOSE($D$27,C83,C84,C85,C86,C87)</f>
        <v>0.63900000000000001</v>
      </c>
      <c r="D32" s="18">
        <f>CHOOSE($D$27,D83,D84,D85,D86,D87)</f>
        <v>0.64700000000000002</v>
      </c>
      <c r="E32" s="18">
        <f>CHOOSE($D$27,E83,E84,E85,E86,E87)</f>
        <v>0.65500000000000003</v>
      </c>
      <c r="F32" s="18">
        <f>CHOOSE($D$27,F83,F84,F85,F86,F87)</f>
        <v>0.66100000000000003</v>
      </c>
      <c r="G32" s="18">
        <f>CHOOSE($D$27,G83,G84,G85,G86,G87)</f>
        <v>0.66539999999999999</v>
      </c>
    </row>
    <row r="33" spans="2:7" ht="14" x14ac:dyDescent="0.3">
      <c r="B33" s="4" t="s">
        <v>32</v>
      </c>
      <c r="C33" s="5">
        <f>C17*(1+C30)</f>
        <v>2267599.7000000002</v>
      </c>
      <c r="D33" s="5">
        <f>C33*(1+D30)</f>
        <v>2369641.6864999998</v>
      </c>
      <c r="E33" s="5">
        <f>D33*(1+E30)</f>
        <v>2452579.1455274997</v>
      </c>
      <c r="F33" s="5">
        <f>E33*(1+F30)</f>
        <v>2526156.5198933249</v>
      </c>
      <c r="G33" s="5">
        <f>F33*(1+G30)</f>
        <v>2589310.4328906578</v>
      </c>
    </row>
    <row r="34" spans="2:7" ht="14" x14ac:dyDescent="0.3">
      <c r="B34" s="4" t="s">
        <v>33</v>
      </c>
      <c r="C34" s="5">
        <f>C33*C31</f>
        <v>433111.54270000005</v>
      </c>
      <c r="D34" s="5">
        <f>D33*D31</f>
        <v>452601.56212149997</v>
      </c>
      <c r="E34" s="5">
        <f>E33*E31</f>
        <v>468442.61679575243</v>
      </c>
      <c r="F34" s="5">
        <f>F33*F31</f>
        <v>482495.89529962506</v>
      </c>
      <c r="G34" s="5">
        <f>G33*G31</f>
        <v>494558.29268211563</v>
      </c>
    </row>
    <row r="35" spans="2:7" ht="14" x14ac:dyDescent="0.3">
      <c r="B35" s="4" t="s">
        <v>34</v>
      </c>
      <c r="C35" s="19">
        <f>C33-C34</f>
        <v>1834488.1573000001</v>
      </c>
      <c r="D35" s="19">
        <f>D33-D34</f>
        <v>1917040.1243784998</v>
      </c>
      <c r="E35" s="19">
        <f>E33-E34</f>
        <v>1984136.5287317473</v>
      </c>
      <c r="F35" s="19">
        <f>F33-F34</f>
        <v>2043660.6245936998</v>
      </c>
      <c r="G35" s="19">
        <f>G33-G34</f>
        <v>2094752.1402085421</v>
      </c>
    </row>
    <row r="36" spans="2:7" ht="14" x14ac:dyDescent="0.3">
      <c r="B36" s="4" t="s">
        <v>35</v>
      </c>
      <c r="C36" s="7">
        <f>C35/C33</f>
        <v>0.80899999999999994</v>
      </c>
      <c r="D36" s="7">
        <f>D35/D33</f>
        <v>0.80899999999999994</v>
      </c>
      <c r="E36" s="7">
        <f>E35/E33</f>
        <v>0.80900000000000005</v>
      </c>
      <c r="F36" s="7">
        <f>F35/F33</f>
        <v>0.80899999999999994</v>
      </c>
      <c r="G36" s="7">
        <f>G35/G33</f>
        <v>0.80899999999999994</v>
      </c>
    </row>
    <row r="37" spans="2:7" ht="14" x14ac:dyDescent="0.3">
      <c r="B37" s="4" t="s">
        <v>87</v>
      </c>
      <c r="C37" s="5">
        <f>C33*C32</f>
        <v>1448996.2083000001</v>
      </c>
      <c r="D37" s="5">
        <f>D33*D32</f>
        <v>1533158.1711654998</v>
      </c>
      <c r="E37" s="5">
        <f>E33*E32</f>
        <v>1606439.3403205124</v>
      </c>
      <c r="F37" s="5">
        <f>F33*F32</f>
        <v>1669789.4596494879</v>
      </c>
      <c r="G37" s="5">
        <f>G33*G32</f>
        <v>1722927.1620454437</v>
      </c>
    </row>
    <row r="38" spans="2:7" ht="14" x14ac:dyDescent="0.3">
      <c r="B38" s="4" t="s">
        <v>88</v>
      </c>
      <c r="C38" s="7">
        <f>(C35-C37)/C33</f>
        <v>0.16999999999999998</v>
      </c>
      <c r="D38" s="7">
        <f>(D35-D37)/D33</f>
        <v>0.16200000000000001</v>
      </c>
      <c r="E38" s="7">
        <f>(E35-E37)/E33</f>
        <v>0.15399999999999997</v>
      </c>
      <c r="F38" s="7">
        <f>(F35-F37)/F33</f>
        <v>0.14799999999999994</v>
      </c>
      <c r="G38" s="7">
        <f>(G35-G37)/G33</f>
        <v>0.14360000000000001</v>
      </c>
    </row>
    <row r="39" spans="2:7" ht="14" x14ac:dyDescent="0.3">
      <c r="B39" s="4" t="s">
        <v>89</v>
      </c>
      <c r="C39" s="19">
        <f>C35-C37</f>
        <v>385491.94900000002</v>
      </c>
      <c r="D39" s="19">
        <f>D35-D37</f>
        <v>383881.95321299997</v>
      </c>
      <c r="E39" s="19">
        <f>E35-E37</f>
        <v>377697.18841123488</v>
      </c>
      <c r="F39" s="19">
        <f>F35-F37</f>
        <v>373871.16494421195</v>
      </c>
      <c r="G39" s="19">
        <f>G35-G37</f>
        <v>371824.97816309845</v>
      </c>
    </row>
    <row r="40" spans="2:7" ht="14" x14ac:dyDescent="0.3">
      <c r="B40" s="4" t="s">
        <v>90</v>
      </c>
      <c r="C40" s="5">
        <f>MAX(0,C39*C6)</f>
        <v>96372.987250000006</v>
      </c>
      <c r="D40" s="5">
        <f>MAX(0,D39*C6)</f>
        <v>95970.488303249993</v>
      </c>
      <c r="E40" s="5">
        <f>MAX(0,E39*C6)</f>
        <v>94424.29710280872</v>
      </c>
      <c r="F40" s="5">
        <f>MAX(0,F39*C6)</f>
        <v>93467.791236052988</v>
      </c>
      <c r="G40" s="5">
        <f>MAX(0,G39*C6)</f>
        <v>92956.244540774613</v>
      </c>
    </row>
    <row r="41" spans="2:7" ht="14" x14ac:dyDescent="0.3">
      <c r="B41" s="4" t="s">
        <v>91</v>
      </c>
      <c r="C41" s="19">
        <f>C39-C40</f>
        <v>289118.96175000002</v>
      </c>
      <c r="D41" s="19">
        <f>D39-D40</f>
        <v>287911.46490974998</v>
      </c>
      <c r="E41" s="19">
        <f>E39-E40</f>
        <v>283272.89130842616</v>
      </c>
      <c r="F41" s="19">
        <f>F39-F40</f>
        <v>280403.37370815896</v>
      </c>
      <c r="G41" s="19">
        <f>G39-G40</f>
        <v>278868.73362232384</v>
      </c>
    </row>
    <row r="42" spans="2:7" ht="14" x14ac:dyDescent="0.3">
      <c r="B42" s="4" t="s">
        <v>92</v>
      </c>
      <c r="C42" s="5">
        <f>C33*C18</f>
        <v>206351.57270000002</v>
      </c>
      <c r="D42" s="5">
        <f>D33*C18</f>
        <v>215637.39347149999</v>
      </c>
      <c r="E42" s="5">
        <f>E33*C18</f>
        <v>223184.70224300248</v>
      </c>
      <c r="F42" s="5">
        <f>F33*C18</f>
        <v>229880.24331029257</v>
      </c>
      <c r="G42" s="5">
        <f>G33*C18</f>
        <v>235627.24939304986</v>
      </c>
    </row>
    <row r="43" spans="2:7" ht="14" x14ac:dyDescent="0.3">
      <c r="B43" s="4" t="s">
        <v>93</v>
      </c>
      <c r="C43" s="5">
        <f>C33*C5</f>
        <v>216782.53132000004</v>
      </c>
      <c r="D43" s="5">
        <f>D33*C5</f>
        <v>226537.7452294</v>
      </c>
      <c r="E43" s="5">
        <f>E33*C5</f>
        <v>234466.56631242897</v>
      </c>
      <c r="F43" s="5">
        <f>F33*C5</f>
        <v>241500.56330180189</v>
      </c>
      <c r="G43" s="5">
        <f>G33*C5</f>
        <v>247538.07738434689</v>
      </c>
    </row>
    <row r="44" spans="2:7" ht="14" x14ac:dyDescent="0.3">
      <c r="B44" s="4" t="s">
        <v>94</v>
      </c>
      <c r="C44" s="5">
        <f>'NWC Schedule'!D19</f>
        <v>-40561.560664109653</v>
      </c>
      <c r="D44" s="5">
        <f>'NWC Schedule'!E19</f>
        <v>37687.879770115134</v>
      </c>
      <c r="E44" s="5">
        <f>'NWC Schedule'!F19</f>
        <v>30631.871168710175</v>
      </c>
      <c r="F44" s="5">
        <f>'NWC Schedule'!G19</f>
        <v>27174.845708241453</v>
      </c>
      <c r="G44" s="5">
        <f>'NWC Schedule'!H19</f>
        <v>23325.075899573974</v>
      </c>
    </row>
    <row r="45" spans="2:7" ht="14" x14ac:dyDescent="0.3">
      <c r="B45" s="4" t="s">
        <v>95</v>
      </c>
      <c r="C45" s="20">
        <f>C41+C42-C43-C44</f>
        <v>319249.56379410962</v>
      </c>
      <c r="D45" s="20">
        <f>D41+D42-D43-D44</f>
        <v>239323.23338173481</v>
      </c>
      <c r="E45" s="20">
        <f>E41+E42-E43-E44</f>
        <v>241359.15607028949</v>
      </c>
      <c r="F45" s="20">
        <f>F41+F42-F43-F44</f>
        <v>241608.2080084082</v>
      </c>
      <c r="G45" s="20">
        <f>G41+G42-G43-G44</f>
        <v>243632.82973145286</v>
      </c>
    </row>
    <row r="46" spans="2:7" ht="14" x14ac:dyDescent="0.3">
      <c r="B46" s="4" t="s">
        <v>96</v>
      </c>
      <c r="C46" s="21">
        <f>1/(1+C26)^(C19+0)</f>
        <v>0.91931609738679854</v>
      </c>
      <c r="D46" s="21">
        <f>1/(1+C26)^(C19+1)</f>
        <v>0.84514208691449366</v>
      </c>
      <c r="E46" s="21">
        <f>1/(1+C26)^(C19+2)</f>
        <v>0.77695272507956681</v>
      </c>
      <c r="F46" s="21">
        <f>1/(1+C26)^(C19+3)</f>
        <v>0.71426514707418554</v>
      </c>
      <c r="G46" s="21">
        <f>1/(1+C26)^(C19+4)</f>
        <v>0.65663544750764791</v>
      </c>
    </row>
    <row r="47" spans="2:7" ht="14" x14ac:dyDescent="0.3">
      <c r="B47" s="4" t="s">
        <v>97</v>
      </c>
      <c r="C47" s="19">
        <f>C45*C46</f>
        <v>293491.26307963865</v>
      </c>
      <c r="D47" s="19">
        <f>D45*D46</f>
        <v>202262.13690736378</v>
      </c>
      <c r="E47" s="19">
        <f>E45*E46</f>
        <v>187524.65403171588</v>
      </c>
      <c r="F47" s="19">
        <f>F45*F46</f>
        <v>172572.32222745608</v>
      </c>
      <c r="G47" s="19">
        <f>G45*G46</f>
        <v>159977.95217826712</v>
      </c>
    </row>
    <row r="49" spans="2:7" ht="14" x14ac:dyDescent="0.3">
      <c r="B49" s="22" t="s">
        <v>98</v>
      </c>
      <c r="C49" s="23"/>
      <c r="D49" s="23"/>
      <c r="E49" s="23"/>
      <c r="F49" s="23"/>
      <c r="G49" s="23"/>
    </row>
    <row r="50" spans="2:7" ht="14" x14ac:dyDescent="0.3">
      <c r="B50" s="4" t="s">
        <v>99</v>
      </c>
      <c r="C50" s="5">
        <f>SUM(C47:G47)</f>
        <v>1015828.3284244414</v>
      </c>
    </row>
    <row r="51" spans="2:7" ht="14" x14ac:dyDescent="0.3">
      <c r="B51" s="4" t="s">
        <v>100</v>
      </c>
      <c r="C51" s="5">
        <f>G45*(1+C13)/(C26-C13)</f>
        <v>3164260.6141576311</v>
      </c>
    </row>
    <row r="52" spans="2:7" ht="14" x14ac:dyDescent="0.3">
      <c r="B52" s="4" t="s">
        <v>101</v>
      </c>
      <c r="C52" s="5">
        <f>C51*G46</f>
        <v>2077765.6844082209</v>
      </c>
    </row>
    <row r="53" spans="2:7" ht="14" x14ac:dyDescent="0.3">
      <c r="B53" s="4" t="s">
        <v>102</v>
      </c>
      <c r="C53" s="5">
        <f>C50+C52</f>
        <v>3093594.0128326621</v>
      </c>
    </row>
    <row r="54" spans="2:7" ht="14" x14ac:dyDescent="0.3">
      <c r="B54" s="4" t="s">
        <v>103</v>
      </c>
      <c r="C54" s="5">
        <f>C53-C16</f>
        <v>2809247.0128326621</v>
      </c>
    </row>
    <row r="55" spans="2:7" ht="14" x14ac:dyDescent="0.3">
      <c r="B55" s="4" t="s">
        <v>104</v>
      </c>
      <c r="C55" s="24">
        <f>ROUND(C54*1000000/C15,0)</f>
        <v>1567</v>
      </c>
    </row>
    <row r="57" spans="2:7" ht="14" x14ac:dyDescent="0.3">
      <c r="B57" s="22" t="s">
        <v>105</v>
      </c>
      <c r="C57" s="23"/>
      <c r="D57" s="23"/>
      <c r="E57" s="23"/>
      <c r="F57" s="23"/>
      <c r="G57" s="23"/>
    </row>
    <row r="58" spans="2:7" ht="14" x14ac:dyDescent="0.3">
      <c r="B58" s="4" t="s">
        <v>99</v>
      </c>
      <c r="C58" s="5">
        <f>C50</f>
        <v>1015828.3284244414</v>
      </c>
    </row>
    <row r="59" spans="2:7" ht="14" x14ac:dyDescent="0.3">
      <c r="B59" s="4" t="s">
        <v>106</v>
      </c>
      <c r="C59" s="5">
        <f>G39+G42</f>
        <v>607452.22755614831</v>
      </c>
    </row>
    <row r="60" spans="2:7" ht="14" x14ac:dyDescent="0.3">
      <c r="B60" s="4" t="s">
        <v>107</v>
      </c>
      <c r="C60" s="5">
        <f>C59*C14</f>
        <v>7289426.7306737797</v>
      </c>
    </row>
    <row r="61" spans="2:7" ht="14" x14ac:dyDescent="0.3">
      <c r="B61" s="4" t="s">
        <v>101</v>
      </c>
      <c r="C61" s="5">
        <f>C60*G46</f>
        <v>4786495.9833701886</v>
      </c>
    </row>
    <row r="62" spans="2:7" ht="14" x14ac:dyDescent="0.3">
      <c r="B62" s="4" t="s">
        <v>102</v>
      </c>
      <c r="C62" s="5">
        <f>C58+C61</f>
        <v>5802324.3117946303</v>
      </c>
    </row>
    <row r="63" spans="2:7" ht="14" x14ac:dyDescent="0.3">
      <c r="B63" s="4" t="s">
        <v>103</v>
      </c>
      <c r="C63" s="5">
        <f>C62-C16</f>
        <v>5517977.3117946303</v>
      </c>
    </row>
    <row r="64" spans="2:7" ht="14" x14ac:dyDescent="0.3">
      <c r="B64" s="4" t="s">
        <v>108</v>
      </c>
      <c r="C64" s="24">
        <f>ROUND(C63*1000000/C15,0)</f>
        <v>3077</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0.06</v>
      </c>
      <c r="D69" s="26">
        <v>4.4999999999999998E-2</v>
      </c>
      <c r="E69" s="26">
        <v>3.5000000000000003E-2</v>
      </c>
      <c r="F69" s="26">
        <v>0.03</v>
      </c>
      <c r="G69" s="26">
        <v>2.5000000000000001E-2</v>
      </c>
    </row>
    <row r="70" spans="2:7" ht="14" x14ac:dyDescent="0.3">
      <c r="B70" s="4" t="s">
        <v>115</v>
      </c>
      <c r="C70" s="26">
        <v>0.08</v>
      </c>
      <c r="D70" s="26">
        <v>0.06</v>
      </c>
      <c r="E70" s="26">
        <v>4.4999999999999998E-2</v>
      </c>
      <c r="F70" s="26">
        <v>0.04</v>
      </c>
      <c r="G70" s="26">
        <v>3.5000000000000003E-2</v>
      </c>
    </row>
    <row r="71" spans="2:7" ht="14" x14ac:dyDescent="0.3">
      <c r="B71" s="4" t="s">
        <v>116</v>
      </c>
      <c r="C71" s="26">
        <v>0.06</v>
      </c>
      <c r="D71" s="26">
        <v>4.4999999999999998E-2</v>
      </c>
      <c r="E71" s="26">
        <v>3.5000000000000003E-2</v>
      </c>
      <c r="F71" s="26">
        <v>0.03</v>
      </c>
      <c r="G71" s="26">
        <v>2.5000000000000001E-2</v>
      </c>
    </row>
    <row r="72" spans="2:7" ht="14" x14ac:dyDescent="0.3">
      <c r="B72" s="4" t="s">
        <v>117</v>
      </c>
      <c r="C72" s="26">
        <v>0.02</v>
      </c>
      <c r="D72" s="26">
        <v>0.01</v>
      </c>
      <c r="E72" s="26">
        <v>5.0000000000000001E-3</v>
      </c>
      <c r="F72" s="26">
        <v>5.0000000000000001E-3</v>
      </c>
      <c r="G72" s="26">
        <v>5.0000000000000001E-3</v>
      </c>
    </row>
    <row r="73" spans="2:7" ht="14" x14ac:dyDescent="0.3">
      <c r="B73" s="4" t="s">
        <v>118</v>
      </c>
      <c r="C73" s="26">
        <v>-0.08</v>
      </c>
      <c r="D73" s="26">
        <v>-0.02</v>
      </c>
      <c r="E73" s="26">
        <v>5.0000000000000001E-3</v>
      </c>
      <c r="F73" s="26">
        <v>0.01</v>
      </c>
      <c r="G73" s="26">
        <v>1.4999999999999999E-2</v>
      </c>
    </row>
    <row r="75" spans="2:7" ht="14" x14ac:dyDescent="0.3">
      <c r="B75" s="3" t="s">
        <v>85</v>
      </c>
    </row>
    <row r="76" spans="2:7" ht="14" x14ac:dyDescent="0.3">
      <c r="B76" s="4" t="s">
        <v>78</v>
      </c>
      <c r="C76" s="26">
        <v>0.191</v>
      </c>
      <c r="D76" s="26">
        <v>0.191</v>
      </c>
      <c r="E76" s="26">
        <v>0.191</v>
      </c>
      <c r="F76" s="26">
        <v>0.191</v>
      </c>
      <c r="G76" s="26">
        <v>0.191</v>
      </c>
    </row>
    <row r="77" spans="2:7" ht="14" x14ac:dyDescent="0.3">
      <c r="B77" s="4" t="s">
        <v>115</v>
      </c>
      <c r="C77" s="26">
        <v>0.188</v>
      </c>
      <c r="D77" s="26">
        <v>0.188</v>
      </c>
      <c r="E77" s="26">
        <v>0.188</v>
      </c>
      <c r="F77" s="26">
        <v>0.188</v>
      </c>
      <c r="G77" s="26">
        <v>0.188</v>
      </c>
    </row>
    <row r="78" spans="2:7" ht="14" x14ac:dyDescent="0.3">
      <c r="B78" s="4" t="s">
        <v>116</v>
      </c>
      <c r="C78" s="26">
        <v>0.191</v>
      </c>
      <c r="D78" s="26">
        <v>0.191</v>
      </c>
      <c r="E78" s="26">
        <v>0.191</v>
      </c>
      <c r="F78" s="26">
        <v>0.191</v>
      </c>
      <c r="G78" s="26">
        <v>0.191</v>
      </c>
    </row>
    <row r="79" spans="2:7" ht="14" x14ac:dyDescent="0.3">
      <c r="B79" s="4" t="s">
        <v>117</v>
      </c>
      <c r="C79" s="26">
        <v>0.19600000000000001</v>
      </c>
      <c r="D79" s="26">
        <v>0.19600000000000001</v>
      </c>
      <c r="E79" s="26">
        <v>0.19600000000000001</v>
      </c>
      <c r="F79" s="26">
        <v>0.19600000000000001</v>
      </c>
      <c r="G79" s="26">
        <v>0.19600000000000001</v>
      </c>
    </row>
    <row r="80" spans="2:7" ht="14" x14ac:dyDescent="0.3">
      <c r="B80" s="4" t="s">
        <v>118</v>
      </c>
      <c r="C80" s="26">
        <v>0.20499999999999999</v>
      </c>
      <c r="D80" s="26">
        <v>0.20499999999999999</v>
      </c>
      <c r="E80" s="26">
        <v>0.20499999999999999</v>
      </c>
      <c r="F80" s="26">
        <v>0.20499999999999999</v>
      </c>
      <c r="G80" s="26">
        <v>0.20499999999999999</v>
      </c>
    </row>
    <row r="82" spans="2:7" ht="14" x14ac:dyDescent="0.3">
      <c r="B82" s="3" t="s">
        <v>86</v>
      </c>
    </row>
    <row r="83" spans="2:7" ht="14" x14ac:dyDescent="0.3">
      <c r="B83" s="4" t="s">
        <v>78</v>
      </c>
      <c r="C83" s="26">
        <v>0.63900000000000001</v>
      </c>
      <c r="D83" s="26">
        <v>0.64700000000000002</v>
      </c>
      <c r="E83" s="26">
        <v>0.65500000000000003</v>
      </c>
      <c r="F83" s="26">
        <v>0.66100000000000003</v>
      </c>
      <c r="G83" s="26">
        <v>0.66539999999999999</v>
      </c>
    </row>
    <row r="84" spans="2:7" ht="14" x14ac:dyDescent="0.3">
      <c r="B84" s="4" t="s">
        <v>115</v>
      </c>
      <c r="C84" s="26">
        <v>0.63200000000000001</v>
      </c>
      <c r="D84" s="26">
        <v>0.63</v>
      </c>
      <c r="E84" s="26">
        <v>0.628</v>
      </c>
      <c r="F84" s="26">
        <v>0.626</v>
      </c>
      <c r="G84" s="26">
        <v>0.62429999999999997</v>
      </c>
    </row>
    <row r="85" spans="2:7" ht="14" x14ac:dyDescent="0.3">
      <c r="B85" s="4" t="s">
        <v>116</v>
      </c>
      <c r="C85" s="26">
        <v>0.63900000000000001</v>
      </c>
      <c r="D85" s="26">
        <v>0.64700000000000002</v>
      </c>
      <c r="E85" s="26">
        <v>0.65500000000000003</v>
      </c>
      <c r="F85" s="26">
        <v>0.66100000000000003</v>
      </c>
      <c r="G85" s="26">
        <v>0.66539999999999999</v>
      </c>
    </row>
    <row r="86" spans="2:7" ht="14" x14ac:dyDescent="0.3">
      <c r="B86" s="4" t="s">
        <v>117</v>
      </c>
      <c r="C86" s="26">
        <v>0.66400000000000003</v>
      </c>
      <c r="D86" s="26">
        <v>0.69399999999999995</v>
      </c>
      <c r="E86" s="26">
        <v>0.72</v>
      </c>
      <c r="F86" s="26">
        <v>0.74</v>
      </c>
      <c r="G86" s="26">
        <v>0.75019999999999998</v>
      </c>
    </row>
    <row r="87" spans="2:7" ht="14" x14ac:dyDescent="0.3">
      <c r="B87" s="4" t="s">
        <v>118</v>
      </c>
      <c r="C87" s="26">
        <v>0.76500000000000001</v>
      </c>
      <c r="D87" s="26">
        <v>0.77500000000000002</v>
      </c>
      <c r="E87" s="26">
        <v>0.77500000000000002</v>
      </c>
      <c r="F87" s="26">
        <v>0.77</v>
      </c>
      <c r="G87" s="26">
        <v>0.76500000000000001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2355.5</v>
      </c>
    </row>
    <row r="7" spans="2:9" ht="14" x14ac:dyDescent="0.3">
      <c r="B7" s="4" t="s">
        <v>66</v>
      </c>
      <c r="C7" s="15">
        <f>'DCF Model'!C15</f>
        <v>1793013747</v>
      </c>
    </row>
    <row r="8" spans="2:9" ht="14" x14ac:dyDescent="0.3">
      <c r="B8" s="4" t="s">
        <v>123</v>
      </c>
      <c r="C8" s="5">
        <f>C6*C7/1000000</f>
        <v>4223443.8810585001</v>
      </c>
    </row>
    <row r="9" spans="2:9" ht="14" x14ac:dyDescent="0.3">
      <c r="B9" s="4" t="s">
        <v>67</v>
      </c>
      <c r="C9" s="5">
        <f>'DCF Model'!C16</f>
        <v>284347</v>
      </c>
    </row>
    <row r="10" spans="2:9" ht="14" x14ac:dyDescent="0.3">
      <c r="B10" s="4" t="s">
        <v>124</v>
      </c>
      <c r="C10" s="5">
        <f>C8+C9</f>
        <v>4507790.8810585001</v>
      </c>
    </row>
    <row r="11" spans="2:9" ht="14" x14ac:dyDescent="0.3">
      <c r="B11" s="4" t="s">
        <v>125</v>
      </c>
      <c r="C11" s="16">
        <f>'DCF Model'!C26</f>
        <v>8.7765136325306858E-2</v>
      </c>
    </row>
    <row r="12" spans="2:9" ht="14" x14ac:dyDescent="0.3">
      <c r="B12" s="4" t="s">
        <v>126</v>
      </c>
      <c r="C12" s="16">
        <f>'DCF Model'!C13</f>
        <v>0.01</v>
      </c>
    </row>
    <row r="13" spans="2:9" ht="14" x14ac:dyDescent="0.3">
      <c r="B13" s="4" t="s">
        <v>127</v>
      </c>
      <c r="C13" s="16">
        <f>'DCF Model'!C6</f>
        <v>0.25</v>
      </c>
    </row>
    <row r="14" spans="2:9" ht="14" x14ac:dyDescent="0.3">
      <c r="B14" s="4" t="s">
        <v>128</v>
      </c>
      <c r="C14" s="27">
        <v>380059</v>
      </c>
    </row>
    <row r="15" spans="2:9" ht="14" x14ac:dyDescent="0.3">
      <c r="B15" s="4" t="s">
        <v>129</v>
      </c>
      <c r="C15" s="27">
        <v>380059</v>
      </c>
    </row>
    <row r="16" spans="2:9" ht="14" x14ac:dyDescent="0.3">
      <c r="B16" s="4" t="s">
        <v>130</v>
      </c>
      <c r="C16" s="5">
        <f>'DCF Model'!G33</f>
        <v>2589310.4328906578</v>
      </c>
    </row>
    <row r="17" spans="2:9" ht="14" x14ac:dyDescent="0.3">
      <c r="B17" s="4" t="s">
        <v>131</v>
      </c>
      <c r="C17" s="5">
        <f>'DCF Model'!C53</f>
        <v>3093594.0128326621</v>
      </c>
    </row>
    <row r="18" spans="2:9" ht="14" x14ac:dyDescent="0.3">
      <c r="B18" s="4" t="s">
        <v>132</v>
      </c>
      <c r="C18" s="26">
        <v>0.17766034278448711</v>
      </c>
    </row>
    <row r="19" spans="2:9" ht="14" x14ac:dyDescent="0.3">
      <c r="B19" s="4" t="s">
        <v>133</v>
      </c>
      <c r="C19" s="5">
        <f>C10-C17</f>
        <v>1414196.8682258381</v>
      </c>
    </row>
    <row r="20" spans="2:9" ht="14" x14ac:dyDescent="0.3">
      <c r="B20" s="4" t="s">
        <v>134</v>
      </c>
      <c r="C20" s="15">
        <f>IFERROR(ROUND(C19*1000000/C7,0),"N/A")</f>
        <v>789</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350548.97239148943</v>
      </c>
    </row>
    <row r="25" spans="2:9" ht="14" x14ac:dyDescent="0.3">
      <c r="B25" s="4" t="s">
        <v>138</v>
      </c>
      <c r="C25" s="5">
        <f>IFERROR(C24/(1-C13),"N/A")</f>
        <v>467398.62985531922</v>
      </c>
    </row>
    <row r="26" spans="2:9" ht="13.5" x14ac:dyDescent="0.25">
      <c r="B26" s="6" t="s">
        <v>139</v>
      </c>
      <c r="C26" s="14">
        <f>IFERROR(C25/C15,"N/A")</f>
        <v>1.2298054508782037</v>
      </c>
    </row>
    <row r="27" spans="2:9" ht="13.5" x14ac:dyDescent="0.25">
      <c r="B27" s="6" t="s">
        <v>140</v>
      </c>
      <c r="C27" s="14">
        <f>IFERROR(C25/C14,"N/A")</f>
        <v>1.2298054508782037</v>
      </c>
    </row>
    <row r="28" spans="2:9" ht="13.5" x14ac:dyDescent="0.25">
      <c r="B28" s="6" t="s">
        <v>141</v>
      </c>
      <c r="C28" s="7">
        <f>IFERROR(C25/C16,"N/A")</f>
        <v>0.18051085104288717</v>
      </c>
    </row>
    <row r="29" spans="2:9" ht="13.5" x14ac:dyDescent="0.25">
      <c r="B29" s="6" t="s">
        <v>142</v>
      </c>
      <c r="C29" s="5">
        <f>IFERROR(C25/C18,"N/A")</f>
        <v>2630855.1617639419</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6.7765136325306854E-2</v>
      </c>
      <c r="E36" s="29">
        <f>'DCF Model'!C26-0.01</f>
        <v>7.7765136325306863E-2</v>
      </c>
      <c r="F36" s="29">
        <f>'DCF Model'!C26</f>
        <v>8.7765136325306858E-2</v>
      </c>
      <c r="G36" s="29">
        <f>'DCF Model'!C26+0.01</f>
        <v>9.7765136325306853E-2</v>
      </c>
      <c r="H36" s="29">
        <f>'DCF Model'!C26+0.02</f>
        <v>0.10776513632530686</v>
      </c>
    </row>
    <row r="37" spans="2:9" ht="14" x14ac:dyDescent="0.3">
      <c r="B37" s="3" t="s">
        <v>148</v>
      </c>
    </row>
    <row r="38" spans="2:9" ht="14" x14ac:dyDescent="0.3">
      <c r="B38" s="4" t="s">
        <v>149</v>
      </c>
      <c r="C38" s="30">
        <v>3</v>
      </c>
      <c r="D38" s="13">
        <f t="shared" ref="D38:H41" si="0">IFERROR((1-(1+D$36)^(-$C38))/D$36-(1+D$36)/(D$36^2*$C38)*(1-($C38+1)/(1+D$36)^$C38+$C38/(1+D$36)^($C38+1)),"N/A")</f>
        <v>0.91672330099106158</v>
      </c>
      <c r="E38" s="13">
        <f t="shared" si="0"/>
        <v>0.90552998228768722</v>
      </c>
      <c r="F38" s="13">
        <f t="shared" si="0"/>
        <v>0.89459142722936069</v>
      </c>
      <c r="G38" s="13">
        <f t="shared" si="0"/>
        <v>0.88389934777722878</v>
      </c>
      <c r="H38" s="13">
        <f t="shared" si="0"/>
        <v>0.87344580260371729</v>
      </c>
    </row>
    <row r="39" spans="2:9" ht="14" x14ac:dyDescent="0.3">
      <c r="B39" s="4" t="s">
        <v>150</v>
      </c>
      <c r="C39" s="30">
        <v>5</v>
      </c>
      <c r="D39" s="13">
        <f t="shared" si="0"/>
        <v>1.7579218807097416</v>
      </c>
      <c r="E39" s="13">
        <f t="shared" si="0"/>
        <v>1.7265570071548226</v>
      </c>
      <c r="F39" s="13">
        <f t="shared" si="0"/>
        <v>1.6961722495047931</v>
      </c>
      <c r="G39" s="13">
        <f t="shared" si="0"/>
        <v>1.6667257717474984</v>
      </c>
      <c r="H39" s="13">
        <f t="shared" si="0"/>
        <v>1.6381779566096721</v>
      </c>
    </row>
    <row r="40" spans="2:9" ht="14" x14ac:dyDescent="0.3">
      <c r="B40" s="4" t="s">
        <v>151</v>
      </c>
      <c r="C40" s="30">
        <v>7</v>
      </c>
      <c r="D40" s="13">
        <f t="shared" si="0"/>
        <v>2.5305804839482477</v>
      </c>
      <c r="E40" s="13">
        <f t="shared" si="0"/>
        <v>2.4719305774144953</v>
      </c>
      <c r="F40" s="13">
        <f t="shared" si="0"/>
        <v>2.4155913989225741</v>
      </c>
      <c r="G40" s="13">
        <f t="shared" si="0"/>
        <v>2.3614416312999156</v>
      </c>
      <c r="H40" s="13">
        <f t="shared" si="0"/>
        <v>2.3093677108983721</v>
      </c>
    </row>
    <row r="41" spans="2:9" ht="14" x14ac:dyDescent="0.3">
      <c r="B41" s="4" t="s">
        <v>152</v>
      </c>
      <c r="C41" s="30">
        <v>10</v>
      </c>
      <c r="D41" s="13">
        <f t="shared" si="0"/>
        <v>3.5746587777676684</v>
      </c>
      <c r="E41" s="13">
        <f t="shared" si="0"/>
        <v>3.4650977977017132</v>
      </c>
      <c r="F41" s="13">
        <f t="shared" si="0"/>
        <v>3.3611252887855634</v>
      </c>
      <c r="G41" s="13">
        <f t="shared" si="0"/>
        <v>3.2623689929995354</v>
      </c>
      <c r="H41" s="13">
        <f t="shared" si="0"/>
        <v>3.1684862950049006</v>
      </c>
    </row>
    <row r="42" spans="2:9" ht="14" x14ac:dyDescent="0.3">
      <c r="B42" s="3" t="s">
        <v>153</v>
      </c>
    </row>
    <row r="43" spans="2:9" ht="14" x14ac:dyDescent="0.3">
      <c r="B43" s="4" t="s">
        <v>149</v>
      </c>
      <c r="C43" s="30">
        <v>3</v>
      </c>
      <c r="D43" s="13">
        <f t="shared" ref="D43:H46" si="1">IFERROR((1+D$36)/(D$36^2*$C43)*(1-($C43+1)/(1+D$36)^$C43+$C43/(1+D$36)^($C43+1))+(1+$C$12)/((D$36-$C$12)*(1+D$36)^$C43),"N/A")</f>
        <v>16.080789711953628</v>
      </c>
      <c r="E43" s="13">
        <f t="shared" si="1"/>
        <v>13.587358442830229</v>
      </c>
      <c r="F43" s="13">
        <f t="shared" si="1"/>
        <v>11.737745691651279</v>
      </c>
      <c r="G43" s="13">
        <f t="shared" si="1"/>
        <v>10.311804064167118</v>
      </c>
      <c r="H43" s="13">
        <f t="shared" si="1"/>
        <v>9.1794610629831244</v>
      </c>
    </row>
    <row r="44" spans="2:9" ht="14" x14ac:dyDescent="0.3">
      <c r="B44" s="4" t="s">
        <v>150</v>
      </c>
      <c r="C44" s="30">
        <v>5</v>
      </c>
      <c r="D44" s="13">
        <f t="shared" si="1"/>
        <v>14.964211091589542</v>
      </c>
      <c r="E44" s="13">
        <f t="shared" si="1"/>
        <v>12.539086795449345</v>
      </c>
      <c r="F44" s="13">
        <f t="shared" si="1"/>
        <v>10.744405690054705</v>
      </c>
      <c r="G44" s="13">
        <f t="shared" si="1"/>
        <v>9.3643900465666459</v>
      </c>
      <c r="H44" s="13">
        <f t="shared" si="1"/>
        <v>8.2715604220824197</v>
      </c>
    </row>
    <row r="45" spans="2:9" ht="14" x14ac:dyDescent="0.3">
      <c r="B45" s="4" t="s">
        <v>151</v>
      </c>
      <c r="C45" s="30">
        <v>7</v>
      </c>
      <c r="D45" s="13">
        <f t="shared" si="1"/>
        <v>13.950016979582918</v>
      </c>
      <c r="E45" s="13">
        <f t="shared" si="1"/>
        <v>11.598078766426898</v>
      </c>
      <c r="F45" s="13">
        <f t="shared" si="1"/>
        <v>9.8629227876404446</v>
      </c>
      <c r="G45" s="13">
        <f t="shared" si="1"/>
        <v>8.5330969798692422</v>
      </c>
      <c r="H45" s="13">
        <f t="shared" si="1"/>
        <v>7.4837025881861887</v>
      </c>
    </row>
    <row r="46" spans="2:9" ht="14" x14ac:dyDescent="0.3">
      <c r="B46" s="4" t="s">
        <v>152</v>
      </c>
      <c r="C46" s="30">
        <v>10</v>
      </c>
      <c r="D46" s="13">
        <f t="shared" si="1"/>
        <v>12.59813649926703</v>
      </c>
      <c r="E46" s="13">
        <f t="shared" si="1"/>
        <v>10.361280057779368</v>
      </c>
      <c r="F46" s="13">
        <f t="shared" si="1"/>
        <v>8.7201106777735529</v>
      </c>
      <c r="G46" s="13">
        <f t="shared" si="1"/>
        <v>7.469621343609929</v>
      </c>
      <c r="H46" s="13">
        <f t="shared" si="1"/>
        <v>6.4887930914936529</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352095.82376113959</v>
      </c>
      <c r="E48" s="5">
        <f t="shared" si="2"/>
        <v>417022.41430621955</v>
      </c>
      <c r="F48" s="5">
        <f t="shared" si="2"/>
        <v>483090.23445644724</v>
      </c>
      <c r="G48" s="5">
        <f t="shared" si="2"/>
        <v>550287.21491255297</v>
      </c>
      <c r="H48" s="5">
        <f t="shared" si="2"/>
        <v>618601.33881042933</v>
      </c>
    </row>
    <row r="49" spans="2:9" ht="14" x14ac:dyDescent="0.3">
      <c r="B49" s="4" t="s">
        <v>150</v>
      </c>
      <c r="C49" s="30">
        <v>5</v>
      </c>
      <c r="D49" s="5">
        <f t="shared" si="2"/>
        <v>357003.37135401886</v>
      </c>
      <c r="E49" s="5">
        <f t="shared" si="2"/>
        <v>427000.338953887</v>
      </c>
      <c r="F49" s="5">
        <f t="shared" si="2"/>
        <v>499398.70731086208</v>
      </c>
      <c r="G49" s="5">
        <f t="shared" si="2"/>
        <v>574189.42233169219</v>
      </c>
      <c r="H49" s="5">
        <f t="shared" si="2"/>
        <v>651362.41416027863</v>
      </c>
    </row>
    <row r="50" spans="2:9" ht="14" x14ac:dyDescent="0.3">
      <c r="B50" s="4" t="s">
        <v>151</v>
      </c>
      <c r="C50" s="30">
        <v>7</v>
      </c>
      <c r="D50" s="5">
        <f t="shared" si="2"/>
        <v>361907.65650332504</v>
      </c>
      <c r="E50" s="5">
        <f t="shared" si="2"/>
        <v>437219.68786490557</v>
      </c>
      <c r="F50" s="5">
        <f t="shared" si="2"/>
        <v>516309.48549141787</v>
      </c>
      <c r="G50" s="5">
        <f t="shared" si="2"/>
        <v>599184.64638608461</v>
      </c>
      <c r="H50" s="5">
        <f t="shared" si="2"/>
        <v>685849.25684747309</v>
      </c>
    </row>
    <row r="51" spans="2:9" ht="14" x14ac:dyDescent="0.3">
      <c r="B51" s="4" t="s">
        <v>152</v>
      </c>
      <c r="C51" s="30">
        <v>10</v>
      </c>
      <c r="D51" s="5">
        <f t="shared" si="2"/>
        <v>369245.61035375175</v>
      </c>
      <c r="E51" s="5">
        <f t="shared" si="2"/>
        <v>452979.38202053757</v>
      </c>
      <c r="F51" s="5">
        <f t="shared" si="2"/>
        <v>542763.97401061619</v>
      </c>
      <c r="G51" s="5">
        <f t="shared" si="2"/>
        <v>638652.87473801605</v>
      </c>
      <c r="H51" s="5">
        <f t="shared" si="2"/>
        <v>740688.75996656786</v>
      </c>
    </row>
    <row r="52" spans="2:9" ht="14" x14ac:dyDescent="0.3">
      <c r="B52" s="22" t="s">
        <v>155</v>
      </c>
      <c r="C52" s="23"/>
      <c r="D52" s="23"/>
      <c r="E52" s="23"/>
      <c r="F52" s="23"/>
      <c r="G52" s="23"/>
      <c r="H52" s="23"/>
      <c r="I52" s="23"/>
    </row>
    <row r="53" spans="2:9" ht="14" x14ac:dyDescent="0.3">
      <c r="B53" s="4" t="s">
        <v>149</v>
      </c>
      <c r="C53" s="30">
        <v>3</v>
      </c>
      <c r="D53" s="14">
        <f t="shared" ref="D53:H56" si="3">IFERROR(D48/$C$15,"N/A")</f>
        <v>0.92642411773208788</v>
      </c>
      <c r="E53" s="14">
        <f t="shared" si="3"/>
        <v>1.0972570424755619</v>
      </c>
      <c r="F53" s="14">
        <f t="shared" si="3"/>
        <v>1.2710927368025682</v>
      </c>
      <c r="G53" s="14">
        <f t="shared" si="3"/>
        <v>1.4478994443298356</v>
      </c>
      <c r="H53" s="14">
        <f t="shared" si="3"/>
        <v>1.6276455466399409</v>
      </c>
    </row>
    <row r="54" spans="2:9" ht="14" x14ac:dyDescent="0.3">
      <c r="B54" s="4" t="s">
        <v>150</v>
      </c>
      <c r="C54" s="30">
        <v>5</v>
      </c>
      <c r="D54" s="14">
        <f t="shared" si="3"/>
        <v>0.93933671181058431</v>
      </c>
      <c r="E54" s="14">
        <f t="shared" si="3"/>
        <v>1.1235106626968103</v>
      </c>
      <c r="F54" s="14">
        <f t="shared" si="3"/>
        <v>1.3140031082302013</v>
      </c>
      <c r="G54" s="14">
        <f t="shared" si="3"/>
        <v>1.5107902255483812</v>
      </c>
      <c r="H54" s="14">
        <f t="shared" si="3"/>
        <v>1.7138455191438136</v>
      </c>
    </row>
    <row r="55" spans="2:9" ht="14" x14ac:dyDescent="0.3">
      <c r="B55" s="4" t="s">
        <v>151</v>
      </c>
      <c r="C55" s="30">
        <v>7</v>
      </c>
      <c r="D55" s="14">
        <f t="shared" si="3"/>
        <v>0.95224072184404274</v>
      </c>
      <c r="E55" s="14">
        <f t="shared" si="3"/>
        <v>1.1503995112993128</v>
      </c>
      <c r="F55" s="14">
        <f t="shared" si="3"/>
        <v>1.3584982476179168</v>
      </c>
      <c r="G55" s="14">
        <f t="shared" si="3"/>
        <v>1.5765569198100415</v>
      </c>
      <c r="H55" s="14">
        <f t="shared" si="3"/>
        <v>1.8045862796236192</v>
      </c>
    </row>
    <row r="56" spans="2:9" ht="14" x14ac:dyDescent="0.3">
      <c r="B56" s="4" t="s">
        <v>152</v>
      </c>
      <c r="C56" s="30">
        <v>10</v>
      </c>
      <c r="D56" s="14">
        <f t="shared" si="3"/>
        <v>0.97154812898458331</v>
      </c>
      <c r="E56" s="14">
        <f t="shared" si="3"/>
        <v>1.1918659524456401</v>
      </c>
      <c r="F56" s="14">
        <f t="shared" si="3"/>
        <v>1.4281045153794969</v>
      </c>
      <c r="G56" s="14">
        <f t="shared" si="3"/>
        <v>1.6804045549191469</v>
      </c>
      <c r="H56" s="14">
        <f t="shared" si="3"/>
        <v>1.9488783582721836</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499398.70731086208</v>
      </c>
    </row>
    <row r="62" spans="2:9" ht="14" x14ac:dyDescent="0.3">
      <c r="B62" s="28" t="s">
        <v>159</v>
      </c>
      <c r="C62" s="28" t="s">
        <v>160</v>
      </c>
      <c r="D62" s="28" t="s">
        <v>161</v>
      </c>
    </row>
    <row r="63" spans="2:9" ht="14" x14ac:dyDescent="0.3">
      <c r="B63" s="31">
        <v>8.8800000000000004E-2</v>
      </c>
      <c r="C63" s="5">
        <f>IFERROR($C$60/B63,"N/A")</f>
        <v>5623859.3165637618</v>
      </c>
      <c r="D63" s="14">
        <f>IFERROR(C63/'DCF Model'!C17,"N/A")</f>
        <v>2.6288991286943579</v>
      </c>
    </row>
    <row r="64" spans="2:9" ht="14" x14ac:dyDescent="0.3">
      <c r="B64" s="31">
        <v>0.13320000000000001</v>
      </c>
      <c r="C64" s="5">
        <f>IFERROR($C$60/B64,"N/A")</f>
        <v>3749239.544375841</v>
      </c>
      <c r="D64" s="14">
        <f>IFERROR(C64/'DCF Model'!C17,"N/A")</f>
        <v>1.752599419129572</v>
      </c>
    </row>
    <row r="65" spans="2:9" ht="14" x14ac:dyDescent="0.3">
      <c r="B65" s="4" t="s">
        <v>162</v>
      </c>
      <c r="C65" s="5">
        <f>IFERROR($C$60/$C$18,"N/A")</f>
        <v>2810974.5792659163</v>
      </c>
      <c r="D65" s="14">
        <f>IFERROR(C65/'DCF Model'!C17,"N/A")</f>
        <v>1.3140031082302011</v>
      </c>
    </row>
    <row r="66" spans="2:9" ht="14" x14ac:dyDescent="0.3">
      <c r="B66" s="31">
        <v>0.22209999999999999</v>
      </c>
      <c r="C66" s="5">
        <f>IFERROR($C$60/B66,"N/A")</f>
        <v>2248530.8748800633</v>
      </c>
      <c r="D66" s="14">
        <f>IFERROR(C66/'DCF Model'!C17,"N/A")</f>
        <v>1.0510861892303422</v>
      </c>
    </row>
    <row r="67" spans="2:9" ht="14" x14ac:dyDescent="0.3">
      <c r="B67" s="31">
        <v>0.26650000000000001</v>
      </c>
      <c r="C67" s="5">
        <f>IFERROR($C$60/B67,"N/A")</f>
        <v>1873916.3501345669</v>
      </c>
      <c r="D67" s="14">
        <f>IFERROR(C67/'DCF Model'!C17,"N/A")</f>
        <v>0.8759708916625103</v>
      </c>
    </row>
    <row r="69" spans="2:9" ht="14" x14ac:dyDescent="0.3">
      <c r="B69" s="8" t="s">
        <v>163</v>
      </c>
      <c r="C69" s="9"/>
      <c r="D69" s="9"/>
      <c r="E69" s="9"/>
      <c r="F69" s="9"/>
      <c r="G69" s="9"/>
      <c r="H69" s="9"/>
      <c r="I69" s="9"/>
    </row>
    <row r="70" spans="2:9" ht="13.5" x14ac:dyDescent="0.25">
      <c r="B70" s="6" t="s">
        <v>164</v>
      </c>
      <c r="C70" s="14">
        <f>IFERROR(C10/'Comps Analysis'!G5,"N/A")</f>
        <v>7.8443702217834073</v>
      </c>
    </row>
    <row r="71" spans="2:9" ht="13.5" x14ac:dyDescent="0.25">
      <c r="B71" s="6" t="s">
        <v>165</v>
      </c>
      <c r="C71" s="14">
        <f>IFERROR(C10/'Comps Analysis'!F5,"N/A")</f>
        <v>2.1071877606625233</v>
      </c>
    </row>
    <row r="72" spans="2:9" ht="14" x14ac:dyDescent="0.3">
      <c r="B72" s="4" t="s">
        <v>166</v>
      </c>
      <c r="C72" s="14">
        <f>IFERROR(C10/(C25+'DCF Model'!G42),"N/A")</f>
        <v>6.4119842727239948</v>
      </c>
    </row>
    <row r="73" spans="2:9" ht="14" x14ac:dyDescent="0.3">
      <c r="B73" s="4" t="s">
        <v>167</v>
      </c>
      <c r="C73" s="14">
        <f>IFERROR(C10/(C60+'DCF Model'!G42),"N/A")</f>
        <v>6.1328322353034377</v>
      </c>
    </row>
    <row r="74" spans="2:9" ht="14" x14ac:dyDescent="0.3">
      <c r="B74" s="4" t="s">
        <v>168</v>
      </c>
      <c r="C74" s="14">
        <f>IFERROR('Comps Analysis'!D16,"N/A")</f>
        <v>12.004034900825278</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2,356 yen the market is paying for a steady-state operating profit of 499,399 mn JPY - 1.31x the FY2026 cycle peak of 380,059 mn - reached in 5 years and sustained for ever, against 380,059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467,399 mn, or 1.23x the peak. The base case supports an EV of only 3,093,594 mn, leaving 789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127.42108547641809</v>
      </c>
      <c r="D5" s="34">
        <f>CHOOSE('DCF Model'!$D$27,D25,D26,D27,D28,D29)</f>
        <v>118</v>
      </c>
      <c r="E5" s="34">
        <f>CHOOSE('DCF Model'!$D$27,E25,E26,E27,E28,E29)</f>
        <v>118</v>
      </c>
      <c r="F5" s="34">
        <f>CHOOSE('DCF Model'!$D$27,F25,F26,F27,F28,F29)</f>
        <v>118</v>
      </c>
      <c r="G5" s="34">
        <f>CHOOSE('DCF Model'!$D$27,G25,G26,G27,G28,G29)</f>
        <v>118</v>
      </c>
      <c r="H5" s="34">
        <f>CHOOSE('DCF Model'!$D$27,H25,H26,H27,H28,H29)</f>
        <v>118</v>
      </c>
    </row>
    <row r="6" spans="2:8" ht="14" x14ac:dyDescent="0.3">
      <c r="B6" s="33" t="s">
        <v>175</v>
      </c>
      <c r="C6" s="34">
        <f>C13/C10*365</f>
        <v>295.81885090567204</v>
      </c>
      <c r="D6" s="34">
        <f>CHOOSE('DCF Model'!$D$27,D32,D33,D34,D35,D36)</f>
        <v>284</v>
      </c>
      <c r="E6" s="34">
        <f>CHOOSE('DCF Model'!$D$27,E32,E33,E34,E35,E36)</f>
        <v>284</v>
      </c>
      <c r="F6" s="34">
        <f>CHOOSE('DCF Model'!$D$27,F32,F33,F34,F35,F36)</f>
        <v>284</v>
      </c>
      <c r="G6" s="34">
        <f>CHOOSE('DCF Model'!$D$27,G32,G33,G34,G35,G36)</f>
        <v>284</v>
      </c>
      <c r="H6" s="34">
        <f>CHOOSE('DCF Model'!$D$27,H32,H33,H34,H35,H36)</f>
        <v>284</v>
      </c>
    </row>
    <row r="7" spans="2:8" ht="14" x14ac:dyDescent="0.3">
      <c r="B7" s="33" t="s">
        <v>176</v>
      </c>
      <c r="C7" s="34">
        <f>C15/C10*365</f>
        <v>178.51331697786134</v>
      </c>
      <c r="D7" s="34">
        <f>CHOOSE('DCF Model'!$D$27,D39,D40,D41,D42,D43)</f>
        <v>196</v>
      </c>
      <c r="E7" s="34">
        <f>CHOOSE('DCF Model'!$D$27,E39,E40,E41,E42,E43)</f>
        <v>196</v>
      </c>
      <c r="F7" s="34">
        <f>CHOOSE('DCF Model'!$D$27,F39,F40,F41,F42,F43)</f>
        <v>196</v>
      </c>
      <c r="G7" s="34">
        <f>CHOOSE('DCF Model'!$D$27,G39,G40,G41,G42,G43)</f>
        <v>196</v>
      </c>
      <c r="H7" s="34">
        <f>CHOOSE('DCF Model'!$D$27,H39,H40,H41,H42,H43)</f>
        <v>196</v>
      </c>
    </row>
    <row r="8" spans="2:8" ht="14" x14ac:dyDescent="0.3">
      <c r="B8" s="8" t="s">
        <v>177</v>
      </c>
      <c r="C8" s="9"/>
      <c r="D8" s="9"/>
      <c r="E8" s="9"/>
      <c r="F8" s="9"/>
      <c r="G8" s="9"/>
      <c r="H8" s="9"/>
    </row>
    <row r="9" spans="2:8" ht="14" x14ac:dyDescent="0.3">
      <c r="B9" s="33" t="s">
        <v>32</v>
      </c>
      <c r="C9" s="35">
        <v>2139245</v>
      </c>
      <c r="D9" s="35">
        <f>'DCF Model'!C33</f>
        <v>2267599.7000000002</v>
      </c>
      <c r="E9" s="35">
        <f>'DCF Model'!D33</f>
        <v>2369641.6864999998</v>
      </c>
      <c r="F9" s="35">
        <f>'DCF Model'!E33</f>
        <v>2452579.1455274997</v>
      </c>
      <c r="G9" s="35">
        <f>'DCF Model'!F33</f>
        <v>2526156.5198933249</v>
      </c>
      <c r="H9" s="35">
        <f>'DCF Model'!G33</f>
        <v>2589310.4328906578</v>
      </c>
    </row>
    <row r="10" spans="2:8" ht="14" x14ac:dyDescent="0.3">
      <c r="B10" s="33" t="s">
        <v>33</v>
      </c>
      <c r="C10" s="35">
        <v>408426</v>
      </c>
      <c r="D10" s="35">
        <f>'DCF Model'!C34</f>
        <v>433111.54270000005</v>
      </c>
      <c r="E10" s="35">
        <f>'DCF Model'!D34</f>
        <v>452601.56212149997</v>
      </c>
      <c r="F10" s="35">
        <f>'DCF Model'!E34</f>
        <v>468442.61679575243</v>
      </c>
      <c r="G10" s="35">
        <f>'DCF Model'!F34</f>
        <v>482495.89529962506</v>
      </c>
      <c r="H10" s="35">
        <f>'DCF Model'!G34</f>
        <v>494558.29268211563</v>
      </c>
    </row>
    <row r="11" spans="2:8" ht="14" x14ac:dyDescent="0.3">
      <c r="B11" s="8" t="s">
        <v>178</v>
      </c>
      <c r="C11" s="9"/>
      <c r="D11" s="9"/>
      <c r="E11" s="9"/>
      <c r="F11" s="9"/>
      <c r="G11" s="9"/>
      <c r="H11" s="9"/>
    </row>
    <row r="12" spans="2:8" ht="14" x14ac:dyDescent="0.3">
      <c r="B12" s="33" t="s">
        <v>179</v>
      </c>
      <c r="C12" s="35">
        <v>746808</v>
      </c>
      <c r="D12" s="35">
        <f t="shared" ref="D12:H13" si="0">D9*D5/365</f>
        <v>733087.02630136989</v>
      </c>
      <c r="E12" s="35">
        <f t="shared" si="0"/>
        <v>766075.94248493144</v>
      </c>
      <c r="F12" s="35">
        <f t="shared" si="0"/>
        <v>792888.60047190404</v>
      </c>
      <c r="G12" s="35">
        <f t="shared" si="0"/>
        <v>816675.25848606124</v>
      </c>
      <c r="H12" s="35">
        <f t="shared" si="0"/>
        <v>837092.13994821266</v>
      </c>
    </row>
    <row r="13" spans="2:8" ht="14" x14ac:dyDescent="0.3">
      <c r="B13" s="33" t="s">
        <v>180</v>
      </c>
      <c r="C13" s="35">
        <v>331014</v>
      </c>
      <c r="D13" s="35">
        <f t="shared" si="0"/>
        <v>336996.37842958909</v>
      </c>
      <c r="E13" s="35">
        <f t="shared" si="0"/>
        <v>352161.21545892052</v>
      </c>
      <c r="F13" s="35">
        <f t="shared" si="0"/>
        <v>364486.85799998272</v>
      </c>
      <c r="G13" s="35">
        <f t="shared" si="0"/>
        <v>375421.46373998222</v>
      </c>
      <c r="H13" s="35">
        <f t="shared" si="0"/>
        <v>384807.00033348176</v>
      </c>
    </row>
    <row r="14" spans="2:8" ht="14" x14ac:dyDescent="0.3">
      <c r="B14" s="33" t="s">
        <v>181</v>
      </c>
      <c r="C14" s="35">
        <f t="shared" ref="C14:H14" si="1">C12+C13</f>
        <v>1077822</v>
      </c>
      <c r="D14" s="35">
        <f t="shared" si="1"/>
        <v>1070083.4047309589</v>
      </c>
      <c r="E14" s="35">
        <f t="shared" si="1"/>
        <v>1118237.157943852</v>
      </c>
      <c r="F14" s="35">
        <f t="shared" si="1"/>
        <v>1157375.4584718868</v>
      </c>
      <c r="G14" s="35">
        <f t="shared" si="1"/>
        <v>1192096.7222260435</v>
      </c>
      <c r="H14" s="35">
        <f t="shared" si="1"/>
        <v>1221899.1402816945</v>
      </c>
    </row>
    <row r="15" spans="2:8" ht="14" x14ac:dyDescent="0.3">
      <c r="B15" s="33" t="s">
        <v>182</v>
      </c>
      <c r="C15" s="35">
        <v>199752</v>
      </c>
      <c r="D15" s="35">
        <f>D10*D7/365</f>
        <v>232574.96539506852</v>
      </c>
      <c r="E15" s="35">
        <f>E10*E7/365</f>
        <v>243040.83883784653</v>
      </c>
      <c r="F15" s="35">
        <f>F10*F7/365</f>
        <v>251547.26819717116</v>
      </c>
      <c r="G15" s="35">
        <f>G10*G7/365</f>
        <v>259093.68624308633</v>
      </c>
      <c r="H15" s="35">
        <f>H10*H7/365</f>
        <v>265571.02839916345</v>
      </c>
    </row>
    <row r="16" spans="2:8" ht="14" x14ac:dyDescent="0.3">
      <c r="B16" s="33" t="s">
        <v>183</v>
      </c>
      <c r="C16" s="35">
        <f t="shared" ref="C16:H16" si="2">C15</f>
        <v>199752</v>
      </c>
      <c r="D16" s="35">
        <f t="shared" si="2"/>
        <v>232574.96539506852</v>
      </c>
      <c r="E16" s="35">
        <f t="shared" si="2"/>
        <v>243040.83883784653</v>
      </c>
      <c r="F16" s="35">
        <f t="shared" si="2"/>
        <v>251547.26819717116</v>
      </c>
      <c r="G16" s="35">
        <f t="shared" si="2"/>
        <v>259093.68624308633</v>
      </c>
      <c r="H16" s="35">
        <f t="shared" si="2"/>
        <v>265571.02839916345</v>
      </c>
    </row>
    <row r="17" spans="2:8" ht="14" x14ac:dyDescent="0.3">
      <c r="B17" s="22" t="s">
        <v>184</v>
      </c>
      <c r="C17" s="23"/>
      <c r="D17" s="23"/>
      <c r="E17" s="23"/>
      <c r="F17" s="23"/>
      <c r="G17" s="23"/>
      <c r="H17" s="23"/>
    </row>
    <row r="18" spans="2:8" ht="14" x14ac:dyDescent="0.3">
      <c r="B18" s="33" t="s">
        <v>185</v>
      </c>
      <c r="C18" s="20">
        <f t="shared" ref="C18:H18" si="3">C14-C16</f>
        <v>878070</v>
      </c>
      <c r="D18" s="20">
        <f t="shared" si="3"/>
        <v>837508.43933589035</v>
      </c>
      <c r="E18" s="20">
        <f t="shared" si="3"/>
        <v>875196.31910600548</v>
      </c>
      <c r="F18" s="20">
        <f t="shared" si="3"/>
        <v>905828.19027471566</v>
      </c>
      <c r="G18" s="20">
        <f t="shared" si="3"/>
        <v>933003.03598295711</v>
      </c>
      <c r="H18" s="20">
        <f t="shared" si="3"/>
        <v>956328.11188253108</v>
      </c>
    </row>
    <row r="19" spans="2:8" ht="14" x14ac:dyDescent="0.3">
      <c r="B19" s="33" t="s">
        <v>94</v>
      </c>
      <c r="C19" s="36" t="s">
        <v>42</v>
      </c>
      <c r="D19" s="24">
        <f>D18-C18</f>
        <v>-40561.560664109653</v>
      </c>
      <c r="E19" s="24">
        <f>E18-D18</f>
        <v>37687.879770115134</v>
      </c>
      <c r="F19" s="24">
        <f>F18-E18</f>
        <v>30631.871168710175</v>
      </c>
      <c r="G19" s="24">
        <f>G18-F18</f>
        <v>27174.845708241453</v>
      </c>
      <c r="H19" s="24">
        <f>H18-G18</f>
        <v>23325.075899573974</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118</v>
      </c>
      <c r="E25" s="30">
        <v>118</v>
      </c>
      <c r="F25" s="30">
        <v>118</v>
      </c>
      <c r="G25" s="30">
        <v>118</v>
      </c>
      <c r="H25" s="30">
        <v>118</v>
      </c>
    </row>
    <row r="26" spans="2:8" ht="14" x14ac:dyDescent="0.3">
      <c r="B26" s="4" t="s">
        <v>115</v>
      </c>
      <c r="D26" s="30">
        <v>113</v>
      </c>
      <c r="E26" s="30">
        <v>113</v>
      </c>
      <c r="F26" s="30">
        <v>113</v>
      </c>
      <c r="G26" s="30">
        <v>113</v>
      </c>
      <c r="H26" s="30">
        <v>113</v>
      </c>
    </row>
    <row r="27" spans="2:8" ht="14" x14ac:dyDescent="0.3">
      <c r="B27" s="4" t="s">
        <v>116</v>
      </c>
      <c r="D27" s="30">
        <v>118</v>
      </c>
      <c r="E27" s="30">
        <v>118</v>
      </c>
      <c r="F27" s="30">
        <v>118</v>
      </c>
      <c r="G27" s="30">
        <v>118</v>
      </c>
      <c r="H27" s="30">
        <v>118</v>
      </c>
    </row>
    <row r="28" spans="2:8" ht="14" x14ac:dyDescent="0.3">
      <c r="B28" s="4" t="s">
        <v>117</v>
      </c>
      <c r="D28" s="30">
        <v>124</v>
      </c>
      <c r="E28" s="30">
        <v>124</v>
      </c>
      <c r="F28" s="30">
        <v>124</v>
      </c>
      <c r="G28" s="30">
        <v>124</v>
      </c>
      <c r="H28" s="30">
        <v>124</v>
      </c>
    </row>
    <row r="29" spans="2:8" ht="14" x14ac:dyDescent="0.3">
      <c r="B29" s="4" t="s">
        <v>118</v>
      </c>
      <c r="D29" s="30">
        <v>130</v>
      </c>
      <c r="E29" s="30">
        <v>130</v>
      </c>
      <c r="F29" s="30">
        <v>130</v>
      </c>
      <c r="G29" s="30">
        <v>130</v>
      </c>
      <c r="H29" s="30">
        <v>130</v>
      </c>
    </row>
    <row r="31" spans="2:8" ht="14" x14ac:dyDescent="0.3">
      <c r="B31" s="3" t="s">
        <v>188</v>
      </c>
    </row>
    <row r="32" spans="2:8" ht="14" x14ac:dyDescent="0.3">
      <c r="B32" s="4" t="s">
        <v>78</v>
      </c>
      <c r="D32" s="30">
        <v>284</v>
      </c>
      <c r="E32" s="30">
        <v>284</v>
      </c>
      <c r="F32" s="30">
        <v>284</v>
      </c>
      <c r="G32" s="30">
        <v>284</v>
      </c>
      <c r="H32" s="30">
        <v>284</v>
      </c>
    </row>
    <row r="33" spans="2:8" ht="14" x14ac:dyDescent="0.3">
      <c r="B33" s="4" t="s">
        <v>115</v>
      </c>
      <c r="D33" s="30">
        <v>272</v>
      </c>
      <c r="E33" s="30">
        <v>272</v>
      </c>
      <c r="F33" s="30">
        <v>272</v>
      </c>
      <c r="G33" s="30">
        <v>272</v>
      </c>
      <c r="H33" s="30">
        <v>272</v>
      </c>
    </row>
    <row r="34" spans="2:8" ht="14" x14ac:dyDescent="0.3">
      <c r="B34" s="4" t="s">
        <v>116</v>
      </c>
      <c r="D34" s="30">
        <v>284</v>
      </c>
      <c r="E34" s="30">
        <v>284</v>
      </c>
      <c r="F34" s="30">
        <v>284</v>
      </c>
      <c r="G34" s="30">
        <v>284</v>
      </c>
      <c r="H34" s="30">
        <v>284</v>
      </c>
    </row>
    <row r="35" spans="2:8" ht="14" x14ac:dyDescent="0.3">
      <c r="B35" s="4" t="s">
        <v>117</v>
      </c>
      <c r="D35" s="30">
        <v>298</v>
      </c>
      <c r="E35" s="30">
        <v>298</v>
      </c>
      <c r="F35" s="30">
        <v>298</v>
      </c>
      <c r="G35" s="30">
        <v>298</v>
      </c>
      <c r="H35" s="30">
        <v>298</v>
      </c>
    </row>
    <row r="36" spans="2:8" ht="14" x14ac:dyDescent="0.3">
      <c r="B36" s="4" t="s">
        <v>118</v>
      </c>
      <c r="D36" s="30">
        <v>313</v>
      </c>
      <c r="E36" s="30">
        <v>313</v>
      </c>
      <c r="F36" s="30">
        <v>313</v>
      </c>
      <c r="G36" s="30">
        <v>313</v>
      </c>
      <c r="H36" s="30">
        <v>313</v>
      </c>
    </row>
    <row r="38" spans="2:8" ht="14" x14ac:dyDescent="0.3">
      <c r="B38" s="3" t="s">
        <v>189</v>
      </c>
    </row>
    <row r="39" spans="2:8" ht="14" x14ac:dyDescent="0.3">
      <c r="B39" s="4" t="s">
        <v>78</v>
      </c>
      <c r="D39" s="30">
        <v>196</v>
      </c>
      <c r="E39" s="30">
        <v>196</v>
      </c>
      <c r="F39" s="30">
        <v>196</v>
      </c>
      <c r="G39" s="30">
        <v>196</v>
      </c>
      <c r="H39" s="30">
        <v>196</v>
      </c>
    </row>
    <row r="40" spans="2:8" ht="14" x14ac:dyDescent="0.3">
      <c r="B40" s="4" t="s">
        <v>115</v>
      </c>
      <c r="D40" s="30">
        <v>202</v>
      </c>
      <c r="E40" s="30">
        <v>202</v>
      </c>
      <c r="F40" s="30">
        <v>202</v>
      </c>
      <c r="G40" s="30">
        <v>202</v>
      </c>
      <c r="H40" s="30">
        <v>202</v>
      </c>
    </row>
    <row r="41" spans="2:8" ht="14" x14ac:dyDescent="0.3">
      <c r="B41" s="4" t="s">
        <v>116</v>
      </c>
      <c r="D41" s="30">
        <v>196</v>
      </c>
      <c r="E41" s="30">
        <v>196</v>
      </c>
      <c r="F41" s="30">
        <v>196</v>
      </c>
      <c r="G41" s="30">
        <v>196</v>
      </c>
      <c r="H41" s="30">
        <v>196</v>
      </c>
    </row>
    <row r="42" spans="2:8" ht="14" x14ac:dyDescent="0.3">
      <c r="B42" s="4" t="s">
        <v>117</v>
      </c>
      <c r="D42" s="30">
        <v>190</v>
      </c>
      <c r="E42" s="30">
        <v>190</v>
      </c>
      <c r="F42" s="30">
        <v>190</v>
      </c>
      <c r="G42" s="30">
        <v>190</v>
      </c>
      <c r="H42" s="30">
        <v>190</v>
      </c>
    </row>
    <row r="43" spans="2:8" ht="14" x14ac:dyDescent="0.3">
      <c r="B43" s="4" t="s">
        <v>118</v>
      </c>
      <c r="D43" s="30">
        <v>184</v>
      </c>
      <c r="E43" s="30">
        <v>184</v>
      </c>
      <c r="F43" s="30">
        <v>184</v>
      </c>
      <c r="G43" s="30">
        <v>184</v>
      </c>
      <c r="H43" s="30">
        <v>184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4223443.8810585001</v>
      </c>
      <c r="E5" s="37">
        <f>D5+C24</f>
        <v>4507790.8810585001</v>
      </c>
      <c r="F5" s="37">
        <v>2139245</v>
      </c>
      <c r="G5" s="37">
        <v>574653</v>
      </c>
      <c r="H5" s="37">
        <v>380059</v>
      </c>
      <c r="I5" s="37">
        <v>291535</v>
      </c>
      <c r="J5" s="38">
        <f>IFERROR(E5/G5,"")</f>
        <v>7.8443702217834073</v>
      </c>
      <c r="K5" s="38">
        <f>IFERROR(E5/F5,"")</f>
        <v>2.1071877606625233</v>
      </c>
      <c r="L5" s="38">
        <f>IFERROR(D5/I5,"")</f>
        <v>14.486918829843759</v>
      </c>
      <c r="M5" s="38">
        <f>IFERROR(D5/P5,"")</f>
        <v>2.3090991146514246</v>
      </c>
      <c r="N5" s="39">
        <f>IFERROR(H5/F5,"")</f>
        <v>0.17766034278448706</v>
      </c>
      <c r="O5" s="39">
        <f>IFERROR(I5/P5,"")</f>
        <v>0.15939201025235042</v>
      </c>
      <c r="P5" s="37">
        <v>1829044</v>
      </c>
    </row>
    <row r="6" spans="2:17" ht="14" x14ac:dyDescent="0.3">
      <c r="B6" s="4" t="s">
        <v>208</v>
      </c>
      <c r="C6" t="s">
        <v>209</v>
      </c>
      <c r="D6" s="37">
        <v>5084111</v>
      </c>
      <c r="E6" s="37">
        <v>4934785</v>
      </c>
      <c r="F6" s="37">
        <v>2123045</v>
      </c>
      <c r="G6" s="37">
        <v>306549</v>
      </c>
      <c r="H6" s="37">
        <v>229089</v>
      </c>
      <c r="I6" s="37">
        <v>259874</v>
      </c>
      <c r="J6" s="38">
        <f>IFERROR(E6/G6,"")</f>
        <v>16.097866898929698</v>
      </c>
      <c r="K6" s="38">
        <f>IFERROR(E6/F6,"")</f>
        <v>2.3243902036932802</v>
      </c>
      <c r="L6" s="38">
        <f>IFERROR(D6/I6,"")</f>
        <v>19.563753973079262</v>
      </c>
      <c r="M6" s="38">
        <f>IFERROR(D6/P6,"")</f>
        <v>3.0550265326025627</v>
      </c>
      <c r="N6" s="39">
        <f>IFERROR(H6/F6,"")</f>
        <v>0.10790586162799187</v>
      </c>
      <c r="O6" s="39">
        <f>IFERROR(I6/P6,"")</f>
        <v>0.1561574806556266</v>
      </c>
      <c r="P6" s="37">
        <v>1664179</v>
      </c>
    </row>
    <row r="7" spans="2:17" ht="14" x14ac:dyDescent="0.3">
      <c r="B7" s="4" t="s">
        <v>210</v>
      </c>
      <c r="C7" t="s">
        <v>211</v>
      </c>
      <c r="D7" s="37">
        <v>6320483</v>
      </c>
      <c r="E7" s="37">
        <v>6013813</v>
      </c>
      <c r="F7" s="37">
        <v>2468892</v>
      </c>
      <c r="G7" s="37">
        <v>588273</v>
      </c>
      <c r="H7" s="37">
        <v>472106</v>
      </c>
      <c r="I7" s="37">
        <v>363150</v>
      </c>
      <c r="J7" s="38">
        <f>IFERROR(E7/G7,"")</f>
        <v>10.222826816801042</v>
      </c>
      <c r="K7" s="38">
        <f>IFERROR(E7/F7,"")</f>
        <v>2.4358347793261106</v>
      </c>
      <c r="L7" s="38">
        <f>IFERROR(D7/I7,"")</f>
        <v>17.404606911744459</v>
      </c>
      <c r="M7" s="38">
        <f>IFERROR(D7/P7,"")</f>
        <v>2.0835996972418149</v>
      </c>
      <c r="N7" s="39">
        <f>IFERROR(H7/F7,"")</f>
        <v>0.191221811241642</v>
      </c>
      <c r="O7" s="39">
        <f>IFERROR(I7/P7,"")</f>
        <v>0.119715412580552</v>
      </c>
      <c r="P7" s="37">
        <v>3033444</v>
      </c>
    </row>
    <row r="8" spans="2:17" ht="14" x14ac:dyDescent="0.3">
      <c r="B8" s="4" t="s">
        <v>212</v>
      </c>
      <c r="C8" t="s">
        <v>213</v>
      </c>
      <c r="D8" s="37">
        <v>2476073</v>
      </c>
      <c r="E8" s="37">
        <v>2449070</v>
      </c>
      <c r="F8" s="37">
        <v>499677</v>
      </c>
      <c r="G8" s="37">
        <v>193693</v>
      </c>
      <c r="H8" s="37">
        <v>166725</v>
      </c>
      <c r="I8" s="37">
        <v>205159</v>
      </c>
      <c r="J8" s="38">
        <f>IFERROR(E8/G8,"")</f>
        <v>12.644081097406721</v>
      </c>
      <c r="K8" s="38">
        <f>IFERROR(E8/F8,"")</f>
        <v>4.9013062438335169</v>
      </c>
      <c r="L8" s="38">
        <f>IFERROR(D8/I8,"")</f>
        <v>12.069044009768033</v>
      </c>
      <c r="M8" s="38">
        <f>IFERROR(D8/P8,"")</f>
        <v>1.4692920487890269</v>
      </c>
      <c r="N8" s="39">
        <f>IFERROR(H8/F8,"")</f>
        <v>0.3336655479439718</v>
      </c>
      <c r="O8" s="39">
        <f>IFERROR(I8/P8,"")</f>
        <v>0.12174054942544422</v>
      </c>
      <c r="P8" s="37">
        <v>1685215</v>
      </c>
    </row>
    <row r="9" spans="2:17" ht="14" x14ac:dyDescent="0.3">
      <c r="B9" s="4" t="s">
        <v>214</v>
      </c>
      <c r="C9" t="s">
        <v>215</v>
      </c>
      <c r="D9" s="37">
        <v>9186111</v>
      </c>
      <c r="E9" s="37">
        <v>13472895</v>
      </c>
      <c r="F9" s="37">
        <v>4505720</v>
      </c>
      <c r="G9" s="37">
        <v>1185578</v>
      </c>
      <c r="H9" s="37">
        <v>464451</v>
      </c>
      <c r="I9" s="37">
        <v>-152390</v>
      </c>
      <c r="J9" s="38">
        <f>IFERROR(E9/G9,"")</f>
        <v>11.363988704243837</v>
      </c>
      <c r="K9" s="38">
        <f>IFERROR(E9/F9,"")</f>
        <v>2.9901758209564733</v>
      </c>
      <c r="L9" s="40" t="s">
        <v>216</v>
      </c>
      <c r="M9" s="38">
        <f>IFERROR(D9/P9,"")</f>
        <v>1.2364471297369479</v>
      </c>
      <c r="N9" s="39">
        <f>IFERROR(H9/F9,"")</f>
        <v>0.10308030681001039</v>
      </c>
      <c r="O9" s="39">
        <f>IFERROR(I9/P9,"")</f>
        <v>-2.0511637416597023E-2</v>
      </c>
      <c r="P9" s="37">
        <v>7429441</v>
      </c>
    </row>
    <row r="14" spans="2:17" ht="14" x14ac:dyDescent="0.3">
      <c r="B14" s="3" t="s">
        <v>217</v>
      </c>
    </row>
    <row r="15" spans="2:17" ht="14" x14ac:dyDescent="0.3">
      <c r="B15" s="4" t="s">
        <v>218</v>
      </c>
      <c r="D15" s="38">
        <f t="shared" ref="D15:I15" si="0">PERCENTILE(J6:J9,0.25)</f>
        <v>11.07869823238314</v>
      </c>
      <c r="E15" s="38">
        <f t="shared" si="0"/>
        <v>2.4079736354179029</v>
      </c>
      <c r="F15" s="38">
        <f t="shared" si="0"/>
        <v>14.736825460756247</v>
      </c>
      <c r="G15" s="38">
        <f t="shared" si="0"/>
        <v>1.4110808190260071</v>
      </c>
      <c r="H15" s="39">
        <f t="shared" si="0"/>
        <v>0.10669947292349651</v>
      </c>
      <c r="I15" s="39">
        <f t="shared" si="0"/>
        <v>8.4658650081264747E-2</v>
      </c>
    </row>
    <row r="16" spans="2:17" ht="14" x14ac:dyDescent="0.3">
      <c r="B16" s="4" t="s">
        <v>219</v>
      </c>
      <c r="D16" s="38">
        <f t="shared" ref="D16:I16" si="1">MEDIAN(J6:J9)</f>
        <v>12.004034900825278</v>
      </c>
      <c r="E16" s="38">
        <f t="shared" si="1"/>
        <v>2.7130053001412922</v>
      </c>
      <c r="F16" s="38">
        <f t="shared" si="1"/>
        <v>17.404606911744459</v>
      </c>
      <c r="G16" s="38">
        <f t="shared" si="1"/>
        <v>1.7764458730154209</v>
      </c>
      <c r="H16" s="39">
        <f t="shared" si="1"/>
        <v>0.14956383643481694</v>
      </c>
      <c r="I16" s="39">
        <f t="shared" si="1"/>
        <v>0.12072798100299811</v>
      </c>
    </row>
    <row r="17" spans="2:9" ht="14" x14ac:dyDescent="0.3">
      <c r="B17" s="4" t="s">
        <v>220</v>
      </c>
      <c r="D17" s="38">
        <f t="shared" ref="D17:I17" si="2">PERCENTILE(J6:J9,0.75)</f>
        <v>13.507527547787465</v>
      </c>
      <c r="E17" s="38">
        <f t="shared" si="2"/>
        <v>3.4679584266757342</v>
      </c>
      <c r="F17" s="38">
        <f t="shared" si="2"/>
        <v>18.484180442411862</v>
      </c>
      <c r="G17" s="38">
        <f t="shared" si="2"/>
        <v>2.3264564060820021</v>
      </c>
      <c r="H17" s="39">
        <f t="shared" si="2"/>
        <v>0.22683274541722445</v>
      </c>
      <c r="I17" s="39">
        <f t="shared" si="2"/>
        <v>0.13034478223298981</v>
      </c>
    </row>
    <row r="19" spans="2:9" ht="14" x14ac:dyDescent="0.3">
      <c r="B19" s="22" t="s">
        <v>221</v>
      </c>
      <c r="C19" s="23"/>
      <c r="D19" s="23"/>
      <c r="E19" s="23"/>
      <c r="F19" s="23"/>
      <c r="G19" s="23"/>
      <c r="H19" s="23"/>
      <c r="I19" s="23"/>
    </row>
    <row r="20" spans="2:9" ht="14" x14ac:dyDescent="0.3">
      <c r="B20" s="3" t="s">
        <v>222</v>
      </c>
    </row>
    <row r="21" spans="2:9" ht="14" x14ac:dyDescent="0.3">
      <c r="B21" s="4" t="s">
        <v>223</v>
      </c>
      <c r="C21" s="5">
        <v>574653</v>
      </c>
    </row>
    <row r="22" spans="2:9" ht="14" x14ac:dyDescent="0.3">
      <c r="B22" s="4" t="s">
        <v>224</v>
      </c>
      <c r="C22" s="5">
        <v>291535</v>
      </c>
    </row>
    <row r="23" spans="2:9" ht="14" x14ac:dyDescent="0.3">
      <c r="B23" s="4" t="s">
        <v>225</v>
      </c>
      <c r="C23" s="15">
        <v>1793013747</v>
      </c>
    </row>
    <row r="24" spans="2:9" ht="14" x14ac:dyDescent="0.3">
      <c r="B24" s="4" t="s">
        <v>67</v>
      </c>
      <c r="C24" s="5">
        <v>284347</v>
      </c>
    </row>
    <row r="26" spans="2:9" ht="14" x14ac:dyDescent="0.3">
      <c r="B26" s="3" t="s">
        <v>226</v>
      </c>
    </row>
    <row r="27" spans="2:9" ht="14" x14ac:dyDescent="0.3">
      <c r="B27" s="4" t="s">
        <v>227</v>
      </c>
      <c r="C27" s="24">
        <f>ROUND((C21*D16-C24)*1000000/C23,0)</f>
        <v>3689</v>
      </c>
    </row>
    <row r="28" spans="2:9" ht="14" x14ac:dyDescent="0.3">
      <c r="B28" s="4" t="s">
        <v>228</v>
      </c>
      <c r="C28" s="24">
        <f>ROUND(C22*F16*1000000/C23,0)</f>
        <v>2830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229</v>
      </c>
    </row>
    <row r="3" spans="2:9" ht="14" x14ac:dyDescent="0.3">
      <c r="B3" s="4" t="s">
        <v>230</v>
      </c>
      <c r="C3" s="16">
        <f>'DCF Model'!C26</f>
        <v>8.7765136325306858E-2</v>
      </c>
      <c r="E3" s="4" t="s">
        <v>231</v>
      </c>
      <c r="F3" s="16">
        <f>'DCF Model'!C13</f>
        <v>0.01</v>
      </c>
      <c r="H3" s="4" t="s">
        <v>232</v>
      </c>
      <c r="I3" s="14">
        <f>'DCF Model'!C14</f>
        <v>12</v>
      </c>
    </row>
    <row r="5" spans="2:9" ht="14" x14ac:dyDescent="0.3">
      <c r="B5" s="3" t="s">
        <v>233</v>
      </c>
    </row>
    <row r="6" spans="2:9" ht="14" x14ac:dyDescent="0.3">
      <c r="B6" s="41" t="s">
        <v>234</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7.2765136325306859E-2</v>
      </c>
      <c r="C7" s="37">
        <f>IFERROR(ROUND(('DCF Model'!C45/(1+$B7)^('DCF Model'!C19+0)+'DCF Model'!D45/(1+$B7)^('DCF Model'!C19+1)+'DCF Model'!E45/(1+$B7)^('DCF Model'!C19+2)+'DCF Model'!F45/(1+$B7)^('DCF Model'!C19+3)+'DCF Model'!G45/(1+$B7)^('DCF Model'!C19+4)+'DCF Model'!G45*(1+C$6)/($B7-C$6)/(1+$B7)^('DCF Model'!C19+4)-'DCF Model'!C16)*1000000/'DCF Model'!C15,0),"")</f>
        <v>1794</v>
      </c>
      <c r="D7" s="37">
        <f>IFERROR(ROUND(('DCF Model'!C45/(1+$B7)^('DCF Model'!C19+0)+'DCF Model'!D45/(1+$B7)^('DCF Model'!C19+1)+'DCF Model'!E45/(1+$B7)^('DCF Model'!C19+2)+'DCF Model'!F45/(1+$B7)^('DCF Model'!C19+3)+'DCF Model'!G45/(1+$B7)^('DCF Model'!C19+4)+'DCF Model'!G45*(1+D$6)/($B7-D$6)/(1+$B7)^('DCF Model'!C19+4)-'DCF Model'!C16)*1000000/'DCF Model'!C15,0),"")</f>
        <v>1848</v>
      </c>
      <c r="E7" s="37">
        <f>IFERROR(ROUND(('DCF Model'!C45/(1+$B7)^('DCF Model'!C19+0)+'DCF Model'!D45/(1+$B7)^('DCF Model'!C19+1)+'DCF Model'!E45/(1+$B7)^('DCF Model'!C19+2)+'DCF Model'!F45/(1+$B7)^('DCF Model'!C19+3)+'DCF Model'!G45/(1+$B7)^('DCF Model'!C19+4)+'DCF Model'!G45*(1+E$6)/($B7-E$6)/(1+$B7)^('DCF Model'!C19+4)-'DCF Model'!C16)*1000000/'DCF Model'!C15,0),"")</f>
        <v>1906</v>
      </c>
      <c r="F7" s="37">
        <f>IFERROR(ROUND(('DCF Model'!C45/(1+$B7)^('DCF Model'!C19+0)+'DCF Model'!D45/(1+$B7)^('DCF Model'!C19+1)+'DCF Model'!E45/(1+$B7)^('DCF Model'!C19+2)+'DCF Model'!F45/(1+$B7)^('DCF Model'!C19+3)+'DCF Model'!G45/(1+$B7)^('DCF Model'!C19+4)+'DCF Model'!G45*(1+F$6)/($B7-F$6)/(1+$B7)^('DCF Model'!C19+4)-'DCF Model'!C16)*1000000/'DCF Model'!C15,0),"")</f>
        <v>1969</v>
      </c>
      <c r="G7" s="37">
        <f>IFERROR(ROUND(('DCF Model'!C45/(1+$B7)^('DCF Model'!C19+0)+'DCF Model'!D45/(1+$B7)^('DCF Model'!C19+1)+'DCF Model'!E45/(1+$B7)^('DCF Model'!C19+2)+'DCF Model'!F45/(1+$B7)^('DCF Model'!C19+3)+'DCF Model'!G45/(1+$B7)^('DCF Model'!C19+4)+'DCF Model'!G45*(1+G$6)/($B7-G$6)/(1+$B7)^('DCF Model'!C19+4)-'DCF Model'!C16)*1000000/'DCF Model'!C15,0),"")</f>
        <v>2037</v>
      </c>
      <c r="H7" s="37">
        <f>IFERROR(ROUND(('DCF Model'!C45/(1+$B7)^('DCF Model'!C19+0)+'DCF Model'!D45/(1+$B7)^('DCF Model'!C19+1)+'DCF Model'!E45/(1+$B7)^('DCF Model'!C19+2)+'DCF Model'!F45/(1+$B7)^('DCF Model'!C19+3)+'DCF Model'!G45/(1+$B7)^('DCF Model'!C19+4)+'DCF Model'!G45*(1+H$6)/($B7-H$6)/(1+$B7)^('DCF Model'!C19+4)-'DCF Model'!C16)*1000000/'DCF Model'!C15,0),"")</f>
        <v>2110</v>
      </c>
      <c r="I7" s="37">
        <f>IFERROR(ROUND(('DCF Model'!C45/(1+$B7)^('DCF Model'!C19+0)+'DCF Model'!D45/(1+$B7)^('DCF Model'!C19+1)+'DCF Model'!E45/(1+$B7)^('DCF Model'!C19+2)+'DCF Model'!F45/(1+$B7)^('DCF Model'!C19+3)+'DCF Model'!G45/(1+$B7)^('DCF Model'!C19+4)+'DCF Model'!G45*(1+I$6)/($B7-I$6)/(1+$B7)^('DCF Model'!C19+4)-'DCF Model'!C16)*1000000/'DCF Model'!C15,0),"")</f>
        <v>2191</v>
      </c>
    </row>
    <row r="8" spans="2:9" ht="13.5" x14ac:dyDescent="0.25">
      <c r="B8" s="39">
        <f>$C$3-0.01</f>
        <v>7.7765136325306863E-2</v>
      </c>
      <c r="C8" s="37">
        <f>IFERROR(ROUND(('DCF Model'!C45/(1+$B8)^('DCF Model'!C19+0)+'DCF Model'!D45/(1+$B8)^('DCF Model'!C19+1)+'DCF Model'!E45/(1+$B8)^('DCF Model'!C19+2)+'DCF Model'!F45/(1+$B8)^('DCF Model'!C19+3)+'DCF Model'!G45/(1+$B8)^('DCF Model'!C19+4)+'DCF Model'!G45*(1+C$6)/($B8-C$6)/(1+$B8)^('DCF Model'!C19+4)-'DCF Model'!C16)*1000000/'DCF Model'!C15,0),"")</f>
        <v>1667</v>
      </c>
      <c r="D8" s="37">
        <f>IFERROR(ROUND(('DCF Model'!C45/(1+$B8)^('DCF Model'!C19+0)+'DCF Model'!D45/(1+$B8)^('DCF Model'!C19+1)+'DCF Model'!E45/(1+$B8)^('DCF Model'!C19+2)+'DCF Model'!F45/(1+$B8)^('DCF Model'!C19+3)+'DCF Model'!G45/(1+$B8)^('DCF Model'!C19+4)+'DCF Model'!G45*(1+D$6)/($B8-D$6)/(1+$B8)^('DCF Model'!C19+4)-'DCF Model'!C16)*1000000/'DCF Model'!C15,0),"")</f>
        <v>1713</v>
      </c>
      <c r="E8" s="37">
        <f>IFERROR(ROUND(('DCF Model'!C45/(1+$B8)^('DCF Model'!C19+0)+'DCF Model'!D45/(1+$B8)^('DCF Model'!C19+1)+'DCF Model'!E45/(1+$B8)^('DCF Model'!C19+2)+'DCF Model'!F45/(1+$B8)^('DCF Model'!C19+3)+'DCF Model'!G45/(1+$B8)^('DCF Model'!C19+4)+'DCF Model'!G45*(1+E$6)/($B8-E$6)/(1+$B8)^('DCF Model'!C19+4)-'DCF Model'!C16)*1000000/'DCF Model'!C15,0),"")</f>
        <v>1762</v>
      </c>
      <c r="F8" s="37">
        <f>IFERROR(ROUND(('DCF Model'!C45/(1+$B8)^('DCF Model'!C19+0)+'DCF Model'!D45/(1+$B8)^('DCF Model'!C19+1)+'DCF Model'!E45/(1+$B8)^('DCF Model'!C19+2)+'DCF Model'!F45/(1+$B8)^('DCF Model'!C19+3)+'DCF Model'!G45/(1+$B8)^('DCF Model'!C19+4)+'DCF Model'!G45*(1+F$6)/($B8-F$6)/(1+$B8)^('DCF Model'!C19+4)-'DCF Model'!C16)*1000000/'DCF Model'!C15,0),"")</f>
        <v>1815</v>
      </c>
      <c r="G8" s="37">
        <f>IFERROR(ROUND(('DCF Model'!C45/(1+$B8)^('DCF Model'!C19+0)+'DCF Model'!D45/(1+$B8)^('DCF Model'!C19+1)+'DCF Model'!E45/(1+$B8)^('DCF Model'!C19+2)+'DCF Model'!F45/(1+$B8)^('DCF Model'!C19+3)+'DCF Model'!G45/(1+$B8)^('DCF Model'!C19+4)+'DCF Model'!G45*(1+G$6)/($B8-G$6)/(1+$B8)^('DCF Model'!C19+4)-'DCF Model'!C16)*1000000/'DCF Model'!C15,0),"")</f>
        <v>1872</v>
      </c>
      <c r="H8" s="37">
        <f>IFERROR(ROUND(('DCF Model'!C45/(1+$B8)^('DCF Model'!C19+0)+'DCF Model'!D45/(1+$B8)^('DCF Model'!C19+1)+'DCF Model'!E45/(1+$B8)^('DCF Model'!C19+2)+'DCF Model'!F45/(1+$B8)^('DCF Model'!C19+3)+'DCF Model'!G45/(1+$B8)^('DCF Model'!C19+4)+'DCF Model'!G45*(1+H$6)/($B8-H$6)/(1+$B8)^('DCF Model'!C19+4)-'DCF Model'!C16)*1000000/'DCF Model'!C15,0),"")</f>
        <v>1933</v>
      </c>
      <c r="I8" s="37">
        <f>IFERROR(ROUND(('DCF Model'!C45/(1+$B8)^('DCF Model'!C19+0)+'DCF Model'!D45/(1+$B8)^('DCF Model'!C19+1)+'DCF Model'!E45/(1+$B8)^('DCF Model'!C19+2)+'DCF Model'!F45/(1+$B8)^('DCF Model'!C19+3)+'DCF Model'!G45/(1+$B8)^('DCF Model'!C19+4)+'DCF Model'!G45*(1+I$6)/($B8-I$6)/(1+$B8)^('DCF Model'!C19+4)-'DCF Model'!C16)*1000000/'DCF Model'!C15,0),"")</f>
        <v>2000</v>
      </c>
    </row>
    <row r="9" spans="2:9" ht="13.5" x14ac:dyDescent="0.25">
      <c r="B9" s="39">
        <f>$C$3-0.005</f>
        <v>8.2765136325306854E-2</v>
      </c>
      <c r="C9" s="37">
        <f>IFERROR(ROUND(('DCF Model'!C45/(1+$B9)^('DCF Model'!C19+0)+'DCF Model'!D45/(1+$B9)^('DCF Model'!C19+1)+'DCF Model'!E45/(1+$B9)^('DCF Model'!C19+2)+'DCF Model'!F45/(1+$B9)^('DCF Model'!C19+3)+'DCF Model'!G45/(1+$B9)^('DCF Model'!C19+4)+'DCF Model'!G45*(1+C$6)/($B9-C$6)/(1+$B9)^('DCF Model'!C19+4)-'DCF Model'!C16)*1000000/'DCF Model'!C15,0),"")</f>
        <v>1555</v>
      </c>
      <c r="D9" s="37">
        <f>IFERROR(ROUND(('DCF Model'!C45/(1+$B9)^('DCF Model'!C19+0)+'DCF Model'!D45/(1+$B9)^('DCF Model'!C19+1)+'DCF Model'!E45/(1+$B9)^('DCF Model'!C19+2)+'DCF Model'!F45/(1+$B9)^('DCF Model'!C19+3)+'DCF Model'!G45/(1+$B9)^('DCF Model'!C19+4)+'DCF Model'!G45*(1+D$6)/($B9-D$6)/(1+$B9)^('DCF Model'!C19+4)-'DCF Model'!C16)*1000000/'DCF Model'!C15,0),"")</f>
        <v>1595</v>
      </c>
      <c r="E9" s="37">
        <f>IFERROR(ROUND(('DCF Model'!C45/(1+$B9)^('DCF Model'!C19+0)+'DCF Model'!D45/(1+$B9)^('DCF Model'!C19+1)+'DCF Model'!E45/(1+$B9)^('DCF Model'!C19+2)+'DCF Model'!F45/(1+$B9)^('DCF Model'!C19+3)+'DCF Model'!G45/(1+$B9)^('DCF Model'!C19+4)+'DCF Model'!G45*(1+E$6)/($B9-E$6)/(1+$B9)^('DCF Model'!C19+4)-'DCF Model'!C16)*1000000/'DCF Model'!C15,0),"")</f>
        <v>1637</v>
      </c>
      <c r="F9" s="37">
        <f>IFERROR(ROUND(('DCF Model'!C45/(1+$B9)^('DCF Model'!C19+0)+'DCF Model'!D45/(1+$B9)^('DCF Model'!C19+1)+'DCF Model'!E45/(1+$B9)^('DCF Model'!C19+2)+'DCF Model'!F45/(1+$B9)^('DCF Model'!C19+3)+'DCF Model'!G45/(1+$B9)^('DCF Model'!C19+4)+'DCF Model'!G45*(1+F$6)/($B9-F$6)/(1+$B9)^('DCF Model'!C19+4)-'DCF Model'!C16)*1000000/'DCF Model'!C15,0),"")</f>
        <v>1682</v>
      </c>
      <c r="G9" s="37">
        <f>IFERROR(ROUND(('DCF Model'!C45/(1+$B9)^('DCF Model'!C19+0)+'DCF Model'!D45/(1+$B9)^('DCF Model'!C19+1)+'DCF Model'!E45/(1+$B9)^('DCF Model'!C19+2)+'DCF Model'!F45/(1+$B9)^('DCF Model'!C19+3)+'DCF Model'!G45/(1+$B9)^('DCF Model'!C19+4)+'DCF Model'!G45*(1+G$6)/($B9-G$6)/(1+$B9)^('DCF Model'!C19+4)-'DCF Model'!C16)*1000000/'DCF Model'!C15,0),"")</f>
        <v>1731</v>
      </c>
      <c r="H9" s="37">
        <f>IFERROR(ROUND(('DCF Model'!C45/(1+$B9)^('DCF Model'!C19+0)+'DCF Model'!D45/(1+$B9)^('DCF Model'!C19+1)+'DCF Model'!E45/(1+$B9)^('DCF Model'!C19+2)+'DCF Model'!F45/(1+$B9)^('DCF Model'!C19+3)+'DCF Model'!G45/(1+$B9)^('DCF Model'!C19+4)+'DCF Model'!G45*(1+H$6)/($B9-H$6)/(1+$B9)^('DCF Model'!C19+4)-'DCF Model'!C16)*1000000/'DCF Model'!C15,0),"")</f>
        <v>1783</v>
      </c>
      <c r="I9" s="37">
        <f>IFERROR(ROUND(('DCF Model'!C45/(1+$B9)^('DCF Model'!C19+0)+'DCF Model'!D45/(1+$B9)^('DCF Model'!C19+1)+'DCF Model'!E45/(1+$B9)^('DCF Model'!C19+2)+'DCF Model'!F45/(1+$B9)^('DCF Model'!C19+3)+'DCF Model'!G45/(1+$B9)^('DCF Model'!C19+4)+'DCF Model'!G45*(1+I$6)/($B9-I$6)/(1+$B9)^('DCF Model'!C19+4)-'DCF Model'!C16)*1000000/'DCF Model'!C15,0),"")</f>
        <v>1839</v>
      </c>
    </row>
    <row r="10" spans="2:9" ht="13.5" x14ac:dyDescent="0.25">
      <c r="B10" s="39">
        <f>$C$3</f>
        <v>8.7765136325306858E-2</v>
      </c>
      <c r="C10" s="37">
        <f>IFERROR(ROUND(('DCF Model'!C45/(1+$B10)^('DCF Model'!C19+0)+'DCF Model'!D45/(1+$B10)^('DCF Model'!C19+1)+'DCF Model'!E45/(1+$B10)^('DCF Model'!C19+2)+'DCF Model'!F45/(1+$B10)^('DCF Model'!C19+3)+'DCF Model'!G45/(1+$B10)^('DCF Model'!C19+4)+'DCF Model'!G45*(1+C$6)/($B10-C$6)/(1+$B10)^('DCF Model'!C19+4)-'DCF Model'!C16)*1000000/'DCF Model'!C15,0),"")</f>
        <v>1457</v>
      </c>
      <c r="D10" s="37">
        <f>IFERROR(ROUND(('DCF Model'!C45/(1+$B10)^('DCF Model'!C19+0)+'DCF Model'!D45/(1+$B10)^('DCF Model'!C19+1)+'DCF Model'!E45/(1+$B10)^('DCF Model'!C19+2)+'DCF Model'!F45/(1+$B10)^('DCF Model'!C19+3)+'DCF Model'!G45/(1+$B10)^('DCF Model'!C19+4)+'DCF Model'!G45*(1+D$6)/($B10-D$6)/(1+$B10)^('DCF Model'!C19+4)-'DCF Model'!C16)*1000000/'DCF Model'!C15,0),"")</f>
        <v>1491</v>
      </c>
      <c r="E10" s="37">
        <f>IFERROR(ROUND(('DCF Model'!C45/(1+$B10)^('DCF Model'!C19+0)+'DCF Model'!D45/(1+$B10)^('DCF Model'!C19+1)+'DCF Model'!E45/(1+$B10)^('DCF Model'!C19+2)+'DCF Model'!F45/(1+$B10)^('DCF Model'!C19+3)+'DCF Model'!G45/(1+$B10)^('DCF Model'!C19+4)+'DCF Model'!G45*(1+E$6)/($B10-E$6)/(1+$B10)^('DCF Model'!C19+4)-'DCF Model'!C16)*1000000/'DCF Model'!C15,0),"")</f>
        <v>1528</v>
      </c>
      <c r="F10" s="37">
        <f>IFERROR(ROUND(('DCF Model'!C45/(1+$B10)^('DCF Model'!C19+0)+'DCF Model'!D45/(1+$B10)^('DCF Model'!C19+1)+'DCF Model'!E45/(1+$B10)^('DCF Model'!C19+2)+'DCF Model'!F45/(1+$B10)^('DCF Model'!C19+3)+'DCF Model'!G45/(1+$B10)^('DCF Model'!C19+4)+'DCF Model'!G45*(1+F$6)/($B10-F$6)/(1+$B10)^('DCF Model'!C19+4)-'DCF Model'!C16)*1000000/'DCF Model'!C15,0),"")</f>
        <v>1567</v>
      </c>
      <c r="G10" s="37">
        <f>IFERROR(ROUND(('DCF Model'!C45/(1+$B10)^('DCF Model'!C19+0)+'DCF Model'!D45/(1+$B10)^('DCF Model'!C19+1)+'DCF Model'!E45/(1+$B10)^('DCF Model'!C19+2)+'DCF Model'!F45/(1+$B10)^('DCF Model'!C19+3)+'DCF Model'!G45/(1+$B10)^('DCF Model'!C19+4)+'DCF Model'!G45*(1+G$6)/($B10-G$6)/(1+$B10)^('DCF Model'!C19+4)-'DCF Model'!C16)*1000000/'DCF Model'!C15,0),"")</f>
        <v>1608</v>
      </c>
      <c r="H10" s="37">
        <f>IFERROR(ROUND(('DCF Model'!C45/(1+$B10)^('DCF Model'!C19+0)+'DCF Model'!D45/(1+$B10)^('DCF Model'!C19+1)+'DCF Model'!E45/(1+$B10)^('DCF Model'!C19+2)+'DCF Model'!F45/(1+$B10)^('DCF Model'!C19+3)+'DCF Model'!G45/(1+$B10)^('DCF Model'!C19+4)+'DCF Model'!G45*(1+H$6)/($B10-H$6)/(1+$B10)^('DCF Model'!C19+4)-'DCF Model'!C16)*1000000/'DCF Model'!C15,0),"")</f>
        <v>1653</v>
      </c>
      <c r="I10" s="37">
        <f>IFERROR(ROUND(('DCF Model'!C45/(1+$B10)^('DCF Model'!C19+0)+'DCF Model'!D45/(1+$B10)^('DCF Model'!C19+1)+'DCF Model'!E45/(1+$B10)^('DCF Model'!C19+2)+'DCF Model'!F45/(1+$B10)^('DCF Model'!C19+3)+'DCF Model'!G45/(1+$B10)^('DCF Model'!C19+4)+'DCF Model'!G45*(1+I$6)/($B10-I$6)/(1+$B10)^('DCF Model'!C19+4)-'DCF Model'!C16)*1000000/'DCF Model'!C15,0),"")</f>
        <v>1700</v>
      </c>
    </row>
    <row r="11" spans="2:9" ht="13.5" x14ac:dyDescent="0.25">
      <c r="B11" s="39">
        <f>$C$3+0.005</f>
        <v>9.2765136325306863E-2</v>
      </c>
      <c r="C11" s="37">
        <f>IFERROR(ROUND(('DCF Model'!C45/(1+$B11)^('DCF Model'!C19+0)+'DCF Model'!D45/(1+$B11)^('DCF Model'!C19+1)+'DCF Model'!E45/(1+$B11)^('DCF Model'!C19+2)+'DCF Model'!F45/(1+$B11)^('DCF Model'!C19+3)+'DCF Model'!G45/(1+$B11)^('DCF Model'!C19+4)+'DCF Model'!G45*(1+C$6)/($B11-C$6)/(1+$B11)^('DCF Model'!C19+4)-'DCF Model'!C16)*1000000/'DCF Model'!C15,0),"")</f>
        <v>1369</v>
      </c>
      <c r="D11" s="37">
        <f>IFERROR(ROUND(('DCF Model'!C45/(1+$B11)^('DCF Model'!C19+0)+'DCF Model'!D45/(1+$B11)^('DCF Model'!C19+1)+'DCF Model'!E45/(1+$B11)^('DCF Model'!C19+2)+'DCF Model'!F45/(1+$B11)^('DCF Model'!C19+3)+'DCF Model'!G45/(1+$B11)^('DCF Model'!C19+4)+'DCF Model'!G45*(1+D$6)/($B11-D$6)/(1+$B11)^('DCF Model'!C19+4)-'DCF Model'!C16)*1000000/'DCF Model'!C15,0),"")</f>
        <v>1400</v>
      </c>
      <c r="E11" s="37">
        <f>IFERROR(ROUND(('DCF Model'!C45/(1+$B11)^('DCF Model'!C19+0)+'DCF Model'!D45/(1+$B11)^('DCF Model'!C19+1)+'DCF Model'!E45/(1+$B11)^('DCF Model'!C19+2)+'DCF Model'!F45/(1+$B11)^('DCF Model'!C19+3)+'DCF Model'!G45/(1+$B11)^('DCF Model'!C19+4)+'DCF Model'!G45*(1+E$6)/($B11-E$6)/(1+$B11)^('DCF Model'!C19+4)-'DCF Model'!C16)*1000000/'DCF Model'!C15,0),"")</f>
        <v>1431</v>
      </c>
      <c r="F11" s="37">
        <f>IFERROR(ROUND(('DCF Model'!C45/(1+$B11)^('DCF Model'!C19+0)+'DCF Model'!D45/(1+$B11)^('DCF Model'!C19+1)+'DCF Model'!E45/(1+$B11)^('DCF Model'!C19+2)+'DCF Model'!F45/(1+$B11)^('DCF Model'!C19+3)+'DCF Model'!G45/(1+$B11)^('DCF Model'!C19+4)+'DCF Model'!G45*(1+F$6)/($B11-F$6)/(1+$B11)^('DCF Model'!C19+4)-'DCF Model'!C16)*1000000/'DCF Model'!C15,0),"")</f>
        <v>1465</v>
      </c>
      <c r="G11" s="37">
        <f>IFERROR(ROUND(('DCF Model'!C45/(1+$B11)^('DCF Model'!C19+0)+'DCF Model'!D45/(1+$B11)^('DCF Model'!C19+1)+'DCF Model'!E45/(1+$B11)^('DCF Model'!C19+2)+'DCF Model'!F45/(1+$B11)^('DCF Model'!C19+3)+'DCF Model'!G45/(1+$B11)^('DCF Model'!C19+4)+'DCF Model'!G45*(1+G$6)/($B11-G$6)/(1+$B11)^('DCF Model'!C19+4)-'DCF Model'!C16)*1000000/'DCF Model'!C15,0),"")</f>
        <v>1501</v>
      </c>
      <c r="H11" s="37">
        <f>IFERROR(ROUND(('DCF Model'!C45/(1+$B11)^('DCF Model'!C19+0)+'DCF Model'!D45/(1+$B11)^('DCF Model'!C19+1)+'DCF Model'!E45/(1+$B11)^('DCF Model'!C19+2)+'DCF Model'!F45/(1+$B11)^('DCF Model'!C19+3)+'DCF Model'!G45/(1+$B11)^('DCF Model'!C19+4)+'DCF Model'!G45*(1+H$6)/($B11-H$6)/(1+$B11)^('DCF Model'!C19+4)-'DCF Model'!C16)*1000000/'DCF Model'!C15,0),"")</f>
        <v>1539</v>
      </c>
      <c r="I11" s="37">
        <f>IFERROR(ROUND(('DCF Model'!C45/(1+$B11)^('DCF Model'!C19+0)+'DCF Model'!D45/(1+$B11)^('DCF Model'!C19+1)+'DCF Model'!E45/(1+$B11)^('DCF Model'!C19+2)+'DCF Model'!F45/(1+$B11)^('DCF Model'!C19+3)+'DCF Model'!G45/(1+$B11)^('DCF Model'!C19+4)+'DCF Model'!G45*(1+I$6)/($B11-I$6)/(1+$B11)^('DCF Model'!C19+4)-'DCF Model'!C16)*1000000/'DCF Model'!C15,0),"")</f>
        <v>1580</v>
      </c>
    </row>
    <row r="12" spans="2:9" ht="13.5" x14ac:dyDescent="0.25">
      <c r="B12" s="39">
        <f>$C$3+0.01</f>
        <v>9.7765136325306853E-2</v>
      </c>
      <c r="C12" s="37">
        <f>IFERROR(ROUND(('DCF Model'!C45/(1+$B12)^('DCF Model'!C19+0)+'DCF Model'!D45/(1+$B12)^('DCF Model'!C19+1)+'DCF Model'!E45/(1+$B12)^('DCF Model'!C19+2)+'DCF Model'!F45/(1+$B12)^('DCF Model'!C19+3)+'DCF Model'!G45/(1+$B12)^('DCF Model'!C19+4)+'DCF Model'!G45*(1+C$6)/($B12-C$6)/(1+$B12)^('DCF Model'!C19+4)-'DCF Model'!C16)*1000000/'DCF Model'!C15,0),"")</f>
        <v>1291</v>
      </c>
      <c r="D12" s="37">
        <f>IFERROR(ROUND(('DCF Model'!C45/(1+$B12)^('DCF Model'!C19+0)+'DCF Model'!D45/(1+$B12)^('DCF Model'!C19+1)+'DCF Model'!E45/(1+$B12)^('DCF Model'!C19+2)+'DCF Model'!F45/(1+$B12)^('DCF Model'!C19+3)+'DCF Model'!G45/(1+$B12)^('DCF Model'!C19+4)+'DCF Model'!G45*(1+D$6)/($B12-D$6)/(1+$B12)^('DCF Model'!C19+4)-'DCF Model'!C16)*1000000/'DCF Model'!C15,0),"")</f>
        <v>1318</v>
      </c>
      <c r="E12" s="37">
        <f>IFERROR(ROUND(('DCF Model'!C45/(1+$B12)^('DCF Model'!C19+0)+'DCF Model'!D45/(1+$B12)^('DCF Model'!C19+1)+'DCF Model'!E45/(1+$B12)^('DCF Model'!C19+2)+'DCF Model'!F45/(1+$B12)^('DCF Model'!C19+3)+'DCF Model'!G45/(1+$B12)^('DCF Model'!C19+4)+'DCF Model'!G45*(1+E$6)/($B12-E$6)/(1+$B12)^('DCF Model'!C19+4)-'DCF Model'!C16)*1000000/'DCF Model'!C15,0),"")</f>
        <v>1345</v>
      </c>
      <c r="F12" s="37">
        <f>IFERROR(ROUND(('DCF Model'!C45/(1+$B12)^('DCF Model'!C19+0)+'DCF Model'!D45/(1+$B12)^('DCF Model'!C19+1)+'DCF Model'!E45/(1+$B12)^('DCF Model'!C19+2)+'DCF Model'!F45/(1+$B12)^('DCF Model'!C19+3)+'DCF Model'!G45/(1+$B12)^('DCF Model'!C19+4)+'DCF Model'!G45*(1+F$6)/($B12-F$6)/(1+$B12)^('DCF Model'!C19+4)-'DCF Model'!C16)*1000000/'DCF Model'!C15,0),"")</f>
        <v>1375</v>
      </c>
      <c r="G12" s="37">
        <f>IFERROR(ROUND(('DCF Model'!C45/(1+$B12)^('DCF Model'!C19+0)+'DCF Model'!D45/(1+$B12)^('DCF Model'!C19+1)+'DCF Model'!E45/(1+$B12)^('DCF Model'!C19+2)+'DCF Model'!F45/(1+$B12)^('DCF Model'!C19+3)+'DCF Model'!G45/(1+$B12)^('DCF Model'!C19+4)+'DCF Model'!G45*(1+G$6)/($B12-G$6)/(1+$B12)^('DCF Model'!C19+4)-'DCF Model'!C16)*1000000/'DCF Model'!C15,0),"")</f>
        <v>1406</v>
      </c>
      <c r="H12" s="37">
        <f>IFERROR(ROUND(('DCF Model'!C45/(1+$B12)^('DCF Model'!C19+0)+'DCF Model'!D45/(1+$B12)^('DCF Model'!C19+1)+'DCF Model'!E45/(1+$B12)^('DCF Model'!C19+2)+'DCF Model'!F45/(1+$B12)^('DCF Model'!C19+3)+'DCF Model'!G45/(1+$B12)^('DCF Model'!C19+4)+'DCF Model'!G45*(1+H$6)/($B12-H$6)/(1+$B12)^('DCF Model'!C19+4)-'DCF Model'!C16)*1000000/'DCF Model'!C15,0),"")</f>
        <v>1439</v>
      </c>
      <c r="I12" s="37">
        <f>IFERROR(ROUND(('DCF Model'!C45/(1+$B12)^('DCF Model'!C19+0)+'DCF Model'!D45/(1+$B12)^('DCF Model'!C19+1)+'DCF Model'!E45/(1+$B12)^('DCF Model'!C19+2)+'DCF Model'!F45/(1+$B12)^('DCF Model'!C19+3)+'DCF Model'!G45/(1+$B12)^('DCF Model'!C19+4)+'DCF Model'!G45*(1+I$6)/($B12-I$6)/(1+$B12)^('DCF Model'!C19+4)-'DCF Model'!C16)*1000000/'DCF Model'!C15,0),"")</f>
        <v>1475</v>
      </c>
    </row>
    <row r="13" spans="2:9" ht="13.5" x14ac:dyDescent="0.25">
      <c r="B13" s="39">
        <f>$C$3+0.015</f>
        <v>0.10276513632530686</v>
      </c>
      <c r="C13" s="37">
        <f>IFERROR(ROUND(('DCF Model'!C45/(1+$B13)^('DCF Model'!C19+0)+'DCF Model'!D45/(1+$B13)^('DCF Model'!C19+1)+'DCF Model'!E45/(1+$B13)^('DCF Model'!C19+2)+'DCF Model'!F45/(1+$B13)^('DCF Model'!C19+3)+'DCF Model'!G45/(1+$B13)^('DCF Model'!C19+4)+'DCF Model'!G45*(1+C$6)/($B13-C$6)/(1+$B13)^('DCF Model'!C19+4)-'DCF Model'!C16)*1000000/'DCF Model'!C15,0),"")</f>
        <v>1220</v>
      </c>
      <c r="D13" s="37">
        <f>IFERROR(ROUND(('DCF Model'!C45/(1+$B13)^('DCF Model'!C19+0)+'DCF Model'!D45/(1+$B13)^('DCF Model'!C19+1)+'DCF Model'!E45/(1+$B13)^('DCF Model'!C19+2)+'DCF Model'!F45/(1+$B13)^('DCF Model'!C19+3)+'DCF Model'!G45/(1+$B13)^('DCF Model'!C19+4)+'DCF Model'!G45*(1+D$6)/($B13-D$6)/(1+$B13)^('DCF Model'!C19+4)-'DCF Model'!C16)*1000000/'DCF Model'!C15,0),"")</f>
        <v>1244</v>
      </c>
      <c r="E13" s="37">
        <f>IFERROR(ROUND(('DCF Model'!C45/(1+$B13)^('DCF Model'!C19+0)+'DCF Model'!D45/(1+$B13)^('DCF Model'!C19+1)+'DCF Model'!E45/(1+$B13)^('DCF Model'!C19+2)+'DCF Model'!F45/(1+$B13)^('DCF Model'!C19+3)+'DCF Model'!G45/(1+$B13)^('DCF Model'!C19+4)+'DCF Model'!G45*(1+E$6)/($B13-E$6)/(1+$B13)^('DCF Model'!C19+4)-'DCF Model'!C16)*1000000/'DCF Model'!C15,0),"")</f>
        <v>1269</v>
      </c>
      <c r="F13" s="37">
        <f>IFERROR(ROUND(('DCF Model'!C45/(1+$B13)^('DCF Model'!C19+0)+'DCF Model'!D45/(1+$B13)^('DCF Model'!C19+1)+'DCF Model'!E45/(1+$B13)^('DCF Model'!C19+2)+'DCF Model'!F45/(1+$B13)^('DCF Model'!C19+3)+'DCF Model'!G45/(1+$B13)^('DCF Model'!C19+4)+'DCF Model'!G45*(1+F$6)/($B13-F$6)/(1+$B13)^('DCF Model'!C19+4)-'DCF Model'!C16)*1000000/'DCF Model'!C15,0),"")</f>
        <v>1295</v>
      </c>
      <c r="G13" s="37">
        <f>IFERROR(ROUND(('DCF Model'!C45/(1+$B13)^('DCF Model'!C19+0)+'DCF Model'!D45/(1+$B13)^('DCF Model'!C19+1)+'DCF Model'!E45/(1+$B13)^('DCF Model'!C19+2)+'DCF Model'!F45/(1+$B13)^('DCF Model'!C19+3)+'DCF Model'!G45/(1+$B13)^('DCF Model'!C19+4)+'DCF Model'!G45*(1+G$6)/($B13-G$6)/(1+$B13)^('DCF Model'!C19+4)-'DCF Model'!C16)*1000000/'DCF Model'!C15,0),"")</f>
        <v>1322</v>
      </c>
      <c r="H13" s="37">
        <f>IFERROR(ROUND(('DCF Model'!C45/(1+$B13)^('DCF Model'!C19+0)+'DCF Model'!D45/(1+$B13)^('DCF Model'!C19+1)+'DCF Model'!E45/(1+$B13)^('DCF Model'!C19+2)+'DCF Model'!F45/(1+$B13)^('DCF Model'!C19+3)+'DCF Model'!G45/(1+$B13)^('DCF Model'!C19+4)+'DCF Model'!G45*(1+H$6)/($B13-H$6)/(1+$B13)^('DCF Model'!C19+4)-'DCF Model'!C16)*1000000/'DCF Model'!C15,0),"")</f>
        <v>1351</v>
      </c>
      <c r="I13" s="37">
        <f>IFERROR(ROUND(('DCF Model'!C45/(1+$B13)^('DCF Model'!C19+0)+'DCF Model'!D45/(1+$B13)^('DCF Model'!C19+1)+'DCF Model'!E45/(1+$B13)^('DCF Model'!C19+2)+'DCF Model'!F45/(1+$B13)^('DCF Model'!C19+3)+'DCF Model'!G45/(1+$B13)^('DCF Model'!C19+4)+'DCF Model'!G45*(1+I$6)/($B13-I$6)/(1+$B13)^('DCF Model'!C19+4)-'DCF Model'!C16)*1000000/'DCF Model'!C15,0),"")</f>
        <v>1382</v>
      </c>
    </row>
    <row r="16" spans="2:9" ht="14" x14ac:dyDescent="0.3">
      <c r="B16" s="3" t="s">
        <v>235</v>
      </c>
    </row>
    <row r="17" spans="2:9" ht="14" x14ac:dyDescent="0.3">
      <c r="B17" s="41" t="s">
        <v>236</v>
      </c>
      <c r="C17" s="43">
        <f>$I$3-3</f>
        <v>9</v>
      </c>
      <c r="D17" s="43">
        <f>$I$3-2</f>
        <v>10</v>
      </c>
      <c r="E17" s="43">
        <f>$I$3-1</f>
        <v>11</v>
      </c>
      <c r="F17" s="43">
        <f>$I$3</f>
        <v>12</v>
      </c>
      <c r="G17" s="43">
        <f>$I$3+1</f>
        <v>13</v>
      </c>
      <c r="H17" s="43">
        <f>$I$3+2</f>
        <v>14</v>
      </c>
      <c r="I17" s="43">
        <f>$I$3+3</f>
        <v>15</v>
      </c>
    </row>
    <row r="18" spans="2:9" ht="13.5" x14ac:dyDescent="0.25">
      <c r="B18" s="39">
        <f>$C$3-0.015</f>
        <v>7.2765136325306859E-2</v>
      </c>
      <c r="C18" s="37">
        <f>IFERROR(ROUND(('DCF Model'!C45/(1+$B18)^('DCF Model'!C19+0)+'DCF Model'!D45/(1+$B18)^('DCF Model'!C19+1)+'DCF Model'!E45/(1+$B18)^('DCF Model'!C19+2)+'DCF Model'!F45/(1+$B18)^('DCF Model'!C19+3)+'DCF Model'!G45/(1+$B18)^('DCF Model'!C19+4)+('DCF Model'!G39+'DCF Model'!G42)*C$17/(1+$B18)^('DCF Model'!C19+4)-'DCF Model'!C16)*1000000/'DCF Model'!C15,0),"")</f>
        <v>2576</v>
      </c>
      <c r="D18" s="37">
        <f>IFERROR(ROUND(('DCF Model'!C45/(1+$B18)^('DCF Model'!C19+0)+'DCF Model'!D45/(1+$B18)^('DCF Model'!C19+1)+'DCF Model'!E45/(1+$B18)^('DCF Model'!C19+2)+'DCF Model'!F45/(1+$B18)^('DCF Model'!C19+3)+'DCF Model'!G45/(1+$B18)^('DCF Model'!C19+4)+('DCF Model'!G39+'DCF Model'!G42)*D$17/(1+$B18)^('DCF Model'!C19+4)-'DCF Model'!C16)*1000000/'DCF Model'!C15,0),"")</f>
        <v>2814</v>
      </c>
      <c r="E18" s="37">
        <f>IFERROR(ROUND(('DCF Model'!C45/(1+$B18)^('DCF Model'!C19+0)+'DCF Model'!D45/(1+$B18)^('DCF Model'!C19+1)+'DCF Model'!E45/(1+$B18)^('DCF Model'!C19+2)+'DCF Model'!F45/(1+$B18)^('DCF Model'!C19+3)+'DCF Model'!G45/(1+$B18)^('DCF Model'!C19+4)+('DCF Model'!G39+'DCF Model'!G42)*E$17/(1+$B18)^('DCF Model'!C19+4)-'DCF Model'!C16)*1000000/'DCF Model'!C15,0),"")</f>
        <v>3053</v>
      </c>
      <c r="F18" s="37">
        <f>IFERROR(ROUND(('DCF Model'!C45/(1+$B18)^('DCF Model'!C19+0)+'DCF Model'!D45/(1+$B18)^('DCF Model'!C19+1)+'DCF Model'!E45/(1+$B18)^('DCF Model'!C19+2)+'DCF Model'!F45/(1+$B18)^('DCF Model'!C19+3)+'DCF Model'!G45/(1+$B18)^('DCF Model'!C19+4)+('DCF Model'!G39+'DCF Model'!G42)*F$17/(1+$B18)^('DCF Model'!C19+4)-'DCF Model'!C16)*1000000/'DCF Model'!C15,0),"")</f>
        <v>3291</v>
      </c>
      <c r="G18" s="37">
        <f>IFERROR(ROUND(('DCF Model'!C45/(1+$B18)^('DCF Model'!C19+0)+'DCF Model'!D45/(1+$B18)^('DCF Model'!C19+1)+'DCF Model'!E45/(1+$B18)^('DCF Model'!C19+2)+'DCF Model'!F45/(1+$B18)^('DCF Model'!C19+3)+'DCF Model'!G45/(1+$B18)^('DCF Model'!C19+4)+('DCF Model'!G39+'DCF Model'!G42)*G$17/(1+$B18)^('DCF Model'!C19+4)-'DCF Model'!C16)*1000000/'DCF Model'!C15,0),"")</f>
        <v>3530</v>
      </c>
      <c r="H18" s="37">
        <f>IFERROR(ROUND(('DCF Model'!C45/(1+$B18)^('DCF Model'!C19+0)+'DCF Model'!D45/(1+$B18)^('DCF Model'!C19+1)+'DCF Model'!E45/(1+$B18)^('DCF Model'!C19+2)+'DCF Model'!F45/(1+$B18)^('DCF Model'!C19+3)+'DCF Model'!G45/(1+$B18)^('DCF Model'!C19+4)+('DCF Model'!G39+'DCF Model'!G42)*H$17/(1+$B18)^('DCF Model'!C19+4)-'DCF Model'!C16)*1000000/'DCF Model'!C15,0),"")</f>
        <v>3768</v>
      </c>
      <c r="I18" s="37">
        <f>IFERROR(ROUND(('DCF Model'!C45/(1+$B18)^('DCF Model'!C19+0)+'DCF Model'!D45/(1+$B18)^('DCF Model'!C19+1)+'DCF Model'!E45/(1+$B18)^('DCF Model'!C19+2)+'DCF Model'!F45/(1+$B18)^('DCF Model'!C19+3)+'DCF Model'!G45/(1+$B18)^('DCF Model'!C19+4)+('DCF Model'!G39+'DCF Model'!G42)*I$17/(1+$B18)^('DCF Model'!C19+4)-'DCF Model'!C16)*1000000/'DCF Model'!C15,0),"")</f>
        <v>4007</v>
      </c>
    </row>
    <row r="19" spans="2:9" ht="13.5" x14ac:dyDescent="0.25">
      <c r="B19" s="39">
        <f>$C$3-0.01</f>
        <v>7.7765136325306863E-2</v>
      </c>
      <c r="C19" s="37">
        <f>IFERROR(ROUND(('DCF Model'!C45/(1+$B19)^('DCF Model'!C19+0)+'DCF Model'!D45/(1+$B19)^('DCF Model'!C19+1)+'DCF Model'!E45/(1+$B19)^('DCF Model'!C19+2)+'DCF Model'!F45/(1+$B19)^('DCF Model'!C19+3)+'DCF Model'!G45/(1+$B19)^('DCF Model'!C19+4)+('DCF Model'!G39+'DCF Model'!G42)*C$17/(1+$B19)^('DCF Model'!C19+4)-'DCF Model'!C16)*1000000/'DCF Model'!C15,0),"")</f>
        <v>2519</v>
      </c>
      <c r="D19" s="37">
        <f>IFERROR(ROUND(('DCF Model'!C45/(1+$B19)^('DCF Model'!C19+0)+'DCF Model'!D45/(1+$B19)^('DCF Model'!C19+1)+'DCF Model'!E45/(1+$B19)^('DCF Model'!C19+2)+'DCF Model'!F45/(1+$B19)^('DCF Model'!C19+3)+'DCF Model'!G45/(1+$B19)^('DCF Model'!C19+4)+('DCF Model'!G39+'DCF Model'!G42)*D$17/(1+$B19)^('DCF Model'!C19+4)-'DCF Model'!C16)*1000000/'DCF Model'!C15,0),"")</f>
        <v>2752</v>
      </c>
      <c r="E19" s="37">
        <f>IFERROR(ROUND(('DCF Model'!C45/(1+$B19)^('DCF Model'!C19+0)+'DCF Model'!D45/(1+$B19)^('DCF Model'!C19+1)+'DCF Model'!E45/(1+$B19)^('DCF Model'!C19+2)+'DCF Model'!F45/(1+$B19)^('DCF Model'!C19+3)+'DCF Model'!G45/(1+$B19)^('DCF Model'!C19+4)+('DCF Model'!G39+'DCF Model'!G42)*E$17/(1+$B19)^('DCF Model'!C19+4)-'DCF Model'!C16)*1000000/'DCF Model'!C15,0),"")</f>
        <v>2985</v>
      </c>
      <c r="F19" s="37">
        <f>IFERROR(ROUND(('DCF Model'!C45/(1+$B19)^('DCF Model'!C19+0)+'DCF Model'!D45/(1+$B19)^('DCF Model'!C19+1)+'DCF Model'!E45/(1+$B19)^('DCF Model'!C19+2)+'DCF Model'!F45/(1+$B19)^('DCF Model'!C19+3)+'DCF Model'!G45/(1+$B19)^('DCF Model'!C19+4)+('DCF Model'!G39+'DCF Model'!G42)*F$17/(1+$B19)^('DCF Model'!C19+4)-'DCF Model'!C16)*1000000/'DCF Model'!C15,0),"")</f>
        <v>3218</v>
      </c>
      <c r="G19" s="37">
        <f>IFERROR(ROUND(('DCF Model'!C45/(1+$B19)^('DCF Model'!C19+0)+'DCF Model'!D45/(1+$B19)^('DCF Model'!C19+1)+'DCF Model'!E45/(1+$B19)^('DCF Model'!C19+2)+'DCF Model'!F45/(1+$B19)^('DCF Model'!C19+3)+'DCF Model'!G45/(1+$B19)^('DCF Model'!C19+4)+('DCF Model'!G39+'DCF Model'!G42)*G$17/(1+$B19)^('DCF Model'!C19+4)-'DCF Model'!C16)*1000000/'DCF Model'!C15,0),"")</f>
        <v>3451</v>
      </c>
      <c r="H19" s="37">
        <f>IFERROR(ROUND(('DCF Model'!C45/(1+$B19)^('DCF Model'!C19+0)+'DCF Model'!D45/(1+$B19)^('DCF Model'!C19+1)+'DCF Model'!E45/(1+$B19)^('DCF Model'!C19+2)+'DCF Model'!F45/(1+$B19)^('DCF Model'!C19+3)+'DCF Model'!G45/(1+$B19)^('DCF Model'!C19+4)+('DCF Model'!G39+'DCF Model'!G42)*H$17/(1+$B19)^('DCF Model'!C19+4)-'DCF Model'!C16)*1000000/'DCF Model'!C15,0),"")</f>
        <v>3684</v>
      </c>
      <c r="I19" s="37">
        <f>IFERROR(ROUND(('DCF Model'!C45/(1+$B19)^('DCF Model'!C19+0)+'DCF Model'!D45/(1+$B19)^('DCF Model'!C19+1)+'DCF Model'!E45/(1+$B19)^('DCF Model'!C19+2)+'DCF Model'!F45/(1+$B19)^('DCF Model'!C19+3)+'DCF Model'!G45/(1+$B19)^('DCF Model'!C19+4)+('DCF Model'!G39+'DCF Model'!G42)*I$17/(1+$B19)^('DCF Model'!C19+4)-'DCF Model'!C16)*1000000/'DCF Model'!C15,0),"")</f>
        <v>3917</v>
      </c>
    </row>
    <row r="20" spans="2:9" ht="13.5" x14ac:dyDescent="0.25">
      <c r="B20" s="39">
        <f>$C$3-0.005</f>
        <v>8.2765136325306854E-2</v>
      </c>
      <c r="C20" s="37">
        <f>IFERROR(ROUND(('DCF Model'!C45/(1+$B20)^('DCF Model'!C19+0)+'DCF Model'!D45/(1+$B20)^('DCF Model'!C19+1)+'DCF Model'!E45/(1+$B20)^('DCF Model'!C19+2)+'DCF Model'!F45/(1+$B20)^('DCF Model'!C19+3)+'DCF Model'!G45/(1+$B20)^('DCF Model'!C19+4)+('DCF Model'!G39+'DCF Model'!G42)*C$17/(1+$B20)^('DCF Model'!C19+4)-'DCF Model'!C16)*1000000/'DCF Model'!C15,0),"")</f>
        <v>2464</v>
      </c>
      <c r="D20" s="37">
        <f>IFERROR(ROUND(('DCF Model'!C45/(1+$B20)^('DCF Model'!C19+0)+'DCF Model'!D45/(1+$B20)^('DCF Model'!C19+1)+'DCF Model'!E45/(1+$B20)^('DCF Model'!C19+2)+'DCF Model'!F45/(1+$B20)^('DCF Model'!C19+3)+'DCF Model'!G45/(1+$B20)^('DCF Model'!C19+4)+('DCF Model'!G39+'DCF Model'!G42)*D$17/(1+$B20)^('DCF Model'!C19+4)-'DCF Model'!C16)*1000000/'DCF Model'!C15,0),"")</f>
        <v>2692</v>
      </c>
      <c r="E20" s="37">
        <f>IFERROR(ROUND(('DCF Model'!C45/(1+$B20)^('DCF Model'!C19+0)+'DCF Model'!D45/(1+$B20)^('DCF Model'!C19+1)+'DCF Model'!E45/(1+$B20)^('DCF Model'!C19+2)+'DCF Model'!F45/(1+$B20)^('DCF Model'!C19+3)+'DCF Model'!G45/(1+$B20)^('DCF Model'!C19+4)+('DCF Model'!G39+'DCF Model'!G42)*E$17/(1+$B20)^('DCF Model'!C19+4)-'DCF Model'!C16)*1000000/'DCF Model'!C15,0),"")</f>
        <v>2919</v>
      </c>
      <c r="F20" s="37">
        <f>IFERROR(ROUND(('DCF Model'!C45/(1+$B20)^('DCF Model'!C19+0)+'DCF Model'!D45/(1+$B20)^('DCF Model'!C19+1)+'DCF Model'!E45/(1+$B20)^('DCF Model'!C19+2)+'DCF Model'!F45/(1+$B20)^('DCF Model'!C19+3)+'DCF Model'!G45/(1+$B20)^('DCF Model'!C19+4)+('DCF Model'!G39+'DCF Model'!G42)*F$17/(1+$B20)^('DCF Model'!C19+4)-'DCF Model'!C16)*1000000/'DCF Model'!C15,0),"")</f>
        <v>3147</v>
      </c>
      <c r="G20" s="37">
        <f>IFERROR(ROUND(('DCF Model'!C45/(1+$B20)^('DCF Model'!C19+0)+'DCF Model'!D45/(1+$B20)^('DCF Model'!C19+1)+'DCF Model'!E45/(1+$B20)^('DCF Model'!C19+2)+'DCF Model'!F45/(1+$B20)^('DCF Model'!C19+3)+'DCF Model'!G45/(1+$B20)^('DCF Model'!C19+4)+('DCF Model'!G39+'DCF Model'!G42)*G$17/(1+$B20)^('DCF Model'!C19+4)-'DCF Model'!C16)*1000000/'DCF Model'!C15,0),"")</f>
        <v>3374</v>
      </c>
      <c r="H20" s="37">
        <f>IFERROR(ROUND(('DCF Model'!C45/(1+$B20)^('DCF Model'!C19+0)+'DCF Model'!D45/(1+$B20)^('DCF Model'!C19+1)+'DCF Model'!E45/(1+$B20)^('DCF Model'!C19+2)+'DCF Model'!F45/(1+$B20)^('DCF Model'!C19+3)+'DCF Model'!G45/(1+$B20)^('DCF Model'!C19+4)+('DCF Model'!G39+'DCF Model'!G42)*H$17/(1+$B20)^('DCF Model'!C19+4)-'DCF Model'!C16)*1000000/'DCF Model'!C15,0),"")</f>
        <v>3602</v>
      </c>
      <c r="I20" s="37">
        <f>IFERROR(ROUND(('DCF Model'!C45/(1+$B20)^('DCF Model'!C19+0)+'DCF Model'!D45/(1+$B20)^('DCF Model'!C19+1)+'DCF Model'!E45/(1+$B20)^('DCF Model'!C19+2)+'DCF Model'!F45/(1+$B20)^('DCF Model'!C19+3)+'DCF Model'!G45/(1+$B20)^('DCF Model'!C19+4)+('DCF Model'!G39+'DCF Model'!G42)*I$17/(1+$B20)^('DCF Model'!C19+4)-'DCF Model'!C16)*1000000/'DCF Model'!C15,0),"")</f>
        <v>3830</v>
      </c>
    </row>
    <row r="21" spans="2:9" ht="13.5" x14ac:dyDescent="0.25">
      <c r="B21" s="39">
        <f>$C$3</f>
        <v>8.7765136325306858E-2</v>
      </c>
      <c r="C21" s="37">
        <f>IFERROR(ROUND(('DCF Model'!C45/(1+$B21)^('DCF Model'!C19+0)+'DCF Model'!D45/(1+$B21)^('DCF Model'!C19+1)+'DCF Model'!E45/(1+$B21)^('DCF Model'!C19+2)+'DCF Model'!F45/(1+$B21)^('DCF Model'!C19+3)+'DCF Model'!G45/(1+$B21)^('DCF Model'!C19+4)+('DCF Model'!G39+'DCF Model'!G42)*C$17/(1+$B21)^('DCF Model'!C19+4)-'DCF Model'!C16)*1000000/'DCF Model'!C15,0),"")</f>
        <v>2410</v>
      </c>
      <c r="D21" s="37">
        <f>IFERROR(ROUND(('DCF Model'!C45/(1+$B21)^('DCF Model'!C19+0)+'DCF Model'!D45/(1+$B21)^('DCF Model'!C19+1)+'DCF Model'!E45/(1+$B21)^('DCF Model'!C19+2)+'DCF Model'!F45/(1+$B21)^('DCF Model'!C19+3)+'DCF Model'!G45/(1+$B21)^('DCF Model'!C19+4)+('DCF Model'!G39+'DCF Model'!G42)*D$17/(1+$B21)^('DCF Model'!C19+4)-'DCF Model'!C16)*1000000/'DCF Model'!C15,0),"")</f>
        <v>2633</v>
      </c>
      <c r="E21" s="37">
        <f>IFERROR(ROUND(('DCF Model'!C45/(1+$B21)^('DCF Model'!C19+0)+'DCF Model'!D45/(1+$B21)^('DCF Model'!C19+1)+'DCF Model'!E45/(1+$B21)^('DCF Model'!C19+2)+'DCF Model'!F45/(1+$B21)^('DCF Model'!C19+3)+'DCF Model'!G45/(1+$B21)^('DCF Model'!C19+4)+('DCF Model'!G39+'DCF Model'!G42)*E$17/(1+$B21)^('DCF Model'!C19+4)-'DCF Model'!C16)*1000000/'DCF Model'!C15,0),"")</f>
        <v>2855</v>
      </c>
      <c r="F21" s="37">
        <f>IFERROR(ROUND(('DCF Model'!C45/(1+$B21)^('DCF Model'!C19+0)+'DCF Model'!D45/(1+$B21)^('DCF Model'!C19+1)+'DCF Model'!E45/(1+$B21)^('DCF Model'!C19+2)+'DCF Model'!F45/(1+$B21)^('DCF Model'!C19+3)+'DCF Model'!G45/(1+$B21)^('DCF Model'!C19+4)+('DCF Model'!G39+'DCF Model'!G42)*F$17/(1+$B21)^('DCF Model'!C19+4)-'DCF Model'!C16)*1000000/'DCF Model'!C15,0),"")</f>
        <v>3077</v>
      </c>
      <c r="G21" s="37">
        <f>IFERROR(ROUND(('DCF Model'!C45/(1+$B21)^('DCF Model'!C19+0)+'DCF Model'!D45/(1+$B21)^('DCF Model'!C19+1)+'DCF Model'!E45/(1+$B21)^('DCF Model'!C19+2)+'DCF Model'!F45/(1+$B21)^('DCF Model'!C19+3)+'DCF Model'!G45/(1+$B21)^('DCF Model'!C19+4)+('DCF Model'!G39+'DCF Model'!G42)*G$17/(1+$B21)^('DCF Model'!C19+4)-'DCF Model'!C16)*1000000/'DCF Model'!C15,0),"")</f>
        <v>3300</v>
      </c>
      <c r="H21" s="37">
        <f>IFERROR(ROUND(('DCF Model'!C45/(1+$B21)^('DCF Model'!C19+0)+'DCF Model'!D45/(1+$B21)^('DCF Model'!C19+1)+'DCF Model'!E45/(1+$B21)^('DCF Model'!C19+2)+'DCF Model'!F45/(1+$B21)^('DCF Model'!C19+3)+'DCF Model'!G45/(1+$B21)^('DCF Model'!C19+4)+('DCF Model'!G39+'DCF Model'!G42)*H$17/(1+$B21)^('DCF Model'!C19+4)-'DCF Model'!C16)*1000000/'DCF Model'!C15,0),"")</f>
        <v>3522</v>
      </c>
      <c r="I21" s="37">
        <f>IFERROR(ROUND(('DCF Model'!C45/(1+$B21)^('DCF Model'!C19+0)+'DCF Model'!D45/(1+$B21)^('DCF Model'!C19+1)+'DCF Model'!E45/(1+$B21)^('DCF Model'!C19+2)+'DCF Model'!F45/(1+$B21)^('DCF Model'!C19+3)+'DCF Model'!G45/(1+$B21)^('DCF Model'!C19+4)+('DCF Model'!G39+'DCF Model'!G42)*I$17/(1+$B21)^('DCF Model'!C19+4)-'DCF Model'!C16)*1000000/'DCF Model'!C15,0),"")</f>
        <v>3745</v>
      </c>
    </row>
    <row r="22" spans="2:9" ht="13.5" x14ac:dyDescent="0.25">
      <c r="B22" s="39">
        <f>$C$3+0.005</f>
        <v>9.2765136325306863E-2</v>
      </c>
      <c r="C22" s="37">
        <f>IFERROR(ROUND(('DCF Model'!C45/(1+$B22)^('DCF Model'!C19+0)+'DCF Model'!D45/(1+$B22)^('DCF Model'!C19+1)+'DCF Model'!E45/(1+$B22)^('DCF Model'!C19+2)+'DCF Model'!F45/(1+$B22)^('DCF Model'!C19+3)+'DCF Model'!G45/(1+$B22)^('DCF Model'!C19+4)+('DCF Model'!G39+'DCF Model'!G42)*C$17/(1+$B22)^('DCF Model'!C19+4)-'DCF Model'!C16)*1000000/'DCF Model'!C15,0),"")</f>
        <v>2358</v>
      </c>
      <c r="D22" s="37">
        <f>IFERROR(ROUND(('DCF Model'!C45/(1+$B22)^('DCF Model'!C19+0)+'DCF Model'!D45/(1+$B22)^('DCF Model'!C19+1)+'DCF Model'!E45/(1+$B22)^('DCF Model'!C19+2)+'DCF Model'!F45/(1+$B22)^('DCF Model'!C19+3)+'DCF Model'!G45/(1+$B22)^('DCF Model'!C19+4)+('DCF Model'!G39+'DCF Model'!G42)*D$17/(1+$B22)^('DCF Model'!C19+4)-'DCF Model'!C16)*1000000/'DCF Model'!C15,0),"")</f>
        <v>2575</v>
      </c>
      <c r="E22" s="37">
        <f>IFERROR(ROUND(('DCF Model'!C45/(1+$B22)^('DCF Model'!C19+0)+'DCF Model'!D45/(1+$B22)^('DCF Model'!C19+1)+'DCF Model'!E45/(1+$B22)^('DCF Model'!C19+2)+'DCF Model'!F45/(1+$B22)^('DCF Model'!C19+3)+'DCF Model'!G45/(1+$B22)^('DCF Model'!C19+4)+('DCF Model'!G39+'DCF Model'!G42)*E$17/(1+$B22)^('DCF Model'!C19+4)-'DCF Model'!C16)*1000000/'DCF Model'!C15,0),"")</f>
        <v>2793</v>
      </c>
      <c r="F22" s="37">
        <f>IFERROR(ROUND(('DCF Model'!C45/(1+$B22)^('DCF Model'!C19+0)+'DCF Model'!D45/(1+$B22)^('DCF Model'!C19+1)+'DCF Model'!E45/(1+$B22)^('DCF Model'!C19+2)+'DCF Model'!F45/(1+$B22)^('DCF Model'!C19+3)+'DCF Model'!G45/(1+$B22)^('DCF Model'!C19+4)+('DCF Model'!G39+'DCF Model'!G42)*F$17/(1+$B22)^('DCF Model'!C19+4)-'DCF Model'!C16)*1000000/'DCF Model'!C15,0),"")</f>
        <v>3010</v>
      </c>
      <c r="G22" s="37">
        <f>IFERROR(ROUND(('DCF Model'!C45/(1+$B22)^('DCF Model'!C19+0)+'DCF Model'!D45/(1+$B22)^('DCF Model'!C19+1)+'DCF Model'!E45/(1+$B22)^('DCF Model'!C19+2)+'DCF Model'!F45/(1+$B22)^('DCF Model'!C19+3)+'DCF Model'!G45/(1+$B22)^('DCF Model'!C19+4)+('DCF Model'!G39+'DCF Model'!G42)*G$17/(1+$B22)^('DCF Model'!C19+4)-'DCF Model'!C16)*1000000/'DCF Model'!C15,0),"")</f>
        <v>3227</v>
      </c>
      <c r="H22" s="37">
        <f>IFERROR(ROUND(('DCF Model'!C45/(1+$B22)^('DCF Model'!C19+0)+'DCF Model'!D45/(1+$B22)^('DCF Model'!C19+1)+'DCF Model'!E45/(1+$B22)^('DCF Model'!C19+2)+'DCF Model'!F45/(1+$B22)^('DCF Model'!C19+3)+'DCF Model'!G45/(1+$B22)^('DCF Model'!C19+4)+('DCF Model'!G39+'DCF Model'!G42)*H$17/(1+$B22)^('DCF Model'!C19+4)-'DCF Model'!C16)*1000000/'DCF Model'!C15,0),"")</f>
        <v>3445</v>
      </c>
      <c r="I22" s="37">
        <f>IFERROR(ROUND(('DCF Model'!C45/(1+$B22)^('DCF Model'!C19+0)+'DCF Model'!D45/(1+$B22)^('DCF Model'!C19+1)+'DCF Model'!E45/(1+$B22)^('DCF Model'!C19+2)+'DCF Model'!F45/(1+$B22)^('DCF Model'!C19+3)+'DCF Model'!G45/(1+$B22)^('DCF Model'!C19+4)+('DCF Model'!G39+'DCF Model'!G42)*I$17/(1+$B22)^('DCF Model'!C19+4)-'DCF Model'!C16)*1000000/'DCF Model'!C15,0),"")</f>
        <v>3662</v>
      </c>
    </row>
    <row r="23" spans="2:9" ht="13.5" x14ac:dyDescent="0.25">
      <c r="B23" s="39">
        <f>$C$3+0.01</f>
        <v>9.7765136325306853E-2</v>
      </c>
      <c r="C23" s="37">
        <f>IFERROR(ROUND(('DCF Model'!C45/(1+$B23)^('DCF Model'!C19+0)+'DCF Model'!D45/(1+$B23)^('DCF Model'!C19+1)+'DCF Model'!E45/(1+$B23)^('DCF Model'!C19+2)+'DCF Model'!F45/(1+$B23)^('DCF Model'!C19+3)+'DCF Model'!G45/(1+$B23)^('DCF Model'!C19+4)+('DCF Model'!G39+'DCF Model'!G42)*C$17/(1+$B23)^('DCF Model'!C19+4)-'DCF Model'!C16)*1000000/'DCF Model'!C15,0),"")</f>
        <v>2307</v>
      </c>
      <c r="D23" s="37">
        <f>IFERROR(ROUND(('DCF Model'!C45/(1+$B23)^('DCF Model'!C19+0)+'DCF Model'!D45/(1+$B23)^('DCF Model'!C19+1)+'DCF Model'!E45/(1+$B23)^('DCF Model'!C19+2)+'DCF Model'!F45/(1+$B23)^('DCF Model'!C19+3)+'DCF Model'!G45/(1+$B23)^('DCF Model'!C19+4)+('DCF Model'!G39+'DCF Model'!G42)*D$17/(1+$B23)^('DCF Model'!C19+4)-'DCF Model'!C16)*1000000/'DCF Model'!C15,0),"")</f>
        <v>2519</v>
      </c>
      <c r="E23" s="37">
        <f>IFERROR(ROUND(('DCF Model'!C45/(1+$B23)^('DCF Model'!C19+0)+'DCF Model'!D45/(1+$B23)^('DCF Model'!C19+1)+'DCF Model'!E45/(1+$B23)^('DCF Model'!C19+2)+'DCF Model'!F45/(1+$B23)^('DCF Model'!C19+3)+'DCF Model'!G45/(1+$B23)^('DCF Model'!C19+4)+('DCF Model'!G39+'DCF Model'!G42)*E$17/(1+$B23)^('DCF Model'!C19+4)-'DCF Model'!C16)*1000000/'DCF Model'!C15,0),"")</f>
        <v>2732</v>
      </c>
      <c r="F23" s="37">
        <f>IFERROR(ROUND(('DCF Model'!C45/(1+$B23)^('DCF Model'!C19+0)+'DCF Model'!D45/(1+$B23)^('DCF Model'!C19+1)+'DCF Model'!E45/(1+$B23)^('DCF Model'!C19+2)+'DCF Model'!F45/(1+$B23)^('DCF Model'!C19+3)+'DCF Model'!G45/(1+$B23)^('DCF Model'!C19+4)+('DCF Model'!G39+'DCF Model'!G42)*F$17/(1+$B23)^('DCF Model'!C19+4)-'DCF Model'!C16)*1000000/'DCF Model'!C15,0),"")</f>
        <v>2944</v>
      </c>
      <c r="G23" s="37">
        <f>IFERROR(ROUND(('DCF Model'!C45/(1+$B23)^('DCF Model'!C19+0)+'DCF Model'!D45/(1+$B23)^('DCF Model'!C19+1)+'DCF Model'!E45/(1+$B23)^('DCF Model'!C19+2)+'DCF Model'!F45/(1+$B23)^('DCF Model'!C19+3)+'DCF Model'!G45/(1+$B23)^('DCF Model'!C19+4)+('DCF Model'!G39+'DCF Model'!G42)*G$17/(1+$B23)^('DCF Model'!C19+4)-'DCF Model'!C16)*1000000/'DCF Model'!C15,0),"")</f>
        <v>3157</v>
      </c>
      <c r="H23" s="37">
        <f>IFERROR(ROUND(('DCF Model'!C45/(1+$B23)^('DCF Model'!C19+0)+'DCF Model'!D45/(1+$B23)^('DCF Model'!C19+1)+'DCF Model'!E45/(1+$B23)^('DCF Model'!C19+2)+'DCF Model'!F45/(1+$B23)^('DCF Model'!C19+3)+'DCF Model'!G45/(1+$B23)^('DCF Model'!C19+4)+('DCF Model'!G39+'DCF Model'!G42)*H$17/(1+$B23)^('DCF Model'!C19+4)-'DCF Model'!C16)*1000000/'DCF Model'!C15,0),"")</f>
        <v>3369</v>
      </c>
      <c r="I23" s="37">
        <f>IFERROR(ROUND(('DCF Model'!C45/(1+$B23)^('DCF Model'!C19+0)+'DCF Model'!D45/(1+$B23)^('DCF Model'!C19+1)+'DCF Model'!E45/(1+$B23)^('DCF Model'!C19+2)+'DCF Model'!F45/(1+$B23)^('DCF Model'!C19+3)+'DCF Model'!G45/(1+$B23)^('DCF Model'!C19+4)+('DCF Model'!G39+'DCF Model'!G42)*I$17/(1+$B23)^('DCF Model'!C19+4)-'DCF Model'!C16)*1000000/'DCF Model'!C15,0),"")</f>
        <v>3582</v>
      </c>
    </row>
    <row r="24" spans="2:9" ht="13.5" x14ac:dyDescent="0.25">
      <c r="B24" s="39">
        <f>$C$3+0.015</f>
        <v>0.10276513632530686</v>
      </c>
      <c r="C24" s="37">
        <f>IFERROR(ROUND(('DCF Model'!C45/(1+$B24)^('DCF Model'!C19+0)+'DCF Model'!D45/(1+$B24)^('DCF Model'!C19+1)+'DCF Model'!E45/(1+$B24)^('DCF Model'!C19+2)+'DCF Model'!F45/(1+$B24)^('DCF Model'!C19+3)+'DCF Model'!G45/(1+$B24)^('DCF Model'!C19+4)+('DCF Model'!G39+'DCF Model'!G42)*C$17/(1+$B24)^('DCF Model'!C19+4)-'DCF Model'!C16)*1000000/'DCF Model'!C15,0),"")</f>
        <v>2257</v>
      </c>
      <c r="D24" s="37">
        <f>IFERROR(ROUND(('DCF Model'!C45/(1+$B24)^('DCF Model'!C19+0)+'DCF Model'!D45/(1+$B24)^('DCF Model'!C19+1)+'DCF Model'!E45/(1+$B24)^('DCF Model'!C19+2)+'DCF Model'!F45/(1+$B24)^('DCF Model'!C19+3)+'DCF Model'!G45/(1+$B24)^('DCF Model'!C19+4)+('DCF Model'!G39+'DCF Model'!G42)*D$17/(1+$B24)^('DCF Model'!C19+4)-'DCF Model'!C16)*1000000/'DCF Model'!C15,0),"")</f>
        <v>2465</v>
      </c>
      <c r="E24" s="37">
        <f>IFERROR(ROUND(('DCF Model'!C45/(1+$B24)^('DCF Model'!C19+0)+'DCF Model'!D45/(1+$B24)^('DCF Model'!C19+1)+'DCF Model'!E45/(1+$B24)^('DCF Model'!C19+2)+'DCF Model'!F45/(1+$B24)^('DCF Model'!C19+3)+'DCF Model'!G45/(1+$B24)^('DCF Model'!C19+4)+('DCF Model'!G39+'DCF Model'!G42)*E$17/(1+$B24)^('DCF Model'!C19+4)-'DCF Model'!C16)*1000000/'DCF Model'!C15,0),"")</f>
        <v>2673</v>
      </c>
      <c r="F24" s="37">
        <f>IFERROR(ROUND(('DCF Model'!C45/(1+$B24)^('DCF Model'!C19+0)+'DCF Model'!D45/(1+$B24)^('DCF Model'!C19+1)+'DCF Model'!E45/(1+$B24)^('DCF Model'!C19+2)+'DCF Model'!F45/(1+$B24)^('DCF Model'!C19+3)+'DCF Model'!G45/(1+$B24)^('DCF Model'!C19+4)+('DCF Model'!G39+'DCF Model'!G42)*F$17/(1+$B24)^('DCF Model'!C19+4)-'DCF Model'!C16)*1000000/'DCF Model'!C15,0),"")</f>
        <v>2880</v>
      </c>
      <c r="G24" s="37">
        <f>IFERROR(ROUND(('DCF Model'!C45/(1+$B24)^('DCF Model'!C19+0)+'DCF Model'!D45/(1+$B24)^('DCF Model'!C19+1)+'DCF Model'!E45/(1+$B24)^('DCF Model'!C19+2)+'DCF Model'!F45/(1+$B24)^('DCF Model'!C19+3)+'DCF Model'!G45/(1+$B24)^('DCF Model'!C19+4)+('DCF Model'!G39+'DCF Model'!G42)*G$17/(1+$B24)^('DCF Model'!C19+4)-'DCF Model'!C16)*1000000/'DCF Model'!C15,0),"")</f>
        <v>3088</v>
      </c>
      <c r="H24" s="37">
        <f>IFERROR(ROUND(('DCF Model'!C45/(1+$B24)^('DCF Model'!C19+0)+'DCF Model'!D45/(1+$B24)^('DCF Model'!C19+1)+'DCF Model'!E45/(1+$B24)^('DCF Model'!C19+2)+'DCF Model'!F45/(1+$B24)^('DCF Model'!C19+3)+'DCF Model'!G45/(1+$B24)^('DCF Model'!C19+4)+('DCF Model'!G39+'DCF Model'!G42)*H$17/(1+$B24)^('DCF Model'!C19+4)-'DCF Model'!C16)*1000000/'DCF Model'!C15,0),"")</f>
        <v>3296</v>
      </c>
      <c r="I24" s="37">
        <f>IFERROR(ROUND(('DCF Model'!C45/(1+$B24)^('DCF Model'!C19+0)+'DCF Model'!D45/(1+$B24)^('DCF Model'!C19+1)+'DCF Model'!E45/(1+$B24)^('DCF Model'!C19+2)+'DCF Model'!F45/(1+$B24)^('DCF Model'!C19+3)+'DCF Model'!G45/(1+$B24)^('DCF Model'!C19+4)+('DCF Model'!G39+'DCF Model'!G42)*I$17/(1+$B24)^('DCF Model'!C19+4)-'DCF Model'!C16)*1000000/'DCF Model'!C15,0),"")</f>
        <v>3503</v>
      </c>
    </row>
    <row r="26" spans="2:9" ht="14"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238</v>
      </c>
    </row>
    <row r="4" spans="2:7" ht="14"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x14ac:dyDescent="0.3">
      <c r="B12" s="8" t="s">
        <v>260</v>
      </c>
    </row>
    <row r="13" spans="2:7" ht="14" x14ac:dyDescent="0.3">
      <c r="B13" s="10" t="s">
        <v>261</v>
      </c>
      <c r="C13" s="10" t="s">
        <v>262</v>
      </c>
    </row>
    <row r="14" spans="2:7" ht="14" x14ac:dyDescent="0.3">
      <c r="B14" s="4" t="s">
        <v>263</v>
      </c>
      <c r="C14" t="s">
        <v>264</v>
      </c>
    </row>
    <row r="15" spans="2:7" ht="14" x14ac:dyDescent="0.3">
      <c r="B15" s="4" t="s">
        <v>265</v>
      </c>
      <c r="C15" t="s">
        <v>266</v>
      </c>
    </row>
    <row r="16" spans="2:7" ht="14" x14ac:dyDescent="0.3">
      <c r="B16" s="4" t="s">
        <v>267</v>
      </c>
      <c r="C16" t="s">
        <v>268</v>
      </c>
    </row>
    <row r="17" spans="2:3" ht="14" x14ac:dyDescent="0.3">
      <c r="B17" s="4" t="s">
        <v>269</v>
      </c>
      <c r="C17" t="s">
        <v>266</v>
      </c>
    </row>
    <row r="18" spans="2:3" ht="14" x14ac:dyDescent="0.3">
      <c r="B18" s="4" t="s">
        <v>270</v>
      </c>
      <c r="C18" t="s">
        <v>271</v>
      </c>
    </row>
    <row r="19" spans="2:3" ht="14" x14ac:dyDescent="0.3">
      <c r="B19" s="4" t="s">
        <v>272</v>
      </c>
      <c r="C19" t="s">
        <v>273</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4</v>
      </c>
    </row>
    <row r="24" spans="2:3" ht="14" x14ac:dyDescent="0.3">
      <c r="B24" s="4" t="s">
        <v>281</v>
      </c>
      <c r="C24" t="s">
        <v>245</v>
      </c>
    </row>
    <row r="25" spans="2:3" ht="14" x14ac:dyDescent="0.3">
      <c r="B25" s="4" t="s">
        <v>282</v>
      </c>
      <c r="C25" t="s">
        <v>283</v>
      </c>
    </row>
    <row r="26" spans="2:3" ht="14" x14ac:dyDescent="0.3">
      <c r="B26" s="4" t="s">
        <v>284</v>
      </c>
      <c r="C26" t="s">
        <v>271</v>
      </c>
    </row>
    <row r="27" spans="2:3" ht="14" x14ac:dyDescent="0.3">
      <c r="B27" s="4" t="s">
        <v>285</v>
      </c>
      <c r="C27" t="s">
        <v>271</v>
      </c>
    </row>
    <row r="28" spans="2:3" ht="14" x14ac:dyDescent="0.3">
      <c r="B28" s="4" t="s">
        <v>286</v>
      </c>
      <c r="C28" t="s">
        <v>287</v>
      </c>
    </row>
    <row r="29" spans="2:3" ht="14" x14ac:dyDescent="0.3">
      <c r="B29" s="4" t="s">
        <v>288</v>
      </c>
      <c r="C29" t="s">
        <v>289</v>
      </c>
    </row>
    <row r="30" spans="2:3" ht="14" x14ac:dyDescent="0.3">
      <c r="B30" s="4" t="s">
        <v>290</v>
      </c>
      <c r="C30" t="s">
        <v>291</v>
      </c>
    </row>
    <row r="31" spans="2:3" ht="14" x14ac:dyDescent="0.3">
      <c r="B31" s="4" t="s">
        <v>292</v>
      </c>
      <c r="C31" t="s">
        <v>287</v>
      </c>
    </row>
    <row r="32" spans="2:3" ht="14" x14ac:dyDescent="0.3">
      <c r="B32" s="4" t="s">
        <v>293</v>
      </c>
      <c r="C32" t="s">
        <v>271</v>
      </c>
    </row>
    <row r="33" spans="2:3" ht="14" x14ac:dyDescent="0.3">
      <c r="B33" s="4" t="s">
        <v>294</v>
      </c>
      <c r="C33" t="s">
        <v>283</v>
      </c>
    </row>
    <row r="34" spans="2:3" ht="14" x14ac:dyDescent="0.3">
      <c r="B34" s="4" t="s">
        <v>295</v>
      </c>
      <c r="C34" t="s">
        <v>296</v>
      </c>
    </row>
    <row r="35" spans="2:3" ht="14" x14ac:dyDescent="0.3">
      <c r="B35" s="4" t="s">
        <v>297</v>
      </c>
      <c r="C35" t="s">
        <v>298</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275</v>
      </c>
    </row>
    <row r="45" spans="2:3" ht="14" x14ac:dyDescent="0.3">
      <c r="B45" s="4" t="s">
        <v>316</v>
      </c>
      <c r="C45" t="s">
        <v>317</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351</v>
      </c>
    </row>
    <row r="63" spans="2:3" ht="14" x14ac:dyDescent="0.3">
      <c r="B63" s="4" t="s">
        <v>352</v>
      </c>
      <c r="C63" t="s">
        <v>353</v>
      </c>
    </row>
    <row r="64" spans="2:3" ht="14" x14ac:dyDescent="0.3">
      <c r="B64" s="4" t="s">
        <v>354</v>
      </c>
      <c r="C64"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2026-09-06T09:59:53Z</dcterms:created>
  <dcterms:modified xsi:type="dcterms:W3CDTF">2026-09-06T09:59:56Z</dcterms:modified>
</cp:coreProperties>
</file>