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6169B704-CE26-4C38-8E28-8D17E3A3A413}"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G6" i="7" l="1"/>
  <c r="I3" i="7"/>
  <c r="I17" i="7" s="1"/>
  <c r="F3" i="7"/>
  <c r="H6" i="7" s="1"/>
  <c r="D15" i="6"/>
  <c r="O9" i="6"/>
  <c r="N9" i="6"/>
  <c r="M9" i="6"/>
  <c r="K9" i="6"/>
  <c r="J9" i="6"/>
  <c r="O8" i="6"/>
  <c r="N8" i="6"/>
  <c r="M8" i="6"/>
  <c r="G16" i="6" s="1"/>
  <c r="L8" i="6"/>
  <c r="K8" i="6"/>
  <c r="J8" i="6"/>
  <c r="O7" i="6"/>
  <c r="N7" i="6"/>
  <c r="M7" i="6"/>
  <c r="L7" i="6"/>
  <c r="K7" i="6"/>
  <c r="E16" i="6" s="1"/>
  <c r="J7" i="6"/>
  <c r="O6" i="6"/>
  <c r="N6" i="6"/>
  <c r="H15" i="6" s="1"/>
  <c r="M6" i="6"/>
  <c r="L6" i="6"/>
  <c r="K6" i="6"/>
  <c r="J6" i="6"/>
  <c r="O5" i="6"/>
  <c r="N5" i="6"/>
  <c r="D5" i="6"/>
  <c r="M5" i="6" s="1"/>
  <c r="C16" i="5"/>
  <c r="C18" i="5" s="1"/>
  <c r="C14" i="5"/>
  <c r="C7" i="5"/>
  <c r="C6" i="5"/>
  <c r="C5" i="5"/>
  <c r="C13" i="4"/>
  <c r="C12" i="4"/>
  <c r="C9" i="4"/>
  <c r="C7" i="4"/>
  <c r="C6" i="4"/>
  <c r="C8" i="4" s="1"/>
  <c r="D27" i="3"/>
  <c r="C25" i="3"/>
  <c r="C24" i="3"/>
  <c r="C23" i="3"/>
  <c r="C26" i="3" s="1"/>
  <c r="C46" i="3" s="1"/>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D9" i="2"/>
  <c r="C9" i="2"/>
  <c r="F8" i="2"/>
  <c r="F9" i="2" s="1"/>
  <c r="E8" i="2"/>
  <c r="E9" i="2" s="1"/>
  <c r="D8" i="2"/>
  <c r="C8" i="2"/>
  <c r="E36" i="4" l="1"/>
  <c r="F36" i="4"/>
  <c r="D46" i="3"/>
  <c r="C10" i="4"/>
  <c r="H16" i="6"/>
  <c r="C6" i="7"/>
  <c r="G17" i="6"/>
  <c r="F6" i="7"/>
  <c r="D7" i="5"/>
  <c r="H5" i="5"/>
  <c r="F32" i="3"/>
  <c r="C31" i="3"/>
  <c r="G5" i="5"/>
  <c r="E32" i="3"/>
  <c r="H6" i="5"/>
  <c r="F5" i="5"/>
  <c r="E7" i="5"/>
  <c r="G32" i="3"/>
  <c r="D31" i="3"/>
  <c r="G30" i="3"/>
  <c r="D30" i="3"/>
  <c r="E6" i="5"/>
  <c r="H7" i="5"/>
  <c r="G31" i="3"/>
  <c r="G7" i="5"/>
  <c r="E5" i="5"/>
  <c r="F31" i="3"/>
  <c r="F7" i="5"/>
  <c r="D5" i="5"/>
  <c r="E31" i="3"/>
  <c r="F30" i="3"/>
  <c r="D6" i="5"/>
  <c r="G6" i="5"/>
  <c r="E30" i="3"/>
  <c r="F6" i="5"/>
  <c r="D32" i="3"/>
  <c r="C30" i="3"/>
  <c r="C33" i="3" s="1"/>
  <c r="C32" i="3"/>
  <c r="C71" i="4"/>
  <c r="C70" i="4"/>
  <c r="E45" i="4"/>
  <c r="E39" i="4"/>
  <c r="E41" i="4"/>
  <c r="E43" i="4"/>
  <c r="F39" i="4"/>
  <c r="F43" i="4"/>
  <c r="F45" i="4"/>
  <c r="E38" i="4"/>
  <c r="E48" i="4" s="1"/>
  <c r="E53" i="4" s="1"/>
  <c r="F40" i="4"/>
  <c r="E44" i="4"/>
  <c r="F46" i="4"/>
  <c r="I16" i="6"/>
  <c r="I17" i="6"/>
  <c r="I15" i="6"/>
  <c r="F38" i="4"/>
  <c r="F44" i="4"/>
  <c r="C3" i="7"/>
  <c r="H36" i="4"/>
  <c r="G36" i="4"/>
  <c r="C11" i="4"/>
  <c r="C24" i="4" s="1"/>
  <c r="C25" i="4" s="1"/>
  <c r="G46" i="3"/>
  <c r="F41" i="4"/>
  <c r="F51" i="4" s="1"/>
  <c r="F56" i="4" s="1"/>
  <c r="B25" i="1"/>
  <c r="E46" i="3"/>
  <c r="D17" i="6"/>
  <c r="D16" i="6"/>
  <c r="F15" i="6"/>
  <c r="F16" i="6"/>
  <c r="C28" i="6" s="1"/>
  <c r="C19" i="1" s="1"/>
  <c r="D19" i="1" s="1"/>
  <c r="E15" i="6"/>
  <c r="F46" i="3"/>
  <c r="E17" i="6"/>
  <c r="G15" i="6"/>
  <c r="D36" i="4"/>
  <c r="F17" i="6"/>
  <c r="E40" i="4"/>
  <c r="E50" i="4" s="1"/>
  <c r="E55" i="4" s="1"/>
  <c r="E46" i="4"/>
  <c r="E5" i="6"/>
  <c r="L5" i="6"/>
  <c r="I6" i="7"/>
  <c r="C17" i="7"/>
  <c r="D17" i="7"/>
  <c r="H17" i="6"/>
  <c r="D6" i="7"/>
  <c r="E17" i="7"/>
  <c r="E6" i="7"/>
  <c r="F17" i="7"/>
  <c r="G17" i="7"/>
  <c r="H17" i="7"/>
  <c r="F48" i="4" l="1"/>
  <c r="F53" i="4" s="1"/>
  <c r="F49" i="4"/>
  <c r="E51" i="4"/>
  <c r="E56" i="4" s="1"/>
  <c r="E49" i="4"/>
  <c r="E54" i="4" s="1"/>
  <c r="F50" i="4"/>
  <c r="F55" i="4" s="1"/>
  <c r="C60" i="4"/>
  <c r="F54" i="4"/>
  <c r="B78" i="4" s="1"/>
  <c r="C26" i="4"/>
  <c r="C27" i="4"/>
  <c r="C29" i="4"/>
  <c r="D41" i="4"/>
  <c r="D51" i="4" s="1"/>
  <c r="D56" i="4" s="1"/>
  <c r="D45" i="4"/>
  <c r="D38" i="4"/>
  <c r="D43" i="4"/>
  <c r="D39" i="4"/>
  <c r="D49" i="4" s="1"/>
  <c r="D54" i="4" s="1"/>
  <c r="D40" i="4"/>
  <c r="D50" i="4" s="1"/>
  <c r="D55" i="4" s="1"/>
  <c r="D46" i="4"/>
  <c r="D44" i="4"/>
  <c r="K5" i="6"/>
  <c r="J5" i="6"/>
  <c r="B29" i="1"/>
  <c r="B24" i="1"/>
  <c r="C42" i="3"/>
  <c r="C34" i="3"/>
  <c r="D10" i="5" s="1"/>
  <c r="C43" i="3"/>
  <c r="D33" i="3"/>
  <c r="D9" i="5"/>
  <c r="D12" i="5" s="1"/>
  <c r="C37" i="3"/>
  <c r="G43" i="4"/>
  <c r="G46" i="4"/>
  <c r="G39" i="4"/>
  <c r="G49" i="4" s="1"/>
  <c r="G54" i="4" s="1"/>
  <c r="G45" i="4"/>
  <c r="G44" i="4"/>
  <c r="G41" i="4"/>
  <c r="G38" i="4"/>
  <c r="G40" i="4"/>
  <c r="C74" i="4"/>
  <c r="C27" i="6"/>
  <c r="C18" i="1" s="1"/>
  <c r="D18" i="1" s="1"/>
  <c r="H46" i="4"/>
  <c r="H43" i="4"/>
  <c r="H40" i="4"/>
  <c r="H45" i="4"/>
  <c r="H39" i="4"/>
  <c r="H41" i="4"/>
  <c r="H44" i="4"/>
  <c r="H38" i="4"/>
  <c r="B13" i="7"/>
  <c r="B12" i="7"/>
  <c r="B11" i="7"/>
  <c r="B10" i="7"/>
  <c r="B9" i="7"/>
  <c r="B8" i="7"/>
  <c r="B7" i="7"/>
  <c r="B24" i="7"/>
  <c r="B23" i="7"/>
  <c r="B22" i="7"/>
  <c r="B21" i="7"/>
  <c r="B20" i="7"/>
  <c r="B19" i="7"/>
  <c r="B18" i="7"/>
  <c r="H48" i="4" l="1"/>
  <c r="H53" i="4" s="1"/>
  <c r="G50" i="4"/>
  <c r="G55" i="4" s="1"/>
  <c r="H51" i="4"/>
  <c r="H56" i="4" s="1"/>
  <c r="G51" i="4"/>
  <c r="G56" i="4" s="1"/>
  <c r="D42" i="3"/>
  <c r="D34" i="3"/>
  <c r="E10" i="5" s="1"/>
  <c r="E9" i="5"/>
  <c r="E12" i="5" s="1"/>
  <c r="D37" i="3"/>
  <c r="E33" i="3"/>
  <c r="D43" i="3"/>
  <c r="D15" i="5"/>
  <c r="D16" i="5" s="1"/>
  <c r="D13" i="5"/>
  <c r="D48" i="4"/>
  <c r="D53" i="4" s="1"/>
  <c r="H49" i="4"/>
  <c r="H54" i="4" s="1"/>
  <c r="G48" i="4"/>
  <c r="G53" i="4" s="1"/>
  <c r="D14" i="5"/>
  <c r="D18" i="5" s="1"/>
  <c r="D19" i="5" s="1"/>
  <c r="C44" i="3" s="1"/>
  <c r="H50" i="4"/>
  <c r="H55" i="4" s="1"/>
  <c r="C35" i="3"/>
  <c r="C66" i="4"/>
  <c r="D66" i="4" s="1"/>
  <c r="C65" i="4"/>
  <c r="D65" i="4" s="1"/>
  <c r="C67" i="4"/>
  <c r="D67" i="4" s="1"/>
  <c r="C64" i="4"/>
  <c r="D64" i="4" s="1"/>
  <c r="C63" i="4"/>
  <c r="D63" i="4" s="1"/>
  <c r="D35" i="3" l="1"/>
  <c r="C39" i="3"/>
  <c r="C36" i="3"/>
  <c r="C38" i="3"/>
  <c r="E37" i="3"/>
  <c r="F9" i="5"/>
  <c r="F12" i="5" s="1"/>
  <c r="E42" i="3"/>
  <c r="E34" i="3"/>
  <c r="F10" i="5" s="1"/>
  <c r="F33" i="3"/>
  <c r="E43" i="3"/>
  <c r="D39" i="3"/>
  <c r="D36" i="3"/>
  <c r="D38" i="3"/>
  <c r="E15" i="5"/>
  <c r="E16" i="5" s="1"/>
  <c r="E13" i="5"/>
  <c r="E14" i="5" s="1"/>
  <c r="E18" i="5" l="1"/>
  <c r="E19" i="5" s="1"/>
  <c r="D44" i="3" s="1"/>
  <c r="C40" i="3"/>
  <c r="C41" i="3" s="1"/>
  <c r="C45" i="3" s="1"/>
  <c r="G9" i="5"/>
  <c r="G12" i="5" s="1"/>
  <c r="F37" i="3"/>
  <c r="F43" i="3"/>
  <c r="F34" i="3"/>
  <c r="G10" i="5" s="1"/>
  <c r="G33" i="3"/>
  <c r="F42" i="3"/>
  <c r="F13" i="5"/>
  <c r="F14" i="5" s="1"/>
  <c r="F15" i="5"/>
  <c r="F16" i="5" s="1"/>
  <c r="D40" i="3"/>
  <c r="D41" i="3" s="1"/>
  <c r="D45" i="3" s="1"/>
  <c r="D47" i="3" s="1"/>
  <c r="E35" i="3"/>
  <c r="F18" i="5" l="1"/>
  <c r="F19" i="5" s="1"/>
  <c r="E44" i="3" s="1"/>
  <c r="C47" i="3"/>
  <c r="G43" i="3"/>
  <c r="H9" i="5"/>
  <c r="H12" i="5" s="1"/>
  <c r="G42" i="3"/>
  <c r="G37" i="3"/>
  <c r="G34" i="3"/>
  <c r="H10" i="5" s="1"/>
  <c r="C16" i="4"/>
  <c r="C28" i="4" s="1"/>
  <c r="E39" i="3"/>
  <c r="E36" i="3"/>
  <c r="E38" i="3"/>
  <c r="F35" i="3"/>
  <c r="G13" i="5"/>
  <c r="G14" i="5" s="1"/>
  <c r="G15" i="5"/>
  <c r="G16" i="5" s="1"/>
  <c r="G18" i="5" l="1"/>
  <c r="G19" i="5" s="1"/>
  <c r="F44" i="3" s="1"/>
  <c r="G35" i="3"/>
  <c r="C72" i="4"/>
  <c r="C73" i="4"/>
  <c r="G38" i="3"/>
  <c r="G36" i="3"/>
  <c r="G39" i="3"/>
  <c r="F39" i="3"/>
  <c r="F36" i="3"/>
  <c r="F38" i="3"/>
  <c r="E40" i="3"/>
  <c r="E41" i="3"/>
  <c r="E45" i="3" s="1"/>
  <c r="H13" i="5"/>
  <c r="H14" i="5" s="1"/>
  <c r="H15" i="5"/>
  <c r="H16" i="5" s="1"/>
  <c r="H18" i="5" l="1"/>
  <c r="H19" i="5" s="1"/>
  <c r="G44" i="3" s="1"/>
  <c r="F40" i="3"/>
  <c r="F41" i="3" s="1"/>
  <c r="F45" i="3" s="1"/>
  <c r="F47" i="3" s="1"/>
  <c r="G40" i="3"/>
  <c r="G41" i="3" s="1"/>
  <c r="G45" i="3" s="1"/>
  <c r="C59" i="3"/>
  <c r="C60" i="3" s="1"/>
  <c r="C61" i="3" s="1"/>
  <c r="E47" i="3"/>
  <c r="C51" i="3" l="1"/>
  <c r="C52" i="3" s="1"/>
  <c r="G47" i="3"/>
  <c r="I7" i="7"/>
  <c r="C18" i="7"/>
  <c r="D19" i="7"/>
  <c r="I11" i="7"/>
  <c r="F18" i="7"/>
  <c r="G19" i="7"/>
  <c r="G8" i="7"/>
  <c r="H8" i="7"/>
  <c r="G23" i="7"/>
  <c r="E8" i="7"/>
  <c r="C21" i="7"/>
  <c r="D11" i="7"/>
  <c r="E22" i="7"/>
  <c r="F22" i="7"/>
  <c r="E10" i="7"/>
  <c r="G12" i="7"/>
  <c r="I22" i="7"/>
  <c r="I8" i="7"/>
  <c r="F23" i="7"/>
  <c r="E19" i="7"/>
  <c r="C22" i="7"/>
  <c r="E9" i="7"/>
  <c r="F13" i="7"/>
  <c r="E12" i="7"/>
  <c r="E23" i="7"/>
  <c r="H13" i="7"/>
  <c r="F21" i="7"/>
  <c r="I19" i="7"/>
  <c r="G7" i="7"/>
  <c r="H7" i="7"/>
  <c r="F24" i="7"/>
  <c r="E20" i="7"/>
  <c r="E13" i="7"/>
  <c r="E24" i="7"/>
  <c r="D23" i="7"/>
  <c r="H12" i="7"/>
  <c r="G11" i="7"/>
  <c r="C12" i="7"/>
  <c r="H24" i="7"/>
  <c r="G24" i="7"/>
  <c r="H18" i="7"/>
  <c r="C24" i="7"/>
  <c r="D22" i="7"/>
  <c r="C11" i="7"/>
  <c r="H23" i="7"/>
  <c r="C20" i="7"/>
  <c r="D24" i="7"/>
  <c r="D12" i="7"/>
  <c r="E18" i="7"/>
  <c r="C10" i="7"/>
  <c r="F11" i="7"/>
  <c r="C7" i="7"/>
  <c r="H19" i="7"/>
  <c r="I13" i="7"/>
  <c r="G18" i="7"/>
  <c r="F12" i="7"/>
  <c r="F7" i="7"/>
  <c r="F8" i="7"/>
  <c r="D13" i="7"/>
  <c r="I24" i="7"/>
  <c r="C50" i="3"/>
  <c r="F20" i="7"/>
  <c r="G13" i="7"/>
  <c r="I20" i="7"/>
  <c r="H20" i="7"/>
  <c r="G9" i="7"/>
  <c r="H11" i="7"/>
  <c r="F10" i="7"/>
  <c r="C13" i="7"/>
  <c r="I18" i="7"/>
  <c r="E21" i="7"/>
  <c r="I12" i="7"/>
  <c r="D20" i="7"/>
  <c r="H9" i="7"/>
  <c r="C9" i="7"/>
  <c r="H21" i="7"/>
  <c r="I23" i="7"/>
  <c r="F9" i="7"/>
  <c r="G10" i="7"/>
  <c r="E7" i="7"/>
  <c r="G20" i="7"/>
  <c r="C23" i="7"/>
  <c r="D9" i="7"/>
  <c r="C8" i="7"/>
  <c r="C19" i="7"/>
  <c r="H22" i="7"/>
  <c r="F19" i="7"/>
  <c r="I10" i="7"/>
  <c r="G22" i="7"/>
  <c r="D7" i="7"/>
  <c r="D18" i="7"/>
  <c r="E11" i="7"/>
  <c r="D8" i="7"/>
  <c r="D10" i="7"/>
  <c r="I21" i="7"/>
  <c r="D21" i="7"/>
  <c r="H10" i="7"/>
  <c r="I9" i="7"/>
  <c r="G21" i="7"/>
  <c r="C53" i="3" l="1"/>
  <c r="C58" i="3"/>
  <c r="C62" i="3" s="1"/>
  <c r="C63" i="3" l="1"/>
  <c r="C64" i="3" s="1"/>
  <c r="C17" i="1"/>
  <c r="D17" i="1" s="1"/>
  <c r="C54" i="3"/>
  <c r="C55" i="3" s="1"/>
  <c r="C17" i="4"/>
  <c r="C16" i="1"/>
  <c r="C10" i="1" l="1"/>
  <c r="D16" i="1"/>
  <c r="C21" i="1"/>
  <c r="C19" i="4"/>
  <c r="C20" i="4" s="1"/>
  <c r="B79" i="4" s="1"/>
  <c r="B31" i="1" l="1"/>
  <c r="C12" i="1"/>
  <c r="C11" i="1" s="1"/>
  <c r="B26" i="1" l="1"/>
</calcChain>
</file>

<file path=xl/sharedStrings.xml><?xml version="1.0" encoding="utf-8"?>
<sst xmlns="http://schemas.openxmlformats.org/spreadsheetml/2006/main" count="531" uniqueCount="402">
  <si>
    <t>DISCLAIMER: This is a sample analysis for demonstration purposes only. It does not constitute investment advice.</t>
  </si>
  <si>
    <t>アステラス製薬 (4503.T)</t>
  </si>
  <si>
    <t>Equity Research Report</t>
  </si>
  <si>
    <t>Company</t>
  </si>
  <si>
    <t>アステラス製薬</t>
  </si>
  <si>
    <t>Ticker</t>
  </si>
  <si>
    <t>4503.T (TSE Prime)</t>
  </si>
  <si>
    <t>Sector</t>
  </si>
  <si>
    <t>医薬品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</si>
  <si>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</si>
  <si>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</si>
  <si>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</si>
  <si>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</si>
  <si>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</si>
  <si>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</si>
  <si>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</si>
  <si>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</si>
  <si>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</si>
  <si>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</si>
  <si>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</si>
  <si>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</si>
  <si>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</si>
  <si>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</si>
  <si>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</si>
  <si>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</si>
  <si>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Revenue is concentrated in a small number of oncology products whose exclusivity periods are finite, and the terminal growth assumed in this model does not price a cliff.</t>
  </si>
  <si>
    <t>アステラス製薬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</si>
  <si>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</si>
  <si>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</si>
  <si>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</si>
  <si>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</si>
  <si>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</si>
  <si>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</si>
  <si>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</si>
  <si>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</si>
  <si>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</si>
  <si>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</si>
  <si>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</si>
  <si>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</si>
  <si>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</si>
  <si>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</si>
  <si>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</si>
  <si>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</si>
  <si>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</si>
  <si>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</si>
  <si>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</si>
  <si>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</si>
  <si>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</si>
  <si>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</si>
  <si>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</si>
  <si>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</si>
  <si>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</si>
  <si>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</si>
  <si>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</si>
  <si>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</si>
  <si>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アステラス製薬</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</si>
  <si>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</si>
  <si>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</si>
  <si>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</si>
  <si>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</si>
  <si>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</si>
  <si>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</si>
  <si>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</si>
  <si>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</si>
  <si>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</si>
  <si>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</si>
  <si>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</si>
  <si>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</si>
  <si>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</si>
  <si>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</si>
  <si>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</si>
  <si>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</si>
  <si>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</si>
  <si>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</si>
  <si>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</si>
  <si>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</si>
  <si>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</si>
  <si>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</si>
  <si>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</si>
  <si>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</si>
  <si>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</si>
  <si>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</si>
  <si>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</si>
  <si>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</si>
  <si>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</si>
  <si>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</si>
  <si>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</si>
  <si>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</si>
  <si>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</si>
  <si>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</si>
  <si>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</si>
  <si>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</si>
  <si>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</si>
  <si>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</si>
  <si>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</si>
  <si>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</si>
  <si>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</si>
  <si>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</si>
  <si>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</si>
  <si>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</si>
  <si>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</si>
  <si>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</si>
  <si>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</si>
  <si>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</si>
  <si>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</si>
  <si>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</si>
  <si>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</si>
  <si>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</si>
  <si>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</si>
  <si>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</si>
  <si>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</si>
  <si>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</si>
  <si>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</si>
  <si>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</si>
  <si>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</si>
  <si>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</si>
  <si>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</si>
  <si>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</si>
  <si>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</si>
  <si>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アステラス製薬 (4503.T)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</si>
  <si>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</si>
  <si>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</si>
  <si>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</si>
  <si>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</si>
  <si>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</si>
  <si>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</si>
  <si>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</si>
  <si>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</si>
  <si>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</si>
  <si>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</si>
  <si>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</si>
  <si>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</si>
  <si>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</si>
  <si>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</si>
  <si>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</si>
  <si>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</si>
  <si>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</si>
  <si>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</si>
  <si>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</si>
  <si>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</si>
  <si>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</si>
  <si>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</si>
  <si>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</si>
  <si>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</si>
  <si>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</si>
  <si>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</si>
  <si>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</si>
  <si>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</si>
  <si>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</si>
  <si>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</si>
  <si>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</si>
  <si>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</si>
  <si>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</si>
  <si>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</si>
  <si>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</si>
  <si>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</si>
  <si>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</si>
  <si>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</si>
  <si>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</si>
  <si>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</si>
  <si>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</si>
  <si>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</si>
  <si>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</si>
  <si>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</si>
  <si>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</si>
  <si>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</si>
  <si>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</si>
  <si>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</si>
  <si>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</si>
  <si>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</si>
  <si>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</si>
  <si>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アステラス製薬</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</si>
  <si>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</si>
  <si>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</si>
  <si>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</si>
  <si>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</si>
  <si>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</si>
  <si>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</si>
  <si>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</si>
  <si>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</si>
  <si>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</si>
  <si>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</si>
  <si>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</si>
  <si>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</si>
  <si>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</si>
  <si>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</si>
  <si>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</si>
  <si>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</si>
  <si>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</si>
  <si>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</si>
  <si>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</si>
  <si>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</si>
  <si>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</si>
  <si>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</si>
  <si>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</si>
  <si>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</si>
  <si>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</si>
  <si>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</si>
  <si>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</si>
  <si>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</si>
  <si>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</si>
  <si>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</si>
  <si>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</si>
  <si>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</si>
  <si>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</si>
  <si>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</si>
  <si>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Astellas Pharma Inc.</t>
  </si>
  <si>
    <t>4503.T</t>
  </si>
  <si>
    <t>Daiichi Sankyo Company, Limited</t>
  </si>
  <si>
    <t>4568.T</t>
  </si>
  <si>
    <t>Otsuka Holdings Co., Ltd.</t>
  </si>
  <si>
    <t>4578.T</t>
  </si>
  <si>
    <t>Shionogi &amp; Co., Ltd.</t>
  </si>
  <si>
    <t>4507.T</t>
  </si>
  <si>
    <t>Takeda Pharmaceutical Company Limited</t>
  </si>
  <si>
    <t>4502.T</t>
  </si>
  <si>
    <t>N/A</t>
  </si>
  <si>
    <t>Statistics</t>
  </si>
  <si>
    <t>25th Percentile</t>
  </si>
  <si>
    <t>Median (50th)</t>
  </si>
  <si>
    <t>75th Percentile</t>
  </si>
  <si>
    <t>Implied Valuation for アステラス製薬</t>
  </si>
  <si>
    <t>アステラス製薬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</si>
  <si>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</si>
  <si>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</si>
  <si>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</si>
  <si>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</si>
  <si>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</si>
  <si>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</si>
  <si>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</si>
  <si>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</si>
  <si>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</si>
  <si>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</si>
  <si>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</si>
  <si>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</si>
  <si>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</si>
  <si>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</si>
  <si>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</si>
  <si>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アステラス製薬</t>
  </si>
  <si>
    <t>日付</t>
  </si>
  <si>
    <t>セル</t>
  </si>
  <si>
    <t>変更内容</t>
  </si>
  <si>
    <t>理由</t>
  </si>
  <si>
    <t>元の値</t>
  </si>
  <si>
    <t>状態</t>
  </si>
  <si>
    <t>2026-09-05</t>
  </si>
  <si>
    <t>-</t>
  </si>
  <si>
    <t>Generated by pipeline on 2026-09-05 15:34,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</si>
  <si>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</si>
  <si>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</si>
  <si>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</si>
  <si>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</si>
  <si>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</si>
  <si>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</si>
  <si>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</si>
  <si>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</si>
  <si>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</si>
  <si>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</si>
  <si>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</si>
  <si>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</si>
  <si>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</si>
  <si>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</si>
  <si>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4,223,444百万円。■テンプレートの自動規則(&gt;=1兆円 -&gt; 0.0%、&gt;=1,000億円 -&gt; 1.5%)とは異なる値であり、明示指定で上書きしている。</t>
  </si>
  <si>
    <t>テンプレ自動値</t>
  </si>
  <si>
    <t>DCF Model!C8</t>
  </si>
  <si>
    <t>Beta = 0.60</t>
  </si>
  <si>
    <t>yfinance実測 0.088 はテンプレのクランプ域 [0.6, 1.75] の下限を大きく下回り、そのまま渡すと【無言で 1.0 に置換】される。追補1 §A に従い max(0.6, min(1.75, 実測)) = 0.60 を明示指定した。**0.60 は実測値ではなくテンプレが受け付ける最小値**であることに注意。</t>
  </si>
  <si>
    <t>yfinance実測 0.088</t>
  </si>
  <si>
    <t>DCF Model!C6</t>
  </si>
  <si>
    <t>Effective Tax Rate = 25%</t>
  </si>
  <si>
    <t>バッチ共通の既定値(v2 §1-3)。当社の実績税負担率を個別に検証したものではない。</t>
  </si>
  <si>
    <t>テンプレ既定 30%</t>
  </si>
  <si>
    <t>推定</t>
  </si>
  <si>
    <t>DCF Model!C11</t>
  </si>
  <si>
    <t>After-tax Cost of Debt = 1.51%(実績ベース)</t>
  </si>
  <si>
    <t>支払利息 14,072百万円 ÷ 平均有利子負債 ((831,426 + 565,952)/2 = 698,689) = 2.01%(税引前)、× (1 − 25%) = 1.51%(validate チェック17 PASS)。■有利子負債は FY2025/3 の 831,426 から FY2026/3 に 565,952 へ 32% 減少しており、平均残高ベースの実績Kd は現在の残高構成を正確には表していない。■出所は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</si>
  <si>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</si>
  <si>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</si>
  <si>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</si>
  <si>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</si>
  <si>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</si>
  <si>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</si>
  <si>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</si>
  <si>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12.0x</t>
  </si>
  <si>
    <t>Peer 4社の実測EV/EBITDA中央値 12.00x（4568 16.10 / 4578 10.22 / 4507 12.64 / 4502 11.53）。 自社の現在倍率 7.84x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</si>
  <si>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</si>
  <si>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</si>
  <si>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</si>
  <si>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**CLEAN**（docID S100YBPK。金融事業専用科目は1件も検出されず）。銀行・captive finance なし（Debt/Revenue 0.26）。OPMレンジは16.6pt（閾値12pt超）だが、要因は市況サイクルではなく FY2024/3・FY2025/3 の**無形資産減損**である。したがって型Bのミッドサイクル正常化は適用しない。</t>
  </si>
  <si>
    <t>Financial Statements / hist_* 系列</t>
  </si>
  <si>
    <t>hist_years を FY2023-FY2026 の4期に置換し P/L 5系列を yfinance連結財務諸表から供給（予防的）</t>
  </si>
  <si>
    <t>【予防的な EDINET 補完・§3-2 / 追補1 §D】本バッチでは EDINET が古い年度の営業利益を 0 で抽出し、Financial Statements の『営業利益YoY成長率』が 0 除算になって validate FAIL 1(#DIV/0!)を起こす事象が多発した(生成19銘柄中8銘柄)。根本原因は scripts/generate_dcf.py:66 の _val(data_dict, key, default=0) が【欠損値を None ではなく 0 に落とす】こと(バッチ中はパイプラインを変更しない方針のため未修正)。当社では発生を待たず予防的に対処し、hist_years を直近4期に置換して hist_revenue / hist_operating_income / hist_net_income / hist_cogs / hist_sga を yfinance連結財務諸表から供給した(配列長は全て4で hist_years と一致、契約遵守)。**結果として #DIV/0! は発生していない**。■hist_sga = 売上 - COGS - 営業利益 で逆算。</t>
  </si>
  <si>
    <t>EDINET自動抽出値</t>
  </si>
  <si>
    <t>Comps Analysis / core_ebitda</t>
  </si>
  <si>
    <t>core_ebitda = 574,653百万円 を明示指定（営業利益 380,059 + D&amp;A 194,594）</t>
  </si>
  <si>
    <t>【core_ebitda の明示指定 — validate では検出されない不整合の是正】Comps Analysis の『自社 Financials』ブロックの EBITDA(および Via EV/EBITDA (Median) 参考株価)は comps CSV の自社行ではなく config の core_ebitda を使う。core_ebitda は EDINET 由来の hist_operating_income[-1] + hist_depreciation[-1] で自動計算されるが、EDINET の減価償却費の抽出は銘柄により信頼できない。当社では EDINET 由来 D&amp;A が **2,574百万円** と事実上ゼロで抽出されており（実績は 194,594）、Comps の自社EBITDAが 382,633 と表示されて Peer 行（yfinance定義）と定義が大きく食い違っていた。 Peer と同一定義(EBITDA = 営業利益 + CF計算書の減価償却費)に揃えるため core_ebitda = 574,653 を明示指定して再生成した。■この不整合は validate では検出されない(FAIL 0 / WARN 0 のまま)。batch/check_core_ebitda.py を新設し全銘柄を機械照合する運用にした。■Comps は Target 不算入([参考])のため Target Price は変わっていない。参考値は 2,403円 → **3,689円** に是正。あわせて hist_depreciation / hist_capex も yfinance連結キャッシュフロー計算書から供給した。</t>
  </si>
  <si>
    <t>EDINET由来の自動計算値 382,633</t>
  </si>
  <si>
    <t>DCF Model!C5 / C18</t>
  </si>
  <si>
    <t>capex_method / da_method とも revenue_pct(capex 9.56% / D&amp;A 9.10%)</t>
  </si>
  <si>
    <t>実績は capex 3.0-5.8% / D&amp;A 7.0-10.4% で **D&amp;A が capex を大きく上回る**（買収無形資産の償却）。武田(4502)と同じ構造だが乖離幅は小さいため、ターミナル収束は比率設定で満たした（1.051x、レンジ内、validate チェック9 PASS）。■**留保: capex_pct 9.56% は直近実績 4.0% の 2倍以上であり、ターミナル収束要件を満たすために置いた水準である**。近い将来の FCF はこの分だけ保守的に（低く）出る。無形資産償却の剥落を織り込むなら 4502 と同様に da_direct で D&amp;A を逓減させる設計もあり得る（人間の判断を要する）。</t>
  </si>
  <si>
    <t>DCF Model シナリオ5本</t>
  </si>
  <si>
    <t>実績OPM分布からの導出(min 1.18 / p25 1.87 / med 5.38 / p75 10.94 / max 17.77%)</t>
  </si>
  <si>
    <t>中間2期(1.18% / 2.10%)は無形資産減損による一過性の落ち込みで分布そのものが歪んでいる。直近が中央値を上回るため Base 到達OPM = (直近実績 + p75)/2 = 14.36% とし、Xtandi/Padcev の伸長を認めつつ減損の再発リスク分を割り引いた(Y1 17.0% -&gt; Y5 14.36%)。Upside は max(p75 10.94, 直近+1.0pt = 18.77) = 18.77%。Downside 1 は p25(1.87%)が減損年の値で『緩やかな悪化』を表さないため実績中央値 5.38% を到達点とした(4005 と同じ扱い)。Downside 2 は減損の再現ではなく事業悪化として設計し、売上-8% + OPM 2.0-3.0% とした。■製薬の恒等式: COGS% を実績 19.1% 基準に置き SGA% = 100% - COGS% - 目標OPM で逆算した。既存銘柄からの流用なし。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</si>
  <si>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</si>
  <si>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</si>
  <si>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</si>
  <si>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</si>
  <si>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</si>
  <si>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</si>
  <si>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118 / DIH **284** / DPO 196 日</t>
  </si>
  <si>
    <t>実績4期平均。DIH 284日・DPO 196日はいずれも長く、両者がある程度相殺する構造。</t>
  </si>
  <si>
    <t>Comps Analysis</t>
  </si>
  <si>
    <t>Peer 4社 = 4568 第一三共 / 4578 大塚HD / 4507 塩野義製薬 / 4502 武田薬品工業</t>
  </si>
  <si>
    <t>■選定理由: TSE33業種『医薬品』の大型株。■時価総額バンド: v2 §5 の 0.3〜3倍は 1.27〜12.7兆円で、**採用4社すべてがバンド内**。■**除外: 4519 中外製薬**（11.18兆円でバンド内だが、yfinance が FY2025/12 の減価償却費を収録しておらず EBITDA を算出できない。v2 §5『D&amp;Aが取れない社はCSVに入れない』に従い除外）。結果として **Peer 4社構成**（EV/EBITDA 統計は n≥3 で有効）。■海外Peer（Pfizer / AstraZeneca 等）は真の比較対象だが v2 §5 により不使用。■D&amp;A取得状況: 採用5社すべてで減価償却費を取得でき統一。**D&amp;A欠損による除外はゼロ**（validate チェック12 PASS）。</t>
  </si>
  <si>
    <t>Executive Summary!C10 / Target</t>
  </si>
  <si>
    <t>Target Price = 2,585円 = PGM 1,907円 と Exit 3,263円 の2本平均。Comps 2本(EV/EBITDA 3,689円 / PER 2,830円)は [参考・Target不算入]</t>
  </si>
  <si>
    <t>メモ§2 の規約どおり。validate チェック14 PASS(C10 が C16:C17 のみを平均)。EV&lt;net_debt による INVALID 化は発生していない（チェック10・15 とも PASS）。</t>
  </si>
  <si>
    <t>全体(納品状態)</t>
  </si>
  <si>
    <t>本ファイルは DRAFT。_FINAL は付けない</t>
  </si>
  <si>
    <t>バッチモードでの機械生成物であり人間の検証を経ていない。FINAL化は手順書v2 §6 に従い検証後に行う。</t>
  </si>
  <si>
    <t>DRAFT</t>
  </si>
  <si>
    <t>全体(未解決)</t>
  </si>
  <si>
    <t>**capex_pct 9.56% がターミナル収束のための人為的水準である**</t>
  </si>
  <si>
    <t>直近実績は 4.0%。D&amp;A が capex を大きく上回る（買収無形資産の償却）構造に対し、本モデルは capex を引き上げて収束させた。4502 と同様に da_direct で D&amp;A を逓減させる設計の方が経済実態に近い可能性がある。どちらを採るかは人間の判断を要する。</t>
  </si>
  <si>
    <t>未解決</t>
  </si>
  <si>
    <t>PGM 1,907円 と Exit 3,263円 の 1.7倍の開き（WARN 11）</t>
  </si>
  <si>
    <t>自社の実測 EV/EBITDA 7.84x が Peer中央値 12.00x を大きく下回ることが原因。Target 2,585円 はその中間で、どちらの世界観を採るかで結論が変わる。</t>
  </si>
  <si>
    <t>減損の再発リスク</t>
  </si>
  <si>
    <t>4期のうち2期で無形資産の減損を計上している。本モデルの Downside 2 は減損ではなく事業悪化で設計しており、3回目の減損は織り込んでいない。</t>
  </si>
  <si>
    <t>オンコロジー製品への収益集中と独占期間</t>
  </si>
  <si>
    <t>収益が少数の製品に集中し、独占期間は有限。terminal_growth 1.0% は特許切れの断崖を表現していない。</t>
  </si>
  <si>
    <t>Pipeline Metadata (do not edit — read by scripts/validate_output.py)</t>
  </si>
  <si>
    <t>key</t>
  </si>
  <si>
    <t>value</t>
  </si>
  <si>
    <t>auto_log_entries</t>
  </si>
  <si>
    <t>1</t>
  </si>
  <si>
    <t>capex_pct_basis</t>
  </si>
  <si>
    <t>assumption</t>
  </si>
  <si>
    <t>capex_pct_c5</t>
  </si>
  <si>
    <t>0.0956</t>
  </si>
  <si>
    <t>capex_pct_hist3yr</t>
  </si>
  <si>
    <t>0.04033</t>
  </si>
  <si>
    <t>company_name</t>
  </si>
  <si>
    <t>comps_asof</t>
  </si>
  <si>
    <t>comps_da_missing</t>
  </si>
  <si>
    <t>none</t>
  </si>
  <si>
    <t>comps_ev_ebitda_invalid</t>
  </si>
  <si>
    <t>no</t>
  </si>
  <si>
    <t>comps_ev_ebitda_rows</t>
  </si>
  <si>
    <t>6,7,8,9</t>
  </si>
  <si>
    <t>comps_impl_mult_row</t>
  </si>
  <si>
    <t>27</t>
  </si>
  <si>
    <t>comps_impl_per_row</t>
  </si>
  <si>
    <t>28</t>
  </si>
  <si>
    <t>comps_peer_rows</t>
  </si>
  <si>
    <t>comps_stale_excluded</t>
  </si>
  <si>
    <t>comps_stat_median_row</t>
  </si>
  <si>
    <t>16</t>
  </si>
  <si>
    <t>comps_subject_row</t>
  </si>
  <si>
    <t>5</t>
  </si>
  <si>
    <t>cost_of_debt_actual</t>
  </si>
  <si>
    <t>interest 14,072 (expense 14,072 + fees 0) / avg debt 698,689 (debt_beginning/debt_ending) = 0.020141 pre-tax -&gt; 0.015100 after-tax</t>
  </si>
  <si>
    <t>cost_of_debt_at_c11</t>
  </si>
  <si>
    <t>0.0151</t>
  </si>
  <si>
    <t>cost_of_debt_avg_debt</t>
  </si>
  <si>
    <t>698689.0</t>
  </si>
  <si>
    <t>cost_of_debt_basis</t>
  </si>
  <si>
    <t>actual</t>
  </si>
  <si>
    <t>cost_of_debt_interest</t>
  </si>
  <si>
    <t>14072.0</t>
  </si>
  <si>
    <t>cost_of_debt_pretax</t>
  </si>
  <si>
    <t>0.020140577567415545</t>
  </si>
  <si>
    <t>da_pct_basis</t>
  </si>
  <si>
    <t>da_pct_c18</t>
  </si>
  <si>
    <t>0.091</t>
  </si>
  <si>
    <t>da_pct_hist3yr</t>
  </si>
  <si>
    <t>0.09784</t>
  </si>
  <si>
    <t>fs_year_coverage</t>
  </si>
  <si>
    <t>OCF 4/4, Cash 4/4, Debt 4/4</t>
  </si>
  <si>
    <t>fs_year_map</t>
  </si>
  <si>
    <t>FY2023&lt;-FY2023[ocf+cash+debt]; FY2024&lt;-FY2024[ocf+cash+debt]; FY2025&lt;-FY2025[ocf+cash+debt]; FY2026&lt;-FY2026[ocf+cash+debt]</t>
  </si>
  <si>
    <t>fs_year_sources</t>
  </si>
  <si>
    <t>overrides: hist_capex, hist_depreciation | EDINET year-key match: hist_ocf, hist_cash, hist_debt</t>
  </si>
  <si>
    <t>fx_sensitivity</t>
  </si>
  <si>
    <t>not enabled</t>
  </si>
  <si>
    <t>generated_at</t>
  </si>
  <si>
    <t>2026-09-05 15:34:15</t>
  </si>
  <si>
    <t>ltm_revenue_c20</t>
  </si>
  <si>
    <t>2139245.0</t>
  </si>
  <si>
    <t>ltm_revenue_source</t>
  </si>
  <si>
    <t>latest FY (no LTM)</t>
  </si>
  <si>
    <t>narrative_tokens_used</t>
  </si>
  <si>
    <t>pb,per,price,target_price,upside_pct,wacc</t>
  </si>
  <si>
    <t>reverse_dcf_sheet</t>
  </si>
  <si>
    <t>op0=380,059(FY2026) peak=380,059(FY2026) peak_opm=0.1777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</si>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</sst>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7" t="s">
        <v>0</v>
      </c>
      <c r="C1" s="46"/>
      <c r="D1" s="46"/>
      <c r="E1" s="46"/>
    </row>
    <row r="3" spans="2:5" ht="18" customHeight="1" x14ac:dyDescent="0.4">
      <c r="B3" s="45" t="s">
        <v>1</v>
      </c>
      <c r="C3" s="46"/>
      <c r="D3" s="46"/>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2355.5</v>
      </c>
    </row>
    <row r="10" spans="2:5" ht="14" customHeight="1" x14ac:dyDescent="0.3">
      <c r="B10" s="4" t="s">
        <v>10</v>
      </c>
      <c r="C10" s="5">
        <f>IF(COUNT(C16:C17)=0,"N/A",ROUND(AVERAGE(C16:C17),0))</f>
        <v>2585</v>
      </c>
    </row>
    <row r="11" spans="2:5" ht="14" customHeight="1" x14ac:dyDescent="0.3">
      <c r="B11" s="4" t="s">
        <v>11</v>
      </c>
      <c r="C11" s="6" t="str">
        <f>IF(NOT(ISNUMBER(C12)),"N/A",IF(C12&gt;0.15,"BUY",IF(C12&gt;0.05,"HOLD","SELL")))</f>
        <v>HOLD</v>
      </c>
    </row>
    <row r="12" spans="2:5" ht="14" customHeight="1" x14ac:dyDescent="0.3">
      <c r="B12" s="4" t="s">
        <v>12</v>
      </c>
      <c r="C12" s="7">
        <f>IF(ISNUMBER(C10),(C10-C9)/C9,"N/A")</f>
        <v>9.743154319677351E-2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1907</v>
      </c>
      <c r="D16" s="7">
        <f>IF(ISNUMBER(C16),(C16-C9)/C9,"N/A")</f>
        <v>-0.19040543409042665</v>
      </c>
    </row>
    <row r="17" spans="2:5" ht="13.5" customHeight="1" x14ac:dyDescent="0.25">
      <c r="B17" t="s">
        <v>18</v>
      </c>
      <c r="C17" s="11">
        <f>IF('DCF Model'!C62&lt;'DCF Model'!C16,"INVALID (EV &lt; net debt)",'DCF Model'!C64)</f>
        <v>3263</v>
      </c>
      <c r="D17" s="7">
        <f>IF(ISNUMBER(C17),(C17-C9)/C9,"N/A")</f>
        <v>0.3852685204839737</v>
      </c>
    </row>
    <row r="18" spans="2:5" ht="13.5" customHeight="1" x14ac:dyDescent="0.25">
      <c r="B18" t="s">
        <v>19</v>
      </c>
      <c r="C18" s="11">
        <f>'Comps Analysis'!C27</f>
        <v>3689</v>
      </c>
      <c r="D18" s="7">
        <f>IF(ISNUMBER(C18),(C18-C9)/C9,"N/A")</f>
        <v>0.56612184249628528</v>
      </c>
    </row>
    <row r="19" spans="2:5" ht="13.5" customHeight="1" x14ac:dyDescent="0.25">
      <c r="B19" t="s">
        <v>20</v>
      </c>
      <c r="C19" s="11">
        <f>'Comps Analysis'!C28</f>
        <v>2830</v>
      </c>
      <c r="D19" s="7">
        <f>IF(ISNUMBER(C19),(C19-C9)/C9,"N/A")</f>
        <v>0.20144343026958184</v>
      </c>
    </row>
    <row r="20" spans="2:5" ht="14" customHeight="1" x14ac:dyDescent="0.3">
      <c r="B20" s="47" t="s">
        <v>21</v>
      </c>
      <c r="C20" s="46"/>
      <c r="D20" s="46"/>
      <c r="E20" s="46"/>
    </row>
    <row r="21" spans="2:5" ht="14" customHeight="1" x14ac:dyDescent="0.3">
      <c r="B21" s="4" t="s">
        <v>22</v>
      </c>
      <c r="C21" s="6" t="str">
        <f>IF(COUNT(C16:C17)=0,"N/A",MIN(C16:C17)&amp;" - "&amp;MAX(C16:C17))</f>
        <v>1907 - 3263</v>
      </c>
    </row>
    <row r="23" spans="2:5" ht="14" customHeight="1" x14ac:dyDescent="0.3">
      <c r="B23" s="8" t="s">
        <v>23</v>
      </c>
      <c r="C23" s="9"/>
      <c r="D23" s="9"/>
    </row>
    <row r="24" spans="2:5" x14ac:dyDescent="0.2">
      <c r="B24" t="str">
        <f>"Astellas has replaced the Xtandi patent cliff with Padcev and Izervay, and the latest year lifted the operating margin to the top of its four-year range after two years depressed by impairments; the shares trade at "&amp;TEXT('Comps Analysis'!L5,"0.0""x""")&amp;" earnings and "&amp;TEXT('Comps Analysis'!M5,"0.00""x""")&amp;" book."</f>
        <v>Astellas has replaced the Xtandi patent cliff with Padcev and Izervay, and the latest year lifted the operating margin to the top of its four-year range after two years depressed by impairments; the shares trade at 14.5x earnings and 2.31x book.</v>
      </c>
    </row>
    <row r="25" spans="2:5" x14ac:dyDescent="0.2">
      <c r="B25" t="str">
        <f>"The stock changes hands well below the Japanese pharmaceutical peer median on EV/EBITDA, which is where the exit leg of this model finds value against a "&amp;TEXT('DCF Model'!C26,"0.00%")&amp;" cost of capital."</f>
        <v>The stock changes hands well below the Japanese pharmaceutical peer median on EV/EBITDA, which is where the exit leg of this model finds value against a 7.47% cost of capital.</v>
      </c>
    </row>
    <row r="26" spans="2:5" x14ac:dyDescent="0.2">
      <c r="B26" t="str">
        <f>"At "&amp;TEXT(C9,"#,##0")&amp;" the market has not accepted the margin recovery as durable; a base case that gives back part of it still supports "&amp;TEXT(C10,"#,##0")&amp;", or "&amp;TEXT(C12,"+0.0%;-0.0%")&amp;" from here."</f>
        <v>At 2,356 the market has not accepted the margin recovery as durable; a base case that gives back part of it still supports 2,585, or +9.7% from here.</v>
      </c>
    </row>
    <row r="28" spans="2:5" ht="14" customHeight="1" x14ac:dyDescent="0.3">
      <c r="B28" s="8" t="s">
        <v>24</v>
      </c>
      <c r="C28" s="9"/>
      <c r="D28" s="9"/>
    </row>
    <row r="29" spans="2:5" x14ac:dyDescent="0.2">
      <c r="B29" t="str">
        <f>"The company has written down acquired intangibles twice in four years, which is why the historical margin range is so wide; a third write-down would put earnings far below the "&amp;TEXT('Comps Analysis'!L5,"0.0""x""")&amp;" implied by "&amp;TEXT(C9,"#,##0")&amp;"."</f>
        <v>The company has written down acquired intangibles twice in four years, which is why the historical margin range is so wide; a third write-down would put earnings far below the 14.5x implied by 2,356.</v>
      </c>
    </row>
    <row r="30" spans="2:5" x14ac:dyDescent="0.2">
      <c r="B30" t="s">
        <v>25</v>
      </c>
    </row>
    <row r="31" spans="2:5" x14ac:dyDescent="0.2">
      <c r="B31" t="str">
        <f>"Capital expenditure in this model is set well above the recent actual level in order to converge on depreciation in the terminal year, so near-term free cash flow behind "&amp;TEXT(C10,"#,##0")&amp;" is understated by construction."</f>
        <v>Capital expenditure in this model is set well above the recent actual level in order to converge on depreciation in the terminal year, so near-term free cash flow behind 2,585 is understated by construction.</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1518619</v>
      </c>
      <c r="D6" s="5">
        <v>1603672</v>
      </c>
      <c r="E6" s="5">
        <v>1912323</v>
      </c>
      <c r="F6" s="5">
        <v>2139245</v>
      </c>
    </row>
    <row r="7" spans="2:6" ht="14" customHeight="1" x14ac:dyDescent="0.3">
      <c r="B7" s="4" t="s">
        <v>33</v>
      </c>
      <c r="C7" s="5">
        <v>288353</v>
      </c>
      <c r="D7" s="5">
        <v>292485</v>
      </c>
      <c r="E7" s="5">
        <v>349206</v>
      </c>
      <c r="F7" s="5">
        <v>408426</v>
      </c>
    </row>
    <row r="8" spans="2:6" ht="14" customHeight="1" x14ac:dyDescent="0.3">
      <c r="B8" s="4" t="s">
        <v>34</v>
      </c>
      <c r="C8" s="5">
        <f>C6-C7</f>
        <v>1230266</v>
      </c>
      <c r="D8" s="5">
        <f>D6-D7</f>
        <v>1311187</v>
      </c>
      <c r="E8" s="5">
        <f>E6-E7</f>
        <v>1563117</v>
      </c>
      <c r="F8" s="5">
        <f>F6-F7</f>
        <v>1730819</v>
      </c>
    </row>
    <row r="9" spans="2:6" ht="13.5" customHeight="1" x14ac:dyDescent="0.25">
      <c r="B9" t="s">
        <v>35</v>
      </c>
      <c r="C9" s="7">
        <f>C8/C6</f>
        <v>0.81012156439501937</v>
      </c>
      <c r="D9" s="7">
        <f>D8/D6</f>
        <v>0.81761544754787763</v>
      </c>
      <c r="E9" s="7">
        <f>E8/E6</f>
        <v>0.8173917272343636</v>
      </c>
      <c r="F9" s="7">
        <f>F8/F6</f>
        <v>0.80907937146049191</v>
      </c>
    </row>
    <row r="10" spans="2:6" ht="14" customHeight="1" x14ac:dyDescent="0.3">
      <c r="B10" s="4" t="s">
        <v>36</v>
      </c>
      <c r="C10" s="5">
        <v>1098709</v>
      </c>
      <c r="D10" s="5">
        <v>1292240</v>
      </c>
      <c r="E10" s="5">
        <v>1522869</v>
      </c>
      <c r="F10" s="5">
        <v>1350760</v>
      </c>
    </row>
    <row r="11" spans="2:6" ht="14" customHeight="1" x14ac:dyDescent="0.3">
      <c r="B11" s="4" t="s">
        <v>37</v>
      </c>
      <c r="C11" s="5">
        <v>131557</v>
      </c>
      <c r="D11" s="5">
        <v>18947</v>
      </c>
      <c r="E11" s="5">
        <v>40248</v>
      </c>
      <c r="F11" s="5">
        <v>380059</v>
      </c>
    </row>
    <row r="12" spans="2:6" ht="14" customHeight="1" x14ac:dyDescent="0.3">
      <c r="B12" s="4" t="s">
        <v>38</v>
      </c>
      <c r="C12" s="5">
        <v>98714</v>
      </c>
      <c r="D12" s="5">
        <v>17045</v>
      </c>
      <c r="E12" s="5">
        <v>50747</v>
      </c>
      <c r="F12" s="5">
        <v>291535</v>
      </c>
    </row>
    <row r="13" spans="2:6" ht="13.5" customHeight="1" x14ac:dyDescent="0.25">
      <c r="B13" t="s">
        <v>39</v>
      </c>
      <c r="C13" s="7">
        <f>C11/C6</f>
        <v>8.6629365232490832E-2</v>
      </c>
      <c r="D13" s="7">
        <f>D11/D6</f>
        <v>1.181476012551195E-2</v>
      </c>
      <c r="E13" s="7">
        <f>E11/E6</f>
        <v>2.1046653729521633E-2</v>
      </c>
      <c r="F13" s="7">
        <f>F11/F6</f>
        <v>0.17766034278448706</v>
      </c>
    </row>
    <row r="14" spans="2:6" ht="13.5" customHeight="1" x14ac:dyDescent="0.25">
      <c r="B14" t="s">
        <v>40</v>
      </c>
      <c r="C14" s="7">
        <f>C12/C6</f>
        <v>6.5002479226191692E-2</v>
      </c>
      <c r="D14" s="7">
        <f>D12/D6</f>
        <v>1.0628732059922479E-2</v>
      </c>
      <c r="E14" s="7">
        <f>E12/E6</f>
        <v>2.6536835043034047E-2</v>
      </c>
      <c r="F14" s="7">
        <f>F12/F6</f>
        <v>0.13627938828885891</v>
      </c>
    </row>
    <row r="15" spans="2:6" ht="13.5" customHeight="1" x14ac:dyDescent="0.25">
      <c r="B15" t="s">
        <v>41</v>
      </c>
      <c r="C15" t="s">
        <v>42</v>
      </c>
      <c r="D15" s="7">
        <f>(D6-C6)/C6</f>
        <v>5.6006806183776181E-2</v>
      </c>
      <c r="E15" s="7">
        <f>(E6-D6)/D6</f>
        <v>0.19246516744072353</v>
      </c>
      <c r="F15" s="7">
        <f>(F6-E6)/E6</f>
        <v>0.1186630082888717</v>
      </c>
    </row>
    <row r="16" spans="2:6" ht="13.5" customHeight="1" x14ac:dyDescent="0.25">
      <c r="B16" t="s">
        <v>43</v>
      </c>
      <c r="C16" t="s">
        <v>42</v>
      </c>
      <c r="D16" s="7">
        <f>(D11-C11)/C11</f>
        <v>-0.85597877726004701</v>
      </c>
      <c r="E16" s="7">
        <f>(E11-D11)/D11</f>
        <v>1.1242413046920356</v>
      </c>
      <c r="F16" s="7">
        <f>(F11-E11)/E11</f>
        <v>8.4429288411846546</v>
      </c>
    </row>
    <row r="18" spans="2:6" ht="14" customHeight="1" x14ac:dyDescent="0.3">
      <c r="B18" s="3" t="s">
        <v>44</v>
      </c>
    </row>
    <row r="19" spans="2:6" ht="14" customHeight="1" x14ac:dyDescent="0.3">
      <c r="B19" s="4" t="s">
        <v>45</v>
      </c>
      <c r="C19" s="5">
        <v>327767</v>
      </c>
      <c r="D19" s="5">
        <v>172475</v>
      </c>
      <c r="E19" s="5">
        <v>194512</v>
      </c>
      <c r="F19" s="5">
        <v>560188</v>
      </c>
    </row>
    <row r="20" spans="2:6" ht="14" customHeight="1" x14ac:dyDescent="0.3">
      <c r="B20" s="4" t="s">
        <v>46</v>
      </c>
      <c r="C20" s="5">
        <v>88541</v>
      </c>
      <c r="D20" s="5">
        <v>82497</v>
      </c>
      <c r="E20" s="5">
        <v>57330</v>
      </c>
      <c r="F20" s="5">
        <v>84645</v>
      </c>
    </row>
    <row r="21" spans="2:6" ht="14" customHeight="1" x14ac:dyDescent="0.3">
      <c r="B21" s="4" t="s">
        <v>47</v>
      </c>
      <c r="C21" s="5">
        <f>C19-C20</f>
        <v>239226</v>
      </c>
      <c r="D21" s="5">
        <f>D19-D20</f>
        <v>89978</v>
      </c>
      <c r="E21" s="5">
        <f>E19-E20</f>
        <v>137182</v>
      </c>
      <c r="F21" s="5">
        <f>F19-F20</f>
        <v>475543</v>
      </c>
    </row>
    <row r="22" spans="2:6" ht="13.5" customHeight="1" x14ac:dyDescent="0.25">
      <c r="B22" t="s">
        <v>48</v>
      </c>
      <c r="C22" s="7">
        <f>C21/C6</f>
        <v>0.15752864938473704</v>
      </c>
      <c r="D22" s="7">
        <f>D21/D6</f>
        <v>5.6107483325767364E-2</v>
      </c>
      <c r="E22" s="7">
        <f>E21/E6</f>
        <v>7.1735789403777506E-2</v>
      </c>
      <c r="F22" s="7">
        <f>F21/F6</f>
        <v>0.22229478157013338</v>
      </c>
    </row>
    <row r="23" spans="2:6" ht="13.5" customHeight="1" x14ac:dyDescent="0.25">
      <c r="B23" t="s">
        <v>49</v>
      </c>
      <c r="C23" s="7">
        <f>C20/C6</f>
        <v>5.8303629811032258E-2</v>
      </c>
      <c r="D23" s="7">
        <f>D20/D6</f>
        <v>5.1442564314897313E-2</v>
      </c>
      <c r="E23" s="7">
        <f>E20/E6</f>
        <v>2.9979245137981399E-2</v>
      </c>
      <c r="F23" s="7">
        <f>F20/F6</f>
        <v>3.9567697949510226E-2</v>
      </c>
    </row>
    <row r="25" spans="2:6" ht="14" customHeight="1" x14ac:dyDescent="0.3">
      <c r="B25" s="3" t="s">
        <v>50</v>
      </c>
    </row>
    <row r="26" spans="2:6" ht="14" customHeight="1" x14ac:dyDescent="0.3">
      <c r="B26" s="4" t="s">
        <v>51</v>
      </c>
      <c r="C26" s="5">
        <v>376840</v>
      </c>
      <c r="D26" s="5">
        <v>335687</v>
      </c>
      <c r="E26" s="5">
        <v>188372</v>
      </c>
      <c r="F26" s="5">
        <v>281605</v>
      </c>
    </row>
    <row r="27" spans="2:6" ht="14" customHeight="1" x14ac:dyDescent="0.3">
      <c r="B27" s="4" t="s">
        <v>52</v>
      </c>
      <c r="C27" s="5">
        <v>125000</v>
      </c>
      <c r="D27" s="5">
        <v>920016</v>
      </c>
      <c r="E27" s="5">
        <v>831426</v>
      </c>
      <c r="F27" s="5">
        <v>565952</v>
      </c>
    </row>
    <row r="28" spans="2:6" ht="14" customHeight="1" x14ac:dyDescent="0.3">
      <c r="B28" s="4" t="s">
        <v>53</v>
      </c>
      <c r="C28" s="5">
        <f>C27-C26</f>
        <v>-251840</v>
      </c>
      <c r="D28" s="5">
        <f>D27-D26</f>
        <v>584329</v>
      </c>
      <c r="E28" s="5">
        <f>E27-E26</f>
        <v>643054</v>
      </c>
      <c r="F28" s="5">
        <f>F27-F26</f>
        <v>284347</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49</v>
      </c>
      <c r="C5" s="7">
        <v>9.5600000000000004E-2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0.6</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1.5100000000000001E-2</v>
      </c>
    </row>
    <row r="12" spans="2:7" ht="14" customHeight="1" x14ac:dyDescent="0.3">
      <c r="B12" s="4" t="s">
        <v>63</v>
      </c>
      <c r="C12" s="13">
        <v>6.7299999999999999E-2</v>
      </c>
    </row>
    <row r="13" spans="2:7" ht="14" customHeight="1" x14ac:dyDescent="0.3">
      <c r="B13" s="4" t="s">
        <v>64</v>
      </c>
      <c r="C13" s="7">
        <v>0.01</v>
      </c>
    </row>
    <row r="14" spans="2:7" ht="14" customHeight="1" x14ac:dyDescent="0.3">
      <c r="B14" s="4" t="s">
        <v>65</v>
      </c>
      <c r="C14" s="14">
        <v>12</v>
      </c>
    </row>
    <row r="15" spans="2:7" ht="14" customHeight="1" x14ac:dyDescent="0.3">
      <c r="B15" s="4" t="s">
        <v>66</v>
      </c>
      <c r="C15" s="15">
        <v>1793013747</v>
      </c>
    </row>
    <row r="16" spans="2:7" ht="14" customHeight="1" x14ac:dyDescent="0.3">
      <c r="B16" s="4" t="s">
        <v>67</v>
      </c>
      <c r="C16" s="5">
        <v>284347</v>
      </c>
    </row>
    <row r="17" spans="2:7" ht="14" customHeight="1" x14ac:dyDescent="0.3">
      <c r="B17" s="4" t="s">
        <v>68</v>
      </c>
      <c r="C17" s="5">
        <v>2139245</v>
      </c>
    </row>
    <row r="18" spans="2:7" ht="14" customHeight="1" x14ac:dyDescent="0.3">
      <c r="B18" s="4" t="s">
        <v>69</v>
      </c>
      <c r="C18" s="7">
        <v>9.0999999999999998E-2</v>
      </c>
    </row>
    <row r="19" spans="2:7" ht="14" customHeight="1" x14ac:dyDescent="0.3">
      <c r="B19" s="4" t="s">
        <v>70</v>
      </c>
      <c r="C19" s="12">
        <v>1</v>
      </c>
    </row>
    <row r="20" spans="2:7" ht="14" customHeight="1" x14ac:dyDescent="0.3">
      <c r="B20" s="4" t="s">
        <v>71</v>
      </c>
      <c r="C20" s="5">
        <v>2139245</v>
      </c>
    </row>
    <row r="22" spans="2:7" ht="14" customHeight="1" x14ac:dyDescent="0.3">
      <c r="B22" s="8" t="s">
        <v>72</v>
      </c>
      <c r="C22" s="9"/>
      <c r="D22" s="9"/>
      <c r="E22" s="9"/>
      <c r="F22" s="9"/>
      <c r="G22" s="9"/>
    </row>
    <row r="23" spans="2:7" ht="14" customHeight="1" x14ac:dyDescent="0.3">
      <c r="B23" s="4" t="s">
        <v>73</v>
      </c>
      <c r="C23" s="16">
        <f>C7+C8*C9+C10</f>
        <v>7.8699999999999992E-2</v>
      </c>
    </row>
    <row r="24" spans="2:7" ht="14" customHeight="1" x14ac:dyDescent="0.3">
      <c r="B24" s="4" t="s">
        <v>74</v>
      </c>
      <c r="C24" s="16">
        <f>1/(1+C12)</f>
        <v>0.93694368968425001</v>
      </c>
    </row>
    <row r="25" spans="2:7" ht="14" customHeight="1" x14ac:dyDescent="0.3">
      <c r="B25" s="4" t="s">
        <v>75</v>
      </c>
      <c r="C25" s="16">
        <f>C12/(1+C12)</f>
        <v>6.3056310315750028E-2</v>
      </c>
    </row>
    <row r="26" spans="2:7" ht="14" customHeight="1" x14ac:dyDescent="0.3">
      <c r="B26" s="4" t="s">
        <v>76</v>
      </c>
      <c r="C26" s="16">
        <f>C23*C24+C11*C25</f>
        <v>7.4689618663918295E-2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41</v>
      </c>
      <c r="C30" s="18">
        <f>CHOOSE($D$27,C69,C70,C71,C72,C73)</f>
        <v>0.06</v>
      </c>
      <c r="D30" s="18">
        <f>CHOOSE($D$27,D69,D70,D71,D72,D73)</f>
        <v>4.4999999999999998E-2</v>
      </c>
      <c r="E30" s="18">
        <f>CHOOSE($D$27,E69,E70,E71,E72,E73)</f>
        <v>3.5000000000000003E-2</v>
      </c>
      <c r="F30" s="18">
        <f>CHOOSE($D$27,F69,F70,F71,F72,F73)</f>
        <v>0.03</v>
      </c>
      <c r="G30" s="18">
        <f>CHOOSE($D$27,G69,G70,G71,G72,G73)</f>
        <v>2.5000000000000001E-2</v>
      </c>
    </row>
    <row r="31" spans="2:7" ht="14" customHeight="1" x14ac:dyDescent="0.3">
      <c r="B31" s="4" t="s">
        <v>85</v>
      </c>
      <c r="C31" s="18">
        <f>CHOOSE($D$27,C76,C77,C78,C79,C80)</f>
        <v>0.191</v>
      </c>
      <c r="D31" s="18">
        <f>CHOOSE($D$27,D76,D77,D78,D79,D80)</f>
        <v>0.191</v>
      </c>
      <c r="E31" s="18">
        <f>CHOOSE($D$27,E76,E77,E78,E79,E80)</f>
        <v>0.191</v>
      </c>
      <c r="F31" s="18">
        <f>CHOOSE($D$27,F76,F77,F78,F79,F80)</f>
        <v>0.191</v>
      </c>
      <c r="G31" s="18">
        <f>CHOOSE($D$27,G76,G77,G78,G79,G80)</f>
        <v>0.191</v>
      </c>
    </row>
    <row r="32" spans="2:7" ht="14" customHeight="1" x14ac:dyDescent="0.3">
      <c r="B32" s="4" t="s">
        <v>86</v>
      </c>
      <c r="C32" s="18">
        <f>CHOOSE($D$27,C83,C84,C85,C86,C87)</f>
        <v>0.63900000000000001</v>
      </c>
      <c r="D32" s="18">
        <f>CHOOSE($D$27,D83,D84,D85,D86,D87)</f>
        <v>0.64700000000000002</v>
      </c>
      <c r="E32" s="18">
        <f>CHOOSE($D$27,E83,E84,E85,E86,E87)</f>
        <v>0.65500000000000003</v>
      </c>
      <c r="F32" s="18">
        <f>CHOOSE($D$27,F83,F84,F85,F86,F87)</f>
        <v>0.66100000000000003</v>
      </c>
      <c r="G32" s="18">
        <f>CHOOSE($D$27,G83,G84,G85,G86,G87)</f>
        <v>0.66539999999999999</v>
      </c>
    </row>
    <row r="33" spans="2:7" ht="14" customHeight="1" x14ac:dyDescent="0.3">
      <c r="B33" s="4" t="s">
        <v>32</v>
      </c>
      <c r="C33" s="5">
        <f>C17*(1+C30)</f>
        <v>2267599.7000000002</v>
      </c>
      <c r="D33" s="5">
        <f>C33*(1+D30)</f>
        <v>2369641.6864999998</v>
      </c>
      <c r="E33" s="5">
        <f>D33*(1+E30)</f>
        <v>2452579.1455274997</v>
      </c>
      <c r="F33" s="5">
        <f>E33*(1+F30)</f>
        <v>2526156.5198933249</v>
      </c>
      <c r="G33" s="5">
        <f>F33*(1+G30)</f>
        <v>2589310.4328906578</v>
      </c>
    </row>
    <row r="34" spans="2:7" ht="14" customHeight="1" x14ac:dyDescent="0.3">
      <c r="B34" s="4" t="s">
        <v>33</v>
      </c>
      <c r="C34" s="5">
        <f>C33*C31</f>
        <v>433111.54270000005</v>
      </c>
      <c r="D34" s="5">
        <f>D33*D31</f>
        <v>452601.56212149997</v>
      </c>
      <c r="E34" s="5">
        <f>E33*E31</f>
        <v>468442.61679575243</v>
      </c>
      <c r="F34" s="5">
        <f>F33*F31</f>
        <v>482495.89529962506</v>
      </c>
      <c r="G34" s="5">
        <f>G33*G31</f>
        <v>494558.29268211563</v>
      </c>
    </row>
    <row r="35" spans="2:7" ht="14" customHeight="1" x14ac:dyDescent="0.3">
      <c r="B35" s="4" t="s">
        <v>34</v>
      </c>
      <c r="C35" s="19">
        <f>C33-C34</f>
        <v>1834488.1573000001</v>
      </c>
      <c r="D35" s="19">
        <f>D33-D34</f>
        <v>1917040.1243784998</v>
      </c>
      <c r="E35" s="19">
        <f>E33-E34</f>
        <v>1984136.5287317473</v>
      </c>
      <c r="F35" s="19">
        <f>F33-F34</f>
        <v>2043660.6245936998</v>
      </c>
      <c r="G35" s="19">
        <f>G33-G34</f>
        <v>2094752.1402085421</v>
      </c>
    </row>
    <row r="36" spans="2:7" ht="14" customHeight="1" x14ac:dyDescent="0.3">
      <c r="B36" s="4" t="s">
        <v>35</v>
      </c>
      <c r="C36" s="7">
        <f>C35/C33</f>
        <v>0.80899999999999994</v>
      </c>
      <c r="D36" s="7">
        <f>D35/D33</f>
        <v>0.80899999999999994</v>
      </c>
      <c r="E36" s="7">
        <f>E35/E33</f>
        <v>0.80900000000000005</v>
      </c>
      <c r="F36" s="7">
        <f>F35/F33</f>
        <v>0.80899999999999994</v>
      </c>
      <c r="G36" s="7">
        <f>G35/G33</f>
        <v>0.80899999999999994</v>
      </c>
    </row>
    <row r="37" spans="2:7" ht="14" customHeight="1" x14ac:dyDescent="0.3">
      <c r="B37" s="4" t="s">
        <v>87</v>
      </c>
      <c r="C37" s="5">
        <f>C33*C32</f>
        <v>1448996.2083000001</v>
      </c>
      <c r="D37" s="5">
        <f>D33*D32</f>
        <v>1533158.1711654998</v>
      </c>
      <c r="E37" s="5">
        <f>E33*E32</f>
        <v>1606439.3403205124</v>
      </c>
      <c r="F37" s="5">
        <f>F33*F32</f>
        <v>1669789.4596494879</v>
      </c>
      <c r="G37" s="5">
        <f>G33*G32</f>
        <v>1722927.1620454437</v>
      </c>
    </row>
    <row r="38" spans="2:7" ht="14" customHeight="1" x14ac:dyDescent="0.3">
      <c r="B38" s="4" t="s">
        <v>88</v>
      </c>
      <c r="C38" s="7">
        <f>(C35-C37)/C33</f>
        <v>0.16999999999999998</v>
      </c>
      <c r="D38" s="7">
        <f>(D35-D37)/D33</f>
        <v>0.16200000000000001</v>
      </c>
      <c r="E38" s="7">
        <f>(E35-E37)/E33</f>
        <v>0.15399999999999997</v>
      </c>
      <c r="F38" s="7">
        <f>(F35-F37)/F33</f>
        <v>0.14799999999999994</v>
      </c>
      <c r="G38" s="7">
        <f>(G35-G37)/G33</f>
        <v>0.14360000000000001</v>
      </c>
    </row>
    <row r="39" spans="2:7" ht="14" customHeight="1" x14ac:dyDescent="0.3">
      <c r="B39" s="4" t="s">
        <v>89</v>
      </c>
      <c r="C39" s="19">
        <f>C35-C37</f>
        <v>385491.94900000002</v>
      </c>
      <c r="D39" s="19">
        <f>D35-D37</f>
        <v>383881.95321299997</v>
      </c>
      <c r="E39" s="19">
        <f>E35-E37</f>
        <v>377697.18841123488</v>
      </c>
      <c r="F39" s="19">
        <f>F35-F37</f>
        <v>373871.16494421195</v>
      </c>
      <c r="G39" s="19">
        <f>G35-G37</f>
        <v>371824.97816309845</v>
      </c>
    </row>
    <row r="40" spans="2:7" ht="14" customHeight="1" x14ac:dyDescent="0.3">
      <c r="B40" s="4" t="s">
        <v>90</v>
      </c>
      <c r="C40" s="5">
        <f>MAX(0,C39*C6)</f>
        <v>96372.987250000006</v>
      </c>
      <c r="D40" s="5">
        <f>MAX(0,D39*C6)</f>
        <v>95970.488303249993</v>
      </c>
      <c r="E40" s="5">
        <f>MAX(0,E39*C6)</f>
        <v>94424.29710280872</v>
      </c>
      <c r="F40" s="5">
        <f>MAX(0,F39*C6)</f>
        <v>93467.791236052988</v>
      </c>
      <c r="G40" s="5">
        <f>MAX(0,G39*C6)</f>
        <v>92956.244540774613</v>
      </c>
    </row>
    <row r="41" spans="2:7" ht="14" customHeight="1" x14ac:dyDescent="0.3">
      <c r="B41" s="4" t="s">
        <v>91</v>
      </c>
      <c r="C41" s="19">
        <f>C39-C40</f>
        <v>289118.96175000002</v>
      </c>
      <c r="D41" s="19">
        <f>D39-D40</f>
        <v>287911.46490974998</v>
      </c>
      <c r="E41" s="19">
        <f>E39-E40</f>
        <v>283272.89130842616</v>
      </c>
      <c r="F41" s="19">
        <f>F39-F40</f>
        <v>280403.37370815896</v>
      </c>
      <c r="G41" s="19">
        <f>G39-G40</f>
        <v>278868.73362232384</v>
      </c>
    </row>
    <row r="42" spans="2:7" ht="14" customHeight="1" x14ac:dyDescent="0.3">
      <c r="B42" s="4" t="s">
        <v>92</v>
      </c>
      <c r="C42" s="5">
        <f>C33*C18</f>
        <v>206351.57270000002</v>
      </c>
      <c r="D42" s="5">
        <f>D33*C18</f>
        <v>215637.39347149999</v>
      </c>
      <c r="E42" s="5">
        <f>E33*C18</f>
        <v>223184.70224300248</v>
      </c>
      <c r="F42" s="5">
        <f>F33*C18</f>
        <v>229880.24331029257</v>
      </c>
      <c r="G42" s="5">
        <f>G33*C18</f>
        <v>235627.24939304986</v>
      </c>
    </row>
    <row r="43" spans="2:7" ht="14" customHeight="1" x14ac:dyDescent="0.3">
      <c r="B43" s="4" t="s">
        <v>93</v>
      </c>
      <c r="C43" s="5">
        <f>C33*C5</f>
        <v>216782.53132000004</v>
      </c>
      <c r="D43" s="5">
        <f>D33*C5</f>
        <v>226537.7452294</v>
      </c>
      <c r="E43" s="5">
        <f>E33*C5</f>
        <v>234466.56631242897</v>
      </c>
      <c r="F43" s="5">
        <f>F33*C5</f>
        <v>241500.56330180189</v>
      </c>
      <c r="G43" s="5">
        <f>G33*C5</f>
        <v>247538.07738434689</v>
      </c>
    </row>
    <row r="44" spans="2:7" ht="14" customHeight="1" x14ac:dyDescent="0.3">
      <c r="B44" s="4" t="s">
        <v>94</v>
      </c>
      <c r="C44" s="5">
        <f>'NWC Schedule'!D19</f>
        <v>-40561.560664109653</v>
      </c>
      <c r="D44" s="5">
        <f>'NWC Schedule'!E19</f>
        <v>37687.879770115134</v>
      </c>
      <c r="E44" s="5">
        <f>'NWC Schedule'!F19</f>
        <v>30631.871168710175</v>
      </c>
      <c r="F44" s="5">
        <f>'NWC Schedule'!G19</f>
        <v>27174.845708241453</v>
      </c>
      <c r="G44" s="5">
        <f>'NWC Schedule'!H19</f>
        <v>23325.075899573974</v>
      </c>
    </row>
    <row r="45" spans="2:7" ht="14" customHeight="1" x14ac:dyDescent="0.3">
      <c r="B45" s="4" t="s">
        <v>95</v>
      </c>
      <c r="C45" s="20">
        <f>C41+C42-C43-C44</f>
        <v>319249.56379410962</v>
      </c>
      <c r="D45" s="20">
        <f>D41+D42-D43-D44</f>
        <v>239323.23338173481</v>
      </c>
      <c r="E45" s="20">
        <f>E41+E42-E43-E44</f>
        <v>241359.15607028949</v>
      </c>
      <c r="F45" s="20">
        <f>F41+F42-F43-F44</f>
        <v>241608.2080084082</v>
      </c>
      <c r="G45" s="20">
        <f>G41+G42-G43-G44</f>
        <v>243632.82973145286</v>
      </c>
    </row>
    <row r="46" spans="2:7" ht="14" customHeight="1" x14ac:dyDescent="0.3">
      <c r="B46" s="4" t="s">
        <v>96</v>
      </c>
      <c r="C46" s="21">
        <f>1/(1+C26)^(C19+0)</f>
        <v>0.93050121880141135</v>
      </c>
      <c r="D46" s="21">
        <f>1/(1+C26)^(C19+1)</f>
        <v>0.865832518190912</v>
      </c>
      <c r="E46" s="21">
        <f>1/(1+C26)^(C19+2)</f>
        <v>0.80565821345453881</v>
      </c>
      <c r="F46" s="21">
        <f>1/(1+C26)^(C19+3)</f>
        <v>0.74966594955681598</v>
      </c>
      <c r="G46" s="21">
        <f>1/(1+C26)^(C19+4)</f>
        <v>0.69756507975653459</v>
      </c>
    </row>
    <row r="47" spans="2:7" ht="14" customHeight="1" x14ac:dyDescent="0.3">
      <c r="B47" s="4" t="s">
        <v>97</v>
      </c>
      <c r="C47" s="19">
        <f>C45*C46</f>
        <v>297062.10821223794</v>
      </c>
      <c r="D47" s="19">
        <f>D45*D46</f>
        <v>207213.8378204988</v>
      </c>
      <c r="E47" s="19">
        <f>E45*E46</f>
        <v>194452.98648048463</v>
      </c>
      <c r="F47" s="19">
        <f>F45*F46</f>
        <v>181125.44667734404</v>
      </c>
      <c r="G47" s="19">
        <f>G45*G46</f>
        <v>169949.75430293113</v>
      </c>
    </row>
    <row r="49" spans="2:7" ht="14" customHeight="1" x14ac:dyDescent="0.3">
      <c r="B49" s="22" t="s">
        <v>98</v>
      </c>
      <c r="C49" s="23"/>
      <c r="D49" s="23"/>
      <c r="E49" s="23"/>
      <c r="F49" s="23"/>
      <c r="G49" s="23"/>
    </row>
    <row r="50" spans="2:7" ht="14" customHeight="1" x14ac:dyDescent="0.3">
      <c r="B50" s="4" t="s">
        <v>99</v>
      </c>
      <c r="C50" s="5">
        <f>SUM(C47:G47)</f>
        <v>1049804.1334934966</v>
      </c>
    </row>
    <row r="51" spans="2:7" ht="14" customHeight="1" x14ac:dyDescent="0.3">
      <c r="B51" s="4" t="s">
        <v>100</v>
      </c>
      <c r="C51" s="5">
        <f>G45*(1+C13)/(C26-C13)</f>
        <v>3803843.0757672177</v>
      </c>
    </row>
    <row r="52" spans="2:7" ht="14" customHeight="1" x14ac:dyDescent="0.3">
      <c r="B52" s="4" t="s">
        <v>101</v>
      </c>
      <c r="C52" s="5">
        <f>C51*G46</f>
        <v>2653428.0985289011</v>
      </c>
    </row>
    <row r="53" spans="2:7" ht="14" customHeight="1" x14ac:dyDescent="0.3">
      <c r="B53" s="4" t="s">
        <v>102</v>
      </c>
      <c r="C53" s="5">
        <f>C50+C52</f>
        <v>3703232.2320223977</v>
      </c>
    </row>
    <row r="54" spans="2:7" ht="14" customHeight="1" x14ac:dyDescent="0.3">
      <c r="B54" s="4" t="s">
        <v>103</v>
      </c>
      <c r="C54" s="5">
        <f>C53-C16</f>
        <v>3418885.2320223977</v>
      </c>
    </row>
    <row r="55" spans="2:7" ht="14" customHeight="1" x14ac:dyDescent="0.3">
      <c r="B55" s="4" t="s">
        <v>104</v>
      </c>
      <c r="C55" s="24">
        <f>ROUND(C54*1000000/C15,0)</f>
        <v>1907</v>
      </c>
    </row>
    <row r="57" spans="2:7" ht="14" customHeight="1" x14ac:dyDescent="0.3">
      <c r="B57" s="22" t="s">
        <v>105</v>
      </c>
      <c r="C57" s="23"/>
      <c r="D57" s="23"/>
      <c r="E57" s="23"/>
      <c r="F57" s="23"/>
      <c r="G57" s="23"/>
    </row>
    <row r="58" spans="2:7" ht="14" customHeight="1" x14ac:dyDescent="0.3">
      <c r="B58" s="4" t="s">
        <v>99</v>
      </c>
      <c r="C58" s="5">
        <f>C50</f>
        <v>1049804.1334934966</v>
      </c>
    </row>
    <row r="59" spans="2:7" ht="14" customHeight="1" x14ac:dyDescent="0.3">
      <c r="B59" s="4" t="s">
        <v>106</v>
      </c>
      <c r="C59" s="5">
        <f>G39+G42</f>
        <v>607452.22755614831</v>
      </c>
    </row>
    <row r="60" spans="2:7" ht="14" customHeight="1" x14ac:dyDescent="0.3">
      <c r="B60" s="4" t="s">
        <v>107</v>
      </c>
      <c r="C60" s="5">
        <f>C59*C14</f>
        <v>7289426.7306737797</v>
      </c>
    </row>
    <row r="61" spans="2:7" ht="14" customHeight="1" x14ac:dyDescent="0.3">
      <c r="B61" s="4" t="s">
        <v>101</v>
      </c>
      <c r="C61" s="5">
        <f>C60*G46</f>
        <v>5084849.53876187</v>
      </c>
    </row>
    <row r="62" spans="2:7" ht="14" customHeight="1" x14ac:dyDescent="0.3">
      <c r="B62" s="4" t="s">
        <v>102</v>
      </c>
      <c r="C62" s="5">
        <f>C58+C61</f>
        <v>6134653.672255367</v>
      </c>
    </row>
    <row r="63" spans="2:7" ht="14" customHeight="1" x14ac:dyDescent="0.3">
      <c r="B63" s="4" t="s">
        <v>103</v>
      </c>
      <c r="C63" s="5">
        <f>C62-C16</f>
        <v>5850306.672255367</v>
      </c>
    </row>
    <row r="64" spans="2:7" ht="14" customHeight="1" x14ac:dyDescent="0.3">
      <c r="B64" s="4" t="s">
        <v>108</v>
      </c>
      <c r="C64" s="24">
        <f>ROUND(C63*1000000/C15,0)</f>
        <v>3263</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41</v>
      </c>
    </row>
    <row r="69" spans="2:7" ht="14" customHeight="1" x14ac:dyDescent="0.3">
      <c r="B69" s="4" t="s">
        <v>78</v>
      </c>
      <c r="C69" s="26">
        <v>0.06</v>
      </c>
      <c r="D69" s="26">
        <v>4.4999999999999998E-2</v>
      </c>
      <c r="E69" s="26">
        <v>3.5000000000000003E-2</v>
      </c>
      <c r="F69" s="26">
        <v>0.03</v>
      </c>
      <c r="G69" s="26">
        <v>2.5000000000000001E-2</v>
      </c>
    </row>
    <row r="70" spans="2:7" ht="14" customHeight="1" x14ac:dyDescent="0.3">
      <c r="B70" s="4" t="s">
        <v>115</v>
      </c>
      <c r="C70" s="26">
        <v>0.08</v>
      </c>
      <c r="D70" s="26">
        <v>0.06</v>
      </c>
      <c r="E70" s="26">
        <v>4.4999999999999998E-2</v>
      </c>
      <c r="F70" s="26">
        <v>0.04</v>
      </c>
      <c r="G70" s="26">
        <v>3.5000000000000003E-2</v>
      </c>
    </row>
    <row r="71" spans="2:7" ht="14" customHeight="1" x14ac:dyDescent="0.3">
      <c r="B71" s="4" t="s">
        <v>116</v>
      </c>
      <c r="C71" s="26">
        <v>0.06</v>
      </c>
      <c r="D71" s="26">
        <v>4.4999999999999998E-2</v>
      </c>
      <c r="E71" s="26">
        <v>3.5000000000000003E-2</v>
      </c>
      <c r="F71" s="26">
        <v>0.03</v>
      </c>
      <c r="G71" s="26">
        <v>2.5000000000000001E-2</v>
      </c>
    </row>
    <row r="72" spans="2:7" ht="14" customHeight="1" x14ac:dyDescent="0.3">
      <c r="B72" s="4" t="s">
        <v>117</v>
      </c>
      <c r="C72" s="26">
        <v>0.02</v>
      </c>
      <c r="D72" s="26">
        <v>0.01</v>
      </c>
      <c r="E72" s="26">
        <v>5.0000000000000001E-3</v>
      </c>
      <c r="F72" s="26">
        <v>5.0000000000000001E-3</v>
      </c>
      <c r="G72" s="26">
        <v>5.0000000000000001E-3</v>
      </c>
    </row>
    <row r="73" spans="2:7" ht="14" customHeight="1" x14ac:dyDescent="0.3">
      <c r="B73" s="4" t="s">
        <v>118</v>
      </c>
      <c r="C73" s="26">
        <v>-0.08</v>
      </c>
      <c r="D73" s="26">
        <v>-0.02</v>
      </c>
      <c r="E73" s="26">
        <v>5.0000000000000001E-3</v>
      </c>
      <c r="F73" s="26">
        <v>0.01</v>
      </c>
      <c r="G73" s="26">
        <v>1.4999999999999999E-2</v>
      </c>
    </row>
    <row r="75" spans="2:7" ht="14" customHeight="1" x14ac:dyDescent="0.3">
      <c r="B75" s="3" t="s">
        <v>85</v>
      </c>
    </row>
    <row r="76" spans="2:7" ht="14" customHeight="1" x14ac:dyDescent="0.3">
      <c r="B76" s="4" t="s">
        <v>78</v>
      </c>
      <c r="C76" s="26">
        <v>0.191</v>
      </c>
      <c r="D76" s="26">
        <v>0.191</v>
      </c>
      <c r="E76" s="26">
        <v>0.191</v>
      </c>
      <c r="F76" s="26">
        <v>0.191</v>
      </c>
      <c r="G76" s="26">
        <v>0.191</v>
      </c>
    </row>
    <row r="77" spans="2:7" ht="14" customHeight="1" x14ac:dyDescent="0.3">
      <c r="B77" s="4" t="s">
        <v>115</v>
      </c>
      <c r="C77" s="26">
        <v>0.188</v>
      </c>
      <c r="D77" s="26">
        <v>0.188</v>
      </c>
      <c r="E77" s="26">
        <v>0.188</v>
      </c>
      <c r="F77" s="26">
        <v>0.188</v>
      </c>
      <c r="G77" s="26">
        <v>0.188</v>
      </c>
    </row>
    <row r="78" spans="2:7" ht="14" customHeight="1" x14ac:dyDescent="0.3">
      <c r="B78" s="4" t="s">
        <v>116</v>
      </c>
      <c r="C78" s="26">
        <v>0.191</v>
      </c>
      <c r="D78" s="26">
        <v>0.191</v>
      </c>
      <c r="E78" s="26">
        <v>0.191</v>
      </c>
      <c r="F78" s="26">
        <v>0.191</v>
      </c>
      <c r="G78" s="26">
        <v>0.191</v>
      </c>
    </row>
    <row r="79" spans="2:7" ht="14" customHeight="1" x14ac:dyDescent="0.3">
      <c r="B79" s="4" t="s">
        <v>117</v>
      </c>
      <c r="C79" s="26">
        <v>0.19600000000000001</v>
      </c>
      <c r="D79" s="26">
        <v>0.19600000000000001</v>
      </c>
      <c r="E79" s="26">
        <v>0.19600000000000001</v>
      </c>
      <c r="F79" s="26">
        <v>0.19600000000000001</v>
      </c>
      <c r="G79" s="26">
        <v>0.19600000000000001</v>
      </c>
    </row>
    <row r="80" spans="2:7" ht="14" customHeight="1" x14ac:dyDescent="0.3">
      <c r="B80" s="4" t="s">
        <v>118</v>
      </c>
      <c r="C80" s="26">
        <v>0.20499999999999999</v>
      </c>
      <c r="D80" s="26">
        <v>0.20499999999999999</v>
      </c>
      <c r="E80" s="26">
        <v>0.20499999999999999</v>
      </c>
      <c r="F80" s="26">
        <v>0.20499999999999999</v>
      </c>
      <c r="G80" s="26">
        <v>0.20499999999999999</v>
      </c>
    </row>
    <row r="82" spans="2:7" ht="14" customHeight="1" x14ac:dyDescent="0.3">
      <c r="B82" s="3" t="s">
        <v>86</v>
      </c>
    </row>
    <row r="83" spans="2:7" ht="14" customHeight="1" x14ac:dyDescent="0.3">
      <c r="B83" s="4" t="s">
        <v>78</v>
      </c>
      <c r="C83" s="26">
        <v>0.63900000000000001</v>
      </c>
      <c r="D83" s="26">
        <v>0.64700000000000002</v>
      </c>
      <c r="E83" s="26">
        <v>0.65500000000000003</v>
      </c>
      <c r="F83" s="26">
        <v>0.66100000000000003</v>
      </c>
      <c r="G83" s="26">
        <v>0.66539999999999999</v>
      </c>
    </row>
    <row r="84" spans="2:7" ht="14" customHeight="1" x14ac:dyDescent="0.3">
      <c r="B84" s="4" t="s">
        <v>115</v>
      </c>
      <c r="C84" s="26">
        <v>0.63200000000000001</v>
      </c>
      <c r="D84" s="26">
        <v>0.63</v>
      </c>
      <c r="E84" s="26">
        <v>0.628</v>
      </c>
      <c r="F84" s="26">
        <v>0.626</v>
      </c>
      <c r="G84" s="26">
        <v>0.62429999999999997</v>
      </c>
    </row>
    <row r="85" spans="2:7" ht="14" customHeight="1" x14ac:dyDescent="0.3">
      <c r="B85" s="4" t="s">
        <v>116</v>
      </c>
      <c r="C85" s="26">
        <v>0.63900000000000001</v>
      </c>
      <c r="D85" s="26">
        <v>0.64700000000000002</v>
      </c>
      <c r="E85" s="26">
        <v>0.65500000000000003</v>
      </c>
      <c r="F85" s="26">
        <v>0.66100000000000003</v>
      </c>
      <c r="G85" s="26">
        <v>0.66539999999999999</v>
      </c>
    </row>
    <row r="86" spans="2:7" ht="14" customHeight="1" x14ac:dyDescent="0.3">
      <c r="B86" s="4" t="s">
        <v>117</v>
      </c>
      <c r="C86" s="26">
        <v>0.66400000000000003</v>
      </c>
      <c r="D86" s="26">
        <v>0.69399999999999995</v>
      </c>
      <c r="E86" s="26">
        <v>0.72</v>
      </c>
      <c r="F86" s="26">
        <v>0.74</v>
      </c>
      <c r="G86" s="26">
        <v>0.75019999999999998</v>
      </c>
    </row>
    <row r="87" spans="2:7" ht="14" customHeight="1" x14ac:dyDescent="0.3">
      <c r="B87" s="4" t="s">
        <v>118</v>
      </c>
      <c r="C87" s="26">
        <v>0.76500000000000001</v>
      </c>
      <c r="D87" s="26">
        <v>0.77500000000000002</v>
      </c>
      <c r="E87" s="26">
        <v>0.77500000000000002</v>
      </c>
      <c r="F87" s="26">
        <v>0.77</v>
      </c>
      <c r="G87" s="26">
        <v>0.76500000000000001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2355.5</v>
      </c>
    </row>
    <row r="7" spans="2:9" ht="14" customHeight="1" x14ac:dyDescent="0.3">
      <c r="B7" s="4" t="s">
        <v>66</v>
      </c>
      <c r="C7" s="15">
        <f>'DCF Model'!C15</f>
        <v>1793013747</v>
      </c>
    </row>
    <row r="8" spans="2:9" ht="14" customHeight="1" x14ac:dyDescent="0.3">
      <c r="B8" s="4" t="s">
        <v>123</v>
      </c>
      <c r="C8" s="5">
        <f>C6*C7/1000000</f>
        <v>4223443.8810585001</v>
      </c>
    </row>
    <row r="9" spans="2:9" ht="14" customHeight="1" x14ac:dyDescent="0.3">
      <c r="B9" s="4" t="s">
        <v>67</v>
      </c>
      <c r="C9" s="5">
        <f>'DCF Model'!C16</f>
        <v>284347</v>
      </c>
    </row>
    <row r="10" spans="2:9" ht="14" customHeight="1" x14ac:dyDescent="0.3">
      <c r="B10" s="4" t="s">
        <v>124</v>
      </c>
      <c r="C10" s="5">
        <f>C8+C9</f>
        <v>4507790.8810585001</v>
      </c>
    </row>
    <row r="11" spans="2:9" ht="14" customHeight="1" x14ac:dyDescent="0.3">
      <c r="B11" s="4" t="s">
        <v>125</v>
      </c>
      <c r="C11" s="16">
        <f>'DCF Model'!C26</f>
        <v>7.4689618663918295E-2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380059</v>
      </c>
    </row>
    <row r="15" spans="2:9" ht="14" customHeight="1" x14ac:dyDescent="0.3">
      <c r="B15" s="4" t="s">
        <v>129</v>
      </c>
      <c r="C15" s="27">
        <v>380059</v>
      </c>
    </row>
    <row r="16" spans="2:9" ht="14" customHeight="1" x14ac:dyDescent="0.3">
      <c r="B16" s="4" t="s">
        <v>130</v>
      </c>
      <c r="C16" s="5">
        <f>'DCF Model'!G33</f>
        <v>2589310.4328906578</v>
      </c>
    </row>
    <row r="17" spans="2:9" ht="14" customHeight="1" x14ac:dyDescent="0.3">
      <c r="B17" s="4" t="s">
        <v>131</v>
      </c>
      <c r="C17" s="5">
        <f>'DCF Model'!C53</f>
        <v>3703232.2320223977</v>
      </c>
    </row>
    <row r="18" spans="2:9" ht="14" customHeight="1" x14ac:dyDescent="0.3">
      <c r="B18" s="4" t="s">
        <v>132</v>
      </c>
      <c r="C18" s="26">
        <v>0.17766034278448711</v>
      </c>
    </row>
    <row r="19" spans="2:9" ht="14" customHeight="1" x14ac:dyDescent="0.3">
      <c r="B19" s="4" t="s">
        <v>133</v>
      </c>
      <c r="C19" s="5">
        <f>C10-C17</f>
        <v>804558.64903610246</v>
      </c>
    </row>
    <row r="20" spans="2:9" ht="14" customHeight="1" x14ac:dyDescent="0.3">
      <c r="B20" s="4" t="s">
        <v>134</v>
      </c>
      <c r="C20" s="15">
        <f>IFERROR(ROUND(C19*1000000/C7,0),"N/A")</f>
        <v>449</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291607.27311236266</v>
      </c>
    </row>
    <row r="25" spans="2:9" ht="14" customHeight="1" x14ac:dyDescent="0.3">
      <c r="B25" s="4" t="s">
        <v>138</v>
      </c>
      <c r="C25" s="5">
        <f>IFERROR(C24/(1-C13),"N/A")</f>
        <v>388809.69748315023</v>
      </c>
    </row>
    <row r="26" spans="2:9" ht="13.5" customHeight="1" x14ac:dyDescent="0.25">
      <c r="B26" s="6" t="s">
        <v>139</v>
      </c>
      <c r="C26" s="14">
        <f>IFERROR(C25/C15,"N/A")</f>
        <v>1.0230245764030064</v>
      </c>
    </row>
    <row r="27" spans="2:9" ht="13.5" customHeight="1" x14ac:dyDescent="0.25">
      <c r="B27" s="6" t="s">
        <v>140</v>
      </c>
      <c r="C27" s="14">
        <f>IFERROR(C25/C14,"N/A")</f>
        <v>1.0230245764030064</v>
      </c>
    </row>
    <row r="28" spans="2:9" ht="13.5" customHeight="1" x14ac:dyDescent="0.25">
      <c r="B28" s="6" t="s">
        <v>141</v>
      </c>
      <c r="C28" s="7">
        <f>IFERROR(C25/C16,"N/A")</f>
        <v>0.15015955311665366</v>
      </c>
    </row>
    <row r="29" spans="2:9" ht="13.5" customHeight="1" x14ac:dyDescent="0.25">
      <c r="B29" s="6" t="s">
        <v>142</v>
      </c>
      <c r="C29" s="5">
        <f>IFERROR(C25/C18,"N/A")</f>
        <v>2188500.2099472489</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5.4689618663918291E-2</v>
      </c>
      <c r="E36" s="29">
        <f>'DCF Model'!C26-0.01</f>
        <v>6.46896186639183E-2</v>
      </c>
      <c r="F36" s="29">
        <f>'DCF Model'!C26</f>
        <v>7.4689618663918295E-2</v>
      </c>
      <c r="G36" s="29">
        <f>'DCF Model'!C26+0.01</f>
        <v>8.468961866391829E-2</v>
      </c>
      <c r="H36" s="29">
        <f>'DCF Model'!C26+0.02</f>
        <v>9.4689618663918299E-2</v>
      </c>
    </row>
    <row r="37" spans="2:9" ht="14" customHeight="1" x14ac:dyDescent="0.3">
      <c r="B37" s="3" t="s">
        <v>148</v>
      </c>
    </row>
    <row r="38" spans="2:9" ht="14" customHeight="1" x14ac:dyDescent="0.3">
      <c r="B38" s="4" t="s">
        <v>149</v>
      </c>
      <c r="C38" s="30">
        <v>3</v>
      </c>
      <c r="D38" s="13">
        <f t="shared" ref="D38:H41" si="0">IFERROR((1-(1+D$36)^(-$C38))/D$36-(1+D$36)/(D$36^2*$C38)*(1-($C38+1)/(1+D$36)^$C38+$C38/(1+D$36)^($C38+1)),"N/A")</f>
        <v>0.93175792869427876</v>
      </c>
      <c r="E38" s="13">
        <f t="shared" si="0"/>
        <v>0.9202183794497909</v>
      </c>
      <c r="F38" s="13">
        <f t="shared" si="0"/>
        <v>0.90894498526458722</v>
      </c>
      <c r="G38" s="13">
        <f t="shared" si="0"/>
        <v>0.89792897630487145</v>
      </c>
      <c r="H38" s="13">
        <f t="shared" si="0"/>
        <v>0.88716195418713184</v>
      </c>
    </row>
    <row r="39" spans="2:9" ht="14" customHeight="1" x14ac:dyDescent="0.3">
      <c r="B39" s="4" t="s">
        <v>150</v>
      </c>
      <c r="C39" s="30">
        <v>5</v>
      </c>
      <c r="D39" s="13">
        <f t="shared" si="0"/>
        <v>1.8004855461431029</v>
      </c>
      <c r="E39" s="13">
        <f t="shared" si="0"/>
        <v>1.7677720452704819</v>
      </c>
      <c r="F39" s="13">
        <f t="shared" si="0"/>
        <v>1.7360969612488475</v>
      </c>
      <c r="G39" s="13">
        <f t="shared" si="0"/>
        <v>1.7054153288809775</v>
      </c>
      <c r="H39" s="13">
        <f t="shared" si="0"/>
        <v>1.6756846001514032</v>
      </c>
    </row>
    <row r="40" spans="2:9" ht="14" customHeight="1" x14ac:dyDescent="0.3">
      <c r="B40" s="4" t="s">
        <v>151</v>
      </c>
      <c r="C40" s="30">
        <v>7</v>
      </c>
      <c r="D40" s="13">
        <f t="shared" si="0"/>
        <v>2.6109711617945885</v>
      </c>
      <c r="E40" s="13">
        <f t="shared" si="0"/>
        <v>2.5491028072542727</v>
      </c>
      <c r="F40" s="13">
        <f t="shared" si="0"/>
        <v>2.4897165603816509</v>
      </c>
      <c r="G40" s="13">
        <f t="shared" si="0"/>
        <v>2.4326800076537074</v>
      </c>
      <c r="H40" s="13">
        <f t="shared" si="0"/>
        <v>2.3778693233894832</v>
      </c>
    </row>
    <row r="41" spans="2:9" ht="14" customHeight="1" x14ac:dyDescent="0.3">
      <c r="B41" s="4" t="s">
        <v>152</v>
      </c>
      <c r="C41" s="30">
        <v>10</v>
      </c>
      <c r="D41" s="13">
        <f t="shared" si="0"/>
        <v>3.7270243372119713</v>
      </c>
      <c r="E41" s="13">
        <f t="shared" si="0"/>
        <v>3.6095398155200162</v>
      </c>
      <c r="F41" s="13">
        <f t="shared" si="0"/>
        <v>3.4981802781238462</v>
      </c>
      <c r="G41" s="13">
        <f t="shared" si="0"/>
        <v>3.3925301170279911</v>
      </c>
      <c r="H41" s="13">
        <f t="shared" si="0"/>
        <v>3.2922073680585284</v>
      </c>
    </row>
    <row r="42" spans="2:9" ht="14" customHeight="1" x14ac:dyDescent="0.3">
      <c r="B42" s="3" t="s">
        <v>153</v>
      </c>
    </row>
    <row r="43" spans="2:9" ht="14" customHeight="1" x14ac:dyDescent="0.3">
      <c r="B43" s="4" t="s">
        <v>149</v>
      </c>
      <c r="C43" s="30">
        <v>3</v>
      </c>
      <c r="D43" s="13">
        <f t="shared" ref="D43:H46" si="1">IFERROR((1+D$36)/(D$36^2*$C43)*(1-($C43+1)/(1+D$36)^$C43+$C43/(1+D$36)^($C43+1))+(1+$C$12)/((D$36-$C$12)*(1+D$36)^$C43),"N/A")</f>
        <v>21.031479930989956</v>
      </c>
      <c r="E43" s="13">
        <f t="shared" si="1"/>
        <v>17.031741814585377</v>
      </c>
      <c r="F43" s="13">
        <f t="shared" si="1"/>
        <v>14.271800904304614</v>
      </c>
      <c r="G43" s="13">
        <f t="shared" si="1"/>
        <v>12.253582243717533</v>
      </c>
      <c r="H43" s="13">
        <f t="shared" si="1"/>
        <v>10.714261765915795</v>
      </c>
    </row>
    <row r="44" spans="2:9" ht="14" customHeight="1" x14ac:dyDescent="0.3">
      <c r="B44" s="4" t="s">
        <v>150</v>
      </c>
      <c r="C44" s="30">
        <v>5</v>
      </c>
      <c r="D44" s="13">
        <f t="shared" si="1"/>
        <v>19.79118209937851</v>
      </c>
      <c r="E44" s="13">
        <f t="shared" si="1"/>
        <v>15.890384083212462</v>
      </c>
      <c r="F44" s="13">
        <f t="shared" si="1"/>
        <v>13.204220217325513</v>
      </c>
      <c r="G44" s="13">
        <f t="shared" si="1"/>
        <v>11.244463998332408</v>
      </c>
      <c r="H44" s="13">
        <f t="shared" si="1"/>
        <v>9.7535024957382053</v>
      </c>
    </row>
    <row r="45" spans="2:9" ht="14" customHeight="1" x14ac:dyDescent="0.3">
      <c r="B45" s="4" t="s">
        <v>151</v>
      </c>
      <c r="C45" s="30">
        <v>7</v>
      </c>
      <c r="D45" s="13">
        <f t="shared" si="1"/>
        <v>18.646661809902351</v>
      </c>
      <c r="E45" s="13">
        <f t="shared" si="1"/>
        <v>14.8498671882219</v>
      </c>
      <c r="F45" s="13">
        <f t="shared" si="1"/>
        <v>12.242429621906656</v>
      </c>
      <c r="G45" s="13">
        <f t="shared" si="1"/>
        <v>10.34582400703659</v>
      </c>
      <c r="H45" s="13">
        <f t="shared" si="1"/>
        <v>8.9075890697500881</v>
      </c>
    </row>
    <row r="46" spans="2:9" ht="14" customHeight="1" x14ac:dyDescent="0.3">
      <c r="B46" s="4" t="s">
        <v>152</v>
      </c>
      <c r="C46" s="30">
        <v>10</v>
      </c>
      <c r="D46" s="13">
        <f t="shared" si="1"/>
        <v>17.091747041710164</v>
      </c>
      <c r="E46" s="13">
        <f t="shared" si="1"/>
        <v>13.456769992882498</v>
      </c>
      <c r="F46" s="13">
        <f t="shared" si="1"/>
        <v>10.972886245896515</v>
      </c>
      <c r="G46" s="13">
        <f t="shared" si="1"/>
        <v>9.1758994048271827</v>
      </c>
      <c r="H46" s="13">
        <f t="shared" si="1"/>
        <v>7.8210058081555243</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268942.78830350825</v>
      </c>
      <c r="E48" s="5">
        <f t="shared" si="2"/>
        <v>332358.87591299944</v>
      </c>
      <c r="F48" s="5">
        <f t="shared" si="2"/>
        <v>396932.04503350519</v>
      </c>
      <c r="G48" s="5">
        <f t="shared" si="2"/>
        <v>462650.16546589584</v>
      </c>
      <c r="H48" s="5">
        <f t="shared" si="2"/>
        <v>529501.1527824112</v>
      </c>
    </row>
    <row r="49" spans="2:9" ht="14" customHeight="1" x14ac:dyDescent="0.3">
      <c r="B49" s="4" t="s">
        <v>150</v>
      </c>
      <c r="C49" s="30">
        <v>5</v>
      </c>
      <c r="D49" s="5">
        <f t="shared" si="2"/>
        <v>269114.65310588921</v>
      </c>
      <c r="E49" s="5">
        <f t="shared" si="2"/>
        <v>335959.79415612854</v>
      </c>
      <c r="F49" s="5">
        <f t="shared" si="2"/>
        <v>405216.55034164555</v>
      </c>
      <c r="G49" s="5">
        <f t="shared" si="2"/>
        <v>476877.27914175321</v>
      </c>
      <c r="H49" s="5">
        <f t="shared" si="2"/>
        <v>550933.24990795413</v>
      </c>
    </row>
    <row r="50" spans="2:9" ht="14" customHeight="1" x14ac:dyDescent="0.3">
      <c r="B50" s="4" t="s">
        <v>151</v>
      </c>
      <c r="C50" s="30">
        <v>7</v>
      </c>
      <c r="D50" s="5">
        <f t="shared" si="2"/>
        <v>269113.3031632498</v>
      </c>
      <c r="E50" s="5">
        <f t="shared" si="2"/>
        <v>339503.26381287677</v>
      </c>
      <c r="F50" s="5">
        <f t="shared" si="2"/>
        <v>413655.52521759528</v>
      </c>
      <c r="G50" s="5">
        <f t="shared" si="2"/>
        <v>491582.48844397586</v>
      </c>
      <c r="H50" s="5">
        <f t="shared" si="2"/>
        <v>573292.85895948077</v>
      </c>
    </row>
    <row r="51" spans="2:9" ht="14" customHeight="1" x14ac:dyDescent="0.3">
      <c r="B51" s="4" t="s">
        <v>152</v>
      </c>
      <c r="C51" s="30">
        <v>10</v>
      </c>
      <c r="D51" s="5">
        <f t="shared" si="2"/>
        <v>268778.76718067977</v>
      </c>
      <c r="E51" s="5">
        <f t="shared" si="2"/>
        <v>344700.08412999671</v>
      </c>
      <c r="F51" s="5">
        <f t="shared" si="2"/>
        <v>426585.38858345948</v>
      </c>
      <c r="G51" s="5">
        <f t="shared" si="2"/>
        <v>514502.83284276124</v>
      </c>
      <c r="H51" s="5">
        <f t="shared" si="2"/>
        <v>608509.30405289622</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0.7076343102084367</v>
      </c>
      <c r="E53" s="14">
        <f t="shared" si="3"/>
        <v>0.87449284430311991</v>
      </c>
      <c r="F53" s="14">
        <f t="shared" si="3"/>
        <v>1.0443958570472089</v>
      </c>
      <c r="G53" s="14">
        <f t="shared" si="3"/>
        <v>1.2173114318195224</v>
      </c>
      <c r="H53" s="14">
        <f t="shared" si="3"/>
        <v>1.393207772431152</v>
      </c>
    </row>
    <row r="54" spans="2:9" ht="14" customHeight="1" x14ac:dyDescent="0.3">
      <c r="B54" s="4" t="s">
        <v>150</v>
      </c>
      <c r="C54" s="30">
        <v>5</v>
      </c>
      <c r="D54" s="14">
        <f t="shared" si="3"/>
        <v>0.70808651579330895</v>
      </c>
      <c r="E54" s="14">
        <f t="shared" si="3"/>
        <v>0.88396747388202501</v>
      </c>
      <c r="F54" s="14">
        <f t="shared" si="3"/>
        <v>1.0661938023876438</v>
      </c>
      <c r="G54" s="14">
        <f t="shared" si="3"/>
        <v>1.2547453925357726</v>
      </c>
      <c r="H54" s="14">
        <f t="shared" si="3"/>
        <v>1.4495992725023066</v>
      </c>
    </row>
    <row r="55" spans="2:9" ht="14" customHeight="1" x14ac:dyDescent="0.3">
      <c r="B55" s="4" t="s">
        <v>151</v>
      </c>
      <c r="C55" s="30">
        <v>7</v>
      </c>
      <c r="D55" s="14">
        <f t="shared" si="3"/>
        <v>0.7080829638641627</v>
      </c>
      <c r="E55" s="14">
        <f t="shared" si="3"/>
        <v>0.89329094643957063</v>
      </c>
      <c r="F55" s="14">
        <f t="shared" si="3"/>
        <v>1.0883981834862357</v>
      </c>
      <c r="G55" s="14">
        <f t="shared" si="3"/>
        <v>1.2934373043237388</v>
      </c>
      <c r="H55" s="14">
        <f t="shared" si="3"/>
        <v>1.5084312145205896</v>
      </c>
    </row>
    <row r="56" spans="2:9" ht="14" customHeight="1" x14ac:dyDescent="0.3">
      <c r="B56" s="4" t="s">
        <v>152</v>
      </c>
      <c r="C56" s="30">
        <v>10</v>
      </c>
      <c r="D56" s="14">
        <f t="shared" si="3"/>
        <v>0.70720274268121464</v>
      </c>
      <c r="E56" s="14">
        <f t="shared" si="3"/>
        <v>0.90696466635442585</v>
      </c>
      <c r="F56" s="14">
        <f t="shared" si="3"/>
        <v>1.1224188575549046</v>
      </c>
      <c r="G56" s="14">
        <f t="shared" si="3"/>
        <v>1.3537446366031622</v>
      </c>
      <c r="H56" s="14">
        <f t="shared" si="3"/>
        <v>1.6010916832725872</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405216.55034164555</v>
      </c>
    </row>
    <row r="62" spans="2:9" ht="14" customHeight="1" x14ac:dyDescent="0.3">
      <c r="B62" s="28" t="s">
        <v>159</v>
      </c>
      <c r="C62" s="28" t="s">
        <v>160</v>
      </c>
      <c r="D62" s="28" t="s">
        <v>161</v>
      </c>
    </row>
    <row r="63" spans="2:9" ht="14" customHeight="1" x14ac:dyDescent="0.3">
      <c r="B63" s="31">
        <v>8.8800000000000004E-2</v>
      </c>
      <c r="C63" s="5">
        <f>IFERROR($C$60/B63,"N/A")</f>
        <v>4563249.440784297</v>
      </c>
      <c r="D63" s="14">
        <f>IFERROR(C63/'DCF Model'!C17,"N/A")</f>
        <v>2.1331121216991495</v>
      </c>
    </row>
    <row r="64" spans="2:9" ht="14" customHeight="1" x14ac:dyDescent="0.3">
      <c r="B64" s="31">
        <v>0.13320000000000001</v>
      </c>
      <c r="C64" s="5">
        <f>IFERROR($C$60/B64,"N/A")</f>
        <v>3042166.2938561975</v>
      </c>
      <c r="D64" s="14">
        <f>IFERROR(C64/'DCF Model'!C17,"N/A")</f>
        <v>1.4220747477994327</v>
      </c>
    </row>
    <row r="65" spans="2:9" ht="14" customHeight="1" x14ac:dyDescent="0.3">
      <c r="B65" s="4" t="s">
        <v>162</v>
      </c>
      <c r="C65" s="5">
        <f>IFERROR($C$60/$C$18,"N/A")</f>
        <v>2280849.7607887546</v>
      </c>
      <c r="D65" s="14">
        <f>IFERROR(C65/'DCF Model'!C17,"N/A")</f>
        <v>1.0661938023876436</v>
      </c>
    </row>
    <row r="66" spans="2:9" ht="14" customHeight="1" x14ac:dyDescent="0.3">
      <c r="B66" s="31">
        <v>0.22209999999999999</v>
      </c>
      <c r="C66" s="5">
        <f>IFERROR($C$60/B66,"N/A")</f>
        <v>1824477.9394040774</v>
      </c>
      <c r="D66" s="14">
        <f>IFERROR(C66/'DCF Model'!C17,"N/A")</f>
        <v>0.85286067720344205</v>
      </c>
    </row>
    <row r="67" spans="2:9" ht="14" customHeight="1" x14ac:dyDescent="0.3">
      <c r="B67" s="31">
        <v>0.26650000000000001</v>
      </c>
      <c r="C67" s="5">
        <f>IFERROR($C$60/B67,"N/A")</f>
        <v>1520512.3840211839</v>
      </c>
      <c r="D67" s="14">
        <f>IFERROR(C67/'DCF Model'!C17,"N/A")</f>
        <v>0.71077056813089845</v>
      </c>
    </row>
    <row r="69" spans="2:9" ht="14" customHeight="1" x14ac:dyDescent="0.3">
      <c r="B69" s="8" t="s">
        <v>163</v>
      </c>
      <c r="C69" s="9"/>
      <c r="D69" s="9"/>
      <c r="E69" s="9"/>
      <c r="F69" s="9"/>
      <c r="G69" s="9"/>
      <c r="H69" s="9"/>
      <c r="I69" s="9"/>
    </row>
    <row r="70" spans="2:9" ht="13.5" customHeight="1" x14ac:dyDescent="0.25">
      <c r="B70" s="6" t="s">
        <v>164</v>
      </c>
      <c r="C70" s="14">
        <f>IFERROR(C10/'Comps Analysis'!G5,"N/A")</f>
        <v>7.8443702217834073</v>
      </c>
    </row>
    <row r="71" spans="2:9" ht="13.5" customHeight="1" x14ac:dyDescent="0.25">
      <c r="B71" s="6" t="s">
        <v>165</v>
      </c>
      <c r="C71" s="14">
        <f>IFERROR(C10/'Comps Analysis'!F5,"N/A")</f>
        <v>2.1071877606625233</v>
      </c>
    </row>
    <row r="72" spans="2:9" ht="14" customHeight="1" x14ac:dyDescent="0.3">
      <c r="B72" s="4" t="s">
        <v>166</v>
      </c>
      <c r="C72" s="14">
        <f>IFERROR(C10/(C25+'DCF Model'!G42),"N/A")</f>
        <v>7.2189688704505937</v>
      </c>
    </row>
    <row r="73" spans="2:9" ht="14" customHeight="1" x14ac:dyDescent="0.3">
      <c r="B73" s="4" t="s">
        <v>167</v>
      </c>
      <c r="C73" s="14">
        <f>IFERROR(C10/(C60+'DCF Model'!G42),"N/A")</f>
        <v>7.0341491685254542</v>
      </c>
    </row>
    <row r="74" spans="2:9" ht="14" customHeight="1" x14ac:dyDescent="0.3">
      <c r="B74" s="4" t="s">
        <v>168</v>
      </c>
      <c r="C74" s="14">
        <f>IFERROR('Comps Analysis'!D16,"N/A")</f>
        <v>12.004034900825278</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2,356 yen the market is paying for a steady-state operating profit of 405,217 mn JPY - 1.07x the FY2026 cycle peak of 380,059 mn - reached in 5 years and sustained for ever, against 380,059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388,810 mn, or 1.02x the peak. The base case supports an EV of only 3,703,232 mn, leaving 449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127.42108547641809</v>
      </c>
      <c r="D5" s="34">
        <f>CHOOSE('DCF Model'!$D$27,D25,D26,D27,D28,D29)</f>
        <v>118</v>
      </c>
      <c r="E5" s="34">
        <f>CHOOSE('DCF Model'!$D$27,E25,E26,E27,E28,E29)</f>
        <v>118</v>
      </c>
      <c r="F5" s="34">
        <f>CHOOSE('DCF Model'!$D$27,F25,F26,F27,F28,F29)</f>
        <v>118</v>
      </c>
      <c r="G5" s="34">
        <f>CHOOSE('DCF Model'!$D$27,G25,G26,G27,G28,G29)</f>
        <v>118</v>
      </c>
      <c r="H5" s="34">
        <f>CHOOSE('DCF Model'!$D$27,H25,H26,H27,H28,H29)</f>
        <v>118</v>
      </c>
    </row>
    <row r="6" spans="2:8" ht="14" customHeight="1" x14ac:dyDescent="0.3">
      <c r="B6" s="33" t="s">
        <v>175</v>
      </c>
      <c r="C6" s="34">
        <f>C13/C10*365</f>
        <v>295.81885090567204</v>
      </c>
      <c r="D6" s="34">
        <f>CHOOSE('DCF Model'!$D$27,D32,D33,D34,D35,D36)</f>
        <v>284</v>
      </c>
      <c r="E6" s="34">
        <f>CHOOSE('DCF Model'!$D$27,E32,E33,E34,E35,E36)</f>
        <v>284</v>
      </c>
      <c r="F6" s="34">
        <f>CHOOSE('DCF Model'!$D$27,F32,F33,F34,F35,F36)</f>
        <v>284</v>
      </c>
      <c r="G6" s="34">
        <f>CHOOSE('DCF Model'!$D$27,G32,G33,G34,G35,G36)</f>
        <v>284</v>
      </c>
      <c r="H6" s="34">
        <f>CHOOSE('DCF Model'!$D$27,H32,H33,H34,H35,H36)</f>
        <v>284</v>
      </c>
    </row>
    <row r="7" spans="2:8" ht="14" customHeight="1" x14ac:dyDescent="0.3">
      <c r="B7" s="33" t="s">
        <v>176</v>
      </c>
      <c r="C7" s="34">
        <f>C15/C10*365</f>
        <v>178.51331697786134</v>
      </c>
      <c r="D7" s="34">
        <f>CHOOSE('DCF Model'!$D$27,D39,D40,D41,D42,D43)</f>
        <v>196</v>
      </c>
      <c r="E7" s="34">
        <f>CHOOSE('DCF Model'!$D$27,E39,E40,E41,E42,E43)</f>
        <v>196</v>
      </c>
      <c r="F7" s="34">
        <f>CHOOSE('DCF Model'!$D$27,F39,F40,F41,F42,F43)</f>
        <v>196</v>
      </c>
      <c r="G7" s="34">
        <f>CHOOSE('DCF Model'!$D$27,G39,G40,G41,G42,G43)</f>
        <v>196</v>
      </c>
      <c r="H7" s="34">
        <f>CHOOSE('DCF Model'!$D$27,H39,H40,H41,H42,H43)</f>
        <v>196</v>
      </c>
    </row>
    <row r="8" spans="2:8" ht="14" customHeight="1" x14ac:dyDescent="0.3">
      <c r="B8" s="8" t="s">
        <v>177</v>
      </c>
      <c r="C8" s="9"/>
      <c r="D8" s="9"/>
      <c r="E8" s="9"/>
      <c r="F8" s="9"/>
      <c r="G8" s="9"/>
      <c r="H8" s="9"/>
    </row>
    <row r="9" spans="2:8" ht="14" customHeight="1" x14ac:dyDescent="0.3">
      <c r="B9" s="33" t="s">
        <v>32</v>
      </c>
      <c r="C9" s="35">
        <v>2139245</v>
      </c>
      <c r="D9" s="35">
        <f>'DCF Model'!C33</f>
        <v>2267599.7000000002</v>
      </c>
      <c r="E9" s="35">
        <f>'DCF Model'!D33</f>
        <v>2369641.6864999998</v>
      </c>
      <c r="F9" s="35">
        <f>'DCF Model'!E33</f>
        <v>2452579.1455274997</v>
      </c>
      <c r="G9" s="35">
        <f>'DCF Model'!F33</f>
        <v>2526156.5198933249</v>
      </c>
      <c r="H9" s="35">
        <f>'DCF Model'!G33</f>
        <v>2589310.4328906578</v>
      </c>
    </row>
    <row r="10" spans="2:8" ht="14" customHeight="1" x14ac:dyDescent="0.3">
      <c r="B10" s="33" t="s">
        <v>33</v>
      </c>
      <c r="C10" s="35">
        <v>408426</v>
      </c>
      <c r="D10" s="35">
        <f>'DCF Model'!C34</f>
        <v>433111.54270000005</v>
      </c>
      <c r="E10" s="35">
        <f>'DCF Model'!D34</f>
        <v>452601.56212149997</v>
      </c>
      <c r="F10" s="35">
        <f>'DCF Model'!E34</f>
        <v>468442.61679575243</v>
      </c>
      <c r="G10" s="35">
        <f>'DCF Model'!F34</f>
        <v>482495.89529962506</v>
      </c>
      <c r="H10" s="35">
        <f>'DCF Model'!G34</f>
        <v>494558.29268211563</v>
      </c>
    </row>
    <row r="11" spans="2:8" ht="14" customHeight="1" x14ac:dyDescent="0.3">
      <c r="B11" s="8" t="s">
        <v>178</v>
      </c>
      <c r="C11" s="9"/>
      <c r="D11" s="9"/>
      <c r="E11" s="9"/>
      <c r="F11" s="9"/>
      <c r="G11" s="9"/>
      <c r="H11" s="9"/>
    </row>
    <row r="12" spans="2:8" ht="14" customHeight="1" x14ac:dyDescent="0.3">
      <c r="B12" s="33" t="s">
        <v>179</v>
      </c>
      <c r="C12" s="35">
        <v>746808</v>
      </c>
      <c r="D12" s="35">
        <f t="shared" ref="D12:H13" si="0">D9*D5/365</f>
        <v>733087.02630136989</v>
      </c>
      <c r="E12" s="35">
        <f t="shared" si="0"/>
        <v>766075.94248493144</v>
      </c>
      <c r="F12" s="35">
        <f t="shared" si="0"/>
        <v>792888.60047190404</v>
      </c>
      <c r="G12" s="35">
        <f t="shared" si="0"/>
        <v>816675.25848606124</v>
      </c>
      <c r="H12" s="35">
        <f t="shared" si="0"/>
        <v>837092.13994821266</v>
      </c>
    </row>
    <row r="13" spans="2:8" ht="14" customHeight="1" x14ac:dyDescent="0.3">
      <c r="B13" s="33" t="s">
        <v>180</v>
      </c>
      <c r="C13" s="35">
        <v>331014</v>
      </c>
      <c r="D13" s="35">
        <f t="shared" si="0"/>
        <v>336996.37842958909</v>
      </c>
      <c r="E13" s="35">
        <f t="shared" si="0"/>
        <v>352161.21545892052</v>
      </c>
      <c r="F13" s="35">
        <f t="shared" si="0"/>
        <v>364486.85799998272</v>
      </c>
      <c r="G13" s="35">
        <f t="shared" si="0"/>
        <v>375421.46373998222</v>
      </c>
      <c r="H13" s="35">
        <f t="shared" si="0"/>
        <v>384807.00033348176</v>
      </c>
    </row>
    <row r="14" spans="2:8" ht="14" customHeight="1" x14ac:dyDescent="0.3">
      <c r="B14" s="33" t="s">
        <v>181</v>
      </c>
      <c r="C14" s="35">
        <f t="shared" ref="C14:H14" si="1">C12+C13</f>
        <v>1077822</v>
      </c>
      <c r="D14" s="35">
        <f t="shared" si="1"/>
        <v>1070083.4047309589</v>
      </c>
      <c r="E14" s="35">
        <f t="shared" si="1"/>
        <v>1118237.157943852</v>
      </c>
      <c r="F14" s="35">
        <f t="shared" si="1"/>
        <v>1157375.4584718868</v>
      </c>
      <c r="G14" s="35">
        <f t="shared" si="1"/>
        <v>1192096.7222260435</v>
      </c>
      <c r="H14" s="35">
        <f t="shared" si="1"/>
        <v>1221899.1402816945</v>
      </c>
    </row>
    <row r="15" spans="2:8" ht="14" customHeight="1" x14ac:dyDescent="0.3">
      <c r="B15" s="33" t="s">
        <v>182</v>
      </c>
      <c r="C15" s="35">
        <v>199752</v>
      </c>
      <c r="D15" s="35">
        <f>D10*D7/365</f>
        <v>232574.96539506852</v>
      </c>
      <c r="E15" s="35">
        <f>E10*E7/365</f>
        <v>243040.83883784653</v>
      </c>
      <c r="F15" s="35">
        <f>F10*F7/365</f>
        <v>251547.26819717116</v>
      </c>
      <c r="G15" s="35">
        <f>G10*G7/365</f>
        <v>259093.68624308633</v>
      </c>
      <c r="H15" s="35">
        <f>H10*H7/365</f>
        <v>265571.02839916345</v>
      </c>
    </row>
    <row r="16" spans="2:8" ht="14" customHeight="1" x14ac:dyDescent="0.3">
      <c r="B16" s="33" t="s">
        <v>183</v>
      </c>
      <c r="C16" s="35">
        <f t="shared" ref="C16:H16" si="2">C15</f>
        <v>199752</v>
      </c>
      <c r="D16" s="35">
        <f t="shared" si="2"/>
        <v>232574.96539506852</v>
      </c>
      <c r="E16" s="35">
        <f t="shared" si="2"/>
        <v>243040.83883784653</v>
      </c>
      <c r="F16" s="35">
        <f t="shared" si="2"/>
        <v>251547.26819717116</v>
      </c>
      <c r="G16" s="35">
        <f t="shared" si="2"/>
        <v>259093.68624308633</v>
      </c>
      <c r="H16" s="35">
        <f t="shared" si="2"/>
        <v>265571.02839916345</v>
      </c>
    </row>
    <row r="17" spans="2:8" ht="14" customHeight="1" x14ac:dyDescent="0.3">
      <c r="B17" s="22" t="s">
        <v>184</v>
      </c>
      <c r="C17" s="23"/>
      <c r="D17" s="23"/>
      <c r="E17" s="23"/>
      <c r="F17" s="23"/>
      <c r="G17" s="23"/>
      <c r="H17" s="23"/>
    </row>
    <row r="18" spans="2:8" ht="14" customHeight="1" x14ac:dyDescent="0.3">
      <c r="B18" s="33" t="s">
        <v>185</v>
      </c>
      <c r="C18" s="20">
        <f t="shared" ref="C18:H18" si="3">C14-C16</f>
        <v>878070</v>
      </c>
      <c r="D18" s="20">
        <f t="shared" si="3"/>
        <v>837508.43933589035</v>
      </c>
      <c r="E18" s="20">
        <f t="shared" si="3"/>
        <v>875196.31910600548</v>
      </c>
      <c r="F18" s="20">
        <f t="shared" si="3"/>
        <v>905828.19027471566</v>
      </c>
      <c r="G18" s="20">
        <f t="shared" si="3"/>
        <v>933003.03598295711</v>
      </c>
      <c r="H18" s="20">
        <f t="shared" si="3"/>
        <v>956328.11188253108</v>
      </c>
    </row>
    <row r="19" spans="2:8" ht="14" customHeight="1" x14ac:dyDescent="0.3">
      <c r="B19" s="33" t="s">
        <v>94</v>
      </c>
      <c r="C19" s="36" t="s">
        <v>42</v>
      </c>
      <c r="D19" s="24">
        <f>D18-C18</f>
        <v>-40561.560664109653</v>
      </c>
      <c r="E19" s="24">
        <f>E18-D18</f>
        <v>37687.879770115134</v>
      </c>
      <c r="F19" s="24">
        <f>F18-E18</f>
        <v>30631.871168710175</v>
      </c>
      <c r="G19" s="24">
        <f>G18-F18</f>
        <v>27174.845708241453</v>
      </c>
      <c r="H19" s="24">
        <f>H18-G18</f>
        <v>23325.075899573974</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118</v>
      </c>
      <c r="E25" s="30">
        <v>118</v>
      </c>
      <c r="F25" s="30">
        <v>118</v>
      </c>
      <c r="G25" s="30">
        <v>118</v>
      </c>
      <c r="H25" s="30">
        <v>118</v>
      </c>
    </row>
    <row r="26" spans="2:8" ht="14" customHeight="1" x14ac:dyDescent="0.3">
      <c r="B26" s="4" t="s">
        <v>115</v>
      </c>
      <c r="D26" s="30">
        <v>113</v>
      </c>
      <c r="E26" s="30">
        <v>113</v>
      </c>
      <c r="F26" s="30">
        <v>113</v>
      </c>
      <c r="G26" s="30">
        <v>113</v>
      </c>
      <c r="H26" s="30">
        <v>113</v>
      </c>
    </row>
    <row r="27" spans="2:8" ht="14" customHeight="1" x14ac:dyDescent="0.3">
      <c r="B27" s="4" t="s">
        <v>116</v>
      </c>
      <c r="D27" s="30">
        <v>118</v>
      </c>
      <c r="E27" s="30">
        <v>118</v>
      </c>
      <c r="F27" s="30">
        <v>118</v>
      </c>
      <c r="G27" s="30">
        <v>118</v>
      </c>
      <c r="H27" s="30">
        <v>118</v>
      </c>
    </row>
    <row r="28" spans="2:8" ht="14" customHeight="1" x14ac:dyDescent="0.3">
      <c r="B28" s="4" t="s">
        <v>117</v>
      </c>
      <c r="D28" s="30">
        <v>124</v>
      </c>
      <c r="E28" s="30">
        <v>124</v>
      </c>
      <c r="F28" s="30">
        <v>124</v>
      </c>
      <c r="G28" s="30">
        <v>124</v>
      </c>
      <c r="H28" s="30">
        <v>124</v>
      </c>
    </row>
    <row r="29" spans="2:8" ht="14" customHeight="1" x14ac:dyDescent="0.3">
      <c r="B29" s="4" t="s">
        <v>118</v>
      </c>
      <c r="D29" s="30">
        <v>130</v>
      </c>
      <c r="E29" s="30">
        <v>130</v>
      </c>
      <c r="F29" s="30">
        <v>130</v>
      </c>
      <c r="G29" s="30">
        <v>130</v>
      </c>
      <c r="H29" s="30">
        <v>130</v>
      </c>
    </row>
    <row r="31" spans="2:8" ht="14" customHeight="1" x14ac:dyDescent="0.3">
      <c r="B31" s="3" t="s">
        <v>188</v>
      </c>
    </row>
    <row r="32" spans="2:8" ht="14" customHeight="1" x14ac:dyDescent="0.3">
      <c r="B32" s="4" t="s">
        <v>78</v>
      </c>
      <c r="D32" s="30">
        <v>284</v>
      </c>
      <c r="E32" s="30">
        <v>284</v>
      </c>
      <c r="F32" s="30">
        <v>284</v>
      </c>
      <c r="G32" s="30">
        <v>284</v>
      </c>
      <c r="H32" s="30">
        <v>284</v>
      </c>
    </row>
    <row r="33" spans="2:8" ht="14" customHeight="1" x14ac:dyDescent="0.3">
      <c r="B33" s="4" t="s">
        <v>115</v>
      </c>
      <c r="D33" s="30">
        <v>272</v>
      </c>
      <c r="E33" s="30">
        <v>272</v>
      </c>
      <c r="F33" s="30">
        <v>272</v>
      </c>
      <c r="G33" s="30">
        <v>272</v>
      </c>
      <c r="H33" s="30">
        <v>272</v>
      </c>
    </row>
    <row r="34" spans="2:8" ht="14" customHeight="1" x14ac:dyDescent="0.3">
      <c r="B34" s="4" t="s">
        <v>116</v>
      </c>
      <c r="D34" s="30">
        <v>284</v>
      </c>
      <c r="E34" s="30">
        <v>284</v>
      </c>
      <c r="F34" s="30">
        <v>284</v>
      </c>
      <c r="G34" s="30">
        <v>284</v>
      </c>
      <c r="H34" s="30">
        <v>284</v>
      </c>
    </row>
    <row r="35" spans="2:8" ht="14" customHeight="1" x14ac:dyDescent="0.3">
      <c r="B35" s="4" t="s">
        <v>117</v>
      </c>
      <c r="D35" s="30">
        <v>298</v>
      </c>
      <c r="E35" s="30">
        <v>298</v>
      </c>
      <c r="F35" s="30">
        <v>298</v>
      </c>
      <c r="G35" s="30">
        <v>298</v>
      </c>
      <c r="H35" s="30">
        <v>298</v>
      </c>
    </row>
    <row r="36" spans="2:8" ht="14" customHeight="1" x14ac:dyDescent="0.3">
      <c r="B36" s="4" t="s">
        <v>118</v>
      </c>
      <c r="D36" s="30">
        <v>313</v>
      </c>
      <c r="E36" s="30">
        <v>313</v>
      </c>
      <c r="F36" s="30">
        <v>313</v>
      </c>
      <c r="G36" s="30">
        <v>313</v>
      </c>
      <c r="H36" s="30">
        <v>313</v>
      </c>
    </row>
    <row r="38" spans="2:8" ht="14" customHeight="1" x14ac:dyDescent="0.3">
      <c r="B38" s="3" t="s">
        <v>189</v>
      </c>
    </row>
    <row r="39" spans="2:8" ht="14" customHeight="1" x14ac:dyDescent="0.3">
      <c r="B39" s="4" t="s">
        <v>78</v>
      </c>
      <c r="D39" s="30">
        <v>196</v>
      </c>
      <c r="E39" s="30">
        <v>196</v>
      </c>
      <c r="F39" s="30">
        <v>196</v>
      </c>
      <c r="G39" s="30">
        <v>196</v>
      </c>
      <c r="H39" s="30">
        <v>196</v>
      </c>
    </row>
    <row r="40" spans="2:8" ht="14" customHeight="1" x14ac:dyDescent="0.3">
      <c r="B40" s="4" t="s">
        <v>115</v>
      </c>
      <c r="D40" s="30">
        <v>202</v>
      </c>
      <c r="E40" s="30">
        <v>202</v>
      </c>
      <c r="F40" s="30">
        <v>202</v>
      </c>
      <c r="G40" s="30">
        <v>202</v>
      </c>
      <c r="H40" s="30">
        <v>202</v>
      </c>
    </row>
    <row r="41" spans="2:8" ht="14" customHeight="1" x14ac:dyDescent="0.3">
      <c r="B41" s="4" t="s">
        <v>116</v>
      </c>
      <c r="D41" s="30">
        <v>196</v>
      </c>
      <c r="E41" s="30">
        <v>196</v>
      </c>
      <c r="F41" s="30">
        <v>196</v>
      </c>
      <c r="G41" s="30">
        <v>196</v>
      </c>
      <c r="H41" s="30">
        <v>196</v>
      </c>
    </row>
    <row r="42" spans="2:8" ht="14" customHeight="1" x14ac:dyDescent="0.3">
      <c r="B42" s="4" t="s">
        <v>117</v>
      </c>
      <c r="D42" s="30">
        <v>190</v>
      </c>
      <c r="E42" s="30">
        <v>190</v>
      </c>
      <c r="F42" s="30">
        <v>190</v>
      </c>
      <c r="G42" s="30">
        <v>190</v>
      </c>
      <c r="H42" s="30">
        <v>190</v>
      </c>
    </row>
    <row r="43" spans="2:8" ht="14" customHeight="1" x14ac:dyDescent="0.3">
      <c r="B43" s="4" t="s">
        <v>118</v>
      </c>
      <c r="D43" s="30">
        <v>184</v>
      </c>
      <c r="E43" s="30">
        <v>184</v>
      </c>
      <c r="F43" s="30">
        <v>184</v>
      </c>
      <c r="G43" s="30">
        <v>184</v>
      </c>
      <c r="H43" s="30">
        <v>184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4223443.8810585001</v>
      </c>
      <c r="E5" s="37">
        <f>D5+C24</f>
        <v>4507790.8810585001</v>
      </c>
      <c r="F5" s="37">
        <v>2139245</v>
      </c>
      <c r="G5" s="37">
        <v>574653</v>
      </c>
      <c r="H5" s="37">
        <v>380059</v>
      </c>
      <c r="I5" s="37">
        <v>291535</v>
      </c>
      <c r="J5" s="38">
        <f>IFERROR(E5/G5,"")</f>
        <v>7.8443702217834073</v>
      </c>
      <c r="K5" s="38">
        <f>IFERROR(E5/F5,"")</f>
        <v>2.1071877606625233</v>
      </c>
      <c r="L5" s="38">
        <f>IFERROR(D5/I5,"")</f>
        <v>14.486918829843759</v>
      </c>
      <c r="M5" s="38">
        <f>IFERROR(D5/P5,"")</f>
        <v>2.3090991146514246</v>
      </c>
      <c r="N5" s="39">
        <f>IFERROR(H5/F5,"")</f>
        <v>0.17766034278448706</v>
      </c>
      <c r="O5" s="39">
        <f>IFERROR(I5/P5,"")</f>
        <v>0.15939201025235042</v>
      </c>
      <c r="P5" s="37">
        <v>1829044</v>
      </c>
    </row>
    <row r="6" spans="2:17" ht="14" customHeight="1" x14ac:dyDescent="0.3">
      <c r="B6" s="4" t="s">
        <v>208</v>
      </c>
      <c r="C6" t="s">
        <v>209</v>
      </c>
      <c r="D6" s="37">
        <v>5084111</v>
      </c>
      <c r="E6" s="37">
        <v>4934785</v>
      </c>
      <c r="F6" s="37">
        <v>2123045</v>
      </c>
      <c r="G6" s="37">
        <v>306549</v>
      </c>
      <c r="H6" s="37">
        <v>229089</v>
      </c>
      <c r="I6" s="37">
        <v>259874</v>
      </c>
      <c r="J6" s="38">
        <f>IFERROR(E6/G6,"")</f>
        <v>16.097866898929698</v>
      </c>
      <c r="K6" s="38">
        <f>IFERROR(E6/F6,"")</f>
        <v>2.3243902036932802</v>
      </c>
      <c r="L6" s="38">
        <f>IFERROR(D6/I6,"")</f>
        <v>19.563753973079262</v>
      </c>
      <c r="M6" s="38">
        <f>IFERROR(D6/P6,"")</f>
        <v>3.0550265326025627</v>
      </c>
      <c r="N6" s="39">
        <f>IFERROR(H6/F6,"")</f>
        <v>0.10790586162799187</v>
      </c>
      <c r="O6" s="39">
        <f>IFERROR(I6/P6,"")</f>
        <v>0.1561574806556266</v>
      </c>
      <c r="P6" s="37">
        <v>1664179</v>
      </c>
    </row>
    <row r="7" spans="2:17" ht="14" customHeight="1" x14ac:dyDescent="0.3">
      <c r="B7" s="4" t="s">
        <v>210</v>
      </c>
      <c r="C7" t="s">
        <v>211</v>
      </c>
      <c r="D7" s="37">
        <v>6320483</v>
      </c>
      <c r="E7" s="37">
        <v>6013813</v>
      </c>
      <c r="F7" s="37">
        <v>2468892</v>
      </c>
      <c r="G7" s="37">
        <v>588273</v>
      </c>
      <c r="H7" s="37">
        <v>472106</v>
      </c>
      <c r="I7" s="37">
        <v>363150</v>
      </c>
      <c r="J7" s="38">
        <f>IFERROR(E7/G7,"")</f>
        <v>10.222826816801042</v>
      </c>
      <c r="K7" s="38">
        <f>IFERROR(E7/F7,"")</f>
        <v>2.4358347793261106</v>
      </c>
      <c r="L7" s="38">
        <f>IFERROR(D7/I7,"")</f>
        <v>17.404606911744459</v>
      </c>
      <c r="M7" s="38">
        <f>IFERROR(D7/P7,"")</f>
        <v>2.0835996972418149</v>
      </c>
      <c r="N7" s="39">
        <f>IFERROR(H7/F7,"")</f>
        <v>0.191221811241642</v>
      </c>
      <c r="O7" s="39">
        <f>IFERROR(I7/P7,"")</f>
        <v>0.119715412580552</v>
      </c>
      <c r="P7" s="37">
        <v>3033444</v>
      </c>
    </row>
    <row r="8" spans="2:17" ht="14" customHeight="1" x14ac:dyDescent="0.3">
      <c r="B8" s="4" t="s">
        <v>212</v>
      </c>
      <c r="C8" t="s">
        <v>213</v>
      </c>
      <c r="D8" s="37">
        <v>2476073</v>
      </c>
      <c r="E8" s="37">
        <v>2449070</v>
      </c>
      <c r="F8" s="37">
        <v>499677</v>
      </c>
      <c r="G8" s="37">
        <v>193693</v>
      </c>
      <c r="H8" s="37">
        <v>166725</v>
      </c>
      <c r="I8" s="37">
        <v>205159</v>
      </c>
      <c r="J8" s="38">
        <f>IFERROR(E8/G8,"")</f>
        <v>12.644081097406721</v>
      </c>
      <c r="K8" s="38">
        <f>IFERROR(E8/F8,"")</f>
        <v>4.9013062438335169</v>
      </c>
      <c r="L8" s="38">
        <f>IFERROR(D8/I8,"")</f>
        <v>12.069044009768033</v>
      </c>
      <c r="M8" s="38">
        <f>IFERROR(D8/P8,"")</f>
        <v>1.4692920487890269</v>
      </c>
      <c r="N8" s="39">
        <f>IFERROR(H8/F8,"")</f>
        <v>0.3336655479439718</v>
      </c>
      <c r="O8" s="39">
        <f>IFERROR(I8/P8,"")</f>
        <v>0.12174054942544422</v>
      </c>
      <c r="P8" s="37">
        <v>1685215</v>
      </c>
    </row>
    <row r="9" spans="2:17" ht="14" customHeight="1" x14ac:dyDescent="0.3">
      <c r="B9" s="4" t="s">
        <v>214</v>
      </c>
      <c r="C9" t="s">
        <v>215</v>
      </c>
      <c r="D9" s="37">
        <v>9186111</v>
      </c>
      <c r="E9" s="37">
        <v>13472895</v>
      </c>
      <c r="F9" s="37">
        <v>4505720</v>
      </c>
      <c r="G9" s="37">
        <v>1185578</v>
      </c>
      <c r="H9" s="37">
        <v>464451</v>
      </c>
      <c r="I9" s="37">
        <v>-152390</v>
      </c>
      <c r="J9" s="38">
        <f>IFERROR(E9/G9,"")</f>
        <v>11.363988704243837</v>
      </c>
      <c r="K9" s="38">
        <f>IFERROR(E9/F9,"")</f>
        <v>2.9901758209564733</v>
      </c>
      <c r="L9" s="40" t="s">
        <v>216</v>
      </c>
      <c r="M9" s="38">
        <f>IFERROR(D9/P9,"")</f>
        <v>1.2364471297369479</v>
      </c>
      <c r="N9" s="39">
        <f>IFERROR(H9/F9,"")</f>
        <v>0.10308030681001039</v>
      </c>
      <c r="O9" s="39">
        <f>IFERROR(I9/P9,"")</f>
        <v>-2.0511637416597023E-2</v>
      </c>
      <c r="P9" s="37">
        <v>7429441</v>
      </c>
    </row>
    <row r="14" spans="2:17" ht="14" customHeight="1" x14ac:dyDescent="0.3">
      <c r="B14" s="3" t="s">
        <v>217</v>
      </c>
    </row>
    <row r="15" spans="2:17" ht="14" customHeight="1" x14ac:dyDescent="0.3">
      <c r="B15" s="4" t="s">
        <v>218</v>
      </c>
      <c r="D15" s="38">
        <f t="shared" ref="D15:I15" si="0">PERCENTILE(J6:J9,0.25)</f>
        <v>11.07869823238314</v>
      </c>
      <c r="E15" s="38">
        <f t="shared" si="0"/>
        <v>2.4079736354179029</v>
      </c>
      <c r="F15" s="38">
        <f t="shared" si="0"/>
        <v>14.736825460756247</v>
      </c>
      <c r="G15" s="38">
        <f t="shared" si="0"/>
        <v>1.4110808190260071</v>
      </c>
      <c r="H15" s="39">
        <f t="shared" si="0"/>
        <v>0.10669947292349651</v>
      </c>
      <c r="I15" s="39">
        <f t="shared" si="0"/>
        <v>8.4658650081264747E-2</v>
      </c>
    </row>
    <row r="16" spans="2:17" ht="14" customHeight="1" x14ac:dyDescent="0.3">
      <c r="B16" s="4" t="s">
        <v>219</v>
      </c>
      <c r="D16" s="38">
        <f t="shared" ref="D16:I16" si="1">MEDIAN(J6:J9)</f>
        <v>12.004034900825278</v>
      </c>
      <c r="E16" s="38">
        <f t="shared" si="1"/>
        <v>2.7130053001412922</v>
      </c>
      <c r="F16" s="38">
        <f t="shared" si="1"/>
        <v>17.404606911744459</v>
      </c>
      <c r="G16" s="38">
        <f t="shared" si="1"/>
        <v>1.7764458730154209</v>
      </c>
      <c r="H16" s="39">
        <f t="shared" si="1"/>
        <v>0.14956383643481694</v>
      </c>
      <c r="I16" s="39">
        <f t="shared" si="1"/>
        <v>0.12072798100299811</v>
      </c>
    </row>
    <row r="17" spans="2:9" ht="14" customHeight="1" x14ac:dyDescent="0.3">
      <c r="B17" s="4" t="s">
        <v>220</v>
      </c>
      <c r="D17" s="38">
        <f t="shared" ref="D17:I17" si="2">PERCENTILE(J6:J9,0.75)</f>
        <v>13.507527547787465</v>
      </c>
      <c r="E17" s="38">
        <f t="shared" si="2"/>
        <v>3.4679584266757342</v>
      </c>
      <c r="F17" s="38">
        <f t="shared" si="2"/>
        <v>18.484180442411862</v>
      </c>
      <c r="G17" s="38">
        <f t="shared" si="2"/>
        <v>2.3264564060820021</v>
      </c>
      <c r="H17" s="39">
        <f t="shared" si="2"/>
        <v>0.22683274541722445</v>
      </c>
      <c r="I17" s="39">
        <f t="shared" si="2"/>
        <v>0.13034478223298981</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574653</v>
      </c>
    </row>
    <row r="22" spans="2:9" ht="14" customHeight="1" x14ac:dyDescent="0.3">
      <c r="B22" s="4" t="s">
        <v>224</v>
      </c>
      <c r="C22" s="5">
        <v>291535</v>
      </c>
    </row>
    <row r="23" spans="2:9" ht="14" customHeight="1" x14ac:dyDescent="0.3">
      <c r="B23" s="4" t="s">
        <v>225</v>
      </c>
      <c r="C23" s="15">
        <v>1793013747</v>
      </c>
    </row>
    <row r="24" spans="2:9" ht="14" customHeight="1" x14ac:dyDescent="0.3">
      <c r="B24" s="4" t="s">
        <v>67</v>
      </c>
      <c r="C24" s="5">
        <v>284347</v>
      </c>
    </row>
    <row r="26" spans="2:9" ht="14" customHeight="1" x14ac:dyDescent="0.3">
      <c r="B26" s="3" t="s">
        <v>226</v>
      </c>
    </row>
    <row r="27" spans="2:9" ht="14" customHeight="1" x14ac:dyDescent="0.3">
      <c r="B27" s="4" t="s">
        <v>227</v>
      </c>
      <c r="C27" s="24">
        <f>ROUND((C21*D16-C24)*1000000/C23,0)</f>
        <v>3689</v>
      </c>
    </row>
    <row r="28" spans="2:9" ht="14" customHeight="1" x14ac:dyDescent="0.3">
      <c r="B28" s="4" t="s">
        <v>228</v>
      </c>
      <c r="C28" s="24">
        <f>ROUND(C22*F16*1000000/C23,0)</f>
        <v>2830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7.4689618663918295E-2</v>
      </c>
      <c r="E3" s="4" t="s">
        <v>231</v>
      </c>
      <c r="F3" s="16">
        <f>'DCF Model'!C13</f>
        <v>0.01</v>
      </c>
      <c r="H3" s="4" t="s">
        <v>232</v>
      </c>
      <c r="I3" s="14">
        <f>'DCF Model'!C14</f>
        <v>12</v>
      </c>
    </row>
    <row r="5" spans="2:9" ht="14" customHeight="1" x14ac:dyDescent="0.3">
      <c r="B5" s="3" t="s">
        <v>233</v>
      </c>
    </row>
    <row r="6" spans="2:9" ht="14" customHeight="1" x14ac:dyDescent="0.3">
      <c r="B6" s="41" t="s">
        <v>234</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39">
        <f>$C$3-0.015</f>
        <v>5.9689618663918295E-2</v>
      </c>
      <c r="C7" s="37">
        <f>IFERROR(ROUND(('DCF Model'!C45/(1+$B7)^('DCF Model'!C19+0)+'DCF Model'!D45/(1+$B7)^('DCF Model'!C19+1)+'DCF Model'!E45/(1+$B7)^('DCF Model'!C19+2)+'DCF Model'!F45/(1+$B7)^('DCF Model'!C19+3)+'DCF Model'!G45/(1+$B7)^('DCF Model'!C19+4)+'DCF Model'!G45*(1+C$6)/($B7-C$6)/(1+$B7)^('DCF Model'!C19+4)-'DCF Model'!C16)*1000000/'DCF Model'!C15,0),"")</f>
        <v>2232</v>
      </c>
      <c r="D7" s="37">
        <f>IFERROR(ROUND(('DCF Model'!C45/(1+$B7)^('DCF Model'!C19+0)+'DCF Model'!D45/(1+$B7)^('DCF Model'!C19+1)+'DCF Model'!E45/(1+$B7)^('DCF Model'!C19+2)+'DCF Model'!F45/(1+$B7)^('DCF Model'!C19+3)+'DCF Model'!G45/(1+$B7)^('DCF Model'!C19+4)+'DCF Model'!G45*(1+D$6)/($B7-D$6)/(1+$B7)^('DCF Model'!C19+4)-'DCF Model'!C16)*1000000/'DCF Model'!C15,0),"")</f>
        <v>2319</v>
      </c>
      <c r="E7" s="37">
        <f>IFERROR(ROUND(('DCF Model'!C45/(1+$B7)^('DCF Model'!C19+0)+'DCF Model'!D45/(1+$B7)^('DCF Model'!C19+1)+'DCF Model'!E45/(1+$B7)^('DCF Model'!C19+2)+'DCF Model'!F45/(1+$B7)^('DCF Model'!C19+3)+'DCF Model'!G45/(1+$B7)^('DCF Model'!C19+4)+'DCF Model'!G45*(1+E$6)/($B7-E$6)/(1+$B7)^('DCF Model'!C19+4)-'DCF Model'!C16)*1000000/'DCF Model'!C15,0),"")</f>
        <v>2413</v>
      </c>
      <c r="F7" s="37">
        <f>IFERROR(ROUND(('DCF Model'!C45/(1+$B7)^('DCF Model'!C19+0)+'DCF Model'!D45/(1+$B7)^('DCF Model'!C19+1)+'DCF Model'!E45/(1+$B7)^('DCF Model'!C19+2)+'DCF Model'!F45/(1+$B7)^('DCF Model'!C19+3)+'DCF Model'!G45/(1+$B7)^('DCF Model'!C19+4)+'DCF Model'!G45*(1+F$6)/($B7-F$6)/(1+$B7)^('DCF Model'!C19+4)-'DCF Model'!C16)*1000000/'DCF Model'!C15,0),"")</f>
        <v>2517</v>
      </c>
      <c r="G7" s="37">
        <f>IFERROR(ROUND(('DCF Model'!C45/(1+$B7)^('DCF Model'!C19+0)+'DCF Model'!D45/(1+$B7)^('DCF Model'!C19+1)+'DCF Model'!E45/(1+$B7)^('DCF Model'!C19+2)+'DCF Model'!F45/(1+$B7)^('DCF Model'!C19+3)+'DCF Model'!G45/(1+$B7)^('DCF Model'!C19+4)+'DCF Model'!G45*(1+G$6)/($B7-G$6)/(1+$B7)^('DCF Model'!C19+4)-'DCF Model'!C16)*1000000/'DCF Model'!C15,0),"")</f>
        <v>2632</v>
      </c>
      <c r="H7" s="37">
        <f>IFERROR(ROUND(('DCF Model'!C45/(1+$B7)^('DCF Model'!C19+0)+'DCF Model'!D45/(1+$B7)^('DCF Model'!C19+1)+'DCF Model'!E45/(1+$B7)^('DCF Model'!C19+2)+'DCF Model'!F45/(1+$B7)^('DCF Model'!C19+3)+'DCF Model'!G45/(1+$B7)^('DCF Model'!C19+4)+'DCF Model'!G45*(1+H$6)/($B7-H$6)/(1+$B7)^('DCF Model'!C19+4)-'DCF Model'!C16)*1000000/'DCF Model'!C15,0),"")</f>
        <v>2759</v>
      </c>
      <c r="I7" s="37">
        <f>IFERROR(ROUND(('DCF Model'!C45/(1+$B7)^('DCF Model'!C19+0)+'DCF Model'!D45/(1+$B7)^('DCF Model'!C19+1)+'DCF Model'!E45/(1+$B7)^('DCF Model'!C19+2)+'DCF Model'!F45/(1+$B7)^('DCF Model'!C19+3)+'DCF Model'!G45/(1+$B7)^('DCF Model'!C19+4)+'DCF Model'!G45*(1+I$6)/($B7-I$6)/(1+$B7)^('DCF Model'!C19+4)-'DCF Model'!C16)*1000000/'DCF Model'!C15,0),"")</f>
        <v>2902</v>
      </c>
    </row>
    <row r="8" spans="2:9" ht="13.5" customHeight="1" x14ac:dyDescent="0.25">
      <c r="B8" s="39">
        <f>$C$3-0.01</f>
        <v>6.46896186639183E-2</v>
      </c>
      <c r="C8" s="37">
        <f>IFERROR(ROUND(('DCF Model'!C45/(1+$B8)^('DCF Model'!C19+0)+'DCF Model'!D45/(1+$B8)^('DCF Model'!C19+1)+'DCF Model'!E45/(1+$B8)^('DCF Model'!C19+2)+'DCF Model'!F45/(1+$B8)^('DCF Model'!C19+3)+'DCF Model'!G45/(1+$B8)^('DCF Model'!C19+4)+'DCF Model'!G45*(1+C$6)/($B8-C$6)/(1+$B8)^('DCF Model'!C19+4)-'DCF Model'!C16)*1000000/'DCF Model'!C15,0),"")</f>
        <v>2043</v>
      </c>
      <c r="D8" s="37">
        <f>IFERROR(ROUND(('DCF Model'!C45/(1+$B8)^('DCF Model'!C19+0)+'DCF Model'!D45/(1+$B8)^('DCF Model'!C19+1)+'DCF Model'!E45/(1+$B8)^('DCF Model'!C19+2)+'DCF Model'!F45/(1+$B8)^('DCF Model'!C19+3)+'DCF Model'!G45/(1+$B8)^('DCF Model'!C19+4)+'DCF Model'!G45*(1+D$6)/($B8-D$6)/(1+$B8)^('DCF Model'!C19+4)-'DCF Model'!C16)*1000000/'DCF Model'!C15,0),"")</f>
        <v>2114</v>
      </c>
      <c r="E8" s="37">
        <f>IFERROR(ROUND(('DCF Model'!C45/(1+$B8)^('DCF Model'!C19+0)+'DCF Model'!D45/(1+$B8)^('DCF Model'!C19+1)+'DCF Model'!E45/(1+$B8)^('DCF Model'!C19+2)+'DCF Model'!F45/(1+$B8)^('DCF Model'!C19+3)+'DCF Model'!G45/(1+$B8)^('DCF Model'!C19+4)+'DCF Model'!G45*(1+E$6)/($B8-E$6)/(1+$B8)^('DCF Model'!C19+4)-'DCF Model'!C16)*1000000/'DCF Model'!C15,0),"")</f>
        <v>2192</v>
      </c>
      <c r="F8" s="37">
        <f>IFERROR(ROUND(('DCF Model'!C45/(1+$B8)^('DCF Model'!C19+0)+'DCF Model'!D45/(1+$B8)^('DCF Model'!C19+1)+'DCF Model'!E45/(1+$B8)^('DCF Model'!C19+2)+'DCF Model'!F45/(1+$B8)^('DCF Model'!C19+3)+'DCF Model'!G45/(1+$B8)^('DCF Model'!C19+4)+'DCF Model'!G45*(1+F$6)/($B8-F$6)/(1+$B8)^('DCF Model'!C19+4)-'DCF Model'!C16)*1000000/'DCF Model'!C15,0),"")</f>
        <v>2276</v>
      </c>
      <c r="G8" s="37">
        <f>IFERROR(ROUND(('DCF Model'!C45/(1+$B8)^('DCF Model'!C19+0)+'DCF Model'!D45/(1+$B8)^('DCF Model'!C19+1)+'DCF Model'!E45/(1+$B8)^('DCF Model'!C19+2)+'DCF Model'!F45/(1+$B8)^('DCF Model'!C19+3)+'DCF Model'!G45/(1+$B8)^('DCF Model'!C19+4)+'DCF Model'!G45*(1+G$6)/($B8-G$6)/(1+$B8)^('DCF Model'!C19+4)-'DCF Model'!C16)*1000000/'DCF Model'!C15,0),"")</f>
        <v>2369</v>
      </c>
      <c r="H8" s="37">
        <f>IFERROR(ROUND(('DCF Model'!C45/(1+$B8)^('DCF Model'!C19+0)+'DCF Model'!D45/(1+$B8)^('DCF Model'!C19+1)+'DCF Model'!E45/(1+$B8)^('DCF Model'!C19+2)+'DCF Model'!F45/(1+$B8)^('DCF Model'!C19+3)+'DCF Model'!G45/(1+$B8)^('DCF Model'!C19+4)+'DCF Model'!G45*(1+H$6)/($B8-H$6)/(1+$B8)^('DCF Model'!C19+4)-'DCF Model'!C16)*1000000/'DCF Model'!C15,0),"")</f>
        <v>2471</v>
      </c>
      <c r="I8" s="37">
        <f>IFERROR(ROUND(('DCF Model'!C45/(1+$B8)^('DCF Model'!C19+0)+'DCF Model'!D45/(1+$B8)^('DCF Model'!C19+1)+'DCF Model'!E45/(1+$B8)^('DCF Model'!C19+2)+'DCF Model'!F45/(1+$B8)^('DCF Model'!C19+3)+'DCF Model'!G45/(1+$B8)^('DCF Model'!C19+4)+'DCF Model'!G45*(1+I$6)/($B8-I$6)/(1+$B8)^('DCF Model'!C19+4)-'DCF Model'!C16)*1000000/'DCF Model'!C15,0),"")</f>
        <v>2584</v>
      </c>
    </row>
    <row r="9" spans="2:9" ht="13.5" customHeight="1" x14ac:dyDescent="0.25">
      <c r="B9" s="39">
        <f>$C$3-0.005</f>
        <v>6.968961866391829E-2</v>
      </c>
      <c r="C9" s="37">
        <f>IFERROR(ROUND(('DCF Model'!C45/(1+$B9)^('DCF Model'!C19+0)+'DCF Model'!D45/(1+$B9)^('DCF Model'!C19+1)+'DCF Model'!E45/(1+$B9)^('DCF Model'!C19+2)+'DCF Model'!F45/(1+$B9)^('DCF Model'!C19+3)+'DCF Model'!G45/(1+$B9)^('DCF Model'!C19+4)+'DCF Model'!G45*(1+C$6)/($B9-C$6)/(1+$B9)^('DCF Model'!C19+4)-'DCF Model'!C16)*1000000/'DCF Model'!C15,0),"")</f>
        <v>1882</v>
      </c>
      <c r="D9" s="37">
        <f>IFERROR(ROUND(('DCF Model'!C45/(1+$B9)^('DCF Model'!C19+0)+'DCF Model'!D45/(1+$B9)^('DCF Model'!C19+1)+'DCF Model'!E45/(1+$B9)^('DCF Model'!C19+2)+'DCF Model'!F45/(1+$B9)^('DCF Model'!C19+3)+'DCF Model'!G45/(1+$B9)^('DCF Model'!C19+4)+'DCF Model'!G45*(1+D$6)/($B9-D$6)/(1+$B9)^('DCF Model'!C19+4)-'DCF Model'!C16)*1000000/'DCF Model'!C15,0),"")</f>
        <v>1942</v>
      </c>
      <c r="E9" s="37">
        <f>IFERROR(ROUND(('DCF Model'!C45/(1+$B9)^('DCF Model'!C19+0)+'DCF Model'!D45/(1+$B9)^('DCF Model'!C19+1)+'DCF Model'!E45/(1+$B9)^('DCF Model'!C19+2)+'DCF Model'!F45/(1+$B9)^('DCF Model'!C19+3)+'DCF Model'!G45/(1+$B9)^('DCF Model'!C19+4)+'DCF Model'!G45*(1+E$6)/($B9-E$6)/(1+$B9)^('DCF Model'!C19+4)-'DCF Model'!C16)*1000000/'DCF Model'!C15,0),"")</f>
        <v>2006</v>
      </c>
      <c r="F9" s="37">
        <f>IFERROR(ROUND(('DCF Model'!C45/(1+$B9)^('DCF Model'!C19+0)+'DCF Model'!D45/(1+$B9)^('DCF Model'!C19+1)+'DCF Model'!E45/(1+$B9)^('DCF Model'!C19+2)+'DCF Model'!F45/(1+$B9)^('DCF Model'!C19+3)+'DCF Model'!G45/(1+$B9)^('DCF Model'!C19+4)+'DCF Model'!G45*(1+F$6)/($B9-F$6)/(1+$B9)^('DCF Model'!C19+4)-'DCF Model'!C16)*1000000/'DCF Model'!C15,0),"")</f>
        <v>2076</v>
      </c>
      <c r="G9" s="37">
        <f>IFERROR(ROUND(('DCF Model'!C45/(1+$B9)^('DCF Model'!C19+0)+'DCF Model'!D45/(1+$B9)^('DCF Model'!C19+1)+'DCF Model'!E45/(1+$B9)^('DCF Model'!C19+2)+'DCF Model'!F45/(1+$B9)^('DCF Model'!C19+3)+'DCF Model'!G45/(1+$B9)^('DCF Model'!C19+4)+'DCF Model'!G45*(1+G$6)/($B9-G$6)/(1+$B9)^('DCF Model'!C19+4)-'DCF Model'!C16)*1000000/'DCF Model'!C15,0),"")</f>
        <v>2152</v>
      </c>
      <c r="H9" s="37">
        <f>IFERROR(ROUND(('DCF Model'!C45/(1+$B9)^('DCF Model'!C19+0)+'DCF Model'!D45/(1+$B9)^('DCF Model'!C19+1)+'DCF Model'!E45/(1+$B9)^('DCF Model'!C19+2)+'DCF Model'!F45/(1+$B9)^('DCF Model'!C19+3)+'DCF Model'!G45/(1+$B9)^('DCF Model'!C19+4)+'DCF Model'!G45*(1+H$6)/($B9-H$6)/(1+$B9)^('DCF Model'!C19+4)-'DCF Model'!C16)*1000000/'DCF Model'!C15,0),"")</f>
        <v>2235</v>
      </c>
      <c r="I9" s="37">
        <f>IFERROR(ROUND(('DCF Model'!C45/(1+$B9)^('DCF Model'!C19+0)+'DCF Model'!D45/(1+$B9)^('DCF Model'!C19+1)+'DCF Model'!E45/(1+$B9)^('DCF Model'!C19+2)+'DCF Model'!F45/(1+$B9)^('DCF Model'!C19+3)+'DCF Model'!G45/(1+$B9)^('DCF Model'!C19+4)+'DCF Model'!G45*(1+I$6)/($B9-I$6)/(1+$B9)^('DCF Model'!C19+4)-'DCF Model'!C16)*1000000/'DCF Model'!C15,0),"")</f>
        <v>2326</v>
      </c>
    </row>
    <row r="10" spans="2:9" ht="13.5" customHeight="1" x14ac:dyDescent="0.25">
      <c r="B10" s="39">
        <f>$C$3</f>
        <v>7.4689618663918295E-2</v>
      </c>
      <c r="C10" s="37">
        <f>IFERROR(ROUND(('DCF Model'!C45/(1+$B10)^('DCF Model'!C19+0)+'DCF Model'!D45/(1+$B10)^('DCF Model'!C19+1)+'DCF Model'!E45/(1+$B10)^('DCF Model'!C19+2)+'DCF Model'!F45/(1+$B10)^('DCF Model'!C19+3)+'DCF Model'!G45/(1+$B10)^('DCF Model'!C19+4)+'DCF Model'!G45*(1+C$6)/($B10-C$6)/(1+$B10)^('DCF Model'!C19+4)-'DCF Model'!C16)*1000000/'DCF Model'!C15,0),"")</f>
        <v>1743</v>
      </c>
      <c r="D10" s="37">
        <f>IFERROR(ROUND(('DCF Model'!C45/(1+$B10)^('DCF Model'!C19+0)+'DCF Model'!D45/(1+$B10)^('DCF Model'!C19+1)+'DCF Model'!E45/(1+$B10)^('DCF Model'!C19+2)+'DCF Model'!F45/(1+$B10)^('DCF Model'!C19+3)+'DCF Model'!G45/(1+$B10)^('DCF Model'!C19+4)+'DCF Model'!G45*(1+D$6)/($B10-D$6)/(1+$B10)^('DCF Model'!C19+4)-'DCF Model'!C16)*1000000/'DCF Model'!C15,0),"")</f>
        <v>1794</v>
      </c>
      <c r="E10" s="37">
        <f>IFERROR(ROUND(('DCF Model'!C45/(1+$B10)^('DCF Model'!C19+0)+'DCF Model'!D45/(1+$B10)^('DCF Model'!C19+1)+'DCF Model'!E45/(1+$B10)^('DCF Model'!C19+2)+'DCF Model'!F45/(1+$B10)^('DCF Model'!C19+3)+'DCF Model'!G45/(1+$B10)^('DCF Model'!C19+4)+'DCF Model'!G45*(1+E$6)/($B10-E$6)/(1+$B10)^('DCF Model'!C19+4)-'DCF Model'!C16)*1000000/'DCF Model'!C15,0),"")</f>
        <v>1848</v>
      </c>
      <c r="F10" s="37">
        <f>IFERROR(ROUND(('DCF Model'!C45/(1+$B10)^('DCF Model'!C19+0)+'DCF Model'!D45/(1+$B10)^('DCF Model'!C19+1)+'DCF Model'!E45/(1+$B10)^('DCF Model'!C19+2)+'DCF Model'!F45/(1+$B10)^('DCF Model'!C19+3)+'DCF Model'!G45/(1+$B10)^('DCF Model'!C19+4)+'DCF Model'!G45*(1+F$6)/($B10-F$6)/(1+$B10)^('DCF Model'!C19+4)-'DCF Model'!C16)*1000000/'DCF Model'!C15,0),"")</f>
        <v>1907</v>
      </c>
      <c r="G10" s="37">
        <f>IFERROR(ROUND(('DCF Model'!C45/(1+$B10)^('DCF Model'!C19+0)+'DCF Model'!D45/(1+$B10)^('DCF Model'!C19+1)+'DCF Model'!E45/(1+$B10)^('DCF Model'!C19+2)+'DCF Model'!F45/(1+$B10)^('DCF Model'!C19+3)+'DCF Model'!G45/(1+$B10)^('DCF Model'!C19+4)+'DCF Model'!G45*(1+G$6)/($B10-G$6)/(1+$B10)^('DCF Model'!C19+4)-'DCF Model'!C16)*1000000/'DCF Model'!C15,0),"")</f>
        <v>1970</v>
      </c>
      <c r="H10" s="37">
        <f>IFERROR(ROUND(('DCF Model'!C45/(1+$B10)^('DCF Model'!C19+0)+'DCF Model'!D45/(1+$B10)^('DCF Model'!C19+1)+'DCF Model'!E45/(1+$B10)^('DCF Model'!C19+2)+'DCF Model'!F45/(1+$B10)^('DCF Model'!C19+3)+'DCF Model'!G45/(1+$B10)^('DCF Model'!C19+4)+'DCF Model'!G45*(1+H$6)/($B10-H$6)/(1+$B10)^('DCF Model'!C19+4)-'DCF Model'!C16)*1000000/'DCF Model'!C15,0),"")</f>
        <v>2039</v>
      </c>
      <c r="I10" s="37">
        <f>IFERROR(ROUND(('DCF Model'!C45/(1+$B10)^('DCF Model'!C19+0)+'DCF Model'!D45/(1+$B10)^('DCF Model'!C19+1)+'DCF Model'!E45/(1+$B10)^('DCF Model'!C19+2)+'DCF Model'!F45/(1+$B10)^('DCF Model'!C19+3)+'DCF Model'!G45/(1+$B10)^('DCF Model'!C19+4)+'DCF Model'!G45*(1+I$6)/($B10-I$6)/(1+$B10)^('DCF Model'!C19+4)-'DCF Model'!C16)*1000000/'DCF Model'!C15,0),"")</f>
        <v>2113</v>
      </c>
    </row>
    <row r="11" spans="2:9" ht="13.5" customHeight="1" x14ac:dyDescent="0.25">
      <c r="B11" s="39">
        <f>$C$3+0.005</f>
        <v>7.9689618663918299E-2</v>
      </c>
      <c r="C11" s="37">
        <f>IFERROR(ROUND(('DCF Model'!C45/(1+$B11)^('DCF Model'!C19+0)+'DCF Model'!D45/(1+$B11)^('DCF Model'!C19+1)+'DCF Model'!E45/(1+$B11)^('DCF Model'!C19+2)+'DCF Model'!F45/(1+$B11)^('DCF Model'!C19+3)+'DCF Model'!G45/(1+$B11)^('DCF Model'!C19+4)+'DCF Model'!G45*(1+C$6)/($B11-C$6)/(1+$B11)^('DCF Model'!C19+4)-'DCF Model'!C16)*1000000/'DCF Model'!C15,0),"")</f>
        <v>1622</v>
      </c>
      <c r="D11" s="37">
        <f>IFERROR(ROUND(('DCF Model'!C45/(1+$B11)^('DCF Model'!C19+0)+'DCF Model'!D45/(1+$B11)^('DCF Model'!C19+1)+'DCF Model'!E45/(1+$B11)^('DCF Model'!C19+2)+'DCF Model'!F45/(1+$B11)^('DCF Model'!C19+3)+'DCF Model'!G45/(1+$B11)^('DCF Model'!C19+4)+'DCF Model'!G45*(1+D$6)/($B11-D$6)/(1+$B11)^('DCF Model'!C19+4)-'DCF Model'!C16)*1000000/'DCF Model'!C15,0),"")</f>
        <v>1666</v>
      </c>
      <c r="E11" s="37">
        <f>IFERROR(ROUND(('DCF Model'!C45/(1+$B11)^('DCF Model'!C19+0)+'DCF Model'!D45/(1+$B11)^('DCF Model'!C19+1)+'DCF Model'!E45/(1+$B11)^('DCF Model'!C19+2)+'DCF Model'!F45/(1+$B11)^('DCF Model'!C19+3)+'DCF Model'!G45/(1+$B11)^('DCF Model'!C19+4)+'DCF Model'!G45*(1+E$6)/($B11-E$6)/(1+$B11)^('DCF Model'!C19+4)-'DCF Model'!C16)*1000000/'DCF Model'!C15,0),"")</f>
        <v>1712</v>
      </c>
      <c r="F11" s="37">
        <f>IFERROR(ROUND(('DCF Model'!C45/(1+$B11)^('DCF Model'!C19+0)+'DCF Model'!D45/(1+$B11)^('DCF Model'!C19+1)+'DCF Model'!E45/(1+$B11)^('DCF Model'!C19+2)+'DCF Model'!F45/(1+$B11)^('DCF Model'!C19+3)+'DCF Model'!G45/(1+$B11)^('DCF Model'!C19+4)+'DCF Model'!G45*(1+F$6)/($B11-F$6)/(1+$B11)^('DCF Model'!C19+4)-'DCF Model'!C16)*1000000/'DCF Model'!C15,0),"")</f>
        <v>1762</v>
      </c>
      <c r="G11" s="37">
        <f>IFERROR(ROUND(('DCF Model'!C45/(1+$B11)^('DCF Model'!C19+0)+'DCF Model'!D45/(1+$B11)^('DCF Model'!C19+1)+'DCF Model'!E45/(1+$B11)^('DCF Model'!C19+2)+'DCF Model'!F45/(1+$B11)^('DCF Model'!C19+3)+'DCF Model'!G45/(1+$B11)^('DCF Model'!C19+4)+'DCF Model'!G45*(1+G$6)/($B11-G$6)/(1+$B11)^('DCF Model'!C19+4)-'DCF Model'!C16)*1000000/'DCF Model'!C15,0),"")</f>
        <v>1815</v>
      </c>
      <c r="H11" s="37">
        <f>IFERROR(ROUND(('DCF Model'!C45/(1+$B11)^('DCF Model'!C19+0)+'DCF Model'!D45/(1+$B11)^('DCF Model'!C19+1)+'DCF Model'!E45/(1+$B11)^('DCF Model'!C19+2)+'DCF Model'!F45/(1+$B11)^('DCF Model'!C19+3)+'DCF Model'!G45/(1+$B11)^('DCF Model'!C19+4)+'DCF Model'!G45*(1+H$6)/($B11-H$6)/(1+$B11)^('DCF Model'!C19+4)-'DCF Model'!C16)*1000000/'DCF Model'!C15,0),"")</f>
        <v>1873</v>
      </c>
      <c r="I11" s="37">
        <f>IFERROR(ROUND(('DCF Model'!C45/(1+$B11)^('DCF Model'!C19+0)+'DCF Model'!D45/(1+$B11)^('DCF Model'!C19+1)+'DCF Model'!E45/(1+$B11)^('DCF Model'!C19+2)+'DCF Model'!F45/(1+$B11)^('DCF Model'!C19+3)+'DCF Model'!G45/(1+$B11)^('DCF Model'!C19+4)+'DCF Model'!G45*(1+I$6)/($B11-I$6)/(1+$B11)^('DCF Model'!C19+4)-'DCF Model'!C16)*1000000/'DCF Model'!C15,0),"")</f>
        <v>1935</v>
      </c>
    </row>
    <row r="12" spans="2:9" ht="13.5" customHeight="1" x14ac:dyDescent="0.25">
      <c r="B12" s="39">
        <f>$C$3+0.01</f>
        <v>8.468961866391829E-2</v>
      </c>
      <c r="C12" s="37">
        <f>IFERROR(ROUND(('DCF Model'!C45/(1+$B12)^('DCF Model'!C19+0)+'DCF Model'!D45/(1+$B12)^('DCF Model'!C19+1)+'DCF Model'!E45/(1+$B12)^('DCF Model'!C19+2)+'DCF Model'!F45/(1+$B12)^('DCF Model'!C19+3)+'DCF Model'!G45/(1+$B12)^('DCF Model'!C19+4)+'DCF Model'!G45*(1+C$6)/($B12-C$6)/(1+$B12)^('DCF Model'!C19+4)-'DCF Model'!C16)*1000000/'DCF Model'!C15,0),"")</f>
        <v>1516</v>
      </c>
      <c r="D12" s="37">
        <f>IFERROR(ROUND(('DCF Model'!C45/(1+$B12)^('DCF Model'!C19+0)+'DCF Model'!D45/(1+$B12)^('DCF Model'!C19+1)+'DCF Model'!E45/(1+$B12)^('DCF Model'!C19+2)+'DCF Model'!F45/(1+$B12)^('DCF Model'!C19+3)+'DCF Model'!G45/(1+$B12)^('DCF Model'!C19+4)+'DCF Model'!G45*(1+D$6)/($B12-D$6)/(1+$B12)^('DCF Model'!C19+4)-'DCF Model'!C16)*1000000/'DCF Model'!C15,0),"")</f>
        <v>1554</v>
      </c>
      <c r="E12" s="37">
        <f>IFERROR(ROUND(('DCF Model'!C45/(1+$B12)^('DCF Model'!C19+0)+'DCF Model'!D45/(1+$B12)^('DCF Model'!C19+1)+'DCF Model'!E45/(1+$B12)^('DCF Model'!C19+2)+'DCF Model'!F45/(1+$B12)^('DCF Model'!C19+3)+'DCF Model'!G45/(1+$B12)^('DCF Model'!C19+4)+'DCF Model'!G45*(1+E$6)/($B12-E$6)/(1+$B12)^('DCF Model'!C19+4)-'DCF Model'!C16)*1000000/'DCF Model'!C15,0),"")</f>
        <v>1593</v>
      </c>
      <c r="F12" s="37">
        <f>IFERROR(ROUND(('DCF Model'!C45/(1+$B12)^('DCF Model'!C19+0)+'DCF Model'!D45/(1+$B12)^('DCF Model'!C19+1)+'DCF Model'!E45/(1+$B12)^('DCF Model'!C19+2)+'DCF Model'!F45/(1+$B12)^('DCF Model'!C19+3)+'DCF Model'!G45/(1+$B12)^('DCF Model'!C19+4)+'DCF Model'!G45*(1+F$6)/($B12-F$6)/(1+$B12)^('DCF Model'!C19+4)-'DCF Model'!C16)*1000000/'DCF Model'!C15,0),"")</f>
        <v>1636</v>
      </c>
      <c r="G12" s="37">
        <f>IFERROR(ROUND(('DCF Model'!C45/(1+$B12)^('DCF Model'!C19+0)+'DCF Model'!D45/(1+$B12)^('DCF Model'!C19+1)+'DCF Model'!E45/(1+$B12)^('DCF Model'!C19+2)+'DCF Model'!F45/(1+$B12)^('DCF Model'!C19+3)+'DCF Model'!G45/(1+$B12)^('DCF Model'!C19+4)+'DCF Model'!G45*(1+G$6)/($B12-G$6)/(1+$B12)^('DCF Model'!C19+4)-'DCF Model'!C16)*1000000/'DCF Model'!C15,0),"")</f>
        <v>1682</v>
      </c>
      <c r="H12" s="37">
        <f>IFERROR(ROUND(('DCF Model'!C45/(1+$B12)^('DCF Model'!C19+0)+'DCF Model'!D45/(1+$B12)^('DCF Model'!C19+1)+'DCF Model'!E45/(1+$B12)^('DCF Model'!C19+2)+'DCF Model'!F45/(1+$B12)^('DCF Model'!C19+3)+'DCF Model'!G45/(1+$B12)^('DCF Model'!C19+4)+'DCF Model'!G45*(1+H$6)/($B12-H$6)/(1+$B12)^('DCF Model'!C19+4)-'DCF Model'!C16)*1000000/'DCF Model'!C15,0),"")</f>
        <v>1730</v>
      </c>
      <c r="I12" s="37">
        <f>IFERROR(ROUND(('DCF Model'!C45/(1+$B12)^('DCF Model'!C19+0)+'DCF Model'!D45/(1+$B12)^('DCF Model'!C19+1)+'DCF Model'!E45/(1+$B12)^('DCF Model'!C19+2)+'DCF Model'!F45/(1+$B12)^('DCF Model'!C19+3)+'DCF Model'!G45/(1+$B12)^('DCF Model'!C19+4)+'DCF Model'!G45*(1+I$6)/($B12-I$6)/(1+$B12)^('DCF Model'!C19+4)-'DCF Model'!C16)*1000000/'DCF Model'!C15,0),"")</f>
        <v>1783</v>
      </c>
    </row>
    <row r="13" spans="2:9" ht="13.5" customHeight="1" x14ac:dyDescent="0.25">
      <c r="B13" s="39">
        <f>$C$3+0.015</f>
        <v>8.9689618663918294E-2</v>
      </c>
      <c r="C13" s="37">
        <f>IFERROR(ROUND(('DCF Model'!C45/(1+$B13)^('DCF Model'!C19+0)+'DCF Model'!D45/(1+$B13)^('DCF Model'!C19+1)+'DCF Model'!E45/(1+$B13)^('DCF Model'!C19+2)+'DCF Model'!F45/(1+$B13)^('DCF Model'!C19+3)+'DCF Model'!G45/(1+$B13)^('DCF Model'!C19+4)+'DCF Model'!G45*(1+C$6)/($B13-C$6)/(1+$B13)^('DCF Model'!C19+4)-'DCF Model'!C16)*1000000/'DCF Model'!C15,0),"")</f>
        <v>1422</v>
      </c>
      <c r="D13" s="37">
        <f>IFERROR(ROUND(('DCF Model'!C45/(1+$B13)^('DCF Model'!C19+0)+'DCF Model'!D45/(1+$B13)^('DCF Model'!C19+1)+'DCF Model'!E45/(1+$B13)^('DCF Model'!C19+2)+'DCF Model'!F45/(1+$B13)^('DCF Model'!C19+3)+'DCF Model'!G45/(1+$B13)^('DCF Model'!C19+4)+'DCF Model'!G45*(1+D$6)/($B13-D$6)/(1+$B13)^('DCF Model'!C19+4)-'DCF Model'!C16)*1000000/'DCF Model'!C15,0),"")</f>
        <v>1455</v>
      </c>
      <c r="E13" s="37">
        <f>IFERROR(ROUND(('DCF Model'!C45/(1+$B13)^('DCF Model'!C19+0)+'DCF Model'!D45/(1+$B13)^('DCF Model'!C19+1)+'DCF Model'!E45/(1+$B13)^('DCF Model'!C19+2)+'DCF Model'!F45/(1+$B13)^('DCF Model'!C19+3)+'DCF Model'!G45/(1+$B13)^('DCF Model'!C19+4)+'DCF Model'!G45*(1+E$6)/($B13-E$6)/(1+$B13)^('DCF Model'!C19+4)-'DCF Model'!C16)*1000000/'DCF Model'!C15,0),"")</f>
        <v>1489</v>
      </c>
      <c r="F13" s="37">
        <f>IFERROR(ROUND(('DCF Model'!C45/(1+$B13)^('DCF Model'!C19+0)+'DCF Model'!D45/(1+$B13)^('DCF Model'!C19+1)+'DCF Model'!E45/(1+$B13)^('DCF Model'!C19+2)+'DCF Model'!F45/(1+$B13)^('DCF Model'!C19+3)+'DCF Model'!G45/(1+$B13)^('DCF Model'!C19+4)+'DCF Model'!G45*(1+F$6)/($B13-F$6)/(1+$B13)^('DCF Model'!C19+4)-'DCF Model'!C16)*1000000/'DCF Model'!C15,0),"")</f>
        <v>1526</v>
      </c>
      <c r="G13" s="37">
        <f>IFERROR(ROUND(('DCF Model'!C45/(1+$B13)^('DCF Model'!C19+0)+'DCF Model'!D45/(1+$B13)^('DCF Model'!C19+1)+'DCF Model'!E45/(1+$B13)^('DCF Model'!C19+2)+'DCF Model'!F45/(1+$B13)^('DCF Model'!C19+3)+'DCF Model'!G45/(1+$B13)^('DCF Model'!C19+4)+'DCF Model'!G45*(1+G$6)/($B13-G$6)/(1+$B13)^('DCF Model'!C19+4)-'DCF Model'!C16)*1000000/'DCF Model'!C15,0),"")</f>
        <v>1565</v>
      </c>
      <c r="H13" s="37">
        <f>IFERROR(ROUND(('DCF Model'!C45/(1+$B13)^('DCF Model'!C19+0)+'DCF Model'!D45/(1+$B13)^('DCF Model'!C19+1)+'DCF Model'!E45/(1+$B13)^('DCF Model'!C19+2)+'DCF Model'!F45/(1+$B13)^('DCF Model'!C19+3)+'DCF Model'!G45/(1+$B13)^('DCF Model'!C19+4)+'DCF Model'!G45*(1+H$6)/($B13-H$6)/(1+$B13)^('DCF Model'!C19+4)-'DCF Model'!C16)*1000000/'DCF Model'!C15,0),"")</f>
        <v>1607</v>
      </c>
      <c r="I13" s="37">
        <f>IFERROR(ROUND(('DCF Model'!C45/(1+$B13)^('DCF Model'!C19+0)+'DCF Model'!D45/(1+$B13)^('DCF Model'!C19+1)+'DCF Model'!E45/(1+$B13)^('DCF Model'!C19+2)+'DCF Model'!F45/(1+$B13)^('DCF Model'!C19+3)+'DCF Model'!G45/(1+$B13)^('DCF Model'!C19+4)+'DCF Model'!G45*(1+I$6)/($B13-I$6)/(1+$B13)^('DCF Model'!C19+4)-'DCF Model'!C16)*1000000/'DCF Model'!C15,0),"")</f>
        <v>1652</v>
      </c>
    </row>
    <row r="16" spans="2:9" ht="14" customHeight="1" x14ac:dyDescent="0.3">
      <c r="B16" s="3" t="s">
        <v>235</v>
      </c>
    </row>
    <row r="17" spans="2:9" ht="14" customHeight="1" x14ac:dyDescent="0.3">
      <c r="B17" s="41" t="s">
        <v>236</v>
      </c>
      <c r="C17" s="43">
        <f>$I$3-3</f>
        <v>9</v>
      </c>
      <c r="D17" s="43">
        <f>$I$3-2</f>
        <v>10</v>
      </c>
      <c r="E17" s="43">
        <f>$I$3-1</f>
        <v>11</v>
      </c>
      <c r="F17" s="43">
        <f>$I$3</f>
        <v>12</v>
      </c>
      <c r="G17" s="43">
        <f>$I$3+1</f>
        <v>13</v>
      </c>
      <c r="H17" s="43">
        <f>$I$3+2</f>
        <v>14</v>
      </c>
      <c r="I17" s="43">
        <f>$I$3+3</f>
        <v>15</v>
      </c>
    </row>
    <row r="18" spans="2:9" ht="13.5" customHeight="1" x14ac:dyDescent="0.25">
      <c r="B18" s="39">
        <f>$C$3-0.015</f>
        <v>5.9689618663918295E-2</v>
      </c>
      <c r="C18" s="37">
        <f>IFERROR(ROUND(('DCF Model'!C45/(1+$B18)^('DCF Model'!C19+0)+'DCF Model'!D45/(1+$B18)^('DCF Model'!C19+1)+'DCF Model'!E45/(1+$B18)^('DCF Model'!C19+2)+'DCF Model'!F45/(1+$B18)^('DCF Model'!C19+3)+'DCF Model'!G45/(1+$B18)^('DCF Model'!C19+4)+('DCF Model'!G39+'DCF Model'!G42)*C$17/(1+$B18)^('DCF Model'!C19+4)-'DCF Model'!C16)*1000000/'DCF Model'!C15,0),"")</f>
        <v>2732</v>
      </c>
      <c r="D18" s="37">
        <f>IFERROR(ROUND(('DCF Model'!C45/(1+$B18)^('DCF Model'!C19+0)+'DCF Model'!D45/(1+$B18)^('DCF Model'!C19+1)+'DCF Model'!E45/(1+$B18)^('DCF Model'!C19+2)+'DCF Model'!F45/(1+$B18)^('DCF Model'!C19+3)+'DCF Model'!G45/(1+$B18)^('DCF Model'!C19+4)+('DCF Model'!G39+'DCF Model'!G42)*D$17/(1+$B18)^('DCF Model'!C19+4)-'DCF Model'!C16)*1000000/'DCF Model'!C15,0),"")</f>
        <v>2985</v>
      </c>
      <c r="E18" s="37">
        <f>IFERROR(ROUND(('DCF Model'!C45/(1+$B18)^('DCF Model'!C19+0)+'DCF Model'!D45/(1+$B18)^('DCF Model'!C19+1)+'DCF Model'!E45/(1+$B18)^('DCF Model'!C19+2)+'DCF Model'!F45/(1+$B18)^('DCF Model'!C19+3)+'DCF Model'!G45/(1+$B18)^('DCF Model'!C19+4)+('DCF Model'!G39+'DCF Model'!G42)*E$17/(1+$B18)^('DCF Model'!C19+4)-'DCF Model'!C16)*1000000/'DCF Model'!C15,0),"")</f>
        <v>3239</v>
      </c>
      <c r="F18" s="37">
        <f>IFERROR(ROUND(('DCF Model'!C45/(1+$B18)^('DCF Model'!C19+0)+'DCF Model'!D45/(1+$B18)^('DCF Model'!C19+1)+'DCF Model'!E45/(1+$B18)^('DCF Model'!C19+2)+'DCF Model'!F45/(1+$B18)^('DCF Model'!C19+3)+'DCF Model'!G45/(1+$B18)^('DCF Model'!C19+4)+('DCF Model'!G39+'DCF Model'!G42)*F$17/(1+$B18)^('DCF Model'!C19+4)-'DCF Model'!C16)*1000000/'DCF Model'!C15,0),"")</f>
        <v>3492</v>
      </c>
      <c r="G18" s="37">
        <f>IFERROR(ROUND(('DCF Model'!C45/(1+$B18)^('DCF Model'!C19+0)+'DCF Model'!D45/(1+$B18)^('DCF Model'!C19+1)+'DCF Model'!E45/(1+$B18)^('DCF Model'!C19+2)+'DCF Model'!F45/(1+$B18)^('DCF Model'!C19+3)+'DCF Model'!G45/(1+$B18)^('DCF Model'!C19+4)+('DCF Model'!G39+'DCF Model'!G42)*G$17/(1+$B18)^('DCF Model'!C19+4)-'DCF Model'!C16)*1000000/'DCF Model'!C15,0),"")</f>
        <v>3746</v>
      </c>
      <c r="H18" s="37">
        <f>IFERROR(ROUND(('DCF Model'!C45/(1+$B18)^('DCF Model'!C19+0)+'DCF Model'!D45/(1+$B18)^('DCF Model'!C19+1)+'DCF Model'!E45/(1+$B18)^('DCF Model'!C19+2)+'DCF Model'!F45/(1+$B18)^('DCF Model'!C19+3)+'DCF Model'!G45/(1+$B18)^('DCF Model'!C19+4)+('DCF Model'!G39+'DCF Model'!G42)*H$17/(1+$B18)^('DCF Model'!C19+4)-'DCF Model'!C16)*1000000/'DCF Model'!C15,0),"")</f>
        <v>3999</v>
      </c>
      <c r="I18" s="37">
        <f>IFERROR(ROUND(('DCF Model'!C45/(1+$B18)^('DCF Model'!C19+0)+'DCF Model'!D45/(1+$B18)^('DCF Model'!C19+1)+'DCF Model'!E45/(1+$B18)^('DCF Model'!C19+2)+'DCF Model'!F45/(1+$B18)^('DCF Model'!C19+3)+'DCF Model'!G45/(1+$B18)^('DCF Model'!C19+4)+('DCF Model'!G39+'DCF Model'!G42)*I$17/(1+$B18)^('DCF Model'!C19+4)-'DCF Model'!C16)*1000000/'DCF Model'!C15,0),"")</f>
        <v>4253</v>
      </c>
    </row>
    <row r="19" spans="2:9" ht="13.5" customHeight="1" x14ac:dyDescent="0.25">
      <c r="B19" s="39">
        <f>$C$3-0.01</f>
        <v>6.46896186639183E-2</v>
      </c>
      <c r="C19" s="37">
        <f>IFERROR(ROUND(('DCF Model'!C45/(1+$B19)^('DCF Model'!C19+0)+'DCF Model'!D45/(1+$B19)^('DCF Model'!C19+1)+'DCF Model'!E45/(1+$B19)^('DCF Model'!C19+2)+'DCF Model'!F45/(1+$B19)^('DCF Model'!C19+3)+'DCF Model'!G45/(1+$B19)^('DCF Model'!C19+4)+('DCF Model'!G39+'DCF Model'!G42)*C$17/(1+$B19)^('DCF Model'!C19+4)-'DCF Model'!C16)*1000000/'DCF Model'!C15,0),"")</f>
        <v>2671</v>
      </c>
      <c r="D19" s="37">
        <f>IFERROR(ROUND(('DCF Model'!C45/(1+$B19)^('DCF Model'!C19+0)+'DCF Model'!D45/(1+$B19)^('DCF Model'!C19+1)+'DCF Model'!E45/(1+$B19)^('DCF Model'!C19+2)+'DCF Model'!F45/(1+$B19)^('DCF Model'!C19+3)+'DCF Model'!G45/(1+$B19)^('DCF Model'!C19+4)+('DCF Model'!G39+'DCF Model'!G42)*D$17/(1+$B19)^('DCF Model'!C19+4)-'DCF Model'!C16)*1000000/'DCF Model'!C15,0),"")</f>
        <v>2918</v>
      </c>
      <c r="E19" s="37">
        <f>IFERROR(ROUND(('DCF Model'!C45/(1+$B19)^('DCF Model'!C19+0)+'DCF Model'!D45/(1+$B19)^('DCF Model'!C19+1)+'DCF Model'!E45/(1+$B19)^('DCF Model'!C19+2)+'DCF Model'!F45/(1+$B19)^('DCF Model'!C19+3)+'DCF Model'!G45/(1+$B19)^('DCF Model'!C19+4)+('DCF Model'!G39+'DCF Model'!G42)*E$17/(1+$B19)^('DCF Model'!C19+4)-'DCF Model'!C16)*1000000/'DCF Model'!C15,0),"")</f>
        <v>3166</v>
      </c>
      <c r="F19" s="37">
        <f>IFERROR(ROUND(('DCF Model'!C45/(1+$B19)^('DCF Model'!C19+0)+'DCF Model'!D45/(1+$B19)^('DCF Model'!C19+1)+'DCF Model'!E45/(1+$B19)^('DCF Model'!C19+2)+'DCF Model'!F45/(1+$B19)^('DCF Model'!C19+3)+'DCF Model'!G45/(1+$B19)^('DCF Model'!C19+4)+('DCF Model'!G39+'DCF Model'!G42)*F$17/(1+$B19)^('DCF Model'!C19+4)-'DCF Model'!C16)*1000000/'DCF Model'!C15,0),"")</f>
        <v>3414</v>
      </c>
      <c r="G19" s="37">
        <f>IFERROR(ROUND(('DCF Model'!C45/(1+$B19)^('DCF Model'!C19+0)+'DCF Model'!D45/(1+$B19)^('DCF Model'!C19+1)+'DCF Model'!E45/(1+$B19)^('DCF Model'!C19+2)+'DCF Model'!F45/(1+$B19)^('DCF Model'!C19+3)+'DCF Model'!G45/(1+$B19)^('DCF Model'!C19+4)+('DCF Model'!G39+'DCF Model'!G42)*G$17/(1+$B19)^('DCF Model'!C19+4)-'DCF Model'!C16)*1000000/'DCF Model'!C15,0),"")</f>
        <v>3661</v>
      </c>
      <c r="H19" s="37">
        <f>IFERROR(ROUND(('DCF Model'!C45/(1+$B19)^('DCF Model'!C19+0)+'DCF Model'!D45/(1+$B19)^('DCF Model'!C19+1)+'DCF Model'!E45/(1+$B19)^('DCF Model'!C19+2)+'DCF Model'!F45/(1+$B19)^('DCF Model'!C19+3)+'DCF Model'!G45/(1+$B19)^('DCF Model'!C19+4)+('DCF Model'!G39+'DCF Model'!G42)*H$17/(1+$B19)^('DCF Model'!C19+4)-'DCF Model'!C16)*1000000/'DCF Model'!C15,0),"")</f>
        <v>3909</v>
      </c>
      <c r="I19" s="37">
        <f>IFERROR(ROUND(('DCF Model'!C45/(1+$B19)^('DCF Model'!C19+0)+'DCF Model'!D45/(1+$B19)^('DCF Model'!C19+1)+'DCF Model'!E45/(1+$B19)^('DCF Model'!C19+2)+'DCF Model'!F45/(1+$B19)^('DCF Model'!C19+3)+'DCF Model'!G45/(1+$B19)^('DCF Model'!C19+4)+('DCF Model'!G39+'DCF Model'!G42)*I$17/(1+$B19)^('DCF Model'!C19+4)-'DCF Model'!C16)*1000000/'DCF Model'!C15,0),"")</f>
        <v>4157</v>
      </c>
    </row>
    <row r="20" spans="2:9" ht="13.5" customHeight="1" x14ac:dyDescent="0.25">
      <c r="B20" s="39">
        <f>$C$3-0.005</f>
        <v>6.968961866391829E-2</v>
      </c>
      <c r="C20" s="37">
        <f>IFERROR(ROUND(('DCF Model'!C45/(1+$B20)^('DCF Model'!C19+0)+'DCF Model'!D45/(1+$B20)^('DCF Model'!C19+1)+'DCF Model'!E45/(1+$B20)^('DCF Model'!C19+2)+'DCF Model'!F45/(1+$B20)^('DCF Model'!C19+3)+'DCF Model'!G45/(1+$B20)^('DCF Model'!C19+4)+('DCF Model'!G39+'DCF Model'!G42)*C$17/(1+$B20)^('DCF Model'!C19+4)-'DCF Model'!C16)*1000000/'DCF Model'!C15,0),"")</f>
        <v>2612</v>
      </c>
      <c r="D20" s="37">
        <f>IFERROR(ROUND(('DCF Model'!C45/(1+$B20)^('DCF Model'!C19+0)+'DCF Model'!D45/(1+$B20)^('DCF Model'!C19+1)+'DCF Model'!E45/(1+$B20)^('DCF Model'!C19+2)+'DCF Model'!F45/(1+$B20)^('DCF Model'!C19+3)+'DCF Model'!G45/(1+$B20)^('DCF Model'!C19+4)+('DCF Model'!G39+'DCF Model'!G42)*D$17/(1+$B20)^('DCF Model'!C19+4)-'DCF Model'!C16)*1000000/'DCF Model'!C15,0),"")</f>
        <v>2853</v>
      </c>
      <c r="E20" s="37">
        <f>IFERROR(ROUND(('DCF Model'!C45/(1+$B20)^('DCF Model'!C19+0)+'DCF Model'!D45/(1+$B20)^('DCF Model'!C19+1)+'DCF Model'!E45/(1+$B20)^('DCF Model'!C19+2)+'DCF Model'!F45/(1+$B20)^('DCF Model'!C19+3)+'DCF Model'!G45/(1+$B20)^('DCF Model'!C19+4)+('DCF Model'!G39+'DCF Model'!G42)*E$17/(1+$B20)^('DCF Model'!C19+4)-'DCF Model'!C16)*1000000/'DCF Model'!C15,0),"")</f>
        <v>3095</v>
      </c>
      <c r="F20" s="37">
        <f>IFERROR(ROUND(('DCF Model'!C45/(1+$B20)^('DCF Model'!C19+0)+'DCF Model'!D45/(1+$B20)^('DCF Model'!C19+1)+'DCF Model'!E45/(1+$B20)^('DCF Model'!C19+2)+'DCF Model'!F45/(1+$B20)^('DCF Model'!C19+3)+'DCF Model'!G45/(1+$B20)^('DCF Model'!C19+4)+('DCF Model'!G39+'DCF Model'!G42)*F$17/(1+$B20)^('DCF Model'!C19+4)-'DCF Model'!C16)*1000000/'DCF Model'!C15,0),"")</f>
        <v>3337</v>
      </c>
      <c r="G20" s="37">
        <f>IFERROR(ROUND(('DCF Model'!C45/(1+$B20)^('DCF Model'!C19+0)+'DCF Model'!D45/(1+$B20)^('DCF Model'!C19+1)+'DCF Model'!E45/(1+$B20)^('DCF Model'!C19+2)+'DCF Model'!F45/(1+$B20)^('DCF Model'!C19+3)+'DCF Model'!G45/(1+$B20)^('DCF Model'!C19+4)+('DCF Model'!G39+'DCF Model'!G42)*G$17/(1+$B20)^('DCF Model'!C19+4)-'DCF Model'!C16)*1000000/'DCF Model'!C15,0),"")</f>
        <v>3579</v>
      </c>
      <c r="H20" s="37">
        <f>IFERROR(ROUND(('DCF Model'!C45/(1+$B20)^('DCF Model'!C19+0)+'DCF Model'!D45/(1+$B20)^('DCF Model'!C19+1)+'DCF Model'!E45/(1+$B20)^('DCF Model'!C19+2)+'DCF Model'!F45/(1+$B20)^('DCF Model'!C19+3)+'DCF Model'!G45/(1+$B20)^('DCF Model'!C19+4)+('DCF Model'!G39+'DCF Model'!G42)*H$17/(1+$B20)^('DCF Model'!C19+4)-'DCF Model'!C16)*1000000/'DCF Model'!C15,0),"")</f>
        <v>3821</v>
      </c>
      <c r="I20" s="37">
        <f>IFERROR(ROUND(('DCF Model'!C45/(1+$B20)^('DCF Model'!C19+0)+'DCF Model'!D45/(1+$B20)^('DCF Model'!C19+1)+'DCF Model'!E45/(1+$B20)^('DCF Model'!C19+2)+'DCF Model'!F45/(1+$B20)^('DCF Model'!C19+3)+'DCF Model'!G45/(1+$B20)^('DCF Model'!C19+4)+('DCF Model'!G39+'DCF Model'!G42)*I$17/(1+$B20)^('DCF Model'!C19+4)-'DCF Model'!C16)*1000000/'DCF Model'!C15,0),"")</f>
        <v>4063</v>
      </c>
    </row>
    <row r="21" spans="2:9" ht="13.5" customHeight="1" x14ac:dyDescent="0.25">
      <c r="B21" s="39">
        <f>$C$3</f>
        <v>7.4689618663918295E-2</v>
      </c>
      <c r="C21" s="37">
        <f>IFERROR(ROUND(('DCF Model'!C45/(1+$B21)^('DCF Model'!C19+0)+'DCF Model'!D45/(1+$B21)^('DCF Model'!C19+1)+'DCF Model'!E45/(1+$B21)^('DCF Model'!C19+2)+'DCF Model'!F45/(1+$B21)^('DCF Model'!C19+3)+'DCF Model'!G45/(1+$B21)^('DCF Model'!C19+4)+('DCF Model'!G39+'DCF Model'!G42)*C$17/(1+$B21)^('DCF Model'!C19+4)-'DCF Model'!C16)*1000000/'DCF Model'!C15,0),"")</f>
        <v>2554</v>
      </c>
      <c r="D21" s="37">
        <f>IFERROR(ROUND(('DCF Model'!C45/(1+$B21)^('DCF Model'!C19+0)+'DCF Model'!D45/(1+$B21)^('DCF Model'!C19+1)+'DCF Model'!E45/(1+$B21)^('DCF Model'!C19+2)+'DCF Model'!F45/(1+$B21)^('DCF Model'!C19+3)+'DCF Model'!G45/(1+$B21)^('DCF Model'!C19+4)+('DCF Model'!G39+'DCF Model'!G42)*D$17/(1+$B21)^('DCF Model'!C19+4)-'DCF Model'!C16)*1000000/'DCF Model'!C15,0),"")</f>
        <v>2790</v>
      </c>
      <c r="E21" s="37">
        <f>IFERROR(ROUND(('DCF Model'!C45/(1+$B21)^('DCF Model'!C19+0)+'DCF Model'!D45/(1+$B21)^('DCF Model'!C19+1)+'DCF Model'!E45/(1+$B21)^('DCF Model'!C19+2)+'DCF Model'!F45/(1+$B21)^('DCF Model'!C19+3)+'DCF Model'!G45/(1+$B21)^('DCF Model'!C19+4)+('DCF Model'!G39+'DCF Model'!G42)*E$17/(1+$B21)^('DCF Model'!C19+4)-'DCF Model'!C16)*1000000/'DCF Model'!C15,0),"")</f>
        <v>3027</v>
      </c>
      <c r="F21" s="37">
        <f>IFERROR(ROUND(('DCF Model'!C45/(1+$B21)^('DCF Model'!C19+0)+'DCF Model'!D45/(1+$B21)^('DCF Model'!C19+1)+'DCF Model'!E45/(1+$B21)^('DCF Model'!C19+2)+'DCF Model'!F45/(1+$B21)^('DCF Model'!C19+3)+'DCF Model'!G45/(1+$B21)^('DCF Model'!C19+4)+('DCF Model'!G39+'DCF Model'!G42)*F$17/(1+$B21)^('DCF Model'!C19+4)-'DCF Model'!C16)*1000000/'DCF Model'!C15,0),"")</f>
        <v>3263</v>
      </c>
      <c r="G21" s="37">
        <f>IFERROR(ROUND(('DCF Model'!C45/(1+$B21)^('DCF Model'!C19+0)+'DCF Model'!D45/(1+$B21)^('DCF Model'!C19+1)+'DCF Model'!E45/(1+$B21)^('DCF Model'!C19+2)+'DCF Model'!F45/(1+$B21)^('DCF Model'!C19+3)+'DCF Model'!G45/(1+$B21)^('DCF Model'!C19+4)+('DCF Model'!G39+'DCF Model'!G42)*G$17/(1+$B21)^('DCF Model'!C19+4)-'DCF Model'!C16)*1000000/'DCF Model'!C15,0),"")</f>
        <v>3499</v>
      </c>
      <c r="H21" s="37">
        <f>IFERROR(ROUND(('DCF Model'!C45/(1+$B21)^('DCF Model'!C19+0)+'DCF Model'!D45/(1+$B21)^('DCF Model'!C19+1)+'DCF Model'!E45/(1+$B21)^('DCF Model'!C19+2)+'DCF Model'!F45/(1+$B21)^('DCF Model'!C19+3)+'DCF Model'!G45/(1+$B21)^('DCF Model'!C19+4)+('DCF Model'!G39+'DCF Model'!G42)*H$17/(1+$B21)^('DCF Model'!C19+4)-'DCF Model'!C16)*1000000/'DCF Model'!C15,0),"")</f>
        <v>3735</v>
      </c>
      <c r="I21" s="37">
        <f>IFERROR(ROUND(('DCF Model'!C45/(1+$B21)^('DCF Model'!C19+0)+'DCF Model'!D45/(1+$B21)^('DCF Model'!C19+1)+'DCF Model'!E45/(1+$B21)^('DCF Model'!C19+2)+'DCF Model'!F45/(1+$B21)^('DCF Model'!C19+3)+'DCF Model'!G45/(1+$B21)^('DCF Model'!C19+4)+('DCF Model'!G39+'DCF Model'!G42)*I$17/(1+$B21)^('DCF Model'!C19+4)-'DCF Model'!C16)*1000000/'DCF Model'!C15,0),"")</f>
        <v>3972</v>
      </c>
    </row>
    <row r="22" spans="2:9" ht="13.5" customHeight="1" x14ac:dyDescent="0.25">
      <c r="B22" s="39">
        <f>$C$3+0.005</f>
        <v>7.9689618663918299E-2</v>
      </c>
      <c r="C22" s="37">
        <f>IFERROR(ROUND(('DCF Model'!C45/(1+$B22)^('DCF Model'!C19+0)+'DCF Model'!D45/(1+$B22)^('DCF Model'!C19+1)+'DCF Model'!E45/(1+$B22)^('DCF Model'!C19+2)+'DCF Model'!F45/(1+$B22)^('DCF Model'!C19+3)+'DCF Model'!G45/(1+$B22)^('DCF Model'!C19+4)+('DCF Model'!G39+'DCF Model'!G42)*C$17/(1+$B22)^('DCF Model'!C19+4)-'DCF Model'!C16)*1000000/'DCF Model'!C15,0),"")</f>
        <v>2498</v>
      </c>
      <c r="D22" s="37">
        <f>IFERROR(ROUND(('DCF Model'!C45/(1+$B22)^('DCF Model'!C19+0)+'DCF Model'!D45/(1+$B22)^('DCF Model'!C19+1)+'DCF Model'!E45/(1+$B22)^('DCF Model'!C19+2)+'DCF Model'!F45/(1+$B22)^('DCF Model'!C19+3)+'DCF Model'!G45/(1+$B22)^('DCF Model'!C19+4)+('DCF Model'!G39+'DCF Model'!G42)*D$17/(1+$B22)^('DCF Model'!C19+4)-'DCF Model'!C16)*1000000/'DCF Model'!C15,0),"")</f>
        <v>2729</v>
      </c>
      <c r="E22" s="37">
        <f>IFERROR(ROUND(('DCF Model'!C45/(1+$B22)^('DCF Model'!C19+0)+'DCF Model'!D45/(1+$B22)^('DCF Model'!C19+1)+'DCF Model'!E45/(1+$B22)^('DCF Model'!C19+2)+'DCF Model'!F45/(1+$B22)^('DCF Model'!C19+3)+'DCF Model'!G45/(1+$B22)^('DCF Model'!C19+4)+('DCF Model'!G39+'DCF Model'!G42)*E$17/(1+$B22)^('DCF Model'!C19+4)-'DCF Model'!C16)*1000000/'DCF Model'!C15,0),"")</f>
        <v>2960</v>
      </c>
      <c r="F22" s="37">
        <f>IFERROR(ROUND(('DCF Model'!C45/(1+$B22)^('DCF Model'!C19+0)+'DCF Model'!D45/(1+$B22)^('DCF Model'!C19+1)+'DCF Model'!E45/(1+$B22)^('DCF Model'!C19+2)+'DCF Model'!F45/(1+$B22)^('DCF Model'!C19+3)+'DCF Model'!G45/(1+$B22)^('DCF Model'!C19+4)+('DCF Model'!G39+'DCF Model'!G42)*F$17/(1+$B22)^('DCF Model'!C19+4)-'DCF Model'!C16)*1000000/'DCF Model'!C15,0),"")</f>
        <v>3190</v>
      </c>
      <c r="G22" s="37">
        <f>IFERROR(ROUND(('DCF Model'!C45/(1+$B22)^('DCF Model'!C19+0)+'DCF Model'!D45/(1+$B22)^('DCF Model'!C19+1)+'DCF Model'!E45/(1+$B22)^('DCF Model'!C19+2)+'DCF Model'!F45/(1+$B22)^('DCF Model'!C19+3)+'DCF Model'!G45/(1+$B22)^('DCF Model'!C19+4)+('DCF Model'!G39+'DCF Model'!G42)*G$17/(1+$B22)^('DCF Model'!C19+4)-'DCF Model'!C16)*1000000/'DCF Model'!C15,0),"")</f>
        <v>3421</v>
      </c>
      <c r="H22" s="37">
        <f>IFERROR(ROUND(('DCF Model'!C45/(1+$B22)^('DCF Model'!C19+0)+'DCF Model'!D45/(1+$B22)^('DCF Model'!C19+1)+'DCF Model'!E45/(1+$B22)^('DCF Model'!C19+2)+'DCF Model'!F45/(1+$B22)^('DCF Model'!C19+3)+'DCF Model'!G45/(1+$B22)^('DCF Model'!C19+4)+('DCF Model'!G39+'DCF Model'!G42)*H$17/(1+$B22)^('DCF Model'!C19+4)-'DCF Model'!C16)*1000000/'DCF Model'!C15,0),"")</f>
        <v>3652</v>
      </c>
      <c r="I22" s="37">
        <f>IFERROR(ROUND(('DCF Model'!C45/(1+$B22)^('DCF Model'!C19+0)+'DCF Model'!D45/(1+$B22)^('DCF Model'!C19+1)+'DCF Model'!E45/(1+$B22)^('DCF Model'!C19+2)+'DCF Model'!F45/(1+$B22)^('DCF Model'!C19+3)+'DCF Model'!G45/(1+$B22)^('DCF Model'!C19+4)+('DCF Model'!G39+'DCF Model'!G42)*I$17/(1+$B22)^('DCF Model'!C19+4)-'DCF Model'!C16)*1000000/'DCF Model'!C15,0),"")</f>
        <v>3883</v>
      </c>
    </row>
    <row r="23" spans="2:9" ht="13.5" customHeight="1" x14ac:dyDescent="0.25">
      <c r="B23" s="39">
        <f>$C$3+0.01</f>
        <v>8.468961866391829E-2</v>
      </c>
      <c r="C23" s="37">
        <f>IFERROR(ROUND(('DCF Model'!C45/(1+$B23)^('DCF Model'!C19+0)+'DCF Model'!D45/(1+$B23)^('DCF Model'!C19+1)+'DCF Model'!E45/(1+$B23)^('DCF Model'!C19+2)+'DCF Model'!F45/(1+$B23)^('DCF Model'!C19+3)+'DCF Model'!G45/(1+$B23)^('DCF Model'!C19+4)+('DCF Model'!G39+'DCF Model'!G42)*C$17/(1+$B23)^('DCF Model'!C19+4)-'DCF Model'!C16)*1000000/'DCF Model'!C15,0),"")</f>
        <v>2443</v>
      </c>
      <c r="D23" s="37">
        <f>IFERROR(ROUND(('DCF Model'!C45/(1+$B23)^('DCF Model'!C19+0)+'DCF Model'!D45/(1+$B23)^('DCF Model'!C19+1)+'DCF Model'!E45/(1+$B23)^('DCF Model'!C19+2)+'DCF Model'!F45/(1+$B23)^('DCF Model'!C19+3)+'DCF Model'!G45/(1+$B23)^('DCF Model'!C19+4)+('DCF Model'!G39+'DCF Model'!G42)*D$17/(1+$B23)^('DCF Model'!C19+4)-'DCF Model'!C16)*1000000/'DCF Model'!C15,0),"")</f>
        <v>2669</v>
      </c>
      <c r="E23" s="37">
        <f>IFERROR(ROUND(('DCF Model'!C45/(1+$B23)^('DCF Model'!C19+0)+'DCF Model'!D45/(1+$B23)^('DCF Model'!C19+1)+'DCF Model'!E45/(1+$B23)^('DCF Model'!C19+2)+'DCF Model'!F45/(1+$B23)^('DCF Model'!C19+3)+'DCF Model'!G45/(1+$B23)^('DCF Model'!C19+4)+('DCF Model'!G39+'DCF Model'!G42)*E$17/(1+$B23)^('DCF Model'!C19+4)-'DCF Model'!C16)*1000000/'DCF Model'!C15,0),"")</f>
        <v>2894</v>
      </c>
      <c r="F23" s="37">
        <f>IFERROR(ROUND(('DCF Model'!C45/(1+$B23)^('DCF Model'!C19+0)+'DCF Model'!D45/(1+$B23)^('DCF Model'!C19+1)+'DCF Model'!E45/(1+$B23)^('DCF Model'!C19+2)+'DCF Model'!F45/(1+$B23)^('DCF Model'!C19+3)+'DCF Model'!G45/(1+$B23)^('DCF Model'!C19+4)+('DCF Model'!G39+'DCF Model'!G42)*F$17/(1+$B23)^('DCF Model'!C19+4)-'DCF Model'!C16)*1000000/'DCF Model'!C15,0),"")</f>
        <v>3120</v>
      </c>
      <c r="G23" s="37">
        <f>IFERROR(ROUND(('DCF Model'!C45/(1+$B23)^('DCF Model'!C19+0)+'DCF Model'!D45/(1+$B23)^('DCF Model'!C19+1)+'DCF Model'!E45/(1+$B23)^('DCF Model'!C19+2)+'DCF Model'!F45/(1+$B23)^('DCF Model'!C19+3)+'DCF Model'!G45/(1+$B23)^('DCF Model'!C19+4)+('DCF Model'!G39+'DCF Model'!G42)*G$17/(1+$B23)^('DCF Model'!C19+4)-'DCF Model'!C16)*1000000/'DCF Model'!C15,0),"")</f>
        <v>3346</v>
      </c>
      <c r="H23" s="37">
        <f>IFERROR(ROUND(('DCF Model'!C45/(1+$B23)^('DCF Model'!C19+0)+'DCF Model'!D45/(1+$B23)^('DCF Model'!C19+1)+'DCF Model'!E45/(1+$B23)^('DCF Model'!C19+2)+'DCF Model'!F45/(1+$B23)^('DCF Model'!C19+3)+'DCF Model'!G45/(1+$B23)^('DCF Model'!C19+4)+('DCF Model'!G39+'DCF Model'!G42)*H$17/(1+$B23)^('DCF Model'!C19+4)-'DCF Model'!C16)*1000000/'DCF Model'!C15,0),"")</f>
        <v>3571</v>
      </c>
      <c r="I23" s="37">
        <f>IFERROR(ROUND(('DCF Model'!C45/(1+$B23)^('DCF Model'!C19+0)+'DCF Model'!D45/(1+$B23)^('DCF Model'!C19+1)+'DCF Model'!E45/(1+$B23)^('DCF Model'!C19+2)+'DCF Model'!F45/(1+$B23)^('DCF Model'!C19+3)+'DCF Model'!G45/(1+$B23)^('DCF Model'!C19+4)+('DCF Model'!G39+'DCF Model'!G42)*I$17/(1+$B23)^('DCF Model'!C19+4)-'DCF Model'!C16)*1000000/'DCF Model'!C15,0),"")</f>
        <v>3797</v>
      </c>
    </row>
    <row r="24" spans="2:9" ht="13.5" customHeight="1" x14ac:dyDescent="0.25">
      <c r="B24" s="39">
        <f>$C$3+0.015</f>
        <v>8.9689618663918294E-2</v>
      </c>
      <c r="C24" s="37">
        <f>IFERROR(ROUND(('DCF Model'!C45/(1+$B24)^('DCF Model'!C19+0)+'DCF Model'!D45/(1+$B24)^('DCF Model'!C19+1)+'DCF Model'!E45/(1+$B24)^('DCF Model'!C19+2)+'DCF Model'!F45/(1+$B24)^('DCF Model'!C19+3)+'DCF Model'!G45/(1+$B24)^('DCF Model'!C19+4)+('DCF Model'!G39+'DCF Model'!G42)*C$17/(1+$B24)^('DCF Model'!C19+4)-'DCF Model'!C16)*1000000/'DCF Model'!C15,0),"")</f>
        <v>2390</v>
      </c>
      <c r="D24" s="37">
        <f>IFERROR(ROUND(('DCF Model'!C45/(1+$B24)^('DCF Model'!C19+0)+'DCF Model'!D45/(1+$B24)^('DCF Model'!C19+1)+'DCF Model'!E45/(1+$B24)^('DCF Model'!C19+2)+'DCF Model'!F45/(1+$B24)^('DCF Model'!C19+3)+'DCF Model'!G45/(1+$B24)^('DCF Model'!C19+4)+('DCF Model'!G39+'DCF Model'!G42)*D$17/(1+$B24)^('DCF Model'!C19+4)-'DCF Model'!C16)*1000000/'DCF Model'!C15,0),"")</f>
        <v>2610</v>
      </c>
      <c r="E24" s="37">
        <f>IFERROR(ROUND(('DCF Model'!C45/(1+$B24)^('DCF Model'!C19+0)+'DCF Model'!D45/(1+$B24)^('DCF Model'!C19+1)+'DCF Model'!E45/(1+$B24)^('DCF Model'!C19+2)+'DCF Model'!F45/(1+$B24)^('DCF Model'!C19+3)+'DCF Model'!G45/(1+$B24)^('DCF Model'!C19+4)+('DCF Model'!G39+'DCF Model'!G42)*E$17/(1+$B24)^('DCF Model'!C19+4)-'DCF Model'!C16)*1000000/'DCF Model'!C15,0),"")</f>
        <v>2831</v>
      </c>
      <c r="F24" s="37">
        <f>IFERROR(ROUND(('DCF Model'!C45/(1+$B24)^('DCF Model'!C19+0)+'DCF Model'!D45/(1+$B24)^('DCF Model'!C19+1)+'DCF Model'!E45/(1+$B24)^('DCF Model'!C19+2)+'DCF Model'!F45/(1+$B24)^('DCF Model'!C19+3)+'DCF Model'!G45/(1+$B24)^('DCF Model'!C19+4)+('DCF Model'!G39+'DCF Model'!G42)*F$17/(1+$B24)^('DCF Model'!C19+4)-'DCF Model'!C16)*1000000/'DCF Model'!C15,0),"")</f>
        <v>3051</v>
      </c>
      <c r="G24" s="37">
        <f>IFERROR(ROUND(('DCF Model'!C45/(1+$B24)^('DCF Model'!C19+0)+'DCF Model'!D45/(1+$B24)^('DCF Model'!C19+1)+'DCF Model'!E45/(1+$B24)^('DCF Model'!C19+2)+'DCF Model'!F45/(1+$B24)^('DCF Model'!C19+3)+'DCF Model'!G45/(1+$B24)^('DCF Model'!C19+4)+('DCF Model'!G39+'DCF Model'!G42)*G$17/(1+$B24)^('DCF Model'!C19+4)-'DCF Model'!C16)*1000000/'DCF Model'!C15,0),"")</f>
        <v>3272</v>
      </c>
      <c r="H24" s="37">
        <f>IFERROR(ROUND(('DCF Model'!C45/(1+$B24)^('DCF Model'!C19+0)+'DCF Model'!D45/(1+$B24)^('DCF Model'!C19+1)+'DCF Model'!E45/(1+$B24)^('DCF Model'!C19+2)+'DCF Model'!F45/(1+$B24)^('DCF Model'!C19+3)+'DCF Model'!G45/(1+$B24)^('DCF Model'!C19+4)+('DCF Model'!G39+'DCF Model'!G42)*H$17/(1+$B24)^('DCF Model'!C19+4)-'DCF Model'!C16)*1000000/'DCF Model'!C15,0),"")</f>
        <v>3492</v>
      </c>
      <c r="I24" s="37">
        <f>IFERROR(ROUND(('DCF Model'!C45/(1+$B24)^('DCF Model'!C19+0)+'DCF Model'!D45/(1+$B24)^('DCF Model'!C19+1)+'DCF Model'!E45/(1+$B24)^('DCF Model'!C19+2)+'DCF Model'!F45/(1+$B24)^('DCF Model'!C19+3)+'DCF Model'!G45/(1+$B24)^('DCF Model'!C19+4)+('DCF Model'!G39+'DCF Model'!G42)*I$17/(1+$B24)^('DCF Model'!C19+4)-'DCF Model'!C16)*1000000/'DCF Model'!C15,0),"")</f>
        <v>3713</v>
      </c>
    </row>
    <row r="26" spans="2:9" ht="14" customHeight="1" x14ac:dyDescent="0.3">
      <c r="B26" s="47" t="s">
        <v>237</v>
      </c>
      <c r="C26" s="46"/>
      <c r="D26" s="46"/>
      <c r="E26" s="46"/>
      <c r="F26" s="46"/>
      <c r="G26" s="46"/>
      <c r="H26" s="46"/>
      <c r="I26" s="46"/>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7"/>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s="44" t="s">
        <v>245</v>
      </c>
      <c r="C6" s="4" t="s">
        <v>250</v>
      </c>
      <c r="D6" s="44" t="s">
        <v>251</v>
      </c>
      <c r="E6" s="44" t="s">
        <v>252</v>
      </c>
      <c r="F6" s="44" t="s">
        <v>253</v>
      </c>
      <c r="G6" s="44" t="s">
        <v>254</v>
      </c>
    </row>
    <row r="7" spans="2:7" ht="30" customHeight="1" x14ac:dyDescent="0.3">
      <c r="B7" s="44" t="s">
        <v>245</v>
      </c>
      <c r="C7" s="4" t="s">
        <v>255</v>
      </c>
      <c r="D7" s="44" t="s">
        <v>256</v>
      </c>
      <c r="E7" s="44" t="s">
        <v>257</v>
      </c>
      <c r="F7" s="44" t="s">
        <v>258</v>
      </c>
      <c r="G7" s="44" t="s">
        <v>259</v>
      </c>
    </row>
    <row r="8" spans="2:7" ht="30" customHeight="1" x14ac:dyDescent="0.3">
      <c r="B8" s="44" t="s">
        <v>245</v>
      </c>
      <c r="C8" s="4" t="s">
        <v>260</v>
      </c>
      <c r="D8" s="44" t="s">
        <v>261</v>
      </c>
      <c r="E8" s="44" t="s">
        <v>262</v>
      </c>
      <c r="F8" s="44" t="s">
        <v>263</v>
      </c>
      <c r="G8" s="44" t="s">
        <v>259</v>
      </c>
    </row>
    <row r="9" spans="2:7" ht="30" customHeight="1" x14ac:dyDescent="0.3">
      <c r="B9" s="44" t="s">
        <v>245</v>
      </c>
      <c r="C9" s="4" t="s">
        <v>264</v>
      </c>
      <c r="D9" s="44" t="s">
        <v>265</v>
      </c>
      <c r="E9" s="44" t="s">
        <v>266</v>
      </c>
      <c r="F9" s="44" t="s">
        <v>267</v>
      </c>
      <c r="G9" s="44" t="s">
        <v>259</v>
      </c>
    </row>
    <row r="10" spans="2:7" ht="30" customHeight="1" x14ac:dyDescent="0.3">
      <c r="B10" s="44" t="s">
        <v>245</v>
      </c>
      <c r="C10" s="4" t="s">
        <v>268</v>
      </c>
      <c r="D10" s="44" t="s">
        <v>269</v>
      </c>
      <c r="E10" s="44" t="s">
        <v>270</v>
      </c>
      <c r="F10" s="44" t="s">
        <v>271</v>
      </c>
      <c r="G10" s="44" t="s">
        <v>272</v>
      </c>
    </row>
    <row r="11" spans="2:7" ht="30" customHeight="1" x14ac:dyDescent="0.3">
      <c r="B11" s="44" t="s">
        <v>245</v>
      </c>
      <c r="C11" s="4" t="s">
        <v>273</v>
      </c>
      <c r="D11" s="44" t="s">
        <v>274</v>
      </c>
      <c r="E11" s="44" t="s">
        <v>275</v>
      </c>
      <c r="F11" s="44" t="s">
        <v>276</v>
      </c>
      <c r="G11" s="44" t="s">
        <v>277</v>
      </c>
    </row>
    <row r="12" spans="2:7" ht="30" customHeight="1" x14ac:dyDescent="0.3">
      <c r="B12" s="44" t="s">
        <v>245</v>
      </c>
      <c r="C12" s="4" t="s">
        <v>278</v>
      </c>
      <c r="D12" s="44" t="s">
        <v>279</v>
      </c>
      <c r="E12" s="44" t="s">
        <v>280</v>
      </c>
      <c r="F12" s="44" t="s">
        <v>281</v>
      </c>
      <c r="G12" s="44" t="s">
        <v>259</v>
      </c>
    </row>
    <row r="13" spans="2:7" ht="30" customHeight="1" x14ac:dyDescent="0.3">
      <c r="B13" s="44" t="s">
        <v>245</v>
      </c>
      <c r="C13" s="4" t="s">
        <v>282</v>
      </c>
      <c r="D13" s="44" t="s">
        <v>283</v>
      </c>
      <c r="E13" s="44" t="s">
        <v>284</v>
      </c>
      <c r="F13" s="44" t="s">
        <v>285</v>
      </c>
      <c r="G13" s="44" t="s">
        <v>259</v>
      </c>
    </row>
    <row r="14" spans="2:7" ht="30" customHeight="1" x14ac:dyDescent="0.3">
      <c r="B14" s="44" t="s">
        <v>245</v>
      </c>
      <c r="C14" s="4" t="s">
        <v>286</v>
      </c>
      <c r="D14" s="44" t="s">
        <v>287</v>
      </c>
      <c r="E14" s="44" t="s">
        <v>288</v>
      </c>
      <c r="F14" s="44" t="s">
        <v>246</v>
      </c>
      <c r="G14" s="44" t="s">
        <v>259</v>
      </c>
    </row>
    <row r="15" spans="2:7" ht="30" customHeight="1" x14ac:dyDescent="0.3">
      <c r="B15" s="44" t="s">
        <v>245</v>
      </c>
      <c r="C15" s="4" t="s">
        <v>289</v>
      </c>
      <c r="D15" s="44" t="s">
        <v>290</v>
      </c>
      <c r="E15" s="44" t="s">
        <v>291</v>
      </c>
      <c r="F15" s="44" t="s">
        <v>292</v>
      </c>
      <c r="G15" s="44" t="s">
        <v>259</v>
      </c>
    </row>
    <row r="16" spans="2:7" ht="30" customHeight="1" x14ac:dyDescent="0.3">
      <c r="B16" s="44" t="s">
        <v>245</v>
      </c>
      <c r="C16" s="4" t="s">
        <v>293</v>
      </c>
      <c r="D16" s="44" t="s">
        <v>294</v>
      </c>
      <c r="E16" s="44" t="s">
        <v>295</v>
      </c>
      <c r="F16" s="44" t="s">
        <v>296</v>
      </c>
      <c r="G16" s="44" t="s">
        <v>259</v>
      </c>
    </row>
    <row r="17" spans="2:7" ht="30" customHeight="1" x14ac:dyDescent="0.3">
      <c r="B17" s="44" t="s">
        <v>245</v>
      </c>
      <c r="C17" s="4" t="s">
        <v>297</v>
      </c>
      <c r="D17" s="44" t="s">
        <v>298</v>
      </c>
      <c r="E17" s="44" t="s">
        <v>299</v>
      </c>
      <c r="F17" s="44" t="s">
        <v>263</v>
      </c>
      <c r="G17" s="44" t="s">
        <v>259</v>
      </c>
    </row>
    <row r="18" spans="2:7" ht="30" customHeight="1" x14ac:dyDescent="0.3">
      <c r="B18" s="44" t="s">
        <v>245</v>
      </c>
      <c r="C18" s="4" t="s">
        <v>300</v>
      </c>
      <c r="D18" s="44" t="s">
        <v>301</v>
      </c>
      <c r="E18" s="44" t="s">
        <v>302</v>
      </c>
      <c r="F18" s="44" t="s">
        <v>303</v>
      </c>
      <c r="G18" s="44" t="s">
        <v>259</v>
      </c>
    </row>
    <row r="19" spans="2:7" ht="30" customHeight="1" x14ac:dyDescent="0.3">
      <c r="B19" s="44" t="s">
        <v>245</v>
      </c>
      <c r="C19" s="4" t="s">
        <v>304</v>
      </c>
      <c r="D19" s="44" t="s">
        <v>305</v>
      </c>
      <c r="E19" s="44" t="s">
        <v>306</v>
      </c>
      <c r="F19" s="44" t="s">
        <v>246</v>
      </c>
      <c r="G19" s="44" t="s">
        <v>307</v>
      </c>
    </row>
    <row r="20" spans="2:7" ht="30" customHeight="1" x14ac:dyDescent="0.3">
      <c r="B20" s="44" t="s">
        <v>245</v>
      </c>
      <c r="C20" s="4" t="s">
        <v>308</v>
      </c>
      <c r="D20" s="44" t="s">
        <v>309</v>
      </c>
      <c r="E20" s="44" t="s">
        <v>310</v>
      </c>
      <c r="F20" s="44" t="s">
        <v>263</v>
      </c>
      <c r="G20" s="44" t="s">
        <v>259</v>
      </c>
    </row>
    <row r="21" spans="2:7" ht="30" customHeight="1" x14ac:dyDescent="0.3">
      <c r="B21" s="44" t="s">
        <v>245</v>
      </c>
      <c r="C21" s="4" t="s">
        <v>311</v>
      </c>
      <c r="D21" s="44" t="s">
        <v>312</v>
      </c>
      <c r="E21" s="44" t="s">
        <v>313</v>
      </c>
      <c r="F21" s="44" t="s">
        <v>246</v>
      </c>
      <c r="G21" s="44" t="s">
        <v>259</v>
      </c>
    </row>
    <row r="22" spans="2:7" ht="30" customHeight="1" x14ac:dyDescent="0.3">
      <c r="B22" s="44" t="s">
        <v>245</v>
      </c>
      <c r="C22" s="4" t="s">
        <v>314</v>
      </c>
      <c r="D22" s="44" t="s">
        <v>315</v>
      </c>
      <c r="E22" s="44" t="s">
        <v>316</v>
      </c>
      <c r="F22" s="44" t="s">
        <v>246</v>
      </c>
      <c r="G22" s="44" t="s">
        <v>254</v>
      </c>
    </row>
    <row r="23" spans="2:7" ht="30" customHeight="1" x14ac:dyDescent="0.3">
      <c r="B23" s="44" t="s">
        <v>245</v>
      </c>
      <c r="C23" s="4" t="s">
        <v>317</v>
      </c>
      <c r="D23" s="44" t="s">
        <v>318</v>
      </c>
      <c r="E23" s="44" t="s">
        <v>319</v>
      </c>
      <c r="F23" s="44" t="s">
        <v>246</v>
      </c>
      <c r="G23" s="44" t="s">
        <v>320</v>
      </c>
    </row>
    <row r="24" spans="2:7" ht="30" customHeight="1" x14ac:dyDescent="0.3">
      <c r="B24" s="44" t="s">
        <v>245</v>
      </c>
      <c r="C24" s="4" t="s">
        <v>321</v>
      </c>
      <c r="D24" s="44" t="s">
        <v>322</v>
      </c>
      <c r="E24" s="44" t="s">
        <v>323</v>
      </c>
      <c r="F24" s="44" t="s">
        <v>246</v>
      </c>
      <c r="G24" s="44" t="s">
        <v>324</v>
      </c>
    </row>
    <row r="25" spans="2:7" ht="30" customHeight="1" x14ac:dyDescent="0.3">
      <c r="B25" s="44" t="s">
        <v>245</v>
      </c>
      <c r="C25" s="4" t="s">
        <v>321</v>
      </c>
      <c r="D25" s="44" t="s">
        <v>325</v>
      </c>
      <c r="E25" s="44" t="s">
        <v>326</v>
      </c>
      <c r="F25" s="44" t="s">
        <v>246</v>
      </c>
      <c r="G25" s="44" t="s">
        <v>324</v>
      </c>
    </row>
    <row r="26" spans="2:7" ht="30" customHeight="1" x14ac:dyDescent="0.3">
      <c r="B26" s="44" t="s">
        <v>245</v>
      </c>
      <c r="C26" s="4" t="s">
        <v>321</v>
      </c>
      <c r="D26" s="44" t="s">
        <v>327</v>
      </c>
      <c r="E26" s="44" t="s">
        <v>328</v>
      </c>
      <c r="F26" s="44" t="s">
        <v>246</v>
      </c>
      <c r="G26" s="44" t="s">
        <v>324</v>
      </c>
    </row>
    <row r="27" spans="2:7" ht="30" customHeight="1" x14ac:dyDescent="0.3">
      <c r="B27" s="44" t="s">
        <v>245</v>
      </c>
      <c r="C27" s="4" t="s">
        <v>321</v>
      </c>
      <c r="D27" s="44" t="s">
        <v>329</v>
      </c>
      <c r="E27" s="44" t="s">
        <v>330</v>
      </c>
      <c r="F27" s="44" t="s">
        <v>246</v>
      </c>
      <c r="G27" s="44" t="s">
        <v>324</v>
      </c>
    </row>
    <row r="28" spans="2:7" ht="14" customHeight="1" x14ac:dyDescent="0.2"/>
    <row r="29" spans="2:7" ht="14" customHeight="1" x14ac:dyDescent="0.3">
      <c r="B29" s="8" t="s">
        <v>331</v>
      </c>
    </row>
    <row r="30" spans="2:7" ht="14" customHeight="1" x14ac:dyDescent="0.3">
      <c r="B30" s="10" t="s">
        <v>332</v>
      </c>
      <c r="C30" s="10" t="s">
        <v>333</v>
      </c>
    </row>
    <row r="31" spans="2:7" ht="14" customHeight="1" x14ac:dyDescent="0.3">
      <c r="B31" s="4" t="s">
        <v>334</v>
      </c>
      <c r="C31" t="s">
        <v>335</v>
      </c>
    </row>
    <row r="32" spans="2:7" ht="14" customHeight="1" x14ac:dyDescent="0.3">
      <c r="B32" s="4" t="s">
        <v>336</v>
      </c>
      <c r="C32" t="s">
        <v>337</v>
      </c>
    </row>
    <row r="33" spans="2:3" ht="14" customHeight="1" x14ac:dyDescent="0.3">
      <c r="B33" s="4" t="s">
        <v>338</v>
      </c>
      <c r="C33" t="s">
        <v>339</v>
      </c>
    </row>
    <row r="34" spans="2:3" ht="14" customHeight="1" x14ac:dyDescent="0.3">
      <c r="B34" s="4" t="s">
        <v>340</v>
      </c>
      <c r="C34" t="s">
        <v>341</v>
      </c>
    </row>
    <row r="35" spans="2:3" ht="14" customHeight="1" x14ac:dyDescent="0.3">
      <c r="B35" s="4" t="s">
        <v>342</v>
      </c>
      <c r="C35" t="s">
        <v>4</v>
      </c>
    </row>
    <row r="36" spans="2:3" ht="14" customHeight="1" x14ac:dyDescent="0.3">
      <c r="B36" s="4" t="s">
        <v>343</v>
      </c>
      <c r="C36" t="s">
        <v>245</v>
      </c>
    </row>
    <row r="37" spans="2:3" ht="14" customHeight="1" x14ac:dyDescent="0.3">
      <c r="B37" s="4" t="s">
        <v>344</v>
      </c>
      <c r="C37" t="s">
        <v>345</v>
      </c>
    </row>
    <row r="38" spans="2:3" ht="14" customHeight="1" x14ac:dyDescent="0.3">
      <c r="B38" s="4" t="s">
        <v>346</v>
      </c>
      <c r="C38" t="s">
        <v>347</v>
      </c>
    </row>
    <row r="39" spans="2:3" ht="14" customHeight="1" x14ac:dyDescent="0.3">
      <c r="B39" s="4" t="s">
        <v>348</v>
      </c>
      <c r="C39" t="s">
        <v>349</v>
      </c>
    </row>
    <row r="40" spans="2:3" ht="14" customHeight="1" x14ac:dyDescent="0.3">
      <c r="B40" s="4" t="s">
        <v>350</v>
      </c>
      <c r="C40" t="s">
        <v>351</v>
      </c>
    </row>
    <row r="41" spans="2:3" ht="14" customHeight="1" x14ac:dyDescent="0.3">
      <c r="B41" s="4" t="s">
        <v>352</v>
      </c>
      <c r="C41" t="s">
        <v>353</v>
      </c>
    </row>
    <row r="42" spans="2:3" ht="14" customHeight="1" x14ac:dyDescent="0.3">
      <c r="B42" s="4" t="s">
        <v>354</v>
      </c>
      <c r="C42" t="s">
        <v>349</v>
      </c>
    </row>
    <row r="43" spans="2:3" ht="14" customHeight="1" x14ac:dyDescent="0.3">
      <c r="B43" s="4" t="s">
        <v>355</v>
      </c>
      <c r="C43" t="s">
        <v>345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361</v>
      </c>
    </row>
    <row r="47" spans="2:3" ht="14" customHeight="1" x14ac:dyDescent="0.3">
      <c r="B47" s="4" t="s">
        <v>362</v>
      </c>
      <c r="C47" t="s">
        <v>363</v>
      </c>
    </row>
    <row r="48" spans="2:3" ht="14" customHeight="1" x14ac:dyDescent="0.3">
      <c r="B48" s="4" t="s">
        <v>364</v>
      </c>
      <c r="C48" t="s">
        <v>365</v>
      </c>
    </row>
    <row r="49" spans="2:3" ht="14" customHeight="1" x14ac:dyDescent="0.3">
      <c r="B49" s="4" t="s">
        <v>366</v>
      </c>
      <c r="C49" t="s">
        <v>367</v>
      </c>
    </row>
    <row r="50" spans="2:3" ht="14" customHeight="1" x14ac:dyDescent="0.3">
      <c r="B50" s="4" t="s">
        <v>368</v>
      </c>
      <c r="C50" t="s">
        <v>369</v>
      </c>
    </row>
    <row r="51" spans="2:3" ht="14" x14ac:dyDescent="0.3">
      <c r="B51" s="4" t="s">
        <v>370</v>
      </c>
      <c r="C51" t="s">
        <v>371</v>
      </c>
    </row>
    <row r="52" spans="2:3" ht="14" x14ac:dyDescent="0.3">
      <c r="B52" s="4" t="s">
        <v>372</v>
      </c>
      <c r="C52" t="s">
        <v>337</v>
      </c>
    </row>
    <row r="53" spans="2:3" ht="14" x14ac:dyDescent="0.3">
      <c r="B53" s="4" t="s">
        <v>373</v>
      </c>
      <c r="C53" t="s">
        <v>374</v>
      </c>
    </row>
    <row r="54" spans="2:3" ht="14" x14ac:dyDescent="0.3">
      <c r="B54" s="4" t="s">
        <v>375</v>
      </c>
      <c r="C54" t="s">
        <v>376</v>
      </c>
    </row>
    <row r="55" spans="2:3" ht="14" x14ac:dyDescent="0.3">
      <c r="B55" s="4" t="s">
        <v>377</v>
      </c>
      <c r="C55" t="s">
        <v>378</v>
      </c>
    </row>
    <row r="56" spans="2:3" ht="14" x14ac:dyDescent="0.3">
      <c r="B56" s="4" t="s">
        <v>379</v>
      </c>
      <c r="C56" t="s">
        <v>380</v>
      </c>
    </row>
    <row r="57" spans="2:3" ht="14" x14ac:dyDescent="0.3">
      <c r="B57" s="4" t="s">
        <v>381</v>
      </c>
      <c r="C57" t="s">
        <v>382</v>
      </c>
    </row>
    <row r="58" spans="2:3" ht="14" x14ac:dyDescent="0.3">
      <c r="B58" s="4" t="s">
        <v>383</v>
      </c>
      <c r="C58" t="s">
        <v>384</v>
      </c>
    </row>
    <row r="59" spans="2:3" ht="14" x14ac:dyDescent="0.3">
      <c r="B59" s="4" t="s">
        <v>385</v>
      </c>
      <c r="C59" t="s">
        <v>386</v>
      </c>
    </row>
    <row r="60" spans="2:3" ht="14" x14ac:dyDescent="0.3">
      <c r="B60" s="4" t="s">
        <v>387</v>
      </c>
      <c r="C60" t="s">
        <v>388</v>
      </c>
    </row>
    <row r="61" spans="2:3" ht="14" x14ac:dyDescent="0.3">
      <c r="B61" s="4" t="s">
        <v>389</v>
      </c>
      <c r="C61" t="s">
        <v>390</v>
      </c>
    </row>
    <row r="62" spans="2:3" ht="14" x14ac:dyDescent="0.3">
      <c r="B62" s="4" t="s">
        <v>391</v>
      </c>
      <c r="C62" t="s">
        <v>392</v>
      </c>
    </row>
    <row r="63" spans="2:3" ht="14" x14ac:dyDescent="0.3">
      <c r="B63" s="4" t="s">
        <v>393</v>
      </c>
      <c r="C63" t="s">
        <v>394</v>
      </c>
    </row>
    <row r="64" spans="2:3" ht="14" x14ac:dyDescent="0.3">
      <c r="B64" s="4" t="s">
        <v>395</v>
      </c>
      <c r="C64" t="s">
        <v>396</v>
      </c>
    </row>
    <row r="65" spans="2:3" ht="14" x14ac:dyDescent="0.3">
      <c r="B65" s="4" t="s">
        <v>397</v>
      </c>
      <c r="C65" t="s">
        <v>398</v>
      </c>
    </row>
    <row r="66" spans="2:3" ht="14" x14ac:dyDescent="0.3">
      <c r="B66" s="4" t="s">
        <v>399</v>
      </c>
      <c r="C66" t="s">
        <v>400</v>
      </c>
    </row>
    <row r="67" spans="2:3" ht="14" x14ac:dyDescent="0.3">
      <c r="B67" s="4" t="s">
        <v>401</v>
      </c>
      <c r="C67"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2026-09-05T06:34:15Z</dcterms:created>
  <dcterms:modified xsi:type="dcterms:W3CDTF">2026-09-05T06:40:29Z</dcterms:modified>
</cp:coreProperties>
</file>