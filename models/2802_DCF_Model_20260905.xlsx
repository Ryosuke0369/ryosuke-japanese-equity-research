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56730280-6670-4114-AE37-4A98CFAC0A18}"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F6" i="7" l="1"/>
  <c r="I3" i="7"/>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L6" i="6"/>
  <c r="K6" i="6"/>
  <c r="J6" i="6"/>
  <c r="D17" i="6" s="1"/>
  <c r="O5" i="6"/>
  <c r="N5" i="6"/>
  <c r="D5" i="6"/>
  <c r="E5" i="6" s="1"/>
  <c r="C16" i="5"/>
  <c r="C14" i="5"/>
  <c r="C18" i="5" s="1"/>
  <c r="C7" i="5"/>
  <c r="C6" i="5"/>
  <c r="C5" i="5"/>
  <c r="C13" i="4"/>
  <c r="C12" i="4"/>
  <c r="C9" i="4"/>
  <c r="C7" i="4"/>
  <c r="C6" i="4"/>
  <c r="C8" i="4" s="1"/>
  <c r="D27" i="3"/>
  <c r="G5" i="5" s="1"/>
  <c r="C25" i="3"/>
  <c r="C24" i="3"/>
  <c r="C23" i="3"/>
  <c r="C26" i="3" s="1"/>
  <c r="E23" i="2"/>
  <c r="D23" i="2"/>
  <c r="C23" i="2"/>
  <c r="E21" i="2"/>
  <c r="E22" i="2" s="1"/>
  <c r="F16" i="2"/>
  <c r="E16" i="2"/>
  <c r="D16" i="2"/>
  <c r="F15" i="2"/>
  <c r="E15" i="2"/>
  <c r="D15" i="2"/>
  <c r="F14" i="2"/>
  <c r="E14" i="2"/>
  <c r="D14" i="2"/>
  <c r="C14" i="2"/>
  <c r="F13" i="2"/>
  <c r="E13" i="2"/>
  <c r="D13" i="2"/>
  <c r="C13" i="2"/>
  <c r="F8" i="2"/>
  <c r="F9" i="2" s="1"/>
  <c r="E8" i="2"/>
  <c r="E9" i="2" s="1"/>
  <c r="D8" i="2"/>
  <c r="D9" i="2" s="1"/>
  <c r="C8" i="2"/>
  <c r="C9" i="2" s="1"/>
  <c r="B29" i="1"/>
  <c r="C10" i="4" l="1"/>
  <c r="C24" i="4" s="1"/>
  <c r="C25" i="4" s="1"/>
  <c r="G15" i="6"/>
  <c r="E15" i="6"/>
  <c r="G17" i="7"/>
  <c r="F15" i="6"/>
  <c r="H15" i="6"/>
  <c r="I16" i="6"/>
  <c r="C3" i="7"/>
  <c r="G36" i="4"/>
  <c r="C11" i="4"/>
  <c r="G46" i="3"/>
  <c r="F36" i="4"/>
  <c r="F46" i="3"/>
  <c r="E46" i="3"/>
  <c r="E36" i="4"/>
  <c r="D36" i="4"/>
  <c r="D46" i="3"/>
  <c r="C46" i="3"/>
  <c r="B31" i="1"/>
  <c r="H36" i="4"/>
  <c r="C71" i="4"/>
  <c r="J5" i="6"/>
  <c r="K5" i="6"/>
  <c r="C30" i="3"/>
  <c r="C33" i="3" s="1"/>
  <c r="F31" i="3"/>
  <c r="H5" i="5"/>
  <c r="D7" i="5"/>
  <c r="I15" i="6"/>
  <c r="E17" i="6"/>
  <c r="I6" i="7"/>
  <c r="D30" i="3"/>
  <c r="G31" i="3"/>
  <c r="E7" i="5"/>
  <c r="L5" i="6"/>
  <c r="D16" i="6"/>
  <c r="F17" i="6"/>
  <c r="C17" i="7"/>
  <c r="E30" i="3"/>
  <c r="C32" i="3"/>
  <c r="D6" i="5"/>
  <c r="F7" i="5"/>
  <c r="M5" i="6"/>
  <c r="E16" i="6"/>
  <c r="G17" i="6"/>
  <c r="C6" i="7"/>
  <c r="D17" i="7"/>
  <c r="F30" i="3"/>
  <c r="D32" i="3"/>
  <c r="E6" i="5"/>
  <c r="G7" i="5"/>
  <c r="D15" i="6"/>
  <c r="F16" i="6"/>
  <c r="C28" i="6" s="1"/>
  <c r="C19" i="1" s="1"/>
  <c r="D19" i="1" s="1"/>
  <c r="H17" i="6"/>
  <c r="D6" i="7"/>
  <c r="E17" i="7"/>
  <c r="G30" i="3"/>
  <c r="E32" i="3"/>
  <c r="D5" i="5"/>
  <c r="F6" i="5"/>
  <c r="H7" i="5"/>
  <c r="G16" i="6"/>
  <c r="I17" i="6"/>
  <c r="E6" i="7"/>
  <c r="F17" i="7"/>
  <c r="E5" i="5"/>
  <c r="G6" i="5"/>
  <c r="H16" i="6"/>
  <c r="C31" i="3"/>
  <c r="F32" i="3"/>
  <c r="D31" i="3"/>
  <c r="G32" i="3"/>
  <c r="F5" i="5"/>
  <c r="H6" i="5"/>
  <c r="G6" i="7"/>
  <c r="H17" i="7"/>
  <c r="E31" i="3"/>
  <c r="C70" i="4" l="1"/>
  <c r="C29" i="4"/>
  <c r="C27" i="4"/>
  <c r="C26" i="4"/>
  <c r="G46" i="4"/>
  <c r="G40" i="4"/>
  <c r="G50" i="4" s="1"/>
  <c r="G55" i="4" s="1"/>
  <c r="G44" i="4"/>
  <c r="G38" i="4"/>
  <c r="G48" i="4" s="1"/>
  <c r="G53" i="4" s="1"/>
  <c r="G41" i="4"/>
  <c r="G45" i="4"/>
  <c r="G39" i="4"/>
  <c r="G43" i="4"/>
  <c r="D45" i="4"/>
  <c r="D39" i="4"/>
  <c r="D49" i="4" s="1"/>
  <c r="D54" i="4" s="1"/>
  <c r="D43" i="4"/>
  <c r="D46" i="4"/>
  <c r="D40" i="4"/>
  <c r="D44" i="4"/>
  <c r="D38" i="4"/>
  <c r="D41" i="4"/>
  <c r="B13" i="7"/>
  <c r="B12" i="7"/>
  <c r="B11" i="7"/>
  <c r="B10" i="7"/>
  <c r="B9" i="7"/>
  <c r="B8" i="7"/>
  <c r="B7" i="7"/>
  <c r="B24" i="7"/>
  <c r="B23" i="7"/>
  <c r="B22" i="7"/>
  <c r="B21" i="7"/>
  <c r="B20" i="7"/>
  <c r="B19" i="7"/>
  <c r="B18" i="7"/>
  <c r="E39" i="4"/>
  <c r="E43" i="4"/>
  <c r="E46" i="4"/>
  <c r="E40" i="4"/>
  <c r="E50" i="4" s="1"/>
  <c r="E55" i="4" s="1"/>
  <c r="E44" i="4"/>
  <c r="E38" i="4"/>
  <c r="E48" i="4" s="1"/>
  <c r="E53" i="4" s="1"/>
  <c r="E41" i="4"/>
  <c r="E45" i="4"/>
  <c r="C27" i="6"/>
  <c r="C18" i="1" s="1"/>
  <c r="D18" i="1" s="1"/>
  <c r="C74" i="4"/>
  <c r="B30" i="1"/>
  <c r="B24" i="1"/>
  <c r="H40" i="4"/>
  <c r="H50" i="4" s="1"/>
  <c r="H55" i="4" s="1"/>
  <c r="H44" i="4"/>
  <c r="H38" i="4"/>
  <c r="H41" i="4"/>
  <c r="H45" i="4"/>
  <c r="H39" i="4"/>
  <c r="H43" i="4"/>
  <c r="H46" i="4"/>
  <c r="F43" i="4"/>
  <c r="F46" i="4"/>
  <c r="F40" i="4"/>
  <c r="F44" i="4"/>
  <c r="F38" i="4"/>
  <c r="F41" i="4"/>
  <c r="F45" i="4"/>
  <c r="F39" i="4"/>
  <c r="F49" i="4" s="1"/>
  <c r="D9" i="5"/>
  <c r="D12" i="5" s="1"/>
  <c r="C42" i="3"/>
  <c r="C34" i="3"/>
  <c r="D10" i="5" s="1"/>
  <c r="C37" i="3"/>
  <c r="D33" i="3"/>
  <c r="F50" i="4" l="1"/>
  <c r="F55" i="4" s="1"/>
  <c r="G51" i="4"/>
  <c r="G56" i="4" s="1"/>
  <c r="F51" i="4"/>
  <c r="F56" i="4" s="1"/>
  <c r="D51" i="4"/>
  <c r="D56" i="4" s="1"/>
  <c r="D15" i="5"/>
  <c r="D16" i="5" s="1"/>
  <c r="D13" i="5"/>
  <c r="D14" i="5" s="1"/>
  <c r="D18" i="5" s="1"/>
  <c r="D19" i="5" s="1"/>
  <c r="C44" i="3" s="1"/>
  <c r="H49" i="4"/>
  <c r="H54" i="4" s="1"/>
  <c r="C35" i="3"/>
  <c r="F54" i="4"/>
  <c r="B78" i="4" s="1"/>
  <c r="C60" i="4"/>
  <c r="E9" i="5"/>
  <c r="E12" i="5" s="1"/>
  <c r="D42" i="3"/>
  <c r="D34" i="3"/>
  <c r="E10" i="5" s="1"/>
  <c r="D37" i="3"/>
  <c r="D35" i="3"/>
  <c r="E33" i="3"/>
  <c r="F48" i="4"/>
  <c r="F53" i="4" s="1"/>
  <c r="E49" i="4"/>
  <c r="E54" i="4" s="1"/>
  <c r="D48" i="4"/>
  <c r="D53" i="4" s="1"/>
  <c r="H51" i="4"/>
  <c r="H56" i="4" s="1"/>
  <c r="G49" i="4"/>
  <c r="G54" i="4" s="1"/>
  <c r="H48" i="4"/>
  <c r="H53" i="4" s="1"/>
  <c r="E51" i="4"/>
  <c r="E56" i="4" s="1"/>
  <c r="D50" i="4"/>
  <c r="D55" i="4" s="1"/>
  <c r="F9" i="5" l="1"/>
  <c r="F12" i="5" s="1"/>
  <c r="E42" i="3"/>
  <c r="E34" i="3"/>
  <c r="F10" i="5" s="1"/>
  <c r="E37" i="3"/>
  <c r="F33" i="3"/>
  <c r="C36" i="3"/>
  <c r="C39" i="3"/>
  <c r="C38" i="3"/>
  <c r="D36" i="3"/>
  <c r="D39" i="3"/>
  <c r="D38" i="3"/>
  <c r="E13" i="5"/>
  <c r="E15" i="5"/>
  <c r="E16" i="5" s="1"/>
  <c r="E14" i="5"/>
  <c r="E18" i="5" s="1"/>
  <c r="E19" i="5" s="1"/>
  <c r="D44" i="3" s="1"/>
  <c r="C65" i="4"/>
  <c r="D65" i="4" s="1"/>
  <c r="C64" i="4"/>
  <c r="D64" i="4" s="1"/>
  <c r="C67" i="4"/>
  <c r="D67" i="4" s="1"/>
  <c r="C63" i="4"/>
  <c r="D63" i="4" s="1"/>
  <c r="C66" i="4"/>
  <c r="D66" i="4" s="1"/>
  <c r="C40" i="3" l="1"/>
  <c r="C41" i="3" s="1"/>
  <c r="C45" i="3" s="1"/>
  <c r="D40" i="3"/>
  <c r="D41" i="3" s="1"/>
  <c r="D45" i="3" s="1"/>
  <c r="D47" i="3" s="1"/>
  <c r="F13" i="5"/>
  <c r="F14" i="5" s="1"/>
  <c r="F15" i="5"/>
  <c r="F16" i="5" s="1"/>
  <c r="F42" i="3"/>
  <c r="F34" i="3"/>
  <c r="G10" i="5" s="1"/>
  <c r="F37" i="3"/>
  <c r="F35" i="3"/>
  <c r="G33" i="3"/>
  <c r="G9" i="5"/>
  <c r="G12" i="5" s="1"/>
  <c r="E35" i="3"/>
  <c r="F18" i="5" l="1"/>
  <c r="F19" i="5" s="1"/>
  <c r="E44" i="3" s="1"/>
  <c r="C47" i="3"/>
  <c r="F38" i="3"/>
  <c r="F36" i="3"/>
  <c r="F39" i="3"/>
  <c r="E39" i="3"/>
  <c r="E38" i="3"/>
  <c r="E36" i="3"/>
  <c r="G37" i="3"/>
  <c r="C16" i="4"/>
  <c r="C28" i="4" s="1"/>
  <c r="H9" i="5"/>
  <c r="H12" i="5" s="1"/>
  <c r="G42" i="3"/>
  <c r="G34" i="3"/>
  <c r="H10" i="5" s="1"/>
  <c r="G13" i="5"/>
  <c r="G14" i="5" s="1"/>
  <c r="G18" i="5" s="1"/>
  <c r="G19" i="5" s="1"/>
  <c r="F44" i="3" s="1"/>
  <c r="G15" i="5"/>
  <c r="G16" i="5" s="1"/>
  <c r="C72" i="4" l="1"/>
  <c r="C73" i="4"/>
  <c r="F40" i="3"/>
  <c r="F41" i="3"/>
  <c r="F45" i="3" s="1"/>
  <c r="F47" i="3" s="1"/>
  <c r="H15" i="5"/>
  <c r="H16" i="5" s="1"/>
  <c r="H13" i="5"/>
  <c r="H14" i="5" s="1"/>
  <c r="H18" i="5" s="1"/>
  <c r="H19" i="5" s="1"/>
  <c r="G44" i="3" s="1"/>
  <c r="G35" i="3"/>
  <c r="E40" i="3"/>
  <c r="E41" i="3" s="1"/>
  <c r="E45" i="3" s="1"/>
  <c r="E47" i="3" l="1"/>
  <c r="G38" i="3"/>
  <c r="G36" i="3"/>
  <c r="G39" i="3"/>
  <c r="G40" i="3" l="1"/>
  <c r="C59" i="3"/>
  <c r="C60" i="3" s="1"/>
  <c r="C61" i="3" s="1"/>
  <c r="G41" i="3"/>
  <c r="G45" i="3" s="1"/>
  <c r="C51" i="3" l="1"/>
  <c r="C52" i="3" s="1"/>
  <c r="G47" i="3"/>
  <c r="C50" i="3" s="1"/>
  <c r="H12" i="7"/>
  <c r="D22" i="7"/>
  <c r="H10" i="7"/>
  <c r="C23" i="7"/>
  <c r="G19" i="7"/>
  <c r="E22" i="7"/>
  <c r="F23" i="7"/>
  <c r="G13" i="7"/>
  <c r="I20" i="7"/>
  <c r="D8" i="7"/>
  <c r="G21" i="7"/>
  <c r="E8" i="7"/>
  <c r="C11" i="7"/>
  <c r="D23" i="7"/>
  <c r="G18" i="7"/>
  <c r="E13" i="7"/>
  <c r="D13" i="7"/>
  <c r="E9" i="7"/>
  <c r="C24" i="7"/>
  <c r="I18" i="7"/>
  <c r="I8" i="7"/>
  <c r="E12" i="7"/>
  <c r="E23" i="7"/>
  <c r="D9" i="7"/>
  <c r="D7" i="7"/>
  <c r="I12" i="7"/>
  <c r="C12" i="7"/>
  <c r="H20" i="7"/>
  <c r="F19" i="7"/>
  <c r="F21" i="7"/>
  <c r="I24" i="7"/>
  <c r="E19" i="7"/>
  <c r="F24" i="7"/>
  <c r="I9" i="7"/>
  <c r="F20" i="7"/>
  <c r="H22" i="7"/>
  <c r="C10" i="7"/>
  <c r="G8" i="7"/>
  <c r="H23" i="7"/>
  <c r="F7" i="7"/>
  <c r="C8" i="7"/>
  <c r="E11" i="7"/>
  <c r="F11" i="7"/>
  <c r="H8" i="7"/>
  <c r="D18" i="7"/>
  <c r="E18" i="7"/>
  <c r="G10" i="7"/>
  <c r="C20" i="7"/>
  <c r="E7" i="7"/>
  <c r="E21" i="7"/>
  <c r="H18" i="7"/>
  <c r="D24" i="7"/>
  <c r="G20" i="7"/>
  <c r="C21" i="7"/>
  <c r="I21" i="7"/>
  <c r="G24" i="7"/>
  <c r="H24" i="7"/>
  <c r="C18" i="7"/>
  <c r="I13" i="7"/>
  <c r="F10" i="7"/>
  <c r="I22" i="7"/>
  <c r="F13" i="7"/>
  <c r="C13" i="7"/>
  <c r="F8" i="7"/>
  <c r="D11" i="7"/>
  <c r="D10" i="7"/>
  <c r="I23" i="7"/>
  <c r="D21" i="7"/>
  <c r="H9" i="7"/>
  <c r="D19" i="7"/>
  <c r="I11" i="7"/>
  <c r="F12" i="7"/>
  <c r="H7" i="7"/>
  <c r="G12" i="7"/>
  <c r="C22" i="7"/>
  <c r="F18" i="7"/>
  <c r="C9" i="7"/>
  <c r="D20" i="7"/>
  <c r="H11" i="7"/>
  <c r="C19" i="7"/>
  <c r="H19" i="7"/>
  <c r="C7" i="7"/>
  <c r="G11" i="7"/>
  <c r="F22" i="7"/>
  <c r="G23" i="7"/>
  <c r="G22" i="7"/>
  <c r="I10" i="7"/>
  <c r="E24" i="7"/>
  <c r="I7" i="7"/>
  <c r="H21" i="7"/>
  <c r="G7" i="7"/>
  <c r="E10" i="7"/>
  <c r="H13" i="7"/>
  <c r="D12" i="7"/>
  <c r="G9" i="7"/>
  <c r="I19" i="7"/>
  <c r="E20" i="7"/>
  <c r="F9" i="7"/>
  <c r="C58" i="3" l="1"/>
  <c r="C62" i="3" s="1"/>
  <c r="C53" i="3"/>
  <c r="C17" i="4" l="1"/>
  <c r="C54" i="3"/>
  <c r="C55" i="3" s="1"/>
  <c r="C16" i="1" s="1"/>
  <c r="C63" i="3"/>
  <c r="C64" i="3" s="1"/>
  <c r="C17" i="1" s="1"/>
  <c r="D17" i="1" s="1"/>
  <c r="C10" i="1" l="1"/>
  <c r="D16" i="1"/>
  <c r="C21" i="1"/>
  <c r="C19" i="4"/>
  <c r="C20" i="4" s="1"/>
  <c r="B79" i="4"/>
  <c r="C12" i="1" l="1"/>
  <c r="C11" i="1" s="1"/>
  <c r="B26" i="1" l="1"/>
</calcChain>
</file>

<file path=xl/sharedStrings.xml><?xml version="1.0" encoding="utf-8"?>
<sst xmlns="http://schemas.openxmlformats.org/spreadsheetml/2006/main" count="550" uniqueCount="422">
  <si>
    <t>DISCLAIMER: This is a sample analysis for demonstration purposes only. It does not constitute investment advice.</t>
  </si>
  <si>
    <t>味の素 (2802.T)</t>
  </si>
  <si>
    <t>Equity Research Report</t>
  </si>
  <si>
    <t>Company</t>
  </si>
  <si>
    <t>味の素</t>
  </si>
  <si>
    <t>Ticker</t>
  </si>
  <si>
    <t>2802.T (TSE Prime)</t>
  </si>
  <si>
    <t>Sector</t>
  </si>
  <si>
    <t>食料品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</si>
  <si>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</si>
  <si>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</si>
  <si>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</si>
  <si>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</si>
  <si>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</si>
  <si>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</si>
  <si>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</si>
  <si>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</si>
  <si>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</si>
  <si>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</si>
  <si>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</si>
  <si>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</si>
  <si>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</si>
  <si>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</si>
  <si>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</si>
  <si>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Leverage is modest, so the equity story turns on margin durability rather than on the balance sheet; the discount rate blends a low-beta cost of equity with an actual, filing-derived cost of debt.</t>
  </si>
  <si>
    <t>Key Risks</t>
  </si>
  <si>
    <t>味の素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</si>
  <si>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</si>
  <si>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</si>
  <si>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</si>
  <si>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</si>
  <si>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</si>
  <si>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</si>
  <si>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</si>
  <si>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</si>
  <si>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</si>
  <si>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</si>
  <si>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</si>
  <si>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</si>
  <si>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</si>
  <si>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</si>
  <si>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</si>
  <si>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</si>
  <si>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</si>
  <si>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</si>
  <si>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</si>
  <si>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</si>
  <si>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</si>
  <si>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</si>
  <si>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</si>
  <si>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</si>
  <si>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</si>
  <si>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</si>
  <si>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</si>
  <si>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2/4, Cash 3/4, Debt 0/4 — blank cells are years with no year-key match in the source data (verify against 決算短信 or set hist_ocf / hist_cash / hist_debt in overrides).</t>
  </si>
  <si>
    <t>DCF Valuation Model - 味の素</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</si>
  <si>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</si>
  <si>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</si>
  <si>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</si>
  <si>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</si>
  <si>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</si>
  <si>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</si>
  <si>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</si>
  <si>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</si>
  <si>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</si>
  <si>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</si>
  <si>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</si>
  <si>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</si>
  <si>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</si>
  <si>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</si>
  <si>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</si>
  <si>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</si>
  <si>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</si>
  <si>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</si>
  <si>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</si>
  <si>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</si>
  <si>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</si>
  <si>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</si>
  <si>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</si>
  <si>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</si>
  <si>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</si>
  <si>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</si>
  <si>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</si>
  <si>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</si>
  <si>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</si>
  <si>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</si>
  <si>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</si>
  <si>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</si>
  <si>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</si>
  <si>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</si>
  <si>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</si>
  <si>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</si>
  <si>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</si>
  <si>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</si>
  <si>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</si>
  <si>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</si>
  <si>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</si>
  <si>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</si>
  <si>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</si>
  <si>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</si>
  <si>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</si>
  <si>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</si>
  <si>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</si>
  <si>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</si>
  <si>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</si>
  <si>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</si>
  <si>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</si>
  <si>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</si>
  <si>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</si>
  <si>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</si>
  <si>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</si>
  <si>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</si>
  <si>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</si>
  <si>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</si>
  <si>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</si>
  <si>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</si>
  <si>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</si>
  <si>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</si>
  <si>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</si>
  <si>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</si>
  <si>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味の素 (2802.T)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</si>
  <si>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</si>
  <si>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</si>
  <si>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</si>
  <si>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</si>
  <si>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</si>
  <si>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</si>
  <si>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</si>
  <si>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</si>
  <si>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</si>
  <si>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</si>
  <si>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</si>
  <si>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</si>
  <si>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</si>
  <si>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</si>
  <si>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</si>
  <si>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</si>
  <si>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</si>
  <si>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</si>
  <si>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</si>
  <si>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</si>
  <si>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</si>
  <si>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</si>
  <si>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</si>
  <si>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</si>
  <si>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</si>
  <si>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</si>
  <si>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</si>
  <si>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</si>
  <si>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</si>
  <si>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</si>
  <si>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</si>
  <si>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</si>
  <si>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</si>
  <si>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</si>
  <si>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</si>
  <si>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</si>
  <si>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</si>
  <si>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</si>
  <si>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</si>
  <si>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</si>
  <si>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</si>
  <si>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</si>
  <si>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</si>
  <si>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</si>
  <si>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</si>
  <si>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</si>
  <si>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</si>
  <si>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</si>
  <si>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</si>
  <si>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</si>
  <si>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</si>
  <si>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味の素</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</si>
  <si>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</si>
  <si>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</si>
  <si>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</si>
  <si>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</si>
  <si>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</si>
  <si>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</si>
  <si>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</si>
  <si>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</si>
  <si>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</si>
  <si>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</si>
  <si>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</si>
  <si>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</si>
  <si>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</si>
  <si>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</si>
  <si>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</si>
  <si>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</si>
  <si>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</si>
  <si>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</si>
  <si>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</si>
  <si>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</si>
  <si>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</si>
  <si>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</si>
  <si>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</si>
  <si>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</si>
  <si>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</si>
  <si>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</si>
  <si>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</si>
  <si>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</si>
  <si>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</si>
  <si>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</si>
  <si>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</si>
  <si>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</si>
  <si>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</si>
  <si>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</si>
  <si>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Ajinomoto Co., Inc.</t>
  </si>
  <si>
    <t>2802.T</t>
  </si>
  <si>
    <t>Asahi Group Holdings, Ltd.</t>
  </si>
  <si>
    <t>2502.T</t>
  </si>
  <si>
    <t>Kirin Holdings Company, Limited</t>
  </si>
  <si>
    <t>2503.T</t>
  </si>
  <si>
    <t>Kikkoman Corporation</t>
  </si>
  <si>
    <t>2801.T</t>
  </si>
  <si>
    <t>Nissin Foods Holdings Co.,Ltd.</t>
  </si>
  <si>
    <t>2897.T</t>
  </si>
  <si>
    <t>Meiji Holdings Co., Ltd.</t>
  </si>
  <si>
    <t>2269.T</t>
  </si>
  <si>
    <t>Statistics</t>
  </si>
  <si>
    <t>25th Percentile</t>
  </si>
  <si>
    <t>Median (50th)</t>
  </si>
  <si>
    <t>75th Percentile</t>
  </si>
  <si>
    <t>Implied Valuation for 味の素</t>
  </si>
  <si>
    <t>味の素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</si>
  <si>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</si>
  <si>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</si>
  <si>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</si>
  <si>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</si>
  <si>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</si>
  <si>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</si>
  <si>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</si>
  <si>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</si>
  <si>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</si>
  <si>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</si>
  <si>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</si>
  <si>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</si>
  <si>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</si>
  <si>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</si>
  <si>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</si>
  <si>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味の素</t>
  </si>
  <si>
    <t>日付</t>
  </si>
  <si>
    <t>セル</t>
  </si>
  <si>
    <t>変更内容</t>
  </si>
  <si>
    <t>理由</t>
  </si>
  <si>
    <t>元の値</t>
  </si>
  <si>
    <t>状態</t>
  </si>
  <si>
    <t>2026-09-05</t>
  </si>
  <si>
    <t>-</t>
  </si>
  <si>
    <t>Generated by pipeline on 2026-09-05 12:11, template rev c9b5dd9</t>
  </si>
  <si>
    <t>初期生成（手修正なし）</t>
  </si>
  <si>
    <t>generated</t>
  </si>
  <si>
    <t>DCF Model!C7</t>
  </si>
  <si>
    <t>Risk-Free Rate = 2.97%</t>
  </si>
  <si>
    <t>財務省 国債金利情報 jgbcm.csv 10年物 R8.9.3(2026-09-03) 2.966% を四捨五入。バッチ全銘柄共通の一次ソース。</t>
  </si>
  <si>
    <t>テンプレ既定 2.2%</t>
  </si>
  <si>
    <t>確定</t>
  </si>
  <si>
    <t>DCF Model!C9</t>
  </si>
  <si>
    <t>Equity Risk Premium = 6.5%</t>
  </si>
  <si>
    <t>バッチ共通の固定前提(§1-3)。</t>
  </si>
  <si>
    <t>テンプレ既定 6.5%(同値)</t>
  </si>
  <si>
    <t>設計判断</t>
  </si>
  <si>
    <t>DCF Model!C10</t>
  </si>
  <si>
    <t>Size Premium = 1.0%</t>
  </si>
  <si>
    <t>時価総額バンドの機械決定(&gt;3,000億円 -&gt; 1.0%)。当社時価総額 4,932,560百万円。テンプレ自動規則(&gt;=1兆円 -&gt; 0.0%)を明示指定で上書きしており、WACCを約0.94pt押し上げる。</t>
  </si>
  <si>
    <t>テンプレ自動値 0.0%</t>
  </si>
  <si>
    <t>DCF Model!C8</t>
  </si>
  <si>
    <t>Beta = 0.60</t>
  </si>
  <si>
    <t>yfinance実測は 0.372。テンプレは beta を [0.6, 1.75] にクランプし、範囲外は【無言で 1.0 に置換】する(生成ログ『Beta 0.372 outside [0.6, 1.5] range - using fallback 1.0』で確認)。サイレントフォールバック禁止の原則により、許容域の下限 0.60 を明示指定して当社の低ベータ性を保持した。0.372 をそのまま渡していれば beta 1.0 = Ke 10.47% となり WACC が約2.4pt高くなっていた。</t>
  </si>
  <si>
    <t>yfinance実測 0.372 / テンプレ置換値 1.0</t>
  </si>
  <si>
    <t>DCF Model!C6</t>
  </si>
  <si>
    <t>Effective Tax Rate = 25%</t>
  </si>
  <si>
    <t>バッチ共通の既定値(§1-3)。実績税負担率の個別検証はしていない。</t>
  </si>
  <si>
    <t>テンプレ既定 30%</t>
  </si>
  <si>
    <t>推定</t>
  </si>
  <si>
    <t>DCF Model!C11</t>
  </si>
  <si>
    <t>After-tax Cost of Debt = 2.11%(実績ベース)</t>
  </si>
  <si>
    <t>支払利息 12,318百万円 ÷ 平均有利子負債 ((455,353 + 421,355) / 2 = 438,354) = 2.81%(税引前)、× (1 − 25%) = 2.11%。テンプレ既定の推定値ではなく実績値に切り替えた(schema の interest_expense / debt_beginning / debt_ending 経路、validate チェック17 PASS)。■マージナルコスト注記: これは既存借入の平均コストであり新規調達の限界コストではない。■出所は yfinance の Interest Expense であり EDINET 有報の支払利息と突合していない。</t>
  </si>
  <si>
    <t>テンプレ既定(推定値)</t>
  </si>
  <si>
    <t>推定(出所が二次ソース・要確認)</t>
  </si>
  <si>
    <t>DCF Model!C13</t>
  </si>
  <si>
    <t>Terminal Growth = 1.0%</t>
  </si>
  <si>
    <t>テンプレ既定 2.0%</t>
  </si>
  <si>
    <t>DCF Model!C14</t>
  </si>
  <si>
    <t>Exit Multiple (EV/EBITDA) = 10.9x</t>
  </si>
  <si>
    <t>Peer 5社の実測EV/EBITDA中央値 10.92x(2502 11.13 / 2503 10.21 / 2801 15.63 / 2897 10.92 / 2269 8.35)。自社の現在倍率 18.89x は算式に入れていない(市場価格への循環参照回避)。結果として Exit 法は保守側に振れる。</t>
  </si>
  <si>
    <t>テンプレ既定 10.0x</t>
  </si>
  <si>
    <t>DCF Model!C15</t>
  </si>
  <si>
    <t>Fully Diluted Shares = 953,335,931株</t>
  </si>
  <si>
    <t>yfinance sharesOutstanding(自己株控除後)。検算: 時価総額 4,932,560百万円 ÷ 株価 5,174円 = 953,335,931 と整合。EDINET有報による『発行済株式総数 − 自己株式』の独立検算は未実施。</t>
  </si>
  <si>
    <t>要確認(EDINET側検算 未実施)</t>
  </si>
  <si>
    <t>DCF Model!C16</t>
  </si>
  <si>
    <t>Net Debt = 314,662百万円</t>
  </si>
  <si>
    <t>型A定義: 有利子負債 421,355 − 現金及び現金同等物 106,693 = 314,662(FY2026/3期末)。EDINET側は当社の有利子負債を1年も抽出できていない(Debt 0/9)ため、override で明示指定した。</t>
  </si>
  <si>
    <t>EDINET自動値(FY2025/3ベース 290,577)</t>
  </si>
  <si>
    <t>Financial Statements / hist_* 系列</t>
  </si>
  <si>
    <t>hist_years を FY2023-FY2026 の4期に置換し、hist_revenue / hist_operating_income / hist_net_income / hist_cogs / hist_sga / hist_capex / hist_depreciation を yfinance連結財務諸表から供給</t>
  </si>
  <si>
    <t>【EDINETデータの2重の欠陥に対する補完・§3-2】(1) 探索窓がFY2026/3有報を捕捉できず、取得できた最新本決算は FY2025/3(docID S100VXJA)止まり。(2) さらに FY2022-FY2024 の COGS が売上と同値・営業利益が 0 で抽出されており、初回生成で Financial Statements!D16:F16 が #DIV/0! となって validate FAIL(リトライ1回目で解消)。配列長は全て4で hist_years と一致(契約遵守)。OCF/現金/有利子負債は Step 4.6 が最終 hist_years に年度キーで再マッピングするため供給していない。■FY2022 を落としたのは、EDINET の COGS/営業利益が壊れており検証可能な代替値が無いため(推測で埋めない)。</t>
  </si>
  <si>
    <t>EDINET自動抽出値(FY2017-FY2025、うちCOGS/OPは3期分が破損)</t>
  </si>
  <si>
    <t>Financial Statements SGA行</t>
  </si>
  <si>
    <t>hist_sga = 売上 − COGS − 営業利益 で逆算(FY2023 325,786 / FY2024 369,495 / FY2025 443,108 / FY2026 405,848)</t>
  </si>
  <si>
    <t>yfinance の SG&amp;A 単独値(313,505 / 339,730 / 366,854 / 391,989)はその他営業収益費用を含まないため、そのまま入れると Financial Statements 上で 営業利益 = 売上 − COGS − SGA が成立しない。差額を SGA に寄せて恒等式を成立させた。■この結果 SGA行は『SGA + その他営業損益』の合計を表す。</t>
  </si>
  <si>
    <t>yfinance の SG&amp;A 単独値</t>
  </si>
  <si>
    <t>FY2026/3 実績の注入</t>
  </si>
  <si>
    <t>fundamentals_fy2026 = 売上 1,583,719 / 営業利益 191,301 / 純利益 134,675 / EBITDA 280,763 / 総資産 1,812,346 / 負債 968,071 / 純資産 844,275</t>
  </si>
  <si>
    <t>EDINET未掲載の最新本決算を schema の fundamentals_fy&lt;YYYY&gt; 経路で EDINET より優先注入。これにより base_year_revenue と C20 LTM がともに FY2026/3 実績 1,583,719百万円になった(注入前は FY2025/3 の 1,530,556、C20 は半期報告書由来の 1,525,187 だった)。</t>
  </si>
  <si>
    <t>EDINET自動値</t>
  </si>
  <si>
    <t>FY2026/3 D&amp;A</t>
  </si>
  <si>
    <t>D&amp;A = 89,462百万円(推定)</t>
  </si>
  <si>
    <t>yfinance は当社の FY2026/3 キャッシュフロー計算書をまだ収録しておらず、EDINET も当期の有報を未取得。FY2025実績 86,461 × (1 + 売上成長率 3.47%) = 89,462 として推定した。fundamentals_fy2026.ebitda 280,763 = 営業利益 191,301 + 同D&amp;A と整合させている。■core_ebitda(Exit法の基礎)に直接効くため、実績が判明したら差し替えること。</t>
  </si>
  <si>
    <t>推定(要確認)</t>
  </si>
  <si>
    <t>Financial Statements capex行 / 有利子負債行</t>
  </si>
  <si>
    <t>FY2026/3 の capex は空欄。有利子負債行は全期空欄</t>
  </si>
  <si>
    <t>capex: EDINET・yfinance のいずれからも FY2026/3 の設備投資額を取得できず、§7-2 に従い空欄+警告を受け入れた(推測で埋めない)。有利子負債: EDINET が当社の有利子負債を1年も抽出できず(Debt 0/9)、hist_debt を override すると年度突合の再マッピングと競合するため供給していない。net_debt(C16)は上記のとおり明示指定済みなのでバリュエーションには影響しない。</t>
  </si>
  <si>
    <t>未解決(表示上の欠落)</t>
  </si>
  <si>
    <t>DCF Model!C5 / C18</t>
  </si>
  <si>
    <t>capex_method=direct、da_method=revenue_pct(5.8%)</t>
  </si>
  <si>
    <t>capex は ABF・バイオファイン向け増強を織り込み [115,000 / 118,000 / 118,000 / 115,000 / 112,000]百万円。ターミナル年 112,000 ÷ D&amp;A(Y5売上 1,844,825 × 5.8% = 106,999) = 1.047x でレンジ[0.90,1.15]に収束(validate チェック9 PASS)。capex_pct 0.061 は direct のフォールバック値で、ターミナル比率と整合する水準に置いた。</t>
  </si>
  <si>
    <t>テンプレ自動値</t>
  </si>
  <si>
    <t>DCF Model シナリオ5本</t>
  </si>
  <si>
    <t>実績OPM分布からの導出(min 7.03 / p25 9.16 / med 10.25 / p75 11.00 / max 12.08%)</t>
  </si>
  <si>
    <t>【バッチ共通ルールの対称形】直近実績 12.08% が実績中央値 10.25% を上回るため、Base の到達OPMを『直近実績と p75 の平均 = 11.5%』とし、緩やかな平均回帰を置いた(直近が中央値を下回る銘柄では中央値へ収束させる)。仕様 §4-3 の『OPMは実績中央値へ収束』を機械適用すると、直近で改善した企業に対して根拠のないマージン悪化を仮定することになるため。Upside は直近実績+1.0pt の 13.1%。Downside 1 は p25 の 9.2%。Downside 2 は実績トラフ 7.0%(FY2025実績、一過性要因を含む実在の谷)。既存銘柄からの流用なし。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</si>
  <si>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</si>
  <si>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</si>
  <si>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</si>
  <si>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found')。§7-2 に従い Management=Base で続行。</t>
  </si>
  <si>
    <t>フォールバック使用(会社予想未取得)</t>
  </si>
  <si>
    <t>DCF Model NWC(dso/dih/dpo)</t>
  </si>
  <si>
    <t>Base: DSO 44日 / DIH 112日 / DPO 94日</t>
  </si>
  <si>
    <t>実績4期平均(DSO 44/47/42/45、DIH 111/113/107/118、DPO 81/91/90/112)。■DPO は FY2026 に 112日へ急伸しており、平均 94日はこれを織り込んでいない。仕様 §4-2 の『実績平均から導出』に従った。DPO を直近水準に置けば運転資本は改善方向に働く。</t>
  </si>
  <si>
    <t>Comps Analysis</t>
  </si>
  <si>
    <t>Peer 5社 = 2502 アサヒGHD / 2503 キリンHD / 2801 キッコーマン / 2897 日清食品HD / 2269 明治HD</t>
  </si>
  <si>
    <t>■選定理由: TSE33業種『食料品』。■時価総額バンド: §5 の 0.3〜3倍は 1.48〜14.8兆円。バンド内は 2502(2.40兆) 2503(2.32兆) 2801(1.66兆) の3社で、統計の安定のため 2897(0.85兆) 2269(1.20兆)をバンド外から事業比較可能性で追加した。■除外: 2914 JT(12.08兆円でバンド内だが、たばこ事業は規制・マージン構造(OPM 23.8%)が食品と根本的に異なり倍率統計を歪めるため除外)。2267 ヤクルト(0.81兆円)。海外Peerは §5 により不使用。■2502/2503 は12月期のため財務は FY2025/12 実績(他3社は FY2026/3)。約3か月の期ズレ。■EBITDA = 営業利益 + 減価償却費(CF計算書)で全6社統一、D&amp;A欠損による除外はゼロ(validate チェック12 PASS)。■Market_Cap は全行記入(2026-09-04終値ベース静的値)。</t>
  </si>
  <si>
    <t>Executive Summary!C10 / Target</t>
  </si>
  <si>
    <t>Target Price = 2,401円 = PGM 1,963円 と Exit 2,839円 の2本平均。Comps 2本(EV/EBITDA 2,886円 / PER 2,786円)は [参考・Target不算入]</t>
  </si>
  <si>
    <t>メモ§2 の規約どおり。validate チェック14 PASS。EV&lt;net_debt による INVALID 化は発生していない(チェック10・15 とも PASS)。</t>
  </si>
  <si>
    <t>Comps Analysis(データ品質)</t>
  </si>
  <si>
    <t>自社行(2802)の EBITDA は年度混在: 営業利益 FY2026/3 + 減価償却費 FY2025/3(86,461百万円)</t>
  </si>
  <si>
    <t>yfinance が当社の FY2026/3 キャッシュフロー計算書を未収録のため。■自社行は統計から自動除外される(validate チェック3 PASS)ので Peer 統計・Exit倍率には影響しない。DCF側の core_ebitda には別途 推定D&amp;A 89,462 を用いており、Comps Analysis の表示値(86,461ベース)とは 3,001百万円 ずれる。■Peer 5社は全項目が単一年度で揃っている。</t>
  </si>
  <si>
    <t>推定(年度混在・要確認)</t>
  </si>
  <si>
    <t>全体(納品状態)</t>
  </si>
  <si>
    <t>本ファイルは DRAFT。_FINAL は付けない</t>
  </si>
  <si>
    <t>バッチモードでの機械生成物であり人間の検証を経ていない。</t>
  </si>
  <si>
    <t>DRAFT</t>
  </si>
  <si>
    <t>全体(未解決)</t>
  </si>
  <si>
    <t>現値 5,174円 と Target 2,401円 の乖離(−53.6%)をどう読むか</t>
  </si>
  <si>
    <t>逆算DCF(Block F): 現値は定常営業利益 509,546百万円 = FY2026 実績 191,301百万円の 2.66倍 を5年で達成し永続することを織り込んだ水準。ランプなしでも 456,477百万円(2.39倍)が必要。■本モデルは連結ベースのミッドサイクル正常化であり、市場が織り込んでいるとみられる電子材料(ABFビルドアップフィルム)の高成長・高マージンをセグメント別に評価していない。セグメント分解(Segment Bridge / SOTP)が必要かどうかは人間の判断を要する。連結OPMを 11.5% に収束させる Base 前提が当社の事業ミックス変化を過小評価している可能性が高い。</t>
  </si>
  <si>
    <t>未解決</t>
  </si>
  <si>
    <t>EDINET の当社データ品質</t>
  </si>
  <si>
    <t>FY2026/3有報が探索窓から漏れ、かつ FY2022-FY2024 の COGS/営業利益が破損して抽出されていた。次回更新時は EDINET 側の抽出結果を必ず目視確認すること。テンプレート起因の問題としてバッチ最終レポートに報告済み。</t>
  </si>
  <si>
    <t>Pipeline Metadata (do not edit — read by scripts/validate_output.py)</t>
  </si>
  <si>
    <t>key</t>
  </si>
  <si>
    <t>value</t>
  </si>
  <si>
    <t>auto_log_entries</t>
  </si>
  <si>
    <t>1</t>
  </si>
  <si>
    <t>capex_pct_basis</t>
  </si>
  <si>
    <t>hist_3yr_avg</t>
  </si>
  <si>
    <t>capex_pct_c5</t>
  </si>
  <si>
    <t>0.0553</t>
  </si>
  <si>
    <t>capex_pct_hist3yr</t>
  </si>
  <si>
    <t>0.055305</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</si>
  <si>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</si>
  <si>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</si>
  <si>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</si>
  <si>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</si>
  <si>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</si>
  <si>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</si>
  <si>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</si>
  <si>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</si>
  <si>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</si>
  <si>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</si>
  <si>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</si>
  <si>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</si>
  <si>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</si>
  <si>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</si>
  <si>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</si>
  <si>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</si>
  <si>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</si>
  <si>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</si>
  <si>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</si>
  <si>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12,318 (expense 12,318 + fees 0) / avg debt 438,354 (debt_beginning/debt_ending) = 0.028101 pre-tax -&gt; 0.021100 after-tax</t>
  </si>
  <si>
    <t>cost_of_debt_at_c11</t>
  </si>
  <si>
    <t>0.0211</t>
  </si>
  <si>
    <t>cost_of_debt_avg_debt</t>
  </si>
  <si>
    <t>438354.0</t>
  </si>
  <si>
    <t>cost_of_debt_basis</t>
  </si>
  <si>
    <t>actual</t>
  </si>
  <si>
    <t>cost_of_debt_interest</t>
  </si>
  <si>
    <t>12318.0</t>
  </si>
  <si>
    <t>cost_of_debt_pretax</t>
  </si>
  <si>
    <t>0.02810057624659522</t>
  </si>
  <si>
    <t>da_pct_basis</t>
  </si>
  <si>
    <t>assumption</t>
  </si>
  <si>
    <t>da_pct_c18</t>
  </si>
  <si>
    <t>0.058</t>
  </si>
  <si>
    <t>da_pct_hist3yr</t>
  </si>
  <si>
    <t>0.055794</t>
  </si>
  <si>
    <t>fs_year_coverage</t>
  </si>
  <si>
    <t>OCF 2/4, Cash 3/4, Debt 0/4</t>
  </si>
  <si>
    <t>fs_year_map</t>
  </si>
  <si>
    <t>FY2023&lt;-FY2023[]; FY2024&lt;-FY2024[cash]; FY2025&lt;-FY2025[ocf+cash]; FY2026&lt;-FY2026[ocf+cash]</t>
  </si>
  <si>
    <t>fs_year_sources</t>
  </si>
  <si>
    <t>overrides: hist_capex, hist_depreciation | EDINET year-key match: hist_ocf, hist_cash, hist_debt</t>
  </si>
  <si>
    <t>fx_sensitivity</t>
  </si>
  <si>
    <t>not enabled</t>
  </si>
  <si>
    <t>generated_at</t>
  </si>
  <si>
    <t>2026-09-05 12:11:42</t>
  </si>
  <si>
    <t>ltm_revenue_c20</t>
  </si>
  <si>
    <t>1583719</t>
  </si>
  <si>
    <t>ltm_revenue_source</t>
  </si>
  <si>
    <t>latest FY (no LTM)</t>
  </si>
  <si>
    <t>narrative_tokens_used</t>
  </si>
  <si>
    <t>pb,per,price,target_price,upside_pct,wacc</t>
  </si>
  <si>
    <t>reverse_dcf_sheet</t>
  </si>
  <si>
    <t>op0=191,301(FY2026) peak=191,301(FY2026) peak_opm=0.1208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</si>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</sst>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5174</v>
      </c>
    </row>
    <row r="10" spans="2:5" ht="14" customHeight="1" x14ac:dyDescent="0.3">
      <c r="B10" s="4" t="s">
        <v>10</v>
      </c>
      <c r="C10" s="5">
        <f>IF(COUNT(C16:C17)=0,"N/A",ROUND(AVERAGE(C16:C17),0))</f>
        <v>2401</v>
      </c>
    </row>
    <row r="11" spans="2:5" ht="14" customHeight="1" x14ac:dyDescent="0.3">
      <c r="B11" s="4" t="s">
        <v>11</v>
      </c>
      <c r="C11" s="6" t="str">
        <f>IF(NOT(ISNUMBER(C12)),"N/A",IF(C12&gt;0.15,"BUY",IF(C12&gt;0.05,"HOLD","SELL")))</f>
        <v>SELL</v>
      </c>
    </row>
    <row r="12" spans="2:5" ht="14" customHeight="1" x14ac:dyDescent="0.3">
      <c r="B12" s="4" t="s">
        <v>12</v>
      </c>
      <c r="C12" s="7">
        <f>IF(ISNUMBER(C10),(C10-C9)/C9,"N/A")</f>
        <v>-0.53594897564746813</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1963</v>
      </c>
      <c r="D16" s="7">
        <f>IF(ISNUMBER(C16),(C16-C9)/C9,"N/A")</f>
        <v>-0.62060301507537685</v>
      </c>
    </row>
    <row r="17" spans="2:5" ht="13.5" customHeight="1" x14ac:dyDescent="0.25">
      <c r="B17" t="s">
        <v>18</v>
      </c>
      <c r="C17" s="11">
        <f>IF('DCF Model'!C62&lt;'DCF Model'!C16,"INVALID (EV &lt; net debt)",'DCF Model'!C64)</f>
        <v>2839</v>
      </c>
      <c r="D17" s="7">
        <f>IF(ISNUMBER(C17),(C17-C9)/C9,"N/A")</f>
        <v>-0.45129493621955935</v>
      </c>
    </row>
    <row r="18" spans="2:5" ht="13.5" customHeight="1" x14ac:dyDescent="0.25">
      <c r="B18" t="s">
        <v>19</v>
      </c>
      <c r="C18" s="11">
        <f>'Comps Analysis'!C27</f>
        <v>2886</v>
      </c>
      <c r="D18" s="7">
        <f>IF(ISNUMBER(C18),(C18-C9)/C9,"N/A")</f>
        <v>-0.44221105527638194</v>
      </c>
    </row>
    <row r="19" spans="2:5" ht="13.5" customHeight="1" x14ac:dyDescent="0.25">
      <c r="B19" t="s">
        <v>20</v>
      </c>
      <c r="C19" s="11">
        <f>'Comps Analysis'!C28</f>
        <v>2786</v>
      </c>
      <c r="D19" s="7">
        <f>IF(ISNUMBER(C19),(C19-C9)/C9,"N/A")</f>
        <v>-0.46153846153846156</v>
      </c>
    </row>
    <row r="20" spans="2:5" ht="14" customHeight="1" x14ac:dyDescent="0.3">
      <c r="B20" s="46" t="s">
        <v>21</v>
      </c>
      <c r="C20" s="45"/>
      <c r="D20" s="45"/>
      <c r="E20" s="45"/>
    </row>
    <row r="21" spans="2:5" ht="14" customHeight="1" x14ac:dyDescent="0.3">
      <c r="B21" s="4" t="s">
        <v>22</v>
      </c>
      <c r="C21" s="6" t="str">
        <f>IF(COUNT(C16:C17)=0,"N/A",MIN(C16:C17)&amp;" - "&amp;MAX(C16:C17))</f>
        <v>1963 - 2839</v>
      </c>
    </row>
    <row r="23" spans="2:5" ht="14" customHeight="1" x14ac:dyDescent="0.3">
      <c r="B23" s="8" t="s">
        <v>23</v>
      </c>
      <c r="C23" s="9"/>
      <c r="D23" s="9"/>
    </row>
    <row r="24" spans="2:5" x14ac:dyDescent="0.2">
      <c r="B24" t="str">
        <f>"The amino-acid science franchise now spans electronic materials as well as food, and that mix shift is what carried the operating margin to its four-year high; the shares are valued at "&amp;TEXT('Comps Analysis'!L5,"0.0""x""")&amp;" earnings and "&amp;TEXT('Comps Analysis'!M5,"0.00""x""")&amp;" book against a "&amp;TEXT('DCF Model'!C26,"0.00%")&amp;" cost of capital."</f>
        <v>The amino-acid science franchise now spans electronic materials as well as food, and that mix shift is what carried the operating margin to its four-year high; the shares are valued at 36.6x earnings and 6.40x book against a 7.52% cost of capital.</v>
      </c>
    </row>
    <row r="25" spans="2:5" x14ac:dyDescent="0.2">
      <c r="B25" t="s">
        <v>24</v>
      </c>
    </row>
    <row r="26" spans="2:5" x14ac:dyDescent="0.2">
      <c r="B26" t="str">
        <f>"At "&amp;TEXT(C9,"#,##0")&amp;" the market already capitalises the recent margin step-up as permanent; our base case allows only mild mean reversion and still supports "&amp;TEXT(C10,"#,##0")&amp;", or "&amp;TEXT(C12,"+0.0%;-0.0%")&amp;" from here."</f>
        <v>At 5,174 the market already capitalises the recent margin step-up as permanent; our base case allows only mild mean reversion and still supports 2,401, or -53.6% from here.</v>
      </c>
    </row>
    <row r="28" spans="2:5" ht="14" customHeight="1" x14ac:dyDescent="0.3">
      <c r="B28" s="8" t="s">
        <v>25</v>
      </c>
      <c r="C28" s="9"/>
      <c r="D28" s="9"/>
    </row>
    <row r="29" spans="2:5" x14ac:dyDescent="0.2">
      <c r="B29" t="str">
        <f>"The electronic-materials business is semiconductor-cycle exposed, and a downturn there would strip out the margin premium embedded in today's "&amp;TEXT(C9,"#,##0")&amp;"."</f>
        <v>The electronic-materials business is semiconductor-cycle exposed, and a downturn there would strip out the margin premium embedded in today's 5,174.</v>
      </c>
    </row>
    <row r="30" spans="2:5" x14ac:dyDescent="0.2">
      <c r="B30" t="str">
        <f>"Raw-material and energy costs in the food business have repeatedly compressed margins to the trough level used in our second downside case, which sits far below the "&amp;TEXT('Comps Analysis'!L5,"0.0""x""")&amp;" the market is paying."</f>
        <v>Raw-material and energy costs in the food business have repeatedly compressed margins to the trough level used in our second downside case, which sits far below the 36.6x the market is paying.</v>
      </c>
    </row>
    <row r="31" spans="2:5" x14ac:dyDescent="0.2">
      <c r="B31" t="str">
        <f>"The historical operating-margin range is wide relative to peers, so the "&amp;TEXT('DCF Model'!C26,"0.00%")&amp;" discount rate may understate the earnings volatility a food and materials hybrid actually carries."</f>
        <v>The historical operating-margin range is wide relative to peers, so the 7.52% discount rate may understate the earnings volatility a food and materials hybrid actually carries.</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26</v>
      </c>
    </row>
    <row r="4" spans="2:6" ht="14" customHeight="1" x14ac:dyDescent="0.3">
      <c r="C4" s="10" t="s">
        <v>27</v>
      </c>
      <c r="D4" s="10" t="s">
        <v>28</v>
      </c>
      <c r="E4" s="10" t="s">
        <v>29</v>
      </c>
      <c r="F4" s="10" t="s">
        <v>30</v>
      </c>
    </row>
    <row r="5" spans="2:6" ht="14" customHeight="1" x14ac:dyDescent="0.3">
      <c r="B5" s="3" t="s">
        <v>31</v>
      </c>
    </row>
    <row r="6" spans="2:6" ht="14" customHeight="1" x14ac:dyDescent="0.3">
      <c r="B6" s="4" t="s">
        <v>32</v>
      </c>
      <c r="C6" s="5">
        <v>1359115</v>
      </c>
      <c r="D6" s="5">
        <v>1439231</v>
      </c>
      <c r="E6" s="5">
        <v>1530556</v>
      </c>
      <c r="F6" s="5">
        <v>1583719</v>
      </c>
    </row>
    <row r="7" spans="2:6" ht="14" customHeight="1" x14ac:dyDescent="0.3">
      <c r="B7" s="4" t="s">
        <v>33</v>
      </c>
      <c r="C7" s="5">
        <v>888727</v>
      </c>
      <c r="D7" s="5">
        <v>927783</v>
      </c>
      <c r="E7" s="5">
        <v>979792</v>
      </c>
      <c r="F7" s="5">
        <v>986570</v>
      </c>
    </row>
    <row r="8" spans="2:6" ht="14" customHeight="1" x14ac:dyDescent="0.3">
      <c r="B8" s="4" t="s">
        <v>34</v>
      </c>
      <c r="C8" s="5">
        <f>C6-C7</f>
        <v>470388</v>
      </c>
      <c r="D8" s="5">
        <f>D6-D7</f>
        <v>511448</v>
      </c>
      <c r="E8" s="5">
        <f>E6-E7</f>
        <v>550764</v>
      </c>
      <c r="F8" s="5">
        <f>F6-F7</f>
        <v>597149</v>
      </c>
    </row>
    <row r="9" spans="2:6" ht="13.5" customHeight="1" x14ac:dyDescent="0.25">
      <c r="B9" t="s">
        <v>35</v>
      </c>
      <c r="C9" s="7">
        <f>C8/C6</f>
        <v>0.34609874808239183</v>
      </c>
      <c r="D9" s="7">
        <f>D8/D6</f>
        <v>0.35536199539893182</v>
      </c>
      <c r="E9" s="7">
        <f>E8/E6</f>
        <v>0.35984570313010433</v>
      </c>
      <c r="F9" s="7">
        <f>F8/F6</f>
        <v>0.37705489420787403</v>
      </c>
    </row>
    <row r="10" spans="2:6" ht="14" customHeight="1" x14ac:dyDescent="0.3">
      <c r="B10" s="4" t="s">
        <v>36</v>
      </c>
      <c r="C10" s="5">
        <v>325786</v>
      </c>
      <c r="D10" s="5">
        <v>369495</v>
      </c>
      <c r="E10" s="5">
        <v>443108</v>
      </c>
      <c r="F10" s="5">
        <v>405848</v>
      </c>
    </row>
    <row r="11" spans="2:6" ht="14" customHeight="1" x14ac:dyDescent="0.3">
      <c r="B11" s="4" t="s">
        <v>37</v>
      </c>
      <c r="C11" s="5">
        <v>144602</v>
      </c>
      <c r="D11" s="5">
        <v>141953</v>
      </c>
      <c r="E11" s="5">
        <v>107656</v>
      </c>
      <c r="F11" s="5">
        <v>191301</v>
      </c>
    </row>
    <row r="12" spans="2:6" ht="14" customHeight="1" x14ac:dyDescent="0.3">
      <c r="B12" s="4" t="s">
        <v>38</v>
      </c>
      <c r="C12" s="5">
        <v>94065</v>
      </c>
      <c r="D12" s="5">
        <v>87121</v>
      </c>
      <c r="E12" s="5">
        <v>70272</v>
      </c>
      <c r="F12" s="5">
        <v>134675</v>
      </c>
    </row>
    <row r="13" spans="2:6" ht="13.5" customHeight="1" x14ac:dyDescent="0.25">
      <c r="B13" t="s">
        <v>39</v>
      </c>
      <c r="C13" s="7">
        <f>C11/C6</f>
        <v>0.10639423448346902</v>
      </c>
      <c r="D13" s="7">
        <f>D11/D6</f>
        <v>9.8631143992868417E-2</v>
      </c>
      <c r="E13" s="7">
        <f>E11/E6</f>
        <v>7.0337838014420909E-2</v>
      </c>
      <c r="F13" s="7">
        <f>F11/F6</f>
        <v>0.12079226175855691</v>
      </c>
    </row>
    <row r="14" spans="2:6" ht="13.5" customHeight="1" x14ac:dyDescent="0.25">
      <c r="B14" t="s">
        <v>40</v>
      </c>
      <c r="C14" s="7">
        <f>C12/C6</f>
        <v>6.9210478877799159E-2</v>
      </c>
      <c r="D14" s="7">
        <f>D12/D6</f>
        <v>6.0533020759002548E-2</v>
      </c>
      <c r="E14" s="7">
        <f>E12/E6</f>
        <v>4.5912727139679962E-2</v>
      </c>
      <c r="F14" s="7">
        <f>F12/F6</f>
        <v>8.5037181469692538E-2</v>
      </c>
    </row>
    <row r="15" spans="2:6" ht="13.5" customHeight="1" x14ac:dyDescent="0.25">
      <c r="B15" t="s">
        <v>41</v>
      </c>
      <c r="C15" t="s">
        <v>42</v>
      </c>
      <c r="D15" s="7">
        <f>(D6-C6)/C6</f>
        <v>5.8947182541580365E-2</v>
      </c>
      <c r="E15" s="7">
        <f>(E6-D6)/D6</f>
        <v>6.3454025100904574E-2</v>
      </c>
      <c r="F15" s="7">
        <f>(F6-E6)/E6</f>
        <v>3.4734436374755318E-2</v>
      </c>
    </row>
    <row r="16" spans="2:6" ht="13.5" customHeight="1" x14ac:dyDescent="0.25">
      <c r="B16" t="s">
        <v>43</v>
      </c>
      <c r="C16" t="s">
        <v>42</v>
      </c>
      <c r="D16" s="7">
        <f>(D11-C11)/C11</f>
        <v>-1.8319248696421903E-2</v>
      </c>
      <c r="E16" s="7">
        <f>(E11-D11)/D11</f>
        <v>-0.24160813790479949</v>
      </c>
      <c r="F16" s="7">
        <f>(F11-E11)/E11</f>
        <v>0.77696551980381956</v>
      </c>
    </row>
    <row r="18" spans="2:6" ht="14" customHeight="1" x14ac:dyDescent="0.3">
      <c r="B18" s="3" t="s">
        <v>44</v>
      </c>
    </row>
    <row r="19" spans="2:6" ht="14" customHeight="1" x14ac:dyDescent="0.3">
      <c r="B19" s="4" t="s">
        <v>45</v>
      </c>
      <c r="C19" s="5"/>
      <c r="D19" s="5"/>
      <c r="E19" s="5">
        <v>209898</v>
      </c>
      <c r="F19" s="5">
        <v>239351</v>
      </c>
    </row>
    <row r="20" spans="2:6" ht="14" customHeight="1" x14ac:dyDescent="0.3">
      <c r="B20" s="4" t="s">
        <v>46</v>
      </c>
      <c r="C20" s="5">
        <v>73046</v>
      </c>
      <c r="D20" s="5">
        <v>72022</v>
      </c>
      <c r="E20" s="5">
        <v>95090</v>
      </c>
      <c r="F20" s="5"/>
    </row>
    <row r="21" spans="2:6" ht="14" customHeight="1" x14ac:dyDescent="0.3">
      <c r="B21" s="4" t="s">
        <v>47</v>
      </c>
      <c r="E21" s="5">
        <f>E19-E20</f>
        <v>114808</v>
      </c>
    </row>
    <row r="22" spans="2:6" ht="13.5" customHeight="1" x14ac:dyDescent="0.25">
      <c r="B22" t="s">
        <v>48</v>
      </c>
      <c r="E22" s="7">
        <f>E21/E6</f>
        <v>7.5010649724675221E-2</v>
      </c>
    </row>
    <row r="23" spans="2:6" ht="13.5" customHeight="1" x14ac:dyDescent="0.25">
      <c r="B23" t="s">
        <v>49</v>
      </c>
      <c r="C23" s="7">
        <f>C20/C6</f>
        <v>5.3745268060465819E-2</v>
      </c>
      <c r="D23" s="7">
        <f>D20/D6</f>
        <v>5.0042001596686009E-2</v>
      </c>
      <c r="E23" s="7">
        <f>E20/E6</f>
        <v>6.2127749654373968E-2</v>
      </c>
    </row>
    <row r="25" spans="2:6" ht="14" customHeight="1" x14ac:dyDescent="0.3">
      <c r="B25" s="3" t="s">
        <v>50</v>
      </c>
    </row>
    <row r="26" spans="2:6" ht="14" customHeight="1" x14ac:dyDescent="0.3">
      <c r="B26" s="4" t="s">
        <v>51</v>
      </c>
      <c r="C26" s="5"/>
      <c r="D26" s="5">
        <v>171537</v>
      </c>
      <c r="E26" s="5">
        <v>164776</v>
      </c>
      <c r="F26" s="5">
        <v>106693</v>
      </c>
    </row>
    <row r="27" spans="2:6" ht="14" customHeight="1" x14ac:dyDescent="0.3">
      <c r="B27" s="4" t="s">
        <v>52</v>
      </c>
      <c r="C27" s="5"/>
      <c r="D27" s="5"/>
      <c r="E27" s="5"/>
      <c r="F27" s="5"/>
    </row>
    <row r="28" spans="2:6" ht="14" customHeight="1" x14ac:dyDescent="0.3">
      <c r="B28" s="4" t="s">
        <v>53</v>
      </c>
    </row>
    <row r="30" spans="2:6" ht="14" customHeight="1"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55</v>
      </c>
    </row>
    <row r="4" spans="2:7" ht="14" customHeight="1" x14ac:dyDescent="0.3">
      <c r="B4" s="8" t="s">
        <v>56</v>
      </c>
      <c r="C4" s="9"/>
      <c r="D4" s="9"/>
      <c r="E4" s="9"/>
      <c r="F4" s="9"/>
      <c r="G4" s="9"/>
    </row>
    <row r="5" spans="2:7" ht="14" customHeight="1" x14ac:dyDescent="0.3">
      <c r="B5" s="4" t="s">
        <v>57</v>
      </c>
      <c r="C5" s="7">
        <v>5.5300000000000002E-2</v>
      </c>
    </row>
    <row r="6" spans="2:7" ht="14" customHeight="1" x14ac:dyDescent="0.3">
      <c r="B6" s="4" t="s">
        <v>58</v>
      </c>
      <c r="C6" s="7">
        <v>0.25</v>
      </c>
    </row>
    <row r="7" spans="2:7" ht="14" customHeight="1" x14ac:dyDescent="0.3">
      <c r="B7" s="4" t="s">
        <v>59</v>
      </c>
      <c r="C7" s="7">
        <v>2.9700000000000001E-2</v>
      </c>
    </row>
    <row r="8" spans="2:7" ht="14" customHeight="1" x14ac:dyDescent="0.3">
      <c r="B8" s="4" t="s">
        <v>60</v>
      </c>
      <c r="C8" s="12">
        <v>0.6</v>
      </c>
    </row>
    <row r="9" spans="2:7" ht="14" customHeight="1" x14ac:dyDescent="0.3">
      <c r="B9" s="4" t="s">
        <v>61</v>
      </c>
      <c r="C9" s="7">
        <v>6.5000000000000002E-2</v>
      </c>
    </row>
    <row r="10" spans="2:7" ht="14" customHeight="1" x14ac:dyDescent="0.3">
      <c r="B10" s="4" t="s">
        <v>62</v>
      </c>
      <c r="C10" s="7">
        <v>0.01</v>
      </c>
    </row>
    <row r="11" spans="2:7" ht="14" customHeight="1" x14ac:dyDescent="0.3">
      <c r="B11" s="4" t="s">
        <v>63</v>
      </c>
      <c r="C11" s="7">
        <v>2.1100000000000001E-2</v>
      </c>
    </row>
    <row r="12" spans="2:7" ht="14" customHeight="1" x14ac:dyDescent="0.3">
      <c r="B12" s="4" t="s">
        <v>64</v>
      </c>
      <c r="C12" s="13">
        <v>6.3799999999999996E-2</v>
      </c>
    </row>
    <row r="13" spans="2:7" ht="14" customHeight="1" x14ac:dyDescent="0.3">
      <c r="B13" s="4" t="s">
        <v>65</v>
      </c>
      <c r="C13" s="7">
        <v>0.01</v>
      </c>
    </row>
    <row r="14" spans="2:7" ht="14" customHeight="1" x14ac:dyDescent="0.3">
      <c r="B14" s="4" t="s">
        <v>66</v>
      </c>
      <c r="C14" s="14">
        <v>10.9</v>
      </c>
    </row>
    <row r="15" spans="2:7" ht="14" customHeight="1" x14ac:dyDescent="0.3">
      <c r="B15" s="4" t="s">
        <v>67</v>
      </c>
      <c r="C15" s="15">
        <v>953335931</v>
      </c>
    </row>
    <row r="16" spans="2:7" ht="14" customHeight="1" x14ac:dyDescent="0.3">
      <c r="B16" s="4" t="s">
        <v>68</v>
      </c>
      <c r="C16" s="5">
        <v>314662</v>
      </c>
    </row>
    <row r="17" spans="2:7" ht="14" customHeight="1" x14ac:dyDescent="0.3">
      <c r="B17" s="4" t="s">
        <v>69</v>
      </c>
      <c r="C17" s="5">
        <v>1583719</v>
      </c>
    </row>
    <row r="18" spans="2:7" ht="14" customHeight="1" x14ac:dyDescent="0.3">
      <c r="B18" s="4" t="s">
        <v>70</v>
      </c>
      <c r="C18" s="7">
        <v>5.8000000000000003E-2</v>
      </c>
    </row>
    <row r="19" spans="2:7" ht="14" customHeight="1" x14ac:dyDescent="0.3">
      <c r="B19" s="4" t="s">
        <v>71</v>
      </c>
      <c r="C19" s="12">
        <v>1</v>
      </c>
    </row>
    <row r="20" spans="2:7" ht="14" customHeight="1" x14ac:dyDescent="0.3">
      <c r="B20" s="4" t="s">
        <v>72</v>
      </c>
      <c r="C20" s="5">
        <v>1583719</v>
      </c>
    </row>
    <row r="22" spans="2:7" ht="14" customHeight="1" x14ac:dyDescent="0.3">
      <c r="B22" s="8" t="s">
        <v>73</v>
      </c>
      <c r="C22" s="9"/>
      <c r="D22" s="9"/>
      <c r="E22" s="9"/>
      <c r="F22" s="9"/>
      <c r="G22" s="9"/>
    </row>
    <row r="23" spans="2:7" ht="14" customHeight="1" x14ac:dyDescent="0.3">
      <c r="B23" s="4" t="s">
        <v>74</v>
      </c>
      <c r="C23" s="16">
        <f>C7+C8*C9+C10</f>
        <v>7.8699999999999992E-2</v>
      </c>
    </row>
    <row r="24" spans="2:7" ht="14" customHeight="1" x14ac:dyDescent="0.3">
      <c r="B24" s="4" t="s">
        <v>75</v>
      </c>
      <c r="C24" s="16">
        <f>1/(1+C12)</f>
        <v>0.94002632073698056</v>
      </c>
    </row>
    <row r="25" spans="2:7" ht="14" customHeight="1" x14ac:dyDescent="0.3">
      <c r="B25" s="4" t="s">
        <v>76</v>
      </c>
      <c r="C25" s="16">
        <f>C12/(1+C12)</f>
        <v>5.9973679263019358E-2</v>
      </c>
    </row>
    <row r="26" spans="2:7" ht="14" customHeight="1" x14ac:dyDescent="0.3">
      <c r="B26" s="4" t="s">
        <v>77</v>
      </c>
      <c r="C26" s="16">
        <f>C23*C24+C11*C25</f>
        <v>7.524551607445007E-2</v>
      </c>
    </row>
    <row r="27" spans="2:7" ht="14" customHeight="1" x14ac:dyDescent="0.3">
      <c r="B27" s="4" t="s">
        <v>78</v>
      </c>
      <c r="C27" s="17" t="s">
        <v>79</v>
      </c>
      <c r="D27" s="6">
        <f>MATCH(C27,B69:B73,0)</f>
        <v>1</v>
      </c>
    </row>
    <row r="28" spans="2:7" ht="14" customHeight="1" x14ac:dyDescent="0.3">
      <c r="B28" s="8" t="s">
        <v>80</v>
      </c>
      <c r="C28" s="9"/>
      <c r="D28" s="9"/>
      <c r="E28" s="9"/>
      <c r="F28" s="9"/>
      <c r="G28" s="9"/>
    </row>
    <row r="29" spans="2:7" ht="14" customHeight="1" x14ac:dyDescent="0.3">
      <c r="C29" s="10" t="s">
        <v>81</v>
      </c>
      <c r="D29" s="10" t="s">
        <v>82</v>
      </c>
      <c r="E29" s="10" t="s">
        <v>83</v>
      </c>
      <c r="F29" s="10" t="s">
        <v>84</v>
      </c>
      <c r="G29" s="10" t="s">
        <v>85</v>
      </c>
    </row>
    <row r="30" spans="2:7" ht="14" customHeight="1" x14ac:dyDescent="0.3">
      <c r="B30" s="4" t="s">
        <v>41</v>
      </c>
      <c r="C30" s="18">
        <f>CHOOSE($D$27,C69,C70,C71,C72,C73)</f>
        <v>3.5000000000000003E-2</v>
      </c>
      <c r="D30" s="18">
        <f>CHOOSE($D$27,D69,D70,D71,D72,D73)</f>
        <v>3.5000000000000003E-2</v>
      </c>
      <c r="E30" s="18">
        <f>CHOOSE($D$27,E69,E70,E71,E72,E73)</f>
        <v>0.03</v>
      </c>
      <c r="F30" s="18">
        <f>CHOOSE($D$27,F69,F70,F71,F72,F73)</f>
        <v>0.03</v>
      </c>
      <c r="G30" s="18">
        <f>CHOOSE($D$27,G69,G70,G71,G72,G73)</f>
        <v>2.5000000000000001E-2</v>
      </c>
    </row>
    <row r="31" spans="2:7" ht="14" customHeight="1" x14ac:dyDescent="0.3">
      <c r="B31" s="4" t="s">
        <v>86</v>
      </c>
      <c r="C31" s="18">
        <f>CHOOSE($D$27,C76,C77,C78,C79,C80)</f>
        <v>0.63</v>
      </c>
      <c r="D31" s="18">
        <f>CHOOSE($D$27,D76,D77,D78,D79,D80)</f>
        <v>0.63100000000000001</v>
      </c>
      <c r="E31" s="18">
        <f>CHOOSE($D$27,E76,E77,E78,E79,E80)</f>
        <v>0.63200000000000001</v>
      </c>
      <c r="F31" s="18">
        <f>CHOOSE($D$27,F76,F77,F78,F79,F80)</f>
        <v>0.63400000000000001</v>
      </c>
      <c r="G31" s="18">
        <f>CHOOSE($D$27,G76,G77,G78,G79,G80)</f>
        <v>0.63500000000000001</v>
      </c>
    </row>
    <row r="32" spans="2:7" ht="14" customHeight="1" x14ac:dyDescent="0.3">
      <c r="B32" s="4" t="s">
        <v>87</v>
      </c>
      <c r="C32" s="18">
        <f>CHOOSE($D$27,C83,C84,C85,C86,C87)</f>
        <v>0.25</v>
      </c>
      <c r="D32" s="18">
        <f>CHOOSE($D$27,D83,D84,D85,D86,D87)</f>
        <v>0.25</v>
      </c>
      <c r="E32" s="18">
        <f>CHOOSE($D$27,E83,E84,E85,E86,E87)</f>
        <v>0.25</v>
      </c>
      <c r="F32" s="18">
        <f>CHOOSE($D$27,F83,F84,F85,F86,F87)</f>
        <v>0.25</v>
      </c>
      <c r="G32" s="18">
        <f>CHOOSE($D$27,G83,G84,G85,G86,G87)</f>
        <v>0.25</v>
      </c>
    </row>
    <row r="33" spans="2:7" ht="14" customHeight="1" x14ac:dyDescent="0.3">
      <c r="B33" s="4" t="s">
        <v>32</v>
      </c>
      <c r="C33" s="5">
        <f>C17*(1+C30)</f>
        <v>1639149.1649999998</v>
      </c>
      <c r="D33" s="5">
        <f>C33*(1+D30)</f>
        <v>1696519.3857749996</v>
      </c>
      <c r="E33" s="5">
        <f>D33*(1+E30)</f>
        <v>1747414.9673482496</v>
      </c>
      <c r="F33" s="5">
        <f>E33*(1+F30)</f>
        <v>1799837.4163686971</v>
      </c>
      <c r="G33" s="5">
        <f>F33*(1+G30)</f>
        <v>1844833.3517779144</v>
      </c>
    </row>
    <row r="34" spans="2:7" ht="14" customHeight="1" x14ac:dyDescent="0.3">
      <c r="B34" s="4" t="s">
        <v>33</v>
      </c>
      <c r="C34" s="5">
        <f>C33*C31</f>
        <v>1032663.9739499999</v>
      </c>
      <c r="D34" s="5">
        <f>D33*D31</f>
        <v>1070503.7324240247</v>
      </c>
      <c r="E34" s="5">
        <f>E33*E31</f>
        <v>1104366.2593640939</v>
      </c>
      <c r="F34" s="5">
        <f>F33*F31</f>
        <v>1141096.921977754</v>
      </c>
      <c r="G34" s="5">
        <f>G33*G31</f>
        <v>1171469.1783789757</v>
      </c>
    </row>
    <row r="35" spans="2:7" ht="14" customHeight="1" x14ac:dyDescent="0.3">
      <c r="B35" s="4" t="s">
        <v>34</v>
      </c>
      <c r="C35" s="19">
        <f>C33-C34</f>
        <v>606485.19104999991</v>
      </c>
      <c r="D35" s="19">
        <f>D33-D34</f>
        <v>626015.6533509749</v>
      </c>
      <c r="E35" s="19">
        <f>E33-E34</f>
        <v>643048.70798415574</v>
      </c>
      <c r="F35" s="19">
        <f>F33-F34</f>
        <v>658740.49439094309</v>
      </c>
      <c r="G35" s="19">
        <f>G33-G34</f>
        <v>673364.17339893873</v>
      </c>
    </row>
    <row r="36" spans="2:7" ht="14" customHeight="1" x14ac:dyDescent="0.3">
      <c r="B36" s="4" t="s">
        <v>35</v>
      </c>
      <c r="C36" s="7">
        <f>C35/C33</f>
        <v>0.37</v>
      </c>
      <c r="D36" s="7">
        <f>D35/D33</f>
        <v>0.36899999999999999</v>
      </c>
      <c r="E36" s="7">
        <f>E35/E33</f>
        <v>0.36799999999999994</v>
      </c>
      <c r="F36" s="7">
        <f>F35/F33</f>
        <v>0.36599999999999999</v>
      </c>
      <c r="G36" s="7">
        <f>G35/G33</f>
        <v>0.36499999999999999</v>
      </c>
    </row>
    <row r="37" spans="2:7" ht="14" customHeight="1" x14ac:dyDescent="0.3">
      <c r="B37" s="4" t="s">
        <v>88</v>
      </c>
      <c r="C37" s="5">
        <f>C33*C32</f>
        <v>409787.29124999995</v>
      </c>
      <c r="D37" s="5">
        <f>D33*D32</f>
        <v>424129.84644374991</v>
      </c>
      <c r="E37" s="5">
        <f>E33*E32</f>
        <v>436853.74183706241</v>
      </c>
      <c r="F37" s="5">
        <f>F33*F32</f>
        <v>449959.35409217427</v>
      </c>
      <c r="G37" s="5">
        <f>G33*G32</f>
        <v>461208.33794447861</v>
      </c>
    </row>
    <row r="38" spans="2:7" ht="14" customHeight="1" x14ac:dyDescent="0.3">
      <c r="B38" s="4" t="s">
        <v>89</v>
      </c>
      <c r="C38" s="7">
        <f>(C35-C37)/C33</f>
        <v>0.11999999999999998</v>
      </c>
      <c r="D38" s="7">
        <f>(D35-D37)/D33</f>
        <v>0.11900000000000002</v>
      </c>
      <c r="E38" s="7">
        <f>(E35-E37)/E33</f>
        <v>0.11799999999999992</v>
      </c>
      <c r="F38" s="7">
        <f>(F35-F37)/F33</f>
        <v>0.11599999999999998</v>
      </c>
      <c r="G38" s="7">
        <f>(G35-G37)/G33</f>
        <v>0.11499999999999998</v>
      </c>
    </row>
    <row r="39" spans="2:7" ht="14" customHeight="1" x14ac:dyDescent="0.3">
      <c r="B39" s="4" t="s">
        <v>90</v>
      </c>
      <c r="C39" s="19">
        <f>C35-C37</f>
        <v>196697.89979999996</v>
      </c>
      <c r="D39" s="19">
        <f>D35-D37</f>
        <v>201885.80690722499</v>
      </c>
      <c r="E39" s="19">
        <f>E35-E37</f>
        <v>206194.96614709334</v>
      </c>
      <c r="F39" s="19">
        <f>F35-F37</f>
        <v>208781.14029876882</v>
      </c>
      <c r="G39" s="19">
        <f>G35-G37</f>
        <v>212155.83545446012</v>
      </c>
    </row>
    <row r="40" spans="2:7" ht="14" customHeight="1" x14ac:dyDescent="0.3">
      <c r="B40" s="4" t="s">
        <v>91</v>
      </c>
      <c r="C40" s="5">
        <f>MAX(0,C39*C6)</f>
        <v>49174.474949999989</v>
      </c>
      <c r="D40" s="5">
        <f>MAX(0,D39*C6)</f>
        <v>50471.451726806248</v>
      </c>
      <c r="E40" s="5">
        <f>MAX(0,E39*C6)</f>
        <v>51548.741536773334</v>
      </c>
      <c r="F40" s="5">
        <f>MAX(0,F39*C6)</f>
        <v>52195.285074692205</v>
      </c>
      <c r="G40" s="5">
        <f>MAX(0,G39*C6)</f>
        <v>53038.958863615029</v>
      </c>
    </row>
    <row r="41" spans="2:7" ht="14" customHeight="1" x14ac:dyDescent="0.3">
      <c r="B41" s="4" t="s">
        <v>92</v>
      </c>
      <c r="C41" s="19">
        <f>C39-C40</f>
        <v>147523.42484999995</v>
      </c>
      <c r="D41" s="19">
        <f>D39-D40</f>
        <v>151414.35518041876</v>
      </c>
      <c r="E41" s="19">
        <f>E39-E40</f>
        <v>154646.22461032</v>
      </c>
      <c r="F41" s="19">
        <f>F39-F40</f>
        <v>156585.8552240766</v>
      </c>
      <c r="G41" s="19">
        <f>G39-G40</f>
        <v>159116.87659084509</v>
      </c>
    </row>
    <row r="42" spans="2:7" ht="14" customHeight="1" x14ac:dyDescent="0.3">
      <c r="B42" s="4" t="s">
        <v>93</v>
      </c>
      <c r="C42" s="5">
        <f>C33*C18</f>
        <v>95070.651569999987</v>
      </c>
      <c r="D42" s="5">
        <f>D33*C18</f>
        <v>98398.124374949984</v>
      </c>
      <c r="E42" s="5">
        <f>E33*C18</f>
        <v>101350.06810619848</v>
      </c>
      <c r="F42" s="5">
        <f>F33*C18</f>
        <v>104390.57014938444</v>
      </c>
      <c r="G42" s="5">
        <f>G33*C18</f>
        <v>107000.33440311905</v>
      </c>
    </row>
    <row r="43" spans="2:7" ht="14" customHeight="1" x14ac:dyDescent="0.3">
      <c r="B43" s="4" t="s">
        <v>94</v>
      </c>
      <c r="C43" s="5">
        <v>115000</v>
      </c>
      <c r="D43" s="5">
        <v>118000</v>
      </c>
      <c r="E43" s="5">
        <v>118000</v>
      </c>
      <c r="F43" s="5">
        <v>115000</v>
      </c>
      <c r="G43" s="5">
        <v>112000</v>
      </c>
    </row>
    <row r="44" spans="2:7" ht="14" customHeight="1" x14ac:dyDescent="0.3">
      <c r="B44" s="4" t="s">
        <v>95</v>
      </c>
      <c r="C44" s="5">
        <f>'NWC Schedule'!D19</f>
        <v>-70110.041668219201</v>
      </c>
      <c r="D44" s="5">
        <f>'NWC Schedule'!E19</f>
        <v>8781.9325113217346</v>
      </c>
      <c r="E44" s="5">
        <f>'NWC Schedule'!F19</f>
        <v>7805.2906140938867</v>
      </c>
      <c r="F44" s="5">
        <f>'NWC Schedule'!G19</f>
        <v>8130.7936546453275</v>
      </c>
      <c r="G44" s="5">
        <f>'NWC Schedule'!H19</f>
        <v>6921.9774608974112</v>
      </c>
    </row>
    <row r="45" spans="2:7" ht="14" customHeight="1" x14ac:dyDescent="0.3">
      <c r="B45" s="4" t="s">
        <v>96</v>
      </c>
      <c r="C45" s="20">
        <f>C41+C42-C43-C44</f>
        <v>197704.11808821914</v>
      </c>
      <c r="D45" s="20">
        <f>D41+D42-D43-D44</f>
        <v>123030.54704404701</v>
      </c>
      <c r="E45" s="20">
        <f>E41+E42-E43-E44</f>
        <v>130191.00210242459</v>
      </c>
      <c r="F45" s="20">
        <f>F41+F42-F43-F44</f>
        <v>137845.63171881571</v>
      </c>
      <c r="G45" s="20">
        <f>G41+G42-G43-G44</f>
        <v>147195.2335330667</v>
      </c>
    </row>
    <row r="46" spans="2:7" ht="14" customHeight="1" x14ac:dyDescent="0.3">
      <c r="B46" s="4" t="s">
        <v>97</v>
      </c>
      <c r="C46" s="21">
        <f>1/(1+C26)^(C19+0)</f>
        <v>0.9300201535839373</v>
      </c>
      <c r="D46" s="21">
        <f>1/(1+C26)^(C19+1)</f>
        <v>0.86493748607229026</v>
      </c>
      <c r="E46" s="21">
        <f>1/(1+C26)^(C19+2)</f>
        <v>0.80440929363745606</v>
      </c>
      <c r="F46" s="21">
        <f>1/(1+C26)^(C19+3)</f>
        <v>0.74811685481305346</v>
      </c>
      <c r="G46" s="21">
        <f>1/(1+C26)^(C19+4)</f>
        <v>0.69576375221196807</v>
      </c>
    </row>
    <row r="47" spans="2:7" ht="14" customHeight="1" x14ac:dyDescent="0.3">
      <c r="B47" s="4" t="s">
        <v>98</v>
      </c>
      <c r="C47" s="19">
        <f>C45*C46</f>
        <v>183868.81426858244</v>
      </c>
      <c r="D47" s="19">
        <f>D45*D46</f>
        <v>106413.73207037666</v>
      </c>
      <c r="E47" s="19">
        <f>E45*E46</f>
        <v>104726.85203916392</v>
      </c>
      <c r="F47" s="19">
        <f>F45*F46</f>
        <v>103124.64045119889</v>
      </c>
      <c r="G47" s="19">
        <f>G45*G46</f>
        <v>102413.10799068339</v>
      </c>
    </row>
    <row r="49" spans="2:7" ht="14" customHeight="1" x14ac:dyDescent="0.3">
      <c r="B49" s="22" t="s">
        <v>99</v>
      </c>
      <c r="C49" s="23"/>
      <c r="D49" s="23"/>
      <c r="E49" s="23"/>
      <c r="F49" s="23"/>
      <c r="G49" s="23"/>
    </row>
    <row r="50" spans="2:7" ht="14" customHeight="1" x14ac:dyDescent="0.3">
      <c r="B50" s="4" t="s">
        <v>100</v>
      </c>
      <c r="C50" s="5">
        <f>SUM(C47:G47)</f>
        <v>600547.14682000538</v>
      </c>
    </row>
    <row r="51" spans="2:7" ht="14" customHeight="1" x14ac:dyDescent="0.3">
      <c r="B51" s="4" t="s">
        <v>101</v>
      </c>
      <c r="C51" s="5">
        <f>G45*(1+C13)/(C26-C13)</f>
        <v>2278580.8866736041</v>
      </c>
    </row>
    <row r="52" spans="2:7" ht="14" customHeight="1" x14ac:dyDescent="0.3">
      <c r="B52" s="4" t="s">
        <v>102</v>
      </c>
      <c r="C52" s="5">
        <f>C51*G46</f>
        <v>1585353.9874305001</v>
      </c>
    </row>
    <row r="53" spans="2:7" ht="14" customHeight="1" x14ac:dyDescent="0.3">
      <c r="B53" s="4" t="s">
        <v>103</v>
      </c>
      <c r="C53" s="5">
        <f>C50+C52</f>
        <v>2185901.1342505054</v>
      </c>
    </row>
    <row r="54" spans="2:7" ht="14" customHeight="1" x14ac:dyDescent="0.3">
      <c r="B54" s="4" t="s">
        <v>104</v>
      </c>
      <c r="C54" s="5">
        <f>C53-C16</f>
        <v>1871239.1342505054</v>
      </c>
    </row>
    <row r="55" spans="2:7" ht="14" customHeight="1" x14ac:dyDescent="0.3">
      <c r="B55" s="4" t="s">
        <v>105</v>
      </c>
      <c r="C55" s="24">
        <f>ROUND(C54*1000000/C15,0)</f>
        <v>1963</v>
      </c>
    </row>
    <row r="57" spans="2:7" ht="14" customHeight="1" x14ac:dyDescent="0.3">
      <c r="B57" s="22" t="s">
        <v>106</v>
      </c>
      <c r="C57" s="23"/>
      <c r="D57" s="23"/>
      <c r="E57" s="23"/>
      <c r="F57" s="23"/>
      <c r="G57" s="23"/>
    </row>
    <row r="58" spans="2:7" ht="14" customHeight="1" x14ac:dyDescent="0.3">
      <c r="B58" s="4" t="s">
        <v>100</v>
      </c>
      <c r="C58" s="5">
        <f>C50</f>
        <v>600547.14682000538</v>
      </c>
    </row>
    <row r="59" spans="2:7" ht="14" customHeight="1" x14ac:dyDescent="0.3">
      <c r="B59" s="4" t="s">
        <v>107</v>
      </c>
      <c r="C59" s="5">
        <f>G39+G42</f>
        <v>319156.16985757917</v>
      </c>
    </row>
    <row r="60" spans="2:7" ht="14" customHeight="1" x14ac:dyDescent="0.3">
      <c r="B60" s="4" t="s">
        <v>108</v>
      </c>
      <c r="C60" s="5">
        <f>C59*C14</f>
        <v>3478802.2514476129</v>
      </c>
    </row>
    <row r="61" spans="2:7" ht="14" customHeight="1" x14ac:dyDescent="0.3">
      <c r="B61" s="4" t="s">
        <v>102</v>
      </c>
      <c r="C61" s="5">
        <f>C60*G46</f>
        <v>2420424.5076706335</v>
      </c>
    </row>
    <row r="62" spans="2:7" ht="14" customHeight="1" x14ac:dyDescent="0.3">
      <c r="B62" s="4" t="s">
        <v>103</v>
      </c>
      <c r="C62" s="5">
        <f>C58+C61</f>
        <v>3020971.654490639</v>
      </c>
    </row>
    <row r="63" spans="2:7" ht="14" customHeight="1" x14ac:dyDescent="0.3">
      <c r="B63" s="4" t="s">
        <v>104</v>
      </c>
      <c r="C63" s="5">
        <f>C62-C16</f>
        <v>2706309.654490639</v>
      </c>
    </row>
    <row r="64" spans="2:7" ht="14" customHeight="1" x14ac:dyDescent="0.3">
      <c r="B64" s="4" t="s">
        <v>109</v>
      </c>
      <c r="C64" s="24">
        <f>ROUND(C63*1000000/C15,0)</f>
        <v>2839</v>
      </c>
    </row>
    <row r="66" spans="2:7" ht="14" customHeight="1" x14ac:dyDescent="0.3">
      <c r="B66" s="22" t="s">
        <v>110</v>
      </c>
      <c r="C66" s="23"/>
      <c r="D66" s="23"/>
      <c r="E66" s="23"/>
      <c r="F66" s="23"/>
      <c r="G66" s="23"/>
    </row>
    <row r="67" spans="2:7" ht="14" customHeight="1" x14ac:dyDescent="0.3">
      <c r="C67" s="25" t="s">
        <v>111</v>
      </c>
      <c r="D67" s="25" t="s">
        <v>112</v>
      </c>
      <c r="E67" s="25" t="s">
        <v>113</v>
      </c>
      <c r="F67" s="25" t="s">
        <v>114</v>
      </c>
      <c r="G67" s="25" t="s">
        <v>115</v>
      </c>
    </row>
    <row r="68" spans="2:7" ht="14" customHeight="1" x14ac:dyDescent="0.3">
      <c r="B68" s="3" t="s">
        <v>41</v>
      </c>
    </row>
    <row r="69" spans="2:7" ht="14" customHeight="1" x14ac:dyDescent="0.3">
      <c r="B69" s="4" t="s">
        <v>79</v>
      </c>
      <c r="C69" s="26">
        <v>3.5000000000000003E-2</v>
      </c>
      <c r="D69" s="26">
        <v>3.5000000000000003E-2</v>
      </c>
      <c r="E69" s="26">
        <v>0.03</v>
      </c>
      <c r="F69" s="26">
        <v>0.03</v>
      </c>
      <c r="G69" s="26">
        <v>2.5000000000000001E-2</v>
      </c>
    </row>
    <row r="70" spans="2:7" ht="14" customHeight="1" x14ac:dyDescent="0.3">
      <c r="B70" s="4" t="s">
        <v>116</v>
      </c>
      <c r="C70" s="26">
        <v>0.05</v>
      </c>
      <c r="D70" s="26">
        <v>0.05</v>
      </c>
      <c r="E70" s="26">
        <v>4.4999999999999998E-2</v>
      </c>
      <c r="F70" s="26">
        <v>0.04</v>
      </c>
      <c r="G70" s="26">
        <v>0.04</v>
      </c>
    </row>
    <row r="71" spans="2:7" ht="14" customHeight="1" x14ac:dyDescent="0.3">
      <c r="B71" s="4" t="s">
        <v>117</v>
      </c>
      <c r="C71" s="26">
        <v>3.5000000000000003E-2</v>
      </c>
      <c r="D71" s="26">
        <v>3.5000000000000003E-2</v>
      </c>
      <c r="E71" s="26">
        <v>0.03</v>
      </c>
      <c r="F71" s="26">
        <v>0.03</v>
      </c>
      <c r="G71" s="26">
        <v>2.5000000000000001E-2</v>
      </c>
    </row>
    <row r="72" spans="2:7" ht="14" customHeight="1" x14ac:dyDescent="0.3">
      <c r="B72" s="4" t="s">
        <v>118</v>
      </c>
      <c r="C72" s="26">
        <v>0.01</v>
      </c>
      <c r="D72" s="26">
        <v>5.0000000000000001E-3</v>
      </c>
      <c r="E72" s="26">
        <v>5.0000000000000001E-3</v>
      </c>
      <c r="F72" s="26">
        <v>5.0000000000000001E-3</v>
      </c>
      <c r="G72" s="26">
        <v>5.0000000000000001E-3</v>
      </c>
    </row>
    <row r="73" spans="2:7" ht="14" customHeight="1" x14ac:dyDescent="0.3">
      <c r="B73" s="4" t="s">
        <v>119</v>
      </c>
      <c r="C73" s="26">
        <v>-0.03</v>
      </c>
      <c r="D73" s="26">
        <v>0</v>
      </c>
      <c r="E73" s="26">
        <v>5.0000000000000001E-3</v>
      </c>
      <c r="F73" s="26">
        <v>0.01</v>
      </c>
      <c r="G73" s="26">
        <v>1.4999999999999999E-2</v>
      </c>
    </row>
    <row r="75" spans="2:7" ht="14" customHeight="1" x14ac:dyDescent="0.3">
      <c r="B75" s="3" t="s">
        <v>86</v>
      </c>
    </row>
    <row r="76" spans="2:7" ht="14" customHeight="1" x14ac:dyDescent="0.3">
      <c r="B76" s="4" t="s">
        <v>79</v>
      </c>
      <c r="C76" s="26">
        <v>0.63</v>
      </c>
      <c r="D76" s="26">
        <v>0.63100000000000001</v>
      </c>
      <c r="E76" s="26">
        <v>0.63200000000000001</v>
      </c>
      <c r="F76" s="26">
        <v>0.63400000000000001</v>
      </c>
      <c r="G76" s="26">
        <v>0.63500000000000001</v>
      </c>
    </row>
    <row r="77" spans="2:7" ht="14" customHeight="1" x14ac:dyDescent="0.3">
      <c r="B77" s="4" t="s">
        <v>116</v>
      </c>
      <c r="C77" s="26">
        <v>0.63</v>
      </c>
      <c r="D77" s="26">
        <v>0.628</v>
      </c>
      <c r="E77" s="26">
        <v>0.626</v>
      </c>
      <c r="F77" s="26">
        <v>0.624</v>
      </c>
      <c r="G77" s="26">
        <v>0.623</v>
      </c>
    </row>
    <row r="78" spans="2:7" ht="14" customHeight="1" x14ac:dyDescent="0.3">
      <c r="B78" s="4" t="s">
        <v>117</v>
      </c>
      <c r="C78" s="26">
        <v>0.63</v>
      </c>
      <c r="D78" s="26">
        <v>0.63100000000000001</v>
      </c>
      <c r="E78" s="26">
        <v>0.63200000000000001</v>
      </c>
      <c r="F78" s="26">
        <v>0.63400000000000001</v>
      </c>
      <c r="G78" s="26">
        <v>0.63500000000000001</v>
      </c>
    </row>
    <row r="79" spans="2:7" ht="14" customHeight="1" x14ac:dyDescent="0.3">
      <c r="B79" s="4" t="s">
        <v>118</v>
      </c>
      <c r="C79" s="26">
        <v>0.63400000000000001</v>
      </c>
      <c r="D79" s="26">
        <v>0.64100000000000001</v>
      </c>
      <c r="E79" s="26">
        <v>0.64700000000000002</v>
      </c>
      <c r="F79" s="26">
        <v>0.65200000000000002</v>
      </c>
      <c r="G79" s="26">
        <v>0.65200000000000002</v>
      </c>
    </row>
    <row r="80" spans="2:7" ht="14" customHeight="1" x14ac:dyDescent="0.3">
      <c r="B80" s="4" t="s">
        <v>119</v>
      </c>
      <c r="C80" s="26">
        <v>0.66</v>
      </c>
      <c r="D80" s="26">
        <v>0.66500000000000004</v>
      </c>
      <c r="E80" s="26">
        <v>0.66500000000000004</v>
      </c>
      <c r="F80" s="26">
        <v>0.66200000000000003</v>
      </c>
      <c r="G80" s="26">
        <v>0.66</v>
      </c>
    </row>
    <row r="82" spans="2:7" ht="14" customHeight="1" x14ac:dyDescent="0.3">
      <c r="B82" s="3" t="s">
        <v>87</v>
      </c>
    </row>
    <row r="83" spans="2:7" ht="14" customHeight="1" x14ac:dyDescent="0.3">
      <c r="B83" s="4" t="s">
        <v>79</v>
      </c>
      <c r="C83" s="26">
        <v>0.25</v>
      </c>
      <c r="D83" s="26">
        <v>0.25</v>
      </c>
      <c r="E83" s="26">
        <v>0.25</v>
      </c>
      <c r="F83" s="26">
        <v>0.25</v>
      </c>
      <c r="G83" s="26">
        <v>0.25</v>
      </c>
    </row>
    <row r="84" spans="2:7" ht="14" customHeight="1" x14ac:dyDescent="0.3">
      <c r="B84" s="4" t="s">
        <v>116</v>
      </c>
      <c r="C84" s="26">
        <v>0.246</v>
      </c>
      <c r="D84" s="26">
        <v>0.246</v>
      </c>
      <c r="E84" s="26">
        <v>0.246</v>
      </c>
      <c r="F84" s="26">
        <v>0.246</v>
      </c>
      <c r="G84" s="26">
        <v>0.246</v>
      </c>
    </row>
    <row r="85" spans="2:7" ht="14" customHeight="1" x14ac:dyDescent="0.3">
      <c r="B85" s="4" t="s">
        <v>117</v>
      </c>
      <c r="C85" s="26">
        <v>0.25</v>
      </c>
      <c r="D85" s="26">
        <v>0.25</v>
      </c>
      <c r="E85" s="26">
        <v>0.25</v>
      </c>
      <c r="F85" s="26">
        <v>0.25</v>
      </c>
      <c r="G85" s="26">
        <v>0.25</v>
      </c>
    </row>
    <row r="86" spans="2:7" ht="14" customHeight="1" x14ac:dyDescent="0.3">
      <c r="B86" s="4" t="s">
        <v>118</v>
      </c>
      <c r="C86" s="26">
        <v>0.25600000000000001</v>
      </c>
      <c r="D86" s="26">
        <v>0.25600000000000001</v>
      </c>
      <c r="E86" s="26">
        <v>0.25600000000000001</v>
      </c>
      <c r="F86" s="26">
        <v>0.25600000000000001</v>
      </c>
      <c r="G86" s="26">
        <v>0.25600000000000001</v>
      </c>
    </row>
    <row r="87" spans="2:7" ht="14" customHeight="1" x14ac:dyDescent="0.3">
      <c r="B87" s="4" t="s">
        <v>119</v>
      </c>
      <c r="C87" s="26">
        <v>0.26500000000000001</v>
      </c>
      <c r="D87" s="26">
        <v>0.26500000000000001</v>
      </c>
      <c r="E87" s="26">
        <v>0.26500000000000001</v>
      </c>
      <c r="F87" s="26">
        <v>0.26500000000000001</v>
      </c>
      <c r="G87" s="26">
        <v>0.26500000000000001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120</v>
      </c>
    </row>
    <row r="3" spans="2:9" ht="14" customHeight="1" x14ac:dyDescent="0.3">
      <c r="B3" s="1" t="s">
        <v>121</v>
      </c>
    </row>
    <row r="5" spans="2:9" ht="14" customHeight="1" x14ac:dyDescent="0.3">
      <c r="B5" s="8" t="s">
        <v>122</v>
      </c>
      <c r="C5" s="9"/>
      <c r="D5" s="9"/>
      <c r="E5" s="9"/>
      <c r="F5" s="9"/>
      <c r="G5" s="9"/>
      <c r="H5" s="9"/>
      <c r="I5" s="9"/>
    </row>
    <row r="6" spans="2:9" ht="14" customHeight="1" x14ac:dyDescent="0.3">
      <c r="B6" s="4" t="s">
        <v>123</v>
      </c>
      <c r="C6" s="15">
        <f>'Executive Summary'!C9</f>
        <v>5174</v>
      </c>
    </row>
    <row r="7" spans="2:9" ht="14" customHeight="1" x14ac:dyDescent="0.3">
      <c r="B7" s="4" t="s">
        <v>67</v>
      </c>
      <c r="C7" s="15">
        <f>'DCF Model'!C15</f>
        <v>953335931</v>
      </c>
    </row>
    <row r="8" spans="2:9" ht="14" customHeight="1" x14ac:dyDescent="0.3">
      <c r="B8" s="4" t="s">
        <v>124</v>
      </c>
      <c r="C8" s="5">
        <f>C6*C7/1000000</f>
        <v>4932560.1069940003</v>
      </c>
    </row>
    <row r="9" spans="2:9" ht="14" customHeight="1" x14ac:dyDescent="0.3">
      <c r="B9" s="4" t="s">
        <v>68</v>
      </c>
      <c r="C9" s="5">
        <f>'DCF Model'!C16</f>
        <v>314662</v>
      </c>
    </row>
    <row r="10" spans="2:9" ht="14" customHeight="1" x14ac:dyDescent="0.3">
      <c r="B10" s="4" t="s">
        <v>125</v>
      </c>
      <c r="C10" s="5">
        <f>C8+C9</f>
        <v>5247222.1069940003</v>
      </c>
    </row>
    <row r="11" spans="2:9" ht="14" customHeight="1" x14ac:dyDescent="0.3">
      <c r="B11" s="4" t="s">
        <v>126</v>
      </c>
      <c r="C11" s="16">
        <f>'DCF Model'!C26</f>
        <v>7.524551607445007E-2</v>
      </c>
    </row>
    <row r="12" spans="2:9" ht="14" customHeight="1" x14ac:dyDescent="0.3">
      <c r="B12" s="4" t="s">
        <v>127</v>
      </c>
      <c r="C12" s="16">
        <f>'DCF Model'!C13</f>
        <v>0.01</v>
      </c>
    </row>
    <row r="13" spans="2:9" ht="14" customHeight="1" x14ac:dyDescent="0.3">
      <c r="B13" s="4" t="s">
        <v>128</v>
      </c>
      <c r="C13" s="16">
        <f>'DCF Model'!C6</f>
        <v>0.25</v>
      </c>
    </row>
    <row r="14" spans="2:9" ht="14" customHeight="1" x14ac:dyDescent="0.3">
      <c r="B14" s="4" t="s">
        <v>129</v>
      </c>
      <c r="C14" s="27">
        <v>191301</v>
      </c>
    </row>
    <row r="15" spans="2:9" ht="14" customHeight="1" x14ac:dyDescent="0.3">
      <c r="B15" s="4" t="s">
        <v>130</v>
      </c>
      <c r="C15" s="27">
        <v>191301</v>
      </c>
    </row>
    <row r="16" spans="2:9" ht="14" customHeight="1" x14ac:dyDescent="0.3">
      <c r="B16" s="4" t="s">
        <v>131</v>
      </c>
      <c r="C16" s="5">
        <f>'DCF Model'!G33</f>
        <v>1844833.3517779144</v>
      </c>
    </row>
    <row r="17" spans="2:9" ht="14" customHeight="1" x14ac:dyDescent="0.3">
      <c r="B17" s="4" t="s">
        <v>132</v>
      </c>
      <c r="C17" s="5">
        <f>'DCF Model'!C53</f>
        <v>2185901.1342505054</v>
      </c>
    </row>
    <row r="18" spans="2:9" ht="14" customHeight="1" x14ac:dyDescent="0.3">
      <c r="B18" s="4" t="s">
        <v>133</v>
      </c>
      <c r="C18" s="26">
        <v>0.1207922617585569</v>
      </c>
    </row>
    <row r="19" spans="2:9" ht="14" customHeight="1" x14ac:dyDescent="0.3">
      <c r="B19" s="4" t="s">
        <v>134</v>
      </c>
      <c r="C19" s="5">
        <f>C10-C17</f>
        <v>3061320.9727434949</v>
      </c>
    </row>
    <row r="20" spans="2:9" ht="14" customHeight="1" x14ac:dyDescent="0.3">
      <c r="B20" s="4" t="s">
        <v>135</v>
      </c>
      <c r="C20" s="15">
        <f>IFERROR(ROUND(C19*1000000/C7,0),"N/A")</f>
        <v>3211</v>
      </c>
    </row>
    <row r="22" spans="2:9" ht="14" customHeight="1" x14ac:dyDescent="0.3">
      <c r="B22" s="8" t="s">
        <v>136</v>
      </c>
      <c r="C22" s="9"/>
      <c r="D22" s="9"/>
      <c r="E22" s="9"/>
      <c r="F22" s="9"/>
      <c r="G22" s="9"/>
      <c r="H22" s="9"/>
      <c r="I22" s="9"/>
    </row>
    <row r="23" spans="2:9" ht="14" customHeight="1" x14ac:dyDescent="0.3">
      <c r="B23" s="1" t="s">
        <v>137</v>
      </c>
    </row>
    <row r="24" spans="2:9" ht="14" customHeight="1" x14ac:dyDescent="0.3">
      <c r="B24" s="4" t="s">
        <v>138</v>
      </c>
      <c r="C24" s="5">
        <f>C10*(C11-C12)</f>
        <v>342357.71432808682</v>
      </c>
    </row>
    <row r="25" spans="2:9" ht="14" customHeight="1" x14ac:dyDescent="0.3">
      <c r="B25" s="4" t="s">
        <v>139</v>
      </c>
      <c r="C25" s="5">
        <f>IFERROR(C24/(1-C13),"N/A")</f>
        <v>456476.95243744907</v>
      </c>
    </row>
    <row r="26" spans="2:9" ht="13.5" customHeight="1" x14ac:dyDescent="0.25">
      <c r="B26" s="6" t="s">
        <v>140</v>
      </c>
      <c r="C26" s="14">
        <f>IFERROR(C25/C15,"N/A")</f>
        <v>2.3861712821022842</v>
      </c>
    </row>
    <row r="27" spans="2:9" ht="13.5" customHeight="1" x14ac:dyDescent="0.25">
      <c r="B27" s="6" t="s">
        <v>141</v>
      </c>
      <c r="C27" s="14">
        <f>IFERROR(C25/C14,"N/A")</f>
        <v>2.3861712821022842</v>
      </c>
    </row>
    <row r="28" spans="2:9" ht="13.5" customHeight="1" x14ac:dyDescent="0.25">
      <c r="B28" s="6" t="s">
        <v>142</v>
      </c>
      <c r="C28" s="7">
        <f>IFERROR(C25/C16,"N/A")</f>
        <v>0.24743533175911539</v>
      </c>
    </row>
    <row r="29" spans="2:9" ht="13.5" customHeight="1" x14ac:dyDescent="0.25">
      <c r="B29" s="6" t="s">
        <v>143</v>
      </c>
      <c r="C29" s="5">
        <f>IFERROR(C25/C18,"N/A")</f>
        <v>3779024.7967197481</v>
      </c>
    </row>
    <row r="32" spans="2:9" ht="14" customHeight="1" x14ac:dyDescent="0.3">
      <c r="B32" s="8" t="s">
        <v>144</v>
      </c>
      <c r="C32" s="9"/>
      <c r="D32" s="9"/>
      <c r="E32" s="9"/>
      <c r="F32" s="9"/>
      <c r="G32" s="9"/>
      <c r="H32" s="9"/>
      <c r="I32" s="9"/>
    </row>
    <row r="33" spans="2:9" ht="14" customHeight="1" x14ac:dyDescent="0.3">
      <c r="B33" s="1" t="s">
        <v>145</v>
      </c>
    </row>
    <row r="34" spans="2:9" ht="14" customHeight="1" x14ac:dyDescent="0.3">
      <c r="B34" s="1" t="s">
        <v>146</v>
      </c>
    </row>
    <row r="36" spans="2:9" ht="14" customHeight="1" x14ac:dyDescent="0.3">
      <c r="B36" s="28" t="s">
        <v>147</v>
      </c>
      <c r="C36" s="28" t="s">
        <v>148</v>
      </c>
      <c r="D36" s="29">
        <f>'DCF Model'!C26-0.02</f>
        <v>5.5245516074450066E-2</v>
      </c>
      <c r="E36" s="29">
        <f>'DCF Model'!C26-0.01</f>
        <v>6.5245516074450075E-2</v>
      </c>
      <c r="F36" s="29">
        <f>'DCF Model'!C26</f>
        <v>7.524551607445007E-2</v>
      </c>
      <c r="G36" s="29">
        <f>'DCF Model'!C26+0.01</f>
        <v>8.5245516074450065E-2</v>
      </c>
      <c r="H36" s="29">
        <f>'DCF Model'!C26+0.02</f>
        <v>9.5245516074450073E-2</v>
      </c>
    </row>
    <row r="37" spans="2:9" ht="14" customHeight="1" x14ac:dyDescent="0.3">
      <c r="B37" s="3" t="s">
        <v>149</v>
      </c>
    </row>
    <row r="38" spans="2:9" ht="14" customHeight="1" x14ac:dyDescent="0.3">
      <c r="B38" s="4" t="s">
        <v>150</v>
      </c>
      <c r="C38" s="30">
        <v>3</v>
      </c>
      <c r="D38" s="13">
        <f t="shared" ref="D38:H41" si="0">IFERROR((1-(1+D$36)^(-$C38))/D$36-(1+D$36)/(D$36^2*$C38)*(1-($C38+1)/(1+D$36)^$C38+$C38/(1+D$36)^($C38+1)),"N/A")</f>
        <v>0.93110930757775701</v>
      </c>
      <c r="E38" s="13">
        <f t="shared" si="0"/>
        <v>0.91958479060095821</v>
      </c>
      <c r="F38" s="13">
        <f t="shared" si="0"/>
        <v>0.9083259310800571</v>
      </c>
      <c r="G38" s="13">
        <f t="shared" si="0"/>
        <v>0.89732398035200323</v>
      </c>
      <c r="H38" s="13">
        <f t="shared" si="0"/>
        <v>0.88657056011067481</v>
      </c>
    </row>
    <row r="39" spans="2:9" ht="14" customHeight="1" x14ac:dyDescent="0.3">
      <c r="B39" s="4" t="s">
        <v>151</v>
      </c>
      <c r="C39" s="30">
        <v>5</v>
      </c>
      <c r="D39" s="13">
        <f t="shared" si="0"/>
        <v>1.7986389560077751</v>
      </c>
      <c r="E39" s="13">
        <f t="shared" si="0"/>
        <v>1.7659844039502723</v>
      </c>
      <c r="F39" s="13">
        <f t="shared" si="0"/>
        <v>1.7343657029281161</v>
      </c>
      <c r="G39" s="13">
        <f t="shared" si="0"/>
        <v>1.7037380263467994</v>
      </c>
      <c r="H39" s="13">
        <f t="shared" si="0"/>
        <v>1.6740589559495951</v>
      </c>
    </row>
    <row r="40" spans="2:9" ht="14" customHeight="1" x14ac:dyDescent="0.3">
      <c r="B40" s="4" t="s">
        <v>152</v>
      </c>
      <c r="C40" s="30">
        <v>7</v>
      </c>
      <c r="D40" s="13">
        <f t="shared" si="0"/>
        <v>2.6074643940171942</v>
      </c>
      <c r="E40" s="13">
        <f t="shared" si="0"/>
        <v>2.5457376498203521</v>
      </c>
      <c r="F40" s="13">
        <f t="shared" si="0"/>
        <v>2.48648541528117</v>
      </c>
      <c r="G40" s="13">
        <f t="shared" si="0"/>
        <v>2.4295757722553937</v>
      </c>
      <c r="H40" s="13">
        <f t="shared" si="0"/>
        <v>2.3748853529501468</v>
      </c>
    </row>
    <row r="41" spans="2:9" ht="14" customHeight="1" x14ac:dyDescent="0.3">
      <c r="B41" s="4" t="s">
        <v>153</v>
      </c>
      <c r="C41" s="30">
        <v>10</v>
      </c>
      <c r="D41" s="13">
        <f t="shared" si="0"/>
        <v>3.7203250978209641</v>
      </c>
      <c r="E41" s="13">
        <f t="shared" si="0"/>
        <v>3.6031925868737611</v>
      </c>
      <c r="F41" s="13">
        <f t="shared" si="0"/>
        <v>3.4921610162119214</v>
      </c>
      <c r="G41" s="13">
        <f t="shared" si="0"/>
        <v>3.3868167356900489</v>
      </c>
      <c r="H41" s="13">
        <f t="shared" si="0"/>
        <v>3.2867795569895066</v>
      </c>
    </row>
    <row r="42" spans="2:9" ht="14" customHeight="1" x14ac:dyDescent="0.3">
      <c r="B42" s="3" t="s">
        <v>154</v>
      </c>
    </row>
    <row r="43" spans="2:9" ht="14" customHeight="1" x14ac:dyDescent="0.3">
      <c r="B43" s="4" t="s">
        <v>150</v>
      </c>
      <c r="C43" s="30">
        <v>3</v>
      </c>
      <c r="D43" s="13">
        <f t="shared" ref="D43:H46" si="1">IFERROR((1+D$36)/(D$36^2*$C43)*(1-($C43+1)/(1+D$36)^$C43+$C43/(1+D$36)^($C43+1))+(1+$C$12)/((D$36-$C$12)*(1+D$36)^$C43),"N/A")</f>
        <v>20.762602546906727</v>
      </c>
      <c r="E43" s="13">
        <f t="shared" si="1"/>
        <v>16.851992584185695</v>
      </c>
      <c r="F43" s="13">
        <f t="shared" si="1"/>
        <v>14.143289608029846</v>
      </c>
      <c r="G43" s="13">
        <f t="shared" si="1"/>
        <v>12.157205201185167</v>
      </c>
      <c r="H43" s="13">
        <f t="shared" si="1"/>
        <v>10.639352460378976</v>
      </c>
    </row>
    <row r="44" spans="2:9" ht="14" customHeight="1" x14ac:dyDescent="0.3">
      <c r="B44" s="4" t="s">
        <v>151</v>
      </c>
      <c r="C44" s="30">
        <v>5</v>
      </c>
      <c r="D44" s="13">
        <f t="shared" si="1"/>
        <v>19.528741535795838</v>
      </c>
      <c r="E44" s="13">
        <f t="shared" si="1"/>
        <v>15.715273747195919</v>
      </c>
      <c r="F44" s="13">
        <f t="shared" si="1"/>
        <v>13.079298442452453</v>
      </c>
      <c r="G44" s="13">
        <f t="shared" si="1"/>
        <v>11.151005376682603</v>
      </c>
      <c r="H44" s="13">
        <f t="shared" si="1"/>
        <v>9.6810524333055845</v>
      </c>
    </row>
    <row r="45" spans="2:9" ht="14" customHeight="1" x14ac:dyDescent="0.3">
      <c r="B45" s="4" t="s">
        <v>152</v>
      </c>
      <c r="C45" s="30">
        <v>7</v>
      </c>
      <c r="D45" s="13">
        <f t="shared" si="1"/>
        <v>18.390937935247738</v>
      </c>
      <c r="E45" s="13">
        <f t="shared" si="1"/>
        <v>14.679675836954843</v>
      </c>
      <c r="F45" s="13">
        <f t="shared" si="1"/>
        <v>12.121365649799751</v>
      </c>
      <c r="G45" s="13">
        <f t="shared" si="1"/>
        <v>10.255535323187758</v>
      </c>
      <c r="H45" s="13">
        <f t="shared" si="1"/>
        <v>8.8378311240006138</v>
      </c>
    </row>
    <row r="46" spans="2:9" ht="14" customHeight="1" x14ac:dyDescent="0.3">
      <c r="B46" s="4" t="s">
        <v>153</v>
      </c>
      <c r="C46" s="30">
        <v>10</v>
      </c>
      <c r="D46" s="13">
        <f t="shared" si="1"/>
        <v>16.846422919113778</v>
      </c>
      <c r="E46" s="13">
        <f t="shared" si="1"/>
        <v>13.294273168113548</v>
      </c>
      <c r="F46" s="13">
        <f t="shared" si="1"/>
        <v>10.857897073904665</v>
      </c>
      <c r="G46" s="13">
        <f t="shared" si="1"/>
        <v>9.0906190376177225</v>
      </c>
      <c r="H46" s="13">
        <f t="shared" si="1"/>
        <v>7.7555033085484641</v>
      </c>
    </row>
    <row r="47" spans="2:9" ht="14" customHeight="1" x14ac:dyDescent="0.3">
      <c r="B47" s="22" t="s">
        <v>155</v>
      </c>
      <c r="C47" s="23"/>
      <c r="D47" s="23"/>
      <c r="E47" s="23"/>
      <c r="F47" s="23"/>
      <c r="G47" s="23"/>
      <c r="H47" s="23"/>
      <c r="I47" s="23"/>
    </row>
    <row r="48" spans="2:9" ht="14" customHeight="1" x14ac:dyDescent="0.3">
      <c r="B48" s="4" t="s">
        <v>150</v>
      </c>
      <c r="C48" s="30">
        <v>3</v>
      </c>
      <c r="D48" s="5">
        <f t="shared" ref="D48:H51" si="2">IFERROR(($C$10/(1-$C$13)-$C$14*D38)/D43,"N/A")</f>
        <v>328387.25230164005</v>
      </c>
      <c r="E48" s="5">
        <f t="shared" si="2"/>
        <v>404722.38630298921</v>
      </c>
      <c r="F48" s="5">
        <f t="shared" si="2"/>
        <v>482386.53614528489</v>
      </c>
      <c r="G48" s="5">
        <f t="shared" si="2"/>
        <v>561365.63091227878</v>
      </c>
      <c r="H48" s="5">
        <f t="shared" si="2"/>
        <v>641645.6577937043</v>
      </c>
    </row>
    <row r="49" spans="2:9" ht="14" customHeight="1" x14ac:dyDescent="0.3">
      <c r="B49" s="4" t="s">
        <v>151</v>
      </c>
      <c r="C49" s="30">
        <v>5</v>
      </c>
      <c r="D49" s="5">
        <f t="shared" si="2"/>
        <v>340637.14241606568</v>
      </c>
      <c r="E49" s="5">
        <f t="shared" si="2"/>
        <v>423693.64144144458</v>
      </c>
      <c r="F49" s="5">
        <f t="shared" si="2"/>
        <v>509546.46219336335</v>
      </c>
      <c r="G49" s="5">
        <f t="shared" si="2"/>
        <v>598185.46661529061</v>
      </c>
      <c r="H49" s="5">
        <f t="shared" si="2"/>
        <v>689599.30093540717</v>
      </c>
    </row>
    <row r="50" spans="2:9" ht="14" customHeight="1" x14ac:dyDescent="0.3">
      <c r="B50" s="4" t="s">
        <v>152</v>
      </c>
      <c r="C50" s="30">
        <v>7</v>
      </c>
      <c r="D50" s="5">
        <f t="shared" si="2"/>
        <v>353298.21782312804</v>
      </c>
      <c r="E50" s="5">
        <f t="shared" si="2"/>
        <v>443422.18839218415</v>
      </c>
      <c r="F50" s="5">
        <f t="shared" si="2"/>
        <v>537945.07851825154</v>
      </c>
      <c r="G50" s="5">
        <f t="shared" si="2"/>
        <v>636877.1265486927</v>
      </c>
      <c r="H50" s="5">
        <f t="shared" si="2"/>
        <v>740224.39532569377</v>
      </c>
    </row>
    <row r="51" spans="2:9" ht="14" customHeight="1" x14ac:dyDescent="0.3">
      <c r="B51" s="4" t="s">
        <v>153</v>
      </c>
      <c r="C51" s="30">
        <v>10</v>
      </c>
      <c r="D51" s="5">
        <f t="shared" si="2"/>
        <v>373052.14651770279</v>
      </c>
      <c r="E51" s="5">
        <f t="shared" si="2"/>
        <v>474414.93926306086</v>
      </c>
      <c r="F51" s="5">
        <f t="shared" si="2"/>
        <v>582823.93036357802</v>
      </c>
      <c r="G51" s="5">
        <f t="shared" si="2"/>
        <v>698345.69989505119</v>
      </c>
      <c r="H51" s="5">
        <f t="shared" si="2"/>
        <v>821034.00299093907</v>
      </c>
    </row>
    <row r="52" spans="2:9" ht="14" customHeight="1" x14ac:dyDescent="0.3">
      <c r="B52" s="22" t="s">
        <v>156</v>
      </c>
      <c r="C52" s="23"/>
      <c r="D52" s="23"/>
      <c r="E52" s="23"/>
      <c r="F52" s="23"/>
      <c r="G52" s="23"/>
      <c r="H52" s="23"/>
      <c r="I52" s="23"/>
    </row>
    <row r="53" spans="2:9" ht="14" customHeight="1" x14ac:dyDescent="0.3">
      <c r="B53" s="4" t="s">
        <v>150</v>
      </c>
      <c r="C53" s="30">
        <v>3</v>
      </c>
      <c r="D53" s="14">
        <f t="shared" ref="D53:H56" si="3">IFERROR(D48/$C$15,"N/A")</f>
        <v>1.7165997684363388</v>
      </c>
      <c r="E53" s="14">
        <f t="shared" si="3"/>
        <v>2.1156313155863753</v>
      </c>
      <c r="F53" s="14">
        <f t="shared" si="3"/>
        <v>2.5216101125727772</v>
      </c>
      <c r="G53" s="14">
        <f t="shared" si="3"/>
        <v>2.9344626055916008</v>
      </c>
      <c r="H53" s="14">
        <f t="shared" si="3"/>
        <v>3.3541155445800301</v>
      </c>
    </row>
    <row r="54" spans="2:9" ht="14" customHeight="1" x14ac:dyDescent="0.3">
      <c r="B54" s="4" t="s">
        <v>151</v>
      </c>
      <c r="C54" s="30">
        <v>5</v>
      </c>
      <c r="D54" s="14">
        <f t="shared" si="3"/>
        <v>1.7806344055497132</v>
      </c>
      <c r="E54" s="14">
        <f t="shared" si="3"/>
        <v>2.2148009756428069</v>
      </c>
      <c r="F54" s="14">
        <f t="shared" si="3"/>
        <v>2.6635849378380843</v>
      </c>
      <c r="G54" s="14">
        <f t="shared" si="3"/>
        <v>3.1269332968217136</v>
      </c>
      <c r="H54" s="14">
        <f t="shared" si="3"/>
        <v>3.604786702293282</v>
      </c>
    </row>
    <row r="55" spans="2:9" ht="14" customHeight="1" x14ac:dyDescent="0.3">
      <c r="B55" s="4" t="s">
        <v>152</v>
      </c>
      <c r="C55" s="30">
        <v>7</v>
      </c>
      <c r="D55" s="14">
        <f t="shared" si="3"/>
        <v>1.8468184579439106</v>
      </c>
      <c r="E55" s="14">
        <f t="shared" si="3"/>
        <v>2.3179292758123804</v>
      </c>
      <c r="F55" s="14">
        <f t="shared" si="3"/>
        <v>2.8120348483188877</v>
      </c>
      <c r="G55" s="14">
        <f t="shared" si="3"/>
        <v>3.3291886950339658</v>
      </c>
      <c r="H55" s="14">
        <f t="shared" si="3"/>
        <v>3.8694225086418461</v>
      </c>
    </row>
    <row r="56" spans="2:9" ht="14" customHeight="1" x14ac:dyDescent="0.3">
      <c r="B56" s="4" t="s">
        <v>153</v>
      </c>
      <c r="C56" s="30">
        <v>10</v>
      </c>
      <c r="D56" s="14">
        <f t="shared" si="3"/>
        <v>1.9500794377326975</v>
      </c>
      <c r="E56" s="14">
        <f t="shared" si="3"/>
        <v>2.4799396723648117</v>
      </c>
      <c r="F56" s="14">
        <f t="shared" si="3"/>
        <v>3.0466329520680917</v>
      </c>
      <c r="G56" s="14">
        <f t="shared" si="3"/>
        <v>3.6505073151476011</v>
      </c>
      <c r="H56" s="14">
        <f t="shared" si="3"/>
        <v>4.2918437592638776</v>
      </c>
    </row>
    <row r="58" spans="2:9" ht="14" customHeight="1" x14ac:dyDescent="0.3">
      <c r="B58" s="8" t="s">
        <v>157</v>
      </c>
      <c r="C58" s="9"/>
      <c r="D58" s="9"/>
      <c r="E58" s="9"/>
      <c r="F58" s="9"/>
      <c r="G58" s="9"/>
      <c r="H58" s="9"/>
      <c r="I58" s="9"/>
    </row>
    <row r="59" spans="2:9" ht="14" customHeight="1" x14ac:dyDescent="0.3">
      <c r="B59" s="1" t="s">
        <v>158</v>
      </c>
    </row>
    <row r="60" spans="2:9" ht="14" customHeight="1" x14ac:dyDescent="0.3">
      <c r="B60" s="4" t="s">
        <v>159</v>
      </c>
      <c r="C60" s="5">
        <f>F49</f>
        <v>509546.46219336335</v>
      </c>
    </row>
    <row r="62" spans="2:9" ht="14" customHeight="1" x14ac:dyDescent="0.3">
      <c r="B62" s="28" t="s">
        <v>160</v>
      </c>
      <c r="C62" s="28" t="s">
        <v>161</v>
      </c>
      <c r="D62" s="28" t="s">
        <v>162</v>
      </c>
    </row>
    <row r="63" spans="2:9" ht="14" customHeight="1" x14ac:dyDescent="0.3">
      <c r="B63" s="31">
        <v>6.0400000000000002E-2</v>
      </c>
      <c r="C63" s="5">
        <f>IFERROR($C$60/B63,"N/A")</f>
        <v>8436199.7051881347</v>
      </c>
      <c r="D63" s="14">
        <f>IFERROR(C63/'DCF Model'!C17,"N/A")</f>
        <v>5.3268286262829045</v>
      </c>
    </row>
    <row r="64" spans="2:9" ht="14" customHeight="1" x14ac:dyDescent="0.3">
      <c r="B64" s="31">
        <v>9.06E-2</v>
      </c>
      <c r="C64" s="5">
        <f>IFERROR($C$60/B64,"N/A")</f>
        <v>5624133.1367920898</v>
      </c>
      <c r="D64" s="14">
        <f>IFERROR(C64/'DCF Model'!C17,"N/A")</f>
        <v>3.5512190841886029</v>
      </c>
    </row>
    <row r="65" spans="2:9" ht="14" customHeight="1" x14ac:dyDescent="0.3">
      <c r="B65" s="4" t="s">
        <v>163</v>
      </c>
      <c r="C65" s="5">
        <f>IFERROR($C$60/$C$18,"N/A")</f>
        <v>4218370.0741679939</v>
      </c>
      <c r="D65" s="14">
        <f>IFERROR(C65/'DCF Model'!C17,"N/A")</f>
        <v>2.6635849378380847</v>
      </c>
    </row>
    <row r="66" spans="2:9" ht="14" customHeight="1" x14ac:dyDescent="0.3">
      <c r="B66" s="31">
        <v>0.151</v>
      </c>
      <c r="C66" s="5">
        <f>IFERROR($C$60/B66,"N/A")</f>
        <v>3374479.8820752539</v>
      </c>
      <c r="D66" s="14">
        <f>IFERROR(C66/'DCF Model'!C17,"N/A")</f>
        <v>2.1307314505131618</v>
      </c>
    </row>
    <row r="67" spans="2:9" ht="14" customHeight="1" x14ac:dyDescent="0.3">
      <c r="B67" s="31">
        <v>0.1812</v>
      </c>
      <c r="C67" s="5">
        <f>IFERROR($C$60/B67,"N/A")</f>
        <v>2812066.5683960449</v>
      </c>
      <c r="D67" s="14">
        <f>IFERROR(C67/'DCF Model'!C17,"N/A")</f>
        <v>1.7756095420943014</v>
      </c>
    </row>
    <row r="69" spans="2:9" ht="14" customHeight="1" x14ac:dyDescent="0.3">
      <c r="B69" s="8" t="s">
        <v>164</v>
      </c>
      <c r="C69" s="9"/>
      <c r="D69" s="9"/>
      <c r="E69" s="9"/>
      <c r="F69" s="9"/>
      <c r="G69" s="9"/>
      <c r="H69" s="9"/>
      <c r="I69" s="9"/>
    </row>
    <row r="70" spans="2:9" ht="13.5" customHeight="1" x14ac:dyDescent="0.25">
      <c r="B70" s="6" t="s">
        <v>165</v>
      </c>
      <c r="C70" s="14">
        <f>IFERROR(C10/'Comps Analysis'!G5,"N/A")</f>
        <v>18.891072598101974</v>
      </c>
    </row>
    <row r="71" spans="2:9" ht="13.5" customHeight="1" x14ac:dyDescent="0.25">
      <c r="B71" s="6" t="s">
        <v>166</v>
      </c>
      <c r="C71" s="14">
        <f>IFERROR(C10/'Comps Analysis'!F5,"N/A")</f>
        <v>3.3132279823592445</v>
      </c>
    </row>
    <row r="72" spans="2:9" ht="14" customHeight="1" x14ac:dyDescent="0.3">
      <c r="B72" s="4" t="s">
        <v>167</v>
      </c>
      <c r="C72" s="14">
        <f>IFERROR(C10/(C25+'DCF Model'!G42),"N/A")</f>
        <v>9.3122158240224948</v>
      </c>
    </row>
    <row r="73" spans="2:9" ht="14" customHeight="1" x14ac:dyDescent="0.3">
      <c r="B73" s="4" t="s">
        <v>168</v>
      </c>
      <c r="C73" s="14">
        <f>IFERROR(C10/(C60+'DCF Model'!G42),"N/A")</f>
        <v>8.5106631580282173</v>
      </c>
    </row>
    <row r="74" spans="2:9" ht="14" customHeight="1" x14ac:dyDescent="0.3">
      <c r="B74" s="4" t="s">
        <v>169</v>
      </c>
      <c r="C74" s="14">
        <f>IFERROR('Comps Analysis'!D16,"N/A")</f>
        <v>10.92142078168791</v>
      </c>
    </row>
    <row r="75" spans="2:9" ht="14" customHeight="1" x14ac:dyDescent="0.3">
      <c r="B75" s="1" t="s">
        <v>170</v>
      </c>
    </row>
    <row r="77" spans="2:9" ht="14" customHeight="1" x14ac:dyDescent="0.3">
      <c r="B77" s="22" t="s">
        <v>171</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5,174 yen the market is paying for a steady-state operating profit of 509,546 mn JPY - 2.66x the FY2026 cycle peak of 191,301 mn - reached in 5 years and sustained for ever, against 191,301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456,477 mn, or 2.39x the peak. The base case supports an EV of only 2,185,901 mn, leaving 3,211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172</v>
      </c>
    </row>
    <row r="4" spans="2:8" ht="14" customHeight="1" x14ac:dyDescent="0.3">
      <c r="B4" s="8" t="s">
        <v>173</v>
      </c>
      <c r="C4" s="32" t="s">
        <v>174</v>
      </c>
      <c r="D4" s="32" t="s">
        <v>81</v>
      </c>
      <c r="E4" s="32" t="s">
        <v>82</v>
      </c>
      <c r="F4" s="32" t="s">
        <v>83</v>
      </c>
      <c r="G4" s="32" t="s">
        <v>84</v>
      </c>
      <c r="H4" s="32" t="s">
        <v>85</v>
      </c>
    </row>
    <row r="5" spans="2:8" ht="14" customHeight="1" x14ac:dyDescent="0.3">
      <c r="B5" s="33" t="s">
        <v>175</v>
      </c>
      <c r="C5" s="34">
        <f>C12/C9*365</f>
        <v>0</v>
      </c>
      <c r="D5" s="34">
        <f>CHOOSE('DCF Model'!$D$27,D25,D26,D27,D28,D29)</f>
        <v>44</v>
      </c>
      <c r="E5" s="34">
        <f>CHOOSE('DCF Model'!$D$27,E25,E26,E27,E28,E29)</f>
        <v>44</v>
      </c>
      <c r="F5" s="34">
        <f>CHOOSE('DCF Model'!$D$27,F25,F26,F27,F28,F29)</f>
        <v>44</v>
      </c>
      <c r="G5" s="34">
        <f>CHOOSE('DCF Model'!$D$27,G25,G26,G27,G28,G29)</f>
        <v>44</v>
      </c>
      <c r="H5" s="34">
        <f>CHOOSE('DCF Model'!$D$27,H25,H26,H27,H28,H29)</f>
        <v>44</v>
      </c>
    </row>
    <row r="6" spans="2:8" ht="14" customHeight="1" x14ac:dyDescent="0.3">
      <c r="B6" s="33" t="s">
        <v>176</v>
      </c>
      <c r="C6" s="34">
        <f>C13/C10*365</f>
        <v>117.88386024306436</v>
      </c>
      <c r="D6" s="34">
        <f>CHOOSE('DCF Model'!$D$27,D32,D33,D34,D35,D36)</f>
        <v>112</v>
      </c>
      <c r="E6" s="34">
        <f>CHOOSE('DCF Model'!$D$27,E32,E33,E34,E35,E36)</f>
        <v>112</v>
      </c>
      <c r="F6" s="34">
        <f>CHOOSE('DCF Model'!$D$27,F32,F33,F34,F35,F36)</f>
        <v>112</v>
      </c>
      <c r="G6" s="34">
        <f>CHOOSE('DCF Model'!$D$27,G32,G33,G34,G35,G36)</f>
        <v>112</v>
      </c>
      <c r="H6" s="34">
        <f>CHOOSE('DCF Model'!$D$27,H32,H33,H34,H35,H36)</f>
        <v>112</v>
      </c>
    </row>
    <row r="7" spans="2:8" ht="14" customHeight="1" x14ac:dyDescent="0.3">
      <c r="B7" s="33" t="s">
        <v>177</v>
      </c>
      <c r="C7" s="34">
        <f>C15/C10*365</f>
        <v>0</v>
      </c>
      <c r="D7" s="34">
        <f>CHOOSE('DCF Model'!$D$27,D39,D40,D41,D42,D43)</f>
        <v>94</v>
      </c>
      <c r="E7" s="34">
        <f>CHOOSE('DCF Model'!$D$27,E39,E40,E41,E42,E43)</f>
        <v>94</v>
      </c>
      <c r="F7" s="34">
        <f>CHOOSE('DCF Model'!$D$27,F39,F40,F41,F42,F43)</f>
        <v>94</v>
      </c>
      <c r="G7" s="34">
        <f>CHOOSE('DCF Model'!$D$27,G39,G40,G41,G42,G43)</f>
        <v>94</v>
      </c>
      <c r="H7" s="34">
        <f>CHOOSE('DCF Model'!$D$27,H39,H40,H41,H42,H43)</f>
        <v>94</v>
      </c>
    </row>
    <row r="8" spans="2:8" ht="14" customHeight="1" x14ac:dyDescent="0.3">
      <c r="B8" s="8" t="s">
        <v>178</v>
      </c>
      <c r="C8" s="9"/>
      <c r="D8" s="9"/>
      <c r="E8" s="9"/>
      <c r="F8" s="9"/>
      <c r="G8" s="9"/>
      <c r="H8" s="9"/>
    </row>
    <row r="9" spans="2:8" ht="14" customHeight="1" x14ac:dyDescent="0.3">
      <c r="B9" s="33" t="s">
        <v>32</v>
      </c>
      <c r="C9" s="35">
        <v>1583719</v>
      </c>
      <c r="D9" s="35">
        <f>'DCF Model'!C33</f>
        <v>1639149.1649999998</v>
      </c>
      <c r="E9" s="35">
        <f>'DCF Model'!D33</f>
        <v>1696519.3857749996</v>
      </c>
      <c r="F9" s="35">
        <f>'DCF Model'!E33</f>
        <v>1747414.9673482496</v>
      </c>
      <c r="G9" s="35">
        <f>'DCF Model'!F33</f>
        <v>1799837.4163686971</v>
      </c>
      <c r="H9" s="35">
        <f>'DCF Model'!G33</f>
        <v>1844833.3517779144</v>
      </c>
    </row>
    <row r="10" spans="2:8" ht="14" customHeight="1" x14ac:dyDescent="0.3">
      <c r="B10" s="33" t="s">
        <v>33</v>
      </c>
      <c r="C10" s="35">
        <v>986570</v>
      </c>
      <c r="D10" s="35">
        <f>'DCF Model'!C34</f>
        <v>1032663.9739499999</v>
      </c>
      <c r="E10" s="35">
        <f>'DCF Model'!D34</f>
        <v>1070503.7324240247</v>
      </c>
      <c r="F10" s="35">
        <f>'DCF Model'!E34</f>
        <v>1104366.2593640939</v>
      </c>
      <c r="G10" s="35">
        <f>'DCF Model'!F34</f>
        <v>1141096.921977754</v>
      </c>
      <c r="H10" s="35">
        <f>'DCF Model'!G34</f>
        <v>1171469.1783789757</v>
      </c>
    </row>
    <row r="11" spans="2:8" ht="14" customHeight="1" x14ac:dyDescent="0.3">
      <c r="B11" s="8" t="s">
        <v>179</v>
      </c>
      <c r="C11" s="9"/>
      <c r="D11" s="9"/>
      <c r="E11" s="9"/>
      <c r="F11" s="9"/>
      <c r="G11" s="9"/>
      <c r="H11" s="9"/>
    </row>
    <row r="12" spans="2:8" ht="14" customHeight="1" x14ac:dyDescent="0.3">
      <c r="B12" s="33" t="s">
        <v>180</v>
      </c>
      <c r="C12" s="35">
        <v>0</v>
      </c>
      <c r="D12" s="35">
        <f t="shared" ref="D12:H13" si="0">D9*D5/365</f>
        <v>197596.06372602738</v>
      </c>
      <c r="E12" s="35">
        <f t="shared" si="0"/>
        <v>204511.9259564383</v>
      </c>
      <c r="F12" s="35">
        <f t="shared" si="0"/>
        <v>210647.2837351315</v>
      </c>
      <c r="G12" s="35">
        <f t="shared" si="0"/>
        <v>216966.7022471854</v>
      </c>
      <c r="H12" s="35">
        <f t="shared" si="0"/>
        <v>222390.86980336506</v>
      </c>
    </row>
    <row r="13" spans="2:8" ht="14" customHeight="1" x14ac:dyDescent="0.3">
      <c r="B13" s="33" t="s">
        <v>181</v>
      </c>
      <c r="C13" s="35">
        <v>318632</v>
      </c>
      <c r="D13" s="35">
        <f t="shared" si="0"/>
        <v>316872.23310246575</v>
      </c>
      <c r="E13" s="35">
        <f t="shared" si="0"/>
        <v>328483.33707257744</v>
      </c>
      <c r="F13" s="35">
        <f t="shared" si="0"/>
        <v>338874.03027062607</v>
      </c>
      <c r="G13" s="35">
        <f t="shared" si="0"/>
        <v>350144.80893563956</v>
      </c>
      <c r="H13" s="35">
        <f t="shared" si="0"/>
        <v>359464.51500943914</v>
      </c>
    </row>
    <row r="14" spans="2:8" ht="14" customHeight="1" x14ac:dyDescent="0.3">
      <c r="B14" s="33" t="s">
        <v>182</v>
      </c>
      <c r="C14" s="35">
        <f t="shared" ref="C14:H14" si="1">C12+C13</f>
        <v>318632</v>
      </c>
      <c r="D14" s="35">
        <f t="shared" si="1"/>
        <v>514468.29682849313</v>
      </c>
      <c r="E14" s="35">
        <f t="shared" si="1"/>
        <v>532995.26302901574</v>
      </c>
      <c r="F14" s="35">
        <f t="shared" si="1"/>
        <v>549521.31400575757</v>
      </c>
      <c r="G14" s="35">
        <f t="shared" si="1"/>
        <v>567111.51118282496</v>
      </c>
      <c r="H14" s="35">
        <f t="shared" si="1"/>
        <v>581855.38481280417</v>
      </c>
    </row>
    <row r="15" spans="2:8" ht="14" customHeight="1" x14ac:dyDescent="0.3">
      <c r="B15" s="33" t="s">
        <v>183</v>
      </c>
      <c r="C15" s="35">
        <v>0</v>
      </c>
      <c r="D15" s="35">
        <f>D10*D7/365</f>
        <v>265946.33849671233</v>
      </c>
      <c r="E15" s="35">
        <f>E10*E7/365</f>
        <v>275691.37218591321</v>
      </c>
      <c r="F15" s="35">
        <f>F10*F7/365</f>
        <v>284412.13254856115</v>
      </c>
      <c r="G15" s="35">
        <f>G10*G7/365</f>
        <v>293871.53607098322</v>
      </c>
      <c r="H15" s="35">
        <f>H10*H7/365</f>
        <v>301693.43224006501</v>
      </c>
    </row>
    <row r="16" spans="2:8" ht="14" customHeight="1" x14ac:dyDescent="0.3">
      <c r="B16" s="33" t="s">
        <v>184</v>
      </c>
      <c r="C16" s="35">
        <f t="shared" ref="C16:H16" si="2">C15</f>
        <v>0</v>
      </c>
      <c r="D16" s="35">
        <f t="shared" si="2"/>
        <v>265946.33849671233</v>
      </c>
      <c r="E16" s="35">
        <f t="shared" si="2"/>
        <v>275691.37218591321</v>
      </c>
      <c r="F16" s="35">
        <f t="shared" si="2"/>
        <v>284412.13254856115</v>
      </c>
      <c r="G16" s="35">
        <f t="shared" si="2"/>
        <v>293871.53607098322</v>
      </c>
      <c r="H16" s="35">
        <f t="shared" si="2"/>
        <v>301693.43224006501</v>
      </c>
    </row>
    <row r="17" spans="2:8" ht="14" customHeight="1" x14ac:dyDescent="0.3">
      <c r="B17" s="22" t="s">
        <v>185</v>
      </c>
      <c r="C17" s="23"/>
      <c r="D17" s="23"/>
      <c r="E17" s="23"/>
      <c r="F17" s="23"/>
      <c r="G17" s="23"/>
      <c r="H17" s="23"/>
    </row>
    <row r="18" spans="2:8" ht="14" customHeight="1" x14ac:dyDescent="0.3">
      <c r="B18" s="33" t="s">
        <v>186</v>
      </c>
      <c r="C18" s="20">
        <f t="shared" ref="C18:H18" si="3">C14-C16</f>
        <v>318632</v>
      </c>
      <c r="D18" s="20">
        <f t="shared" si="3"/>
        <v>248521.9583317808</v>
      </c>
      <c r="E18" s="20">
        <f t="shared" si="3"/>
        <v>257303.89084310253</v>
      </c>
      <c r="F18" s="20">
        <f t="shared" si="3"/>
        <v>265109.18145719642</v>
      </c>
      <c r="G18" s="20">
        <f t="shared" si="3"/>
        <v>273239.97511184175</v>
      </c>
      <c r="H18" s="20">
        <f t="shared" si="3"/>
        <v>280161.95257273916</v>
      </c>
    </row>
    <row r="19" spans="2:8" ht="14" customHeight="1" x14ac:dyDescent="0.3">
      <c r="B19" s="33" t="s">
        <v>95</v>
      </c>
      <c r="C19" s="36" t="s">
        <v>42</v>
      </c>
      <c r="D19" s="24">
        <f>D18-C18</f>
        <v>-70110.041668219201</v>
      </c>
      <c r="E19" s="24">
        <f>E18-D18</f>
        <v>8781.9325113217346</v>
      </c>
      <c r="F19" s="24">
        <f>F18-E18</f>
        <v>7805.2906140938867</v>
      </c>
      <c r="G19" s="24">
        <f>G18-F18</f>
        <v>8130.7936546453275</v>
      </c>
      <c r="H19" s="24">
        <f>H18-G18</f>
        <v>6921.9774608974112</v>
      </c>
    </row>
    <row r="22" spans="2:8" ht="14" customHeight="1" x14ac:dyDescent="0.3">
      <c r="B22" s="22" t="s">
        <v>187</v>
      </c>
      <c r="C22" s="23"/>
      <c r="D22" s="23"/>
      <c r="E22" s="23"/>
      <c r="F22" s="23"/>
      <c r="G22" s="23"/>
      <c r="H22" s="23"/>
    </row>
    <row r="23" spans="2:8" ht="14" customHeight="1" x14ac:dyDescent="0.3">
      <c r="D23" s="25" t="s">
        <v>81</v>
      </c>
      <c r="E23" s="25" t="s">
        <v>82</v>
      </c>
      <c r="F23" s="25" t="s">
        <v>83</v>
      </c>
      <c r="G23" s="25" t="s">
        <v>84</v>
      </c>
      <c r="H23" s="25" t="s">
        <v>85</v>
      </c>
    </row>
    <row r="24" spans="2:8" ht="14" customHeight="1" x14ac:dyDescent="0.3">
      <c r="B24" s="3" t="s">
        <v>188</v>
      </c>
    </row>
    <row r="25" spans="2:8" ht="14" customHeight="1" x14ac:dyDescent="0.3">
      <c r="B25" s="4" t="s">
        <v>79</v>
      </c>
      <c r="D25" s="30">
        <v>44</v>
      </c>
      <c r="E25" s="30">
        <v>44</v>
      </c>
      <c r="F25" s="30">
        <v>44</v>
      </c>
      <c r="G25" s="30">
        <v>44</v>
      </c>
      <c r="H25" s="30">
        <v>44</v>
      </c>
    </row>
    <row r="26" spans="2:8" ht="14" customHeight="1" x14ac:dyDescent="0.3">
      <c r="B26" s="4" t="s">
        <v>116</v>
      </c>
      <c r="D26" s="30">
        <v>42</v>
      </c>
      <c r="E26" s="30">
        <v>42</v>
      </c>
      <c r="F26" s="30">
        <v>42</v>
      </c>
      <c r="G26" s="30">
        <v>42</v>
      </c>
      <c r="H26" s="30">
        <v>42</v>
      </c>
    </row>
    <row r="27" spans="2:8" ht="14" customHeight="1" x14ac:dyDescent="0.3">
      <c r="B27" s="4" t="s">
        <v>117</v>
      </c>
      <c r="D27" s="30">
        <v>44</v>
      </c>
      <c r="E27" s="30">
        <v>44</v>
      </c>
      <c r="F27" s="30">
        <v>44</v>
      </c>
      <c r="G27" s="30">
        <v>44</v>
      </c>
      <c r="H27" s="30">
        <v>44</v>
      </c>
    </row>
    <row r="28" spans="2:8" ht="14" customHeight="1" x14ac:dyDescent="0.3">
      <c r="B28" s="4" t="s">
        <v>118</v>
      </c>
      <c r="D28" s="30">
        <v>47</v>
      </c>
      <c r="E28" s="30">
        <v>47</v>
      </c>
      <c r="F28" s="30">
        <v>47</v>
      </c>
      <c r="G28" s="30">
        <v>47</v>
      </c>
      <c r="H28" s="30">
        <v>47</v>
      </c>
    </row>
    <row r="29" spans="2:8" ht="14" customHeight="1" x14ac:dyDescent="0.3">
      <c r="B29" s="4" t="s">
        <v>119</v>
      </c>
      <c r="D29" s="30">
        <v>49</v>
      </c>
      <c r="E29" s="30">
        <v>49</v>
      </c>
      <c r="F29" s="30">
        <v>49</v>
      </c>
      <c r="G29" s="30">
        <v>49</v>
      </c>
      <c r="H29" s="30">
        <v>49</v>
      </c>
    </row>
    <row r="31" spans="2:8" ht="14" customHeight="1" x14ac:dyDescent="0.3">
      <c r="B31" s="3" t="s">
        <v>189</v>
      </c>
    </row>
    <row r="32" spans="2:8" ht="14" customHeight="1" x14ac:dyDescent="0.3">
      <c r="B32" s="4" t="s">
        <v>79</v>
      </c>
      <c r="D32" s="30">
        <v>112</v>
      </c>
      <c r="E32" s="30">
        <v>112</v>
      </c>
      <c r="F32" s="30">
        <v>112</v>
      </c>
      <c r="G32" s="30">
        <v>112</v>
      </c>
      <c r="H32" s="30">
        <v>112</v>
      </c>
    </row>
    <row r="33" spans="2:8" ht="14" customHeight="1" x14ac:dyDescent="0.3">
      <c r="B33" s="4" t="s">
        <v>116</v>
      </c>
      <c r="D33" s="30">
        <v>106</v>
      </c>
      <c r="E33" s="30">
        <v>104</v>
      </c>
      <c r="F33" s="30">
        <v>102</v>
      </c>
      <c r="G33" s="30">
        <v>102</v>
      </c>
      <c r="H33" s="30">
        <v>102</v>
      </c>
    </row>
    <row r="34" spans="2:8" ht="14" customHeight="1" x14ac:dyDescent="0.3">
      <c r="B34" s="4" t="s">
        <v>117</v>
      </c>
      <c r="D34" s="30">
        <v>112</v>
      </c>
      <c r="E34" s="30">
        <v>112</v>
      </c>
      <c r="F34" s="30">
        <v>112</v>
      </c>
      <c r="G34" s="30">
        <v>112</v>
      </c>
      <c r="H34" s="30">
        <v>112</v>
      </c>
    </row>
    <row r="35" spans="2:8" ht="14" customHeight="1" x14ac:dyDescent="0.3">
      <c r="B35" s="4" t="s">
        <v>118</v>
      </c>
      <c r="D35" s="30">
        <v>118</v>
      </c>
      <c r="E35" s="30">
        <v>120</v>
      </c>
      <c r="F35" s="30">
        <v>122</v>
      </c>
      <c r="G35" s="30">
        <v>122</v>
      </c>
      <c r="H35" s="30">
        <v>122</v>
      </c>
    </row>
    <row r="36" spans="2:8" ht="14" customHeight="1" x14ac:dyDescent="0.3">
      <c r="B36" s="4" t="s">
        <v>119</v>
      </c>
      <c r="D36" s="30">
        <v>128</v>
      </c>
      <c r="E36" s="30">
        <v>130</v>
      </c>
      <c r="F36" s="30">
        <v>130</v>
      </c>
      <c r="G36" s="30">
        <v>128</v>
      </c>
      <c r="H36" s="30">
        <v>126</v>
      </c>
    </row>
    <row r="38" spans="2:8" ht="14" customHeight="1" x14ac:dyDescent="0.3">
      <c r="B38" s="3" t="s">
        <v>190</v>
      </c>
    </row>
    <row r="39" spans="2:8" ht="14" customHeight="1" x14ac:dyDescent="0.3">
      <c r="B39" s="4" t="s">
        <v>79</v>
      </c>
      <c r="D39" s="30">
        <v>94</v>
      </c>
      <c r="E39" s="30">
        <v>94</v>
      </c>
      <c r="F39" s="30">
        <v>94</v>
      </c>
      <c r="G39" s="30">
        <v>94</v>
      </c>
      <c r="H39" s="30">
        <v>94</v>
      </c>
    </row>
    <row r="40" spans="2:8" ht="14" customHeight="1" x14ac:dyDescent="0.3">
      <c r="B40" s="4" t="s">
        <v>116</v>
      </c>
      <c r="D40" s="30">
        <v>96</v>
      </c>
      <c r="E40" s="30">
        <v>96</v>
      </c>
      <c r="F40" s="30">
        <v>96</v>
      </c>
      <c r="G40" s="30">
        <v>96</v>
      </c>
      <c r="H40" s="30">
        <v>96</v>
      </c>
    </row>
    <row r="41" spans="2:8" ht="14" customHeight="1" x14ac:dyDescent="0.3">
      <c r="B41" s="4" t="s">
        <v>117</v>
      </c>
      <c r="D41" s="30">
        <v>94</v>
      </c>
      <c r="E41" s="30">
        <v>94</v>
      </c>
      <c r="F41" s="30">
        <v>94</v>
      </c>
      <c r="G41" s="30">
        <v>94</v>
      </c>
      <c r="H41" s="30">
        <v>94</v>
      </c>
    </row>
    <row r="42" spans="2:8" ht="14" customHeight="1" x14ac:dyDescent="0.3">
      <c r="B42" s="4" t="s">
        <v>118</v>
      </c>
      <c r="D42" s="30">
        <v>90</v>
      </c>
      <c r="E42" s="30">
        <v>90</v>
      </c>
      <c r="F42" s="30">
        <v>90</v>
      </c>
      <c r="G42" s="30">
        <v>90</v>
      </c>
      <c r="H42" s="30">
        <v>90</v>
      </c>
    </row>
    <row r="43" spans="2:8" ht="14" customHeight="1" x14ac:dyDescent="0.3">
      <c r="B43" s="4" t="s">
        <v>119</v>
      </c>
      <c r="D43" s="30">
        <v>86</v>
      </c>
      <c r="E43" s="30">
        <v>86</v>
      </c>
      <c r="F43" s="30">
        <v>86</v>
      </c>
      <c r="G43" s="30">
        <v>86</v>
      </c>
      <c r="H43" s="30">
        <v>86</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191</v>
      </c>
    </row>
    <row r="3" spans="2:17" ht="14" customHeight="1" x14ac:dyDescent="0.3">
      <c r="B3" s="1" t="s">
        <v>192</v>
      </c>
    </row>
    <row r="4" spans="2:17" ht="28" customHeight="1" x14ac:dyDescent="0.3">
      <c r="B4" s="10" t="s">
        <v>3</v>
      </c>
      <c r="C4" s="10" t="s">
        <v>5</v>
      </c>
      <c r="D4" s="10" t="s">
        <v>193</v>
      </c>
      <c r="E4" s="10" t="s">
        <v>194</v>
      </c>
      <c r="F4" s="10" t="s">
        <v>195</v>
      </c>
      <c r="G4" s="10" t="s">
        <v>196</v>
      </c>
      <c r="H4" s="10" t="s">
        <v>197</v>
      </c>
      <c r="I4" s="10" t="s">
        <v>198</v>
      </c>
      <c r="J4" s="10" t="s">
        <v>199</v>
      </c>
      <c r="K4" s="10" t="s">
        <v>200</v>
      </c>
      <c r="L4" s="10" t="s">
        <v>201</v>
      </c>
      <c r="M4" s="10" t="s">
        <v>202</v>
      </c>
      <c r="N4" s="10" t="s">
        <v>203</v>
      </c>
      <c r="O4" s="10" t="s">
        <v>204</v>
      </c>
      <c r="P4" s="10" t="s">
        <v>205</v>
      </c>
      <c r="Q4" s="10" t="s">
        <v>206</v>
      </c>
    </row>
    <row r="5" spans="2:17" ht="14" customHeight="1" x14ac:dyDescent="0.3">
      <c r="B5" s="4" t="s">
        <v>207</v>
      </c>
      <c r="C5" t="s">
        <v>208</v>
      </c>
      <c r="D5" s="37">
        <f>'Executive Summary'!C9*C23/1000000</f>
        <v>4932560.1069940003</v>
      </c>
      <c r="E5" s="37">
        <f>D5+C24</f>
        <v>5247222.1069940003</v>
      </c>
      <c r="F5" s="37">
        <v>1583719</v>
      </c>
      <c r="G5" s="37">
        <v>277762</v>
      </c>
      <c r="H5" s="37">
        <v>191301</v>
      </c>
      <c r="I5" s="37">
        <v>134675</v>
      </c>
      <c r="J5" s="38">
        <f t="shared" ref="J5:J10" si="0">IFERROR(E5/G5,"")</f>
        <v>18.891072598101974</v>
      </c>
      <c r="K5" s="38">
        <f t="shared" ref="K5:K10" si="1">IFERROR(E5/F5,"")</f>
        <v>3.3132279823592445</v>
      </c>
      <c r="L5" s="38">
        <f t="shared" ref="L5:L10" si="2">IFERROR(D5/I5,"")</f>
        <v>36.625655147532953</v>
      </c>
      <c r="M5" s="38">
        <f t="shared" ref="M5:M10" si="3">IFERROR(D5/P5,"")</f>
        <v>6.399115884525421</v>
      </c>
      <c r="N5" s="39">
        <f t="shared" ref="N5:N10" si="4">IFERROR(H5/F5,"")</f>
        <v>0.12079226175855691</v>
      </c>
      <c r="O5" s="39">
        <f t="shared" ref="O5:O10" si="5">IFERROR(I5/P5,"")</f>
        <v>0.17471676230087738</v>
      </c>
      <c r="P5" s="37">
        <v>770819</v>
      </c>
    </row>
    <row r="6" spans="2:17" ht="14" customHeight="1" x14ac:dyDescent="0.3">
      <c r="B6" s="4" t="s">
        <v>209</v>
      </c>
      <c r="C6" t="s">
        <v>210</v>
      </c>
      <c r="D6" s="37">
        <v>2397303</v>
      </c>
      <c r="E6" s="37">
        <v>3885100</v>
      </c>
      <c r="F6" s="37">
        <v>2894676</v>
      </c>
      <c r="G6" s="37">
        <v>348957</v>
      </c>
      <c r="H6" s="37">
        <v>185870</v>
      </c>
      <c r="I6" s="37">
        <v>121574</v>
      </c>
      <c r="J6" s="38">
        <f t="shared" si="0"/>
        <v>11.133463435322977</v>
      </c>
      <c r="K6" s="38">
        <f t="shared" si="1"/>
        <v>1.3421536641751961</v>
      </c>
      <c r="L6" s="38">
        <f t="shared" si="2"/>
        <v>19.718879036636125</v>
      </c>
      <c r="M6" s="38">
        <f t="shared" si="3"/>
        <v>0.79828887411872984</v>
      </c>
      <c r="N6" s="39">
        <f t="shared" si="4"/>
        <v>6.4210985961814029E-2</v>
      </c>
      <c r="O6" s="39">
        <f t="shared" si="5"/>
        <v>4.0483481471516314E-2</v>
      </c>
      <c r="P6" s="37">
        <v>3003052</v>
      </c>
    </row>
    <row r="7" spans="2:17" ht="14" customHeight="1" x14ac:dyDescent="0.3">
      <c r="B7" s="4" t="s">
        <v>211</v>
      </c>
      <c r="C7" t="s">
        <v>212</v>
      </c>
      <c r="D7" s="37">
        <v>2320547</v>
      </c>
      <c r="E7" s="37">
        <v>3118689</v>
      </c>
      <c r="F7" s="37">
        <v>2433363</v>
      </c>
      <c r="G7" s="37">
        <v>305379</v>
      </c>
      <c r="H7" s="37">
        <v>209677</v>
      </c>
      <c r="I7" s="37">
        <v>147542</v>
      </c>
      <c r="J7" s="38">
        <f t="shared" si="0"/>
        <v>10.212519524918216</v>
      </c>
      <c r="K7" s="38">
        <f t="shared" si="1"/>
        <v>1.2816373882564993</v>
      </c>
      <c r="L7" s="38">
        <f t="shared" si="2"/>
        <v>15.728043540144501</v>
      </c>
      <c r="M7" s="38">
        <f t="shared" si="3"/>
        <v>1.803079431013892</v>
      </c>
      <c r="N7" s="39">
        <f t="shared" si="4"/>
        <v>8.6167579600741853E-2</v>
      </c>
      <c r="O7" s="39">
        <f t="shared" si="5"/>
        <v>0.11464105032591526</v>
      </c>
      <c r="P7" s="37">
        <v>1286991</v>
      </c>
    </row>
    <row r="8" spans="2:17" ht="14" customHeight="1" x14ac:dyDescent="0.3">
      <c r="B8" s="4" t="s">
        <v>213</v>
      </c>
      <c r="C8" t="s">
        <v>214</v>
      </c>
      <c r="D8" s="37">
        <v>1655551</v>
      </c>
      <c r="E8" s="37">
        <v>1605210</v>
      </c>
      <c r="F8" s="37">
        <v>745539</v>
      </c>
      <c r="G8" s="37">
        <v>102686</v>
      </c>
      <c r="H8" s="37">
        <v>75940</v>
      </c>
      <c r="I8" s="37">
        <v>61615</v>
      </c>
      <c r="J8" s="38">
        <f t="shared" si="0"/>
        <v>15.632218608184173</v>
      </c>
      <c r="K8" s="38">
        <f t="shared" si="1"/>
        <v>2.1530865588520518</v>
      </c>
      <c r="L8" s="38">
        <f t="shared" si="2"/>
        <v>26.869285076685873</v>
      </c>
      <c r="M8" s="38">
        <f t="shared" si="3"/>
        <v>2.9514711440409038</v>
      </c>
      <c r="N8" s="39">
        <f t="shared" si="4"/>
        <v>0.1018591918061966</v>
      </c>
      <c r="O8" s="39">
        <f t="shared" si="5"/>
        <v>0.10984554057234135</v>
      </c>
      <c r="P8" s="37">
        <v>560924</v>
      </c>
    </row>
    <row r="9" spans="2:17" ht="14" customHeight="1" x14ac:dyDescent="0.3">
      <c r="B9" s="4" t="s">
        <v>215</v>
      </c>
      <c r="C9" t="s">
        <v>216</v>
      </c>
      <c r="D9" s="37">
        <v>854146</v>
      </c>
      <c r="E9" s="37">
        <v>931346</v>
      </c>
      <c r="F9" s="37">
        <v>788131</v>
      </c>
      <c r="G9" s="37">
        <v>85277</v>
      </c>
      <c r="H9" s="37">
        <v>49380</v>
      </c>
      <c r="I9" s="37">
        <v>45380</v>
      </c>
      <c r="J9" s="38">
        <f t="shared" si="0"/>
        <v>10.92142078168791</v>
      </c>
      <c r="K9" s="38">
        <f t="shared" si="1"/>
        <v>1.1817147149395215</v>
      </c>
      <c r="L9" s="38">
        <f t="shared" si="2"/>
        <v>18.822080211546936</v>
      </c>
      <c r="M9" s="38">
        <f t="shared" si="3"/>
        <v>1.6515832379420228</v>
      </c>
      <c r="N9" s="39">
        <f t="shared" si="4"/>
        <v>6.2654558696460361E-2</v>
      </c>
      <c r="O9" s="39">
        <f t="shared" si="5"/>
        <v>8.7747115057389469E-2</v>
      </c>
      <c r="P9" s="37">
        <v>517168</v>
      </c>
    </row>
    <row r="10" spans="2:17" ht="14" customHeight="1" x14ac:dyDescent="0.3">
      <c r="B10" s="4" t="s">
        <v>217</v>
      </c>
      <c r="C10" t="s">
        <v>218</v>
      </c>
      <c r="D10" s="37">
        <v>1195303</v>
      </c>
      <c r="E10" s="37">
        <v>1238638</v>
      </c>
      <c r="F10" s="37">
        <v>1173688</v>
      </c>
      <c r="G10" s="37">
        <v>148261</v>
      </c>
      <c r="H10" s="37">
        <v>93307</v>
      </c>
      <c r="I10" s="37">
        <v>35076</v>
      </c>
      <c r="J10" s="38">
        <f t="shared" si="0"/>
        <v>8.3544425034230176</v>
      </c>
      <c r="K10" s="38">
        <f t="shared" si="1"/>
        <v>1.0553383863513983</v>
      </c>
      <c r="L10" s="38">
        <f t="shared" si="2"/>
        <v>34.077517390808531</v>
      </c>
      <c r="M10" s="38">
        <f t="shared" si="3"/>
        <v>1.5471475630513147</v>
      </c>
      <c r="N10" s="39">
        <f t="shared" si="4"/>
        <v>7.9498980989837167E-2</v>
      </c>
      <c r="O10" s="39">
        <f t="shared" si="5"/>
        <v>4.5400829682170893E-2</v>
      </c>
      <c r="P10" s="37">
        <v>772585</v>
      </c>
    </row>
    <row r="14" spans="2:17" ht="14" customHeight="1" x14ac:dyDescent="0.3">
      <c r="B14" s="3" t="s">
        <v>219</v>
      </c>
    </row>
    <row r="15" spans="2:17" ht="14" customHeight="1" x14ac:dyDescent="0.3">
      <c r="B15" s="4" t="s">
        <v>220</v>
      </c>
      <c r="D15" s="38">
        <f t="shared" ref="D15:I15" si="6">PERCENTILE(J6:J10,0.25)</f>
        <v>10.212519524918216</v>
      </c>
      <c r="E15" s="38">
        <f t="shared" si="6"/>
        <v>1.1817147149395215</v>
      </c>
      <c r="F15" s="38">
        <f t="shared" si="6"/>
        <v>18.822080211546936</v>
      </c>
      <c r="G15" s="38">
        <f t="shared" si="6"/>
        <v>1.5471475630513147</v>
      </c>
      <c r="H15" s="39">
        <f t="shared" si="6"/>
        <v>6.4210985961814029E-2</v>
      </c>
      <c r="I15" s="39">
        <f t="shared" si="6"/>
        <v>4.5400829682170893E-2</v>
      </c>
    </row>
    <row r="16" spans="2:17" ht="14" customHeight="1" x14ac:dyDescent="0.3">
      <c r="B16" s="4" t="s">
        <v>221</v>
      </c>
      <c r="D16" s="38">
        <f t="shared" ref="D16:I16" si="7">MEDIAN(J6:J10)</f>
        <v>10.92142078168791</v>
      </c>
      <c r="E16" s="38">
        <f t="shared" si="7"/>
        <v>1.2816373882564993</v>
      </c>
      <c r="F16" s="38">
        <f t="shared" si="7"/>
        <v>19.718879036636125</v>
      </c>
      <c r="G16" s="38">
        <f t="shared" si="7"/>
        <v>1.6515832379420228</v>
      </c>
      <c r="H16" s="39">
        <f t="shared" si="7"/>
        <v>7.9498980989837167E-2</v>
      </c>
      <c r="I16" s="39">
        <f t="shared" si="7"/>
        <v>8.7747115057389469E-2</v>
      </c>
    </row>
    <row r="17" spans="2:9" ht="14" customHeight="1" x14ac:dyDescent="0.3">
      <c r="B17" s="4" t="s">
        <v>222</v>
      </c>
      <c r="D17" s="38">
        <f t="shared" ref="D17:I17" si="8">PERCENTILE(J6:J10,0.75)</f>
        <v>11.133463435322977</v>
      </c>
      <c r="E17" s="38">
        <f t="shared" si="8"/>
        <v>1.3421536641751961</v>
      </c>
      <c r="F17" s="38">
        <f t="shared" si="8"/>
        <v>26.869285076685873</v>
      </c>
      <c r="G17" s="38">
        <f t="shared" si="8"/>
        <v>1.803079431013892</v>
      </c>
      <c r="H17" s="39">
        <f t="shared" si="8"/>
        <v>8.6167579600741853E-2</v>
      </c>
      <c r="I17" s="39">
        <f t="shared" si="8"/>
        <v>0.10984554057234135</v>
      </c>
    </row>
    <row r="19" spans="2:9" ht="14" customHeight="1" x14ac:dyDescent="0.3">
      <c r="B19" s="22" t="s">
        <v>223</v>
      </c>
      <c r="C19" s="23"/>
      <c r="D19" s="23"/>
      <c r="E19" s="23"/>
      <c r="F19" s="23"/>
      <c r="G19" s="23"/>
      <c r="H19" s="23"/>
      <c r="I19" s="23"/>
    </row>
    <row r="20" spans="2:9" ht="14" customHeight="1" x14ac:dyDescent="0.3">
      <c r="B20" s="3" t="s">
        <v>224</v>
      </c>
    </row>
    <row r="21" spans="2:9" ht="14" customHeight="1" x14ac:dyDescent="0.3">
      <c r="B21" s="4" t="s">
        <v>225</v>
      </c>
      <c r="C21" s="5">
        <v>280763</v>
      </c>
    </row>
    <row r="22" spans="2:9" ht="14" customHeight="1" x14ac:dyDescent="0.3">
      <c r="B22" s="4" t="s">
        <v>226</v>
      </c>
      <c r="C22" s="5">
        <v>134675</v>
      </c>
    </row>
    <row r="23" spans="2:9" ht="14" customHeight="1" x14ac:dyDescent="0.3">
      <c r="B23" s="4" t="s">
        <v>227</v>
      </c>
      <c r="C23" s="15">
        <v>953335931</v>
      </c>
    </row>
    <row r="24" spans="2:9" ht="14" customHeight="1" x14ac:dyDescent="0.3">
      <c r="B24" s="4" t="s">
        <v>68</v>
      </c>
      <c r="C24" s="5">
        <v>314662</v>
      </c>
    </row>
    <row r="26" spans="2:9" ht="14" customHeight="1" x14ac:dyDescent="0.3">
      <c r="B26" s="3" t="s">
        <v>228</v>
      </c>
    </row>
    <row r="27" spans="2:9" ht="14" customHeight="1" x14ac:dyDescent="0.3">
      <c r="B27" s="4" t="s">
        <v>229</v>
      </c>
      <c r="C27" s="24">
        <f>ROUND((C21*D16-C24)*1000000/C23,0)</f>
        <v>2886</v>
      </c>
    </row>
    <row r="28" spans="2:9" ht="14" customHeight="1" x14ac:dyDescent="0.3">
      <c r="B28" s="4" t="s">
        <v>230</v>
      </c>
      <c r="C28" s="24">
        <f>ROUND(C22*F16*1000000/C23,0)</f>
        <v>2786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231</v>
      </c>
    </row>
    <row r="3" spans="2:9" ht="14" customHeight="1" x14ac:dyDescent="0.3">
      <c r="B3" s="4" t="s">
        <v>232</v>
      </c>
      <c r="C3" s="16">
        <f>'DCF Model'!C26</f>
        <v>7.524551607445007E-2</v>
      </c>
      <c r="E3" s="4" t="s">
        <v>233</v>
      </c>
      <c r="F3" s="16">
        <f>'DCF Model'!C13</f>
        <v>0.01</v>
      </c>
      <c r="H3" s="4" t="s">
        <v>234</v>
      </c>
      <c r="I3" s="14">
        <f>'DCF Model'!C14</f>
        <v>10.9</v>
      </c>
    </row>
    <row r="5" spans="2:9" ht="14" customHeight="1" x14ac:dyDescent="0.3">
      <c r="B5" s="3" t="s">
        <v>235</v>
      </c>
    </row>
    <row r="6" spans="2:9" ht="14" customHeight="1" x14ac:dyDescent="0.3">
      <c r="B6" s="40" t="s">
        <v>236</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6.024551607445007E-2</v>
      </c>
      <c r="C7" s="37">
        <f>IFERROR(ROUND(('DCF Model'!C45/(1+$B7)^('DCF Model'!C19+0)+'DCF Model'!D45/(1+$B7)^('DCF Model'!C19+1)+'DCF Model'!E45/(1+$B7)^('DCF Model'!C19+2)+'DCF Model'!F45/(1+$B7)^('DCF Model'!C19+3)+'DCF Model'!G45/(1+$B7)^('DCF Model'!C19+4)+'DCF Model'!G45*(1+C$6)/($B7-C$6)/(1+$B7)^('DCF Model'!C19+4)-'DCF Model'!C16)*1000000/'DCF Model'!C15,0),"")</f>
        <v>2325</v>
      </c>
      <c r="D7" s="37">
        <f>IFERROR(ROUND(('DCF Model'!C45/(1+$B7)^('DCF Model'!C19+0)+'DCF Model'!D45/(1+$B7)^('DCF Model'!C19+1)+'DCF Model'!E45/(1+$B7)^('DCF Model'!C19+2)+'DCF Model'!F45/(1+$B7)^('DCF Model'!C19+3)+'DCF Model'!G45/(1+$B7)^('DCF Model'!C19+4)+'DCF Model'!G45*(1+D$6)/($B7-D$6)/(1+$B7)^('DCF Model'!C19+4)-'DCF Model'!C16)*1000000/'DCF Model'!C15,0),"")</f>
        <v>2421</v>
      </c>
      <c r="E7" s="37">
        <f>IFERROR(ROUND(('DCF Model'!C45/(1+$B7)^('DCF Model'!C19+0)+'DCF Model'!D45/(1+$B7)^('DCF Model'!C19+1)+'DCF Model'!E45/(1+$B7)^('DCF Model'!C19+2)+'DCF Model'!F45/(1+$B7)^('DCF Model'!C19+3)+'DCF Model'!G45/(1+$B7)^('DCF Model'!C19+4)+'DCF Model'!G45*(1+E$6)/($B7-E$6)/(1+$B7)^('DCF Model'!C19+4)-'DCF Model'!C16)*1000000/'DCF Model'!C15,0),"")</f>
        <v>2526</v>
      </c>
      <c r="F7" s="37">
        <f>IFERROR(ROUND(('DCF Model'!C45/(1+$B7)^('DCF Model'!C19+0)+'DCF Model'!D45/(1+$B7)^('DCF Model'!C19+1)+'DCF Model'!E45/(1+$B7)^('DCF Model'!C19+2)+'DCF Model'!F45/(1+$B7)^('DCF Model'!C19+3)+'DCF Model'!G45/(1+$B7)^('DCF Model'!C19+4)+'DCF Model'!G45*(1+F$6)/($B7-F$6)/(1+$B7)^('DCF Model'!C19+4)-'DCF Model'!C16)*1000000/'DCF Model'!C15,0),"")</f>
        <v>2641</v>
      </c>
      <c r="G7" s="37">
        <f>IFERROR(ROUND(('DCF Model'!C45/(1+$B7)^('DCF Model'!C19+0)+'DCF Model'!D45/(1+$B7)^('DCF Model'!C19+1)+'DCF Model'!E45/(1+$B7)^('DCF Model'!C19+2)+'DCF Model'!F45/(1+$B7)^('DCF Model'!C19+3)+'DCF Model'!G45/(1+$B7)^('DCF Model'!C19+4)+'DCF Model'!G45*(1+G$6)/($B7-G$6)/(1+$B7)^('DCF Model'!C19+4)-'DCF Model'!C16)*1000000/'DCF Model'!C15,0),"")</f>
        <v>2768</v>
      </c>
      <c r="H7" s="37">
        <f>IFERROR(ROUND(('DCF Model'!C45/(1+$B7)^('DCF Model'!C19+0)+'DCF Model'!D45/(1+$B7)^('DCF Model'!C19+1)+'DCF Model'!E45/(1+$B7)^('DCF Model'!C19+2)+'DCF Model'!F45/(1+$B7)^('DCF Model'!C19+3)+'DCF Model'!G45/(1+$B7)^('DCF Model'!C19+4)+'DCF Model'!G45*(1+H$6)/($B7-H$6)/(1+$B7)^('DCF Model'!C19+4)-'DCF Model'!C16)*1000000/'DCF Model'!C15,0),"")</f>
        <v>2910</v>
      </c>
      <c r="I7" s="37">
        <f>IFERROR(ROUND(('DCF Model'!C45/(1+$B7)^('DCF Model'!C19+0)+'DCF Model'!D45/(1+$B7)^('DCF Model'!C19+1)+'DCF Model'!E45/(1+$B7)^('DCF Model'!C19+2)+'DCF Model'!F45/(1+$B7)^('DCF Model'!C19+3)+'DCF Model'!G45/(1+$B7)^('DCF Model'!C19+4)+'DCF Model'!G45*(1+I$6)/($B7-I$6)/(1+$B7)^('DCF Model'!C19+4)-'DCF Model'!C16)*1000000/'DCF Model'!C15,0),"")</f>
        <v>3068</v>
      </c>
    </row>
    <row r="8" spans="2:9" ht="13.5" customHeight="1" x14ac:dyDescent="0.25">
      <c r="B8" s="39">
        <f>$C$3-0.01</f>
        <v>6.5245516074450075E-2</v>
      </c>
      <c r="C8" s="37">
        <f>IFERROR(ROUND(('DCF Model'!C45/(1+$B8)^('DCF Model'!C19+0)+'DCF Model'!D45/(1+$B8)^('DCF Model'!C19+1)+'DCF Model'!E45/(1+$B8)^('DCF Model'!C19+2)+'DCF Model'!F45/(1+$B8)^('DCF Model'!C19+3)+'DCF Model'!G45/(1+$B8)^('DCF Model'!C19+4)+'DCF Model'!G45*(1+C$6)/($B8-C$6)/(1+$B8)^('DCF Model'!C19+4)-'DCF Model'!C16)*1000000/'DCF Model'!C15,0),"")</f>
        <v>2115</v>
      </c>
      <c r="D8" s="37">
        <f>IFERROR(ROUND(('DCF Model'!C45/(1+$B8)^('DCF Model'!C19+0)+'DCF Model'!D45/(1+$B8)^('DCF Model'!C19+1)+'DCF Model'!E45/(1+$B8)^('DCF Model'!C19+2)+'DCF Model'!F45/(1+$B8)^('DCF Model'!C19+3)+'DCF Model'!G45/(1+$B8)^('DCF Model'!C19+4)+'DCF Model'!G45*(1+D$6)/($B8-D$6)/(1+$B8)^('DCF Model'!C19+4)-'DCF Model'!C16)*1000000/'DCF Model'!C15,0),"")</f>
        <v>2194</v>
      </c>
      <c r="E8" s="37">
        <f>IFERROR(ROUND(('DCF Model'!C45/(1+$B8)^('DCF Model'!C19+0)+'DCF Model'!D45/(1+$B8)^('DCF Model'!C19+1)+'DCF Model'!E45/(1+$B8)^('DCF Model'!C19+2)+'DCF Model'!F45/(1+$B8)^('DCF Model'!C19+3)+'DCF Model'!G45/(1+$B8)^('DCF Model'!C19+4)+'DCF Model'!G45*(1+E$6)/($B8-E$6)/(1+$B8)^('DCF Model'!C19+4)-'DCF Model'!C16)*1000000/'DCF Model'!C15,0),"")</f>
        <v>2280</v>
      </c>
      <c r="F8" s="37">
        <f>IFERROR(ROUND(('DCF Model'!C45/(1+$B8)^('DCF Model'!C19+0)+'DCF Model'!D45/(1+$B8)^('DCF Model'!C19+1)+'DCF Model'!E45/(1+$B8)^('DCF Model'!C19+2)+'DCF Model'!F45/(1+$B8)^('DCF Model'!C19+3)+'DCF Model'!G45/(1+$B8)^('DCF Model'!C19+4)+'DCF Model'!G45*(1+F$6)/($B8-F$6)/(1+$B8)^('DCF Model'!C19+4)-'DCF Model'!C16)*1000000/'DCF Model'!C15,0),"")</f>
        <v>2374</v>
      </c>
      <c r="G8" s="37">
        <f>IFERROR(ROUND(('DCF Model'!C45/(1+$B8)^('DCF Model'!C19+0)+'DCF Model'!D45/(1+$B8)^('DCF Model'!C19+1)+'DCF Model'!E45/(1+$B8)^('DCF Model'!C19+2)+'DCF Model'!F45/(1+$B8)^('DCF Model'!C19+3)+'DCF Model'!G45/(1+$B8)^('DCF Model'!C19+4)+'DCF Model'!G45*(1+G$6)/($B8-G$6)/(1+$B8)^('DCF Model'!C19+4)-'DCF Model'!C16)*1000000/'DCF Model'!C15,0),"")</f>
        <v>2477</v>
      </c>
      <c r="H8" s="37">
        <f>IFERROR(ROUND(('DCF Model'!C45/(1+$B8)^('DCF Model'!C19+0)+'DCF Model'!D45/(1+$B8)^('DCF Model'!C19+1)+'DCF Model'!E45/(1+$B8)^('DCF Model'!C19+2)+'DCF Model'!F45/(1+$B8)^('DCF Model'!C19+3)+'DCF Model'!G45/(1+$B8)^('DCF Model'!C19+4)+'DCF Model'!G45*(1+H$6)/($B8-H$6)/(1+$B8)^('DCF Model'!C19+4)-'DCF Model'!C16)*1000000/'DCF Model'!C15,0),"")</f>
        <v>2590</v>
      </c>
      <c r="I8" s="37">
        <f>IFERROR(ROUND(('DCF Model'!C45/(1+$B8)^('DCF Model'!C19+0)+'DCF Model'!D45/(1+$B8)^('DCF Model'!C19+1)+'DCF Model'!E45/(1+$B8)^('DCF Model'!C19+2)+'DCF Model'!F45/(1+$B8)^('DCF Model'!C19+3)+'DCF Model'!G45/(1+$B8)^('DCF Model'!C19+4)+'DCF Model'!G45*(1+I$6)/($B8-I$6)/(1+$B8)^('DCF Model'!C19+4)-'DCF Model'!C16)*1000000/'DCF Model'!C15,0),"")</f>
        <v>2715</v>
      </c>
    </row>
    <row r="9" spans="2:9" ht="13.5" customHeight="1" x14ac:dyDescent="0.25">
      <c r="B9" s="39">
        <f>$C$3-0.005</f>
        <v>7.0245516074450065E-2</v>
      </c>
      <c r="C9" s="37">
        <f>IFERROR(ROUND(('DCF Model'!C45/(1+$B9)^('DCF Model'!C19+0)+'DCF Model'!D45/(1+$B9)^('DCF Model'!C19+1)+'DCF Model'!E45/(1+$B9)^('DCF Model'!C19+2)+'DCF Model'!F45/(1+$B9)^('DCF Model'!C19+3)+'DCF Model'!G45/(1+$B9)^('DCF Model'!C19+4)+'DCF Model'!G45*(1+C$6)/($B9-C$6)/(1+$B9)^('DCF Model'!C19+4)-'DCF Model'!C16)*1000000/'DCF Model'!C15,0),"")</f>
        <v>1935</v>
      </c>
      <c r="D9" s="37">
        <f>IFERROR(ROUND(('DCF Model'!C45/(1+$B9)^('DCF Model'!C19+0)+'DCF Model'!D45/(1+$B9)^('DCF Model'!C19+1)+'DCF Model'!E45/(1+$B9)^('DCF Model'!C19+2)+'DCF Model'!F45/(1+$B9)^('DCF Model'!C19+3)+'DCF Model'!G45/(1+$B9)^('DCF Model'!C19+4)+'DCF Model'!G45*(1+D$6)/($B9-D$6)/(1+$B9)^('DCF Model'!C19+4)-'DCF Model'!C16)*1000000/'DCF Model'!C15,0),"")</f>
        <v>2002</v>
      </c>
      <c r="E9" s="37">
        <f>IFERROR(ROUND(('DCF Model'!C45/(1+$B9)^('DCF Model'!C19+0)+'DCF Model'!D45/(1+$B9)^('DCF Model'!C19+1)+'DCF Model'!E45/(1+$B9)^('DCF Model'!C19+2)+'DCF Model'!F45/(1+$B9)^('DCF Model'!C19+3)+'DCF Model'!G45/(1+$B9)^('DCF Model'!C19+4)+'DCF Model'!G45*(1+E$6)/($B9-E$6)/(1+$B9)^('DCF Model'!C19+4)-'DCF Model'!C16)*1000000/'DCF Model'!C15,0),"")</f>
        <v>2074</v>
      </c>
      <c r="F9" s="37">
        <f>IFERROR(ROUND(('DCF Model'!C45/(1+$B9)^('DCF Model'!C19+0)+'DCF Model'!D45/(1+$B9)^('DCF Model'!C19+1)+'DCF Model'!E45/(1+$B9)^('DCF Model'!C19+2)+'DCF Model'!F45/(1+$B9)^('DCF Model'!C19+3)+'DCF Model'!G45/(1+$B9)^('DCF Model'!C19+4)+'DCF Model'!G45*(1+F$6)/($B9-F$6)/(1+$B9)^('DCF Model'!C19+4)-'DCF Model'!C16)*1000000/'DCF Model'!C15,0),"")</f>
        <v>2151</v>
      </c>
      <c r="G9" s="37">
        <f>IFERROR(ROUND(('DCF Model'!C45/(1+$B9)^('DCF Model'!C19+0)+'DCF Model'!D45/(1+$B9)^('DCF Model'!C19+1)+'DCF Model'!E45/(1+$B9)^('DCF Model'!C19+2)+'DCF Model'!F45/(1+$B9)^('DCF Model'!C19+3)+'DCF Model'!G45/(1+$B9)^('DCF Model'!C19+4)+'DCF Model'!G45*(1+G$6)/($B9-G$6)/(1+$B9)^('DCF Model'!C19+4)-'DCF Model'!C16)*1000000/'DCF Model'!C15,0),"")</f>
        <v>2236</v>
      </c>
      <c r="H9" s="37">
        <f>IFERROR(ROUND(('DCF Model'!C45/(1+$B9)^('DCF Model'!C19+0)+'DCF Model'!D45/(1+$B9)^('DCF Model'!C19+1)+'DCF Model'!E45/(1+$B9)^('DCF Model'!C19+2)+'DCF Model'!F45/(1+$B9)^('DCF Model'!C19+3)+'DCF Model'!G45/(1+$B9)^('DCF Model'!C19+4)+'DCF Model'!G45*(1+H$6)/($B9-H$6)/(1+$B9)^('DCF Model'!C19+4)-'DCF Model'!C16)*1000000/'DCF Model'!C15,0),"")</f>
        <v>2328</v>
      </c>
      <c r="I9" s="37">
        <f>IFERROR(ROUND(('DCF Model'!C45/(1+$B9)^('DCF Model'!C19+0)+'DCF Model'!D45/(1+$B9)^('DCF Model'!C19+1)+'DCF Model'!E45/(1+$B9)^('DCF Model'!C19+2)+'DCF Model'!F45/(1+$B9)^('DCF Model'!C19+3)+'DCF Model'!G45/(1+$B9)^('DCF Model'!C19+4)+'DCF Model'!G45*(1+I$6)/($B9-I$6)/(1+$B9)^('DCF Model'!C19+4)-'DCF Model'!C16)*1000000/'DCF Model'!C15,0),"")</f>
        <v>2429</v>
      </c>
    </row>
    <row r="10" spans="2:9" ht="13.5" customHeight="1" x14ac:dyDescent="0.25">
      <c r="B10" s="39">
        <f>$C$3</f>
        <v>7.524551607445007E-2</v>
      </c>
      <c r="C10" s="37">
        <f>IFERROR(ROUND(('DCF Model'!C45/(1+$B10)^('DCF Model'!C19+0)+'DCF Model'!D45/(1+$B10)^('DCF Model'!C19+1)+'DCF Model'!E45/(1+$B10)^('DCF Model'!C19+2)+'DCF Model'!F45/(1+$B10)^('DCF Model'!C19+3)+'DCF Model'!G45/(1+$B10)^('DCF Model'!C19+4)+'DCF Model'!G45*(1+C$6)/($B10-C$6)/(1+$B10)^('DCF Model'!C19+4)-'DCF Model'!C16)*1000000/'DCF Model'!C15,0),"")</f>
        <v>1780</v>
      </c>
      <c r="D10" s="37">
        <f>IFERROR(ROUND(('DCF Model'!C45/(1+$B10)^('DCF Model'!C19+0)+'DCF Model'!D45/(1+$B10)^('DCF Model'!C19+1)+'DCF Model'!E45/(1+$B10)^('DCF Model'!C19+2)+'DCF Model'!F45/(1+$B10)^('DCF Model'!C19+3)+'DCF Model'!G45/(1+$B10)^('DCF Model'!C19+4)+'DCF Model'!G45*(1+D$6)/($B10-D$6)/(1+$B10)^('DCF Model'!C19+4)-'DCF Model'!C16)*1000000/'DCF Model'!C15,0),"")</f>
        <v>1837</v>
      </c>
      <c r="E10" s="37">
        <f>IFERROR(ROUND(('DCF Model'!C45/(1+$B10)^('DCF Model'!C19+0)+'DCF Model'!D45/(1+$B10)^('DCF Model'!C19+1)+'DCF Model'!E45/(1+$B10)^('DCF Model'!C19+2)+'DCF Model'!F45/(1+$B10)^('DCF Model'!C19+3)+'DCF Model'!G45/(1+$B10)^('DCF Model'!C19+4)+'DCF Model'!G45*(1+E$6)/($B10-E$6)/(1+$B10)^('DCF Model'!C19+4)-'DCF Model'!C16)*1000000/'DCF Model'!C15,0),"")</f>
        <v>1898</v>
      </c>
      <c r="F10" s="37">
        <f>IFERROR(ROUND(('DCF Model'!C45/(1+$B10)^('DCF Model'!C19+0)+'DCF Model'!D45/(1+$B10)^('DCF Model'!C19+1)+'DCF Model'!E45/(1+$B10)^('DCF Model'!C19+2)+'DCF Model'!F45/(1+$B10)^('DCF Model'!C19+3)+'DCF Model'!G45/(1+$B10)^('DCF Model'!C19+4)+'DCF Model'!G45*(1+F$6)/($B10-F$6)/(1+$B10)^('DCF Model'!C19+4)-'DCF Model'!C16)*1000000/'DCF Model'!C15,0),"")</f>
        <v>1963</v>
      </c>
      <c r="G10" s="37">
        <f>IFERROR(ROUND(('DCF Model'!C45/(1+$B10)^('DCF Model'!C19+0)+'DCF Model'!D45/(1+$B10)^('DCF Model'!C19+1)+'DCF Model'!E45/(1+$B10)^('DCF Model'!C19+2)+'DCF Model'!F45/(1+$B10)^('DCF Model'!C19+3)+'DCF Model'!G45/(1+$B10)^('DCF Model'!C19+4)+'DCF Model'!G45*(1+G$6)/($B10-G$6)/(1+$B10)^('DCF Model'!C19+4)-'DCF Model'!C16)*1000000/'DCF Model'!C15,0),"")</f>
        <v>2033</v>
      </c>
      <c r="H10" s="37">
        <f>IFERROR(ROUND(('DCF Model'!C45/(1+$B10)^('DCF Model'!C19+0)+'DCF Model'!D45/(1+$B10)^('DCF Model'!C19+1)+'DCF Model'!E45/(1+$B10)^('DCF Model'!C19+2)+'DCF Model'!F45/(1+$B10)^('DCF Model'!C19+3)+'DCF Model'!G45/(1+$B10)^('DCF Model'!C19+4)+'DCF Model'!G45*(1+H$6)/($B10-H$6)/(1+$B10)^('DCF Model'!C19+4)-'DCF Model'!C16)*1000000/'DCF Model'!C15,0),"")</f>
        <v>2110</v>
      </c>
      <c r="I10" s="37">
        <f>IFERROR(ROUND(('DCF Model'!C45/(1+$B10)^('DCF Model'!C19+0)+'DCF Model'!D45/(1+$B10)^('DCF Model'!C19+1)+'DCF Model'!E45/(1+$B10)^('DCF Model'!C19+2)+'DCF Model'!F45/(1+$B10)^('DCF Model'!C19+3)+'DCF Model'!G45/(1+$B10)^('DCF Model'!C19+4)+'DCF Model'!G45*(1+I$6)/($B10-I$6)/(1+$B10)^('DCF Model'!C19+4)-'DCF Model'!C16)*1000000/'DCF Model'!C15,0),"")</f>
        <v>2193</v>
      </c>
    </row>
    <row r="11" spans="2:9" ht="13.5" customHeight="1" x14ac:dyDescent="0.25">
      <c r="B11" s="39">
        <f>$C$3+0.005</f>
        <v>8.0245516074450074E-2</v>
      </c>
      <c r="C11" s="37">
        <f>IFERROR(ROUND(('DCF Model'!C45/(1+$B11)^('DCF Model'!C19+0)+'DCF Model'!D45/(1+$B11)^('DCF Model'!C19+1)+'DCF Model'!E45/(1+$B11)^('DCF Model'!C19+2)+'DCF Model'!F45/(1+$B11)^('DCF Model'!C19+3)+'DCF Model'!G45/(1+$B11)^('DCF Model'!C19+4)+'DCF Model'!G45*(1+C$6)/($B11-C$6)/(1+$B11)^('DCF Model'!C19+4)-'DCF Model'!C16)*1000000/'DCF Model'!C15,0),"")</f>
        <v>1645</v>
      </c>
      <c r="D11" s="37">
        <f>IFERROR(ROUND(('DCF Model'!C45/(1+$B11)^('DCF Model'!C19+0)+'DCF Model'!D45/(1+$B11)^('DCF Model'!C19+1)+'DCF Model'!E45/(1+$B11)^('DCF Model'!C19+2)+'DCF Model'!F45/(1+$B11)^('DCF Model'!C19+3)+'DCF Model'!G45/(1+$B11)^('DCF Model'!C19+4)+'DCF Model'!G45*(1+D$6)/($B11-D$6)/(1+$B11)^('DCF Model'!C19+4)-'DCF Model'!C16)*1000000/'DCF Model'!C15,0),"")</f>
        <v>1694</v>
      </c>
      <c r="E11" s="37">
        <f>IFERROR(ROUND(('DCF Model'!C45/(1+$B11)^('DCF Model'!C19+0)+'DCF Model'!D45/(1+$B11)^('DCF Model'!C19+1)+'DCF Model'!E45/(1+$B11)^('DCF Model'!C19+2)+'DCF Model'!F45/(1+$B11)^('DCF Model'!C19+3)+'DCF Model'!G45/(1+$B11)^('DCF Model'!C19+4)+'DCF Model'!G45*(1+E$6)/($B11-E$6)/(1+$B11)^('DCF Model'!C19+4)-'DCF Model'!C16)*1000000/'DCF Model'!C15,0),"")</f>
        <v>1746</v>
      </c>
      <c r="F11" s="37">
        <f>IFERROR(ROUND(('DCF Model'!C45/(1+$B11)^('DCF Model'!C19+0)+'DCF Model'!D45/(1+$B11)^('DCF Model'!C19+1)+'DCF Model'!E45/(1+$B11)^('DCF Model'!C19+2)+'DCF Model'!F45/(1+$B11)^('DCF Model'!C19+3)+'DCF Model'!G45/(1+$B11)^('DCF Model'!C19+4)+'DCF Model'!G45*(1+F$6)/($B11-F$6)/(1+$B11)^('DCF Model'!C19+4)-'DCF Model'!C16)*1000000/'DCF Model'!C15,0),"")</f>
        <v>1801</v>
      </c>
      <c r="G11" s="37">
        <f>IFERROR(ROUND(('DCF Model'!C45/(1+$B11)^('DCF Model'!C19+0)+'DCF Model'!D45/(1+$B11)^('DCF Model'!C19+1)+'DCF Model'!E45/(1+$B11)^('DCF Model'!C19+2)+'DCF Model'!F45/(1+$B11)^('DCF Model'!C19+3)+'DCF Model'!G45/(1+$B11)^('DCF Model'!C19+4)+'DCF Model'!G45*(1+G$6)/($B11-G$6)/(1+$B11)^('DCF Model'!C19+4)-'DCF Model'!C16)*1000000/'DCF Model'!C15,0),"")</f>
        <v>1861</v>
      </c>
      <c r="H11" s="37">
        <f>IFERROR(ROUND(('DCF Model'!C45/(1+$B11)^('DCF Model'!C19+0)+'DCF Model'!D45/(1+$B11)^('DCF Model'!C19+1)+'DCF Model'!E45/(1+$B11)^('DCF Model'!C19+2)+'DCF Model'!F45/(1+$B11)^('DCF Model'!C19+3)+'DCF Model'!G45/(1+$B11)^('DCF Model'!C19+4)+'DCF Model'!G45*(1+H$6)/($B11-H$6)/(1+$B11)^('DCF Model'!C19+4)-'DCF Model'!C16)*1000000/'DCF Model'!C15,0),"")</f>
        <v>1925</v>
      </c>
      <c r="I11" s="37">
        <f>IFERROR(ROUND(('DCF Model'!C45/(1+$B11)^('DCF Model'!C19+0)+'DCF Model'!D45/(1+$B11)^('DCF Model'!C19+1)+'DCF Model'!E45/(1+$B11)^('DCF Model'!C19+2)+'DCF Model'!F45/(1+$B11)^('DCF Model'!C19+3)+'DCF Model'!G45/(1+$B11)^('DCF Model'!C19+4)+'DCF Model'!G45*(1+I$6)/($B11-I$6)/(1+$B11)^('DCF Model'!C19+4)-'DCF Model'!C16)*1000000/'DCF Model'!C15,0),"")</f>
        <v>1994</v>
      </c>
    </row>
    <row r="12" spans="2:9" ht="13.5" customHeight="1" x14ac:dyDescent="0.25">
      <c r="B12" s="39">
        <f>$C$3+0.01</f>
        <v>8.5245516074450065E-2</v>
      </c>
      <c r="C12" s="37">
        <f>IFERROR(ROUND(('DCF Model'!C45/(1+$B12)^('DCF Model'!C19+0)+'DCF Model'!D45/(1+$B12)^('DCF Model'!C19+1)+'DCF Model'!E45/(1+$B12)^('DCF Model'!C19+2)+'DCF Model'!F45/(1+$B12)^('DCF Model'!C19+3)+'DCF Model'!G45/(1+$B12)^('DCF Model'!C19+4)+'DCF Model'!G45*(1+C$6)/($B12-C$6)/(1+$B12)^('DCF Model'!C19+4)-'DCF Model'!C16)*1000000/'DCF Model'!C15,0),"")</f>
        <v>1527</v>
      </c>
      <c r="D12" s="37">
        <f>IFERROR(ROUND(('DCF Model'!C45/(1+$B12)^('DCF Model'!C19+0)+'DCF Model'!D45/(1+$B12)^('DCF Model'!C19+1)+'DCF Model'!E45/(1+$B12)^('DCF Model'!C19+2)+'DCF Model'!F45/(1+$B12)^('DCF Model'!C19+3)+'DCF Model'!G45/(1+$B12)^('DCF Model'!C19+4)+'DCF Model'!G45*(1+D$6)/($B12-D$6)/(1+$B12)^('DCF Model'!C19+4)-'DCF Model'!C16)*1000000/'DCF Model'!C15,0),"")</f>
        <v>1569</v>
      </c>
      <c r="E12" s="37">
        <f>IFERROR(ROUND(('DCF Model'!C45/(1+$B12)^('DCF Model'!C19+0)+'DCF Model'!D45/(1+$B12)^('DCF Model'!C19+1)+'DCF Model'!E45/(1+$B12)^('DCF Model'!C19+2)+'DCF Model'!F45/(1+$B12)^('DCF Model'!C19+3)+'DCF Model'!G45/(1+$B12)^('DCF Model'!C19+4)+'DCF Model'!G45*(1+E$6)/($B12-E$6)/(1+$B12)^('DCF Model'!C19+4)-'DCF Model'!C16)*1000000/'DCF Model'!C15,0),"")</f>
        <v>1613</v>
      </c>
      <c r="F12" s="37">
        <f>IFERROR(ROUND(('DCF Model'!C45/(1+$B12)^('DCF Model'!C19+0)+'DCF Model'!D45/(1+$B12)^('DCF Model'!C19+1)+'DCF Model'!E45/(1+$B12)^('DCF Model'!C19+2)+'DCF Model'!F45/(1+$B12)^('DCF Model'!C19+3)+'DCF Model'!G45/(1+$B12)^('DCF Model'!C19+4)+'DCF Model'!G45*(1+F$6)/($B12-F$6)/(1+$B12)^('DCF Model'!C19+4)-'DCF Model'!C16)*1000000/'DCF Model'!C15,0),"")</f>
        <v>1661</v>
      </c>
      <c r="G12" s="37">
        <f>IFERROR(ROUND(('DCF Model'!C45/(1+$B12)^('DCF Model'!C19+0)+'DCF Model'!D45/(1+$B12)^('DCF Model'!C19+1)+'DCF Model'!E45/(1+$B12)^('DCF Model'!C19+2)+'DCF Model'!F45/(1+$B12)^('DCF Model'!C19+3)+'DCF Model'!G45/(1+$B12)^('DCF Model'!C19+4)+'DCF Model'!G45*(1+G$6)/($B12-G$6)/(1+$B12)^('DCF Model'!C19+4)-'DCF Model'!C16)*1000000/'DCF Model'!C15,0),"")</f>
        <v>1712</v>
      </c>
      <c r="H12" s="37">
        <f>IFERROR(ROUND(('DCF Model'!C45/(1+$B12)^('DCF Model'!C19+0)+'DCF Model'!D45/(1+$B12)^('DCF Model'!C19+1)+'DCF Model'!E45/(1+$B12)^('DCF Model'!C19+2)+'DCF Model'!F45/(1+$B12)^('DCF Model'!C19+3)+'DCF Model'!G45/(1+$B12)^('DCF Model'!C19+4)+'DCF Model'!G45*(1+H$6)/($B12-H$6)/(1+$B12)^('DCF Model'!C19+4)-'DCF Model'!C16)*1000000/'DCF Model'!C15,0),"")</f>
        <v>1766</v>
      </c>
      <c r="I12" s="37">
        <f>IFERROR(ROUND(('DCF Model'!C45/(1+$B12)^('DCF Model'!C19+0)+'DCF Model'!D45/(1+$B12)^('DCF Model'!C19+1)+'DCF Model'!E45/(1+$B12)^('DCF Model'!C19+2)+'DCF Model'!F45/(1+$B12)^('DCF Model'!C19+3)+'DCF Model'!G45/(1+$B12)^('DCF Model'!C19+4)+'DCF Model'!G45*(1+I$6)/($B12-I$6)/(1+$B12)^('DCF Model'!C19+4)-'DCF Model'!C16)*1000000/'DCF Model'!C15,0),"")</f>
        <v>1825</v>
      </c>
    </row>
    <row r="13" spans="2:9" ht="13.5" customHeight="1" x14ac:dyDescent="0.25">
      <c r="B13" s="39">
        <f>$C$3+0.015</f>
        <v>9.0245516074450069E-2</v>
      </c>
      <c r="C13" s="37">
        <f>IFERROR(ROUND(('DCF Model'!C45/(1+$B13)^('DCF Model'!C19+0)+'DCF Model'!D45/(1+$B13)^('DCF Model'!C19+1)+'DCF Model'!E45/(1+$B13)^('DCF Model'!C19+2)+'DCF Model'!F45/(1+$B13)^('DCF Model'!C19+3)+'DCF Model'!G45/(1+$B13)^('DCF Model'!C19+4)+'DCF Model'!G45*(1+C$6)/($B13-C$6)/(1+$B13)^('DCF Model'!C19+4)-'DCF Model'!C16)*1000000/'DCF Model'!C15,0),"")</f>
        <v>1422</v>
      </c>
      <c r="D13" s="37">
        <f>IFERROR(ROUND(('DCF Model'!C45/(1+$B13)^('DCF Model'!C19+0)+'DCF Model'!D45/(1+$B13)^('DCF Model'!C19+1)+'DCF Model'!E45/(1+$B13)^('DCF Model'!C19+2)+'DCF Model'!F45/(1+$B13)^('DCF Model'!C19+3)+'DCF Model'!G45/(1+$B13)^('DCF Model'!C19+4)+'DCF Model'!G45*(1+D$6)/($B13-D$6)/(1+$B13)^('DCF Model'!C19+4)-'DCF Model'!C16)*1000000/'DCF Model'!C15,0),"")</f>
        <v>1458</v>
      </c>
      <c r="E13" s="37">
        <f>IFERROR(ROUND(('DCF Model'!C45/(1+$B13)^('DCF Model'!C19+0)+'DCF Model'!D45/(1+$B13)^('DCF Model'!C19+1)+'DCF Model'!E45/(1+$B13)^('DCF Model'!C19+2)+'DCF Model'!F45/(1+$B13)^('DCF Model'!C19+3)+'DCF Model'!G45/(1+$B13)^('DCF Model'!C19+4)+'DCF Model'!G45*(1+E$6)/($B13-E$6)/(1+$B13)^('DCF Model'!C19+4)-'DCF Model'!C16)*1000000/'DCF Model'!C15,0),"")</f>
        <v>1497</v>
      </c>
      <c r="F13" s="37">
        <f>IFERROR(ROUND(('DCF Model'!C45/(1+$B13)^('DCF Model'!C19+0)+'DCF Model'!D45/(1+$B13)^('DCF Model'!C19+1)+'DCF Model'!E45/(1+$B13)^('DCF Model'!C19+2)+'DCF Model'!F45/(1+$B13)^('DCF Model'!C19+3)+'DCF Model'!G45/(1+$B13)^('DCF Model'!C19+4)+'DCF Model'!G45*(1+F$6)/($B13-F$6)/(1+$B13)^('DCF Model'!C19+4)-'DCF Model'!C16)*1000000/'DCF Model'!C15,0),"")</f>
        <v>1538</v>
      </c>
      <c r="G13" s="37">
        <f>IFERROR(ROUND(('DCF Model'!C45/(1+$B13)^('DCF Model'!C19+0)+'DCF Model'!D45/(1+$B13)^('DCF Model'!C19+1)+'DCF Model'!E45/(1+$B13)^('DCF Model'!C19+2)+'DCF Model'!F45/(1+$B13)^('DCF Model'!C19+3)+'DCF Model'!G45/(1+$B13)^('DCF Model'!C19+4)+'DCF Model'!G45*(1+G$6)/($B13-G$6)/(1+$B13)^('DCF Model'!C19+4)-'DCF Model'!C16)*1000000/'DCF Model'!C15,0),"")</f>
        <v>1582</v>
      </c>
      <c r="H13" s="37">
        <f>IFERROR(ROUND(('DCF Model'!C45/(1+$B13)^('DCF Model'!C19+0)+'DCF Model'!D45/(1+$B13)^('DCF Model'!C19+1)+'DCF Model'!E45/(1+$B13)^('DCF Model'!C19+2)+'DCF Model'!F45/(1+$B13)^('DCF Model'!C19+3)+'DCF Model'!G45/(1+$B13)^('DCF Model'!C19+4)+'DCF Model'!G45*(1+H$6)/($B13-H$6)/(1+$B13)^('DCF Model'!C19+4)-'DCF Model'!C16)*1000000/'DCF Model'!C15,0),"")</f>
        <v>1629</v>
      </c>
      <c r="I13" s="37">
        <f>IFERROR(ROUND(('DCF Model'!C45/(1+$B13)^('DCF Model'!C19+0)+'DCF Model'!D45/(1+$B13)^('DCF Model'!C19+1)+'DCF Model'!E45/(1+$B13)^('DCF Model'!C19+2)+'DCF Model'!F45/(1+$B13)^('DCF Model'!C19+3)+'DCF Model'!G45/(1+$B13)^('DCF Model'!C19+4)+'DCF Model'!G45*(1+I$6)/($B13-I$6)/(1+$B13)^('DCF Model'!C19+4)-'DCF Model'!C16)*1000000/'DCF Model'!C15,0),"")</f>
        <v>1679</v>
      </c>
    </row>
    <row r="16" spans="2:9" ht="14" customHeight="1" x14ac:dyDescent="0.3">
      <c r="B16" s="3" t="s">
        <v>237</v>
      </c>
    </row>
    <row r="17" spans="2:9" ht="14" customHeight="1" x14ac:dyDescent="0.3">
      <c r="B17" s="40" t="s">
        <v>238</v>
      </c>
      <c r="C17" s="42">
        <f>$I$3-3</f>
        <v>7.9</v>
      </c>
      <c r="D17" s="42">
        <f>$I$3-2</f>
        <v>8.9</v>
      </c>
      <c r="E17" s="42">
        <f>$I$3-1</f>
        <v>9.9</v>
      </c>
      <c r="F17" s="42">
        <f>$I$3</f>
        <v>10.9</v>
      </c>
      <c r="G17" s="42">
        <f>$I$3+1</f>
        <v>11.9</v>
      </c>
      <c r="H17" s="42">
        <f>$I$3+2</f>
        <v>12.9</v>
      </c>
      <c r="I17" s="42">
        <f>$I$3+3</f>
        <v>13.9</v>
      </c>
    </row>
    <row r="18" spans="2:9" ht="13.5" customHeight="1" x14ac:dyDescent="0.25">
      <c r="B18" s="39">
        <f>$C$3-0.015</f>
        <v>6.024551607445007E-2</v>
      </c>
      <c r="C18" s="37">
        <f>IFERROR(ROUND(('DCF Model'!C45/(1+$B18)^('DCF Model'!C19+0)+'DCF Model'!D45/(1+$B18)^('DCF Model'!C19+1)+'DCF Model'!E45/(1+$B18)^('DCF Model'!C19+2)+'DCF Model'!F45/(1+$B18)^('DCF Model'!C19+3)+'DCF Model'!G45/(1+$B18)^('DCF Model'!C19+4)+('DCF Model'!G39+'DCF Model'!G42)*C$17/(1+$B18)^('DCF Model'!C19+4)-'DCF Model'!C16)*1000000/'DCF Model'!C15,0),"")</f>
        <v>2299</v>
      </c>
      <c r="D18" s="37">
        <f>IFERROR(ROUND(('DCF Model'!C45/(1+$B18)^('DCF Model'!C19+0)+'DCF Model'!D45/(1+$B18)^('DCF Model'!C19+1)+'DCF Model'!E45/(1+$B18)^('DCF Model'!C19+2)+'DCF Model'!F45/(1+$B18)^('DCF Model'!C19+3)+'DCF Model'!G45/(1+$B18)^('DCF Model'!C19+4)+('DCF Model'!G39+'DCF Model'!G42)*D$17/(1+$B18)^('DCF Model'!C19+4)-'DCF Model'!C16)*1000000/'DCF Model'!C15,0),"")</f>
        <v>2548</v>
      </c>
      <c r="E18" s="37">
        <f>IFERROR(ROUND(('DCF Model'!C45/(1+$B18)^('DCF Model'!C19+0)+'DCF Model'!D45/(1+$B18)^('DCF Model'!C19+1)+'DCF Model'!E45/(1+$B18)^('DCF Model'!C19+2)+'DCF Model'!F45/(1+$B18)^('DCF Model'!C19+3)+'DCF Model'!G45/(1+$B18)^('DCF Model'!C19+4)+('DCF Model'!G39+'DCF Model'!G42)*E$17/(1+$B18)^('DCF Model'!C19+4)-'DCF Model'!C16)*1000000/'DCF Model'!C15,0),"")</f>
        <v>2798</v>
      </c>
      <c r="F18" s="37">
        <f>IFERROR(ROUND(('DCF Model'!C45/(1+$B18)^('DCF Model'!C19+0)+'DCF Model'!D45/(1+$B18)^('DCF Model'!C19+1)+'DCF Model'!E45/(1+$B18)^('DCF Model'!C19+2)+'DCF Model'!F45/(1+$B18)^('DCF Model'!C19+3)+'DCF Model'!G45/(1+$B18)^('DCF Model'!C19+4)+('DCF Model'!G39+'DCF Model'!G42)*F$17/(1+$B18)^('DCF Model'!C19+4)-'DCF Model'!C16)*1000000/'DCF Model'!C15,0),"")</f>
        <v>3048</v>
      </c>
      <c r="G18" s="37">
        <f>IFERROR(ROUND(('DCF Model'!C45/(1+$B18)^('DCF Model'!C19+0)+'DCF Model'!D45/(1+$B18)^('DCF Model'!C19+1)+'DCF Model'!E45/(1+$B18)^('DCF Model'!C19+2)+'DCF Model'!F45/(1+$B18)^('DCF Model'!C19+3)+'DCF Model'!G45/(1+$B18)^('DCF Model'!C19+4)+('DCF Model'!G39+'DCF Model'!G42)*G$17/(1+$B18)^('DCF Model'!C19+4)-'DCF Model'!C16)*1000000/'DCF Model'!C15,0),"")</f>
        <v>3298</v>
      </c>
      <c r="H18" s="37">
        <f>IFERROR(ROUND(('DCF Model'!C45/(1+$B18)^('DCF Model'!C19+0)+'DCF Model'!D45/(1+$B18)^('DCF Model'!C19+1)+'DCF Model'!E45/(1+$B18)^('DCF Model'!C19+2)+'DCF Model'!F45/(1+$B18)^('DCF Model'!C19+3)+'DCF Model'!G45/(1+$B18)^('DCF Model'!C19+4)+('DCF Model'!G39+'DCF Model'!G42)*H$17/(1+$B18)^('DCF Model'!C19+4)-'DCF Model'!C16)*1000000/'DCF Model'!C15,0),"")</f>
        <v>3548</v>
      </c>
      <c r="I18" s="37">
        <f>IFERROR(ROUND(('DCF Model'!C45/(1+$B18)^('DCF Model'!C19+0)+'DCF Model'!D45/(1+$B18)^('DCF Model'!C19+1)+'DCF Model'!E45/(1+$B18)^('DCF Model'!C19+2)+'DCF Model'!F45/(1+$B18)^('DCF Model'!C19+3)+'DCF Model'!G45/(1+$B18)^('DCF Model'!C19+4)+('DCF Model'!G39+'DCF Model'!G42)*I$17/(1+$B18)^('DCF Model'!C19+4)-'DCF Model'!C16)*1000000/'DCF Model'!C15,0),"")</f>
        <v>3798</v>
      </c>
    </row>
    <row r="19" spans="2:9" ht="13.5" customHeight="1" x14ac:dyDescent="0.25">
      <c r="B19" s="39">
        <f>$C$3-0.01</f>
        <v>6.5245516074450075E-2</v>
      </c>
      <c r="C19" s="37">
        <f>IFERROR(ROUND(('DCF Model'!C45/(1+$B19)^('DCF Model'!C19+0)+'DCF Model'!D45/(1+$B19)^('DCF Model'!C19+1)+'DCF Model'!E45/(1+$B19)^('DCF Model'!C19+2)+'DCF Model'!F45/(1+$B19)^('DCF Model'!C19+3)+'DCF Model'!G45/(1+$B19)^('DCF Model'!C19+4)+('DCF Model'!G39+'DCF Model'!G42)*C$17/(1+$B19)^('DCF Model'!C19+4)-'DCF Model'!C16)*1000000/'DCF Model'!C15,0),"")</f>
        <v>2244</v>
      </c>
      <c r="D19" s="37">
        <f>IFERROR(ROUND(('DCF Model'!C45/(1+$B19)^('DCF Model'!C19+0)+'DCF Model'!D45/(1+$B19)^('DCF Model'!C19+1)+'DCF Model'!E45/(1+$B19)^('DCF Model'!C19+2)+'DCF Model'!F45/(1+$B19)^('DCF Model'!C19+3)+'DCF Model'!G45/(1+$B19)^('DCF Model'!C19+4)+('DCF Model'!G39+'DCF Model'!G42)*D$17/(1+$B19)^('DCF Model'!C19+4)-'DCF Model'!C16)*1000000/'DCF Model'!C15,0),"")</f>
        <v>2488</v>
      </c>
      <c r="E19" s="37">
        <f>IFERROR(ROUND(('DCF Model'!C45/(1+$B19)^('DCF Model'!C19+0)+'DCF Model'!D45/(1+$B19)^('DCF Model'!C19+1)+'DCF Model'!E45/(1+$B19)^('DCF Model'!C19+2)+'DCF Model'!F45/(1+$B19)^('DCF Model'!C19+3)+'DCF Model'!G45/(1+$B19)^('DCF Model'!C19+4)+('DCF Model'!G39+'DCF Model'!G42)*E$17/(1+$B19)^('DCF Model'!C19+4)-'DCF Model'!C16)*1000000/'DCF Model'!C15,0),"")</f>
        <v>2732</v>
      </c>
      <c r="F19" s="37">
        <f>IFERROR(ROUND(('DCF Model'!C45/(1+$B19)^('DCF Model'!C19+0)+'DCF Model'!D45/(1+$B19)^('DCF Model'!C19+1)+'DCF Model'!E45/(1+$B19)^('DCF Model'!C19+2)+'DCF Model'!F45/(1+$B19)^('DCF Model'!C19+3)+'DCF Model'!G45/(1+$B19)^('DCF Model'!C19+4)+('DCF Model'!G39+'DCF Model'!G42)*F$17/(1+$B19)^('DCF Model'!C19+4)-'DCF Model'!C16)*1000000/'DCF Model'!C15,0),"")</f>
        <v>2977</v>
      </c>
      <c r="G19" s="37">
        <f>IFERROR(ROUND(('DCF Model'!C45/(1+$B19)^('DCF Model'!C19+0)+'DCF Model'!D45/(1+$B19)^('DCF Model'!C19+1)+'DCF Model'!E45/(1+$B19)^('DCF Model'!C19+2)+'DCF Model'!F45/(1+$B19)^('DCF Model'!C19+3)+'DCF Model'!G45/(1+$B19)^('DCF Model'!C19+4)+('DCF Model'!G39+'DCF Model'!G42)*G$17/(1+$B19)^('DCF Model'!C19+4)-'DCF Model'!C16)*1000000/'DCF Model'!C15,0),"")</f>
        <v>3221</v>
      </c>
      <c r="H19" s="37">
        <f>IFERROR(ROUND(('DCF Model'!C45/(1+$B19)^('DCF Model'!C19+0)+'DCF Model'!D45/(1+$B19)^('DCF Model'!C19+1)+'DCF Model'!E45/(1+$B19)^('DCF Model'!C19+2)+'DCF Model'!F45/(1+$B19)^('DCF Model'!C19+3)+'DCF Model'!G45/(1+$B19)^('DCF Model'!C19+4)+('DCF Model'!G39+'DCF Model'!G42)*H$17/(1+$B19)^('DCF Model'!C19+4)-'DCF Model'!C16)*1000000/'DCF Model'!C15,0),"")</f>
        <v>3465</v>
      </c>
      <c r="I19" s="37">
        <f>IFERROR(ROUND(('DCF Model'!C45/(1+$B19)^('DCF Model'!C19+0)+'DCF Model'!D45/(1+$B19)^('DCF Model'!C19+1)+'DCF Model'!E45/(1+$B19)^('DCF Model'!C19+2)+'DCF Model'!F45/(1+$B19)^('DCF Model'!C19+3)+'DCF Model'!G45/(1+$B19)^('DCF Model'!C19+4)+('DCF Model'!G39+'DCF Model'!G42)*I$17/(1+$B19)^('DCF Model'!C19+4)-'DCF Model'!C16)*1000000/'DCF Model'!C15,0),"")</f>
        <v>3709</v>
      </c>
    </row>
    <row r="20" spans="2:9" ht="13.5" customHeight="1" x14ac:dyDescent="0.25">
      <c r="B20" s="39">
        <f>$C$3-0.005</f>
        <v>7.0245516074450065E-2</v>
      </c>
      <c r="C20" s="37">
        <f>IFERROR(ROUND(('DCF Model'!C45/(1+$B20)^('DCF Model'!C19+0)+'DCF Model'!D45/(1+$B20)^('DCF Model'!C19+1)+'DCF Model'!E45/(1+$B20)^('DCF Model'!C19+2)+'DCF Model'!F45/(1+$B20)^('DCF Model'!C19+3)+'DCF Model'!G45/(1+$B20)^('DCF Model'!C19+4)+('DCF Model'!G39+'DCF Model'!G42)*C$17/(1+$B20)^('DCF Model'!C19+4)-'DCF Model'!C16)*1000000/'DCF Model'!C15,0),"")</f>
        <v>2191</v>
      </c>
      <c r="D20" s="37">
        <f>IFERROR(ROUND(('DCF Model'!C45/(1+$B20)^('DCF Model'!C19+0)+'DCF Model'!D45/(1+$B20)^('DCF Model'!C19+1)+'DCF Model'!E45/(1+$B20)^('DCF Model'!C19+2)+'DCF Model'!F45/(1+$B20)^('DCF Model'!C19+3)+'DCF Model'!G45/(1+$B20)^('DCF Model'!C19+4)+('DCF Model'!G39+'DCF Model'!G42)*D$17/(1+$B20)^('DCF Model'!C19+4)-'DCF Model'!C16)*1000000/'DCF Model'!C15,0),"")</f>
        <v>2430</v>
      </c>
      <c r="E20" s="37">
        <f>IFERROR(ROUND(('DCF Model'!C45/(1+$B20)^('DCF Model'!C19+0)+'DCF Model'!D45/(1+$B20)^('DCF Model'!C19+1)+'DCF Model'!E45/(1+$B20)^('DCF Model'!C19+2)+'DCF Model'!F45/(1+$B20)^('DCF Model'!C19+3)+'DCF Model'!G45/(1+$B20)^('DCF Model'!C19+4)+('DCF Model'!G39+'DCF Model'!G42)*E$17/(1+$B20)^('DCF Model'!C19+4)-'DCF Model'!C16)*1000000/'DCF Model'!C15,0),"")</f>
        <v>2668</v>
      </c>
      <c r="F20" s="37">
        <f>IFERROR(ROUND(('DCF Model'!C45/(1+$B20)^('DCF Model'!C19+0)+'DCF Model'!D45/(1+$B20)^('DCF Model'!C19+1)+'DCF Model'!E45/(1+$B20)^('DCF Model'!C19+2)+'DCF Model'!F45/(1+$B20)^('DCF Model'!C19+3)+'DCF Model'!G45/(1+$B20)^('DCF Model'!C19+4)+('DCF Model'!G39+'DCF Model'!G42)*F$17/(1+$B20)^('DCF Model'!C19+4)-'DCF Model'!C16)*1000000/'DCF Model'!C15,0),"")</f>
        <v>2907</v>
      </c>
      <c r="G20" s="37">
        <f>IFERROR(ROUND(('DCF Model'!C45/(1+$B20)^('DCF Model'!C19+0)+'DCF Model'!D45/(1+$B20)^('DCF Model'!C19+1)+'DCF Model'!E45/(1+$B20)^('DCF Model'!C19+2)+'DCF Model'!F45/(1+$B20)^('DCF Model'!C19+3)+'DCF Model'!G45/(1+$B20)^('DCF Model'!C19+4)+('DCF Model'!G39+'DCF Model'!G42)*G$17/(1+$B20)^('DCF Model'!C19+4)-'DCF Model'!C16)*1000000/'DCF Model'!C15,0),"")</f>
        <v>3145</v>
      </c>
      <c r="H20" s="37">
        <f>IFERROR(ROUND(('DCF Model'!C45/(1+$B20)^('DCF Model'!C19+0)+'DCF Model'!D45/(1+$B20)^('DCF Model'!C19+1)+'DCF Model'!E45/(1+$B20)^('DCF Model'!C19+2)+'DCF Model'!F45/(1+$B20)^('DCF Model'!C19+3)+'DCF Model'!G45/(1+$B20)^('DCF Model'!C19+4)+('DCF Model'!G39+'DCF Model'!G42)*H$17/(1+$B20)^('DCF Model'!C19+4)-'DCF Model'!C16)*1000000/'DCF Model'!C15,0),"")</f>
        <v>3384</v>
      </c>
      <c r="I20" s="37">
        <f>IFERROR(ROUND(('DCF Model'!C45/(1+$B20)^('DCF Model'!C19+0)+'DCF Model'!D45/(1+$B20)^('DCF Model'!C19+1)+'DCF Model'!E45/(1+$B20)^('DCF Model'!C19+2)+'DCF Model'!F45/(1+$B20)^('DCF Model'!C19+3)+'DCF Model'!G45/(1+$B20)^('DCF Model'!C19+4)+('DCF Model'!G39+'DCF Model'!G42)*I$17/(1+$B20)^('DCF Model'!C19+4)-'DCF Model'!C16)*1000000/'DCF Model'!C15,0),"")</f>
        <v>3622</v>
      </c>
    </row>
    <row r="21" spans="2:9" ht="13.5" customHeight="1" x14ac:dyDescent="0.25">
      <c r="B21" s="39">
        <f>$C$3</f>
        <v>7.524551607445007E-2</v>
      </c>
      <c r="C21" s="37">
        <f>IFERROR(ROUND(('DCF Model'!C45/(1+$B21)^('DCF Model'!C19+0)+'DCF Model'!D45/(1+$B21)^('DCF Model'!C19+1)+'DCF Model'!E45/(1+$B21)^('DCF Model'!C19+2)+'DCF Model'!F45/(1+$B21)^('DCF Model'!C19+3)+'DCF Model'!G45/(1+$B21)^('DCF Model'!C19+4)+('DCF Model'!G39+'DCF Model'!G42)*C$17/(1+$B21)^('DCF Model'!C19+4)-'DCF Model'!C16)*1000000/'DCF Model'!C15,0),"")</f>
        <v>2140</v>
      </c>
      <c r="D21" s="37">
        <f>IFERROR(ROUND(('DCF Model'!C45/(1+$B21)^('DCF Model'!C19+0)+'DCF Model'!D45/(1+$B21)^('DCF Model'!C19+1)+'DCF Model'!E45/(1+$B21)^('DCF Model'!C19+2)+'DCF Model'!F45/(1+$B21)^('DCF Model'!C19+3)+'DCF Model'!G45/(1+$B21)^('DCF Model'!C19+4)+('DCF Model'!G39+'DCF Model'!G42)*D$17/(1+$B21)^('DCF Model'!C19+4)-'DCF Model'!C16)*1000000/'DCF Model'!C15,0),"")</f>
        <v>2373</v>
      </c>
      <c r="E21" s="37">
        <f>IFERROR(ROUND(('DCF Model'!C45/(1+$B21)^('DCF Model'!C19+0)+'DCF Model'!D45/(1+$B21)^('DCF Model'!C19+1)+'DCF Model'!E45/(1+$B21)^('DCF Model'!C19+2)+'DCF Model'!F45/(1+$B21)^('DCF Model'!C19+3)+'DCF Model'!G45/(1+$B21)^('DCF Model'!C19+4)+('DCF Model'!G39+'DCF Model'!G42)*E$17/(1+$B21)^('DCF Model'!C19+4)-'DCF Model'!C16)*1000000/'DCF Model'!C15,0),"")</f>
        <v>2606</v>
      </c>
      <c r="F21" s="37">
        <f>IFERROR(ROUND(('DCF Model'!C45/(1+$B21)^('DCF Model'!C19+0)+'DCF Model'!D45/(1+$B21)^('DCF Model'!C19+1)+'DCF Model'!E45/(1+$B21)^('DCF Model'!C19+2)+'DCF Model'!F45/(1+$B21)^('DCF Model'!C19+3)+'DCF Model'!G45/(1+$B21)^('DCF Model'!C19+4)+('DCF Model'!G39+'DCF Model'!G42)*F$17/(1+$B21)^('DCF Model'!C19+4)-'DCF Model'!C16)*1000000/'DCF Model'!C15,0),"")</f>
        <v>2839</v>
      </c>
      <c r="G21" s="37">
        <f>IFERROR(ROUND(('DCF Model'!C45/(1+$B21)^('DCF Model'!C19+0)+'DCF Model'!D45/(1+$B21)^('DCF Model'!C19+1)+'DCF Model'!E45/(1+$B21)^('DCF Model'!C19+2)+'DCF Model'!F45/(1+$B21)^('DCF Model'!C19+3)+'DCF Model'!G45/(1+$B21)^('DCF Model'!C19+4)+('DCF Model'!G39+'DCF Model'!G42)*G$17/(1+$B21)^('DCF Model'!C19+4)-'DCF Model'!C16)*1000000/'DCF Model'!C15,0),"")</f>
        <v>3072</v>
      </c>
      <c r="H21" s="37">
        <f>IFERROR(ROUND(('DCF Model'!C45/(1+$B21)^('DCF Model'!C19+0)+'DCF Model'!D45/(1+$B21)^('DCF Model'!C19+1)+'DCF Model'!E45/(1+$B21)^('DCF Model'!C19+2)+'DCF Model'!F45/(1+$B21)^('DCF Model'!C19+3)+'DCF Model'!G45/(1+$B21)^('DCF Model'!C19+4)+('DCF Model'!G39+'DCF Model'!G42)*H$17/(1+$B21)^('DCF Model'!C19+4)-'DCF Model'!C16)*1000000/'DCF Model'!C15,0),"")</f>
        <v>3305</v>
      </c>
      <c r="I21" s="37">
        <f>IFERROR(ROUND(('DCF Model'!C45/(1+$B21)^('DCF Model'!C19+0)+'DCF Model'!D45/(1+$B21)^('DCF Model'!C19+1)+'DCF Model'!E45/(1+$B21)^('DCF Model'!C19+2)+'DCF Model'!F45/(1+$B21)^('DCF Model'!C19+3)+'DCF Model'!G45/(1+$B21)^('DCF Model'!C19+4)+('DCF Model'!G39+'DCF Model'!G42)*I$17/(1+$B21)^('DCF Model'!C19+4)-'DCF Model'!C16)*1000000/'DCF Model'!C15,0),"")</f>
        <v>3538</v>
      </c>
    </row>
    <row r="22" spans="2:9" ht="13.5" customHeight="1" x14ac:dyDescent="0.25">
      <c r="B22" s="39">
        <f>$C$3+0.005</f>
        <v>8.0245516074450074E-2</v>
      </c>
      <c r="C22" s="37">
        <f>IFERROR(ROUND(('DCF Model'!C45/(1+$B22)^('DCF Model'!C19+0)+'DCF Model'!D45/(1+$B22)^('DCF Model'!C19+1)+'DCF Model'!E45/(1+$B22)^('DCF Model'!C19+2)+'DCF Model'!F45/(1+$B22)^('DCF Model'!C19+3)+'DCF Model'!G45/(1+$B22)^('DCF Model'!C19+4)+('DCF Model'!G39+'DCF Model'!G42)*C$17/(1+$B22)^('DCF Model'!C19+4)-'DCF Model'!C16)*1000000/'DCF Model'!C15,0),"")</f>
        <v>2090</v>
      </c>
      <c r="D22" s="37">
        <f>IFERROR(ROUND(('DCF Model'!C45/(1+$B22)^('DCF Model'!C19+0)+'DCF Model'!D45/(1+$B22)^('DCF Model'!C19+1)+'DCF Model'!E45/(1+$B22)^('DCF Model'!C19+2)+'DCF Model'!F45/(1+$B22)^('DCF Model'!C19+3)+'DCF Model'!G45/(1+$B22)^('DCF Model'!C19+4)+('DCF Model'!G39+'DCF Model'!G42)*D$17/(1+$B22)^('DCF Model'!C19+4)-'DCF Model'!C16)*1000000/'DCF Model'!C15,0),"")</f>
        <v>2317</v>
      </c>
      <c r="E22" s="37">
        <f>IFERROR(ROUND(('DCF Model'!C45/(1+$B22)^('DCF Model'!C19+0)+'DCF Model'!D45/(1+$B22)^('DCF Model'!C19+1)+'DCF Model'!E45/(1+$B22)^('DCF Model'!C19+2)+'DCF Model'!F45/(1+$B22)^('DCF Model'!C19+3)+'DCF Model'!G45/(1+$B22)^('DCF Model'!C19+4)+('DCF Model'!G39+'DCF Model'!G42)*E$17/(1+$B22)^('DCF Model'!C19+4)-'DCF Model'!C16)*1000000/'DCF Model'!C15,0),"")</f>
        <v>2545</v>
      </c>
      <c r="F22" s="37">
        <f>IFERROR(ROUND(('DCF Model'!C45/(1+$B22)^('DCF Model'!C19+0)+'DCF Model'!D45/(1+$B22)^('DCF Model'!C19+1)+'DCF Model'!E45/(1+$B22)^('DCF Model'!C19+2)+'DCF Model'!F45/(1+$B22)^('DCF Model'!C19+3)+'DCF Model'!G45/(1+$B22)^('DCF Model'!C19+4)+('DCF Model'!G39+'DCF Model'!G42)*F$17/(1+$B22)^('DCF Model'!C19+4)-'DCF Model'!C16)*1000000/'DCF Model'!C15,0),"")</f>
        <v>2773</v>
      </c>
      <c r="G22" s="37">
        <f>IFERROR(ROUND(('DCF Model'!C45/(1+$B22)^('DCF Model'!C19+0)+'DCF Model'!D45/(1+$B22)^('DCF Model'!C19+1)+'DCF Model'!E45/(1+$B22)^('DCF Model'!C19+2)+'DCF Model'!F45/(1+$B22)^('DCF Model'!C19+3)+'DCF Model'!G45/(1+$B22)^('DCF Model'!C19+4)+('DCF Model'!G39+'DCF Model'!G42)*G$17/(1+$B22)^('DCF Model'!C19+4)-'DCF Model'!C16)*1000000/'DCF Model'!C15,0),"")</f>
        <v>3000</v>
      </c>
      <c r="H22" s="37">
        <f>IFERROR(ROUND(('DCF Model'!C45/(1+$B22)^('DCF Model'!C19+0)+'DCF Model'!D45/(1+$B22)^('DCF Model'!C19+1)+'DCF Model'!E45/(1+$B22)^('DCF Model'!C19+2)+'DCF Model'!F45/(1+$B22)^('DCF Model'!C19+3)+'DCF Model'!G45/(1+$B22)^('DCF Model'!C19+4)+('DCF Model'!G39+'DCF Model'!G42)*H$17/(1+$B22)^('DCF Model'!C19+4)-'DCF Model'!C16)*1000000/'DCF Model'!C15,0),"")</f>
        <v>3228</v>
      </c>
      <c r="I22" s="37">
        <f>IFERROR(ROUND(('DCF Model'!C45/(1+$B22)^('DCF Model'!C19+0)+'DCF Model'!D45/(1+$B22)^('DCF Model'!C19+1)+'DCF Model'!E45/(1+$B22)^('DCF Model'!C19+2)+'DCF Model'!F45/(1+$B22)^('DCF Model'!C19+3)+'DCF Model'!G45/(1+$B22)^('DCF Model'!C19+4)+('DCF Model'!G39+'DCF Model'!G42)*I$17/(1+$B22)^('DCF Model'!C19+4)-'DCF Model'!C16)*1000000/'DCF Model'!C15,0),"")</f>
        <v>3455</v>
      </c>
    </row>
    <row r="23" spans="2:9" ht="13.5" customHeight="1" x14ac:dyDescent="0.25">
      <c r="B23" s="39">
        <f>$C$3+0.01</f>
        <v>8.5245516074450065E-2</v>
      </c>
      <c r="C23" s="37">
        <f>IFERROR(ROUND(('DCF Model'!C45/(1+$B23)^('DCF Model'!C19+0)+'DCF Model'!D45/(1+$B23)^('DCF Model'!C19+1)+'DCF Model'!E45/(1+$B23)^('DCF Model'!C19+2)+'DCF Model'!F45/(1+$B23)^('DCF Model'!C19+3)+'DCF Model'!G45/(1+$B23)^('DCF Model'!C19+4)+('DCF Model'!G39+'DCF Model'!G42)*C$17/(1+$B23)^('DCF Model'!C19+4)-'DCF Model'!C16)*1000000/'DCF Model'!C15,0),"")</f>
        <v>2041</v>
      </c>
      <c r="D23" s="37">
        <f>IFERROR(ROUND(('DCF Model'!C45/(1+$B23)^('DCF Model'!C19+0)+'DCF Model'!D45/(1+$B23)^('DCF Model'!C19+1)+'DCF Model'!E45/(1+$B23)^('DCF Model'!C19+2)+'DCF Model'!F45/(1+$B23)^('DCF Model'!C19+3)+'DCF Model'!G45/(1+$B23)^('DCF Model'!C19+4)+('DCF Model'!G39+'DCF Model'!G42)*D$17/(1+$B23)^('DCF Model'!C19+4)-'DCF Model'!C16)*1000000/'DCF Model'!C15,0),"")</f>
        <v>2264</v>
      </c>
      <c r="E23" s="37">
        <f>IFERROR(ROUND(('DCF Model'!C45/(1+$B23)^('DCF Model'!C19+0)+'DCF Model'!D45/(1+$B23)^('DCF Model'!C19+1)+'DCF Model'!E45/(1+$B23)^('DCF Model'!C19+2)+'DCF Model'!F45/(1+$B23)^('DCF Model'!C19+3)+'DCF Model'!G45/(1+$B23)^('DCF Model'!C19+4)+('DCF Model'!G39+'DCF Model'!G42)*E$17/(1+$B23)^('DCF Model'!C19+4)-'DCF Model'!C16)*1000000/'DCF Model'!C15,0),"")</f>
        <v>2486</v>
      </c>
      <c r="F23" s="37">
        <f>IFERROR(ROUND(('DCF Model'!C45/(1+$B23)^('DCF Model'!C19+0)+'DCF Model'!D45/(1+$B23)^('DCF Model'!C19+1)+'DCF Model'!E45/(1+$B23)^('DCF Model'!C19+2)+'DCF Model'!F45/(1+$B23)^('DCF Model'!C19+3)+'DCF Model'!G45/(1+$B23)^('DCF Model'!C19+4)+('DCF Model'!G39+'DCF Model'!G42)*F$17/(1+$B23)^('DCF Model'!C19+4)-'DCF Model'!C16)*1000000/'DCF Model'!C15,0),"")</f>
        <v>2708</v>
      </c>
      <c r="G23" s="37">
        <f>IFERROR(ROUND(('DCF Model'!C45/(1+$B23)^('DCF Model'!C19+0)+'DCF Model'!D45/(1+$B23)^('DCF Model'!C19+1)+'DCF Model'!E45/(1+$B23)^('DCF Model'!C19+2)+'DCF Model'!F45/(1+$B23)^('DCF Model'!C19+3)+'DCF Model'!G45/(1+$B23)^('DCF Model'!C19+4)+('DCF Model'!G39+'DCF Model'!G42)*G$17/(1+$B23)^('DCF Model'!C19+4)-'DCF Model'!C16)*1000000/'DCF Model'!C15,0),"")</f>
        <v>2931</v>
      </c>
      <c r="H23" s="37">
        <f>IFERROR(ROUND(('DCF Model'!C45/(1+$B23)^('DCF Model'!C19+0)+'DCF Model'!D45/(1+$B23)^('DCF Model'!C19+1)+'DCF Model'!E45/(1+$B23)^('DCF Model'!C19+2)+'DCF Model'!F45/(1+$B23)^('DCF Model'!C19+3)+'DCF Model'!G45/(1+$B23)^('DCF Model'!C19+4)+('DCF Model'!G39+'DCF Model'!G42)*H$17/(1+$B23)^('DCF Model'!C19+4)-'DCF Model'!C16)*1000000/'DCF Model'!C15,0),"")</f>
        <v>3153</v>
      </c>
      <c r="I23" s="37">
        <f>IFERROR(ROUND(('DCF Model'!C45/(1+$B23)^('DCF Model'!C19+0)+'DCF Model'!D45/(1+$B23)^('DCF Model'!C19+1)+'DCF Model'!E45/(1+$B23)^('DCF Model'!C19+2)+'DCF Model'!F45/(1+$B23)^('DCF Model'!C19+3)+'DCF Model'!G45/(1+$B23)^('DCF Model'!C19+4)+('DCF Model'!G39+'DCF Model'!G42)*I$17/(1+$B23)^('DCF Model'!C19+4)-'DCF Model'!C16)*1000000/'DCF Model'!C15,0),"")</f>
        <v>3375</v>
      </c>
    </row>
    <row r="24" spans="2:9" ht="13.5" customHeight="1" x14ac:dyDescent="0.25">
      <c r="B24" s="39">
        <f>$C$3+0.015</f>
        <v>9.0245516074450069E-2</v>
      </c>
      <c r="C24" s="37">
        <f>IFERROR(ROUND(('DCF Model'!C45/(1+$B24)^('DCF Model'!C19+0)+'DCF Model'!D45/(1+$B24)^('DCF Model'!C19+1)+'DCF Model'!E45/(1+$B24)^('DCF Model'!C19+2)+'DCF Model'!F45/(1+$B24)^('DCF Model'!C19+3)+'DCF Model'!G45/(1+$B24)^('DCF Model'!C19+4)+('DCF Model'!G39+'DCF Model'!G42)*C$17/(1+$B24)^('DCF Model'!C19+4)-'DCF Model'!C16)*1000000/'DCF Model'!C15,0),"")</f>
        <v>1994</v>
      </c>
      <c r="D24" s="37">
        <f>IFERROR(ROUND(('DCF Model'!C45/(1+$B24)^('DCF Model'!C19+0)+'DCF Model'!D45/(1+$B24)^('DCF Model'!C19+1)+'DCF Model'!E45/(1+$B24)^('DCF Model'!C19+2)+'DCF Model'!F45/(1+$B24)^('DCF Model'!C19+3)+'DCF Model'!G45/(1+$B24)^('DCF Model'!C19+4)+('DCF Model'!G39+'DCF Model'!G42)*D$17/(1+$B24)^('DCF Model'!C19+4)-'DCF Model'!C16)*1000000/'DCF Model'!C15,0),"")</f>
        <v>2211</v>
      </c>
      <c r="E24" s="37">
        <f>IFERROR(ROUND(('DCF Model'!C45/(1+$B24)^('DCF Model'!C19+0)+'DCF Model'!D45/(1+$B24)^('DCF Model'!C19+1)+'DCF Model'!E45/(1+$B24)^('DCF Model'!C19+2)+'DCF Model'!F45/(1+$B24)^('DCF Model'!C19+3)+'DCF Model'!G45/(1+$B24)^('DCF Model'!C19+4)+('DCF Model'!G39+'DCF Model'!G42)*E$17/(1+$B24)^('DCF Model'!C19+4)-'DCF Model'!C16)*1000000/'DCF Model'!C15,0),"")</f>
        <v>2428</v>
      </c>
      <c r="F24" s="37">
        <f>IFERROR(ROUND(('DCF Model'!C45/(1+$B24)^('DCF Model'!C19+0)+'DCF Model'!D45/(1+$B24)^('DCF Model'!C19+1)+'DCF Model'!E45/(1+$B24)^('DCF Model'!C19+2)+'DCF Model'!F45/(1+$B24)^('DCF Model'!C19+3)+'DCF Model'!G45/(1+$B24)^('DCF Model'!C19+4)+('DCF Model'!G39+'DCF Model'!G42)*F$17/(1+$B24)^('DCF Model'!C19+4)-'DCF Model'!C16)*1000000/'DCF Model'!C15,0),"")</f>
        <v>2646</v>
      </c>
      <c r="G24" s="37">
        <f>IFERROR(ROUND(('DCF Model'!C45/(1+$B24)^('DCF Model'!C19+0)+'DCF Model'!D45/(1+$B24)^('DCF Model'!C19+1)+'DCF Model'!E45/(1+$B24)^('DCF Model'!C19+2)+'DCF Model'!F45/(1+$B24)^('DCF Model'!C19+3)+'DCF Model'!G45/(1+$B24)^('DCF Model'!C19+4)+('DCF Model'!G39+'DCF Model'!G42)*G$17/(1+$B24)^('DCF Model'!C19+4)-'DCF Model'!C16)*1000000/'DCF Model'!C15,0),"")</f>
        <v>2863</v>
      </c>
      <c r="H24" s="37">
        <f>IFERROR(ROUND(('DCF Model'!C45/(1+$B24)^('DCF Model'!C19+0)+'DCF Model'!D45/(1+$B24)^('DCF Model'!C19+1)+'DCF Model'!E45/(1+$B24)^('DCF Model'!C19+2)+'DCF Model'!F45/(1+$B24)^('DCF Model'!C19+3)+'DCF Model'!G45/(1+$B24)^('DCF Model'!C19+4)+('DCF Model'!G39+'DCF Model'!G42)*H$17/(1+$B24)^('DCF Model'!C19+4)-'DCF Model'!C16)*1000000/'DCF Model'!C15,0),"")</f>
        <v>3080</v>
      </c>
      <c r="I24" s="37">
        <f>IFERROR(ROUND(('DCF Model'!C45/(1+$B24)^('DCF Model'!C19+0)+'DCF Model'!D45/(1+$B24)^('DCF Model'!C19+1)+'DCF Model'!E45/(1+$B24)^('DCF Model'!C19+2)+'DCF Model'!F45/(1+$B24)^('DCF Model'!C19+3)+'DCF Model'!G45/(1+$B24)^('DCF Model'!C19+4)+('DCF Model'!G39+'DCF Model'!G42)*I$17/(1+$B24)^('DCF Model'!C19+4)-'DCF Model'!C16)*1000000/'DCF Model'!C15,0),"")</f>
        <v>3298</v>
      </c>
    </row>
    <row r="26" spans="2:9" ht="14" customHeight="1" x14ac:dyDescent="0.3">
      <c r="B26" s="46" t="s">
        <v>239</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7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240</v>
      </c>
    </row>
    <row r="4" spans="2:7" ht="14" customHeight="1" x14ac:dyDescent="0.3">
      <c r="B4" s="10" t="s">
        <v>241</v>
      </c>
      <c r="C4" s="10" t="s">
        <v>242</v>
      </c>
      <c r="D4" s="10" t="s">
        <v>243</v>
      </c>
      <c r="E4" s="10" t="s">
        <v>244</v>
      </c>
      <c r="F4" s="10" t="s">
        <v>245</v>
      </c>
      <c r="G4" s="10" t="s">
        <v>246</v>
      </c>
    </row>
    <row r="5" spans="2:7" x14ac:dyDescent="0.2">
      <c r="B5" t="s">
        <v>247</v>
      </c>
      <c r="C5" t="s">
        <v>248</v>
      </c>
      <c r="D5" t="s">
        <v>249</v>
      </c>
      <c r="E5" t="s">
        <v>250</v>
      </c>
      <c r="F5" t="s">
        <v>248</v>
      </c>
      <c r="G5" t="s">
        <v>251</v>
      </c>
    </row>
    <row r="6" spans="2:7" ht="30" customHeight="1" x14ac:dyDescent="0.3">
      <c r="B6" s="43" t="s">
        <v>247</v>
      </c>
      <c r="C6" s="4" t="s">
        <v>252</v>
      </c>
      <c r="D6" s="43" t="s">
        <v>253</v>
      </c>
      <c r="E6" s="43" t="s">
        <v>254</v>
      </c>
      <c r="F6" s="43" t="s">
        <v>255</v>
      </c>
      <c r="G6" s="43" t="s">
        <v>256</v>
      </c>
    </row>
    <row r="7" spans="2:7" ht="30" customHeight="1" x14ac:dyDescent="0.3">
      <c r="B7" s="43" t="s">
        <v>247</v>
      </c>
      <c r="C7" s="4" t="s">
        <v>257</v>
      </c>
      <c r="D7" s="43" t="s">
        <v>258</v>
      </c>
      <c r="E7" s="43" t="s">
        <v>259</v>
      </c>
      <c r="F7" s="43" t="s">
        <v>260</v>
      </c>
      <c r="G7" s="43" t="s">
        <v>261</v>
      </c>
    </row>
    <row r="8" spans="2:7" ht="30" customHeight="1" x14ac:dyDescent="0.3">
      <c r="B8" s="43" t="s">
        <v>247</v>
      </c>
      <c r="C8" s="4" t="s">
        <v>262</v>
      </c>
      <c r="D8" s="43" t="s">
        <v>263</v>
      </c>
      <c r="E8" s="43" t="s">
        <v>264</v>
      </c>
      <c r="F8" s="43" t="s">
        <v>265</v>
      </c>
      <c r="G8" s="43" t="s">
        <v>261</v>
      </c>
    </row>
    <row r="9" spans="2:7" ht="30" customHeight="1" x14ac:dyDescent="0.3">
      <c r="B9" s="43" t="s">
        <v>247</v>
      </c>
      <c r="C9" s="4" t="s">
        <v>266</v>
      </c>
      <c r="D9" s="43" t="s">
        <v>267</v>
      </c>
      <c r="E9" s="43" t="s">
        <v>268</v>
      </c>
      <c r="F9" s="43" t="s">
        <v>269</v>
      </c>
      <c r="G9" s="43" t="s">
        <v>261</v>
      </c>
    </row>
    <row r="10" spans="2:7" ht="30" customHeight="1" x14ac:dyDescent="0.3">
      <c r="B10" s="43" t="s">
        <v>247</v>
      </c>
      <c r="C10" s="4" t="s">
        <v>270</v>
      </c>
      <c r="D10" s="43" t="s">
        <v>271</v>
      </c>
      <c r="E10" s="43" t="s">
        <v>272</v>
      </c>
      <c r="F10" s="43" t="s">
        <v>273</v>
      </c>
      <c r="G10" s="43" t="s">
        <v>274</v>
      </c>
    </row>
    <row r="11" spans="2:7" ht="30" customHeight="1" x14ac:dyDescent="0.3">
      <c r="B11" s="43" t="s">
        <v>247</v>
      </c>
      <c r="C11" s="4" t="s">
        <v>275</v>
      </c>
      <c r="D11" s="43" t="s">
        <v>276</v>
      </c>
      <c r="E11" s="43" t="s">
        <v>277</v>
      </c>
      <c r="F11" s="43" t="s">
        <v>278</v>
      </c>
      <c r="G11" s="43" t="s">
        <v>279</v>
      </c>
    </row>
    <row r="12" spans="2:7" ht="30" customHeight="1" x14ac:dyDescent="0.3">
      <c r="B12" s="43" t="s">
        <v>247</v>
      </c>
      <c r="C12" s="4" t="s">
        <v>280</v>
      </c>
      <c r="D12" s="43" t="s">
        <v>281</v>
      </c>
      <c r="E12" s="43" t="s">
        <v>259</v>
      </c>
      <c r="F12" s="43" t="s">
        <v>282</v>
      </c>
      <c r="G12" s="43" t="s">
        <v>261</v>
      </c>
    </row>
    <row r="13" spans="2:7" ht="30" customHeight="1" x14ac:dyDescent="0.3">
      <c r="B13" s="43" t="s">
        <v>247</v>
      </c>
      <c r="C13" s="4" t="s">
        <v>283</v>
      </c>
      <c r="D13" s="43" t="s">
        <v>284</v>
      </c>
      <c r="E13" s="43" t="s">
        <v>285</v>
      </c>
      <c r="F13" s="43" t="s">
        <v>286</v>
      </c>
      <c r="G13" s="43" t="s">
        <v>261</v>
      </c>
    </row>
    <row r="14" spans="2:7" ht="30" customHeight="1" x14ac:dyDescent="0.3">
      <c r="B14" s="43" t="s">
        <v>247</v>
      </c>
      <c r="C14" s="4" t="s">
        <v>287</v>
      </c>
      <c r="D14" s="43" t="s">
        <v>288</v>
      </c>
      <c r="E14" s="43" t="s">
        <v>289</v>
      </c>
      <c r="F14" s="43" t="s">
        <v>248</v>
      </c>
      <c r="G14" s="43" t="s">
        <v>290</v>
      </c>
    </row>
    <row r="15" spans="2:7" ht="30" customHeight="1" x14ac:dyDescent="0.3">
      <c r="B15" s="43" t="s">
        <v>247</v>
      </c>
      <c r="C15" s="4" t="s">
        <v>291</v>
      </c>
      <c r="D15" s="43" t="s">
        <v>292</v>
      </c>
      <c r="E15" s="43" t="s">
        <v>293</v>
      </c>
      <c r="F15" s="43" t="s">
        <v>294</v>
      </c>
      <c r="G15" s="43" t="s">
        <v>261</v>
      </c>
    </row>
    <row r="16" spans="2:7" ht="30" customHeight="1" x14ac:dyDescent="0.3">
      <c r="B16" s="43" t="s">
        <v>247</v>
      </c>
      <c r="C16" s="4" t="s">
        <v>295</v>
      </c>
      <c r="D16" s="43" t="s">
        <v>296</v>
      </c>
      <c r="E16" s="43" t="s">
        <v>297</v>
      </c>
      <c r="F16" s="43" t="s">
        <v>298</v>
      </c>
      <c r="G16" s="43" t="s">
        <v>261</v>
      </c>
    </row>
    <row r="17" spans="2:7" ht="30" customHeight="1" x14ac:dyDescent="0.3">
      <c r="B17" s="43" t="s">
        <v>247</v>
      </c>
      <c r="C17" s="4" t="s">
        <v>299</v>
      </c>
      <c r="D17" s="43" t="s">
        <v>300</v>
      </c>
      <c r="E17" s="43" t="s">
        <v>301</v>
      </c>
      <c r="F17" s="43" t="s">
        <v>302</v>
      </c>
      <c r="G17" s="43" t="s">
        <v>261</v>
      </c>
    </row>
    <row r="18" spans="2:7" ht="30" customHeight="1" x14ac:dyDescent="0.3">
      <c r="B18" s="43" t="s">
        <v>247</v>
      </c>
      <c r="C18" s="4" t="s">
        <v>303</v>
      </c>
      <c r="D18" s="43" t="s">
        <v>304</v>
      </c>
      <c r="E18" s="43" t="s">
        <v>305</v>
      </c>
      <c r="F18" s="43" t="s">
        <v>306</v>
      </c>
      <c r="G18" s="43" t="s">
        <v>256</v>
      </c>
    </row>
    <row r="19" spans="2:7" ht="30" customHeight="1" x14ac:dyDescent="0.3">
      <c r="B19" s="43" t="s">
        <v>247</v>
      </c>
      <c r="C19" s="4" t="s">
        <v>307</v>
      </c>
      <c r="D19" s="43" t="s">
        <v>308</v>
      </c>
      <c r="E19" s="43" t="s">
        <v>309</v>
      </c>
      <c r="F19" s="43" t="s">
        <v>248</v>
      </c>
      <c r="G19" s="43" t="s">
        <v>310</v>
      </c>
    </row>
    <row r="20" spans="2:7" ht="30" customHeight="1" x14ac:dyDescent="0.3">
      <c r="B20" s="43" t="s">
        <v>247</v>
      </c>
      <c r="C20" s="4" t="s">
        <v>311</v>
      </c>
      <c r="D20" s="43" t="s">
        <v>312</v>
      </c>
      <c r="E20" s="43" t="s">
        <v>313</v>
      </c>
      <c r="F20" s="43" t="s">
        <v>248</v>
      </c>
      <c r="G20" s="43" t="s">
        <v>314</v>
      </c>
    </row>
    <row r="21" spans="2:7" ht="30" customHeight="1" x14ac:dyDescent="0.3">
      <c r="B21" s="43" t="s">
        <v>247</v>
      </c>
      <c r="C21" s="4" t="s">
        <v>315</v>
      </c>
      <c r="D21" s="43" t="s">
        <v>316</v>
      </c>
      <c r="E21" s="43" t="s">
        <v>317</v>
      </c>
      <c r="F21" s="43" t="s">
        <v>318</v>
      </c>
      <c r="G21" s="43" t="s">
        <v>261</v>
      </c>
    </row>
    <row r="22" spans="2:7" ht="30" customHeight="1" x14ac:dyDescent="0.3">
      <c r="B22" s="43" t="s">
        <v>247</v>
      </c>
      <c r="C22" s="4" t="s">
        <v>319</v>
      </c>
      <c r="D22" s="43" t="s">
        <v>320</v>
      </c>
      <c r="E22" s="43" t="s">
        <v>321</v>
      </c>
      <c r="F22" s="43" t="s">
        <v>322</v>
      </c>
      <c r="G22" s="43" t="s">
        <v>261</v>
      </c>
    </row>
    <row r="23" spans="2:7" ht="30" customHeight="1" x14ac:dyDescent="0.3">
      <c r="B23" s="43" t="s">
        <v>247</v>
      </c>
      <c r="C23" s="4" t="s">
        <v>323</v>
      </c>
      <c r="D23" s="43" t="s">
        <v>324</v>
      </c>
      <c r="E23" s="43" t="s">
        <v>325</v>
      </c>
      <c r="F23" s="43" t="s">
        <v>248</v>
      </c>
      <c r="G23" s="43" t="s">
        <v>326</v>
      </c>
    </row>
    <row r="24" spans="2:7" ht="30" customHeight="1" x14ac:dyDescent="0.3">
      <c r="B24" s="43" t="s">
        <v>247</v>
      </c>
      <c r="C24" s="4" t="s">
        <v>327</v>
      </c>
      <c r="D24" s="43" t="s">
        <v>328</v>
      </c>
      <c r="E24" s="43" t="s">
        <v>329</v>
      </c>
      <c r="F24" s="43" t="s">
        <v>318</v>
      </c>
      <c r="G24" s="43" t="s">
        <v>261</v>
      </c>
    </row>
    <row r="25" spans="2:7" ht="30" customHeight="1" x14ac:dyDescent="0.3">
      <c r="B25" s="43" t="s">
        <v>247</v>
      </c>
      <c r="C25" s="4" t="s">
        <v>330</v>
      </c>
      <c r="D25" s="43" t="s">
        <v>331</v>
      </c>
      <c r="E25" s="43" t="s">
        <v>332</v>
      </c>
      <c r="F25" s="43" t="s">
        <v>248</v>
      </c>
      <c r="G25" s="43" t="s">
        <v>261</v>
      </c>
    </row>
    <row r="26" spans="2:7" ht="30" customHeight="1" x14ac:dyDescent="0.3">
      <c r="B26" s="43" t="s">
        <v>247</v>
      </c>
      <c r="C26" s="4" t="s">
        <v>333</v>
      </c>
      <c r="D26" s="43" t="s">
        <v>334</v>
      </c>
      <c r="E26" s="43" t="s">
        <v>335</v>
      </c>
      <c r="F26" s="43" t="s">
        <v>248</v>
      </c>
      <c r="G26" s="43" t="s">
        <v>256</v>
      </c>
    </row>
    <row r="27" spans="2:7" ht="30" customHeight="1" x14ac:dyDescent="0.3">
      <c r="B27" s="43" t="s">
        <v>247</v>
      </c>
      <c r="C27" s="4" t="s">
        <v>336</v>
      </c>
      <c r="D27" s="43" t="s">
        <v>337</v>
      </c>
      <c r="E27" s="43" t="s">
        <v>338</v>
      </c>
      <c r="F27" s="43" t="s">
        <v>248</v>
      </c>
      <c r="G27" s="43" t="s">
        <v>339</v>
      </c>
    </row>
    <row r="28" spans="2:7" ht="30" customHeight="1" x14ac:dyDescent="0.3">
      <c r="B28" s="43" t="s">
        <v>247</v>
      </c>
      <c r="C28" s="4" t="s">
        <v>340</v>
      </c>
      <c r="D28" s="43" t="s">
        <v>341</v>
      </c>
      <c r="E28" s="43" t="s">
        <v>342</v>
      </c>
      <c r="F28" s="43" t="s">
        <v>248</v>
      </c>
      <c r="G28" s="43" t="s">
        <v>343</v>
      </c>
    </row>
    <row r="29" spans="2:7" ht="30" customHeight="1" x14ac:dyDescent="0.3">
      <c r="B29" s="43" t="s">
        <v>247</v>
      </c>
      <c r="C29" s="4" t="s">
        <v>344</v>
      </c>
      <c r="D29" s="43" t="s">
        <v>345</v>
      </c>
      <c r="E29" s="43" t="s">
        <v>346</v>
      </c>
      <c r="F29" s="43" t="s">
        <v>248</v>
      </c>
      <c r="G29" s="43" t="s">
        <v>347</v>
      </c>
    </row>
    <row r="30" spans="2:7" ht="30" customHeight="1" x14ac:dyDescent="0.3">
      <c r="B30" s="43" t="s">
        <v>247</v>
      </c>
      <c r="C30" s="4" t="s">
        <v>344</v>
      </c>
      <c r="D30" s="43" t="s">
        <v>348</v>
      </c>
      <c r="E30" s="43" t="s">
        <v>349</v>
      </c>
      <c r="F30" s="43" t="s">
        <v>248</v>
      </c>
      <c r="G30" s="43" t="s">
        <v>347</v>
      </c>
    </row>
    <row r="31" spans="2:7" ht="14" customHeight="1" x14ac:dyDescent="0.2"/>
    <row r="32" spans="2:7" ht="14" customHeight="1" x14ac:dyDescent="0.3">
      <c r="B32" s="8" t="s">
        <v>350</v>
      </c>
    </row>
    <row r="33" spans="2:3" ht="14" customHeight="1" x14ac:dyDescent="0.3">
      <c r="B33" s="10" t="s">
        <v>351</v>
      </c>
      <c r="C33" s="10" t="s">
        <v>352</v>
      </c>
    </row>
    <row r="34" spans="2:3" ht="14" customHeight="1" x14ac:dyDescent="0.3">
      <c r="B34" s="4" t="s">
        <v>353</v>
      </c>
      <c r="C34" t="s">
        <v>354</v>
      </c>
    </row>
    <row r="35" spans="2:3" ht="14" customHeight="1" x14ac:dyDescent="0.3">
      <c r="B35" s="4" t="s">
        <v>355</v>
      </c>
      <c r="C35" t="s">
        <v>356</v>
      </c>
    </row>
    <row r="36" spans="2:3" ht="14" customHeight="1" x14ac:dyDescent="0.3">
      <c r="B36" s="4" t="s">
        <v>357</v>
      </c>
      <c r="C36" t="s">
        <v>358</v>
      </c>
    </row>
    <row r="37" spans="2:3" ht="14" customHeight="1" x14ac:dyDescent="0.3">
      <c r="B37" s="4" t="s">
        <v>359</v>
      </c>
      <c r="C37" t="s">
        <v>360</v>
      </c>
    </row>
    <row r="38" spans="2:3" ht="14" customHeight="1" x14ac:dyDescent="0.3">
      <c r="B38" s="4" t="s">
        <v>361</v>
      </c>
      <c r="C38" t="s">
        <v>4</v>
      </c>
    </row>
    <row r="39" spans="2:3" ht="14" customHeight="1" x14ac:dyDescent="0.3">
      <c r="B39" s="4" t="s">
        <v>362</v>
      </c>
      <c r="C39" t="s">
        <v>247</v>
      </c>
    </row>
    <row r="40" spans="2:3" ht="14" customHeight="1" x14ac:dyDescent="0.3">
      <c r="B40" s="4" t="s">
        <v>363</v>
      </c>
      <c r="C40" t="s">
        <v>364</v>
      </c>
    </row>
    <row r="41" spans="2:3" ht="14" customHeight="1" x14ac:dyDescent="0.3">
      <c r="B41" s="4" t="s">
        <v>365</v>
      </c>
      <c r="C41" t="s">
        <v>366</v>
      </c>
    </row>
    <row r="42" spans="2:3" ht="14" customHeight="1" x14ac:dyDescent="0.3">
      <c r="B42" s="4" t="s">
        <v>367</v>
      </c>
      <c r="C42" t="s">
        <v>368</v>
      </c>
    </row>
    <row r="43" spans="2:3" ht="14" customHeight="1" x14ac:dyDescent="0.3">
      <c r="B43" s="4" t="s">
        <v>369</v>
      </c>
      <c r="C43" t="s">
        <v>370</v>
      </c>
    </row>
    <row r="44" spans="2:3" ht="14" customHeight="1" x14ac:dyDescent="0.3">
      <c r="B44" s="4" t="s">
        <v>371</v>
      </c>
      <c r="C44" t="s">
        <v>372</v>
      </c>
    </row>
    <row r="45" spans="2:3" ht="14" customHeight="1" x14ac:dyDescent="0.3">
      <c r="B45" s="4" t="s">
        <v>373</v>
      </c>
      <c r="C45" t="s">
        <v>368</v>
      </c>
    </row>
    <row r="46" spans="2:3" ht="14" customHeight="1" x14ac:dyDescent="0.3">
      <c r="B46" s="4" t="s">
        <v>374</v>
      </c>
      <c r="C46" t="s">
        <v>364</v>
      </c>
    </row>
    <row r="47" spans="2:3" ht="14" customHeight="1" x14ac:dyDescent="0.3">
      <c r="B47" s="4" t="s">
        <v>375</v>
      </c>
      <c r="C47" t="s">
        <v>376</v>
      </c>
    </row>
    <row r="48" spans="2:3" ht="14" customHeight="1" x14ac:dyDescent="0.3">
      <c r="B48" s="4" t="s">
        <v>377</v>
      </c>
      <c r="C48" t="s">
        <v>378</v>
      </c>
    </row>
    <row r="49" spans="2:3" ht="14" customHeight="1" x14ac:dyDescent="0.3">
      <c r="B49" s="4" t="s">
        <v>379</v>
      </c>
      <c r="C49" t="s">
        <v>380</v>
      </c>
    </row>
    <row r="50" spans="2:3" ht="14" customHeight="1" x14ac:dyDescent="0.3">
      <c r="B50" s="4" t="s">
        <v>381</v>
      </c>
      <c r="C50" t="s">
        <v>382</v>
      </c>
    </row>
    <row r="51" spans="2:3" ht="14" customHeight="1" x14ac:dyDescent="0.3">
      <c r="B51" s="4" t="s">
        <v>383</v>
      </c>
      <c r="C51" t="s">
        <v>384</v>
      </c>
    </row>
    <row r="52" spans="2:3" ht="14" customHeight="1" x14ac:dyDescent="0.3">
      <c r="B52" s="4" t="s">
        <v>385</v>
      </c>
      <c r="C52" t="s">
        <v>386</v>
      </c>
    </row>
    <row r="53" spans="2:3" ht="14" customHeight="1" x14ac:dyDescent="0.3">
      <c r="B53" s="4" t="s">
        <v>387</v>
      </c>
      <c r="C53" t="s">
        <v>388</v>
      </c>
    </row>
    <row r="54" spans="2:3" ht="14" customHeight="1" x14ac:dyDescent="0.3">
      <c r="B54" s="4" t="s">
        <v>389</v>
      </c>
      <c r="C54" t="s">
        <v>390</v>
      </c>
    </row>
    <row r="55" spans="2:3" ht="14" customHeight="1" x14ac:dyDescent="0.3">
      <c r="B55" s="4" t="s">
        <v>391</v>
      </c>
      <c r="C55" t="s">
        <v>392</v>
      </c>
    </row>
    <row r="56" spans="2:3" ht="14" customHeight="1" x14ac:dyDescent="0.3">
      <c r="B56" s="4" t="s">
        <v>393</v>
      </c>
      <c r="C56" t="s">
        <v>394</v>
      </c>
    </row>
    <row r="57" spans="2:3" ht="14" customHeight="1" x14ac:dyDescent="0.3">
      <c r="B57" s="4" t="s">
        <v>395</v>
      </c>
      <c r="C57" t="s">
        <v>396</v>
      </c>
    </row>
    <row r="58" spans="2:3" ht="14" customHeight="1" x14ac:dyDescent="0.3">
      <c r="B58" s="4" t="s">
        <v>397</v>
      </c>
      <c r="C58" t="s">
        <v>398</v>
      </c>
    </row>
    <row r="59" spans="2:3" ht="14" customHeight="1" x14ac:dyDescent="0.3">
      <c r="B59" s="4" t="s">
        <v>399</v>
      </c>
      <c r="C59" t="s">
        <v>400</v>
      </c>
    </row>
    <row r="60" spans="2:3" ht="14" customHeight="1" x14ac:dyDescent="0.3">
      <c r="B60" s="4" t="s">
        <v>401</v>
      </c>
      <c r="C60" t="s">
        <v>402</v>
      </c>
    </row>
    <row r="61" spans="2:3" ht="14" customHeight="1" x14ac:dyDescent="0.3">
      <c r="B61" s="4" t="s">
        <v>403</v>
      </c>
      <c r="C61" t="s">
        <v>404</v>
      </c>
    </row>
    <row r="62" spans="2:3" ht="14" customHeight="1" x14ac:dyDescent="0.3">
      <c r="B62" s="4" t="s">
        <v>405</v>
      </c>
      <c r="C62" t="s">
        <v>406</v>
      </c>
    </row>
    <row r="63" spans="2:3" ht="14" customHeight="1" x14ac:dyDescent="0.3">
      <c r="B63" s="4" t="s">
        <v>407</v>
      </c>
      <c r="C63" t="s">
        <v>408</v>
      </c>
    </row>
    <row r="64" spans="2:3" ht="14" customHeight="1" x14ac:dyDescent="0.3">
      <c r="B64" s="4" t="s">
        <v>409</v>
      </c>
      <c r="C64" t="s">
        <v>410</v>
      </c>
    </row>
    <row r="65" spans="2:3" ht="14" customHeight="1" x14ac:dyDescent="0.3">
      <c r="B65" s="4" t="s">
        <v>411</v>
      </c>
      <c r="C65" t="s">
        <v>412</v>
      </c>
    </row>
    <row r="66" spans="2:3" ht="14" customHeight="1" x14ac:dyDescent="0.3">
      <c r="B66" s="4" t="s">
        <v>413</v>
      </c>
      <c r="C66" t="s">
        <v>414</v>
      </c>
    </row>
    <row r="67" spans="2:3" ht="14" customHeight="1" x14ac:dyDescent="0.3">
      <c r="B67" s="4" t="s">
        <v>415</v>
      </c>
      <c r="C67" t="s">
        <v>416</v>
      </c>
    </row>
    <row r="68" spans="2:3" ht="14" customHeight="1" x14ac:dyDescent="0.3">
      <c r="B68" s="4" t="s">
        <v>417</v>
      </c>
      <c r="C68" t="s">
        <v>418</v>
      </c>
    </row>
    <row r="69" spans="2:3" ht="14" customHeight="1" x14ac:dyDescent="0.3">
      <c r="B69" s="4" t="s">
        <v>419</v>
      </c>
      <c r="C69" t="s">
        <v>420</v>
      </c>
    </row>
    <row r="70" spans="2:3" ht="14" x14ac:dyDescent="0.3">
      <c r="B70" s="4" t="s">
        <v>421</v>
      </c>
      <c r="C70" t="s">
        <v>208</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2026-09-05T03:11:42Z</dcterms:created>
  <dcterms:modified xsi:type="dcterms:W3CDTF">2026-09-05T03:25:43Z</dcterms:modified>
</cp:coreProperties>
</file>