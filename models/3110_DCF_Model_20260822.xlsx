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F94ACD4D-F5FF-48D9-8AD9-23EAD4F6EA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  <sheet name="Adjustments Log" sheetId="7" r:id="rId7"/>
    <sheet name="Segment Bridge" sheetId="8" r:id="rId8"/>
  </sheets>
  <calcPr calcId="181029"/>
</workbook>
</file>

<file path=xl/calcChain.xml><?xml version="1.0" encoding="utf-8"?>
<calcChain xmlns="http://schemas.openxmlformats.org/spreadsheetml/2006/main">
  <c r="E49" i="8" l="1"/>
  <c r="D48" i="8"/>
  <c r="D50" i="8" s="1"/>
  <c r="C47" i="8"/>
  <c r="E47" i="8" s="1"/>
  <c r="C46" i="8"/>
  <c r="E46" i="8" s="1"/>
  <c r="C45" i="8"/>
  <c r="E45" i="8" s="1"/>
  <c r="C44" i="8"/>
  <c r="C43" i="8"/>
  <c r="E43" i="8" s="1"/>
  <c r="C42" i="8"/>
  <c r="E42" i="8" s="1"/>
  <c r="C41" i="8"/>
  <c r="E41" i="8" s="1"/>
  <c r="E37" i="8"/>
  <c r="D37" i="8"/>
  <c r="E35" i="8"/>
  <c r="D35" i="8"/>
  <c r="C35" i="8"/>
  <c r="E34" i="8"/>
  <c r="D34" i="8"/>
  <c r="C34" i="8"/>
  <c r="E26" i="8"/>
  <c r="E28" i="8" s="1"/>
  <c r="E30" i="8" s="1"/>
  <c r="D26" i="8"/>
  <c r="D36" i="8" s="1"/>
  <c r="C26" i="8"/>
  <c r="C36" i="8" s="1"/>
  <c r="E14" i="8"/>
  <c r="E15" i="8" s="1"/>
  <c r="D14" i="8"/>
  <c r="D15" i="8" s="1"/>
  <c r="C14" i="8"/>
  <c r="I3" i="6"/>
  <c r="I17" i="6" s="1"/>
  <c r="F3" i="6"/>
  <c r="H6" i="6" s="1"/>
  <c r="O11" i="5"/>
  <c r="N11" i="5"/>
  <c r="M11" i="5"/>
  <c r="L11" i="5"/>
  <c r="K11" i="5"/>
  <c r="J11" i="5"/>
  <c r="O10" i="5"/>
  <c r="N10" i="5"/>
  <c r="M10" i="5"/>
  <c r="L10" i="5"/>
  <c r="K10" i="5"/>
  <c r="J10" i="5"/>
  <c r="O9" i="5"/>
  <c r="N9" i="5"/>
  <c r="M9" i="5"/>
  <c r="L9" i="5"/>
  <c r="K9" i="5"/>
  <c r="J9" i="5"/>
  <c r="O8" i="5"/>
  <c r="I16" i="5" s="1"/>
  <c r="N8" i="5"/>
  <c r="M8" i="5"/>
  <c r="L8" i="5"/>
  <c r="K8" i="5"/>
  <c r="J8" i="5"/>
  <c r="O7" i="5"/>
  <c r="N7" i="5"/>
  <c r="M7" i="5"/>
  <c r="G17" i="5" s="1"/>
  <c r="L7" i="5"/>
  <c r="K7" i="5"/>
  <c r="J7" i="5"/>
  <c r="O6" i="5"/>
  <c r="I15" i="5" s="1"/>
  <c r="N6" i="5"/>
  <c r="M6" i="5"/>
  <c r="G15" i="5" s="1"/>
  <c r="L6" i="5"/>
  <c r="F17" i="5" s="1"/>
  <c r="K6" i="5"/>
  <c r="E15" i="5" s="1"/>
  <c r="J6" i="5"/>
  <c r="D15" i="5" s="1"/>
  <c r="O5" i="5"/>
  <c r="N5" i="5"/>
  <c r="D5" i="5"/>
  <c r="E5" i="5" s="1"/>
  <c r="C16" i="4"/>
  <c r="C14" i="4"/>
  <c r="C18" i="4" s="1"/>
  <c r="C7" i="4"/>
  <c r="C6" i="4"/>
  <c r="C5" i="4"/>
  <c r="D27" i="3"/>
  <c r="G7" i="4" s="1"/>
  <c r="C25" i="3"/>
  <c r="C24" i="3"/>
  <c r="C23" i="3"/>
  <c r="E28" i="2"/>
  <c r="D28" i="2"/>
  <c r="C28" i="2"/>
  <c r="E23" i="2"/>
  <c r="D23" i="2"/>
  <c r="C23" i="2"/>
  <c r="E21" i="2"/>
  <c r="E22" i="2" s="1"/>
  <c r="D21" i="2"/>
  <c r="D22" i="2" s="1"/>
  <c r="C21" i="2"/>
  <c r="C22" i="2" s="1"/>
  <c r="E16" i="2"/>
  <c r="D16" i="2"/>
  <c r="E15" i="2"/>
  <c r="D15" i="2"/>
  <c r="E14" i="2"/>
  <c r="D14" i="2"/>
  <c r="C14" i="2"/>
  <c r="E13" i="2"/>
  <c r="D13" i="2"/>
  <c r="C13" i="2"/>
  <c r="E8" i="2"/>
  <c r="E9" i="2" s="1"/>
  <c r="D8" i="2"/>
  <c r="D9" i="2" s="1"/>
  <c r="C8" i="2"/>
  <c r="C9" i="2" s="1"/>
  <c r="K5" i="5" l="1"/>
  <c r="J5" i="5"/>
  <c r="C48" i="8"/>
  <c r="C30" i="3"/>
  <c r="C33" i="3" s="1"/>
  <c r="F6" i="4"/>
  <c r="G6" i="4"/>
  <c r="H6" i="4"/>
  <c r="I6" i="6"/>
  <c r="C28" i="8"/>
  <c r="C30" i="8" s="1"/>
  <c r="C32" i="3"/>
  <c r="D30" i="3"/>
  <c r="F30" i="3"/>
  <c r="F32" i="3"/>
  <c r="E5" i="4"/>
  <c r="H16" i="5"/>
  <c r="D28" i="8"/>
  <c r="D30" i="8" s="1"/>
  <c r="E30" i="3"/>
  <c r="F5" i="4"/>
  <c r="H15" i="5"/>
  <c r="G31" i="3"/>
  <c r="D5" i="4"/>
  <c r="G30" i="3"/>
  <c r="D7" i="4"/>
  <c r="C31" i="3"/>
  <c r="C34" i="3" s="1"/>
  <c r="G5" i="4"/>
  <c r="H7" i="4"/>
  <c r="D32" i="3"/>
  <c r="E32" i="3"/>
  <c r="I17" i="5"/>
  <c r="F31" i="3"/>
  <c r="H5" i="4"/>
  <c r="C26" i="3"/>
  <c r="E44" i="8"/>
  <c r="E48" i="8" s="1"/>
  <c r="D16" i="5"/>
  <c r="C27" i="5" s="1"/>
  <c r="C18" i="1" s="1"/>
  <c r="D18" i="1" s="1"/>
  <c r="E16" i="5"/>
  <c r="F6" i="6"/>
  <c r="E6" i="6"/>
  <c r="D6" i="6"/>
  <c r="C15" i="8"/>
  <c r="C37" i="8"/>
  <c r="G17" i="6"/>
  <c r="F17" i="6"/>
  <c r="E17" i="6"/>
  <c r="C17" i="6"/>
  <c r="M5" i="5"/>
  <c r="L5" i="5"/>
  <c r="F15" i="5"/>
  <c r="F16" i="5"/>
  <c r="C28" i="5" s="1"/>
  <c r="C19" i="1" s="1"/>
  <c r="D19" i="1" s="1"/>
  <c r="D17" i="5"/>
  <c r="C6" i="6"/>
  <c r="D17" i="6"/>
  <c r="G16" i="5"/>
  <c r="E17" i="5"/>
  <c r="G6" i="6"/>
  <c r="H17" i="6"/>
  <c r="E36" i="8"/>
  <c r="E7" i="4"/>
  <c r="H17" i="5"/>
  <c r="D31" i="3"/>
  <c r="G32" i="3"/>
  <c r="D6" i="4"/>
  <c r="F7" i="4"/>
  <c r="E31" i="3"/>
  <c r="E6" i="4"/>
  <c r="D9" i="4" l="1"/>
  <c r="D12" i="4" s="1"/>
  <c r="C37" i="3"/>
  <c r="D33" i="3"/>
  <c r="C43" i="3"/>
  <c r="C42" i="3"/>
  <c r="D10" i="4"/>
  <c r="C35" i="3"/>
  <c r="G46" i="3"/>
  <c r="F46" i="3"/>
  <c r="E46" i="3"/>
  <c r="D46" i="3"/>
  <c r="C3" i="6"/>
  <c r="C46" i="3"/>
  <c r="D42" i="3" l="1"/>
  <c r="E9" i="4"/>
  <c r="E12" i="4" s="1"/>
  <c r="E33" i="3"/>
  <c r="D37" i="3"/>
  <c r="D34" i="3"/>
  <c r="D43" i="3"/>
  <c r="B24" i="6"/>
  <c r="B8" i="6"/>
  <c r="B19" i="6"/>
  <c r="B11" i="6"/>
  <c r="B22" i="6"/>
  <c r="B9" i="6"/>
  <c r="B7" i="6"/>
  <c r="B20" i="6"/>
  <c r="B12" i="6"/>
  <c r="B23" i="6"/>
  <c r="B18" i="6"/>
  <c r="B10" i="6"/>
  <c r="B21" i="6"/>
  <c r="B13" i="6"/>
  <c r="C36" i="3"/>
  <c r="C39" i="3"/>
  <c r="C38" i="3"/>
  <c r="D15" i="4"/>
  <c r="D16" i="4" s="1"/>
  <c r="D13" i="4"/>
  <c r="D14" i="4" s="1"/>
  <c r="D18" i="4" s="1"/>
  <c r="D19" i="4" s="1"/>
  <c r="C44" i="3" s="1"/>
  <c r="E10" i="4" l="1"/>
  <c r="D35" i="3"/>
  <c r="E43" i="3"/>
  <c r="F9" i="4"/>
  <c r="F12" i="4" s="1"/>
  <c r="E42" i="3"/>
  <c r="E34" i="3"/>
  <c r="F10" i="4" s="1"/>
  <c r="F33" i="3"/>
  <c r="E37" i="3"/>
  <c r="C40" i="3"/>
  <c r="C41" i="3" s="1"/>
  <c r="C45" i="3" s="1"/>
  <c r="F15" i="4" l="1"/>
  <c r="F16" i="4" s="1"/>
  <c r="F13" i="4"/>
  <c r="G33" i="3"/>
  <c r="F34" i="3"/>
  <c r="G10" i="4" s="1"/>
  <c r="F37" i="3"/>
  <c r="G9" i="4"/>
  <c r="G12" i="4" s="1"/>
  <c r="F42" i="3"/>
  <c r="F43" i="3"/>
  <c r="F14" i="4"/>
  <c r="F18" i="4" s="1"/>
  <c r="D39" i="3"/>
  <c r="D40" i="3" s="1"/>
  <c r="D41" i="3" s="1"/>
  <c r="D38" i="3"/>
  <c r="D36" i="3"/>
  <c r="E35" i="3"/>
  <c r="E15" i="4"/>
  <c r="E16" i="4" s="1"/>
  <c r="E13" i="4"/>
  <c r="E14" i="4" s="1"/>
  <c r="E18" i="4" s="1"/>
  <c r="E19" i="4" s="1"/>
  <c r="D44" i="3" s="1"/>
  <c r="C47" i="3"/>
  <c r="G15" i="4" l="1"/>
  <c r="G16" i="4" s="1"/>
  <c r="G13" i="4"/>
  <c r="D45" i="3"/>
  <c r="D47" i="3" s="1"/>
  <c r="G42" i="3"/>
  <c r="G34" i="3"/>
  <c r="H10" i="4" s="1"/>
  <c r="G37" i="3"/>
  <c r="H9" i="4"/>
  <c r="H12" i="4" s="1"/>
  <c r="G43" i="3"/>
  <c r="G14" i="4"/>
  <c r="G18" i="4" s="1"/>
  <c r="G19" i="4" s="1"/>
  <c r="F44" i="3" s="1"/>
  <c r="E38" i="3"/>
  <c r="E39" i="3"/>
  <c r="E40" i="3" s="1"/>
  <c r="E41" i="3" s="1"/>
  <c r="E36" i="3"/>
  <c r="F35" i="3"/>
  <c r="F19" i="4"/>
  <c r="E44" i="3" s="1"/>
  <c r="E45" i="3" l="1"/>
  <c r="G35" i="3"/>
  <c r="H15" i="4"/>
  <c r="H16" i="4" s="1"/>
  <c r="H13" i="4"/>
  <c r="H14" i="4" s="1"/>
  <c r="F39" i="3"/>
  <c r="F40" i="3" s="1"/>
  <c r="F41" i="3" s="1"/>
  <c r="F45" i="3" s="1"/>
  <c r="F47" i="3" s="1"/>
  <c r="F36" i="3"/>
  <c r="F38" i="3"/>
  <c r="H18" i="4" l="1"/>
  <c r="H19" i="4" s="1"/>
  <c r="G44" i="3" s="1"/>
  <c r="G39" i="3"/>
  <c r="G36" i="3"/>
  <c r="G38" i="3"/>
  <c r="E47" i="3"/>
  <c r="G40" i="3" l="1"/>
  <c r="G41" i="3" s="1"/>
  <c r="G45" i="3" s="1"/>
  <c r="C59" i="3"/>
  <c r="C60" i="3" s="1"/>
  <c r="C61" i="3" s="1"/>
  <c r="G47" i="3" l="1"/>
  <c r="C50" i="3" s="1"/>
  <c r="C51" i="3"/>
  <c r="C52" i="3" s="1"/>
  <c r="H23" i="6"/>
  <c r="C9" i="6"/>
  <c r="H22" i="6"/>
  <c r="H24" i="6"/>
  <c r="G24" i="6"/>
  <c r="C7" i="6"/>
  <c r="H21" i="6"/>
  <c r="F19" i="6"/>
  <c r="I8" i="6"/>
  <c r="F7" i="6"/>
  <c r="H9" i="6"/>
  <c r="D13" i="6"/>
  <c r="C21" i="6"/>
  <c r="E20" i="6"/>
  <c r="H19" i="6"/>
  <c r="H18" i="6"/>
  <c r="C8" i="6"/>
  <c r="D21" i="6"/>
  <c r="I7" i="6"/>
  <c r="H13" i="6"/>
  <c r="D23" i="6"/>
  <c r="I12" i="6"/>
  <c r="F11" i="6"/>
  <c r="E8" i="6"/>
  <c r="I9" i="6"/>
  <c r="I18" i="6"/>
  <c r="E18" i="6"/>
  <c r="H12" i="6"/>
  <c r="H7" i="6"/>
  <c r="G22" i="6"/>
  <c r="C22" i="6"/>
  <c r="G19" i="6"/>
  <c r="G9" i="6"/>
  <c r="I13" i="6"/>
  <c r="D11" i="6"/>
  <c r="D7" i="6"/>
  <c r="E13" i="6"/>
  <c r="D9" i="6"/>
  <c r="H10" i="6"/>
  <c r="F18" i="6"/>
  <c r="E10" i="6"/>
  <c r="D24" i="6"/>
  <c r="E12" i="6"/>
  <c r="D12" i="6"/>
  <c r="E23" i="6"/>
  <c r="E22" i="6"/>
  <c r="F12" i="6"/>
  <c r="C10" i="6"/>
  <c r="F22" i="6"/>
  <c r="F21" i="6"/>
  <c r="F10" i="6"/>
  <c r="H11" i="6"/>
  <c r="G12" i="6"/>
  <c r="E24" i="6"/>
  <c r="E7" i="6"/>
  <c r="G18" i="6"/>
  <c r="C11" i="6"/>
  <c r="I19" i="6"/>
  <c r="C20" i="6"/>
  <c r="F20" i="6"/>
  <c r="D20" i="6"/>
  <c r="C12" i="6"/>
  <c r="I10" i="6"/>
  <c r="G10" i="6"/>
  <c r="I21" i="6"/>
  <c r="C18" i="6"/>
  <c r="F13" i="6"/>
  <c r="F8" i="6"/>
  <c r="D8" i="6"/>
  <c r="I23" i="6"/>
  <c r="G7" i="6"/>
  <c r="D10" i="6"/>
  <c r="E21" i="6"/>
  <c r="G13" i="6"/>
  <c r="I22" i="6"/>
  <c r="C19" i="6"/>
  <c r="I20" i="6"/>
  <c r="D18" i="6"/>
  <c r="C24" i="6"/>
  <c r="H8" i="6"/>
  <c r="F9" i="6"/>
  <c r="E11" i="6"/>
  <c r="G20" i="6"/>
  <c r="G8" i="6"/>
  <c r="D19" i="6"/>
  <c r="G11" i="6"/>
  <c r="G23" i="6"/>
  <c r="E19" i="6"/>
  <c r="D22" i="6"/>
  <c r="C23" i="6"/>
  <c r="I24" i="6"/>
  <c r="G21" i="6"/>
  <c r="F23" i="6"/>
  <c r="F24" i="6"/>
  <c r="C13" i="6"/>
  <c r="I11" i="6"/>
  <c r="H20" i="6"/>
  <c r="E9" i="6"/>
  <c r="C53" i="3" l="1"/>
  <c r="C58" i="3"/>
  <c r="C62" i="3" s="1"/>
  <c r="C63" i="3" s="1"/>
  <c r="C64" i="3" s="1"/>
  <c r="C17" i="1" s="1"/>
  <c r="D17" i="1" s="1"/>
  <c r="C54" i="3" l="1"/>
  <c r="C55" i="3" s="1"/>
  <c r="C16" i="1" s="1"/>
  <c r="C21" i="1" l="1"/>
  <c r="D16" i="1"/>
  <c r="C10" i="1"/>
  <c r="C12" i="1" l="1"/>
  <c r="C11" i="1" s="1"/>
  <c r="B26" i="1"/>
</calcChain>
</file>

<file path=xl/sharedStrings.xml><?xml version="1.0" encoding="utf-8"?>
<sst xmlns="http://schemas.openxmlformats.org/spreadsheetml/2006/main" count="409" uniqueCount="309">
  <si>
    <t>DISCLAIMER: This is a sample analysis for demonstration purposes only. It does not constitute investment advice.</t>
  </si>
  <si>
    <t>Nitto Boseki (3110.T)</t>
  </si>
  <si>
    <t>Equity Research Report</t>
  </si>
  <si>
    <t>Company</t>
  </si>
  <si>
    <t>Nitto Boseki</t>
  </si>
  <si>
    <t>Ticker</t>
  </si>
  <si>
    <t>3110.T (TSE Prime)</t>
  </si>
  <si>
    <t>Sector</t>
  </si>
  <si>
    <t>Glass Fibre / Electronic Materials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</si>
  <si>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</si>
  <si>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</si>
  <si>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</si>
  <si>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</si>
  <si>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</si>
  <si>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</si>
  <si>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</si>
  <si>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</si>
  <si>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</si>
  <si>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</si>
  <si>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</si>
  <si>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</si>
  <si>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</si>
  <si>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</si>
  <si>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Electronic materials (low-dielectric glass cloth for AI servers) now generate ~84% of segment profit; consolidated operating margin rose from 9% in FY3/24 to 23% in Q1 FY3/27.</t>
  </si>
  <si>
    <t>Management guides FY3/27 operating profit of JPY30bn (+44%), and Q1 already delivered 26% of that with the full ramp of new capacity still ahead.</t>
  </si>
  <si>
    <t>Key Risks</t>
  </si>
  <si>
    <t>Capex is running at ~17% of sales to add capacity into a demand boom; if AI-server investment pauses, utilisation and margins fall fast.</t>
  </si>
  <si>
    <t>Inventory equals ~50% of annual sales (about 300 days of COGS), so a demand air-pocket would hit free cash flow before the P&amp;L.</t>
  </si>
  <si>
    <t>Competitors are entering low-dielectric glass; our Base case already assumes margins peak in year 2 and fade to ~18% by year 5.</t>
  </si>
  <si>
    <t>Nitto Boseki - Historical Financials (JPY mn)</t>
  </si>
  <si>
    <t>FY2024/3</t>
  </si>
  <si>
    <t>FY2025/3</t>
  </si>
  <si>
    <t>FY2026/3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</si>
  <si>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</si>
  <si>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</si>
  <si>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</si>
  <si>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</si>
  <si>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</si>
  <si>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</si>
  <si>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</si>
  <si>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</si>
  <si>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</si>
  <si>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</si>
  <si>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</si>
  <si>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</si>
  <si>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</si>
  <si>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</si>
  <si>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</si>
  <si>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</si>
  <si>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</si>
  <si>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</si>
  <si>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</si>
  <si>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</si>
  <si>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</si>
  <si>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</si>
  <si>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</si>
  <si>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Note: OCF / Cash / Debt coverage OCF 3/3, Cash 3/3, Debt 3/3 — blank cells are years with no year-key match in the source data (verify against 決算短信 or set hist_ocf / hist_cash / hist_debt in overrides).</t>
  </si>
  <si>
    <t>DCF Valuation Model - Nitto Boseki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</si>
  <si>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</si>
  <si>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</si>
  <si>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</si>
  <si>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</si>
  <si>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</si>
  <si>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</si>
  <si>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</si>
  <si>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</si>
  <si>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</si>
  <si>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</si>
  <si>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</si>
  <si>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</si>
  <si>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</si>
  <si>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</si>
  <si>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</si>
  <si>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 (override)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</si>
  <si>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</si>
  <si>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</si>
  <si>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</si>
  <si>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</si>
  <si>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</si>
  <si>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</si>
  <si>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</si>
  <si>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</si>
  <si>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</si>
  <si>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</si>
  <si>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</si>
  <si>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</si>
  <si>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</si>
  <si>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</si>
  <si>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</si>
  <si>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</si>
  <si>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</si>
  <si>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</si>
  <si>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</si>
  <si>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</si>
  <si>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</si>
  <si>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</si>
  <si>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</si>
  <si>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</si>
  <si>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</si>
  <si>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</si>
  <si>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</si>
  <si>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</si>
  <si>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</si>
  <si>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</si>
  <si>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</si>
  <si>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</si>
  <si>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</si>
  <si>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</si>
  <si>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</si>
  <si>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</si>
  <si>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</si>
  <si>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</si>
  <si>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</si>
  <si>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</si>
  <si>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</si>
  <si>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</si>
  <si>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</si>
  <si>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</si>
  <si>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</si>
  <si>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</si>
  <si>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</si>
  <si>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Nitto Boseki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</si>
  <si>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</si>
  <si>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</si>
  <si>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</si>
  <si>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</si>
  <si>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</si>
  <si>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</si>
  <si>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</si>
  <si>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</si>
  <si>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</si>
  <si>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</si>
  <si>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</si>
  <si>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</si>
  <si>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</si>
  <si>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</si>
  <si>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</si>
  <si>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</si>
  <si>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</si>
  <si>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</si>
  <si>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</si>
  <si>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2026-08-22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</si>
  <si>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</si>
  <si>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</si>
  <si>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</si>
  <si>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</si>
  <si>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</si>
  <si>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</si>
  <si>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</si>
  <si>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</si>
  <si>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</si>
  <si>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</si>
  <si>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</si>
  <si>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</si>
  <si>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</si>
  <si>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</si>
  <si>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3110.T</t>
  </si>
  <si>
    <t>AGC</t>
  </si>
  <si>
    <t>5201.T</t>
  </si>
  <si>
    <t>Nippon Electric Glass</t>
  </si>
  <si>
    <t>5214.T</t>
  </si>
  <si>
    <t>Ibiden</t>
  </si>
  <si>
    <t>4062.T</t>
  </si>
  <si>
    <t>Tokyo Ohka Kogyo</t>
  </si>
  <si>
    <t>4186.T</t>
  </si>
  <si>
    <t>Zeon</t>
  </si>
  <si>
    <t>4205.T</t>
  </si>
  <si>
    <t>Kuraray</t>
  </si>
  <si>
    <t>3405.T</t>
  </si>
  <si>
    <t>Statistics</t>
  </si>
  <si>
    <t>25th Percentile</t>
  </si>
  <si>
    <t>Median (50th)</t>
  </si>
  <si>
    <t>75th Percentile</t>
  </si>
  <si>
    <t>Implied Valuation for Nitto Boseki</t>
  </si>
  <si>
    <t>Nitto Boseki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</si>
  <si>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</si>
  <si>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</si>
  <si>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</si>
  <si>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</si>
  <si>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</si>
  <si>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</si>
  <si>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</si>
  <si>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</si>
  <si>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</si>
  <si>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</si>
  <si>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</si>
  <si>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</si>
  <si>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</si>
  <si>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</si>
  <si>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</si>
  <si>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Nitto Boseki</t>
  </si>
  <si>
    <t>日付</t>
  </si>
  <si>
    <t>セル</t>
  </si>
  <si>
    <t>変更内容</t>
  </si>
  <si>
    <t>理由</t>
  </si>
  <si>
    <t>元の値</t>
  </si>
  <si>
    <t>状態</t>
  </si>
  <si>
    <t>2026-08-22</t>
  </si>
  <si>
    <t>-</t>
  </si>
  <si>
    <t>Generated by pipeline on 2026-08-22 13:35, template rev e5effd6</t>
  </si>
  <si>
    <t>初期生成（手修正なし）</t>
  </si>
  <si>
    <t>generated</t>
  </si>
  <si>
    <t>'DCF Model'!C5</t>
  </si>
  <si>
    <t>capex_pct = 8.5% (single value) applied to all 5 projection years</t>
  </si>
  <si>
    <t>overrides_validator の ALLOWED_KEYS で capex_pct は数値スカラーのみ(配列は契約違反)。プロンプト指定の年次テーパー [0.15,0.13,0.10,0.085,0.080] を表現できず、ターミナル整合(capex/D&amp;A = 1.02x)を優先して Y5 近傍の単一値を採用した。</t>
  </si>
  <si>
    <t>未解決</t>
  </si>
  <si>
    <t>'DCF Model'!C43 (Y1-Y2)</t>
  </si>
  <si>
    <t>Y1-Y2 の capex が実勢(FY2026/3 実績 売上比17.4%、建設仮勘定12,067)を大幅に過小評価</t>
  </si>
  <si>
    <t>単一値8.5%のため増産投資期の初期2年の投資額が約半分になり、その分だけY1-Y2 の FCF が過大に出る。PGM/Exit いずれの Target も上振れ方向のバイアスを持つ。年次配列が必要なら capex_method='direct' への切替をスキーマ側で再検討すること。</t>
  </si>
  <si>
    <t>'Segment Bridge'!E?? / D??</t>
  </si>
  <si>
    <t>Segment Bridge の tie-out 差異: Q1営業利益 -12、FY2026/3 D&amp;A +40</t>
  </si>
  <si>
    <t>開示セグメント数値(百万円丸め)の積上げと連結開示値の差。ゼロに強制せず差異行として表示。</t>
  </si>
  <si>
    <t>Pipeline Metadata (do not edit — read by scripts/validate_output.py)</t>
  </si>
  <si>
    <t>key</t>
  </si>
  <si>
    <t>value</t>
  </si>
  <si>
    <t>capex_pct_basis</t>
  </si>
  <si>
    <t>assumption</t>
  </si>
  <si>
    <t>capex_pct_c5</t>
  </si>
  <si>
    <t>0.085</t>
  </si>
  <si>
    <t>capex_pct_hist3yr</t>
  </si>
  <si>
    <t>0.122852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</si>
  <si>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</si>
  <si>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</si>
  <si>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</si>
  <si>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</si>
  <si>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</si>
  <si>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</si>
  <si>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</si>
  <si>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6,7,8,9,10,11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</si>
  <si>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</si>
  <si>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</si>
  <si>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</si>
  <si>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</si>
  <si>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</si>
  <si>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</si>
  <si>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</si>
  <si>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</si>
  <si>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</si>
  <si>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</si>
  <si>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da_pct_basis</t>
  </si>
  <si>
    <t>da_pct_c18</t>
  </si>
  <si>
    <t>0.083</t>
  </si>
  <si>
    <t>da_pct_hist3yr</t>
  </si>
  <si>
    <t>0.076115</t>
  </si>
  <si>
    <t>fs_year_coverage</t>
  </si>
  <si>
    <t>OCF 3/3, Cash 3/3, Debt 3/3</t>
  </si>
  <si>
    <t>fs_year_map</t>
  </si>
  <si>
    <t>FY2024/3&lt;-FY2024[ocf+cash+debt]; FY2025/3&lt;-FY2025[ocf+cash+debt]; FY2026/3&lt;-FY2026[ocf+cash+debt]</t>
  </si>
  <si>
    <t>fs_year_sources</t>
  </si>
  <si>
    <t>overrides: hist_ocf, hist_cash, hist_debt, hist_capex, hist_depreciation | EDINET year-key match: none</t>
  </si>
  <si>
    <t>generated_at</t>
  </si>
  <si>
    <t>2026-08-22 13:35:59</t>
  </si>
  <si>
    <t>ltm_revenue_c20</t>
  </si>
  <si>
    <t>124031</t>
  </si>
  <si>
    <t>ltm_revenue_source</t>
  </si>
  <si>
    <t>override</t>
  </si>
  <si>
    <t>narrative_tokens_used</t>
  </si>
  <si>
    <t>pb,per,price,target_price,upside_pct,wacc</t>
  </si>
  <si>
    <t>scenario_index_range</t>
  </si>
  <si>
    <t>B69:B73</t>
  </si>
  <si>
    <t>template_rev</t>
  </si>
  <si>
    <t>e5effd6</t>
  </si>
  <si>
    <t>ticker</t>
  </si>
  <si>
    <t>Segment Bridge - Nitto Boseki (3110)</t>
  </si>
  <si>
    <t>Segment profit total less corporate costs / eliminations reconciled to consolidated operating profit. All figures JPY mn.</t>
  </si>
  <si>
    <t>Only 2 full FYs plus Q1 are disclosed on a comparable basis - too few for the 3-year hist_years array - hence this separate sheet rather than a 'segments' override block.</t>
  </si>
  <si>
    <t>1. Segment Revenue (JPY mn)</t>
  </si>
  <si>
    <t>Segment</t>
  </si>
  <si>
    <t>Q1 FY2027/3</t>
  </si>
  <si>
    <t>Electronic Materials  電子材料</t>
  </si>
  <si>
    <t>Medical  メディカル</t>
  </si>
  <si>
    <t>Composite Materials  複合材</t>
  </si>
  <si>
    <t>Capital &amp; Chemicals  資本・ケミカル</t>
  </si>
  <si>
    <t>Insulation  断熱材</t>
  </si>
  <si>
    <t>Other  その他</t>
  </si>
  <si>
    <t>Segment total  セグメント計</t>
  </si>
  <si>
    <t>Adjustment  調整額 (内部売上高消去等)</t>
  </si>
  <si>
    <t>Derived as a residual - the disclosed segment note gives the profit adjustment only.</t>
  </si>
  <si>
    <t>Consolidated revenue  連結売上高</t>
  </si>
  <si>
    <t>Q1 revenue 34,033 is the same figure used in the LTM bridge (118,229 - 28,231 + 34,033 = 124,031).</t>
  </si>
  <si>
    <t>2. Segment Profit to Consolidated Operating Profit (JPY mn)</t>
  </si>
  <si>
    <t>Segment profit total  セグメント利益計</t>
  </si>
  <si>
    <t>Adjustment  調整額 (全社費用・消去)</t>
  </si>
  <si>
    <t>Bridged operating profit  計算値</t>
  </si>
  <si>
    <t>Consolidated operating profit  連結営業利益 (開示値)</t>
  </si>
  <si>
    <t>Variance  差異 (計算値 - 開示値)</t>
  </si>
  <si>
    <t>Rounding of the disclosed JPY mn segment figures. A non-zero variance is shown rather than forced to zero.</t>
  </si>
  <si>
    <t>3. Segment vs Consolidated Operating Margin</t>
  </si>
  <si>
    <t>Metric</t>
  </si>
  <si>
    <t>Electronic Materials segment margin</t>
  </si>
  <si>
    <t>The single driver of the consolidated margin expansion.</t>
  </si>
  <si>
    <t>Consolidated operating margin</t>
  </si>
  <si>
    <t>Electronic Materials share of segment profit</t>
  </si>
  <si>
    <t>Concentration measure: the DCF's margin path is effectively a single-segment call.</t>
  </si>
  <si>
    <t>Electronic Materials share of revenue</t>
  </si>
  <si>
    <t>4. FY2026/3 D&amp;A by Segment and Segment EBITDA (JPY mn)</t>
  </si>
  <si>
    <t>Segment profit</t>
  </si>
  <si>
    <t>D&amp;A</t>
  </si>
  <si>
    <t>Segment EBITDA</t>
  </si>
  <si>
    <t>Adjustment  調整額</t>
  </si>
  <si>
    <t>Total  合計 (計算値)</t>
  </si>
  <si>
    <t>Disclosed consolidated D&amp;A  連結減価償却費 (開示値)</t>
  </si>
  <si>
    <t>Consolidated EBITDA = consolidated OP + consolidated D&amp;A (this is the core_ebitda used in Comps).</t>
  </si>
  <si>
    <t>The segment D&amp;A breakdown does not tie exactly to the disclosed consolidated D&amp;A; the variance is shown, not forced.</t>
  </si>
  <si>
    <t>Notes</t>
  </si>
  <si>
    <t>Segment profit is the disclosed segment operating profit; the adjustment row carries corporate costs and inter-segment eliminations.</t>
  </si>
  <si>
    <t>Revenue adjustment is derived as (consolidated revenue - segment total) because the disclosed note quantifies the profit adjustment only.</t>
  </si>
  <si>
    <t>Q1 FY2027/3 is a single quarter and is not annualised anywhere in this workbook.</t>
  </si>
  <si>
    <t>This sheet is informational; no cell on the DCF Model sheet references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</si>
</sst>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  <numFmt numFmtId="182" formatCode="0.\1%;\(0.\1%\)"/>
  </numFmts>
  <fonts count="13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i/>
      <sz val="9"/>
      <color rgb="FF80808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11" fillId="0" borderId="0" xfId="0" applyFont="1"/>
    <xf numFmtId="0" fontId="9" fillId="0" borderId="0" xfId="0" applyFont="1"/>
    <xf numFmtId="0" fontId="10" fillId="6" borderId="7" xfId="0" applyFont="1" applyFill="1" applyBorder="1" applyAlignment="1">
      <alignment horizontal="center" wrapText="1"/>
    </xf>
    <xf numFmtId="176" fontId="12" fillId="0" borderId="0" xfId="0" applyNumberFormat="1" applyFont="1"/>
    <xf numFmtId="176" fontId="4" fillId="0" borderId="7" xfId="0" applyNumberFormat="1" applyFont="1" applyBorder="1"/>
    <xf numFmtId="176" fontId="11" fillId="0" borderId="0" xfId="0" applyNumberFormat="1" applyFont="1"/>
    <xf numFmtId="176" fontId="4" fillId="7" borderId="8" xfId="0" applyNumberFormat="1" applyFont="1" applyFill="1" applyBorder="1"/>
    <xf numFmtId="176" fontId="4" fillId="0" borderId="0" xfId="0" applyNumberFormat="1" applyFont="1"/>
    <xf numFmtId="176" fontId="4" fillId="7" borderId="0" xfId="0" applyNumberFormat="1" applyFont="1" applyFill="1"/>
    <xf numFmtId="176" fontId="4" fillId="8" borderId="8" xfId="0" applyNumberFormat="1" applyFont="1" applyFill="1" applyBorder="1"/>
    <xf numFmtId="182" fontId="11" fillId="0" borderId="0" xfId="0" applyNumberFormat="1" applyFont="1"/>
    <xf numFmtId="182" fontId="11" fillId="8" borderId="0" xfId="0" applyNumberFormat="1" applyFont="1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topLeftCell="A4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53" t="s">
        <v>0</v>
      </c>
      <c r="C1" s="52"/>
      <c r="D1" s="52"/>
      <c r="E1" s="52"/>
    </row>
    <row r="3" spans="2:5" ht="18" customHeight="1" x14ac:dyDescent="0.4">
      <c r="B3" s="51" t="s">
        <v>1</v>
      </c>
      <c r="C3" s="52"/>
      <c r="D3" s="52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3065</v>
      </c>
    </row>
    <row r="10" spans="2:5" ht="14" customHeight="1" x14ac:dyDescent="0.3">
      <c r="B10" s="4" t="s">
        <v>10</v>
      </c>
      <c r="C10" s="5">
        <f>ROUND(AVERAGE(C16:C19),0)</f>
        <v>1466</v>
      </c>
    </row>
    <row r="11" spans="2:5" ht="14" customHeight="1" x14ac:dyDescent="0.3">
      <c r="B11" s="4" t="s">
        <v>11</v>
      </c>
      <c r="C11" s="6" t="str">
        <f>IF(C12&gt;0.15,"BUY",IF(C12&gt;0.05,"HOLD","SELL"))</f>
        <v>SELL</v>
      </c>
    </row>
    <row r="12" spans="2:5" ht="14" customHeight="1" x14ac:dyDescent="0.3">
      <c r="B12" s="4" t="s">
        <v>12</v>
      </c>
      <c r="C12" s="7">
        <f>(C10-C9)/C9</f>
        <v>-0.52169657422512239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869</v>
      </c>
      <c r="D16" s="7">
        <f>IF(ISNUMBER(C16),(C16-C9)/C9,"N/A")</f>
        <v>-0.71647634584013054</v>
      </c>
    </row>
    <row r="17" spans="2:4" ht="13.5" customHeight="1" x14ac:dyDescent="0.25">
      <c r="B17" t="s">
        <v>18</v>
      </c>
      <c r="C17" s="11">
        <f>'DCF Model'!C64</f>
        <v>1578</v>
      </c>
      <c r="D17" s="7">
        <f>(C17-C9)/C9</f>
        <v>-0.48515497553017944</v>
      </c>
    </row>
    <row r="18" spans="2:4" ht="13.5" customHeight="1" x14ac:dyDescent="0.25">
      <c r="B18" t="s">
        <v>19</v>
      </c>
      <c r="C18" s="11">
        <f>'Comps Analysis'!C27</f>
        <v>1110</v>
      </c>
      <c r="D18" s="7">
        <f>IF(ISNUMBER(C18),(C18-C9)/C9,"N/A")</f>
        <v>-0.63784665579119082</v>
      </c>
    </row>
    <row r="19" spans="2:4" ht="13.5" customHeight="1" x14ac:dyDescent="0.25">
      <c r="B19" t="s">
        <v>20</v>
      </c>
      <c r="C19" s="11">
        <f>'Comps Analysis'!C28</f>
        <v>2305</v>
      </c>
      <c r="D19" s="7">
        <f>IF(ISNUMBER(C19),(C19-C9)/C9,"N/A")</f>
        <v>-0.24796084828711257</v>
      </c>
    </row>
    <row r="21" spans="2:4" ht="14" customHeight="1" x14ac:dyDescent="0.3">
      <c r="B21" s="4" t="s">
        <v>21</v>
      </c>
      <c r="C21" s="6" t="str">
        <f>MIN(C16:C19)&amp;" - "&amp;MAX(C16:C19)</f>
        <v>869 - 2305</v>
      </c>
    </row>
    <row r="23" spans="2:4" ht="14" customHeight="1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tr">
        <f>"At "&amp;TEXT(C9,"#,##0")&amp;" the stock trades at "&amp;TEXT('Comps Analysis'!L5,"0.0""x""")&amp;" PER and "&amp;TEXT('Comps Analysis'!M5,"0.00""x""")&amp;" PBR; our target of "&amp;TEXT(C10,"#,##0")&amp;" implies "&amp;TEXT(C12,"+0.0%;-0.0%")&amp;" with WACC of "&amp;TEXT('DCF Model'!C26,"0.00%")&amp;"."</f>
        <v>At 3,065 the stock trades at 32.6x PER and 3.23x PBR; our target of 1,466 implies -52.2% with WACC of 10.94%.</v>
      </c>
    </row>
    <row r="28" spans="2:4" ht="14" customHeight="1" x14ac:dyDescent="0.3">
      <c r="B28" s="8" t="s">
        <v>25</v>
      </c>
      <c r="C28" s="9"/>
      <c r="D28" s="9"/>
    </row>
    <row r="29" spans="2:4" x14ac:dyDescent="0.2">
      <c r="B29" t="s">
        <v>26</v>
      </c>
    </row>
    <row r="30" spans="2:4" x14ac:dyDescent="0.2">
      <c r="B30" t="s">
        <v>27</v>
      </c>
    </row>
    <row r="31" spans="2:4" x14ac:dyDescent="0.2">
      <c r="B31" t="s">
        <v>28</v>
      </c>
    </row>
  </sheetData>
  <mergeCells count="2">
    <mergeCell ref="B3:D3"/>
    <mergeCell ref="B1:E1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E30"/>
  <sheetViews>
    <sheetView workbookViewId="0"/>
  </sheetViews>
  <sheetFormatPr defaultRowHeight="13" x14ac:dyDescent="0.2"/>
  <cols>
    <col min="1" max="1" width="3" customWidth="1"/>
    <col min="2" max="2" width="32" customWidth="1"/>
    <col min="3" max="5" width="18" customWidth="1"/>
  </cols>
  <sheetData>
    <row r="2" spans="2:5" ht="18" customHeight="1" x14ac:dyDescent="0.4">
      <c r="B2" s="2" t="s">
        <v>29</v>
      </c>
    </row>
    <row r="4" spans="2:5" ht="14" customHeight="1" x14ac:dyDescent="0.3">
      <c r="C4" s="10" t="s">
        <v>30</v>
      </c>
      <c r="D4" s="10" t="s">
        <v>31</v>
      </c>
      <c r="E4" s="10" t="s">
        <v>32</v>
      </c>
    </row>
    <row r="5" spans="2:5" ht="14" customHeight="1" x14ac:dyDescent="0.3">
      <c r="B5" s="3" t="s">
        <v>33</v>
      </c>
    </row>
    <row r="6" spans="2:5" ht="14" customHeight="1" x14ac:dyDescent="0.3">
      <c r="B6" s="4" t="s">
        <v>34</v>
      </c>
      <c r="C6" s="5">
        <v>93253</v>
      </c>
      <c r="D6" s="5">
        <v>109035</v>
      </c>
      <c r="E6" s="5">
        <v>118229</v>
      </c>
    </row>
    <row r="7" spans="2:5" ht="14" customHeight="1" x14ac:dyDescent="0.3">
      <c r="B7" s="4" t="s">
        <v>35</v>
      </c>
      <c r="C7" s="5">
        <v>62638</v>
      </c>
      <c r="D7" s="5">
        <v>68657</v>
      </c>
      <c r="E7" s="5">
        <v>70652</v>
      </c>
    </row>
    <row r="8" spans="2:5" ht="14" customHeight="1" x14ac:dyDescent="0.3">
      <c r="B8" s="4" t="s">
        <v>36</v>
      </c>
      <c r="C8" s="5">
        <f>C6-C7</f>
        <v>30615</v>
      </c>
      <c r="D8" s="5">
        <f>D6-D7</f>
        <v>40378</v>
      </c>
      <c r="E8" s="5">
        <f>E6-E7</f>
        <v>47577</v>
      </c>
    </row>
    <row r="9" spans="2:5" ht="13.5" customHeight="1" x14ac:dyDescent="0.25">
      <c r="B9" t="s">
        <v>37</v>
      </c>
      <c r="C9" s="7">
        <f>C8/C6</f>
        <v>0.32830043001297543</v>
      </c>
      <c r="D9" s="7">
        <f>D8/D6</f>
        <v>0.37032145641307834</v>
      </c>
      <c r="E9" s="7">
        <f>E8/E6</f>
        <v>0.40241395935007485</v>
      </c>
    </row>
    <row r="10" spans="2:5" ht="14" customHeight="1" x14ac:dyDescent="0.3">
      <c r="B10" s="4" t="s">
        <v>38</v>
      </c>
      <c r="C10" s="5">
        <v>22226</v>
      </c>
      <c r="D10" s="5">
        <v>23933</v>
      </c>
      <c r="E10" s="5">
        <v>26757</v>
      </c>
    </row>
    <row r="11" spans="2:5" ht="14" customHeight="1" x14ac:dyDescent="0.3">
      <c r="B11" s="4" t="s">
        <v>39</v>
      </c>
      <c r="C11" s="5">
        <v>8387</v>
      </c>
      <c r="D11" s="5">
        <v>16445</v>
      </c>
      <c r="E11" s="5">
        <v>20819</v>
      </c>
    </row>
    <row r="12" spans="2:5" ht="14" customHeight="1" x14ac:dyDescent="0.3">
      <c r="B12" s="4" t="s">
        <v>40</v>
      </c>
      <c r="C12" s="5">
        <v>7296</v>
      </c>
      <c r="D12" s="5">
        <v>12837</v>
      </c>
      <c r="E12" s="5">
        <v>41770</v>
      </c>
    </row>
    <row r="13" spans="2:5" ht="13.5" customHeight="1" x14ac:dyDescent="0.25">
      <c r="B13" t="s">
        <v>41</v>
      </c>
      <c r="C13" s="7">
        <f>C11/C6</f>
        <v>8.9938125315003267E-2</v>
      </c>
      <c r="D13" s="7">
        <f>D11/D6</f>
        <v>0.15082313018755444</v>
      </c>
      <c r="E13" s="7">
        <f>E11/E6</f>
        <v>0.17609046849757673</v>
      </c>
    </row>
    <row r="14" spans="2:5" ht="13.5" customHeight="1" x14ac:dyDescent="0.25">
      <c r="B14" t="s">
        <v>42</v>
      </c>
      <c r="C14" s="7">
        <f>C12/C6</f>
        <v>7.8238769798290669E-2</v>
      </c>
      <c r="D14" s="7">
        <f>D12/D6</f>
        <v>0.11773283807951575</v>
      </c>
      <c r="E14" s="7">
        <f>E12/E6</f>
        <v>0.35329741433996736</v>
      </c>
    </row>
    <row r="15" spans="2:5" ht="13.5" customHeight="1" x14ac:dyDescent="0.25">
      <c r="B15" t="s">
        <v>43</v>
      </c>
      <c r="C15" t="s">
        <v>44</v>
      </c>
      <c r="D15" s="7">
        <f>(D6-C6)/C6</f>
        <v>0.16923852315743193</v>
      </c>
      <c r="E15" s="7">
        <f>(E6-D6)/D6</f>
        <v>8.4321548126748289E-2</v>
      </c>
    </row>
    <row r="16" spans="2:5" ht="13.5" customHeight="1" x14ac:dyDescent="0.25">
      <c r="B16" t="s">
        <v>45</v>
      </c>
      <c r="C16" t="s">
        <v>44</v>
      </c>
      <c r="D16" s="7">
        <f>(D11-C11)/C11</f>
        <v>0.96077262429951116</v>
      </c>
      <c r="E16" s="7">
        <f>(E11-D11)/D11</f>
        <v>0.26597750076010945</v>
      </c>
    </row>
    <row r="18" spans="2:5" ht="14" customHeight="1" x14ac:dyDescent="0.3">
      <c r="B18" s="3" t="s">
        <v>46</v>
      </c>
    </row>
    <row r="19" spans="2:5" ht="14" customHeight="1" x14ac:dyDescent="0.3">
      <c r="B19" s="4" t="s">
        <v>47</v>
      </c>
      <c r="C19" s="5">
        <v>5057</v>
      </c>
      <c r="D19" s="5">
        <v>19121</v>
      </c>
      <c r="E19" s="5">
        <v>17296</v>
      </c>
    </row>
    <row r="20" spans="2:5" ht="14" customHeight="1" x14ac:dyDescent="0.3">
      <c r="B20" s="4" t="s">
        <v>48</v>
      </c>
      <c r="C20" s="5">
        <v>6949</v>
      </c>
      <c r="D20" s="5">
        <v>13138</v>
      </c>
      <c r="E20" s="5">
        <v>20518</v>
      </c>
    </row>
    <row r="21" spans="2:5" ht="14" customHeight="1" x14ac:dyDescent="0.3">
      <c r="B21" s="4" t="s">
        <v>49</v>
      </c>
      <c r="C21" s="5">
        <f>C19-C20</f>
        <v>-1892</v>
      </c>
      <c r="D21" s="5">
        <f>D19-D20</f>
        <v>5983</v>
      </c>
      <c r="E21" s="5">
        <f>E19-E20</f>
        <v>-3222</v>
      </c>
    </row>
    <row r="22" spans="2:5" ht="13.5" customHeight="1" x14ac:dyDescent="0.25">
      <c r="B22" t="s">
        <v>50</v>
      </c>
      <c r="C22" s="7">
        <f>C21/C6</f>
        <v>-2.02888915101927E-2</v>
      </c>
      <c r="D22" s="7">
        <f>D21/D6</f>
        <v>5.4872288714632914E-2</v>
      </c>
      <c r="E22" s="7">
        <f>E21/E6</f>
        <v>-2.725219700750239E-2</v>
      </c>
    </row>
    <row r="23" spans="2:5" ht="13.5" customHeight="1" x14ac:dyDescent="0.25">
      <c r="B23" t="s">
        <v>51</v>
      </c>
      <c r="C23" s="7">
        <f>C20/C6</f>
        <v>7.4517709886009031E-2</v>
      </c>
      <c r="D23" s="7">
        <f>D20/D6</f>
        <v>0.12049341954418306</v>
      </c>
      <c r="E23" s="7">
        <f>E20/E6</f>
        <v>0.17354456182493297</v>
      </c>
    </row>
    <row r="25" spans="2:5" ht="14" customHeight="1" x14ac:dyDescent="0.3">
      <c r="B25" s="3" t="s">
        <v>52</v>
      </c>
    </row>
    <row r="26" spans="2:5" ht="14" customHeight="1" x14ac:dyDescent="0.3">
      <c r="B26" s="4" t="s">
        <v>53</v>
      </c>
      <c r="C26" s="5">
        <v>23664</v>
      </c>
      <c r="D26" s="5">
        <v>28546</v>
      </c>
      <c r="E26" s="5">
        <v>62014</v>
      </c>
    </row>
    <row r="27" spans="2:5" ht="14" customHeight="1" x14ac:dyDescent="0.3">
      <c r="B27" s="4" t="s">
        <v>54</v>
      </c>
      <c r="C27" s="5">
        <v>53137</v>
      </c>
      <c r="D27" s="5">
        <v>52746</v>
      </c>
      <c r="E27" s="5">
        <v>50684</v>
      </c>
    </row>
    <row r="28" spans="2:5" ht="14" customHeight="1" x14ac:dyDescent="0.3">
      <c r="B28" s="4" t="s">
        <v>55</v>
      </c>
      <c r="C28" s="5">
        <f>C27-C26</f>
        <v>29473</v>
      </c>
      <c r="D28" s="5">
        <f>D27-D26</f>
        <v>24200</v>
      </c>
      <c r="E28" s="5">
        <f>E27-E26</f>
        <v>-11330</v>
      </c>
    </row>
    <row r="30" spans="2:5" ht="14" customHeight="1" x14ac:dyDescent="0.3">
      <c r="B30" s="1" t="s">
        <v>56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topLeftCell="A46" workbookViewId="0">
      <selection activeCell="C9" sqref="C9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57</v>
      </c>
    </row>
    <row r="4" spans="2:7" ht="14" customHeight="1" x14ac:dyDescent="0.3">
      <c r="B4" s="8" t="s">
        <v>58</v>
      </c>
      <c r="C4" s="9"/>
      <c r="D4" s="9"/>
      <c r="E4" s="9"/>
      <c r="F4" s="9"/>
      <c r="G4" s="9"/>
    </row>
    <row r="5" spans="2:7" ht="14" customHeight="1" x14ac:dyDescent="0.3">
      <c r="B5" s="4" t="s">
        <v>51</v>
      </c>
      <c r="C5" s="7">
        <v>8.5000000000000006E-2</v>
      </c>
    </row>
    <row r="6" spans="2:7" ht="14" customHeight="1" x14ac:dyDescent="0.3">
      <c r="B6" s="4" t="s">
        <v>59</v>
      </c>
      <c r="C6" s="7">
        <v>0.28000000000000003</v>
      </c>
    </row>
    <row r="7" spans="2:7" ht="14" customHeight="1" x14ac:dyDescent="0.3">
      <c r="B7" s="4" t="s">
        <v>60</v>
      </c>
      <c r="C7" s="7">
        <v>1.6E-2</v>
      </c>
    </row>
    <row r="8" spans="2:7" ht="14" customHeight="1" x14ac:dyDescent="0.3">
      <c r="B8" s="4" t="s">
        <v>61</v>
      </c>
      <c r="C8" s="12">
        <v>1.55</v>
      </c>
    </row>
    <row r="9" spans="2:7" ht="14" customHeight="1" x14ac:dyDescent="0.3">
      <c r="B9" s="4" t="s">
        <v>62</v>
      </c>
      <c r="C9" s="7">
        <v>5.5E-2</v>
      </c>
    </row>
    <row r="10" spans="2:7" ht="14" customHeight="1" x14ac:dyDescent="0.3">
      <c r="B10" s="4" t="s">
        <v>63</v>
      </c>
      <c r="C10" s="7">
        <v>0.01</v>
      </c>
    </row>
    <row r="11" spans="2:7" ht="14" customHeight="1" x14ac:dyDescent="0.3">
      <c r="B11" s="4" t="s">
        <v>64</v>
      </c>
      <c r="C11" s="7">
        <v>1.0800000000000001E-2</v>
      </c>
    </row>
    <row r="12" spans="2:7" ht="14" customHeight="1" x14ac:dyDescent="0.3">
      <c r="B12" s="4" t="s">
        <v>65</v>
      </c>
      <c r="C12" s="13">
        <v>1.8700000000000001E-2</v>
      </c>
    </row>
    <row r="13" spans="2:7" ht="14" customHeight="1" x14ac:dyDescent="0.3">
      <c r="B13" s="4" t="s">
        <v>66</v>
      </c>
      <c r="C13" s="7">
        <v>0.01</v>
      </c>
    </row>
    <row r="14" spans="2:7" ht="14" customHeight="1" x14ac:dyDescent="0.3">
      <c r="B14" s="4" t="s">
        <v>67</v>
      </c>
      <c r="C14" s="14">
        <v>9</v>
      </c>
    </row>
    <row r="15" spans="2:7" ht="14" customHeight="1" x14ac:dyDescent="0.3">
      <c r="B15" s="4" t="s">
        <v>68</v>
      </c>
      <c r="C15" s="15">
        <v>182886560</v>
      </c>
    </row>
    <row r="16" spans="2:7" ht="14" customHeight="1" x14ac:dyDescent="0.3">
      <c r="B16" s="4" t="s">
        <v>69</v>
      </c>
      <c r="C16" s="5">
        <v>10478</v>
      </c>
    </row>
    <row r="17" spans="2:7" ht="14" customHeight="1" x14ac:dyDescent="0.3">
      <c r="B17" s="4" t="s">
        <v>70</v>
      </c>
      <c r="C17" s="5">
        <v>118229</v>
      </c>
    </row>
    <row r="18" spans="2:7" ht="14" customHeight="1" x14ac:dyDescent="0.3">
      <c r="B18" s="4" t="s">
        <v>71</v>
      </c>
      <c r="C18" s="7">
        <v>8.3000000000000004E-2</v>
      </c>
    </row>
    <row r="19" spans="2:7" ht="14" customHeight="1" x14ac:dyDescent="0.3">
      <c r="B19" s="4" t="s">
        <v>72</v>
      </c>
      <c r="C19" s="12">
        <v>1</v>
      </c>
    </row>
    <row r="20" spans="2:7" ht="14" customHeight="1" x14ac:dyDescent="0.3">
      <c r="B20" s="4" t="s">
        <v>73</v>
      </c>
      <c r="C20" s="5">
        <v>124031</v>
      </c>
    </row>
    <row r="22" spans="2:7" ht="14" customHeight="1" x14ac:dyDescent="0.3">
      <c r="B22" s="8" t="s">
        <v>74</v>
      </c>
      <c r="C22" s="9"/>
      <c r="D22" s="9"/>
      <c r="E22" s="9"/>
      <c r="F22" s="9"/>
      <c r="G22" s="9"/>
    </row>
    <row r="23" spans="2:7" ht="14" customHeight="1" x14ac:dyDescent="0.3">
      <c r="B23" s="4" t="s">
        <v>75</v>
      </c>
      <c r="C23" s="16">
        <f>C7+C8*C9+C10</f>
        <v>0.11125</v>
      </c>
    </row>
    <row r="24" spans="2:7" ht="14" customHeight="1" x14ac:dyDescent="0.3">
      <c r="B24" s="4" t="s">
        <v>76</v>
      </c>
      <c r="C24" s="16">
        <f>1/(1+C12)</f>
        <v>0.9816432708353785</v>
      </c>
    </row>
    <row r="25" spans="2:7" ht="14" customHeight="1" x14ac:dyDescent="0.3">
      <c r="B25" s="4" t="s">
        <v>77</v>
      </c>
      <c r="C25" s="16">
        <f>C12/(1+C12)</f>
        <v>1.8356729164621579E-2</v>
      </c>
    </row>
    <row r="26" spans="2:7" ht="14" customHeight="1" x14ac:dyDescent="0.3">
      <c r="B26" s="4" t="s">
        <v>78</v>
      </c>
      <c r="C26" s="16">
        <f>C23*C24+C11*C25</f>
        <v>0.10940606655541378</v>
      </c>
    </row>
    <row r="27" spans="2:7" ht="14" customHeight="1" x14ac:dyDescent="0.3">
      <c r="B27" s="4" t="s">
        <v>79</v>
      </c>
      <c r="C27" s="17" t="s">
        <v>80</v>
      </c>
      <c r="D27" s="6">
        <f>MATCH(C27,B69:B73,0)</f>
        <v>1</v>
      </c>
    </row>
    <row r="28" spans="2:7" ht="14" customHeight="1" x14ac:dyDescent="0.3">
      <c r="B28" s="8" t="s">
        <v>81</v>
      </c>
      <c r="C28" s="9"/>
      <c r="D28" s="9"/>
      <c r="E28" s="9"/>
      <c r="F28" s="9"/>
      <c r="G28" s="9"/>
    </row>
    <row r="29" spans="2:7" ht="14" customHeight="1" x14ac:dyDescent="0.3">
      <c r="C29" s="10" t="s">
        <v>82</v>
      </c>
      <c r="D29" s="10" t="s">
        <v>83</v>
      </c>
      <c r="E29" s="10" t="s">
        <v>84</v>
      </c>
      <c r="F29" s="10" t="s">
        <v>85</v>
      </c>
      <c r="G29" s="10" t="s">
        <v>86</v>
      </c>
    </row>
    <row r="30" spans="2:7" ht="14" customHeight="1" x14ac:dyDescent="0.3">
      <c r="B30" s="4" t="s">
        <v>43</v>
      </c>
      <c r="C30" s="18">
        <f>CHOOSE($D$27,C69,C70,C71,C72,C73)</f>
        <v>0.17</v>
      </c>
      <c r="D30" s="18">
        <f>CHOOSE($D$27,D69,D70,D71,D72,D73)</f>
        <v>0.12</v>
      </c>
      <c r="E30" s="18">
        <f>CHOOSE($D$27,E69,E70,E71,E72,E73)</f>
        <v>0.06</v>
      </c>
      <c r="F30" s="18">
        <f>CHOOSE($D$27,F69,F70,F71,F72,F73)</f>
        <v>0.02</v>
      </c>
      <c r="G30" s="18">
        <f>CHOOSE($D$27,G69,G70,G71,G72,G73)</f>
        <v>0.02</v>
      </c>
    </row>
    <row r="31" spans="2:7" ht="14" customHeight="1" x14ac:dyDescent="0.3">
      <c r="B31" s="4" t="s">
        <v>87</v>
      </c>
      <c r="C31" s="18">
        <f>CHOOSE($D$27,C76,C77,C78,C79,C80)</f>
        <v>0.57499999999999996</v>
      </c>
      <c r="D31" s="18">
        <f>CHOOSE($D$27,D76,D77,D78,D79,D80)</f>
        <v>0.56899999999999995</v>
      </c>
      <c r="E31" s="18">
        <f>CHOOSE($D$27,E76,E77,E78,E79,E80)</f>
        <v>0.57399999999999995</v>
      </c>
      <c r="F31" s="18">
        <f>CHOOSE($D$27,F76,F77,F78,F79,F80)</f>
        <v>0.58499999999999996</v>
      </c>
      <c r="G31" s="18">
        <f>CHOOSE($D$27,G76,G77,G78,G79,G80)</f>
        <v>0.59199999999999997</v>
      </c>
    </row>
    <row r="32" spans="2:7" ht="14" customHeight="1" x14ac:dyDescent="0.3">
      <c r="B32" s="4" t="s">
        <v>88</v>
      </c>
      <c r="C32" s="18">
        <f>CHOOSE($D$27,C83,C84,C85,C86,C87)</f>
        <v>0.22</v>
      </c>
      <c r="D32" s="18">
        <f>CHOOSE($D$27,D83,D84,D85,D86,D87)</f>
        <v>0.216</v>
      </c>
      <c r="E32" s="18">
        <f>CHOOSE($D$27,E83,E84,E85,E86,E87)</f>
        <v>0.216</v>
      </c>
      <c r="F32" s="18">
        <f>CHOOSE($D$27,F83,F84,F85,F86,F87)</f>
        <v>0.22</v>
      </c>
      <c r="G32" s="18">
        <f>CHOOSE($D$27,G83,G84,G85,G86,G87)</f>
        <v>0.223</v>
      </c>
    </row>
    <row r="33" spans="2:7" ht="14" customHeight="1" x14ac:dyDescent="0.3">
      <c r="B33" s="4" t="s">
        <v>34</v>
      </c>
      <c r="C33" s="5">
        <f>C17*(1+C30)</f>
        <v>138327.93</v>
      </c>
      <c r="D33" s="5">
        <f>C33*(1+D30)</f>
        <v>154927.28160000002</v>
      </c>
      <c r="E33" s="5">
        <f>D33*(1+E30)</f>
        <v>164222.91849600003</v>
      </c>
      <c r="F33" s="5">
        <f>E33*(1+F30)</f>
        <v>167507.37686592003</v>
      </c>
      <c r="G33" s="5">
        <f>F33*(1+G30)</f>
        <v>170857.52440323844</v>
      </c>
    </row>
    <row r="34" spans="2:7" ht="14" customHeight="1" x14ac:dyDescent="0.3">
      <c r="B34" s="4" t="s">
        <v>35</v>
      </c>
      <c r="C34" s="5">
        <f>C33*C31</f>
        <v>79538.559749999986</v>
      </c>
      <c r="D34" s="5">
        <f>D33*D31</f>
        <v>88153.6232304</v>
      </c>
      <c r="E34" s="5">
        <f>E33*E31</f>
        <v>94263.955216704009</v>
      </c>
      <c r="F34" s="5">
        <f>F33*F31</f>
        <v>97991.815466563217</v>
      </c>
      <c r="G34" s="5">
        <f>G33*G31</f>
        <v>101147.65444671715</v>
      </c>
    </row>
    <row r="35" spans="2:7" ht="14" customHeight="1" x14ac:dyDescent="0.3">
      <c r="B35" s="4" t="s">
        <v>36</v>
      </c>
      <c r="C35" s="19">
        <f>C33-C34</f>
        <v>58789.370250000007</v>
      </c>
      <c r="D35" s="19">
        <f>D33-D34</f>
        <v>66773.658369600016</v>
      </c>
      <c r="E35" s="19">
        <f>E33-E34</f>
        <v>69958.963279296018</v>
      </c>
      <c r="F35" s="19">
        <f>F33-F34</f>
        <v>69515.561399356811</v>
      </c>
      <c r="G35" s="19">
        <f>G33-G34</f>
        <v>69709.869956521288</v>
      </c>
    </row>
    <row r="36" spans="2:7" ht="14" customHeight="1" x14ac:dyDescent="0.3">
      <c r="B36" s="4" t="s">
        <v>37</v>
      </c>
      <c r="C36" s="7">
        <f>C35/C33</f>
        <v>0.4250000000000001</v>
      </c>
      <c r="D36" s="7">
        <f>D35/D33</f>
        <v>0.43100000000000005</v>
      </c>
      <c r="E36" s="7">
        <f>E35/E33</f>
        <v>0.42600000000000005</v>
      </c>
      <c r="F36" s="7">
        <f>F35/F33</f>
        <v>0.41499999999999998</v>
      </c>
      <c r="G36" s="7">
        <f>G35/G33</f>
        <v>0.40800000000000003</v>
      </c>
    </row>
    <row r="37" spans="2:7" ht="14" customHeight="1" x14ac:dyDescent="0.3">
      <c r="B37" s="4" t="s">
        <v>89</v>
      </c>
      <c r="C37" s="5">
        <f>C33*C32</f>
        <v>30432.1446</v>
      </c>
      <c r="D37" s="5">
        <f>D33*D32</f>
        <v>33464.292825600001</v>
      </c>
      <c r="E37" s="5">
        <f>E33*E32</f>
        <v>35472.150395136006</v>
      </c>
      <c r="F37" s="5">
        <f>F33*F32</f>
        <v>36851.622910502403</v>
      </c>
      <c r="G37" s="5">
        <f>G33*G32</f>
        <v>38101.227941922174</v>
      </c>
    </row>
    <row r="38" spans="2:7" ht="14" customHeight="1" x14ac:dyDescent="0.3">
      <c r="B38" s="4" t="s">
        <v>90</v>
      </c>
      <c r="C38" s="7">
        <f>(C35-C37)/C33</f>
        <v>0.20500000000000007</v>
      </c>
      <c r="D38" s="7">
        <f>(D35-D37)/D33</f>
        <v>0.21500000000000008</v>
      </c>
      <c r="E38" s="7">
        <f>(E35-E37)/E33</f>
        <v>0.21000000000000005</v>
      </c>
      <c r="F38" s="7">
        <f>(F35-F37)/F33</f>
        <v>0.19500000000000001</v>
      </c>
      <c r="G38" s="7">
        <f>(G35-G37)/G33</f>
        <v>0.18500000000000003</v>
      </c>
    </row>
    <row r="39" spans="2:7" ht="14" customHeight="1" x14ac:dyDescent="0.3">
      <c r="B39" s="4" t="s">
        <v>91</v>
      </c>
      <c r="C39" s="19">
        <f>C35-C37</f>
        <v>28357.225650000008</v>
      </c>
      <c r="D39" s="19">
        <f>D35-D37</f>
        <v>33309.365544000015</v>
      </c>
      <c r="E39" s="19">
        <f>E35-E37</f>
        <v>34486.812884160012</v>
      </c>
      <c r="F39" s="19">
        <f>F35-F37</f>
        <v>32663.938488854408</v>
      </c>
      <c r="G39" s="19">
        <f>G35-G37</f>
        <v>31608.642014599114</v>
      </c>
    </row>
    <row r="40" spans="2:7" ht="14" customHeight="1" x14ac:dyDescent="0.3">
      <c r="B40" s="4" t="s">
        <v>92</v>
      </c>
      <c r="C40" s="5">
        <f>MAX(0,C39*C6)</f>
        <v>7940.0231820000026</v>
      </c>
      <c r="D40" s="5">
        <f>MAX(0,D39*C6)</f>
        <v>9326.6223523200042</v>
      </c>
      <c r="E40" s="5">
        <f>MAX(0,E39*C6)</f>
        <v>9656.3076075648041</v>
      </c>
      <c r="F40" s="5">
        <f>MAX(0,F39*C6)</f>
        <v>9145.9027768792348</v>
      </c>
      <c r="G40" s="5">
        <f>MAX(0,G39*C6)</f>
        <v>8850.4197640877537</v>
      </c>
    </row>
    <row r="41" spans="2:7" ht="14" customHeight="1" x14ac:dyDescent="0.3">
      <c r="B41" s="4" t="s">
        <v>93</v>
      </c>
      <c r="C41" s="19">
        <f>C39-C40</f>
        <v>20417.202468000003</v>
      </c>
      <c r="D41" s="19">
        <f>D39-D40</f>
        <v>23982.743191680012</v>
      </c>
      <c r="E41" s="19">
        <f>E39-E40</f>
        <v>24830.505276595206</v>
      </c>
      <c r="F41" s="19">
        <f>F39-F40</f>
        <v>23518.035711975172</v>
      </c>
      <c r="G41" s="19">
        <f>G39-G40</f>
        <v>22758.22225051136</v>
      </c>
    </row>
    <row r="42" spans="2:7" ht="14" customHeight="1" x14ac:dyDescent="0.3">
      <c r="B42" s="4" t="s">
        <v>94</v>
      </c>
      <c r="C42" s="5">
        <f>C33*C18</f>
        <v>11481.21819</v>
      </c>
      <c r="D42" s="5">
        <f>D33*C18</f>
        <v>12858.964372800003</v>
      </c>
      <c r="E42" s="5">
        <f>E33*C18</f>
        <v>13630.502235168004</v>
      </c>
      <c r="F42" s="5">
        <f>F33*C18</f>
        <v>13903.112279871362</v>
      </c>
      <c r="G42" s="5">
        <f>G33*C18</f>
        <v>14181.17452546879</v>
      </c>
    </row>
    <row r="43" spans="2:7" ht="14" customHeight="1" x14ac:dyDescent="0.3">
      <c r="B43" s="4" t="s">
        <v>95</v>
      </c>
      <c r="C43" s="5">
        <f>C33*C5</f>
        <v>11757.87405</v>
      </c>
      <c r="D43" s="5">
        <f>D33*C5</f>
        <v>13168.818936000001</v>
      </c>
      <c r="E43" s="5">
        <f>E33*C5</f>
        <v>13958.948072160003</v>
      </c>
      <c r="F43" s="5">
        <f>F33*C5</f>
        <v>14238.127033603203</v>
      </c>
      <c r="G43" s="5">
        <f>G33*C5</f>
        <v>14522.889574275268</v>
      </c>
    </row>
    <row r="44" spans="2:7" ht="14" customHeight="1" x14ac:dyDescent="0.3">
      <c r="B44" s="4" t="s">
        <v>96</v>
      </c>
      <c r="C44" s="5">
        <f>'NWC Schedule'!D19</f>
        <v>12568.109599999996</v>
      </c>
      <c r="D44" s="5">
        <f>'NWC Schedule'!E19</f>
        <v>11279.191195686581</v>
      </c>
      <c r="E44" s="5">
        <f>'NWC Schedule'!F19</f>
        <v>7246.4201091513969</v>
      </c>
      <c r="F44" s="5">
        <f>'NWC Schedule'!G19</f>
        <v>3695.1506439012301</v>
      </c>
      <c r="G44" s="5">
        <f>'NWC Schedule'!H19</f>
        <v>3301.3914175424288</v>
      </c>
    </row>
    <row r="45" spans="2:7" ht="14" customHeight="1" x14ac:dyDescent="0.3">
      <c r="B45" s="4" t="s">
        <v>97</v>
      </c>
      <c r="C45" s="20">
        <f>C41+C42-C43-C44</f>
        <v>7572.4370080000081</v>
      </c>
      <c r="D45" s="20">
        <f>D41+D42-D43-D44</f>
        <v>12393.697432793429</v>
      </c>
      <c r="E45" s="20">
        <f>E41+E42-E43-E44</f>
        <v>17255.639330451806</v>
      </c>
      <c r="F45" s="20">
        <f>F41+F42-F43-F44</f>
        <v>19487.870314342101</v>
      </c>
      <c r="G45" s="20">
        <f>G41+G42-G43-G44</f>
        <v>19115.115784162455</v>
      </c>
    </row>
    <row r="46" spans="2:7" ht="14" customHeight="1" x14ac:dyDescent="0.3">
      <c r="B46" s="4" t="s">
        <v>98</v>
      </c>
      <c r="C46" s="21">
        <f>1/(1+C26)^(C19+0)</f>
        <v>0.90138320867930011</v>
      </c>
      <c r="D46" s="21">
        <f>1/(1+C26)^(C19+1)</f>
        <v>0.8124916888889907</v>
      </c>
      <c r="E46" s="21">
        <f>1/(1+C26)^(C19+2)</f>
        <v>0.73236636555602208</v>
      </c>
      <c r="F46" s="21">
        <f>1/(1+C26)^(C19+3)</f>
        <v>0.6601427445136846</v>
      </c>
      <c r="G46" s="21">
        <f>1/(1+C26)^(C19+4)</f>
        <v>0.5950415852361044</v>
      </c>
    </row>
    <row r="47" spans="2:7" ht="14" customHeight="1" x14ac:dyDescent="0.3">
      <c r="B47" s="4" t="s">
        <v>99</v>
      </c>
      <c r="C47" s="19">
        <f>C45*C46</f>
        <v>6825.6675677929261</v>
      </c>
      <c r="D47" s="19">
        <f>D45*D46</f>
        <v>10069.776158749482</v>
      </c>
      <c r="E47" s="19">
        <f>E45*E46</f>
        <v>12637.44986178854</v>
      </c>
      <c r="F47" s="19">
        <f>F45*F46</f>
        <v>12864.776194036556</v>
      </c>
      <c r="G47" s="19">
        <f>G45*G46</f>
        <v>11374.288798179708</v>
      </c>
    </row>
    <row r="49" spans="2:7" ht="14" customHeight="1" x14ac:dyDescent="0.3">
      <c r="B49" s="22" t="s">
        <v>100</v>
      </c>
      <c r="C49" s="23"/>
      <c r="D49" s="23"/>
      <c r="E49" s="23"/>
      <c r="F49" s="23"/>
      <c r="G49" s="23"/>
    </row>
    <row r="50" spans="2:7" ht="14" customHeight="1" x14ac:dyDescent="0.3">
      <c r="B50" s="4" t="s">
        <v>101</v>
      </c>
      <c r="C50" s="5">
        <f>SUM(C47:G47)</f>
        <v>53771.958580547216</v>
      </c>
    </row>
    <row r="51" spans="2:7" ht="14" customHeight="1" x14ac:dyDescent="0.3">
      <c r="B51" s="4" t="s">
        <v>102</v>
      </c>
      <c r="C51" s="5">
        <f>G45*(1+C13)/(C26-C13)</f>
        <v>194216.18429335827</v>
      </c>
    </row>
    <row r="52" spans="2:7" ht="14" customHeight="1" x14ac:dyDescent="0.3">
      <c r="B52" s="4" t="s">
        <v>103</v>
      </c>
      <c r="C52" s="5">
        <f>C51*G46</f>
        <v>115566.7061804273</v>
      </c>
    </row>
    <row r="53" spans="2:7" ht="14" customHeight="1" x14ac:dyDescent="0.3">
      <c r="B53" s="4" t="s">
        <v>104</v>
      </c>
      <c r="C53" s="5">
        <f>C50+C52</f>
        <v>169338.66476097453</v>
      </c>
    </row>
    <row r="54" spans="2:7" ht="14" customHeight="1" x14ac:dyDescent="0.3">
      <c r="B54" s="4" t="s">
        <v>105</v>
      </c>
      <c r="C54" s="5">
        <f>C53-C16</f>
        <v>158860.66476097453</v>
      </c>
    </row>
    <row r="55" spans="2:7" ht="14" customHeight="1" x14ac:dyDescent="0.3">
      <c r="B55" s="4" t="s">
        <v>106</v>
      </c>
      <c r="C55" s="24">
        <f>ROUND(C54*1000000/C15,0)</f>
        <v>869</v>
      </c>
    </row>
    <row r="57" spans="2:7" ht="14" customHeight="1" x14ac:dyDescent="0.3">
      <c r="B57" s="22" t="s">
        <v>107</v>
      </c>
      <c r="C57" s="23"/>
      <c r="D57" s="23"/>
      <c r="E57" s="23"/>
      <c r="F57" s="23"/>
      <c r="G57" s="23"/>
    </row>
    <row r="58" spans="2:7" ht="14" customHeight="1" x14ac:dyDescent="0.3">
      <c r="B58" s="4" t="s">
        <v>101</v>
      </c>
      <c r="C58" s="5">
        <f>C50</f>
        <v>53771.958580547216</v>
      </c>
    </row>
    <row r="59" spans="2:7" ht="14" customHeight="1" x14ac:dyDescent="0.3">
      <c r="B59" s="4" t="s">
        <v>108</v>
      </c>
      <c r="C59" s="5">
        <f>G39+G42</f>
        <v>45789.816540067906</v>
      </c>
    </row>
    <row r="60" spans="2:7" ht="14" customHeight="1" x14ac:dyDescent="0.3">
      <c r="B60" s="4" t="s">
        <v>109</v>
      </c>
      <c r="C60" s="5">
        <f>C59*C14</f>
        <v>412108.34886061115</v>
      </c>
    </row>
    <row r="61" spans="2:7" ht="14" customHeight="1" x14ac:dyDescent="0.3">
      <c r="B61" s="4" t="s">
        <v>103</v>
      </c>
      <c r="C61" s="5">
        <f>C60*G46</f>
        <v>245221.60519505158</v>
      </c>
    </row>
    <row r="62" spans="2:7" ht="14" customHeight="1" x14ac:dyDescent="0.3">
      <c r="B62" s="4" t="s">
        <v>104</v>
      </c>
      <c r="C62" s="5">
        <f>C58+C61</f>
        <v>298993.56377559877</v>
      </c>
    </row>
    <row r="63" spans="2:7" ht="14" customHeight="1" x14ac:dyDescent="0.3">
      <c r="B63" s="4" t="s">
        <v>105</v>
      </c>
      <c r="C63" s="5">
        <f>C62-C16</f>
        <v>288515.56377559877</v>
      </c>
    </row>
    <row r="64" spans="2:7" ht="14" customHeight="1" x14ac:dyDescent="0.3">
      <c r="B64" s="4" t="s">
        <v>110</v>
      </c>
      <c r="C64" s="24">
        <f>ROUND(C63*1000000/C15,0)</f>
        <v>1578</v>
      </c>
    </row>
    <row r="66" spans="2:7" ht="14" customHeight="1" x14ac:dyDescent="0.3">
      <c r="B66" s="22" t="s">
        <v>111</v>
      </c>
      <c r="C66" s="23"/>
      <c r="D66" s="23"/>
      <c r="E66" s="23"/>
      <c r="F66" s="23"/>
      <c r="G66" s="23"/>
    </row>
    <row r="67" spans="2:7" ht="14" customHeight="1" x14ac:dyDescent="0.3">
      <c r="C67" s="25" t="s">
        <v>112</v>
      </c>
      <c r="D67" s="25" t="s">
        <v>113</v>
      </c>
      <c r="E67" s="25" t="s">
        <v>114</v>
      </c>
      <c r="F67" s="25" t="s">
        <v>115</v>
      </c>
      <c r="G67" s="25" t="s">
        <v>116</v>
      </c>
    </row>
    <row r="68" spans="2:7" ht="14" customHeight="1" x14ac:dyDescent="0.3">
      <c r="B68" s="3" t="s">
        <v>43</v>
      </c>
    </row>
    <row r="69" spans="2:7" ht="14" customHeight="1" x14ac:dyDescent="0.3">
      <c r="B69" s="4" t="s">
        <v>80</v>
      </c>
      <c r="C69" s="26">
        <v>0.17</v>
      </c>
      <c r="D69" s="26">
        <v>0.12</v>
      </c>
      <c r="E69" s="26">
        <v>0.06</v>
      </c>
      <c r="F69" s="26">
        <v>0.02</v>
      </c>
      <c r="G69" s="26">
        <v>0.02</v>
      </c>
    </row>
    <row r="70" spans="2:7" ht="14" customHeight="1" x14ac:dyDescent="0.3">
      <c r="B70" s="4" t="s">
        <v>117</v>
      </c>
      <c r="C70" s="26">
        <v>0.22</v>
      </c>
      <c r="D70" s="26">
        <v>0.2</v>
      </c>
      <c r="E70" s="26">
        <v>0.12</v>
      </c>
      <c r="F70" s="26">
        <v>0.06</v>
      </c>
      <c r="G70" s="26">
        <v>0.04</v>
      </c>
    </row>
    <row r="71" spans="2:7" ht="14" customHeight="1" x14ac:dyDescent="0.3">
      <c r="B71" s="4" t="s">
        <v>118</v>
      </c>
      <c r="C71" s="26">
        <v>0.193</v>
      </c>
      <c r="D71" s="26">
        <v>0.14000000000000001</v>
      </c>
      <c r="E71" s="26">
        <v>0.08</v>
      </c>
      <c r="F71" s="26">
        <v>0.04</v>
      </c>
      <c r="G71" s="26">
        <v>0.03</v>
      </c>
    </row>
    <row r="72" spans="2:7" ht="14" customHeight="1" x14ac:dyDescent="0.3">
      <c r="B72" s="4" t="s">
        <v>119</v>
      </c>
      <c r="C72" s="26">
        <v>0.1</v>
      </c>
      <c r="D72" s="26">
        <v>-0.05</v>
      </c>
      <c r="E72" s="26">
        <v>-0.08</v>
      </c>
      <c r="F72" s="26">
        <v>0.03</v>
      </c>
      <c r="G72" s="26">
        <v>0.03</v>
      </c>
    </row>
    <row r="73" spans="2:7" ht="14" customHeight="1" x14ac:dyDescent="0.3">
      <c r="B73" s="4" t="s">
        <v>120</v>
      </c>
      <c r="C73" s="26">
        <v>0.05</v>
      </c>
      <c r="D73" s="26">
        <v>-0.15</v>
      </c>
      <c r="E73" s="26">
        <v>-0.1</v>
      </c>
      <c r="F73" s="26">
        <v>0</v>
      </c>
      <c r="G73" s="26">
        <v>0.03</v>
      </c>
    </row>
    <row r="75" spans="2:7" ht="14" customHeight="1" x14ac:dyDescent="0.3">
      <c r="B75" s="3" t="s">
        <v>87</v>
      </c>
    </row>
    <row r="76" spans="2:7" ht="14" customHeight="1" x14ac:dyDescent="0.3">
      <c r="B76" s="4" t="s">
        <v>80</v>
      </c>
      <c r="C76" s="26">
        <v>0.57499999999999996</v>
      </c>
      <c r="D76" s="26">
        <v>0.56899999999999995</v>
      </c>
      <c r="E76" s="26">
        <v>0.57399999999999995</v>
      </c>
      <c r="F76" s="26">
        <v>0.58499999999999996</v>
      </c>
      <c r="G76" s="26">
        <v>0.59199999999999997</v>
      </c>
    </row>
    <row r="77" spans="2:7" ht="14" customHeight="1" x14ac:dyDescent="0.3">
      <c r="B77" s="4" t="s">
        <v>117</v>
      </c>
      <c r="C77" s="26">
        <v>0.56200000000000006</v>
      </c>
      <c r="D77" s="26">
        <v>0.54</v>
      </c>
      <c r="E77" s="26">
        <v>0.53500000000000003</v>
      </c>
      <c r="F77" s="26">
        <v>0.54300000000000004</v>
      </c>
      <c r="G77" s="26">
        <v>0.55000000000000004</v>
      </c>
    </row>
    <row r="78" spans="2:7" ht="14" customHeight="1" x14ac:dyDescent="0.3">
      <c r="B78" s="4" t="s">
        <v>118</v>
      </c>
      <c r="C78" s="26">
        <v>0.56799999999999995</v>
      </c>
      <c r="D78" s="26">
        <v>0.55600000000000005</v>
      </c>
      <c r="E78" s="26">
        <v>0.55700000000000005</v>
      </c>
      <c r="F78" s="26">
        <v>0.56499999999999995</v>
      </c>
      <c r="G78" s="26">
        <v>0.57199999999999995</v>
      </c>
    </row>
    <row r="79" spans="2:7" ht="14" customHeight="1" x14ac:dyDescent="0.3">
      <c r="B79" s="4" t="s">
        <v>119</v>
      </c>
      <c r="C79" s="26">
        <v>0.59499999999999997</v>
      </c>
      <c r="D79" s="26">
        <v>0.63</v>
      </c>
      <c r="E79" s="26">
        <v>0.65500000000000003</v>
      </c>
      <c r="F79" s="26">
        <v>0.64700000000000002</v>
      </c>
      <c r="G79" s="26">
        <v>0.64</v>
      </c>
    </row>
    <row r="80" spans="2:7" ht="14" customHeight="1" x14ac:dyDescent="0.3">
      <c r="B80" s="4" t="s">
        <v>120</v>
      </c>
      <c r="C80" s="26">
        <v>0.61199999999999999</v>
      </c>
      <c r="D80" s="26">
        <v>0.67300000000000004</v>
      </c>
      <c r="E80" s="26">
        <v>0.70299999999999996</v>
      </c>
      <c r="F80" s="26">
        <v>0.68799999999999994</v>
      </c>
      <c r="G80" s="26">
        <v>0.67300000000000004</v>
      </c>
    </row>
    <row r="82" spans="2:7" ht="14" customHeight="1" x14ac:dyDescent="0.3">
      <c r="B82" s="3" t="s">
        <v>88</v>
      </c>
    </row>
    <row r="83" spans="2:7" ht="14" customHeight="1" x14ac:dyDescent="0.3">
      <c r="B83" s="4" t="s">
        <v>80</v>
      </c>
      <c r="C83" s="26">
        <v>0.22</v>
      </c>
      <c r="D83" s="26">
        <v>0.216</v>
      </c>
      <c r="E83" s="26">
        <v>0.216</v>
      </c>
      <c r="F83" s="26">
        <v>0.22</v>
      </c>
      <c r="G83" s="26">
        <v>0.223</v>
      </c>
    </row>
    <row r="84" spans="2:7" ht="14" customHeight="1" x14ac:dyDescent="0.3">
      <c r="B84" s="4" t="s">
        <v>117</v>
      </c>
      <c r="C84" s="26">
        <v>0.218</v>
      </c>
      <c r="D84" s="26">
        <v>0.21</v>
      </c>
      <c r="E84" s="26">
        <v>0.20499999999999999</v>
      </c>
      <c r="F84" s="26">
        <v>0.20699999999999999</v>
      </c>
      <c r="G84" s="26">
        <v>0.21</v>
      </c>
    </row>
    <row r="85" spans="2:7" ht="14" customHeight="1" x14ac:dyDescent="0.3">
      <c r="B85" s="4" t="s">
        <v>118</v>
      </c>
      <c r="C85" s="26">
        <v>0.219</v>
      </c>
      <c r="D85" s="26">
        <v>0.214</v>
      </c>
      <c r="E85" s="26">
        <v>0.21299999999999999</v>
      </c>
      <c r="F85" s="26">
        <v>0.215</v>
      </c>
      <c r="G85" s="26">
        <v>0.218</v>
      </c>
    </row>
    <row r="86" spans="2:7" ht="14" customHeight="1" x14ac:dyDescent="0.3">
      <c r="B86" s="4" t="s">
        <v>119</v>
      </c>
      <c r="C86" s="26">
        <v>0.22500000000000001</v>
      </c>
      <c r="D86" s="26">
        <v>0.23</v>
      </c>
      <c r="E86" s="26">
        <v>0.23499999999999999</v>
      </c>
      <c r="F86" s="26">
        <v>0.23300000000000001</v>
      </c>
      <c r="G86" s="26">
        <v>0.23</v>
      </c>
    </row>
    <row r="87" spans="2:7" ht="14" customHeight="1" x14ac:dyDescent="0.3">
      <c r="B87" s="4" t="s">
        <v>120</v>
      </c>
      <c r="C87" s="26">
        <v>0.22800000000000001</v>
      </c>
      <c r="D87" s="26">
        <v>0.23699999999999999</v>
      </c>
      <c r="E87" s="26">
        <v>0.23699999999999999</v>
      </c>
      <c r="F87" s="26">
        <v>0.23200000000000001</v>
      </c>
      <c r="G87" s="26">
        <v>0.22700000000000001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121</v>
      </c>
    </row>
    <row r="4" spans="2:8" ht="14" customHeight="1" x14ac:dyDescent="0.3">
      <c r="B4" s="8" t="s">
        <v>122</v>
      </c>
      <c r="C4" s="27" t="s">
        <v>123</v>
      </c>
      <c r="D4" s="27" t="s">
        <v>82</v>
      </c>
      <c r="E4" s="27" t="s">
        <v>83</v>
      </c>
      <c r="F4" s="27" t="s">
        <v>84</v>
      </c>
      <c r="G4" s="27" t="s">
        <v>85</v>
      </c>
      <c r="H4" s="27" t="s">
        <v>86</v>
      </c>
    </row>
    <row r="5" spans="2:8" ht="14" customHeight="1" x14ac:dyDescent="0.3">
      <c r="B5" s="28" t="s">
        <v>124</v>
      </c>
      <c r="C5" s="29">
        <f>C12/C9*365</f>
        <v>111.03836622148542</v>
      </c>
      <c r="D5" s="29">
        <f>CHOOSE('DCF Model'!$D$27,D25,D26,D27,D28,D29)</f>
        <v>111</v>
      </c>
      <c r="E5" s="29">
        <f>CHOOSE('DCF Model'!$D$27,E25,E26,E27,E28,E29)</f>
        <v>111</v>
      </c>
      <c r="F5" s="29">
        <f>CHOOSE('DCF Model'!$D$27,F25,F26,F27,F28,F29)</f>
        <v>111</v>
      </c>
      <c r="G5" s="29">
        <f>CHOOSE('DCF Model'!$D$27,G25,G26,G27,G28,G29)</f>
        <v>111</v>
      </c>
      <c r="H5" s="29">
        <f>CHOOSE('DCF Model'!$D$27,H25,H26,H27,H28,H29)</f>
        <v>111</v>
      </c>
    </row>
    <row r="6" spans="2:8" ht="14" customHeight="1" x14ac:dyDescent="0.3">
      <c r="B6" s="28" t="s">
        <v>125</v>
      </c>
      <c r="C6" s="29">
        <f>C13/C10*365</f>
        <v>305.19645586819905</v>
      </c>
      <c r="D6" s="29">
        <f>CHOOSE('DCF Model'!$D$27,D32,D33,D34,D35,D36)</f>
        <v>305</v>
      </c>
      <c r="E6" s="29">
        <f>CHOOSE('DCF Model'!$D$27,E32,E33,E34,E35,E36)</f>
        <v>305</v>
      </c>
      <c r="F6" s="29">
        <f>CHOOSE('DCF Model'!$D$27,F32,F33,F34,F35,F36)</f>
        <v>305</v>
      </c>
      <c r="G6" s="29">
        <f>CHOOSE('DCF Model'!$D$27,G32,G33,G34,G35,G36)</f>
        <v>305</v>
      </c>
      <c r="H6" s="29">
        <f>CHOOSE('DCF Model'!$D$27,H32,H33,H34,H35,H36)</f>
        <v>305</v>
      </c>
    </row>
    <row r="7" spans="2:8" ht="14" customHeight="1" x14ac:dyDescent="0.3">
      <c r="B7" s="28" t="s">
        <v>126</v>
      </c>
      <c r="C7" s="29">
        <f>C15/C10*365</f>
        <v>41.406825001415385</v>
      </c>
      <c r="D7" s="29">
        <f>CHOOSE('DCF Model'!$D$27,D39,D40,D41,D42,D43)</f>
        <v>41</v>
      </c>
      <c r="E7" s="29">
        <f>CHOOSE('DCF Model'!$D$27,E39,E40,E41,E42,E43)</f>
        <v>41</v>
      </c>
      <c r="F7" s="29">
        <f>CHOOSE('DCF Model'!$D$27,F39,F40,F41,F42,F43)</f>
        <v>41</v>
      </c>
      <c r="G7" s="29">
        <f>CHOOSE('DCF Model'!$D$27,G39,G40,G41,G42,G43)</f>
        <v>41</v>
      </c>
      <c r="H7" s="29">
        <f>CHOOSE('DCF Model'!$D$27,H39,H40,H41,H42,H43)</f>
        <v>41</v>
      </c>
    </row>
    <row r="8" spans="2:8" ht="14" customHeight="1" x14ac:dyDescent="0.3">
      <c r="B8" s="8" t="s">
        <v>127</v>
      </c>
      <c r="C8" s="9"/>
      <c r="D8" s="9"/>
      <c r="E8" s="9"/>
      <c r="F8" s="9"/>
      <c r="G8" s="9"/>
      <c r="H8" s="9"/>
    </row>
    <row r="9" spans="2:8" ht="14" customHeight="1" x14ac:dyDescent="0.3">
      <c r="B9" s="28" t="s">
        <v>34</v>
      </c>
      <c r="C9" s="30">
        <v>118229</v>
      </c>
      <c r="D9" s="30">
        <f>'DCF Model'!C33</f>
        <v>138327.93</v>
      </c>
      <c r="E9" s="30">
        <f>'DCF Model'!D33</f>
        <v>154927.28160000002</v>
      </c>
      <c r="F9" s="30">
        <f>'DCF Model'!E33</f>
        <v>164222.91849600003</v>
      </c>
      <c r="G9" s="30">
        <f>'DCF Model'!F33</f>
        <v>167507.37686592003</v>
      </c>
      <c r="H9" s="30">
        <f>'DCF Model'!G33</f>
        <v>170857.52440323844</v>
      </c>
    </row>
    <row r="10" spans="2:8" ht="14" customHeight="1" x14ac:dyDescent="0.3">
      <c r="B10" s="28" t="s">
        <v>35</v>
      </c>
      <c r="C10" s="30">
        <v>70652</v>
      </c>
      <c r="D10" s="30">
        <f>'DCF Model'!C34</f>
        <v>79538.559749999986</v>
      </c>
      <c r="E10" s="30">
        <f>'DCF Model'!D34</f>
        <v>88153.6232304</v>
      </c>
      <c r="F10" s="30">
        <f>'DCF Model'!E34</f>
        <v>94263.955216704009</v>
      </c>
      <c r="G10" s="30">
        <f>'DCF Model'!F34</f>
        <v>97991.815466563217</v>
      </c>
      <c r="H10" s="30">
        <f>'DCF Model'!G34</f>
        <v>101147.65444671715</v>
      </c>
    </row>
    <row r="11" spans="2:8" ht="14" customHeight="1" x14ac:dyDescent="0.3">
      <c r="B11" s="8" t="s">
        <v>128</v>
      </c>
      <c r="C11" s="9"/>
      <c r="D11" s="9"/>
      <c r="E11" s="9"/>
      <c r="F11" s="9"/>
      <c r="G11" s="9"/>
      <c r="H11" s="9"/>
    </row>
    <row r="12" spans="2:8" ht="14" customHeight="1" x14ac:dyDescent="0.3">
      <c r="B12" s="28" t="s">
        <v>129</v>
      </c>
      <c r="C12" s="30">
        <v>35967</v>
      </c>
      <c r="D12" s="30">
        <f t="shared" ref="D12:H13" si="0">D9*D5/365</f>
        <v>42066.849945205475</v>
      </c>
      <c r="E12" s="30">
        <f t="shared" si="0"/>
        <v>47114.871938630145</v>
      </c>
      <c r="F12" s="30">
        <f t="shared" si="0"/>
        <v>49941.764254947957</v>
      </c>
      <c r="G12" s="30">
        <f t="shared" si="0"/>
        <v>50940.599540046911</v>
      </c>
      <c r="H12" s="30">
        <f t="shared" si="0"/>
        <v>51959.411530847858</v>
      </c>
    </row>
    <row r="13" spans="2:8" ht="14" customHeight="1" x14ac:dyDescent="0.3">
      <c r="B13" s="28" t="s">
        <v>130</v>
      </c>
      <c r="C13" s="30">
        <v>59076</v>
      </c>
      <c r="D13" s="30">
        <f t="shared" si="0"/>
        <v>66463.728010273961</v>
      </c>
      <c r="E13" s="30">
        <f t="shared" si="0"/>
        <v>73662.616671978074</v>
      </c>
      <c r="F13" s="30">
        <f t="shared" si="0"/>
        <v>78768.510523547186</v>
      </c>
      <c r="G13" s="30">
        <f t="shared" si="0"/>
        <v>81883.571828224056</v>
      </c>
      <c r="H13" s="30">
        <f t="shared" si="0"/>
        <v>84520.642756845831</v>
      </c>
    </row>
    <row r="14" spans="2:8" ht="14" customHeight="1" x14ac:dyDescent="0.3">
      <c r="B14" s="28" t="s">
        <v>131</v>
      </c>
      <c r="C14" s="30">
        <f t="shared" ref="C14:H14" si="1">C12+C13</f>
        <v>95043</v>
      </c>
      <c r="D14" s="30">
        <f t="shared" si="1"/>
        <v>108530.57795547944</v>
      </c>
      <c r="E14" s="30">
        <f t="shared" si="1"/>
        <v>120777.48861060821</v>
      </c>
      <c r="F14" s="30">
        <f t="shared" si="1"/>
        <v>128710.27477849514</v>
      </c>
      <c r="G14" s="30">
        <f t="shared" si="1"/>
        <v>132824.17136827097</v>
      </c>
      <c r="H14" s="30">
        <f t="shared" si="1"/>
        <v>136480.0542876937</v>
      </c>
    </row>
    <row r="15" spans="2:8" ht="14" customHeight="1" x14ac:dyDescent="0.3">
      <c r="B15" s="28" t="s">
        <v>132</v>
      </c>
      <c r="C15" s="30">
        <v>8015</v>
      </c>
      <c r="D15" s="30">
        <f>D10*D7/365</f>
        <v>8934.4683554794501</v>
      </c>
      <c r="E15" s="30">
        <f>E10*E7/365</f>
        <v>9902.1878149216427</v>
      </c>
      <c r="F15" s="30">
        <f>F10*F7/365</f>
        <v>10588.553873657162</v>
      </c>
      <c r="G15" s="30">
        <f>G10*G7/365</f>
        <v>11007.29981953176</v>
      </c>
      <c r="H15" s="30">
        <f>H10*H7/365</f>
        <v>11361.791321412064</v>
      </c>
    </row>
    <row r="16" spans="2:8" ht="14" customHeight="1" x14ac:dyDescent="0.3">
      <c r="B16" s="28" t="s">
        <v>133</v>
      </c>
      <c r="C16" s="30">
        <f t="shared" ref="C16:H16" si="2">C15</f>
        <v>8015</v>
      </c>
      <c r="D16" s="30">
        <f t="shared" si="2"/>
        <v>8934.4683554794501</v>
      </c>
      <c r="E16" s="30">
        <f t="shared" si="2"/>
        <v>9902.1878149216427</v>
      </c>
      <c r="F16" s="30">
        <f t="shared" si="2"/>
        <v>10588.553873657162</v>
      </c>
      <c r="G16" s="30">
        <f t="shared" si="2"/>
        <v>11007.29981953176</v>
      </c>
      <c r="H16" s="30">
        <f t="shared" si="2"/>
        <v>11361.791321412064</v>
      </c>
    </row>
    <row r="17" spans="2:8" ht="14" customHeight="1" x14ac:dyDescent="0.3">
      <c r="B17" s="22" t="s">
        <v>134</v>
      </c>
      <c r="C17" s="23"/>
      <c r="D17" s="23"/>
      <c r="E17" s="23"/>
      <c r="F17" s="23"/>
      <c r="G17" s="23"/>
      <c r="H17" s="23"/>
    </row>
    <row r="18" spans="2:8" ht="14" customHeight="1" x14ac:dyDescent="0.3">
      <c r="B18" s="28" t="s">
        <v>135</v>
      </c>
      <c r="C18" s="20">
        <f t="shared" ref="C18:H18" si="3">C14-C16</f>
        <v>87028</v>
      </c>
      <c r="D18" s="20">
        <f t="shared" si="3"/>
        <v>99596.109599999996</v>
      </c>
      <c r="E18" s="20">
        <f t="shared" si="3"/>
        <v>110875.30079568658</v>
      </c>
      <c r="F18" s="20">
        <f t="shared" si="3"/>
        <v>118121.72090483797</v>
      </c>
      <c r="G18" s="20">
        <f t="shared" si="3"/>
        <v>121816.8715487392</v>
      </c>
      <c r="H18" s="20">
        <f t="shared" si="3"/>
        <v>125118.26296628163</v>
      </c>
    </row>
    <row r="19" spans="2:8" ht="14" customHeight="1" x14ac:dyDescent="0.3">
      <c r="B19" s="28" t="s">
        <v>96</v>
      </c>
      <c r="C19" s="31" t="s">
        <v>44</v>
      </c>
      <c r="D19" s="24">
        <f>D18-C18</f>
        <v>12568.109599999996</v>
      </c>
      <c r="E19" s="24">
        <f>E18-D18</f>
        <v>11279.191195686581</v>
      </c>
      <c r="F19" s="24">
        <f>F18-E18</f>
        <v>7246.4201091513969</v>
      </c>
      <c r="G19" s="24">
        <f>G18-F18</f>
        <v>3695.1506439012301</v>
      </c>
      <c r="H19" s="24">
        <f>H18-G18</f>
        <v>3301.3914175424288</v>
      </c>
    </row>
    <row r="22" spans="2:8" ht="14" customHeight="1" x14ac:dyDescent="0.3">
      <c r="B22" s="22" t="s">
        <v>136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82</v>
      </c>
      <c r="E23" s="25" t="s">
        <v>83</v>
      </c>
      <c r="F23" s="25" t="s">
        <v>84</v>
      </c>
      <c r="G23" s="25" t="s">
        <v>85</v>
      </c>
      <c r="H23" s="25" t="s">
        <v>86</v>
      </c>
    </row>
    <row r="24" spans="2:8" ht="14" customHeight="1" x14ac:dyDescent="0.3">
      <c r="B24" s="3" t="s">
        <v>137</v>
      </c>
    </row>
    <row r="25" spans="2:8" ht="14" customHeight="1" x14ac:dyDescent="0.3">
      <c r="B25" s="4" t="s">
        <v>80</v>
      </c>
      <c r="D25" s="32">
        <v>111</v>
      </c>
      <c r="E25" s="32">
        <v>111</v>
      </c>
      <c r="F25" s="32">
        <v>111</v>
      </c>
      <c r="G25" s="32">
        <v>111</v>
      </c>
      <c r="H25" s="32">
        <v>111</v>
      </c>
    </row>
    <row r="26" spans="2:8" ht="14" customHeight="1" x14ac:dyDescent="0.3">
      <c r="B26" s="4" t="s">
        <v>117</v>
      </c>
      <c r="D26" s="32">
        <v>110</v>
      </c>
      <c r="E26" s="32">
        <v>109</v>
      </c>
      <c r="F26" s="32">
        <v>108</v>
      </c>
      <c r="G26" s="32">
        <v>108</v>
      </c>
      <c r="H26" s="32">
        <v>108</v>
      </c>
    </row>
    <row r="27" spans="2:8" ht="14" customHeight="1" x14ac:dyDescent="0.3">
      <c r="B27" s="4" t="s">
        <v>118</v>
      </c>
      <c r="D27" s="32">
        <v>111</v>
      </c>
      <c r="E27" s="32">
        <v>111</v>
      </c>
      <c r="F27" s="32">
        <v>111</v>
      </c>
      <c r="G27" s="32">
        <v>111</v>
      </c>
      <c r="H27" s="32">
        <v>111</v>
      </c>
    </row>
    <row r="28" spans="2:8" ht="14" customHeight="1" x14ac:dyDescent="0.3">
      <c r="B28" s="4" t="s">
        <v>119</v>
      </c>
      <c r="D28" s="32">
        <v>113</v>
      </c>
      <c r="E28" s="32">
        <v>116</v>
      </c>
      <c r="F28" s="32">
        <v>118</v>
      </c>
      <c r="G28" s="32">
        <v>116</v>
      </c>
      <c r="H28" s="32">
        <v>114</v>
      </c>
    </row>
    <row r="29" spans="2:8" ht="14" customHeight="1" x14ac:dyDescent="0.3">
      <c r="B29" s="4" t="s">
        <v>120</v>
      </c>
      <c r="D29" s="32">
        <v>115</v>
      </c>
      <c r="E29" s="32">
        <v>120</v>
      </c>
      <c r="F29" s="32">
        <v>122</v>
      </c>
      <c r="G29" s="32">
        <v>120</v>
      </c>
      <c r="H29" s="32">
        <v>118</v>
      </c>
    </row>
    <row r="31" spans="2:8" ht="14" customHeight="1" x14ac:dyDescent="0.3">
      <c r="B31" s="3" t="s">
        <v>138</v>
      </c>
    </row>
    <row r="32" spans="2:8" ht="14" customHeight="1" x14ac:dyDescent="0.3">
      <c r="B32" s="4" t="s">
        <v>80</v>
      </c>
      <c r="D32" s="32">
        <v>305</v>
      </c>
      <c r="E32" s="32">
        <v>305</v>
      </c>
      <c r="F32" s="32">
        <v>305</v>
      </c>
      <c r="G32" s="32">
        <v>305</v>
      </c>
      <c r="H32" s="32">
        <v>305</v>
      </c>
    </row>
    <row r="33" spans="2:8" ht="14" customHeight="1" x14ac:dyDescent="0.3">
      <c r="B33" s="4" t="s">
        <v>117</v>
      </c>
      <c r="D33" s="32">
        <v>300</v>
      </c>
      <c r="E33" s="32">
        <v>295</v>
      </c>
      <c r="F33" s="32">
        <v>290</v>
      </c>
      <c r="G33" s="32">
        <v>288</v>
      </c>
      <c r="H33" s="32">
        <v>288</v>
      </c>
    </row>
    <row r="34" spans="2:8" ht="14" customHeight="1" x14ac:dyDescent="0.3">
      <c r="B34" s="4" t="s">
        <v>118</v>
      </c>
      <c r="D34" s="32">
        <v>305</v>
      </c>
      <c r="E34" s="32">
        <v>305</v>
      </c>
      <c r="F34" s="32">
        <v>305</v>
      </c>
      <c r="G34" s="32">
        <v>305</v>
      </c>
      <c r="H34" s="32">
        <v>305</v>
      </c>
    </row>
    <row r="35" spans="2:8" ht="14" customHeight="1" x14ac:dyDescent="0.3">
      <c r="B35" s="4" t="s">
        <v>119</v>
      </c>
      <c r="D35" s="32">
        <v>312</v>
      </c>
      <c r="E35" s="32">
        <v>330</v>
      </c>
      <c r="F35" s="32">
        <v>340</v>
      </c>
      <c r="G35" s="32">
        <v>332</v>
      </c>
      <c r="H35" s="32">
        <v>325</v>
      </c>
    </row>
    <row r="36" spans="2:8" ht="14" customHeight="1" x14ac:dyDescent="0.3">
      <c r="B36" s="4" t="s">
        <v>120</v>
      </c>
      <c r="D36" s="32">
        <v>318</v>
      </c>
      <c r="E36" s="32">
        <v>350</v>
      </c>
      <c r="F36" s="32">
        <v>365</v>
      </c>
      <c r="G36" s="32">
        <v>355</v>
      </c>
      <c r="H36" s="32">
        <v>345</v>
      </c>
    </row>
    <row r="38" spans="2:8" ht="14" customHeight="1" x14ac:dyDescent="0.3">
      <c r="B38" s="3" t="s">
        <v>139</v>
      </c>
    </row>
    <row r="39" spans="2:8" ht="14" customHeight="1" x14ac:dyDescent="0.3">
      <c r="B39" s="4" t="s">
        <v>80</v>
      </c>
      <c r="D39" s="32">
        <v>41</v>
      </c>
      <c r="E39" s="32">
        <v>41</v>
      </c>
      <c r="F39" s="32">
        <v>41</v>
      </c>
      <c r="G39" s="32">
        <v>41</v>
      </c>
      <c r="H39" s="32">
        <v>41</v>
      </c>
    </row>
    <row r="40" spans="2:8" ht="14" customHeight="1" x14ac:dyDescent="0.3">
      <c r="B40" s="4" t="s">
        <v>117</v>
      </c>
      <c r="D40" s="32">
        <v>42</v>
      </c>
      <c r="E40" s="32">
        <v>42</v>
      </c>
      <c r="F40" s="32">
        <v>43</v>
      </c>
      <c r="G40" s="32">
        <v>43</v>
      </c>
      <c r="H40" s="32">
        <v>43</v>
      </c>
    </row>
    <row r="41" spans="2:8" ht="14" customHeight="1" x14ac:dyDescent="0.3">
      <c r="B41" s="4" t="s">
        <v>118</v>
      </c>
      <c r="D41" s="32">
        <v>41</v>
      </c>
      <c r="E41" s="32">
        <v>41</v>
      </c>
      <c r="F41" s="32">
        <v>41</v>
      </c>
      <c r="G41" s="32">
        <v>41</v>
      </c>
      <c r="H41" s="32">
        <v>41</v>
      </c>
    </row>
    <row r="42" spans="2:8" ht="14" customHeight="1" x14ac:dyDescent="0.3">
      <c r="B42" s="4" t="s">
        <v>119</v>
      </c>
      <c r="D42" s="32">
        <v>40</v>
      </c>
      <c r="E42" s="32">
        <v>39</v>
      </c>
      <c r="F42" s="32">
        <v>39</v>
      </c>
      <c r="G42" s="32">
        <v>40</v>
      </c>
      <c r="H42" s="32">
        <v>40</v>
      </c>
    </row>
    <row r="43" spans="2:8" ht="14" customHeight="1" x14ac:dyDescent="0.3">
      <c r="B43" s="4" t="s">
        <v>120</v>
      </c>
      <c r="D43" s="32">
        <v>39</v>
      </c>
      <c r="E43" s="32">
        <v>38</v>
      </c>
      <c r="F43" s="32">
        <v>38</v>
      </c>
      <c r="G43" s="32">
        <v>39</v>
      </c>
      <c r="H43" s="32">
        <v>39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140</v>
      </c>
    </row>
    <row r="3" spans="2:17" ht="14" customHeight="1" x14ac:dyDescent="0.3">
      <c r="B3" s="1" t="s">
        <v>141</v>
      </c>
    </row>
    <row r="4" spans="2:17" ht="28" customHeight="1" x14ac:dyDescent="0.3">
      <c r="B4" s="10" t="s">
        <v>3</v>
      </c>
      <c r="C4" s="10" t="s">
        <v>5</v>
      </c>
      <c r="D4" s="10" t="s">
        <v>142</v>
      </c>
      <c r="E4" s="10" t="s">
        <v>143</v>
      </c>
      <c r="F4" s="10" t="s">
        <v>144</v>
      </c>
      <c r="G4" s="10" t="s">
        <v>145</v>
      </c>
      <c r="H4" s="10" t="s">
        <v>146</v>
      </c>
      <c r="I4" s="10" t="s">
        <v>147</v>
      </c>
      <c r="J4" s="10" t="s">
        <v>148</v>
      </c>
      <c r="K4" s="10" t="s">
        <v>149</v>
      </c>
      <c r="L4" s="10" t="s">
        <v>150</v>
      </c>
      <c r="M4" s="10" t="s">
        <v>151</v>
      </c>
      <c r="N4" s="10" t="s">
        <v>152</v>
      </c>
      <c r="O4" s="10" t="s">
        <v>153</v>
      </c>
      <c r="P4" s="10" t="s">
        <v>154</v>
      </c>
      <c r="Q4" s="10" t="s">
        <v>155</v>
      </c>
    </row>
    <row r="5" spans="2:17" ht="14" customHeight="1" x14ac:dyDescent="0.3">
      <c r="B5" s="4" t="s">
        <v>4</v>
      </c>
      <c r="C5" t="s">
        <v>156</v>
      </c>
      <c r="D5" s="33">
        <f>'Executive Summary'!C9*C23/1000000</f>
        <v>560547.3064</v>
      </c>
      <c r="E5" s="33">
        <f>D5+C24</f>
        <v>571025.3064</v>
      </c>
      <c r="F5" s="33">
        <v>118229</v>
      </c>
      <c r="G5" s="33">
        <v>30120</v>
      </c>
      <c r="H5" s="33">
        <v>20819</v>
      </c>
      <c r="I5" s="33">
        <v>17171</v>
      </c>
      <c r="J5" s="34">
        <f t="shared" ref="J5:J11" si="0">IFERROR(E5/G5,"")</f>
        <v>18.958343505976096</v>
      </c>
      <c r="K5" s="34">
        <f t="shared" ref="K5:K11" si="1">IFERROR(E5/F5,"")</f>
        <v>4.8298243781136607</v>
      </c>
      <c r="L5" s="34">
        <f t="shared" ref="L5:L11" si="2">IFERROR(D5/I5,"")</f>
        <v>32.645000663910082</v>
      </c>
      <c r="M5" s="34">
        <f t="shared" ref="M5:M11" si="3">IFERROR(D5/P5,"")</f>
        <v>3.2290335399433165</v>
      </c>
      <c r="N5" s="35">
        <f t="shared" ref="N5:N11" si="4">IFERROR(H5/F5,"")</f>
        <v>0.17609046849757673</v>
      </c>
      <c r="O5" s="35">
        <f t="shared" ref="O5:O11" si="5">IFERROR(I5/P5,"")</f>
        <v>9.8913569437083806E-2</v>
      </c>
      <c r="P5" s="33">
        <v>173596</v>
      </c>
    </row>
    <row r="6" spans="2:17" ht="14" customHeight="1" x14ac:dyDescent="0.3">
      <c r="B6" s="4" t="s">
        <v>157</v>
      </c>
      <c r="C6" t="s">
        <v>158</v>
      </c>
      <c r="D6" s="33">
        <v>1232468</v>
      </c>
      <c r="E6" s="33">
        <v>1784260</v>
      </c>
      <c r="F6" s="33">
        <v>2058832</v>
      </c>
      <c r="G6" s="33">
        <v>305264</v>
      </c>
      <c r="H6" s="33">
        <v>125468</v>
      </c>
      <c r="I6" s="33">
        <v>69162</v>
      </c>
      <c r="J6" s="34">
        <f t="shared" si="0"/>
        <v>5.8449735311075006</v>
      </c>
      <c r="K6" s="34">
        <f t="shared" si="1"/>
        <v>0.86663700583631886</v>
      </c>
      <c r="L6" s="34">
        <f t="shared" si="2"/>
        <v>17.820016772215958</v>
      </c>
      <c r="M6" s="34">
        <f t="shared" si="3"/>
        <v>0.82987436756207889</v>
      </c>
      <c r="N6" s="35">
        <f t="shared" si="4"/>
        <v>6.0941349269877293E-2</v>
      </c>
      <c r="O6" s="35">
        <f t="shared" si="5"/>
        <v>4.6569785997955727E-2</v>
      </c>
      <c r="P6" s="33">
        <v>1485126</v>
      </c>
    </row>
    <row r="7" spans="2:17" ht="14" customHeight="1" x14ac:dyDescent="0.3">
      <c r="B7" s="4" t="s">
        <v>159</v>
      </c>
      <c r="C7" t="s">
        <v>160</v>
      </c>
      <c r="D7" s="33">
        <v>353313</v>
      </c>
      <c r="E7" s="33">
        <v>330001</v>
      </c>
      <c r="F7" s="33">
        <v>311402</v>
      </c>
      <c r="G7" s="33">
        <v>58337</v>
      </c>
      <c r="H7" s="33">
        <v>34131</v>
      </c>
      <c r="I7" s="33">
        <v>29616</v>
      </c>
      <c r="J7" s="34">
        <f t="shared" si="0"/>
        <v>5.6568044294358639</v>
      </c>
      <c r="K7" s="34">
        <f t="shared" si="1"/>
        <v>1.0597266555770355</v>
      </c>
      <c r="L7" s="34">
        <f t="shared" si="2"/>
        <v>11.929801458670989</v>
      </c>
      <c r="M7" s="34">
        <f t="shared" si="3"/>
        <v>0.71757621301054086</v>
      </c>
      <c r="N7" s="35">
        <f t="shared" si="4"/>
        <v>0.10960430568846699</v>
      </c>
      <c r="O7" s="35">
        <f t="shared" si="5"/>
        <v>6.0149887279891137E-2</v>
      </c>
      <c r="P7" s="33">
        <v>492370</v>
      </c>
    </row>
    <row r="8" spans="2:17" ht="14" customHeight="1" x14ac:dyDescent="0.3">
      <c r="B8" s="4" t="s">
        <v>161</v>
      </c>
      <c r="C8" t="s">
        <v>162</v>
      </c>
      <c r="D8" s="33">
        <v>5394226</v>
      </c>
      <c r="E8" s="33">
        <v>5291082</v>
      </c>
      <c r="F8" s="33">
        <v>416201</v>
      </c>
      <c r="G8" s="33">
        <v>128264</v>
      </c>
      <c r="H8" s="33">
        <v>62028</v>
      </c>
      <c r="I8" s="33">
        <v>63713</v>
      </c>
      <c r="J8" s="34">
        <f t="shared" si="0"/>
        <v>41.251496912617725</v>
      </c>
      <c r="K8" s="34">
        <f t="shared" si="1"/>
        <v>12.712804630454997</v>
      </c>
      <c r="L8" s="34">
        <f t="shared" si="2"/>
        <v>84.664448385729756</v>
      </c>
      <c r="M8" s="34">
        <f t="shared" si="3"/>
        <v>9.8064177169856261</v>
      </c>
      <c r="N8" s="35">
        <f t="shared" si="4"/>
        <v>0.14903376013032166</v>
      </c>
      <c r="O8" s="35">
        <f t="shared" si="5"/>
        <v>0.11582686598639085</v>
      </c>
      <c r="P8" s="33">
        <v>550071</v>
      </c>
    </row>
    <row r="9" spans="2:17" ht="14" customHeight="1" x14ac:dyDescent="0.3">
      <c r="B9" s="4" t="s">
        <v>163</v>
      </c>
      <c r="C9" t="s">
        <v>164</v>
      </c>
      <c r="D9" s="33">
        <v>1043311</v>
      </c>
      <c r="E9" s="33">
        <v>998832</v>
      </c>
      <c r="F9" s="33">
        <v>237029</v>
      </c>
      <c r="G9" s="33">
        <v>56193</v>
      </c>
      <c r="H9" s="33">
        <v>47386</v>
      </c>
      <c r="I9" s="33">
        <v>33345</v>
      </c>
      <c r="J9" s="34">
        <f t="shared" si="0"/>
        <v>17.775025359030483</v>
      </c>
      <c r="K9" s="34">
        <f t="shared" si="1"/>
        <v>4.2139653797636578</v>
      </c>
      <c r="L9" s="34">
        <f t="shared" si="2"/>
        <v>31.288379067326435</v>
      </c>
      <c r="M9" s="34">
        <f t="shared" si="3"/>
        <v>4.5816525042267751</v>
      </c>
      <c r="N9" s="35">
        <f t="shared" si="4"/>
        <v>0.19991646591767251</v>
      </c>
      <c r="O9" s="35">
        <f t="shared" si="5"/>
        <v>0.14643304130162704</v>
      </c>
      <c r="P9" s="33">
        <v>227715</v>
      </c>
    </row>
    <row r="10" spans="2:17" ht="14" customHeight="1" x14ac:dyDescent="0.3">
      <c r="B10" s="4" t="s">
        <v>165</v>
      </c>
      <c r="C10" t="s">
        <v>166</v>
      </c>
      <c r="D10" s="33">
        <v>459134</v>
      </c>
      <c r="E10" s="33">
        <v>446416</v>
      </c>
      <c r="F10" s="33">
        <v>411966</v>
      </c>
      <c r="G10" s="33">
        <v>53606</v>
      </c>
      <c r="H10" s="33">
        <v>36376</v>
      </c>
      <c r="I10" s="33">
        <v>36226</v>
      </c>
      <c r="J10" s="34">
        <f t="shared" si="0"/>
        <v>8.3277245084505473</v>
      </c>
      <c r="K10" s="34">
        <f t="shared" si="1"/>
        <v>1.0836234058150429</v>
      </c>
      <c r="L10" s="34">
        <f t="shared" si="2"/>
        <v>12.674156683045327</v>
      </c>
      <c r="M10" s="34">
        <f t="shared" si="3"/>
        <v>1.216049284620804</v>
      </c>
      <c r="N10" s="35">
        <f t="shared" si="4"/>
        <v>8.829854890937601E-2</v>
      </c>
      <c r="O10" s="35">
        <f t="shared" si="5"/>
        <v>9.5947155698931572E-2</v>
      </c>
      <c r="P10" s="33">
        <v>377562</v>
      </c>
    </row>
    <row r="11" spans="2:17" ht="14" customHeight="1" x14ac:dyDescent="0.3">
      <c r="B11" s="4" t="s">
        <v>167</v>
      </c>
      <c r="C11" t="s">
        <v>168</v>
      </c>
      <c r="D11" s="33">
        <v>554085</v>
      </c>
      <c r="E11" s="33">
        <v>734902</v>
      </c>
      <c r="F11" s="33">
        <v>808447</v>
      </c>
      <c r="G11" s="33">
        <v>143585</v>
      </c>
      <c r="H11" s="33">
        <v>58883</v>
      </c>
      <c r="I11" s="33">
        <v>7468</v>
      </c>
      <c r="J11" s="34">
        <f t="shared" si="0"/>
        <v>5.1182365846014557</v>
      </c>
      <c r="K11" s="34">
        <f t="shared" si="1"/>
        <v>0.90902928701572272</v>
      </c>
      <c r="L11" s="34">
        <f t="shared" si="2"/>
        <v>74.194563470808788</v>
      </c>
      <c r="M11" s="34">
        <f t="shared" si="3"/>
        <v>0.74589283406564999</v>
      </c>
      <c r="N11" s="35">
        <f t="shared" si="4"/>
        <v>7.2834706542296526E-2</v>
      </c>
      <c r="O11" s="35">
        <f t="shared" si="5"/>
        <v>1.005320065477729E-2</v>
      </c>
      <c r="P11" s="33">
        <v>742848</v>
      </c>
    </row>
    <row r="14" spans="2:17" ht="14" customHeight="1" x14ac:dyDescent="0.3">
      <c r="B14" s="3" t="s">
        <v>169</v>
      </c>
    </row>
    <row r="15" spans="2:17" ht="14" customHeight="1" x14ac:dyDescent="0.3">
      <c r="B15" s="4" t="s">
        <v>170</v>
      </c>
      <c r="D15" s="34">
        <f t="shared" ref="D15:I15" si="6">PERCENTILE(J6:J11,0.25)</f>
        <v>5.7038467048537731</v>
      </c>
      <c r="E15" s="34">
        <f t="shared" si="6"/>
        <v>0.94670362915605089</v>
      </c>
      <c r="F15" s="34">
        <f t="shared" si="6"/>
        <v>13.960621705337985</v>
      </c>
      <c r="G15" s="34">
        <f t="shared" si="6"/>
        <v>0.76688821743975721</v>
      </c>
      <c r="H15" s="35">
        <f t="shared" si="6"/>
        <v>7.6700667134066397E-2</v>
      </c>
      <c r="I15" s="35">
        <f t="shared" si="6"/>
        <v>4.9964811318439578E-2</v>
      </c>
    </row>
    <row r="16" spans="2:17" ht="14" customHeight="1" x14ac:dyDescent="0.3">
      <c r="B16" s="4" t="s">
        <v>171</v>
      </c>
      <c r="D16" s="34">
        <f t="shared" ref="D16:I16" si="7">MEDIAN(J6:J11)</f>
        <v>7.086349019779024</v>
      </c>
      <c r="E16" s="34">
        <f t="shared" si="7"/>
        <v>1.0716750306960392</v>
      </c>
      <c r="F16" s="34">
        <f t="shared" si="7"/>
        <v>24.554197919771198</v>
      </c>
      <c r="G16" s="34">
        <f t="shared" si="7"/>
        <v>1.0229618260914415</v>
      </c>
      <c r="H16" s="35">
        <f t="shared" si="7"/>
        <v>9.8951427298921507E-2</v>
      </c>
      <c r="I16" s="35">
        <f t="shared" si="7"/>
        <v>7.8048521489411354E-2</v>
      </c>
    </row>
    <row r="17" spans="2:9" ht="14" customHeight="1" x14ac:dyDescent="0.3">
      <c r="B17" s="4" t="s">
        <v>172</v>
      </c>
      <c r="D17" s="34">
        <f t="shared" ref="D17:I17" si="8">PERCENTILE(J6:J11,0.75)</f>
        <v>15.413200146385499</v>
      </c>
      <c r="E17" s="34">
        <f t="shared" si="8"/>
        <v>3.4313798862765044</v>
      </c>
      <c r="F17" s="34">
        <f t="shared" si="8"/>
        <v>63.468017369938195</v>
      </c>
      <c r="G17" s="34">
        <f t="shared" si="8"/>
        <v>3.7402516993252819</v>
      </c>
      <c r="H17" s="35">
        <f t="shared" si="8"/>
        <v>0.139176396519858</v>
      </c>
      <c r="I17" s="35">
        <f t="shared" si="8"/>
        <v>0.11085693841452603</v>
      </c>
    </row>
    <row r="19" spans="2:9" ht="14" customHeight="1" x14ac:dyDescent="0.3">
      <c r="B19" s="22" t="s">
        <v>173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174</v>
      </c>
    </row>
    <row r="21" spans="2:9" ht="14" customHeight="1" x14ac:dyDescent="0.3">
      <c r="B21" s="4" t="s">
        <v>175</v>
      </c>
      <c r="C21" s="5">
        <v>30120</v>
      </c>
    </row>
    <row r="22" spans="2:9" ht="14" customHeight="1" x14ac:dyDescent="0.3">
      <c r="B22" s="4" t="s">
        <v>176</v>
      </c>
      <c r="C22" s="5">
        <v>17171</v>
      </c>
    </row>
    <row r="23" spans="2:9" ht="14" customHeight="1" x14ac:dyDescent="0.3">
      <c r="B23" s="4" t="s">
        <v>177</v>
      </c>
      <c r="C23" s="15">
        <v>182886560</v>
      </c>
    </row>
    <row r="24" spans="2:9" ht="14" customHeight="1" x14ac:dyDescent="0.3">
      <c r="B24" s="4" t="s">
        <v>69</v>
      </c>
      <c r="C24" s="5">
        <v>10478</v>
      </c>
    </row>
    <row r="26" spans="2:9" ht="14" customHeight="1" x14ac:dyDescent="0.3">
      <c r="B26" s="3" t="s">
        <v>178</v>
      </c>
    </row>
    <row r="27" spans="2:9" ht="14" customHeight="1" x14ac:dyDescent="0.3">
      <c r="B27" s="4" t="s">
        <v>179</v>
      </c>
      <c r="C27" s="24">
        <f>ROUND((C21*D16-C24)*1000000/C23,0)</f>
        <v>1110</v>
      </c>
    </row>
    <row r="28" spans="2:9" ht="14" customHeight="1" x14ac:dyDescent="0.3">
      <c r="B28" s="4" t="s">
        <v>180</v>
      </c>
      <c r="C28" s="24">
        <f>ROUND(C22*F16*1000000/C23,0)</f>
        <v>2305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181</v>
      </c>
    </row>
    <row r="3" spans="2:9" ht="14" customHeight="1" x14ac:dyDescent="0.3">
      <c r="B3" s="4" t="s">
        <v>182</v>
      </c>
      <c r="C3" s="16">
        <f>'DCF Model'!C26</f>
        <v>0.10940606655541378</v>
      </c>
      <c r="E3" s="4" t="s">
        <v>183</v>
      </c>
      <c r="F3" s="16">
        <f>'DCF Model'!C13</f>
        <v>0.01</v>
      </c>
      <c r="H3" s="4" t="s">
        <v>184</v>
      </c>
      <c r="I3" s="14">
        <f>'DCF Model'!C14</f>
        <v>9</v>
      </c>
    </row>
    <row r="5" spans="2:9" ht="14" customHeight="1" x14ac:dyDescent="0.3">
      <c r="B5" s="3" t="s">
        <v>185</v>
      </c>
    </row>
    <row r="6" spans="2:9" ht="14" customHeight="1" x14ac:dyDescent="0.3">
      <c r="B6" s="36" t="s">
        <v>186</v>
      </c>
      <c r="C6" s="37">
        <f>$F$3-0.0075</f>
        <v>2.5000000000000005E-3</v>
      </c>
      <c r="D6" s="37">
        <f>$F$3-0.005</f>
        <v>5.0000000000000001E-3</v>
      </c>
      <c r="E6" s="37">
        <f>$F$3-0.0025</f>
        <v>7.4999999999999997E-3</v>
      </c>
      <c r="F6" s="37">
        <f>$F$3</f>
        <v>0.01</v>
      </c>
      <c r="G6" s="37">
        <f>$F$3+0.0025</f>
        <v>1.2500000000000001E-2</v>
      </c>
      <c r="H6" s="37">
        <f>$F$3+0.005</f>
        <v>1.4999999999999999E-2</v>
      </c>
      <c r="I6" s="37">
        <f>$F$3+0.0075</f>
        <v>1.7500000000000002E-2</v>
      </c>
    </row>
    <row r="7" spans="2:9" ht="13.5" customHeight="1" x14ac:dyDescent="0.25">
      <c r="B7" s="35">
        <f>$C$3-0.015</f>
        <v>9.4406066555413781E-2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976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998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1022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1047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1073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1101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1131</v>
      </c>
    </row>
    <row r="8" spans="2:9" ht="13.5" customHeight="1" x14ac:dyDescent="0.25">
      <c r="B8" s="35">
        <f>$C$3-0.01</f>
        <v>9.9406066555413786E-2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919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938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959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981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1004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1028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1054</v>
      </c>
    </row>
    <row r="9" spans="2:9" ht="13.5" customHeight="1" x14ac:dyDescent="0.25">
      <c r="B9" s="35">
        <f>$C$3-0.005</f>
        <v>0.10440606655541378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867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884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902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922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942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963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986</v>
      </c>
    </row>
    <row r="10" spans="2:9" ht="13.5" customHeight="1" x14ac:dyDescent="0.25">
      <c r="B10" s="35">
        <f>$C$3</f>
        <v>0.10940606655541378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820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835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852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869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887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905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925</v>
      </c>
    </row>
    <row r="11" spans="2:9" ht="13.5" customHeight="1" x14ac:dyDescent="0.25">
      <c r="B11" s="35">
        <f>$C$3+0.005</f>
        <v>0.11440606655541379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777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791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806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821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837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853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871</v>
      </c>
    </row>
    <row r="12" spans="2:9" ht="13.5" customHeight="1" x14ac:dyDescent="0.25">
      <c r="B12" s="35">
        <f>$C$3+0.01</f>
        <v>0.11940606655541378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738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751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764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777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792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806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822</v>
      </c>
    </row>
    <row r="13" spans="2:9" ht="13.5" customHeight="1" x14ac:dyDescent="0.25">
      <c r="B13" s="35">
        <f>$C$3+0.015</f>
        <v>0.12440606655541378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703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714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725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738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750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764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778</v>
      </c>
    </row>
    <row r="16" spans="2:9" ht="14" customHeight="1" x14ac:dyDescent="0.3">
      <c r="B16" s="3" t="s">
        <v>187</v>
      </c>
    </row>
    <row r="17" spans="2:9" ht="14" customHeight="1" x14ac:dyDescent="0.3">
      <c r="B17" s="36" t="s">
        <v>188</v>
      </c>
      <c r="C17" s="38">
        <f>$I$3-3</f>
        <v>6</v>
      </c>
      <c r="D17" s="38">
        <f>$I$3-2</f>
        <v>7</v>
      </c>
      <c r="E17" s="38">
        <f>$I$3-1</f>
        <v>8</v>
      </c>
      <c r="F17" s="38">
        <f>$I$3</f>
        <v>9</v>
      </c>
      <c r="G17" s="38">
        <f>$I$3+1</f>
        <v>10</v>
      </c>
      <c r="H17" s="38">
        <f>$I$3+2</f>
        <v>11</v>
      </c>
      <c r="I17" s="38">
        <f>$I$3+3</f>
        <v>12</v>
      </c>
    </row>
    <row r="18" spans="2:9" ht="13.5" customHeight="1" x14ac:dyDescent="0.25">
      <c r="B18" s="35">
        <f>$C$3-0.015</f>
        <v>9.4406066555413781E-2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1207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1366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1526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1685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1845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2004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2164</v>
      </c>
    </row>
    <row r="19" spans="2:9" ht="13.5" customHeight="1" x14ac:dyDescent="0.25">
      <c r="B19" s="35">
        <f>$C$3-0.01</f>
        <v>9.9406066555413786E-2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1181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1337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1493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1648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1804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1960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2116</v>
      </c>
    </row>
    <row r="20" spans="2:9" ht="13.5" customHeight="1" x14ac:dyDescent="0.25">
      <c r="B20" s="35">
        <f>$C$3-0.005</f>
        <v>0.10440606655541378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1155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1308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1460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1613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1765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1917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2070</v>
      </c>
    </row>
    <row r="21" spans="2:9" ht="13.5" customHeight="1" x14ac:dyDescent="0.25">
      <c r="B21" s="35">
        <f>$C$3</f>
        <v>0.10940606655541378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1131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1280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1429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1578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1727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1876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2025</v>
      </c>
    </row>
    <row r="22" spans="2:9" ht="13.5" customHeight="1" x14ac:dyDescent="0.25">
      <c r="B22" s="35">
        <f>$C$3+0.005</f>
        <v>0.11440606655541379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1107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1252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1398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1544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1689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1835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1981</v>
      </c>
    </row>
    <row r="23" spans="2:9" ht="13.5" customHeight="1" x14ac:dyDescent="0.25">
      <c r="B23" s="35">
        <f>$C$3+0.01</f>
        <v>0.11940606655541378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1083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1225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1368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1510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1653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1795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1938</v>
      </c>
    </row>
    <row r="24" spans="2:9" ht="13.5" customHeight="1" x14ac:dyDescent="0.25">
      <c r="B24" s="35">
        <f>$C$3+0.015</f>
        <v>0.12440606655541378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1060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1199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1339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1478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1617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1757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1896</v>
      </c>
    </row>
    <row r="26" spans="2:9" ht="14" customHeight="1" x14ac:dyDescent="0.3">
      <c r="B26" s="53" t="s">
        <v>189</v>
      </c>
      <c r="C26" s="52"/>
      <c r="D26" s="52"/>
      <c r="E26" s="52"/>
      <c r="F26" s="52"/>
      <c r="G26" s="52"/>
      <c r="H26" s="52"/>
      <c r="I26" s="52"/>
    </row>
  </sheetData>
  <mergeCells count="1">
    <mergeCell ref="B26:I26"/>
  </mergeCells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G40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190</v>
      </c>
    </row>
    <row r="4" spans="2:7" ht="14" customHeight="1" x14ac:dyDescent="0.3">
      <c r="B4" s="10" t="s">
        <v>191</v>
      </c>
      <c r="C4" s="10" t="s">
        <v>192</v>
      </c>
      <c r="D4" s="10" t="s">
        <v>193</v>
      </c>
      <c r="E4" s="10" t="s">
        <v>194</v>
      </c>
      <c r="F4" s="10" t="s">
        <v>195</v>
      </c>
      <c r="G4" s="10" t="s">
        <v>196</v>
      </c>
    </row>
    <row r="5" spans="2:7" x14ac:dyDescent="0.2">
      <c r="B5" t="s">
        <v>197</v>
      </c>
      <c r="C5" t="s">
        <v>198</v>
      </c>
      <c r="D5" t="s">
        <v>199</v>
      </c>
      <c r="E5" t="s">
        <v>200</v>
      </c>
      <c r="F5" t="s">
        <v>198</v>
      </c>
      <c r="G5" t="s">
        <v>201</v>
      </c>
    </row>
    <row r="6" spans="2:7" ht="13.5" x14ac:dyDescent="0.25">
      <c r="B6" s="39" t="s">
        <v>197</v>
      </c>
      <c r="C6" s="39" t="s">
        <v>202</v>
      </c>
      <c r="D6" s="39" t="s">
        <v>203</v>
      </c>
      <c r="E6" s="39" t="s">
        <v>204</v>
      </c>
      <c r="F6" s="39" t="s">
        <v>198</v>
      </c>
      <c r="G6" s="39" t="s">
        <v>205</v>
      </c>
    </row>
    <row r="7" spans="2:7" ht="13.5" x14ac:dyDescent="0.25">
      <c r="B7" s="39" t="s">
        <v>197</v>
      </c>
      <c r="C7" s="39" t="s">
        <v>206</v>
      </c>
      <c r="D7" s="39" t="s">
        <v>207</v>
      </c>
      <c r="E7" s="39" t="s">
        <v>208</v>
      </c>
      <c r="F7" s="39" t="s">
        <v>198</v>
      </c>
      <c r="G7" s="39" t="s">
        <v>205</v>
      </c>
    </row>
    <row r="8" spans="2:7" ht="13.5" x14ac:dyDescent="0.25">
      <c r="B8" s="39" t="s">
        <v>197</v>
      </c>
      <c r="C8" s="39" t="s">
        <v>209</v>
      </c>
      <c r="D8" s="39" t="s">
        <v>210</v>
      </c>
      <c r="E8" s="39" t="s">
        <v>211</v>
      </c>
      <c r="F8" s="39" t="s">
        <v>198</v>
      </c>
      <c r="G8" s="39" t="s">
        <v>205</v>
      </c>
    </row>
    <row r="12" spans="2:7" ht="14" customHeight="1" x14ac:dyDescent="0.3">
      <c r="B12" s="8" t="s">
        <v>212</v>
      </c>
    </row>
    <row r="13" spans="2:7" ht="14" customHeight="1" x14ac:dyDescent="0.3">
      <c r="B13" s="10" t="s">
        <v>213</v>
      </c>
      <c r="C13" s="10" t="s">
        <v>214</v>
      </c>
    </row>
    <row r="14" spans="2:7" ht="14" customHeight="1" x14ac:dyDescent="0.3">
      <c r="B14" s="4" t="s">
        <v>215</v>
      </c>
      <c r="C14" t="s">
        <v>216</v>
      </c>
    </row>
    <row r="15" spans="2:7" ht="14" customHeight="1" x14ac:dyDescent="0.3">
      <c r="B15" s="4" t="s">
        <v>217</v>
      </c>
      <c r="C15" t="s">
        <v>218</v>
      </c>
    </row>
    <row r="16" spans="2:7" ht="14" customHeight="1" x14ac:dyDescent="0.3">
      <c r="B16" s="4" t="s">
        <v>219</v>
      </c>
      <c r="C16" t="s">
        <v>220</v>
      </c>
    </row>
    <row r="17" spans="2:3" ht="14" customHeight="1" x14ac:dyDescent="0.3">
      <c r="B17" s="4" t="s">
        <v>221</v>
      </c>
      <c r="C17" t="s">
        <v>4</v>
      </c>
    </row>
    <row r="18" spans="2:3" ht="14" customHeight="1" x14ac:dyDescent="0.3">
      <c r="B18" s="4" t="s">
        <v>222</v>
      </c>
      <c r="C18" t="s">
        <v>197</v>
      </c>
    </row>
    <row r="19" spans="2:3" ht="14" customHeight="1" x14ac:dyDescent="0.3">
      <c r="B19" s="4" t="s">
        <v>223</v>
      </c>
      <c r="C19" t="s">
        <v>224</v>
      </c>
    </row>
    <row r="20" spans="2:3" ht="14" customHeight="1" x14ac:dyDescent="0.3">
      <c r="B20" s="4" t="s">
        <v>225</v>
      </c>
      <c r="C20" t="s">
        <v>226</v>
      </c>
    </row>
    <row r="21" spans="2:3" ht="14" customHeight="1" x14ac:dyDescent="0.3">
      <c r="B21" s="4" t="s">
        <v>227</v>
      </c>
      <c r="C21" t="s">
        <v>228</v>
      </c>
    </row>
    <row r="22" spans="2:3" ht="14" customHeight="1" x14ac:dyDescent="0.3">
      <c r="B22" s="4" t="s">
        <v>229</v>
      </c>
      <c r="C22" t="s">
        <v>230</v>
      </c>
    </row>
    <row r="23" spans="2:3" ht="14" customHeight="1" x14ac:dyDescent="0.3">
      <c r="B23" s="4" t="s">
        <v>231</v>
      </c>
      <c r="C23" t="s">
        <v>232</v>
      </c>
    </row>
    <row r="24" spans="2:3" ht="14" customHeight="1" x14ac:dyDescent="0.3">
      <c r="B24" s="4" t="s">
        <v>233</v>
      </c>
      <c r="C24" t="s">
        <v>228</v>
      </c>
    </row>
    <row r="25" spans="2:3" ht="14" customHeight="1" x14ac:dyDescent="0.3">
      <c r="B25" s="4" t="s">
        <v>234</v>
      </c>
      <c r="C25" t="s">
        <v>224</v>
      </c>
    </row>
    <row r="26" spans="2:3" ht="14" customHeight="1" x14ac:dyDescent="0.3">
      <c r="B26" s="4" t="s">
        <v>235</v>
      </c>
      <c r="C26" t="s">
        <v>236</v>
      </c>
    </row>
    <row r="27" spans="2:3" ht="14" customHeight="1" x14ac:dyDescent="0.3">
      <c r="B27" s="4" t="s">
        <v>237</v>
      </c>
      <c r="C27" t="s">
        <v>238</v>
      </c>
    </row>
    <row r="28" spans="2:3" ht="14" customHeight="1" x14ac:dyDescent="0.3">
      <c r="B28" s="4" t="s">
        <v>239</v>
      </c>
      <c r="C28" t="s">
        <v>216</v>
      </c>
    </row>
    <row r="29" spans="2:3" ht="14" customHeight="1" x14ac:dyDescent="0.3">
      <c r="B29" s="4" t="s">
        <v>240</v>
      </c>
      <c r="C29" t="s">
        <v>241</v>
      </c>
    </row>
    <row r="30" spans="2:3" ht="14" customHeight="1" x14ac:dyDescent="0.3">
      <c r="B30" s="4" t="s">
        <v>242</v>
      </c>
      <c r="C30" t="s">
        <v>243</v>
      </c>
    </row>
    <row r="31" spans="2:3" ht="14" customHeight="1" x14ac:dyDescent="0.3">
      <c r="B31" s="4" t="s">
        <v>244</v>
      </c>
      <c r="C31" t="s">
        <v>245</v>
      </c>
    </row>
    <row r="32" spans="2:3" ht="14" customHeight="1" x14ac:dyDescent="0.3">
      <c r="B32" s="4" t="s">
        <v>246</v>
      </c>
      <c r="C32" t="s">
        <v>247</v>
      </c>
    </row>
    <row r="33" spans="2:3" ht="14" customHeight="1" x14ac:dyDescent="0.3">
      <c r="B33" s="4" t="s">
        <v>248</v>
      </c>
      <c r="C33" t="s">
        <v>249</v>
      </c>
    </row>
    <row r="34" spans="2:3" ht="14" customHeight="1" x14ac:dyDescent="0.3">
      <c r="B34" s="4" t="s">
        <v>250</v>
      </c>
      <c r="C34" t="s">
        <v>251</v>
      </c>
    </row>
    <row r="35" spans="2:3" ht="14" customHeight="1" x14ac:dyDescent="0.3">
      <c r="B35" s="4" t="s">
        <v>252</v>
      </c>
      <c r="C35" t="s">
        <v>253</v>
      </c>
    </row>
    <row r="36" spans="2:3" ht="14" customHeight="1" x14ac:dyDescent="0.3">
      <c r="B36" s="4" t="s">
        <v>254</v>
      </c>
      <c r="C36" t="s">
        <v>255</v>
      </c>
    </row>
    <row r="37" spans="2:3" ht="14" customHeight="1" x14ac:dyDescent="0.3">
      <c r="B37" s="4" t="s">
        <v>256</v>
      </c>
      <c r="C37" t="s">
        <v>257</v>
      </c>
    </row>
    <row r="38" spans="2:3" ht="14" customHeight="1" x14ac:dyDescent="0.3">
      <c r="B38" s="4" t="s">
        <v>258</v>
      </c>
      <c r="C38" t="s">
        <v>259</v>
      </c>
    </row>
    <row r="39" spans="2:3" ht="14" customHeight="1" x14ac:dyDescent="0.3">
      <c r="B39" s="4" t="s">
        <v>260</v>
      </c>
      <c r="C39" t="s">
        <v>261</v>
      </c>
    </row>
    <row r="40" spans="2:3" ht="14" customHeight="1" x14ac:dyDescent="0.3">
      <c r="B40" s="4" t="s">
        <v>262</v>
      </c>
      <c r="C40" t="s">
        <v>156</v>
      </c>
    </row>
  </sheetData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2:F56"/>
  <sheetViews>
    <sheetView workbookViewId="0"/>
  </sheetViews>
  <sheetFormatPr defaultRowHeight="13" x14ac:dyDescent="0.2"/>
  <cols>
    <col min="1" max="1" width="3" customWidth="1"/>
    <col min="2" max="2" width="36" customWidth="1"/>
    <col min="3" max="5" width="16" customWidth="1"/>
    <col min="6" max="6" width="46" customWidth="1"/>
  </cols>
  <sheetData>
    <row r="2" spans="2:6" ht="18" x14ac:dyDescent="0.4">
      <c r="B2" s="2" t="s">
        <v>263</v>
      </c>
    </row>
    <row r="3" spans="2:6" ht="14" x14ac:dyDescent="0.3">
      <c r="B3" s="40" t="s">
        <v>264</v>
      </c>
    </row>
    <row r="4" spans="2:6" ht="14" x14ac:dyDescent="0.3">
      <c r="B4" s="40" t="s">
        <v>265</v>
      </c>
    </row>
    <row r="6" spans="2:6" ht="14" x14ac:dyDescent="0.3">
      <c r="B6" s="3" t="s">
        <v>266</v>
      </c>
    </row>
    <row r="7" spans="2:6" ht="14" x14ac:dyDescent="0.3">
      <c r="B7" s="41" t="s">
        <v>267</v>
      </c>
      <c r="C7" s="41" t="s">
        <v>31</v>
      </c>
      <c r="D7" s="41" t="s">
        <v>32</v>
      </c>
      <c r="E7" s="41" t="s">
        <v>268</v>
      </c>
      <c r="F7" s="41" t="s">
        <v>155</v>
      </c>
    </row>
    <row r="8" spans="2:6" ht="13.5" x14ac:dyDescent="0.25">
      <c r="B8" s="39" t="s">
        <v>269</v>
      </c>
      <c r="C8" s="42">
        <v>52093</v>
      </c>
      <c r="D8" s="42">
        <v>61418</v>
      </c>
      <c r="E8" s="42">
        <v>18082</v>
      </c>
    </row>
    <row r="9" spans="2:6" ht="13.5" x14ac:dyDescent="0.25">
      <c r="B9" s="39" t="s">
        <v>270</v>
      </c>
      <c r="C9" s="42">
        <v>13619</v>
      </c>
      <c r="D9" s="42">
        <v>13935</v>
      </c>
      <c r="E9" s="42">
        <v>3853</v>
      </c>
    </row>
    <row r="10" spans="2:6" ht="13.5" x14ac:dyDescent="0.25">
      <c r="B10" s="39" t="s">
        <v>271</v>
      </c>
      <c r="C10" s="42">
        <v>14520</v>
      </c>
      <c r="D10" s="42">
        <v>14457</v>
      </c>
      <c r="E10" s="42">
        <v>4093</v>
      </c>
    </row>
    <row r="11" spans="2:6" ht="13.5" x14ac:dyDescent="0.25">
      <c r="B11" s="39" t="s">
        <v>272</v>
      </c>
      <c r="C11" s="42">
        <v>11968</v>
      </c>
      <c r="D11" s="42">
        <v>11726</v>
      </c>
      <c r="E11" s="42">
        <v>3142</v>
      </c>
    </row>
    <row r="12" spans="2:6" ht="13.5" x14ac:dyDescent="0.25">
      <c r="B12" s="39" t="s">
        <v>273</v>
      </c>
      <c r="C12" s="42">
        <v>15352</v>
      </c>
      <c r="D12" s="42">
        <v>15165</v>
      </c>
      <c r="E12" s="42">
        <v>4399</v>
      </c>
    </row>
    <row r="13" spans="2:6" ht="13.5" x14ac:dyDescent="0.25">
      <c r="B13" s="39" t="s">
        <v>274</v>
      </c>
      <c r="C13" s="42">
        <v>19586</v>
      </c>
      <c r="D13" s="42">
        <v>22128</v>
      </c>
      <c r="E13" s="42">
        <v>6784</v>
      </c>
    </row>
    <row r="14" spans="2:6" ht="14" x14ac:dyDescent="0.3">
      <c r="B14" s="4" t="s">
        <v>275</v>
      </c>
      <c r="C14" s="43">
        <f>SUM(C8:C13)</f>
        <v>127138</v>
      </c>
      <c r="D14" s="43">
        <f>SUM(D8:D13)</f>
        <v>138829</v>
      </c>
      <c r="E14" s="43">
        <f>SUM(E8:E13)</f>
        <v>40353</v>
      </c>
    </row>
    <row r="15" spans="2:6" ht="14" x14ac:dyDescent="0.3">
      <c r="B15" s="39" t="s">
        <v>276</v>
      </c>
      <c r="C15" s="44">
        <f>109035-C14</f>
        <v>-18103</v>
      </c>
      <c r="D15" s="44">
        <f>118229-D14</f>
        <v>-20600</v>
      </c>
      <c r="E15" s="44">
        <f>34033-E14</f>
        <v>-6320</v>
      </c>
      <c r="F15" s="40" t="s">
        <v>277</v>
      </c>
    </row>
    <row r="16" spans="2:6" ht="14" x14ac:dyDescent="0.3">
      <c r="B16" s="4" t="s">
        <v>278</v>
      </c>
      <c r="C16" s="45">
        <v>109035</v>
      </c>
      <c r="D16" s="45">
        <v>118229</v>
      </c>
      <c r="E16" s="45">
        <v>34033</v>
      </c>
      <c r="F16" s="40" t="s">
        <v>279</v>
      </c>
    </row>
    <row r="18" spans="2:6" ht="14" x14ac:dyDescent="0.3">
      <c r="B18" s="3" t="s">
        <v>280</v>
      </c>
    </row>
    <row r="19" spans="2:6" ht="14" x14ac:dyDescent="0.3">
      <c r="B19" s="41" t="s">
        <v>267</v>
      </c>
      <c r="C19" s="41" t="s">
        <v>31</v>
      </c>
      <c r="D19" s="41" t="s">
        <v>32</v>
      </c>
      <c r="E19" s="41" t="s">
        <v>268</v>
      </c>
      <c r="F19" s="41" t="s">
        <v>155</v>
      </c>
    </row>
    <row r="20" spans="2:6" ht="13.5" x14ac:dyDescent="0.25">
      <c r="B20" s="39" t="s">
        <v>269</v>
      </c>
      <c r="C20" s="42">
        <v>13880</v>
      </c>
      <c r="D20" s="42">
        <v>19391</v>
      </c>
      <c r="E20" s="42">
        <v>7036</v>
      </c>
    </row>
    <row r="21" spans="2:6" ht="13.5" x14ac:dyDescent="0.25">
      <c r="B21" s="39" t="s">
        <v>270</v>
      </c>
      <c r="C21" s="42">
        <v>2381</v>
      </c>
      <c r="D21" s="42">
        <v>2431</v>
      </c>
      <c r="E21" s="42">
        <v>705</v>
      </c>
    </row>
    <row r="22" spans="2:6" ht="13.5" x14ac:dyDescent="0.25">
      <c r="B22" s="39" t="s">
        <v>271</v>
      </c>
      <c r="C22" s="42">
        <v>-900</v>
      </c>
      <c r="D22" s="42">
        <v>-122</v>
      </c>
      <c r="E22" s="42">
        <v>0</v>
      </c>
    </row>
    <row r="23" spans="2:6" ht="13.5" x14ac:dyDescent="0.25">
      <c r="B23" s="39" t="s">
        <v>272</v>
      </c>
      <c r="C23" s="42">
        <v>839</v>
      </c>
      <c r="D23" s="42">
        <v>588</v>
      </c>
      <c r="E23" s="42">
        <v>222</v>
      </c>
    </row>
    <row r="24" spans="2:6" ht="13.5" x14ac:dyDescent="0.25">
      <c r="B24" s="39" t="s">
        <v>273</v>
      </c>
      <c r="C24" s="42">
        <v>693</v>
      </c>
      <c r="D24" s="42">
        <v>202</v>
      </c>
      <c r="E24" s="42">
        <v>251</v>
      </c>
    </row>
    <row r="25" spans="2:6" ht="13.5" x14ac:dyDescent="0.25">
      <c r="B25" s="39" t="s">
        <v>274</v>
      </c>
      <c r="C25" s="42">
        <v>409</v>
      </c>
      <c r="D25" s="42">
        <v>488</v>
      </c>
      <c r="E25" s="42">
        <v>203</v>
      </c>
    </row>
    <row r="26" spans="2:6" ht="14" x14ac:dyDescent="0.3">
      <c r="B26" s="4" t="s">
        <v>281</v>
      </c>
      <c r="C26" s="43">
        <f>SUM(C20:C25)</f>
        <v>17302</v>
      </c>
      <c r="D26" s="43">
        <f>SUM(D20:D25)</f>
        <v>22978</v>
      </c>
      <c r="E26" s="43">
        <f>SUM(E20:E25)</f>
        <v>8417</v>
      </c>
    </row>
    <row r="27" spans="2:6" ht="13.5" x14ac:dyDescent="0.25">
      <c r="B27" s="39" t="s">
        <v>282</v>
      </c>
      <c r="C27" s="42">
        <v>-858</v>
      </c>
      <c r="D27" s="42">
        <v>-2160</v>
      </c>
      <c r="E27" s="42">
        <v>-486</v>
      </c>
    </row>
    <row r="28" spans="2:6" ht="14" x14ac:dyDescent="0.3">
      <c r="B28" s="4" t="s">
        <v>283</v>
      </c>
      <c r="C28" s="46">
        <f>C26+C27</f>
        <v>16444</v>
      </c>
      <c r="D28" s="46">
        <f>D26+D27</f>
        <v>20818</v>
      </c>
      <c r="E28" s="46">
        <f>E26+E27</f>
        <v>7931</v>
      </c>
    </row>
    <row r="29" spans="2:6" ht="14" x14ac:dyDescent="0.3">
      <c r="B29" s="4" t="s">
        <v>284</v>
      </c>
      <c r="C29" s="47">
        <v>16445</v>
      </c>
      <c r="D29" s="47">
        <v>20819</v>
      </c>
      <c r="E29" s="47">
        <v>7943</v>
      </c>
    </row>
    <row r="30" spans="2:6" ht="14" x14ac:dyDescent="0.3">
      <c r="B30" s="4" t="s">
        <v>285</v>
      </c>
      <c r="C30" s="48">
        <f>C28-C29</f>
        <v>-1</v>
      </c>
      <c r="D30" s="48">
        <f>D28-D29</f>
        <v>-1</v>
      </c>
      <c r="E30" s="48">
        <f>E28-E29</f>
        <v>-12</v>
      </c>
      <c r="F30" s="40" t="s">
        <v>286</v>
      </c>
    </row>
    <row r="32" spans="2:6" ht="14" x14ac:dyDescent="0.3">
      <c r="B32" s="3" t="s">
        <v>287</v>
      </c>
    </row>
    <row r="33" spans="2:6" ht="14" x14ac:dyDescent="0.3">
      <c r="B33" s="41" t="s">
        <v>288</v>
      </c>
      <c r="C33" s="41" t="s">
        <v>31</v>
      </c>
      <c r="D33" s="41" t="s">
        <v>32</v>
      </c>
      <c r="E33" s="41" t="s">
        <v>268</v>
      </c>
      <c r="F33" s="41" t="s">
        <v>155</v>
      </c>
    </row>
    <row r="34" spans="2:6" ht="14" x14ac:dyDescent="0.3">
      <c r="B34" s="4" t="s">
        <v>289</v>
      </c>
      <c r="C34" s="49">
        <f>IFERROR(C20/C8,"")</f>
        <v>0.26644654752078012</v>
      </c>
      <c r="D34" s="49">
        <f>IFERROR(D20/D8,"")</f>
        <v>0.31572177537529716</v>
      </c>
      <c r="E34" s="49">
        <f>IFERROR(E20/E8,"")</f>
        <v>0.38911624820263246</v>
      </c>
      <c r="F34" s="40" t="s">
        <v>290</v>
      </c>
    </row>
    <row r="35" spans="2:6" ht="14" x14ac:dyDescent="0.3">
      <c r="B35" s="4" t="s">
        <v>291</v>
      </c>
      <c r="C35" s="49">
        <f>IFERROR(C29/C16,"")</f>
        <v>0.15082313018755444</v>
      </c>
      <c r="D35" s="49">
        <f>IFERROR(D29/D16,"")</f>
        <v>0.17609046849757673</v>
      </c>
      <c r="E35" s="49">
        <f>IFERROR(E29/E16,"")</f>
        <v>0.23339112038315751</v>
      </c>
    </row>
    <row r="36" spans="2:6" ht="14" x14ac:dyDescent="0.3">
      <c r="B36" s="4" t="s">
        <v>292</v>
      </c>
      <c r="C36" s="50">
        <f>IFERROR(C20/C26,"")</f>
        <v>0.80221939660154895</v>
      </c>
      <c r="D36" s="50">
        <f>IFERROR(D20/D26,"")</f>
        <v>0.84389415963095138</v>
      </c>
      <c r="E36" s="50">
        <f>IFERROR(E20/E26,"")</f>
        <v>0.83592729000831645</v>
      </c>
      <c r="F36" s="40" t="s">
        <v>293</v>
      </c>
    </row>
    <row r="37" spans="2:6" ht="14" x14ac:dyDescent="0.3">
      <c r="B37" s="4" t="s">
        <v>294</v>
      </c>
      <c r="C37" s="49">
        <f>IFERROR(C8/C14,"")</f>
        <v>0.40973587755037832</v>
      </c>
      <c r="D37" s="49">
        <f>IFERROR(D8/D14,"")</f>
        <v>0.44240036303654134</v>
      </c>
      <c r="E37" s="49">
        <f>IFERROR(E8/E14,"")</f>
        <v>0.44809555671201645</v>
      </c>
    </row>
    <row r="39" spans="2:6" ht="14" x14ac:dyDescent="0.3">
      <c r="B39" s="3" t="s">
        <v>295</v>
      </c>
    </row>
    <row r="40" spans="2:6" ht="28" x14ac:dyDescent="0.3">
      <c r="B40" s="41" t="s">
        <v>267</v>
      </c>
      <c r="C40" s="41" t="s">
        <v>296</v>
      </c>
      <c r="D40" s="41" t="s">
        <v>297</v>
      </c>
      <c r="E40" s="41" t="s">
        <v>298</v>
      </c>
      <c r="F40" s="41" t="s">
        <v>155</v>
      </c>
    </row>
    <row r="41" spans="2:6" ht="13.5" x14ac:dyDescent="0.25">
      <c r="B41" s="39" t="s">
        <v>269</v>
      </c>
      <c r="C41" s="44">
        <f t="shared" ref="C41:C46" si="0">D20</f>
        <v>19391</v>
      </c>
      <c r="D41" s="42">
        <v>7229</v>
      </c>
      <c r="E41" s="44">
        <f t="shared" ref="E41:E47" si="1">C41+D41</f>
        <v>26620</v>
      </c>
    </row>
    <row r="42" spans="2:6" ht="13.5" x14ac:dyDescent="0.25">
      <c r="B42" s="39" t="s">
        <v>270</v>
      </c>
      <c r="C42" s="44">
        <f t="shared" si="0"/>
        <v>2431</v>
      </c>
      <c r="D42" s="42">
        <v>751</v>
      </c>
      <c r="E42" s="44">
        <f t="shared" si="1"/>
        <v>3182</v>
      </c>
    </row>
    <row r="43" spans="2:6" ht="13.5" x14ac:dyDescent="0.25">
      <c r="B43" s="39" t="s">
        <v>271</v>
      </c>
      <c r="C43" s="44">
        <f t="shared" si="0"/>
        <v>-122</v>
      </c>
      <c r="D43" s="42">
        <v>180</v>
      </c>
      <c r="E43" s="44">
        <f t="shared" si="1"/>
        <v>58</v>
      </c>
    </row>
    <row r="44" spans="2:6" ht="13.5" x14ac:dyDescent="0.25">
      <c r="B44" s="39" t="s">
        <v>272</v>
      </c>
      <c r="C44" s="44">
        <f t="shared" si="0"/>
        <v>588</v>
      </c>
      <c r="D44" s="42">
        <v>261</v>
      </c>
      <c r="E44" s="44">
        <f t="shared" si="1"/>
        <v>849</v>
      </c>
    </row>
    <row r="45" spans="2:6" ht="13.5" x14ac:dyDescent="0.25">
      <c r="B45" s="39" t="s">
        <v>273</v>
      </c>
      <c r="C45" s="44">
        <f t="shared" si="0"/>
        <v>202</v>
      </c>
      <c r="D45" s="42">
        <v>614</v>
      </c>
      <c r="E45" s="44">
        <f t="shared" si="1"/>
        <v>816</v>
      </c>
    </row>
    <row r="46" spans="2:6" ht="13.5" x14ac:dyDescent="0.25">
      <c r="B46" s="39" t="s">
        <v>274</v>
      </c>
      <c r="C46" s="44">
        <f t="shared" si="0"/>
        <v>488</v>
      </c>
      <c r="D46" s="42">
        <v>47</v>
      </c>
      <c r="E46" s="44">
        <f t="shared" si="1"/>
        <v>535</v>
      </c>
    </row>
    <row r="47" spans="2:6" ht="13.5" x14ac:dyDescent="0.25">
      <c r="B47" s="39" t="s">
        <v>299</v>
      </c>
      <c r="C47" s="44">
        <f>D27</f>
        <v>-2160</v>
      </c>
      <c r="D47" s="42">
        <v>259</v>
      </c>
      <c r="E47" s="44">
        <f t="shared" si="1"/>
        <v>-1901</v>
      </c>
    </row>
    <row r="48" spans="2:6" ht="14" x14ac:dyDescent="0.3">
      <c r="B48" s="4" t="s">
        <v>300</v>
      </c>
      <c r="C48" s="43">
        <f>SUM(C41:C47)</f>
        <v>20818</v>
      </c>
      <c r="D48" s="43">
        <f>SUM(D41:D47)</f>
        <v>9341</v>
      </c>
      <c r="E48" s="43">
        <f>SUM(E41:E47)</f>
        <v>30159</v>
      </c>
    </row>
    <row r="49" spans="2:6" ht="14" x14ac:dyDescent="0.3">
      <c r="B49" s="4" t="s">
        <v>301</v>
      </c>
      <c r="D49" s="47">
        <v>9301</v>
      </c>
      <c r="E49" s="47">
        <f>D29+D49</f>
        <v>30120</v>
      </c>
      <c r="F49" s="40" t="s">
        <v>302</v>
      </c>
    </row>
    <row r="50" spans="2:6" ht="14" x14ac:dyDescent="0.3">
      <c r="B50" s="4" t="s">
        <v>285</v>
      </c>
      <c r="D50" s="48">
        <f>D48-D49</f>
        <v>40</v>
      </c>
      <c r="F50" s="40" t="s">
        <v>303</v>
      </c>
    </row>
    <row r="52" spans="2:6" ht="14" x14ac:dyDescent="0.3">
      <c r="B52" s="3" t="s">
        <v>304</v>
      </c>
    </row>
    <row r="53" spans="2:6" ht="14" x14ac:dyDescent="0.3">
      <c r="B53" s="40" t="s">
        <v>305</v>
      </c>
    </row>
    <row r="54" spans="2:6" ht="14" x14ac:dyDescent="0.3">
      <c r="B54" s="40" t="s">
        <v>306</v>
      </c>
    </row>
    <row r="55" spans="2:6" ht="14" x14ac:dyDescent="0.3">
      <c r="B55" s="40" t="s">
        <v>307</v>
      </c>
    </row>
    <row r="56" spans="2:6" ht="14" x14ac:dyDescent="0.3">
      <c r="B56" s="40" t="s">
        <v>308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  <vt:lpstr>Adjustments Log</vt:lpstr>
      <vt:lpstr>Segment 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2026-08-22T04:35:59Z</dcterms:created>
  <dcterms:modified xsi:type="dcterms:W3CDTF">2026-08-22T12:01:17Z</dcterms:modified>
</cp:coreProperties>
</file>