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dev\ryosuke-japanese-equity-research\models\"/>
    </mc:Choice>
  </mc:AlternateContent>
  <xr:revisionPtr revIDLastSave="0" documentId="13_ncr:1_{55EA6338-AC4B-41D3-B15D-9E2BA35B59AD}" xr6:coauthVersionLast="47" xr6:coauthVersionMax="47" xr10:uidLastSave="{00000000-0000-0000-0000-000000000000}"/>
  <bookViews>
    <workbookView xWindow="-110" yWindow="-110" windowWidth="19420" windowHeight="11500" activeTab="2"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 name="Segment Bridge"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5" i="9" l="1"/>
  <c r="C112" i="9"/>
  <c r="D99" i="9"/>
  <c r="D100" i="9" s="1"/>
  <c r="C98" i="9"/>
  <c r="C99" i="9" s="1"/>
  <c r="E90" i="9"/>
  <c r="E89" i="9"/>
  <c r="E88" i="9"/>
  <c r="E87" i="9"/>
  <c r="D83" i="9"/>
  <c r="C82" i="9"/>
  <c r="E82" i="9" s="1"/>
  <c r="E81" i="9"/>
  <c r="C57" i="9"/>
  <c r="C61" i="9" s="1"/>
  <c r="F52" i="9"/>
  <c r="E52" i="9"/>
  <c r="D52" i="9"/>
  <c r="C52" i="9"/>
  <c r="F51" i="9"/>
  <c r="D51" i="9"/>
  <c r="G49" i="9"/>
  <c r="E49" i="9"/>
  <c r="G48" i="9"/>
  <c r="E48" i="9"/>
  <c r="F47" i="9"/>
  <c r="D47" i="9"/>
  <c r="C47" i="9"/>
  <c r="G46" i="9"/>
  <c r="G50" i="9" s="1"/>
  <c r="E46" i="9"/>
  <c r="E50" i="9" s="1"/>
  <c r="G45" i="9"/>
  <c r="G47" i="9" s="1"/>
  <c r="E45" i="9"/>
  <c r="F41" i="9"/>
  <c r="E41" i="9"/>
  <c r="D41" i="9"/>
  <c r="C41" i="9"/>
  <c r="F40" i="9"/>
  <c r="E40" i="9"/>
  <c r="D36" i="9"/>
  <c r="D38" i="9" s="1"/>
  <c r="D40" i="9" s="1"/>
  <c r="C36" i="9"/>
  <c r="C38" i="9" s="1"/>
  <c r="C40" i="9" s="1"/>
  <c r="F30" i="9"/>
  <c r="E30" i="9"/>
  <c r="D30" i="9"/>
  <c r="C30" i="9"/>
  <c r="F29" i="9"/>
  <c r="E29" i="9"/>
  <c r="D29" i="9"/>
  <c r="C29" i="9"/>
  <c r="F28" i="9"/>
  <c r="E28" i="9"/>
  <c r="D28" i="9"/>
  <c r="C28" i="9"/>
  <c r="F20" i="9"/>
  <c r="F22" i="9" s="1"/>
  <c r="F24" i="9" s="1"/>
  <c r="E20" i="9"/>
  <c r="E22" i="9" s="1"/>
  <c r="E24" i="9" s="1"/>
  <c r="D20" i="9"/>
  <c r="D22" i="9" s="1"/>
  <c r="D24" i="9" s="1"/>
  <c r="C20" i="9"/>
  <c r="C22" i="9" s="1"/>
  <c r="C24" i="9" s="1"/>
  <c r="F12" i="9"/>
  <c r="F13" i="9" s="1"/>
  <c r="E12" i="9"/>
  <c r="E13" i="9" s="1"/>
  <c r="D12" i="9"/>
  <c r="D13" i="9" s="1"/>
  <c r="C12" i="9"/>
  <c r="C13" i="9" s="1"/>
  <c r="I3" i="7"/>
  <c r="E17" i="7" s="1"/>
  <c r="F3" i="7"/>
  <c r="E6" i="7" s="1"/>
  <c r="C29" i="6"/>
  <c r="E16" i="6"/>
  <c r="I15" i="6"/>
  <c r="O10" i="6"/>
  <c r="N10" i="6"/>
  <c r="M10" i="6"/>
  <c r="L10" i="6"/>
  <c r="K10" i="6"/>
  <c r="J10" i="6"/>
  <c r="O9" i="6"/>
  <c r="N9" i="6"/>
  <c r="M9" i="6"/>
  <c r="L9" i="6"/>
  <c r="K9" i="6"/>
  <c r="J9" i="6"/>
  <c r="O8" i="6"/>
  <c r="I16" i="6" s="1"/>
  <c r="N8" i="6"/>
  <c r="H16" i="6" s="1"/>
  <c r="M8" i="6"/>
  <c r="L8" i="6"/>
  <c r="K8" i="6"/>
  <c r="J8" i="6"/>
  <c r="O7" i="6"/>
  <c r="N7" i="6"/>
  <c r="M7" i="6"/>
  <c r="L7" i="6"/>
  <c r="K7" i="6"/>
  <c r="J7" i="6"/>
  <c r="O6" i="6"/>
  <c r="N6" i="6"/>
  <c r="M6" i="6"/>
  <c r="L6" i="6"/>
  <c r="K6" i="6"/>
  <c r="E15" i="6" s="1"/>
  <c r="J6" i="6"/>
  <c r="D16" i="6" s="1"/>
  <c r="C27" i="6" s="1"/>
  <c r="C18" i="1" s="1"/>
  <c r="D18" i="1" s="1"/>
  <c r="O5" i="6"/>
  <c r="N5" i="6"/>
  <c r="D5" i="6"/>
  <c r="C16" i="5"/>
  <c r="C14" i="5"/>
  <c r="C18" i="5" s="1"/>
  <c r="C7" i="5"/>
  <c r="C6" i="5"/>
  <c r="F5" i="5"/>
  <c r="E5" i="5"/>
  <c r="D5" i="5"/>
  <c r="C5" i="5"/>
  <c r="C13" i="4"/>
  <c r="C12" i="4"/>
  <c r="C9" i="4"/>
  <c r="C7" i="4"/>
  <c r="C6" i="4"/>
  <c r="C8" i="4" s="1"/>
  <c r="C10" i="4" s="1"/>
  <c r="E46" i="3"/>
  <c r="D46" i="3"/>
  <c r="C46" i="3"/>
  <c r="C32" i="3"/>
  <c r="G31" i="3"/>
  <c r="D27" i="3"/>
  <c r="H6" i="5" s="1"/>
  <c r="C25" i="3"/>
  <c r="C24" i="3"/>
  <c r="C23" i="3"/>
  <c r="C26" i="3" s="1"/>
  <c r="H36" i="4" s="1"/>
  <c r="G28" i="2"/>
  <c r="F28" i="2"/>
  <c r="E28" i="2"/>
  <c r="D28" i="2"/>
  <c r="C28" i="2"/>
  <c r="G23" i="2"/>
  <c r="F23" i="2"/>
  <c r="E23" i="2"/>
  <c r="D23" i="2"/>
  <c r="C23" i="2"/>
  <c r="G21" i="2"/>
  <c r="G22" i="2" s="1"/>
  <c r="F21" i="2"/>
  <c r="F22" i="2" s="1"/>
  <c r="E21" i="2"/>
  <c r="E22" i="2" s="1"/>
  <c r="D21" i="2"/>
  <c r="D22" i="2" s="1"/>
  <c r="C21" i="2"/>
  <c r="C22" i="2" s="1"/>
  <c r="G16" i="2"/>
  <c r="F16" i="2"/>
  <c r="E16" i="2"/>
  <c r="D16" i="2"/>
  <c r="G15" i="2"/>
  <c r="F15" i="2"/>
  <c r="E15" i="2"/>
  <c r="D15" i="2"/>
  <c r="G14" i="2"/>
  <c r="F14" i="2"/>
  <c r="E14" i="2"/>
  <c r="D14" i="2"/>
  <c r="C14" i="2"/>
  <c r="G13" i="2"/>
  <c r="F13" i="2"/>
  <c r="E13" i="2"/>
  <c r="D13" i="2"/>
  <c r="C13" i="2"/>
  <c r="F9" i="2"/>
  <c r="E9" i="2"/>
  <c r="G8" i="2"/>
  <c r="G9" i="2" s="1"/>
  <c r="F8" i="2"/>
  <c r="E8" i="2"/>
  <c r="D8" i="2"/>
  <c r="D9" i="2" s="1"/>
  <c r="C8" i="2"/>
  <c r="C9" i="2" s="1"/>
  <c r="H40" i="4" l="1"/>
  <c r="H41" i="4"/>
  <c r="C3" i="7"/>
  <c r="B24" i="7" s="1"/>
  <c r="F46" i="3"/>
  <c r="I17" i="6"/>
  <c r="D7" i="5"/>
  <c r="E7" i="5"/>
  <c r="F7" i="5"/>
  <c r="G30" i="3"/>
  <c r="H7" i="5"/>
  <c r="D6" i="7"/>
  <c r="G7" i="5"/>
  <c r="C31" i="3"/>
  <c r="C11" i="4"/>
  <c r="C24" i="4" s="1"/>
  <c r="C25" i="4" s="1"/>
  <c r="G36" i="4"/>
  <c r="G41" i="4" s="1"/>
  <c r="D31" i="3"/>
  <c r="E31" i="3"/>
  <c r="F17" i="7"/>
  <c r="G16" i="6"/>
  <c r="H17" i="6"/>
  <c r="E30" i="3"/>
  <c r="F30" i="3"/>
  <c r="F31" i="3"/>
  <c r="H15" i="6"/>
  <c r="D85" i="9"/>
  <c r="C100" i="9"/>
  <c r="C101" i="9" s="1"/>
  <c r="C65" i="9"/>
  <c r="C63" i="9"/>
  <c r="C64" i="9" s="1"/>
  <c r="F17" i="6"/>
  <c r="F15" i="6"/>
  <c r="F16" i="6"/>
  <c r="C28" i="6" s="1"/>
  <c r="C19" i="1" s="1"/>
  <c r="D19" i="1" s="1"/>
  <c r="C71" i="4"/>
  <c r="C70" i="4"/>
  <c r="C74" i="4"/>
  <c r="E17" i="6"/>
  <c r="C83" i="9"/>
  <c r="E83" i="9" s="1"/>
  <c r="E84" i="9" s="1"/>
  <c r="D15" i="6"/>
  <c r="D17" i="6"/>
  <c r="H38" i="4"/>
  <c r="F6" i="7"/>
  <c r="H6" i="7"/>
  <c r="G6" i="7"/>
  <c r="I6" i="7"/>
  <c r="L5" i="6"/>
  <c r="M5" i="6"/>
  <c r="H45" i="4"/>
  <c r="H50" i="4" s="1"/>
  <c r="H55" i="4" s="1"/>
  <c r="D101" i="9"/>
  <c r="B18" i="7"/>
  <c r="I17" i="7"/>
  <c r="H17" i="7"/>
  <c r="G17" i="7"/>
  <c r="B10" i="7"/>
  <c r="E5" i="6"/>
  <c r="H44" i="4"/>
  <c r="H43" i="4"/>
  <c r="H46" i="4"/>
  <c r="H51" i="4" s="1"/>
  <c r="H56" i="4" s="1"/>
  <c r="H39" i="4"/>
  <c r="H49" i="4" s="1"/>
  <c r="H54" i="4" s="1"/>
  <c r="G15" i="6"/>
  <c r="G17" i="6"/>
  <c r="E47" i="9"/>
  <c r="C17" i="7"/>
  <c r="F36" i="4"/>
  <c r="E36" i="4"/>
  <c r="D36" i="4"/>
  <c r="G46" i="3"/>
  <c r="C6" i="7"/>
  <c r="D17" i="7"/>
  <c r="G5" i="5"/>
  <c r="F32" i="3"/>
  <c r="D6" i="5"/>
  <c r="E6" i="5"/>
  <c r="F6" i="5"/>
  <c r="D32" i="3"/>
  <c r="H5" i="5"/>
  <c r="G32" i="3"/>
  <c r="C30" i="3"/>
  <c r="C33" i="3" s="1"/>
  <c r="G6" i="5"/>
  <c r="E32" i="3"/>
  <c r="D30" i="3"/>
  <c r="C66" i="9" l="1"/>
  <c r="B22" i="7"/>
  <c r="B11" i="7"/>
  <c r="B13" i="7"/>
  <c r="C29" i="4"/>
  <c r="C26" i="4"/>
  <c r="C27" i="4"/>
  <c r="C72" i="4"/>
  <c r="C67" i="9"/>
  <c r="C76" i="9" s="1"/>
  <c r="G46" i="4"/>
  <c r="G51" i="4" s="1"/>
  <c r="G56" i="4" s="1"/>
  <c r="H48" i="4"/>
  <c r="H53" i="4" s="1"/>
  <c r="G43" i="4"/>
  <c r="B20" i="7"/>
  <c r="G39" i="4"/>
  <c r="G45" i="4"/>
  <c r="G40" i="4"/>
  <c r="G38" i="4"/>
  <c r="G44" i="4"/>
  <c r="B21" i="7"/>
  <c r="B19" i="7"/>
  <c r="B12" i="7"/>
  <c r="B8" i="7"/>
  <c r="B23" i="7"/>
  <c r="B7" i="7"/>
  <c r="B9" i="7"/>
  <c r="C104" i="9"/>
  <c r="C103" i="9"/>
  <c r="C68" i="9"/>
  <c r="J5" i="6"/>
  <c r="K5" i="6"/>
  <c r="E40" i="4"/>
  <c r="E44" i="4"/>
  <c r="E45" i="4"/>
  <c r="E38" i="4"/>
  <c r="E43" i="4"/>
  <c r="E46" i="4"/>
  <c r="E39" i="4"/>
  <c r="E41" i="4"/>
  <c r="F40" i="4"/>
  <c r="F39" i="4"/>
  <c r="F44" i="4"/>
  <c r="F46" i="4"/>
  <c r="F45" i="4"/>
  <c r="F38" i="4"/>
  <c r="F41" i="4"/>
  <c r="F51" i="4" s="1"/>
  <c r="F56" i="4" s="1"/>
  <c r="F43" i="4"/>
  <c r="D33" i="3"/>
  <c r="C34" i="3"/>
  <c r="D10" i="5" s="1"/>
  <c r="D9" i="5"/>
  <c r="D12" i="5" s="1"/>
  <c r="C37" i="3"/>
  <c r="C35" i="3"/>
  <c r="D104" i="9"/>
  <c r="D103" i="9"/>
  <c r="D86" i="9"/>
  <c r="E86" i="9" s="1"/>
  <c r="E85" i="9"/>
  <c r="D40" i="4"/>
  <c r="D44" i="4"/>
  <c r="D41" i="4"/>
  <c r="D39" i="4"/>
  <c r="D38" i="4"/>
  <c r="D46" i="4"/>
  <c r="D45" i="4"/>
  <c r="D43" i="4"/>
  <c r="C30" i="6"/>
  <c r="G48" i="4" l="1"/>
  <c r="G53" i="4" s="1"/>
  <c r="G50" i="4"/>
  <c r="G55" i="4" s="1"/>
  <c r="G49" i="4"/>
  <c r="G54" i="4" s="1"/>
  <c r="D50" i="4"/>
  <c r="D55" i="4" s="1"/>
  <c r="E51" i="4"/>
  <c r="E56" i="4" s="1"/>
  <c r="C71" i="9"/>
  <c r="C75" i="9" s="1"/>
  <c r="F50" i="4"/>
  <c r="F55" i="4" s="1"/>
  <c r="E49" i="4"/>
  <c r="E54" i="4" s="1"/>
  <c r="D13" i="5"/>
  <c r="D14" i="5" s="1"/>
  <c r="D15" i="5"/>
  <c r="D16" i="5" s="1"/>
  <c r="C36" i="3"/>
  <c r="C39" i="3"/>
  <c r="C38" i="3"/>
  <c r="E33" i="3"/>
  <c r="D34" i="3"/>
  <c r="E10" i="5" s="1"/>
  <c r="E9" i="5"/>
  <c r="E12" i="5" s="1"/>
  <c r="D37" i="3"/>
  <c r="D48" i="4"/>
  <c r="D53" i="4" s="1"/>
  <c r="D49" i="4"/>
  <c r="D54" i="4" s="1"/>
  <c r="F49" i="4"/>
  <c r="C69" i="9"/>
  <c r="C74" i="9" s="1"/>
  <c r="E48" i="4"/>
  <c r="E53" i="4" s="1"/>
  <c r="E50" i="4"/>
  <c r="E55" i="4" s="1"/>
  <c r="F48" i="4"/>
  <c r="F53" i="4" s="1"/>
  <c r="D51" i="4"/>
  <c r="D56" i="4" s="1"/>
  <c r="D18" i="5" l="1"/>
  <c r="D19" i="5" s="1"/>
  <c r="C44" i="3" s="1"/>
  <c r="D35" i="3"/>
  <c r="C70" i="9"/>
  <c r="F54" i="4"/>
  <c r="B78" i="4"/>
  <c r="C60" i="4"/>
  <c r="E13" i="5"/>
  <c r="E15" i="5"/>
  <c r="E16" i="5" s="1"/>
  <c r="D39" i="3"/>
  <c r="D36" i="3"/>
  <c r="D38" i="3"/>
  <c r="E14" i="5"/>
  <c r="E18" i="5" s="1"/>
  <c r="F9" i="5"/>
  <c r="F12" i="5" s="1"/>
  <c r="F33" i="3"/>
  <c r="E37" i="3"/>
  <c r="E34" i="3"/>
  <c r="F10" i="5" s="1"/>
  <c r="C40" i="3"/>
  <c r="C41" i="3" s="1"/>
  <c r="C45" i="3" s="1"/>
  <c r="E19" i="5" l="1"/>
  <c r="D44" i="3" s="1"/>
  <c r="C47" i="3"/>
  <c r="E35" i="3"/>
  <c r="F15" i="5"/>
  <c r="F16" i="5" s="1"/>
  <c r="F13" i="5"/>
  <c r="F14" i="5" s="1"/>
  <c r="G9" i="5"/>
  <c r="G12" i="5" s="1"/>
  <c r="G33" i="3"/>
  <c r="F37" i="3"/>
  <c r="F34" i="3"/>
  <c r="G10" i="5" s="1"/>
  <c r="D40" i="3"/>
  <c r="D41" i="3" s="1"/>
  <c r="D45" i="3" s="1"/>
  <c r="D47" i="3" s="1"/>
  <c r="C66" i="4"/>
  <c r="D66" i="4" s="1"/>
  <c r="C67" i="4"/>
  <c r="D67" i="4" s="1"/>
  <c r="C73" i="4"/>
  <c r="C65" i="4"/>
  <c r="D65" i="4" s="1"/>
  <c r="C64" i="4"/>
  <c r="D64" i="4" s="1"/>
  <c r="C63" i="4"/>
  <c r="D63" i="4" s="1"/>
  <c r="C72" i="9"/>
  <c r="C73" i="9"/>
  <c r="F18" i="5" l="1"/>
  <c r="F19" i="5" s="1"/>
  <c r="E44" i="3" s="1"/>
  <c r="F35" i="3"/>
  <c r="E36" i="3"/>
  <c r="E39" i="3"/>
  <c r="E38" i="3"/>
  <c r="G13" i="5"/>
  <c r="G14" i="5" s="1"/>
  <c r="G15" i="5"/>
  <c r="G16" i="5" s="1"/>
  <c r="H9" i="5"/>
  <c r="H12" i="5" s="1"/>
  <c r="C16" i="4"/>
  <c r="C28" i="4" s="1"/>
  <c r="G37" i="3"/>
  <c r="G34" i="3"/>
  <c r="H10" i="5" s="1"/>
  <c r="G18" i="5" l="1"/>
  <c r="G19" i="5" s="1"/>
  <c r="F44" i="3" s="1"/>
  <c r="E40" i="3"/>
  <c r="E41" i="3" s="1"/>
  <c r="E45" i="3" s="1"/>
  <c r="H13" i="5"/>
  <c r="H15" i="5"/>
  <c r="H16" i="5" s="1"/>
  <c r="G35" i="3"/>
  <c r="F36" i="3"/>
  <c r="F39" i="3"/>
  <c r="F38" i="3"/>
  <c r="H14" i="5"/>
  <c r="H18" i="5" s="1"/>
  <c r="H19" i="5" s="1"/>
  <c r="G44" i="3" s="1"/>
  <c r="E47" i="3" l="1"/>
  <c r="F40" i="3"/>
  <c r="F41" i="3" s="1"/>
  <c r="F45" i="3" s="1"/>
  <c r="F47" i="3" s="1"/>
  <c r="G39" i="3"/>
  <c r="G38" i="3"/>
  <c r="G36" i="3"/>
  <c r="C59" i="3" l="1"/>
  <c r="C60" i="3" s="1"/>
  <c r="C61" i="3" s="1"/>
  <c r="G40" i="3"/>
  <c r="G41" i="3" s="1"/>
  <c r="G45" i="3" s="1"/>
  <c r="C51" i="3" l="1"/>
  <c r="C52" i="3" s="1"/>
  <c r="G47" i="3"/>
  <c r="C50" i="3" s="1"/>
  <c r="H22" i="7"/>
  <c r="C21" i="7"/>
  <c r="E9" i="7"/>
  <c r="G19" i="7"/>
  <c r="I21" i="7"/>
  <c r="C12" i="7"/>
  <c r="E19" i="7"/>
  <c r="H19" i="7"/>
  <c r="I12" i="7"/>
  <c r="F12" i="7"/>
  <c r="C10" i="7"/>
  <c r="F23" i="7"/>
  <c r="F19" i="7"/>
  <c r="I11" i="7"/>
  <c r="H9" i="7"/>
  <c r="H18" i="7"/>
  <c r="G11" i="7"/>
  <c r="I7" i="7"/>
  <c r="F24" i="7"/>
  <c r="E24" i="7"/>
  <c r="H8" i="7"/>
  <c r="C7" i="7"/>
  <c r="I24" i="7"/>
  <c r="H12" i="7"/>
  <c r="G22" i="7"/>
  <c r="D18" i="7"/>
  <c r="D8" i="7"/>
  <c r="F8" i="7"/>
  <c r="I10" i="7"/>
  <c r="G13" i="7"/>
  <c r="H23" i="7"/>
  <c r="D13" i="7"/>
  <c r="I18" i="7"/>
  <c r="D23" i="7"/>
  <c r="E10" i="7"/>
  <c r="H13" i="7"/>
  <c r="G18" i="7"/>
  <c r="H24" i="7"/>
  <c r="D24" i="7"/>
  <c r="C23" i="7"/>
  <c r="F21" i="7"/>
  <c r="F13" i="7"/>
  <c r="H7" i="7"/>
  <c r="D20" i="7"/>
  <c r="E22" i="7"/>
  <c r="G12" i="7"/>
  <c r="H11" i="7"/>
  <c r="C11" i="7"/>
  <c r="H10" i="7"/>
  <c r="H20" i="7"/>
  <c r="D19" i="7"/>
  <c r="E7" i="7"/>
  <c r="I23" i="7"/>
  <c r="D22" i="7"/>
  <c r="C19" i="7"/>
  <c r="C20" i="7"/>
  <c r="D11" i="7"/>
  <c r="G9" i="7"/>
  <c r="F18" i="7"/>
  <c r="F11" i="7"/>
  <c r="C9" i="7"/>
  <c r="G10" i="7"/>
  <c r="F20" i="7"/>
  <c r="E12" i="7"/>
  <c r="G21" i="7"/>
  <c r="G23" i="7"/>
  <c r="H21" i="7"/>
  <c r="E20" i="7"/>
  <c r="D7" i="7"/>
  <c r="E23" i="7"/>
  <c r="D21" i="7"/>
  <c r="F22" i="7"/>
  <c r="E18" i="7"/>
  <c r="E8" i="7"/>
  <c r="I9" i="7"/>
  <c r="G24" i="7"/>
  <c r="G8" i="7"/>
  <c r="E13" i="7"/>
  <c r="C22" i="7"/>
  <c r="I8" i="7"/>
  <c r="C13" i="7"/>
  <c r="I19" i="7"/>
  <c r="E21" i="7"/>
  <c r="D10" i="7"/>
  <c r="E11" i="7"/>
  <c r="C18" i="7"/>
  <c r="F7" i="7"/>
  <c r="I22" i="7"/>
  <c r="I13" i="7"/>
  <c r="D12" i="7"/>
  <c r="F10" i="7"/>
  <c r="G7" i="7"/>
  <c r="C8" i="7"/>
  <c r="F9" i="7"/>
  <c r="C24" i="7"/>
  <c r="G20" i="7"/>
  <c r="D9" i="7"/>
  <c r="I20" i="7"/>
  <c r="C58" i="3" l="1"/>
  <c r="C62" i="3" s="1"/>
  <c r="C53" i="3"/>
  <c r="C54" i="3" l="1"/>
  <c r="C55" i="3" s="1"/>
  <c r="C16" i="1" s="1"/>
  <c r="C17" i="4"/>
  <c r="C63" i="3"/>
  <c r="C64" i="3" s="1"/>
  <c r="C17" i="1"/>
  <c r="D17" i="1" s="1"/>
  <c r="C19" i="4" l="1"/>
  <c r="C20" i="4" s="1"/>
  <c r="B79" i="4" s="1"/>
  <c r="C10" i="1"/>
  <c r="D16" i="1"/>
  <c r="C21" i="1"/>
  <c r="C12" i="1" l="1"/>
  <c r="C11" i="1" s="1"/>
  <c r="B26" i="1"/>
</calcChain>
</file>

<file path=xl/sharedStrings.xml><?xml version="1.0" encoding="utf-8"?>
<sst xmlns="http://schemas.openxmlformats.org/spreadsheetml/2006/main" count="867" uniqueCount="652">
  <si>
    <t>DISCLAIMER: This is a sample analysis for demonstration purposes only. It does not constitute investment advice.</t>
  </si>
  <si>
    <t>Tamagawa Holdings (6838.T)</t>
  </si>
  <si>
    <t>Equity Research Report</t>
  </si>
  <si>
    <t>Company</t>
  </si>
  <si>
    <t>Tamagawa Holdings</t>
  </si>
  <si>
    <t>Ticker</t>
  </si>
  <si>
    <t>6838.T (TSE Standard)</t>
  </si>
  <si>
    <t>Sector</t>
  </si>
  <si>
    <t>Electronic &amp; Communication Equipment / Renewable Energy</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</si>
  <si>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</si>
  <si>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</si>
  <si>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</si>
  <si>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</si>
  <si>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</si>
  <si>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</si>
  <si>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</si>
  <si>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</si>
  <si>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</si>
  <si>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</si>
  <si>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</si>
  <si>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</si>
  <si>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</si>
  <si>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</si>
  <si>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</si>
  <si>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The earnings slope is real: government-related revenue more than doubled to JPY2,089mn in the first half of FY10/26 as the main RF module moved from development into mass production, taking first-half operating profit to JPY752mn and already past the FY10/28 mid-term plan target of JPY761mn.</t>
  </si>
  <si>
    <t>Company guidance is stale rather than a ceiling: the revised full-year operating profit of JPY820mn implies only JPY68mn for the whole second half, and first-half orders of JPY4,295mn ran 15% ahead of sales with contract liabilities more than doubling.</t>
  </si>
  <si>
    <t>Key Risks</t>
  </si>
  <si>
    <t>The slope is already bending: second-quarter stand-alone operating margin fell to 15.1% from 24.2% in the first quarter and quarterly revenue fell 17.5%, so the first-quarter margin may have been a mass-production launch peak rather than a steady state.</t>
  </si>
  <si>
    <t>Reported profit is dominated by a mark-to-market gain: about 73% of first-half net profit is the fair-value gain on 125.8mn Addvalue Technologies shares listed in Singapore, whose price moves about 9% a week; a halving of the stake would remove about JPY124 per share of value deducted in this model.</t>
  </si>
  <si>
    <t>Balance-sheet quality depends on a build-to-order working-capital cycle of over 200 inventory days, and the equity base was rebuilt with moving-strike warrants that added about a third to the share count in one year; further equity funding for the second factory or grid batteries would dilute again.</t>
  </si>
  <si>
    <t>Tamagawa Holdings - Historical Financials (JPY mn)</t>
  </si>
  <si>
    <t>FY2023/3</t>
  </si>
  <si>
    <t>FY2024/3</t>
  </si>
  <si>
    <t>FY2024/10(7M)</t>
  </si>
  <si>
    <t>FY2025/10</t>
  </si>
  <si>
    <t>FY2026/10E</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</si>
  <si>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</si>
  <si>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</si>
  <si>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</si>
  <si>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</si>
  <si>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</si>
  <si>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</si>
  <si>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</si>
  <si>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</si>
  <si>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</si>
  <si>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</si>
  <si>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</si>
  <si>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</si>
  <si>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</si>
  <si>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</si>
  <si>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</si>
  <si>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</si>
  <si>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</si>
  <si>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</si>
  <si>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</si>
  <si>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</si>
  <si>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</si>
  <si>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</si>
  <si>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</si>
  <si>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5/5, Cash 5/5, Debt 5/5 — blank cells are years with no year-key match in the source data (verify against 決算短信 or set hist_ocf / hist_cash / hist_debt in overrides).</t>
  </si>
  <si>
    <t>DCF Valuation Model - Tamagawa Holdings</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</si>
  <si>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</si>
  <si>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</si>
  <si>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</si>
  <si>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</si>
  <si>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</si>
  <si>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</si>
  <si>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</si>
  <si>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</si>
  <si>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</si>
  <si>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</si>
  <si>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</si>
  <si>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</si>
  <si>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</si>
  <si>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</si>
  <si>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 (fallback)</t>
  </si>
  <si>
    <t>Stub Fraction (yr remaining)</t>
  </si>
  <si>
    <t>LTM Revenue (JPY mn) (override)</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</si>
  <si>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</si>
  <si>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</si>
  <si>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</si>
  <si>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</si>
  <si>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</si>
  <si>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</si>
  <si>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</si>
  <si>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</si>
  <si>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</si>
  <si>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</si>
  <si>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</si>
  <si>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</si>
  <si>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</si>
  <si>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</si>
  <si>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</si>
  <si>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</si>
  <si>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</si>
  <si>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</si>
  <si>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</si>
  <si>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</si>
  <si>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</si>
  <si>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</si>
  <si>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</si>
  <si>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</si>
  <si>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</si>
  <si>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</si>
  <si>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</si>
  <si>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</si>
  <si>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</si>
  <si>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</si>
  <si>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</si>
  <si>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</si>
  <si>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</si>
  <si>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</si>
  <si>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</si>
  <si>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</si>
  <si>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</si>
  <si>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</si>
  <si>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</si>
  <si>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</si>
  <si>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</si>
  <si>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</si>
  <si>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</si>
  <si>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</si>
  <si>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</si>
  <si>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</si>
  <si>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</si>
  <si>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Tamagawa Holdings (6838.T)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</si>
  <si>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</si>
  <si>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</si>
  <si>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</si>
  <si>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</si>
  <si>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</si>
  <si>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</si>
  <si>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</si>
  <si>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</si>
  <si>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(FY2026/10 guidance actual)</t>
  </si>
  <si>
    <t>Cycle-peak Operating Profit (Q2 FY26 single x4 actual)</t>
  </si>
  <si>
    <t>Terminal-year Revenue, active scenario (JPY mn)</t>
  </si>
  <si>
    <t>Base-case DCF Enterprise Value, PGM (JPY mn)</t>
  </si>
  <si>
    <t>Cycle-peak Operating Margin (Q2 FY26 single x4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</si>
  <si>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</si>
  <si>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</si>
  <si>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</si>
  <si>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</si>
  <si>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</si>
  <si>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</si>
  <si>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Q2 FY26 single x4 peak</t>
  </si>
  <si>
    <t>... as a multiple of FY2026/10 guidance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</si>
  <si>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</si>
  <si>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</si>
  <si>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</si>
  <si>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</si>
  <si>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</si>
  <si>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</si>
  <si>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</si>
  <si>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</si>
  <si>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</si>
  <si>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</si>
  <si>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</si>
  <si>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</si>
  <si>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</si>
  <si>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</si>
  <si>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Q2 FY26 single x4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</si>
  <si>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</si>
  <si>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</si>
  <si>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</si>
  <si>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</si>
  <si>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</si>
  <si>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</si>
  <si>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(Q2 FY26 single x4)</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</si>
  <si>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</si>
  <si>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</si>
  <si>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</si>
  <si>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</si>
  <si>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</si>
  <si>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</si>
  <si>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</si>
  <si>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</si>
  <si>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Tamagawa Holdings</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</si>
  <si>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</si>
  <si>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</si>
  <si>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</si>
  <si>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</si>
  <si>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</si>
  <si>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</si>
  <si>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</si>
  <si>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</si>
  <si>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</si>
  <si>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</si>
  <si>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</si>
  <si>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</si>
  <si>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</si>
  <si>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</si>
  <si>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</si>
  <si>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</si>
  <si>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</si>
  <si>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</si>
  <si>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</si>
  <si>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2026-09-14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</si>
  <si>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</si>
  <si>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</si>
  <si>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</si>
  <si>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</si>
  <si>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</si>
  <si>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</si>
  <si>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</si>
  <si>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</si>
  <si>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</si>
  <si>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</si>
  <si>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</si>
  <si>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</si>
  <si>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</si>
  <si>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</si>
  <si>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Tamagawa HD (6838) [subject]</t>
  </si>
  <si>
    <t>6838.T</t>
  </si>
  <si>
    <t>Tokyo Keiki (7721)</t>
  </si>
  <si>
    <t>7721.T</t>
  </si>
  <si>
    <t>Nippon Avionics (6946)</t>
  </si>
  <si>
    <t>6946.T</t>
  </si>
  <si>
    <t>RION (6823)</t>
  </si>
  <si>
    <t>6823.T</t>
  </si>
  <si>
    <t>Ikegami Tsushinki (6771)</t>
  </si>
  <si>
    <t>6771.T</t>
  </si>
  <si>
    <t>Artiza Networks (6778)</t>
  </si>
  <si>
    <t>6778.T</t>
  </si>
  <si>
    <t>Statistics</t>
  </si>
  <si>
    <t>25th Percentile</t>
  </si>
  <si>
    <t>Median (50th)</t>
  </si>
  <si>
    <t>75th Percentile</t>
  </si>
  <si>
    <t>Implied Valuation for Tamagawa Holdings</t>
  </si>
  <si>
    <t>Tamagawa Holdings Financials</t>
  </si>
  <si>
    <t>EBITDA (JPY mn)</t>
  </si>
  <si>
    <t>Net Income (JPY mn)</t>
  </si>
  <si>
    <t>Shares Outstanding</t>
  </si>
  <si>
    <t>Implied Share Price (Median Multiples)</t>
  </si>
  <si>
    <t>Via EV/EBITDA (Median)</t>
  </si>
  <si>
    <t>Via PER (Median)</t>
  </si>
  <si>
    <t>Net Income normalised (FY2026/10E pretax 1,158 ex Addvalue FV gain x normalised tax C6) [参考・Target不算入]</t>
  </si>
  <si>
    <t>会社予想の親会社帰属当期利益1,835は Addvalue株の評価益(税効果控除後)を含み PER の分母として不適。FY2026/10E 推定営業利益1,236 − 金融費用純額78.4 = 1,157.6 に DCF Model!C6 の正常化税率30%を適用。H1実績でも中間利益1,832.4の約73%が評価益由来(正常化純利益499、Segment Bridge 表4)。FY2025/10(J-GAAP)の特別利益132.1(投資有価証券売却益124.4・固定資産売却益7.7)も正常化で除外。</t>
  </si>
  <si>
    <t>Via PER (Median, normalized NI) [参考・Target不算入]</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</si>
  <si>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</si>
  <si>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</si>
  <si>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</si>
  <si>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</si>
  <si>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</si>
  <si>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</si>
  <si>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</si>
  <si>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</si>
  <si>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</si>
  <si>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Tamagawa Holdings</t>
  </si>
  <si>
    <t>日付</t>
  </si>
  <si>
    <t>セル</t>
  </si>
  <si>
    <t>変更内容</t>
  </si>
  <si>
    <t>理由</t>
  </si>
  <si>
    <t>元の値</t>
  </si>
  <si>
    <t>状態</t>
  </si>
  <si>
    <t>2026-09-14</t>
  </si>
  <si>
    <t>-</t>
  </si>
  <si>
    <t>Generated by pipeline on 2026-09-14 10:51, template rev 5c8a57d</t>
  </si>
  <si>
    <t>初期生成（手修正なし）</t>
  </si>
  <si>
    <t>generated</t>
  </si>
  <si>
    <t>全シート(単位)</t>
  </si>
  <si>
    <t>原典の決算短信・有報・半期報告書は【千円】表記。本モデルは全て【百万円】に換算済み</t>
  </si>
  <si>
    <t>桁事故の温床のため冒頭に明示。相互検算: 半期報告書 売上収益3,742,889千円 = 3,742.9百万円、営業利益751,607千円 = 751.6、有報FY2025/10 支払利息58,405千円 = 58.4。プロンプト入力表(百万円換算済み)と一致。</t>
  </si>
  <si>
    <t>確定</t>
  </si>
  <si>
    <t>全シート(比較可能性の制約)</t>
  </si>
  <si>
    <t>時系列は二重に断絶: (1) IFRS任意適用(移行日2024-11-01、FY2026/10 Q1から) (2) 決算期変更(FY2024/10 = 2024-04-01〜10-31 の7ヶ月変則決算)</t>
  </si>
  <si>
    <t>Financial Statements の FY2023/3・FY2024/3・FY2024/10(7M)・FY2025/10 は J-GAAP、FY2026/10E は IFRS 推定。7ヶ月と12ヶ月、J-GAAP と IFRS を並べた前年比は無意味であり、成長率行を指標として読まないこと。hist_years のラベルに (7M) と E を付して区別。Segment Bridge の4列(7M J-GAAP / 12M J-GAAP / H1 IFRS x2)も時系列ではない旨を冒頭注記。LTM 6,754 も GAAP 混在の近似。</t>
  </si>
  <si>
    <t>設計判断</t>
  </si>
  <si>
    <t>DCF Model!C15 / Executive Summary</t>
  </si>
  <si>
    <t>株価・株数の基準日整合チェック(プロンプト要確認事項): 株式分割なし。株数9,121,192株を採用(プロンプト指定9,182,700株から変更、ユーザー承認済み)</t>
  </si>
  <si>
    <t>(1) 2026-06-04の2,372円→1,530円は実際の値下がり: Yahoo 年初来安値696円(1/5)・高値2,496円(6/3)・9/11終値1,526円、同期間の株数は8,912,700→9,182,700(+3%)で分割の痕跡なし。社長名『投資家の皆さまへ』(2026-07-21)は業績予想・事業計画に重大な変更なしと表明。(2) 株数増はMSワラント(Cantor Fitzgerald Europe 宛 第15〜17回、計1,626,700株)の行使で、第16回は2026-05-12、第17回は05-18に全行使完了(残0)。(3) 不整合A: 9,182,700株は自己株61,508株を含む → 控除。不整合B: 6/15株数に含まれる5月行使265,100株の払込金251.7百万円が4/30 BSのネットキャッシュに未計上 → net debt に加算。以上をユーザーに報告し『流通株+現金補正』の承認を得てからモデル化した。</t>
  </si>
  <si>
    <t>9,182,700株</t>
  </si>
  <si>
    <t>確定(ユーザー承認)</t>
  </si>
  <si>
    <t>DCF Model!C15(残差4,900株)</t>
  </si>
  <si>
    <t>4/30発行済8,912,700 + 第16回104,300 + 第17回160,800 = 9,177,800 と 6/15提出日 9,182,700 の差4,900株の出所が未特定</t>
  </si>
  <si>
    <t>第13回(行使期間2026-03-31終了)・第14回新株予約権の行使と推定。払込金は未特定のため現金に加算していない(影響は1株あたり1円未満)。第14回の未行使残(潜在株式)も未確認 — H1の希薄化性潜在株式245,102株は期中平均ベースで、MSワラント完了後の残存数は不明。</t>
  </si>
  <si>
    <t>要確認</t>
  </si>
  <si>
    <t>DCF Model!C16</t>
  </si>
  <si>
    <t>Net Debt = -2,756(有利子負債3,545.0 − 現金3,795.3 − 5月払込251.7 − Addvalue株2,254.3)</t>
  </si>
  <si>
    <t>【Addvalue二重計上回避ロジック】海外現地法人保有のSGX上場 Addvalue Technologies 株125,802,352株(2026-04-30公正価値2,254.3、レベル1、FVTPL)を非事業資産として現金同等に EV から控除する。同時に、H1金融収益1,595.5(評価益)は正常化EBIT・正常化純利益・core_net_income・Comps自社行から全額除外する。評価益を利益に残したまま資産も控除すると同じ価値を二度数えるため、『利益から除外・資産で一度だけ控除』に統一。素のEV(非控除)と50%評価ケースは Segment Bridge 表2に生きた数式で併記し、表2の検算行(Reverse DCF!C10 との差=0)で DCF Model!C16 との整合を監視する。</t>
  </si>
  <si>
    <t>プロンプト: 素のEV 13,799.2 / 控除後EV 11,545.2(株数9,182,700・4/30現金ベース)</t>
  </si>
  <si>
    <t>DCF Model!C16(Addvalue 時価)</t>
  </si>
  <si>
    <t>Addvalue株の控除額は2026-04-30の開示公正価値2,254.3を主値とした(ユーザー承認)。2026-09-14時点の時価は未確定</t>
  </si>
  <si>
    <t>Web検索では直近株価 SGD 0.14(日付未確認)。4/30評価額の1株あたりは約17.9円。SGD/JPY と日付付き株価を確認のうえ、Q3短信(7/31時点の評価額が開示される見込み)で差し替える。週次約9%動く銘柄で、50%評価ケースのEVと必要利益を Segment Bridge 表2に併記。</t>
  </si>
  <si>
    <t>DCF Model!C16(Addvalue 税効果)</t>
  </si>
  <si>
    <t>Addvalue控除は税効果控除前(グロス)の2,254.3</t>
  </si>
  <si>
    <t>H1に繰延税金負債が97.3→376.0(+278.7)増加しており評価益への繰延税金と解される。売却時の税流出を控除すると控除額は約1,976(1株あたり約-30円)。プロンプト指示(2,254控除)に従いグロスを主値とし、差額を未解決として残す。</t>
  </si>
  <si>
    <t>DCF Model!C6</t>
  </si>
  <si>
    <t>Tax Rate = 30.0%(正常化税率)</t>
  </si>
  <si>
    <t>H1実効税率20.6%(475.4/2,307.9)は評価益の繰延税金を含み正常値として使えない。国内法定実効税率約30.6%を丸めた。海外子会社(ベトナム工場等)の軽課は未反映。</t>
  </si>
  <si>
    <t>H1実効税率 20.6%</t>
  </si>
  <si>
    <t>推定・要確認</t>
  </si>
  <si>
    <t>DCF Model!C7</t>
  </si>
  <si>
    <t>Risk-Free Rate = 3.00%</t>
  </si>
  <si>
    <t>財務省 jgbcm.csv 10年債 2.987%(2026-09-11)を丸め。</t>
  </si>
  <si>
    <t>テンプレ既定 2.2%</t>
  </si>
  <si>
    <t>DCF Model!C8</t>
  </si>
  <si>
    <t>Beta raw = 1.436(Blume調整後 1.292)</t>
  </si>
  <si>
    <t>6838 週次リターン104週(〜2026-08-31、screener.db prices)を TOPIX に回帰、相関0.379。1年1.775 / 3年1.267。yfinance は venv の numpy DLL がアプリケーション制御ポリシーでブロックされ使用不可のため自前回帰。MSワラント行使期の需給が β を押し上げている可能性あり。</t>
  </si>
  <si>
    <t>yfinance 取得不能</t>
  </si>
  <si>
    <t>推定</t>
  </si>
  <si>
    <t>DCF Model!C10</t>
  </si>
  <si>
    <t>Size Premium = 4.0%</t>
  </si>
  <si>
    <t>時価総額約140億円・浮動株が薄く年率ボラ60%・直近1年でMSワラントにより発行済株式が約+33%。テンプレ自動値3.0%に+1pt。</t>
  </si>
  <si>
    <t>自動値 3.0%</t>
  </si>
  <si>
    <t>DCF Model!C12</t>
  </si>
  <si>
    <t>D/E Ratio = 0.0(明示指定)</t>
  </si>
  <si>
    <t>ネットキャッシュ(Addvalue控除前でも -502)のため全額株主資本の資本構成。自動計算は負のD/Eを出すため明示。グロス基準0.254ならWACC約-2.6pt。</t>
  </si>
  <si>
    <t>自動値(負値)</t>
  </si>
  <si>
    <t>DCF Model!C11</t>
  </si>
  <si>
    <t>Cost of Debt(税引後)= 1.11%(実績: 支払利息58.4 ÷ 平均有利子負債3,682.0 = 税引前1.59%)</t>
  </si>
  <si>
    <t>overrides interest_expense / debt_beginning 3,646.0 / debt_ending 3,718.0(FY2025/10 J-GAAP、プロンプト指定)。de_ratio=0 のため WACC への寄与はゼロ。実績は既存借入の平均コストで限界コストではない。</t>
  </si>
  <si>
    <t>テンプレ既定 2.8%</t>
  </si>
  <si>
    <t>DCF Model!C13 / C14</t>
  </si>
  <si>
    <t>Terminal Growth 1.0% / Exit EV/EBITDA 7.0x</t>
  </si>
  <si>
    <t>ピア中央値18.9xは防衛テーマで再評価中の東京計器・日本アビオニクスが牽引し、成熟期に防衛プレミアムを持ち込まない。validate WARN 11: PGM逆算Exit 3.53x vs 仮定7.00x(1.98倍)。PGM逆算を押し下げているのは WACC 14.1%で、7.0xはピア中央値の約1/3と既に保守的なため据え置き(追補6 §X 裁定: 収斂・裁定不要)。Exitを6.0xにすると乖離は1.7倍に収まるが Exit法株価は下がる — chat側検証で判断を仰ぐ。</t>
  </si>
  <si>
    <t>テンプレ既定 10.0x</t>
  </si>
  <si>
    <t>DCF Model!C17 / Financial Statements FY2026/10E</t>
  </si>
  <si>
    <t>基準年 FY2026/10E: 売上6,950(会社予想)/ 営業利益1,236(推定)</t>
  </si>
  <si>
    <t>営業利益 = H1実績751.6 + H2売上3,207.1 x Q2単独OPM15.1%。会社予想の事業利益820は H1進捗91.7%・暗黙のH2 68.4 で陳腐化(S5型)しており基準年に使わない(Management シナリオ起点・Reverse DCF op0 に使用)。累計値の年率換算(751.6x2=1,503)は禁止(3441の教訓)。</t>
  </si>
  <si>
    <t>会社予想 820</t>
  </si>
  <si>
    <t>DCF Model(Q2単独の減速)</t>
  </si>
  <si>
    <t>Q2単独: 売上1,691.9(Q1比-17.5%)/ 営業利益255.6 / OPM15.1%(Q1 24.2%から約-9pt)を前提セルとして明示</t>
  </si>
  <si>
    <t>Segment Bridge 表1に Q1・H1・Q2単独(数式)を置き、Base の定常マージンの手掛かりとした。説明資料p13は一部案件で顧客支給品の影響により完成が翌月にずれ込んだと説明(Upside はこれを期ズレと解釈)。</t>
  </si>
  <si>
    <t>Segment Bridge 表1 列F</t>
  </si>
  <si>
    <t>Q3 FY2026/10 短信(2026-09-14 発表予定)は【未取込】</t>
  </si>
  <si>
    <t>モデル作成時点(2026-09-14 10:15 JST)の TDnet 当日一覧に 6838 の開示なし。9M累計の売上・営業利益・官公庁向け売上・電子通信セグメント利益の入力セル(青、'-')と、Q3単独・OPM・年率換算の派生セル(未入力時は『未入力』表示)を用意。発表後は列Fに入力 → overrides reverse_dcf.peak_op を Q3単独x4 に更新 → 再生成。</t>
  </si>
  <si>
    <t>未解決</t>
  </si>
  <si>
    <t>DCF Model!C19</t>
  </si>
  <si>
    <t>Stub Fraction = 1.13年(Y1 = FY2027/10)</t>
  </si>
  <si>
    <t>2026-09-14 → 2027-10-31 = 412日。FY2026/10 H2(2026-05〜10)のFCFは評価に含めていない(net debt は4/30+5月払込時点)— 保守側。H2の営業CF相当(約400)を加えると1株あたり約+40円。</t>
  </si>
  <si>
    <t>テンプレ自動値</t>
  </si>
  <si>
    <t>DCF Model シナリオ5本</t>
  </si>
  <si>
    <t>分岐軸 = 官公庁向け量産の持続性 x Q2減速の解釈。Y5営業利益: Upside 2,985 / Management 1,756 / Base 1,307 / Downside1 333 / Downside2 117</t>
  </si>
  <si>
    <t>Base: Q2単独OPM15.1%を手掛かりに12〜15%帯へ収斂、売上は中計より遅いペース。Upside: Q2減速は期ズレ、定常OPM20%超。Management: 会社予想820起点で二桁成長。Downside1: 初期特需一巡でFY2025/10水準OPM5%へ。Downside2: 期ズレ+再エネ減損で営業赤字近傍。単調性は生成後に Executive Summary で確認する。</t>
  </si>
  <si>
    <t>DCF Model(セグメント)</t>
  </si>
  <si>
    <t>DCF は連結ベース。セグメント分解は Segment Bridge(情報シート)に置き、overrides の segments ブロックは使わない</t>
  </si>
  <si>
    <t>セグメント別 COGS は XBRL にない(標準メモ§4 但し書きにより営業利益率で代替)。比較可能な開示期が基準の異なる4列しかなく、segments ブロックで COGS を逆算させると7ヶ月・J-GAAP の列に依存するため。電子・通信用機器のセグメントOPMは 9.6%(FY2024/10 7M)/ 11.4%(FY2025/10)/ 13.9%(H1 FY25)/ 26.1%(H1 FY26)。Q1の官公庁向け売上1,240・セグメント利益555を表1の前提セルに置いた。</t>
  </si>
  <si>
    <t>DCF Model Capex / D&amp;A</t>
  </si>
  <si>
    <t>direct方式。FY2026/10E capex 500【推定】、予測 700/650/520/460/430、D&amp;A 400→440</t>
  </si>
  <si>
    <t>系統用蓄電所(みやま市、2026-08-31引渡し完了)の取得額と本社第二工場の投資額が未開示。FY2024/10(7M)の capex はセグメント注記の固定資産増加額188.9で代替。ターミナル capex/D&amp;A = 0.98。シナリオ非連動。</t>
  </si>
  <si>
    <t>NWC Schedule</t>
  </si>
  <si>
    <t>基準年 AR 1,537.8 / 在庫 2,573.5 / AP 792.7(2026-04-30 IFRS)→ DSO 80.8 / DIH 229.5 / DPO 70.7日</t>
  </si>
  <si>
    <t>仕掛品 +50.6%(J-GAAP FY2024/10末1,042.1→FY2025/10末1,569.5)を COGS規模要因 +38.1%(FY2024/10は7ヶ月を12/7で年率化=推定)と日数要因 +9.0% に分解(Segment Bridge 表3)。受注生産型ゆえ仕掛増は受注の先行指標にもなり得るが(受注高5,787 &gt; 売上5,588、H1受注4,295 &gt; 売上3,743、契約負債30.1→71.2)、日数部分は案件遅延のシグナルでもあり両義。H1 FY26 に在庫2,752.7→2,573.5 と転換が始まっている。価格要因と数量要因は COGS 成長に混在しており分離できない。</t>
  </si>
  <si>
    <t>Comps Analysis</t>
  </si>
  <si>
    <t>ピア5社: 東京計器7721 / 日本アビオニクス6946 / リオン6823 / 池上通信機6771 / アルチザネットワークス6778。取得日 2026-09-14</t>
  </si>
  <si>
    <t>時価総額は Yahoo!ファイナンス 2026-09-14 前場(10:08〜10:25)の値を Market_Cap 列に静的記入。財務は EDINET 有報 XBRL(7721 S100YMS0 / 6946 S100YDXW / 6823 S100YI2O / 6771 S100YGW1 = FY2026/3、6778 S100WW7U = FY2025/7)。EBITDA = 営業利益 + 減価償却費(CF)で全社統一。Net_Debt = 借入金+社債+リース − 現金預金 + 非支配株主持分。プロンプト例示の日本無線(6751)は2017年に日清紡HDの完全子会社となり上場廃止のため不採用。</t>
  </si>
  <si>
    <t>Comps Analysis(基準差・分母の歪み)</t>
  </si>
  <si>
    <t>会計基準・決算期の差、分母が歪んだピアを残置</t>
  </si>
  <si>
    <t>(1) 自社は IFRS・10月期・FY2026/10E 推定値、ピアは全社 J-GAAP・3月期(アルチザは7月期で約14ヶ月古い)。(2) 池上通信機は OPM 1.9%(案件が第4四半期に集中)、アルチザは OPM 4.3%・前期赤字で PER 44x。『残置+除外』が原則だが、現行テンプレは live 銘柄を統計から外す経路を持たない(CSV の除外列は未実装)。両社を除いても中央値は不変(EV/EBITDA 18.9x、PER 28.4x)のため残置・統計込みとし理由を記録。(3) リオンは借入金タグを XBRL で検出できず有利子負債0で計上。(4) 東京計器・日本アビオニクスは防衛テーマで再評価中。Comps は規約どおり Target 不算入。</t>
  </si>
  <si>
    <t>Comps Analysis 自社行</t>
  </si>
  <si>
    <t>自社行 = FY2026/10E: 売上6,950 / EBITDA 1,613 / 営業利益1,236 / 正常化純利益810 / 純資産9,372</t>
  </si>
  <si>
    <t>会社予想の当期利益1,835は Addvalue 評価益を含むため PER 分母に使わない(PER が約7.6xに見えてしまう)。純資産は4/30 + 5月払込のプロフォーマ。</t>
  </si>
  <si>
    <t>報告ベース 1,835</t>
  </si>
  <si>
    <t>Comps Analysis 正常化純利益行</t>
  </si>
  <si>
    <t>normalized_net_income: 税前1,157.6(= 営業利益1,236 − 金融費用純額78.4)x (1 − C6)</t>
  </si>
  <si>
    <t>評価益1,595.5(H1)と FY2025/10 の特別利益(投資有価証券売却益124.4・固定資産売却益7.7)を除外。金融費用純額はH1金融費用39.2の2倍で推定。H1実績でも中間利益1,832.4の約73%が評価益由来(正常化純利益499)。</t>
  </si>
  <si>
    <t>Reverse DCF</t>
  </si>
  <si>
    <t>op0 = 820(会社予想)/ peak_op = 1,022.4(Q2単独255.6 x4)/ peak_opm 15.1% / n_years 3,5,7,10</t>
  </si>
  <si>
    <t>逆算の問い『1,530円は会社予想820の何倍の定常営業利益を何年後に要求するか』に直接答えるため。Block E(取引ベンチマーク)は該当TOB事例なしで非生成。代替として素のEV・Addvalue半値ケースの必要利益(Block A と B-3 N=5)を Segment Bridge 表2に Reverse DCF の係数セルへの生きた数式で配置。</t>
  </si>
  <si>
    <t>Sensitivity Analysis Table 3</t>
  </si>
  <si>
    <t>為替感応度は生成しない(fx_sensitivity 不使用)</t>
  </si>
  <si>
    <t>地域別売上は本邦90%超で開示省略、海外売上比率が不明。Addvalue はシンガポール株だが非事業資産で、そのSGD/JPY変動は事業の為替エクスポージャーではなく EV 控除額の変動として表2で扱う。</t>
  </si>
  <si>
    <t>Adjustments Log(環境)</t>
  </si>
  <si>
    <t>yfinance 不使用 — venv の numpy / pandas の DLL が Windows アプリケーション制御ポリシーでブロック</t>
  </si>
  <si>
    <t>影響: (1) Peer 株価鮮度チェックは ImportError でスキップ、(2) Comps は Market_Cap 静的列で供給、(3) β は screener.db の J-Quants 株価で自前回帰、(4) 市場データは overrides の current_price / shares_outstanding を使用。ブロック解除後に再生成すれば鮮度チェックが走る。</t>
  </si>
  <si>
    <t>Adjustments Log / Pipeline Metadata(docID ラベル)</t>
  </si>
  <si>
    <t>Disclosure vintage の年次 docID 対応が旧3月期の有報を10月末で表示(例: 2023-10-31=S100TV0O は実際は FY2024/3 有報)</t>
  </si>
  <si>
    <t>決算期変更銘柄で EDINET 探索が期末月10を過去期にも当てはめたラベル付けの問題。hist_* は全て overrides で年度ラベル付きで供給しており、Financial Statements の数値には影響しない(check 8 PASS)。テンプレ/フェッチャ側の改善候補として報告。</t>
  </si>
  <si>
    <t>DCF Model シナリオ単調性(初回生成)</t>
  </si>
  <si>
    <t>初回生成で Management(Target 973)&lt; Base(997)の逆転を検出し、Management の OPM を12.5→14.0% から13.0→15.0%、DIH を225→210日から220→200日へ修正</t>
  </si>
  <si>
    <t>初回の Management は早期OPMが Base より低く、高成長に伴う NWC 負担で PGM が Base を下回った。会社予想820は H1進捗92%の下限と読むのが Management の趣旨に合うため修正。修正後(Excel COM で C27 を切替・再計算して確認): Upside 1,669(PGM 1,382 / Exit 1,956、HOLD +9.1%)&gt; Management 1,066(822 / 1,309)&gt; Base 997(825 / 1,169、SELL -34.8%)&gt; Downside1 505(390 / 620)&gt; Downside2 331(219 / 443)で単調。Downside2 の Exit 法 EV は -134 だがネットキャッシュで株式価値は正(INVALID ガード非発動)。</t>
  </si>
  <si>
    <t>Management OPM 12.5→14.0%(Target 973 &lt; Base 997)</t>
  </si>
  <si>
    <t>Executive Summary(DRAFT)</t>
  </si>
  <si>
    <t>本モデルは DRAFT。chat側検証 → 手修正 → ユーザー承認後に FINAL 化</t>
  </si>
  <si>
    <t>手順書v2 §6-3 / 標準メモ§2。</t>
  </si>
  <si>
    <t>DRAFT</t>
  </si>
  <si>
    <t>Pipeline Metadata (do not edit — read by scripts/validate_output.py)</t>
  </si>
  <si>
    <t>key</t>
  </si>
  <si>
    <t>value</t>
  </si>
  <si>
    <t>annual_doc_ids</t>
  </si>
  <si>
    <t>2025-10-31=S100XHR9, 2024-10-31=S100V5E9, 2023-10-31=S100TV0O, 2022-10-31=S100R5MN, 2021-10-31=S100OBOM</t>
  </si>
  <si>
    <t>auto_log_entries</t>
  </si>
  <si>
    <t>2</t>
  </si>
  <si>
    <t>beta_adopted_c8</t>
  </si>
  <si>
    <t>1.2921</t>
  </si>
  <si>
    <t>beta_basis</t>
  </si>
  <si>
    <t>Blume: 0.67 x 1.436 + 0.33 x 1.00 = 1.292</t>
  </si>
  <si>
    <t>beta_blume_adjusted</t>
  </si>
  <si>
    <t>beta_clamped</t>
  </si>
  <si>
    <t>no</t>
  </si>
  <si>
    <t>beta_raw</t>
  </si>
  <si>
    <t>1.436</t>
  </si>
  <si>
    <t>capex_pct_basis</t>
  </si>
  <si>
    <t>explicit_override</t>
  </si>
  <si>
    <t>capex_pct_c5</t>
  </si>
  <si>
    <t>0.06</t>
  </si>
  <si>
    <t>capex_pct_hist3yr</t>
  </si>
  <si>
    <t>0.086905</t>
  </si>
  <si>
    <t>company_name</t>
  </si>
  <si>
    <t>comps_asof</t>
  </si>
  <si>
    <t>comps_da_missing</t>
  </si>
  <si>
    <t>none</t>
  </si>
  <si>
    <t>comps_ebitda_excluded</t>
  </si>
  <si>
    <t>comps_ev_ebitda_invalid</t>
  </si>
  <si>
    <t>comps_ev_ebitda_rows</t>
  </si>
  <si>
    <t>6,7,8,9,10</t>
  </si>
  <si>
    <t>comps_impl_mult_row</t>
  </si>
  <si>
    <t>27</t>
  </si>
  <si>
    <t>comps_impl_per_row</t>
  </si>
  <si>
    <t>28</t>
  </si>
  <si>
    <t>comps_normalized_ni_row</t>
  </si>
  <si>
    <t>29</t>
  </si>
  <si>
    <t>comps_normalized_per_row</t>
  </si>
  <si>
    <t>30</t>
  </si>
  <si>
    <t>comps_peer_rows</t>
  </si>
  <si>
    <t>comps_per_excluded</t>
  </si>
  <si>
    <t>comps_stale_excluded</t>
  </si>
  <si>
    <t>comps_stat_median_row</t>
  </si>
  <si>
    <t>16</t>
  </si>
  <si>
    <t>comps_subject_row</t>
  </si>
  <si>
    <t>5</t>
  </si>
  <si>
    <t>core_ebitda</t>
  </si>
  <si>
    <t>1613</t>
  </si>
  <si>
    <t>core_net_income</t>
  </si>
  <si>
    <t>810</t>
  </si>
  <si>
    <t>cost_of_debt_actual</t>
  </si>
  <si>
    <t>interest 58 (expense 58 + fees 0) / avg debt 3,682 (debt_beginning/debt_ending) = 0.015861 pre-tax -&gt; 0.011100 after-tax</t>
  </si>
  <si>
    <t>cost_of_debt_at_c11</t>
  </si>
  <si>
    <t>0.0111</t>
  </si>
  <si>
    <t>cost_of_debt_avg_debt</t>
  </si>
  <si>
    <t>3682.0</t>
  </si>
  <si>
    <t>cost_of_debt_basis</t>
  </si>
  <si>
    <t>actual</t>
  </si>
  <si>
    <t>cost_of_debt_interest</t>
  </si>
  <si>
    <t>58.4</t>
  </si>
  <si>
    <t>cost_of_debt_pretax</t>
  </si>
  <si>
    <t>0.01586094513851168</t>
  </si>
  <si>
    <t>da_pct_basis</t>
  </si>
  <si>
    <t>da_pct_c18</t>
  </si>
  <si>
    <t>0.055</t>
  </si>
  <si>
    <t>da_pct_hist3yr</t>
  </si>
  <si>
    <t>0.063013</t>
  </si>
  <si>
    <t>disclosure_basis_date</t>
  </si>
  <si>
    <t>2025-10-31</t>
  </si>
  <si>
    <t>fs_year_coverage</t>
  </si>
  <si>
    <t>OCF 5/5, Cash 5/5, Debt 5/5</t>
  </si>
  <si>
    <t>fs_year_map</t>
  </si>
  <si>
    <t>FY2023/3&lt;-FY2023[ocf+cash+debt]; FY2024/3&lt;-BLANK[ocf+cash+debt]; FY2024/10(7M)&lt;-BLANK[ocf+cash+debt]; FY2025/10&lt;-FY2025[ocf+cash+debt]; FY2026/10E&lt;-BLANK[ocf+cash+debt]</t>
  </si>
  <si>
    <t>fs_year_sources</t>
  </si>
  <si>
    <t>overrides: hist_ocf, hist_cash, hist_debt, hist_capex, hist_depreciation | EDINET year-key match: none</t>
  </si>
  <si>
    <t>fx_sensitivity</t>
  </si>
  <si>
    <t>not enabled</t>
  </si>
  <si>
    <t>generated_at</t>
  </si>
  <si>
    <t>2026-09-14 10:51:26</t>
  </si>
  <si>
    <t>guidance_note</t>
  </si>
  <si>
    <t>screener DB: no guidance row for code=6838 in the TDnet archive | EDINET XBRL: 6 cached EDINET XBRL file(s) for this ticker carry no ForecastMember context | EDINET tanshin: skipped (--tanshin-fallback not given; EDINET does not host 決算短信)</t>
  </si>
  <si>
    <t>guidance_source</t>
  </si>
  <si>
    <t>interim_doc_id</t>
  </si>
  <si>
    <t>2026-10-31=S100YBBW</t>
  </si>
  <si>
    <t>latest_operating_income</t>
  </si>
  <si>
    <t>1236.0</t>
  </si>
  <si>
    <t>ltm_revenue_c20</t>
  </si>
  <si>
    <t>6754</t>
  </si>
  <si>
    <t>ltm_revenue_source</t>
  </si>
  <si>
    <t>override</t>
  </si>
  <si>
    <t>market_data_source</t>
  </si>
  <si>
    <t>yfinance; from overrides: beta, current_price, shares, shares_outstanding</t>
  </si>
  <si>
    <t>narrative_tokens_used</t>
  </si>
  <si>
    <t>pb,price,target_price,upside_pct,wacc</t>
  </si>
  <si>
    <t>net_debt_source</t>
  </si>
  <si>
    <t>UNAVAILABLE (no net_debt, and total_debt/cash incomplete)</t>
  </si>
  <si>
    <t>reverse_dcf_sheet</t>
  </si>
  <si>
    <t>op0=820(FY2026/10 guidance) peak=1,022(Q2 FY26 single x4) peak_opm=0.1510 N=3/5/7/10</t>
  </si>
  <si>
    <t>scenario_index_range</t>
  </si>
  <si>
    <t>B69:B73</t>
  </si>
  <si>
    <t>tax_rate_c6</t>
  </si>
  <si>
    <t>0.3</t>
  </si>
  <si>
    <t>template_rev</t>
  </si>
  <si>
    <t>5c8a57d</t>
  </si>
  <si>
    <t>ticker</t>
  </si>
  <si>
    <t>Segment Bridge - Tamagawa HD (6838)</t>
  </si>
  <si>
    <t>Two reportable segments: Electronic &amp; Communication Equipment (radio, measurement, information and industrial equipment; government and 5G/mobile infrastructure) and Renewable Energy (small wind / solar plant sales and power sales). All figures JPY mn; the source filings are in JPY thousands.</t>
  </si>
  <si>
    <t>COMPARABILITY WARNING: the four columns are NOT a time series. FY2024/10 is a 7-month transition period (Apr-Oct 2024) under J-GAAP; FY2025/10 is 12 months under J-GAAP; the two H1 columns are 6 months under IFRS (transition date 2024-11-01). No growth rate is computed across these columns on purpose. Margins within a column are comparable; growth between columns is not.</t>
  </si>
  <si>
    <t>Segment profit is operating-profit based. The adjustment row is disclosed group overhead (plus unrealised-profit eliminations), so the profit bridge closes to the disclosed consolidated operating profit.</t>
  </si>
  <si>
    <t>Informational sheet: no cell on the DCF Model sheet references it. Tables 2-5 below reference 'Reverse DCF' and hold the Q3 replacement cells, the Addvalue EV bridge, the NWC decomposition and the normalisation bridge.</t>
  </si>
  <si>
    <t>1. Segment Revenue (JPY mn)</t>
  </si>
  <si>
    <t>Segment</t>
  </si>
  <si>
    <t>FY2024/10 (7M) J-GAAP</t>
  </si>
  <si>
    <t>FY2025/10 J-GAAP</t>
  </si>
  <si>
    <t>H1 FY2025/10 IFRS</t>
  </si>
  <si>
    <t>H1 FY2026/10 IFRS</t>
  </si>
  <si>
    <t>Electronic &amp; Communication Equipment  電子・通信用機器</t>
  </si>
  <si>
    <t>Main customers FY2025/10: NEC 1,331.6 / Toshiba 857.6. H1 FY2026 revenue split: government 2,089.1, mobile infrastructure 769.0, public projects 386.5, FA/measurement/other 204.9.</t>
  </si>
  <si>
    <t>Renewable Energy  再生可能エネルギー</t>
  </si>
  <si>
    <t>Power sales plus plant sales. Flores (Indonesia) small-hydro and the Miyama grid battery (grid-connected Jul-2026, handed over 2026-08-31) are not yet in these columns.</t>
  </si>
  <si>
    <t>Segment total  セグメント計</t>
  </si>
  <si>
    <t>Adjustment  調整額 (内部売上高消去等)</t>
  </si>
  <si>
    <t>No inter-segment revenue is disclosed in any period, so the derived adjustment is zero.</t>
  </si>
  <si>
    <t>Consolidated revenue  連結売上高</t>
  </si>
  <si>
    <t>Disclosed consolidated revenue (J-GAAP 売上高 / IFRS 売上収益).</t>
  </si>
  <si>
    <t>2. Segment Profit to Consolidated Operating Profit (JPY mn)</t>
  </si>
  <si>
    <t>Segment profit total  セグメント利益計</t>
  </si>
  <si>
    <t>Adjustment  調整額 (全社費用・未実現利益消去)</t>
  </si>
  <si>
    <t>Bridged total  計算値</t>
  </si>
  <si>
    <t>Consolidated operating profit  連結営業利益 (開示値)</t>
  </si>
  <si>
    <t>Disclosed consolidated operating profit. IFRS operating profit = 事業利益 at present (company note: no equity-method or non-recurring items).</t>
  </si>
  <si>
    <t>Variance  差異 (計算値 - 開示値)</t>
  </si>
  <si>
    <t>Rounding of the disclosed JPY mn figures. A non-zero variance is shown rather than forced to zero.</t>
  </si>
  <si>
    <t>3. Segment Operating Margin</t>
  </si>
  <si>
    <t>Consolidated  連結</t>
  </si>
  <si>
    <t>4. Depreciation &amp; Amortisation by Segment (JPY mn)</t>
  </si>
  <si>
    <t>Segment D&amp;A total  計</t>
  </si>
  <si>
    <t>Adjustment  調整額 (D&amp;A)</t>
  </si>
  <si>
    <t>Segment D&amp;A is not disclosed in the IFRS interim note; the H1 consolidated D&amp;A (CF statement) is shown on the consolidated row only, so the H1 D&amp;A bridge is intentionally open.</t>
  </si>
  <si>
    <t>Consolidated D&amp;A  連結減価償却費 (開示値)</t>
  </si>
  <si>
    <t>CF-statement depreciation and amortisation.</t>
  </si>
  <si>
    <t>Consolidated EBITDA  (連結営業利益 + 連結D&amp;A)</t>
  </si>
  <si>
    <t>This is the core_ebitda basis used on 'Comps Analysis'.</t>
  </si>
  <si>
    <t>5. Single-quarter decomposition and Q3 replacement cells (Q3 results due 2026-09-14 - NOT yet loaded)</t>
  </si>
  <si>
    <t>Item</t>
  </si>
  <si>
    <t>Q1 FY26 (Nov-Jan)</t>
  </si>
  <si>
    <t>H1 FY26 cumulative</t>
  </si>
  <si>
    <t>Q2 single (derived)</t>
  </si>
  <si>
    <t>9M FY26 cumulative - INPUT</t>
  </si>
  <si>
    <t>Q3 single (derived)</t>
  </si>
  <si>
    <t>Revenue  売上収益</t>
  </si>
  <si>
    <t>Q2 single 1,691.9 = H1 - Q1 (-17.5% vs Q1). Type the 9M cumulative figure into column F over the dash when the Q3 短信 is released.</t>
  </si>
  <si>
    <t>Operating profit  営業利益</t>
  </si>
  <si>
    <t>Q2 single 255.6. Do not annualise the H1 cumulative figure (3441 lesson).</t>
  </si>
  <si>
    <t>Operating margin</t>
  </si>
  <si>
    <t>Q1 24.2% -&gt; Q2 single 15.1% (about -9pt). Base scenario anchors the steady-state margin on the Q2 single figure.</t>
  </si>
  <si>
    <t>Government revenue  官公庁向け売上</t>
  </si>
  <si>
    <t>Q1 1,240 (about 5.1x YoY). Q2 single derived 849.1. The 9M figure is in the Q3 revenue-disaggregation note.</t>
  </si>
  <si>
    <t>E&amp;C segment profit  電子・通信セグメント利益</t>
  </si>
  <si>
    <t>Q1 555 (3.7x YoY). Q2 single derived 345.3.</t>
  </si>
  <si>
    <t>Q2 single operating profit x4 (annualised run-rate)</t>
  </si>
  <si>
    <t>1,022.4 = the Reverse DCF peak_op input. Replace the Reverse DCF C15 input with the Q3 single x4 figure once column G is populated.</t>
  </si>
  <si>
    <t>Implied H2 operating profit if FY guidance 820 holds</t>
  </si>
  <si>
    <t>68.4 for the whole of H2 = guidance is stale (S5 type). H1 progress 91.7% of 820.</t>
  </si>
  <si>
    <t>H1 progress vs FY guidance (OP 820 / revenue 6,950)</t>
  </si>
  <si>
    <t>Column E of this row is H1 REVENUE progress (53.9%), the others are operating-profit progress.</t>
  </si>
  <si>
    <t>Blue cells are inputs. Column F shows '-' until the Q3 figures are typed in; every derived cell reads 未入力 until then. Adjustments Log records that the Q3 results were NOT loaded in this DRAFT (built 2026-09-14 10:15 JST, TDnet list had no 6838 entry).</t>
  </si>
  <si>
    <t>6. EV bridge - Addvalue deduction (double-count guard) and alternative EVs, live off 'Reverse DCF' (Block E substitute)</t>
  </si>
  <si>
    <t>JPY mn</t>
  </si>
  <si>
    <t>Market capitalisation (live)</t>
  </si>
  <si>
    <t>Price x 9,121,192 shares (issued 9,182,700 at 2026-06-15 less 61,508 treasury).</t>
  </si>
  <si>
    <t>Interest-bearing debt 2026-04-30 (borrowings 3,338.9 + leases 206.1)</t>
  </si>
  <si>
    <t>IFRS BS. Leases included, consistent with IFRS EBITDA.</t>
  </si>
  <si>
    <t>Cash and cash equivalents 2026-04-30</t>
  </si>
  <si>
    <t>IFRS BS.</t>
  </si>
  <si>
    <t>May-2026 warrant proceeds not yet in the 04-30 BS</t>
  </si>
  <si>
    <t>16th series 104,300 sh x 764 = 79.7; 17th series 160,800 sh x 1,070 = 172.1. Pro forma so that cash and share count share one basis date.</t>
  </si>
  <si>
    <t>BARE EV - Addvalue NOT deducted</t>
  </si>
  <si>
    <t>Reference only. Mixing this EV with normalised (gain-excluded) earnings would undercount the stake.</t>
  </si>
  <si>
    <t>Addvalue Technologies stake, FV 2026-04-30 (Level 1)</t>
  </si>
  <si>
    <t>125,802,352 SGX shares, FVTPL. H1 FV gain 1,595.5 booked in finance income.</t>
  </si>
  <si>
    <t>PRIMARY EV - Addvalue deducted (= model)</t>
  </si>
  <si>
    <t>Gain removed from earnings AND stake deducted from EV, once each. Never add the gain back to EBIT and deduct the stake at the same time as well.</t>
  </si>
  <si>
    <t>Check: primary EV less 'Reverse DCF'!C10 (must be 0)</t>
  </si>
  <si>
    <t>Non-zero means DCF Model!C16 net debt and this bridge have drifted apart.</t>
  </si>
  <si>
    <t>EV if Addvalue is marked at 50%</t>
  </si>
  <si>
    <t>SGX small cap, weekly moves of about 9%. 4/30 value per share about JPY 17.9.</t>
  </si>
  <si>
    <t>Block A required steady OP (immediate) - BARE EV</t>
  </si>
  <si>
    <t>EV x (WACC - g) / (1 - t).</t>
  </si>
  <si>
    <t>Block A required steady OP (immediate) - PRIMARY EV</t>
  </si>
  <si>
    <t>Live link.</t>
  </si>
  <si>
    <t>Block A required steady OP (immediate) - Addvalue 50%</t>
  </si>
  <si>
    <t>Same formula on the 50% EV.</t>
  </si>
  <si>
    <t>Block B-3 required steady OP, N=5, model WACC - BARE EV</t>
  </si>
  <si>
    <t>OP* = (EV/(1-t) - OP0 x (A-B)) / (B+TVF), factors from Reverse DCF F39 / F44.</t>
  </si>
  <si>
    <t>Block B-3 required steady OP, N=5, model WACC - PRIMARY EV</t>
  </si>
  <si>
    <t>Block B-3 required steady OP, N=5, model WACC - Addvalue 50%</t>
  </si>
  <si>
    <t>Primary B-3 (N=5) as % of FY guidance OP 820</t>
  </si>
  <si>
    <t>The headline multiple asked in the prompt.</t>
  </si>
  <si>
    <t>Primary B-3 (N=5) as % of Q2 single x4 (1,022.4)</t>
  </si>
  <si>
    <t>Against the Q2 single-quarter run-rate.</t>
  </si>
  <si>
    <t>Bare-EV B-3 (N=5) as % of FY guidance OP 820</t>
  </si>
  <si>
    <t>Reference.</t>
  </si>
  <si>
    <t>Addvalue-50% B-3 (N=5) as % of FY guidance OP 820</t>
  </si>
  <si>
    <t>Primary Block A as % of FY guidance OP 820</t>
  </si>
  <si>
    <t>No-ramp floor.</t>
  </si>
  <si>
    <t>Gross deduction is the primary case per instruction. A deferred tax liability sits against the unrealised gain (DTL 97.3 -&gt; 376.0 in H1, +278.7); deducting the stake net of that DTL would cut the deduction to about 1,976 (about JPY -30 per share). Recorded as 要確認 in the Adjustments Log.</t>
  </si>
  <si>
    <t>7. NWC - work-in-process build: activity (COGS scale) vs days, plus order intake vs sales (J-GAAP)</t>
  </si>
  <si>
    <t>FY2024/10 end (7M)</t>
  </si>
  <si>
    <t>FY2025/10 end</t>
  </si>
  <si>
    <t>Change / derived</t>
  </si>
  <si>
    <t>Work in process  仕掛品</t>
  </si>
  <si>
    <t>+50.6%.</t>
  </si>
  <si>
    <t>COGS run-rate (FY2024/10 = 7M x 12/7)</t>
  </si>
  <si>
    <t>Annualising a 7-month period is an approximation (seasonality not removed) - 推定.</t>
  </si>
  <si>
    <t>WIP days (balance / COGS x 365)</t>
  </si>
  <si>
    <t>Days lengthened about 9%.</t>
  </si>
  <si>
    <t>Check: (1+COGS growth) x (1+days growth) - 1</t>
  </si>
  <si>
    <t>Must equal the WIP growth in row 1.</t>
  </si>
  <si>
    <t>WIP increase explained by activity (COGS scale)</t>
  </si>
  <si>
    <t>Price and volume are inseparable here: COGS growth carries both material-price inflation and unit volume.</t>
  </si>
  <si>
    <t>WIP increase explained by longer days (build-up)</t>
  </si>
  <si>
    <t>Ambiguous: for a build-to-order maker a longer WIP cycle can lead orders (mass-production ramp) or signal slippage (customer-supplied parts delayed one H1 FY26 project).</t>
  </si>
  <si>
    <t>Orders vs sales FY2025/10 (consolidated)</t>
  </si>
  <si>
    <t>Orders exceeded sales by 199 -&gt; backlog build.</t>
  </si>
  <si>
    <t>Orders vs sales H1 FY2026 (consolidated)</t>
  </si>
  <si>
    <t>Book-to-bill 1.15. E&amp;C segment: orders 3,881 vs sales 3,449.5 (prior-year H1 orders 2,460).</t>
  </si>
  <si>
    <t>Contract liabilities  契約負債</t>
  </si>
  <si>
    <t>Advances up 2.4x - supports the order-led reading.</t>
  </si>
  <si>
    <t>Trade receivables incl. contract assets</t>
  </si>
  <si>
    <t>Unwound in H1 FY26 (IFRS receivables 2,021.2 -&gt; 1,537.8), releasing +489.9 of operating CF.</t>
  </si>
  <si>
    <t>Verdict (両義判定): activity explains about three quarters of the WIP build and is order-backed (book-to-bill above 1, contract liabilities up). The days component is the part to watch; H1 FY26 inventories already fell 2,752.7 -&gt; 2,573.5 (IFRS), so the build has started to convert.</t>
  </si>
  <si>
    <t>8. Normalisation bridge - valuation gain and special items removed</t>
  </si>
  <si>
    <t>H1 FY2026 IFRS</t>
  </si>
  <si>
    <t>Profit before tax (reported / company-implied)</t>
  </si>
  <si>
    <t>H1 reported.</t>
  </si>
  <si>
    <t>Operating profit</t>
  </si>
  <si>
    <t>FY = model estimate 1,236 (H1 actual 751.6 + H2 revenue 3,207.1 x Q2 single OPM 15.1%). Company guidance 事業利益 820 is stale.</t>
  </si>
  <si>
    <t>Less: Addvalue FV gain in finance income</t>
  </si>
  <si>
    <t>Non-cash; H1 CF adds back 1,594.0.</t>
  </si>
  <si>
    <t>Finance income ex-gain less finance costs</t>
  </si>
  <si>
    <t>H1 derived. FY = 2 x H1 finance costs 39.2 (推定).</t>
  </si>
  <si>
    <t>Normalised profit before tax</t>
  </si>
  <si>
    <t>Gain excluded in every period (FY2025/10 J-GAAP special gain 124.4 on securities also excluded).</t>
  </si>
  <si>
    <t>Normalised tax at 30% (推定・要確認)</t>
  </si>
  <si>
    <t>Reported H1 effective rate 20.6% (475.4 / 2,307.9) is distorted by the deferred tax on the gain.</t>
  </si>
  <si>
    <t>Normalised net profit</t>
  </si>
  <si>
    <t>FY2026/10E 810 is the Comps subject Net_Income, core_net_income and the normalized_net_income reference row.</t>
  </si>
  <si>
    <t>Reported profit attributable to owners</t>
  </si>
  <si>
    <t>FY = company forecast incl. the after-tax gain.</t>
  </si>
  <si>
    <t>Share of reported profit that is NOT operating</t>
  </si>
  <si>
    <t>About 73% of H1 profit is the Addvalue mark (normalised 499 vs reported 1,832).</t>
  </si>
  <si>
    <t>Normalised EPS on 9,121,192 shares (JPY)</t>
  </si>
  <si>
    <t>Reported basic EPS 253.57 used 7,226,437 weighted-average shares - never mix the two share counts.</t>
  </si>
  <si>
    <t>The EV deducts the Addvalue stake (table 2) and this bridge removes its gain from earnings, so the stake is counted exactly once.</t>
  </si>
  <si>
    <t>9. Share count reconciliation (price / share basis-date gate, 2026-09-14)</t>
  </si>
  <si>
    <t>Shares</t>
  </si>
  <si>
    <t>Issued shares 2026-04-30</t>
  </si>
  <si>
    <t>Half-year report S100YBBW.</t>
  </si>
  <si>
    <t>16th series MS warrant, May exercises (completed 2026-05-12)</t>
  </si>
  <si>
    <t>At JPY 764. Series fully exercised, 0 remaining.</t>
  </si>
  <si>
    <t>17th series MS warrant, May exercises (completed 2026-05-18)</t>
  </si>
  <si>
    <t>At JPY 1,070. Series fully exercised, 0 remaining.</t>
  </si>
  <si>
    <t>Other exercises to 2026-06-15 (13th/14th series - 要確認)</t>
  </si>
  <si>
    <t>Residual; proceeds not identified and not added to cash.</t>
  </si>
  <si>
    <t>Issued shares at filing date 2026-06-15</t>
  </si>
  <si>
    <t>Excludes exercises from 2026-06-01 to the filing date (per the report's own note).</t>
  </si>
  <si>
    <t>Less treasury shares</t>
  </si>
  <si>
    <t>Per the 2026-05-18 disclosure.</t>
  </si>
  <si>
    <t>Shares used for per-share value</t>
  </si>
  <si>
    <t>9,121,192. Weighted-average 7,226,437 (basic EPS) is NOT used.</t>
  </si>
  <si>
    <t>No stock split: YTD low JPY 696 (2026-01-05), high JPY 2,496 (2026-06-03), 2026-09-11 close JPY 1,526, while shares rose only 3%. The fall from JPY 2,372 (2026-06-04) is a genuine price move; the company's 2026-07-21 letter reports no change to guidance.</t>
  </si>
  <si>
    <t>Notes</t>
  </si>
  <si>
    <t>Electronic &amp; Communication margin: 9.6% (FY2024/10 7M) / 11.4% (FY2025/10) / 13.9% (H1 FY2025) / 26.1% (H1 FY2026) - within-column margins, not a trend line across bases.</t>
  </si>
  <si>
    <t>Mid-term plan (2025-12, pre-revision): revenue 7,052 / 8,291 / 9,697 / 11,154 and OP 446 / 761 / 1,071 / 1,419 for FY2027/10-FY2030/10. The revised FY2026/10 guidance (OP 820) already exceeds the FY2028/10 plan.</t>
  </si>
  <si>
    <t>Revenue-disaggregation H1 FY2026 vs H1 FY2025 (IFRS both): government 2,089.1 vs 848.2; mobile infrastructure 769.0 vs 693.9; public projects 386.5 vs 376.5; FA/measurement 204.9 vs 336.0.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</si>
</sst>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0\)"/>
    <numFmt numFmtId="177" formatCode="0.0%;\(0.0%\)"/>
    <numFmt numFmtId="178" formatCode="0.000"/>
    <numFmt numFmtId="179" formatCode="0.00&quot;x&quot;"/>
    <numFmt numFmtId="180" formatCode="0.00%;\(0.00%\)"/>
    <numFmt numFmtId="181" formatCode="0.0000"/>
    <numFmt numFmtId="182" formatCode="0.\1%;\(0.\1%\)"/>
  </numFmts>
  <fonts count="15"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b/>
      <sz val="14"/>
      <color rgb="FF1F4E79"/>
      <name val="Arial"/>
    </font>
    <font>
      <i/>
      <sz val="9"/>
      <color rgb="FF808080"/>
      <name val="Arial"/>
    </font>
    <font>
      <b/>
      <sz val="11"/>
      <color rgb="FF1F4E79"/>
      <name val="Arial"/>
    </font>
    <font>
      <b/>
      <sz val="11"/>
      <color rgb="FFFFFFFF"/>
      <name val="Arial"/>
    </font>
    <font>
      <sz val="10"/>
      <name val="Arial"/>
    </font>
    <font>
      <sz val="10"/>
      <color rgb="FF0070C0"/>
      <name val="Arial"/>
    </font>
  </fonts>
  <fills count="9">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
      <patternFill patternType="solid">
        <fgColor rgb="FF000080"/>
        <bgColor rgb="FF000080"/>
      </patternFill>
    </fill>
    <fill>
      <patternFill patternType="solid">
        <fgColor rgb="FFE2EFDA"/>
        <bgColor rgb="FFE2EFDA"/>
      </patternFill>
    </fill>
    <fill>
      <patternFill patternType="solid">
        <fgColor rgb="FFFFF2CC"/>
        <bgColor rgb="FFFFF2CC"/>
      </patternFill>
    </fill>
  </fills>
  <borders count="10">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thin">
        <color auto="1"/>
      </top>
      <bottom style="double">
        <color auto="1"/>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9">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13" fillId="0" borderId="0" xfId="0" applyFont="1"/>
    <xf numFmtId="0" fontId="9" fillId="0" borderId="0" xfId="0" applyFont="1"/>
    <xf numFmtId="0" fontId="10" fillId="0" borderId="0" xfId="0" applyFont="1"/>
    <xf numFmtId="0" fontId="11" fillId="0" borderId="7" xfId="0" applyFont="1" applyBorder="1"/>
    <xf numFmtId="0" fontId="0" fillId="0" borderId="7" xfId="0" applyBorder="1"/>
    <xf numFmtId="0" fontId="12" fillId="6" borderId="0" xfId="0" applyFont="1" applyFill="1"/>
    <xf numFmtId="176" fontId="14" fillId="0" borderId="0" xfId="0" applyNumberFormat="1" applyFont="1"/>
    <xf numFmtId="176" fontId="4" fillId="0" borderId="7" xfId="0" applyNumberFormat="1" applyFont="1" applyBorder="1"/>
    <xf numFmtId="176" fontId="13" fillId="0" borderId="0" xfId="0" applyNumberFormat="1" applyFont="1"/>
    <xf numFmtId="176" fontId="4" fillId="7" borderId="8" xfId="0" applyNumberFormat="1" applyFont="1" applyFill="1" applyBorder="1"/>
    <xf numFmtId="176" fontId="4" fillId="0" borderId="0" xfId="0" applyNumberFormat="1" applyFont="1"/>
    <xf numFmtId="176" fontId="4" fillId="7" borderId="0" xfId="0" applyNumberFormat="1" applyFont="1" applyFill="1"/>
    <xf numFmtId="176" fontId="4" fillId="8" borderId="8" xfId="0" applyNumberFormat="1" applyFont="1" applyFill="1" applyBorder="1"/>
    <xf numFmtId="182" fontId="13" fillId="0" borderId="0" xfId="0" applyNumberFormat="1" applyFont="1"/>
    <xf numFmtId="182" fontId="4" fillId="7" borderId="8" xfId="0" applyNumberFormat="1" applyFont="1" applyFill="1" applyBorder="1"/>
    <xf numFmtId="176" fontId="14" fillId="0" borderId="9" xfId="0" applyNumberFormat="1" applyFont="1" applyBorder="1"/>
    <xf numFmtId="0" fontId="10" fillId="0" borderId="0" xfId="0" applyFont="1" applyAlignment="1">
      <alignment horizontal="right"/>
    </xf>
    <xf numFmtId="182" fontId="13" fillId="7" borderId="0" xfId="0" applyNumberFormat="1" applyFont="1" applyFill="1"/>
    <xf numFmtId="176" fontId="13" fillId="7" borderId="0" xfId="0" applyNumberFormat="1" applyFont="1" applyFill="1"/>
    <xf numFmtId="3" fontId="13" fillId="0" borderId="0" xfId="0" applyNumberFormat="1" applyFont="1"/>
    <xf numFmtId="3" fontId="14" fillId="0" borderId="9" xfId="0" applyNumberFormat="1" applyFont="1" applyBorder="1"/>
    <xf numFmtId="3" fontId="4" fillId="7" borderId="0" xfId="0" applyNumberFormat="1" applyFont="1" applyFill="1"/>
    <xf numFmtId="0" fontId="11"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opLeftCell="A9" workbookViewId="0"/>
  </sheetViews>
  <sheetFormatPr defaultRowHeight="13" x14ac:dyDescent="0.2"/>
  <cols>
    <col min="1" max="1" width="3" customWidth="1"/>
    <col min="2" max="2" width="30" customWidth="1"/>
    <col min="3" max="5" width="22" customWidth="1"/>
  </cols>
  <sheetData>
    <row r="1" spans="2:5" ht="14" customHeight="1" x14ac:dyDescent="0.3">
      <c r="B1" s="68" t="s">
        <v>0</v>
      </c>
      <c r="C1" s="67"/>
      <c r="D1" s="67"/>
      <c r="E1" s="67"/>
    </row>
    <row r="3" spans="2:5" ht="18" customHeight="1" x14ac:dyDescent="0.4">
      <c r="B3" s="66" t="s">
        <v>1</v>
      </c>
      <c r="C3" s="67"/>
      <c r="D3" s="67"/>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1530</v>
      </c>
    </row>
    <row r="10" spans="2:5" ht="14" customHeight="1" x14ac:dyDescent="0.3">
      <c r="B10" s="4" t="s">
        <v>10</v>
      </c>
      <c r="C10" s="5">
        <f>IF(COUNT(C16:C17)=0,"N/A",ROUND(AVERAGE(C16:C17),0))</f>
        <v>1153</v>
      </c>
    </row>
    <row r="11" spans="2:5" ht="14" customHeight="1" x14ac:dyDescent="0.3">
      <c r="B11" s="4" t="s">
        <v>11</v>
      </c>
      <c r="C11" s="6" t="str">
        <f>IF(NOT(ISNUMBER(C12)),"N/A",IF(C12&gt;0.15,"BUY",IF(C12&gt;0.05,"HOLD","SELL")))</f>
        <v>SELL</v>
      </c>
    </row>
    <row r="12" spans="2:5" ht="14" customHeight="1" x14ac:dyDescent="0.3">
      <c r="B12" s="4" t="s">
        <v>12</v>
      </c>
      <c r="C12" s="7">
        <f>IF(ISNUMBER(C10),(C10-C9)/C9,"N/A")</f>
        <v>-0.24640522875816995</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853</v>
      </c>
      <c r="D16" s="7">
        <f>IF(ISNUMBER(C16),(C16-C9)/C9,"N/A")</f>
        <v>-0.44248366013071894</v>
      </c>
    </row>
    <row r="17" spans="2:5" ht="13.5" customHeight="1" x14ac:dyDescent="0.25">
      <c r="B17" t="s">
        <v>18</v>
      </c>
      <c r="C17" s="11">
        <f>IF('DCF Model'!C62&lt;'DCF Model'!C16,"INVALID (EV &lt; net debt)",'DCF Model'!C64)</f>
        <v>1453</v>
      </c>
      <c r="D17" s="7">
        <f>IF(ISNUMBER(C17),(C17-C9)/C9,"N/A")</f>
        <v>-5.0326797385620917E-2</v>
      </c>
    </row>
    <row r="18" spans="2:5" ht="13.5" customHeight="1" x14ac:dyDescent="0.25">
      <c r="B18" t="s">
        <v>19</v>
      </c>
      <c r="C18" s="11">
        <f>'Comps Analysis'!C27</f>
        <v>3650</v>
      </c>
      <c r="D18" s="7">
        <f>IF(ISNUMBER(C18),(C18-C9)/C9,"N/A")</f>
        <v>1.3856209150326797</v>
      </c>
    </row>
    <row r="19" spans="2:5" ht="13.5" customHeight="1" x14ac:dyDescent="0.25">
      <c r="B19" t="s">
        <v>20</v>
      </c>
      <c r="C19" s="11">
        <f>'Comps Analysis'!C28</f>
        <v>2525</v>
      </c>
      <c r="D19" s="7">
        <f>IF(ISNUMBER(C19),(C19-C9)/C9,"N/A")</f>
        <v>0.65032679738562094</v>
      </c>
    </row>
    <row r="20" spans="2:5" ht="14" customHeight="1" x14ac:dyDescent="0.3">
      <c r="B20" s="68" t="s">
        <v>21</v>
      </c>
      <c r="C20" s="67"/>
      <c r="D20" s="67"/>
      <c r="E20" s="67"/>
    </row>
    <row r="21" spans="2:5" ht="14" customHeight="1" x14ac:dyDescent="0.3">
      <c r="B21" s="4" t="s">
        <v>22</v>
      </c>
      <c r="C21" s="6" t="str">
        <f>IF(COUNT(C16:C17)=0,"N/A",MIN(C16:C17)&amp;" - "&amp;MAX(C16:C17))</f>
        <v>853 - 1453</v>
      </c>
    </row>
    <row r="23" spans="2:5" ht="14" customHeight="1" x14ac:dyDescent="0.3">
      <c r="B23" s="8" t="s">
        <v>23</v>
      </c>
      <c r="C23" s="9"/>
      <c r="D23" s="9"/>
    </row>
    <row r="24" spans="2:5" x14ac:dyDescent="0.2">
      <c r="B24" t="s">
        <v>24</v>
      </c>
    </row>
    <row r="25" spans="2:5" x14ac:dyDescent="0.2">
      <c r="B25" t="s">
        <v>25</v>
      </c>
    </row>
    <row r="26" spans="2:5" x14ac:dyDescent="0.2">
      <c r="B26" t="str">
        <f>"At "&amp;TEXT(C9,"#,##0")&amp;" the market is valued net of the Addvalue stake and net cash; our target of "&amp;TEXT(C10,"#,##0")&amp;" implies "&amp;TEXT(C12,"+0.0%;-0.0%")&amp;" at a WACC of "&amp;TEXT('DCF Model'!C26,"0.00%")&amp;", on "&amp;TEXT('Comps Analysis'!M5,"0.00""x""")&amp;" book, with the gain on the Singapore shares excluded from earnings and the stake counted once in the EV bridge."</f>
        <v>At 1,530 the market is valued net of the Addvalue stake and net cash; our target of 1,153 implies -24.6% at a WACC of 15.40%, on 1.49x book, with the gain on the Singapore shares excluded from earnings and the stake counted once in the EV bridge.</v>
      </c>
    </row>
    <row r="28" spans="2:5" ht="14" customHeight="1" x14ac:dyDescent="0.3">
      <c r="B28" s="8" t="s">
        <v>26</v>
      </c>
      <c r="C28" s="9"/>
      <c r="D28" s="9"/>
    </row>
    <row r="29" spans="2:5" x14ac:dyDescent="0.2">
      <c r="B29" t="s">
        <v>27</v>
      </c>
    </row>
    <row r="30" spans="2:5" x14ac:dyDescent="0.2">
      <c r="B30" t="s">
        <v>28</v>
      </c>
    </row>
    <row r="31" spans="2:5" x14ac:dyDescent="0.2">
      <c r="B31" t="s">
        <v>29</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G30"/>
  <sheetViews>
    <sheetView workbookViewId="0"/>
  </sheetViews>
  <sheetFormatPr defaultRowHeight="13" x14ac:dyDescent="0.2"/>
  <cols>
    <col min="1" max="1" width="3" customWidth="1"/>
    <col min="2" max="2" width="32" customWidth="1"/>
    <col min="3" max="7" width="18" customWidth="1"/>
  </cols>
  <sheetData>
    <row r="2" spans="2:7" ht="18" customHeight="1" x14ac:dyDescent="0.4">
      <c r="B2" s="2" t="s">
        <v>30</v>
      </c>
    </row>
    <row r="4" spans="2:7" ht="14" customHeight="1" x14ac:dyDescent="0.3">
      <c r="C4" s="10" t="s">
        <v>31</v>
      </c>
      <c r="D4" s="10" t="s">
        <v>32</v>
      </c>
      <c r="E4" s="10" t="s">
        <v>33</v>
      </c>
      <c r="F4" s="10" t="s">
        <v>34</v>
      </c>
      <c r="G4" s="10" t="s">
        <v>35</v>
      </c>
    </row>
    <row r="5" spans="2:7" ht="14" customHeight="1" x14ac:dyDescent="0.3">
      <c r="B5" s="3" t="s">
        <v>36</v>
      </c>
    </row>
    <row r="6" spans="2:7" ht="14" customHeight="1" x14ac:dyDescent="0.3">
      <c r="B6" s="4" t="s">
        <v>37</v>
      </c>
      <c r="C6" s="5">
        <v>3294.5</v>
      </c>
      <c r="D6" s="5">
        <v>4154</v>
      </c>
      <c r="E6" s="5">
        <v>2356.4</v>
      </c>
      <c r="F6" s="5">
        <v>5588</v>
      </c>
      <c r="G6" s="5">
        <v>6950</v>
      </c>
    </row>
    <row r="7" spans="2:7" ht="14" customHeight="1" x14ac:dyDescent="0.3">
      <c r="B7" s="4" t="s">
        <v>38</v>
      </c>
      <c r="C7" s="5">
        <v>2404.8000000000002</v>
      </c>
      <c r="D7" s="5">
        <v>3059.3</v>
      </c>
      <c r="E7" s="5">
        <v>1644.9</v>
      </c>
      <c r="F7" s="5">
        <v>3895.1</v>
      </c>
      <c r="G7" s="5">
        <v>4093.6</v>
      </c>
    </row>
    <row r="8" spans="2:7" ht="14" customHeight="1" x14ac:dyDescent="0.3">
      <c r="B8" s="4" t="s">
        <v>39</v>
      </c>
      <c r="C8" s="5">
        <f>C6-C7</f>
        <v>889.69999999999982</v>
      </c>
      <c r="D8" s="5">
        <f>D6-D7</f>
        <v>1094.6999999999998</v>
      </c>
      <c r="E8" s="5">
        <f>E6-E7</f>
        <v>711.5</v>
      </c>
      <c r="F8" s="5">
        <f>F6-F7</f>
        <v>1692.9</v>
      </c>
      <c r="G8" s="5">
        <f>G6-G7</f>
        <v>2856.4</v>
      </c>
    </row>
    <row r="9" spans="2:7" ht="13.5" customHeight="1" x14ac:dyDescent="0.25">
      <c r="B9" t="s">
        <v>40</v>
      </c>
      <c r="C9" s="7">
        <f>C8/C6</f>
        <v>0.27005615419638784</v>
      </c>
      <c r="D9" s="7">
        <f>D8/D6</f>
        <v>0.26352912855079436</v>
      </c>
      <c r="E9" s="7">
        <f>E8/E6</f>
        <v>0.30194364284501779</v>
      </c>
      <c r="F9" s="7">
        <f>F8/F6</f>
        <v>0.30295275590551185</v>
      </c>
      <c r="G9" s="7">
        <f>G8/G6</f>
        <v>0.41099280575539571</v>
      </c>
    </row>
    <row r="10" spans="2:7" ht="14" customHeight="1" x14ac:dyDescent="0.3">
      <c r="B10" s="4" t="s">
        <v>41</v>
      </c>
      <c r="C10" s="5">
        <v>1327</v>
      </c>
      <c r="D10" s="5">
        <v>1309.9000000000001</v>
      </c>
      <c r="E10" s="5">
        <v>759.3</v>
      </c>
      <c r="F10" s="5">
        <v>1414</v>
      </c>
      <c r="G10" s="5">
        <v>1620.4</v>
      </c>
    </row>
    <row r="11" spans="2:7" ht="14" customHeight="1" x14ac:dyDescent="0.3">
      <c r="B11" s="4" t="s">
        <v>42</v>
      </c>
      <c r="C11" s="5">
        <v>-437.2</v>
      </c>
      <c r="D11" s="5">
        <v>-215.3</v>
      </c>
      <c r="E11" s="5">
        <v>-47.8</v>
      </c>
      <c r="F11" s="5">
        <v>278.89999999999998</v>
      </c>
      <c r="G11" s="5">
        <v>1236</v>
      </c>
    </row>
    <row r="12" spans="2:7" ht="14" customHeight="1" x14ac:dyDescent="0.3">
      <c r="B12" s="4" t="s">
        <v>43</v>
      </c>
      <c r="C12" s="5">
        <v>-482.8</v>
      </c>
      <c r="D12" s="5">
        <v>-443.4</v>
      </c>
      <c r="E12" s="5">
        <v>-113.7</v>
      </c>
      <c r="F12" s="5">
        <v>268.60000000000002</v>
      </c>
      <c r="G12" s="5">
        <v>810</v>
      </c>
    </row>
    <row r="13" spans="2:7" ht="13.5" customHeight="1" x14ac:dyDescent="0.25">
      <c r="B13" t="s">
        <v>44</v>
      </c>
      <c r="C13" s="7">
        <f>C11/C6</f>
        <v>-0.13270602519350433</v>
      </c>
      <c r="D13" s="7">
        <f>D11/D6</f>
        <v>-5.1829561868078966E-2</v>
      </c>
      <c r="E13" s="7">
        <f>E11/E6</f>
        <v>-2.0285180784247153E-2</v>
      </c>
      <c r="F13" s="7">
        <f>F11/F6</f>
        <v>4.9910522548317821E-2</v>
      </c>
      <c r="G13" s="7">
        <f>G11/G6</f>
        <v>0.17784172661870504</v>
      </c>
    </row>
    <row r="14" spans="2:7" ht="13.5" customHeight="1" x14ac:dyDescent="0.25">
      <c r="B14" t="s">
        <v>45</v>
      </c>
      <c r="C14" s="7">
        <f>C12/C6</f>
        <v>-0.14654727576263471</v>
      </c>
      <c r="D14" s="7">
        <f>D12/D6</f>
        <v>-0.10674049109292248</v>
      </c>
      <c r="E14" s="7">
        <f>E12/E6</f>
        <v>-4.8251570191818027E-2</v>
      </c>
      <c r="F14" s="7">
        <f>F12/F6</f>
        <v>4.8067287043665002E-2</v>
      </c>
      <c r="G14" s="7">
        <f>G12/G6</f>
        <v>0.11654676258992806</v>
      </c>
    </row>
    <row r="15" spans="2:7" ht="13.5" customHeight="1" x14ac:dyDescent="0.25">
      <c r="B15" t="s">
        <v>46</v>
      </c>
      <c r="C15" t="s">
        <v>47</v>
      </c>
      <c r="D15" s="7">
        <f>(D6-C6)/C6</f>
        <v>0.26088936105630595</v>
      </c>
      <c r="E15" s="7">
        <f>(E6-D6)/D6</f>
        <v>-0.4327395281656235</v>
      </c>
      <c r="F15" s="7">
        <f>(F6-E6)/E6</f>
        <v>1.3714140213885588</v>
      </c>
      <c r="G15" s="7">
        <f>(G6-F6)/F6</f>
        <v>0.24373657838224769</v>
      </c>
    </row>
    <row r="16" spans="2:7" ht="13.5" customHeight="1" x14ac:dyDescent="0.25">
      <c r="B16" t="s">
        <v>48</v>
      </c>
      <c r="C16" t="s">
        <v>47</v>
      </c>
      <c r="D16" s="7">
        <f>(D11-C11)/C11</f>
        <v>-0.50754803293687101</v>
      </c>
      <c r="E16" s="7">
        <f>(E11-D11)/D11</f>
        <v>-0.7779842080817464</v>
      </c>
      <c r="F16" s="7">
        <f>(F11-E11)/E11</f>
        <v>-6.8347280334728033</v>
      </c>
      <c r="G16" s="7">
        <f>(G11-F11)/F11</f>
        <v>3.4316959483685912</v>
      </c>
    </row>
    <row r="18" spans="2:7" ht="14" customHeight="1" x14ac:dyDescent="0.3">
      <c r="B18" s="3" t="s">
        <v>49</v>
      </c>
    </row>
    <row r="19" spans="2:7" ht="14" customHeight="1" x14ac:dyDescent="0.3">
      <c r="B19" s="4" t="s">
        <v>50</v>
      </c>
      <c r="C19" s="5">
        <v>-1883.9</v>
      </c>
      <c r="D19" s="5">
        <v>-1132.8</v>
      </c>
      <c r="E19" s="5">
        <v>257.8</v>
      </c>
      <c r="F19" s="5">
        <v>-25.7</v>
      </c>
      <c r="G19" s="5">
        <v>1740</v>
      </c>
    </row>
    <row r="20" spans="2:7" ht="14" customHeight="1" x14ac:dyDescent="0.3">
      <c r="B20" s="4" t="s">
        <v>51</v>
      </c>
      <c r="C20" s="5">
        <v>199.8</v>
      </c>
      <c r="D20" s="5">
        <v>66.900000000000006</v>
      </c>
      <c r="E20" s="5">
        <v>188.9</v>
      </c>
      <c r="F20" s="5">
        <v>606.9</v>
      </c>
      <c r="G20" s="5">
        <v>500</v>
      </c>
    </row>
    <row r="21" spans="2:7" ht="14" customHeight="1" x14ac:dyDescent="0.3">
      <c r="B21" s="4" t="s">
        <v>52</v>
      </c>
      <c r="C21" s="5">
        <f>C19-C20</f>
        <v>-2083.7000000000003</v>
      </c>
      <c r="D21" s="5">
        <f>D19-D20</f>
        <v>-1199.7</v>
      </c>
      <c r="E21" s="5">
        <f>E19-E20</f>
        <v>68.900000000000006</v>
      </c>
      <c r="F21" s="5">
        <f>F19-F20</f>
        <v>-632.6</v>
      </c>
      <c r="G21" s="5">
        <f>G19-G20</f>
        <v>1240</v>
      </c>
    </row>
    <row r="22" spans="2:7" ht="13.5" customHeight="1" x14ac:dyDescent="0.25">
      <c r="B22" t="s">
        <v>53</v>
      </c>
      <c r="C22" s="7">
        <f>C21/C6</f>
        <v>-0.63247837304598586</v>
      </c>
      <c r="D22" s="7">
        <f>D21/D6</f>
        <v>-0.28880597014925374</v>
      </c>
      <c r="E22" s="7">
        <f>E21/E6</f>
        <v>2.923951790867425E-2</v>
      </c>
      <c r="F22" s="7">
        <f>F21/F6</f>
        <v>-0.11320687186828919</v>
      </c>
      <c r="G22" s="7">
        <f>G21/G6</f>
        <v>0.17841726618705037</v>
      </c>
    </row>
    <row r="23" spans="2:7" ht="13.5" customHeight="1" x14ac:dyDescent="0.25">
      <c r="B23" t="s">
        <v>54</v>
      </c>
      <c r="C23" s="7">
        <f>C20/C6</f>
        <v>6.06465320989528E-2</v>
      </c>
      <c r="D23" s="7">
        <f>D20/D6</f>
        <v>1.6104959075589793E-2</v>
      </c>
      <c r="E23" s="7">
        <f>E20/E6</f>
        <v>8.0164657952809373E-2</v>
      </c>
      <c r="F23" s="7">
        <f>F20/F6</f>
        <v>0.10860773085182533</v>
      </c>
      <c r="G23" s="7">
        <f>G20/G6</f>
        <v>7.1942446043165464E-2</v>
      </c>
    </row>
    <row r="25" spans="2:7" ht="14" customHeight="1" x14ac:dyDescent="0.3">
      <c r="B25" s="3" t="s">
        <v>55</v>
      </c>
    </row>
    <row r="26" spans="2:7" ht="14" customHeight="1" x14ac:dyDescent="0.3">
      <c r="B26" s="4" t="s">
        <v>56</v>
      </c>
      <c r="C26" s="5">
        <v>1055.0999999999999</v>
      </c>
      <c r="D26" s="5">
        <v>1210.5999999999999</v>
      </c>
      <c r="E26" s="5">
        <v>1601.8</v>
      </c>
      <c r="F26" s="5">
        <v>1221.9000000000001</v>
      </c>
      <c r="G26" s="5">
        <v>4047</v>
      </c>
    </row>
    <row r="27" spans="2:7" ht="14" customHeight="1" x14ac:dyDescent="0.3">
      <c r="B27" s="4" t="s">
        <v>57</v>
      </c>
      <c r="C27" s="5">
        <v>2116.1999999999998</v>
      </c>
      <c r="D27" s="5">
        <v>3210.1</v>
      </c>
      <c r="E27" s="5">
        <v>3646</v>
      </c>
      <c r="F27" s="5">
        <v>3718</v>
      </c>
      <c r="G27" s="5">
        <v>3545</v>
      </c>
    </row>
    <row r="28" spans="2:7" ht="14" customHeight="1" x14ac:dyDescent="0.3">
      <c r="B28" s="4" t="s">
        <v>58</v>
      </c>
      <c r="C28" s="5">
        <f>C27-C26</f>
        <v>1061.0999999999999</v>
      </c>
      <c r="D28" s="5">
        <f>D27-D26</f>
        <v>1999.5</v>
      </c>
      <c r="E28" s="5">
        <f>E27-E26</f>
        <v>2044.2</v>
      </c>
      <c r="F28" s="5">
        <f>F27-F26</f>
        <v>2496.1</v>
      </c>
      <c r="G28" s="5">
        <f>G27-G26</f>
        <v>-502</v>
      </c>
    </row>
    <row r="30" spans="2:7" ht="14" customHeight="1"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tabSelected="1" workbookViewId="0">
      <selection activeCell="C10" sqref="C10"/>
    </sheetView>
  </sheetViews>
  <sheetFormatPr defaultRowHeight="13" x14ac:dyDescent="0.2"/>
  <cols>
    <col min="1" max="1" width="3" customWidth="1"/>
    <col min="2" max="2" width="32" customWidth="1"/>
    <col min="3" max="7" width="16" customWidth="1"/>
  </cols>
  <sheetData>
    <row r="2" spans="2:7" ht="18" customHeight="1" x14ac:dyDescent="0.4">
      <c r="B2" s="2" t="s">
        <v>60</v>
      </c>
    </row>
    <row r="4" spans="2:7" ht="14" customHeight="1" x14ac:dyDescent="0.3">
      <c r="B4" s="8" t="s">
        <v>61</v>
      </c>
      <c r="C4" s="9"/>
      <c r="D4" s="9"/>
      <c r="E4" s="9"/>
      <c r="F4" s="9"/>
      <c r="G4" s="9"/>
    </row>
    <row r="5" spans="2:7" ht="14" customHeight="1" x14ac:dyDescent="0.3">
      <c r="B5" s="4" t="s">
        <v>62</v>
      </c>
      <c r="C5" s="7">
        <v>0.06</v>
      </c>
    </row>
    <row r="6" spans="2:7" ht="14" customHeight="1" x14ac:dyDescent="0.3">
      <c r="B6" s="4" t="s">
        <v>63</v>
      </c>
      <c r="C6" s="7">
        <v>0.3</v>
      </c>
    </row>
    <row r="7" spans="2:7" ht="14" customHeight="1" x14ac:dyDescent="0.3">
      <c r="B7" s="4" t="s">
        <v>64</v>
      </c>
      <c r="C7" s="7">
        <v>0.03</v>
      </c>
    </row>
    <row r="8" spans="2:7" ht="14" customHeight="1" x14ac:dyDescent="0.3">
      <c r="B8" s="4" t="s">
        <v>65</v>
      </c>
      <c r="C8" s="12">
        <v>1.2921</v>
      </c>
    </row>
    <row r="9" spans="2:7" ht="14" customHeight="1" x14ac:dyDescent="0.3">
      <c r="B9" s="4" t="s">
        <v>66</v>
      </c>
      <c r="C9" s="7">
        <v>6.5000000000000002E-2</v>
      </c>
    </row>
    <row r="10" spans="2:7" ht="14" customHeight="1" x14ac:dyDescent="0.3">
      <c r="B10" s="4" t="s">
        <v>67</v>
      </c>
      <c r="C10" s="7">
        <v>0.04</v>
      </c>
    </row>
    <row r="11" spans="2:7" ht="14" customHeight="1" x14ac:dyDescent="0.3">
      <c r="B11" s="4" t="s">
        <v>68</v>
      </c>
      <c r="C11" s="7">
        <v>1.11E-2</v>
      </c>
    </row>
    <row r="12" spans="2:7" ht="14" customHeight="1" x14ac:dyDescent="0.3">
      <c r="B12" s="4" t="s">
        <v>69</v>
      </c>
      <c r="C12" s="13">
        <v>0</v>
      </c>
    </row>
    <row r="13" spans="2:7" ht="14" customHeight="1" x14ac:dyDescent="0.3">
      <c r="B13" s="4" t="s">
        <v>70</v>
      </c>
      <c r="C13" s="7">
        <v>0.01</v>
      </c>
    </row>
    <row r="14" spans="2:7" ht="14" customHeight="1" x14ac:dyDescent="0.3">
      <c r="B14" s="4" t="s">
        <v>71</v>
      </c>
      <c r="C14" s="14">
        <v>9</v>
      </c>
    </row>
    <row r="15" spans="2:7" ht="14" customHeight="1" x14ac:dyDescent="0.3">
      <c r="B15" s="4" t="s">
        <v>72</v>
      </c>
      <c r="C15" s="15">
        <v>9121192</v>
      </c>
    </row>
    <row r="16" spans="2:7" ht="14" customHeight="1" x14ac:dyDescent="0.3">
      <c r="B16" s="4" t="s">
        <v>73</v>
      </c>
      <c r="C16" s="5">
        <v>-2756.3</v>
      </c>
    </row>
    <row r="17" spans="2:7" ht="14" customHeight="1" x14ac:dyDescent="0.3">
      <c r="B17" s="4" t="s">
        <v>74</v>
      </c>
      <c r="C17" s="5">
        <v>6950</v>
      </c>
    </row>
    <row r="18" spans="2:7" ht="14" customHeight="1" x14ac:dyDescent="0.3">
      <c r="B18" s="4" t="s">
        <v>75</v>
      </c>
      <c r="C18" s="7">
        <v>5.5E-2</v>
      </c>
    </row>
    <row r="19" spans="2:7" ht="14" customHeight="1" x14ac:dyDescent="0.3">
      <c r="B19" s="4" t="s">
        <v>76</v>
      </c>
      <c r="C19" s="12">
        <v>1.1299999999999999</v>
      </c>
    </row>
    <row r="20" spans="2:7" ht="14" customHeight="1" x14ac:dyDescent="0.3">
      <c r="B20" s="4" t="s">
        <v>77</v>
      </c>
      <c r="C20" s="5">
        <v>6754</v>
      </c>
    </row>
    <row r="22" spans="2:7" ht="14" customHeight="1" x14ac:dyDescent="0.3">
      <c r="B22" s="8" t="s">
        <v>78</v>
      </c>
      <c r="C22" s="9"/>
      <c r="D22" s="9"/>
      <c r="E22" s="9"/>
      <c r="F22" s="9"/>
      <c r="G22" s="9"/>
    </row>
    <row r="23" spans="2:7" ht="14" customHeight="1" x14ac:dyDescent="0.3">
      <c r="B23" s="4" t="s">
        <v>79</v>
      </c>
      <c r="C23" s="16">
        <f>C7+C8*C9+C10</f>
        <v>0.1539865</v>
      </c>
    </row>
    <row r="24" spans="2:7" ht="14" customHeight="1" x14ac:dyDescent="0.3">
      <c r="B24" s="4" t="s">
        <v>80</v>
      </c>
      <c r="C24" s="16">
        <f>1/(1+C12)</f>
        <v>1</v>
      </c>
    </row>
    <row r="25" spans="2:7" ht="14" customHeight="1" x14ac:dyDescent="0.3">
      <c r="B25" s="4" t="s">
        <v>81</v>
      </c>
      <c r="C25" s="16">
        <f>C12/(1+C12)</f>
        <v>0</v>
      </c>
    </row>
    <row r="26" spans="2:7" ht="14" customHeight="1" x14ac:dyDescent="0.3">
      <c r="B26" s="4" t="s">
        <v>82</v>
      </c>
      <c r="C26" s="16">
        <f>C23*C24+C11*C25</f>
        <v>0.1539865</v>
      </c>
    </row>
    <row r="27" spans="2:7" ht="14" customHeight="1" x14ac:dyDescent="0.3">
      <c r="B27" s="4" t="s">
        <v>83</v>
      </c>
      <c r="C27" s="17" t="s">
        <v>84</v>
      </c>
      <c r="D27" s="6">
        <f>MATCH(C27,B69:B73,0)</f>
        <v>1</v>
      </c>
    </row>
    <row r="28" spans="2:7" ht="14" customHeight="1" x14ac:dyDescent="0.3">
      <c r="B28" s="8" t="s">
        <v>85</v>
      </c>
      <c r="C28" s="9"/>
      <c r="D28" s="9"/>
      <c r="E28" s="9"/>
      <c r="F28" s="9"/>
      <c r="G28" s="9"/>
    </row>
    <row r="29" spans="2:7" ht="14" customHeight="1" x14ac:dyDescent="0.3">
      <c r="C29" s="10" t="s">
        <v>86</v>
      </c>
      <c r="D29" s="10" t="s">
        <v>87</v>
      </c>
      <c r="E29" s="10" t="s">
        <v>88</v>
      </c>
      <c r="F29" s="10" t="s">
        <v>89</v>
      </c>
      <c r="G29" s="10" t="s">
        <v>90</v>
      </c>
    </row>
    <row r="30" spans="2:7" ht="14" customHeight="1" x14ac:dyDescent="0.3">
      <c r="B30" s="4" t="s">
        <v>46</v>
      </c>
      <c r="C30" s="18">
        <f>CHOOSE($D$27,C69,C70,C71,C72,C73)</f>
        <v>0.12</v>
      </c>
      <c r="D30" s="18">
        <f>CHOOSE($D$27,D69,D70,D71,D72,D73)</f>
        <v>0.1</v>
      </c>
      <c r="E30" s="18">
        <f>CHOOSE($D$27,E69,E70,E71,E72,E73)</f>
        <v>0.1</v>
      </c>
      <c r="F30" s="18">
        <f>CHOOSE($D$27,F69,F70,F71,F72,F73)</f>
        <v>0.08</v>
      </c>
      <c r="G30" s="18">
        <f>CHOOSE($D$27,G69,G70,G71,G72,G73)</f>
        <v>0.05</v>
      </c>
    </row>
    <row r="31" spans="2:7" ht="14" customHeight="1" x14ac:dyDescent="0.3">
      <c r="B31" s="4" t="s">
        <v>91</v>
      </c>
      <c r="C31" s="18">
        <f>CHOOSE($D$27,C76,C77,C78,C79,C80)</f>
        <v>0.63</v>
      </c>
      <c r="D31" s="18">
        <f>CHOOSE($D$27,D76,D77,D78,D79,D80)</f>
        <v>0.63</v>
      </c>
      <c r="E31" s="18">
        <f>CHOOSE($D$27,E76,E77,E78,E79,E80)</f>
        <v>0.63</v>
      </c>
      <c r="F31" s="18">
        <f>CHOOSE($D$27,F76,F77,F78,F79,F80)</f>
        <v>0.63</v>
      </c>
      <c r="G31" s="18">
        <f>CHOOSE($D$27,G76,G77,G78,G79,G80)</f>
        <v>0.63</v>
      </c>
    </row>
    <row r="32" spans="2:7" ht="14" customHeight="1" x14ac:dyDescent="0.3">
      <c r="B32" s="4" t="s">
        <v>92</v>
      </c>
      <c r="C32" s="18">
        <f>CHOOSE($D$27,C83,C84,C85,C86,C87)</f>
        <v>0.22</v>
      </c>
      <c r="D32" s="18">
        <f>CHOOSE($D$27,D83,D84,D85,D86,D87)</f>
        <v>0.22</v>
      </c>
      <c r="E32" s="18">
        <f>CHOOSE($D$27,E83,E84,E85,E86,E87)</f>
        <v>0.22</v>
      </c>
      <c r="F32" s="18">
        <f>CHOOSE($D$27,F83,F84,F85,F86,F87)</f>
        <v>0.22</v>
      </c>
      <c r="G32" s="18">
        <f>CHOOSE($D$27,G83,G84,G85,G86,G87)</f>
        <v>0.22</v>
      </c>
    </row>
    <row r="33" spans="2:7" ht="14" customHeight="1" x14ac:dyDescent="0.3">
      <c r="B33" s="4" t="s">
        <v>37</v>
      </c>
      <c r="C33" s="5">
        <f>C17*(1+C30)</f>
        <v>7784.0000000000009</v>
      </c>
      <c r="D33" s="5">
        <f>C33*(1+D30)</f>
        <v>8562.4000000000015</v>
      </c>
      <c r="E33" s="5">
        <f>D33*(1+E30)</f>
        <v>9418.6400000000031</v>
      </c>
      <c r="F33" s="5">
        <f>E33*(1+F30)</f>
        <v>10172.131200000003</v>
      </c>
      <c r="G33" s="5">
        <f>F33*(1+G30)</f>
        <v>10680.737760000004</v>
      </c>
    </row>
    <row r="34" spans="2:7" ht="14" customHeight="1" x14ac:dyDescent="0.3">
      <c r="B34" s="4" t="s">
        <v>38</v>
      </c>
      <c r="C34" s="5">
        <f>C33*C31</f>
        <v>4903.920000000001</v>
      </c>
      <c r="D34" s="5">
        <f>D33*D31</f>
        <v>5394.3120000000008</v>
      </c>
      <c r="E34" s="5">
        <f>E33*E31</f>
        <v>5933.7432000000017</v>
      </c>
      <c r="F34" s="5">
        <f>F33*F31</f>
        <v>6408.442656000002</v>
      </c>
      <c r="G34" s="5">
        <f>G33*G31</f>
        <v>6728.8647888000023</v>
      </c>
    </row>
    <row r="35" spans="2:7" ht="14" customHeight="1" x14ac:dyDescent="0.3">
      <c r="B35" s="4" t="s">
        <v>39</v>
      </c>
      <c r="C35" s="19">
        <f>C33-C34</f>
        <v>2880.08</v>
      </c>
      <c r="D35" s="19">
        <f>D33-D34</f>
        <v>3168.0880000000006</v>
      </c>
      <c r="E35" s="19">
        <f>E33-E34</f>
        <v>3484.8968000000013</v>
      </c>
      <c r="F35" s="19">
        <f>F33-F34</f>
        <v>3763.6885440000015</v>
      </c>
      <c r="G35" s="19">
        <f>G33-G34</f>
        <v>3951.8729712000013</v>
      </c>
    </row>
    <row r="36" spans="2:7" ht="14" customHeight="1" x14ac:dyDescent="0.3">
      <c r="B36" s="4" t="s">
        <v>40</v>
      </c>
      <c r="C36" s="7">
        <f>C35/C33</f>
        <v>0.36999999999999994</v>
      </c>
      <c r="D36" s="7">
        <f>D35/D33</f>
        <v>0.37</v>
      </c>
      <c r="E36" s="7">
        <f>E35/E33</f>
        <v>0.37</v>
      </c>
      <c r="F36" s="7">
        <f>F35/F33</f>
        <v>0.37</v>
      </c>
      <c r="G36" s="7">
        <f>G35/G33</f>
        <v>0.37</v>
      </c>
    </row>
    <row r="37" spans="2:7" ht="14" customHeight="1" x14ac:dyDescent="0.3">
      <c r="B37" s="4" t="s">
        <v>93</v>
      </c>
      <c r="C37" s="5">
        <f>C33*C32</f>
        <v>1712.4800000000002</v>
      </c>
      <c r="D37" s="5">
        <f>D33*D32</f>
        <v>1883.7280000000003</v>
      </c>
      <c r="E37" s="5">
        <f>E33*E32</f>
        <v>2072.1008000000006</v>
      </c>
      <c r="F37" s="5">
        <f>F33*F32</f>
        <v>2237.8688640000009</v>
      </c>
      <c r="G37" s="5">
        <f>G33*G32</f>
        <v>2349.762307200001</v>
      </c>
    </row>
    <row r="38" spans="2:7" ht="14" customHeight="1" x14ac:dyDescent="0.3">
      <c r="B38" s="4" t="s">
        <v>94</v>
      </c>
      <c r="C38" s="7">
        <f>(C35-C37)/C33</f>
        <v>0.14999999999999994</v>
      </c>
      <c r="D38" s="7">
        <f>(D35-D37)/D33</f>
        <v>0.15000000000000002</v>
      </c>
      <c r="E38" s="7">
        <f>(E35-E37)/E33</f>
        <v>0.15000000000000002</v>
      </c>
      <c r="F38" s="7">
        <f>(F35-F37)/F33</f>
        <v>0.15</v>
      </c>
      <c r="G38" s="7">
        <f>(G35-G37)/G33</f>
        <v>0.14999999999999997</v>
      </c>
    </row>
    <row r="39" spans="2:7" ht="14" customHeight="1" x14ac:dyDescent="0.3">
      <c r="B39" s="4" t="s">
        <v>95</v>
      </c>
      <c r="C39" s="19">
        <f>C35-C37</f>
        <v>1167.5999999999997</v>
      </c>
      <c r="D39" s="19">
        <f>D35-D37</f>
        <v>1284.3600000000004</v>
      </c>
      <c r="E39" s="19">
        <f>E35-E37</f>
        <v>1412.7960000000007</v>
      </c>
      <c r="F39" s="19">
        <f>F35-F37</f>
        <v>1525.8196800000005</v>
      </c>
      <c r="G39" s="19">
        <f>G35-G37</f>
        <v>1602.1106640000003</v>
      </c>
    </row>
    <row r="40" spans="2:7" ht="14" customHeight="1" x14ac:dyDescent="0.3">
      <c r="B40" s="4" t="s">
        <v>96</v>
      </c>
      <c r="C40" s="5">
        <f>MAX(0,C39*C6)</f>
        <v>350.27999999999992</v>
      </c>
      <c r="D40" s="5">
        <f>MAX(0,D39*C6)</f>
        <v>385.30800000000011</v>
      </c>
      <c r="E40" s="5">
        <f>MAX(0,E39*C6)</f>
        <v>423.83880000000022</v>
      </c>
      <c r="F40" s="5">
        <f>MAX(0,F39*C6)</f>
        <v>457.74590400000017</v>
      </c>
      <c r="G40" s="5">
        <f>MAX(0,G39*C6)</f>
        <v>480.63319920000004</v>
      </c>
    </row>
    <row r="41" spans="2:7" ht="14" customHeight="1" x14ac:dyDescent="0.3">
      <c r="B41" s="4" t="s">
        <v>97</v>
      </c>
      <c r="C41" s="19">
        <f>C39-C40</f>
        <v>817.31999999999971</v>
      </c>
      <c r="D41" s="19">
        <f>D39-D40</f>
        <v>899.05200000000025</v>
      </c>
      <c r="E41" s="19">
        <f>E39-E40</f>
        <v>988.95720000000051</v>
      </c>
      <c r="F41" s="19">
        <f>F39-F40</f>
        <v>1068.0737760000004</v>
      </c>
      <c r="G41" s="19">
        <f>G39-G40</f>
        <v>1121.4774648000002</v>
      </c>
    </row>
    <row r="42" spans="2:7" ht="14" customHeight="1" x14ac:dyDescent="0.3">
      <c r="B42" s="4" t="s">
        <v>98</v>
      </c>
      <c r="C42" s="5">
        <v>400</v>
      </c>
      <c r="D42" s="5">
        <v>430</v>
      </c>
      <c r="E42" s="5">
        <v>450</v>
      </c>
      <c r="F42" s="5">
        <v>455</v>
      </c>
      <c r="G42" s="5">
        <v>440</v>
      </c>
    </row>
    <row r="43" spans="2:7" ht="14" customHeight="1" x14ac:dyDescent="0.3">
      <c r="B43" s="4" t="s">
        <v>99</v>
      </c>
      <c r="C43" s="5">
        <v>700</v>
      </c>
      <c r="D43" s="5">
        <v>650</v>
      </c>
      <c r="E43" s="5">
        <v>520</v>
      </c>
      <c r="F43" s="5">
        <v>460</v>
      </c>
      <c r="G43" s="5">
        <v>430</v>
      </c>
    </row>
    <row r="44" spans="2:7" ht="14" customHeight="1" x14ac:dyDescent="0.3">
      <c r="B44" s="4" t="s">
        <v>100</v>
      </c>
      <c r="C44" s="5">
        <f>'NWC Schedule'!D19</f>
        <v>402.79178082191765</v>
      </c>
      <c r="D44" s="5">
        <f>'NWC Schedule'!E19</f>
        <v>298.24449315068478</v>
      </c>
      <c r="E44" s="5">
        <f>'NWC Schedule'!F19</f>
        <v>320.67947397260377</v>
      </c>
      <c r="F44" s="5">
        <f>'NWC Schedule'!G19</f>
        <v>259.43837413698657</v>
      </c>
      <c r="G44" s="5">
        <f>'NWC Schedule'!H19</f>
        <v>137.81147612054701</v>
      </c>
    </row>
    <row r="45" spans="2:7" ht="14" customHeight="1" x14ac:dyDescent="0.3">
      <c r="B45" s="4" t="s">
        <v>101</v>
      </c>
      <c r="C45" s="20">
        <f>C41+C42-C43-C44</f>
        <v>114.52821917808205</v>
      </c>
      <c r="D45" s="20">
        <f>D41+D42-D43-D44</f>
        <v>380.80750684931536</v>
      </c>
      <c r="E45" s="20">
        <f>E41+E42-E43-E44</f>
        <v>598.27772602739674</v>
      </c>
      <c r="F45" s="20">
        <f>F41+F42-F43-F44</f>
        <v>803.63540186301384</v>
      </c>
      <c r="G45" s="20">
        <f>G41+G42-G43-G44</f>
        <v>993.66598867945322</v>
      </c>
    </row>
    <row r="46" spans="2:7" ht="14" customHeight="1" x14ac:dyDescent="0.3">
      <c r="B46" s="4" t="s">
        <v>102</v>
      </c>
      <c r="C46" s="21">
        <f>1/(1+C26)^(C19+0)</f>
        <v>0.85057610318825272</v>
      </c>
      <c r="D46" s="21">
        <f>1/(1+C26)^(C19+1)</f>
        <v>0.73707630304882488</v>
      </c>
      <c r="E46" s="21">
        <f>1/(1+C26)^(C19+2)</f>
        <v>0.63872177278401854</v>
      </c>
      <c r="F46" s="21">
        <f>1/(1+C26)^(C19+3)</f>
        <v>0.55349154672434953</v>
      </c>
      <c r="G46" s="21">
        <f>1/(1+C26)^(C19+4)</f>
        <v>0.47963433430490693</v>
      </c>
    </row>
    <row r="47" spans="2:7" ht="14" customHeight="1" x14ac:dyDescent="0.3">
      <c r="B47" s="4" t="s">
        <v>103</v>
      </c>
      <c r="C47" s="19">
        <f>C45*C46</f>
        <v>97.414966373583141</v>
      </c>
      <c r="D47" s="19">
        <f>D45*D46</f>
        <v>280.68418932173341</v>
      </c>
      <c r="E47" s="19">
        <f>E45*E46</f>
        <v>382.1330097854102</v>
      </c>
      <c r="F47" s="19">
        <f>F45*F46</f>
        <v>444.80540157960371</v>
      </c>
      <c r="G47" s="19">
        <f>G45*G46</f>
        <v>476.59632500169675</v>
      </c>
    </row>
    <row r="49" spans="2:7" ht="14" customHeight="1" x14ac:dyDescent="0.3">
      <c r="B49" s="22" t="s">
        <v>104</v>
      </c>
      <c r="C49" s="23"/>
      <c r="D49" s="23"/>
      <c r="E49" s="23"/>
      <c r="F49" s="23"/>
      <c r="G49" s="23"/>
    </row>
    <row r="50" spans="2:7" ht="14" customHeight="1" x14ac:dyDescent="0.3">
      <c r="B50" s="4" t="s">
        <v>105</v>
      </c>
      <c r="C50" s="5">
        <f>SUM(C47:G47)</f>
        <v>1681.6338920620274</v>
      </c>
    </row>
    <row r="51" spans="2:7" ht="14" customHeight="1" x14ac:dyDescent="0.3">
      <c r="B51" s="4" t="s">
        <v>106</v>
      </c>
      <c r="C51" s="5">
        <f>G45*(1+C13)/(C26-C13)</f>
        <v>6970.1162856673918</v>
      </c>
    </row>
    <row r="52" spans="2:7" ht="14" customHeight="1" x14ac:dyDescent="0.3">
      <c r="B52" s="4" t="s">
        <v>107</v>
      </c>
      <c r="C52" s="5">
        <f>C51*G46</f>
        <v>3343.10708470387</v>
      </c>
    </row>
    <row r="53" spans="2:7" ht="14" customHeight="1" x14ac:dyDescent="0.3">
      <c r="B53" s="4" t="s">
        <v>108</v>
      </c>
      <c r="C53" s="5">
        <f>C50+C52</f>
        <v>5024.7409767658974</v>
      </c>
    </row>
    <row r="54" spans="2:7" ht="14" customHeight="1" x14ac:dyDescent="0.3">
      <c r="B54" s="4" t="s">
        <v>109</v>
      </c>
      <c r="C54" s="5">
        <f>C53-C16</f>
        <v>7781.0409767658975</v>
      </c>
    </row>
    <row r="55" spans="2:7" ht="14" customHeight="1" x14ac:dyDescent="0.3">
      <c r="B55" s="4" t="s">
        <v>110</v>
      </c>
      <c r="C55" s="24">
        <f>ROUND(C54*1000000/C15,0)</f>
        <v>853</v>
      </c>
    </row>
    <row r="57" spans="2:7" ht="14" customHeight="1" x14ac:dyDescent="0.3">
      <c r="B57" s="22" t="s">
        <v>111</v>
      </c>
      <c r="C57" s="23"/>
      <c r="D57" s="23"/>
      <c r="E57" s="23"/>
      <c r="F57" s="23"/>
      <c r="G57" s="23"/>
    </row>
    <row r="58" spans="2:7" ht="14" customHeight="1" x14ac:dyDescent="0.3">
      <c r="B58" s="4" t="s">
        <v>105</v>
      </c>
      <c r="C58" s="5">
        <f>C50</f>
        <v>1681.6338920620274</v>
      </c>
    </row>
    <row r="59" spans="2:7" ht="14" customHeight="1" x14ac:dyDescent="0.3">
      <c r="B59" s="4" t="s">
        <v>112</v>
      </c>
      <c r="C59" s="5">
        <f>G39+G42</f>
        <v>2042.1106640000003</v>
      </c>
    </row>
    <row r="60" spans="2:7" ht="14" customHeight="1" x14ac:dyDescent="0.3">
      <c r="B60" s="4" t="s">
        <v>113</v>
      </c>
      <c r="C60" s="5">
        <f>C59*C14</f>
        <v>18378.995976000002</v>
      </c>
    </row>
    <row r="61" spans="2:7" ht="14" customHeight="1" x14ac:dyDescent="0.3">
      <c r="B61" s="4" t="s">
        <v>107</v>
      </c>
      <c r="C61" s="5">
        <f>C60*G46</f>
        <v>8815.1975001413248</v>
      </c>
    </row>
    <row r="62" spans="2:7" ht="14" customHeight="1" x14ac:dyDescent="0.3">
      <c r="B62" s="4" t="s">
        <v>108</v>
      </c>
      <c r="C62" s="5">
        <f>C58+C61</f>
        <v>10496.831392203352</v>
      </c>
    </row>
    <row r="63" spans="2:7" ht="14" customHeight="1" x14ac:dyDescent="0.3">
      <c r="B63" s="4" t="s">
        <v>109</v>
      </c>
      <c r="C63" s="5">
        <f>C62-C16</f>
        <v>13253.131392203351</v>
      </c>
    </row>
    <row r="64" spans="2:7" ht="14" customHeight="1" x14ac:dyDescent="0.3">
      <c r="B64" s="4" t="s">
        <v>114</v>
      </c>
      <c r="C64" s="24">
        <f>ROUND(C63*1000000/C15,0)</f>
        <v>1453</v>
      </c>
    </row>
    <row r="66" spans="2:7" ht="14" customHeight="1" x14ac:dyDescent="0.3">
      <c r="B66" s="22" t="s">
        <v>115</v>
      </c>
      <c r="C66" s="23"/>
      <c r="D66" s="23"/>
      <c r="E66" s="23"/>
      <c r="F66" s="23"/>
      <c r="G66" s="23"/>
    </row>
    <row r="67" spans="2:7" ht="14" customHeight="1" x14ac:dyDescent="0.3">
      <c r="C67" s="25" t="s">
        <v>116</v>
      </c>
      <c r="D67" s="25" t="s">
        <v>117</v>
      </c>
      <c r="E67" s="25" t="s">
        <v>118</v>
      </c>
      <c r="F67" s="25" t="s">
        <v>119</v>
      </c>
      <c r="G67" s="25" t="s">
        <v>120</v>
      </c>
    </row>
    <row r="68" spans="2:7" ht="14" customHeight="1" x14ac:dyDescent="0.3">
      <c r="B68" s="3" t="s">
        <v>46</v>
      </c>
    </row>
    <row r="69" spans="2:7" ht="14" customHeight="1" x14ac:dyDescent="0.3">
      <c r="B69" s="4" t="s">
        <v>84</v>
      </c>
      <c r="C69" s="26">
        <v>0.12</v>
      </c>
      <c r="D69" s="26">
        <v>0.1</v>
      </c>
      <c r="E69" s="26">
        <v>0.1</v>
      </c>
      <c r="F69" s="26">
        <v>0.08</v>
      </c>
      <c r="G69" s="26">
        <v>0.05</v>
      </c>
    </row>
    <row r="70" spans="2:7" ht="14" customHeight="1" x14ac:dyDescent="0.3">
      <c r="B70" s="4" t="s">
        <v>121</v>
      </c>
      <c r="C70" s="26">
        <v>0.18</v>
      </c>
      <c r="D70" s="26">
        <v>0.16</v>
      </c>
      <c r="E70" s="26">
        <v>0.14000000000000001</v>
      </c>
      <c r="F70" s="26">
        <v>0.12</v>
      </c>
      <c r="G70" s="26">
        <v>0.1</v>
      </c>
    </row>
    <row r="71" spans="2:7" ht="14" customHeight="1" x14ac:dyDescent="0.3">
      <c r="B71" s="4" t="s">
        <v>122</v>
      </c>
      <c r="C71" s="26">
        <v>0.12</v>
      </c>
      <c r="D71" s="26">
        <v>0.12</v>
      </c>
      <c r="E71" s="26">
        <v>0.11</v>
      </c>
      <c r="F71" s="26">
        <v>0.1</v>
      </c>
      <c r="G71" s="26">
        <v>0.1</v>
      </c>
    </row>
    <row r="72" spans="2:7" ht="14" customHeight="1" x14ac:dyDescent="0.3">
      <c r="B72" s="4" t="s">
        <v>123</v>
      </c>
      <c r="C72" s="26">
        <v>-0.08</v>
      </c>
      <c r="D72" s="26">
        <v>0</v>
      </c>
      <c r="E72" s="26">
        <v>0.02</v>
      </c>
      <c r="F72" s="26">
        <v>0.02</v>
      </c>
      <c r="G72" s="26">
        <v>0.02</v>
      </c>
    </row>
    <row r="73" spans="2:7" ht="14" customHeight="1" x14ac:dyDescent="0.3">
      <c r="B73" s="4" t="s">
        <v>124</v>
      </c>
      <c r="C73" s="26">
        <v>-0.2</v>
      </c>
      <c r="D73" s="26">
        <v>-0.05</v>
      </c>
      <c r="E73" s="26">
        <v>0.03</v>
      </c>
      <c r="F73" s="26">
        <v>0.03</v>
      </c>
      <c r="G73" s="26">
        <v>0.03</v>
      </c>
    </row>
    <row r="75" spans="2:7" ht="14" customHeight="1" x14ac:dyDescent="0.3">
      <c r="B75" s="3" t="s">
        <v>91</v>
      </c>
    </row>
    <row r="76" spans="2:7" ht="14" customHeight="1" x14ac:dyDescent="0.3">
      <c r="B76" s="4" t="s">
        <v>84</v>
      </c>
      <c r="C76" s="26">
        <v>0.63</v>
      </c>
      <c r="D76" s="26">
        <v>0.63</v>
      </c>
      <c r="E76" s="26">
        <v>0.63</v>
      </c>
      <c r="F76" s="26">
        <v>0.63</v>
      </c>
      <c r="G76" s="26">
        <v>0.63</v>
      </c>
    </row>
    <row r="77" spans="2:7" ht="14" customHeight="1" x14ac:dyDescent="0.3">
      <c r="B77" s="4" t="s">
        <v>121</v>
      </c>
      <c r="C77" s="26">
        <v>0.57999999999999996</v>
      </c>
      <c r="D77" s="26">
        <v>0.57999999999999996</v>
      </c>
      <c r="E77" s="26">
        <v>0.57999999999999996</v>
      </c>
      <c r="F77" s="26">
        <v>0.57999999999999996</v>
      </c>
      <c r="G77" s="26">
        <v>0.57999999999999996</v>
      </c>
    </row>
    <row r="78" spans="2:7" ht="14" customHeight="1" x14ac:dyDescent="0.3">
      <c r="B78" s="4" t="s">
        <v>122</v>
      </c>
      <c r="C78" s="26">
        <v>0.63</v>
      </c>
      <c r="D78" s="26">
        <v>0.63</v>
      </c>
      <c r="E78" s="26">
        <v>0.63</v>
      </c>
      <c r="F78" s="26">
        <v>0.63</v>
      </c>
      <c r="G78" s="26">
        <v>0.63</v>
      </c>
    </row>
    <row r="79" spans="2:7" ht="14" customHeight="1" x14ac:dyDescent="0.3">
      <c r="B79" s="4" t="s">
        <v>123</v>
      </c>
      <c r="C79" s="26">
        <v>0.66</v>
      </c>
      <c r="D79" s="26">
        <v>0.68</v>
      </c>
      <c r="E79" s="26">
        <v>0.69</v>
      </c>
      <c r="F79" s="26">
        <v>0.69</v>
      </c>
      <c r="G79" s="26">
        <v>0.69</v>
      </c>
    </row>
    <row r="80" spans="2:7" ht="14" customHeight="1" x14ac:dyDescent="0.3">
      <c r="B80" s="4" t="s">
        <v>124</v>
      </c>
      <c r="C80" s="26">
        <v>0.7</v>
      </c>
      <c r="D80" s="26">
        <v>0.72</v>
      </c>
      <c r="E80" s="26">
        <v>0.71</v>
      </c>
      <c r="F80" s="26">
        <v>0.7</v>
      </c>
      <c r="G80" s="26">
        <v>0.7</v>
      </c>
    </row>
    <row r="82" spans="2:7" ht="14" customHeight="1" x14ac:dyDescent="0.3">
      <c r="B82" s="3" t="s">
        <v>92</v>
      </c>
    </row>
    <row r="83" spans="2:7" ht="14" customHeight="1" x14ac:dyDescent="0.3">
      <c r="B83" s="4" t="s">
        <v>84</v>
      </c>
      <c r="C83" s="26">
        <v>0.22</v>
      </c>
      <c r="D83" s="26">
        <v>0.22</v>
      </c>
      <c r="E83" s="26">
        <v>0.22</v>
      </c>
      <c r="F83" s="26">
        <v>0.22</v>
      </c>
      <c r="G83" s="26">
        <v>0.22</v>
      </c>
    </row>
    <row r="84" spans="2:7" ht="14" customHeight="1" x14ac:dyDescent="0.3">
      <c r="B84" s="4" t="s">
        <v>121</v>
      </c>
      <c r="C84" s="26">
        <v>0.22</v>
      </c>
      <c r="D84" s="26">
        <v>0.21</v>
      </c>
      <c r="E84" s="26">
        <v>0.21</v>
      </c>
      <c r="F84" s="26">
        <v>0.21</v>
      </c>
      <c r="G84" s="26">
        <v>0.21</v>
      </c>
    </row>
    <row r="85" spans="2:7" ht="14" customHeight="1" x14ac:dyDescent="0.3">
      <c r="B85" s="4" t="s">
        <v>122</v>
      </c>
      <c r="C85" s="26">
        <v>0.24</v>
      </c>
      <c r="D85" s="26">
        <v>0.23499999999999999</v>
      </c>
      <c r="E85" s="26">
        <v>0.23</v>
      </c>
      <c r="F85" s="26">
        <v>0.22500000000000001</v>
      </c>
      <c r="G85" s="26">
        <v>0.22</v>
      </c>
    </row>
    <row r="86" spans="2:7" ht="14" customHeight="1" x14ac:dyDescent="0.3">
      <c r="B86" s="4" t="s">
        <v>123</v>
      </c>
      <c r="C86" s="26">
        <v>0.25</v>
      </c>
      <c r="D86" s="26">
        <v>0.26</v>
      </c>
      <c r="E86" s="26">
        <v>0.26</v>
      </c>
      <c r="F86" s="26">
        <v>0.26</v>
      </c>
      <c r="G86" s="26">
        <v>0.26</v>
      </c>
    </row>
    <row r="87" spans="2:7" ht="14" customHeight="1" x14ac:dyDescent="0.3">
      <c r="B87" s="4" t="s">
        <v>124</v>
      </c>
      <c r="C87" s="26">
        <v>0.28999999999999998</v>
      </c>
      <c r="D87" s="26">
        <v>0.28999999999999998</v>
      </c>
      <c r="E87" s="26">
        <v>0.28999999999999998</v>
      </c>
      <c r="F87" s="26">
        <v>0.28999999999999998</v>
      </c>
      <c r="G87" s="26">
        <v>0.28000000000000003</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125</v>
      </c>
    </row>
    <row r="3" spans="2:9" ht="14" customHeight="1" x14ac:dyDescent="0.3">
      <c r="B3" s="1" t="s">
        <v>126</v>
      </c>
    </row>
    <row r="5" spans="2:9" ht="14" customHeight="1" x14ac:dyDescent="0.3">
      <c r="B5" s="8" t="s">
        <v>127</v>
      </c>
      <c r="C5" s="9"/>
      <c r="D5" s="9"/>
      <c r="E5" s="9"/>
      <c r="F5" s="9"/>
      <c r="G5" s="9"/>
      <c r="H5" s="9"/>
      <c r="I5" s="9"/>
    </row>
    <row r="6" spans="2:9" ht="14" customHeight="1" x14ac:dyDescent="0.3">
      <c r="B6" s="4" t="s">
        <v>128</v>
      </c>
      <c r="C6" s="15">
        <f>'Executive Summary'!C9</f>
        <v>1530</v>
      </c>
    </row>
    <row r="7" spans="2:9" ht="14" customHeight="1" x14ac:dyDescent="0.3">
      <c r="B7" s="4" t="s">
        <v>72</v>
      </c>
      <c r="C7" s="15">
        <f>'DCF Model'!C15</f>
        <v>9121192</v>
      </c>
    </row>
    <row r="8" spans="2:9" ht="14" customHeight="1" x14ac:dyDescent="0.3">
      <c r="B8" s="4" t="s">
        <v>129</v>
      </c>
      <c r="C8" s="5">
        <f>C6*C7/1000000</f>
        <v>13955.42376</v>
      </c>
    </row>
    <row r="9" spans="2:9" ht="14" customHeight="1" x14ac:dyDescent="0.3">
      <c r="B9" s="4" t="s">
        <v>73</v>
      </c>
      <c r="C9" s="5">
        <f>'DCF Model'!C16</f>
        <v>-2756.3</v>
      </c>
    </row>
    <row r="10" spans="2:9" ht="14" customHeight="1" x14ac:dyDescent="0.3">
      <c r="B10" s="4" t="s">
        <v>130</v>
      </c>
      <c r="C10" s="5">
        <f>C8+C9</f>
        <v>11199.123759999999</v>
      </c>
    </row>
    <row r="11" spans="2:9" ht="14" customHeight="1" x14ac:dyDescent="0.3">
      <c r="B11" s="4" t="s">
        <v>131</v>
      </c>
      <c r="C11" s="16">
        <f>'DCF Model'!C26</f>
        <v>0.1539865</v>
      </c>
    </row>
    <row r="12" spans="2:9" ht="14" customHeight="1" x14ac:dyDescent="0.3">
      <c r="B12" s="4" t="s">
        <v>132</v>
      </c>
      <c r="C12" s="16">
        <f>'DCF Model'!C13</f>
        <v>0.01</v>
      </c>
    </row>
    <row r="13" spans="2:9" ht="14" customHeight="1" x14ac:dyDescent="0.3">
      <c r="B13" s="4" t="s">
        <v>133</v>
      </c>
      <c r="C13" s="16">
        <f>'DCF Model'!C6</f>
        <v>0.3</v>
      </c>
    </row>
    <row r="14" spans="2:9" ht="14" customHeight="1" x14ac:dyDescent="0.3">
      <c r="B14" s="4" t="s">
        <v>134</v>
      </c>
      <c r="C14" s="27">
        <v>820</v>
      </c>
    </row>
    <row r="15" spans="2:9" ht="14" customHeight="1" x14ac:dyDescent="0.3">
      <c r="B15" s="4" t="s">
        <v>135</v>
      </c>
      <c r="C15" s="27">
        <v>1022.4</v>
      </c>
    </row>
    <row r="16" spans="2:9" ht="14" customHeight="1" x14ac:dyDescent="0.3">
      <c r="B16" s="4" t="s">
        <v>136</v>
      </c>
      <c r="C16" s="5">
        <f>'DCF Model'!G33</f>
        <v>10680.737760000004</v>
      </c>
    </row>
    <row r="17" spans="2:9" ht="14" customHeight="1" x14ac:dyDescent="0.3">
      <c r="B17" s="4" t="s">
        <v>137</v>
      </c>
      <c r="C17" s="5">
        <f>'DCF Model'!C53</f>
        <v>5024.7409767658974</v>
      </c>
    </row>
    <row r="18" spans="2:9" ht="14" customHeight="1" x14ac:dyDescent="0.3">
      <c r="B18" s="4" t="s">
        <v>138</v>
      </c>
      <c r="C18" s="26">
        <v>0.151</v>
      </c>
    </row>
    <row r="19" spans="2:9" ht="14" customHeight="1" x14ac:dyDescent="0.3">
      <c r="B19" s="4" t="s">
        <v>139</v>
      </c>
      <c r="C19" s="5">
        <f>C10-C17</f>
        <v>6174.3827832341012</v>
      </c>
    </row>
    <row r="20" spans="2:9" ht="14" customHeight="1" x14ac:dyDescent="0.3">
      <c r="B20" s="4" t="s">
        <v>140</v>
      </c>
      <c r="C20" s="15">
        <f>IFERROR(ROUND(C19*1000000/C7,0),"N/A")</f>
        <v>677</v>
      </c>
    </row>
    <row r="22" spans="2:9" ht="14" customHeight="1" x14ac:dyDescent="0.3">
      <c r="B22" s="8" t="s">
        <v>141</v>
      </c>
      <c r="C22" s="9"/>
      <c r="D22" s="9"/>
      <c r="E22" s="9"/>
      <c r="F22" s="9"/>
      <c r="G22" s="9"/>
      <c r="H22" s="9"/>
      <c r="I22" s="9"/>
    </row>
    <row r="23" spans="2:9" ht="14" customHeight="1" x14ac:dyDescent="0.3">
      <c r="B23" s="1" t="s">
        <v>142</v>
      </c>
    </row>
    <row r="24" spans="2:9" ht="14" customHeight="1" x14ac:dyDescent="0.3">
      <c r="B24" s="4" t="s">
        <v>143</v>
      </c>
      <c r="C24" s="5">
        <f>C10*(C11-C12)</f>
        <v>1612.5226332692396</v>
      </c>
    </row>
    <row r="25" spans="2:9" ht="14" customHeight="1" x14ac:dyDescent="0.3">
      <c r="B25" s="4" t="s">
        <v>144</v>
      </c>
      <c r="C25" s="5">
        <f>IFERROR(C24/(1-C13),"N/A")</f>
        <v>2303.6037618131995</v>
      </c>
    </row>
    <row r="26" spans="2:9" ht="13.5" customHeight="1" x14ac:dyDescent="0.25">
      <c r="B26" s="6" t="s">
        <v>145</v>
      </c>
      <c r="C26" s="14">
        <f>IFERROR(C25/C15,"N/A")</f>
        <v>2.253133569848591</v>
      </c>
    </row>
    <row r="27" spans="2:9" ht="13.5" customHeight="1" x14ac:dyDescent="0.25">
      <c r="B27" s="6" t="s">
        <v>146</v>
      </c>
      <c r="C27" s="14">
        <f>IFERROR(C25/C14,"N/A")</f>
        <v>2.8092728802599995</v>
      </c>
    </row>
    <row r="28" spans="2:9" ht="13.5" customHeight="1" x14ac:dyDescent="0.25">
      <c r="B28" s="6" t="s">
        <v>147</v>
      </c>
      <c r="C28" s="7">
        <f>IFERROR(C25/C16,"N/A")</f>
        <v>0.21567833735608904</v>
      </c>
    </row>
    <row r="29" spans="2:9" ht="13.5" customHeight="1" x14ac:dyDescent="0.25">
      <c r="B29" s="6" t="s">
        <v>148</v>
      </c>
      <c r="C29" s="5">
        <f>IFERROR(C25/C18,"N/A")</f>
        <v>15255.654051743044</v>
      </c>
    </row>
    <row r="32" spans="2:9" ht="14" customHeight="1" x14ac:dyDescent="0.3">
      <c r="B32" s="8" t="s">
        <v>149</v>
      </c>
      <c r="C32" s="9"/>
      <c r="D32" s="9"/>
      <c r="E32" s="9"/>
      <c r="F32" s="9"/>
      <c r="G32" s="9"/>
      <c r="H32" s="9"/>
      <c r="I32" s="9"/>
    </row>
    <row r="33" spans="2:9" ht="14" customHeight="1" x14ac:dyDescent="0.3">
      <c r="B33" s="1" t="s">
        <v>150</v>
      </c>
    </row>
    <row r="34" spans="2:9" ht="14" customHeight="1" x14ac:dyDescent="0.3">
      <c r="B34" s="1" t="s">
        <v>151</v>
      </c>
    </row>
    <row r="36" spans="2:9" ht="14" customHeight="1" x14ac:dyDescent="0.3">
      <c r="B36" s="28" t="s">
        <v>152</v>
      </c>
      <c r="C36" s="28" t="s">
        <v>153</v>
      </c>
      <c r="D36" s="29">
        <f>'DCF Model'!C26-0.02</f>
        <v>0.13398650000000001</v>
      </c>
      <c r="E36" s="29">
        <f>'DCF Model'!C26-0.01</f>
        <v>0.14398649999999999</v>
      </c>
      <c r="F36" s="29">
        <f>'DCF Model'!C26</f>
        <v>0.1539865</v>
      </c>
      <c r="G36" s="29">
        <f>'DCF Model'!C26+0.01</f>
        <v>0.16398650000000001</v>
      </c>
      <c r="H36" s="29">
        <f>'DCF Model'!C26+0.02</f>
        <v>0.17398649999999999</v>
      </c>
    </row>
    <row r="37" spans="2:9" ht="14" customHeight="1" x14ac:dyDescent="0.3">
      <c r="B37" s="3" t="s">
        <v>154</v>
      </c>
    </row>
    <row r="38" spans="2:9" ht="14" customHeight="1" x14ac:dyDescent="0.3">
      <c r="B38" s="4" t="s">
        <v>155</v>
      </c>
      <c r="C38" s="30">
        <v>3</v>
      </c>
      <c r="D38" s="13">
        <f t="shared" ref="D38:H41" si="0">IFERROR((1-(1+D$36)^(-$C38))/D$36-(1+D$36)/(D$36^2*$C38)*(1-($C38+1)/(1+D$36)^$C38+$C38/(1+D$36)^($C38+1)),"N/A")</f>
        <v>0.8471131750154357</v>
      </c>
      <c r="E38" s="13">
        <f t="shared" si="0"/>
        <v>0.83746215231974319</v>
      </c>
      <c r="F38" s="13">
        <f t="shared" si="0"/>
        <v>0.82801698400330803</v>
      </c>
      <c r="G38" s="13">
        <f t="shared" si="0"/>
        <v>0.81877137841649406</v>
      </c>
      <c r="H38" s="13">
        <f t="shared" si="0"/>
        <v>0.80971929158930145</v>
      </c>
    </row>
    <row r="39" spans="2:9" ht="14" customHeight="1" x14ac:dyDescent="0.3">
      <c r="B39" s="4" t="s">
        <v>156</v>
      </c>
      <c r="C39" s="30">
        <v>5</v>
      </c>
      <c r="D39" s="13">
        <f t="shared" si="0"/>
        <v>1.5673204160485377</v>
      </c>
      <c r="E39" s="13">
        <f t="shared" si="0"/>
        <v>1.5417273705207817</v>
      </c>
      <c r="F39" s="13">
        <f t="shared" si="0"/>
        <v>1.5168749590119084</v>
      </c>
      <c r="G39" s="13">
        <f t="shared" si="0"/>
        <v>1.4927337156601421</v>
      </c>
      <c r="H39" s="13">
        <f t="shared" si="0"/>
        <v>1.4692756369442297</v>
      </c>
    </row>
    <row r="40" spans="2:9" ht="14" customHeight="1" x14ac:dyDescent="0.3">
      <c r="B40" s="4" t="s">
        <v>157</v>
      </c>
      <c r="C40" s="30">
        <v>7</v>
      </c>
      <c r="D40" s="13">
        <f t="shared" si="0"/>
        <v>2.1819218786921071</v>
      </c>
      <c r="E40" s="13">
        <f t="shared" si="0"/>
        <v>2.1365236381268602</v>
      </c>
      <c r="F40" s="13">
        <f t="shared" si="0"/>
        <v>2.0927617596164878</v>
      </c>
      <c r="G40" s="13">
        <f t="shared" si="0"/>
        <v>2.0505568260783966</v>
      </c>
      <c r="H40" s="13">
        <f t="shared" si="0"/>
        <v>2.0098341423027857</v>
      </c>
    </row>
    <row r="41" spans="2:9" ht="14" customHeight="1" x14ac:dyDescent="0.3">
      <c r="B41" s="4" t="s">
        <v>158</v>
      </c>
      <c r="C41" s="30">
        <v>10</v>
      </c>
      <c r="D41" s="13">
        <f t="shared" si="0"/>
        <v>2.9432194070390119</v>
      </c>
      <c r="E41" s="13">
        <f t="shared" si="0"/>
        <v>2.8645200436041414</v>
      </c>
      <c r="F41" s="13">
        <f t="shared" si="0"/>
        <v>2.7894251026613652</v>
      </c>
      <c r="G41" s="13">
        <f t="shared" si="0"/>
        <v>2.7177154849923104</v>
      </c>
      <c r="H41" s="13">
        <f t="shared" si="0"/>
        <v>2.6491881720554975</v>
      </c>
    </row>
    <row r="42" spans="2:9" ht="14" customHeight="1" x14ac:dyDescent="0.3">
      <c r="B42" s="3" t="s">
        <v>159</v>
      </c>
    </row>
    <row r="43" spans="2:9" ht="14" customHeight="1" x14ac:dyDescent="0.3">
      <c r="B43" s="4" t="s">
        <v>155</v>
      </c>
      <c r="C43" s="30">
        <v>3</v>
      </c>
      <c r="D43" s="13">
        <f t="shared" ref="D43:H46" si="1">IFERROR((1+D$36)/(D$36^2*$C43)*(1-($C43+1)/(1+D$36)^$C43+$C43/(1+D$36)^($C43+1))+(1+$C$12)/((D$36-$C$12)*(1+D$36)^$C43),"N/A")</f>
        <v>7.0844362427254151</v>
      </c>
      <c r="E43" s="13">
        <f t="shared" si="1"/>
        <v>6.5037065275536001</v>
      </c>
      <c r="F43" s="13">
        <f t="shared" si="1"/>
        <v>6.0047423588463111</v>
      </c>
      <c r="G43" s="13">
        <f t="shared" si="1"/>
        <v>5.5715811757320903</v>
      </c>
      <c r="H43" s="13">
        <f t="shared" si="1"/>
        <v>5.192155294219793</v>
      </c>
    </row>
    <row r="44" spans="2:9" ht="14" customHeight="1" x14ac:dyDescent="0.3">
      <c r="B44" s="4" t="s">
        <v>156</v>
      </c>
      <c r="C44" s="30">
        <v>5</v>
      </c>
      <c r="D44" s="13">
        <f t="shared" si="1"/>
        <v>6.260144580916811</v>
      </c>
      <c r="E44" s="13">
        <f t="shared" si="1"/>
        <v>5.7060132332100029</v>
      </c>
      <c r="F44" s="13">
        <f t="shared" si="1"/>
        <v>5.2315279349663077</v>
      </c>
      <c r="G44" s="13">
        <f t="shared" si="1"/>
        <v>4.8210626812522825</v>
      </c>
      <c r="H44" s="13">
        <f t="shared" si="1"/>
        <v>4.4628084448573819</v>
      </c>
    </row>
    <row r="45" spans="2:9" ht="14" customHeight="1" x14ac:dyDescent="0.3">
      <c r="B45" s="4" t="s">
        <v>157</v>
      </c>
      <c r="C45" s="30">
        <v>7</v>
      </c>
      <c r="D45" s="13">
        <f t="shared" si="1"/>
        <v>5.5646018582143828</v>
      </c>
      <c r="E45" s="13">
        <f t="shared" si="1"/>
        <v>5.0398272573550056</v>
      </c>
      <c r="F45" s="13">
        <f t="shared" si="1"/>
        <v>4.5922954791441111</v>
      </c>
      <c r="G45" s="13">
        <f t="shared" si="1"/>
        <v>4.2067349143480648</v>
      </c>
      <c r="H45" s="13">
        <f t="shared" si="1"/>
        <v>3.8716126875276178</v>
      </c>
    </row>
    <row r="46" spans="2:9" ht="14" customHeight="1" x14ac:dyDescent="0.3">
      <c r="B46" s="4" t="s">
        <v>158</v>
      </c>
      <c r="C46" s="30">
        <v>10</v>
      </c>
      <c r="D46" s="13">
        <f t="shared" si="1"/>
        <v>4.7143494952860241</v>
      </c>
      <c r="E46" s="13">
        <f t="shared" si="1"/>
        <v>4.2350401473542085</v>
      </c>
      <c r="F46" s="13">
        <f t="shared" si="1"/>
        <v>3.8289271793726893</v>
      </c>
      <c r="G46" s="13">
        <f t="shared" si="1"/>
        <v>3.4813140730401742</v>
      </c>
      <c r="H46" s="13">
        <f t="shared" si="1"/>
        <v>3.1811228461669381</v>
      </c>
    </row>
    <row r="47" spans="2:9" ht="14" customHeight="1" x14ac:dyDescent="0.3">
      <c r="B47" s="22" t="s">
        <v>160</v>
      </c>
      <c r="C47" s="23"/>
      <c r="D47" s="23"/>
      <c r="E47" s="23"/>
      <c r="F47" s="23"/>
      <c r="G47" s="23"/>
      <c r="H47" s="23"/>
      <c r="I47" s="23"/>
    </row>
    <row r="48" spans="2:9" ht="14" customHeight="1" x14ac:dyDescent="0.3">
      <c r="B48" s="4" t="s">
        <v>155</v>
      </c>
      <c r="C48" s="30">
        <v>3</v>
      </c>
      <c r="D48" s="5">
        <f t="shared" ref="D48:H51" si="2">IFERROR(($C$10/(1-$C$13)-$C$14*D38)/D43,"N/A")</f>
        <v>2160.2446406054755</v>
      </c>
      <c r="E48" s="5">
        <f t="shared" si="2"/>
        <v>2354.3542745660957</v>
      </c>
      <c r="F48" s="5">
        <f t="shared" si="2"/>
        <v>2551.2792033648711</v>
      </c>
      <c r="G48" s="5">
        <f t="shared" si="2"/>
        <v>2750.9884922848546</v>
      </c>
      <c r="H48" s="5">
        <f t="shared" si="2"/>
        <v>2953.4514167054595</v>
      </c>
    </row>
    <row r="49" spans="2:9" ht="14" customHeight="1" x14ac:dyDescent="0.3">
      <c r="B49" s="4" t="s">
        <v>156</v>
      </c>
      <c r="C49" s="30">
        <v>5</v>
      </c>
      <c r="D49" s="5">
        <f t="shared" si="2"/>
        <v>2350.3523436605351</v>
      </c>
      <c r="E49" s="5">
        <f t="shared" si="2"/>
        <v>2582.2813902685702</v>
      </c>
      <c r="F49" s="5">
        <f t="shared" si="2"/>
        <v>2820.3826770307951</v>
      </c>
      <c r="G49" s="5">
        <f t="shared" si="2"/>
        <v>3064.6161559327297</v>
      </c>
      <c r="H49" s="5">
        <f t="shared" si="2"/>
        <v>3314.9399955368081</v>
      </c>
    </row>
    <row r="50" spans="2:9" ht="14" customHeight="1" x14ac:dyDescent="0.3">
      <c r="B50" s="4" t="s">
        <v>157</v>
      </c>
      <c r="C50" s="30">
        <v>7</v>
      </c>
      <c r="D50" s="5">
        <f t="shared" si="2"/>
        <v>2553.5649539900037</v>
      </c>
      <c r="E50" s="5">
        <f t="shared" si="2"/>
        <v>2826.8426907918238</v>
      </c>
      <c r="F50" s="5">
        <f t="shared" si="2"/>
        <v>3110.1403754507196</v>
      </c>
      <c r="G50" s="5">
        <f t="shared" si="2"/>
        <v>3403.4213998972532</v>
      </c>
      <c r="H50" s="5">
        <f t="shared" si="2"/>
        <v>3706.6425260237947</v>
      </c>
    </row>
    <row r="51" spans="2:9" ht="14" customHeight="1" x14ac:dyDescent="0.3">
      <c r="B51" s="4" t="s">
        <v>158</v>
      </c>
      <c r="C51" s="30">
        <v>10</v>
      </c>
      <c r="D51" s="5">
        <f t="shared" si="2"/>
        <v>2881.6930794765362</v>
      </c>
      <c r="E51" s="5">
        <f t="shared" si="2"/>
        <v>3223.0725844107069</v>
      </c>
      <c r="F51" s="5">
        <f t="shared" si="2"/>
        <v>3581.0082046625685</v>
      </c>
      <c r="G51" s="5">
        <f t="shared" si="2"/>
        <v>3955.466597373797</v>
      </c>
      <c r="H51" s="5">
        <f t="shared" si="2"/>
        <v>4346.394212391363</v>
      </c>
    </row>
    <row r="52" spans="2:9" ht="14" customHeight="1" x14ac:dyDescent="0.3">
      <c r="B52" s="22" t="s">
        <v>161</v>
      </c>
      <c r="C52" s="23"/>
      <c r="D52" s="23"/>
      <c r="E52" s="23"/>
      <c r="F52" s="23"/>
      <c r="G52" s="23"/>
      <c r="H52" s="23"/>
      <c r="I52" s="23"/>
    </row>
    <row r="53" spans="2:9" ht="14" customHeight="1" x14ac:dyDescent="0.3">
      <c r="B53" s="4" t="s">
        <v>155</v>
      </c>
      <c r="C53" s="30">
        <v>3</v>
      </c>
      <c r="D53" s="14">
        <f t="shared" ref="D53:H56" si="3">IFERROR(D48/$C$15,"N/A")</f>
        <v>2.1129153370554339</v>
      </c>
      <c r="E53" s="14">
        <f t="shared" si="3"/>
        <v>2.3027721777837398</v>
      </c>
      <c r="F53" s="14">
        <f t="shared" si="3"/>
        <v>2.4953826323991306</v>
      </c>
      <c r="G53" s="14">
        <f t="shared" si="3"/>
        <v>2.6907164439405857</v>
      </c>
      <c r="H53" s="14">
        <f t="shared" si="3"/>
        <v>2.8887435609403949</v>
      </c>
    </row>
    <row r="54" spans="2:9" ht="14" customHeight="1" x14ac:dyDescent="0.3">
      <c r="B54" s="4" t="s">
        <v>156</v>
      </c>
      <c r="C54" s="30">
        <v>5</v>
      </c>
      <c r="D54" s="14">
        <f t="shared" si="3"/>
        <v>2.2988579261155468</v>
      </c>
      <c r="E54" s="14">
        <f t="shared" si="3"/>
        <v>2.5257055851609649</v>
      </c>
      <c r="F54" s="14">
        <f t="shared" si="3"/>
        <v>2.7585902553118107</v>
      </c>
      <c r="G54" s="14">
        <f t="shared" si="3"/>
        <v>2.9974727659748921</v>
      </c>
      <c r="H54" s="14">
        <f t="shared" si="3"/>
        <v>3.2423122022073634</v>
      </c>
    </row>
    <row r="55" spans="2:9" ht="14" customHeight="1" x14ac:dyDescent="0.3">
      <c r="B55" s="4" t="s">
        <v>157</v>
      </c>
      <c r="C55" s="30">
        <v>7</v>
      </c>
      <c r="D55" s="14">
        <f t="shared" si="3"/>
        <v>2.4976183039808331</v>
      </c>
      <c r="E55" s="14">
        <f t="shared" si="3"/>
        <v>2.7649087351250232</v>
      </c>
      <c r="F55" s="14">
        <f t="shared" si="3"/>
        <v>3.0419995847522689</v>
      </c>
      <c r="G55" s="14">
        <f t="shared" si="3"/>
        <v>3.328855046847861</v>
      </c>
      <c r="H55" s="14">
        <f t="shared" si="3"/>
        <v>3.6254328306179526</v>
      </c>
    </row>
    <row r="56" spans="2:9" ht="14" customHeight="1" x14ac:dyDescent="0.3">
      <c r="B56" s="4" t="s">
        <v>158</v>
      </c>
      <c r="C56" s="30">
        <v>10</v>
      </c>
      <c r="D56" s="14">
        <f t="shared" si="3"/>
        <v>2.8185573938542023</v>
      </c>
      <c r="E56" s="14">
        <f t="shared" si="3"/>
        <v>3.1524575356129763</v>
      </c>
      <c r="F56" s="14">
        <f t="shared" si="3"/>
        <v>3.5025510608984436</v>
      </c>
      <c r="G56" s="14">
        <f t="shared" si="3"/>
        <v>3.8688053573687373</v>
      </c>
      <c r="H56" s="14">
        <f t="shared" si="3"/>
        <v>4.2511680481136178</v>
      </c>
    </row>
    <row r="58" spans="2:9" ht="14" customHeight="1" x14ac:dyDescent="0.3">
      <c r="B58" s="8" t="s">
        <v>162</v>
      </c>
      <c r="C58" s="9"/>
      <c r="D58" s="9"/>
      <c r="E58" s="9"/>
      <c r="F58" s="9"/>
      <c r="G58" s="9"/>
      <c r="H58" s="9"/>
      <c r="I58" s="9"/>
    </row>
    <row r="59" spans="2:9" ht="14" customHeight="1" x14ac:dyDescent="0.3">
      <c r="B59" s="1" t="s">
        <v>163</v>
      </c>
    </row>
    <row r="60" spans="2:9" ht="14" customHeight="1" x14ac:dyDescent="0.3">
      <c r="B60" s="4" t="s">
        <v>164</v>
      </c>
      <c r="C60" s="5">
        <f>F49</f>
        <v>2820.3826770307951</v>
      </c>
    </row>
    <row r="62" spans="2:9" ht="14" customHeight="1" x14ac:dyDescent="0.3">
      <c r="B62" s="28" t="s">
        <v>165</v>
      </c>
      <c r="C62" s="28" t="s">
        <v>166</v>
      </c>
      <c r="D62" s="28" t="s">
        <v>167</v>
      </c>
    </row>
    <row r="63" spans="2:9" ht="14" customHeight="1" x14ac:dyDescent="0.3">
      <c r="B63" s="31">
        <v>0.05</v>
      </c>
      <c r="C63" s="5">
        <f>IFERROR($C$60/B63,"N/A")</f>
        <v>56407.653540615902</v>
      </c>
      <c r="D63" s="14">
        <f>IFERROR(C63/'DCF Model'!C17,"N/A")</f>
        <v>8.1162091425346627</v>
      </c>
    </row>
    <row r="64" spans="2:9" ht="14" customHeight="1" x14ac:dyDescent="0.3">
      <c r="B64" s="31">
        <v>0.1</v>
      </c>
      <c r="C64" s="5">
        <f>IFERROR($C$60/B64,"N/A")</f>
        <v>28203.826770307951</v>
      </c>
      <c r="D64" s="14">
        <f>IFERROR(C64/'DCF Model'!C17,"N/A")</f>
        <v>4.0581045712673314</v>
      </c>
    </row>
    <row r="65" spans="2:9" ht="14" customHeight="1" x14ac:dyDescent="0.3">
      <c r="B65" s="31">
        <v>0.12</v>
      </c>
      <c r="C65" s="5">
        <f>IFERROR($C$60/B65,"N/A")</f>
        <v>23503.188975256628</v>
      </c>
      <c r="D65" s="14">
        <f>IFERROR(C65/'DCF Model'!C17,"N/A")</f>
        <v>3.3817538093894428</v>
      </c>
    </row>
    <row r="66" spans="2:9" ht="14" customHeight="1" x14ac:dyDescent="0.3">
      <c r="B66" s="4" t="s">
        <v>168</v>
      </c>
      <c r="C66" s="5">
        <f>IFERROR($C$60/$C$18,"N/A")</f>
        <v>18678.030973713874</v>
      </c>
      <c r="D66" s="14">
        <f>IFERROR(C66/'DCF Model'!C17,"N/A")</f>
        <v>2.6874864710379676</v>
      </c>
    </row>
    <row r="67" spans="2:9" ht="14" customHeight="1" x14ac:dyDescent="0.3">
      <c r="B67" s="31">
        <v>0.2</v>
      </c>
      <c r="C67" s="5">
        <f>IFERROR($C$60/B67,"N/A")</f>
        <v>14101.913385153975</v>
      </c>
      <c r="D67" s="14">
        <f>IFERROR(C67/'DCF Model'!C17,"N/A")</f>
        <v>2.0290522856336657</v>
      </c>
    </row>
    <row r="69" spans="2:9" ht="14" customHeight="1" x14ac:dyDescent="0.3">
      <c r="B69" s="8" t="s">
        <v>169</v>
      </c>
      <c r="C69" s="9"/>
      <c r="D69" s="9"/>
      <c r="E69" s="9"/>
      <c r="F69" s="9"/>
      <c r="G69" s="9"/>
      <c r="H69" s="9"/>
      <c r="I69" s="9"/>
    </row>
    <row r="70" spans="2:9" ht="13.5" customHeight="1" x14ac:dyDescent="0.25">
      <c r="B70" s="6" t="s">
        <v>170</v>
      </c>
      <c r="C70" s="14">
        <f>IFERROR(C10/'Comps Analysis'!G5,"N/A")</f>
        <v>6.9430401487910718</v>
      </c>
    </row>
    <row r="71" spans="2:9" ht="13.5" customHeight="1" x14ac:dyDescent="0.25">
      <c r="B71" s="6" t="s">
        <v>171</v>
      </c>
      <c r="C71" s="14">
        <f>IFERROR(C10/'Comps Analysis'!F5,"N/A")</f>
        <v>1.6113847136690644</v>
      </c>
    </row>
    <row r="72" spans="2:9" ht="14" customHeight="1" x14ac:dyDescent="0.3">
      <c r="B72" s="4" t="s">
        <v>172</v>
      </c>
      <c r="C72" s="14">
        <f>IFERROR(C10/(C25+'DCF Model'!G42),"N/A")</f>
        <v>4.0819027571965032</v>
      </c>
    </row>
    <row r="73" spans="2:9" ht="14" customHeight="1" x14ac:dyDescent="0.3">
      <c r="B73" s="4" t="s">
        <v>173</v>
      </c>
      <c r="C73" s="14">
        <f>IFERROR(C10/(C60+'DCF Model'!G42),"N/A")</f>
        <v>3.4349108277679088</v>
      </c>
    </row>
    <row r="74" spans="2:9" ht="14" customHeight="1" x14ac:dyDescent="0.3">
      <c r="B74" s="4" t="s">
        <v>174</v>
      </c>
      <c r="C74" s="14">
        <f>IFERROR('Comps Analysis'!D16,"N/A")</f>
        <v>18.932203389830509</v>
      </c>
    </row>
    <row r="75" spans="2:9" ht="14" customHeight="1" x14ac:dyDescent="0.3">
      <c r="B75" s="1" t="s">
        <v>175</v>
      </c>
    </row>
    <row r="77" spans="2:9" ht="14" customHeight="1" x14ac:dyDescent="0.3">
      <c r="B77" s="22" t="s">
        <v>176</v>
      </c>
      <c r="C77" s="23"/>
      <c r="D77" s="23"/>
      <c r="E77" s="23"/>
      <c r="F77" s="23"/>
      <c r="G77" s="23"/>
      <c r="H77" s="23"/>
      <c r="I77" s="23"/>
    </row>
    <row r="78" spans="2:9" ht="14" customHeight="1" x14ac:dyDescent="0.3">
      <c r="B78" s="4" t="str">
        <f>"At "&amp;TEXT(C6,"#,##0")&amp;" yen the market is paying for a steady-state operating profit of "&amp;TEXT(F49,"#,##0")&amp;" mn JPY - "&amp;TEXT(F54,"0.00")&amp;"x the Q2 FY26 single x4 cycle peak of "&amp;TEXT(C15,"#,##0")&amp;" mn - reached in 5 years and sustained for ever, against "&amp;TEXT(C14,"#,##0")&amp;" mn actually earned in FY2026/10 guidance."</f>
        <v>At 1,530 yen the market is paying for a steady-state operating profit of 2,820 mn JPY - 2.76x the Q2 FY26 single x4 cycle peak of 1,022 mn - reached in 5 years and sustained for ever, against 820 mn actually earned in FY2026/10 guidance.</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2,304 mn, or 2.25x the peak. The base case supports an EV of only 5,025 mn, leaving 677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177</v>
      </c>
    </row>
    <row r="4" spans="2:8" ht="14" customHeight="1" x14ac:dyDescent="0.3">
      <c r="B4" s="8" t="s">
        <v>178</v>
      </c>
      <c r="C4" s="32" t="s">
        <v>179</v>
      </c>
      <c r="D4" s="32" t="s">
        <v>86</v>
      </c>
      <c r="E4" s="32" t="s">
        <v>87</v>
      </c>
      <c r="F4" s="32" t="s">
        <v>88</v>
      </c>
      <c r="G4" s="32" t="s">
        <v>89</v>
      </c>
      <c r="H4" s="32" t="s">
        <v>90</v>
      </c>
    </row>
    <row r="5" spans="2:8" ht="14" customHeight="1" x14ac:dyDescent="0.3">
      <c r="B5" s="33" t="s">
        <v>180</v>
      </c>
      <c r="C5" s="34">
        <f>C12/C9*365</f>
        <v>80.762158273381303</v>
      </c>
      <c r="D5" s="34">
        <f>CHOOSE('DCF Model'!$D$27,D25,D26,D27,D28,D29)</f>
        <v>80</v>
      </c>
      <c r="E5" s="34">
        <f>CHOOSE('DCF Model'!$D$27,E25,E26,E27,E28,E29)</f>
        <v>80</v>
      </c>
      <c r="F5" s="34">
        <f>CHOOSE('DCF Model'!$D$27,F25,F26,F27,F28,F29)</f>
        <v>80</v>
      </c>
      <c r="G5" s="34">
        <f>CHOOSE('DCF Model'!$D$27,G25,G26,G27,G28,G29)</f>
        <v>80</v>
      </c>
      <c r="H5" s="34">
        <f>CHOOSE('DCF Model'!$D$27,H25,H26,H27,H28,H29)</f>
        <v>80</v>
      </c>
    </row>
    <row r="6" spans="2:8" ht="14" customHeight="1" x14ac:dyDescent="0.3">
      <c r="B6" s="33" t="s">
        <v>181</v>
      </c>
      <c r="C6" s="34">
        <f>C13/C10*365</f>
        <v>229.46245358608559</v>
      </c>
      <c r="D6" s="34">
        <f>CHOOSE('DCF Model'!$D$27,D32,D33,D34,D35,D36)</f>
        <v>220</v>
      </c>
      <c r="E6" s="34">
        <f>CHOOSE('DCF Model'!$D$27,E32,E33,E34,E35,E36)</f>
        <v>215</v>
      </c>
      <c r="F6" s="34">
        <f>CHOOSE('DCF Model'!$D$27,F32,F33,F34,F35,F36)</f>
        <v>210</v>
      </c>
      <c r="G6" s="34">
        <f>CHOOSE('DCF Model'!$D$27,G32,G33,G34,G35,G36)</f>
        <v>205</v>
      </c>
      <c r="H6" s="34">
        <f>CHOOSE('DCF Model'!$D$27,H32,H33,H34,H35,H36)</f>
        <v>200</v>
      </c>
    </row>
    <row r="7" spans="2:8" ht="14" customHeight="1" x14ac:dyDescent="0.3">
      <c r="B7" s="33" t="s">
        <v>182</v>
      </c>
      <c r="C7" s="34">
        <f>C15/C10*365</f>
        <v>70.679963846003517</v>
      </c>
      <c r="D7" s="34">
        <f>CHOOSE('DCF Model'!$D$27,D39,D40,D41,D42,D43)</f>
        <v>70</v>
      </c>
      <c r="E7" s="34">
        <f>CHOOSE('DCF Model'!$D$27,E39,E40,E41,E42,E43)</f>
        <v>70</v>
      </c>
      <c r="F7" s="34">
        <f>CHOOSE('DCF Model'!$D$27,F39,F40,F41,F42,F43)</f>
        <v>70</v>
      </c>
      <c r="G7" s="34">
        <f>CHOOSE('DCF Model'!$D$27,G39,G40,G41,G42,G43)</f>
        <v>70</v>
      </c>
      <c r="H7" s="34">
        <f>CHOOSE('DCF Model'!$D$27,H39,H40,H41,H42,H43)</f>
        <v>70</v>
      </c>
    </row>
    <row r="8" spans="2:8" ht="14" customHeight="1" x14ac:dyDescent="0.3">
      <c r="B8" s="8" t="s">
        <v>183</v>
      </c>
      <c r="C8" s="9"/>
      <c r="D8" s="9"/>
      <c r="E8" s="9"/>
      <c r="F8" s="9"/>
      <c r="G8" s="9"/>
      <c r="H8" s="9"/>
    </row>
    <row r="9" spans="2:8" ht="14" customHeight="1" x14ac:dyDescent="0.3">
      <c r="B9" s="33" t="s">
        <v>37</v>
      </c>
      <c r="C9" s="35">
        <v>6950</v>
      </c>
      <c r="D9" s="35">
        <f>'DCF Model'!C33</f>
        <v>7784.0000000000009</v>
      </c>
      <c r="E9" s="35">
        <f>'DCF Model'!D33</f>
        <v>8562.4000000000015</v>
      </c>
      <c r="F9" s="35">
        <f>'DCF Model'!E33</f>
        <v>9418.6400000000031</v>
      </c>
      <c r="G9" s="35">
        <f>'DCF Model'!F33</f>
        <v>10172.131200000003</v>
      </c>
      <c r="H9" s="35">
        <f>'DCF Model'!G33</f>
        <v>10680.737760000004</v>
      </c>
    </row>
    <row r="10" spans="2:8" ht="14" customHeight="1" x14ac:dyDescent="0.3">
      <c r="B10" s="33" t="s">
        <v>38</v>
      </c>
      <c r="C10" s="35">
        <v>4093.6</v>
      </c>
      <c r="D10" s="35">
        <f>'DCF Model'!C34</f>
        <v>4903.920000000001</v>
      </c>
      <c r="E10" s="35">
        <f>'DCF Model'!D34</f>
        <v>5394.3120000000008</v>
      </c>
      <c r="F10" s="35">
        <f>'DCF Model'!E34</f>
        <v>5933.7432000000017</v>
      </c>
      <c r="G10" s="35">
        <f>'DCF Model'!F34</f>
        <v>6408.442656000002</v>
      </c>
      <c r="H10" s="35">
        <f>'DCF Model'!G34</f>
        <v>6728.8647888000023</v>
      </c>
    </row>
    <row r="11" spans="2:8" ht="14" customHeight="1" x14ac:dyDescent="0.3">
      <c r="B11" s="8" t="s">
        <v>184</v>
      </c>
      <c r="C11" s="9"/>
      <c r="D11" s="9"/>
      <c r="E11" s="9"/>
      <c r="F11" s="9"/>
      <c r="G11" s="9"/>
      <c r="H11" s="9"/>
    </row>
    <row r="12" spans="2:8" ht="14" customHeight="1" x14ac:dyDescent="0.3">
      <c r="B12" s="33" t="s">
        <v>185</v>
      </c>
      <c r="C12" s="35">
        <v>1537.8</v>
      </c>
      <c r="D12" s="35">
        <f t="shared" ref="D12:H13" si="0">D9*D5/365</f>
        <v>1706.0821917808223</v>
      </c>
      <c r="E12" s="35">
        <f t="shared" si="0"/>
        <v>1876.6904109589045</v>
      </c>
      <c r="F12" s="35">
        <f t="shared" si="0"/>
        <v>2064.3594520547949</v>
      </c>
      <c r="G12" s="35">
        <f t="shared" si="0"/>
        <v>2229.5082082191789</v>
      </c>
      <c r="H12" s="35">
        <f t="shared" si="0"/>
        <v>2340.9836186301377</v>
      </c>
    </row>
    <row r="13" spans="2:8" ht="14" customHeight="1" x14ac:dyDescent="0.3">
      <c r="B13" s="33" t="s">
        <v>186</v>
      </c>
      <c r="C13" s="35">
        <v>2573.5</v>
      </c>
      <c r="D13" s="35">
        <f t="shared" si="0"/>
        <v>2955.7873972602742</v>
      </c>
      <c r="E13" s="35">
        <f t="shared" si="0"/>
        <v>3177.4714520547946</v>
      </c>
      <c r="F13" s="35">
        <f t="shared" si="0"/>
        <v>3413.9344438356175</v>
      </c>
      <c r="G13" s="35">
        <f t="shared" si="0"/>
        <v>3599.2623136438365</v>
      </c>
      <c r="H13" s="35">
        <f t="shared" si="0"/>
        <v>3687.0491993424666</v>
      </c>
    </row>
    <row r="14" spans="2:8" ht="14" customHeight="1" x14ac:dyDescent="0.3">
      <c r="B14" s="33" t="s">
        <v>187</v>
      </c>
      <c r="C14" s="35">
        <f t="shared" ref="C14:H14" si="1">C12+C13</f>
        <v>4111.3</v>
      </c>
      <c r="D14" s="35">
        <f t="shared" si="1"/>
        <v>4661.8695890410963</v>
      </c>
      <c r="E14" s="35">
        <f t="shared" si="1"/>
        <v>5054.1618630136991</v>
      </c>
      <c r="F14" s="35">
        <f t="shared" si="1"/>
        <v>5478.2938958904124</v>
      </c>
      <c r="G14" s="35">
        <f t="shared" si="1"/>
        <v>5828.7705218630153</v>
      </c>
      <c r="H14" s="35">
        <f t="shared" si="1"/>
        <v>6028.0328179726039</v>
      </c>
    </row>
    <row r="15" spans="2:8" ht="14" customHeight="1" x14ac:dyDescent="0.3">
      <c r="B15" s="33" t="s">
        <v>188</v>
      </c>
      <c r="C15" s="35">
        <v>792.7</v>
      </c>
      <c r="D15" s="35">
        <f>D10*D7/365</f>
        <v>940.47780821917831</v>
      </c>
      <c r="E15" s="35">
        <f>E10*E7/365</f>
        <v>1034.5255890410961</v>
      </c>
      <c r="F15" s="35">
        <f>F10*F7/365</f>
        <v>1137.9781479452058</v>
      </c>
      <c r="G15" s="35">
        <f>G10*G7/365</f>
        <v>1229.0163997808222</v>
      </c>
      <c r="H15" s="35">
        <f>H10*H7/365</f>
        <v>1290.4672197698635</v>
      </c>
    </row>
    <row r="16" spans="2:8" ht="14" customHeight="1" x14ac:dyDescent="0.3">
      <c r="B16" s="33" t="s">
        <v>189</v>
      </c>
      <c r="C16" s="35">
        <f t="shared" ref="C16:H16" si="2">C15</f>
        <v>792.7</v>
      </c>
      <c r="D16" s="35">
        <f t="shared" si="2"/>
        <v>940.47780821917831</v>
      </c>
      <c r="E16" s="35">
        <f t="shared" si="2"/>
        <v>1034.5255890410961</v>
      </c>
      <c r="F16" s="35">
        <f t="shared" si="2"/>
        <v>1137.9781479452058</v>
      </c>
      <c r="G16" s="35">
        <f t="shared" si="2"/>
        <v>1229.0163997808222</v>
      </c>
      <c r="H16" s="35">
        <f t="shared" si="2"/>
        <v>1290.4672197698635</v>
      </c>
    </row>
    <row r="17" spans="2:8" ht="14" customHeight="1" x14ac:dyDescent="0.3">
      <c r="B17" s="22" t="s">
        <v>190</v>
      </c>
      <c r="C17" s="23"/>
      <c r="D17" s="23"/>
      <c r="E17" s="23"/>
      <c r="F17" s="23"/>
      <c r="G17" s="23"/>
      <c r="H17" s="23"/>
    </row>
    <row r="18" spans="2:8" ht="14" customHeight="1" x14ac:dyDescent="0.3">
      <c r="B18" s="33" t="s">
        <v>191</v>
      </c>
      <c r="C18" s="20">
        <f t="shared" ref="C18:H18" si="3">C14-C16</f>
        <v>3318.6000000000004</v>
      </c>
      <c r="D18" s="20">
        <f t="shared" si="3"/>
        <v>3721.391780821918</v>
      </c>
      <c r="E18" s="20">
        <f t="shared" si="3"/>
        <v>4019.6362739726028</v>
      </c>
      <c r="F18" s="20">
        <f t="shared" si="3"/>
        <v>4340.3157479452066</v>
      </c>
      <c r="G18" s="20">
        <f t="shared" si="3"/>
        <v>4599.7541220821931</v>
      </c>
      <c r="H18" s="20">
        <f t="shared" si="3"/>
        <v>4737.5655982027401</v>
      </c>
    </row>
    <row r="19" spans="2:8" ht="14" customHeight="1" x14ac:dyDescent="0.3">
      <c r="B19" s="33" t="s">
        <v>100</v>
      </c>
      <c r="C19" s="36" t="s">
        <v>47</v>
      </c>
      <c r="D19" s="24">
        <f>D18-C18</f>
        <v>402.79178082191765</v>
      </c>
      <c r="E19" s="24">
        <f>E18-D18</f>
        <v>298.24449315068478</v>
      </c>
      <c r="F19" s="24">
        <f>F18-E18</f>
        <v>320.67947397260377</v>
      </c>
      <c r="G19" s="24">
        <f>G18-F18</f>
        <v>259.43837413698657</v>
      </c>
      <c r="H19" s="24">
        <f>H18-G18</f>
        <v>137.81147612054701</v>
      </c>
    </row>
    <row r="22" spans="2:8" ht="14" customHeight="1" x14ac:dyDescent="0.3">
      <c r="B22" s="22" t="s">
        <v>192</v>
      </c>
      <c r="C22" s="23"/>
      <c r="D22" s="23"/>
      <c r="E22" s="23"/>
      <c r="F22" s="23"/>
      <c r="G22" s="23"/>
      <c r="H22" s="23"/>
    </row>
    <row r="23" spans="2:8" ht="14" customHeight="1" x14ac:dyDescent="0.3">
      <c r="D23" s="25" t="s">
        <v>86</v>
      </c>
      <c r="E23" s="25" t="s">
        <v>87</v>
      </c>
      <c r="F23" s="25" t="s">
        <v>88</v>
      </c>
      <c r="G23" s="25" t="s">
        <v>89</v>
      </c>
      <c r="H23" s="25" t="s">
        <v>90</v>
      </c>
    </row>
    <row r="24" spans="2:8" ht="14" customHeight="1" x14ac:dyDescent="0.3">
      <c r="B24" s="3" t="s">
        <v>193</v>
      </c>
    </row>
    <row r="25" spans="2:8" ht="14" customHeight="1" x14ac:dyDescent="0.3">
      <c r="B25" s="4" t="s">
        <v>84</v>
      </c>
      <c r="D25" s="30">
        <v>80</v>
      </c>
      <c r="E25" s="30">
        <v>80</v>
      </c>
      <c r="F25" s="30">
        <v>80</v>
      </c>
      <c r="G25" s="30">
        <v>80</v>
      </c>
      <c r="H25" s="30">
        <v>80</v>
      </c>
    </row>
    <row r="26" spans="2:8" ht="14" customHeight="1" x14ac:dyDescent="0.3">
      <c r="B26" s="4" t="s">
        <v>121</v>
      </c>
      <c r="D26" s="30">
        <v>78</v>
      </c>
      <c r="E26" s="30">
        <v>76</v>
      </c>
      <c r="F26" s="30">
        <v>75</v>
      </c>
      <c r="G26" s="30">
        <v>75</v>
      </c>
      <c r="H26" s="30">
        <v>75</v>
      </c>
    </row>
    <row r="27" spans="2:8" ht="14" customHeight="1" x14ac:dyDescent="0.3">
      <c r="B27" s="4" t="s">
        <v>122</v>
      </c>
      <c r="D27" s="30">
        <v>80</v>
      </c>
      <c r="E27" s="30">
        <v>80</v>
      </c>
      <c r="F27" s="30">
        <v>80</v>
      </c>
      <c r="G27" s="30">
        <v>80</v>
      </c>
      <c r="H27" s="30">
        <v>80</v>
      </c>
    </row>
    <row r="28" spans="2:8" ht="14" customHeight="1" x14ac:dyDescent="0.3">
      <c r="B28" s="4" t="s">
        <v>123</v>
      </c>
      <c r="D28" s="30">
        <v>85</v>
      </c>
      <c r="E28" s="30">
        <v>85</v>
      </c>
      <c r="F28" s="30">
        <v>85</v>
      </c>
      <c r="G28" s="30">
        <v>85</v>
      </c>
      <c r="H28" s="30">
        <v>85</v>
      </c>
    </row>
    <row r="29" spans="2:8" ht="14" customHeight="1" x14ac:dyDescent="0.3">
      <c r="B29" s="4" t="s">
        <v>124</v>
      </c>
      <c r="D29" s="30">
        <v>95</v>
      </c>
      <c r="E29" s="30">
        <v>95</v>
      </c>
      <c r="F29" s="30">
        <v>95</v>
      </c>
      <c r="G29" s="30">
        <v>95</v>
      </c>
      <c r="H29" s="30">
        <v>95</v>
      </c>
    </row>
    <row r="31" spans="2:8" ht="14" customHeight="1" x14ac:dyDescent="0.3">
      <c r="B31" s="3" t="s">
        <v>194</v>
      </c>
    </row>
    <row r="32" spans="2:8" ht="14" customHeight="1" x14ac:dyDescent="0.3">
      <c r="B32" s="4" t="s">
        <v>84</v>
      </c>
      <c r="D32" s="30">
        <v>220</v>
      </c>
      <c r="E32" s="30">
        <v>215</v>
      </c>
      <c r="F32" s="30">
        <v>210</v>
      </c>
      <c r="G32" s="30">
        <v>205</v>
      </c>
      <c r="H32" s="30">
        <v>200</v>
      </c>
    </row>
    <row r="33" spans="2:8" ht="14" customHeight="1" x14ac:dyDescent="0.3">
      <c r="B33" s="4" t="s">
        <v>121</v>
      </c>
      <c r="D33" s="30">
        <v>210</v>
      </c>
      <c r="E33" s="30">
        <v>200</v>
      </c>
      <c r="F33" s="30">
        <v>190</v>
      </c>
      <c r="G33" s="30">
        <v>185</v>
      </c>
      <c r="H33" s="30">
        <v>180</v>
      </c>
    </row>
    <row r="34" spans="2:8" ht="14" customHeight="1" x14ac:dyDescent="0.3">
      <c r="B34" s="4" t="s">
        <v>122</v>
      </c>
      <c r="D34" s="30">
        <v>220</v>
      </c>
      <c r="E34" s="30">
        <v>215</v>
      </c>
      <c r="F34" s="30">
        <v>210</v>
      </c>
      <c r="G34" s="30">
        <v>205</v>
      </c>
      <c r="H34" s="30">
        <v>200</v>
      </c>
    </row>
    <row r="35" spans="2:8" ht="14" customHeight="1" x14ac:dyDescent="0.3">
      <c r="B35" s="4" t="s">
        <v>123</v>
      </c>
      <c r="D35" s="30">
        <v>240</v>
      </c>
      <c r="E35" s="30">
        <v>240</v>
      </c>
      <c r="F35" s="30">
        <v>240</v>
      </c>
      <c r="G35" s="30">
        <v>240</v>
      </c>
      <c r="H35" s="30">
        <v>240</v>
      </c>
    </row>
    <row r="36" spans="2:8" ht="14" customHeight="1" x14ac:dyDescent="0.3">
      <c r="B36" s="4" t="s">
        <v>124</v>
      </c>
      <c r="D36" s="30">
        <v>260</v>
      </c>
      <c r="E36" s="30">
        <v>260</v>
      </c>
      <c r="F36" s="30">
        <v>260</v>
      </c>
      <c r="G36" s="30">
        <v>260</v>
      </c>
      <c r="H36" s="30">
        <v>260</v>
      </c>
    </row>
    <row r="38" spans="2:8" ht="14" customHeight="1" x14ac:dyDescent="0.3">
      <c r="B38" s="3" t="s">
        <v>195</v>
      </c>
    </row>
    <row r="39" spans="2:8" ht="14" customHeight="1" x14ac:dyDescent="0.3">
      <c r="B39" s="4" t="s">
        <v>84</v>
      </c>
      <c r="D39" s="30">
        <v>70</v>
      </c>
      <c r="E39" s="30">
        <v>70</v>
      </c>
      <c r="F39" s="30">
        <v>70</v>
      </c>
      <c r="G39" s="30">
        <v>70</v>
      </c>
      <c r="H39" s="30">
        <v>70</v>
      </c>
    </row>
    <row r="40" spans="2:8" ht="14" customHeight="1" x14ac:dyDescent="0.3">
      <c r="B40" s="4" t="s">
        <v>121</v>
      </c>
      <c r="D40" s="30">
        <v>72</v>
      </c>
      <c r="E40" s="30">
        <v>72</v>
      </c>
      <c r="F40" s="30">
        <v>72</v>
      </c>
      <c r="G40" s="30">
        <v>72</v>
      </c>
      <c r="H40" s="30">
        <v>72</v>
      </c>
    </row>
    <row r="41" spans="2:8" ht="14" customHeight="1" x14ac:dyDescent="0.3">
      <c r="B41" s="4" t="s">
        <v>122</v>
      </c>
      <c r="D41" s="30">
        <v>70</v>
      </c>
      <c r="E41" s="30">
        <v>70</v>
      </c>
      <c r="F41" s="30">
        <v>70</v>
      </c>
      <c r="G41" s="30">
        <v>70</v>
      </c>
      <c r="H41" s="30">
        <v>70</v>
      </c>
    </row>
    <row r="42" spans="2:8" ht="14" customHeight="1" x14ac:dyDescent="0.3">
      <c r="B42" s="4" t="s">
        <v>123</v>
      </c>
      <c r="D42" s="30">
        <v>65</v>
      </c>
      <c r="E42" s="30">
        <v>65</v>
      </c>
      <c r="F42" s="30">
        <v>65</v>
      </c>
      <c r="G42" s="30">
        <v>65</v>
      </c>
      <c r="H42" s="30">
        <v>65</v>
      </c>
    </row>
    <row r="43" spans="2:8" ht="14" customHeight="1" x14ac:dyDescent="0.3">
      <c r="B43" s="4" t="s">
        <v>124</v>
      </c>
      <c r="D43" s="30">
        <v>60</v>
      </c>
      <c r="E43" s="30">
        <v>60</v>
      </c>
      <c r="F43" s="30">
        <v>60</v>
      </c>
      <c r="G43" s="30">
        <v>60</v>
      </c>
      <c r="H43" s="30">
        <v>60</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30"/>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196</v>
      </c>
    </row>
    <row r="3" spans="2:17" ht="14" customHeight="1" x14ac:dyDescent="0.3">
      <c r="B3" s="1" t="s">
        <v>197</v>
      </c>
    </row>
    <row r="4" spans="2:17" ht="28" customHeight="1"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customHeight="1" x14ac:dyDescent="0.3">
      <c r="B5" s="4" t="s">
        <v>212</v>
      </c>
      <c r="C5" t="s">
        <v>213</v>
      </c>
      <c r="D5" s="37">
        <f>'Executive Summary'!C9*C23/1000000</f>
        <v>13955.42376</v>
      </c>
      <c r="E5" s="37">
        <f>D5+C24</f>
        <v>11199.123759999999</v>
      </c>
      <c r="F5" s="37">
        <v>6950</v>
      </c>
      <c r="G5" s="37">
        <v>1613</v>
      </c>
      <c r="H5" s="37">
        <v>1236</v>
      </c>
      <c r="I5" s="37">
        <v>810</v>
      </c>
      <c r="J5" s="38">
        <f t="shared" ref="J5:J10" si="0">IFERROR(E5/G5,"")</f>
        <v>6.9430401487910718</v>
      </c>
      <c r="K5" s="38">
        <f t="shared" ref="K5:K10" si="1">IFERROR(E5/F5,"")</f>
        <v>1.6113847136690644</v>
      </c>
      <c r="L5" s="38">
        <f t="shared" ref="L5:L10" si="2">IFERROR(D5/I5,"")</f>
        <v>17.228918222222223</v>
      </c>
      <c r="M5" s="38">
        <f t="shared" ref="M5:M10" si="3">IFERROR(D5/P5,"")</f>
        <v>1.4890550320102431</v>
      </c>
      <c r="N5" s="39">
        <f t="shared" ref="N5:N10" si="4">IFERROR(H5/F5,"")</f>
        <v>0.17784172661870504</v>
      </c>
      <c r="O5" s="39">
        <f t="shared" ref="O5:O10" si="5">IFERROR(I5/P5,"")</f>
        <v>8.6427656850192061E-2</v>
      </c>
      <c r="P5" s="37">
        <v>9372</v>
      </c>
    </row>
    <row r="6" spans="2:17" ht="14" customHeight="1" x14ac:dyDescent="0.3">
      <c r="B6" s="4" t="s">
        <v>214</v>
      </c>
      <c r="C6" t="s">
        <v>215</v>
      </c>
      <c r="D6" s="37">
        <v>115949</v>
      </c>
      <c r="E6" s="37">
        <v>134348</v>
      </c>
      <c r="F6" s="37">
        <v>61186</v>
      </c>
      <c r="G6" s="37">
        <v>7093</v>
      </c>
      <c r="H6" s="37">
        <v>5362</v>
      </c>
      <c r="I6" s="37">
        <v>4005</v>
      </c>
      <c r="J6" s="38">
        <f t="shared" si="0"/>
        <v>18.940927675172706</v>
      </c>
      <c r="K6" s="38">
        <f t="shared" si="1"/>
        <v>2.1957310495865068</v>
      </c>
      <c r="L6" s="38">
        <f t="shared" si="2"/>
        <v>28.951061173533084</v>
      </c>
      <c r="M6" s="38">
        <f t="shared" si="3"/>
        <v>2.5472100175746926</v>
      </c>
      <c r="N6" s="39">
        <f t="shared" si="4"/>
        <v>8.7634426175922597E-2</v>
      </c>
      <c r="O6" s="39">
        <f t="shared" si="5"/>
        <v>8.7983304042179258E-2</v>
      </c>
      <c r="P6" s="37">
        <v>45520</v>
      </c>
    </row>
    <row r="7" spans="2:17" ht="14" customHeight="1" x14ac:dyDescent="0.3">
      <c r="B7" s="4" t="s">
        <v>216</v>
      </c>
      <c r="C7" t="s">
        <v>217</v>
      </c>
      <c r="D7" s="37">
        <v>108636</v>
      </c>
      <c r="E7" s="37">
        <v>118102</v>
      </c>
      <c r="F7" s="37">
        <v>29194</v>
      </c>
      <c r="G7" s="37">
        <v>5994</v>
      </c>
      <c r="H7" s="37">
        <v>5515</v>
      </c>
      <c r="I7" s="37">
        <v>3820</v>
      </c>
      <c r="J7" s="38">
        <f t="shared" si="0"/>
        <v>19.703370036703369</v>
      </c>
      <c r="K7" s="38">
        <f t="shared" si="1"/>
        <v>4.0454202918407889</v>
      </c>
      <c r="L7" s="38">
        <f t="shared" si="2"/>
        <v>28.438743455497381</v>
      </c>
      <c r="M7" s="38">
        <f t="shared" si="3"/>
        <v>6.7459016393442619</v>
      </c>
      <c r="N7" s="39">
        <f t="shared" si="4"/>
        <v>0.18890867986572582</v>
      </c>
      <c r="O7" s="39">
        <f t="shared" si="5"/>
        <v>0.23720814704421261</v>
      </c>
      <c r="P7" s="37">
        <v>16104</v>
      </c>
    </row>
    <row r="8" spans="2:17" ht="14" customHeight="1" x14ac:dyDescent="0.3">
      <c r="B8" s="4" t="s">
        <v>218</v>
      </c>
      <c r="C8" t="s">
        <v>219</v>
      </c>
      <c r="D8" s="37">
        <v>39353</v>
      </c>
      <c r="E8" s="37">
        <v>30790</v>
      </c>
      <c r="F8" s="37">
        <v>28502</v>
      </c>
      <c r="G8" s="37">
        <v>5693</v>
      </c>
      <c r="H8" s="37">
        <v>4362</v>
      </c>
      <c r="I8" s="37">
        <v>3346</v>
      </c>
      <c r="J8" s="38">
        <f t="shared" si="0"/>
        <v>5.4083962761285793</v>
      </c>
      <c r="K8" s="38">
        <f t="shared" si="1"/>
        <v>1.0802750684162514</v>
      </c>
      <c r="L8" s="38">
        <f t="shared" si="2"/>
        <v>11.761207411835027</v>
      </c>
      <c r="M8" s="38">
        <f t="shared" si="3"/>
        <v>1.1307358561043588</v>
      </c>
      <c r="N8" s="39">
        <f t="shared" si="4"/>
        <v>0.15304189179706687</v>
      </c>
      <c r="O8" s="39">
        <f t="shared" si="5"/>
        <v>9.6141137258282328E-2</v>
      </c>
      <c r="P8" s="37">
        <v>34803</v>
      </c>
    </row>
    <row r="9" spans="2:17" ht="14" customHeight="1" x14ac:dyDescent="0.3">
      <c r="B9" s="4" t="s">
        <v>220</v>
      </c>
      <c r="C9" t="s">
        <v>221</v>
      </c>
      <c r="D9" s="37">
        <v>4809</v>
      </c>
      <c r="E9" s="37">
        <v>10187</v>
      </c>
      <c r="F9" s="37">
        <v>21329</v>
      </c>
      <c r="G9" s="37">
        <v>868</v>
      </c>
      <c r="H9" s="37">
        <v>407</v>
      </c>
      <c r="I9" s="37">
        <v>376</v>
      </c>
      <c r="J9" s="38">
        <f t="shared" si="0"/>
        <v>11.736175115207374</v>
      </c>
      <c r="K9" s="38">
        <f t="shared" si="1"/>
        <v>0.47761264006751369</v>
      </c>
      <c r="L9" s="38">
        <f t="shared" si="2"/>
        <v>12.789893617021276</v>
      </c>
      <c r="M9" s="38">
        <f t="shared" si="3"/>
        <v>0.33624667878618375</v>
      </c>
      <c r="N9" s="39">
        <f t="shared" si="4"/>
        <v>1.9082001031459517E-2</v>
      </c>
      <c r="O9" s="39">
        <f t="shared" si="5"/>
        <v>2.6290029366522166E-2</v>
      </c>
      <c r="P9" s="37">
        <v>14302</v>
      </c>
    </row>
    <row r="10" spans="2:17" ht="14" customHeight="1" x14ac:dyDescent="0.3">
      <c r="B10" s="4" t="s">
        <v>222</v>
      </c>
      <c r="C10" t="s">
        <v>223</v>
      </c>
      <c r="D10" s="37">
        <v>5900</v>
      </c>
      <c r="E10" s="37">
        <v>4468</v>
      </c>
      <c r="F10" s="37">
        <v>2681</v>
      </c>
      <c r="G10" s="37">
        <v>236</v>
      </c>
      <c r="H10" s="37">
        <v>116</v>
      </c>
      <c r="I10" s="37">
        <v>133</v>
      </c>
      <c r="J10" s="38">
        <f t="shared" si="0"/>
        <v>18.932203389830509</v>
      </c>
      <c r="K10" s="38">
        <f t="shared" si="1"/>
        <v>1.6665423349496458</v>
      </c>
      <c r="L10" s="38">
        <f t="shared" si="2"/>
        <v>44.360902255639097</v>
      </c>
      <c r="M10" s="38">
        <f t="shared" si="3"/>
        <v>0.89925316262764821</v>
      </c>
      <c r="N10" s="39">
        <f t="shared" si="4"/>
        <v>4.3267437523312198E-2</v>
      </c>
      <c r="O10" s="39">
        <f t="shared" si="5"/>
        <v>2.0271300106691054E-2</v>
      </c>
      <c r="P10" s="37">
        <v>6561</v>
      </c>
    </row>
    <row r="14" spans="2:17" ht="14" customHeight="1" x14ac:dyDescent="0.3">
      <c r="B14" s="3" t="s">
        <v>224</v>
      </c>
    </row>
    <row r="15" spans="2:17" ht="14" customHeight="1" x14ac:dyDescent="0.3">
      <c r="B15" s="4" t="s">
        <v>225</v>
      </c>
      <c r="D15" s="38">
        <f t="shared" ref="D15:I15" si="6">PERCENTILE(J6:J10,0.25)</f>
        <v>11.736175115207374</v>
      </c>
      <c r="E15" s="38">
        <f t="shared" si="6"/>
        <v>1.0802750684162514</v>
      </c>
      <c r="F15" s="38">
        <f t="shared" si="6"/>
        <v>12.789893617021276</v>
      </c>
      <c r="G15" s="38">
        <f t="shared" si="6"/>
        <v>0.89925316262764821</v>
      </c>
      <c r="H15" s="39">
        <f t="shared" si="6"/>
        <v>4.3267437523312198E-2</v>
      </c>
      <c r="I15" s="39">
        <f t="shared" si="6"/>
        <v>2.6290029366522166E-2</v>
      </c>
    </row>
    <row r="16" spans="2:17" ht="14" customHeight="1" x14ac:dyDescent="0.3">
      <c r="B16" s="4" t="s">
        <v>226</v>
      </c>
      <c r="D16" s="38">
        <f t="shared" ref="D16:I16" si="7">MEDIAN(J6:J10)</f>
        <v>18.932203389830509</v>
      </c>
      <c r="E16" s="38">
        <f t="shared" si="7"/>
        <v>1.6665423349496458</v>
      </c>
      <c r="F16" s="38">
        <f t="shared" si="7"/>
        <v>28.438743455497381</v>
      </c>
      <c r="G16" s="38">
        <f t="shared" si="7"/>
        <v>1.1307358561043588</v>
      </c>
      <c r="H16" s="39">
        <f t="shared" si="7"/>
        <v>8.7634426175922597E-2</v>
      </c>
      <c r="I16" s="39">
        <f t="shared" si="7"/>
        <v>8.7983304042179258E-2</v>
      </c>
    </row>
    <row r="17" spans="2:9" ht="14" customHeight="1" x14ac:dyDescent="0.3">
      <c r="B17" s="4" t="s">
        <v>227</v>
      </c>
      <c r="D17" s="38">
        <f t="shared" ref="D17:I17" si="8">PERCENTILE(J6:J10,0.75)</f>
        <v>18.940927675172706</v>
      </c>
      <c r="E17" s="38">
        <f t="shared" si="8"/>
        <v>2.1957310495865068</v>
      </c>
      <c r="F17" s="38">
        <f t="shared" si="8"/>
        <v>28.951061173533084</v>
      </c>
      <c r="G17" s="38">
        <f t="shared" si="8"/>
        <v>2.5472100175746926</v>
      </c>
      <c r="H17" s="39">
        <f t="shared" si="8"/>
        <v>0.15304189179706687</v>
      </c>
      <c r="I17" s="39">
        <f t="shared" si="8"/>
        <v>9.6141137258282328E-2</v>
      </c>
    </row>
    <row r="19" spans="2:9" ht="14" customHeight="1" x14ac:dyDescent="0.3">
      <c r="B19" s="22" t="s">
        <v>228</v>
      </c>
      <c r="C19" s="23"/>
      <c r="D19" s="23"/>
      <c r="E19" s="23"/>
      <c r="F19" s="23"/>
      <c r="G19" s="23"/>
      <c r="H19" s="23"/>
      <c r="I19" s="23"/>
    </row>
    <row r="20" spans="2:9" ht="14" customHeight="1" x14ac:dyDescent="0.3">
      <c r="B20" s="3" t="s">
        <v>229</v>
      </c>
    </row>
    <row r="21" spans="2:9" ht="14" customHeight="1" x14ac:dyDescent="0.3">
      <c r="B21" s="4" t="s">
        <v>230</v>
      </c>
      <c r="C21" s="5">
        <v>1613</v>
      </c>
    </row>
    <row r="22" spans="2:9" ht="14" customHeight="1" x14ac:dyDescent="0.3">
      <c r="B22" s="4" t="s">
        <v>231</v>
      </c>
      <c r="C22" s="5">
        <v>810</v>
      </c>
    </row>
    <row r="23" spans="2:9" ht="14" customHeight="1" x14ac:dyDescent="0.3">
      <c r="B23" s="4" t="s">
        <v>232</v>
      </c>
      <c r="C23" s="15">
        <v>9121192</v>
      </c>
    </row>
    <row r="24" spans="2:9" ht="14" customHeight="1" x14ac:dyDescent="0.3">
      <c r="B24" s="4" t="s">
        <v>73</v>
      </c>
      <c r="C24" s="5">
        <v>-2756.3</v>
      </c>
    </row>
    <row r="26" spans="2:9" ht="14" customHeight="1" x14ac:dyDescent="0.3">
      <c r="B26" s="3" t="s">
        <v>233</v>
      </c>
    </row>
    <row r="27" spans="2:9" ht="14" customHeight="1" x14ac:dyDescent="0.3">
      <c r="B27" s="4" t="s">
        <v>234</v>
      </c>
      <c r="C27" s="24">
        <f>ROUND((C21*D16-C24)*1000000/C23,0)</f>
        <v>3650</v>
      </c>
    </row>
    <row r="28" spans="2:9" ht="14" customHeight="1" x14ac:dyDescent="0.3">
      <c r="B28" s="4" t="s">
        <v>235</v>
      </c>
      <c r="C28" s="24">
        <f>ROUND(C22*F16*1000000/C23,0)</f>
        <v>2525</v>
      </c>
    </row>
    <row r="29" spans="2:9" ht="14" customHeight="1" x14ac:dyDescent="0.3">
      <c r="B29" s="4" t="s">
        <v>236</v>
      </c>
      <c r="C29" s="5">
        <f>ROUND((1157.6+0)*(1-'DCF Model'!C6),0)</f>
        <v>810</v>
      </c>
      <c r="D29" s="1" t="s">
        <v>237</v>
      </c>
    </row>
    <row r="30" spans="2:9" ht="14" customHeight="1" x14ac:dyDescent="0.3">
      <c r="B30" s="4" t="s">
        <v>238</v>
      </c>
      <c r="C30" s="5">
        <f>ROUND(C29*F16*1000000/C23,0)</f>
        <v>2525</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239</v>
      </c>
    </row>
    <row r="3" spans="2:9" ht="14" customHeight="1" x14ac:dyDescent="0.3">
      <c r="B3" s="4" t="s">
        <v>240</v>
      </c>
      <c r="C3" s="16">
        <f>'DCF Model'!C26</f>
        <v>0.1539865</v>
      </c>
      <c r="E3" s="4" t="s">
        <v>241</v>
      </c>
      <c r="F3" s="16">
        <f>'DCF Model'!C13</f>
        <v>0.01</v>
      </c>
      <c r="H3" s="4" t="s">
        <v>242</v>
      </c>
      <c r="I3" s="14">
        <f>'DCF Model'!C14</f>
        <v>9</v>
      </c>
    </row>
    <row r="5" spans="2:9" ht="14" customHeight="1" x14ac:dyDescent="0.3">
      <c r="B5" s="3" t="s">
        <v>243</v>
      </c>
    </row>
    <row r="6" spans="2:9" ht="14" customHeight="1" x14ac:dyDescent="0.3">
      <c r="B6" s="40" t="s">
        <v>244</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0.13898650000000001</v>
      </c>
      <c r="C7" s="37">
        <f>IFERROR(ROUND(('DCF Model'!C45/(1+$B7)^('DCF Model'!C19+0)+'DCF Model'!D45/(1+$B7)^('DCF Model'!C19+1)+'DCF Model'!E45/(1+$B7)^('DCF Model'!C19+2)+'DCF Model'!F45/(1+$B7)^('DCF Model'!C19+3)+'DCF Model'!G45/(1+$B7)^('DCF Model'!C19+4)+'DCF Model'!G45*(1+C$6)/($B7-C$6)/(1+$B7)^('DCF Model'!C19+4)-'DCF Model'!C16)*1000000/'DCF Model'!C15,0),"")</f>
        <v>906</v>
      </c>
      <c r="D7" s="37">
        <f>IFERROR(ROUND(('DCF Model'!C45/(1+$B7)^('DCF Model'!C19+0)+'DCF Model'!D45/(1+$B7)^('DCF Model'!C19+1)+'DCF Model'!E45/(1+$B7)^('DCF Model'!C19+2)+'DCF Model'!F45/(1+$B7)^('DCF Model'!C19+3)+'DCF Model'!G45/(1+$B7)^('DCF Model'!C19+4)+'DCF Model'!G45*(1+D$6)/($B7-D$6)/(1+$B7)^('DCF Model'!C19+4)-'DCF Model'!C16)*1000000/'DCF Model'!C15,0),"")</f>
        <v>915</v>
      </c>
      <c r="E7" s="37">
        <f>IFERROR(ROUND(('DCF Model'!C45/(1+$B7)^('DCF Model'!C19+0)+'DCF Model'!D45/(1+$B7)^('DCF Model'!C19+1)+'DCF Model'!E45/(1+$B7)^('DCF Model'!C19+2)+'DCF Model'!F45/(1+$B7)^('DCF Model'!C19+3)+'DCF Model'!G45/(1+$B7)^('DCF Model'!C19+4)+'DCF Model'!G45*(1+E$6)/($B7-E$6)/(1+$B7)^('DCF Model'!C19+4)-'DCF Model'!C16)*1000000/'DCF Model'!C15,0),"")</f>
        <v>924</v>
      </c>
      <c r="F7" s="37">
        <f>IFERROR(ROUND(('DCF Model'!C45/(1+$B7)^('DCF Model'!C19+0)+'DCF Model'!D45/(1+$B7)^('DCF Model'!C19+1)+'DCF Model'!E45/(1+$B7)^('DCF Model'!C19+2)+'DCF Model'!F45/(1+$B7)^('DCF Model'!C19+3)+'DCF Model'!G45/(1+$B7)^('DCF Model'!C19+4)+'DCF Model'!G45*(1+F$6)/($B7-F$6)/(1+$B7)^('DCF Model'!C19+4)-'DCF Model'!C16)*1000000/'DCF Model'!C15,0),"")</f>
        <v>933</v>
      </c>
      <c r="G7" s="37">
        <f>IFERROR(ROUND(('DCF Model'!C45/(1+$B7)^('DCF Model'!C19+0)+'DCF Model'!D45/(1+$B7)^('DCF Model'!C19+1)+'DCF Model'!E45/(1+$B7)^('DCF Model'!C19+2)+'DCF Model'!F45/(1+$B7)^('DCF Model'!C19+3)+'DCF Model'!G45/(1+$B7)^('DCF Model'!C19+4)+'DCF Model'!G45*(1+G$6)/($B7-G$6)/(1+$B7)^('DCF Model'!C19+4)-'DCF Model'!C16)*1000000/'DCF Model'!C15,0),"")</f>
        <v>943</v>
      </c>
      <c r="H7" s="37">
        <f>IFERROR(ROUND(('DCF Model'!C45/(1+$B7)^('DCF Model'!C19+0)+'DCF Model'!D45/(1+$B7)^('DCF Model'!C19+1)+'DCF Model'!E45/(1+$B7)^('DCF Model'!C19+2)+'DCF Model'!F45/(1+$B7)^('DCF Model'!C19+3)+'DCF Model'!G45/(1+$B7)^('DCF Model'!C19+4)+'DCF Model'!G45*(1+H$6)/($B7-H$6)/(1+$B7)^('DCF Model'!C19+4)-'DCF Model'!C16)*1000000/'DCF Model'!C15,0),"")</f>
        <v>953</v>
      </c>
      <c r="I7" s="37">
        <f>IFERROR(ROUND(('DCF Model'!C45/(1+$B7)^('DCF Model'!C19+0)+'DCF Model'!D45/(1+$B7)^('DCF Model'!C19+1)+'DCF Model'!E45/(1+$B7)^('DCF Model'!C19+2)+'DCF Model'!F45/(1+$B7)^('DCF Model'!C19+3)+'DCF Model'!G45/(1+$B7)^('DCF Model'!C19+4)+'DCF Model'!G45*(1+I$6)/($B7-I$6)/(1+$B7)^('DCF Model'!C19+4)-'DCF Model'!C16)*1000000/'DCF Model'!C15,0),"")</f>
        <v>964</v>
      </c>
    </row>
    <row r="8" spans="2:9" ht="13.5" customHeight="1" x14ac:dyDescent="0.25">
      <c r="B8" s="39">
        <f>$C$3-0.01</f>
        <v>0.14398649999999999</v>
      </c>
      <c r="C8" s="37">
        <f>IFERROR(ROUND(('DCF Model'!C45/(1+$B8)^('DCF Model'!C19+0)+'DCF Model'!D45/(1+$B8)^('DCF Model'!C19+1)+'DCF Model'!E45/(1+$B8)^('DCF Model'!C19+2)+'DCF Model'!F45/(1+$B8)^('DCF Model'!C19+3)+'DCF Model'!G45/(1+$B8)^('DCF Model'!C19+4)+'DCF Model'!G45*(1+C$6)/($B8-C$6)/(1+$B8)^('DCF Model'!C19+4)-'DCF Model'!C16)*1000000/'DCF Model'!C15,0),"")</f>
        <v>880</v>
      </c>
      <c r="D8" s="37">
        <f>IFERROR(ROUND(('DCF Model'!C45/(1+$B8)^('DCF Model'!C19+0)+'DCF Model'!D45/(1+$B8)^('DCF Model'!C19+1)+'DCF Model'!E45/(1+$B8)^('DCF Model'!C19+2)+'DCF Model'!F45/(1+$B8)^('DCF Model'!C19+3)+'DCF Model'!G45/(1+$B8)^('DCF Model'!C19+4)+'DCF Model'!G45*(1+D$6)/($B8-D$6)/(1+$B8)^('DCF Model'!C19+4)-'DCF Model'!C16)*1000000/'DCF Model'!C15,0),"")</f>
        <v>888</v>
      </c>
      <c r="E8" s="37">
        <f>IFERROR(ROUND(('DCF Model'!C45/(1+$B8)^('DCF Model'!C19+0)+'DCF Model'!D45/(1+$B8)^('DCF Model'!C19+1)+'DCF Model'!E45/(1+$B8)^('DCF Model'!C19+2)+'DCF Model'!F45/(1+$B8)^('DCF Model'!C19+3)+'DCF Model'!G45/(1+$B8)^('DCF Model'!C19+4)+'DCF Model'!G45*(1+E$6)/($B8-E$6)/(1+$B8)^('DCF Model'!C19+4)-'DCF Model'!C16)*1000000/'DCF Model'!C15,0),"")</f>
        <v>896</v>
      </c>
      <c r="F8" s="37">
        <f>IFERROR(ROUND(('DCF Model'!C45/(1+$B8)^('DCF Model'!C19+0)+'DCF Model'!D45/(1+$B8)^('DCF Model'!C19+1)+'DCF Model'!E45/(1+$B8)^('DCF Model'!C19+2)+'DCF Model'!F45/(1+$B8)^('DCF Model'!C19+3)+'DCF Model'!G45/(1+$B8)^('DCF Model'!C19+4)+'DCF Model'!G45*(1+F$6)/($B8-F$6)/(1+$B8)^('DCF Model'!C19+4)-'DCF Model'!C16)*1000000/'DCF Model'!C15,0),"")</f>
        <v>904</v>
      </c>
      <c r="G8" s="37">
        <f>IFERROR(ROUND(('DCF Model'!C45/(1+$B8)^('DCF Model'!C19+0)+'DCF Model'!D45/(1+$B8)^('DCF Model'!C19+1)+'DCF Model'!E45/(1+$B8)^('DCF Model'!C19+2)+'DCF Model'!F45/(1+$B8)^('DCF Model'!C19+3)+'DCF Model'!G45/(1+$B8)^('DCF Model'!C19+4)+'DCF Model'!G45*(1+G$6)/($B8-G$6)/(1+$B8)^('DCF Model'!C19+4)-'DCF Model'!C16)*1000000/'DCF Model'!C15,0),"")</f>
        <v>913</v>
      </c>
      <c r="H8" s="37">
        <f>IFERROR(ROUND(('DCF Model'!C45/(1+$B8)^('DCF Model'!C19+0)+'DCF Model'!D45/(1+$B8)^('DCF Model'!C19+1)+'DCF Model'!E45/(1+$B8)^('DCF Model'!C19+2)+'DCF Model'!F45/(1+$B8)^('DCF Model'!C19+3)+'DCF Model'!G45/(1+$B8)^('DCF Model'!C19+4)+'DCF Model'!G45*(1+H$6)/($B8-H$6)/(1+$B8)^('DCF Model'!C19+4)-'DCF Model'!C16)*1000000/'DCF Model'!C15,0),"")</f>
        <v>923</v>
      </c>
      <c r="I8" s="37">
        <f>IFERROR(ROUND(('DCF Model'!C45/(1+$B8)^('DCF Model'!C19+0)+'DCF Model'!D45/(1+$B8)^('DCF Model'!C19+1)+'DCF Model'!E45/(1+$B8)^('DCF Model'!C19+2)+'DCF Model'!F45/(1+$B8)^('DCF Model'!C19+3)+'DCF Model'!G45/(1+$B8)^('DCF Model'!C19+4)+'DCF Model'!G45*(1+I$6)/($B8-I$6)/(1+$B8)^('DCF Model'!C19+4)-'DCF Model'!C16)*1000000/'DCF Model'!C15,0),"")</f>
        <v>932</v>
      </c>
    </row>
    <row r="9" spans="2:9" ht="13.5" customHeight="1" x14ac:dyDescent="0.25">
      <c r="B9" s="39">
        <f>$C$3-0.005</f>
        <v>0.14898649999999999</v>
      </c>
      <c r="C9" s="37">
        <f>IFERROR(ROUND(('DCF Model'!C45/(1+$B9)^('DCF Model'!C19+0)+'DCF Model'!D45/(1+$B9)^('DCF Model'!C19+1)+'DCF Model'!E45/(1+$B9)^('DCF Model'!C19+2)+'DCF Model'!F45/(1+$B9)^('DCF Model'!C19+3)+'DCF Model'!G45/(1+$B9)^('DCF Model'!C19+4)+'DCF Model'!G45*(1+C$6)/($B9-C$6)/(1+$B9)^('DCF Model'!C19+4)-'DCF Model'!C16)*1000000/'DCF Model'!C15,0),"")</f>
        <v>855</v>
      </c>
      <c r="D9" s="37">
        <f>IFERROR(ROUND(('DCF Model'!C45/(1+$B9)^('DCF Model'!C19+0)+'DCF Model'!D45/(1+$B9)^('DCF Model'!C19+1)+'DCF Model'!E45/(1+$B9)^('DCF Model'!C19+2)+'DCF Model'!F45/(1+$B9)^('DCF Model'!C19+3)+'DCF Model'!G45/(1+$B9)^('DCF Model'!C19+4)+'DCF Model'!G45*(1+D$6)/($B9-D$6)/(1+$B9)^('DCF Model'!C19+4)-'DCF Model'!C16)*1000000/'DCF Model'!C15,0),"")</f>
        <v>862</v>
      </c>
      <c r="E9" s="37">
        <f>IFERROR(ROUND(('DCF Model'!C45/(1+$B9)^('DCF Model'!C19+0)+'DCF Model'!D45/(1+$B9)^('DCF Model'!C19+1)+'DCF Model'!E45/(1+$B9)^('DCF Model'!C19+2)+'DCF Model'!F45/(1+$B9)^('DCF Model'!C19+3)+'DCF Model'!G45/(1+$B9)^('DCF Model'!C19+4)+'DCF Model'!G45*(1+E$6)/($B9-E$6)/(1+$B9)^('DCF Model'!C19+4)-'DCF Model'!C16)*1000000/'DCF Model'!C15,0),"")</f>
        <v>870</v>
      </c>
      <c r="F9" s="37">
        <f>IFERROR(ROUND(('DCF Model'!C45/(1+$B9)^('DCF Model'!C19+0)+'DCF Model'!D45/(1+$B9)^('DCF Model'!C19+1)+'DCF Model'!E45/(1+$B9)^('DCF Model'!C19+2)+'DCF Model'!F45/(1+$B9)^('DCF Model'!C19+3)+'DCF Model'!G45/(1+$B9)^('DCF Model'!C19+4)+'DCF Model'!G45*(1+F$6)/($B9-F$6)/(1+$B9)^('DCF Model'!C19+4)-'DCF Model'!C16)*1000000/'DCF Model'!C15,0),"")</f>
        <v>878</v>
      </c>
      <c r="G9" s="37">
        <f>IFERROR(ROUND(('DCF Model'!C45/(1+$B9)^('DCF Model'!C19+0)+'DCF Model'!D45/(1+$B9)^('DCF Model'!C19+1)+'DCF Model'!E45/(1+$B9)^('DCF Model'!C19+2)+'DCF Model'!F45/(1+$B9)^('DCF Model'!C19+3)+'DCF Model'!G45/(1+$B9)^('DCF Model'!C19+4)+'DCF Model'!G45*(1+G$6)/($B9-G$6)/(1+$B9)^('DCF Model'!C19+4)-'DCF Model'!C16)*1000000/'DCF Model'!C15,0),"")</f>
        <v>886</v>
      </c>
      <c r="H9" s="37">
        <f>IFERROR(ROUND(('DCF Model'!C45/(1+$B9)^('DCF Model'!C19+0)+'DCF Model'!D45/(1+$B9)^('DCF Model'!C19+1)+'DCF Model'!E45/(1+$B9)^('DCF Model'!C19+2)+'DCF Model'!F45/(1+$B9)^('DCF Model'!C19+3)+'DCF Model'!G45/(1+$B9)^('DCF Model'!C19+4)+'DCF Model'!G45*(1+H$6)/($B9-H$6)/(1+$B9)^('DCF Model'!C19+4)-'DCF Model'!C16)*1000000/'DCF Model'!C15,0),"")</f>
        <v>894</v>
      </c>
      <c r="I9" s="37">
        <f>IFERROR(ROUND(('DCF Model'!C45/(1+$B9)^('DCF Model'!C19+0)+'DCF Model'!D45/(1+$B9)^('DCF Model'!C19+1)+'DCF Model'!E45/(1+$B9)^('DCF Model'!C19+2)+'DCF Model'!F45/(1+$B9)^('DCF Model'!C19+3)+'DCF Model'!G45/(1+$B9)^('DCF Model'!C19+4)+'DCF Model'!G45*(1+I$6)/($B9-I$6)/(1+$B9)^('DCF Model'!C19+4)-'DCF Model'!C16)*1000000/'DCF Model'!C15,0),"")</f>
        <v>903</v>
      </c>
    </row>
    <row r="10" spans="2:9" ht="13.5" customHeight="1" x14ac:dyDescent="0.25">
      <c r="B10" s="39">
        <f>$C$3</f>
        <v>0.1539865</v>
      </c>
      <c r="C10" s="37">
        <f>IFERROR(ROUND(('DCF Model'!C45/(1+$B10)^('DCF Model'!C19+0)+'DCF Model'!D45/(1+$B10)^('DCF Model'!C19+1)+'DCF Model'!E45/(1+$B10)^('DCF Model'!C19+2)+'DCF Model'!F45/(1+$B10)^('DCF Model'!C19+3)+'DCF Model'!G45/(1+$B10)^('DCF Model'!C19+4)+'DCF Model'!G45*(1+C$6)/($B10-C$6)/(1+$B10)^('DCF Model'!C19+4)-'DCF Model'!C16)*1000000/'DCF Model'!C15,0),"")</f>
        <v>832</v>
      </c>
      <c r="D10" s="37">
        <f>IFERROR(ROUND(('DCF Model'!C45/(1+$B10)^('DCF Model'!C19+0)+'DCF Model'!D45/(1+$B10)^('DCF Model'!C19+1)+'DCF Model'!E45/(1+$B10)^('DCF Model'!C19+2)+'DCF Model'!F45/(1+$B10)^('DCF Model'!C19+3)+'DCF Model'!G45/(1+$B10)^('DCF Model'!C19+4)+'DCF Model'!G45*(1+D$6)/($B10-D$6)/(1+$B10)^('DCF Model'!C19+4)-'DCF Model'!C16)*1000000/'DCF Model'!C15,0),"")</f>
        <v>839</v>
      </c>
      <c r="E10" s="37">
        <f>IFERROR(ROUND(('DCF Model'!C45/(1+$B10)^('DCF Model'!C19+0)+'DCF Model'!D45/(1+$B10)^('DCF Model'!C19+1)+'DCF Model'!E45/(1+$B10)^('DCF Model'!C19+2)+'DCF Model'!F45/(1+$B10)^('DCF Model'!C19+3)+'DCF Model'!G45/(1+$B10)^('DCF Model'!C19+4)+'DCF Model'!G45*(1+E$6)/($B10-E$6)/(1+$B10)^('DCF Model'!C19+4)-'DCF Model'!C16)*1000000/'DCF Model'!C15,0),"")</f>
        <v>846</v>
      </c>
      <c r="F10" s="37">
        <f>IFERROR(ROUND(('DCF Model'!C45/(1+$B10)^('DCF Model'!C19+0)+'DCF Model'!D45/(1+$B10)^('DCF Model'!C19+1)+'DCF Model'!E45/(1+$B10)^('DCF Model'!C19+2)+'DCF Model'!F45/(1+$B10)^('DCF Model'!C19+3)+'DCF Model'!G45/(1+$B10)^('DCF Model'!C19+4)+'DCF Model'!G45*(1+F$6)/($B10-F$6)/(1+$B10)^('DCF Model'!C19+4)-'DCF Model'!C16)*1000000/'DCF Model'!C15,0),"")</f>
        <v>853</v>
      </c>
      <c r="G10" s="37">
        <f>IFERROR(ROUND(('DCF Model'!C45/(1+$B10)^('DCF Model'!C19+0)+'DCF Model'!D45/(1+$B10)^('DCF Model'!C19+1)+'DCF Model'!E45/(1+$B10)^('DCF Model'!C19+2)+'DCF Model'!F45/(1+$B10)^('DCF Model'!C19+3)+'DCF Model'!G45/(1+$B10)^('DCF Model'!C19+4)+'DCF Model'!G45*(1+G$6)/($B10-G$6)/(1+$B10)^('DCF Model'!C19+4)-'DCF Model'!C16)*1000000/'DCF Model'!C15,0),"")</f>
        <v>860</v>
      </c>
      <c r="H10" s="37">
        <f>IFERROR(ROUND(('DCF Model'!C45/(1+$B10)^('DCF Model'!C19+0)+'DCF Model'!D45/(1+$B10)^('DCF Model'!C19+1)+'DCF Model'!E45/(1+$B10)^('DCF Model'!C19+2)+'DCF Model'!F45/(1+$B10)^('DCF Model'!C19+3)+'DCF Model'!G45/(1+$B10)^('DCF Model'!C19+4)+'DCF Model'!G45*(1+H$6)/($B10-H$6)/(1+$B10)^('DCF Model'!C19+4)-'DCF Model'!C16)*1000000/'DCF Model'!C15,0),"")</f>
        <v>868</v>
      </c>
      <c r="I10" s="37">
        <f>IFERROR(ROUND(('DCF Model'!C45/(1+$B10)^('DCF Model'!C19+0)+'DCF Model'!D45/(1+$B10)^('DCF Model'!C19+1)+'DCF Model'!E45/(1+$B10)^('DCF Model'!C19+2)+'DCF Model'!F45/(1+$B10)^('DCF Model'!C19+3)+'DCF Model'!G45/(1+$B10)^('DCF Model'!C19+4)+'DCF Model'!G45*(1+I$6)/($B10-I$6)/(1+$B10)^('DCF Model'!C19+4)-'DCF Model'!C16)*1000000/'DCF Model'!C15,0),"")</f>
        <v>876</v>
      </c>
    </row>
    <row r="11" spans="2:9" ht="13.5" customHeight="1" x14ac:dyDescent="0.25">
      <c r="B11" s="39">
        <f>$C$3+0.005</f>
        <v>0.1589865</v>
      </c>
      <c r="C11" s="37">
        <f>IFERROR(ROUND(('DCF Model'!C45/(1+$B11)^('DCF Model'!C19+0)+'DCF Model'!D45/(1+$B11)^('DCF Model'!C19+1)+'DCF Model'!E45/(1+$B11)^('DCF Model'!C19+2)+'DCF Model'!F45/(1+$B11)^('DCF Model'!C19+3)+'DCF Model'!G45/(1+$B11)^('DCF Model'!C19+4)+'DCF Model'!G45*(1+C$6)/($B11-C$6)/(1+$B11)^('DCF Model'!C19+4)-'DCF Model'!C16)*1000000/'DCF Model'!C15,0),"")</f>
        <v>811</v>
      </c>
      <c r="D11" s="37">
        <f>IFERROR(ROUND(('DCF Model'!C45/(1+$B11)^('DCF Model'!C19+0)+'DCF Model'!D45/(1+$B11)^('DCF Model'!C19+1)+'DCF Model'!E45/(1+$B11)^('DCF Model'!C19+2)+'DCF Model'!F45/(1+$B11)^('DCF Model'!C19+3)+'DCF Model'!G45/(1+$B11)^('DCF Model'!C19+4)+'DCF Model'!G45*(1+D$6)/($B11-D$6)/(1+$B11)^('DCF Model'!C19+4)-'DCF Model'!C16)*1000000/'DCF Model'!C15,0),"")</f>
        <v>817</v>
      </c>
      <c r="E11" s="37">
        <f>IFERROR(ROUND(('DCF Model'!C45/(1+$B11)^('DCF Model'!C19+0)+'DCF Model'!D45/(1+$B11)^('DCF Model'!C19+1)+'DCF Model'!E45/(1+$B11)^('DCF Model'!C19+2)+'DCF Model'!F45/(1+$B11)^('DCF Model'!C19+3)+'DCF Model'!G45/(1+$B11)^('DCF Model'!C19+4)+'DCF Model'!G45*(1+E$6)/($B11-E$6)/(1+$B11)^('DCF Model'!C19+4)-'DCF Model'!C16)*1000000/'DCF Model'!C15,0),"")</f>
        <v>824</v>
      </c>
      <c r="F11" s="37">
        <f>IFERROR(ROUND(('DCF Model'!C45/(1+$B11)^('DCF Model'!C19+0)+'DCF Model'!D45/(1+$B11)^('DCF Model'!C19+1)+'DCF Model'!E45/(1+$B11)^('DCF Model'!C19+2)+'DCF Model'!F45/(1+$B11)^('DCF Model'!C19+3)+'DCF Model'!G45/(1+$B11)^('DCF Model'!C19+4)+'DCF Model'!G45*(1+F$6)/($B11-F$6)/(1+$B11)^('DCF Model'!C19+4)-'DCF Model'!C16)*1000000/'DCF Model'!C15,0),"")</f>
        <v>830</v>
      </c>
      <c r="G11" s="37">
        <f>IFERROR(ROUND(('DCF Model'!C45/(1+$B11)^('DCF Model'!C19+0)+'DCF Model'!D45/(1+$B11)^('DCF Model'!C19+1)+'DCF Model'!E45/(1+$B11)^('DCF Model'!C19+2)+'DCF Model'!F45/(1+$B11)^('DCF Model'!C19+3)+'DCF Model'!G45/(1+$B11)^('DCF Model'!C19+4)+'DCF Model'!G45*(1+G$6)/($B11-G$6)/(1+$B11)^('DCF Model'!C19+4)-'DCF Model'!C16)*1000000/'DCF Model'!C15,0),"")</f>
        <v>837</v>
      </c>
      <c r="H11" s="37">
        <f>IFERROR(ROUND(('DCF Model'!C45/(1+$B11)^('DCF Model'!C19+0)+'DCF Model'!D45/(1+$B11)^('DCF Model'!C19+1)+'DCF Model'!E45/(1+$B11)^('DCF Model'!C19+2)+'DCF Model'!F45/(1+$B11)^('DCF Model'!C19+3)+'DCF Model'!G45/(1+$B11)^('DCF Model'!C19+4)+'DCF Model'!G45*(1+H$6)/($B11-H$6)/(1+$B11)^('DCF Model'!C19+4)-'DCF Model'!C16)*1000000/'DCF Model'!C15,0),"")</f>
        <v>844</v>
      </c>
      <c r="I11" s="37">
        <f>IFERROR(ROUND(('DCF Model'!C45/(1+$B11)^('DCF Model'!C19+0)+'DCF Model'!D45/(1+$B11)^('DCF Model'!C19+1)+'DCF Model'!E45/(1+$B11)^('DCF Model'!C19+2)+'DCF Model'!F45/(1+$B11)^('DCF Model'!C19+3)+'DCF Model'!G45/(1+$B11)^('DCF Model'!C19+4)+'DCF Model'!G45*(1+I$6)/($B11-I$6)/(1+$B11)^('DCF Model'!C19+4)-'DCF Model'!C16)*1000000/'DCF Model'!C15,0),"")</f>
        <v>851</v>
      </c>
    </row>
    <row r="12" spans="2:9" ht="13.5" customHeight="1" x14ac:dyDescent="0.25">
      <c r="B12" s="39">
        <f>$C$3+0.01</f>
        <v>0.16398650000000001</v>
      </c>
      <c r="C12" s="37">
        <f>IFERROR(ROUND(('DCF Model'!C45/(1+$B12)^('DCF Model'!C19+0)+'DCF Model'!D45/(1+$B12)^('DCF Model'!C19+1)+'DCF Model'!E45/(1+$B12)^('DCF Model'!C19+2)+'DCF Model'!F45/(1+$B12)^('DCF Model'!C19+3)+'DCF Model'!G45/(1+$B12)^('DCF Model'!C19+4)+'DCF Model'!G45*(1+C$6)/($B12-C$6)/(1+$B12)^('DCF Model'!C19+4)-'DCF Model'!C16)*1000000/'DCF Model'!C15,0),"")</f>
        <v>791</v>
      </c>
      <c r="D12" s="37">
        <f>IFERROR(ROUND(('DCF Model'!C45/(1+$B12)^('DCF Model'!C19+0)+'DCF Model'!D45/(1+$B12)^('DCF Model'!C19+1)+'DCF Model'!E45/(1+$B12)^('DCF Model'!C19+2)+'DCF Model'!F45/(1+$B12)^('DCF Model'!C19+3)+'DCF Model'!G45/(1+$B12)^('DCF Model'!C19+4)+'DCF Model'!G45*(1+D$6)/($B12-D$6)/(1+$B12)^('DCF Model'!C19+4)-'DCF Model'!C16)*1000000/'DCF Model'!C15,0),"")</f>
        <v>797</v>
      </c>
      <c r="E12" s="37">
        <f>IFERROR(ROUND(('DCF Model'!C45/(1+$B12)^('DCF Model'!C19+0)+'DCF Model'!D45/(1+$B12)^('DCF Model'!C19+1)+'DCF Model'!E45/(1+$B12)^('DCF Model'!C19+2)+'DCF Model'!F45/(1+$B12)^('DCF Model'!C19+3)+'DCF Model'!G45/(1+$B12)^('DCF Model'!C19+4)+'DCF Model'!G45*(1+E$6)/($B12-E$6)/(1+$B12)^('DCF Model'!C19+4)-'DCF Model'!C16)*1000000/'DCF Model'!C15,0),"")</f>
        <v>803</v>
      </c>
      <c r="F12" s="37">
        <f>IFERROR(ROUND(('DCF Model'!C45/(1+$B12)^('DCF Model'!C19+0)+'DCF Model'!D45/(1+$B12)^('DCF Model'!C19+1)+'DCF Model'!E45/(1+$B12)^('DCF Model'!C19+2)+'DCF Model'!F45/(1+$B12)^('DCF Model'!C19+3)+'DCF Model'!G45/(1+$B12)^('DCF Model'!C19+4)+'DCF Model'!G45*(1+F$6)/($B12-F$6)/(1+$B12)^('DCF Model'!C19+4)-'DCF Model'!C16)*1000000/'DCF Model'!C15,0),"")</f>
        <v>809</v>
      </c>
      <c r="G12" s="37">
        <f>IFERROR(ROUND(('DCF Model'!C45/(1+$B12)^('DCF Model'!C19+0)+'DCF Model'!D45/(1+$B12)^('DCF Model'!C19+1)+'DCF Model'!E45/(1+$B12)^('DCF Model'!C19+2)+'DCF Model'!F45/(1+$B12)^('DCF Model'!C19+3)+'DCF Model'!G45/(1+$B12)^('DCF Model'!C19+4)+'DCF Model'!G45*(1+G$6)/($B12-G$6)/(1+$B12)^('DCF Model'!C19+4)-'DCF Model'!C16)*1000000/'DCF Model'!C15,0),"")</f>
        <v>815</v>
      </c>
      <c r="H12" s="37">
        <f>IFERROR(ROUND(('DCF Model'!C45/(1+$B12)^('DCF Model'!C19+0)+'DCF Model'!D45/(1+$B12)^('DCF Model'!C19+1)+'DCF Model'!E45/(1+$B12)^('DCF Model'!C19+2)+'DCF Model'!F45/(1+$B12)^('DCF Model'!C19+3)+'DCF Model'!G45/(1+$B12)^('DCF Model'!C19+4)+'DCF Model'!G45*(1+H$6)/($B12-H$6)/(1+$B12)^('DCF Model'!C19+4)-'DCF Model'!C16)*1000000/'DCF Model'!C15,0),"")</f>
        <v>821</v>
      </c>
      <c r="I12" s="37">
        <f>IFERROR(ROUND(('DCF Model'!C45/(1+$B12)^('DCF Model'!C19+0)+'DCF Model'!D45/(1+$B12)^('DCF Model'!C19+1)+'DCF Model'!E45/(1+$B12)^('DCF Model'!C19+2)+'DCF Model'!F45/(1+$B12)^('DCF Model'!C19+3)+'DCF Model'!G45/(1+$B12)^('DCF Model'!C19+4)+'DCF Model'!G45*(1+I$6)/($B12-I$6)/(1+$B12)^('DCF Model'!C19+4)-'DCF Model'!C16)*1000000/'DCF Model'!C15,0),"")</f>
        <v>828</v>
      </c>
    </row>
    <row r="13" spans="2:9" ht="13.5" customHeight="1" x14ac:dyDescent="0.25">
      <c r="B13" s="39">
        <f>$C$3+0.015</f>
        <v>0.16898649999999998</v>
      </c>
      <c r="C13" s="37">
        <f>IFERROR(ROUND(('DCF Model'!C45/(1+$B13)^('DCF Model'!C19+0)+'DCF Model'!D45/(1+$B13)^('DCF Model'!C19+1)+'DCF Model'!E45/(1+$B13)^('DCF Model'!C19+2)+'DCF Model'!F45/(1+$B13)^('DCF Model'!C19+3)+'DCF Model'!G45/(1+$B13)^('DCF Model'!C19+4)+'DCF Model'!G45*(1+C$6)/($B13-C$6)/(1+$B13)^('DCF Model'!C19+4)-'DCF Model'!C16)*1000000/'DCF Model'!C15,0),"")</f>
        <v>772</v>
      </c>
      <c r="D13" s="37">
        <f>IFERROR(ROUND(('DCF Model'!C45/(1+$B13)^('DCF Model'!C19+0)+'DCF Model'!D45/(1+$B13)^('DCF Model'!C19+1)+'DCF Model'!E45/(1+$B13)^('DCF Model'!C19+2)+'DCF Model'!F45/(1+$B13)^('DCF Model'!C19+3)+'DCF Model'!G45/(1+$B13)^('DCF Model'!C19+4)+'DCF Model'!G45*(1+D$6)/($B13-D$6)/(1+$B13)^('DCF Model'!C19+4)-'DCF Model'!C16)*1000000/'DCF Model'!C15,0),"")</f>
        <v>778</v>
      </c>
      <c r="E13" s="37">
        <f>IFERROR(ROUND(('DCF Model'!C45/(1+$B13)^('DCF Model'!C19+0)+'DCF Model'!D45/(1+$B13)^('DCF Model'!C19+1)+'DCF Model'!E45/(1+$B13)^('DCF Model'!C19+2)+'DCF Model'!F45/(1+$B13)^('DCF Model'!C19+3)+'DCF Model'!G45/(1+$B13)^('DCF Model'!C19+4)+'DCF Model'!G45*(1+E$6)/($B13-E$6)/(1+$B13)^('DCF Model'!C19+4)-'DCF Model'!C16)*1000000/'DCF Model'!C15,0),"")</f>
        <v>783</v>
      </c>
      <c r="F13" s="37">
        <f>IFERROR(ROUND(('DCF Model'!C45/(1+$B13)^('DCF Model'!C19+0)+'DCF Model'!D45/(1+$B13)^('DCF Model'!C19+1)+'DCF Model'!E45/(1+$B13)^('DCF Model'!C19+2)+'DCF Model'!F45/(1+$B13)^('DCF Model'!C19+3)+'DCF Model'!G45/(1+$B13)^('DCF Model'!C19+4)+'DCF Model'!G45*(1+F$6)/($B13-F$6)/(1+$B13)^('DCF Model'!C19+4)-'DCF Model'!C16)*1000000/'DCF Model'!C15,0),"")</f>
        <v>789</v>
      </c>
      <c r="G13" s="37">
        <f>IFERROR(ROUND(('DCF Model'!C45/(1+$B13)^('DCF Model'!C19+0)+'DCF Model'!D45/(1+$B13)^('DCF Model'!C19+1)+'DCF Model'!E45/(1+$B13)^('DCF Model'!C19+2)+'DCF Model'!F45/(1+$B13)^('DCF Model'!C19+3)+'DCF Model'!G45/(1+$B13)^('DCF Model'!C19+4)+'DCF Model'!G45*(1+G$6)/($B13-G$6)/(1+$B13)^('DCF Model'!C19+4)-'DCF Model'!C16)*1000000/'DCF Model'!C15,0),"")</f>
        <v>794</v>
      </c>
      <c r="H13" s="37">
        <f>IFERROR(ROUND(('DCF Model'!C45/(1+$B13)^('DCF Model'!C19+0)+'DCF Model'!D45/(1+$B13)^('DCF Model'!C19+1)+'DCF Model'!E45/(1+$B13)^('DCF Model'!C19+2)+'DCF Model'!F45/(1+$B13)^('DCF Model'!C19+3)+'DCF Model'!G45/(1+$B13)^('DCF Model'!C19+4)+'DCF Model'!G45*(1+H$6)/($B13-H$6)/(1+$B13)^('DCF Model'!C19+4)-'DCF Model'!C16)*1000000/'DCF Model'!C15,0),"")</f>
        <v>800</v>
      </c>
      <c r="I13" s="37">
        <f>IFERROR(ROUND(('DCF Model'!C45/(1+$B13)^('DCF Model'!C19+0)+'DCF Model'!D45/(1+$B13)^('DCF Model'!C19+1)+'DCF Model'!E45/(1+$B13)^('DCF Model'!C19+2)+'DCF Model'!F45/(1+$B13)^('DCF Model'!C19+3)+'DCF Model'!G45/(1+$B13)^('DCF Model'!C19+4)+'DCF Model'!G45*(1+I$6)/($B13-I$6)/(1+$B13)^('DCF Model'!C19+4)-'DCF Model'!C16)*1000000/'DCF Model'!C15,0),"")</f>
        <v>806</v>
      </c>
    </row>
    <row r="16" spans="2:9" ht="14" customHeight="1" x14ac:dyDescent="0.3">
      <c r="B16" s="3" t="s">
        <v>245</v>
      </c>
    </row>
    <row r="17" spans="2:9" ht="14" customHeight="1" x14ac:dyDescent="0.3">
      <c r="B17" s="40" t="s">
        <v>246</v>
      </c>
      <c r="C17" s="42">
        <f>$I$3-3</f>
        <v>6</v>
      </c>
      <c r="D17" s="42">
        <f>$I$3-2</f>
        <v>7</v>
      </c>
      <c r="E17" s="42">
        <f>$I$3-1</f>
        <v>8</v>
      </c>
      <c r="F17" s="42">
        <f>$I$3</f>
        <v>9</v>
      </c>
      <c r="G17" s="42">
        <f>$I$3+1</f>
        <v>10</v>
      </c>
      <c r="H17" s="42">
        <f>$I$3+2</f>
        <v>11</v>
      </c>
      <c r="I17" s="42">
        <f>$I$3+3</f>
        <v>12</v>
      </c>
    </row>
    <row r="18" spans="2:9" ht="13.5" customHeight="1" x14ac:dyDescent="0.25">
      <c r="B18" s="39">
        <f>$C$3-0.015</f>
        <v>0.13898650000000001</v>
      </c>
      <c r="C18" s="37">
        <f>IFERROR(ROUND(('DCF Model'!C45/(1+$B18)^('DCF Model'!C19+0)+'DCF Model'!D45/(1+$B18)^('DCF Model'!C19+1)+'DCF Model'!E45/(1+$B18)^('DCF Model'!C19+2)+'DCF Model'!F45/(1+$B18)^('DCF Model'!C19+3)+'DCF Model'!G45/(1+$B18)^('DCF Model'!C19+4)+('DCF Model'!G39+'DCF Model'!G42)*C$17/(1+$B18)^('DCF Model'!C19+4)-'DCF Model'!C16)*1000000/'DCF Model'!C15,0),"")</f>
        <v>1185</v>
      </c>
      <c r="D18" s="37">
        <f>IFERROR(ROUND(('DCF Model'!C45/(1+$B18)^('DCF Model'!C19+0)+'DCF Model'!D45/(1+$B18)^('DCF Model'!C19+1)+'DCF Model'!E45/(1+$B18)^('DCF Model'!C19+2)+'DCF Model'!F45/(1+$B18)^('DCF Model'!C19+3)+'DCF Model'!G45/(1+$B18)^('DCF Model'!C19+4)+('DCF Model'!G39+'DCF Model'!G42)*D$17/(1+$B18)^('DCF Model'!C19+4)-'DCF Model'!C16)*1000000/'DCF Model'!C15,0),"")</f>
        <v>1300</v>
      </c>
      <c r="E18" s="37">
        <f>IFERROR(ROUND(('DCF Model'!C45/(1+$B18)^('DCF Model'!C19+0)+'DCF Model'!D45/(1+$B18)^('DCF Model'!C19+1)+'DCF Model'!E45/(1+$B18)^('DCF Model'!C19+2)+'DCF Model'!F45/(1+$B18)^('DCF Model'!C19+3)+'DCF Model'!G45/(1+$B18)^('DCF Model'!C19+4)+('DCF Model'!G39+'DCF Model'!G42)*E$17/(1+$B18)^('DCF Model'!C19+4)-'DCF Model'!C16)*1000000/'DCF Model'!C15,0),"")</f>
        <v>1414</v>
      </c>
      <c r="F18" s="37">
        <f>IFERROR(ROUND(('DCF Model'!C45/(1+$B18)^('DCF Model'!C19+0)+'DCF Model'!D45/(1+$B18)^('DCF Model'!C19+1)+'DCF Model'!E45/(1+$B18)^('DCF Model'!C19+2)+'DCF Model'!F45/(1+$B18)^('DCF Model'!C19+3)+'DCF Model'!G45/(1+$B18)^('DCF Model'!C19+4)+('DCF Model'!G39+'DCF Model'!G42)*F$17/(1+$B18)^('DCF Model'!C19+4)-'DCF Model'!C16)*1000000/'DCF Model'!C15,0),"")</f>
        <v>1529</v>
      </c>
      <c r="G18" s="37">
        <f>IFERROR(ROUND(('DCF Model'!C45/(1+$B18)^('DCF Model'!C19+0)+'DCF Model'!D45/(1+$B18)^('DCF Model'!C19+1)+'DCF Model'!E45/(1+$B18)^('DCF Model'!C19+2)+'DCF Model'!F45/(1+$B18)^('DCF Model'!C19+3)+'DCF Model'!G45/(1+$B18)^('DCF Model'!C19+4)+('DCF Model'!G39+'DCF Model'!G42)*G$17/(1+$B18)^('DCF Model'!C19+4)-'DCF Model'!C16)*1000000/'DCF Model'!C15,0),"")</f>
        <v>1644</v>
      </c>
      <c r="H18" s="37">
        <f>IFERROR(ROUND(('DCF Model'!C45/(1+$B18)^('DCF Model'!C19+0)+'DCF Model'!D45/(1+$B18)^('DCF Model'!C19+1)+'DCF Model'!E45/(1+$B18)^('DCF Model'!C19+2)+'DCF Model'!F45/(1+$B18)^('DCF Model'!C19+3)+'DCF Model'!G45/(1+$B18)^('DCF Model'!C19+4)+('DCF Model'!G39+'DCF Model'!G42)*H$17/(1+$B18)^('DCF Model'!C19+4)-'DCF Model'!C16)*1000000/'DCF Model'!C15,0),"")</f>
        <v>1759</v>
      </c>
      <c r="I18" s="37">
        <f>IFERROR(ROUND(('DCF Model'!C45/(1+$B18)^('DCF Model'!C19+0)+'DCF Model'!D45/(1+$B18)^('DCF Model'!C19+1)+'DCF Model'!E45/(1+$B18)^('DCF Model'!C19+2)+'DCF Model'!F45/(1+$B18)^('DCF Model'!C19+3)+'DCF Model'!G45/(1+$B18)^('DCF Model'!C19+4)+('DCF Model'!G39+'DCF Model'!G42)*I$17/(1+$B18)^('DCF Model'!C19+4)-'DCF Model'!C16)*1000000/'DCF Model'!C15,0),"")</f>
        <v>1874</v>
      </c>
    </row>
    <row r="19" spans="2:9" ht="13.5" customHeight="1" x14ac:dyDescent="0.25">
      <c r="B19" s="39">
        <f>$C$3-0.01</f>
        <v>0.14398649999999999</v>
      </c>
      <c r="C19" s="37">
        <f>IFERROR(ROUND(('DCF Model'!C45/(1+$B19)^('DCF Model'!C19+0)+'DCF Model'!D45/(1+$B19)^('DCF Model'!C19+1)+'DCF Model'!E45/(1+$B19)^('DCF Model'!C19+2)+'DCF Model'!F45/(1+$B19)^('DCF Model'!C19+3)+'DCF Model'!G45/(1+$B19)^('DCF Model'!C19+4)+('DCF Model'!G39+'DCF Model'!G42)*C$17/(1+$B19)^('DCF Model'!C19+4)-'DCF Model'!C16)*1000000/'DCF Model'!C15,0),"")</f>
        <v>1166</v>
      </c>
      <c r="D19" s="37">
        <f>IFERROR(ROUND(('DCF Model'!C45/(1+$B19)^('DCF Model'!C19+0)+'DCF Model'!D45/(1+$B19)^('DCF Model'!C19+1)+'DCF Model'!E45/(1+$B19)^('DCF Model'!C19+2)+'DCF Model'!F45/(1+$B19)^('DCF Model'!C19+3)+'DCF Model'!G45/(1+$B19)^('DCF Model'!C19+4)+('DCF Model'!G39+'DCF Model'!G42)*D$17/(1+$B19)^('DCF Model'!C19+4)-'DCF Model'!C16)*1000000/'DCF Model'!C15,0),"")</f>
        <v>1279</v>
      </c>
      <c r="E19" s="37">
        <f>IFERROR(ROUND(('DCF Model'!C45/(1+$B19)^('DCF Model'!C19+0)+'DCF Model'!D45/(1+$B19)^('DCF Model'!C19+1)+'DCF Model'!E45/(1+$B19)^('DCF Model'!C19+2)+'DCF Model'!F45/(1+$B19)^('DCF Model'!C19+3)+'DCF Model'!G45/(1+$B19)^('DCF Model'!C19+4)+('DCF Model'!G39+'DCF Model'!G42)*E$17/(1+$B19)^('DCF Model'!C19+4)-'DCF Model'!C16)*1000000/'DCF Model'!C15,0),"")</f>
        <v>1391</v>
      </c>
      <c r="F19" s="37">
        <f>IFERROR(ROUND(('DCF Model'!C45/(1+$B19)^('DCF Model'!C19+0)+'DCF Model'!D45/(1+$B19)^('DCF Model'!C19+1)+'DCF Model'!E45/(1+$B19)^('DCF Model'!C19+2)+'DCF Model'!F45/(1+$B19)^('DCF Model'!C19+3)+'DCF Model'!G45/(1+$B19)^('DCF Model'!C19+4)+('DCF Model'!G39+'DCF Model'!G42)*F$17/(1+$B19)^('DCF Model'!C19+4)-'DCF Model'!C16)*1000000/'DCF Model'!C15,0),"")</f>
        <v>1503</v>
      </c>
      <c r="G19" s="37">
        <f>IFERROR(ROUND(('DCF Model'!C45/(1+$B19)^('DCF Model'!C19+0)+'DCF Model'!D45/(1+$B19)^('DCF Model'!C19+1)+'DCF Model'!E45/(1+$B19)^('DCF Model'!C19+2)+'DCF Model'!F45/(1+$B19)^('DCF Model'!C19+3)+'DCF Model'!G45/(1+$B19)^('DCF Model'!C19+4)+('DCF Model'!G39+'DCF Model'!G42)*G$17/(1+$B19)^('DCF Model'!C19+4)-'DCF Model'!C16)*1000000/'DCF Model'!C15,0),"")</f>
        <v>1615</v>
      </c>
      <c r="H19" s="37">
        <f>IFERROR(ROUND(('DCF Model'!C45/(1+$B19)^('DCF Model'!C19+0)+'DCF Model'!D45/(1+$B19)^('DCF Model'!C19+1)+'DCF Model'!E45/(1+$B19)^('DCF Model'!C19+2)+'DCF Model'!F45/(1+$B19)^('DCF Model'!C19+3)+'DCF Model'!G45/(1+$B19)^('DCF Model'!C19+4)+('DCF Model'!G39+'DCF Model'!G42)*H$17/(1+$B19)^('DCF Model'!C19+4)-'DCF Model'!C16)*1000000/'DCF Model'!C15,0),"")</f>
        <v>1728</v>
      </c>
      <c r="I19" s="37">
        <f>IFERROR(ROUND(('DCF Model'!C45/(1+$B19)^('DCF Model'!C19+0)+'DCF Model'!D45/(1+$B19)^('DCF Model'!C19+1)+'DCF Model'!E45/(1+$B19)^('DCF Model'!C19+2)+'DCF Model'!F45/(1+$B19)^('DCF Model'!C19+3)+'DCF Model'!G45/(1+$B19)^('DCF Model'!C19+4)+('DCF Model'!G39+'DCF Model'!G42)*I$17/(1+$B19)^('DCF Model'!C19+4)-'DCF Model'!C16)*1000000/'DCF Model'!C15,0),"")</f>
        <v>1840</v>
      </c>
    </row>
    <row r="20" spans="2:9" ht="13.5" customHeight="1" x14ac:dyDescent="0.25">
      <c r="B20" s="39">
        <f>$C$3-0.005</f>
        <v>0.14898649999999999</v>
      </c>
      <c r="C20" s="37">
        <f>IFERROR(ROUND(('DCF Model'!C45/(1+$B20)^('DCF Model'!C19+0)+'DCF Model'!D45/(1+$B20)^('DCF Model'!C19+1)+'DCF Model'!E45/(1+$B20)^('DCF Model'!C19+2)+'DCF Model'!F45/(1+$B20)^('DCF Model'!C19+3)+'DCF Model'!G45/(1+$B20)^('DCF Model'!C19+4)+('DCF Model'!G39+'DCF Model'!G42)*C$17/(1+$B20)^('DCF Model'!C19+4)-'DCF Model'!C16)*1000000/'DCF Model'!C15,0),"")</f>
        <v>1148</v>
      </c>
      <c r="D20" s="37">
        <f>IFERROR(ROUND(('DCF Model'!C45/(1+$B20)^('DCF Model'!C19+0)+'DCF Model'!D45/(1+$B20)^('DCF Model'!C19+1)+'DCF Model'!E45/(1+$B20)^('DCF Model'!C19+2)+'DCF Model'!F45/(1+$B20)^('DCF Model'!C19+3)+'DCF Model'!G45/(1+$B20)^('DCF Model'!C19+4)+('DCF Model'!G39+'DCF Model'!G42)*D$17/(1+$B20)^('DCF Model'!C19+4)-'DCF Model'!C16)*1000000/'DCF Model'!C15,0),"")</f>
        <v>1258</v>
      </c>
      <c r="E20" s="37">
        <f>IFERROR(ROUND(('DCF Model'!C45/(1+$B20)^('DCF Model'!C19+0)+'DCF Model'!D45/(1+$B20)^('DCF Model'!C19+1)+'DCF Model'!E45/(1+$B20)^('DCF Model'!C19+2)+'DCF Model'!F45/(1+$B20)^('DCF Model'!C19+3)+'DCF Model'!G45/(1+$B20)^('DCF Model'!C19+4)+('DCF Model'!G39+'DCF Model'!G42)*E$17/(1+$B20)^('DCF Model'!C19+4)-'DCF Model'!C16)*1000000/'DCF Model'!C15,0),"")</f>
        <v>1368</v>
      </c>
      <c r="F20" s="37">
        <f>IFERROR(ROUND(('DCF Model'!C45/(1+$B20)^('DCF Model'!C19+0)+'DCF Model'!D45/(1+$B20)^('DCF Model'!C19+1)+'DCF Model'!E45/(1+$B20)^('DCF Model'!C19+2)+'DCF Model'!F45/(1+$B20)^('DCF Model'!C19+3)+'DCF Model'!G45/(1+$B20)^('DCF Model'!C19+4)+('DCF Model'!G39+'DCF Model'!G42)*F$17/(1+$B20)^('DCF Model'!C19+4)-'DCF Model'!C16)*1000000/'DCF Model'!C15,0),"")</f>
        <v>1478</v>
      </c>
      <c r="G20" s="37">
        <f>IFERROR(ROUND(('DCF Model'!C45/(1+$B20)^('DCF Model'!C19+0)+'DCF Model'!D45/(1+$B20)^('DCF Model'!C19+1)+'DCF Model'!E45/(1+$B20)^('DCF Model'!C19+2)+'DCF Model'!F45/(1+$B20)^('DCF Model'!C19+3)+'DCF Model'!G45/(1+$B20)^('DCF Model'!C19+4)+('DCF Model'!G39+'DCF Model'!G42)*G$17/(1+$B20)^('DCF Model'!C19+4)-'DCF Model'!C16)*1000000/'DCF Model'!C15,0),"")</f>
        <v>1588</v>
      </c>
      <c r="H20" s="37">
        <f>IFERROR(ROUND(('DCF Model'!C45/(1+$B20)^('DCF Model'!C19+0)+'DCF Model'!D45/(1+$B20)^('DCF Model'!C19+1)+'DCF Model'!E45/(1+$B20)^('DCF Model'!C19+2)+'DCF Model'!F45/(1+$B20)^('DCF Model'!C19+3)+'DCF Model'!G45/(1+$B20)^('DCF Model'!C19+4)+('DCF Model'!G39+'DCF Model'!G42)*H$17/(1+$B20)^('DCF Model'!C19+4)-'DCF Model'!C16)*1000000/'DCF Model'!C15,0),"")</f>
        <v>1697</v>
      </c>
      <c r="I20" s="37">
        <f>IFERROR(ROUND(('DCF Model'!C45/(1+$B20)^('DCF Model'!C19+0)+'DCF Model'!D45/(1+$B20)^('DCF Model'!C19+1)+'DCF Model'!E45/(1+$B20)^('DCF Model'!C19+2)+'DCF Model'!F45/(1+$B20)^('DCF Model'!C19+3)+'DCF Model'!G45/(1+$B20)^('DCF Model'!C19+4)+('DCF Model'!G39+'DCF Model'!G42)*I$17/(1+$B20)^('DCF Model'!C19+4)-'DCF Model'!C16)*1000000/'DCF Model'!C15,0),"")</f>
        <v>1807</v>
      </c>
    </row>
    <row r="21" spans="2:9" ht="13.5" customHeight="1" x14ac:dyDescent="0.25">
      <c r="B21" s="39">
        <f>$C$3</f>
        <v>0.1539865</v>
      </c>
      <c r="C21" s="37">
        <f>IFERROR(ROUND(('DCF Model'!C45/(1+$B21)^('DCF Model'!C19+0)+'DCF Model'!D45/(1+$B21)^('DCF Model'!C19+1)+'DCF Model'!E45/(1+$B21)^('DCF Model'!C19+2)+'DCF Model'!F45/(1+$B21)^('DCF Model'!C19+3)+'DCF Model'!G45/(1+$B21)^('DCF Model'!C19+4)+('DCF Model'!G39+'DCF Model'!G42)*C$17/(1+$B21)^('DCF Model'!C19+4)-'DCF Model'!C16)*1000000/'DCF Model'!C15,0),"")</f>
        <v>1131</v>
      </c>
      <c r="D21" s="37">
        <f>IFERROR(ROUND(('DCF Model'!C45/(1+$B21)^('DCF Model'!C19+0)+'DCF Model'!D45/(1+$B21)^('DCF Model'!C19+1)+'DCF Model'!E45/(1+$B21)^('DCF Model'!C19+2)+'DCF Model'!F45/(1+$B21)^('DCF Model'!C19+3)+'DCF Model'!G45/(1+$B21)^('DCF Model'!C19+4)+('DCF Model'!G39+'DCF Model'!G42)*D$17/(1+$B21)^('DCF Model'!C19+4)-'DCF Model'!C16)*1000000/'DCF Model'!C15,0),"")</f>
        <v>1238</v>
      </c>
      <c r="E21" s="37">
        <f>IFERROR(ROUND(('DCF Model'!C45/(1+$B21)^('DCF Model'!C19+0)+'DCF Model'!D45/(1+$B21)^('DCF Model'!C19+1)+'DCF Model'!E45/(1+$B21)^('DCF Model'!C19+2)+'DCF Model'!F45/(1+$B21)^('DCF Model'!C19+3)+'DCF Model'!G45/(1+$B21)^('DCF Model'!C19+4)+('DCF Model'!G39+'DCF Model'!G42)*E$17/(1+$B21)^('DCF Model'!C19+4)-'DCF Model'!C16)*1000000/'DCF Model'!C15,0),"")</f>
        <v>1346</v>
      </c>
      <c r="F21" s="37">
        <f>IFERROR(ROUND(('DCF Model'!C45/(1+$B21)^('DCF Model'!C19+0)+'DCF Model'!D45/(1+$B21)^('DCF Model'!C19+1)+'DCF Model'!E45/(1+$B21)^('DCF Model'!C19+2)+'DCF Model'!F45/(1+$B21)^('DCF Model'!C19+3)+'DCF Model'!G45/(1+$B21)^('DCF Model'!C19+4)+('DCF Model'!G39+'DCF Model'!G42)*F$17/(1+$B21)^('DCF Model'!C19+4)-'DCF Model'!C16)*1000000/'DCF Model'!C15,0),"")</f>
        <v>1453</v>
      </c>
      <c r="G21" s="37">
        <f>IFERROR(ROUND(('DCF Model'!C45/(1+$B21)^('DCF Model'!C19+0)+'DCF Model'!D45/(1+$B21)^('DCF Model'!C19+1)+'DCF Model'!E45/(1+$B21)^('DCF Model'!C19+2)+'DCF Model'!F45/(1+$B21)^('DCF Model'!C19+3)+'DCF Model'!G45/(1+$B21)^('DCF Model'!C19+4)+('DCF Model'!G39+'DCF Model'!G42)*G$17/(1+$B21)^('DCF Model'!C19+4)-'DCF Model'!C16)*1000000/'DCF Model'!C15,0),"")</f>
        <v>1560</v>
      </c>
      <c r="H21" s="37">
        <f>IFERROR(ROUND(('DCF Model'!C45/(1+$B21)^('DCF Model'!C19+0)+'DCF Model'!D45/(1+$B21)^('DCF Model'!C19+1)+'DCF Model'!E45/(1+$B21)^('DCF Model'!C19+2)+'DCF Model'!F45/(1+$B21)^('DCF Model'!C19+3)+'DCF Model'!G45/(1+$B21)^('DCF Model'!C19+4)+('DCF Model'!G39+'DCF Model'!G42)*H$17/(1+$B21)^('DCF Model'!C19+4)-'DCF Model'!C16)*1000000/'DCF Model'!C15,0),"")</f>
        <v>1668</v>
      </c>
      <c r="I21" s="37">
        <f>IFERROR(ROUND(('DCF Model'!C45/(1+$B21)^('DCF Model'!C19+0)+'DCF Model'!D45/(1+$B21)^('DCF Model'!C19+1)+'DCF Model'!E45/(1+$B21)^('DCF Model'!C19+2)+'DCF Model'!F45/(1+$B21)^('DCF Model'!C19+3)+'DCF Model'!G45/(1+$B21)^('DCF Model'!C19+4)+('DCF Model'!G39+'DCF Model'!G42)*I$17/(1+$B21)^('DCF Model'!C19+4)-'DCF Model'!C16)*1000000/'DCF Model'!C15,0),"")</f>
        <v>1775</v>
      </c>
    </row>
    <row r="22" spans="2:9" ht="13.5" customHeight="1" x14ac:dyDescent="0.25">
      <c r="B22" s="39">
        <f>$C$3+0.005</f>
        <v>0.1589865</v>
      </c>
      <c r="C22" s="37">
        <f>IFERROR(ROUND(('DCF Model'!C45/(1+$B22)^('DCF Model'!C19+0)+'DCF Model'!D45/(1+$B22)^('DCF Model'!C19+1)+'DCF Model'!E45/(1+$B22)^('DCF Model'!C19+2)+'DCF Model'!F45/(1+$B22)^('DCF Model'!C19+3)+'DCF Model'!G45/(1+$B22)^('DCF Model'!C19+4)+('DCF Model'!G39+'DCF Model'!G42)*C$17/(1+$B22)^('DCF Model'!C19+4)-'DCF Model'!C16)*1000000/'DCF Model'!C15,0),"")</f>
        <v>1114</v>
      </c>
      <c r="D22" s="37">
        <f>IFERROR(ROUND(('DCF Model'!C45/(1+$B22)^('DCF Model'!C19+0)+'DCF Model'!D45/(1+$B22)^('DCF Model'!C19+1)+'DCF Model'!E45/(1+$B22)^('DCF Model'!C19+2)+'DCF Model'!F45/(1+$B22)^('DCF Model'!C19+3)+'DCF Model'!G45/(1+$B22)^('DCF Model'!C19+4)+('DCF Model'!G39+'DCF Model'!G42)*D$17/(1+$B22)^('DCF Model'!C19+4)-'DCF Model'!C16)*1000000/'DCF Model'!C15,0),"")</f>
        <v>1219</v>
      </c>
      <c r="E22" s="37">
        <f>IFERROR(ROUND(('DCF Model'!C45/(1+$B22)^('DCF Model'!C19+0)+'DCF Model'!D45/(1+$B22)^('DCF Model'!C19+1)+'DCF Model'!E45/(1+$B22)^('DCF Model'!C19+2)+'DCF Model'!F45/(1+$B22)^('DCF Model'!C19+3)+'DCF Model'!G45/(1+$B22)^('DCF Model'!C19+4)+('DCF Model'!G39+'DCF Model'!G42)*E$17/(1+$B22)^('DCF Model'!C19+4)-'DCF Model'!C16)*1000000/'DCF Model'!C15,0),"")</f>
        <v>1324</v>
      </c>
      <c r="F22" s="37">
        <f>IFERROR(ROUND(('DCF Model'!C45/(1+$B22)^('DCF Model'!C19+0)+'DCF Model'!D45/(1+$B22)^('DCF Model'!C19+1)+'DCF Model'!E45/(1+$B22)^('DCF Model'!C19+2)+'DCF Model'!F45/(1+$B22)^('DCF Model'!C19+3)+'DCF Model'!G45/(1+$B22)^('DCF Model'!C19+4)+('DCF Model'!G39+'DCF Model'!G42)*F$17/(1+$B22)^('DCF Model'!C19+4)-'DCF Model'!C16)*1000000/'DCF Model'!C15,0),"")</f>
        <v>1429</v>
      </c>
      <c r="G22" s="37">
        <f>IFERROR(ROUND(('DCF Model'!C45/(1+$B22)^('DCF Model'!C19+0)+'DCF Model'!D45/(1+$B22)^('DCF Model'!C19+1)+'DCF Model'!E45/(1+$B22)^('DCF Model'!C19+2)+'DCF Model'!F45/(1+$B22)^('DCF Model'!C19+3)+'DCF Model'!G45/(1+$B22)^('DCF Model'!C19+4)+('DCF Model'!G39+'DCF Model'!G42)*G$17/(1+$B22)^('DCF Model'!C19+4)-'DCF Model'!C16)*1000000/'DCF Model'!C15,0),"")</f>
        <v>1534</v>
      </c>
      <c r="H22" s="37">
        <f>IFERROR(ROUND(('DCF Model'!C45/(1+$B22)^('DCF Model'!C19+0)+'DCF Model'!D45/(1+$B22)^('DCF Model'!C19+1)+'DCF Model'!E45/(1+$B22)^('DCF Model'!C19+2)+'DCF Model'!F45/(1+$B22)^('DCF Model'!C19+3)+'DCF Model'!G45/(1+$B22)^('DCF Model'!C19+4)+('DCF Model'!G39+'DCF Model'!G42)*H$17/(1+$B22)^('DCF Model'!C19+4)-'DCF Model'!C16)*1000000/'DCF Model'!C15,0),"")</f>
        <v>1639</v>
      </c>
      <c r="I22" s="37">
        <f>IFERROR(ROUND(('DCF Model'!C45/(1+$B22)^('DCF Model'!C19+0)+'DCF Model'!D45/(1+$B22)^('DCF Model'!C19+1)+'DCF Model'!E45/(1+$B22)^('DCF Model'!C19+2)+'DCF Model'!F45/(1+$B22)^('DCF Model'!C19+3)+'DCF Model'!G45/(1+$B22)^('DCF Model'!C19+4)+('DCF Model'!G39+'DCF Model'!G42)*I$17/(1+$B22)^('DCF Model'!C19+4)-'DCF Model'!C16)*1000000/'DCF Model'!C15,0),"")</f>
        <v>1744</v>
      </c>
    </row>
    <row r="23" spans="2:9" ht="13.5" customHeight="1" x14ac:dyDescent="0.25">
      <c r="B23" s="39">
        <f>$C$3+0.01</f>
        <v>0.16398650000000001</v>
      </c>
      <c r="C23" s="37">
        <f>IFERROR(ROUND(('DCF Model'!C45/(1+$B23)^('DCF Model'!C19+0)+'DCF Model'!D45/(1+$B23)^('DCF Model'!C19+1)+'DCF Model'!E45/(1+$B23)^('DCF Model'!C19+2)+'DCF Model'!F45/(1+$B23)^('DCF Model'!C19+3)+'DCF Model'!G45/(1+$B23)^('DCF Model'!C19+4)+('DCF Model'!G39+'DCF Model'!G42)*C$17/(1+$B23)^('DCF Model'!C19+4)-'DCF Model'!C16)*1000000/'DCF Model'!C15,0),"")</f>
        <v>1097</v>
      </c>
      <c r="D23" s="37">
        <f>IFERROR(ROUND(('DCF Model'!C45/(1+$B23)^('DCF Model'!C19+0)+'DCF Model'!D45/(1+$B23)^('DCF Model'!C19+1)+'DCF Model'!E45/(1+$B23)^('DCF Model'!C19+2)+'DCF Model'!F45/(1+$B23)^('DCF Model'!C19+3)+'DCF Model'!G45/(1+$B23)^('DCF Model'!C19+4)+('DCF Model'!G39+'DCF Model'!G42)*D$17/(1+$B23)^('DCF Model'!C19+4)-'DCF Model'!C16)*1000000/'DCF Model'!C15,0),"")</f>
        <v>1200</v>
      </c>
      <c r="E23" s="37">
        <f>IFERROR(ROUND(('DCF Model'!C45/(1+$B23)^('DCF Model'!C19+0)+'DCF Model'!D45/(1+$B23)^('DCF Model'!C19+1)+'DCF Model'!E45/(1+$B23)^('DCF Model'!C19+2)+'DCF Model'!F45/(1+$B23)^('DCF Model'!C19+3)+'DCF Model'!G45/(1+$B23)^('DCF Model'!C19+4)+('DCF Model'!G39+'DCF Model'!G42)*E$17/(1+$B23)^('DCF Model'!C19+4)-'DCF Model'!C16)*1000000/'DCF Model'!C15,0),"")</f>
        <v>1303</v>
      </c>
      <c r="F23" s="37">
        <f>IFERROR(ROUND(('DCF Model'!C45/(1+$B23)^('DCF Model'!C19+0)+'DCF Model'!D45/(1+$B23)^('DCF Model'!C19+1)+'DCF Model'!E45/(1+$B23)^('DCF Model'!C19+2)+'DCF Model'!F45/(1+$B23)^('DCF Model'!C19+3)+'DCF Model'!G45/(1+$B23)^('DCF Model'!C19+4)+('DCF Model'!G39+'DCF Model'!G42)*F$17/(1+$B23)^('DCF Model'!C19+4)-'DCF Model'!C16)*1000000/'DCF Model'!C15,0),"")</f>
        <v>1405</v>
      </c>
      <c r="G23" s="37">
        <f>IFERROR(ROUND(('DCF Model'!C45/(1+$B23)^('DCF Model'!C19+0)+'DCF Model'!D45/(1+$B23)^('DCF Model'!C19+1)+'DCF Model'!E45/(1+$B23)^('DCF Model'!C19+2)+'DCF Model'!F45/(1+$B23)^('DCF Model'!C19+3)+'DCF Model'!G45/(1+$B23)^('DCF Model'!C19+4)+('DCF Model'!G39+'DCF Model'!G42)*G$17/(1+$B23)^('DCF Model'!C19+4)-'DCF Model'!C16)*1000000/'DCF Model'!C15,0),"")</f>
        <v>1508</v>
      </c>
      <c r="H23" s="37">
        <f>IFERROR(ROUND(('DCF Model'!C45/(1+$B23)^('DCF Model'!C19+0)+'DCF Model'!D45/(1+$B23)^('DCF Model'!C19+1)+'DCF Model'!E45/(1+$B23)^('DCF Model'!C19+2)+'DCF Model'!F45/(1+$B23)^('DCF Model'!C19+3)+'DCF Model'!G45/(1+$B23)^('DCF Model'!C19+4)+('DCF Model'!G39+'DCF Model'!G42)*H$17/(1+$B23)^('DCF Model'!C19+4)-'DCF Model'!C16)*1000000/'DCF Model'!C15,0),"")</f>
        <v>1611</v>
      </c>
      <c r="I23" s="37">
        <f>IFERROR(ROUND(('DCF Model'!C45/(1+$B23)^('DCF Model'!C19+0)+'DCF Model'!D45/(1+$B23)^('DCF Model'!C19+1)+'DCF Model'!E45/(1+$B23)^('DCF Model'!C19+2)+'DCF Model'!F45/(1+$B23)^('DCF Model'!C19+3)+'DCF Model'!G45/(1+$B23)^('DCF Model'!C19+4)+('DCF Model'!G39+'DCF Model'!G42)*I$17/(1+$B23)^('DCF Model'!C19+4)-'DCF Model'!C16)*1000000/'DCF Model'!C15,0),"")</f>
        <v>1714</v>
      </c>
    </row>
    <row r="24" spans="2:9" ht="13.5" customHeight="1" x14ac:dyDescent="0.25">
      <c r="B24" s="39">
        <f>$C$3+0.015</f>
        <v>0.16898649999999998</v>
      </c>
      <c r="C24" s="37">
        <f>IFERROR(ROUND(('DCF Model'!C45/(1+$B24)^('DCF Model'!C19+0)+'DCF Model'!D45/(1+$B24)^('DCF Model'!C19+1)+'DCF Model'!E45/(1+$B24)^('DCF Model'!C19+2)+'DCF Model'!F45/(1+$B24)^('DCF Model'!C19+3)+'DCF Model'!G45/(1+$B24)^('DCF Model'!C19+4)+('DCF Model'!G39+'DCF Model'!G42)*C$17/(1+$B24)^('DCF Model'!C19+4)-'DCF Model'!C16)*1000000/'DCF Model'!C15,0),"")</f>
        <v>1081</v>
      </c>
      <c r="D24" s="37">
        <f>IFERROR(ROUND(('DCF Model'!C45/(1+$B24)^('DCF Model'!C19+0)+'DCF Model'!D45/(1+$B24)^('DCF Model'!C19+1)+'DCF Model'!E45/(1+$B24)^('DCF Model'!C19+2)+'DCF Model'!F45/(1+$B24)^('DCF Model'!C19+3)+'DCF Model'!G45/(1+$B24)^('DCF Model'!C19+4)+('DCF Model'!G39+'DCF Model'!G42)*D$17/(1+$B24)^('DCF Model'!C19+4)-'DCF Model'!C16)*1000000/'DCF Model'!C15,0),"")</f>
        <v>1182</v>
      </c>
      <c r="E24" s="37">
        <f>IFERROR(ROUND(('DCF Model'!C45/(1+$B24)^('DCF Model'!C19+0)+'DCF Model'!D45/(1+$B24)^('DCF Model'!C19+1)+'DCF Model'!E45/(1+$B24)^('DCF Model'!C19+2)+'DCF Model'!F45/(1+$B24)^('DCF Model'!C19+3)+'DCF Model'!G45/(1+$B24)^('DCF Model'!C19+4)+('DCF Model'!G39+'DCF Model'!G42)*E$17/(1+$B24)^('DCF Model'!C19+4)-'DCF Model'!C16)*1000000/'DCF Model'!C15,0),"")</f>
        <v>1282</v>
      </c>
      <c r="F24" s="37">
        <f>IFERROR(ROUND(('DCF Model'!C45/(1+$B24)^('DCF Model'!C19+0)+'DCF Model'!D45/(1+$B24)^('DCF Model'!C19+1)+'DCF Model'!E45/(1+$B24)^('DCF Model'!C19+2)+'DCF Model'!F45/(1+$B24)^('DCF Model'!C19+3)+'DCF Model'!G45/(1+$B24)^('DCF Model'!C19+4)+('DCF Model'!G39+'DCF Model'!G42)*F$17/(1+$B24)^('DCF Model'!C19+4)-'DCF Model'!C16)*1000000/'DCF Model'!C15,0),"")</f>
        <v>1383</v>
      </c>
      <c r="G24" s="37">
        <f>IFERROR(ROUND(('DCF Model'!C45/(1+$B24)^('DCF Model'!C19+0)+'DCF Model'!D45/(1+$B24)^('DCF Model'!C19+1)+'DCF Model'!E45/(1+$B24)^('DCF Model'!C19+2)+'DCF Model'!F45/(1+$B24)^('DCF Model'!C19+3)+'DCF Model'!G45/(1+$B24)^('DCF Model'!C19+4)+('DCF Model'!G39+'DCF Model'!G42)*G$17/(1+$B24)^('DCF Model'!C19+4)-'DCF Model'!C16)*1000000/'DCF Model'!C15,0),"")</f>
        <v>1483</v>
      </c>
      <c r="H24" s="37">
        <f>IFERROR(ROUND(('DCF Model'!C45/(1+$B24)^('DCF Model'!C19+0)+'DCF Model'!D45/(1+$B24)^('DCF Model'!C19+1)+'DCF Model'!E45/(1+$B24)^('DCF Model'!C19+2)+'DCF Model'!F45/(1+$B24)^('DCF Model'!C19+3)+'DCF Model'!G45/(1+$B24)^('DCF Model'!C19+4)+('DCF Model'!G39+'DCF Model'!G42)*H$17/(1+$B24)^('DCF Model'!C19+4)-'DCF Model'!C16)*1000000/'DCF Model'!C15,0),"")</f>
        <v>1584</v>
      </c>
      <c r="I24" s="37">
        <f>IFERROR(ROUND(('DCF Model'!C45/(1+$B24)^('DCF Model'!C19+0)+'DCF Model'!D45/(1+$B24)^('DCF Model'!C19+1)+'DCF Model'!E45/(1+$B24)^('DCF Model'!C19+2)+'DCF Model'!F45/(1+$B24)^('DCF Model'!C19+3)+'DCF Model'!G45/(1+$B24)^('DCF Model'!C19+4)+('DCF Model'!G39+'DCF Model'!G42)*I$17/(1+$B24)^('DCF Model'!C19+4)-'DCF Model'!C16)*1000000/'DCF Model'!C15,0),"")</f>
        <v>1684</v>
      </c>
    </row>
    <row r="26" spans="2:9" ht="14" customHeight="1" x14ac:dyDescent="0.3">
      <c r="B26" s="68" t="s">
        <v>247</v>
      </c>
      <c r="C26" s="67"/>
      <c r="D26" s="67"/>
      <c r="E26" s="67"/>
      <c r="F26" s="67"/>
      <c r="G26" s="67"/>
      <c r="H26" s="67"/>
      <c r="I26" s="67"/>
    </row>
  </sheetData>
  <mergeCells count="1">
    <mergeCell ref="B26:I26"/>
  </mergeCells>
  <phoneticPr fontId="8"/>
  <pageMargins left="0.75" right="0.75" top="1" bottom="1" header="0.5" footer="0.5"/>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96"/>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248</v>
      </c>
    </row>
    <row r="4" spans="2:7" ht="14" customHeight="1" x14ac:dyDescent="0.3">
      <c r="B4" s="10" t="s">
        <v>249</v>
      </c>
      <c r="C4" s="10" t="s">
        <v>250</v>
      </c>
      <c r="D4" s="10" t="s">
        <v>251</v>
      </c>
      <c r="E4" s="10" t="s">
        <v>252</v>
      </c>
      <c r="F4" s="10" t="s">
        <v>253</v>
      </c>
      <c r="G4" s="10" t="s">
        <v>254</v>
      </c>
    </row>
    <row r="5" spans="2:7" x14ac:dyDescent="0.2">
      <c r="B5" t="s">
        <v>255</v>
      </c>
      <c r="C5" t="s">
        <v>256</v>
      </c>
      <c r="D5" t="s">
        <v>257</v>
      </c>
      <c r="E5" t="s">
        <v>258</v>
      </c>
      <c r="F5" t="s">
        <v>256</v>
      </c>
      <c r="G5" t="s">
        <v>259</v>
      </c>
    </row>
    <row r="6" spans="2:7" ht="30" customHeight="1" x14ac:dyDescent="0.3">
      <c r="B6" s="43" t="s">
        <v>255</v>
      </c>
      <c r="C6" s="4" t="s">
        <v>260</v>
      </c>
      <c r="D6" s="43" t="s">
        <v>261</v>
      </c>
      <c r="E6" s="43" t="s">
        <v>262</v>
      </c>
      <c r="F6" s="43" t="s">
        <v>256</v>
      </c>
      <c r="G6" s="43" t="s">
        <v>263</v>
      </c>
    </row>
    <row r="7" spans="2:7" ht="30" customHeight="1" x14ac:dyDescent="0.3">
      <c r="B7" s="43" t="s">
        <v>255</v>
      </c>
      <c r="C7" s="4" t="s">
        <v>264</v>
      </c>
      <c r="D7" s="43" t="s">
        <v>265</v>
      </c>
      <c r="E7" s="43" t="s">
        <v>266</v>
      </c>
      <c r="F7" s="43" t="s">
        <v>256</v>
      </c>
      <c r="G7" s="43" t="s">
        <v>267</v>
      </c>
    </row>
    <row r="8" spans="2:7" ht="30" customHeight="1" x14ac:dyDescent="0.3">
      <c r="B8" s="43" t="s">
        <v>255</v>
      </c>
      <c r="C8" s="4" t="s">
        <v>268</v>
      </c>
      <c r="D8" s="43" t="s">
        <v>269</v>
      </c>
      <c r="E8" s="43" t="s">
        <v>270</v>
      </c>
      <c r="F8" s="43" t="s">
        <v>271</v>
      </c>
      <c r="G8" s="43" t="s">
        <v>272</v>
      </c>
    </row>
    <row r="9" spans="2:7" ht="30" customHeight="1" x14ac:dyDescent="0.3">
      <c r="B9" s="43" t="s">
        <v>255</v>
      </c>
      <c r="C9" s="4" t="s">
        <v>273</v>
      </c>
      <c r="D9" s="43" t="s">
        <v>274</v>
      </c>
      <c r="E9" s="43" t="s">
        <v>275</v>
      </c>
      <c r="F9" s="43" t="s">
        <v>256</v>
      </c>
      <c r="G9" s="43" t="s">
        <v>276</v>
      </c>
    </row>
    <row r="10" spans="2:7" ht="30" customHeight="1" x14ac:dyDescent="0.3">
      <c r="B10" s="43" t="s">
        <v>255</v>
      </c>
      <c r="C10" s="4" t="s">
        <v>277</v>
      </c>
      <c r="D10" s="43" t="s">
        <v>278</v>
      </c>
      <c r="E10" s="43" t="s">
        <v>279</v>
      </c>
      <c r="F10" s="43" t="s">
        <v>280</v>
      </c>
      <c r="G10" s="43" t="s">
        <v>267</v>
      </c>
    </row>
    <row r="11" spans="2:7" ht="30" customHeight="1" x14ac:dyDescent="0.3">
      <c r="B11" s="43" t="s">
        <v>255</v>
      </c>
      <c r="C11" s="4" t="s">
        <v>281</v>
      </c>
      <c r="D11" s="43" t="s">
        <v>282</v>
      </c>
      <c r="E11" s="43" t="s">
        <v>283</v>
      </c>
      <c r="F11" s="43" t="s">
        <v>256</v>
      </c>
      <c r="G11" s="43" t="s">
        <v>276</v>
      </c>
    </row>
    <row r="12" spans="2:7" ht="30" customHeight="1" x14ac:dyDescent="0.3">
      <c r="B12" s="43" t="s">
        <v>255</v>
      </c>
      <c r="C12" s="4" t="s">
        <v>284</v>
      </c>
      <c r="D12" s="43" t="s">
        <v>285</v>
      </c>
      <c r="E12" s="43" t="s">
        <v>286</v>
      </c>
      <c r="F12" s="43" t="s">
        <v>256</v>
      </c>
      <c r="G12" s="43" t="s">
        <v>276</v>
      </c>
    </row>
    <row r="13" spans="2:7" ht="30" customHeight="1" x14ac:dyDescent="0.3">
      <c r="B13" s="43" t="s">
        <v>255</v>
      </c>
      <c r="C13" s="4" t="s">
        <v>287</v>
      </c>
      <c r="D13" s="43" t="s">
        <v>288</v>
      </c>
      <c r="E13" s="43" t="s">
        <v>289</v>
      </c>
      <c r="F13" s="43" t="s">
        <v>290</v>
      </c>
      <c r="G13" s="43" t="s">
        <v>291</v>
      </c>
    </row>
    <row r="14" spans="2:7" ht="30" customHeight="1" x14ac:dyDescent="0.3">
      <c r="B14" s="43" t="s">
        <v>255</v>
      </c>
      <c r="C14" s="4" t="s">
        <v>292</v>
      </c>
      <c r="D14" s="43" t="s">
        <v>293</v>
      </c>
      <c r="E14" s="43" t="s">
        <v>294</v>
      </c>
      <c r="F14" s="43" t="s">
        <v>295</v>
      </c>
      <c r="G14" s="43" t="s">
        <v>263</v>
      </c>
    </row>
    <row r="15" spans="2:7" ht="30" customHeight="1" x14ac:dyDescent="0.3">
      <c r="B15" s="43" t="s">
        <v>255</v>
      </c>
      <c r="C15" s="4" t="s">
        <v>296</v>
      </c>
      <c r="D15" s="43" t="s">
        <v>297</v>
      </c>
      <c r="E15" s="43" t="s">
        <v>298</v>
      </c>
      <c r="F15" s="43" t="s">
        <v>299</v>
      </c>
      <c r="G15" s="43" t="s">
        <v>300</v>
      </c>
    </row>
    <row r="16" spans="2:7" ht="30" customHeight="1" x14ac:dyDescent="0.3">
      <c r="B16" s="43" t="s">
        <v>255</v>
      </c>
      <c r="C16" s="4" t="s">
        <v>301</v>
      </c>
      <c r="D16" s="43" t="s">
        <v>302</v>
      </c>
      <c r="E16" s="43" t="s">
        <v>303</v>
      </c>
      <c r="F16" s="43" t="s">
        <v>304</v>
      </c>
      <c r="G16" s="43" t="s">
        <v>267</v>
      </c>
    </row>
    <row r="17" spans="2:7" ht="30" customHeight="1" x14ac:dyDescent="0.3">
      <c r="B17" s="43" t="s">
        <v>255</v>
      </c>
      <c r="C17" s="4" t="s">
        <v>305</v>
      </c>
      <c r="D17" s="43" t="s">
        <v>306</v>
      </c>
      <c r="E17" s="43" t="s">
        <v>307</v>
      </c>
      <c r="F17" s="43" t="s">
        <v>308</v>
      </c>
      <c r="G17" s="43" t="s">
        <v>267</v>
      </c>
    </row>
    <row r="18" spans="2:7" ht="30" customHeight="1" x14ac:dyDescent="0.3">
      <c r="B18" s="43" t="s">
        <v>255</v>
      </c>
      <c r="C18" s="4" t="s">
        <v>309</v>
      </c>
      <c r="D18" s="43" t="s">
        <v>310</v>
      </c>
      <c r="E18" s="43" t="s">
        <v>311</v>
      </c>
      <c r="F18" s="43" t="s">
        <v>312</v>
      </c>
      <c r="G18" s="43" t="s">
        <v>263</v>
      </c>
    </row>
    <row r="19" spans="2:7" ht="30" customHeight="1" x14ac:dyDescent="0.3">
      <c r="B19" s="43" t="s">
        <v>255</v>
      </c>
      <c r="C19" s="4" t="s">
        <v>313</v>
      </c>
      <c r="D19" s="43" t="s">
        <v>314</v>
      </c>
      <c r="E19" s="43" t="s">
        <v>315</v>
      </c>
      <c r="F19" s="43" t="s">
        <v>316</v>
      </c>
      <c r="G19" s="43" t="s">
        <v>267</v>
      </c>
    </row>
    <row r="20" spans="2:7" ht="30" customHeight="1" x14ac:dyDescent="0.3">
      <c r="B20" s="43" t="s">
        <v>255</v>
      </c>
      <c r="C20" s="4" t="s">
        <v>317</v>
      </c>
      <c r="D20" s="43" t="s">
        <v>318</v>
      </c>
      <c r="E20" s="43" t="s">
        <v>319</v>
      </c>
      <c r="F20" s="43" t="s">
        <v>320</v>
      </c>
      <c r="G20" s="43" t="s">
        <v>300</v>
      </c>
    </row>
    <row r="21" spans="2:7" ht="30" customHeight="1" x14ac:dyDescent="0.3">
      <c r="B21" s="43" t="s">
        <v>255</v>
      </c>
      <c r="C21" s="4" t="s">
        <v>321</v>
      </c>
      <c r="D21" s="43" t="s">
        <v>322</v>
      </c>
      <c r="E21" s="43" t="s">
        <v>323</v>
      </c>
      <c r="F21" s="43" t="s">
        <v>256</v>
      </c>
      <c r="G21" s="43" t="s">
        <v>267</v>
      </c>
    </row>
    <row r="22" spans="2:7" ht="30" customHeight="1" x14ac:dyDescent="0.3">
      <c r="B22" s="43" t="s">
        <v>255</v>
      </c>
      <c r="C22" s="4" t="s">
        <v>324</v>
      </c>
      <c r="D22" s="43" t="s">
        <v>325</v>
      </c>
      <c r="E22" s="43" t="s">
        <v>326</v>
      </c>
      <c r="F22" s="43" t="s">
        <v>256</v>
      </c>
      <c r="G22" s="43" t="s">
        <v>327</v>
      </c>
    </row>
    <row r="23" spans="2:7" ht="30" customHeight="1" x14ac:dyDescent="0.3">
      <c r="B23" s="43" t="s">
        <v>255</v>
      </c>
      <c r="C23" s="4" t="s">
        <v>328</v>
      </c>
      <c r="D23" s="43" t="s">
        <v>329</v>
      </c>
      <c r="E23" s="43" t="s">
        <v>330</v>
      </c>
      <c r="F23" s="43" t="s">
        <v>331</v>
      </c>
      <c r="G23" s="43" t="s">
        <v>267</v>
      </c>
    </row>
    <row r="24" spans="2:7" ht="30" customHeight="1" x14ac:dyDescent="0.3">
      <c r="B24" s="43" t="s">
        <v>255</v>
      </c>
      <c r="C24" s="4" t="s">
        <v>332</v>
      </c>
      <c r="D24" s="43" t="s">
        <v>333</v>
      </c>
      <c r="E24" s="43" t="s">
        <v>334</v>
      </c>
      <c r="F24" s="43" t="s">
        <v>256</v>
      </c>
      <c r="G24" s="43" t="s">
        <v>267</v>
      </c>
    </row>
    <row r="25" spans="2:7" ht="30" customHeight="1" x14ac:dyDescent="0.3">
      <c r="B25" s="43" t="s">
        <v>255</v>
      </c>
      <c r="C25" s="4" t="s">
        <v>335</v>
      </c>
      <c r="D25" s="43" t="s">
        <v>336</v>
      </c>
      <c r="E25" s="43" t="s">
        <v>337</v>
      </c>
      <c r="F25" s="43" t="s">
        <v>256</v>
      </c>
      <c r="G25" s="43" t="s">
        <v>267</v>
      </c>
    </row>
    <row r="26" spans="2:7" ht="30" customHeight="1" x14ac:dyDescent="0.3">
      <c r="B26" s="43" t="s">
        <v>255</v>
      </c>
      <c r="C26" s="4" t="s">
        <v>338</v>
      </c>
      <c r="D26" s="43" t="s">
        <v>339</v>
      </c>
      <c r="E26" s="43" t="s">
        <v>340</v>
      </c>
      <c r="F26" s="43" t="s">
        <v>256</v>
      </c>
      <c r="G26" s="43" t="s">
        <v>291</v>
      </c>
    </row>
    <row r="27" spans="2:7" ht="30" customHeight="1" x14ac:dyDescent="0.3">
      <c r="B27" s="43" t="s">
        <v>255</v>
      </c>
      <c r="C27" s="4" t="s">
        <v>341</v>
      </c>
      <c r="D27" s="43" t="s">
        <v>342</v>
      </c>
      <c r="E27" s="43" t="s">
        <v>343</v>
      </c>
      <c r="F27" s="43" t="s">
        <v>256</v>
      </c>
      <c r="G27" s="43" t="s">
        <v>300</v>
      </c>
    </row>
    <row r="28" spans="2:7" ht="30" customHeight="1" x14ac:dyDescent="0.3">
      <c r="B28" s="43" t="s">
        <v>255</v>
      </c>
      <c r="C28" s="4" t="s">
        <v>344</v>
      </c>
      <c r="D28" s="43" t="s">
        <v>345</v>
      </c>
      <c r="E28" s="43" t="s">
        <v>346</v>
      </c>
      <c r="F28" s="43" t="s">
        <v>256</v>
      </c>
      <c r="G28" s="43" t="s">
        <v>263</v>
      </c>
    </row>
    <row r="29" spans="2:7" ht="30" customHeight="1" x14ac:dyDescent="0.3">
      <c r="B29" s="43" t="s">
        <v>255</v>
      </c>
      <c r="C29" s="4" t="s">
        <v>347</v>
      </c>
      <c r="D29" s="43" t="s">
        <v>348</v>
      </c>
      <c r="E29" s="43" t="s">
        <v>349</v>
      </c>
      <c r="F29" s="43" t="s">
        <v>256</v>
      </c>
      <c r="G29" s="43" t="s">
        <v>267</v>
      </c>
    </row>
    <row r="30" spans="2:7" ht="30" customHeight="1" x14ac:dyDescent="0.3">
      <c r="B30" s="43" t="s">
        <v>255</v>
      </c>
      <c r="C30" s="4" t="s">
        <v>350</v>
      </c>
      <c r="D30" s="43" t="s">
        <v>351</v>
      </c>
      <c r="E30" s="43" t="s">
        <v>352</v>
      </c>
      <c r="F30" s="43" t="s">
        <v>353</v>
      </c>
      <c r="G30" s="43" t="s">
        <v>267</v>
      </c>
    </row>
    <row r="31" spans="2:7" ht="30" customHeight="1" x14ac:dyDescent="0.3">
      <c r="B31" s="43" t="s">
        <v>255</v>
      </c>
      <c r="C31" s="4" t="s">
        <v>354</v>
      </c>
      <c r="D31" s="43" t="s">
        <v>355</v>
      </c>
      <c r="E31" s="43" t="s">
        <v>356</v>
      </c>
      <c r="F31" s="43" t="s">
        <v>256</v>
      </c>
      <c r="G31" s="43" t="s">
        <v>300</v>
      </c>
    </row>
    <row r="32" spans="2:7" ht="30" customHeight="1" x14ac:dyDescent="0.3">
      <c r="B32" s="43" t="s">
        <v>255</v>
      </c>
      <c r="C32" s="4" t="s">
        <v>357</v>
      </c>
      <c r="D32" s="43" t="s">
        <v>358</v>
      </c>
      <c r="E32" s="43" t="s">
        <v>359</v>
      </c>
      <c r="F32" s="43" t="s">
        <v>256</v>
      </c>
      <c r="G32" s="43" t="s">
        <v>267</v>
      </c>
    </row>
    <row r="33" spans="2:7" ht="30" customHeight="1" x14ac:dyDescent="0.3">
      <c r="B33" s="43" t="s">
        <v>255</v>
      </c>
      <c r="C33" s="4" t="s">
        <v>360</v>
      </c>
      <c r="D33" s="43" t="s">
        <v>361</v>
      </c>
      <c r="E33" s="43" t="s">
        <v>362</v>
      </c>
      <c r="F33" s="43" t="s">
        <v>256</v>
      </c>
      <c r="G33" s="43" t="s">
        <v>267</v>
      </c>
    </row>
    <row r="34" spans="2:7" ht="30" customHeight="1" x14ac:dyDescent="0.3">
      <c r="B34" s="43" t="s">
        <v>255</v>
      </c>
      <c r="C34" s="4" t="s">
        <v>363</v>
      </c>
      <c r="D34" s="43" t="s">
        <v>364</v>
      </c>
      <c r="E34" s="43" t="s">
        <v>365</v>
      </c>
      <c r="F34" s="43" t="s">
        <v>256</v>
      </c>
      <c r="G34" s="43" t="s">
        <v>327</v>
      </c>
    </row>
    <row r="35" spans="2:7" ht="30" customHeight="1" x14ac:dyDescent="0.3">
      <c r="B35" s="43" t="s">
        <v>255</v>
      </c>
      <c r="C35" s="4" t="s">
        <v>366</v>
      </c>
      <c r="D35" s="43" t="s">
        <v>367</v>
      </c>
      <c r="E35" s="43" t="s">
        <v>368</v>
      </c>
      <c r="F35" s="43" t="s">
        <v>256</v>
      </c>
      <c r="G35" s="43" t="s">
        <v>327</v>
      </c>
    </row>
    <row r="36" spans="2:7" ht="30" customHeight="1" x14ac:dyDescent="0.3">
      <c r="B36" s="43" t="s">
        <v>255</v>
      </c>
      <c r="C36" s="4" t="s">
        <v>369</v>
      </c>
      <c r="D36" s="43" t="s">
        <v>370</v>
      </c>
      <c r="E36" s="43" t="s">
        <v>371</v>
      </c>
      <c r="F36" s="43" t="s">
        <v>372</v>
      </c>
      <c r="G36" s="43" t="s">
        <v>267</v>
      </c>
    </row>
    <row r="37" spans="2:7" ht="30" customHeight="1" x14ac:dyDescent="0.3">
      <c r="B37" s="43" t="s">
        <v>255</v>
      </c>
      <c r="C37" s="4" t="s">
        <v>373</v>
      </c>
      <c r="D37" s="43" t="s">
        <v>374</v>
      </c>
      <c r="E37" s="43" t="s">
        <v>375</v>
      </c>
      <c r="F37" s="43" t="s">
        <v>256</v>
      </c>
      <c r="G37" s="43" t="s">
        <v>376</v>
      </c>
    </row>
    <row r="38" spans="2:7" ht="14" customHeight="1" x14ac:dyDescent="0.2"/>
    <row r="39" spans="2:7" ht="14" customHeight="1" x14ac:dyDescent="0.3">
      <c r="B39" s="8" t="s">
        <v>377</v>
      </c>
    </row>
    <row r="40" spans="2:7" ht="14" customHeight="1" x14ac:dyDescent="0.3">
      <c r="B40" s="10" t="s">
        <v>378</v>
      </c>
      <c r="C40" s="10" t="s">
        <v>379</v>
      </c>
    </row>
    <row r="41" spans="2:7" ht="14" customHeight="1" x14ac:dyDescent="0.3">
      <c r="B41" s="4" t="s">
        <v>380</v>
      </c>
      <c r="C41" t="s">
        <v>381</v>
      </c>
    </row>
    <row r="42" spans="2:7" ht="14" customHeight="1" x14ac:dyDescent="0.3">
      <c r="B42" s="4" t="s">
        <v>382</v>
      </c>
      <c r="C42" t="s">
        <v>383</v>
      </c>
    </row>
    <row r="43" spans="2:7" ht="14" customHeight="1" x14ac:dyDescent="0.3">
      <c r="B43" s="4" t="s">
        <v>384</v>
      </c>
      <c r="C43" t="s">
        <v>385</v>
      </c>
    </row>
    <row r="44" spans="2:7" ht="14" customHeight="1" x14ac:dyDescent="0.3">
      <c r="B44" s="4" t="s">
        <v>386</v>
      </c>
      <c r="C44" t="s">
        <v>387</v>
      </c>
    </row>
    <row r="45" spans="2:7" ht="14" customHeight="1" x14ac:dyDescent="0.3">
      <c r="B45" s="4" t="s">
        <v>388</v>
      </c>
      <c r="C45" t="s">
        <v>385</v>
      </c>
    </row>
    <row r="46" spans="2:7" ht="14" customHeight="1" x14ac:dyDescent="0.3">
      <c r="B46" s="4" t="s">
        <v>389</v>
      </c>
      <c r="C46" t="s">
        <v>390</v>
      </c>
    </row>
    <row r="47" spans="2:7" ht="14" customHeight="1" x14ac:dyDescent="0.3">
      <c r="B47" s="4" t="s">
        <v>391</v>
      </c>
      <c r="C47" t="s">
        <v>392</v>
      </c>
    </row>
    <row r="48" spans="2:7" ht="14" customHeight="1" x14ac:dyDescent="0.3">
      <c r="B48" s="4" t="s">
        <v>393</v>
      </c>
      <c r="C48" t="s">
        <v>394</v>
      </c>
    </row>
    <row r="49" spans="2:3" ht="14" customHeight="1" x14ac:dyDescent="0.3">
      <c r="B49" s="4" t="s">
        <v>395</v>
      </c>
      <c r="C49" t="s">
        <v>396</v>
      </c>
    </row>
    <row r="50" spans="2:3" ht="14" customHeight="1" x14ac:dyDescent="0.3">
      <c r="B50" s="4" t="s">
        <v>397</v>
      </c>
      <c r="C50" t="s">
        <v>398</v>
      </c>
    </row>
    <row r="51" spans="2:3" ht="14" customHeight="1" x14ac:dyDescent="0.3">
      <c r="B51" s="4" t="s">
        <v>399</v>
      </c>
      <c r="C51" t="s">
        <v>4</v>
      </c>
    </row>
    <row r="52" spans="2:3" ht="14" customHeight="1" x14ac:dyDescent="0.3">
      <c r="B52" s="4" t="s">
        <v>400</v>
      </c>
      <c r="C52" t="s">
        <v>255</v>
      </c>
    </row>
    <row r="53" spans="2:3" ht="14" customHeight="1" x14ac:dyDescent="0.3">
      <c r="B53" s="4" t="s">
        <v>401</v>
      </c>
      <c r="C53" t="s">
        <v>402</v>
      </c>
    </row>
    <row r="54" spans="2:3" ht="14" customHeight="1" x14ac:dyDescent="0.3">
      <c r="B54" s="4" t="s">
        <v>403</v>
      </c>
      <c r="C54" t="s">
        <v>390</v>
      </c>
    </row>
    <row r="55" spans="2:3" ht="14" customHeight="1" x14ac:dyDescent="0.3">
      <c r="B55" s="4" t="s">
        <v>404</v>
      </c>
      <c r="C55" t="s">
        <v>390</v>
      </c>
    </row>
    <row r="56" spans="2:3" ht="14" customHeight="1" x14ac:dyDescent="0.3">
      <c r="B56" s="4" t="s">
        <v>405</v>
      </c>
      <c r="C56" t="s">
        <v>406</v>
      </c>
    </row>
    <row r="57" spans="2:3" ht="14" customHeight="1" x14ac:dyDescent="0.3">
      <c r="B57" s="4" t="s">
        <v>407</v>
      </c>
      <c r="C57" t="s">
        <v>408</v>
      </c>
    </row>
    <row r="58" spans="2:3" ht="14" customHeight="1" x14ac:dyDescent="0.3">
      <c r="B58" s="4" t="s">
        <v>409</v>
      </c>
      <c r="C58" t="s">
        <v>410</v>
      </c>
    </row>
    <row r="59" spans="2:3" ht="14" customHeight="1" x14ac:dyDescent="0.3">
      <c r="B59" s="4" t="s">
        <v>411</v>
      </c>
      <c r="C59" t="s">
        <v>412</v>
      </c>
    </row>
    <row r="60" spans="2:3" ht="14" customHeight="1" x14ac:dyDescent="0.3">
      <c r="B60" s="4" t="s">
        <v>413</v>
      </c>
      <c r="C60" t="s">
        <v>414</v>
      </c>
    </row>
    <row r="61" spans="2:3" ht="14" customHeight="1" x14ac:dyDescent="0.3">
      <c r="B61" s="4" t="s">
        <v>415</v>
      </c>
      <c r="C61" t="s">
        <v>406</v>
      </c>
    </row>
    <row r="62" spans="2:3" ht="14" customHeight="1" x14ac:dyDescent="0.3">
      <c r="B62" s="4" t="s">
        <v>416</v>
      </c>
      <c r="C62" t="s">
        <v>390</v>
      </c>
    </row>
    <row r="63" spans="2:3" ht="14" customHeight="1" x14ac:dyDescent="0.3">
      <c r="B63" s="4" t="s">
        <v>417</v>
      </c>
      <c r="C63" t="s">
        <v>402</v>
      </c>
    </row>
    <row r="64" spans="2:3" ht="14" customHeight="1" x14ac:dyDescent="0.3">
      <c r="B64" s="4" t="s">
        <v>418</v>
      </c>
      <c r="C64" t="s">
        <v>419</v>
      </c>
    </row>
    <row r="65" spans="2:3" ht="14" customHeight="1" x14ac:dyDescent="0.3">
      <c r="B65" s="4" t="s">
        <v>420</v>
      </c>
      <c r="C65" t="s">
        <v>421</v>
      </c>
    </row>
    <row r="66" spans="2:3" ht="14" customHeight="1" x14ac:dyDescent="0.3">
      <c r="B66" s="4" t="s">
        <v>422</v>
      </c>
      <c r="C66" t="s">
        <v>423</v>
      </c>
    </row>
    <row r="67" spans="2:3" ht="14" customHeight="1" x14ac:dyDescent="0.3">
      <c r="B67" s="4" t="s">
        <v>424</v>
      </c>
      <c r="C67" t="s">
        <v>425</v>
      </c>
    </row>
    <row r="68" spans="2:3" ht="14" customHeight="1" x14ac:dyDescent="0.3">
      <c r="B68" s="4" t="s">
        <v>426</v>
      </c>
      <c r="C68" t="s">
        <v>427</v>
      </c>
    </row>
    <row r="69" spans="2:3" ht="14" customHeight="1" x14ac:dyDescent="0.3">
      <c r="B69" s="4" t="s">
        <v>428</v>
      </c>
      <c r="C69" t="s">
        <v>429</v>
      </c>
    </row>
    <row r="70" spans="2:3" ht="14" x14ac:dyDescent="0.3">
      <c r="B70" s="4" t="s">
        <v>430</v>
      </c>
      <c r="C70" t="s">
        <v>431</v>
      </c>
    </row>
    <row r="71" spans="2:3" ht="14" x14ac:dyDescent="0.3">
      <c r="B71" s="4" t="s">
        <v>432</v>
      </c>
      <c r="C71" t="s">
        <v>433</v>
      </c>
    </row>
    <row r="72" spans="2:3" ht="14" x14ac:dyDescent="0.3">
      <c r="B72" s="4" t="s">
        <v>434</v>
      </c>
      <c r="C72" t="s">
        <v>435</v>
      </c>
    </row>
    <row r="73" spans="2:3" ht="14" x14ac:dyDescent="0.3">
      <c r="B73" s="4" t="s">
        <v>436</v>
      </c>
      <c r="C73" t="s">
        <v>437</v>
      </c>
    </row>
    <row r="74" spans="2:3" ht="14" x14ac:dyDescent="0.3">
      <c r="B74" s="4" t="s">
        <v>438</v>
      </c>
      <c r="C74" t="s">
        <v>394</v>
      </c>
    </row>
    <row r="75" spans="2:3" ht="14" x14ac:dyDescent="0.3">
      <c r="B75" s="4" t="s">
        <v>439</v>
      </c>
      <c r="C75" t="s">
        <v>440</v>
      </c>
    </row>
    <row r="76" spans="2:3" ht="14" x14ac:dyDescent="0.3">
      <c r="B76" s="4" t="s">
        <v>441</v>
      </c>
      <c r="C76" t="s">
        <v>442</v>
      </c>
    </row>
    <row r="77" spans="2:3" ht="14" x14ac:dyDescent="0.3">
      <c r="B77" s="4" t="s">
        <v>443</v>
      </c>
      <c r="C77" t="s">
        <v>444</v>
      </c>
    </row>
    <row r="78" spans="2:3" ht="14" x14ac:dyDescent="0.3">
      <c r="B78" s="4" t="s">
        <v>445</v>
      </c>
      <c r="C78" t="s">
        <v>446</v>
      </c>
    </row>
    <row r="79" spans="2:3" ht="14" x14ac:dyDescent="0.3">
      <c r="B79" s="4" t="s">
        <v>447</v>
      </c>
      <c r="C79" t="s">
        <v>448</v>
      </c>
    </row>
    <row r="80" spans="2:3" ht="14" x14ac:dyDescent="0.3">
      <c r="B80" s="4" t="s">
        <v>449</v>
      </c>
      <c r="C80" t="s">
        <v>450</v>
      </c>
    </row>
    <row r="81" spans="2:3" ht="14" x14ac:dyDescent="0.3">
      <c r="B81" s="4" t="s">
        <v>451</v>
      </c>
      <c r="C81" t="s">
        <v>452</v>
      </c>
    </row>
    <row r="82" spans="2:3" ht="14" x14ac:dyDescent="0.3">
      <c r="B82" s="4" t="s">
        <v>453</v>
      </c>
      <c r="C82" t="s">
        <v>454</v>
      </c>
    </row>
    <row r="83" spans="2:3" ht="14" x14ac:dyDescent="0.3">
      <c r="B83" s="4" t="s">
        <v>455</v>
      </c>
      <c r="C83" t="s">
        <v>456</v>
      </c>
    </row>
    <row r="84" spans="2:3" ht="14" x14ac:dyDescent="0.3">
      <c r="B84" s="4" t="s">
        <v>457</v>
      </c>
      <c r="C84" t="s">
        <v>402</v>
      </c>
    </row>
    <row r="85" spans="2:3" ht="14" x14ac:dyDescent="0.3">
      <c r="B85" s="4" t="s">
        <v>458</v>
      </c>
      <c r="C85" t="s">
        <v>459</v>
      </c>
    </row>
    <row r="86" spans="2:3" ht="14" x14ac:dyDescent="0.3">
      <c r="B86" s="4" t="s">
        <v>460</v>
      </c>
      <c r="C86" t="s">
        <v>461</v>
      </c>
    </row>
    <row r="87" spans="2:3" ht="14" x14ac:dyDescent="0.3">
      <c r="B87" s="4" t="s">
        <v>462</v>
      </c>
      <c r="C87" t="s">
        <v>463</v>
      </c>
    </row>
    <row r="88" spans="2:3" ht="14" x14ac:dyDescent="0.3">
      <c r="B88" s="4" t="s">
        <v>464</v>
      </c>
      <c r="C88" t="s">
        <v>465</v>
      </c>
    </row>
    <row r="89" spans="2:3" ht="14" x14ac:dyDescent="0.3">
      <c r="B89" s="4" t="s">
        <v>466</v>
      </c>
      <c r="C89" t="s">
        <v>467</v>
      </c>
    </row>
    <row r="90" spans="2:3" ht="14" x14ac:dyDescent="0.3">
      <c r="B90" s="4" t="s">
        <v>468</v>
      </c>
      <c r="C90" t="s">
        <v>469</v>
      </c>
    </row>
    <row r="91" spans="2:3" ht="14" x14ac:dyDescent="0.3">
      <c r="B91" s="4" t="s">
        <v>470</v>
      </c>
      <c r="C91" t="s">
        <v>471</v>
      </c>
    </row>
    <row r="92" spans="2:3" ht="14" x14ac:dyDescent="0.3">
      <c r="B92" s="4" t="s">
        <v>472</v>
      </c>
      <c r="C92" t="s">
        <v>473</v>
      </c>
    </row>
    <row r="93" spans="2:3" ht="14" x14ac:dyDescent="0.3">
      <c r="B93" s="4" t="s">
        <v>474</v>
      </c>
      <c r="C93" t="s">
        <v>475</v>
      </c>
    </row>
    <row r="94" spans="2:3" ht="14" x14ac:dyDescent="0.3">
      <c r="B94" s="4" t="s">
        <v>476</v>
      </c>
      <c r="C94" t="s">
        <v>477</v>
      </c>
    </row>
    <row r="95" spans="2:3" ht="14" x14ac:dyDescent="0.3">
      <c r="B95" s="4" t="s">
        <v>478</v>
      </c>
      <c r="C95" t="s">
        <v>479</v>
      </c>
    </row>
    <row r="96" spans="2:3" ht="14" x14ac:dyDescent="0.3">
      <c r="B96" s="4" t="s">
        <v>480</v>
      </c>
      <c r="C96" t="s">
        <v>213</v>
      </c>
    </row>
  </sheetData>
  <phoneticPr fontId="8"/>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sheetPr>
  <dimension ref="B2:H121"/>
  <sheetViews>
    <sheetView workbookViewId="0">
      <pane xSplit="2" ySplit="5" topLeftCell="C6" activePane="bottomRight" state="frozen"/>
      <selection pane="topRight"/>
      <selection pane="bottomLeft"/>
      <selection pane="bottomRight"/>
    </sheetView>
  </sheetViews>
  <sheetFormatPr defaultRowHeight="13" x14ac:dyDescent="0.2"/>
  <cols>
    <col min="1" max="1" width="3" customWidth="1"/>
    <col min="2" max="2" width="36" customWidth="1"/>
    <col min="3" max="6" width="16" customWidth="1"/>
    <col min="7" max="7" width="46" customWidth="1"/>
  </cols>
  <sheetData>
    <row r="2" spans="2:7" ht="18" x14ac:dyDescent="0.4">
      <c r="B2" s="44" t="s">
        <v>481</v>
      </c>
    </row>
    <row r="3" spans="2:7" ht="14" x14ac:dyDescent="0.3">
      <c r="B3" s="45" t="s">
        <v>482</v>
      </c>
    </row>
    <row r="4" spans="2:7" ht="14" x14ac:dyDescent="0.3">
      <c r="B4" s="45" t="s">
        <v>483</v>
      </c>
    </row>
    <row r="5" spans="2:7" ht="14" x14ac:dyDescent="0.3">
      <c r="B5" s="45" t="s">
        <v>484</v>
      </c>
    </row>
    <row r="6" spans="2:7" ht="14" x14ac:dyDescent="0.3">
      <c r="B6" s="45" t="s">
        <v>485</v>
      </c>
    </row>
    <row r="8" spans="2:7" ht="14" x14ac:dyDescent="0.3">
      <c r="B8" s="46" t="s">
        <v>486</v>
      </c>
      <c r="C8" s="47"/>
      <c r="D8" s="47"/>
      <c r="E8" s="47"/>
      <c r="F8" s="47"/>
      <c r="G8" s="47"/>
    </row>
    <row r="9" spans="2:7" ht="14" x14ac:dyDescent="0.3">
      <c r="B9" s="48" t="s">
        <v>487</v>
      </c>
      <c r="C9" s="48" t="s">
        <v>488</v>
      </c>
      <c r="D9" s="48" t="s">
        <v>489</v>
      </c>
      <c r="E9" s="48" t="s">
        <v>490</v>
      </c>
      <c r="F9" s="48" t="s">
        <v>491</v>
      </c>
      <c r="G9" s="48" t="s">
        <v>211</v>
      </c>
    </row>
    <row r="10" spans="2:7" ht="14" x14ac:dyDescent="0.3">
      <c r="B10" s="43" t="s">
        <v>492</v>
      </c>
      <c r="C10" s="49">
        <v>2096.2199999999998</v>
      </c>
      <c r="D10" s="49">
        <v>5029.4799999999996</v>
      </c>
      <c r="E10" s="49">
        <v>2254.5</v>
      </c>
      <c r="F10" s="49">
        <v>3449.48</v>
      </c>
      <c r="G10" s="45" t="s">
        <v>493</v>
      </c>
    </row>
    <row r="11" spans="2:7" ht="14" x14ac:dyDescent="0.3">
      <c r="B11" s="43" t="s">
        <v>494</v>
      </c>
      <c r="C11" s="49">
        <v>260.2</v>
      </c>
      <c r="D11" s="49">
        <v>558.49</v>
      </c>
      <c r="E11" s="49">
        <v>322.27</v>
      </c>
      <c r="F11" s="49">
        <v>293.41000000000003</v>
      </c>
      <c r="G11" s="45" t="s">
        <v>495</v>
      </c>
    </row>
    <row r="12" spans="2:7" ht="14" x14ac:dyDescent="0.3">
      <c r="B12" s="4" t="s">
        <v>496</v>
      </c>
      <c r="C12" s="50">
        <f>SUM(C10:C11)</f>
        <v>2356.4199999999996</v>
      </c>
      <c r="D12" s="50">
        <f>SUM(D10:D11)</f>
        <v>5587.9699999999993</v>
      </c>
      <c r="E12" s="50">
        <f>SUM(E10:E11)</f>
        <v>2576.77</v>
      </c>
      <c r="F12" s="50">
        <f>SUM(F10:F11)</f>
        <v>3742.89</v>
      </c>
    </row>
    <row r="13" spans="2:7" ht="14" x14ac:dyDescent="0.3">
      <c r="B13" s="43" t="s">
        <v>497</v>
      </c>
      <c r="C13" s="51">
        <f>2356.42-C12</f>
        <v>0</v>
      </c>
      <c r="D13" s="51">
        <f>5587.97-D12</f>
        <v>0</v>
      </c>
      <c r="E13" s="51">
        <f>2576.77-E12</f>
        <v>0</v>
      </c>
      <c r="F13" s="51">
        <f>3742.89-F12</f>
        <v>0</v>
      </c>
      <c r="G13" s="45" t="s">
        <v>498</v>
      </c>
    </row>
    <row r="14" spans="2:7" ht="14" x14ac:dyDescent="0.3">
      <c r="B14" s="4" t="s">
        <v>499</v>
      </c>
      <c r="C14" s="52">
        <v>2356.42</v>
      </c>
      <c r="D14" s="52">
        <v>5587.97</v>
      </c>
      <c r="E14" s="52">
        <v>2576.77</v>
      </c>
      <c r="F14" s="52">
        <v>3742.89</v>
      </c>
      <c r="G14" s="45" t="s">
        <v>500</v>
      </c>
    </row>
    <row r="16" spans="2:7" ht="14" x14ac:dyDescent="0.3">
      <c r="B16" s="46" t="s">
        <v>501</v>
      </c>
      <c r="C16" s="47"/>
      <c r="D16" s="47"/>
      <c r="E16" s="47"/>
      <c r="F16" s="47"/>
      <c r="G16" s="47"/>
    </row>
    <row r="17" spans="2:7" ht="14" x14ac:dyDescent="0.3">
      <c r="B17" s="48" t="s">
        <v>487</v>
      </c>
      <c r="C17" s="48" t="s">
        <v>488</v>
      </c>
      <c r="D17" s="48" t="s">
        <v>489</v>
      </c>
      <c r="E17" s="48" t="s">
        <v>490</v>
      </c>
      <c r="F17" s="48" t="s">
        <v>491</v>
      </c>
      <c r="G17" s="48" t="s">
        <v>211</v>
      </c>
    </row>
    <row r="18" spans="2:7" ht="13.5" x14ac:dyDescent="0.25">
      <c r="B18" s="43" t="s">
        <v>492</v>
      </c>
      <c r="C18" s="49">
        <v>202</v>
      </c>
      <c r="D18" s="49">
        <v>574.04</v>
      </c>
      <c r="E18" s="49">
        <v>313.33</v>
      </c>
      <c r="F18" s="49">
        <v>900.28</v>
      </c>
    </row>
    <row r="19" spans="2:7" ht="13.5" x14ac:dyDescent="0.25">
      <c r="B19" s="43" t="s">
        <v>494</v>
      </c>
      <c r="C19" s="49">
        <v>-30.21</v>
      </c>
      <c r="D19" s="49">
        <v>74.989999999999995</v>
      </c>
      <c r="E19" s="49">
        <v>79.53</v>
      </c>
      <c r="F19" s="49">
        <v>83.35</v>
      </c>
    </row>
    <row r="20" spans="2:7" ht="14" x14ac:dyDescent="0.3">
      <c r="B20" s="4" t="s">
        <v>502</v>
      </c>
      <c r="C20" s="50">
        <f>SUM(C18:C19)</f>
        <v>171.79</v>
      </c>
      <c r="D20" s="50">
        <f>SUM(D18:D19)</f>
        <v>649.03</v>
      </c>
      <c r="E20" s="50">
        <f>SUM(E18:E19)</f>
        <v>392.86</v>
      </c>
      <c r="F20" s="50">
        <f>SUM(F18:F19)</f>
        <v>983.63</v>
      </c>
    </row>
    <row r="21" spans="2:7" ht="13.5" x14ac:dyDescent="0.25">
      <c r="B21" s="43" t="s">
        <v>503</v>
      </c>
      <c r="C21" s="49">
        <v>-219.56</v>
      </c>
      <c r="D21" s="49">
        <v>-370.13</v>
      </c>
      <c r="E21" s="49">
        <v>-192.56</v>
      </c>
      <c r="F21" s="49">
        <v>-232.02</v>
      </c>
    </row>
    <row r="22" spans="2:7" ht="14" x14ac:dyDescent="0.3">
      <c r="B22" s="4" t="s">
        <v>504</v>
      </c>
      <c r="C22" s="53">
        <f>C20+C21</f>
        <v>-47.77000000000001</v>
      </c>
      <c r="D22" s="53">
        <f>D20+D21</f>
        <v>278.89999999999998</v>
      </c>
      <c r="E22" s="53">
        <f>E20+E21</f>
        <v>200.3</v>
      </c>
      <c r="F22" s="53">
        <f>F20+F21</f>
        <v>751.61</v>
      </c>
    </row>
    <row r="23" spans="2:7" ht="14" x14ac:dyDescent="0.3">
      <c r="B23" s="4" t="s">
        <v>505</v>
      </c>
      <c r="C23" s="54">
        <v>-47.77</v>
      </c>
      <c r="D23" s="54">
        <v>278.89999999999998</v>
      </c>
      <c r="E23" s="54">
        <v>200.31</v>
      </c>
      <c r="F23" s="54">
        <v>751.61</v>
      </c>
      <c r="G23" s="45" t="s">
        <v>506</v>
      </c>
    </row>
    <row r="24" spans="2:7" ht="14" x14ac:dyDescent="0.3">
      <c r="B24" s="4" t="s">
        <v>507</v>
      </c>
      <c r="C24" s="55">
        <f>C22-C23</f>
        <v>0</v>
      </c>
      <c r="D24" s="55">
        <f>D22-D23</f>
        <v>0</v>
      </c>
      <c r="E24" s="55">
        <f>E22-E23</f>
        <v>-9.9999999999909051E-3</v>
      </c>
      <c r="F24" s="55">
        <f>F22-F23</f>
        <v>0</v>
      </c>
      <c r="G24" s="45" t="s">
        <v>508</v>
      </c>
    </row>
    <row r="26" spans="2:7" ht="14" x14ac:dyDescent="0.3">
      <c r="B26" s="46" t="s">
        <v>509</v>
      </c>
      <c r="C26" s="47"/>
      <c r="D26" s="47"/>
      <c r="E26" s="47"/>
      <c r="F26" s="47"/>
      <c r="G26" s="47"/>
    </row>
    <row r="27" spans="2:7" ht="14" x14ac:dyDescent="0.3">
      <c r="B27" s="48" t="s">
        <v>487</v>
      </c>
      <c r="C27" s="48" t="s">
        <v>488</v>
      </c>
      <c r="D27" s="48" t="s">
        <v>489</v>
      </c>
      <c r="E27" s="48" t="s">
        <v>490</v>
      </c>
      <c r="F27" s="48" t="s">
        <v>491</v>
      </c>
      <c r="G27" s="48" t="s">
        <v>211</v>
      </c>
    </row>
    <row r="28" spans="2:7" ht="13.5" x14ac:dyDescent="0.25">
      <c r="B28" s="43" t="s">
        <v>492</v>
      </c>
      <c r="C28" s="56">
        <f t="shared" ref="C28:F29" si="0">IFERROR(C18/C10,"N/A")</f>
        <v>9.6363931266756367E-2</v>
      </c>
      <c r="D28" s="56">
        <f t="shared" si="0"/>
        <v>0.11413505968807909</v>
      </c>
      <c r="E28" s="56">
        <f t="shared" si="0"/>
        <v>0.13897981814149479</v>
      </c>
      <c r="F28" s="56">
        <f t="shared" si="0"/>
        <v>0.26099006227025523</v>
      </c>
    </row>
    <row r="29" spans="2:7" ht="13.5" x14ac:dyDescent="0.25">
      <c r="B29" s="43" t="s">
        <v>494</v>
      </c>
      <c r="C29" s="56">
        <f t="shared" si="0"/>
        <v>-0.11610299769408149</v>
      </c>
      <c r="D29" s="56">
        <f t="shared" si="0"/>
        <v>0.13427277122240325</v>
      </c>
      <c r="E29" s="56">
        <f t="shared" si="0"/>
        <v>0.24678064976572442</v>
      </c>
      <c r="F29" s="56">
        <f t="shared" si="0"/>
        <v>0.28407348079479222</v>
      </c>
    </row>
    <row r="30" spans="2:7" ht="14" x14ac:dyDescent="0.3">
      <c r="B30" s="4" t="s">
        <v>510</v>
      </c>
      <c r="C30" s="57">
        <f>IFERROR(C23/C14,"N/A")</f>
        <v>-2.0272277437808201E-2</v>
      </c>
      <c r="D30" s="57">
        <f>IFERROR(D23/D14,"N/A")</f>
        <v>4.991079050173855E-2</v>
      </c>
      <c r="E30" s="57">
        <f>IFERROR(E23/E14,"N/A")</f>
        <v>7.7736856607302937E-2</v>
      </c>
      <c r="F30" s="57">
        <f>IFERROR(F23/F14,"N/A")</f>
        <v>0.20081006922458317</v>
      </c>
    </row>
    <row r="32" spans="2:7" ht="14" x14ac:dyDescent="0.3">
      <c r="B32" s="46" t="s">
        <v>511</v>
      </c>
      <c r="C32" s="47"/>
      <c r="D32" s="47"/>
      <c r="E32" s="47"/>
      <c r="F32" s="47"/>
      <c r="G32" s="47"/>
    </row>
    <row r="33" spans="2:8" ht="14" x14ac:dyDescent="0.3">
      <c r="B33" s="48" t="s">
        <v>487</v>
      </c>
      <c r="C33" s="48" t="s">
        <v>488</v>
      </c>
      <c r="D33" s="48" t="s">
        <v>489</v>
      </c>
      <c r="E33" s="48" t="s">
        <v>490</v>
      </c>
      <c r="F33" s="48" t="s">
        <v>491</v>
      </c>
      <c r="G33" s="48" t="s">
        <v>211</v>
      </c>
    </row>
    <row r="34" spans="2:8" ht="13.5" x14ac:dyDescent="0.25">
      <c r="B34" s="43" t="s">
        <v>492</v>
      </c>
      <c r="C34" s="49">
        <v>72.099999999999994</v>
      </c>
      <c r="D34" s="49">
        <v>181.98</v>
      </c>
    </row>
    <row r="35" spans="2:8" ht="13.5" x14ac:dyDescent="0.25">
      <c r="B35" s="43" t="s">
        <v>494</v>
      </c>
      <c r="C35" s="49">
        <v>95.25</v>
      </c>
      <c r="D35" s="49">
        <v>161.75</v>
      </c>
    </row>
    <row r="36" spans="2:8" ht="14" x14ac:dyDescent="0.3">
      <c r="B36" s="4" t="s">
        <v>512</v>
      </c>
      <c r="C36" s="50">
        <f>SUM(C34:C35)</f>
        <v>167.35</v>
      </c>
      <c r="D36" s="50">
        <f>SUM(D34:D35)</f>
        <v>343.73</v>
      </c>
    </row>
    <row r="37" spans="2:8" ht="14" x14ac:dyDescent="0.3">
      <c r="B37" s="43" t="s">
        <v>513</v>
      </c>
      <c r="C37" s="49">
        <v>3.51</v>
      </c>
      <c r="D37" s="49">
        <v>4.03</v>
      </c>
      <c r="G37" s="45" t="s">
        <v>514</v>
      </c>
    </row>
    <row r="38" spans="2:8" ht="14" x14ac:dyDescent="0.3">
      <c r="B38" s="4" t="s">
        <v>504</v>
      </c>
      <c r="C38" s="53">
        <f>C36+C37</f>
        <v>170.85999999999999</v>
      </c>
      <c r="D38" s="53">
        <f>D36+D37</f>
        <v>347.76</v>
      </c>
    </row>
    <row r="39" spans="2:8" ht="14" x14ac:dyDescent="0.3">
      <c r="B39" s="4" t="s">
        <v>515</v>
      </c>
      <c r="C39" s="54">
        <v>170.86</v>
      </c>
      <c r="D39" s="54">
        <v>347.77</v>
      </c>
      <c r="E39" s="54">
        <v>197.4</v>
      </c>
      <c r="F39" s="54">
        <v>188.6</v>
      </c>
      <c r="G39" s="45" t="s">
        <v>516</v>
      </c>
    </row>
    <row r="40" spans="2:8" ht="14" x14ac:dyDescent="0.3">
      <c r="B40" s="4" t="s">
        <v>507</v>
      </c>
      <c r="C40" s="55">
        <f>C38-C39</f>
        <v>0</v>
      </c>
      <c r="D40" s="55">
        <f>D38-D39</f>
        <v>-9.9999999999909051E-3</v>
      </c>
      <c r="E40" s="55">
        <f>E38-E39</f>
        <v>-197.4</v>
      </c>
      <c r="F40" s="55">
        <f>F38-F39</f>
        <v>-188.6</v>
      </c>
      <c r="G40" s="45" t="s">
        <v>508</v>
      </c>
    </row>
    <row r="41" spans="2:8" ht="14" x14ac:dyDescent="0.3">
      <c r="B41" s="4" t="s">
        <v>517</v>
      </c>
      <c r="C41" s="54">
        <f>IFERROR(C23+C39,"N/A")</f>
        <v>123.09</v>
      </c>
      <c r="D41" s="54">
        <f>IFERROR(D23+D39,"N/A")</f>
        <v>626.66999999999996</v>
      </c>
      <c r="E41" s="54">
        <f>IFERROR(E23+E39,"N/A")</f>
        <v>397.71000000000004</v>
      </c>
      <c r="F41" s="54">
        <f>IFERROR(F23+F39,"N/A")</f>
        <v>940.21</v>
      </c>
      <c r="G41" s="45" t="s">
        <v>518</v>
      </c>
    </row>
    <row r="43" spans="2:8" ht="14" x14ac:dyDescent="0.3">
      <c r="B43" s="46" t="s">
        <v>519</v>
      </c>
      <c r="C43" s="47"/>
      <c r="D43" s="47"/>
      <c r="E43" s="47"/>
      <c r="F43" s="47"/>
      <c r="G43" s="47"/>
    </row>
    <row r="44" spans="2:8" ht="14" x14ac:dyDescent="0.3">
      <c r="B44" s="48" t="s">
        <v>520</v>
      </c>
      <c r="C44" s="48" t="s">
        <v>521</v>
      </c>
      <c r="D44" s="48" t="s">
        <v>522</v>
      </c>
      <c r="E44" s="48" t="s">
        <v>523</v>
      </c>
      <c r="F44" s="48" t="s">
        <v>524</v>
      </c>
      <c r="G44" s="48" t="s">
        <v>525</v>
      </c>
      <c r="H44" s="48" t="s">
        <v>211</v>
      </c>
    </row>
    <row r="45" spans="2:8" ht="14" x14ac:dyDescent="0.3">
      <c r="B45" s="4" t="s">
        <v>526</v>
      </c>
      <c r="C45" s="58">
        <v>2051</v>
      </c>
      <c r="D45" s="58">
        <v>3742.89</v>
      </c>
      <c r="E45" s="51">
        <f>D45-C45</f>
        <v>1691.8899999999999</v>
      </c>
      <c r="F45" s="59" t="s">
        <v>256</v>
      </c>
      <c r="G45" s="51" t="str">
        <f>IF(ISNUMBER(F45),F45-D45,"未入力")</f>
        <v>未入力</v>
      </c>
      <c r="H45" s="43" t="s">
        <v>527</v>
      </c>
    </row>
    <row r="46" spans="2:8" ht="14" x14ac:dyDescent="0.3">
      <c r="B46" s="4" t="s">
        <v>528</v>
      </c>
      <c r="C46" s="58">
        <v>496</v>
      </c>
      <c r="D46" s="58">
        <v>751.61</v>
      </c>
      <c r="E46" s="51">
        <f>D46-C46</f>
        <v>255.61</v>
      </c>
      <c r="F46" s="59" t="s">
        <v>256</v>
      </c>
      <c r="G46" s="51" t="str">
        <f>IF(ISNUMBER(F46),F46-D46,"未入力")</f>
        <v>未入力</v>
      </c>
      <c r="H46" s="43" t="s">
        <v>529</v>
      </c>
    </row>
    <row r="47" spans="2:8" ht="14" x14ac:dyDescent="0.3">
      <c r="B47" s="4" t="s">
        <v>530</v>
      </c>
      <c r="C47" s="56">
        <f>C46/C45</f>
        <v>0.24183325207215992</v>
      </c>
      <c r="D47" s="56">
        <f>D46/D45</f>
        <v>0.20081006922458317</v>
      </c>
      <c r="E47" s="60">
        <f>E46/E45</f>
        <v>0.15107956191005328</v>
      </c>
      <c r="F47" s="56" t="str">
        <f>IF(ISNUMBER(F45),F46/F45,"未入力")</f>
        <v>未入力</v>
      </c>
      <c r="G47" s="56" t="str">
        <f>IF(ISNUMBER(G45),G46/G45,"未入力")</f>
        <v>未入力</v>
      </c>
      <c r="H47" s="43" t="s">
        <v>531</v>
      </c>
    </row>
    <row r="48" spans="2:8" ht="14" x14ac:dyDescent="0.3">
      <c r="B48" s="4" t="s">
        <v>532</v>
      </c>
      <c r="C48" s="58">
        <v>1240</v>
      </c>
      <c r="D48" s="58">
        <v>2089.08</v>
      </c>
      <c r="E48" s="51">
        <f>D48-C48</f>
        <v>849.07999999999993</v>
      </c>
      <c r="F48" s="59" t="s">
        <v>256</v>
      </c>
      <c r="G48" s="51" t="str">
        <f>IF(ISNUMBER(F48),F48-D48,"未入力")</f>
        <v>未入力</v>
      </c>
      <c r="H48" s="43" t="s">
        <v>533</v>
      </c>
    </row>
    <row r="49" spans="2:8" ht="14" x14ac:dyDescent="0.3">
      <c r="B49" s="4" t="s">
        <v>534</v>
      </c>
      <c r="C49" s="58">
        <v>555</v>
      </c>
      <c r="D49" s="58">
        <v>900.28</v>
      </c>
      <c r="E49" s="51">
        <f>D49-C49</f>
        <v>345.28</v>
      </c>
      <c r="F49" s="59" t="s">
        <v>256</v>
      </c>
      <c r="G49" s="51" t="str">
        <f>IF(ISNUMBER(F49),F49-D49,"未入力")</f>
        <v>未入力</v>
      </c>
      <c r="H49" s="43" t="s">
        <v>535</v>
      </c>
    </row>
    <row r="50" spans="2:8" ht="14" x14ac:dyDescent="0.3">
      <c r="B50" s="4" t="s">
        <v>536</v>
      </c>
      <c r="C50" s="59" t="s">
        <v>256</v>
      </c>
      <c r="D50" s="59" t="s">
        <v>256</v>
      </c>
      <c r="E50" s="51">
        <f>E46*4</f>
        <v>1022.44</v>
      </c>
      <c r="F50" s="59" t="s">
        <v>256</v>
      </c>
      <c r="G50" s="51" t="str">
        <f>IF(ISNUMBER(G46),G46*4,"未入力")</f>
        <v>未入力</v>
      </c>
      <c r="H50" s="43" t="s">
        <v>537</v>
      </c>
    </row>
    <row r="51" spans="2:8" ht="14" x14ac:dyDescent="0.3">
      <c r="B51" s="4" t="s">
        <v>538</v>
      </c>
      <c r="C51" s="59" t="s">
        <v>256</v>
      </c>
      <c r="D51" s="51">
        <f>820-D46</f>
        <v>68.389999999999986</v>
      </c>
      <c r="E51" s="59" t="s">
        <v>256</v>
      </c>
      <c r="F51" s="51" t="str">
        <f>IF(ISNUMBER(F46),820-F46,"未入力")</f>
        <v>未入力</v>
      </c>
      <c r="G51" s="59" t="s">
        <v>256</v>
      </c>
      <c r="H51" s="43" t="s">
        <v>539</v>
      </c>
    </row>
    <row r="52" spans="2:8" ht="14" x14ac:dyDescent="0.3">
      <c r="B52" s="4" t="s">
        <v>540</v>
      </c>
      <c r="C52" s="56">
        <f>C46/820</f>
        <v>0.60487804878048779</v>
      </c>
      <c r="D52" s="56">
        <f>D46/820</f>
        <v>0.91659756097560974</v>
      </c>
      <c r="E52" s="56">
        <f>D45/6950</f>
        <v>0.53854532374100716</v>
      </c>
      <c r="F52" s="56" t="str">
        <f>IF(ISNUMBER(F46),F46/820,"未入力")</f>
        <v>未入力</v>
      </c>
      <c r="G52" s="59" t="s">
        <v>256</v>
      </c>
      <c r="H52" s="43" t="s">
        <v>541</v>
      </c>
    </row>
    <row r="53" spans="2:8" ht="45" customHeight="1" x14ac:dyDescent="0.3">
      <c r="B53" s="45" t="s">
        <v>542</v>
      </c>
    </row>
    <row r="55" spans="2:8" ht="14" x14ac:dyDescent="0.3">
      <c r="B55" s="46" t="s">
        <v>543</v>
      </c>
      <c r="C55" s="47"/>
      <c r="D55" s="47"/>
      <c r="E55" s="47"/>
      <c r="F55" s="47"/>
      <c r="G55" s="47"/>
    </row>
    <row r="56" spans="2:8" ht="14" x14ac:dyDescent="0.3">
      <c r="B56" s="48" t="s">
        <v>520</v>
      </c>
      <c r="C56" s="48" t="s">
        <v>544</v>
      </c>
      <c r="D56" s="48" t="s">
        <v>211</v>
      </c>
    </row>
    <row r="57" spans="2:8" ht="14" x14ac:dyDescent="0.3">
      <c r="B57" s="4" t="s">
        <v>545</v>
      </c>
      <c r="C57" s="51">
        <f>'Reverse DCF'!C8</f>
        <v>13955.42376</v>
      </c>
      <c r="D57" s="43" t="s">
        <v>546</v>
      </c>
    </row>
    <row r="58" spans="2:8" ht="14" x14ac:dyDescent="0.3">
      <c r="B58" s="4" t="s">
        <v>547</v>
      </c>
      <c r="C58" s="58">
        <v>3545</v>
      </c>
      <c r="D58" s="43" t="s">
        <v>548</v>
      </c>
    </row>
    <row r="59" spans="2:8" ht="14" x14ac:dyDescent="0.3">
      <c r="B59" s="4" t="s">
        <v>549</v>
      </c>
      <c r="C59" s="58">
        <v>-3795.3</v>
      </c>
      <c r="D59" s="43" t="s">
        <v>550</v>
      </c>
    </row>
    <row r="60" spans="2:8" ht="14" x14ac:dyDescent="0.3">
      <c r="B60" s="4" t="s">
        <v>551</v>
      </c>
      <c r="C60" s="58">
        <v>-251.7</v>
      </c>
      <c r="D60" s="43" t="s">
        <v>552</v>
      </c>
    </row>
    <row r="61" spans="2:8" ht="14" x14ac:dyDescent="0.3">
      <c r="B61" s="4" t="s">
        <v>553</v>
      </c>
      <c r="C61" s="53">
        <f>SUM(C57:C60)</f>
        <v>13453.423759999998</v>
      </c>
      <c r="D61" s="43" t="s">
        <v>554</v>
      </c>
    </row>
    <row r="62" spans="2:8" ht="14" x14ac:dyDescent="0.3">
      <c r="B62" s="4" t="s">
        <v>555</v>
      </c>
      <c r="C62" s="58">
        <v>2254.3000000000002</v>
      </c>
      <c r="D62" s="43" t="s">
        <v>556</v>
      </c>
    </row>
    <row r="63" spans="2:8" ht="14" x14ac:dyDescent="0.3">
      <c r="B63" s="4" t="s">
        <v>557</v>
      </c>
      <c r="C63" s="54">
        <f>C61-C62</f>
        <v>11199.123759999999</v>
      </c>
      <c r="D63" s="43" t="s">
        <v>558</v>
      </c>
    </row>
    <row r="64" spans="2:8" ht="14" x14ac:dyDescent="0.3">
      <c r="B64" s="4" t="s">
        <v>559</v>
      </c>
      <c r="C64" s="51">
        <f>'Reverse DCF'!C10-C63</f>
        <v>0</v>
      </c>
      <c r="D64" s="43" t="s">
        <v>560</v>
      </c>
    </row>
    <row r="65" spans="2:7" ht="14" x14ac:dyDescent="0.3">
      <c r="B65" s="4" t="s">
        <v>561</v>
      </c>
      <c r="C65" s="51">
        <f>C61-0.5*C62</f>
        <v>12326.273759999998</v>
      </c>
      <c r="D65" s="43" t="s">
        <v>562</v>
      </c>
    </row>
    <row r="66" spans="2:7" ht="14" x14ac:dyDescent="0.3">
      <c r="B66" s="4" t="s">
        <v>563</v>
      </c>
      <c r="C66" s="51">
        <f>C61*('Reverse DCF'!C11-'Reverse DCF'!C12)/(1-'Reverse DCF'!C13)</f>
        <v>2767.3020003131996</v>
      </c>
      <c r="D66" s="43" t="s">
        <v>564</v>
      </c>
    </row>
    <row r="67" spans="2:7" ht="14" x14ac:dyDescent="0.3">
      <c r="B67" s="4" t="s">
        <v>565</v>
      </c>
      <c r="C67" s="61">
        <f>'Reverse DCF'!C25</f>
        <v>2303.6037618131995</v>
      </c>
      <c r="D67" s="43" t="s">
        <v>566</v>
      </c>
    </row>
    <row r="68" spans="2:7" ht="14" x14ac:dyDescent="0.3">
      <c r="B68" s="4" t="s">
        <v>567</v>
      </c>
      <c r="C68" s="51">
        <f>C65*('Reverse DCF'!C11-'Reverse DCF'!C12)/(1-'Reverse DCF'!C13)</f>
        <v>2535.4528810631996</v>
      </c>
      <c r="D68" s="43" t="s">
        <v>568</v>
      </c>
    </row>
    <row r="69" spans="2:7" ht="14" x14ac:dyDescent="0.3">
      <c r="B69" s="4" t="s">
        <v>569</v>
      </c>
      <c r="C69" s="51">
        <f>(C61/(1-'Reverse DCF'!C13)-'Reverse DCF'!C14*'Reverse DCF'!F39)/'Reverse DCF'!F44</f>
        <v>3435.9635573132032</v>
      </c>
      <c r="D69" s="43" t="s">
        <v>570</v>
      </c>
    </row>
    <row r="70" spans="2:7" ht="14" x14ac:dyDescent="0.3">
      <c r="B70" s="4" t="s">
        <v>571</v>
      </c>
      <c r="C70" s="61">
        <f>'Reverse DCF'!F49</f>
        <v>2820.3826770307951</v>
      </c>
      <c r="D70" s="43" t="s">
        <v>566</v>
      </c>
    </row>
    <row r="71" spans="2:7" ht="14" x14ac:dyDescent="0.3">
      <c r="B71" s="4" t="s">
        <v>572</v>
      </c>
      <c r="C71" s="51">
        <f>(C65/(1-'Reverse DCF'!C13)-'Reverse DCF'!C14*'Reverse DCF'!F39)/'Reverse DCF'!F44</f>
        <v>3128.1731171719989</v>
      </c>
      <c r="D71" s="43" t="s">
        <v>568</v>
      </c>
    </row>
    <row r="72" spans="2:7" ht="14" x14ac:dyDescent="0.3">
      <c r="B72" s="4" t="s">
        <v>573</v>
      </c>
      <c r="C72" s="60">
        <f>C70/820</f>
        <v>3.4394910695497503</v>
      </c>
      <c r="D72" s="43" t="s">
        <v>574</v>
      </c>
    </row>
    <row r="73" spans="2:7" ht="14" x14ac:dyDescent="0.3">
      <c r="B73" s="4" t="s">
        <v>575</v>
      </c>
      <c r="C73" s="56">
        <f>C70/1022.4</f>
        <v>2.7585902553118107</v>
      </c>
      <c r="D73" s="43" t="s">
        <v>576</v>
      </c>
    </row>
    <row r="74" spans="2:7" ht="14" x14ac:dyDescent="0.3">
      <c r="B74" s="4" t="s">
        <v>577</v>
      </c>
      <c r="C74" s="56">
        <f>C69/820</f>
        <v>4.1901994601380528</v>
      </c>
      <c r="D74" s="43" t="s">
        <v>578</v>
      </c>
    </row>
    <row r="75" spans="2:7" ht="14" x14ac:dyDescent="0.3">
      <c r="B75" s="4" t="s">
        <v>579</v>
      </c>
      <c r="C75" s="56">
        <f>C71/820</f>
        <v>3.8148452648439011</v>
      </c>
      <c r="D75" s="43" t="s">
        <v>578</v>
      </c>
    </row>
    <row r="76" spans="2:7" ht="14" x14ac:dyDescent="0.3">
      <c r="B76" s="4" t="s">
        <v>580</v>
      </c>
      <c r="C76" s="56">
        <f>C67/820</f>
        <v>2.8092728802599995</v>
      </c>
      <c r="D76" s="43" t="s">
        <v>581</v>
      </c>
    </row>
    <row r="77" spans="2:7" ht="45" customHeight="1" x14ac:dyDescent="0.3">
      <c r="B77" s="45" t="s">
        <v>582</v>
      </c>
    </row>
    <row r="79" spans="2:7" ht="14" x14ac:dyDescent="0.3">
      <c r="B79" s="46" t="s">
        <v>583</v>
      </c>
      <c r="C79" s="47"/>
      <c r="D79" s="47"/>
      <c r="E79" s="47"/>
      <c r="F79" s="47"/>
      <c r="G79" s="47"/>
    </row>
    <row r="80" spans="2:7" ht="14" x14ac:dyDescent="0.3">
      <c r="B80" s="48" t="s">
        <v>520</v>
      </c>
      <c r="C80" s="48" t="s">
        <v>584</v>
      </c>
      <c r="D80" s="48" t="s">
        <v>585</v>
      </c>
      <c r="E80" s="48" t="s">
        <v>586</v>
      </c>
      <c r="F80" s="48" t="s">
        <v>211</v>
      </c>
    </row>
    <row r="81" spans="2:7" ht="14" x14ac:dyDescent="0.3">
      <c r="B81" s="4" t="s">
        <v>587</v>
      </c>
      <c r="C81" s="58">
        <v>1042.0999999999999</v>
      </c>
      <c r="D81" s="58">
        <v>1569.5</v>
      </c>
      <c r="E81" s="56">
        <f>D81/C81-1</f>
        <v>0.50609346511851072</v>
      </c>
      <c r="F81" s="43" t="s">
        <v>588</v>
      </c>
    </row>
    <row r="82" spans="2:7" ht="14" x14ac:dyDescent="0.3">
      <c r="B82" s="4" t="s">
        <v>589</v>
      </c>
      <c r="C82" s="51">
        <f>1644.9*12/7</f>
        <v>2819.8285714285716</v>
      </c>
      <c r="D82" s="58">
        <v>3895.1</v>
      </c>
      <c r="E82" s="56">
        <f>D82/C82-1</f>
        <v>0.38132510588282953</v>
      </c>
      <c r="F82" s="43" t="s">
        <v>590</v>
      </c>
    </row>
    <row r="83" spans="2:7" ht="14" x14ac:dyDescent="0.3">
      <c r="B83" s="4" t="s">
        <v>591</v>
      </c>
      <c r="C83" s="62">
        <f>C81/C82*365</f>
        <v>134.88993758485822</v>
      </c>
      <c r="D83" s="62">
        <f>D81/D82*365</f>
        <v>147.07388770506535</v>
      </c>
      <c r="E83" s="56">
        <f>D83/C83-1</f>
        <v>9.0325122380179756E-2</v>
      </c>
      <c r="F83" s="43" t="s">
        <v>592</v>
      </c>
    </row>
    <row r="84" spans="2:7" ht="14" x14ac:dyDescent="0.3">
      <c r="B84" s="4" t="s">
        <v>593</v>
      </c>
      <c r="C84" s="59" t="s">
        <v>256</v>
      </c>
      <c r="D84" s="59" t="s">
        <v>256</v>
      </c>
      <c r="E84" s="56">
        <f>(1+E82)*(1+E83)-1</f>
        <v>0.50609346511851094</v>
      </c>
      <c r="F84" s="43" t="s">
        <v>594</v>
      </c>
    </row>
    <row r="85" spans="2:7" ht="14" x14ac:dyDescent="0.3">
      <c r="B85" s="4" t="s">
        <v>595</v>
      </c>
      <c r="C85" s="59" t="s">
        <v>256</v>
      </c>
      <c r="D85" s="51">
        <f>C81*E82</f>
        <v>397.37889284049663</v>
      </c>
      <c r="E85" s="56">
        <f>D85/(D81-C81)</f>
        <v>0.75346775282612166</v>
      </c>
      <c r="F85" s="43" t="s">
        <v>596</v>
      </c>
    </row>
    <row r="86" spans="2:7" ht="14" x14ac:dyDescent="0.3">
      <c r="B86" s="4" t="s">
        <v>597</v>
      </c>
      <c r="C86" s="59" t="s">
        <v>256</v>
      </c>
      <c r="D86" s="51">
        <f>(D81-C81)-D85</f>
        <v>130.02110715950346</v>
      </c>
      <c r="E86" s="56">
        <f>D86/(D81-C81)</f>
        <v>0.24653224717387834</v>
      </c>
      <c r="F86" s="43" t="s">
        <v>598</v>
      </c>
    </row>
    <row r="87" spans="2:7" ht="14" x14ac:dyDescent="0.3">
      <c r="B87" s="4" t="s">
        <v>599</v>
      </c>
      <c r="C87" s="58">
        <v>5588</v>
      </c>
      <c r="D87" s="58">
        <v>5787</v>
      </c>
      <c r="E87" s="56">
        <f>D87/C87-1</f>
        <v>3.5612025769506062E-2</v>
      </c>
      <c r="F87" s="43" t="s">
        <v>600</v>
      </c>
    </row>
    <row r="88" spans="2:7" ht="14" x14ac:dyDescent="0.3">
      <c r="B88" s="4" t="s">
        <v>601</v>
      </c>
      <c r="C88" s="58">
        <v>3742.9</v>
      </c>
      <c r="D88" s="58">
        <v>4295</v>
      </c>
      <c r="E88" s="56">
        <f>D88/C88-1</f>
        <v>0.14750594458842081</v>
      </c>
      <c r="F88" s="43" t="s">
        <v>602</v>
      </c>
    </row>
    <row r="89" spans="2:7" ht="14" x14ac:dyDescent="0.3">
      <c r="B89" s="4" t="s">
        <v>603</v>
      </c>
      <c r="C89" s="58">
        <v>30.1</v>
      </c>
      <c r="D89" s="58">
        <v>71.2</v>
      </c>
      <c r="E89" s="56">
        <f>D89/C89-1</f>
        <v>1.3654485049833887</v>
      </c>
      <c r="F89" s="43" t="s">
        <v>604</v>
      </c>
    </row>
    <row r="90" spans="2:7" ht="14" x14ac:dyDescent="0.3">
      <c r="B90" s="4" t="s">
        <v>605</v>
      </c>
      <c r="C90" s="58">
        <v>1325.1</v>
      </c>
      <c r="D90" s="58">
        <v>2065.6</v>
      </c>
      <c r="E90" s="56">
        <f>D90/C90-1</f>
        <v>0.55882574900007542</v>
      </c>
      <c r="F90" s="43" t="s">
        <v>606</v>
      </c>
    </row>
    <row r="91" spans="2:7" ht="45" customHeight="1" x14ac:dyDescent="0.3">
      <c r="B91" s="45" t="s">
        <v>607</v>
      </c>
    </row>
    <row r="93" spans="2:7" ht="14" x14ac:dyDescent="0.3">
      <c r="B93" s="46" t="s">
        <v>608</v>
      </c>
      <c r="C93" s="47"/>
      <c r="D93" s="47"/>
      <c r="E93" s="47"/>
      <c r="F93" s="47"/>
      <c r="G93" s="47"/>
    </row>
    <row r="94" spans="2:7" ht="14" x14ac:dyDescent="0.3">
      <c r="B94" s="48" t="s">
        <v>520</v>
      </c>
      <c r="C94" s="48" t="s">
        <v>609</v>
      </c>
      <c r="D94" s="48" t="s">
        <v>35</v>
      </c>
      <c r="E94" s="48" t="s">
        <v>211</v>
      </c>
    </row>
    <row r="95" spans="2:7" ht="14" x14ac:dyDescent="0.3">
      <c r="B95" s="4" t="s">
        <v>610</v>
      </c>
      <c r="C95" s="58">
        <v>2307.9</v>
      </c>
      <c r="D95" s="59" t="s">
        <v>256</v>
      </c>
      <c r="E95" s="43" t="s">
        <v>611</v>
      </c>
    </row>
    <row r="96" spans="2:7" ht="14" x14ac:dyDescent="0.3">
      <c r="B96" s="4" t="s">
        <v>612</v>
      </c>
      <c r="C96" s="58">
        <v>751.61</v>
      </c>
      <c r="D96" s="58">
        <v>1236</v>
      </c>
      <c r="E96" s="43" t="s">
        <v>613</v>
      </c>
    </row>
    <row r="97" spans="2:7" ht="14" x14ac:dyDescent="0.3">
      <c r="B97" s="4" t="s">
        <v>614</v>
      </c>
      <c r="C97" s="58">
        <v>-1595.5</v>
      </c>
      <c r="D97" s="59" t="s">
        <v>256</v>
      </c>
      <c r="E97" s="43" t="s">
        <v>615</v>
      </c>
    </row>
    <row r="98" spans="2:7" ht="14" x14ac:dyDescent="0.3">
      <c r="B98" s="4" t="s">
        <v>616</v>
      </c>
      <c r="C98" s="51">
        <f>C95+C97-C96</f>
        <v>-39.209999999999923</v>
      </c>
      <c r="D98" s="58">
        <v>-78.400000000000006</v>
      </c>
      <c r="E98" s="43" t="s">
        <v>617</v>
      </c>
    </row>
    <row r="99" spans="2:7" ht="14" x14ac:dyDescent="0.3">
      <c r="B99" s="4" t="s">
        <v>618</v>
      </c>
      <c r="C99" s="53">
        <f>C96+C98</f>
        <v>712.40000000000009</v>
      </c>
      <c r="D99" s="53">
        <f>D96+D98</f>
        <v>1157.5999999999999</v>
      </c>
      <c r="E99" s="43" t="s">
        <v>619</v>
      </c>
    </row>
    <row r="100" spans="2:7" ht="14" x14ac:dyDescent="0.3">
      <c r="B100" s="4" t="s">
        <v>620</v>
      </c>
      <c r="C100" s="51">
        <f>-C99*0.3</f>
        <v>-213.72000000000003</v>
      </c>
      <c r="D100" s="51">
        <f>-D99*0.3</f>
        <v>-347.28</v>
      </c>
      <c r="E100" s="43" t="s">
        <v>621</v>
      </c>
    </row>
    <row r="101" spans="2:7" ht="14" x14ac:dyDescent="0.3">
      <c r="B101" s="4" t="s">
        <v>622</v>
      </c>
      <c r="C101" s="54">
        <f>C99+C100</f>
        <v>498.68000000000006</v>
      </c>
      <c r="D101" s="54">
        <f>D99+D100</f>
        <v>810.31999999999994</v>
      </c>
      <c r="E101" s="43" t="s">
        <v>623</v>
      </c>
    </row>
    <row r="102" spans="2:7" ht="14" x14ac:dyDescent="0.3">
      <c r="B102" s="4" t="s">
        <v>624</v>
      </c>
      <c r="C102" s="58">
        <v>1832.4</v>
      </c>
      <c r="D102" s="58">
        <v>1835</v>
      </c>
      <c r="E102" s="43" t="s">
        <v>625</v>
      </c>
    </row>
    <row r="103" spans="2:7" ht="14" x14ac:dyDescent="0.3">
      <c r="B103" s="4" t="s">
        <v>626</v>
      </c>
      <c r="C103" s="56">
        <f>1-C101/C102</f>
        <v>0.72785418030997595</v>
      </c>
      <c r="D103" s="56">
        <f>1-D101/D102</f>
        <v>0.55840871934604908</v>
      </c>
      <c r="E103" s="43" t="s">
        <v>627</v>
      </c>
    </row>
    <row r="104" spans="2:7" ht="14" x14ac:dyDescent="0.3">
      <c r="B104" s="4" t="s">
        <v>628</v>
      </c>
      <c r="C104" s="62">
        <f>C101*1000000/9121192</f>
        <v>54.67267874637438</v>
      </c>
      <c r="D104" s="62">
        <f>D101*1000000/9121192</f>
        <v>88.839265745091197</v>
      </c>
      <c r="E104" s="43" t="s">
        <v>629</v>
      </c>
    </row>
    <row r="105" spans="2:7" ht="45" customHeight="1" x14ac:dyDescent="0.3">
      <c r="B105" s="45" t="s">
        <v>630</v>
      </c>
    </row>
    <row r="107" spans="2:7" ht="14" x14ac:dyDescent="0.3">
      <c r="B107" s="46" t="s">
        <v>631</v>
      </c>
      <c r="C107" s="47"/>
      <c r="D107" s="47"/>
      <c r="E107" s="47"/>
      <c r="F107" s="47"/>
      <c r="G107" s="47"/>
    </row>
    <row r="108" spans="2:7" ht="14" x14ac:dyDescent="0.3">
      <c r="B108" s="48" t="s">
        <v>520</v>
      </c>
      <c r="C108" s="48" t="s">
        <v>632</v>
      </c>
      <c r="D108" s="48" t="s">
        <v>211</v>
      </c>
    </row>
    <row r="109" spans="2:7" ht="14" x14ac:dyDescent="0.3">
      <c r="B109" s="4" t="s">
        <v>633</v>
      </c>
      <c r="C109" s="63">
        <v>8912700</v>
      </c>
      <c r="D109" s="43" t="s">
        <v>634</v>
      </c>
    </row>
    <row r="110" spans="2:7" ht="14" x14ac:dyDescent="0.3">
      <c r="B110" s="4" t="s">
        <v>635</v>
      </c>
      <c r="C110" s="63">
        <v>104300</v>
      </c>
      <c r="D110" s="43" t="s">
        <v>636</v>
      </c>
    </row>
    <row r="111" spans="2:7" ht="14" x14ac:dyDescent="0.3">
      <c r="B111" s="4" t="s">
        <v>637</v>
      </c>
      <c r="C111" s="63">
        <v>160800</v>
      </c>
      <c r="D111" s="43" t="s">
        <v>638</v>
      </c>
    </row>
    <row r="112" spans="2:7" ht="14" x14ac:dyDescent="0.3">
      <c r="B112" s="4" t="s">
        <v>639</v>
      </c>
      <c r="C112" s="62">
        <f>C113-SUM(C109:C111)</f>
        <v>4900</v>
      </c>
      <c r="D112" s="43" t="s">
        <v>640</v>
      </c>
    </row>
    <row r="113" spans="2:4" ht="14" x14ac:dyDescent="0.3">
      <c r="B113" s="4" t="s">
        <v>641</v>
      </c>
      <c r="C113" s="63">
        <v>9182700</v>
      </c>
      <c r="D113" s="43" t="s">
        <v>642</v>
      </c>
    </row>
    <row r="114" spans="2:4" ht="14" x14ac:dyDescent="0.3">
      <c r="B114" s="4" t="s">
        <v>643</v>
      </c>
      <c r="C114" s="63">
        <v>-61508</v>
      </c>
      <c r="D114" s="43" t="s">
        <v>644</v>
      </c>
    </row>
    <row r="115" spans="2:4" ht="14" x14ac:dyDescent="0.3">
      <c r="B115" s="4" t="s">
        <v>645</v>
      </c>
      <c r="C115" s="64">
        <f>C113+C114</f>
        <v>9121192</v>
      </c>
      <c r="D115" s="43" t="s">
        <v>646</v>
      </c>
    </row>
    <row r="116" spans="2:4" ht="45" customHeight="1" x14ac:dyDescent="0.3">
      <c r="B116" s="45" t="s">
        <v>647</v>
      </c>
    </row>
    <row r="118" spans="2:4" ht="14" x14ac:dyDescent="0.3">
      <c r="B118" s="65" t="s">
        <v>648</v>
      </c>
    </row>
    <row r="119" spans="2:4" ht="14" x14ac:dyDescent="0.3">
      <c r="B119" s="45" t="s">
        <v>649</v>
      </c>
    </row>
    <row r="120" spans="2:4" ht="14" x14ac:dyDescent="0.3">
      <c r="B120" s="45" t="s">
        <v>650</v>
      </c>
    </row>
    <row r="121" spans="2:4" ht="14" x14ac:dyDescent="0.3">
      <c r="B121" s="45" t="s">
        <v>651</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Executive Summary</vt:lpstr>
      <vt:lpstr>Financial Statements</vt:lpstr>
      <vt:lpstr>DCF Model</vt:lpstr>
      <vt:lpstr>Reverse DCF</vt:lpstr>
      <vt:lpstr>NWC Schedule</vt:lpstr>
      <vt:lpstr>Comps Analysis</vt:lpstr>
      <vt:lpstr>Sensitivity Analysis</vt:lpstr>
      <vt:lpstr>Adjustments Log</vt:lpstr>
      <vt:lpstr>Segment Bridge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2026-09-14T01:51:25Z</dcterms:created>
  <dcterms:modified xsi:type="dcterms:W3CDTF">2026-09-14T03:05:18Z</dcterms:modified>
</cp:coreProperties>
</file>