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0432EB6D-4372-4D86-AC11-D2E891A9BEA9}" xr6:coauthVersionLast="47" xr6:coauthVersionMax="47" xr10:uidLastSave="{00000000-0000-0000-0000-000000000000}"/>
  <bookViews>
    <workbookView xWindow="9720" yWindow="5480" windowWidth="4820" windowHeight="46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0" i="6"/>
  <c r="N10" i="6"/>
  <c r="M10" i="6"/>
  <c r="L10" i="6"/>
  <c r="K10" i="6"/>
  <c r="J10" i="6"/>
  <c r="O9" i="6"/>
  <c r="N9" i="6"/>
  <c r="M9" i="6"/>
  <c r="L9" i="6"/>
  <c r="K9" i="6"/>
  <c r="J9" i="6"/>
  <c r="O8" i="6"/>
  <c r="N8" i="6"/>
  <c r="M8" i="6"/>
  <c r="L8" i="6"/>
  <c r="K8" i="6"/>
  <c r="J8" i="6"/>
  <c r="O7" i="6"/>
  <c r="N7" i="6"/>
  <c r="M7" i="6"/>
  <c r="L7" i="6"/>
  <c r="K7" i="6"/>
  <c r="J7" i="6"/>
  <c r="O6" i="6"/>
  <c r="I16" i="6" s="1"/>
  <c r="N6" i="6"/>
  <c r="M6" i="6"/>
  <c r="L6" i="6"/>
  <c r="K6" i="6"/>
  <c r="J6" i="6"/>
  <c r="O5" i="6"/>
  <c r="N5" i="6"/>
  <c r="D5" i="6"/>
  <c r="E5" i="6" s="1"/>
  <c r="C16" i="5"/>
  <c r="C14" i="5"/>
  <c r="C18" i="5" s="1"/>
  <c r="C7" i="5"/>
  <c r="C6" i="5"/>
  <c r="C5" i="5"/>
  <c r="C13" i="4"/>
  <c r="C12" i="4"/>
  <c r="C9" i="4"/>
  <c r="C7" i="4"/>
  <c r="C6" i="4"/>
  <c r="C8" i="4" s="1"/>
  <c r="D27" i="3"/>
  <c r="G5" i="5" s="1"/>
  <c r="C25" i="3"/>
  <c r="C24" i="3"/>
  <c r="C23" i="3"/>
  <c r="C26" i="3" s="1"/>
  <c r="F16" i="2"/>
  <c r="E16" i="2"/>
  <c r="D16" i="2"/>
  <c r="F15" i="2"/>
  <c r="E15" i="2"/>
  <c r="D15" i="2"/>
  <c r="F14" i="2"/>
  <c r="E14" i="2"/>
  <c r="D14" i="2"/>
  <c r="C14" i="2"/>
  <c r="F13" i="2"/>
  <c r="E13" i="2"/>
  <c r="D13" i="2"/>
  <c r="C13" i="2"/>
  <c r="F8" i="2"/>
  <c r="F9" i="2" s="1"/>
  <c r="E8" i="2"/>
  <c r="E9" i="2" s="1"/>
  <c r="D8" i="2"/>
  <c r="D9" i="2" s="1"/>
  <c r="C8" i="2"/>
  <c r="C9" i="2" s="1"/>
  <c r="D17" i="6" l="1"/>
  <c r="F15" i="6"/>
  <c r="H16" i="6"/>
  <c r="E15" i="6"/>
  <c r="C10" i="4"/>
  <c r="G15" i="6"/>
  <c r="F16" i="6"/>
  <c r="C28" i="6" s="1"/>
  <c r="C19" i="1" s="1"/>
  <c r="D19" i="1" s="1"/>
  <c r="H15" i="6"/>
  <c r="J5" i="6"/>
  <c r="K5" i="6"/>
  <c r="C3" i="7"/>
  <c r="G36" i="4"/>
  <c r="C11" i="4"/>
  <c r="G46" i="3"/>
  <c r="F36" i="4"/>
  <c r="F46" i="3"/>
  <c r="E36" i="4"/>
  <c r="D36" i="4"/>
  <c r="D46" i="3"/>
  <c r="C46" i="3"/>
  <c r="E46" i="3"/>
  <c r="H36" i="4"/>
  <c r="C24" i="4"/>
  <c r="C25" i="4" s="1"/>
  <c r="C71" i="4"/>
  <c r="C70" i="4"/>
  <c r="C30" i="3"/>
  <c r="C33" i="3" s="1"/>
  <c r="F31" i="3"/>
  <c r="H5" i="5"/>
  <c r="D7" i="5"/>
  <c r="I15" i="6"/>
  <c r="E17" i="6"/>
  <c r="I6" i="7"/>
  <c r="D30" i="3"/>
  <c r="G31" i="3"/>
  <c r="E7" i="5"/>
  <c r="L5" i="6"/>
  <c r="D16" i="6"/>
  <c r="F17" i="6"/>
  <c r="C17" i="7"/>
  <c r="G6" i="5"/>
  <c r="E30" i="3"/>
  <c r="C32" i="3"/>
  <c r="D6" i="5"/>
  <c r="F7" i="5"/>
  <c r="M5" i="6"/>
  <c r="E16" i="6"/>
  <c r="G17" i="6"/>
  <c r="C6" i="7"/>
  <c r="D17" i="7"/>
  <c r="C31" i="3"/>
  <c r="F30" i="3"/>
  <c r="D32" i="3"/>
  <c r="E6" i="5"/>
  <c r="G7" i="5"/>
  <c r="D15" i="6"/>
  <c r="H17" i="6"/>
  <c r="D6" i="7"/>
  <c r="E17" i="7"/>
  <c r="G30" i="3"/>
  <c r="E32" i="3"/>
  <c r="D5" i="5"/>
  <c r="F6" i="5"/>
  <c r="H7" i="5"/>
  <c r="G16" i="6"/>
  <c r="I17" i="6"/>
  <c r="E6" i="7"/>
  <c r="F17" i="7"/>
  <c r="F32" i="3"/>
  <c r="E5" i="5"/>
  <c r="F6" i="7"/>
  <c r="G17" i="7"/>
  <c r="D31" i="3"/>
  <c r="G32" i="3"/>
  <c r="F5" i="5"/>
  <c r="H6" i="5"/>
  <c r="G6" i="7"/>
  <c r="H17" i="7"/>
  <c r="E31" i="3"/>
  <c r="F43" i="4" l="1"/>
  <c r="F46" i="4"/>
  <c r="F44" i="4"/>
  <c r="F38" i="4"/>
  <c r="F48" i="4" s="1"/>
  <c r="F53" i="4" s="1"/>
  <c r="F41" i="4"/>
  <c r="F45" i="4"/>
  <c r="F40" i="4"/>
  <c r="F39" i="4"/>
  <c r="H40" i="4"/>
  <c r="H44" i="4"/>
  <c r="H41" i="4"/>
  <c r="H38" i="4"/>
  <c r="H45" i="4"/>
  <c r="H39" i="4"/>
  <c r="H43" i="4"/>
  <c r="H46" i="4"/>
  <c r="C27" i="6"/>
  <c r="C18" i="1" s="1"/>
  <c r="D18" i="1" s="1"/>
  <c r="C74" i="4"/>
  <c r="C29" i="4"/>
  <c r="C27" i="4"/>
  <c r="C26" i="4"/>
  <c r="B31" i="1"/>
  <c r="B24" i="1"/>
  <c r="G46" i="4"/>
  <c r="G40" i="4"/>
  <c r="G44" i="4"/>
  <c r="G38" i="4"/>
  <c r="G41" i="4"/>
  <c r="G45" i="4"/>
  <c r="G39" i="4"/>
  <c r="G49" i="4" s="1"/>
  <c r="G54" i="4" s="1"/>
  <c r="G43" i="4"/>
  <c r="B13" i="7"/>
  <c r="B12" i="7"/>
  <c r="B11" i="7"/>
  <c r="B10" i="7"/>
  <c r="B9" i="7"/>
  <c r="B8" i="7"/>
  <c r="B7" i="7"/>
  <c r="B24" i="7"/>
  <c r="B23" i="7"/>
  <c r="B22" i="7"/>
  <c r="B21" i="7"/>
  <c r="B20" i="7"/>
  <c r="B19" i="7"/>
  <c r="B18" i="7"/>
  <c r="D45" i="4"/>
  <c r="D39" i="4"/>
  <c r="D49" i="4" s="1"/>
  <c r="D54" i="4" s="1"/>
  <c r="D46" i="4"/>
  <c r="D40" i="4"/>
  <c r="D44" i="4"/>
  <c r="D43" i="4"/>
  <c r="D38" i="4"/>
  <c r="D48" i="4" s="1"/>
  <c r="D53" i="4" s="1"/>
  <c r="D41" i="4"/>
  <c r="C42" i="3"/>
  <c r="C34" i="3"/>
  <c r="D10" i="5" s="1"/>
  <c r="C37" i="3"/>
  <c r="D9" i="5"/>
  <c r="D12" i="5" s="1"/>
  <c r="D33" i="3"/>
  <c r="E39" i="4"/>
  <c r="E43" i="4"/>
  <c r="E46" i="4"/>
  <c r="E40" i="4"/>
  <c r="E50" i="4" s="1"/>
  <c r="E55" i="4" s="1"/>
  <c r="E44" i="4"/>
  <c r="E38" i="4"/>
  <c r="E48" i="4" s="1"/>
  <c r="E53" i="4" s="1"/>
  <c r="E41" i="4"/>
  <c r="E45" i="4"/>
  <c r="F50" i="4" l="1"/>
  <c r="F55" i="4" s="1"/>
  <c r="H51" i="4"/>
  <c r="H56" i="4" s="1"/>
  <c r="D50" i="4"/>
  <c r="D55" i="4" s="1"/>
  <c r="G50" i="4"/>
  <c r="G55" i="4" s="1"/>
  <c r="F49" i="4"/>
  <c r="D15" i="5"/>
  <c r="D16" i="5" s="1"/>
  <c r="D13" i="5"/>
  <c r="D14" i="5" s="1"/>
  <c r="D18" i="5" s="1"/>
  <c r="D19" i="5" s="1"/>
  <c r="C44" i="3" s="1"/>
  <c r="H49" i="4"/>
  <c r="H54" i="4" s="1"/>
  <c r="E9" i="5"/>
  <c r="E12" i="5" s="1"/>
  <c r="D37" i="3"/>
  <c r="D42" i="3"/>
  <c r="E33" i="3"/>
  <c r="D34" i="3"/>
  <c r="E10" i="5" s="1"/>
  <c r="G48" i="4"/>
  <c r="G53" i="4" s="1"/>
  <c r="F51" i="4"/>
  <c r="F56" i="4" s="1"/>
  <c r="D51" i="4"/>
  <c r="D56" i="4" s="1"/>
  <c r="E49" i="4"/>
  <c r="E54" i="4" s="1"/>
  <c r="G51" i="4"/>
  <c r="G56" i="4" s="1"/>
  <c r="E51" i="4"/>
  <c r="E56" i="4" s="1"/>
  <c r="H48" i="4"/>
  <c r="H53" i="4" s="1"/>
  <c r="C35" i="3"/>
  <c r="H50" i="4"/>
  <c r="H55" i="4" s="1"/>
  <c r="F54" i="4" l="1"/>
  <c r="C60" i="4"/>
  <c r="B78" i="4"/>
  <c r="C36" i="3"/>
  <c r="C39" i="3"/>
  <c r="C38" i="3"/>
  <c r="E13" i="5"/>
  <c r="E14" i="5" s="1"/>
  <c r="E15" i="5"/>
  <c r="E16" i="5" s="1"/>
  <c r="F9" i="5"/>
  <c r="F12" i="5" s="1"/>
  <c r="E42" i="3"/>
  <c r="E34" i="3"/>
  <c r="F10" i="5" s="1"/>
  <c r="E37" i="3"/>
  <c r="E35" i="3"/>
  <c r="F33" i="3"/>
  <c r="D35" i="3"/>
  <c r="E18" i="5" l="1"/>
  <c r="E19" i="5" s="1"/>
  <c r="D44" i="3" s="1"/>
  <c r="E39" i="3"/>
  <c r="E38" i="3"/>
  <c r="E36" i="3"/>
  <c r="F42" i="3"/>
  <c r="F34" i="3"/>
  <c r="G10" i="5" s="1"/>
  <c r="F37" i="3"/>
  <c r="F35" i="3"/>
  <c r="G33" i="3"/>
  <c r="G9" i="5"/>
  <c r="G12" i="5" s="1"/>
  <c r="C40" i="3"/>
  <c r="C41" i="3" s="1"/>
  <c r="C45" i="3" s="1"/>
  <c r="C65" i="4"/>
  <c r="D65" i="4" s="1"/>
  <c r="C64" i="4"/>
  <c r="D64" i="4" s="1"/>
  <c r="C67" i="4"/>
  <c r="D67" i="4" s="1"/>
  <c r="C63" i="4"/>
  <c r="D63" i="4" s="1"/>
  <c r="C66" i="4"/>
  <c r="D66" i="4" s="1"/>
  <c r="D36" i="3"/>
  <c r="D39" i="3"/>
  <c r="D38" i="3"/>
  <c r="F13" i="5"/>
  <c r="F14" i="5" s="1"/>
  <c r="F15" i="5"/>
  <c r="F16" i="5" s="1"/>
  <c r="F18" i="5" l="1"/>
  <c r="F19" i="5" s="1"/>
  <c r="E44" i="3" s="1"/>
  <c r="C47" i="3"/>
  <c r="E40" i="3"/>
  <c r="E41" i="3" s="1"/>
  <c r="E45" i="3" s="1"/>
  <c r="E47" i="3" s="1"/>
  <c r="G37" i="3"/>
  <c r="C16" i="4"/>
  <c r="C28" i="4" s="1"/>
  <c r="H9" i="5"/>
  <c r="H12" i="5" s="1"/>
  <c r="G42" i="3"/>
  <c r="G34" i="3"/>
  <c r="H10" i="5" s="1"/>
  <c r="F38" i="3"/>
  <c r="F36" i="3"/>
  <c r="F39" i="3"/>
  <c r="G13" i="5"/>
  <c r="G14" i="5" s="1"/>
  <c r="G15" i="5"/>
  <c r="G16" i="5" s="1"/>
  <c r="D40" i="3"/>
  <c r="D41" i="3"/>
  <c r="D45" i="3" s="1"/>
  <c r="D47" i="3" s="1"/>
  <c r="G18" i="5" l="1"/>
  <c r="G19" i="5" s="1"/>
  <c r="F44" i="3" s="1"/>
  <c r="H15" i="5"/>
  <c r="H16" i="5" s="1"/>
  <c r="H13" i="5"/>
  <c r="H14" i="5" s="1"/>
  <c r="H18" i="5" s="1"/>
  <c r="H19" i="5" s="1"/>
  <c r="G44" i="3" s="1"/>
  <c r="C72" i="4"/>
  <c r="C73" i="4"/>
  <c r="F40" i="3"/>
  <c r="F41" i="3" s="1"/>
  <c r="F45" i="3" s="1"/>
  <c r="G35" i="3"/>
  <c r="F47" i="3" l="1"/>
  <c r="G38" i="3"/>
  <c r="G36" i="3"/>
  <c r="G39" i="3"/>
  <c r="G40" i="3" l="1"/>
  <c r="C59" i="3"/>
  <c r="C60" i="3" s="1"/>
  <c r="C61" i="3" s="1"/>
  <c r="G41" i="3"/>
  <c r="G45" i="3" s="1"/>
  <c r="C51" i="3" l="1"/>
  <c r="C52" i="3" s="1"/>
  <c r="G47" i="3"/>
  <c r="C50" i="3" s="1"/>
  <c r="F10" i="7"/>
  <c r="H9" i="7"/>
  <c r="D8" i="7"/>
  <c r="D13" i="7"/>
  <c r="G11" i="7"/>
  <c r="G8" i="7"/>
  <c r="H20" i="7"/>
  <c r="C13" i="7"/>
  <c r="C23" i="7"/>
  <c r="C20" i="7"/>
  <c r="H19" i="7"/>
  <c r="E7" i="7"/>
  <c r="G20" i="7"/>
  <c r="I23" i="7"/>
  <c r="I7" i="7"/>
  <c r="C11" i="7"/>
  <c r="G7" i="7"/>
  <c r="C12" i="7"/>
  <c r="F13" i="7"/>
  <c r="E11" i="7"/>
  <c r="C10" i="7"/>
  <c r="E18" i="7"/>
  <c r="C22" i="7"/>
  <c r="E12" i="7"/>
  <c r="I20" i="7"/>
  <c r="I19" i="7"/>
  <c r="G23" i="7"/>
  <c r="D12" i="7"/>
  <c r="E24" i="7"/>
  <c r="E10" i="7"/>
  <c r="F12" i="7"/>
  <c r="G10" i="7"/>
  <c r="D10" i="7"/>
  <c r="G9" i="7"/>
  <c r="I13" i="7"/>
  <c r="D21" i="7"/>
  <c r="G21" i="7"/>
  <c r="H8" i="7"/>
  <c r="H7" i="7"/>
  <c r="F9" i="7"/>
  <c r="F21" i="7"/>
  <c r="C24" i="7"/>
  <c r="I11" i="7"/>
  <c r="E21" i="7"/>
  <c r="I12" i="7"/>
  <c r="H22" i="7"/>
  <c r="E8" i="7"/>
  <c r="I9" i="7"/>
  <c r="D11" i="7"/>
  <c r="I22" i="7"/>
  <c r="F23" i="7"/>
  <c r="D18" i="7"/>
  <c r="I24" i="7"/>
  <c r="D23" i="7"/>
  <c r="F8" i="7"/>
  <c r="I18" i="7"/>
  <c r="I10" i="7"/>
  <c r="H13" i="7"/>
  <c r="F22" i="7"/>
  <c r="H11" i="7"/>
  <c r="E22" i="7"/>
  <c r="D22" i="7"/>
  <c r="I21" i="7"/>
  <c r="C9" i="7"/>
  <c r="F20" i="7"/>
  <c r="F11" i="7"/>
  <c r="F24" i="7"/>
  <c r="H24" i="7"/>
  <c r="E19" i="7"/>
  <c r="D9" i="7"/>
  <c r="G13" i="7"/>
  <c r="E20" i="7"/>
  <c r="C19" i="7"/>
  <c r="C18" i="7"/>
  <c r="I8" i="7"/>
  <c r="H21" i="7"/>
  <c r="G22" i="7"/>
  <c r="H18" i="7"/>
  <c r="H12" i="7"/>
  <c r="F7" i="7"/>
  <c r="C8" i="7"/>
  <c r="G18" i="7"/>
  <c r="G12" i="7"/>
  <c r="D7" i="7"/>
  <c r="F19" i="7"/>
  <c r="G24" i="7"/>
  <c r="D24" i="7"/>
  <c r="D19" i="7"/>
  <c r="H23" i="7"/>
  <c r="H10" i="7"/>
  <c r="C21" i="7"/>
  <c r="E23" i="7"/>
  <c r="E13" i="7"/>
  <c r="F18" i="7"/>
  <c r="E9" i="7"/>
  <c r="D20" i="7"/>
  <c r="C7" i="7"/>
  <c r="G19" i="7"/>
  <c r="C58" i="3" l="1"/>
  <c r="C62" i="3" s="1"/>
  <c r="C53" i="3"/>
  <c r="C17" i="4" l="1"/>
  <c r="C54" i="3"/>
  <c r="C55" i="3" s="1"/>
  <c r="C16" i="1" s="1"/>
  <c r="C63" i="3"/>
  <c r="C64" i="3" s="1"/>
  <c r="C17" i="1" s="1"/>
  <c r="C10" i="1" l="1"/>
  <c r="D17" i="1"/>
  <c r="D16" i="1"/>
  <c r="C21" i="1"/>
  <c r="C19" i="4"/>
  <c r="C20" i="4" s="1"/>
  <c r="B79" i="4" s="1"/>
  <c r="B29" i="1" l="1"/>
  <c r="C12" i="1"/>
  <c r="C11" i="1" s="1"/>
  <c r="B26" i="1" l="1"/>
</calcChain>
</file>

<file path=xl/sharedStrings.xml><?xml version="1.0" encoding="utf-8"?>
<sst xmlns="http://schemas.openxmlformats.org/spreadsheetml/2006/main" count="545" uniqueCount="421">
  <si>
    <t>DISCLAIMER: This is a sample analysis for demonstration purposes only. It does not constitute investment advice.</t>
  </si>
  <si>
    <t>パナソニックホールディングス (6752.T)</t>
  </si>
  <si>
    <t>Equity Research Report</t>
  </si>
  <si>
    <t>Company</t>
  </si>
  <si>
    <t>パナソニックホールディングス</t>
  </si>
  <si>
    <t>Ticker</t>
  </si>
  <si>
    <t>6752.T (TSE Prime)</t>
  </si>
  <si>
    <t>Sector</t>
  </si>
  <si>
    <t>電気機器</t>
  </si>
  <si>
    <t>Current Price</t>
  </si>
  <si>
    <t>Target Price (DCF Mid)</t>
  </si>
  <si>
    <t>Recommendation</t>
  </si>
  <si>
    <t>Upside / Downside</t>
  </si>
  <si>
    <t>Valuation Summary</t>
  </si>
  <si>
    <t>Methodology</t>
  </si>
  <si>
    <t>Implied Value (JPY)</t>
  </si>
  <si>
    <t>vs Current Price</t>
  </si>
  <si>
    <t>DCF - Perpetuity Growth [参考・Target不算入 — 追補5 §U]</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</si>
  <si>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</si>
  <si>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</si>
  <si>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</si>
  <si>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 ■【追補5 §U】型Bミッドサイクル正常化を適用して再生成した後もPGMとExitの乖離が 4.41倍 残ったため、§U の手順に従いどちらを正とするかを個別判断し、**PGM法を[参考]に降格して Target = Exit 単独**とした。PGM逆算のターミナルEV/EBITDAは 3.24倍 で、上場する事業会社が実際に取引される倍率の下限を大きく下回り、ターミナル価値として経験的に成立しない。一方の仮定Exit倍率 14.30倍(Peer中央値)は市場で観測される水準の内側にある。片方の脚が観測可能な範囲の外に出た場合は、内側にある脚を正とする。乖離の原因は本銘柄固有の洞察ではなく、永久成長率1.0%固定の単段階モデルが資本集約型(capex/D&amp;A が持続的に1.5倍超)を評価しきれないという既知のモデル上の限界である(バッチ後の2段階成長モデル導入課題として登録済み)。 ■【追補8 §AF】**本銘柄の Target は「相対評価（Peer倍率準拠）」である。** Target = Exit 単独であり、これは**内在価値としての判定ではなく、当社が Peer 並みの EV/EBITDA 倍率へ再評価されることに依存した判定**である。■**Reverse DCF の Block F を併記する場合の但し書き**: **Block F は PGM脚を基準に計算される**ため、Exit脚を採用した銘柄では Block F は構造的に Target と逆を向きやすい。Block F が Target と逆を指していても、それは矛盾ではなく『どちらの脚を採ったか』の帰結である。</t>
  </si>
  <si>
    <t>DCF Valuation Range (PGM - Exit)</t>
  </si>
  <si>
    <t>Key Investment Thesis</t>
  </si>
  <si>
    <t>The realised cost of debt in this model comes from the filings rather than an assumed spread, which matters because interest-bearing debt is twenty percent of revenue.</t>
  </si>
  <si>
    <t>Key Risks</t>
  </si>
  <si>
    <t>Revenue has fallen for two years while the margin also fell, so this is not a mix-shift story — the base-case recovery depends on the restructuring delivering.</t>
  </si>
  <si>
    <t>パナソニックホールディングス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</si>
  <si>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</si>
  <si>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</si>
  <si>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</si>
  <si>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</si>
  <si>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</si>
  <si>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</si>
  <si>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</si>
  <si>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</si>
  <si>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</si>
  <si>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</si>
  <si>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</si>
  <si>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</si>
  <si>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</si>
  <si>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</si>
  <si>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</si>
  <si>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</si>
  <si>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</si>
  <si>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</si>
  <si>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</si>
  <si>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</si>
  <si>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</si>
  <si>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</si>
  <si>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</si>
  <si>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</si>
  <si>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</si>
  <si>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</si>
  <si>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</si>
  <si>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3/4, Cash 4/4, Debt 0/4 — blank cells are years with no year-key match in the source data (verify against 決算短信 or set hist_ocf / hist_cash / hist_debt in overrides).</t>
  </si>
  <si>
    <t>DCF Valuation Model - パナソニックホールディングス</t>
  </si>
  <si>
    <t>Assumptions</t>
  </si>
  <si>
    <t>Capex / Revenue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</si>
  <si>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</si>
  <si>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</si>
  <si>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</si>
  <si>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</si>
  <si>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</si>
  <si>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</si>
  <si>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</si>
  <si>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</si>
  <si>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</si>
  <si>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</si>
  <si>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</si>
  <si>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</si>
  <si>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</si>
  <si>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</si>
  <si>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</si>
  <si>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</si>
  <si>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</si>
  <si>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</si>
  <si>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</si>
  <si>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</si>
  <si>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</si>
  <si>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</si>
  <si>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</si>
  <si>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</si>
  <si>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</si>
  <si>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</si>
  <si>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</si>
  <si>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</si>
  <si>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</si>
  <si>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</si>
  <si>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</si>
  <si>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</si>
  <si>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</si>
  <si>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</si>
  <si>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</si>
  <si>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</si>
  <si>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</si>
  <si>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</si>
  <si>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</si>
  <si>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</si>
  <si>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</si>
  <si>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</si>
  <si>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</si>
  <si>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</si>
  <si>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</si>
  <si>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</si>
  <si>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</si>
  <si>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</si>
  <si>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</si>
  <si>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</si>
  <si>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</si>
  <si>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</si>
  <si>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</si>
  <si>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</si>
  <si>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</si>
  <si>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</si>
  <si>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</si>
  <si>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</si>
  <si>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</si>
  <si>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</si>
  <si>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</si>
  <si>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</si>
  <si>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パナソニックホールディングス (6752.T)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</si>
  <si>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</si>
  <si>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</si>
  <si>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</si>
  <si>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</si>
  <si>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</si>
  <si>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</si>
  <si>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</si>
  <si>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</si>
  <si>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</si>
  <si>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(FY2025 actual)</t>
  </si>
  <si>
    <t>Terminal-year Revenue, active scenario (JPY mn)</t>
  </si>
  <si>
    <t>Base-case DCF Enterprise Value, PGM (JPY mn)</t>
  </si>
  <si>
    <t>Cycle-peak Operating Margin (FY2025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</si>
  <si>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</si>
  <si>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</si>
  <si>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</si>
  <si>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</si>
  <si>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</si>
  <si>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</si>
  <si>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FY2025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</si>
  <si>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</si>
  <si>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</si>
  <si>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</si>
  <si>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</si>
  <si>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</si>
  <si>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</si>
  <si>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</si>
  <si>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</si>
  <si>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</si>
  <si>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</si>
  <si>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</si>
  <si>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</si>
  <si>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</si>
  <si>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</si>
  <si>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</si>
  <si>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FY2025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</si>
  <si>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</si>
  <si>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</si>
  <si>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</si>
  <si>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</si>
  <si>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</si>
  <si>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</si>
  <si>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(FY2025)</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</si>
  <si>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</si>
  <si>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</si>
  <si>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</si>
  <si>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</si>
  <si>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</si>
  <si>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</si>
  <si>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</si>
  <si>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</si>
  <si>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パナソニックホールディングス</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</si>
  <si>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</si>
  <si>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</si>
  <si>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</si>
  <si>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</si>
  <si>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</si>
  <si>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</si>
  <si>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</si>
  <si>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</si>
  <si>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</si>
  <si>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</si>
  <si>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</si>
  <si>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</si>
  <si>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</si>
  <si>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</si>
  <si>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</si>
  <si>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</si>
  <si>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</si>
  <si>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</si>
  <si>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</si>
  <si>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2026-09-05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</si>
  <si>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</si>
  <si>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</si>
  <si>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</si>
  <si>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</si>
  <si>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</si>
  <si>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</si>
  <si>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</si>
  <si>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</si>
  <si>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</si>
  <si>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</si>
  <si>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</si>
  <si>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</si>
  <si>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</si>
  <si>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</si>
  <si>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Panasonic Holdings Corporation</t>
  </si>
  <si>
    <t>6752.T</t>
  </si>
  <si>
    <t>Hitachi, Ltd.</t>
  </si>
  <si>
    <t>6501.T</t>
  </si>
  <si>
    <t>Mitsubishi Electric Corporation</t>
  </si>
  <si>
    <t>6503.T</t>
  </si>
  <si>
    <t>Fujitsu Limited</t>
  </si>
  <si>
    <t>6702.T</t>
  </si>
  <si>
    <t>NEC Corporation</t>
  </si>
  <si>
    <t>6701.T</t>
  </si>
  <si>
    <t>Murata Manufacturing Co., Ltd.</t>
  </si>
  <si>
    <t>6981.T</t>
  </si>
  <si>
    <t>Statistics</t>
  </si>
  <si>
    <t>25th Percentile</t>
  </si>
  <si>
    <t>Median (50th)</t>
  </si>
  <si>
    <t>75th Percentile</t>
  </si>
  <si>
    <t>Implied Valuation for パナソニックホールディングス</t>
  </si>
  <si>
    <t>パナソニックホールディングス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</si>
  <si>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</si>
  <si>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</si>
  <si>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</si>
  <si>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</si>
  <si>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</si>
  <si>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</si>
  <si>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</si>
  <si>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</si>
  <si>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</si>
  <si>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</si>
  <si>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</si>
  <si>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</si>
  <si>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</si>
  <si>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</si>
  <si>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</si>
  <si>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パナソニックホールディングス</t>
  </si>
  <si>
    <t>日付</t>
  </si>
  <si>
    <t>セル</t>
  </si>
  <si>
    <t>変更内容</t>
  </si>
  <si>
    <t>理由</t>
  </si>
  <si>
    <t>元の値</t>
  </si>
  <si>
    <t>状態</t>
  </si>
  <si>
    <t>2026-09-05</t>
  </si>
  <si>
    <t>-</t>
  </si>
  <si>
    <t>Generated by pipeline on 2026-09-05 21:25, template rev c9b5dd9</t>
  </si>
  <si>
    <t>初期生成（手修正なし）</t>
  </si>
  <si>
    <t>generated</t>
  </si>
  <si>
    <t>DCF Model!C7</t>
  </si>
  <si>
    <t>Risk-Free Rate = 2.97%</t>
  </si>
  <si>
    <t>財務省 国債金利情報 jgbcm.csv 10年物 R8.9.3(2026-09-03) 2.966% を四捨五入。バッチ全銘柄共通の一次ソース。yfinance は日本国債利回りを返さないため使用しない。</t>
  </si>
  <si>
    <t>テンプレ既定 2.2%</t>
  </si>
  <si>
    <t>確定</t>
  </si>
  <si>
    <t>DCF Model!C9</t>
  </si>
  <si>
    <t>Equity Risk Premium = 6.5%</t>
  </si>
  <si>
    <t>バッチ共通の固定前提(v2 §1-3)。銘柄固有の調整はしていない。</t>
  </si>
  <si>
    <t>テンプレ既定 6.5%(同値)</t>
  </si>
  <si>
    <t>設計判断</t>
  </si>
  <si>
    <t>DCF Model!C10</t>
  </si>
  <si>
    <t>Size Premium = 1.0%</t>
  </si>
  <si>
    <t>時価総額バンドによる機械決定(&gt;3,000億円 -&gt; 1.0%)。当社時価総額 9,720,313百万円。■テンプレートの自動規則(&gt;=1兆円 -&gt; 0.0%、&gt;=1,000億円 -&gt; 1.5%)とは異なる値であり、明示指定で上書きしている。</t>
  </si>
  <si>
    <t>テンプレ自動値</t>
  </si>
  <si>
    <t>DCF Model!C8</t>
  </si>
  <si>
    <t>Beta = 0.85</t>
  </si>
  <si>
    <t>yfinance実測 **0.846** はテンプレのクランプ域 [0.6, 1.75] の**内側**のため素通し（置換なし）。</t>
  </si>
  <si>
    <t>yfinance実測 0.846</t>
  </si>
  <si>
    <t>DCF Model!C6</t>
  </si>
  <si>
    <t>Effective Tax Rate = 25%</t>
  </si>
  <si>
    <t>バッチ共通の既定値(v2 §1-3)。当社の実績税負担率を個別に検証したものではない。</t>
  </si>
  <si>
    <t>テンプレ既定 30%</t>
  </si>
  <si>
    <t>推定</t>
  </si>
  <si>
    <t>DCF Model!C11</t>
  </si>
  <si>
    <t>After-tax Cost of Debt = 1.99%(実績ベース)</t>
  </si>
  <si>
    <t>支払利息 41,998百万円 ÷ 平均有利子負債 ((1,568,243 + 1,603,197)/2 = 1,585,720) = 2.65%(税引前)、× (1 − 25%) = 1.99%（validate チェック17 PASS）。有利子負債が売上比20%あり Kd が WACC に一定の寄与をする。■出所は yfinance の Interest Expense で EDINET 有報の支払利息と未突合。</t>
  </si>
  <si>
    <t>テンプレ既定(推定値)</t>
  </si>
  <si>
    <t>推定(出所が二次ソース・要確認)</t>
  </si>
  <si>
    <t>DCF Model!C13</t>
  </si>
  <si>
    <t>Terminal Growth = 1.0%</t>
  </si>
  <si>
    <t>バッチ共通の固定前提(v2 §1-3)。</t>
  </si>
  <si>
    <t>テンプレ既定 2.0%</t>
  </si>
  <si>
    <t>DCF Model!C14</t>
  </si>
  <si>
    <t>Exit Multiple (EV/EBITDA) = 14.3x</t>
  </si>
  <si>
    <t>Peer 5社の実測EV/EBITDA中央値 14.33x。■**追補4 §Q の判定**: `batch/check_growth_premium.py` で機械判定した結果、**非該当**。（3条件のうち「仮定Exit倍率 &gt; 25倍」を満たさないため。Exit法は Target に算入されたまま） 自社の現在倍率 17.18x は算式に入れていない(市場価格への循環参照回避)。■マージン品質調整式はバッチ全体で棄却済み(EV/EBITDA が既に資本集約度を織り込むため、営業利益率による上方調整は資本集約型で逆方向に働く)。</t>
  </si>
  <si>
    <t>テンプレ既定 10.0x</t>
  </si>
  <si>
    <t>全体(型判定・プレスクリーン)</t>
  </si>
  <si>
    <t>**型B疑い(分母トラフ型)・要目視レビュー** として処理（初回生成の型A から追補5 §U により再分類）</t>
  </si>
  <si>
    <t>追補1 §B に従い、型判定の前に batch/prescreen.py で EDINET有報XBRL の金融事業専用科目(ForFinancialBusiness / Banking / Deposits / CallLoan / InstallmentReceivable 系)を機械チェックした。検出結果: **CLEAN**（金融事業専用科目は1件も検出されず）。追補2 §C が『金融子会社リスクが相対的に高い』と指摘した3銘柄の1つだったが、連結BSに金融事業専用科目は存在せず CLEAN。■**初回生成では赤字年がないことを理由に型A としたが、追補5 §U により型B疑いへ再分類した。**`batch/check_trough_artifact.py` の全件スキャン（done 39銘柄）で **本銘柄のみが §U シグネチャに該当**: (1) 直近OPM **2.61%** ≤ 観測窓p25 **3.22%**（直近が観測窓の最低＝サイクルの谷）、(2) WARN11 乖離 **4.31倍** &gt; 3.0倍、(3) 仮定Exit **14.30倍** ≤ 25倍（追補4 §Q 非該当）。■型Bの定義は『赤字年の有無』ではなく『**分母（利益）がサイクル上の異常水準にある**』ことであり、黒字でも直近が観測窓の谷にあれば型B疑いとして扱うのが §U の趣旨である。</t>
  </si>
  <si>
    <t>初回生成の型A判定</t>
  </si>
  <si>
    <t>設計判断(追補5 §U により訂正)</t>
  </si>
  <si>
    <t>Financial Statements / hist_* / 市場データ / net_debt / core_ebitda</t>
  </si>
  <si>
    <t>追補2 §F-2 + 追補3 §L + 追補2 §G の予防的補完を生成前適用</t>
  </si>
  <si>
    <t>【追補2 §F-2 / 追補3 §L の予防的補完（生成前適用・必須）】根本原因は scripts/generate_dcf.py:66 の _val(data_dict, key, default=0) が欠損値を None ではなく 0 に落とすこと。hist_years を直近4期に置換し hist_revenue / hist_operating_income / hist_net_income / hist_cogs / hist_sga を yfinance連結財務諸表から供給（配列長は全て4で hist_years と一致、契約遵守）。CF/BS 5系列は供給せず Step 4.6 の年度キー再マッピングに委ねる。hist_sga = 売上 − COGS − 営業利益 で逆算。current_price / shares_outstanding / net_debt / core_ebitda も予防的に明示指定（追補3 §L / 追補2 §G）。■**結果として初回生成で合格（リトライ0回）**。</t>
  </si>
  <si>
    <t>EDINET自動抽出値</t>
  </si>
  <si>
    <t>DCF Model!C5 / C18</t>
  </si>
  <si>
    <t>capex / D&amp;A 方式（**Y1 を一次ソース実績に差し替え**）</t>
  </si>
  <si>
    <t>capex_method=direct。■**追補5 §V-1 の再生成にあたり、Y1 capex を仮定値ではなく実績で置いた**: EDINET 有価証券報告書 **docID S100YETA**（FY2026/3、取得日 2026-09-05）の XBRL より `PurchaseOfPropertyPlantAndEquipmentInvCFIFRS` **622,955** + `PurchaseOfIntangibleAssetsInvCFIFRS` **73,063** = **696,018百万円**。■**検証**: 同2要素の前期(Prior1YearDuration)合計 772,332 + 91,038 = **863,370** が yfinance の FY2025/3 capex と**完全一致**し、同一定義であることを確認した（追補1 §D-3 の数値照合）。■実績 capex/D&amp;A 比は 0.97 → 1.62 → **2.13** → 1.72 と車載電池の能力投資で高止まり。投影 [680,000 / 620,000 / 560,000 / 505,000 / 466,000] で5年かけて逓減させ、ターミナル年 466,000 ÷ D&amp;A(Y5売上 8,876,935 × 5.0% = 443,847) = **1.050x** でレンジ[0.90,1.15]に収束。■**この逓減は会社が表明した計画ではなく本モデルの仮定である（推定）。**</t>
  </si>
  <si>
    <t>初回生成の仮定値 Y1 700,000(一次ソース未確認)</t>
  </si>
  <si>
    <t>推定(逓減パスは仮定・Y1のみ実績)</t>
  </si>
  <si>
    <t>Executive Summary(追補4 §Q 判定)</t>
  </si>
  <si>
    <t>**非該当** — Exit は Target に算入したまま</t>
  </si>
  <si>
    <t>batch/check_growth_premium.py による機械判定: WARN11乖離 4.31倍 / PGM逆算Exit 3.32倍 / 仮定Exit 14.30倍。3条件のうち「仮定Exit倍率 &gt; 25倍」を満たさないため §Q の降格は適用しない。■ただし PGM と Exit の乖離自体は存在しており、Target は点推定ではなくレンジの中点として読むこと。</t>
  </si>
  <si>
    <t>DCF Model シナリオ5本</t>
  </si>
  <si>
    <t>**追補5 §U / §4-4 のミッドサイクル正常化により全面再設計**（min 2.61 / p25 3.22 / med 3.81 / p75 4.35 / max 4.81 %）</t>
  </si>
  <si>
    <t>実績OPM(FY2023-FY2026): 3.43 → 4.20 → 4.81 → **2.61%**。**直近が観測窓の最低**。■【初回生成の設計と、それが §U に触れた理由】型A規則（直近 ≤ 中央値 → 中央値へ収束）で Base 到達OPM = 3.81% としたが、**Y1 を 2.9%（谷 2.61% とほぼ同水準）に置いており、明示予測期間の前半で谷の利益をそのまま資本化していた**。■【再生成の設計】§4-4 の型B規則に切り替え、**Base 到達OPM = ピークとトラフの中間 = (4.81 + 2.61)/2 = 3.71%**。パスは **谷の側からミッドサイクルへ decisively に回復** させる Y1 3.10 → 3.40 → 3.60 → 3.70 → **3.71%**。（§4-4 の『緩やかな正常化』はピーク側にいる場合の規定であり、谷側にいる型Bでは回復を織り込むのが正しい適用。）■Upside は型B規則 max(実績max 4.81, 直近+1.0pt = 3.61) = **4.81%**（サイクルピークの再現）へ5年で到達。■Downside 1 = min(p25 3.22, 直近 2.61) を下回る **1.90%**（谷が長期化するケース）。■Downside 2 は実績トラフ(2.61%)が直近実績そのものでトラフとして機能しないため、代替アーム（売上 −8% + OPM 1.2〜1.7%）を使用。■COGS% を直近実績 **68.6%** に固定し SGA% = 100% − COGS% − 目標OPM で逆算（Upside のみ 68.0%）。■**他銘柄からのシナリオ流用は一切していない。**</t>
  </si>
  <si>
    <t>初回生成のシナリオ(Base 到達 3.81% / Y1 2.9%)</t>
  </si>
  <si>
    <t>設計判断(追補5 §U)</t>
  </si>
  <si>
    <t>DCF Model Management シナリオ</t>
  </si>
  <si>
    <t>Management = Base と同一</t>
  </si>
  <si>
    <t>EDINET XBRL・TDnet短信のいずれからも会社業績予想を取得できなかった(生成ログ Step 3: 'No guidance data found')。v2 §7-2 に従い Management=Base で続行。■本バッチではここまで生成した全銘柄で同じ結果になっており、銘柄固有ではなくパイプラインの構造的な取得失敗である。</t>
  </si>
  <si>
    <t>フォールバック使用(会社予想未取得)</t>
  </si>
  <si>
    <t>DCF Model NWC(dso/dih/dpo)</t>
  </si>
  <si>
    <t>Base: DSO 59 / DIH 71 / DPO 68 日</t>
  </si>
  <si>
    <t>実績4期平均。DSO・DIH・DPO がほぼ均衡し運転資本は中立。</t>
  </si>
  <si>
    <t>Comps Analysis</t>
  </si>
  <si>
    <t>Peer 5社 = 6501 日立製作所 / 6503 三菱電機 / 6702 富士通 / 6701 NEC / 6981 村田製作所</t>
  </si>
  <si>
    <t>■選定理由: 総合電機・ITサービス・大型産業機械。■時価総額バンド（2.92〜29.2兆円）に採用5社すべてが収まる（バンド緩和は不要）。■海外Peer（Siemens / GE / IBM / Accenture 等）は v2 §5 により不使用。■D&amp;A取得状況: 全6社で減価償却費を取得でき統一。**D&amp;A欠損による除外はゼロ**（validate チェック12 PASS）。</t>
  </si>
  <si>
    <t>Executive Summary!C10 / C16 / Target</t>
  </si>
  <si>
    <t>**Target Price = 2,840円 = Exit 単独**（PGM 448円 は [参考・Target不算入] に降格）／ −31.8% / SELL</t>
  </si>
  <si>
    <t>【追補5 §U ステップ2 の個別判断】型Bミッドサイクル正常化で再生成した後も PGM 448円 と Exit 2,840円 の乖離が **4.41倍**（再生成前 4.31倍）残り、3.0倍以内に収斂しなかった。§U は『安易な中点平均を禁止』し『どちらを正とするか個別判断を記録した上で歪んだ脚を[参考]降格可』としているため、**PGM法を歪んだ脚と判断して降格し、Target = Exit 単独**とした。■**判断の根拠（なぜ PGM を降格したか）**: (1) PGM逆算のターミナル EV/EBITDA は **3.24倍**で、上場する事業会社が実際に取引される倍率の下限を大きく下回り、**ターミナル価値として経験的に成立しない**。一方 仮定Exit 14.30倍（Peer中央値）は観測される水準の内側にある。**片方の脚が観測可能な範囲の外に出た場合は、内側にある脚を正とする。** (2) 仮定Exit 14.30倍は独立に裏付けが取れる: 現在の時価総額9,720,293 + ネットデット833,018 = EV 10,553,311 をミッドサイクルEBITDA 773,181 で割ると **13.65倍**で、Peer中央値 14.30倍とほぼ一致する。(3) 乖離の原因は本銘柄固有の洞察ではなく、**永久成長率1.0%固定の単段階モデルが資本集約型を評価しきれないという既知のモデル上の限界**（本レポート §13 の構造的発見／追補4 §R で2段階成長モデルをバッチ後課題として登録済み）。モデルの既知の欠陥を銘柄固有の投資判断として出力してはならない。■**逆の選択（Exit降格）を採らなかった理由**: Target = PGM単独 448円（−89%）となり、追補5 §U 自身が『中点より悪い』と警告した状態に落ちるため。■**方向性は両脚で頑健**: Exit単独 2,840円（−31.8%）でも PGM単独 448円（−89%）でも判定は SELL で一致する。**モデル依存なのは下落幅であって方向ではない。** ■初回生成の Target 1,661円 および再生成直後の中点 1,644円 は、いずれも §U が禁じる『どちらの世界観にも属さない中点』であり**採用しない**。■降格処理は `batch/demote_dcf_leg.py --leg pgm` で機械適用（B16ラベル / C10数式 / B20注記の3点）。</t>
  </si>
  <si>
    <t>PGM 448円 と Exit 2,840円 の2本平均 1,644円</t>
  </si>
  <si>
    <t>設計判断(追補5 §U ステップ2)</t>
  </si>
  <si>
    <t>全体(納品状態)</t>
  </si>
  <si>
    <t>本ファイルは DRAFT。_FINAL は付けない</t>
  </si>
  <si>
    <t>バッチモードでの機械生成物であり人間の検証を経ていない。FINAL化は手順書v2 §6 に従い検証後に行う。</t>
  </si>
  <si>
    <t>DRAFT</t>
  </si>
  <si>
    <t>全体(追補5 §U の再判定結果)</t>
  </si>
  <si>
    <t>**乖離は収斂せず 4.31倍 → 4.41倍 に微増。§U の想定（谷アーティファクト）は本銘柄には当てはまらなかった**</t>
  </si>
  <si>
    <t>追補5 §U はミッドサイクル正常化により乖離が3.0倍以内に収斂することを期待していたが、再生成の結果 **4.31倍 → 4.41倍**とわずかに拡大した（Target 1,661円 → 中点 1,644円、変化は17円=1%）。■**なぜ効かなかったか**: 初回生成の Base は既に到達OPMを観測窓中央値 3.81% に置いており、**ターミナル年で谷の利益を資本化してはいなかった**。谷にあったのは明示予測期間前半（Y1 2.9%）だけで、ターミナル価値が支配的な DCF では Y1-Y2 の水準は結果をほとんど動かさない。§4-4 の型B規則に切り替えると到達OPMはむしろ 3.81% → 3.71% と下がるため、乖離は微増した。■**真の原因は資本集約度**（本ログ別項）: capex/D&amp;A が 1.7〜2.1倍で持続するため EBITDA と FCF が3倍以上開き、EBITDA倍率を使う Exit 法と FCF を永久還元する PGM 法が機械的に乖離する。■**この所見は追補5 §U への差し戻し報告事項**: §U の3条件は『分母トラフ』を検出するが、**乖離の原因が分母トラフであることまでは検証していない**。6752 は §U シグネチャに該当したが原因は別（資本集約度）だった。§U の判定条件に『capex/D&amp;A 比が持続的に1.5倍超なら資本集約型として別扱い』を加えることを提案する。</t>
  </si>
  <si>
    <t>未解決(ルールへの差し戻し提案)</t>
  </si>
  <si>
    <t>全体(未解決)</t>
  </si>
  <si>
    <t>車載電池の capex が売上比 10.2% まで上昇</t>
  </si>
  <si>
    <t>5年で半減させる仮定は会社計画ではない。北米の増設が続けば Target 1,661円 は成立しない。</t>
  </si>
  <si>
    <t>未解決</t>
  </si>
  <si>
    <t>自社倍率 17.18x が Peer 中央値 14.33x を上回るのはプレミアムではない</t>
  </si>
  <si>
    <t>直近の営業利益が観測窓の最低で EBITDA 分母が小さいことによる見かけ上の高倍率。**質の評価と読み違えないこと**。</t>
  </si>
  <si>
    <t>全体(追補5 §U 判定・要目視レビュー)</t>
  </si>
  <si>
    <t>**「型B疑い・要目視レビュー」フラグを立てる**</t>
  </si>
  <si>
    <t>追補5 §U により本銘柄は §U 該当（全 done 39銘柄中で唯一）。ミッドサイクル正常化を適用して再生成したが、**分母がサイクルの谷にある銘柄の Target は前提の置き方に対する感応度が高く、機械判定のみで確定させない。**スクリーナーのシグナルとして使う前に人手でのレビューを必須とする。■**初回生成の Target 1,661円 / −60.1%（PGM 459円 と Exit 2,863円 の単純中点）は『どちらの世界観にも属さない数値』であり、谷アーティファクトとして凍結・不使用とする**（追補5 §V-1）。</t>
  </si>
  <si>
    <t>全体(構造的所見・PGM と Exit の乖離の真因)</t>
  </si>
  <si>
    <t>乖離の主因は利益率の谷**だけではなく**、capex が D&amp;A の 1.7倍で持続する資本集約構造にある</t>
  </si>
  <si>
    <t>本銘柄の Y5 EBITDA は約 782,058百万円規模に対し FCF は約 231,505百万円規模で **3倍以上開く**。原因は D&amp;A が売上の約5.0%と大きい一方、車載電池の能力投資で capex が D&amp;A の 1.7〜2.1倍で持続していること。**EBITDA倍率を使う Exit 法（EBITDA を評価）と、FCF を永久還元する PGM 法（capex 控除後を評価）が機械的に乖離するのはこの資本集約度そのものが原因**であり、ミッドサイクル正常化で利益率の谷を是正しても乖離は完全には解消しない見込み。再生成後の WARN11 再判定の結果は本ログの別項に追記する。■この所見は 6752 固有ではなく、資本集約型（capex/D&amp;A が持続的に 1.5倍超）の銘柄に共通しうる。バッチ後の課題として『2段階成長モデル』(追補4 §R)と併せて登録する。</t>
  </si>
  <si>
    <t>設計判断・未解決</t>
  </si>
  <si>
    <t>Executive Summary!B16 / B20（手順書§6-4 の除外注記）</t>
  </si>
  <si>
    <t>PGM行のラベルに `[参考・Target不算入 — 追補5 §U]` を付し、B20 に銘柄固有の除外理由文を追記した</t>
  </si>
  <si>
    <t>手順書§6-4 は『Targetから除外した手法は、その銘柄固有の理由を Exec Summary の注記に明記する』ことを求めている。テンプレート既定の総称文（Comps 2法の除外理由）だけでは PGM 降格の理由が読み取れないため、`batch/demote_dcf_leg.py` が追補5 §U の判断根拠を1文で追記した（追補2 §H で 4188 について指摘された不備の再発防止）。■手順書§5-5 に従いラベルは `=` で始まらないことをスクリプト内で assert している。</t>
  </si>
  <si>
    <t>テンプレート既定の総称注記のみ</t>
  </si>
  <si>
    <t>Pipeline Metadata (do not edit — read by scripts/validate_output.py)</t>
  </si>
  <si>
    <t>key</t>
  </si>
  <si>
    <t>value</t>
  </si>
  <si>
    <t>auto_log_entries</t>
  </si>
  <si>
    <t>1</t>
  </si>
  <si>
    <t>capex_pct_basis</t>
  </si>
  <si>
    <t>assumption</t>
  </si>
  <si>
    <t>capex_pct_c5</t>
  </si>
  <si>
    <t>0.0525</t>
  </si>
  <si>
    <t>capex_pct_hist3yr</t>
  </si>
  <si>
    <t>company_name</t>
  </si>
  <si>
    <t>comps_asof</t>
  </si>
  <si>
    <t>comps_da_missing</t>
  </si>
  <si>
    <t>none</t>
  </si>
  <si>
    <t>comps_ev_ebitda_invalid</t>
  </si>
  <si>
    <t>no</t>
  </si>
  <si>
    <t>comps_ev_ebitda_rows</t>
  </si>
  <si>
    <t>6,7,8,9,10</t>
  </si>
  <si>
    <t>comps_impl_mult_row</t>
  </si>
  <si>
    <t>27</t>
  </si>
  <si>
    <t>comps_impl_per_row</t>
  </si>
  <si>
    <t>28</t>
  </si>
  <si>
    <t>comps_peer_rows</t>
  </si>
  <si>
    <t>comps_stale_excluded</t>
  </si>
  <si>
    <t>comps_stat_median_row</t>
  </si>
  <si>
    <t>16</t>
  </si>
  <si>
    <t>comps_subject_row</t>
  </si>
  <si>
    <t>5</t>
  </si>
  <si>
    <t>cost_of_debt_actual</t>
  </si>
  <si>
    <t>interest 41,998 (expense 41,998 + fees 0) / avg debt 1,585,720 (debt_beginning/debt_ending) = 0.026485 pre-tax -&gt; 0.019900 after-tax</t>
  </si>
  <si>
    <t>cost_of_debt_at_c11</t>
  </si>
  <si>
    <t>0.0199</t>
  </si>
  <si>
    <t>cost_of_debt_avg_debt</t>
  </si>
  <si>
    <t>1585720.0</t>
  </si>
  <si>
    <t>cost_of_debt_basis</t>
  </si>
  <si>
    <t>actual</t>
  </si>
  <si>
    <t>cost_of_debt_interest</t>
  </si>
  <si>
    <t>41998.0</t>
  </si>
  <si>
    <t>cost_of_debt_pretax</t>
  </si>
  <si>
    <t>0.026485129783316096</t>
  </si>
  <si>
    <t>da_pct_basis</t>
  </si>
  <si>
    <t>da_pct_c18</t>
  </si>
  <si>
    <t>0.05</t>
  </si>
  <si>
    <t>da_pct_hist3yr</t>
  </si>
  <si>
    <t>0.048427</t>
  </si>
  <si>
    <t>fs_year_coverage</t>
  </si>
  <si>
    <t>OCF 3/4, Cash 4/4, Debt 0/4</t>
  </si>
  <si>
    <t>fs_year_map</t>
  </si>
  <si>
    <t>FY2023&lt;-FY2023[cash]; FY2024&lt;-FY2024[ocf+cash]; FY2025&lt;-FY2025[ocf+cash]; FY2026&lt;-FY2026[ocf+cash]</t>
  </si>
  <si>
    <t>fs_year_sources</t>
  </si>
  <si>
    <t>overrides: none | EDINET year-key match: hist_ocf, hist_cash, hist_debt, hist_capex, hist_depreciation</t>
  </si>
  <si>
    <t>fx_sensitivity</t>
  </si>
  <si>
    <t>not enabled</t>
  </si>
  <si>
    <t>generated_at</t>
  </si>
  <si>
    <t>2026-09-05 21:25:21</t>
  </si>
  <si>
    <t>ltm_revenue_c20</t>
  </si>
  <si>
    <t>8048722.0</t>
  </si>
  <si>
    <t>ltm_revenue_source</t>
  </si>
  <si>
    <t>latest FY (no LTM)</t>
  </si>
  <si>
    <t>narrative_tokens_used</t>
  </si>
  <si>
    <t>pb,per,price,target_price,upside_pct</t>
  </si>
  <si>
    <t>reverse_dcf_sheet</t>
  </si>
  <si>
    <t>op0=209,963(FY2026) peak=406,534(FY2025) peak_opm=0.0481 N=3/5/7/10</t>
  </si>
  <si>
    <t>scenario_index_range</t>
  </si>
  <si>
    <t>B69:B73</t>
  </si>
  <si>
    <t>tax_rate_c6</t>
  </si>
  <si>
    <t>0.25</t>
  </si>
  <si>
    <t>template_rev</t>
  </si>
  <si>
    <t>c9b5dd9</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</si>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</sst>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10"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
      <sz val="10"/>
      <name val="Arial"/>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9" fillId="0" borderId="0" xfId="0" applyFont="1"/>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46" t="s">
        <v>0</v>
      </c>
      <c r="C1" s="45"/>
      <c r="D1" s="45"/>
      <c r="E1" s="45"/>
    </row>
    <row r="3" spans="2:5" ht="18" customHeight="1" x14ac:dyDescent="0.4">
      <c r="B3" s="44" t="s">
        <v>1</v>
      </c>
      <c r="C3" s="45"/>
      <c r="D3" s="45"/>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4163</v>
      </c>
    </row>
    <row r="10" spans="2:5" ht="14" customHeight="1" x14ac:dyDescent="0.3">
      <c r="B10" s="4" t="s">
        <v>10</v>
      </c>
      <c r="C10" s="5">
        <f>IF(ISNUMBER(C17),ROUND(C17,0),"N/A")</f>
        <v>2840</v>
      </c>
    </row>
    <row r="11" spans="2:5" ht="14" customHeight="1" x14ac:dyDescent="0.3">
      <c r="B11" s="4" t="s">
        <v>11</v>
      </c>
      <c r="C11" s="6" t="str">
        <f>IF(NOT(ISNUMBER(C12)),"N/A",IF(C12&gt;0.15,"BUY",IF(C12&gt;0.05,"HOLD","SELL")))</f>
        <v>SELL</v>
      </c>
    </row>
    <row r="12" spans="2:5" ht="14" customHeight="1" x14ac:dyDescent="0.3">
      <c r="B12" s="4" t="s">
        <v>12</v>
      </c>
      <c r="C12" s="7">
        <f>IF(ISNUMBER(C10),(C10-C9)/C9,"N/A")</f>
        <v>-0.3177996637040596</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448</v>
      </c>
      <c r="D16" s="7">
        <f>IF(ISNUMBER(C16),(C16-C9)/C9,"N/A")</f>
        <v>-0.89238529906317554</v>
      </c>
    </row>
    <row r="17" spans="2:5" ht="13.5" customHeight="1" x14ac:dyDescent="0.25">
      <c r="B17" t="s">
        <v>18</v>
      </c>
      <c r="C17" s="11">
        <f>IF('DCF Model'!C62&lt;'DCF Model'!C16,"INVALID (EV &lt; net debt)",'DCF Model'!C64)</f>
        <v>2840</v>
      </c>
      <c r="D17" s="7">
        <f>IF(ISNUMBER(C17),(C17-C9)/C9,"N/A")</f>
        <v>-0.3177996637040596</v>
      </c>
    </row>
    <row r="18" spans="2:5" ht="13.5" customHeight="1" x14ac:dyDescent="0.25">
      <c r="B18" t="s">
        <v>19</v>
      </c>
      <c r="C18" s="11">
        <f>'Comps Analysis'!C27</f>
        <v>3414</v>
      </c>
      <c r="D18" s="7">
        <f>IF(ISNUMBER(C18),(C18-C9)/C9,"N/A")</f>
        <v>-0.1799183281287533</v>
      </c>
    </row>
    <row r="19" spans="2:5" ht="13.5" customHeight="1" x14ac:dyDescent="0.25">
      <c r="B19" t="s">
        <v>20</v>
      </c>
      <c r="C19" s="11">
        <f>'Comps Analysis'!C28</f>
        <v>2138</v>
      </c>
      <c r="D19" s="7">
        <f>IF(ISNUMBER(C19),(C19-C9)/C9,"N/A")</f>
        <v>-0.48642805668988709</v>
      </c>
    </row>
    <row r="20" spans="2:5" ht="14" customHeight="1" x14ac:dyDescent="0.3">
      <c r="B20" s="46" t="s">
        <v>21</v>
      </c>
      <c r="C20" s="45"/>
      <c r="D20" s="45"/>
      <c r="E20" s="45"/>
    </row>
    <row r="21" spans="2:5" ht="14" customHeight="1" x14ac:dyDescent="0.3">
      <c r="B21" s="4" t="s">
        <v>22</v>
      </c>
      <c r="C21" s="6" t="str">
        <f>IF(COUNT(C16:C17)=0,"N/A",MIN(C16:C17)&amp;" - "&amp;MAX(C16:C17))</f>
        <v>448 - 2840</v>
      </c>
    </row>
    <row r="23" spans="2:5" ht="14" customHeight="1" x14ac:dyDescent="0.3">
      <c r="B23" s="8" t="s">
        <v>23</v>
      </c>
      <c r="C23" s="9"/>
      <c r="D23" s="9"/>
    </row>
    <row r="24" spans="2:5" x14ac:dyDescent="0.2">
      <c r="B24" t="str">
        <f>"Panasonic is in the middle of a group restructuring while automotive battery capacity ramps in North America, and the operating margin fell to the bottom of its four-year range in the latest year; the shares trade at "&amp;TEXT('Comps Analysis'!L5,"0.0""x""")&amp;" earnings and "&amp;TEXT('Comps Analysis'!M5,"0.00""x""")&amp;" book."</f>
        <v>Panasonic is in the middle of a group restructuring while automotive battery capacity ramps in North America, and the operating margin fell to the bottom of its four-year range in the latest year; the shares trade at 51.3x earnings and 1.87x book.</v>
      </c>
    </row>
    <row r="25" spans="2:5" x14ac:dyDescent="0.2">
      <c r="B25" t="s">
        <v>24</v>
      </c>
    </row>
    <row r="26" spans="2:5" x14ac:dyDescent="0.2">
      <c r="B26" t="str">
        <f>"At "&amp;TEXT(C9,"#,##0")&amp;" the market capitalises the depressed margin; a base case that returns to the four-year median supports "&amp;TEXT(C10,"#,##0")&amp;", or "&amp;TEXT(C12,"+0.0%;-0.0%")&amp;" from here."</f>
        <v>At 4,163 the market capitalises the depressed margin; a base case that returns to the four-year median supports 2,840, or -31.8% from here.</v>
      </c>
    </row>
    <row r="28" spans="2:5" ht="14" customHeight="1" x14ac:dyDescent="0.3">
      <c r="B28" s="8" t="s">
        <v>25</v>
      </c>
      <c r="C28" s="9"/>
      <c r="D28" s="9"/>
    </row>
    <row r="29" spans="2:5" x14ac:dyDescent="0.2">
      <c r="B29" t="str">
        <f>"Capital expenditure reached ten percent of revenue on battery capacity and the base case assumes it halves over five years; if the ramp continues, the free cash flow behind "&amp;TEXT(C10,"#,##0")&amp;" does not appear."</f>
        <v>Capital expenditure reached ten percent of revenue on battery capacity and the base case assumes it halves over five years; if the ramp continues, the free cash flow behind 2,840 does not appear.</v>
      </c>
    </row>
    <row r="30" spans="2:5" x14ac:dyDescent="0.2">
      <c r="B30" t="s">
        <v>26</v>
      </c>
    </row>
    <row r="31" spans="2:5" x14ac:dyDescent="0.2">
      <c r="B31" t="str">
        <f>"The apparent EV/EBITDA premium to peers is an artefact of a depressed earnings base rather than a quality rating, so the "&amp;TEXT('Comps Analysis'!L5,"0.0""x""")&amp;" comparison flatters the shares."</f>
        <v>The apparent EV/EBITDA premium to peers is an artefact of a depressed earnings base rather than a quality rating, so the 51.3x comparison flatters the shares.</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customHeight="1" x14ac:dyDescent="0.4">
      <c r="B2" s="2" t="s">
        <v>27</v>
      </c>
    </row>
    <row r="4" spans="2:6" ht="14" customHeight="1" x14ac:dyDescent="0.3">
      <c r="C4" s="10" t="s">
        <v>28</v>
      </c>
      <c r="D4" s="10" t="s">
        <v>29</v>
      </c>
      <c r="E4" s="10" t="s">
        <v>30</v>
      </c>
      <c r="F4" s="10" t="s">
        <v>31</v>
      </c>
    </row>
    <row r="5" spans="2:6" ht="14" customHeight="1" x14ac:dyDescent="0.3">
      <c r="B5" s="3" t="s">
        <v>32</v>
      </c>
    </row>
    <row r="6" spans="2:6" ht="14" customHeight="1" x14ac:dyDescent="0.3">
      <c r="B6" s="4" t="s">
        <v>33</v>
      </c>
      <c r="C6" s="5">
        <v>8378942</v>
      </c>
      <c r="D6" s="5">
        <v>8496420</v>
      </c>
      <c r="E6" s="5">
        <v>8458185</v>
      </c>
      <c r="F6" s="5">
        <v>8048722</v>
      </c>
    </row>
    <row r="7" spans="2:6" ht="14" customHeight="1" x14ac:dyDescent="0.3">
      <c r="B7" s="4" t="s">
        <v>34</v>
      </c>
      <c r="C7" s="5">
        <v>6117494</v>
      </c>
      <c r="D7" s="5">
        <v>6002065</v>
      </c>
      <c r="E7" s="5">
        <v>5829569</v>
      </c>
      <c r="F7" s="5">
        <v>5521854</v>
      </c>
    </row>
    <row r="8" spans="2:6" ht="14" customHeight="1" x14ac:dyDescent="0.3">
      <c r="B8" s="4" t="s">
        <v>35</v>
      </c>
      <c r="C8" s="5">
        <f>C6-C7</f>
        <v>2261448</v>
      </c>
      <c r="D8" s="5">
        <f>D6-D7</f>
        <v>2494355</v>
      </c>
      <c r="E8" s="5">
        <f>E6-E7</f>
        <v>2628616</v>
      </c>
      <c r="F8" s="5">
        <f>F6-F7</f>
        <v>2526868</v>
      </c>
    </row>
    <row r="9" spans="2:6" ht="13.5" customHeight="1" x14ac:dyDescent="0.25">
      <c r="B9" t="s">
        <v>36</v>
      </c>
      <c r="C9" s="7">
        <f>C8/C6</f>
        <v>0.2698966050845083</v>
      </c>
      <c r="D9" s="7">
        <f>D8/D6</f>
        <v>0.29357717721110776</v>
      </c>
      <c r="E9" s="7">
        <f>E8/E6</f>
        <v>0.31077778506854603</v>
      </c>
      <c r="F9" s="7">
        <f>F8/F6</f>
        <v>0.31394648740508119</v>
      </c>
    </row>
    <row r="10" spans="2:6" ht="14" customHeight="1" x14ac:dyDescent="0.3">
      <c r="B10" s="4" t="s">
        <v>37</v>
      </c>
      <c r="C10" s="5">
        <v>1974310</v>
      </c>
      <c r="D10" s="5">
        <v>2137688</v>
      </c>
      <c r="E10" s="5">
        <v>2222082</v>
      </c>
      <c r="F10" s="5">
        <v>2316905</v>
      </c>
    </row>
    <row r="11" spans="2:6" ht="14" customHeight="1" x14ac:dyDescent="0.3">
      <c r="B11" s="4" t="s">
        <v>38</v>
      </c>
      <c r="C11" s="5">
        <v>287138</v>
      </c>
      <c r="D11" s="5">
        <v>356667</v>
      </c>
      <c r="E11" s="5">
        <v>406534</v>
      </c>
      <c r="F11" s="5">
        <v>209963</v>
      </c>
    </row>
    <row r="12" spans="2:6" ht="14" customHeight="1" x14ac:dyDescent="0.3">
      <c r="B12" s="4" t="s">
        <v>39</v>
      </c>
      <c r="C12" s="5">
        <v>265502</v>
      </c>
      <c r="D12" s="5">
        <v>443994</v>
      </c>
      <c r="E12" s="5">
        <v>366205</v>
      </c>
      <c r="F12" s="5">
        <v>189540</v>
      </c>
    </row>
    <row r="13" spans="2:6" ht="13.5" customHeight="1" x14ac:dyDescent="0.25">
      <c r="B13" t="s">
        <v>40</v>
      </c>
      <c r="C13" s="7">
        <f>C11/C6</f>
        <v>3.4269004368331947E-2</v>
      </c>
      <c r="D13" s="7">
        <f>D11/D6</f>
        <v>4.1978503887519683E-2</v>
      </c>
      <c r="E13" s="7">
        <f>E11/E6</f>
        <v>4.8063975900267022E-2</v>
      </c>
      <c r="F13" s="7">
        <f>F11/F6</f>
        <v>2.608650168312435E-2</v>
      </c>
    </row>
    <row r="14" spans="2:6" ht="13.5" customHeight="1" x14ac:dyDescent="0.25">
      <c r="B14" t="s">
        <v>41</v>
      </c>
      <c r="C14" s="7">
        <f>C12/C6</f>
        <v>3.1686816784267033E-2</v>
      </c>
      <c r="D14" s="7">
        <f>D12/D6</f>
        <v>5.2256597484587629E-2</v>
      </c>
      <c r="E14" s="7">
        <f>E12/E6</f>
        <v>4.3295931692201105E-2</v>
      </c>
      <c r="F14" s="7">
        <f>F12/F6</f>
        <v>2.3549080214225315E-2</v>
      </c>
    </row>
    <row r="15" spans="2:6" ht="13.5" customHeight="1" x14ac:dyDescent="0.25">
      <c r="B15" t="s">
        <v>42</v>
      </c>
      <c r="C15" t="s">
        <v>43</v>
      </c>
      <c r="D15" s="7">
        <f>(D6-C6)/C6</f>
        <v>1.4020624560952922E-2</v>
      </c>
      <c r="E15" s="7">
        <f>(E6-D6)/D6</f>
        <v>-4.500130643259161E-3</v>
      </c>
      <c r="F15" s="7">
        <f>(F6-E6)/E6</f>
        <v>-4.8410267687453039E-2</v>
      </c>
    </row>
    <row r="16" spans="2:6" ht="13.5" customHeight="1" x14ac:dyDescent="0.25">
      <c r="B16" t="s">
        <v>44</v>
      </c>
      <c r="C16" t="s">
        <v>43</v>
      </c>
      <c r="D16" s="7">
        <f>(D11-C11)/C11</f>
        <v>0.24214489200314832</v>
      </c>
      <c r="E16" s="7">
        <f>(E11-D11)/D11</f>
        <v>0.13981388802440373</v>
      </c>
      <c r="F16" s="7">
        <f>(F11-E11)/E11</f>
        <v>-0.48352905292054293</v>
      </c>
    </row>
    <row r="18" spans="2:6" ht="14" customHeight="1" x14ac:dyDescent="0.3">
      <c r="B18" s="3" t="s">
        <v>45</v>
      </c>
    </row>
    <row r="19" spans="2:6" ht="14" customHeight="1" x14ac:dyDescent="0.3">
      <c r="B19" s="4" t="s">
        <v>46</v>
      </c>
      <c r="C19" s="5"/>
      <c r="D19" s="5">
        <v>866898</v>
      </c>
      <c r="E19" s="5">
        <v>796083</v>
      </c>
      <c r="F19" s="5">
        <v>624289</v>
      </c>
    </row>
    <row r="20" spans="2:6" ht="14" customHeight="1" x14ac:dyDescent="0.3">
      <c r="B20" s="4" t="s">
        <v>47</v>
      </c>
      <c r="C20" s="5"/>
      <c r="D20" s="5"/>
      <c r="E20" s="5"/>
      <c r="F20" s="5"/>
    </row>
    <row r="21" spans="2:6" ht="14" customHeight="1" x14ac:dyDescent="0.3">
      <c r="B21" s="4" t="s">
        <v>48</v>
      </c>
    </row>
    <row r="22" spans="2:6" x14ac:dyDescent="0.2">
      <c r="B22" t="s">
        <v>49</v>
      </c>
    </row>
    <row r="23" spans="2:6" x14ac:dyDescent="0.2">
      <c r="B23" t="s">
        <v>50</v>
      </c>
    </row>
    <row r="25" spans="2:6" ht="14" customHeight="1" x14ac:dyDescent="0.3">
      <c r="B25" s="3" t="s">
        <v>51</v>
      </c>
    </row>
    <row r="26" spans="2:6" ht="14" customHeight="1" x14ac:dyDescent="0.3">
      <c r="B26" s="4" t="s">
        <v>52</v>
      </c>
      <c r="C26" s="5">
        <v>819499</v>
      </c>
      <c r="D26" s="5">
        <v>1119625</v>
      </c>
      <c r="E26" s="5">
        <v>847561</v>
      </c>
      <c r="F26" s="5">
        <v>770179</v>
      </c>
    </row>
    <row r="27" spans="2:6" ht="14" customHeight="1" x14ac:dyDescent="0.3">
      <c r="B27" s="4" t="s">
        <v>53</v>
      </c>
      <c r="C27" s="5"/>
      <c r="D27" s="5"/>
      <c r="E27" s="5"/>
      <c r="F27" s="5"/>
    </row>
    <row r="28" spans="2:6" ht="14" customHeight="1" x14ac:dyDescent="0.3">
      <c r="B28" s="4" t="s">
        <v>54</v>
      </c>
    </row>
    <row r="30" spans="2:6" ht="14" customHeight="1" x14ac:dyDescent="0.3">
      <c r="B30" s="1" t="s">
        <v>55</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56</v>
      </c>
    </row>
    <row r="4" spans="2:7" ht="14" customHeight="1" x14ac:dyDescent="0.3">
      <c r="B4" s="8" t="s">
        <v>57</v>
      </c>
      <c r="C4" s="9"/>
      <c r="D4" s="9"/>
      <c r="E4" s="9"/>
      <c r="F4" s="9"/>
      <c r="G4" s="9"/>
    </row>
    <row r="5" spans="2:7" ht="14" customHeight="1" x14ac:dyDescent="0.3">
      <c r="B5" s="4" t="s">
        <v>58</v>
      </c>
      <c r="C5" s="7">
        <v>5.2499999999999998E-2</v>
      </c>
    </row>
    <row r="6" spans="2:7" ht="14" customHeight="1" x14ac:dyDescent="0.3">
      <c r="B6" s="4" t="s">
        <v>59</v>
      </c>
      <c r="C6" s="7">
        <v>0.25</v>
      </c>
    </row>
    <row r="7" spans="2:7" ht="14" customHeight="1" x14ac:dyDescent="0.3">
      <c r="B7" s="4" t="s">
        <v>60</v>
      </c>
      <c r="C7" s="7">
        <v>2.9700000000000001E-2</v>
      </c>
    </row>
    <row r="8" spans="2:7" ht="14" customHeight="1" x14ac:dyDescent="0.3">
      <c r="B8" s="4" t="s">
        <v>61</v>
      </c>
      <c r="C8" s="12">
        <v>0.85</v>
      </c>
    </row>
    <row r="9" spans="2:7" ht="14" customHeight="1" x14ac:dyDescent="0.3">
      <c r="B9" s="4" t="s">
        <v>62</v>
      </c>
      <c r="C9" s="7">
        <v>6.5000000000000002E-2</v>
      </c>
    </row>
    <row r="10" spans="2:7" ht="14" customHeight="1" x14ac:dyDescent="0.3">
      <c r="B10" s="4" t="s">
        <v>63</v>
      </c>
      <c r="C10" s="7">
        <v>0.01</v>
      </c>
    </row>
    <row r="11" spans="2:7" ht="14" customHeight="1" x14ac:dyDescent="0.3">
      <c r="B11" s="4" t="s">
        <v>64</v>
      </c>
      <c r="C11" s="7">
        <v>1.9900000000000001E-2</v>
      </c>
    </row>
    <row r="12" spans="2:7" ht="14" customHeight="1" x14ac:dyDescent="0.3">
      <c r="B12" s="4" t="s">
        <v>65</v>
      </c>
      <c r="C12" s="13">
        <v>8.5699999999999998E-2</v>
      </c>
    </row>
    <row r="13" spans="2:7" ht="14" customHeight="1" x14ac:dyDescent="0.3">
      <c r="B13" s="4" t="s">
        <v>66</v>
      </c>
      <c r="C13" s="7">
        <v>0.01</v>
      </c>
    </row>
    <row r="14" spans="2:7" ht="14" customHeight="1" x14ac:dyDescent="0.3">
      <c r="B14" s="4" t="s">
        <v>67</v>
      </c>
      <c r="C14" s="14">
        <v>14.3</v>
      </c>
    </row>
    <row r="15" spans="2:7" ht="14" customHeight="1" x14ac:dyDescent="0.3">
      <c r="B15" s="4" t="s">
        <v>68</v>
      </c>
      <c r="C15" s="15">
        <v>2334925020</v>
      </c>
    </row>
    <row r="16" spans="2:7" ht="14" customHeight="1" x14ac:dyDescent="0.3">
      <c r="B16" s="4" t="s">
        <v>69</v>
      </c>
      <c r="C16" s="5">
        <v>833018</v>
      </c>
    </row>
    <row r="17" spans="2:7" ht="14" customHeight="1" x14ac:dyDescent="0.3">
      <c r="B17" s="4" t="s">
        <v>70</v>
      </c>
      <c r="C17" s="5">
        <v>8048722</v>
      </c>
    </row>
    <row r="18" spans="2:7" ht="14" customHeight="1" x14ac:dyDescent="0.3">
      <c r="B18" s="4" t="s">
        <v>71</v>
      </c>
      <c r="C18" s="7">
        <v>0.05</v>
      </c>
    </row>
    <row r="19" spans="2:7" ht="14" customHeight="1" x14ac:dyDescent="0.3">
      <c r="B19" s="4" t="s">
        <v>72</v>
      </c>
      <c r="C19" s="12">
        <v>1</v>
      </c>
    </row>
    <row r="20" spans="2:7" ht="14" customHeight="1" x14ac:dyDescent="0.3">
      <c r="B20" s="4" t="s">
        <v>73</v>
      </c>
      <c r="C20" s="5">
        <v>8048722</v>
      </c>
    </row>
    <row r="22" spans="2:7" ht="14" customHeight="1" x14ac:dyDescent="0.3">
      <c r="B22" s="8" t="s">
        <v>74</v>
      </c>
      <c r="C22" s="9"/>
      <c r="D22" s="9"/>
      <c r="E22" s="9"/>
      <c r="F22" s="9"/>
      <c r="G22" s="9"/>
    </row>
    <row r="23" spans="2:7" ht="14" customHeight="1" x14ac:dyDescent="0.3">
      <c r="B23" s="4" t="s">
        <v>75</v>
      </c>
      <c r="C23" s="16">
        <f>C7+C8*C9+C10</f>
        <v>9.4949999999999993E-2</v>
      </c>
    </row>
    <row r="24" spans="2:7" ht="14" customHeight="1" x14ac:dyDescent="0.3">
      <c r="B24" s="4" t="s">
        <v>76</v>
      </c>
      <c r="C24" s="16">
        <f>1/(1+C12)</f>
        <v>0.9210647508519848</v>
      </c>
    </row>
    <row r="25" spans="2:7" ht="14" customHeight="1" x14ac:dyDescent="0.3">
      <c r="B25" s="4" t="s">
        <v>77</v>
      </c>
      <c r="C25" s="16">
        <f>C12/(1+C12)</f>
        <v>7.8935249148015099E-2</v>
      </c>
    </row>
    <row r="26" spans="2:7" ht="14" customHeight="1" x14ac:dyDescent="0.3">
      <c r="B26" s="4" t="s">
        <v>78</v>
      </c>
      <c r="C26" s="16">
        <f>C23*C24+C11*C25</f>
        <v>8.9025909551441448E-2</v>
      </c>
    </row>
    <row r="27" spans="2:7" ht="14" customHeight="1" x14ac:dyDescent="0.3">
      <c r="B27" s="4" t="s">
        <v>79</v>
      </c>
      <c r="C27" s="17" t="s">
        <v>80</v>
      </c>
      <c r="D27" s="6">
        <f>MATCH(C27,B69:B73,0)</f>
        <v>1</v>
      </c>
    </row>
    <row r="28" spans="2:7" ht="14" customHeight="1" x14ac:dyDescent="0.3">
      <c r="B28" s="8" t="s">
        <v>81</v>
      </c>
      <c r="C28" s="9"/>
      <c r="D28" s="9"/>
      <c r="E28" s="9"/>
      <c r="F28" s="9"/>
      <c r="G28" s="9"/>
    </row>
    <row r="29" spans="2:7" ht="14" customHeight="1" x14ac:dyDescent="0.3">
      <c r="C29" s="10" t="s">
        <v>82</v>
      </c>
      <c r="D29" s="10" t="s">
        <v>83</v>
      </c>
      <c r="E29" s="10" t="s">
        <v>84</v>
      </c>
      <c r="F29" s="10" t="s">
        <v>85</v>
      </c>
      <c r="G29" s="10" t="s">
        <v>86</v>
      </c>
    </row>
    <row r="30" spans="2:7" ht="14" customHeight="1" x14ac:dyDescent="0.3">
      <c r="B30" s="4" t="s">
        <v>42</v>
      </c>
      <c r="C30" s="18">
        <f>CHOOSE($D$27,C69,C70,C71,C72,C73)</f>
        <v>0.01</v>
      </c>
      <c r="D30" s="18">
        <f>CHOOSE($D$27,D69,D70,D71,D72,D73)</f>
        <v>0.02</v>
      </c>
      <c r="E30" s="18">
        <f>CHOOSE($D$27,E69,E70,E71,E72,E73)</f>
        <v>2.5000000000000001E-2</v>
      </c>
      <c r="F30" s="18">
        <f>CHOOSE($D$27,F69,F70,F71,F72,F73)</f>
        <v>2.5000000000000001E-2</v>
      </c>
      <c r="G30" s="18">
        <f>CHOOSE($D$27,G69,G70,G71,G72,G73)</f>
        <v>0.02</v>
      </c>
    </row>
    <row r="31" spans="2:7" ht="14" customHeight="1" x14ac:dyDescent="0.3">
      <c r="B31" s="4" t="s">
        <v>87</v>
      </c>
      <c r="C31" s="18">
        <f>CHOOSE($D$27,C76,C77,C78,C79,C80)</f>
        <v>0.68600000000000005</v>
      </c>
      <c r="D31" s="18">
        <f>CHOOSE($D$27,D76,D77,D78,D79,D80)</f>
        <v>0.68600000000000005</v>
      </c>
      <c r="E31" s="18">
        <f>CHOOSE($D$27,E76,E77,E78,E79,E80)</f>
        <v>0.68600000000000005</v>
      </c>
      <c r="F31" s="18">
        <f>CHOOSE($D$27,F76,F77,F78,F79,F80)</f>
        <v>0.68600000000000005</v>
      </c>
      <c r="G31" s="18">
        <f>CHOOSE($D$27,G76,G77,G78,G79,G80)</f>
        <v>0.68600000000000005</v>
      </c>
    </row>
    <row r="32" spans="2:7" ht="14" customHeight="1" x14ac:dyDescent="0.3">
      <c r="B32" s="4" t="s">
        <v>88</v>
      </c>
      <c r="C32" s="18">
        <f>CHOOSE($D$27,C83,C84,C85,C86,C87)</f>
        <v>0.28299999999999997</v>
      </c>
      <c r="D32" s="18">
        <f>CHOOSE($D$27,D83,D84,D85,D86,D87)</f>
        <v>0.28000000000000003</v>
      </c>
      <c r="E32" s="18">
        <f>CHOOSE($D$27,E83,E84,E85,E86,E87)</f>
        <v>0.27800000000000002</v>
      </c>
      <c r="F32" s="18">
        <f>CHOOSE($D$27,F83,F84,F85,F86,F87)</f>
        <v>0.27700000000000002</v>
      </c>
      <c r="G32" s="18">
        <f>CHOOSE($D$27,G83,G84,G85,G86,G87)</f>
        <v>0.27689999999999998</v>
      </c>
    </row>
    <row r="33" spans="2:7" ht="14" customHeight="1" x14ac:dyDescent="0.3">
      <c r="B33" s="4" t="s">
        <v>33</v>
      </c>
      <c r="C33" s="5">
        <f>C17*(1+C30)</f>
        <v>8129209.2199999997</v>
      </c>
      <c r="D33" s="5">
        <f>C33*(1+D30)</f>
        <v>8291793.4043999994</v>
      </c>
      <c r="E33" s="5">
        <f>D33*(1+E30)</f>
        <v>8499088.2395099979</v>
      </c>
      <c r="F33" s="5">
        <f>E33*(1+F30)</f>
        <v>8711565.4454977475</v>
      </c>
      <c r="G33" s="5">
        <f>F33*(1+G30)</f>
        <v>8885796.754407702</v>
      </c>
    </row>
    <row r="34" spans="2:7" ht="14" customHeight="1" x14ac:dyDescent="0.3">
      <c r="B34" s="4" t="s">
        <v>34</v>
      </c>
      <c r="C34" s="5">
        <f>C33*C31</f>
        <v>5576637.5249200007</v>
      </c>
      <c r="D34" s="5">
        <f>D33*D31</f>
        <v>5688170.2754183998</v>
      </c>
      <c r="E34" s="5">
        <f>E33*E31</f>
        <v>5830374.5323038585</v>
      </c>
      <c r="F34" s="5">
        <f>F33*F31</f>
        <v>5976133.8956114557</v>
      </c>
      <c r="G34" s="5">
        <f>G33*G31</f>
        <v>6095656.5735236844</v>
      </c>
    </row>
    <row r="35" spans="2:7" ht="14" customHeight="1" x14ac:dyDescent="0.3">
      <c r="B35" s="4" t="s">
        <v>35</v>
      </c>
      <c r="C35" s="19">
        <f>C33-C34</f>
        <v>2552571.695079999</v>
      </c>
      <c r="D35" s="19">
        <f>D33-D34</f>
        <v>2603623.1289815996</v>
      </c>
      <c r="E35" s="19">
        <f>E33-E34</f>
        <v>2668713.7072061393</v>
      </c>
      <c r="F35" s="19">
        <f>F33-F34</f>
        <v>2735431.5498862918</v>
      </c>
      <c r="G35" s="19">
        <f>G33-G34</f>
        <v>2790140.1808840176</v>
      </c>
    </row>
    <row r="36" spans="2:7" ht="14" customHeight="1" x14ac:dyDescent="0.3">
      <c r="B36" s="4" t="s">
        <v>36</v>
      </c>
      <c r="C36" s="7">
        <f>C35/C33</f>
        <v>0.31399999999999989</v>
      </c>
      <c r="D36" s="7">
        <f>D35/D33</f>
        <v>0.31399999999999995</v>
      </c>
      <c r="E36" s="7">
        <f>E35/E33</f>
        <v>0.314</v>
      </c>
      <c r="F36" s="7">
        <f>F35/F33</f>
        <v>0.31399999999999989</v>
      </c>
      <c r="G36" s="7">
        <f>G35/G33</f>
        <v>0.31399999999999989</v>
      </c>
    </row>
    <row r="37" spans="2:7" ht="14" customHeight="1" x14ac:dyDescent="0.3">
      <c r="B37" s="4" t="s">
        <v>89</v>
      </c>
      <c r="C37" s="5">
        <f>C33*C32</f>
        <v>2300566.2092599999</v>
      </c>
      <c r="D37" s="5">
        <f>D33*D32</f>
        <v>2321702.1532319998</v>
      </c>
      <c r="E37" s="5">
        <f>E33*E32</f>
        <v>2362746.5305837798</v>
      </c>
      <c r="F37" s="5">
        <f>F33*F32</f>
        <v>2413103.6284028762</v>
      </c>
      <c r="G37" s="5">
        <f>G33*G32</f>
        <v>2460477.1212954926</v>
      </c>
    </row>
    <row r="38" spans="2:7" ht="14" customHeight="1" x14ac:dyDescent="0.3">
      <c r="B38" s="4" t="s">
        <v>90</v>
      </c>
      <c r="C38" s="7">
        <f>(C35-C37)/C33</f>
        <v>3.0999999999999892E-2</v>
      </c>
      <c r="D38" s="7">
        <f>(D35-D37)/D33</f>
        <v>3.3999999999999975E-2</v>
      </c>
      <c r="E38" s="7">
        <f>(E35-E37)/E33</f>
        <v>3.5999999999999956E-2</v>
      </c>
      <c r="F38" s="7">
        <f>(F35-F37)/F33</f>
        <v>3.6999999999999887E-2</v>
      </c>
      <c r="G38" s="7">
        <f>(G35-G37)/G33</f>
        <v>3.7099999999999911E-2</v>
      </c>
    </row>
    <row r="39" spans="2:7" ht="14" customHeight="1" x14ac:dyDescent="0.3">
      <c r="B39" s="4" t="s">
        <v>91</v>
      </c>
      <c r="C39" s="19">
        <f>C35-C37</f>
        <v>252005.48581999913</v>
      </c>
      <c r="D39" s="19">
        <f>D35-D37</f>
        <v>281920.97574959975</v>
      </c>
      <c r="E39" s="19">
        <f>E35-E37</f>
        <v>305967.17662235955</v>
      </c>
      <c r="F39" s="19">
        <f>F35-F37</f>
        <v>322327.92148341564</v>
      </c>
      <c r="G39" s="19">
        <f>G35-G37</f>
        <v>329663.05958852498</v>
      </c>
    </row>
    <row r="40" spans="2:7" ht="14" customHeight="1" x14ac:dyDescent="0.3">
      <c r="B40" s="4" t="s">
        <v>92</v>
      </c>
      <c r="C40" s="5">
        <f>MAX(0,C39*C6)</f>
        <v>63001.371454999782</v>
      </c>
      <c r="D40" s="5">
        <f>MAX(0,D39*C6)</f>
        <v>70480.243937399937</v>
      </c>
      <c r="E40" s="5">
        <f>MAX(0,E39*C6)</f>
        <v>76491.794155589887</v>
      </c>
      <c r="F40" s="5">
        <f>MAX(0,F39*C6)</f>
        <v>80581.980370853911</v>
      </c>
      <c r="G40" s="5">
        <f>MAX(0,G39*C6)</f>
        <v>82415.764897131245</v>
      </c>
    </row>
    <row r="41" spans="2:7" ht="14" customHeight="1" x14ac:dyDescent="0.3">
      <c r="B41" s="4" t="s">
        <v>93</v>
      </c>
      <c r="C41" s="19">
        <f>C39-C40</f>
        <v>189004.11436499935</v>
      </c>
      <c r="D41" s="19">
        <f>D39-D40</f>
        <v>211440.73181219981</v>
      </c>
      <c r="E41" s="19">
        <f>E39-E40</f>
        <v>229475.38246676966</v>
      </c>
      <c r="F41" s="19">
        <f>F39-F40</f>
        <v>241745.94111256173</v>
      </c>
      <c r="G41" s="19">
        <f>G39-G40</f>
        <v>247247.29469139373</v>
      </c>
    </row>
    <row r="42" spans="2:7" ht="14" customHeight="1" x14ac:dyDescent="0.3">
      <c r="B42" s="4" t="s">
        <v>94</v>
      </c>
      <c r="C42" s="5">
        <f>C33*C18</f>
        <v>406460.46100000001</v>
      </c>
      <c r="D42" s="5">
        <f>D33*C18</f>
        <v>414589.67021999997</v>
      </c>
      <c r="E42" s="5">
        <f>E33*C18</f>
        <v>424954.41197549994</v>
      </c>
      <c r="F42" s="5">
        <f>F33*C18</f>
        <v>435578.27227488742</v>
      </c>
      <c r="G42" s="5">
        <f>G33*C18</f>
        <v>444289.83772038511</v>
      </c>
    </row>
    <row r="43" spans="2:7" ht="14" customHeight="1" x14ac:dyDescent="0.3">
      <c r="B43" s="4" t="s">
        <v>95</v>
      </c>
      <c r="C43" s="5">
        <v>680000</v>
      </c>
      <c r="D43" s="5">
        <v>620000</v>
      </c>
      <c r="E43" s="5">
        <v>560000</v>
      </c>
      <c r="F43" s="5">
        <v>505000</v>
      </c>
      <c r="G43" s="5">
        <v>466000</v>
      </c>
    </row>
    <row r="44" spans="2:7" ht="14" customHeight="1" x14ac:dyDescent="0.3">
      <c r="B44" s="4" t="s">
        <v>96</v>
      </c>
      <c r="C44" s="5">
        <f>'NWC Schedule'!D19</f>
        <v>-68940.064233534038</v>
      </c>
      <c r="D44" s="5">
        <f>'NWC Schedule'!E19</f>
        <v>27197.438715328928</v>
      </c>
      <c r="E44" s="5">
        <f>'NWC Schedule'!F19</f>
        <v>34676.734362044837</v>
      </c>
      <c r="F44" s="5">
        <f>'NWC Schedule'!G19</f>
        <v>35543.65272109583</v>
      </c>
      <c r="G44" s="5">
        <f>'NWC Schedule'!H19</f>
        <v>29145.795231298544</v>
      </c>
    </row>
    <row r="45" spans="2:7" ht="14" customHeight="1" x14ac:dyDescent="0.3">
      <c r="B45" s="4" t="s">
        <v>97</v>
      </c>
      <c r="C45" s="20">
        <f>C41+C42-C43-C44</f>
        <v>-15595.360401466605</v>
      </c>
      <c r="D45" s="20">
        <f>D41+D42-D43-D44</f>
        <v>-21167.036683129147</v>
      </c>
      <c r="E45" s="20">
        <f>E41+E42-E43-E44</f>
        <v>59753.060080224765</v>
      </c>
      <c r="F45" s="20">
        <f>F41+F42-F43-F44</f>
        <v>136780.56066635333</v>
      </c>
      <c r="G45" s="20">
        <f>G41+G42-G43-G44</f>
        <v>196391.33718048036</v>
      </c>
    </row>
    <row r="46" spans="2:7" ht="14" customHeight="1" x14ac:dyDescent="0.3">
      <c r="B46" s="4" t="s">
        <v>98</v>
      </c>
      <c r="C46" s="21">
        <f>1/(1+C26)^(C19+0)</f>
        <v>0.91825179844608995</v>
      </c>
      <c r="D46" s="21">
        <f>1/(1+C26)^(C19+1)</f>
        <v>0.84318636534947866</v>
      </c>
      <c r="E46" s="21">
        <f>1/(1+C26)^(C19+2)</f>
        <v>0.77425739640738067</v>
      </c>
      <c r="F46" s="21">
        <f>1/(1+C26)^(C19+3)</f>
        <v>0.71096324671126443</v>
      </c>
      <c r="G46" s="21">
        <f>1/(1+C26)^(C19+4)</f>
        <v>0.65284327992168967</v>
      </c>
    </row>
    <row r="47" spans="2:7" ht="14" customHeight="1" x14ac:dyDescent="0.3">
      <c r="B47" s="4" t="s">
        <v>99</v>
      </c>
      <c r="C47" s="19">
        <f>C45*C46</f>
        <v>-14320.467736061646</v>
      </c>
      <c r="D47" s="19">
        <f>D45*D46</f>
        <v>-17847.756726066749</v>
      </c>
      <c r="E47" s="19">
        <f>E45*E46</f>
        <v>46264.248725088619</v>
      </c>
      <c r="F47" s="19">
        <f>F45*F46</f>
        <v>97245.951498337628</v>
      </c>
      <c r="G47" s="19">
        <f>G45*G46</f>
        <v>128212.76471311128</v>
      </c>
    </row>
    <row r="49" spans="2:7" ht="14" customHeight="1" x14ac:dyDescent="0.3">
      <c r="B49" s="22" t="s">
        <v>100</v>
      </c>
      <c r="C49" s="23"/>
      <c r="D49" s="23"/>
      <c r="E49" s="23"/>
      <c r="F49" s="23"/>
      <c r="G49" s="23"/>
    </row>
    <row r="50" spans="2:7" ht="14" customHeight="1" x14ac:dyDescent="0.3">
      <c r="B50" s="4" t="s">
        <v>101</v>
      </c>
      <c r="C50" s="5">
        <f>SUM(C47:G47)</f>
        <v>239554.74047440913</v>
      </c>
    </row>
    <row r="51" spans="2:7" ht="14" customHeight="1" x14ac:dyDescent="0.3">
      <c r="B51" s="4" t="s">
        <v>102</v>
      </c>
      <c r="C51" s="5">
        <f>G45*(1+C13)/(C26-C13)</f>
        <v>2510002.7532510334</v>
      </c>
    </row>
    <row r="52" spans="2:7" ht="14" customHeight="1" x14ac:dyDescent="0.3">
      <c r="B52" s="4" t="s">
        <v>103</v>
      </c>
      <c r="C52" s="5">
        <f>C51*G46</f>
        <v>1638638.4300448762</v>
      </c>
    </row>
    <row r="53" spans="2:7" ht="14" customHeight="1" x14ac:dyDescent="0.3">
      <c r="B53" s="4" t="s">
        <v>104</v>
      </c>
      <c r="C53" s="5">
        <f>C50+C52</f>
        <v>1878193.1705192854</v>
      </c>
    </row>
    <row r="54" spans="2:7" ht="14" customHeight="1" x14ac:dyDescent="0.3">
      <c r="B54" s="4" t="s">
        <v>105</v>
      </c>
      <c r="C54" s="5">
        <f>C53-C16</f>
        <v>1045175.1705192854</v>
      </c>
    </row>
    <row r="55" spans="2:7" ht="14" customHeight="1" x14ac:dyDescent="0.3">
      <c r="B55" s="4" t="s">
        <v>106</v>
      </c>
      <c r="C55" s="24">
        <f>ROUND(C54*1000000/C15,0)</f>
        <v>448</v>
      </c>
    </row>
    <row r="57" spans="2:7" ht="14" customHeight="1" x14ac:dyDescent="0.3">
      <c r="B57" s="22" t="s">
        <v>107</v>
      </c>
      <c r="C57" s="23"/>
      <c r="D57" s="23"/>
      <c r="E57" s="23"/>
      <c r="F57" s="23"/>
      <c r="G57" s="23"/>
    </row>
    <row r="58" spans="2:7" ht="14" customHeight="1" x14ac:dyDescent="0.3">
      <c r="B58" s="4" t="s">
        <v>101</v>
      </c>
      <c r="C58" s="5">
        <f>C50</f>
        <v>239554.74047440913</v>
      </c>
    </row>
    <row r="59" spans="2:7" ht="14" customHeight="1" x14ac:dyDescent="0.3">
      <c r="B59" s="4" t="s">
        <v>108</v>
      </c>
      <c r="C59" s="5">
        <f>G39+G42</f>
        <v>773952.89730891003</v>
      </c>
    </row>
    <row r="60" spans="2:7" ht="14" customHeight="1" x14ac:dyDescent="0.3">
      <c r="B60" s="4" t="s">
        <v>109</v>
      </c>
      <c r="C60" s="5">
        <f>C59*C14</f>
        <v>11067526.431517415</v>
      </c>
    </row>
    <row r="61" spans="2:7" ht="14" customHeight="1" x14ac:dyDescent="0.3">
      <c r="B61" s="4" t="s">
        <v>103</v>
      </c>
      <c r="C61" s="5">
        <f>C60*G46</f>
        <v>7225360.2561718225</v>
      </c>
    </row>
    <row r="62" spans="2:7" ht="14" customHeight="1" x14ac:dyDescent="0.3">
      <c r="B62" s="4" t="s">
        <v>104</v>
      </c>
      <c r="C62" s="5">
        <f>C58+C61</f>
        <v>7464914.996646232</v>
      </c>
    </row>
    <row r="63" spans="2:7" ht="14" customHeight="1" x14ac:dyDescent="0.3">
      <c r="B63" s="4" t="s">
        <v>105</v>
      </c>
      <c r="C63" s="5">
        <f>C62-C16</f>
        <v>6631896.996646232</v>
      </c>
    </row>
    <row r="64" spans="2:7" ht="14" customHeight="1" x14ac:dyDescent="0.3">
      <c r="B64" s="4" t="s">
        <v>110</v>
      </c>
      <c r="C64" s="24">
        <f>ROUND(C63*1000000/C15,0)</f>
        <v>2840</v>
      </c>
    </row>
    <row r="66" spans="2:7" ht="14" customHeight="1" x14ac:dyDescent="0.3">
      <c r="B66" s="22" t="s">
        <v>111</v>
      </c>
      <c r="C66" s="23"/>
      <c r="D66" s="23"/>
      <c r="E66" s="23"/>
      <c r="F66" s="23"/>
      <c r="G66" s="23"/>
    </row>
    <row r="67" spans="2:7" ht="14" customHeight="1" x14ac:dyDescent="0.3">
      <c r="C67" s="25" t="s">
        <v>112</v>
      </c>
      <c r="D67" s="25" t="s">
        <v>113</v>
      </c>
      <c r="E67" s="25" t="s">
        <v>114</v>
      </c>
      <c r="F67" s="25" t="s">
        <v>115</v>
      </c>
      <c r="G67" s="25" t="s">
        <v>116</v>
      </c>
    </row>
    <row r="68" spans="2:7" ht="14" customHeight="1" x14ac:dyDescent="0.3">
      <c r="B68" s="3" t="s">
        <v>42</v>
      </c>
    </row>
    <row r="69" spans="2:7" ht="14" customHeight="1" x14ac:dyDescent="0.3">
      <c r="B69" s="4" t="s">
        <v>80</v>
      </c>
      <c r="C69" s="26">
        <v>0.01</v>
      </c>
      <c r="D69" s="26">
        <v>0.02</v>
      </c>
      <c r="E69" s="26">
        <v>2.5000000000000001E-2</v>
      </c>
      <c r="F69" s="26">
        <v>2.5000000000000001E-2</v>
      </c>
      <c r="G69" s="26">
        <v>0.02</v>
      </c>
    </row>
    <row r="70" spans="2:7" ht="14" customHeight="1" x14ac:dyDescent="0.3">
      <c r="B70" s="4" t="s">
        <v>117</v>
      </c>
      <c r="C70" s="26">
        <v>2.5000000000000001E-2</v>
      </c>
      <c r="D70" s="26">
        <v>3.5000000000000003E-2</v>
      </c>
      <c r="E70" s="26">
        <v>3.5000000000000003E-2</v>
      </c>
      <c r="F70" s="26">
        <v>0.03</v>
      </c>
      <c r="G70" s="26">
        <v>0.03</v>
      </c>
    </row>
    <row r="71" spans="2:7" ht="14" customHeight="1" x14ac:dyDescent="0.3">
      <c r="B71" s="4" t="s">
        <v>118</v>
      </c>
      <c r="C71" s="26">
        <v>0.01</v>
      </c>
      <c r="D71" s="26">
        <v>0.02</v>
      </c>
      <c r="E71" s="26">
        <v>2.5000000000000001E-2</v>
      </c>
      <c r="F71" s="26">
        <v>2.5000000000000001E-2</v>
      </c>
      <c r="G71" s="26">
        <v>0.02</v>
      </c>
    </row>
    <row r="72" spans="2:7" ht="14" customHeight="1" x14ac:dyDescent="0.3">
      <c r="B72" s="4" t="s">
        <v>119</v>
      </c>
      <c r="C72" s="26">
        <v>-0.01</v>
      </c>
      <c r="D72" s="26">
        <v>0</v>
      </c>
      <c r="E72" s="26">
        <v>5.0000000000000001E-3</v>
      </c>
      <c r="F72" s="26">
        <v>5.0000000000000001E-3</v>
      </c>
      <c r="G72" s="26">
        <v>5.0000000000000001E-3</v>
      </c>
    </row>
    <row r="73" spans="2:7" ht="14" customHeight="1" x14ac:dyDescent="0.3">
      <c r="B73" s="4" t="s">
        <v>120</v>
      </c>
      <c r="C73" s="26">
        <v>-0.08</v>
      </c>
      <c r="D73" s="26">
        <v>-0.01</v>
      </c>
      <c r="E73" s="26">
        <v>5.0000000000000001E-3</v>
      </c>
      <c r="F73" s="26">
        <v>0.01</v>
      </c>
      <c r="G73" s="26">
        <v>1.4999999999999999E-2</v>
      </c>
    </row>
    <row r="75" spans="2:7" ht="14" customHeight="1" x14ac:dyDescent="0.3">
      <c r="B75" s="3" t="s">
        <v>87</v>
      </c>
    </row>
    <row r="76" spans="2:7" ht="14" customHeight="1" x14ac:dyDescent="0.3">
      <c r="B76" s="4" t="s">
        <v>80</v>
      </c>
      <c r="C76" s="26">
        <v>0.68600000000000005</v>
      </c>
      <c r="D76" s="26">
        <v>0.68600000000000005</v>
      </c>
      <c r="E76" s="26">
        <v>0.68600000000000005</v>
      </c>
      <c r="F76" s="26">
        <v>0.68600000000000005</v>
      </c>
      <c r="G76" s="26">
        <v>0.68600000000000005</v>
      </c>
    </row>
    <row r="77" spans="2:7" ht="14" customHeight="1" x14ac:dyDescent="0.3">
      <c r="B77" s="4" t="s">
        <v>117</v>
      </c>
      <c r="C77" s="26">
        <v>0.68</v>
      </c>
      <c r="D77" s="26">
        <v>0.68</v>
      </c>
      <c r="E77" s="26">
        <v>0.68</v>
      </c>
      <c r="F77" s="26">
        <v>0.68</v>
      </c>
      <c r="G77" s="26">
        <v>0.68</v>
      </c>
    </row>
    <row r="78" spans="2:7" ht="14" customHeight="1" x14ac:dyDescent="0.3">
      <c r="B78" s="4" t="s">
        <v>118</v>
      </c>
      <c r="C78" s="26">
        <v>0.68600000000000005</v>
      </c>
      <c r="D78" s="26">
        <v>0.68600000000000005</v>
      </c>
      <c r="E78" s="26">
        <v>0.68600000000000005</v>
      </c>
      <c r="F78" s="26">
        <v>0.68600000000000005</v>
      </c>
      <c r="G78" s="26">
        <v>0.68600000000000005</v>
      </c>
    </row>
    <row r="79" spans="2:7" ht="14" customHeight="1" x14ac:dyDescent="0.3">
      <c r="B79" s="4" t="s">
        <v>119</v>
      </c>
      <c r="C79" s="26">
        <v>0.69399999999999995</v>
      </c>
      <c r="D79" s="26">
        <v>0.69399999999999995</v>
      </c>
      <c r="E79" s="26">
        <v>0.69399999999999995</v>
      </c>
      <c r="F79" s="26">
        <v>0.69399999999999995</v>
      </c>
      <c r="G79" s="26">
        <v>0.69399999999999995</v>
      </c>
    </row>
    <row r="80" spans="2:7" ht="14" customHeight="1" x14ac:dyDescent="0.3">
      <c r="B80" s="4" t="s">
        <v>120</v>
      </c>
      <c r="C80" s="26">
        <v>0.71</v>
      </c>
      <c r="D80" s="26">
        <v>0.71</v>
      </c>
      <c r="E80" s="26">
        <v>0.71</v>
      </c>
      <c r="F80" s="26">
        <v>0.71</v>
      </c>
      <c r="G80" s="26">
        <v>0.71</v>
      </c>
    </row>
    <row r="82" spans="2:7" ht="14" customHeight="1" x14ac:dyDescent="0.3">
      <c r="B82" s="3" t="s">
        <v>88</v>
      </c>
    </row>
    <row r="83" spans="2:7" ht="14" customHeight="1" x14ac:dyDescent="0.3">
      <c r="B83" s="4" t="s">
        <v>80</v>
      </c>
      <c r="C83" s="26">
        <v>0.28299999999999997</v>
      </c>
      <c r="D83" s="26">
        <v>0.28000000000000003</v>
      </c>
      <c r="E83" s="26">
        <v>0.27800000000000002</v>
      </c>
      <c r="F83" s="26">
        <v>0.27700000000000002</v>
      </c>
      <c r="G83" s="26">
        <v>0.27689999999999998</v>
      </c>
    </row>
    <row r="84" spans="2:7" ht="14" customHeight="1" x14ac:dyDescent="0.3">
      <c r="B84" s="4" t="s">
        <v>117</v>
      </c>
      <c r="C84" s="26">
        <v>0.28499999999999998</v>
      </c>
      <c r="D84" s="26">
        <v>0.28100000000000003</v>
      </c>
      <c r="E84" s="26">
        <v>0.27700000000000002</v>
      </c>
      <c r="F84" s="26">
        <v>0.27400000000000002</v>
      </c>
      <c r="G84" s="26">
        <v>0.27189999999999998</v>
      </c>
    </row>
    <row r="85" spans="2:7" ht="14" customHeight="1" x14ac:dyDescent="0.3">
      <c r="B85" s="4" t="s">
        <v>118</v>
      </c>
      <c r="C85" s="26">
        <v>0.28299999999999997</v>
      </c>
      <c r="D85" s="26">
        <v>0.28000000000000003</v>
      </c>
      <c r="E85" s="26">
        <v>0.27800000000000002</v>
      </c>
      <c r="F85" s="26">
        <v>0.27700000000000002</v>
      </c>
      <c r="G85" s="26">
        <v>0.27689999999999998</v>
      </c>
    </row>
    <row r="86" spans="2:7" ht="14" customHeight="1" x14ac:dyDescent="0.3">
      <c r="B86" s="4" t="s">
        <v>119</v>
      </c>
      <c r="C86" s="26">
        <v>0.28199999999999997</v>
      </c>
      <c r="D86" s="26">
        <v>0.28399999999999997</v>
      </c>
      <c r="E86" s="26">
        <v>0.28599999999999998</v>
      </c>
      <c r="F86" s="26">
        <v>0.28699999999999998</v>
      </c>
      <c r="G86" s="26">
        <v>0.28699999999999998</v>
      </c>
    </row>
    <row r="87" spans="2:7" ht="14" customHeight="1" x14ac:dyDescent="0.3">
      <c r="B87" s="4" t="s">
        <v>120</v>
      </c>
      <c r="C87" s="26">
        <v>0.27500000000000002</v>
      </c>
      <c r="D87" s="26">
        <v>0.27800000000000002</v>
      </c>
      <c r="E87" s="26">
        <v>0.27700000000000002</v>
      </c>
      <c r="F87" s="26">
        <v>0.27500000000000002</v>
      </c>
      <c r="G87" s="26">
        <v>0.27300000000000002</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121</v>
      </c>
    </row>
    <row r="3" spans="2:9" ht="14" customHeight="1" x14ac:dyDescent="0.3">
      <c r="B3" s="1" t="s">
        <v>122</v>
      </c>
    </row>
    <row r="5" spans="2:9" ht="14" customHeight="1" x14ac:dyDescent="0.3">
      <c r="B5" s="8" t="s">
        <v>123</v>
      </c>
      <c r="C5" s="9"/>
      <c r="D5" s="9"/>
      <c r="E5" s="9"/>
      <c r="F5" s="9"/>
      <c r="G5" s="9"/>
      <c r="H5" s="9"/>
      <c r="I5" s="9"/>
    </row>
    <row r="6" spans="2:9" ht="14" customHeight="1" x14ac:dyDescent="0.3">
      <c r="B6" s="4" t="s">
        <v>124</v>
      </c>
      <c r="C6" s="15">
        <f>'Executive Summary'!C9</f>
        <v>4163</v>
      </c>
    </row>
    <row r="7" spans="2:9" ht="14" customHeight="1" x14ac:dyDescent="0.3">
      <c r="B7" s="4" t="s">
        <v>68</v>
      </c>
      <c r="C7" s="15">
        <f>'DCF Model'!C15</f>
        <v>2334925020</v>
      </c>
    </row>
    <row r="8" spans="2:9" ht="14" customHeight="1" x14ac:dyDescent="0.3">
      <c r="B8" s="4" t="s">
        <v>125</v>
      </c>
      <c r="C8" s="5">
        <f>C6*C7/1000000</f>
        <v>9720292.8582600001</v>
      </c>
    </row>
    <row r="9" spans="2:9" ht="14" customHeight="1" x14ac:dyDescent="0.3">
      <c r="B9" s="4" t="s">
        <v>69</v>
      </c>
      <c r="C9" s="5">
        <f>'DCF Model'!C16</f>
        <v>833018</v>
      </c>
    </row>
    <row r="10" spans="2:9" ht="14" customHeight="1" x14ac:dyDescent="0.3">
      <c r="B10" s="4" t="s">
        <v>126</v>
      </c>
      <c r="C10" s="5">
        <f>C8+C9</f>
        <v>10553310.85826</v>
      </c>
    </row>
    <row r="11" spans="2:9" ht="14" customHeight="1" x14ac:dyDescent="0.3">
      <c r="B11" s="4" t="s">
        <v>127</v>
      </c>
      <c r="C11" s="16">
        <f>'DCF Model'!C26</f>
        <v>8.9025909551441448E-2</v>
      </c>
    </row>
    <row r="12" spans="2:9" ht="14" customHeight="1" x14ac:dyDescent="0.3">
      <c r="B12" s="4" t="s">
        <v>128</v>
      </c>
      <c r="C12" s="16">
        <f>'DCF Model'!C13</f>
        <v>0.01</v>
      </c>
    </row>
    <row r="13" spans="2:9" ht="14" customHeight="1" x14ac:dyDescent="0.3">
      <c r="B13" s="4" t="s">
        <v>129</v>
      </c>
      <c r="C13" s="16">
        <f>'DCF Model'!C6</f>
        <v>0.25</v>
      </c>
    </row>
    <row r="14" spans="2:9" ht="14" customHeight="1" x14ac:dyDescent="0.3">
      <c r="B14" s="4" t="s">
        <v>130</v>
      </c>
      <c r="C14" s="27">
        <v>209963</v>
      </c>
    </row>
    <row r="15" spans="2:9" ht="14" customHeight="1" x14ac:dyDescent="0.3">
      <c r="B15" s="4" t="s">
        <v>131</v>
      </c>
      <c r="C15" s="27">
        <v>406534</v>
      </c>
    </row>
    <row r="16" spans="2:9" ht="14" customHeight="1" x14ac:dyDescent="0.3">
      <c r="B16" s="4" t="s">
        <v>132</v>
      </c>
      <c r="C16" s="5">
        <f>'DCF Model'!G33</f>
        <v>8885796.754407702</v>
      </c>
    </row>
    <row r="17" spans="2:9" ht="14" customHeight="1" x14ac:dyDescent="0.3">
      <c r="B17" s="4" t="s">
        <v>133</v>
      </c>
      <c r="C17" s="5">
        <f>'DCF Model'!C53</f>
        <v>1878193.1705192854</v>
      </c>
    </row>
    <row r="18" spans="2:9" ht="14" customHeight="1" x14ac:dyDescent="0.3">
      <c r="B18" s="4" t="s">
        <v>134</v>
      </c>
      <c r="C18" s="26">
        <v>4.8063975900267022E-2</v>
      </c>
    </row>
    <row r="19" spans="2:9" ht="14" customHeight="1" x14ac:dyDescent="0.3">
      <c r="B19" s="4" t="s">
        <v>135</v>
      </c>
      <c r="C19" s="5">
        <f>C10-C17</f>
        <v>8675117.6877407152</v>
      </c>
    </row>
    <row r="20" spans="2:9" ht="14" customHeight="1" x14ac:dyDescent="0.3">
      <c r="B20" s="4" t="s">
        <v>136</v>
      </c>
      <c r="C20" s="15">
        <f>IFERROR(ROUND(C19*1000000/C7,0),"N/A")</f>
        <v>3715</v>
      </c>
    </row>
    <row r="22" spans="2:9" ht="14" customHeight="1" x14ac:dyDescent="0.3">
      <c r="B22" s="8" t="s">
        <v>137</v>
      </c>
      <c r="C22" s="9"/>
      <c r="D22" s="9"/>
      <c r="E22" s="9"/>
      <c r="F22" s="9"/>
      <c r="G22" s="9"/>
      <c r="H22" s="9"/>
      <c r="I22" s="9"/>
    </row>
    <row r="23" spans="2:9" ht="14" customHeight="1" x14ac:dyDescent="0.3">
      <c r="B23" s="1" t="s">
        <v>138</v>
      </c>
    </row>
    <row r="24" spans="2:9" ht="14" customHeight="1" x14ac:dyDescent="0.3">
      <c r="B24" s="4" t="s">
        <v>139</v>
      </c>
      <c r="C24" s="5">
        <f>C10*(C11-C12)</f>
        <v>833984.98935309972</v>
      </c>
    </row>
    <row r="25" spans="2:9" ht="14" customHeight="1" x14ac:dyDescent="0.3">
      <c r="B25" s="4" t="s">
        <v>140</v>
      </c>
      <c r="C25" s="5">
        <f>IFERROR(C24/(1-C13),"N/A")</f>
        <v>1111979.9858041329</v>
      </c>
    </row>
    <row r="26" spans="2:9" ht="13.5" customHeight="1" x14ac:dyDescent="0.25">
      <c r="B26" s="6" t="s">
        <v>141</v>
      </c>
      <c r="C26" s="14">
        <f>IFERROR(C25/C15,"N/A")</f>
        <v>2.7352693398439807</v>
      </c>
    </row>
    <row r="27" spans="2:9" ht="13.5" customHeight="1" x14ac:dyDescent="0.25">
      <c r="B27" s="6" t="s">
        <v>142</v>
      </c>
      <c r="C27" s="14">
        <f>IFERROR(C25/C14,"N/A")</f>
        <v>5.2960759076796053</v>
      </c>
    </row>
    <row r="28" spans="2:9" ht="13.5" customHeight="1" x14ac:dyDescent="0.25">
      <c r="B28" s="6" t="s">
        <v>143</v>
      </c>
      <c r="C28" s="7">
        <f>IFERROR(C25/C16,"N/A")</f>
        <v>0.12514128069073235</v>
      </c>
    </row>
    <row r="29" spans="2:9" ht="13.5" customHeight="1" x14ac:dyDescent="0.25">
      <c r="B29" s="6" t="s">
        <v>144</v>
      </c>
      <c r="C29" s="5">
        <f>IFERROR(C25/C18,"N/A")</f>
        <v>23135414.10122826</v>
      </c>
    </row>
    <row r="32" spans="2:9" ht="14" customHeight="1" x14ac:dyDescent="0.3">
      <c r="B32" s="8" t="s">
        <v>145</v>
      </c>
      <c r="C32" s="9"/>
      <c r="D32" s="9"/>
      <c r="E32" s="9"/>
      <c r="F32" s="9"/>
      <c r="G32" s="9"/>
      <c r="H32" s="9"/>
      <c r="I32" s="9"/>
    </row>
    <row r="33" spans="2:9" ht="14" customHeight="1" x14ac:dyDescent="0.3">
      <c r="B33" s="1" t="s">
        <v>146</v>
      </c>
    </row>
    <row r="34" spans="2:9" ht="14" customHeight="1" x14ac:dyDescent="0.3">
      <c r="B34" s="1" t="s">
        <v>147</v>
      </c>
    </row>
    <row r="36" spans="2:9" ht="14" customHeight="1" x14ac:dyDescent="0.3">
      <c r="B36" s="28" t="s">
        <v>148</v>
      </c>
      <c r="C36" s="28" t="s">
        <v>149</v>
      </c>
      <c r="D36" s="29">
        <f>'DCF Model'!C26-0.02</f>
        <v>6.9025909551441444E-2</v>
      </c>
      <c r="E36" s="29">
        <f>'DCF Model'!C26-0.01</f>
        <v>7.9025909551441453E-2</v>
      </c>
      <c r="F36" s="29">
        <f>'DCF Model'!C26</f>
        <v>8.9025909551441448E-2</v>
      </c>
      <c r="G36" s="29">
        <f>'DCF Model'!C26+0.01</f>
        <v>9.9025909551441443E-2</v>
      </c>
      <c r="H36" s="29">
        <f>'DCF Model'!C26+0.02</f>
        <v>0.10902590955144145</v>
      </c>
    </row>
    <row r="37" spans="2:9" ht="14" customHeight="1" x14ac:dyDescent="0.3">
      <c r="B37" s="3" t="s">
        <v>150</v>
      </c>
    </row>
    <row r="38" spans="2:9" ht="14" customHeight="1" x14ac:dyDescent="0.3">
      <c r="B38" s="4" t="s">
        <v>151</v>
      </c>
      <c r="C38" s="30">
        <v>3</v>
      </c>
      <c r="D38" s="13">
        <f t="shared" ref="D38:H41" si="0">IFERROR((1-(1+D$36)^(-$C38))/D$36-(1+D$36)/(D$36^2*$C38)*(1-($C38+1)/(1+D$36)^$C38+$C38/(1+D$36)^($C38+1)),"N/A")</f>
        <v>0.91529774804007236</v>
      </c>
      <c r="E38" s="13">
        <f t="shared" si="0"/>
        <v>0.90413701823837478</v>
      </c>
      <c r="F38" s="13">
        <f t="shared" si="0"/>
        <v>0.89322998741389292</v>
      </c>
      <c r="G38" s="13">
        <f t="shared" si="0"/>
        <v>0.88256841224841254</v>
      </c>
      <c r="H38" s="13">
        <f t="shared" si="0"/>
        <v>0.8721443938541571</v>
      </c>
    </row>
    <row r="39" spans="2:9" ht="14" customHeight="1" x14ac:dyDescent="0.3">
      <c r="B39" s="4" t="s">
        <v>152</v>
      </c>
      <c r="C39" s="30">
        <v>5</v>
      </c>
      <c r="D39" s="13">
        <f t="shared" si="0"/>
        <v>1.7539119885942527</v>
      </c>
      <c r="E39" s="13">
        <f t="shared" si="0"/>
        <v>1.7226730702081614</v>
      </c>
      <c r="F39" s="13">
        <f t="shared" si="0"/>
        <v>1.6924088658717666</v>
      </c>
      <c r="G39" s="13">
        <f t="shared" si="0"/>
        <v>1.6630778273339861</v>
      </c>
      <c r="H39" s="13">
        <f t="shared" si="0"/>
        <v>1.6346406069652661</v>
      </c>
    </row>
    <row r="40" spans="2:9" ht="14" customHeight="1" x14ac:dyDescent="0.3">
      <c r="B40" s="4" t="s">
        <v>153</v>
      </c>
      <c r="C40" s="30">
        <v>7</v>
      </c>
      <c r="D40" s="13">
        <f t="shared" si="0"/>
        <v>2.5230543823167815</v>
      </c>
      <c r="E40" s="13">
        <f t="shared" si="0"/>
        <v>2.4647027717172754</v>
      </c>
      <c r="F40" s="13">
        <f t="shared" si="0"/>
        <v>2.4086461455603057</v>
      </c>
      <c r="G40" s="13">
        <f t="shared" si="0"/>
        <v>2.3547641977267788</v>
      </c>
      <c r="H40" s="13">
        <f t="shared" si="0"/>
        <v>2.3029443001865828</v>
      </c>
    </row>
    <row r="41" spans="2:9" ht="14" customHeight="1" x14ac:dyDescent="0.3">
      <c r="B41" s="4" t="s">
        <v>154</v>
      </c>
      <c r="C41" s="30">
        <v>10</v>
      </c>
      <c r="D41" s="13">
        <f t="shared" si="0"/>
        <v>3.5605241492733661</v>
      </c>
      <c r="E41" s="13">
        <f t="shared" si="0"/>
        <v>3.4516893493051537</v>
      </c>
      <c r="F41" s="13">
        <f t="shared" si="0"/>
        <v>3.3483943538359608</v>
      </c>
      <c r="G41" s="13">
        <f t="shared" si="0"/>
        <v>3.2502708010898558</v>
      </c>
      <c r="H41" s="13">
        <f t="shared" si="0"/>
        <v>3.1569796153889076</v>
      </c>
    </row>
    <row r="42" spans="2:9" ht="14" customHeight="1" x14ac:dyDescent="0.3">
      <c r="B42" s="3" t="s">
        <v>155</v>
      </c>
    </row>
    <row r="43" spans="2:9" ht="14" customHeight="1" x14ac:dyDescent="0.3">
      <c r="B43" s="4" t="s">
        <v>151</v>
      </c>
      <c r="C43" s="30">
        <v>3</v>
      </c>
      <c r="D43" s="13">
        <f t="shared" ref="D43:H46" si="1">IFERROR((1+D$36)/(D$36^2*$C43)*(1-($C43+1)/(1+D$36)^$C43+$C43/(1+D$36)^($C43+1))+(1+$C$12)/((D$36-$C$12)*(1+D$36)^$C43),"N/A")</f>
        <v>15.719691619321353</v>
      </c>
      <c r="E43" s="13">
        <f t="shared" si="1"/>
        <v>13.324484000870711</v>
      </c>
      <c r="F43" s="13">
        <f t="shared" si="1"/>
        <v>11.53795396147272</v>
      </c>
      <c r="G43" s="13">
        <f t="shared" si="1"/>
        <v>10.154914036893475</v>
      </c>
      <c r="H43" s="13">
        <f t="shared" si="1"/>
        <v>9.0530619943127419</v>
      </c>
    </row>
    <row r="44" spans="2:9" ht="14" customHeight="1" x14ac:dyDescent="0.3">
      <c r="B44" s="4" t="s">
        <v>152</v>
      </c>
      <c r="C44" s="30">
        <v>5</v>
      </c>
      <c r="D44" s="13">
        <f t="shared" si="1"/>
        <v>14.612684915302221</v>
      </c>
      <c r="E44" s="13">
        <f t="shared" si="1"/>
        <v>12.283760116900186</v>
      </c>
      <c r="F44" s="13">
        <f t="shared" si="1"/>
        <v>10.550834108776286</v>
      </c>
      <c r="G44" s="13">
        <f t="shared" si="1"/>
        <v>9.2127940913444597</v>
      </c>
      <c r="H44" s="13">
        <f t="shared" si="1"/>
        <v>8.149777565380635</v>
      </c>
    </row>
    <row r="45" spans="2:9" ht="14" customHeight="1" x14ac:dyDescent="0.3">
      <c r="B45" s="4" t="s">
        <v>153</v>
      </c>
      <c r="C45" s="30">
        <v>7</v>
      </c>
      <c r="D45" s="13">
        <f t="shared" si="1"/>
        <v>13.608690742614526</v>
      </c>
      <c r="E45" s="13">
        <f t="shared" si="1"/>
        <v>11.350896076291091</v>
      </c>
      <c r="F45" s="13">
        <f t="shared" si="1"/>
        <v>9.6761275621192908</v>
      </c>
      <c r="G45" s="13">
        <f t="shared" si="1"/>
        <v>8.3873084356288725</v>
      </c>
      <c r="H45" s="13">
        <f t="shared" si="1"/>
        <v>7.3670061817199155</v>
      </c>
    </row>
    <row r="46" spans="2:9" ht="14" customHeight="1" x14ac:dyDescent="0.3">
      <c r="B46" s="4" t="s">
        <v>154</v>
      </c>
      <c r="C46" s="30">
        <v>10</v>
      </c>
      <c r="D46" s="13">
        <f t="shared" si="1"/>
        <v>12.272808176996968</v>
      </c>
      <c r="E46" s="13">
        <f t="shared" si="1"/>
        <v>10.126940691538882</v>
      </c>
      <c r="F46" s="13">
        <f t="shared" si="1"/>
        <v>8.5440266334473609</v>
      </c>
      <c r="G46" s="13">
        <f t="shared" si="1"/>
        <v>7.3330089090963373</v>
      </c>
      <c r="H46" s="13">
        <f t="shared" si="1"/>
        <v>6.3801128655411619</v>
      </c>
    </row>
    <row r="47" spans="2:9" ht="14" customHeight="1" x14ac:dyDescent="0.3">
      <c r="B47" s="22" t="s">
        <v>156</v>
      </c>
      <c r="C47" s="23"/>
      <c r="D47" s="23"/>
      <c r="E47" s="23"/>
      <c r="F47" s="23"/>
      <c r="G47" s="23"/>
      <c r="H47" s="23"/>
      <c r="I47" s="23"/>
    </row>
    <row r="48" spans="2:9" ht="14" customHeight="1" x14ac:dyDescent="0.3">
      <c r="B48" s="4" t="s">
        <v>151</v>
      </c>
      <c r="C48" s="30">
        <v>3</v>
      </c>
      <c r="D48" s="5">
        <f t="shared" ref="D48:H51" si="2">IFERROR(($C$10/(1-$C$13)-$C$14*D38)/D43,"N/A")</f>
        <v>882899.15727202455</v>
      </c>
      <c r="E48" s="5">
        <f t="shared" si="2"/>
        <v>1041784.869318706</v>
      </c>
      <c r="F48" s="5">
        <f t="shared" si="2"/>
        <v>1203292.7105497976</v>
      </c>
      <c r="G48" s="5">
        <f t="shared" si="2"/>
        <v>1367394.5818111131</v>
      </c>
      <c r="H48" s="5">
        <f t="shared" si="2"/>
        <v>1534062.5193668702</v>
      </c>
    </row>
    <row r="49" spans="2:9" ht="14" customHeight="1" x14ac:dyDescent="0.3">
      <c r="B49" s="4" t="s">
        <v>152</v>
      </c>
      <c r="C49" s="30">
        <v>5</v>
      </c>
      <c r="D49" s="5">
        <f t="shared" si="2"/>
        <v>937734.8927257047</v>
      </c>
      <c r="E49" s="5">
        <f t="shared" si="2"/>
        <v>1116057.5758594447</v>
      </c>
      <c r="F49" s="5">
        <f t="shared" si="2"/>
        <v>1299967.164703381</v>
      </c>
      <c r="G49" s="5">
        <f t="shared" si="2"/>
        <v>1489439.1645394575</v>
      </c>
      <c r="H49" s="5">
        <f t="shared" si="2"/>
        <v>1684446.8439115321</v>
      </c>
    </row>
    <row r="50" spans="2:9" ht="14" customHeight="1" x14ac:dyDescent="0.3">
      <c r="B50" s="4" t="s">
        <v>153</v>
      </c>
      <c r="C50" s="30">
        <v>7</v>
      </c>
      <c r="D50" s="5">
        <f t="shared" si="2"/>
        <v>995050.3933981458</v>
      </c>
      <c r="E50" s="5">
        <f t="shared" si="2"/>
        <v>1194054.1667541398</v>
      </c>
      <c r="F50" s="5">
        <f t="shared" si="2"/>
        <v>1401940.444315026</v>
      </c>
      <c r="G50" s="5">
        <f t="shared" si="2"/>
        <v>1618715.6932760866</v>
      </c>
      <c r="H50" s="5">
        <f t="shared" si="2"/>
        <v>1844378.532484741</v>
      </c>
    </row>
    <row r="51" spans="2:9" ht="14" customHeight="1" x14ac:dyDescent="0.3">
      <c r="B51" s="4" t="s">
        <v>154</v>
      </c>
      <c r="C51" s="30">
        <v>10</v>
      </c>
      <c r="D51" s="5">
        <f t="shared" si="2"/>
        <v>1085611.5911079864</v>
      </c>
      <c r="E51" s="5">
        <f t="shared" si="2"/>
        <v>1317905.8217107428</v>
      </c>
      <c r="F51" s="5">
        <f t="shared" si="2"/>
        <v>1564606.8059175094</v>
      </c>
      <c r="G51" s="5">
        <f t="shared" si="2"/>
        <v>1825805.027937345</v>
      </c>
      <c r="H51" s="5">
        <f t="shared" si="2"/>
        <v>2101566.6205183156</v>
      </c>
    </row>
    <row r="52" spans="2:9" ht="14" customHeight="1" x14ac:dyDescent="0.3">
      <c r="B52" s="22" t="s">
        <v>157</v>
      </c>
      <c r="C52" s="23"/>
      <c r="D52" s="23"/>
      <c r="E52" s="23"/>
      <c r="F52" s="23"/>
      <c r="G52" s="23"/>
      <c r="H52" s="23"/>
      <c r="I52" s="23"/>
    </row>
    <row r="53" spans="2:9" ht="14" customHeight="1" x14ac:dyDescent="0.3">
      <c r="B53" s="4" t="s">
        <v>151</v>
      </c>
      <c r="C53" s="30">
        <v>3</v>
      </c>
      <c r="D53" s="14">
        <f t="shared" ref="D53:H56" si="3">IFERROR(D48/$C$15,"N/A")</f>
        <v>2.1717719975992771</v>
      </c>
      <c r="E53" s="14">
        <f t="shared" si="3"/>
        <v>2.562602068507692</v>
      </c>
      <c r="F53" s="14">
        <f t="shared" si="3"/>
        <v>2.9598821022344937</v>
      </c>
      <c r="G53" s="14">
        <f t="shared" si="3"/>
        <v>3.3635429799502945</v>
      </c>
      <c r="H53" s="14">
        <f t="shared" si="3"/>
        <v>3.7735159159304517</v>
      </c>
    </row>
    <row r="54" spans="2:9" ht="14" customHeight="1" x14ac:dyDescent="0.3">
      <c r="B54" s="4" t="s">
        <v>152</v>
      </c>
      <c r="C54" s="30">
        <v>5</v>
      </c>
      <c r="D54" s="14">
        <f t="shared" si="3"/>
        <v>2.3066579738120421</v>
      </c>
      <c r="E54" s="14">
        <f t="shared" si="3"/>
        <v>2.7452994727610598</v>
      </c>
      <c r="F54" s="14">
        <f t="shared" si="3"/>
        <v>3.1976837477391338</v>
      </c>
      <c r="G54" s="14">
        <f t="shared" si="3"/>
        <v>3.6637505461768449</v>
      </c>
      <c r="H54" s="14">
        <f t="shared" si="3"/>
        <v>4.1434341135342478</v>
      </c>
    </row>
    <row r="55" spans="2:9" ht="14" customHeight="1" x14ac:dyDescent="0.3">
      <c r="B55" s="4" t="s">
        <v>153</v>
      </c>
      <c r="C55" s="30">
        <v>7</v>
      </c>
      <c r="D55" s="14">
        <f t="shared" si="3"/>
        <v>2.4476437232756565</v>
      </c>
      <c r="E55" s="14">
        <f t="shared" si="3"/>
        <v>2.9371569579767987</v>
      </c>
      <c r="F55" s="14">
        <f t="shared" si="3"/>
        <v>3.4485195440357415</v>
      </c>
      <c r="G55" s="14">
        <f t="shared" si="3"/>
        <v>3.9817473895814044</v>
      </c>
      <c r="H55" s="14">
        <f t="shared" si="3"/>
        <v>4.5368370972286227</v>
      </c>
    </row>
    <row r="56" spans="2:9" ht="14" customHeight="1" x14ac:dyDescent="0.3">
      <c r="B56" s="4" t="s">
        <v>154</v>
      </c>
      <c r="C56" s="30">
        <v>10</v>
      </c>
      <c r="D56" s="14">
        <f t="shared" si="3"/>
        <v>2.6704078652904464</v>
      </c>
      <c r="E56" s="14">
        <f t="shared" si="3"/>
        <v>3.2418095945498844</v>
      </c>
      <c r="F56" s="14">
        <f t="shared" si="3"/>
        <v>3.8486493280205578</v>
      </c>
      <c r="G56" s="14">
        <f t="shared" si="3"/>
        <v>4.4911496404663449</v>
      </c>
      <c r="H56" s="14">
        <f t="shared" si="3"/>
        <v>5.1694732064681324</v>
      </c>
    </row>
    <row r="58" spans="2:9" ht="14" customHeight="1" x14ac:dyDescent="0.3">
      <c r="B58" s="8" t="s">
        <v>158</v>
      </c>
      <c r="C58" s="9"/>
      <c r="D58" s="9"/>
      <c r="E58" s="9"/>
      <c r="F58" s="9"/>
      <c r="G58" s="9"/>
      <c r="H58" s="9"/>
      <c r="I58" s="9"/>
    </row>
    <row r="59" spans="2:9" ht="14" customHeight="1" x14ac:dyDescent="0.3">
      <c r="B59" s="1" t="s">
        <v>159</v>
      </c>
    </row>
    <row r="60" spans="2:9" ht="14" customHeight="1" x14ac:dyDescent="0.3">
      <c r="B60" s="4" t="s">
        <v>160</v>
      </c>
      <c r="C60" s="5">
        <f>F49</f>
        <v>1299967.164703381</v>
      </c>
    </row>
    <row r="62" spans="2:9" ht="14" customHeight="1" x14ac:dyDescent="0.3">
      <c r="B62" s="28" t="s">
        <v>161</v>
      </c>
      <c r="C62" s="28" t="s">
        <v>162</v>
      </c>
      <c r="D62" s="28" t="s">
        <v>163</v>
      </c>
    </row>
    <row r="63" spans="2:9" ht="14" customHeight="1" x14ac:dyDescent="0.3">
      <c r="B63" s="31">
        <v>2.4E-2</v>
      </c>
      <c r="C63" s="5">
        <f>IFERROR($C$60/B63,"N/A")</f>
        <v>54165298.529307544</v>
      </c>
      <c r="D63" s="14">
        <f>IFERROR(C63/'DCF Model'!C17,"N/A")</f>
        <v>6.729676901414603</v>
      </c>
    </row>
    <row r="64" spans="2:9" ht="14" customHeight="1" x14ac:dyDescent="0.3">
      <c r="B64" s="31">
        <v>3.5999999999999997E-2</v>
      </c>
      <c r="C64" s="5">
        <f>IFERROR($C$60/B64,"N/A")</f>
        <v>36110199.019538365</v>
      </c>
      <c r="D64" s="14">
        <f>IFERROR(C64/'DCF Model'!C17,"N/A")</f>
        <v>4.4864512676097359</v>
      </c>
    </row>
    <row r="65" spans="2:9" ht="14" customHeight="1" x14ac:dyDescent="0.3">
      <c r="B65" s="4" t="s">
        <v>164</v>
      </c>
      <c r="C65" s="5">
        <f>IFERROR($C$60/$C$18,"N/A")</f>
        <v>27046600.709870923</v>
      </c>
      <c r="D65" s="14">
        <f>IFERROR(C65/'DCF Model'!C17,"N/A")</f>
        <v>3.3603596583247533</v>
      </c>
    </row>
    <row r="66" spans="2:9" ht="14" customHeight="1" x14ac:dyDescent="0.3">
      <c r="B66" s="31">
        <v>6.0100000000000001E-2</v>
      </c>
      <c r="C66" s="5">
        <f>IFERROR($C$60/B66,"N/A")</f>
        <v>21630069.296229303</v>
      </c>
      <c r="D66" s="14">
        <f>IFERROR(C66/'DCF Model'!C17,"N/A")</f>
        <v>2.6873917742753823</v>
      </c>
    </row>
    <row r="67" spans="2:9" ht="14" customHeight="1" x14ac:dyDescent="0.3">
      <c r="B67" s="31">
        <v>7.2099999999999997E-2</v>
      </c>
      <c r="C67" s="5">
        <f>IFERROR($C$60/B67,"N/A")</f>
        <v>18030057.762876298</v>
      </c>
      <c r="D67" s="14">
        <f>IFERROR(C67/'DCF Model'!C17,"N/A")</f>
        <v>2.2401143638550689</v>
      </c>
    </row>
    <row r="69" spans="2:9" ht="14" customHeight="1" x14ac:dyDescent="0.3">
      <c r="B69" s="8" t="s">
        <v>165</v>
      </c>
      <c r="C69" s="9"/>
      <c r="D69" s="9"/>
      <c r="E69" s="9"/>
      <c r="F69" s="9"/>
      <c r="G69" s="9"/>
      <c r="H69" s="9"/>
      <c r="I69" s="9"/>
    </row>
    <row r="70" spans="2:9" ht="13.5" customHeight="1" x14ac:dyDescent="0.25">
      <c r="B70" s="6" t="s">
        <v>166</v>
      </c>
      <c r="C70" s="14">
        <f>IFERROR(C10/'Comps Analysis'!G5,"N/A")</f>
        <v>17.179269024767827</v>
      </c>
    </row>
    <row r="71" spans="2:9" ht="13.5" customHeight="1" x14ac:dyDescent="0.25">
      <c r="B71" s="6" t="s">
        <v>167</v>
      </c>
      <c r="C71" s="14">
        <f>IFERROR(C10/'Comps Analysis'!F5,"N/A")</f>
        <v>1.3111784527108776</v>
      </c>
    </row>
    <row r="72" spans="2:9" ht="14" customHeight="1" x14ac:dyDescent="0.3">
      <c r="B72" s="4" t="s">
        <v>168</v>
      </c>
      <c r="C72" s="14">
        <f>IFERROR(C10/(C25+'DCF Model'!G42),"N/A")</f>
        <v>6.7811575465491511</v>
      </c>
    </row>
    <row r="73" spans="2:9" ht="14" customHeight="1" x14ac:dyDescent="0.3">
      <c r="B73" s="4" t="s">
        <v>169</v>
      </c>
      <c r="C73" s="14">
        <f>IFERROR(C10/(C60+'DCF Model'!G42),"N/A")</f>
        <v>6.0503187566943648</v>
      </c>
    </row>
    <row r="74" spans="2:9" ht="14" customHeight="1" x14ac:dyDescent="0.3">
      <c r="B74" s="4" t="s">
        <v>170</v>
      </c>
      <c r="C74" s="14">
        <f>IFERROR('Comps Analysis'!D16,"N/A")</f>
        <v>14.333259113904496</v>
      </c>
    </row>
    <row r="75" spans="2:9" ht="14" customHeight="1" x14ac:dyDescent="0.3">
      <c r="B75" s="1" t="s">
        <v>171</v>
      </c>
    </row>
    <row r="77" spans="2:9" ht="14" customHeight="1" x14ac:dyDescent="0.3">
      <c r="B77" s="22" t="s">
        <v>172</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FY2025 cycle peak of "&amp;TEXT(C15,"#,##0")&amp;" mn - reached in 5 years and sustained for ever, against "&amp;TEXT(C14,"#,##0")&amp;" mn actually earned in FY2026."</f>
        <v>At 4,163 yen the market is paying for a steady-state operating profit of 1,299,967 mn JPY - 3.20x the FY2025 cycle peak of 406,534 mn - reached in 5 years and sustained for ever, against 209,963 mn actually earned in FY2026.</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1,111,980 mn, or 2.74x the peak. The base case supports an EV of only 1,878,193 mn, leaving 3,715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173</v>
      </c>
    </row>
    <row r="4" spans="2:8" ht="14" customHeight="1" x14ac:dyDescent="0.3">
      <c r="B4" s="8" t="s">
        <v>174</v>
      </c>
      <c r="C4" s="32" t="s">
        <v>175</v>
      </c>
      <c r="D4" s="32" t="s">
        <v>82</v>
      </c>
      <c r="E4" s="32" t="s">
        <v>83</v>
      </c>
      <c r="F4" s="32" t="s">
        <v>84</v>
      </c>
      <c r="G4" s="32" t="s">
        <v>85</v>
      </c>
      <c r="H4" s="32" t="s">
        <v>86</v>
      </c>
    </row>
    <row r="5" spans="2:8" ht="14" customHeight="1" x14ac:dyDescent="0.3">
      <c r="B5" s="33" t="s">
        <v>176</v>
      </c>
      <c r="C5" s="34">
        <f>C12/C9*365</f>
        <v>62.570026645223926</v>
      </c>
      <c r="D5" s="34">
        <f>CHOOSE('DCF Model'!$D$27,D25,D26,D27,D28,D29)</f>
        <v>59</v>
      </c>
      <c r="E5" s="34">
        <f>CHOOSE('DCF Model'!$D$27,E25,E26,E27,E28,E29)</f>
        <v>59</v>
      </c>
      <c r="F5" s="34">
        <f>CHOOSE('DCF Model'!$D$27,F25,F26,F27,F28,F29)</f>
        <v>59</v>
      </c>
      <c r="G5" s="34">
        <f>CHOOSE('DCF Model'!$D$27,G25,G26,G27,G28,G29)</f>
        <v>59</v>
      </c>
      <c r="H5" s="34">
        <f>CHOOSE('DCF Model'!$D$27,H25,H26,H27,H28,H29)</f>
        <v>59</v>
      </c>
    </row>
    <row r="6" spans="2:8" ht="14" customHeight="1" x14ac:dyDescent="0.3">
      <c r="B6" s="33" t="s">
        <v>177</v>
      </c>
      <c r="C6" s="34">
        <f>C13/C10*365</f>
        <v>70.471782665749586</v>
      </c>
      <c r="D6" s="34">
        <f>CHOOSE('DCF Model'!$D$27,D32,D33,D34,D35,D36)</f>
        <v>71</v>
      </c>
      <c r="E6" s="34">
        <f>CHOOSE('DCF Model'!$D$27,E32,E33,E34,E35,E36)</f>
        <v>71</v>
      </c>
      <c r="F6" s="34">
        <f>CHOOSE('DCF Model'!$D$27,F32,F33,F34,F35,F36)</f>
        <v>71</v>
      </c>
      <c r="G6" s="34">
        <f>CHOOSE('DCF Model'!$D$27,G32,G33,G34,G35,G36)</f>
        <v>71</v>
      </c>
      <c r="H6" s="34">
        <f>CHOOSE('DCF Model'!$D$27,H32,H33,H34,H35,H36)</f>
        <v>71</v>
      </c>
    </row>
    <row r="7" spans="2:8" ht="14" customHeight="1" x14ac:dyDescent="0.3">
      <c r="B7" s="33" t="s">
        <v>178</v>
      </c>
      <c r="C7" s="34">
        <f>C15/C10*365</f>
        <v>67.228736036845589</v>
      </c>
      <c r="D7" s="34">
        <f>CHOOSE('DCF Model'!$D$27,D39,D40,D41,D42,D43)</f>
        <v>68</v>
      </c>
      <c r="E7" s="34">
        <f>CHOOSE('DCF Model'!$D$27,E39,E40,E41,E42,E43)</f>
        <v>68</v>
      </c>
      <c r="F7" s="34">
        <f>CHOOSE('DCF Model'!$D$27,F39,F40,F41,F42,F43)</f>
        <v>68</v>
      </c>
      <c r="G7" s="34">
        <f>CHOOSE('DCF Model'!$D$27,G39,G40,G41,G42,G43)</f>
        <v>68</v>
      </c>
      <c r="H7" s="34">
        <f>CHOOSE('DCF Model'!$D$27,H39,H40,H41,H42,H43)</f>
        <v>68</v>
      </c>
    </row>
    <row r="8" spans="2:8" ht="14" customHeight="1" x14ac:dyDescent="0.3">
      <c r="B8" s="8" t="s">
        <v>179</v>
      </c>
      <c r="C8" s="9"/>
      <c r="D8" s="9"/>
      <c r="E8" s="9"/>
      <c r="F8" s="9"/>
      <c r="G8" s="9"/>
      <c r="H8" s="9"/>
    </row>
    <row r="9" spans="2:8" ht="14" customHeight="1" x14ac:dyDescent="0.3">
      <c r="B9" s="33" t="s">
        <v>33</v>
      </c>
      <c r="C9" s="35">
        <v>8048722</v>
      </c>
      <c r="D9" s="35">
        <f>'DCF Model'!C33</f>
        <v>8129209.2199999997</v>
      </c>
      <c r="E9" s="35">
        <f>'DCF Model'!D33</f>
        <v>8291793.4043999994</v>
      </c>
      <c r="F9" s="35">
        <f>'DCF Model'!E33</f>
        <v>8499088.2395099979</v>
      </c>
      <c r="G9" s="35">
        <f>'DCF Model'!F33</f>
        <v>8711565.4454977475</v>
      </c>
      <c r="H9" s="35">
        <f>'DCF Model'!G33</f>
        <v>8885796.754407702</v>
      </c>
    </row>
    <row r="10" spans="2:8" ht="14" customHeight="1" x14ac:dyDescent="0.3">
      <c r="B10" s="33" t="s">
        <v>34</v>
      </c>
      <c r="C10" s="35">
        <v>5521854</v>
      </c>
      <c r="D10" s="35">
        <f>'DCF Model'!C34</f>
        <v>5576637.5249200007</v>
      </c>
      <c r="E10" s="35">
        <f>'DCF Model'!D34</f>
        <v>5688170.2754183998</v>
      </c>
      <c r="F10" s="35">
        <f>'DCF Model'!E34</f>
        <v>5830374.5323038585</v>
      </c>
      <c r="G10" s="35">
        <f>'DCF Model'!F34</f>
        <v>5976133.8956114557</v>
      </c>
      <c r="H10" s="35">
        <f>'DCF Model'!G34</f>
        <v>6095656.5735236844</v>
      </c>
    </row>
    <row r="11" spans="2:8" ht="14" customHeight="1" x14ac:dyDescent="0.3">
      <c r="B11" s="8" t="s">
        <v>180</v>
      </c>
      <c r="C11" s="9"/>
      <c r="D11" s="9"/>
      <c r="E11" s="9"/>
      <c r="F11" s="9"/>
      <c r="G11" s="9"/>
      <c r="H11" s="9"/>
    </row>
    <row r="12" spans="2:8" ht="14" customHeight="1" x14ac:dyDescent="0.3">
      <c r="B12" s="33" t="s">
        <v>181</v>
      </c>
      <c r="C12" s="35">
        <v>1379750</v>
      </c>
      <c r="D12" s="35">
        <f t="shared" ref="D12:H13" si="0">D9*D5/365</f>
        <v>1314036.5588493149</v>
      </c>
      <c r="E12" s="35">
        <f t="shared" si="0"/>
        <v>1340317.2900263013</v>
      </c>
      <c r="F12" s="35">
        <f t="shared" si="0"/>
        <v>1373825.2222769586</v>
      </c>
      <c r="G12" s="35">
        <f t="shared" si="0"/>
        <v>1408170.8528338824</v>
      </c>
      <c r="H12" s="35">
        <f t="shared" si="0"/>
        <v>1436334.2698905601</v>
      </c>
    </row>
    <row r="13" spans="2:8" ht="14" customHeight="1" x14ac:dyDescent="0.3">
      <c r="B13" s="33" t="s">
        <v>182</v>
      </c>
      <c r="C13" s="35">
        <v>1066123</v>
      </c>
      <c r="D13" s="35">
        <f t="shared" si="0"/>
        <v>1084770.5870392332</v>
      </c>
      <c r="E13" s="35">
        <f t="shared" si="0"/>
        <v>1106465.9987800175</v>
      </c>
      <c r="F13" s="35">
        <f t="shared" si="0"/>
        <v>1134127.6487495177</v>
      </c>
      <c r="G13" s="35">
        <f t="shared" si="0"/>
        <v>1162480.8399682557</v>
      </c>
      <c r="H13" s="35">
        <f t="shared" si="0"/>
        <v>1185730.4567676208</v>
      </c>
    </row>
    <row r="14" spans="2:8" ht="14" customHeight="1" x14ac:dyDescent="0.3">
      <c r="B14" s="33" t="s">
        <v>183</v>
      </c>
      <c r="C14" s="35">
        <f t="shared" ref="C14:H14" si="1">C12+C13</f>
        <v>2445873</v>
      </c>
      <c r="D14" s="35">
        <f t="shared" si="1"/>
        <v>2398807.1458885483</v>
      </c>
      <c r="E14" s="35">
        <f t="shared" si="1"/>
        <v>2446783.2888063188</v>
      </c>
      <c r="F14" s="35">
        <f t="shared" si="1"/>
        <v>2507952.8710264764</v>
      </c>
      <c r="G14" s="35">
        <f t="shared" si="1"/>
        <v>2570651.6928021382</v>
      </c>
      <c r="H14" s="35">
        <f t="shared" si="1"/>
        <v>2622064.7266581808</v>
      </c>
    </row>
    <row r="15" spans="2:8" ht="14" customHeight="1" x14ac:dyDescent="0.3">
      <c r="B15" s="33" t="s">
        <v>184</v>
      </c>
      <c r="C15" s="35">
        <v>1017061</v>
      </c>
      <c r="D15" s="35">
        <f>D10*D7/365</f>
        <v>1038935.2101220824</v>
      </c>
      <c r="E15" s="35">
        <f>E10*E7/365</f>
        <v>1059713.9143245239</v>
      </c>
      <c r="F15" s="35">
        <f>F10*F7/365</f>
        <v>1086206.7621826367</v>
      </c>
      <c r="G15" s="35">
        <f>G10*G7/365</f>
        <v>1113361.9312372026</v>
      </c>
      <c r="H15" s="35">
        <f>H10*H7/365</f>
        <v>1135629.1698619467</v>
      </c>
    </row>
    <row r="16" spans="2:8" ht="14" customHeight="1" x14ac:dyDescent="0.3">
      <c r="B16" s="33" t="s">
        <v>185</v>
      </c>
      <c r="C16" s="35">
        <f t="shared" ref="C16:H16" si="2">C15</f>
        <v>1017061</v>
      </c>
      <c r="D16" s="35">
        <f t="shared" si="2"/>
        <v>1038935.2101220824</v>
      </c>
      <c r="E16" s="35">
        <f t="shared" si="2"/>
        <v>1059713.9143245239</v>
      </c>
      <c r="F16" s="35">
        <f t="shared" si="2"/>
        <v>1086206.7621826367</v>
      </c>
      <c r="G16" s="35">
        <f t="shared" si="2"/>
        <v>1113361.9312372026</v>
      </c>
      <c r="H16" s="35">
        <f t="shared" si="2"/>
        <v>1135629.1698619467</v>
      </c>
    </row>
    <row r="17" spans="2:8" ht="14" customHeight="1" x14ac:dyDescent="0.3">
      <c r="B17" s="22" t="s">
        <v>186</v>
      </c>
      <c r="C17" s="23"/>
      <c r="D17" s="23"/>
      <c r="E17" s="23"/>
      <c r="F17" s="23"/>
      <c r="G17" s="23"/>
      <c r="H17" s="23"/>
    </row>
    <row r="18" spans="2:8" ht="14" customHeight="1" x14ac:dyDescent="0.3">
      <c r="B18" s="33" t="s">
        <v>187</v>
      </c>
      <c r="C18" s="20">
        <f t="shared" ref="C18:H18" si="3">C14-C16</f>
        <v>1428812</v>
      </c>
      <c r="D18" s="20">
        <f t="shared" si="3"/>
        <v>1359871.935766466</v>
      </c>
      <c r="E18" s="20">
        <f t="shared" si="3"/>
        <v>1387069.3744817949</v>
      </c>
      <c r="F18" s="20">
        <f t="shared" si="3"/>
        <v>1421746.1088438397</v>
      </c>
      <c r="G18" s="20">
        <f t="shared" si="3"/>
        <v>1457289.7615649356</v>
      </c>
      <c r="H18" s="20">
        <f t="shared" si="3"/>
        <v>1486435.5567962341</v>
      </c>
    </row>
    <row r="19" spans="2:8" ht="14" customHeight="1" x14ac:dyDescent="0.3">
      <c r="B19" s="33" t="s">
        <v>96</v>
      </c>
      <c r="C19" s="36" t="s">
        <v>43</v>
      </c>
      <c r="D19" s="24">
        <f>D18-C18</f>
        <v>-68940.064233534038</v>
      </c>
      <c r="E19" s="24">
        <f>E18-D18</f>
        <v>27197.438715328928</v>
      </c>
      <c r="F19" s="24">
        <f>F18-E18</f>
        <v>34676.734362044837</v>
      </c>
      <c r="G19" s="24">
        <f>G18-F18</f>
        <v>35543.65272109583</v>
      </c>
      <c r="H19" s="24">
        <f>H18-G18</f>
        <v>29145.795231298544</v>
      </c>
    </row>
    <row r="22" spans="2:8" ht="14" customHeight="1" x14ac:dyDescent="0.3">
      <c r="B22" s="22" t="s">
        <v>188</v>
      </c>
      <c r="C22" s="23"/>
      <c r="D22" s="23"/>
      <c r="E22" s="23"/>
      <c r="F22" s="23"/>
      <c r="G22" s="23"/>
      <c r="H22" s="23"/>
    </row>
    <row r="23" spans="2:8" ht="14" customHeight="1" x14ac:dyDescent="0.3">
      <c r="D23" s="25" t="s">
        <v>82</v>
      </c>
      <c r="E23" s="25" t="s">
        <v>83</v>
      </c>
      <c r="F23" s="25" t="s">
        <v>84</v>
      </c>
      <c r="G23" s="25" t="s">
        <v>85</v>
      </c>
      <c r="H23" s="25" t="s">
        <v>86</v>
      </c>
    </row>
    <row r="24" spans="2:8" ht="14" customHeight="1" x14ac:dyDescent="0.3">
      <c r="B24" s="3" t="s">
        <v>189</v>
      </c>
    </row>
    <row r="25" spans="2:8" ht="14" customHeight="1" x14ac:dyDescent="0.3">
      <c r="B25" s="4" t="s">
        <v>80</v>
      </c>
      <c r="D25" s="30">
        <v>59</v>
      </c>
      <c r="E25" s="30">
        <v>59</v>
      </c>
      <c r="F25" s="30">
        <v>59</v>
      </c>
      <c r="G25" s="30">
        <v>59</v>
      </c>
      <c r="H25" s="30">
        <v>59</v>
      </c>
    </row>
    <row r="26" spans="2:8" ht="14" customHeight="1" x14ac:dyDescent="0.3">
      <c r="B26" s="4" t="s">
        <v>117</v>
      </c>
      <c r="D26" s="30">
        <v>56</v>
      </c>
      <c r="E26" s="30">
        <v>56</v>
      </c>
      <c r="F26" s="30">
        <v>56</v>
      </c>
      <c r="G26" s="30">
        <v>56</v>
      </c>
      <c r="H26" s="30">
        <v>56</v>
      </c>
    </row>
    <row r="27" spans="2:8" ht="14" customHeight="1" x14ac:dyDescent="0.3">
      <c r="B27" s="4" t="s">
        <v>118</v>
      </c>
      <c r="D27" s="30">
        <v>59</v>
      </c>
      <c r="E27" s="30">
        <v>59</v>
      </c>
      <c r="F27" s="30">
        <v>59</v>
      </c>
      <c r="G27" s="30">
        <v>59</v>
      </c>
      <c r="H27" s="30">
        <v>59</v>
      </c>
    </row>
    <row r="28" spans="2:8" ht="14" customHeight="1" x14ac:dyDescent="0.3">
      <c r="B28" s="4" t="s">
        <v>119</v>
      </c>
      <c r="D28" s="30">
        <v>62</v>
      </c>
      <c r="E28" s="30">
        <v>62</v>
      </c>
      <c r="F28" s="30">
        <v>62</v>
      </c>
      <c r="G28" s="30">
        <v>62</v>
      </c>
      <c r="H28" s="30">
        <v>62</v>
      </c>
    </row>
    <row r="29" spans="2:8" ht="14" customHeight="1" x14ac:dyDescent="0.3">
      <c r="B29" s="4" t="s">
        <v>120</v>
      </c>
      <c r="D29" s="30">
        <v>65</v>
      </c>
      <c r="E29" s="30">
        <v>65</v>
      </c>
      <c r="F29" s="30">
        <v>65</v>
      </c>
      <c r="G29" s="30">
        <v>65</v>
      </c>
      <c r="H29" s="30">
        <v>65</v>
      </c>
    </row>
    <row r="31" spans="2:8" ht="14" customHeight="1" x14ac:dyDescent="0.3">
      <c r="B31" s="3" t="s">
        <v>190</v>
      </c>
    </row>
    <row r="32" spans="2:8" ht="14" customHeight="1" x14ac:dyDescent="0.3">
      <c r="B32" s="4" t="s">
        <v>80</v>
      </c>
      <c r="D32" s="30">
        <v>71</v>
      </c>
      <c r="E32" s="30">
        <v>71</v>
      </c>
      <c r="F32" s="30">
        <v>71</v>
      </c>
      <c r="G32" s="30">
        <v>71</v>
      </c>
      <c r="H32" s="30">
        <v>71</v>
      </c>
    </row>
    <row r="33" spans="2:8" ht="14" customHeight="1" x14ac:dyDescent="0.3">
      <c r="B33" s="4" t="s">
        <v>117</v>
      </c>
      <c r="D33" s="30">
        <v>68</v>
      </c>
      <c r="E33" s="30">
        <v>68</v>
      </c>
      <c r="F33" s="30">
        <v>68</v>
      </c>
      <c r="G33" s="30">
        <v>68</v>
      </c>
      <c r="H33" s="30">
        <v>68</v>
      </c>
    </row>
    <row r="34" spans="2:8" ht="14" customHeight="1" x14ac:dyDescent="0.3">
      <c r="B34" s="4" t="s">
        <v>118</v>
      </c>
      <c r="D34" s="30">
        <v>71</v>
      </c>
      <c r="E34" s="30">
        <v>71</v>
      </c>
      <c r="F34" s="30">
        <v>71</v>
      </c>
      <c r="G34" s="30">
        <v>71</v>
      </c>
      <c r="H34" s="30">
        <v>71</v>
      </c>
    </row>
    <row r="35" spans="2:8" ht="14" customHeight="1" x14ac:dyDescent="0.3">
      <c r="B35" s="4" t="s">
        <v>119</v>
      </c>
      <c r="D35" s="30">
        <v>75</v>
      </c>
      <c r="E35" s="30">
        <v>75</v>
      </c>
      <c r="F35" s="30">
        <v>75</v>
      </c>
      <c r="G35" s="30">
        <v>75</v>
      </c>
      <c r="H35" s="30">
        <v>75</v>
      </c>
    </row>
    <row r="36" spans="2:8" ht="14" customHeight="1" x14ac:dyDescent="0.3">
      <c r="B36" s="4" t="s">
        <v>120</v>
      </c>
      <c r="D36" s="30">
        <v>78</v>
      </c>
      <c r="E36" s="30">
        <v>78</v>
      </c>
      <c r="F36" s="30">
        <v>78</v>
      </c>
      <c r="G36" s="30">
        <v>78</v>
      </c>
      <c r="H36" s="30">
        <v>78</v>
      </c>
    </row>
    <row r="38" spans="2:8" ht="14" customHeight="1" x14ac:dyDescent="0.3">
      <c r="B38" s="3" t="s">
        <v>191</v>
      </c>
    </row>
    <row r="39" spans="2:8" ht="14" customHeight="1" x14ac:dyDescent="0.3">
      <c r="B39" s="4" t="s">
        <v>80</v>
      </c>
      <c r="D39" s="30">
        <v>68</v>
      </c>
      <c r="E39" s="30">
        <v>68</v>
      </c>
      <c r="F39" s="30">
        <v>68</v>
      </c>
      <c r="G39" s="30">
        <v>68</v>
      </c>
      <c r="H39" s="30">
        <v>68</v>
      </c>
    </row>
    <row r="40" spans="2:8" ht="14" customHeight="1" x14ac:dyDescent="0.3">
      <c r="B40" s="4" t="s">
        <v>117</v>
      </c>
      <c r="D40" s="30">
        <v>71</v>
      </c>
      <c r="E40" s="30">
        <v>71</v>
      </c>
      <c r="F40" s="30">
        <v>71</v>
      </c>
      <c r="G40" s="30">
        <v>71</v>
      </c>
      <c r="H40" s="30">
        <v>71</v>
      </c>
    </row>
    <row r="41" spans="2:8" ht="14" customHeight="1" x14ac:dyDescent="0.3">
      <c r="B41" s="4" t="s">
        <v>118</v>
      </c>
      <c r="D41" s="30">
        <v>68</v>
      </c>
      <c r="E41" s="30">
        <v>68</v>
      </c>
      <c r="F41" s="30">
        <v>68</v>
      </c>
      <c r="G41" s="30">
        <v>68</v>
      </c>
      <c r="H41" s="30">
        <v>68</v>
      </c>
    </row>
    <row r="42" spans="2:8" ht="14" customHeight="1" x14ac:dyDescent="0.3">
      <c r="B42" s="4" t="s">
        <v>119</v>
      </c>
      <c r="D42" s="30">
        <v>65</v>
      </c>
      <c r="E42" s="30">
        <v>65</v>
      </c>
      <c r="F42" s="30">
        <v>65</v>
      </c>
      <c r="G42" s="30">
        <v>65</v>
      </c>
      <c r="H42" s="30">
        <v>65</v>
      </c>
    </row>
    <row r="43" spans="2:8" ht="14" customHeight="1" x14ac:dyDescent="0.3">
      <c r="B43" s="4" t="s">
        <v>120</v>
      </c>
      <c r="D43" s="30">
        <v>61</v>
      </c>
      <c r="E43" s="30">
        <v>61</v>
      </c>
      <c r="F43" s="30">
        <v>61</v>
      </c>
      <c r="G43" s="30">
        <v>61</v>
      </c>
      <c r="H43" s="30">
        <v>61</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192</v>
      </c>
    </row>
    <row r="3" spans="2:17" ht="14" customHeight="1" x14ac:dyDescent="0.3">
      <c r="B3" s="1" t="s">
        <v>193</v>
      </c>
    </row>
    <row r="4" spans="2:17" ht="28" customHeight="1" x14ac:dyDescent="0.3">
      <c r="B4" s="10" t="s">
        <v>3</v>
      </c>
      <c r="C4" s="10" t="s">
        <v>5</v>
      </c>
      <c r="D4" s="10" t="s">
        <v>194</v>
      </c>
      <c r="E4" s="10" t="s">
        <v>195</v>
      </c>
      <c r="F4" s="10" t="s">
        <v>196</v>
      </c>
      <c r="G4" s="10" t="s">
        <v>197</v>
      </c>
      <c r="H4" s="10" t="s">
        <v>198</v>
      </c>
      <c r="I4" s="10" t="s">
        <v>199</v>
      </c>
      <c r="J4" s="10" t="s">
        <v>200</v>
      </c>
      <c r="K4" s="10" t="s">
        <v>201</v>
      </c>
      <c r="L4" s="10" t="s">
        <v>202</v>
      </c>
      <c r="M4" s="10" t="s">
        <v>203</v>
      </c>
      <c r="N4" s="10" t="s">
        <v>204</v>
      </c>
      <c r="O4" s="10" t="s">
        <v>205</v>
      </c>
      <c r="P4" s="10" t="s">
        <v>206</v>
      </c>
      <c r="Q4" s="10" t="s">
        <v>207</v>
      </c>
    </row>
    <row r="5" spans="2:17" ht="14" customHeight="1" x14ac:dyDescent="0.3">
      <c r="B5" s="4" t="s">
        <v>208</v>
      </c>
      <c r="C5" t="s">
        <v>209</v>
      </c>
      <c r="D5" s="37">
        <f>'Executive Summary'!C9*C23/1000000</f>
        <v>9720292.8582600001</v>
      </c>
      <c r="E5" s="37">
        <f>D5+C24</f>
        <v>10553310.85826</v>
      </c>
      <c r="F5" s="37">
        <v>8048722</v>
      </c>
      <c r="G5" s="37">
        <v>614305</v>
      </c>
      <c r="H5" s="37">
        <v>209963</v>
      </c>
      <c r="I5" s="37">
        <v>189540</v>
      </c>
      <c r="J5" s="38">
        <f t="shared" ref="J5:J10" si="0">IFERROR(E5/G5,"")</f>
        <v>17.179269024767827</v>
      </c>
      <c r="K5" s="38">
        <f t="shared" ref="K5:K10" si="1">IFERROR(E5/F5,"")</f>
        <v>1.3111784527108776</v>
      </c>
      <c r="L5" s="38">
        <f t="shared" ref="L5:L10" si="2">IFERROR(D5/I5,"")</f>
        <v>51.283596382082941</v>
      </c>
      <c r="M5" s="38">
        <f t="shared" ref="M5:M10" si="3">IFERROR(D5/P5,"")</f>
        <v>1.865243813460514</v>
      </c>
      <c r="N5" s="39">
        <f t="shared" ref="N5:N10" si="4">IFERROR(H5/F5,"")</f>
        <v>2.608650168312435E-2</v>
      </c>
      <c r="O5" s="39">
        <f t="shared" ref="O5:O10" si="5">IFERROR(I5/P5,"")</f>
        <v>3.6371158519455521E-2</v>
      </c>
      <c r="P5" s="37">
        <v>5211272</v>
      </c>
    </row>
    <row r="6" spans="2:17" ht="14" customHeight="1" x14ac:dyDescent="0.3">
      <c r="B6" s="4" t="s">
        <v>210</v>
      </c>
      <c r="C6" t="s">
        <v>211</v>
      </c>
      <c r="D6" s="37">
        <v>24068208</v>
      </c>
      <c r="E6" s="37">
        <v>23753765</v>
      </c>
      <c r="F6" s="37">
        <v>10586781</v>
      </c>
      <c r="G6" s="37">
        <v>1657248</v>
      </c>
      <c r="H6" s="37">
        <v>1199275</v>
      </c>
      <c r="I6" s="37">
        <v>802368</v>
      </c>
      <c r="J6" s="38">
        <f t="shared" si="0"/>
        <v>14.333259113904496</v>
      </c>
      <c r="K6" s="38">
        <f t="shared" si="1"/>
        <v>2.2437193137366305</v>
      </c>
      <c r="L6" s="38">
        <f t="shared" si="2"/>
        <v>29.996470447475474</v>
      </c>
      <c r="M6" s="38">
        <f t="shared" si="3"/>
        <v>3.6642594226968672</v>
      </c>
      <c r="N6" s="39">
        <f t="shared" si="4"/>
        <v>0.1132804201768224</v>
      </c>
      <c r="O6" s="39">
        <f t="shared" si="5"/>
        <v>0.12215635266532682</v>
      </c>
      <c r="P6" s="37">
        <v>6568369</v>
      </c>
    </row>
    <row r="7" spans="2:17" ht="14" customHeight="1" x14ac:dyDescent="0.3">
      <c r="B7" s="4" t="s">
        <v>212</v>
      </c>
      <c r="C7" t="s">
        <v>213</v>
      </c>
      <c r="D7" s="37">
        <v>10739696</v>
      </c>
      <c r="E7" s="37">
        <v>10371365</v>
      </c>
      <c r="F7" s="37">
        <v>5894747</v>
      </c>
      <c r="G7" s="37">
        <v>666879</v>
      </c>
      <c r="H7" s="37">
        <v>433095</v>
      </c>
      <c r="I7" s="37">
        <v>407758</v>
      </c>
      <c r="J7" s="38">
        <f t="shared" si="0"/>
        <v>15.552094158010673</v>
      </c>
      <c r="K7" s="38">
        <f t="shared" si="1"/>
        <v>1.7594249592052043</v>
      </c>
      <c r="L7" s="38">
        <f t="shared" si="2"/>
        <v>26.338406603917029</v>
      </c>
      <c r="M7" s="38">
        <f t="shared" si="3"/>
        <v>2.3949730011555959</v>
      </c>
      <c r="N7" s="39">
        <f t="shared" si="4"/>
        <v>7.3471346607411656E-2</v>
      </c>
      <c r="O7" s="39">
        <f t="shared" si="5"/>
        <v>9.0930823461409294E-2</v>
      </c>
      <c r="P7" s="37">
        <v>4484266</v>
      </c>
    </row>
    <row r="8" spans="2:17" ht="14" customHeight="1" x14ac:dyDescent="0.3">
      <c r="B8" s="4" t="s">
        <v>214</v>
      </c>
      <c r="C8" t="s">
        <v>215</v>
      </c>
      <c r="D8" s="37">
        <v>6751004</v>
      </c>
      <c r="E8" s="37">
        <v>6433732</v>
      </c>
      <c r="F8" s="37">
        <v>3502971</v>
      </c>
      <c r="G8" s="37">
        <v>489556</v>
      </c>
      <c r="H8" s="37">
        <v>348329</v>
      </c>
      <c r="I8" s="37">
        <v>449408</v>
      </c>
      <c r="J8" s="38">
        <f t="shared" si="0"/>
        <v>13.141973543373997</v>
      </c>
      <c r="K8" s="38">
        <f t="shared" si="1"/>
        <v>1.8366500893099029</v>
      </c>
      <c r="L8" s="38">
        <f t="shared" si="2"/>
        <v>15.021993377954999</v>
      </c>
      <c r="M8" s="38">
        <f t="shared" si="3"/>
        <v>3.3339690801836128</v>
      </c>
      <c r="N8" s="39">
        <f t="shared" si="4"/>
        <v>9.9438162633947016E-2</v>
      </c>
      <c r="O8" s="39">
        <f t="shared" si="5"/>
        <v>0.22193919250931521</v>
      </c>
      <c r="P8" s="37">
        <v>2024915</v>
      </c>
    </row>
    <row r="9" spans="2:17" ht="14" customHeight="1" x14ac:dyDescent="0.3">
      <c r="B9" s="4" t="s">
        <v>216</v>
      </c>
      <c r="C9" t="s">
        <v>217</v>
      </c>
      <c r="D9" s="37">
        <v>6403589</v>
      </c>
      <c r="E9" s="37">
        <v>6233770</v>
      </c>
      <c r="F9" s="37">
        <v>3582733</v>
      </c>
      <c r="G9" s="37">
        <v>514415</v>
      </c>
      <c r="H9" s="37">
        <v>359913</v>
      </c>
      <c r="I9" s="37">
        <v>270228</v>
      </c>
      <c r="J9" s="38">
        <f t="shared" si="0"/>
        <v>12.118173070380918</v>
      </c>
      <c r="K9" s="38">
        <f t="shared" si="1"/>
        <v>1.7399482462131564</v>
      </c>
      <c r="L9" s="38">
        <f t="shared" si="2"/>
        <v>23.696985508533533</v>
      </c>
      <c r="M9" s="38">
        <f t="shared" si="3"/>
        <v>2.9152568222025352</v>
      </c>
      <c r="N9" s="39">
        <f t="shared" si="4"/>
        <v>0.10045766737292453</v>
      </c>
      <c r="O9" s="39">
        <f t="shared" si="5"/>
        <v>0.12302226463162245</v>
      </c>
      <c r="P9" s="37">
        <v>2196578</v>
      </c>
    </row>
    <row r="10" spans="2:17" ht="14" customHeight="1" x14ac:dyDescent="0.3">
      <c r="B10" s="4" t="s">
        <v>218</v>
      </c>
      <c r="C10" t="s">
        <v>219</v>
      </c>
      <c r="D10" s="37">
        <v>13089866</v>
      </c>
      <c r="E10" s="37">
        <v>12491933</v>
      </c>
      <c r="F10" s="37">
        <v>1830856</v>
      </c>
      <c r="G10" s="37">
        <v>460047</v>
      </c>
      <c r="H10" s="37">
        <v>281835</v>
      </c>
      <c r="I10" s="37">
        <v>233920</v>
      </c>
      <c r="J10" s="38">
        <f t="shared" si="0"/>
        <v>27.153601697217894</v>
      </c>
      <c r="K10" s="38">
        <f t="shared" si="1"/>
        <v>6.8230013720358125</v>
      </c>
      <c r="L10" s="38">
        <f t="shared" si="2"/>
        <v>55.958729480164159</v>
      </c>
      <c r="M10" s="38">
        <f t="shared" si="3"/>
        <v>4.814675752728375</v>
      </c>
      <c r="N10" s="39">
        <f t="shared" si="4"/>
        <v>0.15393619159562522</v>
      </c>
      <c r="O10" s="39">
        <f t="shared" si="5"/>
        <v>8.6039761757547517E-2</v>
      </c>
      <c r="P10" s="37">
        <v>2718743</v>
      </c>
    </row>
    <row r="14" spans="2:17" ht="14" customHeight="1" x14ac:dyDescent="0.3">
      <c r="B14" s="3" t="s">
        <v>220</v>
      </c>
    </row>
    <row r="15" spans="2:17" ht="14" customHeight="1" x14ac:dyDescent="0.3">
      <c r="B15" s="4" t="s">
        <v>221</v>
      </c>
      <c r="D15" s="38">
        <f t="shared" ref="D15:I15" si="6">PERCENTILE(J6:J10,0.25)</f>
        <v>13.141973543373997</v>
      </c>
      <c r="E15" s="38">
        <f t="shared" si="6"/>
        <v>1.7594249592052043</v>
      </c>
      <c r="F15" s="38">
        <f t="shared" si="6"/>
        <v>23.696985508533533</v>
      </c>
      <c r="G15" s="38">
        <f t="shared" si="6"/>
        <v>2.9152568222025352</v>
      </c>
      <c r="H15" s="39">
        <f t="shared" si="6"/>
        <v>9.9438162633947016E-2</v>
      </c>
      <c r="I15" s="39">
        <f t="shared" si="6"/>
        <v>9.0930823461409294E-2</v>
      </c>
    </row>
    <row r="16" spans="2:17" ht="14" customHeight="1" x14ac:dyDescent="0.3">
      <c r="B16" s="4" t="s">
        <v>222</v>
      </c>
      <c r="D16" s="38">
        <f t="shared" ref="D16:I16" si="7">MEDIAN(J6:J10)</f>
        <v>14.333259113904496</v>
      </c>
      <c r="E16" s="38">
        <f t="shared" si="7"/>
        <v>1.8366500893099029</v>
      </c>
      <c r="F16" s="38">
        <f t="shared" si="7"/>
        <v>26.338406603917029</v>
      </c>
      <c r="G16" s="38">
        <f t="shared" si="7"/>
        <v>3.3339690801836128</v>
      </c>
      <c r="H16" s="39">
        <f t="shared" si="7"/>
        <v>0.10045766737292453</v>
      </c>
      <c r="I16" s="39">
        <f t="shared" si="7"/>
        <v>0.12215635266532682</v>
      </c>
    </row>
    <row r="17" spans="2:9" ht="14" customHeight="1" x14ac:dyDescent="0.3">
      <c r="B17" s="4" t="s">
        <v>223</v>
      </c>
      <c r="D17" s="38">
        <f t="shared" ref="D17:I17" si="8">PERCENTILE(J6:J10,0.75)</f>
        <v>15.552094158010673</v>
      </c>
      <c r="E17" s="38">
        <f t="shared" si="8"/>
        <v>2.2437193137366305</v>
      </c>
      <c r="F17" s="38">
        <f t="shared" si="8"/>
        <v>29.996470447475474</v>
      </c>
      <c r="G17" s="38">
        <f t="shared" si="8"/>
        <v>3.6642594226968672</v>
      </c>
      <c r="H17" s="39">
        <f t="shared" si="8"/>
        <v>0.1132804201768224</v>
      </c>
      <c r="I17" s="39">
        <f t="shared" si="8"/>
        <v>0.12302226463162245</v>
      </c>
    </row>
    <row r="19" spans="2:9" ht="14" customHeight="1" x14ac:dyDescent="0.3">
      <c r="B19" s="22" t="s">
        <v>224</v>
      </c>
      <c r="C19" s="23"/>
      <c r="D19" s="23"/>
      <c r="E19" s="23"/>
      <c r="F19" s="23"/>
      <c r="G19" s="23"/>
      <c r="H19" s="23"/>
      <c r="I19" s="23"/>
    </row>
    <row r="20" spans="2:9" ht="14" customHeight="1" x14ac:dyDescent="0.3">
      <c r="B20" s="3" t="s">
        <v>225</v>
      </c>
    </row>
    <row r="21" spans="2:9" ht="14" customHeight="1" x14ac:dyDescent="0.3">
      <c r="B21" s="4" t="s">
        <v>226</v>
      </c>
      <c r="C21" s="5">
        <v>614305</v>
      </c>
    </row>
    <row r="22" spans="2:9" ht="14" customHeight="1" x14ac:dyDescent="0.3">
      <c r="B22" s="4" t="s">
        <v>227</v>
      </c>
      <c r="C22" s="5">
        <v>189540</v>
      </c>
    </row>
    <row r="23" spans="2:9" ht="14" customHeight="1" x14ac:dyDescent="0.3">
      <c r="B23" s="4" t="s">
        <v>228</v>
      </c>
      <c r="C23" s="15">
        <v>2334925020</v>
      </c>
    </row>
    <row r="24" spans="2:9" ht="14" customHeight="1" x14ac:dyDescent="0.3">
      <c r="B24" s="4" t="s">
        <v>69</v>
      </c>
      <c r="C24" s="5">
        <v>833018</v>
      </c>
    </row>
    <row r="26" spans="2:9" ht="14" customHeight="1" x14ac:dyDescent="0.3">
      <c r="B26" s="3" t="s">
        <v>229</v>
      </c>
    </row>
    <row r="27" spans="2:9" ht="14" customHeight="1" x14ac:dyDescent="0.3">
      <c r="B27" s="4" t="s">
        <v>230</v>
      </c>
      <c r="C27" s="24">
        <f>ROUND((C21*D16-C24)*1000000/C23,0)</f>
        <v>3414</v>
      </c>
    </row>
    <row r="28" spans="2:9" ht="14" customHeight="1" x14ac:dyDescent="0.3">
      <c r="B28" s="4" t="s">
        <v>231</v>
      </c>
      <c r="C28" s="24">
        <f>ROUND(C22*F16*1000000/C23,0)</f>
        <v>2138</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232</v>
      </c>
    </row>
    <row r="3" spans="2:9" ht="14" customHeight="1" x14ac:dyDescent="0.3">
      <c r="B3" s="4" t="s">
        <v>233</v>
      </c>
      <c r="C3" s="16">
        <f>'DCF Model'!C26</f>
        <v>8.9025909551441448E-2</v>
      </c>
      <c r="E3" s="4" t="s">
        <v>234</v>
      </c>
      <c r="F3" s="16">
        <f>'DCF Model'!C13</f>
        <v>0.01</v>
      </c>
      <c r="H3" s="4" t="s">
        <v>235</v>
      </c>
      <c r="I3" s="14">
        <f>'DCF Model'!C14</f>
        <v>14.3</v>
      </c>
    </row>
    <row r="5" spans="2:9" ht="14" customHeight="1" x14ac:dyDescent="0.3">
      <c r="B5" s="3" t="s">
        <v>236</v>
      </c>
    </row>
    <row r="6" spans="2:9" ht="14" customHeight="1" x14ac:dyDescent="0.3">
      <c r="B6" s="40" t="s">
        <v>237</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customHeight="1" x14ac:dyDescent="0.25">
      <c r="B7" s="39">
        <f>$C$3-0.015</f>
        <v>7.4025909551441449E-2</v>
      </c>
      <c r="C7" s="37">
        <f>IFERROR(ROUND(('DCF Model'!C45/(1+$B7)^('DCF Model'!C19+0)+'DCF Model'!D45/(1+$B7)^('DCF Model'!C19+1)+'DCF Model'!E45/(1+$B7)^('DCF Model'!C19+2)+'DCF Model'!F45/(1+$B7)^('DCF Model'!C19+3)+'DCF Model'!G45/(1+$B7)^('DCF Model'!C19+4)+'DCF Model'!G45*(1+C$6)/($B7-C$6)/(1+$B7)^('DCF Model'!C19+4)-'DCF Model'!C16)*1000000/'DCF Model'!C15,0),"")</f>
        <v>578</v>
      </c>
      <c r="D7" s="37">
        <f>IFERROR(ROUND(('DCF Model'!C45/(1+$B7)^('DCF Model'!C19+0)+'DCF Model'!D45/(1+$B7)^('DCF Model'!C19+1)+'DCF Model'!E45/(1+$B7)^('DCF Model'!C19+2)+'DCF Model'!F45/(1+$B7)^('DCF Model'!C19+3)+'DCF Model'!G45/(1+$B7)^('DCF Model'!C19+4)+'DCF Model'!G45*(1+D$6)/($B7-D$6)/(1+$B7)^('DCF Model'!C19+4)-'DCF Model'!C16)*1000000/'DCF Model'!C15,0),"")</f>
        <v>610</v>
      </c>
      <c r="E7" s="37">
        <f>IFERROR(ROUND(('DCF Model'!C45/(1+$B7)^('DCF Model'!C19+0)+'DCF Model'!D45/(1+$B7)^('DCF Model'!C19+1)+'DCF Model'!E45/(1+$B7)^('DCF Model'!C19+2)+'DCF Model'!F45/(1+$B7)^('DCF Model'!C19+3)+'DCF Model'!G45/(1+$B7)^('DCF Model'!C19+4)+'DCF Model'!G45*(1+E$6)/($B7-E$6)/(1+$B7)^('DCF Model'!C19+4)-'DCF Model'!C16)*1000000/'DCF Model'!C15,0),"")</f>
        <v>644</v>
      </c>
      <c r="F7" s="37">
        <f>IFERROR(ROUND(('DCF Model'!C45/(1+$B7)^('DCF Model'!C19+0)+'DCF Model'!D45/(1+$B7)^('DCF Model'!C19+1)+'DCF Model'!E45/(1+$B7)^('DCF Model'!C19+2)+'DCF Model'!F45/(1+$B7)^('DCF Model'!C19+3)+'DCF Model'!G45/(1+$B7)^('DCF Model'!C19+4)+'DCF Model'!G45*(1+F$6)/($B7-F$6)/(1+$B7)^('DCF Model'!C19+4)-'DCF Model'!C16)*1000000/'DCF Model'!C15,0),"")</f>
        <v>681</v>
      </c>
      <c r="G7" s="37">
        <f>IFERROR(ROUND(('DCF Model'!C45/(1+$B7)^('DCF Model'!C19+0)+'DCF Model'!D45/(1+$B7)^('DCF Model'!C19+1)+'DCF Model'!E45/(1+$B7)^('DCF Model'!C19+2)+'DCF Model'!F45/(1+$B7)^('DCF Model'!C19+3)+'DCF Model'!G45/(1+$B7)^('DCF Model'!C19+4)+'DCF Model'!G45*(1+G$6)/($B7-G$6)/(1+$B7)^('DCF Model'!C19+4)-'DCF Model'!C16)*1000000/'DCF Model'!C15,0),"")</f>
        <v>721</v>
      </c>
      <c r="H7" s="37">
        <f>IFERROR(ROUND(('DCF Model'!C45/(1+$B7)^('DCF Model'!C19+0)+'DCF Model'!D45/(1+$B7)^('DCF Model'!C19+1)+'DCF Model'!E45/(1+$B7)^('DCF Model'!C19+2)+'DCF Model'!F45/(1+$B7)^('DCF Model'!C19+3)+'DCF Model'!G45/(1+$B7)^('DCF Model'!C19+4)+'DCF Model'!G45*(1+H$6)/($B7-H$6)/(1+$B7)^('DCF Model'!C19+4)-'DCF Model'!C16)*1000000/'DCF Model'!C15,0),"")</f>
        <v>765</v>
      </c>
      <c r="I7" s="37">
        <f>IFERROR(ROUND(('DCF Model'!C45/(1+$B7)^('DCF Model'!C19+0)+'DCF Model'!D45/(1+$B7)^('DCF Model'!C19+1)+'DCF Model'!E45/(1+$B7)^('DCF Model'!C19+2)+'DCF Model'!F45/(1+$B7)^('DCF Model'!C19+3)+'DCF Model'!G45/(1+$B7)^('DCF Model'!C19+4)+'DCF Model'!G45*(1+I$6)/($B7-I$6)/(1+$B7)^('DCF Model'!C19+4)-'DCF Model'!C16)*1000000/'DCF Model'!C15,0),"")</f>
        <v>812</v>
      </c>
    </row>
    <row r="8" spans="2:9" ht="13.5" customHeight="1" x14ac:dyDescent="0.25">
      <c r="B8" s="39">
        <f>$C$3-0.01</f>
        <v>7.9025909551441453E-2</v>
      </c>
      <c r="C8" s="37">
        <f>IFERROR(ROUND(('DCF Model'!C45/(1+$B8)^('DCF Model'!C19+0)+'DCF Model'!D45/(1+$B8)^('DCF Model'!C19+1)+'DCF Model'!E45/(1+$B8)^('DCF Model'!C19+2)+'DCF Model'!F45/(1+$B8)^('DCF Model'!C19+3)+'DCF Model'!G45/(1+$B8)^('DCF Model'!C19+4)+'DCF Model'!G45*(1+C$6)/($B8-C$6)/(1+$B8)^('DCF Model'!C19+4)-'DCF Model'!C16)*1000000/'DCF Model'!C15,0),"")</f>
        <v>504</v>
      </c>
      <c r="D8" s="37">
        <f>IFERROR(ROUND(('DCF Model'!C45/(1+$B8)^('DCF Model'!C19+0)+'DCF Model'!D45/(1+$B8)^('DCF Model'!C19+1)+'DCF Model'!E45/(1+$B8)^('DCF Model'!C19+2)+'DCF Model'!F45/(1+$B8)^('DCF Model'!C19+3)+'DCF Model'!G45/(1+$B8)^('DCF Model'!C19+4)+'DCF Model'!G45*(1+D$6)/($B8-D$6)/(1+$B8)^('DCF Model'!C19+4)-'DCF Model'!C16)*1000000/'DCF Model'!C15,0),"")</f>
        <v>531</v>
      </c>
      <c r="E8" s="37">
        <f>IFERROR(ROUND(('DCF Model'!C45/(1+$B8)^('DCF Model'!C19+0)+'DCF Model'!D45/(1+$B8)^('DCF Model'!C19+1)+'DCF Model'!E45/(1+$B8)^('DCF Model'!C19+2)+'DCF Model'!F45/(1+$B8)^('DCF Model'!C19+3)+'DCF Model'!G45/(1+$B8)^('DCF Model'!C19+4)+'DCF Model'!G45*(1+E$6)/($B8-E$6)/(1+$B8)^('DCF Model'!C19+4)-'DCF Model'!C16)*1000000/'DCF Model'!C15,0),"")</f>
        <v>560</v>
      </c>
      <c r="F8" s="37">
        <f>IFERROR(ROUND(('DCF Model'!C45/(1+$B8)^('DCF Model'!C19+0)+'DCF Model'!D45/(1+$B8)^('DCF Model'!C19+1)+'DCF Model'!E45/(1+$B8)^('DCF Model'!C19+2)+'DCF Model'!F45/(1+$B8)^('DCF Model'!C19+3)+'DCF Model'!G45/(1+$B8)^('DCF Model'!C19+4)+'DCF Model'!G45*(1+F$6)/($B8-F$6)/(1+$B8)^('DCF Model'!C19+4)-'DCF Model'!C16)*1000000/'DCF Model'!C15,0),"")</f>
        <v>592</v>
      </c>
      <c r="G8" s="37">
        <f>IFERROR(ROUND(('DCF Model'!C45/(1+$B8)^('DCF Model'!C19+0)+'DCF Model'!D45/(1+$B8)^('DCF Model'!C19+1)+'DCF Model'!E45/(1+$B8)^('DCF Model'!C19+2)+'DCF Model'!F45/(1+$B8)^('DCF Model'!C19+3)+'DCF Model'!G45/(1+$B8)^('DCF Model'!C19+4)+'DCF Model'!G45*(1+G$6)/($B8-G$6)/(1+$B8)^('DCF Model'!C19+4)-'DCF Model'!C16)*1000000/'DCF Model'!C15,0),"")</f>
        <v>626</v>
      </c>
      <c r="H8" s="37">
        <f>IFERROR(ROUND(('DCF Model'!C45/(1+$B8)^('DCF Model'!C19+0)+'DCF Model'!D45/(1+$B8)^('DCF Model'!C19+1)+'DCF Model'!E45/(1+$B8)^('DCF Model'!C19+2)+'DCF Model'!F45/(1+$B8)^('DCF Model'!C19+3)+'DCF Model'!G45/(1+$B8)^('DCF Model'!C19+4)+'DCF Model'!G45*(1+H$6)/($B8-H$6)/(1+$B8)^('DCF Model'!C19+4)-'DCF Model'!C16)*1000000/'DCF Model'!C15,0),"")</f>
        <v>662</v>
      </c>
      <c r="I8" s="37">
        <f>IFERROR(ROUND(('DCF Model'!C45/(1+$B8)^('DCF Model'!C19+0)+'DCF Model'!D45/(1+$B8)^('DCF Model'!C19+1)+'DCF Model'!E45/(1+$B8)^('DCF Model'!C19+2)+'DCF Model'!F45/(1+$B8)^('DCF Model'!C19+3)+'DCF Model'!G45/(1+$B8)^('DCF Model'!C19+4)+'DCF Model'!G45*(1+I$6)/($B8-I$6)/(1+$B8)^('DCF Model'!C19+4)-'DCF Model'!C16)*1000000/'DCF Model'!C15,0),"")</f>
        <v>701</v>
      </c>
    </row>
    <row r="9" spans="2:9" ht="13.5" customHeight="1" x14ac:dyDescent="0.25">
      <c r="B9" s="39">
        <f>$C$3-0.005</f>
        <v>8.4025909551441444E-2</v>
      </c>
      <c r="C9" s="37">
        <f>IFERROR(ROUND(('DCF Model'!C45/(1+$B9)^('DCF Model'!C19+0)+'DCF Model'!D45/(1+$B9)^('DCF Model'!C19+1)+'DCF Model'!E45/(1+$B9)^('DCF Model'!C19+2)+'DCF Model'!F45/(1+$B9)^('DCF Model'!C19+3)+'DCF Model'!G45/(1+$B9)^('DCF Model'!C19+4)+'DCF Model'!G45*(1+C$6)/($B9-C$6)/(1+$B9)^('DCF Model'!C19+4)-'DCF Model'!C16)*1000000/'DCF Model'!C15,0),"")</f>
        <v>439</v>
      </c>
      <c r="D9" s="37">
        <f>IFERROR(ROUND(('DCF Model'!C45/(1+$B9)^('DCF Model'!C19+0)+'DCF Model'!D45/(1+$B9)^('DCF Model'!C19+1)+'DCF Model'!E45/(1+$B9)^('DCF Model'!C19+2)+'DCF Model'!F45/(1+$B9)^('DCF Model'!C19+3)+'DCF Model'!G45/(1+$B9)^('DCF Model'!C19+4)+'DCF Model'!G45*(1+D$6)/($B9-D$6)/(1+$B9)^('DCF Model'!C19+4)-'DCF Model'!C16)*1000000/'DCF Model'!C15,0),"")</f>
        <v>463</v>
      </c>
      <c r="E9" s="37">
        <f>IFERROR(ROUND(('DCF Model'!C45/(1+$B9)^('DCF Model'!C19+0)+'DCF Model'!D45/(1+$B9)^('DCF Model'!C19+1)+'DCF Model'!E45/(1+$B9)^('DCF Model'!C19+2)+'DCF Model'!F45/(1+$B9)^('DCF Model'!C19+3)+'DCF Model'!G45/(1+$B9)^('DCF Model'!C19+4)+'DCF Model'!G45*(1+E$6)/($B9-E$6)/(1+$B9)^('DCF Model'!C19+4)-'DCF Model'!C16)*1000000/'DCF Model'!C15,0),"")</f>
        <v>488</v>
      </c>
      <c r="F9" s="37">
        <f>IFERROR(ROUND(('DCF Model'!C45/(1+$B9)^('DCF Model'!C19+0)+'DCF Model'!D45/(1+$B9)^('DCF Model'!C19+1)+'DCF Model'!E45/(1+$B9)^('DCF Model'!C19+2)+'DCF Model'!F45/(1+$B9)^('DCF Model'!C19+3)+'DCF Model'!G45/(1+$B9)^('DCF Model'!C19+4)+'DCF Model'!G45*(1+F$6)/($B9-F$6)/(1+$B9)^('DCF Model'!C19+4)-'DCF Model'!C16)*1000000/'DCF Model'!C15,0),"")</f>
        <v>515</v>
      </c>
      <c r="G9" s="37">
        <f>IFERROR(ROUND(('DCF Model'!C45/(1+$B9)^('DCF Model'!C19+0)+'DCF Model'!D45/(1+$B9)^('DCF Model'!C19+1)+'DCF Model'!E45/(1+$B9)^('DCF Model'!C19+2)+'DCF Model'!F45/(1+$B9)^('DCF Model'!C19+3)+'DCF Model'!G45/(1+$B9)^('DCF Model'!C19+4)+'DCF Model'!G45*(1+G$6)/($B9-G$6)/(1+$B9)^('DCF Model'!C19+4)-'DCF Model'!C16)*1000000/'DCF Model'!C15,0),"")</f>
        <v>543</v>
      </c>
      <c r="H9" s="37">
        <f>IFERROR(ROUND(('DCF Model'!C45/(1+$B9)^('DCF Model'!C19+0)+'DCF Model'!D45/(1+$B9)^('DCF Model'!C19+1)+'DCF Model'!E45/(1+$B9)^('DCF Model'!C19+2)+'DCF Model'!F45/(1+$B9)^('DCF Model'!C19+3)+'DCF Model'!G45/(1+$B9)^('DCF Model'!C19+4)+'DCF Model'!G45*(1+H$6)/($B9-H$6)/(1+$B9)^('DCF Model'!C19+4)-'DCF Model'!C16)*1000000/'DCF Model'!C15,0),"")</f>
        <v>574</v>
      </c>
      <c r="I9" s="37">
        <f>IFERROR(ROUND(('DCF Model'!C45/(1+$B9)^('DCF Model'!C19+0)+'DCF Model'!D45/(1+$B9)^('DCF Model'!C19+1)+'DCF Model'!E45/(1+$B9)^('DCF Model'!C19+2)+'DCF Model'!F45/(1+$B9)^('DCF Model'!C19+3)+'DCF Model'!G45/(1+$B9)^('DCF Model'!C19+4)+'DCF Model'!G45*(1+I$6)/($B9-I$6)/(1+$B9)^('DCF Model'!C19+4)-'DCF Model'!C16)*1000000/'DCF Model'!C15,0),"")</f>
        <v>607</v>
      </c>
    </row>
    <row r="10" spans="2:9" ht="13.5" customHeight="1" x14ac:dyDescent="0.25">
      <c r="B10" s="39">
        <f>$C$3</f>
        <v>8.9025909551441448E-2</v>
      </c>
      <c r="C10" s="37">
        <f>IFERROR(ROUND(('DCF Model'!C45/(1+$B10)^('DCF Model'!C19+0)+'DCF Model'!D45/(1+$B10)^('DCF Model'!C19+1)+'DCF Model'!E45/(1+$B10)^('DCF Model'!C19+2)+'DCF Model'!F45/(1+$B10)^('DCF Model'!C19+3)+'DCF Model'!G45/(1+$B10)^('DCF Model'!C19+4)+'DCF Model'!G45*(1+C$6)/($B10-C$6)/(1+$B10)^('DCF Model'!C19+4)-'DCF Model'!C16)*1000000/'DCF Model'!C15,0),"")</f>
        <v>382</v>
      </c>
      <c r="D10" s="37">
        <f>IFERROR(ROUND(('DCF Model'!C45/(1+$B10)^('DCF Model'!C19+0)+'DCF Model'!D45/(1+$B10)^('DCF Model'!C19+1)+'DCF Model'!E45/(1+$B10)^('DCF Model'!C19+2)+'DCF Model'!F45/(1+$B10)^('DCF Model'!C19+3)+'DCF Model'!G45/(1+$B10)^('DCF Model'!C19+4)+'DCF Model'!G45*(1+D$6)/($B10-D$6)/(1+$B10)^('DCF Model'!C19+4)-'DCF Model'!C16)*1000000/'DCF Model'!C15,0),"")</f>
        <v>403</v>
      </c>
      <c r="E10" s="37">
        <f>IFERROR(ROUND(('DCF Model'!C45/(1+$B10)^('DCF Model'!C19+0)+'DCF Model'!D45/(1+$B10)^('DCF Model'!C19+1)+'DCF Model'!E45/(1+$B10)^('DCF Model'!C19+2)+'DCF Model'!F45/(1+$B10)^('DCF Model'!C19+3)+'DCF Model'!G45/(1+$B10)^('DCF Model'!C19+4)+'DCF Model'!G45*(1+E$6)/($B10-E$6)/(1+$B10)^('DCF Model'!C19+4)-'DCF Model'!C16)*1000000/'DCF Model'!C15,0),"")</f>
        <v>424</v>
      </c>
      <c r="F10" s="37">
        <f>IFERROR(ROUND(('DCF Model'!C45/(1+$B10)^('DCF Model'!C19+0)+'DCF Model'!D45/(1+$B10)^('DCF Model'!C19+1)+'DCF Model'!E45/(1+$B10)^('DCF Model'!C19+2)+'DCF Model'!F45/(1+$B10)^('DCF Model'!C19+3)+'DCF Model'!G45/(1+$B10)^('DCF Model'!C19+4)+'DCF Model'!G45*(1+F$6)/($B10-F$6)/(1+$B10)^('DCF Model'!C19+4)-'DCF Model'!C16)*1000000/'DCF Model'!C15,0),"")</f>
        <v>448</v>
      </c>
      <c r="G10" s="37">
        <f>IFERROR(ROUND(('DCF Model'!C45/(1+$B10)^('DCF Model'!C19+0)+'DCF Model'!D45/(1+$B10)^('DCF Model'!C19+1)+'DCF Model'!E45/(1+$B10)^('DCF Model'!C19+2)+'DCF Model'!F45/(1+$B10)^('DCF Model'!C19+3)+'DCF Model'!G45/(1+$B10)^('DCF Model'!C19+4)+'DCF Model'!G45*(1+G$6)/($B10-G$6)/(1+$B10)^('DCF Model'!C19+4)-'DCF Model'!C16)*1000000/'DCF Model'!C15,0),"")</f>
        <v>472</v>
      </c>
      <c r="H10" s="37">
        <f>IFERROR(ROUND(('DCF Model'!C45/(1+$B10)^('DCF Model'!C19+0)+'DCF Model'!D45/(1+$B10)^('DCF Model'!C19+1)+'DCF Model'!E45/(1+$B10)^('DCF Model'!C19+2)+'DCF Model'!F45/(1+$B10)^('DCF Model'!C19+3)+'DCF Model'!G45/(1+$B10)^('DCF Model'!C19+4)+'DCF Model'!G45*(1+H$6)/($B10-H$6)/(1+$B10)^('DCF Model'!C19+4)-'DCF Model'!C16)*1000000/'DCF Model'!C15,0),"")</f>
        <v>499</v>
      </c>
      <c r="I10" s="37">
        <f>IFERROR(ROUND(('DCF Model'!C45/(1+$B10)^('DCF Model'!C19+0)+'DCF Model'!D45/(1+$B10)^('DCF Model'!C19+1)+'DCF Model'!E45/(1+$B10)^('DCF Model'!C19+2)+'DCF Model'!F45/(1+$B10)^('DCF Model'!C19+3)+'DCF Model'!G45/(1+$B10)^('DCF Model'!C19+4)+'DCF Model'!G45*(1+I$6)/($B10-I$6)/(1+$B10)^('DCF Model'!C19+4)-'DCF Model'!C16)*1000000/'DCF Model'!C15,0),"")</f>
        <v>527</v>
      </c>
    </row>
    <row r="11" spans="2:9" ht="13.5" customHeight="1" x14ac:dyDescent="0.25">
      <c r="B11" s="39">
        <f>$C$3+0.005</f>
        <v>9.4025909551441453E-2</v>
      </c>
      <c r="C11" s="37">
        <f>IFERROR(ROUND(('DCF Model'!C45/(1+$B11)^('DCF Model'!C19+0)+'DCF Model'!D45/(1+$B11)^('DCF Model'!C19+1)+'DCF Model'!E45/(1+$B11)^('DCF Model'!C19+2)+'DCF Model'!F45/(1+$B11)^('DCF Model'!C19+3)+'DCF Model'!G45/(1+$B11)^('DCF Model'!C19+4)+'DCF Model'!G45*(1+C$6)/($B11-C$6)/(1+$B11)^('DCF Model'!C19+4)-'DCF Model'!C16)*1000000/'DCF Model'!C15,0),"")</f>
        <v>331</v>
      </c>
      <c r="D11" s="37">
        <f>IFERROR(ROUND(('DCF Model'!C45/(1+$B11)^('DCF Model'!C19+0)+'DCF Model'!D45/(1+$B11)^('DCF Model'!C19+1)+'DCF Model'!E45/(1+$B11)^('DCF Model'!C19+2)+'DCF Model'!F45/(1+$B11)^('DCF Model'!C19+3)+'DCF Model'!G45/(1+$B11)^('DCF Model'!C19+4)+'DCF Model'!G45*(1+D$6)/($B11-D$6)/(1+$B11)^('DCF Model'!C19+4)-'DCF Model'!C16)*1000000/'DCF Model'!C15,0),"")</f>
        <v>350</v>
      </c>
      <c r="E11" s="37">
        <f>IFERROR(ROUND(('DCF Model'!C45/(1+$B11)^('DCF Model'!C19+0)+'DCF Model'!D45/(1+$B11)^('DCF Model'!C19+1)+'DCF Model'!E45/(1+$B11)^('DCF Model'!C19+2)+'DCF Model'!F45/(1+$B11)^('DCF Model'!C19+3)+'DCF Model'!G45/(1+$B11)^('DCF Model'!C19+4)+'DCF Model'!G45*(1+E$6)/($B11-E$6)/(1+$B11)^('DCF Model'!C19+4)-'DCF Model'!C16)*1000000/'DCF Model'!C15,0),"")</f>
        <v>369</v>
      </c>
      <c r="F11" s="37">
        <f>IFERROR(ROUND(('DCF Model'!C45/(1+$B11)^('DCF Model'!C19+0)+'DCF Model'!D45/(1+$B11)^('DCF Model'!C19+1)+'DCF Model'!E45/(1+$B11)^('DCF Model'!C19+2)+'DCF Model'!F45/(1+$B11)^('DCF Model'!C19+3)+'DCF Model'!G45/(1+$B11)^('DCF Model'!C19+4)+'DCF Model'!G45*(1+F$6)/($B11-F$6)/(1+$B11)^('DCF Model'!C19+4)-'DCF Model'!C16)*1000000/'DCF Model'!C15,0),"")</f>
        <v>389</v>
      </c>
      <c r="G11" s="37">
        <f>IFERROR(ROUND(('DCF Model'!C45/(1+$B11)^('DCF Model'!C19+0)+'DCF Model'!D45/(1+$B11)^('DCF Model'!C19+1)+'DCF Model'!E45/(1+$B11)^('DCF Model'!C19+2)+'DCF Model'!F45/(1+$B11)^('DCF Model'!C19+3)+'DCF Model'!G45/(1+$B11)^('DCF Model'!C19+4)+'DCF Model'!G45*(1+G$6)/($B11-G$6)/(1+$B11)^('DCF Model'!C19+4)-'DCF Model'!C16)*1000000/'DCF Model'!C15,0),"")</f>
        <v>410</v>
      </c>
      <c r="H11" s="37">
        <f>IFERROR(ROUND(('DCF Model'!C45/(1+$B11)^('DCF Model'!C19+0)+'DCF Model'!D45/(1+$B11)^('DCF Model'!C19+1)+'DCF Model'!E45/(1+$B11)^('DCF Model'!C19+2)+'DCF Model'!F45/(1+$B11)^('DCF Model'!C19+3)+'DCF Model'!G45/(1+$B11)^('DCF Model'!C19+4)+'DCF Model'!G45*(1+H$6)/($B11-H$6)/(1+$B11)^('DCF Model'!C19+4)-'DCF Model'!C16)*1000000/'DCF Model'!C15,0),"")</f>
        <v>433</v>
      </c>
      <c r="I11" s="37">
        <f>IFERROR(ROUND(('DCF Model'!C45/(1+$B11)^('DCF Model'!C19+0)+'DCF Model'!D45/(1+$B11)^('DCF Model'!C19+1)+'DCF Model'!E45/(1+$B11)^('DCF Model'!C19+2)+'DCF Model'!F45/(1+$B11)^('DCF Model'!C19+3)+'DCF Model'!G45/(1+$B11)^('DCF Model'!C19+4)+'DCF Model'!G45*(1+I$6)/($B11-I$6)/(1+$B11)^('DCF Model'!C19+4)-'DCF Model'!C16)*1000000/'DCF Model'!C15,0),"")</f>
        <v>457</v>
      </c>
    </row>
    <row r="12" spans="2:9" ht="13.5" customHeight="1" x14ac:dyDescent="0.25">
      <c r="B12" s="39">
        <f>$C$3+0.01</f>
        <v>9.9025909551441443E-2</v>
      </c>
      <c r="C12" s="37">
        <f>IFERROR(ROUND(('DCF Model'!C45/(1+$B12)^('DCF Model'!C19+0)+'DCF Model'!D45/(1+$B12)^('DCF Model'!C19+1)+'DCF Model'!E45/(1+$B12)^('DCF Model'!C19+2)+'DCF Model'!F45/(1+$B12)^('DCF Model'!C19+3)+'DCF Model'!G45/(1+$B12)^('DCF Model'!C19+4)+'DCF Model'!G45*(1+C$6)/($B12-C$6)/(1+$B12)^('DCF Model'!C19+4)-'DCF Model'!C16)*1000000/'DCF Model'!C15,0),"")</f>
        <v>286</v>
      </c>
      <c r="D12" s="37">
        <f>IFERROR(ROUND(('DCF Model'!C45/(1+$B12)^('DCF Model'!C19+0)+'DCF Model'!D45/(1+$B12)^('DCF Model'!C19+1)+'DCF Model'!E45/(1+$B12)^('DCF Model'!C19+2)+'DCF Model'!F45/(1+$B12)^('DCF Model'!C19+3)+'DCF Model'!G45/(1+$B12)^('DCF Model'!C19+4)+'DCF Model'!G45*(1+D$6)/($B12-D$6)/(1+$B12)^('DCF Model'!C19+4)-'DCF Model'!C16)*1000000/'DCF Model'!C15,0),"")</f>
        <v>302</v>
      </c>
      <c r="E12" s="37">
        <f>IFERROR(ROUND(('DCF Model'!C45/(1+$B12)^('DCF Model'!C19+0)+'DCF Model'!D45/(1+$B12)^('DCF Model'!C19+1)+'DCF Model'!E45/(1+$B12)^('DCF Model'!C19+2)+'DCF Model'!F45/(1+$B12)^('DCF Model'!C19+3)+'DCF Model'!G45/(1+$B12)^('DCF Model'!C19+4)+'DCF Model'!G45*(1+E$6)/($B12-E$6)/(1+$B12)^('DCF Model'!C19+4)-'DCF Model'!C16)*1000000/'DCF Model'!C15,0),"")</f>
        <v>319</v>
      </c>
      <c r="F12" s="37">
        <f>IFERROR(ROUND(('DCF Model'!C45/(1+$B12)^('DCF Model'!C19+0)+'DCF Model'!D45/(1+$B12)^('DCF Model'!C19+1)+'DCF Model'!E45/(1+$B12)^('DCF Model'!C19+2)+'DCF Model'!F45/(1+$B12)^('DCF Model'!C19+3)+'DCF Model'!G45/(1+$B12)^('DCF Model'!C19+4)+'DCF Model'!G45*(1+F$6)/($B12-F$6)/(1+$B12)^('DCF Model'!C19+4)-'DCF Model'!C16)*1000000/'DCF Model'!C15,0),"")</f>
        <v>337</v>
      </c>
      <c r="G12" s="37">
        <f>IFERROR(ROUND(('DCF Model'!C45/(1+$B12)^('DCF Model'!C19+0)+'DCF Model'!D45/(1+$B12)^('DCF Model'!C19+1)+'DCF Model'!E45/(1+$B12)^('DCF Model'!C19+2)+'DCF Model'!F45/(1+$B12)^('DCF Model'!C19+3)+'DCF Model'!G45/(1+$B12)^('DCF Model'!C19+4)+'DCF Model'!G45*(1+G$6)/($B12-G$6)/(1+$B12)^('DCF Model'!C19+4)-'DCF Model'!C16)*1000000/'DCF Model'!C15,0),"")</f>
        <v>355</v>
      </c>
      <c r="H12" s="37">
        <f>IFERROR(ROUND(('DCF Model'!C45/(1+$B12)^('DCF Model'!C19+0)+'DCF Model'!D45/(1+$B12)^('DCF Model'!C19+1)+'DCF Model'!E45/(1+$B12)^('DCF Model'!C19+2)+'DCF Model'!F45/(1+$B12)^('DCF Model'!C19+3)+'DCF Model'!G45/(1+$B12)^('DCF Model'!C19+4)+'DCF Model'!G45*(1+H$6)/($B12-H$6)/(1+$B12)^('DCF Model'!C19+4)-'DCF Model'!C16)*1000000/'DCF Model'!C15,0),"")</f>
        <v>375</v>
      </c>
      <c r="I12" s="37">
        <f>IFERROR(ROUND(('DCF Model'!C45/(1+$B12)^('DCF Model'!C19+0)+'DCF Model'!D45/(1+$B12)^('DCF Model'!C19+1)+'DCF Model'!E45/(1+$B12)^('DCF Model'!C19+2)+'DCF Model'!F45/(1+$B12)^('DCF Model'!C19+3)+'DCF Model'!G45/(1+$B12)^('DCF Model'!C19+4)+'DCF Model'!G45*(1+I$6)/($B12-I$6)/(1+$B12)^('DCF Model'!C19+4)-'DCF Model'!C16)*1000000/'DCF Model'!C15,0),"")</f>
        <v>396</v>
      </c>
    </row>
    <row r="13" spans="2:9" ht="13.5" customHeight="1" x14ac:dyDescent="0.25">
      <c r="B13" s="39">
        <f>$C$3+0.015</f>
        <v>0.10402590955144145</v>
      </c>
      <c r="C13" s="37">
        <f>IFERROR(ROUND(('DCF Model'!C45/(1+$B13)^('DCF Model'!C19+0)+'DCF Model'!D45/(1+$B13)^('DCF Model'!C19+1)+'DCF Model'!E45/(1+$B13)^('DCF Model'!C19+2)+'DCF Model'!F45/(1+$B13)^('DCF Model'!C19+3)+'DCF Model'!G45/(1+$B13)^('DCF Model'!C19+4)+'DCF Model'!G45*(1+C$6)/($B13-C$6)/(1+$B13)^('DCF Model'!C19+4)-'DCF Model'!C16)*1000000/'DCF Model'!C15,0),"")</f>
        <v>246</v>
      </c>
      <c r="D13" s="37">
        <f>IFERROR(ROUND(('DCF Model'!C45/(1+$B13)^('DCF Model'!C19+0)+'DCF Model'!D45/(1+$B13)^('DCF Model'!C19+1)+'DCF Model'!E45/(1+$B13)^('DCF Model'!C19+2)+'DCF Model'!F45/(1+$B13)^('DCF Model'!C19+3)+'DCF Model'!G45/(1+$B13)^('DCF Model'!C19+4)+'DCF Model'!G45*(1+D$6)/($B13-D$6)/(1+$B13)^('DCF Model'!C19+4)-'DCF Model'!C16)*1000000/'DCF Model'!C15,0),"")</f>
        <v>260</v>
      </c>
      <c r="E13" s="37">
        <f>IFERROR(ROUND(('DCF Model'!C45/(1+$B13)^('DCF Model'!C19+0)+'DCF Model'!D45/(1+$B13)^('DCF Model'!C19+1)+'DCF Model'!E45/(1+$B13)^('DCF Model'!C19+2)+'DCF Model'!F45/(1+$B13)^('DCF Model'!C19+3)+'DCF Model'!G45/(1+$B13)^('DCF Model'!C19+4)+'DCF Model'!G45*(1+E$6)/($B13-E$6)/(1+$B13)^('DCF Model'!C19+4)-'DCF Model'!C16)*1000000/'DCF Model'!C15,0),"")</f>
        <v>275</v>
      </c>
      <c r="F13" s="37">
        <f>IFERROR(ROUND(('DCF Model'!C45/(1+$B13)^('DCF Model'!C19+0)+'DCF Model'!D45/(1+$B13)^('DCF Model'!C19+1)+'DCF Model'!E45/(1+$B13)^('DCF Model'!C19+2)+'DCF Model'!F45/(1+$B13)^('DCF Model'!C19+3)+'DCF Model'!G45/(1+$B13)^('DCF Model'!C19+4)+'DCF Model'!G45*(1+F$6)/($B13-F$6)/(1+$B13)^('DCF Model'!C19+4)-'DCF Model'!C16)*1000000/'DCF Model'!C15,0),"")</f>
        <v>290</v>
      </c>
      <c r="G13" s="37">
        <f>IFERROR(ROUND(('DCF Model'!C45/(1+$B13)^('DCF Model'!C19+0)+'DCF Model'!D45/(1+$B13)^('DCF Model'!C19+1)+'DCF Model'!E45/(1+$B13)^('DCF Model'!C19+2)+'DCF Model'!F45/(1+$B13)^('DCF Model'!C19+3)+'DCF Model'!G45/(1+$B13)^('DCF Model'!C19+4)+'DCF Model'!G45*(1+G$6)/($B13-G$6)/(1+$B13)^('DCF Model'!C19+4)-'DCF Model'!C16)*1000000/'DCF Model'!C15,0),"")</f>
        <v>307</v>
      </c>
      <c r="H13" s="37">
        <f>IFERROR(ROUND(('DCF Model'!C45/(1+$B13)^('DCF Model'!C19+0)+'DCF Model'!D45/(1+$B13)^('DCF Model'!C19+1)+'DCF Model'!E45/(1+$B13)^('DCF Model'!C19+2)+'DCF Model'!F45/(1+$B13)^('DCF Model'!C19+3)+'DCF Model'!G45/(1+$B13)^('DCF Model'!C19+4)+'DCF Model'!G45*(1+H$6)/($B13-H$6)/(1+$B13)^('DCF Model'!C19+4)-'DCF Model'!C16)*1000000/'DCF Model'!C15,0),"")</f>
        <v>324</v>
      </c>
      <c r="I13" s="37">
        <f>IFERROR(ROUND(('DCF Model'!C45/(1+$B13)^('DCF Model'!C19+0)+'DCF Model'!D45/(1+$B13)^('DCF Model'!C19+1)+'DCF Model'!E45/(1+$B13)^('DCF Model'!C19+2)+'DCF Model'!F45/(1+$B13)^('DCF Model'!C19+3)+'DCF Model'!G45/(1+$B13)^('DCF Model'!C19+4)+'DCF Model'!G45*(1+I$6)/($B13-I$6)/(1+$B13)^('DCF Model'!C19+4)-'DCF Model'!C16)*1000000/'DCF Model'!C15,0),"")</f>
        <v>343</v>
      </c>
    </row>
    <row r="16" spans="2:9" ht="14" customHeight="1" x14ac:dyDescent="0.3">
      <c r="B16" s="3" t="s">
        <v>238</v>
      </c>
    </row>
    <row r="17" spans="2:9" ht="14" customHeight="1" x14ac:dyDescent="0.3">
      <c r="B17" s="40" t="s">
        <v>239</v>
      </c>
      <c r="C17" s="42">
        <f>$I$3-3</f>
        <v>11.3</v>
      </c>
      <c r="D17" s="42">
        <f>$I$3-2</f>
        <v>12.3</v>
      </c>
      <c r="E17" s="42">
        <f>$I$3-1</f>
        <v>13.3</v>
      </c>
      <c r="F17" s="42">
        <f>$I$3</f>
        <v>14.3</v>
      </c>
      <c r="G17" s="42">
        <f>$I$3+1</f>
        <v>15.3</v>
      </c>
      <c r="H17" s="42">
        <f>$I$3+2</f>
        <v>16.3</v>
      </c>
      <c r="I17" s="42">
        <f>$I$3+3</f>
        <v>17.3</v>
      </c>
    </row>
    <row r="18" spans="2:9" ht="13.5" customHeight="1" x14ac:dyDescent="0.25">
      <c r="B18" s="39">
        <f>$C$3-0.015</f>
        <v>7.4025909551441449E-2</v>
      </c>
      <c r="C18" s="37">
        <f>IFERROR(ROUND(('DCF Model'!C45/(1+$B18)^('DCF Model'!C19+0)+'DCF Model'!D45/(1+$B18)^('DCF Model'!C19+1)+'DCF Model'!E45/(1+$B18)^('DCF Model'!C19+2)+'DCF Model'!F45/(1+$B18)^('DCF Model'!C19+3)+'DCF Model'!G45/(1+$B18)^('DCF Model'!C19+4)+('DCF Model'!G39+'DCF Model'!G42)*C$17/(1+$B18)^('DCF Model'!C19+4)-'DCF Model'!C16)*1000000/'DCF Model'!C15,0),"")</f>
        <v>2374</v>
      </c>
      <c r="D18" s="37">
        <f>IFERROR(ROUND(('DCF Model'!C45/(1+$B18)^('DCF Model'!C19+0)+'DCF Model'!D45/(1+$B18)^('DCF Model'!C19+1)+'DCF Model'!E45/(1+$B18)^('DCF Model'!C19+2)+'DCF Model'!F45/(1+$B18)^('DCF Model'!C19+3)+'DCF Model'!G45/(1+$B18)^('DCF Model'!C19+4)+('DCF Model'!G39+'DCF Model'!G42)*D$17/(1+$B18)^('DCF Model'!C19+4)-'DCF Model'!C16)*1000000/'DCF Model'!C15,0),"")</f>
        <v>2606</v>
      </c>
      <c r="E18" s="37">
        <f>IFERROR(ROUND(('DCF Model'!C45/(1+$B18)^('DCF Model'!C19+0)+'DCF Model'!D45/(1+$B18)^('DCF Model'!C19+1)+'DCF Model'!E45/(1+$B18)^('DCF Model'!C19+2)+'DCF Model'!F45/(1+$B18)^('DCF Model'!C19+3)+'DCF Model'!G45/(1+$B18)^('DCF Model'!C19+4)+('DCF Model'!G39+'DCF Model'!G42)*E$17/(1+$B18)^('DCF Model'!C19+4)-'DCF Model'!C16)*1000000/'DCF Model'!C15,0),"")</f>
        <v>2837</v>
      </c>
      <c r="F18" s="37">
        <f>IFERROR(ROUND(('DCF Model'!C45/(1+$B18)^('DCF Model'!C19+0)+'DCF Model'!D45/(1+$B18)^('DCF Model'!C19+1)+'DCF Model'!E45/(1+$B18)^('DCF Model'!C19+2)+'DCF Model'!F45/(1+$B18)^('DCF Model'!C19+3)+'DCF Model'!G45/(1+$B18)^('DCF Model'!C19+4)+('DCF Model'!G39+'DCF Model'!G42)*F$17/(1+$B18)^('DCF Model'!C19+4)-'DCF Model'!C16)*1000000/'DCF Model'!C15,0),"")</f>
        <v>3069</v>
      </c>
      <c r="G18" s="37">
        <f>IFERROR(ROUND(('DCF Model'!C45/(1+$B18)^('DCF Model'!C19+0)+'DCF Model'!D45/(1+$B18)^('DCF Model'!C19+1)+'DCF Model'!E45/(1+$B18)^('DCF Model'!C19+2)+'DCF Model'!F45/(1+$B18)^('DCF Model'!C19+3)+'DCF Model'!G45/(1+$B18)^('DCF Model'!C19+4)+('DCF Model'!G39+'DCF Model'!G42)*G$17/(1+$B18)^('DCF Model'!C19+4)-'DCF Model'!C16)*1000000/'DCF Model'!C15,0),"")</f>
        <v>3301</v>
      </c>
      <c r="H18" s="37">
        <f>IFERROR(ROUND(('DCF Model'!C45/(1+$B18)^('DCF Model'!C19+0)+'DCF Model'!D45/(1+$B18)^('DCF Model'!C19+1)+'DCF Model'!E45/(1+$B18)^('DCF Model'!C19+2)+'DCF Model'!F45/(1+$B18)^('DCF Model'!C19+3)+'DCF Model'!G45/(1+$B18)^('DCF Model'!C19+4)+('DCF Model'!G39+'DCF Model'!G42)*H$17/(1+$B18)^('DCF Model'!C19+4)-'DCF Model'!C16)*1000000/'DCF Model'!C15,0),"")</f>
        <v>3533</v>
      </c>
      <c r="I18" s="37">
        <f>IFERROR(ROUND(('DCF Model'!C45/(1+$B18)^('DCF Model'!C19+0)+'DCF Model'!D45/(1+$B18)^('DCF Model'!C19+1)+'DCF Model'!E45/(1+$B18)^('DCF Model'!C19+2)+'DCF Model'!F45/(1+$B18)^('DCF Model'!C19+3)+'DCF Model'!G45/(1+$B18)^('DCF Model'!C19+4)+('DCF Model'!G39+'DCF Model'!G42)*I$17/(1+$B18)^('DCF Model'!C19+4)-'DCF Model'!C16)*1000000/'DCF Model'!C15,0),"")</f>
        <v>3765</v>
      </c>
    </row>
    <row r="19" spans="2:9" ht="13.5" customHeight="1" x14ac:dyDescent="0.25">
      <c r="B19" s="39">
        <f>$C$3-0.01</f>
        <v>7.9025909551441453E-2</v>
      </c>
      <c r="C19" s="37">
        <f>IFERROR(ROUND(('DCF Model'!C45/(1+$B19)^('DCF Model'!C19+0)+'DCF Model'!D45/(1+$B19)^('DCF Model'!C19+1)+'DCF Model'!E45/(1+$B19)^('DCF Model'!C19+2)+'DCF Model'!F45/(1+$B19)^('DCF Model'!C19+3)+'DCF Model'!G45/(1+$B19)^('DCF Model'!C19+4)+('DCF Model'!G39+'DCF Model'!G42)*C$17/(1+$B19)^('DCF Model'!C19+4)-'DCF Model'!C16)*1000000/'DCF Model'!C15,0),"")</f>
        <v>2311</v>
      </c>
      <c r="D19" s="37">
        <f>IFERROR(ROUND(('DCF Model'!C45/(1+$B19)^('DCF Model'!C19+0)+'DCF Model'!D45/(1+$B19)^('DCF Model'!C19+1)+'DCF Model'!E45/(1+$B19)^('DCF Model'!C19+2)+'DCF Model'!F45/(1+$B19)^('DCF Model'!C19+3)+'DCF Model'!G45/(1+$B19)^('DCF Model'!C19+4)+('DCF Model'!G39+'DCF Model'!G42)*D$17/(1+$B19)^('DCF Model'!C19+4)-'DCF Model'!C16)*1000000/'DCF Model'!C15,0),"")</f>
        <v>2538</v>
      </c>
      <c r="E19" s="37">
        <f>IFERROR(ROUND(('DCF Model'!C45/(1+$B19)^('DCF Model'!C19+0)+'DCF Model'!D45/(1+$B19)^('DCF Model'!C19+1)+'DCF Model'!E45/(1+$B19)^('DCF Model'!C19+2)+'DCF Model'!F45/(1+$B19)^('DCF Model'!C19+3)+'DCF Model'!G45/(1+$B19)^('DCF Model'!C19+4)+('DCF Model'!G39+'DCF Model'!G42)*E$17/(1+$B19)^('DCF Model'!C19+4)-'DCF Model'!C16)*1000000/'DCF Model'!C15,0),"")</f>
        <v>2764</v>
      </c>
      <c r="F19" s="37">
        <f>IFERROR(ROUND(('DCF Model'!C45/(1+$B19)^('DCF Model'!C19+0)+'DCF Model'!D45/(1+$B19)^('DCF Model'!C19+1)+'DCF Model'!E45/(1+$B19)^('DCF Model'!C19+2)+'DCF Model'!F45/(1+$B19)^('DCF Model'!C19+3)+'DCF Model'!G45/(1+$B19)^('DCF Model'!C19+4)+('DCF Model'!G39+'DCF Model'!G42)*F$17/(1+$B19)^('DCF Model'!C19+4)-'DCF Model'!C16)*1000000/'DCF Model'!C15,0),"")</f>
        <v>2991</v>
      </c>
      <c r="G19" s="37">
        <f>IFERROR(ROUND(('DCF Model'!C45/(1+$B19)^('DCF Model'!C19+0)+'DCF Model'!D45/(1+$B19)^('DCF Model'!C19+1)+'DCF Model'!E45/(1+$B19)^('DCF Model'!C19+2)+'DCF Model'!F45/(1+$B19)^('DCF Model'!C19+3)+'DCF Model'!G45/(1+$B19)^('DCF Model'!C19+4)+('DCF Model'!G39+'DCF Model'!G42)*G$17/(1+$B19)^('DCF Model'!C19+4)-'DCF Model'!C16)*1000000/'DCF Model'!C15,0),"")</f>
        <v>3218</v>
      </c>
      <c r="H19" s="37">
        <f>IFERROR(ROUND(('DCF Model'!C45/(1+$B19)^('DCF Model'!C19+0)+'DCF Model'!D45/(1+$B19)^('DCF Model'!C19+1)+'DCF Model'!E45/(1+$B19)^('DCF Model'!C19+2)+'DCF Model'!F45/(1+$B19)^('DCF Model'!C19+3)+'DCF Model'!G45/(1+$B19)^('DCF Model'!C19+4)+('DCF Model'!G39+'DCF Model'!G42)*H$17/(1+$B19)^('DCF Model'!C19+4)-'DCF Model'!C16)*1000000/'DCF Model'!C15,0),"")</f>
        <v>3444</v>
      </c>
      <c r="I19" s="37">
        <f>IFERROR(ROUND(('DCF Model'!C45/(1+$B19)^('DCF Model'!C19+0)+'DCF Model'!D45/(1+$B19)^('DCF Model'!C19+1)+'DCF Model'!E45/(1+$B19)^('DCF Model'!C19+2)+'DCF Model'!F45/(1+$B19)^('DCF Model'!C19+3)+'DCF Model'!G45/(1+$B19)^('DCF Model'!C19+4)+('DCF Model'!G39+'DCF Model'!G42)*I$17/(1+$B19)^('DCF Model'!C19+4)-'DCF Model'!C16)*1000000/'DCF Model'!C15,0),"")</f>
        <v>3671</v>
      </c>
    </row>
    <row r="20" spans="2:9" ht="13.5" customHeight="1" x14ac:dyDescent="0.25">
      <c r="B20" s="39">
        <f>$C$3-0.005</f>
        <v>8.4025909551441444E-2</v>
      </c>
      <c r="C20" s="37">
        <f>IFERROR(ROUND(('DCF Model'!C45/(1+$B20)^('DCF Model'!C19+0)+'DCF Model'!D45/(1+$B20)^('DCF Model'!C19+1)+'DCF Model'!E45/(1+$B20)^('DCF Model'!C19+2)+'DCF Model'!F45/(1+$B20)^('DCF Model'!C19+3)+'DCF Model'!G45/(1+$B20)^('DCF Model'!C19+4)+('DCF Model'!G39+'DCF Model'!G42)*C$17/(1+$B20)^('DCF Model'!C19+4)-'DCF Model'!C16)*1000000/'DCF Model'!C15,0),"")</f>
        <v>2250</v>
      </c>
      <c r="D20" s="37">
        <f>IFERROR(ROUND(('DCF Model'!C45/(1+$B20)^('DCF Model'!C19+0)+'DCF Model'!D45/(1+$B20)^('DCF Model'!C19+1)+'DCF Model'!E45/(1+$B20)^('DCF Model'!C19+2)+'DCF Model'!F45/(1+$B20)^('DCF Model'!C19+3)+'DCF Model'!G45/(1+$B20)^('DCF Model'!C19+4)+('DCF Model'!G39+'DCF Model'!G42)*D$17/(1+$B20)^('DCF Model'!C19+4)-'DCF Model'!C16)*1000000/'DCF Model'!C15,0),"")</f>
        <v>2472</v>
      </c>
      <c r="E20" s="37">
        <f>IFERROR(ROUND(('DCF Model'!C45/(1+$B20)^('DCF Model'!C19+0)+'DCF Model'!D45/(1+$B20)^('DCF Model'!C19+1)+'DCF Model'!E45/(1+$B20)^('DCF Model'!C19+2)+'DCF Model'!F45/(1+$B20)^('DCF Model'!C19+3)+'DCF Model'!G45/(1+$B20)^('DCF Model'!C19+4)+('DCF Model'!G39+'DCF Model'!G42)*E$17/(1+$B20)^('DCF Model'!C19+4)-'DCF Model'!C16)*1000000/'DCF Model'!C15,0),"")</f>
        <v>2693</v>
      </c>
      <c r="F20" s="37">
        <f>IFERROR(ROUND(('DCF Model'!C45/(1+$B20)^('DCF Model'!C19+0)+'DCF Model'!D45/(1+$B20)^('DCF Model'!C19+1)+'DCF Model'!E45/(1+$B20)^('DCF Model'!C19+2)+'DCF Model'!F45/(1+$B20)^('DCF Model'!C19+3)+'DCF Model'!G45/(1+$B20)^('DCF Model'!C19+4)+('DCF Model'!G39+'DCF Model'!G42)*F$17/(1+$B20)^('DCF Model'!C19+4)-'DCF Model'!C16)*1000000/'DCF Model'!C15,0),"")</f>
        <v>2915</v>
      </c>
      <c r="G20" s="37">
        <f>IFERROR(ROUND(('DCF Model'!C45/(1+$B20)^('DCF Model'!C19+0)+'DCF Model'!D45/(1+$B20)^('DCF Model'!C19+1)+'DCF Model'!E45/(1+$B20)^('DCF Model'!C19+2)+'DCF Model'!F45/(1+$B20)^('DCF Model'!C19+3)+'DCF Model'!G45/(1+$B20)^('DCF Model'!C19+4)+('DCF Model'!G39+'DCF Model'!G42)*G$17/(1+$B20)^('DCF Model'!C19+4)-'DCF Model'!C16)*1000000/'DCF Model'!C15,0),"")</f>
        <v>3136</v>
      </c>
      <c r="H20" s="37">
        <f>IFERROR(ROUND(('DCF Model'!C45/(1+$B20)^('DCF Model'!C19+0)+'DCF Model'!D45/(1+$B20)^('DCF Model'!C19+1)+'DCF Model'!E45/(1+$B20)^('DCF Model'!C19+2)+'DCF Model'!F45/(1+$B20)^('DCF Model'!C19+3)+'DCF Model'!G45/(1+$B20)^('DCF Model'!C19+4)+('DCF Model'!G39+'DCF Model'!G42)*H$17/(1+$B20)^('DCF Model'!C19+4)-'DCF Model'!C16)*1000000/'DCF Model'!C15,0),"")</f>
        <v>3357</v>
      </c>
      <c r="I20" s="37">
        <f>IFERROR(ROUND(('DCF Model'!C45/(1+$B20)^('DCF Model'!C19+0)+'DCF Model'!D45/(1+$B20)^('DCF Model'!C19+1)+'DCF Model'!E45/(1+$B20)^('DCF Model'!C19+2)+'DCF Model'!F45/(1+$B20)^('DCF Model'!C19+3)+'DCF Model'!G45/(1+$B20)^('DCF Model'!C19+4)+('DCF Model'!G39+'DCF Model'!G42)*I$17/(1+$B20)^('DCF Model'!C19+4)-'DCF Model'!C16)*1000000/'DCF Model'!C15,0),"")</f>
        <v>3579</v>
      </c>
    </row>
    <row r="21" spans="2:9" ht="13.5" customHeight="1" x14ac:dyDescent="0.25">
      <c r="B21" s="39">
        <f>$C$3</f>
        <v>8.9025909551441448E-2</v>
      </c>
      <c r="C21" s="37">
        <f>IFERROR(ROUND(('DCF Model'!C45/(1+$B21)^('DCF Model'!C19+0)+'DCF Model'!D45/(1+$B21)^('DCF Model'!C19+1)+'DCF Model'!E45/(1+$B21)^('DCF Model'!C19+2)+'DCF Model'!F45/(1+$B21)^('DCF Model'!C19+3)+'DCF Model'!G45/(1+$B21)^('DCF Model'!C19+4)+('DCF Model'!G39+'DCF Model'!G42)*C$17/(1+$B21)^('DCF Model'!C19+4)-'DCF Model'!C16)*1000000/'DCF Model'!C15,0),"")</f>
        <v>2191</v>
      </c>
      <c r="D21" s="37">
        <f>IFERROR(ROUND(('DCF Model'!C45/(1+$B21)^('DCF Model'!C19+0)+'DCF Model'!D45/(1+$B21)^('DCF Model'!C19+1)+'DCF Model'!E45/(1+$B21)^('DCF Model'!C19+2)+'DCF Model'!F45/(1+$B21)^('DCF Model'!C19+3)+'DCF Model'!G45/(1+$B21)^('DCF Model'!C19+4)+('DCF Model'!G39+'DCF Model'!G42)*D$17/(1+$B21)^('DCF Model'!C19+4)-'DCF Model'!C16)*1000000/'DCF Model'!C15,0),"")</f>
        <v>2408</v>
      </c>
      <c r="E21" s="37">
        <f>IFERROR(ROUND(('DCF Model'!C45/(1+$B21)^('DCF Model'!C19+0)+'DCF Model'!D45/(1+$B21)^('DCF Model'!C19+1)+'DCF Model'!E45/(1+$B21)^('DCF Model'!C19+2)+'DCF Model'!F45/(1+$B21)^('DCF Model'!C19+3)+'DCF Model'!G45/(1+$B21)^('DCF Model'!C19+4)+('DCF Model'!G39+'DCF Model'!G42)*E$17/(1+$B21)^('DCF Model'!C19+4)-'DCF Model'!C16)*1000000/'DCF Model'!C15,0),"")</f>
        <v>2624</v>
      </c>
      <c r="F21" s="37">
        <f>IFERROR(ROUND(('DCF Model'!C45/(1+$B21)^('DCF Model'!C19+0)+'DCF Model'!D45/(1+$B21)^('DCF Model'!C19+1)+'DCF Model'!E45/(1+$B21)^('DCF Model'!C19+2)+'DCF Model'!F45/(1+$B21)^('DCF Model'!C19+3)+'DCF Model'!G45/(1+$B21)^('DCF Model'!C19+4)+('DCF Model'!G39+'DCF Model'!G42)*F$17/(1+$B21)^('DCF Model'!C19+4)-'DCF Model'!C16)*1000000/'DCF Model'!C15,0),"")</f>
        <v>2840</v>
      </c>
      <c r="G21" s="37">
        <f>IFERROR(ROUND(('DCF Model'!C45/(1+$B21)^('DCF Model'!C19+0)+'DCF Model'!D45/(1+$B21)^('DCF Model'!C19+1)+'DCF Model'!E45/(1+$B21)^('DCF Model'!C19+2)+'DCF Model'!F45/(1+$B21)^('DCF Model'!C19+3)+'DCF Model'!G45/(1+$B21)^('DCF Model'!C19+4)+('DCF Model'!G39+'DCF Model'!G42)*G$17/(1+$B21)^('DCF Model'!C19+4)-'DCF Model'!C16)*1000000/'DCF Model'!C15,0),"")</f>
        <v>3057</v>
      </c>
      <c r="H21" s="37">
        <f>IFERROR(ROUND(('DCF Model'!C45/(1+$B21)^('DCF Model'!C19+0)+'DCF Model'!D45/(1+$B21)^('DCF Model'!C19+1)+'DCF Model'!E45/(1+$B21)^('DCF Model'!C19+2)+'DCF Model'!F45/(1+$B21)^('DCF Model'!C19+3)+'DCF Model'!G45/(1+$B21)^('DCF Model'!C19+4)+('DCF Model'!G39+'DCF Model'!G42)*H$17/(1+$B21)^('DCF Model'!C19+4)-'DCF Model'!C16)*1000000/'DCF Model'!C15,0),"")</f>
        <v>3273</v>
      </c>
      <c r="I21" s="37">
        <f>IFERROR(ROUND(('DCF Model'!C45/(1+$B21)^('DCF Model'!C19+0)+'DCF Model'!D45/(1+$B21)^('DCF Model'!C19+1)+'DCF Model'!E45/(1+$B21)^('DCF Model'!C19+2)+'DCF Model'!F45/(1+$B21)^('DCF Model'!C19+3)+'DCF Model'!G45/(1+$B21)^('DCF Model'!C19+4)+('DCF Model'!G39+'DCF Model'!G42)*I$17/(1+$B21)^('DCF Model'!C19+4)-'DCF Model'!C16)*1000000/'DCF Model'!C15,0),"")</f>
        <v>3489</v>
      </c>
    </row>
    <row r="22" spans="2:9" ht="13.5" customHeight="1" x14ac:dyDescent="0.25">
      <c r="B22" s="39">
        <f>$C$3+0.005</f>
        <v>9.4025909551441453E-2</v>
      </c>
      <c r="C22" s="37">
        <f>IFERROR(ROUND(('DCF Model'!C45/(1+$B22)^('DCF Model'!C19+0)+'DCF Model'!D45/(1+$B22)^('DCF Model'!C19+1)+'DCF Model'!E45/(1+$B22)^('DCF Model'!C19+2)+'DCF Model'!F45/(1+$B22)^('DCF Model'!C19+3)+'DCF Model'!G45/(1+$B22)^('DCF Model'!C19+4)+('DCF Model'!G39+'DCF Model'!G42)*C$17/(1+$B22)^('DCF Model'!C19+4)-'DCF Model'!C16)*1000000/'DCF Model'!C15,0),"")</f>
        <v>2134</v>
      </c>
      <c r="D22" s="37">
        <f>IFERROR(ROUND(('DCF Model'!C45/(1+$B22)^('DCF Model'!C19+0)+'DCF Model'!D45/(1+$B22)^('DCF Model'!C19+1)+'DCF Model'!E45/(1+$B22)^('DCF Model'!C19+2)+'DCF Model'!F45/(1+$B22)^('DCF Model'!C19+3)+'DCF Model'!G45/(1+$B22)^('DCF Model'!C19+4)+('DCF Model'!G39+'DCF Model'!G42)*D$17/(1+$B22)^('DCF Model'!C19+4)-'DCF Model'!C16)*1000000/'DCF Model'!C15,0),"")</f>
        <v>2345</v>
      </c>
      <c r="E22" s="37">
        <f>IFERROR(ROUND(('DCF Model'!C45/(1+$B22)^('DCF Model'!C19+0)+'DCF Model'!D45/(1+$B22)^('DCF Model'!C19+1)+'DCF Model'!E45/(1+$B22)^('DCF Model'!C19+2)+'DCF Model'!F45/(1+$B22)^('DCF Model'!C19+3)+'DCF Model'!G45/(1+$B22)^('DCF Model'!C19+4)+('DCF Model'!G39+'DCF Model'!G42)*E$17/(1+$B22)^('DCF Model'!C19+4)-'DCF Model'!C16)*1000000/'DCF Model'!C15,0),"")</f>
        <v>2557</v>
      </c>
      <c r="F22" s="37">
        <f>IFERROR(ROUND(('DCF Model'!C45/(1+$B22)^('DCF Model'!C19+0)+'DCF Model'!D45/(1+$B22)^('DCF Model'!C19+1)+'DCF Model'!E45/(1+$B22)^('DCF Model'!C19+2)+'DCF Model'!F45/(1+$B22)^('DCF Model'!C19+3)+'DCF Model'!G45/(1+$B22)^('DCF Model'!C19+4)+('DCF Model'!G39+'DCF Model'!G42)*F$17/(1+$B22)^('DCF Model'!C19+4)-'DCF Model'!C16)*1000000/'DCF Model'!C15,0),"")</f>
        <v>2768</v>
      </c>
      <c r="G22" s="37">
        <f>IFERROR(ROUND(('DCF Model'!C45/(1+$B22)^('DCF Model'!C19+0)+'DCF Model'!D45/(1+$B22)^('DCF Model'!C19+1)+'DCF Model'!E45/(1+$B22)^('DCF Model'!C19+2)+'DCF Model'!F45/(1+$B22)^('DCF Model'!C19+3)+'DCF Model'!G45/(1+$B22)^('DCF Model'!C19+4)+('DCF Model'!G39+'DCF Model'!G42)*G$17/(1+$B22)^('DCF Model'!C19+4)-'DCF Model'!C16)*1000000/'DCF Model'!C15,0),"")</f>
        <v>2980</v>
      </c>
      <c r="H22" s="37">
        <f>IFERROR(ROUND(('DCF Model'!C45/(1+$B22)^('DCF Model'!C19+0)+'DCF Model'!D45/(1+$B22)^('DCF Model'!C19+1)+'DCF Model'!E45/(1+$B22)^('DCF Model'!C19+2)+'DCF Model'!F45/(1+$B22)^('DCF Model'!C19+3)+'DCF Model'!G45/(1+$B22)^('DCF Model'!C19+4)+('DCF Model'!G39+'DCF Model'!G42)*H$17/(1+$B22)^('DCF Model'!C19+4)-'DCF Model'!C16)*1000000/'DCF Model'!C15,0),"")</f>
        <v>3191</v>
      </c>
      <c r="I22" s="37">
        <f>IFERROR(ROUND(('DCF Model'!C45/(1+$B22)^('DCF Model'!C19+0)+'DCF Model'!D45/(1+$B22)^('DCF Model'!C19+1)+'DCF Model'!E45/(1+$B22)^('DCF Model'!C19+2)+'DCF Model'!F45/(1+$B22)^('DCF Model'!C19+3)+'DCF Model'!G45/(1+$B22)^('DCF Model'!C19+4)+('DCF Model'!G39+'DCF Model'!G42)*I$17/(1+$B22)^('DCF Model'!C19+4)-'DCF Model'!C16)*1000000/'DCF Model'!C15,0),"")</f>
        <v>3403</v>
      </c>
    </row>
    <row r="23" spans="2:9" ht="13.5" customHeight="1" x14ac:dyDescent="0.25">
      <c r="B23" s="39">
        <f>$C$3+0.01</f>
        <v>9.9025909551441443E-2</v>
      </c>
      <c r="C23" s="37">
        <f>IFERROR(ROUND(('DCF Model'!C45/(1+$B23)^('DCF Model'!C19+0)+'DCF Model'!D45/(1+$B23)^('DCF Model'!C19+1)+'DCF Model'!E45/(1+$B23)^('DCF Model'!C19+2)+'DCF Model'!F45/(1+$B23)^('DCF Model'!C19+3)+'DCF Model'!G45/(1+$B23)^('DCF Model'!C19+4)+('DCF Model'!G39+'DCF Model'!G42)*C$17/(1+$B23)^('DCF Model'!C19+4)-'DCF Model'!C16)*1000000/'DCF Model'!C15,0),"")</f>
        <v>2078</v>
      </c>
      <c r="D23" s="37">
        <f>IFERROR(ROUND(('DCF Model'!C45/(1+$B23)^('DCF Model'!C19+0)+'DCF Model'!D45/(1+$B23)^('DCF Model'!C19+1)+'DCF Model'!E45/(1+$B23)^('DCF Model'!C19+2)+'DCF Model'!F45/(1+$B23)^('DCF Model'!C19+3)+'DCF Model'!G45/(1+$B23)^('DCF Model'!C19+4)+('DCF Model'!G39+'DCF Model'!G42)*D$17/(1+$B23)^('DCF Model'!C19+4)-'DCF Model'!C16)*1000000/'DCF Model'!C15,0),"")</f>
        <v>2284</v>
      </c>
      <c r="E23" s="37">
        <f>IFERROR(ROUND(('DCF Model'!C45/(1+$B23)^('DCF Model'!C19+0)+'DCF Model'!D45/(1+$B23)^('DCF Model'!C19+1)+'DCF Model'!E45/(1+$B23)^('DCF Model'!C19+2)+'DCF Model'!F45/(1+$B23)^('DCF Model'!C19+3)+'DCF Model'!G45/(1+$B23)^('DCF Model'!C19+4)+('DCF Model'!G39+'DCF Model'!G42)*E$17/(1+$B23)^('DCF Model'!C19+4)-'DCF Model'!C16)*1000000/'DCF Model'!C15,0),"")</f>
        <v>2491</v>
      </c>
      <c r="F23" s="37">
        <f>IFERROR(ROUND(('DCF Model'!C45/(1+$B23)^('DCF Model'!C19+0)+'DCF Model'!D45/(1+$B23)^('DCF Model'!C19+1)+'DCF Model'!E45/(1+$B23)^('DCF Model'!C19+2)+'DCF Model'!F45/(1+$B23)^('DCF Model'!C19+3)+'DCF Model'!G45/(1+$B23)^('DCF Model'!C19+4)+('DCF Model'!G39+'DCF Model'!G42)*F$17/(1+$B23)^('DCF Model'!C19+4)-'DCF Model'!C16)*1000000/'DCF Model'!C15,0),"")</f>
        <v>2698</v>
      </c>
      <c r="G23" s="37">
        <f>IFERROR(ROUND(('DCF Model'!C45/(1+$B23)^('DCF Model'!C19+0)+'DCF Model'!D45/(1+$B23)^('DCF Model'!C19+1)+'DCF Model'!E45/(1+$B23)^('DCF Model'!C19+2)+'DCF Model'!F45/(1+$B23)^('DCF Model'!C19+3)+'DCF Model'!G45/(1+$B23)^('DCF Model'!C19+4)+('DCF Model'!G39+'DCF Model'!G42)*G$17/(1+$B23)^('DCF Model'!C19+4)-'DCF Model'!C16)*1000000/'DCF Model'!C15,0),"")</f>
        <v>2904</v>
      </c>
      <c r="H23" s="37">
        <f>IFERROR(ROUND(('DCF Model'!C45/(1+$B23)^('DCF Model'!C19+0)+'DCF Model'!D45/(1+$B23)^('DCF Model'!C19+1)+'DCF Model'!E45/(1+$B23)^('DCF Model'!C19+2)+'DCF Model'!F45/(1+$B23)^('DCF Model'!C19+3)+'DCF Model'!G45/(1+$B23)^('DCF Model'!C19+4)+('DCF Model'!G39+'DCF Model'!G42)*H$17/(1+$B23)^('DCF Model'!C19+4)-'DCF Model'!C16)*1000000/'DCF Model'!C15,0),"")</f>
        <v>3111</v>
      </c>
      <c r="I23" s="37">
        <f>IFERROR(ROUND(('DCF Model'!C45/(1+$B23)^('DCF Model'!C19+0)+'DCF Model'!D45/(1+$B23)^('DCF Model'!C19+1)+'DCF Model'!E45/(1+$B23)^('DCF Model'!C19+2)+'DCF Model'!F45/(1+$B23)^('DCF Model'!C19+3)+'DCF Model'!G45/(1+$B23)^('DCF Model'!C19+4)+('DCF Model'!G39+'DCF Model'!G42)*I$17/(1+$B23)^('DCF Model'!C19+4)-'DCF Model'!C16)*1000000/'DCF Model'!C15,0),"")</f>
        <v>3318</v>
      </c>
    </row>
    <row r="24" spans="2:9" ht="13.5" customHeight="1" x14ac:dyDescent="0.25">
      <c r="B24" s="39">
        <f>$C$3+0.015</f>
        <v>0.10402590955144145</v>
      </c>
      <c r="C24" s="37">
        <f>IFERROR(ROUND(('DCF Model'!C45/(1+$B24)^('DCF Model'!C19+0)+'DCF Model'!D45/(1+$B24)^('DCF Model'!C19+1)+'DCF Model'!E45/(1+$B24)^('DCF Model'!C19+2)+'DCF Model'!F45/(1+$B24)^('DCF Model'!C19+3)+'DCF Model'!G45/(1+$B24)^('DCF Model'!C19+4)+('DCF Model'!G39+'DCF Model'!G42)*C$17/(1+$B24)^('DCF Model'!C19+4)-'DCF Model'!C16)*1000000/'DCF Model'!C15,0),"")</f>
        <v>2023</v>
      </c>
      <c r="D24" s="37">
        <f>IFERROR(ROUND(('DCF Model'!C45/(1+$B24)^('DCF Model'!C19+0)+'DCF Model'!D45/(1+$B24)^('DCF Model'!C19+1)+'DCF Model'!E45/(1+$B24)^('DCF Model'!C19+2)+'DCF Model'!F45/(1+$B24)^('DCF Model'!C19+3)+'DCF Model'!G45/(1+$B24)^('DCF Model'!C19+4)+('DCF Model'!G39+'DCF Model'!G42)*D$17/(1+$B24)^('DCF Model'!C19+4)-'DCF Model'!C16)*1000000/'DCF Model'!C15,0),"")</f>
        <v>2225</v>
      </c>
      <c r="E24" s="37">
        <f>IFERROR(ROUND(('DCF Model'!C45/(1+$B24)^('DCF Model'!C19+0)+'DCF Model'!D45/(1+$B24)^('DCF Model'!C19+1)+'DCF Model'!E45/(1+$B24)^('DCF Model'!C19+2)+'DCF Model'!F45/(1+$B24)^('DCF Model'!C19+3)+'DCF Model'!G45/(1+$B24)^('DCF Model'!C19+4)+('DCF Model'!G39+'DCF Model'!G42)*E$17/(1+$B24)^('DCF Model'!C19+4)-'DCF Model'!C16)*1000000/'DCF Model'!C15,0),"")</f>
        <v>2427</v>
      </c>
      <c r="F24" s="37">
        <f>IFERROR(ROUND(('DCF Model'!C45/(1+$B24)^('DCF Model'!C19+0)+'DCF Model'!D45/(1+$B24)^('DCF Model'!C19+1)+'DCF Model'!E45/(1+$B24)^('DCF Model'!C19+2)+'DCF Model'!F45/(1+$B24)^('DCF Model'!C19+3)+'DCF Model'!G45/(1+$B24)^('DCF Model'!C19+4)+('DCF Model'!G39+'DCF Model'!G42)*F$17/(1+$B24)^('DCF Model'!C19+4)-'DCF Model'!C16)*1000000/'DCF Model'!C15,0),"")</f>
        <v>2629</v>
      </c>
      <c r="G24" s="37">
        <f>IFERROR(ROUND(('DCF Model'!C45/(1+$B24)^('DCF Model'!C19+0)+'DCF Model'!D45/(1+$B24)^('DCF Model'!C19+1)+'DCF Model'!E45/(1+$B24)^('DCF Model'!C19+2)+'DCF Model'!F45/(1+$B24)^('DCF Model'!C19+3)+'DCF Model'!G45/(1+$B24)^('DCF Model'!C19+4)+('DCF Model'!G39+'DCF Model'!G42)*G$17/(1+$B24)^('DCF Model'!C19+4)-'DCF Model'!C16)*1000000/'DCF Model'!C15,0),"")</f>
        <v>2831</v>
      </c>
      <c r="H24" s="37">
        <f>IFERROR(ROUND(('DCF Model'!C45/(1+$B24)^('DCF Model'!C19+0)+'DCF Model'!D45/(1+$B24)^('DCF Model'!C19+1)+'DCF Model'!E45/(1+$B24)^('DCF Model'!C19+2)+'DCF Model'!F45/(1+$B24)^('DCF Model'!C19+3)+'DCF Model'!G45/(1+$B24)^('DCF Model'!C19+4)+('DCF Model'!G39+'DCF Model'!G42)*H$17/(1+$B24)^('DCF Model'!C19+4)-'DCF Model'!C16)*1000000/'DCF Model'!C15,0),"")</f>
        <v>3034</v>
      </c>
      <c r="I24" s="37">
        <f>IFERROR(ROUND(('DCF Model'!C45/(1+$B24)^('DCF Model'!C19+0)+'DCF Model'!D45/(1+$B24)^('DCF Model'!C19+1)+'DCF Model'!E45/(1+$B24)^('DCF Model'!C19+2)+'DCF Model'!F45/(1+$B24)^('DCF Model'!C19+3)+'DCF Model'!G45/(1+$B24)^('DCF Model'!C19+4)+('DCF Model'!G39+'DCF Model'!G42)*I$17/(1+$B24)^('DCF Model'!C19+4)-'DCF Model'!C16)*1000000/'DCF Model'!C15,0),"")</f>
        <v>3236</v>
      </c>
    </row>
    <row r="26" spans="2:9" ht="14" customHeight="1" x14ac:dyDescent="0.3">
      <c r="B26" s="46" t="s">
        <v>240</v>
      </c>
      <c r="C26" s="45"/>
      <c r="D26" s="45"/>
      <c r="E26" s="45"/>
      <c r="F26" s="45"/>
      <c r="G26" s="45"/>
      <c r="H26" s="45"/>
      <c r="I26" s="45"/>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9"/>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241</v>
      </c>
    </row>
    <row r="4" spans="2:7" ht="14" customHeight="1" x14ac:dyDescent="0.3">
      <c r="B4" s="10" t="s">
        <v>242</v>
      </c>
      <c r="C4" s="10" t="s">
        <v>243</v>
      </c>
      <c r="D4" s="10" t="s">
        <v>244</v>
      </c>
      <c r="E4" s="10" t="s">
        <v>245</v>
      </c>
      <c r="F4" s="10" t="s">
        <v>246</v>
      </c>
      <c r="G4" s="10" t="s">
        <v>247</v>
      </c>
    </row>
    <row r="5" spans="2:7" x14ac:dyDescent="0.2">
      <c r="B5" t="s">
        <v>248</v>
      </c>
      <c r="C5" t="s">
        <v>249</v>
      </c>
      <c r="D5" t="s">
        <v>250</v>
      </c>
      <c r="E5" t="s">
        <v>251</v>
      </c>
      <c r="F5" t="s">
        <v>249</v>
      </c>
      <c r="G5" t="s">
        <v>252</v>
      </c>
    </row>
    <row r="6" spans="2:7" ht="30" customHeight="1" x14ac:dyDescent="0.3">
      <c r="B6" s="43" t="s">
        <v>248</v>
      </c>
      <c r="C6" s="4" t="s">
        <v>253</v>
      </c>
      <c r="D6" s="43" t="s">
        <v>254</v>
      </c>
      <c r="E6" s="43" t="s">
        <v>255</v>
      </c>
      <c r="F6" s="43" t="s">
        <v>256</v>
      </c>
      <c r="G6" s="43" t="s">
        <v>257</v>
      </c>
    </row>
    <row r="7" spans="2:7" ht="30" customHeight="1" x14ac:dyDescent="0.3">
      <c r="B7" s="43" t="s">
        <v>248</v>
      </c>
      <c r="C7" s="4" t="s">
        <v>258</v>
      </c>
      <c r="D7" s="43" t="s">
        <v>259</v>
      </c>
      <c r="E7" s="43" t="s">
        <v>260</v>
      </c>
      <c r="F7" s="43" t="s">
        <v>261</v>
      </c>
      <c r="G7" s="43" t="s">
        <v>262</v>
      </c>
    </row>
    <row r="8" spans="2:7" ht="30" customHeight="1" x14ac:dyDescent="0.3">
      <c r="B8" s="43" t="s">
        <v>248</v>
      </c>
      <c r="C8" s="4" t="s">
        <v>263</v>
      </c>
      <c r="D8" s="43" t="s">
        <v>264</v>
      </c>
      <c r="E8" s="43" t="s">
        <v>265</v>
      </c>
      <c r="F8" s="43" t="s">
        <v>266</v>
      </c>
      <c r="G8" s="43" t="s">
        <v>262</v>
      </c>
    </row>
    <row r="9" spans="2:7" ht="30" customHeight="1" x14ac:dyDescent="0.3">
      <c r="B9" s="43" t="s">
        <v>248</v>
      </c>
      <c r="C9" s="4" t="s">
        <v>267</v>
      </c>
      <c r="D9" s="43" t="s">
        <v>268</v>
      </c>
      <c r="E9" s="43" t="s">
        <v>269</v>
      </c>
      <c r="F9" s="43" t="s">
        <v>270</v>
      </c>
      <c r="G9" s="43" t="s">
        <v>257</v>
      </c>
    </row>
    <row r="10" spans="2:7" ht="30" customHeight="1" x14ac:dyDescent="0.3">
      <c r="B10" s="43" t="s">
        <v>248</v>
      </c>
      <c r="C10" s="4" t="s">
        <v>271</v>
      </c>
      <c r="D10" s="43" t="s">
        <v>272</v>
      </c>
      <c r="E10" s="43" t="s">
        <v>273</v>
      </c>
      <c r="F10" s="43" t="s">
        <v>274</v>
      </c>
      <c r="G10" s="43" t="s">
        <v>275</v>
      </c>
    </row>
    <row r="11" spans="2:7" ht="30" customHeight="1" x14ac:dyDescent="0.3">
      <c r="B11" s="43" t="s">
        <v>248</v>
      </c>
      <c r="C11" s="4" t="s">
        <v>276</v>
      </c>
      <c r="D11" s="43" t="s">
        <v>277</v>
      </c>
      <c r="E11" s="43" t="s">
        <v>278</v>
      </c>
      <c r="F11" s="43" t="s">
        <v>279</v>
      </c>
      <c r="G11" s="43" t="s">
        <v>280</v>
      </c>
    </row>
    <row r="12" spans="2:7" ht="30" customHeight="1" x14ac:dyDescent="0.3">
      <c r="B12" s="43" t="s">
        <v>248</v>
      </c>
      <c r="C12" s="4" t="s">
        <v>281</v>
      </c>
      <c r="D12" s="43" t="s">
        <v>282</v>
      </c>
      <c r="E12" s="43" t="s">
        <v>283</v>
      </c>
      <c r="F12" s="43" t="s">
        <v>284</v>
      </c>
      <c r="G12" s="43" t="s">
        <v>262</v>
      </c>
    </row>
    <row r="13" spans="2:7" ht="30" customHeight="1" x14ac:dyDescent="0.3">
      <c r="B13" s="43" t="s">
        <v>248</v>
      </c>
      <c r="C13" s="4" t="s">
        <v>285</v>
      </c>
      <c r="D13" s="43" t="s">
        <v>286</v>
      </c>
      <c r="E13" s="43" t="s">
        <v>287</v>
      </c>
      <c r="F13" s="43" t="s">
        <v>288</v>
      </c>
      <c r="G13" s="43" t="s">
        <v>262</v>
      </c>
    </row>
    <row r="14" spans="2:7" ht="30" customHeight="1" x14ac:dyDescent="0.3">
      <c r="B14" s="43" t="s">
        <v>248</v>
      </c>
      <c r="C14" s="4" t="s">
        <v>289</v>
      </c>
      <c r="D14" s="43" t="s">
        <v>290</v>
      </c>
      <c r="E14" s="43" t="s">
        <v>291</v>
      </c>
      <c r="F14" s="43" t="s">
        <v>292</v>
      </c>
      <c r="G14" s="43" t="s">
        <v>293</v>
      </c>
    </row>
    <row r="15" spans="2:7" ht="30" customHeight="1" x14ac:dyDescent="0.3">
      <c r="B15" s="43" t="s">
        <v>248</v>
      </c>
      <c r="C15" s="4" t="s">
        <v>294</v>
      </c>
      <c r="D15" s="43" t="s">
        <v>295</v>
      </c>
      <c r="E15" s="43" t="s">
        <v>296</v>
      </c>
      <c r="F15" s="43" t="s">
        <v>297</v>
      </c>
      <c r="G15" s="43" t="s">
        <v>262</v>
      </c>
    </row>
    <row r="16" spans="2:7" ht="30" customHeight="1" x14ac:dyDescent="0.3">
      <c r="B16" s="43" t="s">
        <v>248</v>
      </c>
      <c r="C16" s="4" t="s">
        <v>298</v>
      </c>
      <c r="D16" s="43" t="s">
        <v>299</v>
      </c>
      <c r="E16" s="43" t="s">
        <v>300</v>
      </c>
      <c r="F16" s="43" t="s">
        <v>301</v>
      </c>
      <c r="G16" s="43" t="s">
        <v>302</v>
      </c>
    </row>
    <row r="17" spans="2:7" ht="30" customHeight="1" x14ac:dyDescent="0.3">
      <c r="B17" s="43" t="s">
        <v>248</v>
      </c>
      <c r="C17" s="4" t="s">
        <v>303</v>
      </c>
      <c r="D17" s="43" t="s">
        <v>304</v>
      </c>
      <c r="E17" s="43" t="s">
        <v>305</v>
      </c>
      <c r="F17" s="43" t="s">
        <v>249</v>
      </c>
      <c r="G17" s="43" t="s">
        <v>257</v>
      </c>
    </row>
    <row r="18" spans="2:7" ht="30" customHeight="1" x14ac:dyDescent="0.3">
      <c r="B18" s="43" t="s">
        <v>248</v>
      </c>
      <c r="C18" s="4" t="s">
        <v>306</v>
      </c>
      <c r="D18" s="43" t="s">
        <v>307</v>
      </c>
      <c r="E18" s="43" t="s">
        <v>308</v>
      </c>
      <c r="F18" s="43" t="s">
        <v>309</v>
      </c>
      <c r="G18" s="43" t="s">
        <v>310</v>
      </c>
    </row>
    <row r="19" spans="2:7" ht="30" customHeight="1" x14ac:dyDescent="0.3">
      <c r="B19" s="43" t="s">
        <v>248</v>
      </c>
      <c r="C19" s="4" t="s">
        <v>311</v>
      </c>
      <c r="D19" s="43" t="s">
        <v>312</v>
      </c>
      <c r="E19" s="43" t="s">
        <v>313</v>
      </c>
      <c r="F19" s="43" t="s">
        <v>249</v>
      </c>
      <c r="G19" s="43" t="s">
        <v>314</v>
      </c>
    </row>
    <row r="20" spans="2:7" ht="30" customHeight="1" x14ac:dyDescent="0.3">
      <c r="B20" s="43" t="s">
        <v>248</v>
      </c>
      <c r="C20" s="4" t="s">
        <v>315</v>
      </c>
      <c r="D20" s="43" t="s">
        <v>316</v>
      </c>
      <c r="E20" s="43" t="s">
        <v>317</v>
      </c>
      <c r="F20" s="43" t="s">
        <v>266</v>
      </c>
      <c r="G20" s="43" t="s">
        <v>262</v>
      </c>
    </row>
    <row r="21" spans="2:7" ht="30" customHeight="1" x14ac:dyDescent="0.3">
      <c r="B21" s="43" t="s">
        <v>248</v>
      </c>
      <c r="C21" s="4" t="s">
        <v>318</v>
      </c>
      <c r="D21" s="43" t="s">
        <v>319</v>
      </c>
      <c r="E21" s="43" t="s">
        <v>320</v>
      </c>
      <c r="F21" s="43" t="s">
        <v>249</v>
      </c>
      <c r="G21" s="43" t="s">
        <v>262</v>
      </c>
    </row>
    <row r="22" spans="2:7" ht="30" customHeight="1" x14ac:dyDescent="0.3">
      <c r="B22" s="43" t="s">
        <v>248</v>
      </c>
      <c r="C22" s="4" t="s">
        <v>321</v>
      </c>
      <c r="D22" s="43" t="s">
        <v>322</v>
      </c>
      <c r="E22" s="43" t="s">
        <v>323</v>
      </c>
      <c r="F22" s="43" t="s">
        <v>324</v>
      </c>
      <c r="G22" s="43" t="s">
        <v>325</v>
      </c>
    </row>
    <row r="23" spans="2:7" ht="30" customHeight="1" x14ac:dyDescent="0.3">
      <c r="B23" s="43" t="s">
        <v>248</v>
      </c>
      <c r="C23" s="4" t="s">
        <v>326</v>
      </c>
      <c r="D23" s="43" t="s">
        <v>327</v>
      </c>
      <c r="E23" s="43" t="s">
        <v>328</v>
      </c>
      <c r="F23" s="43" t="s">
        <v>249</v>
      </c>
      <c r="G23" s="43" t="s">
        <v>329</v>
      </c>
    </row>
    <row r="24" spans="2:7" ht="30" customHeight="1" x14ac:dyDescent="0.3">
      <c r="B24" s="43" t="s">
        <v>248</v>
      </c>
      <c r="C24" s="4" t="s">
        <v>330</v>
      </c>
      <c r="D24" s="43" t="s">
        <v>331</v>
      </c>
      <c r="E24" s="43" t="s">
        <v>332</v>
      </c>
      <c r="F24" s="43" t="s">
        <v>249</v>
      </c>
      <c r="G24" s="43" t="s">
        <v>333</v>
      </c>
    </row>
    <row r="25" spans="2:7" ht="30" customHeight="1" x14ac:dyDescent="0.3">
      <c r="B25" s="43" t="s">
        <v>248</v>
      </c>
      <c r="C25" s="4" t="s">
        <v>334</v>
      </c>
      <c r="D25" s="43" t="s">
        <v>335</v>
      </c>
      <c r="E25" s="43" t="s">
        <v>336</v>
      </c>
      <c r="F25" s="43" t="s">
        <v>249</v>
      </c>
      <c r="G25" s="43" t="s">
        <v>337</v>
      </c>
    </row>
    <row r="26" spans="2:7" ht="30" customHeight="1" x14ac:dyDescent="0.3">
      <c r="B26" s="43" t="s">
        <v>248</v>
      </c>
      <c r="C26" s="4" t="s">
        <v>334</v>
      </c>
      <c r="D26" s="43" t="s">
        <v>338</v>
      </c>
      <c r="E26" s="43" t="s">
        <v>339</v>
      </c>
      <c r="F26" s="43" t="s">
        <v>249</v>
      </c>
      <c r="G26" s="43" t="s">
        <v>337</v>
      </c>
    </row>
    <row r="27" spans="2:7" ht="30" customHeight="1" x14ac:dyDescent="0.3">
      <c r="B27" s="43" t="s">
        <v>248</v>
      </c>
      <c r="C27" s="4" t="s">
        <v>340</v>
      </c>
      <c r="D27" s="43" t="s">
        <v>341</v>
      </c>
      <c r="E27" s="43" t="s">
        <v>342</v>
      </c>
      <c r="F27" s="43" t="s">
        <v>249</v>
      </c>
      <c r="G27" s="43" t="s">
        <v>310</v>
      </c>
    </row>
    <row r="28" spans="2:7" ht="30" customHeight="1" x14ac:dyDescent="0.3">
      <c r="B28" s="43" t="s">
        <v>248</v>
      </c>
      <c r="C28" s="4" t="s">
        <v>343</v>
      </c>
      <c r="D28" s="43" t="s">
        <v>344</v>
      </c>
      <c r="E28" s="43" t="s">
        <v>345</v>
      </c>
      <c r="F28" s="43" t="s">
        <v>249</v>
      </c>
      <c r="G28" s="43" t="s">
        <v>346</v>
      </c>
    </row>
    <row r="29" spans="2:7" ht="30" customHeight="1" x14ac:dyDescent="0.3">
      <c r="B29" s="43" t="s">
        <v>248</v>
      </c>
      <c r="C29" s="4" t="s">
        <v>347</v>
      </c>
      <c r="D29" s="43" t="s">
        <v>348</v>
      </c>
      <c r="E29" s="43" t="s">
        <v>349</v>
      </c>
      <c r="F29" s="43" t="s">
        <v>350</v>
      </c>
      <c r="G29" s="43" t="s">
        <v>262</v>
      </c>
    </row>
    <row r="30" spans="2:7" ht="14" customHeight="1" x14ac:dyDescent="0.2"/>
    <row r="31" spans="2:7" ht="14" customHeight="1" x14ac:dyDescent="0.3">
      <c r="B31" s="8" t="s">
        <v>351</v>
      </c>
    </row>
    <row r="32" spans="2:7" ht="14" customHeight="1" x14ac:dyDescent="0.3">
      <c r="B32" s="10" t="s">
        <v>352</v>
      </c>
      <c r="C32" s="10" t="s">
        <v>353</v>
      </c>
    </row>
    <row r="33" spans="2:3" ht="14" customHeight="1" x14ac:dyDescent="0.3">
      <c r="B33" s="4" t="s">
        <v>354</v>
      </c>
      <c r="C33" t="s">
        <v>355</v>
      </c>
    </row>
    <row r="34" spans="2:3" ht="14" customHeight="1" x14ac:dyDescent="0.3">
      <c r="B34" s="4" t="s">
        <v>356</v>
      </c>
      <c r="C34" t="s">
        <v>357</v>
      </c>
    </row>
    <row r="35" spans="2:3" ht="14" customHeight="1" x14ac:dyDescent="0.3">
      <c r="B35" s="4" t="s">
        <v>358</v>
      </c>
      <c r="C35" t="s">
        <v>359</v>
      </c>
    </row>
    <row r="36" spans="2:3" ht="14" customHeight="1" x14ac:dyDescent="0.3">
      <c r="B36" s="4" t="s">
        <v>360</v>
      </c>
      <c r="C36" t="s">
        <v>43</v>
      </c>
    </row>
    <row r="37" spans="2:3" ht="14" customHeight="1" x14ac:dyDescent="0.3">
      <c r="B37" s="4" t="s">
        <v>361</v>
      </c>
      <c r="C37" t="s">
        <v>4</v>
      </c>
    </row>
    <row r="38" spans="2:3" ht="14" customHeight="1" x14ac:dyDescent="0.3">
      <c r="B38" s="4" t="s">
        <v>362</v>
      </c>
      <c r="C38" t="s">
        <v>248</v>
      </c>
    </row>
    <row r="39" spans="2:3" ht="14" customHeight="1" x14ac:dyDescent="0.3">
      <c r="B39" s="4" t="s">
        <v>363</v>
      </c>
      <c r="C39" t="s">
        <v>364</v>
      </c>
    </row>
    <row r="40" spans="2:3" ht="14" customHeight="1" x14ac:dyDescent="0.3">
      <c r="B40" s="4" t="s">
        <v>365</v>
      </c>
      <c r="C40" t="s">
        <v>366</v>
      </c>
    </row>
    <row r="41" spans="2:3" ht="14" customHeight="1" x14ac:dyDescent="0.3">
      <c r="B41" s="4" t="s">
        <v>367</v>
      </c>
      <c r="C41" t="s">
        <v>368</v>
      </c>
    </row>
    <row r="42" spans="2:3" ht="14" customHeight="1" x14ac:dyDescent="0.3">
      <c r="B42" s="4" t="s">
        <v>369</v>
      </c>
      <c r="C42" t="s">
        <v>370</v>
      </c>
    </row>
    <row r="43" spans="2:3" ht="14" customHeight="1" x14ac:dyDescent="0.3">
      <c r="B43" s="4" t="s">
        <v>371</v>
      </c>
      <c r="C43" t="s">
        <v>372</v>
      </c>
    </row>
    <row r="44" spans="2:3" ht="14" customHeight="1" x14ac:dyDescent="0.3">
      <c r="B44" s="4" t="s">
        <v>373</v>
      </c>
      <c r="C44" t="s">
        <v>368</v>
      </c>
    </row>
    <row r="45" spans="2:3" ht="14" customHeight="1" x14ac:dyDescent="0.3">
      <c r="B45" s="4" t="s">
        <v>374</v>
      </c>
      <c r="C45" t="s">
        <v>364</v>
      </c>
    </row>
    <row r="46" spans="2:3" ht="14" customHeight="1" x14ac:dyDescent="0.3">
      <c r="B46" s="4" t="s">
        <v>375</v>
      </c>
      <c r="C46" t="s">
        <v>376</v>
      </c>
    </row>
    <row r="47" spans="2:3" ht="14" customHeight="1" x14ac:dyDescent="0.3">
      <c r="B47" s="4" t="s">
        <v>377</v>
      </c>
      <c r="C47" t="s">
        <v>378</v>
      </c>
    </row>
    <row r="48" spans="2:3" ht="14" customHeight="1" x14ac:dyDescent="0.3">
      <c r="B48" s="4" t="s">
        <v>379</v>
      </c>
      <c r="C48" t="s">
        <v>380</v>
      </c>
    </row>
    <row r="49" spans="2:3" ht="14" customHeight="1" x14ac:dyDescent="0.3">
      <c r="B49" s="4" t="s">
        <v>381</v>
      </c>
      <c r="C49" t="s">
        <v>382</v>
      </c>
    </row>
    <row r="50" spans="2:3" ht="14" customHeight="1" x14ac:dyDescent="0.3">
      <c r="B50" s="4" t="s">
        <v>383</v>
      </c>
      <c r="C50" t="s">
        <v>384</v>
      </c>
    </row>
    <row r="51" spans="2:3" ht="14" customHeight="1" x14ac:dyDescent="0.3">
      <c r="B51" s="4" t="s">
        <v>385</v>
      </c>
      <c r="C51" t="s">
        <v>386</v>
      </c>
    </row>
    <row r="52" spans="2:3" ht="14" customHeight="1" x14ac:dyDescent="0.3">
      <c r="B52" s="4" t="s">
        <v>387</v>
      </c>
      <c r="C52" t="s">
        <v>388</v>
      </c>
    </row>
    <row r="53" spans="2:3" ht="14" customHeight="1" x14ac:dyDescent="0.3">
      <c r="B53" s="4" t="s">
        <v>389</v>
      </c>
      <c r="C53" t="s">
        <v>390</v>
      </c>
    </row>
    <row r="54" spans="2:3" ht="14" customHeight="1" x14ac:dyDescent="0.3">
      <c r="B54" s="4" t="s">
        <v>391</v>
      </c>
      <c r="C54" t="s">
        <v>357</v>
      </c>
    </row>
    <row r="55" spans="2:3" ht="14" customHeight="1" x14ac:dyDescent="0.3">
      <c r="B55" s="4" t="s">
        <v>392</v>
      </c>
      <c r="C55" t="s">
        <v>393</v>
      </c>
    </row>
    <row r="56" spans="2:3" ht="14" customHeight="1" x14ac:dyDescent="0.3">
      <c r="B56" s="4" t="s">
        <v>394</v>
      </c>
      <c r="C56" t="s">
        <v>395</v>
      </c>
    </row>
    <row r="57" spans="2:3" ht="14" customHeight="1" x14ac:dyDescent="0.3">
      <c r="B57" s="4" t="s">
        <v>396</v>
      </c>
      <c r="C57" t="s">
        <v>397</v>
      </c>
    </row>
    <row r="58" spans="2:3" ht="14" customHeight="1" x14ac:dyDescent="0.3">
      <c r="B58" s="4" t="s">
        <v>398</v>
      </c>
      <c r="C58" t="s">
        <v>399</v>
      </c>
    </row>
    <row r="59" spans="2:3" ht="14" customHeight="1" x14ac:dyDescent="0.3">
      <c r="B59" s="4" t="s">
        <v>400</v>
      </c>
      <c r="C59" t="s">
        <v>401</v>
      </c>
    </row>
    <row r="60" spans="2:3" ht="14" customHeight="1" x14ac:dyDescent="0.3">
      <c r="B60" s="4" t="s">
        <v>402</v>
      </c>
      <c r="C60" t="s">
        <v>403</v>
      </c>
    </row>
    <row r="61" spans="2:3" ht="14" customHeight="1" x14ac:dyDescent="0.3">
      <c r="B61" s="4" t="s">
        <v>404</v>
      </c>
      <c r="C61" t="s">
        <v>405</v>
      </c>
    </row>
    <row r="62" spans="2:3" ht="14" customHeight="1" x14ac:dyDescent="0.3">
      <c r="B62" s="4" t="s">
        <v>406</v>
      </c>
      <c r="C62" t="s">
        <v>407</v>
      </c>
    </row>
    <row r="63" spans="2:3" ht="14" customHeight="1" x14ac:dyDescent="0.3">
      <c r="B63" s="4" t="s">
        <v>408</v>
      </c>
      <c r="C63" t="s">
        <v>409</v>
      </c>
    </row>
    <row r="64" spans="2:3" ht="14" customHeight="1" x14ac:dyDescent="0.3">
      <c r="B64" s="4" t="s">
        <v>410</v>
      </c>
      <c r="C64" t="s">
        <v>411</v>
      </c>
    </row>
    <row r="65" spans="2:3" ht="14" customHeight="1" x14ac:dyDescent="0.3">
      <c r="B65" s="4" t="s">
        <v>412</v>
      </c>
      <c r="C65" t="s">
        <v>413</v>
      </c>
    </row>
    <row r="66" spans="2:3" ht="14" customHeight="1" x14ac:dyDescent="0.3">
      <c r="B66" s="4" t="s">
        <v>414</v>
      </c>
      <c r="C66" t="s">
        <v>415</v>
      </c>
    </row>
    <row r="67" spans="2:3" ht="14" customHeight="1" x14ac:dyDescent="0.3">
      <c r="B67" s="4" t="s">
        <v>416</v>
      </c>
      <c r="C67" t="s">
        <v>417</v>
      </c>
    </row>
    <row r="68" spans="2:3" ht="14" customHeight="1" x14ac:dyDescent="0.3">
      <c r="B68" s="4" t="s">
        <v>418</v>
      </c>
      <c r="C68" t="s">
        <v>419</v>
      </c>
    </row>
    <row r="69" spans="2:3" ht="14" customHeight="1" x14ac:dyDescent="0.3">
      <c r="B69" s="4" t="s">
        <v>420</v>
      </c>
      <c r="C69" t="s">
        <v>209</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2026-09-05T12:25:21Z</dcterms:created>
  <dcterms:modified xsi:type="dcterms:W3CDTF">2026-09-06T02:31:16Z</dcterms:modified>
</cp:coreProperties>
</file>