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165" fontId="5" fillId="0" borderId="5" pivotButton="0" quotePrefix="0" xfId="0"/>
    <xf numFmtId="0" fontId="1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164" fontId="5" fillId="0" borderId="2" pivotButton="0" quotePrefix="0" xfId="0"/>
    <xf numFmtId="0" fontId="8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167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TechnoSmart Corporation (6246.T)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TechnoSmart Corporation</t>
        </is>
      </c>
    </row>
    <row r="7">
      <c r="B7" s="4" t="inlineStr">
        <is>
          <t>Ticker</t>
        </is>
      </c>
      <c r="C7" t="inlineStr">
        <is>
          <t>6246.T (TSE Standard)</t>
        </is>
      </c>
    </row>
    <row r="8">
      <c r="B8" s="4" t="inlineStr">
        <is>
          <t>Sector</t>
        </is>
      </c>
      <c r="C8" t="inlineStr">
        <is>
          <t>Machinery</t>
        </is>
      </c>
    </row>
    <row r="9">
      <c r="B9" s="4" t="inlineStr">
        <is>
          <t>Current Price</t>
        </is>
      </c>
      <c r="C9" s="5" t="n">
        <v>1991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LiB electrode coating equipment with ~20% global market share (duopoly with Hirano Tecseed)</t>
        </is>
      </c>
    </row>
    <row r="25">
      <c r="B25" t="inlineStr">
        <is>
          <t>2. Dual revenue pillars (optical display + battery) provide counter-cyclical stability, sustaining 16% OPM</t>
        </is>
      </c>
    </row>
    <row r="26">
      <c r="B26" t="inlineStr">
        <is>
          <t>3. Structural tailwind: electricity demand acceleration (AI/DC + EV + grid storage) drives battery capex cycle</t>
        </is>
      </c>
    </row>
    <row r="27">
      <c r="B27" t="inlineStr">
        <is>
          <t>4. Effissimo Capital (activist) as major shareholder - catalyst for capital efficiency improvement and enhanced returns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EV market capex delay directly reduces battery coating equipment orders</t>
        </is>
      </c>
    </row>
    <row r="30">
      <c r="B30" t="inlineStr">
        <is>
          <t>2. Order-driven business model creates significant quarterly earnings volatility</t>
        </is>
      </c>
    </row>
    <row r="31">
      <c r="B31" t="inlineStr">
        <is>
          <t>3. Competitive pressure from Hirano Tecseed (6245) in core LiB coating market</t>
        </is>
      </c>
    </row>
    <row r="32">
      <c r="B32" t="inlineStr">
        <is>
          <t>4. Low daily trading volume (JPY 5-10mn) creates liquidity risk for institutional investors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2" t="inlineStr">
        <is>
          <t>TechnoSmart Corporation - Historical Financials (JPY mn)</t>
        </is>
      </c>
    </row>
    <row r="4"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8089.061</v>
      </c>
      <c r="D6" s="5" t="n">
        <v>16939.242</v>
      </c>
      <c r="E6" s="5" t="n">
        <v>19677.406</v>
      </c>
      <c r="F6" s="5" t="n">
        <v>19242.406</v>
      </c>
      <c r="G6" s="5" t="n">
        <v>21578.662</v>
      </c>
    </row>
    <row r="7">
      <c r="B7" s="4" t="inlineStr">
        <is>
          <t>COGS</t>
        </is>
      </c>
      <c r="C7" s="5" t="n">
        <v>6663.504</v>
      </c>
      <c r="D7" s="5" t="n">
        <v>14472.721</v>
      </c>
      <c r="E7" s="5" t="n">
        <v>16502.946</v>
      </c>
      <c r="F7" s="5" t="n">
        <v>15603.552</v>
      </c>
      <c r="G7" s="5" t="n">
        <v>16762.407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</row>
    <row r="10">
      <c r="B10" s="4" t="inlineStr">
        <is>
          <t>SGA</t>
        </is>
      </c>
      <c r="C10" s="5" t="n">
        <v>585.075</v>
      </c>
      <c r="D10" s="5" t="n">
        <v>823.7430000000001</v>
      </c>
      <c r="E10" s="5" t="n">
        <v>941.674</v>
      </c>
      <c r="F10" s="5" t="n">
        <v>1050.605</v>
      </c>
      <c r="G10" s="5" t="n">
        <v>1303.766</v>
      </c>
    </row>
    <row r="11">
      <c r="B11" s="4" t="inlineStr">
        <is>
          <t>Operating Income</t>
        </is>
      </c>
      <c r="C11" s="5" t="n">
        <v>840.481</v>
      </c>
      <c r="D11" s="5" t="n">
        <v>1642.777</v>
      </c>
      <c r="E11" s="5" t="n">
        <v>2232.785</v>
      </c>
      <c r="F11" s="5" t="n">
        <v>2588.248</v>
      </c>
      <c r="G11" s="5" t="n">
        <v>3512.488</v>
      </c>
    </row>
    <row r="12">
      <c r="B12" s="4" t="inlineStr">
        <is>
          <t>Net Income</t>
        </is>
      </c>
      <c r="C12" s="5" t="n">
        <v>579.872</v>
      </c>
      <c r="D12" s="5" t="n">
        <v>1164.22</v>
      </c>
      <c r="E12" s="5" t="n">
        <v>1607.193</v>
      </c>
      <c r="F12" s="5" t="n">
        <v>1804.357</v>
      </c>
      <c r="G12" s="5" t="n">
        <v>2390.888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5161.102</v>
      </c>
      <c r="D19" s="5" t="n">
        <v>1372.809</v>
      </c>
      <c r="E19" s="5" t="n">
        <v>-459.199</v>
      </c>
      <c r="F19" s="5" t="n">
        <v>1520.839</v>
      </c>
      <c r="G19" s="5" t="n">
        <v>-1532.659</v>
      </c>
    </row>
    <row r="20">
      <c r="B20" s="4" t="inlineStr">
        <is>
          <t>Capex</t>
        </is>
      </c>
      <c r="C20" s="5" t="n">
        <v>431.142</v>
      </c>
      <c r="D20" s="5" t="n">
        <v>741.718</v>
      </c>
      <c r="E20" s="5" t="n">
        <v>22.898</v>
      </c>
      <c r="F20" s="5" t="n">
        <v>282.478</v>
      </c>
      <c r="G20" s="5" t="n">
        <v>906.3339999999999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10361.183</v>
      </c>
      <c r="D26" s="5" t="n">
        <v>10538.638</v>
      </c>
      <c r="E26" s="5" t="n">
        <v>9483.050999999999</v>
      </c>
      <c r="F26" s="5" t="n">
        <v>9711.441999999999</v>
      </c>
      <c r="G26" s="5" t="n">
        <v>6896.07</v>
      </c>
    </row>
    <row r="27">
      <c r="B27" s="4" t="inlineStr">
        <is>
          <t>Short-term Debt</t>
        </is>
      </c>
      <c r="C27" s="5" t="n">
        <v>3</v>
      </c>
      <c r="D27" s="5" t="n">
        <v>0</v>
      </c>
      <c r="E27" s="5" t="n">
        <v>0</v>
      </c>
      <c r="F27" s="5" t="n">
        <v>0</v>
      </c>
      <c r="G27" s="5" t="n">
        <v>2000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8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TechnoSmart Corporation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0.031</v>
      </c>
    </row>
    <row r="6">
      <c r="B6" s="4" t="inlineStr">
        <is>
          <t>Effective Tax Rate</t>
        </is>
      </c>
      <c r="C6" s="7" t="n">
        <v>0.3</v>
      </c>
    </row>
    <row r="7">
      <c r="B7" s="4" t="inlineStr">
        <is>
          <t>Risk-Free Rate</t>
        </is>
      </c>
      <c r="C7" s="7" t="n">
        <v>0.022</v>
      </c>
    </row>
    <row r="8">
      <c r="B8" s="4" t="inlineStr">
        <is>
          <t>Beta</t>
        </is>
      </c>
      <c r="C8" s="12" t="n">
        <v>0.9</v>
      </c>
    </row>
    <row r="9">
      <c r="B9" s="4" t="inlineStr">
        <is>
          <t>Equity Risk Premium</t>
        </is>
      </c>
      <c r="C9" s="7" t="n">
        <v>0.065</v>
      </c>
    </row>
    <row r="10">
      <c r="B10" s="4" t="inlineStr">
        <is>
          <t>Size Premium</t>
        </is>
      </c>
      <c r="C10" s="7" t="n">
        <v>0.04</v>
      </c>
    </row>
    <row r="11">
      <c r="B11" s="4" t="inlineStr">
        <is>
          <t>After-tax Cost of Debt</t>
        </is>
      </c>
      <c r="C11" s="7" t="n">
        <v>0.005</v>
      </c>
    </row>
    <row r="12">
      <c r="B12" s="4" t="inlineStr">
        <is>
          <t>D/E Ratio</t>
        </is>
      </c>
      <c r="C12" s="13" t="n">
        <v>0.0189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8</v>
      </c>
    </row>
    <row r="15">
      <c r="B15" s="4" t="inlineStr">
        <is>
          <t>Fully Diluted Shares</t>
        </is>
      </c>
      <c r="C15" s="15" t="n">
        <v>11490655</v>
      </c>
    </row>
    <row r="16">
      <c r="B16" s="4" t="inlineStr">
        <is>
          <t>Net Debt (JPY mn)</t>
        </is>
      </c>
      <c r="C16" s="5" t="n">
        <v>432.4</v>
      </c>
    </row>
    <row r="17">
      <c r="B17" s="4" t="inlineStr">
        <is>
          <t>Base Year Revenue (JPY mn)</t>
        </is>
      </c>
      <c r="C17" s="5" t="n">
        <v>21578.662</v>
      </c>
    </row>
    <row r="18">
      <c r="B18" s="4" t="inlineStr">
        <is>
          <t>D&amp;A / Revenue</t>
        </is>
      </c>
      <c r="C18" s="7" t="n">
        <v>0.0116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26592.9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MATCH(C27,B69:B73,0)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CHOOSE($D$27,C69,C70,C71,C72,C73)</f>
        <v/>
      </c>
      <c r="D30" s="18">
        <f>CHOOSE($D$27,D69,D70,D71,D72,D73)</f>
        <v/>
      </c>
      <c r="E30" s="18">
        <f>CHOOSE($D$27,E69,E70,E71,E72,E73)</f>
        <v/>
      </c>
      <c r="F30" s="18">
        <f>CHOOSE($D$27,F69,F70,F71,F72,F73)</f>
        <v/>
      </c>
      <c r="G30" s="18">
        <f>CHOOSE($D$27,G69,G70,G71,G72,G73)</f>
        <v/>
      </c>
    </row>
    <row r="31">
      <c r="B31" s="4" t="inlineStr">
        <is>
          <t>COGS % of Revenue</t>
        </is>
      </c>
      <c r="C31" s="18">
        <f>CHOOSE($D$27,C76,C77,C78,C79,C80)</f>
        <v/>
      </c>
      <c r="D31" s="18">
        <f>CHOOSE($D$27,D76,D77,D78,D79,D80)</f>
        <v/>
      </c>
      <c r="E31" s="18">
        <f>CHOOSE($D$27,E76,E77,E78,E79,E80)</f>
        <v/>
      </c>
      <c r="F31" s="18">
        <f>CHOOSE($D$27,F76,F77,F78,F79,F80)</f>
        <v/>
      </c>
      <c r="G31" s="18">
        <f>CHOOSE($D$27,G76,G77,G78,G79,G80)</f>
        <v/>
      </c>
    </row>
    <row r="32">
      <c r="B32" s="4" t="inlineStr">
        <is>
          <t>SGA % of Revenue</t>
        </is>
      </c>
      <c r="C32" s="18">
        <f>CHOOSE($D$27,C83,C84,C85,C86,C87)</f>
        <v/>
      </c>
      <c r="D32" s="18">
        <f>CHOOSE($D$27,D83,D84,D85,D86,D87)</f>
        <v/>
      </c>
      <c r="E32" s="18">
        <f>CHOOSE($D$27,E83,E84,E85,E86,E87)</f>
        <v/>
      </c>
      <c r="F32" s="18">
        <f>CHOOSE($D$27,F83,F84,F85,F86,F87)</f>
        <v/>
      </c>
      <c r="G32" s="18">
        <f>CHOOSE($D$27,G83,G84,G85,G86,G87)</f>
        <v/>
      </c>
    </row>
    <row r="33">
      <c r="B33" s="4" t="inlineStr">
        <is>
          <t>Revenue</t>
        </is>
      </c>
      <c r="C33" s="5">
        <f>C17*(1+C30)</f>
        <v/>
      </c>
      <c r="D33" s="5">
        <f>C33*(1+D30)</f>
        <v/>
      </c>
      <c r="E33" s="5">
        <f>D33*(1+E30)</f>
        <v/>
      </c>
      <c r="F33" s="5">
        <f>E33*(1+F30)</f>
        <v/>
      </c>
      <c r="G33" s="5">
        <f>F33*(1+G30)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(C35-C37)/C33</f>
        <v/>
      </c>
      <c r="D38" s="7">
        <f>(D35-D37)/D33</f>
        <v/>
      </c>
      <c r="E38" s="7">
        <f>(E35-E37)/E33</f>
        <v/>
      </c>
      <c r="F38" s="7">
        <f>(F35-F37)/F33</f>
        <v/>
      </c>
      <c r="G38" s="7">
        <f>(G35-G37)/G33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22" t="inlineStr">
        <is>
          <t>Scenario Input Matrix</t>
        </is>
      </c>
      <c r="C66" s="23" t="n"/>
      <c r="D66" s="23" t="n"/>
      <c r="E66" s="23" t="n"/>
      <c r="F66" s="23" t="n"/>
      <c r="G66" s="23" t="n"/>
    </row>
    <row r="67">
      <c r="C67" s="25" t="inlineStr">
        <is>
          <t>Year 1</t>
        </is>
      </c>
      <c r="D67" s="25" t="inlineStr">
        <is>
          <t>Year 2</t>
        </is>
      </c>
      <c r="E67" s="25" t="inlineStr">
        <is>
          <t>Year 3</t>
        </is>
      </c>
      <c r="F67" s="25" t="inlineStr">
        <is>
          <t>Year 4</t>
        </is>
      </c>
      <c r="G67" s="25" t="inlineStr">
        <is>
          <t>Year 5</t>
        </is>
      </c>
    </row>
    <row r="68">
      <c r="B68" s="3" t="inlineStr">
        <is>
          <t>Revenue Growth (YoY)</t>
        </is>
      </c>
    </row>
    <row r="69">
      <c r="B69" s="4" t="inlineStr">
        <is>
          <t>Base</t>
        </is>
      </c>
      <c r="C69" s="26" t="n">
        <v>0.1</v>
      </c>
      <c r="D69" s="26" t="n">
        <v>0.12</v>
      </c>
      <c r="E69" s="26" t="n">
        <v>0.08</v>
      </c>
      <c r="F69" s="26" t="n">
        <v>0.06</v>
      </c>
      <c r="G69" s="26" t="n">
        <v>0.05</v>
      </c>
    </row>
    <row r="70">
      <c r="B70" s="4" t="inlineStr">
        <is>
          <t>Upside</t>
        </is>
      </c>
      <c r="C70" s="26" t="n">
        <v>0.15</v>
      </c>
      <c r="D70" s="26" t="n">
        <v>0.18</v>
      </c>
      <c r="E70" s="26" t="n">
        <v>0.15</v>
      </c>
      <c r="F70" s="26" t="n">
        <v>0.12</v>
      </c>
      <c r="G70" s="26" t="n">
        <v>0.1</v>
      </c>
    </row>
    <row r="71">
      <c r="B71" s="4" t="inlineStr">
        <is>
          <t>Management</t>
        </is>
      </c>
      <c r="C71" s="26" t="n">
        <v>0.08</v>
      </c>
      <c r="D71" s="26" t="n">
        <v>0.08</v>
      </c>
      <c r="E71" s="26" t="n">
        <v>0.06</v>
      </c>
      <c r="F71" s="26" t="n">
        <v>0.05</v>
      </c>
      <c r="G71" s="26" t="n">
        <v>0.04</v>
      </c>
    </row>
    <row r="72">
      <c r="B72" s="4" t="inlineStr">
        <is>
          <t>Downside 1</t>
        </is>
      </c>
      <c r="C72" s="26" t="n">
        <v>0.03</v>
      </c>
      <c r="D72" s="26" t="n">
        <v>0.02</v>
      </c>
      <c r="E72" s="26" t="n">
        <v>0.02</v>
      </c>
      <c r="F72" s="26" t="n">
        <v>0.02</v>
      </c>
      <c r="G72" s="26" t="n">
        <v>0.02</v>
      </c>
    </row>
    <row r="73">
      <c r="B73" s="4" t="inlineStr">
        <is>
          <t>Downside 2</t>
        </is>
      </c>
      <c r="C73" s="26" t="n">
        <v>-0.05</v>
      </c>
      <c r="D73" s="26" t="n">
        <v>-0.03</v>
      </c>
      <c r="E73" s="26" t="n">
        <v>0</v>
      </c>
      <c r="F73" s="26" t="n">
        <v>0.02</v>
      </c>
      <c r="G73" s="26" t="n">
        <v>0.02</v>
      </c>
    </row>
    <row r="75">
      <c r="B75" s="3" t="inlineStr">
        <is>
          <t>COGS % of Revenue</t>
        </is>
      </c>
    </row>
    <row r="76">
      <c r="B76" s="4" t="inlineStr">
        <is>
          <t>Base</t>
        </is>
      </c>
      <c r="C76" s="26" t="n">
        <v>0.77</v>
      </c>
      <c r="D76" s="26" t="n">
        <v>0.77</v>
      </c>
      <c r="E76" s="26" t="n">
        <v>0.765</v>
      </c>
      <c r="F76" s="26" t="n">
        <v>0.765</v>
      </c>
      <c r="G76" s="26" t="n">
        <v>0.76</v>
      </c>
    </row>
    <row r="77">
      <c r="B77" s="4" t="inlineStr">
        <is>
          <t>Upside</t>
        </is>
      </c>
      <c r="C77" s="26" t="n">
        <v>0.76</v>
      </c>
      <c r="D77" s="26" t="n">
        <v>0.76</v>
      </c>
      <c r="E77" s="26" t="n">
        <v>0.76</v>
      </c>
      <c r="F77" s="26" t="n">
        <v>0.75</v>
      </c>
      <c r="G77" s="26" t="n">
        <v>0.75</v>
      </c>
    </row>
    <row r="78">
      <c r="B78" s="4" t="inlineStr">
        <is>
          <t>Management</t>
        </is>
      </c>
      <c r="C78" s="26" t="n">
        <v>0.77</v>
      </c>
      <c r="D78" s="26" t="n">
        <v>0.77</v>
      </c>
      <c r="E78" s="26" t="n">
        <v>0.77</v>
      </c>
      <c r="F78" s="26" t="n">
        <v>0.77</v>
      </c>
      <c r="G78" s="26" t="n">
        <v>0.77</v>
      </c>
    </row>
    <row r="79">
      <c r="B79" s="4" t="inlineStr">
        <is>
          <t>Downside 1</t>
        </is>
      </c>
      <c r="C79" s="26" t="n">
        <v>0.78</v>
      </c>
      <c r="D79" s="26" t="n">
        <v>0.78</v>
      </c>
      <c r="E79" s="26" t="n">
        <v>0.78</v>
      </c>
      <c r="F79" s="26" t="n">
        <v>0.78</v>
      </c>
      <c r="G79" s="26" t="n">
        <v>0.78</v>
      </c>
    </row>
    <row r="80">
      <c r="B80" s="4" t="inlineStr">
        <is>
          <t>Downside 2</t>
        </is>
      </c>
      <c r="C80" s="26" t="n">
        <v>0.79</v>
      </c>
      <c r="D80" s="26" t="n">
        <v>0.79</v>
      </c>
      <c r="E80" s="26" t="n">
        <v>0.79</v>
      </c>
      <c r="F80" s="26" t="n">
        <v>0.79</v>
      </c>
      <c r="G80" s="26" t="n">
        <v>0.79</v>
      </c>
    </row>
    <row r="82">
      <c r="B82" s="3" t="inlineStr">
        <is>
          <t>SGA % of Revenue</t>
        </is>
      </c>
    </row>
    <row r="83">
      <c r="B83" s="4" t="inlineStr">
        <is>
          <t>Base</t>
        </is>
      </c>
      <c r="C83" s="26" t="n">
        <v>0.06</v>
      </c>
      <c r="D83" s="26" t="n">
        <v>0.06</v>
      </c>
      <c r="E83" s="26" t="n">
        <v>0.06</v>
      </c>
      <c r="F83" s="26" t="n">
        <v>0.06</v>
      </c>
      <c r="G83" s="26" t="n">
        <v>0.06</v>
      </c>
    </row>
    <row r="84">
      <c r="B84" s="4" t="inlineStr">
        <is>
          <t>Upside</t>
        </is>
      </c>
      <c r="C84" s="26" t="n">
        <v>0.05</v>
      </c>
      <c r="D84" s="26" t="n">
        <v>0.05</v>
      </c>
      <c r="E84" s="26" t="n">
        <v>0.05</v>
      </c>
      <c r="F84" s="26" t="n">
        <v>0.05</v>
      </c>
      <c r="G84" s="26" t="n">
        <v>0.05</v>
      </c>
    </row>
    <row r="85">
      <c r="B85" s="4" t="inlineStr">
        <is>
          <t>Management</t>
        </is>
      </c>
      <c r="C85" s="26" t="n">
        <v>0.06</v>
      </c>
      <c r="D85" s="26" t="n">
        <v>0.06</v>
      </c>
      <c r="E85" s="26" t="n">
        <v>0.06</v>
      </c>
      <c r="F85" s="26" t="n">
        <v>0.06</v>
      </c>
      <c r="G85" s="26" t="n">
        <v>0.06</v>
      </c>
    </row>
    <row r="86">
      <c r="B86" s="4" t="inlineStr">
        <is>
          <t>Downside 1</t>
        </is>
      </c>
      <c r="C86" s="26" t="n">
        <v>0.07000000000000001</v>
      </c>
      <c r="D86" s="26" t="n">
        <v>0.07000000000000001</v>
      </c>
      <c r="E86" s="26" t="n">
        <v>0.07000000000000001</v>
      </c>
      <c r="F86" s="26" t="n">
        <v>0.07000000000000001</v>
      </c>
      <c r="G86" s="26" t="n">
        <v>0.07000000000000001</v>
      </c>
    </row>
    <row r="87">
      <c r="B87" s="4" t="inlineStr">
        <is>
          <t>Downside 2</t>
        </is>
      </c>
      <c r="C87" s="26" t="n">
        <v>0.08</v>
      </c>
      <c r="D87" s="26" t="n">
        <v>0.08</v>
      </c>
      <c r="E87" s="26" t="n">
        <v>0.08</v>
      </c>
      <c r="F87" s="26" t="n">
        <v>0.08</v>
      </c>
      <c r="G87" s="26" t="n">
        <v>0.08</v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2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TechnoSmart Corporation</t>
        </is>
      </c>
    </row>
    <row r="4">
      <c r="B4" s="8" t="inlineStr">
        <is>
          <t>Working Capital Drivers (% of Revenue)</t>
        </is>
      </c>
      <c r="C4" s="27" t="inlineStr">
        <is>
          <t>Base Year</t>
        </is>
      </c>
      <c r="D4" s="27" t="inlineStr">
        <is>
          <t>FY2026(E)</t>
        </is>
      </c>
      <c r="E4" s="27" t="inlineStr">
        <is>
          <t>FY2027(E)</t>
        </is>
      </c>
      <c r="F4" s="27" t="inlineStr">
        <is>
          <t>FY2028(E)</t>
        </is>
      </c>
      <c r="G4" s="27" t="inlineStr">
        <is>
          <t>FY2029(E)</t>
        </is>
      </c>
      <c r="H4" s="27" t="inlineStr">
        <is>
          <t>FY2030(E)</t>
        </is>
      </c>
    </row>
    <row r="5">
      <c r="B5" s="28" t="inlineStr">
        <is>
          <t>NWC % of Revenue</t>
        </is>
      </c>
      <c r="C5" s="29">
        <f>C18/C9</f>
        <v/>
      </c>
      <c r="D5" s="29">
        <f>CHOOSE('DCF Model'!$D$27,D25,D26,D27,D28,D29)</f>
        <v/>
      </c>
      <c r="E5" s="29">
        <f>CHOOSE('DCF Model'!$D$27,E25,E26,E27,E28,E29)</f>
        <v/>
      </c>
      <c r="F5" s="29">
        <f>CHOOSE('DCF Model'!$D$27,F25,F26,F27,F28,F29)</f>
        <v/>
      </c>
      <c r="G5" s="29">
        <f>CHOOSE('DCF Model'!$D$27,G25,G26,G27,G28,G29)</f>
        <v/>
      </c>
      <c r="H5" s="29">
        <f>CHOOSE('DCF Model'!$D$27,H25,H26,H27,H28,H29)</f>
        <v/>
      </c>
    </row>
    <row r="6">
      <c r="B6" s="30" t="inlineStr">
        <is>
          <t>—</t>
        </is>
      </c>
      <c r="C6" s="30" t="inlineStr">
        <is>
          <t>—</t>
        </is>
      </c>
      <c r="D6" s="30" t="inlineStr">
        <is>
          <t>—</t>
        </is>
      </c>
      <c r="E6" s="30" t="inlineStr">
        <is>
          <t>—</t>
        </is>
      </c>
      <c r="F6" s="30" t="inlineStr">
        <is>
          <t>—</t>
        </is>
      </c>
      <c r="G6" s="30" t="inlineStr">
        <is>
          <t>—</t>
        </is>
      </c>
      <c r="H6" s="30" t="inlineStr">
        <is>
          <t>—</t>
        </is>
      </c>
    </row>
    <row r="7">
      <c r="B7" s="30" t="inlineStr">
        <is>
          <t>—</t>
        </is>
      </c>
      <c r="C7" s="30" t="inlineStr">
        <is>
          <t>—</t>
        </is>
      </c>
      <c r="D7" s="30" t="inlineStr">
        <is>
          <t>—</t>
        </is>
      </c>
      <c r="E7" s="30" t="inlineStr">
        <is>
          <t>—</t>
        </is>
      </c>
      <c r="F7" s="30" t="inlineStr">
        <is>
          <t>—</t>
        </is>
      </c>
      <c r="G7" s="30" t="inlineStr">
        <is>
          <t>—</t>
        </is>
      </c>
      <c r="H7" s="30" t="inlineStr">
        <is>
          <t>—</t>
        </is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8" t="inlineStr">
        <is>
          <t>Revenue</t>
        </is>
      </c>
      <c r="C9" s="31" t="n">
        <v>21578.662</v>
      </c>
      <c r="D9" s="31">
        <f>'DCF Model'!C33</f>
        <v/>
      </c>
      <c r="E9" s="31">
        <f>'DCF Model'!D33</f>
        <v/>
      </c>
      <c r="F9" s="31">
        <f>'DCF Model'!E33</f>
        <v/>
      </c>
      <c r="G9" s="31">
        <f>'DCF Model'!F33</f>
        <v/>
      </c>
      <c r="H9" s="31">
        <f>'DCF Model'!G33</f>
        <v/>
      </c>
    </row>
    <row r="10">
      <c r="B10" s="30" t="inlineStr">
        <is>
          <t>—</t>
        </is>
      </c>
      <c r="C10" s="30" t="inlineStr">
        <is>
          <t>—</t>
        </is>
      </c>
      <c r="D10" s="30" t="inlineStr">
        <is>
          <t>—</t>
        </is>
      </c>
      <c r="E10" s="30" t="inlineStr">
        <is>
          <t>—</t>
        </is>
      </c>
      <c r="F10" s="30" t="inlineStr">
        <is>
          <t>—</t>
        </is>
      </c>
      <c r="G10" s="30" t="inlineStr">
        <is>
          <t>—</t>
        </is>
      </c>
      <c r="H10" s="30" t="inlineStr">
        <is>
          <t>—</t>
        </is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30" t="inlineStr">
        <is>
          <t>—</t>
        </is>
      </c>
      <c r="C12" s="30" t="inlineStr">
        <is>
          <t>—</t>
        </is>
      </c>
      <c r="D12" s="30" t="inlineStr">
        <is>
          <t>—</t>
        </is>
      </c>
      <c r="E12" s="30" t="inlineStr">
        <is>
          <t>—</t>
        </is>
      </c>
      <c r="F12" s="30" t="inlineStr">
        <is>
          <t>—</t>
        </is>
      </c>
      <c r="G12" s="30" t="inlineStr">
        <is>
          <t>—</t>
        </is>
      </c>
      <c r="H12" s="30" t="inlineStr">
        <is>
          <t>—</t>
        </is>
      </c>
    </row>
    <row r="13">
      <c r="B13" s="30" t="inlineStr">
        <is>
          <t>—</t>
        </is>
      </c>
      <c r="C13" s="30" t="inlineStr">
        <is>
          <t>—</t>
        </is>
      </c>
      <c r="D13" s="30" t="inlineStr">
        <is>
          <t>—</t>
        </is>
      </c>
      <c r="E13" s="30" t="inlineStr">
        <is>
          <t>—</t>
        </is>
      </c>
      <c r="F13" s="30" t="inlineStr">
        <is>
          <t>—</t>
        </is>
      </c>
      <c r="G13" s="30" t="inlineStr">
        <is>
          <t>—</t>
        </is>
      </c>
      <c r="H13" s="30" t="inlineStr">
        <is>
          <t>—</t>
        </is>
      </c>
    </row>
    <row r="14">
      <c r="B14" s="30" t="inlineStr">
        <is>
          <t>—</t>
        </is>
      </c>
      <c r="C14" s="30" t="inlineStr">
        <is>
          <t>—</t>
        </is>
      </c>
      <c r="D14" s="30" t="inlineStr">
        <is>
          <t>—</t>
        </is>
      </c>
      <c r="E14" s="30" t="inlineStr">
        <is>
          <t>—</t>
        </is>
      </c>
      <c r="F14" s="30" t="inlineStr">
        <is>
          <t>—</t>
        </is>
      </c>
      <c r="G14" s="30" t="inlineStr">
        <is>
          <t>—</t>
        </is>
      </c>
      <c r="H14" s="30" t="inlineStr">
        <is>
          <t>—</t>
        </is>
      </c>
    </row>
    <row r="15">
      <c r="B15" s="30" t="inlineStr">
        <is>
          <t>—</t>
        </is>
      </c>
      <c r="C15" s="30" t="inlineStr">
        <is>
          <t>—</t>
        </is>
      </c>
      <c r="D15" s="30" t="inlineStr">
        <is>
          <t>—</t>
        </is>
      </c>
      <c r="E15" s="30" t="inlineStr">
        <is>
          <t>—</t>
        </is>
      </c>
      <c r="F15" s="30" t="inlineStr">
        <is>
          <t>—</t>
        </is>
      </c>
      <c r="G15" s="30" t="inlineStr">
        <is>
          <t>—</t>
        </is>
      </c>
      <c r="H15" s="30" t="inlineStr">
        <is>
          <t>—</t>
        </is>
      </c>
    </row>
    <row r="16">
      <c r="B16" s="30" t="inlineStr">
        <is>
          <t>—</t>
        </is>
      </c>
      <c r="C16" s="30" t="inlineStr">
        <is>
          <t>—</t>
        </is>
      </c>
      <c r="D16" s="30" t="inlineStr">
        <is>
          <t>—</t>
        </is>
      </c>
      <c r="E16" s="30" t="inlineStr">
        <is>
          <t>—</t>
        </is>
      </c>
      <c r="F16" s="30" t="inlineStr">
        <is>
          <t>—</t>
        </is>
      </c>
      <c r="G16" s="30" t="inlineStr">
        <is>
          <t>—</t>
        </is>
      </c>
      <c r="H16" s="30" t="inlineStr">
        <is>
          <t>—</t>
        </is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8" t="inlineStr">
        <is>
          <t>Net Working Capital</t>
        </is>
      </c>
      <c r="C18" s="20" t="n">
        <v>15677.163</v>
      </c>
      <c r="D18" s="20">
        <f>D9*D5</f>
        <v/>
      </c>
      <c r="E18" s="20">
        <f>E9*E5</f>
        <v/>
      </c>
      <c r="F18" s="20">
        <f>F9*F5</f>
        <v/>
      </c>
      <c r="G18" s="20">
        <f>G9*G5</f>
        <v/>
      </c>
      <c r="H18" s="20">
        <f>H9*H5</f>
        <v/>
      </c>
    </row>
    <row r="19">
      <c r="B19" s="28" t="inlineStr">
        <is>
          <t>Change in NWC</t>
        </is>
      </c>
      <c r="C19" s="32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22" t="inlineStr">
        <is>
          <t>Scenario Input Matrix (NWC % of Revenue)</t>
        </is>
      </c>
      <c r="C22" s="23" t="n"/>
      <c r="D22" s="23" t="n"/>
      <c r="E22" s="23" t="n"/>
      <c r="F22" s="23" t="n"/>
      <c r="G22" s="23" t="n"/>
      <c r="H22" s="23" t="n"/>
    </row>
    <row r="23">
      <c r="D23" s="25" t="inlineStr">
        <is>
          <t>FY2026(E)</t>
        </is>
      </c>
      <c r="E23" s="25" t="inlineStr">
        <is>
          <t>FY2027(E)</t>
        </is>
      </c>
      <c r="F23" s="25" t="inlineStr">
        <is>
          <t>FY2028(E)</t>
        </is>
      </c>
      <c r="G23" s="25" t="inlineStr">
        <is>
          <t>FY2029(E)</t>
        </is>
      </c>
      <c r="H23" s="25" t="inlineStr">
        <is>
          <t>FY2030(E)</t>
        </is>
      </c>
    </row>
    <row r="24">
      <c r="B24" s="3" t="inlineStr">
        <is>
          <t>NWC % of Revenue</t>
        </is>
      </c>
    </row>
    <row r="25">
      <c r="B25" s="4" t="inlineStr">
        <is>
          <t>Base</t>
        </is>
      </c>
      <c r="D25" s="26" t="n">
        <v>0.72</v>
      </c>
      <c r="E25" s="26" t="n">
        <v>0.7</v>
      </c>
      <c r="F25" s="26" t="n">
        <v>0.68</v>
      </c>
      <c r="G25" s="26" t="n">
        <v>0.66</v>
      </c>
      <c r="H25" s="26" t="n">
        <v>0.65</v>
      </c>
    </row>
    <row r="26">
      <c r="B26" s="4" t="inlineStr">
        <is>
          <t>Upside</t>
        </is>
      </c>
      <c r="D26" s="26" t="n">
        <v>0.68</v>
      </c>
      <c r="E26" s="26" t="n">
        <v>0.66</v>
      </c>
      <c r="F26" s="26" t="n">
        <v>0.64</v>
      </c>
      <c r="G26" s="26" t="n">
        <v>0.62</v>
      </c>
      <c r="H26" s="26" t="n">
        <v>0.6</v>
      </c>
    </row>
    <row r="27">
      <c r="B27" s="4" t="inlineStr">
        <is>
          <t>Management</t>
        </is>
      </c>
      <c r="D27" s="26" t="n">
        <v>0.72</v>
      </c>
      <c r="E27" s="26" t="n">
        <v>0.71</v>
      </c>
      <c r="F27" s="26" t="n">
        <v>0.7</v>
      </c>
      <c r="G27" s="26" t="n">
        <v>0.68</v>
      </c>
      <c r="H27" s="26" t="n">
        <v>0.66</v>
      </c>
    </row>
    <row r="28">
      <c r="B28" s="4" t="inlineStr">
        <is>
          <t>Downside 1</t>
        </is>
      </c>
      <c r="D28" s="26" t="n">
        <v>0.75</v>
      </c>
      <c r="E28" s="26" t="n">
        <v>0.76</v>
      </c>
      <c r="F28" s="26" t="n">
        <v>0.76</v>
      </c>
      <c r="G28" s="26" t="n">
        <v>0.75</v>
      </c>
      <c r="H28" s="26" t="n">
        <v>0.75</v>
      </c>
    </row>
    <row r="29">
      <c r="B29" s="4" t="inlineStr">
        <is>
          <t>Downside 2</t>
        </is>
      </c>
      <c r="D29" s="26" t="n">
        <v>0.8</v>
      </c>
      <c r="E29" s="26" t="n">
        <v>0.8</v>
      </c>
      <c r="F29" s="26" t="n">
        <v>0.8</v>
      </c>
      <c r="G29" s="26" t="n">
        <v>0.8</v>
      </c>
      <c r="H29" s="26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Hirano Techseed</t>
        </is>
      </c>
      <c r="C5" t="inlineStr">
        <is>
          <t>6245.T</t>
        </is>
      </c>
      <c r="D5" s="33" t="n">
        <v>27142.84032</v>
      </c>
      <c r="E5" s="33" t="n">
        <v>33979.84032</v>
      </c>
      <c r="F5" s="33" t="n">
        <v>31000</v>
      </c>
      <c r="G5" s="33" t="n">
        <v>2922</v>
      </c>
      <c r="H5" s="33" t="n">
        <v>2100</v>
      </c>
      <c r="I5" s="33" t="n">
        <v>1600</v>
      </c>
      <c r="J5" s="34">
        <f>E5/G5</f>
        <v/>
      </c>
      <c r="K5" s="34">
        <f>E5/F5</f>
        <v/>
      </c>
      <c r="L5" s="34">
        <f>D5/I5</f>
        <v/>
      </c>
      <c r="M5" s="34" t="n">
        <v>0.7097837483329411</v>
      </c>
      <c r="N5" s="35">
        <f>H5/F5</f>
        <v/>
      </c>
      <c r="O5" s="35" t="n">
        <v>0.04183991004419341</v>
      </c>
    </row>
    <row r="6">
      <c r="B6" s="4" t="inlineStr">
        <is>
          <t>Takatori</t>
        </is>
      </c>
      <c r="C6" t="inlineStr">
        <is>
          <t>6338.T</t>
        </is>
      </c>
      <c r="D6" s="33" t="n">
        <v>8472.193536000001</v>
      </c>
      <c r="E6" s="33" t="n">
        <v>12607.193536</v>
      </c>
      <c r="F6" s="33" t="n">
        <v>7000</v>
      </c>
      <c r="G6" s="33" t="n">
        <v>573</v>
      </c>
      <c r="H6" s="33" t="n">
        <v>430</v>
      </c>
      <c r="I6" s="33" t="n">
        <v>330</v>
      </c>
      <c r="J6" s="34">
        <f>E6/G6</f>
        <v/>
      </c>
      <c r="K6" s="34">
        <f>E6/F6</f>
        <v/>
      </c>
      <c r="L6" s="34">
        <f>D6/I6</f>
        <v/>
      </c>
      <c r="M6" s="34" t="n">
        <v>0.825186864322587</v>
      </c>
      <c r="N6" s="35">
        <f>H6/F6</f>
        <v/>
      </c>
      <c r="O6" s="35" t="n">
        <v>0.03214181357748125</v>
      </c>
    </row>
    <row r="7">
      <c r="B7" s="4" t="inlineStr">
        <is>
          <t>Stech</t>
        </is>
      </c>
      <c r="C7" t="inlineStr">
        <is>
          <t>6161.T</t>
        </is>
      </c>
      <c r="D7" s="33" t="n">
        <v>10466.25792</v>
      </c>
      <c r="E7" s="33" t="n">
        <v>10501.25792</v>
      </c>
      <c r="F7" s="33" t="n">
        <v>8320</v>
      </c>
      <c r="G7" s="33" t="n">
        <v>1885</v>
      </c>
      <c r="H7" s="33" t="n">
        <v>1698</v>
      </c>
      <c r="I7" s="33" t="n">
        <v>1192</v>
      </c>
      <c r="J7" s="34">
        <f>E7/G7</f>
        <v/>
      </c>
      <c r="K7" s="34">
        <f>E7/F7</f>
        <v/>
      </c>
      <c r="L7" s="34">
        <f>D7/I7</f>
        <v/>
      </c>
      <c r="M7" s="34" t="n">
        <v>0.9900915637120424</v>
      </c>
      <c r="N7" s="35">
        <f>H7/F7</f>
        <v/>
      </c>
      <c r="O7" s="35" t="n">
        <v>0.1127613281619525</v>
      </c>
    </row>
    <row r="8">
      <c r="B8" s="4" t="inlineStr">
        <is>
          <t>Keiwa</t>
        </is>
      </c>
      <c r="C8" t="inlineStr">
        <is>
          <t>4251.T</t>
        </is>
      </c>
      <c r="D8" s="33" t="n">
        <v>24637.92128</v>
      </c>
      <c r="E8" s="33" t="n">
        <v>26708.92128</v>
      </c>
      <c r="F8" s="33" t="n">
        <v>22300</v>
      </c>
      <c r="G8" s="33" t="n">
        <v>6602</v>
      </c>
      <c r="H8" s="33" t="n">
        <v>4500</v>
      </c>
      <c r="I8" s="33" t="n">
        <v>3100</v>
      </c>
      <c r="J8" s="34">
        <f>E8/G8</f>
        <v/>
      </c>
      <c r="K8" s="34">
        <f>E8/F8</f>
        <v/>
      </c>
      <c r="L8" s="34">
        <f>D8/I8</f>
        <v/>
      </c>
      <c r="M8" s="34" t="n">
        <v>1.032430492792491</v>
      </c>
      <c r="N8" s="35">
        <f>H8/F8</f>
        <v/>
      </c>
      <c r="O8" s="35" t="n">
        <v>0.1299027824337915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4">
        <f>PERCENTILE(J5:J8,0.25)</f>
        <v/>
      </c>
      <c r="E15" s="34">
        <f>PERCENTILE(K5:K8,0.25)</f>
        <v/>
      </c>
      <c r="F15" s="34">
        <f>PERCENTILE(L5:L8,0.25)</f>
        <v/>
      </c>
      <c r="G15" s="34">
        <f>PERCENTILE(M5:M8,0.25)</f>
        <v/>
      </c>
      <c r="H15" s="35">
        <f>PERCENTILE(N5:N8,0.25)</f>
        <v/>
      </c>
      <c r="I15" s="35">
        <f>PERCENTILE(O5:O8,0.25)</f>
        <v/>
      </c>
    </row>
    <row r="16">
      <c r="B16" s="4" t="inlineStr">
        <is>
          <t>Median (50th)</t>
        </is>
      </c>
      <c r="D16" s="34">
        <f>MEDIAN(J5:J8)</f>
        <v/>
      </c>
      <c r="E16" s="34">
        <f>MEDIAN(K5:K8)</f>
        <v/>
      </c>
      <c r="F16" s="34">
        <f>MEDIAN(L5:L8)</f>
        <v/>
      </c>
      <c r="G16" s="34">
        <f>MEDIAN(M5:M8)</f>
        <v/>
      </c>
      <c r="H16" s="35">
        <f>MEDIAN(N5:N8)</f>
        <v/>
      </c>
      <c r="I16" s="35">
        <f>MEDIAN(O5:O8)</f>
        <v/>
      </c>
    </row>
    <row r="17">
      <c r="B17" s="4" t="inlineStr">
        <is>
          <t>75th Percentile</t>
        </is>
      </c>
      <c r="D17" s="34">
        <f>PERCENTILE(J5:J8,0.75)</f>
        <v/>
      </c>
      <c r="E17" s="34">
        <f>PERCENTILE(K5:K8,0.75)</f>
        <v/>
      </c>
      <c r="F17" s="34">
        <f>PERCENTILE(L5:L8,0.75)</f>
        <v/>
      </c>
      <c r="G17" s="34">
        <f>PERCENTILE(M5:M8,0.75)</f>
        <v/>
      </c>
      <c r="H17" s="35">
        <f>PERCENTILE(N5:N8,0.75)</f>
        <v/>
      </c>
      <c r="I17" s="35">
        <f>PERCENTILE(O5:O8,0.75)</f>
        <v/>
      </c>
    </row>
    <row r="19">
      <c r="B19" s="22" t="inlineStr">
        <is>
          <t>Implied Valuation for TechnoSmart Corporation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TechnoSmart Corporation Financials</t>
        </is>
      </c>
    </row>
    <row r="21">
      <c r="B21" s="4" t="inlineStr">
        <is>
          <t>EBITDA (JPY mn)</t>
        </is>
      </c>
      <c r="C21" s="5" t="n">
        <v>3777.856</v>
      </c>
    </row>
    <row r="22">
      <c r="B22" s="4" t="inlineStr">
        <is>
          <t>Net Income (JPY mn)</t>
        </is>
      </c>
      <c r="C22" s="5" t="n">
        <v>2390.888</v>
      </c>
    </row>
    <row r="23">
      <c r="B23" s="4" t="inlineStr">
        <is>
          <t>Shares Outstanding</t>
        </is>
      </c>
      <c r="C23" s="15" t="n">
        <v>11490655</v>
      </c>
    </row>
    <row r="24">
      <c r="B24" s="4" t="inlineStr">
        <is>
          <t>Net Debt (JPY mn)</t>
        </is>
      </c>
      <c r="C24" s="5" t="n">
        <v>432.4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6" t="inlineStr">
        <is>
          <t>WACC \ Terminal g</t>
        </is>
      </c>
      <c r="C6" s="37">
        <f>$F$3-0.0075</f>
        <v/>
      </c>
      <c r="D6" s="37">
        <f>$F$3-0.005</f>
        <v/>
      </c>
      <c r="E6" s="37">
        <f>$F$3-0.0025</f>
        <v/>
      </c>
      <c r="F6" s="37">
        <f>$F$3</f>
        <v/>
      </c>
      <c r="G6" s="37">
        <f>$F$3+0.0025</f>
        <v/>
      </c>
      <c r="H6" s="37">
        <f>$F$3+0.005</f>
        <v/>
      </c>
      <c r="I6" s="37">
        <f>$F$3+0.0075</f>
        <v/>
      </c>
    </row>
    <row r="7">
      <c r="B7" s="35">
        <f>$C$3-0.015</f>
        <v/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5">
        <f>$C$3-0.01</f>
        <v/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5">
        <f>$C$3-0.005</f>
        <v/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5">
        <f>$C$3</f>
        <v/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5">
        <f>$C$3+0.005</f>
        <v/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5">
        <f>$C$3+0.01</f>
        <v/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5">
        <f>$C$3+0.015</f>
        <v/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6" t="inlineStr">
        <is>
          <t>WACC \ Exit Multiple</t>
        </is>
      </c>
      <c r="C17" s="38">
        <f>$I$3-3.0</f>
        <v/>
      </c>
      <c r="D17" s="38">
        <f>$I$3-2.0</f>
        <v/>
      </c>
      <c r="E17" s="38">
        <f>$I$3-1.0</f>
        <v/>
      </c>
      <c r="F17" s="38">
        <f>$I$3</f>
        <v/>
      </c>
      <c r="G17" s="38">
        <f>$I$3+1.0</f>
        <v/>
      </c>
      <c r="H17" s="38">
        <f>$I$3+2.0</f>
        <v/>
      </c>
      <c r="I17" s="38">
        <f>$I$3+3.0</f>
        <v/>
      </c>
    </row>
    <row r="18">
      <c r="B18" s="35">
        <f>$C$3-0.015</f>
        <v/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5">
        <f>$C$3-0.01</f>
        <v/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5">
        <f>$C$3-0.005</f>
        <v/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5">
        <f>$C$3</f>
        <v/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5">
        <f>$C$3+0.005</f>
        <v/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5">
        <f>$C$3+0.01</f>
        <v/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5">
        <f>$C$3+0.015</f>
        <v/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J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Segment Analysis - TechnoSmart Corporation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Display Components (ディスプレイ部品関連)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Revenue</t>
        </is>
      </c>
      <c r="C6" s="31" t="n">
        <v>7464</v>
      </c>
      <c r="D6" s="31" t="n">
        <v>6349</v>
      </c>
      <c r="E6" s="31" t="n">
        <v>9843</v>
      </c>
      <c r="F6" s="39" t="n">
        <v>11000</v>
      </c>
      <c r="G6" s="39" t="n">
        <v>12500</v>
      </c>
      <c r="H6" s="39" t="n">
        <v>13500</v>
      </c>
      <c r="I6" s="39" t="n">
        <v>14000</v>
      </c>
      <c r="J6" s="30" t="inlineStr">
        <is>
          <t>—</t>
        </is>
      </c>
    </row>
    <row r="7">
      <c r="B7" s="4" t="inlineStr">
        <is>
          <t>Operating Profit</t>
        </is>
      </c>
      <c r="C7" s="30" t="inlineStr">
        <is>
          <t>—</t>
        </is>
      </c>
      <c r="D7" s="30" t="inlineStr">
        <is>
          <t>—</t>
        </is>
      </c>
      <c r="E7" s="30" t="inlineStr">
        <is>
          <t>—</t>
        </is>
      </c>
      <c r="F7" s="31">
        <f>F6*0.25</f>
        <v/>
      </c>
      <c r="G7" s="31">
        <f>G6*0.26</f>
        <v/>
      </c>
      <c r="H7" s="31">
        <f>H6*0.27</f>
        <v/>
      </c>
      <c r="I7" s="31">
        <f>I6*0.27</f>
        <v/>
      </c>
      <c r="J7" s="30" t="inlineStr">
        <is>
          <t>—</t>
        </is>
      </c>
    </row>
    <row r="8">
      <c r="B8" s="40" t="inlineStr">
        <is>
          <t>OP Margin</t>
        </is>
      </c>
      <c r="C8" s="30" t="inlineStr">
        <is>
          <t>—</t>
        </is>
      </c>
      <c r="D8" s="30" t="inlineStr">
        <is>
          <t>—</t>
        </is>
      </c>
      <c r="E8" s="30" t="inlineStr">
        <is>
          <t>—</t>
        </is>
      </c>
      <c r="F8" s="29">
        <f>IFERROR(F7/F6,"—")</f>
        <v/>
      </c>
      <c r="G8" s="29">
        <f>IFERROR(G7/G6,"—")</f>
        <v/>
      </c>
      <c r="H8" s="29">
        <f>IFERROR(H7/H6,"—")</f>
        <v/>
      </c>
      <c r="I8" s="29">
        <f>IFERROR(I7/I6,"—")</f>
        <v/>
      </c>
      <c r="J8" s="29">
        <f>IFERROR(J7/J6,"—")</f>
        <v/>
      </c>
    </row>
    <row r="10">
      <c r="B10" s="8" t="inlineStr">
        <is>
          <t>Functional Film (MLCC) (機能性フィルム関連)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B11" s="4" t="inlineStr">
        <is>
          <t>Revenue</t>
        </is>
      </c>
      <c r="C11" s="30" t="inlineStr">
        <is>
          <t>—</t>
        </is>
      </c>
      <c r="D11" s="31" t="n">
        <v>4388</v>
      </c>
      <c r="E11" s="31" t="n">
        <v>5164</v>
      </c>
      <c r="F11" s="39" t="n">
        <v>6000</v>
      </c>
      <c r="G11" s="39" t="n">
        <v>7000</v>
      </c>
      <c r="H11" s="39" t="n">
        <v>8000</v>
      </c>
      <c r="I11" s="39" t="n">
        <v>9000</v>
      </c>
      <c r="J11" s="30" t="inlineStr">
        <is>
          <t>—</t>
        </is>
      </c>
    </row>
    <row r="12">
      <c r="B12" s="4" t="inlineStr">
        <is>
          <t>Operating Profit</t>
        </is>
      </c>
      <c r="C12" s="30" t="inlineStr">
        <is>
          <t>—</t>
        </is>
      </c>
      <c r="D12" s="30" t="inlineStr">
        <is>
          <t>—</t>
        </is>
      </c>
      <c r="E12" s="30" t="inlineStr">
        <is>
          <t>—</t>
        </is>
      </c>
      <c r="F12" s="31">
        <f>F11*0.18</f>
        <v/>
      </c>
      <c r="G12" s="31">
        <f>G11*0.19</f>
        <v/>
      </c>
      <c r="H12" s="31">
        <f>H11*0.2</f>
        <v/>
      </c>
      <c r="I12" s="31">
        <f>I11*0.21</f>
        <v/>
      </c>
      <c r="J12" s="30" t="inlineStr">
        <is>
          <t>—</t>
        </is>
      </c>
    </row>
    <row r="13">
      <c r="B13" s="40" t="inlineStr">
        <is>
          <t>OP Margin</t>
        </is>
      </c>
      <c r="C13" s="30" t="inlineStr">
        <is>
          <t>—</t>
        </is>
      </c>
      <c r="D13" s="30" t="inlineStr">
        <is>
          <t>—</t>
        </is>
      </c>
      <c r="E13" s="30" t="inlineStr">
        <is>
          <t>—</t>
        </is>
      </c>
      <c r="F13" s="29">
        <f>IFERROR(F12/F11,"—")</f>
        <v/>
      </c>
      <c r="G13" s="29">
        <f>IFERROR(G12/G11,"—")</f>
        <v/>
      </c>
      <c r="H13" s="29">
        <f>IFERROR(H12/H11,"—")</f>
        <v/>
      </c>
      <c r="I13" s="29">
        <f>IFERROR(I12/I11,"—")</f>
        <v/>
      </c>
      <c r="J13" s="29">
        <f>IFERROR(J12/J11,"—")</f>
        <v/>
      </c>
    </row>
    <row r="15">
      <c r="B15" s="8" t="inlineStr">
        <is>
          <t>Energy (LiB) (エネルギー関連)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B16" s="4" t="inlineStr">
        <is>
          <t>Revenue</t>
        </is>
      </c>
      <c r="C16" s="30" t="inlineStr">
        <is>
          <t>—</t>
        </is>
      </c>
      <c r="D16" s="31" t="n">
        <v>5206</v>
      </c>
      <c r="E16" s="31" t="n">
        <v>5193</v>
      </c>
      <c r="F16" s="39" t="n">
        <v>5500</v>
      </c>
      <c r="G16" s="39" t="n">
        <v>6000</v>
      </c>
      <c r="H16" s="39" t="n">
        <v>6500</v>
      </c>
      <c r="I16" s="39" t="n">
        <v>7500</v>
      </c>
      <c r="J16" s="30" t="inlineStr">
        <is>
          <t>—</t>
        </is>
      </c>
    </row>
    <row r="17">
      <c r="B17" s="4" t="inlineStr">
        <is>
          <t>Operating Profit</t>
        </is>
      </c>
      <c r="C17" s="30" t="inlineStr">
        <is>
          <t>—</t>
        </is>
      </c>
      <c r="D17" s="30" t="inlineStr">
        <is>
          <t>—</t>
        </is>
      </c>
      <c r="E17" s="30" t="inlineStr">
        <is>
          <t>—</t>
        </is>
      </c>
      <c r="F17" s="31">
        <f>F16*0.15</f>
        <v/>
      </c>
      <c r="G17" s="31">
        <f>G16*0.16</f>
        <v/>
      </c>
      <c r="H17" s="31">
        <f>H16*0.17</f>
        <v/>
      </c>
      <c r="I17" s="31">
        <f>I16*0.18</f>
        <v/>
      </c>
      <c r="J17" s="30" t="inlineStr">
        <is>
          <t>—</t>
        </is>
      </c>
    </row>
    <row r="18">
      <c r="B18" s="40" t="inlineStr">
        <is>
          <t>OP Margin</t>
        </is>
      </c>
      <c r="C18" s="30" t="inlineStr">
        <is>
          <t>—</t>
        </is>
      </c>
      <c r="D18" s="30" t="inlineStr">
        <is>
          <t>—</t>
        </is>
      </c>
      <c r="E18" s="30" t="inlineStr">
        <is>
          <t>—</t>
        </is>
      </c>
      <c r="F18" s="29">
        <f>IFERROR(F17/F16,"—")</f>
        <v/>
      </c>
      <c r="G18" s="29">
        <f>IFERROR(G17/G16,"—")</f>
        <v/>
      </c>
      <c r="H18" s="29">
        <f>IFERROR(H17/H16,"—")</f>
        <v/>
      </c>
      <c r="I18" s="29">
        <f>IFERROR(I17/I16,"—")</f>
        <v/>
      </c>
      <c r="J18" s="29">
        <f>IFERROR(J17/J16,"—")</f>
        <v/>
      </c>
    </row>
    <row r="20">
      <c r="B20" s="8" t="inlineStr">
        <is>
          <t>Electronic Components (電子部品関連)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B21" s="4" t="inlineStr">
        <is>
          <t>Revenue</t>
        </is>
      </c>
      <c r="C21" s="30" t="inlineStr">
        <is>
          <t>—</t>
        </is>
      </c>
      <c r="D21" s="31" t="n">
        <v>1999</v>
      </c>
      <c r="E21" s="31" t="n">
        <v>389</v>
      </c>
      <c r="F21" s="39" t="n">
        <v>500</v>
      </c>
      <c r="G21" s="39" t="n">
        <v>600</v>
      </c>
      <c r="H21" s="39" t="n">
        <v>700</v>
      </c>
      <c r="I21" s="39" t="n">
        <v>800</v>
      </c>
      <c r="J21" s="30" t="inlineStr">
        <is>
          <t>—</t>
        </is>
      </c>
    </row>
    <row r="22">
      <c r="B22" s="4" t="inlineStr">
        <is>
          <t>Operating Profit</t>
        </is>
      </c>
      <c r="C22" s="30" t="inlineStr">
        <is>
          <t>—</t>
        </is>
      </c>
      <c r="D22" s="30" t="inlineStr">
        <is>
          <t>—</t>
        </is>
      </c>
      <c r="E22" s="30" t="inlineStr">
        <is>
          <t>—</t>
        </is>
      </c>
      <c r="F22" s="31">
        <f>F21*0.1</f>
        <v/>
      </c>
      <c r="G22" s="31">
        <f>G21*0.1</f>
        <v/>
      </c>
      <c r="H22" s="31">
        <f>H21*0.11</f>
        <v/>
      </c>
      <c r="I22" s="31">
        <f>I21*0.11</f>
        <v/>
      </c>
      <c r="J22" s="30" t="inlineStr">
        <is>
          <t>—</t>
        </is>
      </c>
    </row>
    <row r="23">
      <c r="B23" s="40" t="inlineStr">
        <is>
          <t>OP Margin</t>
        </is>
      </c>
      <c r="C23" s="30" t="inlineStr">
        <is>
          <t>—</t>
        </is>
      </c>
      <c r="D23" s="30" t="inlineStr">
        <is>
          <t>—</t>
        </is>
      </c>
      <c r="E23" s="30" t="inlineStr">
        <is>
          <t>—</t>
        </is>
      </c>
      <c r="F23" s="29">
        <f>IFERROR(F22/F21,"—")</f>
        <v/>
      </c>
      <c r="G23" s="29">
        <f>IFERROR(G22/G21,"—")</f>
        <v/>
      </c>
      <c r="H23" s="29">
        <f>IFERROR(H22/H21,"—")</f>
        <v/>
      </c>
      <c r="I23" s="29">
        <f>IFERROR(I22/I21,"—")</f>
        <v/>
      </c>
      <c r="J23" s="29">
        <f>IFERROR(J22/J21,"—")</f>
        <v/>
      </c>
    </row>
    <row r="25">
      <c r="B25" s="8" t="inlineStr">
        <is>
          <t>Other (その他・化工)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B26" s="4" t="inlineStr">
        <is>
          <t>Revenue</t>
        </is>
      </c>
      <c r="C26" s="30" t="inlineStr">
        <is>
          <t>—</t>
        </is>
      </c>
      <c r="D26" s="31" t="n">
        <v>1301</v>
      </c>
      <c r="E26" s="31" t="n">
        <v>990</v>
      </c>
      <c r="F26" s="39" t="n">
        <v>700</v>
      </c>
      <c r="G26" s="39" t="n">
        <v>700</v>
      </c>
      <c r="H26" s="39" t="n">
        <v>700</v>
      </c>
      <c r="I26" s="39" t="n">
        <v>700</v>
      </c>
      <c r="J26" s="30" t="inlineStr">
        <is>
          <t>—</t>
        </is>
      </c>
    </row>
    <row r="27">
      <c r="B27" s="4" t="inlineStr">
        <is>
          <t>Operating Profit</t>
        </is>
      </c>
      <c r="C27" s="30" t="inlineStr">
        <is>
          <t>—</t>
        </is>
      </c>
      <c r="D27" s="30" t="inlineStr">
        <is>
          <t>—</t>
        </is>
      </c>
      <c r="E27" s="30" t="inlineStr">
        <is>
          <t>—</t>
        </is>
      </c>
      <c r="F27" s="31">
        <f>F26*0.05</f>
        <v/>
      </c>
      <c r="G27" s="31">
        <f>G26*0.05</f>
        <v/>
      </c>
      <c r="H27" s="31">
        <f>H26*0.05</f>
        <v/>
      </c>
      <c r="I27" s="31">
        <f>I26*0.05</f>
        <v/>
      </c>
      <c r="J27" s="30" t="inlineStr">
        <is>
          <t>—</t>
        </is>
      </c>
    </row>
    <row r="28">
      <c r="B28" s="40" t="inlineStr">
        <is>
          <t>OP Margin</t>
        </is>
      </c>
      <c r="C28" s="30" t="inlineStr">
        <is>
          <t>—</t>
        </is>
      </c>
      <c r="D28" s="30" t="inlineStr">
        <is>
          <t>—</t>
        </is>
      </c>
      <c r="E28" s="30" t="inlineStr">
        <is>
          <t>—</t>
        </is>
      </c>
      <c r="F28" s="29">
        <f>IFERROR(F27/F26,"—")</f>
        <v/>
      </c>
      <c r="G28" s="29">
        <f>IFERROR(G27/G26,"—")</f>
        <v/>
      </c>
      <c r="H28" s="29">
        <f>IFERROR(H27/H26,"—")</f>
        <v/>
      </c>
      <c r="I28" s="29">
        <f>IFERROR(I27/I26,"—")</f>
        <v/>
      </c>
      <c r="J28" s="29">
        <f>IFERROR(J27/J26,"—")</f>
        <v/>
      </c>
    </row>
    <row r="30">
      <c r="B30" s="22" t="inlineStr">
        <is>
          <t>Consolidated Total</t>
        </is>
      </c>
      <c r="C30" s="23" t="n"/>
      <c r="D30" s="23" t="n"/>
      <c r="E30" s="23" t="n"/>
      <c r="F30" s="23" t="n"/>
      <c r="G30" s="23" t="n"/>
      <c r="H30" s="23" t="n"/>
      <c r="I30" s="23" t="n"/>
      <c r="J30" s="23" t="n"/>
    </row>
    <row r="31">
      <c r="B31" s="4" t="inlineStr">
        <is>
          <t>Total Revenue</t>
        </is>
      </c>
      <c r="C31" s="20">
        <f>C6+C11+C16+C21+C26</f>
        <v/>
      </c>
      <c r="D31" s="20">
        <f>D6+D11+D16+D21+D26</f>
        <v/>
      </c>
      <c r="E31" s="20">
        <f>E6+E11+E16+E21+E26</f>
        <v/>
      </c>
      <c r="F31" s="20">
        <f>F6+F11+F16+F21+F26</f>
        <v/>
      </c>
      <c r="G31" s="20">
        <f>G6+G11+G16+G21+G26</f>
        <v/>
      </c>
      <c r="H31" s="20">
        <f>H6+H11+H16+H21+H26</f>
        <v/>
      </c>
      <c r="I31" s="20">
        <f>I6+I11+I16+I21+I26</f>
        <v/>
      </c>
      <c r="J31" s="20">
        <f>J6+J11+J16+J21+J26</f>
        <v/>
      </c>
    </row>
    <row r="32">
      <c r="B32" s="4" t="inlineStr">
        <is>
          <t>Total Operating Profit</t>
        </is>
      </c>
      <c r="C32" s="20">
        <f>C7+C12+C17+C22+C27</f>
        <v/>
      </c>
      <c r="D32" s="20">
        <f>D7+D12+D17+D22+D27</f>
        <v/>
      </c>
      <c r="E32" s="20">
        <f>E7+E12+E17+E22+E27</f>
        <v/>
      </c>
      <c r="F32" s="20">
        <f>F7+F12+F17+F22+F27</f>
        <v/>
      </c>
      <c r="G32" s="20">
        <f>G7+G12+G17+G22+G27</f>
        <v/>
      </c>
      <c r="H32" s="20">
        <f>H7+H12+H17+H22+H27</f>
        <v/>
      </c>
      <c r="I32" s="20">
        <f>I7+I12+I17+I22+I27</f>
        <v/>
      </c>
      <c r="J32" s="20">
        <f>J7+J12+J17+J22+J27</f>
        <v/>
      </c>
    </row>
    <row r="33">
      <c r="B33" s="40" t="inlineStr">
        <is>
          <t>Total OP Margin</t>
        </is>
      </c>
      <c r="C33" s="29">
        <f>IFERROR(C32/C31,"—")</f>
        <v/>
      </c>
      <c r="D33" s="29">
        <f>IFERROR(D32/D31,"—")</f>
        <v/>
      </c>
      <c r="E33" s="29">
        <f>IFERROR(E32/E31,"—")</f>
        <v/>
      </c>
      <c r="F33" s="29">
        <f>IFERROR(F32/F31,"—")</f>
        <v/>
      </c>
      <c r="G33" s="29">
        <f>IFERROR(G32/G31,"—")</f>
        <v/>
      </c>
      <c r="H33" s="29">
        <f>IFERROR(H32/H31,"—")</f>
        <v/>
      </c>
      <c r="I33" s="29">
        <f>IFERROR(I32/I31,"—")</f>
        <v/>
      </c>
      <c r="J33" s="29">
        <f>IFERROR(J32/J31,"—")</f>
        <v/>
      </c>
    </row>
    <row r="35">
      <c r="B35" s="41" t="inlineStr">
        <is>
          <t>Reconciliation vs DCF Model</t>
        </is>
      </c>
      <c r="C35" s="42" t="n"/>
      <c r="D35" s="42" t="n"/>
      <c r="E35" s="42" t="n"/>
      <c r="F35" s="42" t="n"/>
      <c r="G35" s="42" t="n"/>
      <c r="H35" s="42" t="n"/>
      <c r="I35" s="42" t="n"/>
      <c r="J35" s="42" t="n"/>
    </row>
    <row r="36">
      <c r="B36" s="4" t="inlineStr">
        <is>
          <t>DCF Model Revenue</t>
        </is>
      </c>
      <c r="F36" s="43">
        <f>'DCF Model'!C33</f>
        <v/>
      </c>
      <c r="G36" s="43">
        <f>'DCF Model'!D33</f>
        <v/>
      </c>
      <c r="H36" s="43">
        <f>'DCF Model'!E33</f>
        <v/>
      </c>
      <c r="I36" s="43">
        <f>'DCF Model'!F33</f>
        <v/>
      </c>
      <c r="J36" s="43">
        <f>'DCF Model'!G33</f>
        <v/>
      </c>
    </row>
    <row r="37">
      <c r="B37" s="4" t="inlineStr">
        <is>
          <t>Segment Total Revenue</t>
        </is>
      </c>
      <c r="F37" s="31">
        <f>F31</f>
        <v/>
      </c>
      <c r="G37" s="31">
        <f>G31</f>
        <v/>
      </c>
      <c r="H37" s="31">
        <f>H31</f>
        <v/>
      </c>
      <c r="I37" s="31">
        <f>I31</f>
        <v/>
      </c>
      <c r="J37" s="31">
        <f>J31</f>
        <v/>
      </c>
    </row>
    <row r="38">
      <c r="B38" s="4" t="inlineStr">
        <is>
          <t>Difference</t>
        </is>
      </c>
      <c r="F38" s="24">
        <f>F37-F36</f>
        <v/>
      </c>
      <c r="G38" s="24">
        <f>G37-G36</f>
        <v/>
      </c>
      <c r="H38" s="24">
        <f>H37-H36</f>
        <v/>
      </c>
      <c r="I38" s="24">
        <f>I37-I36</f>
        <v/>
      </c>
      <c r="J38" s="24">
        <f>J37-J36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J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Driver Analysis - TechnoSmart Corporation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Display Components (ディスプレイ部品関連) [backlog]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Beginning Backlog</t>
        </is>
      </c>
      <c r="C6" s="30" t="inlineStr">
        <is>
          <t>—</t>
        </is>
      </c>
      <c r="D6" s="30" t="inlineStr">
        <is>
          <t>—</t>
        </is>
      </c>
      <c r="E6" s="31" t="n">
        <v>15343</v>
      </c>
      <c r="F6" s="31" t="n">
        <v>12094</v>
      </c>
      <c r="G6" s="31">
        <f>F9</f>
        <v/>
      </c>
      <c r="H6" s="31">
        <f>G9</f>
        <v/>
      </c>
      <c r="I6" s="31">
        <f>H9</f>
        <v/>
      </c>
      <c r="J6" s="31">
        <f>I9</f>
        <v/>
      </c>
    </row>
    <row r="7">
      <c r="B7" s="4" t="inlineStr">
        <is>
          <t>+ New Orders</t>
        </is>
      </c>
      <c r="C7" s="30" t="inlineStr">
        <is>
          <t>—</t>
        </is>
      </c>
      <c r="D7" s="31" t="n">
        <v>14662</v>
      </c>
      <c r="E7" s="31" t="n">
        <v>6594</v>
      </c>
      <c r="F7" s="39" t="n">
        <v>10000</v>
      </c>
      <c r="G7" s="39" t="n">
        <v>11500</v>
      </c>
      <c r="H7" s="39" t="n">
        <v>12500</v>
      </c>
      <c r="I7" s="39" t="n">
        <v>13000</v>
      </c>
      <c r="J7" s="30" t="inlineStr">
        <is>
          <t>—</t>
        </is>
      </c>
    </row>
    <row r="8">
      <c r="B8" s="4" t="inlineStr">
        <is>
          <t>- Revenue (Recognized)</t>
        </is>
      </c>
      <c r="C8" s="31" t="n">
        <v>7464</v>
      </c>
      <c r="D8" s="31" t="n">
        <v>6349</v>
      </c>
      <c r="E8" s="31" t="n">
        <v>9843</v>
      </c>
      <c r="F8" s="39" t="n">
        <v>11000</v>
      </c>
      <c r="G8" s="39" t="n">
        <v>12500</v>
      </c>
      <c r="H8" s="39" t="n">
        <v>13500</v>
      </c>
      <c r="I8" s="39" t="n">
        <v>14000</v>
      </c>
      <c r="J8" s="30" t="inlineStr">
        <is>
          <t>—</t>
        </is>
      </c>
    </row>
    <row r="9">
      <c r="B9" s="4" t="inlineStr">
        <is>
          <t>Ending Backlog</t>
        </is>
      </c>
      <c r="C9" s="30" t="inlineStr">
        <is>
          <t>—</t>
        </is>
      </c>
      <c r="D9" s="20" t="n">
        <v>15343</v>
      </c>
      <c r="E9" s="20" t="n">
        <v>12094</v>
      </c>
      <c r="F9" s="20">
        <f>F6+F7-F8</f>
        <v/>
      </c>
      <c r="G9" s="20">
        <f>G6+G7-G8</f>
        <v/>
      </c>
      <c r="H9" s="20">
        <f>H6+H7-H8</f>
        <v/>
      </c>
      <c r="I9" s="20">
        <f>I6+I7-I8</f>
        <v/>
      </c>
      <c r="J9" s="20">
        <f>J6+J7-J8</f>
        <v/>
      </c>
    </row>
    <row r="10">
      <c r="B10" s="40" t="inlineStr">
        <is>
          <t>Book-to-Bill</t>
        </is>
      </c>
      <c r="C10" s="44">
        <f>IFERROR(C7/C8,"—")</f>
        <v/>
      </c>
      <c r="D10" s="44">
        <f>IFERROR(D7/D8,"—")</f>
        <v/>
      </c>
      <c r="E10" s="44">
        <f>IFERROR(E7/E8,"—")</f>
        <v/>
      </c>
      <c r="F10" s="44">
        <f>IFERROR(F7/F8,"—")</f>
        <v/>
      </c>
      <c r="G10" s="44">
        <f>IFERROR(G7/G8,"—")</f>
        <v/>
      </c>
      <c r="H10" s="44">
        <f>IFERROR(H7/H8,"—")</f>
        <v/>
      </c>
      <c r="I10" s="44">
        <f>IFERROR(I7/I8,"—")</f>
        <v/>
      </c>
      <c r="J10" s="44">
        <f>IFERROR(J7/J8,"—")</f>
        <v/>
      </c>
    </row>
    <row r="12">
      <c r="B12" s="8" t="inlineStr">
        <is>
          <t>Functional Film (MLCC) (機能性フィルム関連) [backlog]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B13" s="4" t="inlineStr">
        <is>
          <t>Beginning Backlog</t>
        </is>
      </c>
      <c r="C13" s="30" t="inlineStr">
        <is>
          <t>—</t>
        </is>
      </c>
      <c r="D13" s="30" t="inlineStr">
        <is>
          <t>—</t>
        </is>
      </c>
      <c r="E13" s="31" t="n">
        <v>7093</v>
      </c>
      <c r="F13" s="31" t="n">
        <v>5279</v>
      </c>
      <c r="G13" s="31">
        <f>F16</f>
        <v/>
      </c>
      <c r="H13" s="31">
        <f>G16</f>
        <v/>
      </c>
      <c r="I13" s="31">
        <f>H16</f>
        <v/>
      </c>
      <c r="J13" s="31">
        <f>I16</f>
        <v/>
      </c>
    </row>
    <row r="14">
      <c r="B14" s="4" t="inlineStr">
        <is>
          <t>+ New Orders</t>
        </is>
      </c>
      <c r="C14" s="30" t="inlineStr">
        <is>
          <t>—</t>
        </is>
      </c>
      <c r="D14" s="31" t="n">
        <v>1835</v>
      </c>
      <c r="E14" s="31" t="n">
        <v>3349</v>
      </c>
      <c r="F14" s="39" t="n">
        <v>5500</v>
      </c>
      <c r="G14" s="39" t="n">
        <v>7500</v>
      </c>
      <c r="H14" s="39" t="n">
        <v>8500</v>
      </c>
      <c r="I14" s="39" t="n">
        <v>9500</v>
      </c>
      <c r="J14" s="30" t="inlineStr">
        <is>
          <t>—</t>
        </is>
      </c>
    </row>
    <row r="15">
      <c r="B15" s="4" t="inlineStr">
        <is>
          <t>- Revenue (Recognized)</t>
        </is>
      </c>
      <c r="C15" s="30" t="inlineStr">
        <is>
          <t>—</t>
        </is>
      </c>
      <c r="D15" s="31" t="n">
        <v>4388</v>
      </c>
      <c r="E15" s="31" t="n">
        <v>5164</v>
      </c>
      <c r="F15" s="39" t="n">
        <v>6000</v>
      </c>
      <c r="G15" s="39" t="n">
        <v>7000</v>
      </c>
      <c r="H15" s="39" t="n">
        <v>8000</v>
      </c>
      <c r="I15" s="39" t="n">
        <v>9000</v>
      </c>
      <c r="J15" s="30" t="inlineStr">
        <is>
          <t>—</t>
        </is>
      </c>
    </row>
    <row r="16">
      <c r="B16" s="4" t="inlineStr">
        <is>
          <t>Ending Backlog</t>
        </is>
      </c>
      <c r="C16" s="30" t="inlineStr">
        <is>
          <t>—</t>
        </is>
      </c>
      <c r="D16" s="20" t="n">
        <v>7093</v>
      </c>
      <c r="E16" s="20" t="n">
        <v>5279</v>
      </c>
      <c r="F16" s="20">
        <f>F13+F14-F15</f>
        <v/>
      </c>
      <c r="G16" s="20">
        <f>G13+G14-G15</f>
        <v/>
      </c>
      <c r="H16" s="20">
        <f>H13+H14-H15</f>
        <v/>
      </c>
      <c r="I16" s="20">
        <f>I13+I14-I15</f>
        <v/>
      </c>
      <c r="J16" s="20">
        <f>J13+J14-J15</f>
        <v/>
      </c>
    </row>
    <row r="17">
      <c r="B17" s="40" t="inlineStr">
        <is>
          <t>Book-to-Bill</t>
        </is>
      </c>
      <c r="C17" s="44">
        <f>IFERROR(C14/C15,"—")</f>
        <v/>
      </c>
      <c r="D17" s="44">
        <f>IFERROR(D14/D15,"—")</f>
        <v/>
      </c>
      <c r="E17" s="44">
        <f>IFERROR(E14/E15,"—")</f>
        <v/>
      </c>
      <c r="F17" s="44">
        <f>IFERROR(F14/F15,"—")</f>
        <v/>
      </c>
      <c r="G17" s="44">
        <f>IFERROR(G14/G15,"—")</f>
        <v/>
      </c>
      <c r="H17" s="44">
        <f>IFERROR(H14/H15,"—")</f>
        <v/>
      </c>
      <c r="I17" s="44">
        <f>IFERROR(I14/I15,"—")</f>
        <v/>
      </c>
      <c r="J17" s="44">
        <f>IFERROR(J14/J15,"—")</f>
        <v/>
      </c>
    </row>
    <row r="19">
      <c r="B19" s="8" t="inlineStr">
        <is>
          <t>Energy (LiB) (エネルギー関連) [backlog]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B20" s="4" t="inlineStr">
        <is>
          <t>Beginning Backlog</t>
        </is>
      </c>
      <c r="C20" s="30" t="inlineStr">
        <is>
          <t>—</t>
        </is>
      </c>
      <c r="D20" s="30" t="inlineStr">
        <is>
          <t>—</t>
        </is>
      </c>
      <c r="E20" s="31" t="n">
        <v>7883</v>
      </c>
      <c r="F20" s="31" t="n">
        <v>5715</v>
      </c>
      <c r="G20" s="31">
        <f>F23</f>
        <v/>
      </c>
      <c r="H20" s="31">
        <f>G23</f>
        <v/>
      </c>
      <c r="I20" s="31">
        <f>H23</f>
        <v/>
      </c>
      <c r="J20" s="31">
        <f>I23</f>
        <v/>
      </c>
    </row>
    <row r="21">
      <c r="B21" s="4" t="inlineStr">
        <is>
          <t>+ New Orders</t>
        </is>
      </c>
      <c r="C21" s="30" t="inlineStr">
        <is>
          <t>—</t>
        </is>
      </c>
      <c r="D21" s="31" t="n">
        <v>5963</v>
      </c>
      <c r="E21" s="31" t="n">
        <v>3025</v>
      </c>
      <c r="F21" s="39" t="n">
        <v>5000</v>
      </c>
      <c r="G21" s="39" t="n">
        <v>6500</v>
      </c>
      <c r="H21" s="39" t="n">
        <v>7000</v>
      </c>
      <c r="I21" s="39" t="n">
        <v>8000</v>
      </c>
      <c r="J21" s="30" t="inlineStr">
        <is>
          <t>—</t>
        </is>
      </c>
    </row>
    <row r="22">
      <c r="B22" s="4" t="inlineStr">
        <is>
          <t>- Revenue (Recognized)</t>
        </is>
      </c>
      <c r="C22" s="30" t="inlineStr">
        <is>
          <t>—</t>
        </is>
      </c>
      <c r="D22" s="31" t="n">
        <v>5206</v>
      </c>
      <c r="E22" s="31" t="n">
        <v>5193</v>
      </c>
      <c r="F22" s="39" t="n">
        <v>5500</v>
      </c>
      <c r="G22" s="39" t="n">
        <v>6000</v>
      </c>
      <c r="H22" s="39" t="n">
        <v>6500</v>
      </c>
      <c r="I22" s="39" t="n">
        <v>7500</v>
      </c>
      <c r="J22" s="30" t="inlineStr">
        <is>
          <t>—</t>
        </is>
      </c>
    </row>
    <row r="23">
      <c r="B23" s="4" t="inlineStr">
        <is>
          <t>Ending Backlog</t>
        </is>
      </c>
      <c r="C23" s="30" t="inlineStr">
        <is>
          <t>—</t>
        </is>
      </c>
      <c r="D23" s="20" t="n">
        <v>7883</v>
      </c>
      <c r="E23" s="20" t="n">
        <v>5715</v>
      </c>
      <c r="F23" s="20">
        <f>F20+F21-F22</f>
        <v/>
      </c>
      <c r="G23" s="20">
        <f>G20+G21-G22</f>
        <v/>
      </c>
      <c r="H23" s="20">
        <f>H20+H21-H22</f>
        <v/>
      </c>
      <c r="I23" s="20">
        <f>I20+I21-I22</f>
        <v/>
      </c>
      <c r="J23" s="20">
        <f>J20+J21-J22</f>
        <v/>
      </c>
    </row>
    <row r="24">
      <c r="B24" s="40" t="inlineStr">
        <is>
          <t>Book-to-Bill</t>
        </is>
      </c>
      <c r="C24" s="44">
        <f>IFERROR(C21/C22,"—")</f>
        <v/>
      </c>
      <c r="D24" s="44">
        <f>IFERROR(D21/D22,"—")</f>
        <v/>
      </c>
      <c r="E24" s="44">
        <f>IFERROR(E21/E22,"—")</f>
        <v/>
      </c>
      <c r="F24" s="44">
        <f>IFERROR(F21/F22,"—")</f>
        <v/>
      </c>
      <c r="G24" s="44">
        <f>IFERROR(G21/G22,"—")</f>
        <v/>
      </c>
      <c r="H24" s="44">
        <f>IFERROR(H21/H22,"—")</f>
        <v/>
      </c>
      <c r="I24" s="44">
        <f>IFERROR(I21/I22,"—")</f>
        <v/>
      </c>
      <c r="J24" s="44">
        <f>IFERROR(J21/J22,"—")</f>
        <v/>
      </c>
    </row>
    <row r="26">
      <c r="B26" s="8" t="inlineStr">
        <is>
          <t>Electronic Components (電子部品関連) [manual]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B27" s="4" t="inlineStr">
        <is>
          <t>Revenue (Direct Input)</t>
        </is>
      </c>
      <c r="C27" s="30" t="inlineStr">
        <is>
          <t>—</t>
        </is>
      </c>
      <c r="D27" s="31" t="n">
        <v>1999</v>
      </c>
      <c r="E27" s="31" t="n">
        <v>389</v>
      </c>
      <c r="F27" s="39" t="n">
        <v>500</v>
      </c>
      <c r="G27" s="39" t="n">
        <v>600</v>
      </c>
      <c r="H27" s="39" t="n">
        <v>700</v>
      </c>
      <c r="I27" s="39" t="n">
        <v>800</v>
      </c>
      <c r="J27" s="30" t="inlineStr">
        <is>
          <t>—</t>
        </is>
      </c>
    </row>
    <row r="28">
      <c r="B28" s="40" t="inlineStr">
        <is>
          <t>YoY Growth</t>
        </is>
      </c>
      <c r="C28" s="30" t="inlineStr">
        <is>
          <t>—</t>
        </is>
      </c>
      <c r="D28" s="29">
        <f>IFERROR((D27-C27)/C27,"—")</f>
        <v/>
      </c>
      <c r="E28" s="29">
        <f>IFERROR((E27-D27)/D27,"—")</f>
        <v/>
      </c>
      <c r="F28" s="29">
        <f>IFERROR((F27-E27)/E27,"—")</f>
        <v/>
      </c>
      <c r="G28" s="29">
        <f>IFERROR((G27-F27)/F27,"—")</f>
        <v/>
      </c>
      <c r="H28" s="29">
        <f>IFERROR((H27-G27)/G27,"—")</f>
        <v/>
      </c>
      <c r="I28" s="29">
        <f>IFERROR((I27-H27)/H27,"—")</f>
        <v/>
      </c>
      <c r="J28" s="29">
        <f>IFERROR((J27-I27)/I27,"—")</f>
        <v/>
      </c>
    </row>
    <row r="30">
      <c r="B30" s="8" t="inlineStr">
        <is>
          <t>Other (その他・化工) [manual]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B31" s="4" t="inlineStr">
        <is>
          <t>Revenue (Direct Input)</t>
        </is>
      </c>
      <c r="C31" s="30" t="inlineStr">
        <is>
          <t>—</t>
        </is>
      </c>
      <c r="D31" s="31" t="n">
        <v>1301</v>
      </c>
      <c r="E31" s="31" t="n">
        <v>990</v>
      </c>
      <c r="F31" s="39" t="n">
        <v>700</v>
      </c>
      <c r="G31" s="39" t="n">
        <v>700</v>
      </c>
      <c r="H31" s="39" t="n">
        <v>700</v>
      </c>
      <c r="I31" s="39" t="n">
        <v>700</v>
      </c>
      <c r="J31" s="30" t="inlineStr">
        <is>
          <t>—</t>
        </is>
      </c>
    </row>
    <row r="32">
      <c r="B32" s="40" t="inlineStr">
        <is>
          <t>YoY Growth</t>
        </is>
      </c>
      <c r="C32" s="30" t="inlineStr">
        <is>
          <t>—</t>
        </is>
      </c>
      <c r="D32" s="29">
        <f>IFERROR((D31-C31)/C31,"—")</f>
        <v/>
      </c>
      <c r="E32" s="29">
        <f>IFERROR((E31-D31)/D31,"—")</f>
        <v/>
      </c>
      <c r="F32" s="29">
        <f>IFERROR((F31-E31)/E31,"—")</f>
        <v/>
      </c>
      <c r="G32" s="29">
        <f>IFERROR((G31-F31)/F31,"—")</f>
        <v/>
      </c>
      <c r="H32" s="29">
        <f>IFERROR((H31-G31)/G31,"—")</f>
        <v/>
      </c>
      <c r="I32" s="29">
        <f>IFERROR((I31-H31)/H31,"—")</f>
        <v/>
      </c>
      <c r="J32" s="29">
        <f>IFERROR((J31-I31)/I31,"—")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2026-03-18T05:42:55Z</dcterms:created>
  <dcterms:modified xmlns:dcterms="http://purl.org/dc/terms/" xmlns:xsi="http://www.w3.org/2001/XMLSchema-instance" xsi:type="dcterms:W3CDTF">2026-03-18T05:42:55Z</dcterms:modified>
</cp:coreProperties>
</file>