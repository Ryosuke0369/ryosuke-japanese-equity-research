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361EEFC7-DFCC-4294-B5F3-ED58E59F00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Adjustments Log" sheetId="7" r:id="rId7"/>
  </sheets>
  <calcPr calcId="181029"/>
</workbook>
</file>

<file path=xl/calcChain.xml><?xml version="1.0" encoding="utf-8"?>
<calcChain xmlns="http://schemas.openxmlformats.org/spreadsheetml/2006/main">
  <c r="I3" i="6" l="1"/>
  <c r="I17" i="6" s="1"/>
  <c r="F3" i="6"/>
  <c r="H6" i="6" s="1"/>
  <c r="I16" i="5"/>
  <c r="O12" i="5"/>
  <c r="N12" i="5"/>
  <c r="M12" i="5"/>
  <c r="L12" i="5"/>
  <c r="K12" i="5"/>
  <c r="J12" i="5"/>
  <c r="O11" i="5"/>
  <c r="N11" i="5"/>
  <c r="M11" i="5"/>
  <c r="L11" i="5"/>
  <c r="K11" i="5"/>
  <c r="J11" i="5"/>
  <c r="O10" i="5"/>
  <c r="N10" i="5"/>
  <c r="M10" i="5"/>
  <c r="L10" i="5"/>
  <c r="K10" i="5"/>
  <c r="J10" i="5"/>
  <c r="O9" i="5"/>
  <c r="N9" i="5"/>
  <c r="M9" i="5"/>
  <c r="L9" i="5"/>
  <c r="K9" i="5"/>
  <c r="J9" i="5"/>
  <c r="O8" i="5"/>
  <c r="N8" i="5"/>
  <c r="M8" i="5"/>
  <c r="L8" i="5"/>
  <c r="K8" i="5"/>
  <c r="J8" i="5"/>
  <c r="O7" i="5"/>
  <c r="N7" i="5"/>
  <c r="M7" i="5"/>
  <c r="L7" i="5"/>
  <c r="K7" i="5"/>
  <c r="J7" i="5"/>
  <c r="D16" i="5" s="1"/>
  <c r="O6" i="5"/>
  <c r="I17" i="5" s="1"/>
  <c r="N6" i="5"/>
  <c r="H17" i="5" s="1"/>
  <c r="M6" i="5"/>
  <c r="L6" i="5"/>
  <c r="K6" i="5"/>
  <c r="J6" i="5"/>
  <c r="O5" i="5"/>
  <c r="N5" i="5"/>
  <c r="D5" i="5"/>
  <c r="M5" i="5" s="1"/>
  <c r="C16" i="4"/>
  <c r="C14" i="4"/>
  <c r="C18" i="4" s="1"/>
  <c r="C7" i="4"/>
  <c r="C6" i="4"/>
  <c r="C5" i="4"/>
  <c r="E7" i="4"/>
  <c r="C25" i="3"/>
  <c r="C24" i="3"/>
  <c r="C23" i="3"/>
  <c r="E28" i="2"/>
  <c r="D28" i="2"/>
  <c r="C28" i="2"/>
  <c r="E23" i="2"/>
  <c r="D23" i="2"/>
  <c r="C23" i="2"/>
  <c r="E22" i="2"/>
  <c r="C22" i="2"/>
  <c r="E21" i="2"/>
  <c r="D21" i="2"/>
  <c r="D22" i="2" s="1"/>
  <c r="C21" i="2"/>
  <c r="E16" i="2"/>
  <c r="D16" i="2"/>
  <c r="E15" i="2"/>
  <c r="D15" i="2"/>
  <c r="E14" i="2"/>
  <c r="D14" i="2"/>
  <c r="C14" i="2"/>
  <c r="E13" i="2"/>
  <c r="D13" i="2"/>
  <c r="C13" i="2"/>
  <c r="E9" i="2"/>
  <c r="C9" i="2"/>
  <c r="E8" i="2"/>
  <c r="D8" i="2"/>
  <c r="D9" i="2" s="1"/>
  <c r="C8" i="2"/>
  <c r="C19" i="1"/>
  <c r="D19" i="1" s="1"/>
  <c r="E5" i="5" l="1"/>
  <c r="K5" i="5" s="1"/>
  <c r="D17" i="5"/>
  <c r="C28" i="5" s="1"/>
  <c r="C18" i="1" s="1"/>
  <c r="D18" i="1" s="1"/>
  <c r="E17" i="5"/>
  <c r="C26" i="3"/>
  <c r="G46" i="3" s="1"/>
  <c r="F16" i="5"/>
  <c r="G16" i="5"/>
  <c r="E16" i="5"/>
  <c r="C3" i="6"/>
  <c r="H6" i="4"/>
  <c r="D32" i="3"/>
  <c r="G32" i="3"/>
  <c r="D6" i="4"/>
  <c r="F7" i="4"/>
  <c r="H16" i="5"/>
  <c r="D18" i="5"/>
  <c r="I6" i="6"/>
  <c r="G7" i="4"/>
  <c r="E18" i="5"/>
  <c r="C17" i="6"/>
  <c r="D31" i="3"/>
  <c r="E31" i="3"/>
  <c r="E6" i="4"/>
  <c r="F18" i="5"/>
  <c r="C6" i="6"/>
  <c r="D17" i="6"/>
  <c r="C30" i="3"/>
  <c r="C33" i="3" s="1"/>
  <c r="F31" i="3"/>
  <c r="D5" i="4"/>
  <c r="F6" i="4"/>
  <c r="H7" i="4"/>
  <c r="D30" i="3"/>
  <c r="G31" i="3"/>
  <c r="E5" i="4"/>
  <c r="G6" i="4"/>
  <c r="G18" i="5"/>
  <c r="D6" i="6"/>
  <c r="E17" i="6"/>
  <c r="F17" i="5"/>
  <c r="H18" i="5"/>
  <c r="E6" i="6"/>
  <c r="F17" i="6"/>
  <c r="G17" i="5"/>
  <c r="I18" i="5"/>
  <c r="F6" i="6"/>
  <c r="G17" i="6"/>
  <c r="E30" i="3"/>
  <c r="C32" i="3"/>
  <c r="F5" i="4"/>
  <c r="F30" i="3"/>
  <c r="G5" i="4"/>
  <c r="J5" i="5"/>
  <c r="G30" i="3"/>
  <c r="E32" i="3"/>
  <c r="H5" i="4"/>
  <c r="D7" i="4"/>
  <c r="G6" i="6"/>
  <c r="H17" i="6"/>
  <c r="C31" i="3"/>
  <c r="F32" i="3"/>
  <c r="F46" i="3" l="1"/>
  <c r="C46" i="3"/>
  <c r="D46" i="3"/>
  <c r="E46" i="3"/>
  <c r="C42" i="3"/>
  <c r="C34" i="3"/>
  <c r="D10" i="4" s="1"/>
  <c r="D9" i="4"/>
  <c r="D12" i="4" s="1"/>
  <c r="C43" i="3"/>
  <c r="D33" i="3"/>
  <c r="C37" i="3"/>
  <c r="B13" i="6"/>
  <c r="B12" i="6"/>
  <c r="B11" i="6"/>
  <c r="B10" i="6"/>
  <c r="B9" i="6"/>
  <c r="B8" i="6"/>
  <c r="B7" i="6"/>
  <c r="B24" i="6"/>
  <c r="B23" i="6"/>
  <c r="B22" i="6"/>
  <c r="B21" i="6"/>
  <c r="B20" i="6"/>
  <c r="B19" i="6"/>
  <c r="B18" i="6"/>
  <c r="C35" i="3" l="1"/>
  <c r="D42" i="3"/>
  <c r="D34" i="3"/>
  <c r="E10" i="4" s="1"/>
  <c r="D37" i="3"/>
  <c r="E9" i="4"/>
  <c r="E12" i="4" s="1"/>
  <c r="D43" i="3"/>
  <c r="E33" i="3"/>
  <c r="C39" i="3"/>
  <c r="C38" i="3"/>
  <c r="C36" i="3"/>
  <c r="D15" i="4"/>
  <c r="D16" i="4" s="1"/>
  <c r="D13" i="4"/>
  <c r="D14" i="4" s="1"/>
  <c r="D18" i="4" s="1"/>
  <c r="D19" i="4" s="1"/>
  <c r="C44" i="3" s="1"/>
  <c r="E37" i="3" l="1"/>
  <c r="F9" i="4"/>
  <c r="F12" i="4" s="1"/>
  <c r="E43" i="3"/>
  <c r="F33" i="3"/>
  <c r="E42" i="3"/>
  <c r="E34" i="3"/>
  <c r="F10" i="4" s="1"/>
  <c r="C40" i="3"/>
  <c r="C41" i="3" s="1"/>
  <c r="C45" i="3" s="1"/>
  <c r="D35" i="3"/>
  <c r="E15" i="4"/>
  <c r="E16" i="4" s="1"/>
  <c r="E13" i="4"/>
  <c r="E14" i="4" s="1"/>
  <c r="E18" i="4" s="1"/>
  <c r="E19" i="4" s="1"/>
  <c r="D44" i="3" s="1"/>
  <c r="C47" i="3" l="1"/>
  <c r="D38" i="3"/>
  <c r="D39" i="3"/>
  <c r="D36" i="3"/>
  <c r="F15" i="4"/>
  <c r="F16" i="4" s="1"/>
  <c r="F13" i="4"/>
  <c r="F14" i="4" s="1"/>
  <c r="E35" i="3"/>
  <c r="G9" i="4"/>
  <c r="G12" i="4" s="1"/>
  <c r="F43" i="3"/>
  <c r="G33" i="3"/>
  <c r="F34" i="3"/>
  <c r="G10" i="4" s="1"/>
  <c r="F42" i="3"/>
  <c r="F37" i="3"/>
  <c r="F18" i="4" l="1"/>
  <c r="F19" i="4" s="1"/>
  <c r="E44" i="3" s="1"/>
  <c r="F35" i="3"/>
  <c r="F38" i="3" s="1"/>
  <c r="E38" i="3"/>
  <c r="E36" i="3"/>
  <c r="E39" i="3"/>
  <c r="G13" i="4"/>
  <c r="G14" i="4" s="1"/>
  <c r="G15" i="4"/>
  <c r="G16" i="4" s="1"/>
  <c r="H9" i="4"/>
  <c r="H12" i="4" s="1"/>
  <c r="G43" i="3"/>
  <c r="G42" i="3"/>
  <c r="G34" i="3"/>
  <c r="H10" i="4" s="1"/>
  <c r="G37" i="3"/>
  <c r="D40" i="3"/>
  <c r="D41" i="3" s="1"/>
  <c r="D45" i="3" s="1"/>
  <c r="F39" i="3" l="1"/>
  <c r="F40" i="3" s="1"/>
  <c r="F41" i="3" s="1"/>
  <c r="F36" i="3"/>
  <c r="G18" i="4"/>
  <c r="G19" i="4" s="1"/>
  <c r="F44" i="3" s="1"/>
  <c r="D47" i="3"/>
  <c r="E40" i="3"/>
  <c r="E41" i="3" s="1"/>
  <c r="E45" i="3" s="1"/>
  <c r="E47" i="3" s="1"/>
  <c r="G35" i="3"/>
  <c r="H13" i="4"/>
  <c r="H14" i="4" s="1"/>
  <c r="H15" i="4"/>
  <c r="H16" i="4" s="1"/>
  <c r="H18" i="4" l="1"/>
  <c r="H19" i="4" s="1"/>
  <c r="G44" i="3" s="1"/>
  <c r="F45" i="3"/>
  <c r="F47" i="3"/>
  <c r="G38" i="3"/>
  <c r="G36" i="3"/>
  <c r="G39" i="3"/>
  <c r="C59" i="3" l="1"/>
  <c r="C60" i="3" s="1"/>
  <c r="C61" i="3" s="1"/>
  <c r="G40" i="3"/>
  <c r="G41" i="3" s="1"/>
  <c r="G45" i="3" s="1"/>
  <c r="C51" i="3" l="1"/>
  <c r="C52" i="3" s="1"/>
  <c r="G47" i="3"/>
  <c r="C50" i="3" s="1"/>
  <c r="C11" i="6"/>
  <c r="I23" i="6"/>
  <c r="F12" i="6"/>
  <c r="E23" i="6"/>
  <c r="H19" i="6"/>
  <c r="D10" i="6"/>
  <c r="C9" i="6"/>
  <c r="G23" i="6"/>
  <c r="H12" i="6"/>
  <c r="H21" i="6"/>
  <c r="D9" i="6"/>
  <c r="C19" i="6"/>
  <c r="H18" i="6"/>
  <c r="C24" i="6"/>
  <c r="G21" i="6"/>
  <c r="E11" i="6"/>
  <c r="F18" i="6"/>
  <c r="H22" i="6"/>
  <c r="C7" i="6"/>
  <c r="F8" i="6"/>
  <c r="E10" i="6"/>
  <c r="G9" i="6"/>
  <c r="F21" i="6"/>
  <c r="F24" i="6"/>
  <c r="C10" i="6"/>
  <c r="F7" i="6"/>
  <c r="F23" i="6"/>
  <c r="D24" i="6"/>
  <c r="E12" i="6"/>
  <c r="D7" i="6"/>
  <c r="H7" i="6"/>
  <c r="E24" i="6"/>
  <c r="F19" i="6"/>
  <c r="E21" i="6"/>
  <c r="E9" i="6"/>
  <c r="I19" i="6"/>
  <c r="H8" i="6"/>
  <c r="C23" i="6"/>
  <c r="F22" i="6"/>
  <c r="I21" i="6"/>
  <c r="C13" i="6"/>
  <c r="I20" i="6"/>
  <c r="H23" i="6"/>
  <c r="H10" i="6"/>
  <c r="H13" i="6"/>
  <c r="G19" i="6"/>
  <c r="I12" i="6"/>
  <c r="D22" i="6"/>
  <c r="I10" i="6"/>
  <c r="C22" i="6"/>
  <c r="H9" i="6"/>
  <c r="D18" i="6"/>
  <c r="I7" i="6"/>
  <c r="D11" i="6"/>
  <c r="G13" i="6"/>
  <c r="G10" i="6"/>
  <c r="F9" i="6"/>
  <c r="D20" i="6"/>
  <c r="H11" i="6"/>
  <c r="D13" i="6"/>
  <c r="E19" i="6"/>
  <c r="C20" i="6"/>
  <c r="D21" i="6"/>
  <c r="I9" i="6"/>
  <c r="G24" i="6"/>
  <c r="I24" i="6"/>
  <c r="E22" i="6"/>
  <c r="G12" i="6"/>
  <c r="C18" i="6"/>
  <c r="E7" i="6"/>
  <c r="G22" i="6"/>
  <c r="G18" i="6"/>
  <c r="E20" i="6"/>
  <c r="C12" i="6"/>
  <c r="E8" i="6"/>
  <c r="F20" i="6"/>
  <c r="D12" i="6"/>
  <c r="G11" i="6"/>
  <c r="G7" i="6"/>
  <c r="C8" i="6"/>
  <c r="C21" i="6"/>
  <c r="G8" i="6"/>
  <c r="I13" i="6"/>
  <c r="E18" i="6"/>
  <c r="I8" i="6"/>
  <c r="G20" i="6"/>
  <c r="E13" i="6"/>
  <c r="I18" i="6"/>
  <c r="D19" i="6"/>
  <c r="D23" i="6"/>
  <c r="D8" i="6"/>
  <c r="F13" i="6"/>
  <c r="I11" i="6"/>
  <c r="H20" i="6"/>
  <c r="F10" i="6"/>
  <c r="F11" i="6"/>
  <c r="H24" i="6"/>
  <c r="I22" i="6"/>
  <c r="C53" i="3" l="1"/>
  <c r="C58" i="3"/>
  <c r="C62" i="3" s="1"/>
  <c r="C63" i="3" s="1"/>
  <c r="C64" i="3" s="1"/>
  <c r="C17" i="1" s="1"/>
  <c r="D17" i="1" s="1"/>
  <c r="C54" i="3" l="1"/>
  <c r="C55" i="3" s="1"/>
  <c r="C16" i="1" s="1"/>
  <c r="C21" i="1" l="1"/>
  <c r="C10" i="1"/>
  <c r="D16" i="1"/>
  <c r="C12" i="1" l="1"/>
  <c r="C11" i="1" s="1"/>
  <c r="B26" i="1"/>
</calcChain>
</file>

<file path=xl/sharedStrings.xml><?xml version="1.0" encoding="utf-8"?>
<sst xmlns="http://schemas.openxmlformats.org/spreadsheetml/2006/main" count="324" uniqueCount="259">
  <si>
    <t>DISCLAIMER: This is a sample analysis for demonstration purposes only. It does not constitute investment advice.</t>
  </si>
  <si>
    <t>Oxide Corporation (6521.T)</t>
  </si>
  <si>
    <t>Equity Research Report</t>
  </si>
  <si>
    <t>Company</t>
  </si>
  <si>
    <t>Oxide Corporation</t>
  </si>
  <si>
    <t>Ticker</t>
  </si>
  <si>
    <t>6521.T (TSE Growth)</t>
  </si>
  <si>
    <t>Sector</t>
  </si>
  <si>
    <t>Optical / Single-crystal Materials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</si>
  <si>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</si>
  <si>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</si>
  <si>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</si>
  <si>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</si>
  <si>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</si>
  <si>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</si>
  <si>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</si>
  <si>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</si>
  <si>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</si>
  <si>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</si>
  <si>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</si>
  <si>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</si>
  <si>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Note: PER法は赤字（純利益≦0）のため除外（Target Mid / Range は有効手法のみで算出）</t>
  </si>
  <si>
    <t>Integrated Valuation Range</t>
  </si>
  <si>
    <t>Key Investment Thesis</t>
  </si>
  <si>
    <t>Turnaround is real: operating margin recovered from a loss to 5.4% in FY2/26 and 9.1% in Q1 FY2/27, driven by high-margin semiconductor inspection crystals (~50% of sales).</t>
  </si>
  <si>
    <t>Raicol divestiture and capex discipline cut interest-bearing debt by ~JPY2.8bn in one year; free cash flow turned strongly positive.</t>
  </si>
  <si>
    <t>Key Risks</t>
  </si>
  <si>
    <t>~50% of sales depend on semiconductor inspection demand; a capex downturn would hit margins quickly given high fixed costs.</t>
  </si>
  <si>
    <t>Two consecutive net losses from impairments; further write-downs of new-domain (quantum/fusion) assets remain possible.</t>
  </si>
  <si>
    <t>Interest-bearing debt is still ~1.5x equity; covenant headroom is thin if profitability slips below guidance.</t>
  </si>
  <si>
    <t>Oxide Corporation - Historical Financials (JPY mn)</t>
  </si>
  <si>
    <t>FY2024/2</t>
  </si>
  <si>
    <t>FY2025/2</t>
  </si>
  <si>
    <t>FY2026/2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</si>
  <si>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</si>
  <si>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</si>
  <si>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</si>
  <si>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</si>
  <si>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</si>
  <si>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</si>
  <si>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</si>
  <si>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</si>
  <si>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</si>
  <si>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</si>
  <si>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</si>
  <si>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</si>
  <si>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</si>
  <si>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</si>
  <si>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</si>
  <si>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</si>
  <si>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</si>
  <si>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</si>
  <si>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</si>
  <si>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</si>
  <si>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</si>
  <si>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</si>
  <si>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</si>
  <si>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Note: OCF / Cash / Debt coverage OCF 3/3, Cash 3/3, Debt 3/3 — blank cells are years with no year-key match in the source data (verify against 決算短信 or set hist_ocf / hist_cash / hist_debt in overrides).</t>
  </si>
  <si>
    <t>DCF Valuation Model - Oxide Corporation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</si>
  <si>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</si>
  <si>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</si>
  <si>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</si>
  <si>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</si>
  <si>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</si>
  <si>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</si>
  <si>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</si>
  <si>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</si>
  <si>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</si>
  <si>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</si>
  <si>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</si>
  <si>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</si>
  <si>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</si>
  <si>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</si>
  <si>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</si>
  <si>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 (override)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</si>
  <si>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</si>
  <si>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</si>
  <si>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</si>
  <si>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</si>
  <si>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</si>
  <si>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</si>
  <si>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</si>
  <si>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</si>
  <si>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</si>
  <si>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</si>
  <si>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</si>
  <si>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</si>
  <si>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</si>
  <si>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</si>
  <si>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</si>
  <si>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</si>
  <si>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</si>
  <si>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</si>
  <si>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</si>
  <si>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</si>
  <si>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</si>
  <si>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</si>
  <si>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</si>
  <si>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</si>
  <si>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</si>
  <si>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</si>
  <si>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</si>
  <si>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</si>
  <si>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</si>
  <si>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</si>
  <si>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</si>
  <si>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</si>
  <si>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</si>
  <si>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</si>
  <si>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</si>
  <si>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</si>
  <si>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</si>
  <si>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</si>
  <si>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</si>
  <si>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</si>
  <si>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</si>
  <si>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</si>
  <si>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</si>
  <si>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</si>
  <si>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</si>
  <si>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</si>
  <si>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</si>
  <si>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NWC Schedule - Oxide Corporation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</si>
  <si>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</si>
  <si>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</si>
  <si>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</si>
  <si>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</si>
  <si>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</si>
  <si>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</si>
  <si>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</si>
  <si>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</si>
  <si>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</si>
  <si>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</si>
  <si>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</si>
  <si>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</si>
  <si>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</si>
  <si>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</si>
  <si>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</si>
  <si>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</si>
  <si>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</si>
  <si>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</si>
  <si>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</si>
  <si>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2026-08-21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</si>
  <si>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</si>
  <si>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</si>
  <si>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</si>
  <si>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</si>
  <si>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</si>
  <si>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</si>
  <si>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</si>
  <si>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</si>
  <si>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</si>
  <si>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</si>
  <si>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</si>
  <si>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</si>
  <si>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</si>
  <si>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</si>
  <si>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Oxide</t>
  </si>
  <si>
    <t>6521.T</t>
  </si>
  <si>
    <t>N/A</t>
  </si>
  <si>
    <t>Lasertec</t>
  </si>
  <si>
    <t>6920.T</t>
  </si>
  <si>
    <t>Hamamatsu Photonics</t>
  </si>
  <si>
    <t>6965.T</t>
  </si>
  <si>
    <t>Ferrotec Holdings</t>
  </si>
  <si>
    <t>6890.T</t>
  </si>
  <si>
    <t>Optorun</t>
  </si>
  <si>
    <t>6235.T</t>
  </si>
  <si>
    <t>Sigmakoki</t>
  </si>
  <si>
    <t>7713.T</t>
  </si>
  <si>
    <t>Japan Electronic Materials</t>
  </si>
  <si>
    <t>6855.T</t>
  </si>
  <si>
    <t>Optex Group</t>
  </si>
  <si>
    <t>6914.T</t>
  </si>
  <si>
    <t>Statistics</t>
  </si>
  <si>
    <t>25th Percentile</t>
  </si>
  <si>
    <t>Median (50th)</t>
  </si>
  <si>
    <t>75th Percentile</t>
  </si>
  <si>
    <t>Implied Valuation for Oxide Corporation</t>
  </si>
  <si>
    <t>Oxide Corporation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</si>
  <si>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</si>
  <si>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</si>
  <si>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</si>
  <si>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</si>
  <si>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</si>
  <si>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</si>
  <si>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Net income &lt;= 0 — PER not meaningful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</si>
  <si>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</si>
  <si>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</si>
  <si>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</si>
  <si>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</si>
  <si>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</si>
  <si>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</si>
  <si>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</si>
  <si>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</si>
  <si>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</si>
  <si>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Oxide Corporation</t>
  </si>
  <si>
    <t>日付</t>
  </si>
  <si>
    <t>セル</t>
  </si>
  <si>
    <t>変更内容</t>
  </si>
  <si>
    <t>理由</t>
  </si>
  <si>
    <t>元の値</t>
  </si>
  <si>
    <t>状態</t>
  </si>
  <si>
    <t>2026-08-21</t>
  </si>
  <si>
    <t>-</t>
  </si>
  <si>
    <t>Generated by pipeline on 2026-08-21 14:15, template rev e5effd6</t>
  </si>
  <si>
    <t>初期生成（手修正なし）</t>
  </si>
  <si>
    <t>generated</t>
  </si>
  <si>
    <t>Pipeline Metadata (do not edit — read by scripts/validate_output.py)</t>
  </si>
  <si>
    <t>key</t>
  </si>
  <si>
    <t>value</t>
  </si>
  <si>
    <t>capex_pct_basis</t>
  </si>
  <si>
    <t>assumption</t>
  </si>
  <si>
    <t>capex_pct_c5</t>
  </si>
  <si>
    <t>0.07</t>
  </si>
  <si>
    <t>capex_pct_hist3yr</t>
  </si>
  <si>
    <t>0.172023</t>
  </si>
  <si>
    <t>company_name</t>
  </si>
  <si>
    <t>comps_asof</t>
  </si>
  <si>
    <t>comps_da_missing</t>
  </si>
  <si>
    <t>none</t>
  </si>
  <si>
    <t>comps_ev_ebitda_invalid</t>
  </si>
  <si>
    <t>no</t>
  </si>
  <si>
    <t>comps_ev_ebitda_rows</t>
  </si>
  <si>
    <t>6,7,8,9,10,11,12</t>
  </si>
  <si>
    <t>comps_impl_mult_row</t>
  </si>
  <si>
    <t>28</t>
  </si>
  <si>
    <t>comps_impl_per_row</t>
  </si>
  <si>
    <t>29</t>
  </si>
  <si>
    <t>comps_peer_rows</t>
  </si>
  <si>
    <t>comps_stale_excluded</t>
  </si>
  <si>
    <t>comps_stat_median_row</t>
  </si>
  <si>
    <t>17</t>
  </si>
  <si>
    <t>comps_subject_row</t>
  </si>
  <si>
    <t>5</t>
  </si>
  <si>
    <t>da_pct_basis</t>
  </si>
  <si>
    <t>da_pct_c18</t>
  </si>
  <si>
    <t>0.073</t>
  </si>
  <si>
    <t>da_pct_hist3yr</t>
  </si>
  <si>
    <t>0.097913</t>
  </si>
  <si>
    <t>fs_year_coverage</t>
  </si>
  <si>
    <t>OCF 3/3, Cash 3/3, Debt 3/3</t>
  </si>
  <si>
    <t>fs_year_map</t>
  </si>
  <si>
    <t>FY2024/2&lt;-BLANK[ocf+cash+debt]; FY2025/2&lt;-FY2025[ocf+cash+debt]; FY2026/2&lt;-FY2026[ocf+cash+debt]</t>
  </si>
  <si>
    <t>fs_year_sources</t>
  </si>
  <si>
    <t>overrides: hist_ocf, hist_cash, hist_debt, hist_capex, hist_depreciation | EDINET year-key match: none</t>
  </si>
  <si>
    <t>generated_at</t>
  </si>
  <si>
    <t>2026-08-21 14:15:21</t>
  </si>
  <si>
    <t>ltm_revenue_c20</t>
  </si>
  <si>
    <t>10445</t>
  </si>
  <si>
    <t>ltm_revenue_source</t>
  </si>
  <si>
    <t>override</t>
  </si>
  <si>
    <t>narrative_tokens_used</t>
  </si>
  <si>
    <t>pb,per,price,target_price,upside_pct,wacc</t>
  </si>
  <si>
    <t>scenario_index_range</t>
  </si>
  <si>
    <t>B69:B73</t>
  </si>
  <si>
    <t>template_rev</t>
  </si>
  <si>
    <t>e5effd6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</si>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</sst>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0" fontId="5" fillId="0" borderId="6" xfId="0" applyFont="1" applyBorder="1" applyAlignment="1">
      <alignment horizontal="right"/>
    </xf>
    <xf numFmtId="177" fontId="5" fillId="0" borderId="6" xfId="0" applyNumberFormat="1" applyFont="1" applyBorder="1"/>
    <xf numFmtId="0" fontId="5" fillId="0" borderId="4" xfId="0" applyFont="1" applyBorder="1" applyAlignment="1">
      <alignment horizontal="right"/>
    </xf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topLeftCell="A5" workbookViewId="0">
      <selection activeCell="F15" sqref="F15"/>
    </sheetView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3" t="s">
        <v>0</v>
      </c>
      <c r="C1" s="42"/>
      <c r="D1" s="42"/>
      <c r="E1" s="42"/>
    </row>
    <row r="3" spans="2:5" ht="18" x14ac:dyDescent="0.4">
      <c r="B3" s="41" t="s">
        <v>1</v>
      </c>
      <c r="C3" s="42"/>
      <c r="D3" s="42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3350</v>
      </c>
    </row>
    <row r="10" spans="2:5" ht="14" x14ac:dyDescent="0.3">
      <c r="B10" s="4" t="s">
        <v>10</v>
      </c>
      <c r="C10" s="5">
        <f>ROUND(AVERAGE(C16:C19),0)</f>
        <v>609</v>
      </c>
    </row>
    <row r="11" spans="2:5" ht="14" x14ac:dyDescent="0.3">
      <c r="B11" s="4" t="s">
        <v>11</v>
      </c>
      <c r="C11" s="6" t="str">
        <f>IF(C12&gt;0.15,"BUY",IF(C12&gt;0.05,"HOLD","SELL"))</f>
        <v>SELL</v>
      </c>
    </row>
    <row r="12" spans="2:5" ht="14" x14ac:dyDescent="0.3">
      <c r="B12" s="4" t="s">
        <v>12</v>
      </c>
      <c r="C12" s="7">
        <f>(C10-C9)/C9</f>
        <v>-0.8182089552238806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193</v>
      </c>
      <c r="D16" s="7">
        <f>IF(ISNUMBER(C16),(C16-C9)/C9,"N/A")</f>
        <v>-0.94238805970149253</v>
      </c>
    </row>
    <row r="17" spans="2:5" ht="13.5" x14ac:dyDescent="0.25">
      <c r="B17" t="s">
        <v>18</v>
      </c>
      <c r="C17" s="11">
        <f>'DCF Model'!C64</f>
        <v>871</v>
      </c>
      <c r="D17" s="7">
        <f>(C17-C9)/C9</f>
        <v>-0.74</v>
      </c>
    </row>
    <row r="18" spans="2:5" ht="13.5" x14ac:dyDescent="0.25">
      <c r="B18" t="s">
        <v>19</v>
      </c>
      <c r="C18" s="11">
        <f>'Comps Analysis'!C28</f>
        <v>764</v>
      </c>
      <c r="D18" s="7">
        <f>IF(ISNUMBER(C18),(C18-C9)/C9,"N/A")</f>
        <v>-0.77194029850746271</v>
      </c>
    </row>
    <row r="19" spans="2:5" ht="13.5" x14ac:dyDescent="0.25">
      <c r="B19" t="s">
        <v>20</v>
      </c>
      <c r="C19" s="11" t="str">
        <f>'Comps Analysis'!C29</f>
        <v>N/A</v>
      </c>
      <c r="D19" s="7" t="str">
        <f>IF(ISNUMBER(C19),(C19-C9)/C9,"N/A")</f>
        <v>N/A</v>
      </c>
    </row>
    <row r="20" spans="2:5" ht="14" x14ac:dyDescent="0.3">
      <c r="B20" s="43" t="s">
        <v>21</v>
      </c>
      <c r="C20" s="42"/>
      <c r="D20" s="42"/>
      <c r="E20" s="42"/>
    </row>
    <row r="21" spans="2:5" ht="14" x14ac:dyDescent="0.3">
      <c r="B21" s="4" t="s">
        <v>22</v>
      </c>
      <c r="C21" s="6" t="str">
        <f>MIN(C16:C19)&amp;" - "&amp;MAX(C16:C19)</f>
        <v>193 - 871</v>
      </c>
    </row>
    <row r="23" spans="2:5" ht="14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tr">
        <f>"At "&amp;TEXT(C9,"#,##0")&amp;" the stock trades at "&amp;TEXT('Comps Analysis'!L5,"0.0""x""")&amp;" PER and "&amp;TEXT('Comps Analysis'!M5,"0.00""x""")&amp;" PBR; our target of "&amp;TEXT(C10,"#,##0")&amp;" implies "&amp;TEXT(C12,"+0.0%;-0.0%")&amp;" upside with WACC of "&amp;TEXT('DCF Model'!C26,"0.00%")&amp;"."</f>
        <v>At 3,350 the stock trades at N/A PER and 8.29x PBR; our target of 609 implies -81.8% upside with WACC of 11.74%.</v>
      </c>
    </row>
    <row r="28" spans="2:5" ht="14" x14ac:dyDescent="0.3">
      <c r="B28" s="8" t="s">
        <v>26</v>
      </c>
      <c r="C28" s="9"/>
      <c r="D28" s="9"/>
    </row>
    <row r="29" spans="2:5" x14ac:dyDescent="0.2">
      <c r="B29" t="s">
        <v>27</v>
      </c>
    </row>
    <row r="30" spans="2:5" x14ac:dyDescent="0.2">
      <c r="B30" t="s">
        <v>28</v>
      </c>
    </row>
    <row r="31" spans="2:5" x14ac:dyDescent="0.2">
      <c r="B31" t="s">
        <v>29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E30"/>
  <sheetViews>
    <sheetView workbookViewId="0"/>
  </sheetViews>
  <sheetFormatPr defaultRowHeight="13" x14ac:dyDescent="0.2"/>
  <cols>
    <col min="1" max="1" width="3" customWidth="1"/>
    <col min="2" max="2" width="32" customWidth="1"/>
    <col min="3" max="5" width="18" customWidth="1"/>
  </cols>
  <sheetData>
    <row r="2" spans="2:5" ht="18" x14ac:dyDescent="0.4">
      <c r="B2" s="2" t="s">
        <v>30</v>
      </c>
    </row>
    <row r="4" spans="2:5" ht="14" x14ac:dyDescent="0.3">
      <c r="C4" s="10" t="s">
        <v>31</v>
      </c>
      <c r="D4" s="10" t="s">
        <v>32</v>
      </c>
      <c r="E4" s="10" t="s">
        <v>33</v>
      </c>
    </row>
    <row r="5" spans="2:5" ht="14" x14ac:dyDescent="0.3">
      <c r="B5" s="3" t="s">
        <v>34</v>
      </c>
    </row>
    <row r="6" spans="2:5" ht="14" x14ac:dyDescent="0.3">
      <c r="B6" s="4" t="s">
        <v>35</v>
      </c>
      <c r="C6" s="5">
        <v>6607</v>
      </c>
      <c r="D6" s="5">
        <v>8395</v>
      </c>
      <c r="E6" s="5">
        <v>10040</v>
      </c>
    </row>
    <row r="7" spans="2:5" ht="14" x14ac:dyDescent="0.3">
      <c r="B7" s="4" t="s">
        <v>36</v>
      </c>
      <c r="C7" s="5">
        <v>4722.8999999999996</v>
      </c>
      <c r="D7" s="5">
        <v>5134.3</v>
      </c>
      <c r="E7" s="5">
        <v>6670.9</v>
      </c>
    </row>
    <row r="8" spans="2:5" ht="14" x14ac:dyDescent="0.3">
      <c r="B8" s="4" t="s">
        <v>37</v>
      </c>
      <c r="C8" s="5">
        <f>C6-C7</f>
        <v>1884.1000000000004</v>
      </c>
      <c r="D8" s="5">
        <f>D6-D7</f>
        <v>3260.7</v>
      </c>
      <c r="E8" s="5">
        <f>E6-E7</f>
        <v>3369.1000000000004</v>
      </c>
    </row>
    <row r="9" spans="2:5" ht="13.5" x14ac:dyDescent="0.25">
      <c r="B9" t="s">
        <v>38</v>
      </c>
      <c r="C9" s="7">
        <f>C8/C6</f>
        <v>0.2851672468593916</v>
      </c>
      <c r="D9" s="7">
        <f>D8/D6</f>
        <v>0.38840976771888025</v>
      </c>
      <c r="E9" s="7">
        <f>E8/E6</f>
        <v>0.33556772908366539</v>
      </c>
    </row>
    <row r="10" spans="2:5" ht="14" x14ac:dyDescent="0.3">
      <c r="B10" s="4" t="s">
        <v>39</v>
      </c>
      <c r="C10" s="5">
        <v>2867.2</v>
      </c>
      <c r="D10" s="5">
        <v>3134.2</v>
      </c>
      <c r="E10" s="5">
        <v>2826.7</v>
      </c>
    </row>
    <row r="11" spans="2:5" ht="14" x14ac:dyDescent="0.3">
      <c r="B11" s="4" t="s">
        <v>40</v>
      </c>
      <c r="C11" s="5">
        <v>-983</v>
      </c>
      <c r="D11" s="5">
        <v>126</v>
      </c>
      <c r="E11" s="5">
        <v>543</v>
      </c>
    </row>
    <row r="12" spans="2:5" ht="14" x14ac:dyDescent="0.3">
      <c r="B12" s="4" t="s">
        <v>41</v>
      </c>
      <c r="C12" s="5">
        <v>-422</v>
      </c>
      <c r="D12" s="5">
        <v>-2704</v>
      </c>
      <c r="E12" s="5">
        <v>-538</v>
      </c>
    </row>
    <row r="13" spans="2:5" ht="13.5" x14ac:dyDescent="0.25">
      <c r="B13" t="s">
        <v>42</v>
      </c>
      <c r="C13" s="7">
        <f>C11/C6</f>
        <v>-0.14878159527773574</v>
      </c>
      <c r="D13" s="7">
        <f>D11/D6</f>
        <v>1.5008933889219773E-2</v>
      </c>
      <c r="E13" s="7">
        <f>E11/E6</f>
        <v>5.408366533864542E-2</v>
      </c>
    </row>
    <row r="14" spans="2:5" ht="13.5" x14ac:dyDescent="0.25">
      <c r="B14" t="s">
        <v>43</v>
      </c>
      <c r="C14" s="7">
        <f>C12/C6</f>
        <v>-6.3871651278946576E-2</v>
      </c>
      <c r="D14" s="7">
        <f>D12/D6</f>
        <v>-0.32209648600357355</v>
      </c>
      <c r="E14" s="7">
        <f>E12/E6</f>
        <v>-5.3585657370517931E-2</v>
      </c>
    </row>
    <row r="15" spans="2:5" ht="13.5" x14ac:dyDescent="0.25">
      <c r="B15" t="s">
        <v>44</v>
      </c>
      <c r="C15" t="s">
        <v>45</v>
      </c>
      <c r="D15" s="7">
        <f>(D6-C6)/C6</f>
        <v>0.27062206750416223</v>
      </c>
      <c r="E15" s="7">
        <f>(E6-D6)/D6</f>
        <v>0.19594997022036928</v>
      </c>
    </row>
    <row r="16" spans="2:5" ht="13.5" x14ac:dyDescent="0.25">
      <c r="B16" t="s">
        <v>46</v>
      </c>
      <c r="C16" t="s">
        <v>45</v>
      </c>
      <c r="D16" s="7">
        <f>(D11-C11)/C11</f>
        <v>-1.1281790437436419</v>
      </c>
      <c r="E16" s="7">
        <f>(E11-D11)/D11</f>
        <v>3.3095238095238093</v>
      </c>
    </row>
    <row r="18" spans="2:5" ht="14" x14ac:dyDescent="0.3">
      <c r="B18" s="3" t="s">
        <v>47</v>
      </c>
    </row>
    <row r="19" spans="2:5" ht="14" x14ac:dyDescent="0.3">
      <c r="B19" s="4" t="s">
        <v>48</v>
      </c>
      <c r="C19" s="5">
        <v>-954</v>
      </c>
      <c r="D19" s="5">
        <v>885</v>
      </c>
      <c r="E19" s="5">
        <v>2847</v>
      </c>
    </row>
    <row r="20" spans="2:5" ht="14" x14ac:dyDescent="0.3">
      <c r="B20" s="4" t="s">
        <v>49</v>
      </c>
      <c r="C20" s="5">
        <v>1676</v>
      </c>
      <c r="D20" s="5">
        <v>1661</v>
      </c>
      <c r="E20" s="5">
        <v>648</v>
      </c>
    </row>
    <row r="21" spans="2:5" ht="14" x14ac:dyDescent="0.3">
      <c r="B21" s="4" t="s">
        <v>50</v>
      </c>
      <c r="C21" s="5">
        <f>C19-C20</f>
        <v>-2630</v>
      </c>
      <c r="D21" s="5">
        <f>D19-D20</f>
        <v>-776</v>
      </c>
      <c r="E21" s="5">
        <f>E19-E20</f>
        <v>2199</v>
      </c>
    </row>
    <row r="22" spans="2:5" ht="13.5" x14ac:dyDescent="0.25">
      <c r="B22" t="s">
        <v>51</v>
      </c>
      <c r="C22" s="7">
        <f>C21/C6</f>
        <v>-0.39806266081428787</v>
      </c>
      <c r="D22" s="7">
        <f>D21/D6</f>
        <v>-9.2435973793924958E-2</v>
      </c>
      <c r="E22" s="7">
        <f>E21/E6</f>
        <v>0.21902390438247013</v>
      </c>
    </row>
    <row r="23" spans="2:5" ht="13.5" x14ac:dyDescent="0.25">
      <c r="B23" t="s">
        <v>52</v>
      </c>
      <c r="C23" s="7">
        <f>C20/C6</f>
        <v>0.25367034962918117</v>
      </c>
      <c r="D23" s="7">
        <f>D20/D6</f>
        <v>0.19785586658725432</v>
      </c>
      <c r="E23" s="7">
        <f>E20/E6</f>
        <v>6.4541832669322716E-2</v>
      </c>
    </row>
    <row r="25" spans="2:5" ht="14" x14ac:dyDescent="0.3">
      <c r="B25" s="3" t="s">
        <v>53</v>
      </c>
    </row>
    <row r="26" spans="2:5" ht="14" x14ac:dyDescent="0.3">
      <c r="B26" s="4" t="s">
        <v>54</v>
      </c>
      <c r="C26" s="5">
        <v>1631</v>
      </c>
      <c r="D26" s="5">
        <v>2245</v>
      </c>
      <c r="E26" s="5">
        <v>2287</v>
      </c>
    </row>
    <row r="27" spans="2:5" ht="14" x14ac:dyDescent="0.3">
      <c r="B27" s="4" t="s">
        <v>55</v>
      </c>
      <c r="C27" s="5">
        <v>9206</v>
      </c>
      <c r="D27" s="5">
        <v>10369</v>
      </c>
      <c r="E27" s="5">
        <v>7543</v>
      </c>
    </row>
    <row r="28" spans="2:5" ht="14" x14ac:dyDescent="0.3">
      <c r="B28" s="4" t="s">
        <v>56</v>
      </c>
      <c r="C28" s="5">
        <f>C27-C26</f>
        <v>7575</v>
      </c>
      <c r="D28" s="5">
        <f>D27-D26</f>
        <v>8124</v>
      </c>
      <c r="E28" s="5">
        <f>E27-E26</f>
        <v>5256</v>
      </c>
    </row>
    <row r="30" spans="2:5" ht="14" x14ac:dyDescent="0.3">
      <c r="B30" s="1" t="s">
        <v>57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topLeftCell="A47" workbookViewId="0">
      <selection activeCell="D28" sqref="D28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58</v>
      </c>
    </row>
    <row r="4" spans="2:7" ht="14" x14ac:dyDescent="0.3">
      <c r="B4" s="8" t="s">
        <v>59</v>
      </c>
      <c r="C4" s="9"/>
      <c r="D4" s="9"/>
      <c r="E4" s="9"/>
      <c r="F4" s="9"/>
      <c r="G4" s="9"/>
    </row>
    <row r="5" spans="2:7" ht="14" x14ac:dyDescent="0.3">
      <c r="B5" s="4" t="s">
        <v>52</v>
      </c>
      <c r="C5" s="7">
        <v>7.0000000000000007E-2</v>
      </c>
    </row>
    <row r="6" spans="2:7" ht="14" x14ac:dyDescent="0.3">
      <c r="B6" s="4" t="s">
        <v>60</v>
      </c>
      <c r="C6" s="7">
        <v>0.30599999999999999</v>
      </c>
    </row>
    <row r="7" spans="2:7" ht="14" x14ac:dyDescent="0.3">
      <c r="B7" s="4" t="s">
        <v>61</v>
      </c>
      <c r="C7" s="7">
        <v>1.6E-2</v>
      </c>
    </row>
    <row r="8" spans="2:7" ht="14" x14ac:dyDescent="0.3">
      <c r="B8" s="4" t="s">
        <v>62</v>
      </c>
      <c r="C8" s="12">
        <v>1.1599999999999999</v>
      </c>
    </row>
    <row r="9" spans="2:7" ht="14" x14ac:dyDescent="0.3">
      <c r="B9" s="4" t="s">
        <v>63</v>
      </c>
      <c r="C9" s="7">
        <v>6.5000000000000002E-2</v>
      </c>
    </row>
    <row r="10" spans="2:7" ht="14" x14ac:dyDescent="0.3">
      <c r="B10" s="4" t="s">
        <v>64</v>
      </c>
      <c r="C10" s="7">
        <v>0.04</v>
      </c>
    </row>
    <row r="11" spans="2:7" ht="14" x14ac:dyDescent="0.3">
      <c r="B11" s="4" t="s">
        <v>65</v>
      </c>
      <c r="C11" s="7">
        <v>1.388E-2</v>
      </c>
    </row>
    <row r="12" spans="2:7" ht="14" x14ac:dyDescent="0.3">
      <c r="B12" s="4" t="s">
        <v>66</v>
      </c>
      <c r="C12" s="13">
        <v>0.1348</v>
      </c>
    </row>
    <row r="13" spans="2:7" ht="14" x14ac:dyDescent="0.3">
      <c r="B13" s="4" t="s">
        <v>67</v>
      </c>
      <c r="C13" s="7">
        <v>0.01</v>
      </c>
    </row>
    <row r="14" spans="2:7" ht="14" x14ac:dyDescent="0.3">
      <c r="B14" s="4" t="s">
        <v>68</v>
      </c>
      <c r="C14" s="14">
        <v>10</v>
      </c>
    </row>
    <row r="15" spans="2:7" ht="14" x14ac:dyDescent="0.3">
      <c r="B15" s="4" t="s">
        <v>69</v>
      </c>
      <c r="C15" s="15">
        <v>11618742</v>
      </c>
    </row>
    <row r="16" spans="2:7" ht="14" x14ac:dyDescent="0.3">
      <c r="B16" s="4" t="s">
        <v>70</v>
      </c>
      <c r="C16" s="5">
        <v>5201</v>
      </c>
    </row>
    <row r="17" spans="2:7" ht="14" x14ac:dyDescent="0.3">
      <c r="B17" s="4" t="s">
        <v>71</v>
      </c>
      <c r="C17" s="5">
        <v>10040</v>
      </c>
    </row>
    <row r="18" spans="2:7" ht="14" x14ac:dyDescent="0.3">
      <c r="B18" s="4" t="s">
        <v>72</v>
      </c>
      <c r="C18" s="7">
        <v>7.2999999999999995E-2</v>
      </c>
    </row>
    <row r="19" spans="2:7" ht="14" x14ac:dyDescent="0.3">
      <c r="B19" s="4" t="s">
        <v>73</v>
      </c>
      <c r="C19" s="12">
        <v>1</v>
      </c>
    </row>
    <row r="20" spans="2:7" ht="14" x14ac:dyDescent="0.3">
      <c r="B20" s="4" t="s">
        <v>74</v>
      </c>
      <c r="C20" s="5">
        <v>10445</v>
      </c>
    </row>
    <row r="22" spans="2:7" ht="14" x14ac:dyDescent="0.3">
      <c r="B22" s="8" t="s">
        <v>75</v>
      </c>
      <c r="C22" s="9"/>
      <c r="D22" s="9"/>
      <c r="E22" s="9"/>
      <c r="F22" s="9"/>
      <c r="G22" s="9"/>
    </row>
    <row r="23" spans="2:7" ht="14" x14ac:dyDescent="0.3">
      <c r="B23" s="4" t="s">
        <v>76</v>
      </c>
      <c r="C23" s="16">
        <f>C7+C8*C9+C10</f>
        <v>0.13139999999999999</v>
      </c>
    </row>
    <row r="24" spans="2:7" ht="14" x14ac:dyDescent="0.3">
      <c r="B24" s="4" t="s">
        <v>77</v>
      </c>
      <c r="C24" s="16">
        <f>1/(1+C12)</f>
        <v>0.88121254846669017</v>
      </c>
    </row>
    <row r="25" spans="2:7" ht="14" x14ac:dyDescent="0.3">
      <c r="B25" s="4" t="s">
        <v>78</v>
      </c>
      <c r="C25" s="16">
        <f>C12/(1+C12)</f>
        <v>0.11878745153330983</v>
      </c>
    </row>
    <row r="26" spans="2:7" ht="14" x14ac:dyDescent="0.3">
      <c r="B26" s="4" t="s">
        <v>79</v>
      </c>
      <c r="C26" s="16">
        <f>C23*C24+C11*C25</f>
        <v>0.11744009869580542</v>
      </c>
    </row>
    <row r="27" spans="2:7" ht="14" x14ac:dyDescent="0.3">
      <c r="B27" s="4" t="s">
        <v>80</v>
      </c>
      <c r="C27" s="17" t="s">
        <v>81</v>
      </c>
      <c r="D27" s="6">
        <v>1</v>
      </c>
    </row>
    <row r="28" spans="2:7" ht="14" x14ac:dyDescent="0.3">
      <c r="B28" s="8" t="s">
        <v>82</v>
      </c>
      <c r="C28" s="9"/>
      <c r="D28" s="9"/>
      <c r="E28" s="9"/>
      <c r="F28" s="9"/>
      <c r="G28" s="9"/>
    </row>
    <row r="29" spans="2:7" ht="14" x14ac:dyDescent="0.3">
      <c r="C29" s="10" t="s">
        <v>83</v>
      </c>
      <c r="D29" s="10" t="s">
        <v>84</v>
      </c>
      <c r="E29" s="10" t="s">
        <v>85</v>
      </c>
      <c r="F29" s="10" t="s">
        <v>86</v>
      </c>
      <c r="G29" s="10" t="s">
        <v>87</v>
      </c>
    </row>
    <row r="30" spans="2:7" ht="14" x14ac:dyDescent="0.3">
      <c r="B30" s="4" t="s">
        <v>44</v>
      </c>
      <c r="C30" s="18">
        <f>CHOOSE($D$27,C69,C70,C71,C72,C73)</f>
        <v>-0.02</v>
      </c>
      <c r="D30" s="18">
        <f>CHOOSE($D$27,D69,D70,D71,D72,D73)</f>
        <v>0.06</v>
      </c>
      <c r="E30" s="18">
        <f>CHOOSE($D$27,E69,E70,E71,E72,E73)</f>
        <v>0.06</v>
      </c>
      <c r="F30" s="18">
        <f>CHOOSE($D$27,F69,F70,F71,F72,F73)</f>
        <v>0.05</v>
      </c>
      <c r="G30" s="18">
        <f>CHOOSE($D$27,G69,G70,G71,G72,G73)</f>
        <v>0.04</v>
      </c>
    </row>
    <row r="31" spans="2:7" ht="14" x14ac:dyDescent="0.3">
      <c r="B31" s="4" t="s">
        <v>88</v>
      </c>
      <c r="C31" s="18">
        <f>CHOOSE($D$27,C76,C77,C78,C79,C80)</f>
        <v>0.64</v>
      </c>
      <c r="D31" s="18">
        <f>CHOOSE($D$27,D76,D77,D78,D79,D80)</f>
        <v>0.63500000000000001</v>
      </c>
      <c r="E31" s="18">
        <f>CHOOSE($D$27,E76,E77,E78,E79,E80)</f>
        <v>0.63</v>
      </c>
      <c r="F31" s="18">
        <f>CHOOSE($D$27,F76,F77,F78,F79,F80)</f>
        <v>0.626</v>
      </c>
      <c r="G31" s="18">
        <f>CHOOSE($D$27,G76,G77,G78,G79,G80)</f>
        <v>0.622</v>
      </c>
    </row>
    <row r="32" spans="2:7" ht="14" x14ac:dyDescent="0.3">
      <c r="B32" s="4" t="s">
        <v>89</v>
      </c>
      <c r="C32" s="18">
        <f>CHOOSE($D$27,C83,C84,C85,C86,C87)</f>
        <v>0.27</v>
      </c>
      <c r="D32" s="18">
        <f>CHOOSE($D$27,D83,D84,D85,D86,D87)</f>
        <v>0.27</v>
      </c>
      <c r="E32" s="18">
        <f>CHOOSE($D$27,E83,E84,E85,E86,E87)</f>
        <v>0.27</v>
      </c>
      <c r="F32" s="18">
        <f>CHOOSE($D$27,F83,F84,F85,F86,F87)</f>
        <v>0.26900000000000002</v>
      </c>
      <c r="G32" s="18">
        <f>CHOOSE($D$27,G83,G84,G85,G86,G87)</f>
        <v>0.26800000000000002</v>
      </c>
    </row>
    <row r="33" spans="2:7" ht="14" x14ac:dyDescent="0.3">
      <c r="B33" s="4" t="s">
        <v>35</v>
      </c>
      <c r="C33" s="5">
        <f>C17*(1+C30)</f>
        <v>9839.2000000000007</v>
      </c>
      <c r="D33" s="5">
        <f>C33*(1+D30)</f>
        <v>10429.552000000001</v>
      </c>
      <c r="E33" s="5">
        <f>D33*(1+E30)</f>
        <v>11055.325120000001</v>
      </c>
      <c r="F33" s="5">
        <f>E33*(1+F30)</f>
        <v>11608.091376000002</v>
      </c>
      <c r="G33" s="5">
        <f>F33*(1+G30)</f>
        <v>12072.415031040002</v>
      </c>
    </row>
    <row r="34" spans="2:7" ht="14" x14ac:dyDescent="0.3">
      <c r="B34" s="4" t="s">
        <v>36</v>
      </c>
      <c r="C34" s="5">
        <f>C33*C31</f>
        <v>6297.0880000000006</v>
      </c>
      <c r="D34" s="5">
        <f>D33*D31</f>
        <v>6622.7655200000008</v>
      </c>
      <c r="E34" s="5">
        <f>E33*E31</f>
        <v>6964.8548256000013</v>
      </c>
      <c r="F34" s="5">
        <f>F33*F31</f>
        <v>7266.6652013760013</v>
      </c>
      <c r="G34" s="5">
        <f>G33*G31</f>
        <v>7509.0421493068807</v>
      </c>
    </row>
    <row r="35" spans="2:7" ht="14" x14ac:dyDescent="0.3">
      <c r="B35" s="4" t="s">
        <v>37</v>
      </c>
      <c r="C35" s="19">
        <f>C33-C34</f>
        <v>3542.1120000000001</v>
      </c>
      <c r="D35" s="19">
        <f>D33-D34</f>
        <v>3806.7864800000007</v>
      </c>
      <c r="E35" s="19">
        <f>E33-E34</f>
        <v>4090.4702944000001</v>
      </c>
      <c r="F35" s="19">
        <f>F33-F34</f>
        <v>4341.4261746240009</v>
      </c>
      <c r="G35" s="19">
        <f>G33-G34</f>
        <v>4563.3728817331212</v>
      </c>
    </row>
    <row r="36" spans="2:7" ht="14" x14ac:dyDescent="0.3">
      <c r="B36" s="4" t="s">
        <v>38</v>
      </c>
      <c r="C36" s="7">
        <f>C35/C33</f>
        <v>0.36</v>
      </c>
      <c r="D36" s="7">
        <f>D35/D33</f>
        <v>0.36499999999999999</v>
      </c>
      <c r="E36" s="7">
        <f>E35/E33</f>
        <v>0.36999999999999994</v>
      </c>
      <c r="F36" s="7">
        <f>F35/F33</f>
        <v>0.374</v>
      </c>
      <c r="G36" s="7">
        <f>G35/G33</f>
        <v>0.37800000000000006</v>
      </c>
    </row>
    <row r="37" spans="2:7" ht="14" x14ac:dyDescent="0.3">
      <c r="B37" s="4" t="s">
        <v>90</v>
      </c>
      <c r="C37" s="5">
        <f>C33*C32</f>
        <v>2656.5840000000003</v>
      </c>
      <c r="D37" s="5">
        <f>D33*D32</f>
        <v>2815.9790400000006</v>
      </c>
      <c r="E37" s="5">
        <f>E33*E32</f>
        <v>2984.9377824000007</v>
      </c>
      <c r="F37" s="5">
        <f>F33*F32</f>
        <v>3122.5765801440007</v>
      </c>
      <c r="G37" s="5">
        <f>G33*G32</f>
        <v>3235.4072283187206</v>
      </c>
    </row>
    <row r="38" spans="2:7" ht="14" x14ac:dyDescent="0.3">
      <c r="B38" s="4" t="s">
        <v>91</v>
      </c>
      <c r="C38" s="7">
        <f>(C35-C37)/C33</f>
        <v>8.9999999999999969E-2</v>
      </c>
      <c r="D38" s="7">
        <f>(D35-D37)/D33</f>
        <v>9.4999999999999987E-2</v>
      </c>
      <c r="E38" s="7">
        <f>(E35-E37)/E33</f>
        <v>9.9999999999999922E-2</v>
      </c>
      <c r="F38" s="7">
        <f>(F35-F37)/F33</f>
        <v>0.105</v>
      </c>
      <c r="G38" s="7">
        <f>(G35-G37)/G33</f>
        <v>0.11000000000000003</v>
      </c>
    </row>
    <row r="39" spans="2:7" ht="14" x14ac:dyDescent="0.3">
      <c r="B39" s="4" t="s">
        <v>92</v>
      </c>
      <c r="C39" s="19">
        <f>C35-C37</f>
        <v>885.52799999999979</v>
      </c>
      <c r="D39" s="19">
        <f>D35-D37</f>
        <v>990.80744000000004</v>
      </c>
      <c r="E39" s="19">
        <f>E35-E37</f>
        <v>1105.5325119999993</v>
      </c>
      <c r="F39" s="19">
        <f>F35-F37</f>
        <v>1218.8495944800002</v>
      </c>
      <c r="G39" s="19">
        <f>G35-G37</f>
        <v>1327.9656534144005</v>
      </c>
    </row>
    <row r="40" spans="2:7" ht="14" x14ac:dyDescent="0.3">
      <c r="B40" s="4" t="s">
        <v>93</v>
      </c>
      <c r="C40" s="5">
        <f>MAX(0,C39*C6)</f>
        <v>270.97156799999993</v>
      </c>
      <c r="D40" s="5">
        <f>MAX(0,D39*C6)</f>
        <v>303.18707663999999</v>
      </c>
      <c r="E40" s="5">
        <f>MAX(0,E39*C6)</f>
        <v>338.2929486719998</v>
      </c>
      <c r="F40" s="5">
        <f>MAX(0,F39*C6)</f>
        <v>372.96797591088006</v>
      </c>
      <c r="G40" s="5">
        <f>MAX(0,G39*C6)</f>
        <v>406.35748994480656</v>
      </c>
    </row>
    <row r="41" spans="2:7" ht="14" x14ac:dyDescent="0.3">
      <c r="B41" s="4" t="s">
        <v>94</v>
      </c>
      <c r="C41" s="19">
        <f>C39-C40</f>
        <v>614.55643199999986</v>
      </c>
      <c r="D41" s="19">
        <f>D39-D40</f>
        <v>687.62036336000006</v>
      </c>
      <c r="E41" s="19">
        <f>E39-E40</f>
        <v>767.23956332799958</v>
      </c>
      <c r="F41" s="19">
        <f>F39-F40</f>
        <v>845.88161856912006</v>
      </c>
      <c r="G41" s="19">
        <f>G39-G40</f>
        <v>921.60816346959405</v>
      </c>
    </row>
    <row r="42" spans="2:7" ht="14" x14ac:dyDescent="0.3">
      <c r="B42" s="4" t="s">
        <v>95</v>
      </c>
      <c r="C42" s="5">
        <f>C33*C18</f>
        <v>718.26160000000004</v>
      </c>
      <c r="D42" s="5">
        <f>D33*C18</f>
        <v>761.35729600000002</v>
      </c>
      <c r="E42" s="5">
        <f>E33*C18</f>
        <v>807.03873376000001</v>
      </c>
      <c r="F42" s="5">
        <f>F33*C18</f>
        <v>847.39067044800015</v>
      </c>
      <c r="G42" s="5">
        <f>G33*C18</f>
        <v>881.2862972659201</v>
      </c>
    </row>
    <row r="43" spans="2:7" ht="14" x14ac:dyDescent="0.3">
      <c r="B43" s="4" t="s">
        <v>96</v>
      </c>
      <c r="C43" s="5">
        <f>C33*C5</f>
        <v>688.74400000000014</v>
      </c>
      <c r="D43" s="5">
        <f>D33*C5</f>
        <v>730.06864000000019</v>
      </c>
      <c r="E43" s="5">
        <f>E33*C5</f>
        <v>773.87275840000018</v>
      </c>
      <c r="F43" s="5">
        <f>F33*C5</f>
        <v>812.56639632000019</v>
      </c>
      <c r="G43" s="5">
        <f>G33*C5</f>
        <v>845.06905217280018</v>
      </c>
    </row>
    <row r="44" spans="2:7" ht="14" x14ac:dyDescent="0.3">
      <c r="B44" s="4" t="s">
        <v>97</v>
      </c>
      <c r="C44" s="5">
        <f>'NWC Schedule'!D19</f>
        <v>-132.32526027397216</v>
      </c>
      <c r="D44" s="5">
        <f>'NWC Schedule'!E19</f>
        <v>121.35103189041092</v>
      </c>
      <c r="E44" s="5">
        <f>'NWC Schedule'!F19</f>
        <v>144.41357755616446</v>
      </c>
      <c r="F44" s="5">
        <f>'NWC Schedule'!G19</f>
        <v>119.69736805952971</v>
      </c>
      <c r="G44" s="5">
        <f>'NWC Schedule'!H19</f>
        <v>67.740368851725634</v>
      </c>
    </row>
    <row r="45" spans="2:7" ht="14" x14ac:dyDescent="0.3">
      <c r="B45" s="4" t="s">
        <v>98</v>
      </c>
      <c r="C45" s="20">
        <f>C41+C42-C43-C44</f>
        <v>776.39929227397192</v>
      </c>
      <c r="D45" s="20">
        <f>D41+D42-D43-D44</f>
        <v>597.55798746958885</v>
      </c>
      <c r="E45" s="20">
        <f>E41+E42-E43-E44</f>
        <v>655.99196113183496</v>
      </c>
      <c r="F45" s="20">
        <f>F41+F42-F43-F44</f>
        <v>761.00852463759043</v>
      </c>
      <c r="G45" s="20">
        <f>G41+G42-G43-G44</f>
        <v>890.08503971098844</v>
      </c>
    </row>
    <row r="46" spans="2:7" ht="14" x14ac:dyDescent="0.3">
      <c r="B46" s="4" t="s">
        <v>99</v>
      </c>
      <c r="C46" s="21">
        <f>1/(1+C26)^(C19+0)</f>
        <v>0.89490255555275577</v>
      </c>
      <c r="D46" s="21">
        <f>1/(1+C26)^(C19+1)</f>
        <v>0.8008505839348532</v>
      </c>
      <c r="E46" s="21">
        <f>1/(1+C26)^(C19+2)</f>
        <v>0.71668323417921687</v>
      </c>
      <c r="F46" s="21">
        <f>1/(1+C26)^(C19+3)</f>
        <v>0.64136165778879539</v>
      </c>
      <c r="G46" s="21">
        <f>1/(1+C26)^(C19+4)</f>
        <v>0.57395618658874503</v>
      </c>
    </row>
    <row r="47" spans="2:7" ht="14" x14ac:dyDescent="0.3">
      <c r="B47" s="4" t="s">
        <v>100</v>
      </c>
      <c r="C47" s="19">
        <f>C45*C46</f>
        <v>694.8017107853284</v>
      </c>
      <c r="D47" s="19">
        <f>D45*D46</f>
        <v>478.55466319995594</v>
      </c>
      <c r="E47" s="19">
        <f>E45*E46</f>
        <v>470.1384402995306</v>
      </c>
      <c r="F47" s="19">
        <f>F45*F46</f>
        <v>488.08168895297035</v>
      </c>
      <c r="G47" s="19">
        <f>G45*G46</f>
        <v>510.86981513221059</v>
      </c>
    </row>
    <row r="49" spans="2:7" ht="14" x14ac:dyDescent="0.3">
      <c r="B49" s="22" t="s">
        <v>101</v>
      </c>
      <c r="C49" s="23"/>
      <c r="D49" s="23"/>
      <c r="E49" s="23"/>
      <c r="F49" s="23"/>
      <c r="G49" s="23"/>
    </row>
    <row r="50" spans="2:7" ht="14" x14ac:dyDescent="0.3">
      <c r="B50" s="4" t="s">
        <v>102</v>
      </c>
      <c r="C50" s="5">
        <f>SUM(C47:G47)</f>
        <v>2642.4463183699959</v>
      </c>
    </row>
    <row r="51" spans="2:7" ht="14" x14ac:dyDescent="0.3">
      <c r="B51" s="4" t="s">
        <v>103</v>
      </c>
      <c r="C51" s="5">
        <f>G45*(1+C13)/(C26-C13)</f>
        <v>8367.3218939736107</v>
      </c>
    </row>
    <row r="52" spans="2:7" ht="14" x14ac:dyDescent="0.3">
      <c r="B52" s="4" t="s">
        <v>104</v>
      </c>
      <c r="C52" s="5">
        <f>C51*G46</f>
        <v>4802.4761662256096</v>
      </c>
    </row>
    <row r="53" spans="2:7" ht="14" x14ac:dyDescent="0.3">
      <c r="B53" s="4" t="s">
        <v>105</v>
      </c>
      <c r="C53" s="5">
        <f>C50+C52</f>
        <v>7444.9224845956051</v>
      </c>
    </row>
    <row r="54" spans="2:7" ht="14" x14ac:dyDescent="0.3">
      <c r="B54" s="4" t="s">
        <v>106</v>
      </c>
      <c r="C54" s="5">
        <f>C53-C16</f>
        <v>2243.9224845956051</v>
      </c>
    </row>
    <row r="55" spans="2:7" ht="14" x14ac:dyDescent="0.3">
      <c r="B55" s="4" t="s">
        <v>107</v>
      </c>
      <c r="C55" s="24">
        <f>ROUND(C54*1000000/C15,0)</f>
        <v>193</v>
      </c>
    </row>
    <row r="57" spans="2:7" ht="14" x14ac:dyDescent="0.3">
      <c r="B57" s="22" t="s">
        <v>108</v>
      </c>
      <c r="C57" s="23"/>
      <c r="D57" s="23"/>
      <c r="E57" s="23"/>
      <c r="F57" s="23"/>
      <c r="G57" s="23"/>
    </row>
    <row r="58" spans="2:7" ht="14" x14ac:dyDescent="0.3">
      <c r="B58" s="4" t="s">
        <v>102</v>
      </c>
      <c r="C58" s="5">
        <f>C50</f>
        <v>2642.4463183699959</v>
      </c>
    </row>
    <row r="59" spans="2:7" ht="14" x14ac:dyDescent="0.3">
      <c r="B59" s="4" t="s">
        <v>109</v>
      </c>
      <c r="C59" s="5">
        <f>G39+G42</f>
        <v>2209.2519506803205</v>
      </c>
    </row>
    <row r="60" spans="2:7" ht="14" x14ac:dyDescent="0.3">
      <c r="B60" s="4" t="s">
        <v>110</v>
      </c>
      <c r="C60" s="5">
        <f>C59*C14</f>
        <v>22092.519506803204</v>
      </c>
    </row>
    <row r="61" spans="2:7" ht="14" x14ac:dyDescent="0.3">
      <c r="B61" s="4" t="s">
        <v>104</v>
      </c>
      <c r="C61" s="5">
        <f>C60*G46</f>
        <v>12680.13824826223</v>
      </c>
    </row>
    <row r="62" spans="2:7" ht="14" x14ac:dyDescent="0.3">
      <c r="B62" s="4" t="s">
        <v>105</v>
      </c>
      <c r="C62" s="5">
        <f>C58+C61</f>
        <v>15322.584566632226</v>
      </c>
    </row>
    <row r="63" spans="2:7" ht="14" x14ac:dyDescent="0.3">
      <c r="B63" s="4" t="s">
        <v>106</v>
      </c>
      <c r="C63" s="5">
        <f>C62-C16</f>
        <v>10121.584566632226</v>
      </c>
    </row>
    <row r="64" spans="2:7" ht="14" x14ac:dyDescent="0.3">
      <c r="B64" s="4" t="s">
        <v>111</v>
      </c>
      <c r="C64" s="24">
        <f>ROUND(C63*1000000/C15,0)</f>
        <v>871</v>
      </c>
    </row>
    <row r="66" spans="2:7" ht="14" x14ac:dyDescent="0.3">
      <c r="B66" s="22" t="s">
        <v>112</v>
      </c>
      <c r="C66" s="23"/>
      <c r="D66" s="23"/>
      <c r="E66" s="23"/>
      <c r="F66" s="23"/>
      <c r="G66" s="23"/>
    </row>
    <row r="67" spans="2:7" ht="14" x14ac:dyDescent="0.3">
      <c r="C67" s="25" t="s">
        <v>113</v>
      </c>
      <c r="D67" s="25" t="s">
        <v>114</v>
      </c>
      <c r="E67" s="25" t="s">
        <v>115</v>
      </c>
      <c r="F67" s="25" t="s">
        <v>116</v>
      </c>
      <c r="G67" s="25" t="s">
        <v>117</v>
      </c>
    </row>
    <row r="68" spans="2:7" ht="14" x14ac:dyDescent="0.3">
      <c r="B68" s="3" t="s">
        <v>44</v>
      </c>
    </row>
    <row r="69" spans="2:7" ht="14" x14ac:dyDescent="0.3">
      <c r="B69" s="4" t="s">
        <v>81</v>
      </c>
      <c r="C69" s="26">
        <v>-0.02</v>
      </c>
      <c r="D69" s="26">
        <v>0.06</v>
      </c>
      <c r="E69" s="26">
        <v>0.06</v>
      </c>
      <c r="F69" s="26">
        <v>0.05</v>
      </c>
      <c r="G69" s="26">
        <v>0.04</v>
      </c>
    </row>
    <row r="70" spans="2:7" ht="14" x14ac:dyDescent="0.3">
      <c r="B70" s="4" t="s">
        <v>118</v>
      </c>
      <c r="C70" s="26">
        <v>0.03</v>
      </c>
      <c r="D70" s="26">
        <v>0.12</v>
      </c>
      <c r="E70" s="26">
        <v>0.1</v>
      </c>
      <c r="F70" s="26">
        <v>0.08</v>
      </c>
      <c r="G70" s="26">
        <v>0.06</v>
      </c>
    </row>
    <row r="71" spans="2:7" ht="14" x14ac:dyDescent="0.3">
      <c r="B71" s="4" t="s">
        <v>119</v>
      </c>
      <c r="C71" s="26">
        <v>-2.1000000000000001E-2</v>
      </c>
      <c r="D71" s="26">
        <v>0.08</v>
      </c>
      <c r="E71" s="26">
        <v>0.08</v>
      </c>
      <c r="F71" s="26">
        <v>0.06</v>
      </c>
      <c r="G71" s="26">
        <v>0.05</v>
      </c>
    </row>
    <row r="72" spans="2:7" ht="14" x14ac:dyDescent="0.3">
      <c r="B72" s="4" t="s">
        <v>120</v>
      </c>
      <c r="C72" s="26">
        <v>-0.05</v>
      </c>
      <c r="D72" s="26">
        <v>-0.1</v>
      </c>
      <c r="E72" s="26">
        <v>0.03</v>
      </c>
      <c r="F72" s="26">
        <v>0.05</v>
      </c>
      <c r="G72" s="26">
        <v>0.04</v>
      </c>
    </row>
    <row r="73" spans="2:7" ht="14" x14ac:dyDescent="0.3">
      <c r="B73" s="4" t="s">
        <v>121</v>
      </c>
      <c r="C73" s="26">
        <v>-0.08</v>
      </c>
      <c r="D73" s="26">
        <v>-0.15</v>
      </c>
      <c r="E73" s="26">
        <v>0</v>
      </c>
      <c r="F73" s="26">
        <v>0.03</v>
      </c>
      <c r="G73" s="26">
        <v>0.03</v>
      </c>
    </row>
    <row r="75" spans="2:7" ht="14" x14ac:dyDescent="0.3">
      <c r="B75" s="3" t="s">
        <v>88</v>
      </c>
    </row>
    <row r="76" spans="2:7" ht="14" x14ac:dyDescent="0.3">
      <c r="B76" s="4" t="s">
        <v>81</v>
      </c>
      <c r="C76" s="26">
        <v>0.64</v>
      </c>
      <c r="D76" s="26">
        <v>0.63500000000000001</v>
      </c>
      <c r="E76" s="26">
        <v>0.63</v>
      </c>
      <c r="F76" s="26">
        <v>0.626</v>
      </c>
      <c r="G76" s="26">
        <v>0.622</v>
      </c>
    </row>
    <row r="77" spans="2:7" ht="14" x14ac:dyDescent="0.3">
      <c r="B77" s="4" t="s">
        <v>118</v>
      </c>
      <c r="C77" s="26">
        <v>0.63</v>
      </c>
      <c r="D77" s="26">
        <v>0.61799999999999999</v>
      </c>
      <c r="E77" s="26">
        <v>0.61</v>
      </c>
      <c r="F77" s="26">
        <v>0.60499999999999998</v>
      </c>
      <c r="G77" s="26">
        <v>0.60499999999999998</v>
      </c>
    </row>
    <row r="78" spans="2:7" ht="14" x14ac:dyDescent="0.3">
      <c r="B78" s="4" t="s">
        <v>119</v>
      </c>
      <c r="C78" s="26">
        <v>0.63800000000000001</v>
      </c>
      <c r="D78" s="26">
        <v>0.63200000000000001</v>
      </c>
      <c r="E78" s="26">
        <v>0.627</v>
      </c>
      <c r="F78" s="26">
        <v>0.622</v>
      </c>
      <c r="G78" s="26">
        <v>0.61799999999999999</v>
      </c>
    </row>
    <row r="79" spans="2:7" ht="14" x14ac:dyDescent="0.3">
      <c r="B79" s="4" t="s">
        <v>120</v>
      </c>
      <c r="C79" s="26">
        <v>0.65</v>
      </c>
      <c r="D79" s="26">
        <v>0.68</v>
      </c>
      <c r="E79" s="26">
        <v>0.66500000000000004</v>
      </c>
      <c r="F79" s="26">
        <v>0.65</v>
      </c>
      <c r="G79" s="26">
        <v>0.64200000000000002</v>
      </c>
    </row>
    <row r="80" spans="2:7" ht="14" x14ac:dyDescent="0.3">
      <c r="B80" s="4" t="s">
        <v>121</v>
      </c>
      <c r="C80" s="26">
        <v>0.66</v>
      </c>
      <c r="D80" s="26">
        <v>0.71</v>
      </c>
      <c r="E80" s="26">
        <v>0.69499999999999995</v>
      </c>
      <c r="F80" s="26">
        <v>0.67500000000000004</v>
      </c>
      <c r="G80" s="26">
        <v>0.66</v>
      </c>
    </row>
    <row r="82" spans="2:7" ht="14" x14ac:dyDescent="0.3">
      <c r="B82" s="3" t="s">
        <v>89</v>
      </c>
    </row>
    <row r="83" spans="2:7" ht="14" x14ac:dyDescent="0.3">
      <c r="B83" s="4" t="s">
        <v>81</v>
      </c>
      <c r="C83" s="26">
        <v>0.27</v>
      </c>
      <c r="D83" s="26">
        <v>0.27</v>
      </c>
      <c r="E83" s="26">
        <v>0.27</v>
      </c>
      <c r="F83" s="26">
        <v>0.26900000000000002</v>
      </c>
      <c r="G83" s="26">
        <v>0.26800000000000002</v>
      </c>
    </row>
    <row r="84" spans="2:7" ht="14" x14ac:dyDescent="0.3">
      <c r="B84" s="4" t="s">
        <v>118</v>
      </c>
      <c r="C84" s="26">
        <v>0.26</v>
      </c>
      <c r="D84" s="26">
        <v>0.25700000000000001</v>
      </c>
      <c r="E84" s="26">
        <v>0.255</v>
      </c>
      <c r="F84" s="26">
        <v>0.255</v>
      </c>
      <c r="G84" s="26">
        <v>0.255</v>
      </c>
    </row>
    <row r="85" spans="2:7" ht="14" x14ac:dyDescent="0.3">
      <c r="B85" s="4" t="s">
        <v>119</v>
      </c>
      <c r="C85" s="26">
        <v>0.26700000000000002</v>
      </c>
      <c r="D85" s="26">
        <v>0.26300000000000001</v>
      </c>
      <c r="E85" s="26">
        <v>0.26300000000000001</v>
      </c>
      <c r="F85" s="26">
        <v>0.26300000000000001</v>
      </c>
      <c r="G85" s="26">
        <v>0.26200000000000001</v>
      </c>
    </row>
    <row r="86" spans="2:7" ht="14" x14ac:dyDescent="0.3">
      <c r="B86" s="4" t="s">
        <v>120</v>
      </c>
      <c r="C86" s="26">
        <v>0.28000000000000003</v>
      </c>
      <c r="D86" s="26">
        <v>0.28999999999999998</v>
      </c>
      <c r="E86" s="26">
        <v>0.28499999999999998</v>
      </c>
      <c r="F86" s="26">
        <v>0.28000000000000003</v>
      </c>
      <c r="G86" s="26">
        <v>0.27800000000000002</v>
      </c>
    </row>
    <row r="87" spans="2:7" ht="14" x14ac:dyDescent="0.3">
      <c r="B87" s="4" t="s">
        <v>121</v>
      </c>
      <c r="C87" s="26">
        <v>0.28999999999999998</v>
      </c>
      <c r="D87" s="26">
        <v>0.32</v>
      </c>
      <c r="E87" s="26">
        <v>0.29499999999999998</v>
      </c>
      <c r="F87" s="26">
        <v>0.28499999999999998</v>
      </c>
      <c r="G87" s="26">
        <v>0.28000000000000003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122</v>
      </c>
    </row>
    <row r="4" spans="2:8" ht="14" x14ac:dyDescent="0.3">
      <c r="B4" s="8" t="s">
        <v>123</v>
      </c>
      <c r="C4" s="27" t="s">
        <v>124</v>
      </c>
      <c r="D4" s="27" t="s">
        <v>83</v>
      </c>
      <c r="E4" s="27" t="s">
        <v>84</v>
      </c>
      <c r="F4" s="27" t="s">
        <v>85</v>
      </c>
      <c r="G4" s="27" t="s">
        <v>86</v>
      </c>
      <c r="H4" s="27" t="s">
        <v>87</v>
      </c>
    </row>
    <row r="5" spans="2:8" ht="14" x14ac:dyDescent="0.3">
      <c r="B5" s="28" t="s">
        <v>125</v>
      </c>
      <c r="C5" s="29">
        <f>C12/C9*365</f>
        <v>48.024402390438254</v>
      </c>
      <c r="D5" s="29">
        <f>CHOOSE('DCF Model'!$D$27,D25,D26,D27,D28,D29)</f>
        <v>48</v>
      </c>
      <c r="E5" s="29">
        <f>CHOOSE('DCF Model'!$D$27,E25,E26,E27,E28,E29)</f>
        <v>48</v>
      </c>
      <c r="F5" s="29">
        <f>CHOOSE('DCF Model'!$D$27,F25,F26,F27,F28,F29)</f>
        <v>48</v>
      </c>
      <c r="G5" s="29">
        <f>CHOOSE('DCF Model'!$D$27,G25,G26,G27,G28,G29)</f>
        <v>48</v>
      </c>
      <c r="H5" s="29">
        <f>CHOOSE('DCF Model'!$D$27,H25,H26,H27,H28,H29)</f>
        <v>48</v>
      </c>
    </row>
    <row r="6" spans="2:8" ht="14" x14ac:dyDescent="0.3">
      <c r="B6" s="28" t="s">
        <v>126</v>
      </c>
      <c r="C6" s="29">
        <f>C13/C10*365</f>
        <v>154.89888920535461</v>
      </c>
      <c r="D6" s="29">
        <f>CHOOSE('DCF Model'!$D$27,D32,D33,D34,D35,D36)</f>
        <v>155</v>
      </c>
      <c r="E6" s="29">
        <f>CHOOSE('DCF Model'!$D$27,E32,E33,E34,E35,E36)</f>
        <v>152</v>
      </c>
      <c r="F6" s="29">
        <f>CHOOSE('DCF Model'!$D$27,F32,F33,F34,F35,F36)</f>
        <v>150</v>
      </c>
      <c r="G6" s="29">
        <f>CHOOSE('DCF Model'!$D$27,G32,G33,G34,G35,G36)</f>
        <v>148</v>
      </c>
      <c r="H6" s="29">
        <f>CHOOSE('DCF Model'!$D$27,H32,H33,H34,H35,H36)</f>
        <v>145</v>
      </c>
    </row>
    <row r="7" spans="2:8" ht="14" x14ac:dyDescent="0.3">
      <c r="B7" s="28" t="s">
        <v>127</v>
      </c>
      <c r="C7" s="29">
        <f>C15/C10*365</f>
        <v>45.304231812798875</v>
      </c>
      <c r="D7" s="29">
        <f>CHOOSE('DCF Model'!$D$27,D39,D40,D41,D42,D43)</f>
        <v>45</v>
      </c>
      <c r="E7" s="29">
        <f>CHOOSE('DCF Model'!$D$27,E39,E40,E41,E42,E43)</f>
        <v>45</v>
      </c>
      <c r="F7" s="29">
        <f>CHOOSE('DCF Model'!$D$27,F39,F40,F41,F42,F43)</f>
        <v>45</v>
      </c>
      <c r="G7" s="29">
        <f>CHOOSE('DCF Model'!$D$27,G39,G40,G41,G42,G43)</f>
        <v>45</v>
      </c>
      <c r="H7" s="29">
        <f>CHOOSE('DCF Model'!$D$27,H39,H40,H41,H42,H43)</f>
        <v>45</v>
      </c>
    </row>
    <row r="8" spans="2:8" ht="14" x14ac:dyDescent="0.3">
      <c r="B8" s="8" t="s">
        <v>128</v>
      </c>
      <c r="C8" s="9"/>
      <c r="D8" s="9"/>
      <c r="E8" s="9"/>
      <c r="F8" s="9"/>
      <c r="G8" s="9"/>
      <c r="H8" s="9"/>
    </row>
    <row r="9" spans="2:8" ht="14" x14ac:dyDescent="0.3">
      <c r="B9" s="28" t="s">
        <v>35</v>
      </c>
      <c r="C9" s="30">
        <v>10040</v>
      </c>
      <c r="D9" s="30">
        <f>'DCF Model'!C33</f>
        <v>9839.2000000000007</v>
      </c>
      <c r="E9" s="30">
        <f>'DCF Model'!D33</f>
        <v>10429.552000000001</v>
      </c>
      <c r="F9" s="30">
        <f>'DCF Model'!E33</f>
        <v>11055.325120000001</v>
      </c>
      <c r="G9" s="30">
        <f>'DCF Model'!F33</f>
        <v>11608.091376000002</v>
      </c>
      <c r="H9" s="30">
        <f>'DCF Model'!G33</f>
        <v>12072.415031040002</v>
      </c>
    </row>
    <row r="10" spans="2:8" ht="14" x14ac:dyDescent="0.3">
      <c r="B10" s="28" t="s">
        <v>36</v>
      </c>
      <c r="C10" s="30">
        <v>6670.9</v>
      </c>
      <c r="D10" s="30">
        <f>'DCF Model'!C34</f>
        <v>6297.0880000000006</v>
      </c>
      <c r="E10" s="30">
        <f>'DCF Model'!D34</f>
        <v>6622.7655200000008</v>
      </c>
      <c r="F10" s="30">
        <f>'DCF Model'!E34</f>
        <v>6964.8548256000013</v>
      </c>
      <c r="G10" s="30">
        <f>'DCF Model'!F34</f>
        <v>7266.6652013760013</v>
      </c>
      <c r="H10" s="30">
        <f>'DCF Model'!G34</f>
        <v>7509.0421493068807</v>
      </c>
    </row>
    <row r="11" spans="2:8" ht="14" x14ac:dyDescent="0.3">
      <c r="B11" s="8" t="s">
        <v>129</v>
      </c>
      <c r="C11" s="9"/>
      <c r="D11" s="9"/>
      <c r="E11" s="9"/>
      <c r="F11" s="9"/>
      <c r="G11" s="9"/>
      <c r="H11" s="9"/>
    </row>
    <row r="12" spans="2:8" ht="14" x14ac:dyDescent="0.3">
      <c r="B12" s="28" t="s">
        <v>130</v>
      </c>
      <c r="C12" s="30">
        <v>1321</v>
      </c>
      <c r="D12" s="30">
        <f t="shared" ref="D12:H13" si="0">D9*D5/365</f>
        <v>1293.922191780822</v>
      </c>
      <c r="E12" s="30">
        <f t="shared" si="0"/>
        <v>1371.5575232876713</v>
      </c>
      <c r="F12" s="30">
        <f t="shared" si="0"/>
        <v>1453.8509746849318</v>
      </c>
      <c r="G12" s="30">
        <f t="shared" si="0"/>
        <v>1526.5435234191782</v>
      </c>
      <c r="H12" s="30">
        <f t="shared" si="0"/>
        <v>1587.6052643559456</v>
      </c>
    </row>
    <row r="13" spans="2:8" ht="14" x14ac:dyDescent="0.3">
      <c r="B13" s="28" t="s">
        <v>131</v>
      </c>
      <c r="C13" s="30">
        <v>2831</v>
      </c>
      <c r="D13" s="30">
        <f t="shared" si="0"/>
        <v>2674.105863013699</v>
      </c>
      <c r="E13" s="30">
        <f t="shared" si="0"/>
        <v>2757.9735864109593</v>
      </c>
      <c r="F13" s="30">
        <f t="shared" si="0"/>
        <v>2862.2691064109595</v>
      </c>
      <c r="G13" s="30">
        <f t="shared" si="0"/>
        <v>2946.4834241195845</v>
      </c>
      <c r="H13" s="30">
        <f t="shared" si="0"/>
        <v>2983.0441415054729</v>
      </c>
    </row>
    <row r="14" spans="2:8" ht="14" x14ac:dyDescent="0.3">
      <c r="B14" s="28" t="s">
        <v>132</v>
      </c>
      <c r="C14" s="30">
        <f t="shared" ref="C14:H14" si="1">C12+C13</f>
        <v>4152</v>
      </c>
      <c r="D14" s="30">
        <f t="shared" si="1"/>
        <v>3968.0280547945213</v>
      </c>
      <c r="E14" s="30">
        <f t="shared" si="1"/>
        <v>4129.5311096986306</v>
      </c>
      <c r="F14" s="30">
        <f t="shared" si="1"/>
        <v>4316.1200810958908</v>
      </c>
      <c r="G14" s="30">
        <f t="shared" si="1"/>
        <v>4473.0269475387631</v>
      </c>
      <c r="H14" s="30">
        <f t="shared" si="1"/>
        <v>4570.6494058614189</v>
      </c>
    </row>
    <row r="15" spans="2:8" ht="14" x14ac:dyDescent="0.3">
      <c r="B15" s="28" t="s">
        <v>133</v>
      </c>
      <c r="C15" s="30">
        <v>828</v>
      </c>
      <c r="D15" s="30">
        <f>D10*D7/365</f>
        <v>776.3533150684932</v>
      </c>
      <c r="E15" s="30">
        <f>E10*E7/365</f>
        <v>816.50533808219188</v>
      </c>
      <c r="F15" s="30">
        <f>F10*F7/365</f>
        <v>858.68073192328779</v>
      </c>
      <c r="G15" s="30">
        <f>G10*G7/365</f>
        <v>895.8902303066302</v>
      </c>
      <c r="H15" s="30">
        <f>H10*H7/365</f>
        <v>925.7723197775606</v>
      </c>
    </row>
    <row r="16" spans="2:8" ht="14" x14ac:dyDescent="0.3">
      <c r="B16" s="28" t="s">
        <v>134</v>
      </c>
      <c r="C16" s="30">
        <f t="shared" ref="C16:H16" si="2">C15</f>
        <v>828</v>
      </c>
      <c r="D16" s="30">
        <f t="shared" si="2"/>
        <v>776.3533150684932</v>
      </c>
      <c r="E16" s="30">
        <f t="shared" si="2"/>
        <v>816.50533808219188</v>
      </c>
      <c r="F16" s="30">
        <f t="shared" si="2"/>
        <v>858.68073192328779</v>
      </c>
      <c r="G16" s="30">
        <f t="shared" si="2"/>
        <v>895.8902303066302</v>
      </c>
      <c r="H16" s="30">
        <f t="shared" si="2"/>
        <v>925.7723197775606</v>
      </c>
    </row>
    <row r="17" spans="2:8" ht="14" x14ac:dyDescent="0.3">
      <c r="B17" s="22" t="s">
        <v>135</v>
      </c>
      <c r="C17" s="23"/>
      <c r="D17" s="23"/>
      <c r="E17" s="23"/>
      <c r="F17" s="23"/>
      <c r="G17" s="23"/>
      <c r="H17" s="23"/>
    </row>
    <row r="18" spans="2:8" ht="14" x14ac:dyDescent="0.3">
      <c r="B18" s="28" t="s">
        <v>136</v>
      </c>
      <c r="C18" s="20">
        <f t="shared" ref="C18:H18" si="3">C14-C16</f>
        <v>3324</v>
      </c>
      <c r="D18" s="20">
        <f t="shared" si="3"/>
        <v>3191.6747397260278</v>
      </c>
      <c r="E18" s="20">
        <f t="shared" si="3"/>
        <v>3313.0257716164388</v>
      </c>
      <c r="F18" s="20">
        <f t="shared" si="3"/>
        <v>3457.4393491726032</v>
      </c>
      <c r="G18" s="20">
        <f t="shared" si="3"/>
        <v>3577.1367172321329</v>
      </c>
      <c r="H18" s="20">
        <f t="shared" si="3"/>
        <v>3644.8770860838586</v>
      </c>
    </row>
    <row r="19" spans="2:8" ht="14" x14ac:dyDescent="0.3">
      <c r="B19" s="28" t="s">
        <v>97</v>
      </c>
      <c r="C19" s="31" t="s">
        <v>45</v>
      </c>
      <c r="D19" s="24">
        <f>D18-C18</f>
        <v>-132.32526027397216</v>
      </c>
      <c r="E19" s="24">
        <f>E18-D18</f>
        <v>121.35103189041092</v>
      </c>
      <c r="F19" s="24">
        <f>F18-E18</f>
        <v>144.41357755616446</v>
      </c>
      <c r="G19" s="24">
        <f>G18-F18</f>
        <v>119.69736805952971</v>
      </c>
      <c r="H19" s="24">
        <f>H18-G18</f>
        <v>67.740368851725634</v>
      </c>
    </row>
    <row r="22" spans="2:8" ht="14" x14ac:dyDescent="0.3">
      <c r="B22" s="22" t="s">
        <v>137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83</v>
      </c>
      <c r="E23" s="25" t="s">
        <v>84</v>
      </c>
      <c r="F23" s="25" t="s">
        <v>85</v>
      </c>
      <c r="G23" s="25" t="s">
        <v>86</v>
      </c>
      <c r="H23" s="25" t="s">
        <v>87</v>
      </c>
    </row>
    <row r="24" spans="2:8" ht="14" x14ac:dyDescent="0.3">
      <c r="B24" s="3" t="s">
        <v>138</v>
      </c>
    </row>
    <row r="25" spans="2:8" ht="14" x14ac:dyDescent="0.3">
      <c r="B25" s="4" t="s">
        <v>81</v>
      </c>
      <c r="D25" s="32">
        <v>48</v>
      </c>
      <c r="E25" s="32">
        <v>48</v>
      </c>
      <c r="F25" s="32">
        <v>48</v>
      </c>
      <c r="G25" s="32">
        <v>48</v>
      </c>
      <c r="H25" s="32">
        <v>48</v>
      </c>
    </row>
    <row r="26" spans="2:8" ht="14" x14ac:dyDescent="0.3">
      <c r="B26" s="4" t="s">
        <v>118</v>
      </c>
      <c r="D26" s="32">
        <v>46</v>
      </c>
      <c r="E26" s="32">
        <v>45</v>
      </c>
      <c r="F26" s="32">
        <v>45</v>
      </c>
      <c r="G26" s="32">
        <v>44</v>
      </c>
      <c r="H26" s="32">
        <v>44</v>
      </c>
    </row>
    <row r="27" spans="2:8" ht="14" x14ac:dyDescent="0.3">
      <c r="B27" s="4" t="s">
        <v>119</v>
      </c>
      <c r="D27" s="32">
        <v>48</v>
      </c>
      <c r="E27" s="32">
        <v>48</v>
      </c>
      <c r="F27" s="32">
        <v>48</v>
      </c>
      <c r="G27" s="32">
        <v>48</v>
      </c>
      <c r="H27" s="32">
        <v>48</v>
      </c>
    </row>
    <row r="28" spans="2:8" ht="14" x14ac:dyDescent="0.3">
      <c r="B28" s="4" t="s">
        <v>120</v>
      </c>
      <c r="D28" s="32">
        <v>50</v>
      </c>
      <c r="E28" s="32">
        <v>52</v>
      </c>
      <c r="F28" s="32">
        <v>52</v>
      </c>
      <c r="G28" s="32">
        <v>51</v>
      </c>
      <c r="H28" s="32">
        <v>50</v>
      </c>
    </row>
    <row r="29" spans="2:8" ht="14" x14ac:dyDescent="0.3">
      <c r="B29" s="4" t="s">
        <v>121</v>
      </c>
      <c r="D29" s="32">
        <v>52</v>
      </c>
      <c r="E29" s="32">
        <v>55</v>
      </c>
      <c r="F29" s="32">
        <v>55</v>
      </c>
      <c r="G29" s="32">
        <v>54</v>
      </c>
      <c r="H29" s="32">
        <v>53</v>
      </c>
    </row>
    <row r="31" spans="2:8" ht="14" x14ac:dyDescent="0.3">
      <c r="B31" s="3" t="s">
        <v>139</v>
      </c>
    </row>
    <row r="32" spans="2:8" ht="14" x14ac:dyDescent="0.3">
      <c r="B32" s="4" t="s">
        <v>81</v>
      </c>
      <c r="D32" s="32">
        <v>155</v>
      </c>
      <c r="E32" s="32">
        <v>152</v>
      </c>
      <c r="F32" s="32">
        <v>150</v>
      </c>
      <c r="G32" s="32">
        <v>148</v>
      </c>
      <c r="H32" s="32">
        <v>145</v>
      </c>
    </row>
    <row r="33" spans="2:8" ht="14" x14ac:dyDescent="0.3">
      <c r="B33" s="4" t="s">
        <v>118</v>
      </c>
      <c r="D33" s="32">
        <v>150</v>
      </c>
      <c r="E33" s="32">
        <v>145</v>
      </c>
      <c r="F33" s="32">
        <v>140</v>
      </c>
      <c r="G33" s="32">
        <v>136</v>
      </c>
      <c r="H33" s="32">
        <v>132</v>
      </c>
    </row>
    <row r="34" spans="2:8" ht="14" x14ac:dyDescent="0.3">
      <c r="B34" s="4" t="s">
        <v>119</v>
      </c>
      <c r="D34" s="32">
        <v>155</v>
      </c>
      <c r="E34" s="32">
        <v>152</v>
      </c>
      <c r="F34" s="32">
        <v>150</v>
      </c>
      <c r="G34" s="32">
        <v>148</v>
      </c>
      <c r="H34" s="32">
        <v>145</v>
      </c>
    </row>
    <row r="35" spans="2:8" ht="14" x14ac:dyDescent="0.3">
      <c r="B35" s="4" t="s">
        <v>120</v>
      </c>
      <c r="D35" s="32">
        <v>160</v>
      </c>
      <c r="E35" s="32">
        <v>168</v>
      </c>
      <c r="F35" s="32">
        <v>165</v>
      </c>
      <c r="G35" s="32">
        <v>162</v>
      </c>
      <c r="H35" s="32">
        <v>158</v>
      </c>
    </row>
    <row r="36" spans="2:8" ht="14" x14ac:dyDescent="0.3">
      <c r="B36" s="4" t="s">
        <v>121</v>
      </c>
      <c r="D36" s="32">
        <v>165</v>
      </c>
      <c r="E36" s="32">
        <v>178</v>
      </c>
      <c r="F36" s="32">
        <v>175</v>
      </c>
      <c r="G36" s="32">
        <v>170</v>
      </c>
      <c r="H36" s="32">
        <v>165</v>
      </c>
    </row>
    <row r="38" spans="2:8" ht="14" x14ac:dyDescent="0.3">
      <c r="B38" s="3" t="s">
        <v>140</v>
      </c>
    </row>
    <row r="39" spans="2:8" ht="14" x14ac:dyDescent="0.3">
      <c r="B39" s="4" t="s">
        <v>81</v>
      </c>
      <c r="D39" s="32">
        <v>45</v>
      </c>
      <c r="E39" s="32">
        <v>45</v>
      </c>
      <c r="F39" s="32">
        <v>45</v>
      </c>
      <c r="G39" s="32">
        <v>45</v>
      </c>
      <c r="H39" s="32">
        <v>45</v>
      </c>
    </row>
    <row r="40" spans="2:8" ht="14" x14ac:dyDescent="0.3">
      <c r="B40" s="4" t="s">
        <v>118</v>
      </c>
      <c r="D40" s="32">
        <v>46</v>
      </c>
      <c r="E40" s="32">
        <v>46</v>
      </c>
      <c r="F40" s="32">
        <v>47</v>
      </c>
      <c r="G40" s="32">
        <v>47</v>
      </c>
      <c r="H40" s="32">
        <v>48</v>
      </c>
    </row>
    <row r="41" spans="2:8" ht="14" x14ac:dyDescent="0.3">
      <c r="B41" s="4" t="s">
        <v>119</v>
      </c>
      <c r="D41" s="32">
        <v>45</v>
      </c>
      <c r="E41" s="32">
        <v>45</v>
      </c>
      <c r="F41" s="32">
        <v>45</v>
      </c>
      <c r="G41" s="32">
        <v>45</v>
      </c>
      <c r="H41" s="32">
        <v>45</v>
      </c>
    </row>
    <row r="42" spans="2:8" ht="14" x14ac:dyDescent="0.3">
      <c r="B42" s="4" t="s">
        <v>120</v>
      </c>
      <c r="D42" s="32">
        <v>44</v>
      </c>
      <c r="E42" s="32">
        <v>43</v>
      </c>
      <c r="F42" s="32">
        <v>43</v>
      </c>
      <c r="G42" s="32">
        <v>44</v>
      </c>
      <c r="H42" s="32">
        <v>44</v>
      </c>
    </row>
    <row r="43" spans="2:8" ht="14" x14ac:dyDescent="0.3">
      <c r="B43" s="4" t="s">
        <v>121</v>
      </c>
      <c r="D43" s="32">
        <v>43</v>
      </c>
      <c r="E43" s="32">
        <v>42</v>
      </c>
      <c r="F43" s="32">
        <v>42</v>
      </c>
      <c r="G43" s="32">
        <v>43</v>
      </c>
      <c r="H43" s="32">
        <v>43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Q29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141</v>
      </c>
    </row>
    <row r="3" spans="2:17" ht="14" x14ac:dyDescent="0.3">
      <c r="B3" s="1" t="s">
        <v>142</v>
      </c>
    </row>
    <row r="4" spans="2:17" ht="28" x14ac:dyDescent="0.3">
      <c r="B4" s="10" t="s">
        <v>3</v>
      </c>
      <c r="C4" s="10" t="s">
        <v>5</v>
      </c>
      <c r="D4" s="10" t="s">
        <v>143</v>
      </c>
      <c r="E4" s="10" t="s">
        <v>144</v>
      </c>
      <c r="F4" s="10" t="s">
        <v>145</v>
      </c>
      <c r="G4" s="10" t="s">
        <v>146</v>
      </c>
      <c r="H4" s="10" t="s">
        <v>147</v>
      </c>
      <c r="I4" s="10" t="s">
        <v>148</v>
      </c>
      <c r="J4" s="10" t="s">
        <v>149</v>
      </c>
      <c r="K4" s="10" t="s">
        <v>150</v>
      </c>
      <c r="L4" s="10" t="s">
        <v>151</v>
      </c>
      <c r="M4" s="10" t="s">
        <v>152</v>
      </c>
      <c r="N4" s="10" t="s">
        <v>153</v>
      </c>
      <c r="O4" s="10" t="s">
        <v>154</v>
      </c>
      <c r="P4" s="10" t="s">
        <v>155</v>
      </c>
      <c r="Q4" s="10" t="s">
        <v>156</v>
      </c>
    </row>
    <row r="5" spans="2:17" ht="14" x14ac:dyDescent="0.3">
      <c r="B5" s="4" t="s">
        <v>157</v>
      </c>
      <c r="C5" t="s">
        <v>158</v>
      </c>
      <c r="D5" s="33">
        <f>'Executive Summary'!C9*C24/1000000</f>
        <v>38922.7857</v>
      </c>
      <c r="E5" s="33">
        <f>D5+C25</f>
        <v>44123.7857</v>
      </c>
      <c r="F5" s="33">
        <v>10040</v>
      </c>
      <c r="G5" s="33">
        <v>1427</v>
      </c>
      <c r="H5" s="33">
        <v>543</v>
      </c>
      <c r="I5" s="33">
        <v>-538</v>
      </c>
      <c r="J5" s="34">
        <f t="shared" ref="J5:J12" si="0">IFERROR(E5/G5,"")</f>
        <v>30.92066271899089</v>
      </c>
      <c r="K5" s="34">
        <f t="shared" ref="K5:K12" si="1">IFERROR(E5/F5,"")</f>
        <v>4.3947993725099606</v>
      </c>
      <c r="L5" s="35" t="s">
        <v>159</v>
      </c>
      <c r="M5" s="34">
        <f t="shared" ref="M5:M12" si="2">IFERROR(D5/P5,"")</f>
        <v>8.2902631948881798</v>
      </c>
      <c r="N5" s="36">
        <f t="shared" ref="N5:N12" si="3">IFERROR(H5/F5,"")</f>
        <v>5.408366533864542E-2</v>
      </c>
      <c r="O5" s="36">
        <f t="shared" ref="O5:O12" si="4">IFERROR(I5/P5,"")</f>
        <v>-0.11458998935037273</v>
      </c>
      <c r="P5" s="33">
        <v>4695</v>
      </c>
    </row>
    <row r="6" spans="2:17" ht="14" x14ac:dyDescent="0.3">
      <c r="B6" s="4" t="s">
        <v>160</v>
      </c>
      <c r="C6" t="s">
        <v>161</v>
      </c>
      <c r="D6" s="33">
        <v>3139762</v>
      </c>
      <c r="E6" s="33">
        <v>3058675</v>
      </c>
      <c r="F6" s="33">
        <v>251477</v>
      </c>
      <c r="G6" s="33">
        <v>127519</v>
      </c>
      <c r="H6" s="33">
        <v>122843</v>
      </c>
      <c r="I6" s="33">
        <v>84652</v>
      </c>
      <c r="J6" s="34">
        <f t="shared" si="0"/>
        <v>23.986033453838253</v>
      </c>
      <c r="K6" s="34">
        <f t="shared" si="1"/>
        <v>12.16284192987828</v>
      </c>
      <c r="L6" s="34">
        <f t="shared" ref="L6:L12" si="5">IFERROR(D6/I6,"")</f>
        <v>37.090228228512025</v>
      </c>
      <c r="M6" s="34">
        <f t="shared" si="2"/>
        <v>14.95851318259345</v>
      </c>
      <c r="N6" s="36">
        <f t="shared" si="3"/>
        <v>0.48848602456685902</v>
      </c>
      <c r="O6" s="36">
        <f t="shared" si="4"/>
        <v>0.40330065079228961</v>
      </c>
      <c r="P6" s="33">
        <v>209898</v>
      </c>
    </row>
    <row r="7" spans="2:17" ht="14" x14ac:dyDescent="0.3">
      <c r="B7" s="4" t="s">
        <v>162</v>
      </c>
      <c r="C7" t="s">
        <v>163</v>
      </c>
      <c r="D7" s="33">
        <v>681996</v>
      </c>
      <c r="E7" s="33">
        <v>662433</v>
      </c>
      <c r="F7" s="33">
        <v>212051</v>
      </c>
      <c r="G7" s="33">
        <v>38525</v>
      </c>
      <c r="H7" s="33">
        <v>16168</v>
      </c>
      <c r="I7" s="33">
        <v>14203</v>
      </c>
      <c r="J7" s="34">
        <f t="shared" si="0"/>
        <v>17.194886437378326</v>
      </c>
      <c r="K7" s="34">
        <f t="shared" si="1"/>
        <v>3.123932450212449</v>
      </c>
      <c r="L7" s="34">
        <f t="shared" si="5"/>
        <v>48.017742730409068</v>
      </c>
      <c r="M7" s="34">
        <f t="shared" si="2"/>
        <v>2.1211619805921873</v>
      </c>
      <c r="N7" s="36">
        <f t="shared" si="3"/>
        <v>7.6245808791281344E-2</v>
      </c>
      <c r="O7" s="36">
        <f t="shared" si="4"/>
        <v>4.4174545906942024E-2</v>
      </c>
      <c r="P7" s="33">
        <v>321520</v>
      </c>
    </row>
    <row r="8" spans="2:17" ht="14" x14ac:dyDescent="0.3">
      <c r="B8" s="4" t="s">
        <v>164</v>
      </c>
      <c r="C8" t="s">
        <v>165</v>
      </c>
      <c r="D8" s="33">
        <v>467017</v>
      </c>
      <c r="E8" s="33">
        <v>544229</v>
      </c>
      <c r="F8" s="33">
        <v>288933</v>
      </c>
      <c r="G8" s="33">
        <v>55172</v>
      </c>
      <c r="H8" s="33">
        <v>27562</v>
      </c>
      <c r="I8" s="33">
        <v>14886</v>
      </c>
      <c r="J8" s="34">
        <f t="shared" si="0"/>
        <v>9.8642246066845498</v>
      </c>
      <c r="K8" s="34">
        <f t="shared" si="1"/>
        <v>1.8835820069012539</v>
      </c>
      <c r="L8" s="34">
        <f t="shared" si="5"/>
        <v>31.372900712078462</v>
      </c>
      <c r="M8" s="34">
        <f t="shared" si="2"/>
        <v>1.7983288087949325</v>
      </c>
      <c r="N8" s="36">
        <f t="shared" si="3"/>
        <v>9.5392357397735814E-2</v>
      </c>
      <c r="O8" s="36">
        <f t="shared" si="4"/>
        <v>5.7321088199618786E-2</v>
      </c>
      <c r="P8" s="33">
        <v>259695</v>
      </c>
    </row>
    <row r="9" spans="2:17" ht="14" x14ac:dyDescent="0.3">
      <c r="B9" s="4" t="s">
        <v>166</v>
      </c>
      <c r="C9" t="s">
        <v>167</v>
      </c>
      <c r="D9" s="33">
        <v>105997</v>
      </c>
      <c r="E9" s="33">
        <v>79960</v>
      </c>
      <c r="F9" s="33">
        <v>33861</v>
      </c>
      <c r="G9" s="33">
        <v>4536</v>
      </c>
      <c r="H9" s="33">
        <v>3335</v>
      </c>
      <c r="I9" s="33">
        <v>2960</v>
      </c>
      <c r="J9" s="34">
        <f t="shared" si="0"/>
        <v>17.627865961199294</v>
      </c>
      <c r="K9" s="34">
        <f t="shared" si="1"/>
        <v>2.3614187413248278</v>
      </c>
      <c r="L9" s="34">
        <f t="shared" si="5"/>
        <v>35.809797297297294</v>
      </c>
      <c r="M9" s="34">
        <f t="shared" si="2"/>
        <v>1.8472490894198428</v>
      </c>
      <c r="N9" s="36">
        <f t="shared" si="3"/>
        <v>9.8490889223590561E-2</v>
      </c>
      <c r="O9" s="36">
        <f t="shared" si="4"/>
        <v>5.1585019431519143E-2</v>
      </c>
      <c r="P9" s="33">
        <v>57381</v>
      </c>
    </row>
    <row r="10" spans="2:17" ht="14" x14ac:dyDescent="0.3">
      <c r="B10" s="4" t="s">
        <v>168</v>
      </c>
      <c r="C10" t="s">
        <v>169</v>
      </c>
      <c r="D10" s="33">
        <v>15276</v>
      </c>
      <c r="E10" s="33">
        <v>12349</v>
      </c>
      <c r="F10" s="33">
        <v>11581</v>
      </c>
      <c r="G10" s="33">
        <v>1549</v>
      </c>
      <c r="H10" s="33">
        <v>1131</v>
      </c>
      <c r="I10" s="33">
        <v>986</v>
      </c>
      <c r="J10" s="34">
        <f t="shared" si="0"/>
        <v>7.9722401549386701</v>
      </c>
      <c r="K10" s="34">
        <f t="shared" si="1"/>
        <v>1.06631551679475</v>
      </c>
      <c r="L10" s="34">
        <f t="shared" si="5"/>
        <v>15.492900608519269</v>
      </c>
      <c r="M10" s="34">
        <f t="shared" si="2"/>
        <v>0.86461399139687567</v>
      </c>
      <c r="N10" s="36">
        <f t="shared" si="3"/>
        <v>9.7659960279768587E-2</v>
      </c>
      <c r="O10" s="36">
        <f t="shared" si="4"/>
        <v>5.5807108897441705E-2</v>
      </c>
      <c r="P10" s="33">
        <v>17668</v>
      </c>
    </row>
    <row r="11" spans="2:17" ht="14" x14ac:dyDescent="0.3">
      <c r="B11" s="4" t="s">
        <v>170</v>
      </c>
      <c r="C11" t="s">
        <v>171</v>
      </c>
      <c r="D11" s="33">
        <v>95209</v>
      </c>
      <c r="E11" s="33">
        <v>75642</v>
      </c>
      <c r="F11" s="33">
        <v>29366</v>
      </c>
      <c r="G11" s="33">
        <v>8679</v>
      </c>
      <c r="H11" s="33">
        <v>7252</v>
      </c>
      <c r="I11" s="33">
        <v>5451</v>
      </c>
      <c r="J11" s="34">
        <f t="shared" si="0"/>
        <v>8.7155202212236436</v>
      </c>
      <c r="K11" s="34">
        <f t="shared" si="1"/>
        <v>2.5758360008172718</v>
      </c>
      <c r="L11" s="34">
        <f t="shared" si="5"/>
        <v>17.46633645202715</v>
      </c>
      <c r="M11" s="34">
        <f t="shared" si="2"/>
        <v>2.1215071972904318</v>
      </c>
      <c r="N11" s="36">
        <f t="shared" si="3"/>
        <v>0.24695225771300144</v>
      </c>
      <c r="O11" s="36">
        <f t="shared" si="4"/>
        <v>0.12146263202460003</v>
      </c>
      <c r="P11" s="33">
        <v>44878</v>
      </c>
    </row>
    <row r="12" spans="2:17" ht="14" x14ac:dyDescent="0.3">
      <c r="B12" s="4" t="s">
        <v>172</v>
      </c>
      <c r="C12" t="s">
        <v>173</v>
      </c>
      <c r="D12" s="33">
        <v>114936</v>
      </c>
      <c r="E12" s="33">
        <v>98506</v>
      </c>
      <c r="F12" s="33">
        <v>65878</v>
      </c>
      <c r="G12" s="33">
        <v>10280</v>
      </c>
      <c r="H12" s="33">
        <v>8157</v>
      </c>
      <c r="I12" s="33">
        <v>6595</v>
      </c>
      <c r="J12" s="34">
        <f t="shared" si="0"/>
        <v>9.5822957198443586</v>
      </c>
      <c r="K12" s="34">
        <f t="shared" si="1"/>
        <v>1.4952791523725675</v>
      </c>
      <c r="L12" s="34">
        <f t="shared" si="5"/>
        <v>17.427748294162242</v>
      </c>
      <c r="M12" s="34">
        <f t="shared" si="2"/>
        <v>2.0479304385011492</v>
      </c>
      <c r="N12" s="36">
        <f t="shared" si="3"/>
        <v>0.12381978809314187</v>
      </c>
      <c r="O12" s="36">
        <f t="shared" si="4"/>
        <v>0.11750975535876557</v>
      </c>
      <c r="P12" s="33">
        <v>56123</v>
      </c>
    </row>
    <row r="15" spans="2:17" ht="14" x14ac:dyDescent="0.3">
      <c r="B15" s="3" t="s">
        <v>174</v>
      </c>
    </row>
    <row r="16" spans="2:17" ht="14" x14ac:dyDescent="0.3">
      <c r="B16" s="4" t="s">
        <v>175</v>
      </c>
      <c r="D16" s="34">
        <f t="shared" ref="D16:I16" si="6">PERCENTILE(J6:J12,0.25)</f>
        <v>9.1489079705340011</v>
      </c>
      <c r="E16" s="34">
        <f t="shared" si="6"/>
        <v>1.6894305796369107</v>
      </c>
      <c r="F16" s="34">
        <f t="shared" si="6"/>
        <v>17.447042373094696</v>
      </c>
      <c r="G16" s="34">
        <f t="shared" si="6"/>
        <v>1.8227889491073876</v>
      </c>
      <c r="H16" s="36">
        <f t="shared" si="6"/>
        <v>9.6526158838752207E-2</v>
      </c>
      <c r="I16" s="36">
        <f t="shared" si="6"/>
        <v>5.3696064164480424E-2</v>
      </c>
    </row>
    <row r="17" spans="2:9" ht="14" x14ac:dyDescent="0.3">
      <c r="B17" s="4" t="s">
        <v>176</v>
      </c>
      <c r="D17" s="34">
        <f t="shared" ref="D17:I17" si="7">MEDIAN(J6:J12)</f>
        <v>9.8642246066845498</v>
      </c>
      <c r="E17" s="34">
        <f t="shared" si="7"/>
        <v>2.3614187413248278</v>
      </c>
      <c r="F17" s="34">
        <f t="shared" si="7"/>
        <v>31.372900712078462</v>
      </c>
      <c r="G17" s="34">
        <f t="shared" si="7"/>
        <v>2.0479304385011492</v>
      </c>
      <c r="H17" s="36">
        <f t="shared" si="7"/>
        <v>9.8490889223590561E-2</v>
      </c>
      <c r="I17" s="36">
        <f t="shared" si="7"/>
        <v>5.7321088199618786E-2</v>
      </c>
    </row>
    <row r="18" spans="2:9" ht="14" x14ac:dyDescent="0.3">
      <c r="B18" s="4" t="s">
        <v>177</v>
      </c>
      <c r="D18" s="34">
        <f t="shared" ref="D18:I18" si="8">PERCENTILE(J6:J12,0.75)</f>
        <v>17.41137619928881</v>
      </c>
      <c r="E18" s="34">
        <f t="shared" si="8"/>
        <v>2.8498842255148604</v>
      </c>
      <c r="F18" s="34">
        <f t="shared" si="8"/>
        <v>36.450012762904663</v>
      </c>
      <c r="G18" s="34">
        <f t="shared" si="8"/>
        <v>2.1213345889413096</v>
      </c>
      <c r="H18" s="36">
        <f t="shared" si="8"/>
        <v>0.18538602290307166</v>
      </c>
      <c r="I18" s="36">
        <f t="shared" si="8"/>
        <v>0.1194861936916828</v>
      </c>
    </row>
    <row r="20" spans="2:9" ht="14" x14ac:dyDescent="0.3">
      <c r="B20" s="22" t="s">
        <v>178</v>
      </c>
      <c r="C20" s="23"/>
      <c r="D20" s="23"/>
      <c r="E20" s="23"/>
      <c r="F20" s="23"/>
      <c r="G20" s="23"/>
      <c r="H20" s="23"/>
      <c r="I20" s="23"/>
    </row>
    <row r="21" spans="2:9" ht="14" x14ac:dyDescent="0.3">
      <c r="B21" s="3" t="s">
        <v>179</v>
      </c>
    </row>
    <row r="22" spans="2:9" ht="14" x14ac:dyDescent="0.3">
      <c r="B22" s="4" t="s">
        <v>180</v>
      </c>
      <c r="C22" s="5">
        <v>1427</v>
      </c>
    </row>
    <row r="23" spans="2:9" ht="14" x14ac:dyDescent="0.3">
      <c r="B23" s="4" t="s">
        <v>181</v>
      </c>
      <c r="C23" s="5">
        <v>-538</v>
      </c>
    </row>
    <row r="24" spans="2:9" ht="14" x14ac:dyDescent="0.3">
      <c r="B24" s="4" t="s">
        <v>182</v>
      </c>
      <c r="C24" s="15">
        <v>11618742</v>
      </c>
    </row>
    <row r="25" spans="2:9" ht="14" x14ac:dyDescent="0.3">
      <c r="B25" s="4" t="s">
        <v>70</v>
      </c>
      <c r="C25" s="5">
        <v>5201</v>
      </c>
    </row>
    <row r="27" spans="2:9" ht="14" x14ac:dyDescent="0.3">
      <c r="B27" s="3" t="s">
        <v>183</v>
      </c>
    </row>
    <row r="28" spans="2:9" ht="14" x14ac:dyDescent="0.3">
      <c r="B28" s="4" t="s">
        <v>184</v>
      </c>
      <c r="C28" s="24">
        <f>ROUND((C22*D17-C25)*1000000/C24,0)</f>
        <v>764</v>
      </c>
    </row>
    <row r="29" spans="2:9" ht="14" x14ac:dyDescent="0.3">
      <c r="B29" s="4" t="s">
        <v>185</v>
      </c>
      <c r="C29" s="37" t="s">
        <v>159</v>
      </c>
      <c r="D29" s="1" t="s">
        <v>186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187</v>
      </c>
    </row>
    <row r="3" spans="2:9" ht="14" x14ac:dyDescent="0.3">
      <c r="B3" s="4" t="s">
        <v>188</v>
      </c>
      <c r="C3" s="16">
        <f>'DCF Model'!C26</f>
        <v>0.11744009869580542</v>
      </c>
      <c r="E3" s="4" t="s">
        <v>189</v>
      </c>
      <c r="F3" s="16">
        <f>'DCF Model'!C13</f>
        <v>0.01</v>
      </c>
      <c r="H3" s="4" t="s">
        <v>190</v>
      </c>
      <c r="I3" s="14">
        <f>'DCF Model'!C14</f>
        <v>10</v>
      </c>
    </row>
    <row r="5" spans="2:9" ht="14" x14ac:dyDescent="0.3">
      <c r="B5" s="3" t="s">
        <v>191</v>
      </c>
    </row>
    <row r="6" spans="2:9" ht="14" x14ac:dyDescent="0.3">
      <c r="B6" s="38" t="s">
        <v>192</v>
      </c>
      <c r="C6" s="39">
        <f>$F$3-0.0075</f>
        <v>2.5000000000000005E-3</v>
      </c>
      <c r="D6" s="39">
        <f>$F$3-0.005</f>
        <v>5.0000000000000001E-3</v>
      </c>
      <c r="E6" s="39">
        <f>$F$3-0.0025</f>
        <v>7.4999999999999997E-3</v>
      </c>
      <c r="F6" s="39">
        <f>$F$3</f>
        <v>0.01</v>
      </c>
      <c r="G6" s="39">
        <f>$F$3+0.0025</f>
        <v>1.2500000000000001E-2</v>
      </c>
      <c r="H6" s="39">
        <f>$F$3+0.005</f>
        <v>1.4999999999999999E-2</v>
      </c>
      <c r="I6" s="39">
        <f>$F$3+0.0075</f>
        <v>1.7500000000000002E-2</v>
      </c>
    </row>
    <row r="7" spans="2:9" ht="13.5" x14ac:dyDescent="0.25">
      <c r="B7" s="36">
        <f>$C$3-0.015</f>
        <v>0.10244009869580542</v>
      </c>
      <c r="C7" s="33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261</v>
      </c>
      <c r="D7" s="33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274</v>
      </c>
      <c r="E7" s="33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288</v>
      </c>
      <c r="F7" s="33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303</v>
      </c>
      <c r="G7" s="33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318</v>
      </c>
      <c r="H7" s="33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335</v>
      </c>
      <c r="I7" s="33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352</v>
      </c>
    </row>
    <row r="8" spans="2:9" ht="13.5" x14ac:dyDescent="0.25">
      <c r="B8" s="36">
        <f>$C$3-0.01</f>
        <v>0.10744009869580542</v>
      </c>
      <c r="C8" s="33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225</v>
      </c>
      <c r="D8" s="33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237</v>
      </c>
      <c r="E8" s="33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249</v>
      </c>
      <c r="F8" s="33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262</v>
      </c>
      <c r="G8" s="33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276</v>
      </c>
      <c r="H8" s="33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291</v>
      </c>
      <c r="I8" s="33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306</v>
      </c>
    </row>
    <row r="9" spans="2:9" ht="13.5" x14ac:dyDescent="0.25">
      <c r="B9" s="36">
        <f>$C$3-0.005</f>
        <v>0.11244009869580542</v>
      </c>
      <c r="C9" s="33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193</v>
      </c>
      <c r="D9" s="33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203</v>
      </c>
      <c r="E9" s="33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214</v>
      </c>
      <c r="F9" s="33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226</v>
      </c>
      <c r="G9" s="33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238</v>
      </c>
      <c r="H9" s="33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251</v>
      </c>
      <c r="I9" s="33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265</v>
      </c>
    </row>
    <row r="10" spans="2:9" ht="13.5" x14ac:dyDescent="0.25">
      <c r="B10" s="36">
        <f>$C$3</f>
        <v>0.11744009869580542</v>
      </c>
      <c r="C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163</v>
      </c>
      <c r="D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173</v>
      </c>
      <c r="E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183</v>
      </c>
      <c r="F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193</v>
      </c>
      <c r="G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204</v>
      </c>
      <c r="H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215</v>
      </c>
      <c r="I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227</v>
      </c>
    </row>
    <row r="11" spans="2:9" ht="13.5" x14ac:dyDescent="0.25">
      <c r="B11" s="36">
        <f>$C$3+0.005</f>
        <v>0.12244009869580542</v>
      </c>
      <c r="C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136</v>
      </c>
      <c r="D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145</v>
      </c>
      <c r="E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154</v>
      </c>
      <c r="F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163</v>
      </c>
      <c r="G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173</v>
      </c>
      <c r="H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183</v>
      </c>
      <c r="I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194</v>
      </c>
    </row>
    <row r="12" spans="2:9" ht="13.5" x14ac:dyDescent="0.25">
      <c r="B12" s="36">
        <f>$C$3+0.01</f>
        <v>0.12744009869580541</v>
      </c>
      <c r="C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112</v>
      </c>
      <c r="D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119</v>
      </c>
      <c r="E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127</v>
      </c>
      <c r="F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136</v>
      </c>
      <c r="G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145</v>
      </c>
      <c r="H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154</v>
      </c>
      <c r="I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163</v>
      </c>
    </row>
    <row r="13" spans="2:9" ht="13.5" x14ac:dyDescent="0.25">
      <c r="B13" s="36">
        <f>$C$3+0.015</f>
        <v>0.13244009869580542</v>
      </c>
      <c r="C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89</v>
      </c>
      <c r="D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96</v>
      </c>
      <c r="E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103</v>
      </c>
      <c r="F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111</v>
      </c>
      <c r="G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119</v>
      </c>
      <c r="H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127</v>
      </c>
      <c r="I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135</v>
      </c>
    </row>
    <row r="16" spans="2:9" ht="14" x14ac:dyDescent="0.3">
      <c r="B16" s="3" t="s">
        <v>193</v>
      </c>
    </row>
    <row r="17" spans="2:9" ht="14" x14ac:dyDescent="0.3">
      <c r="B17" s="38" t="s">
        <v>194</v>
      </c>
      <c r="C17" s="40">
        <f>$I$3-3</f>
        <v>7</v>
      </c>
      <c r="D17" s="40">
        <f>$I$3-2</f>
        <v>8</v>
      </c>
      <c r="E17" s="40">
        <f>$I$3-1</f>
        <v>9</v>
      </c>
      <c r="F17" s="40">
        <f>$I$3</f>
        <v>10</v>
      </c>
      <c r="G17" s="40">
        <f>$I$3+1</f>
        <v>11</v>
      </c>
      <c r="H17" s="40">
        <f>$I$3+2</f>
        <v>12</v>
      </c>
      <c r="I17" s="40">
        <f>$I$3+3</f>
        <v>13</v>
      </c>
    </row>
    <row r="18" spans="2:9" ht="13.5" x14ac:dyDescent="0.25">
      <c r="B18" s="36">
        <f>$C$3-0.015</f>
        <v>0.10244009869580542</v>
      </c>
      <c r="C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606</v>
      </c>
      <c r="D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723</v>
      </c>
      <c r="E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840</v>
      </c>
      <c r="F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956</v>
      </c>
      <c r="G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1073</v>
      </c>
      <c r="H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1190</v>
      </c>
      <c r="I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1307</v>
      </c>
    </row>
    <row r="19" spans="2:9" ht="13.5" x14ac:dyDescent="0.25">
      <c r="B19" s="36">
        <f>$C$3-0.01</f>
        <v>0.10744009869580542</v>
      </c>
      <c r="C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585</v>
      </c>
      <c r="D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699</v>
      </c>
      <c r="E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813</v>
      </c>
      <c r="F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927</v>
      </c>
      <c r="G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1041</v>
      </c>
      <c r="H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1156</v>
      </c>
      <c r="I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1270</v>
      </c>
    </row>
    <row r="20" spans="2:9" ht="13.5" x14ac:dyDescent="0.25">
      <c r="B20" s="36">
        <f>$C$3-0.005</f>
        <v>0.11244009869580542</v>
      </c>
      <c r="C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564</v>
      </c>
      <c r="D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676</v>
      </c>
      <c r="E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787</v>
      </c>
      <c r="F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899</v>
      </c>
      <c r="G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1010</v>
      </c>
      <c r="H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1122</v>
      </c>
      <c r="I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1234</v>
      </c>
    </row>
    <row r="21" spans="2:9" ht="13.5" x14ac:dyDescent="0.25">
      <c r="B21" s="36">
        <f>$C$3</f>
        <v>0.11744009869580542</v>
      </c>
      <c r="C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544</v>
      </c>
      <c r="D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653</v>
      </c>
      <c r="E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762</v>
      </c>
      <c r="F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871</v>
      </c>
      <c r="G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980</v>
      </c>
      <c r="H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1089</v>
      </c>
      <c r="I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1199</v>
      </c>
    </row>
    <row r="22" spans="2:9" ht="13.5" x14ac:dyDescent="0.25">
      <c r="B22" s="36">
        <f>$C$3+0.005</f>
        <v>0.12244009869580542</v>
      </c>
      <c r="C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524</v>
      </c>
      <c r="D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631</v>
      </c>
      <c r="E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737</v>
      </c>
      <c r="F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844</v>
      </c>
      <c r="G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951</v>
      </c>
      <c r="H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1058</v>
      </c>
      <c r="I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1164</v>
      </c>
    </row>
    <row r="23" spans="2:9" ht="13.5" x14ac:dyDescent="0.25">
      <c r="B23" s="36">
        <f>$C$3+0.01</f>
        <v>0.12744009869580541</v>
      </c>
      <c r="C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505</v>
      </c>
      <c r="D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609</v>
      </c>
      <c r="E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714</v>
      </c>
      <c r="F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818</v>
      </c>
      <c r="G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922</v>
      </c>
      <c r="H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1027</v>
      </c>
      <c r="I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1131</v>
      </c>
    </row>
    <row r="24" spans="2:9" ht="13.5" x14ac:dyDescent="0.25">
      <c r="B24" s="36">
        <f>$C$3+0.015</f>
        <v>0.13244009869580542</v>
      </c>
      <c r="C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486</v>
      </c>
      <c r="D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588</v>
      </c>
      <c r="E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690</v>
      </c>
      <c r="F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792</v>
      </c>
      <c r="G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894</v>
      </c>
      <c r="H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996</v>
      </c>
      <c r="I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1099</v>
      </c>
    </row>
    <row r="26" spans="2:9" ht="14" x14ac:dyDescent="0.3">
      <c r="B26" s="43" t="s">
        <v>195</v>
      </c>
      <c r="C26" s="42"/>
      <c r="D26" s="42"/>
      <c r="E26" s="42"/>
      <c r="F26" s="42"/>
      <c r="G26" s="42"/>
      <c r="H26" s="42"/>
      <c r="I26" s="42"/>
    </row>
  </sheetData>
  <mergeCells count="1">
    <mergeCell ref="B26:I26"/>
  </mergeCells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B2:G40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196</v>
      </c>
    </row>
    <row r="4" spans="2:7" ht="14" x14ac:dyDescent="0.3">
      <c r="B4" s="10" t="s">
        <v>197</v>
      </c>
      <c r="C4" s="10" t="s">
        <v>198</v>
      </c>
      <c r="D4" s="10" t="s">
        <v>199</v>
      </c>
      <c r="E4" s="10" t="s">
        <v>200</v>
      </c>
      <c r="F4" s="10" t="s">
        <v>201</v>
      </c>
      <c r="G4" s="10" t="s">
        <v>202</v>
      </c>
    </row>
    <row r="5" spans="2:7" x14ac:dyDescent="0.2">
      <c r="B5" t="s">
        <v>203</v>
      </c>
      <c r="C5" t="s">
        <v>204</v>
      </c>
      <c r="D5" t="s">
        <v>205</v>
      </c>
      <c r="E5" t="s">
        <v>206</v>
      </c>
      <c r="F5" t="s">
        <v>204</v>
      </c>
      <c r="G5" t="s">
        <v>207</v>
      </c>
    </row>
    <row r="12" spans="2:7" ht="14" x14ac:dyDescent="0.3">
      <c r="B12" s="8" t="s">
        <v>208</v>
      </c>
    </row>
    <row r="13" spans="2:7" ht="14" x14ac:dyDescent="0.3">
      <c r="B13" s="10" t="s">
        <v>209</v>
      </c>
      <c r="C13" s="10" t="s">
        <v>210</v>
      </c>
    </row>
    <row r="14" spans="2:7" ht="14" x14ac:dyDescent="0.3">
      <c r="B14" s="4" t="s">
        <v>211</v>
      </c>
      <c r="C14" t="s">
        <v>212</v>
      </c>
    </row>
    <row r="15" spans="2:7" ht="14" x14ac:dyDescent="0.3">
      <c r="B15" s="4" t="s">
        <v>213</v>
      </c>
      <c r="C15" t="s">
        <v>214</v>
      </c>
    </row>
    <row r="16" spans="2:7" ht="14" x14ac:dyDescent="0.3">
      <c r="B16" s="4" t="s">
        <v>215</v>
      </c>
      <c r="C16" t="s">
        <v>216</v>
      </c>
    </row>
    <row r="17" spans="2:3" ht="14" x14ac:dyDescent="0.3">
      <c r="B17" s="4" t="s">
        <v>217</v>
      </c>
      <c r="C17" t="s">
        <v>4</v>
      </c>
    </row>
    <row r="18" spans="2:3" ht="14" x14ac:dyDescent="0.3">
      <c r="B18" s="4" t="s">
        <v>218</v>
      </c>
      <c r="C18" t="s">
        <v>203</v>
      </c>
    </row>
    <row r="19" spans="2:3" ht="14" x14ac:dyDescent="0.3">
      <c r="B19" s="4" t="s">
        <v>219</v>
      </c>
      <c r="C19" t="s">
        <v>220</v>
      </c>
    </row>
    <row r="20" spans="2:3" ht="14" x14ac:dyDescent="0.3">
      <c r="B20" s="4" t="s">
        <v>221</v>
      </c>
      <c r="C20" t="s">
        <v>222</v>
      </c>
    </row>
    <row r="21" spans="2:3" ht="14" x14ac:dyDescent="0.3">
      <c r="B21" s="4" t="s">
        <v>223</v>
      </c>
      <c r="C21" t="s">
        <v>224</v>
      </c>
    </row>
    <row r="22" spans="2:3" ht="14" x14ac:dyDescent="0.3">
      <c r="B22" s="4" t="s">
        <v>225</v>
      </c>
      <c r="C22" t="s">
        <v>226</v>
      </c>
    </row>
    <row r="23" spans="2:3" ht="14" x14ac:dyDescent="0.3">
      <c r="B23" s="4" t="s">
        <v>227</v>
      </c>
      <c r="C23" t="s">
        <v>228</v>
      </c>
    </row>
    <row r="24" spans="2:3" ht="14" x14ac:dyDescent="0.3">
      <c r="B24" s="4" t="s">
        <v>229</v>
      </c>
      <c r="C24" t="s">
        <v>224</v>
      </c>
    </row>
    <row r="25" spans="2:3" ht="14" x14ac:dyDescent="0.3">
      <c r="B25" s="4" t="s">
        <v>230</v>
      </c>
      <c r="C25" t="s">
        <v>220</v>
      </c>
    </row>
    <row r="26" spans="2:3" ht="14" x14ac:dyDescent="0.3">
      <c r="B26" s="4" t="s">
        <v>231</v>
      </c>
      <c r="C26" t="s">
        <v>232</v>
      </c>
    </row>
    <row r="27" spans="2:3" ht="14" x14ac:dyDescent="0.3">
      <c r="B27" s="4" t="s">
        <v>233</v>
      </c>
      <c r="C27" t="s">
        <v>234</v>
      </c>
    </row>
    <row r="28" spans="2:3" ht="14" x14ac:dyDescent="0.3">
      <c r="B28" s="4" t="s">
        <v>235</v>
      </c>
      <c r="C28" t="s">
        <v>212</v>
      </c>
    </row>
    <row r="29" spans="2:3" ht="14" x14ac:dyDescent="0.3">
      <c r="B29" s="4" t="s">
        <v>236</v>
      </c>
      <c r="C29" t="s">
        <v>237</v>
      </c>
    </row>
    <row r="30" spans="2:3" ht="14" x14ac:dyDescent="0.3">
      <c r="B30" s="4" t="s">
        <v>238</v>
      </c>
      <c r="C30" t="s">
        <v>239</v>
      </c>
    </row>
    <row r="31" spans="2:3" ht="14" x14ac:dyDescent="0.3">
      <c r="B31" s="4" t="s">
        <v>240</v>
      </c>
      <c r="C31" t="s">
        <v>241</v>
      </c>
    </row>
    <row r="32" spans="2:3" ht="14" x14ac:dyDescent="0.3">
      <c r="B32" s="4" t="s">
        <v>242</v>
      </c>
      <c r="C32" t="s">
        <v>243</v>
      </c>
    </row>
    <row r="33" spans="2:3" ht="14" x14ac:dyDescent="0.3">
      <c r="B33" s="4" t="s">
        <v>244</v>
      </c>
      <c r="C33" t="s">
        <v>245</v>
      </c>
    </row>
    <row r="34" spans="2:3" ht="14" x14ac:dyDescent="0.3">
      <c r="B34" s="4" t="s">
        <v>246</v>
      </c>
      <c r="C34" t="s">
        <v>247</v>
      </c>
    </row>
    <row r="35" spans="2:3" ht="14" x14ac:dyDescent="0.3">
      <c r="B35" s="4" t="s">
        <v>248</v>
      </c>
      <c r="C35" t="s">
        <v>249</v>
      </c>
    </row>
    <row r="36" spans="2:3" ht="14" x14ac:dyDescent="0.3">
      <c r="B36" s="4" t="s">
        <v>250</v>
      </c>
      <c r="C36" t="s">
        <v>251</v>
      </c>
    </row>
    <row r="37" spans="2:3" ht="14" x14ac:dyDescent="0.3">
      <c r="B37" s="4" t="s">
        <v>252</v>
      </c>
      <c r="C37" t="s">
        <v>253</v>
      </c>
    </row>
    <row r="38" spans="2:3" ht="14" x14ac:dyDescent="0.3">
      <c r="B38" s="4" t="s">
        <v>254</v>
      </c>
      <c r="C38" t="s">
        <v>255</v>
      </c>
    </row>
    <row r="39" spans="2:3" ht="14" x14ac:dyDescent="0.3">
      <c r="B39" s="4" t="s">
        <v>256</v>
      </c>
      <c r="C39" t="s">
        <v>257</v>
      </c>
    </row>
    <row r="40" spans="2:3" ht="14" x14ac:dyDescent="0.3">
      <c r="B40" s="4" t="s">
        <v>258</v>
      </c>
      <c r="C40" t="s">
        <v>158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2026-08-21T05:15:21Z</dcterms:created>
  <dcterms:modified xsi:type="dcterms:W3CDTF">2026-08-21T05:21:15Z</dcterms:modified>
</cp:coreProperties>
</file>