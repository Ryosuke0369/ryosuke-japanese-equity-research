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E05DB120-C1A0-4C82-A7F8-34DA149172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J20" i="8" l="1"/>
  <c r="I20" i="8"/>
  <c r="H20" i="8"/>
  <c r="G20" i="8"/>
  <c r="F20" i="8"/>
  <c r="E20" i="8"/>
  <c r="D20" i="8"/>
  <c r="E16" i="8"/>
  <c r="D16" i="8"/>
  <c r="C16" i="8"/>
  <c r="G15" i="8"/>
  <c r="G16" i="8" s="1"/>
  <c r="J13" i="8"/>
  <c r="J15" i="8" s="1"/>
  <c r="J16" i="8" s="1"/>
  <c r="I13" i="8"/>
  <c r="I15" i="8" s="1"/>
  <c r="I16" i="8" s="1"/>
  <c r="H13" i="8"/>
  <c r="H15" i="8" s="1"/>
  <c r="H16" i="8" s="1"/>
  <c r="G13" i="8"/>
  <c r="F13" i="8"/>
  <c r="F15" i="8" s="1"/>
  <c r="F16" i="8" s="1"/>
  <c r="J7" i="8"/>
  <c r="I7" i="8"/>
  <c r="H7" i="8"/>
  <c r="G7" i="8"/>
  <c r="F7" i="8"/>
  <c r="E7" i="8"/>
  <c r="D7" i="8"/>
  <c r="H27" i="7"/>
  <c r="G27" i="7"/>
  <c r="F27" i="7"/>
  <c r="D23" i="7"/>
  <c r="J22" i="7"/>
  <c r="E22" i="7"/>
  <c r="E23" i="7" s="1"/>
  <c r="D22" i="7"/>
  <c r="C22" i="7"/>
  <c r="C23" i="7" s="1"/>
  <c r="J21" i="7"/>
  <c r="J23" i="7" s="1"/>
  <c r="I21" i="7"/>
  <c r="I27" i="7" s="1"/>
  <c r="H21" i="7"/>
  <c r="G21" i="7"/>
  <c r="F21" i="7"/>
  <c r="E21" i="7"/>
  <c r="D21" i="7"/>
  <c r="C21" i="7"/>
  <c r="J18" i="7"/>
  <c r="H18" i="7"/>
  <c r="E18" i="7"/>
  <c r="D18" i="7"/>
  <c r="I17" i="7"/>
  <c r="I18" i="7" s="1"/>
  <c r="H17" i="7"/>
  <c r="G17" i="7"/>
  <c r="G18" i="7" s="1"/>
  <c r="F17" i="7"/>
  <c r="F18" i="7" s="1"/>
  <c r="J13" i="7"/>
  <c r="G13" i="7"/>
  <c r="F13" i="7"/>
  <c r="E13" i="7"/>
  <c r="D13" i="7"/>
  <c r="I12" i="7"/>
  <c r="I13" i="7" s="1"/>
  <c r="H12" i="7"/>
  <c r="H13" i="7" s="1"/>
  <c r="G12" i="7"/>
  <c r="F12" i="7"/>
  <c r="J8" i="7"/>
  <c r="I8" i="7"/>
  <c r="G8" i="7"/>
  <c r="E8" i="7"/>
  <c r="D8" i="7"/>
  <c r="I7" i="7"/>
  <c r="H7" i="7"/>
  <c r="H22" i="7" s="1"/>
  <c r="H23" i="7" s="1"/>
  <c r="G7" i="7"/>
  <c r="F7" i="7"/>
  <c r="F8" i="7" s="1"/>
  <c r="I17" i="6"/>
  <c r="H17" i="6"/>
  <c r="G17" i="6"/>
  <c r="D17" i="6"/>
  <c r="H6" i="6"/>
  <c r="G6" i="6"/>
  <c r="C6" i="6"/>
  <c r="I3" i="6"/>
  <c r="F3" i="6"/>
  <c r="I6" i="6" s="1"/>
  <c r="I17" i="5"/>
  <c r="G17" i="5"/>
  <c r="F17" i="5"/>
  <c r="I16" i="5"/>
  <c r="G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K6" i="5"/>
  <c r="J6" i="5"/>
  <c r="N5" i="5"/>
  <c r="L5" i="5"/>
  <c r="F16" i="5" s="1"/>
  <c r="C28" i="5" s="1"/>
  <c r="C19" i="1" s="1"/>
  <c r="D19" i="1" s="1"/>
  <c r="K5" i="5"/>
  <c r="E15" i="5" s="1"/>
  <c r="J5" i="5"/>
  <c r="D15" i="5" s="1"/>
  <c r="C16" i="4"/>
  <c r="C14" i="4"/>
  <c r="C18" i="4" s="1"/>
  <c r="C7" i="4"/>
  <c r="C6" i="4"/>
  <c r="C5" i="4"/>
  <c r="D27" i="3"/>
  <c r="F5" i="4" s="1"/>
  <c r="C25" i="3"/>
  <c r="C24" i="3"/>
  <c r="C23" i="3"/>
  <c r="G28" i="2"/>
  <c r="F28" i="2"/>
  <c r="E28" i="2"/>
  <c r="D28" i="2"/>
  <c r="C28" i="2"/>
  <c r="G23" i="2"/>
  <c r="F23" i="2"/>
  <c r="E23" i="2"/>
  <c r="D23" i="2"/>
  <c r="C23" i="2"/>
  <c r="G22" i="2"/>
  <c r="F22" i="2"/>
  <c r="D22" i="2"/>
  <c r="C22" i="2"/>
  <c r="G21" i="2"/>
  <c r="F21" i="2"/>
  <c r="E21" i="2"/>
  <c r="E22" i="2" s="1"/>
  <c r="D21" i="2"/>
  <c r="C21" i="2"/>
  <c r="G16" i="2"/>
  <c r="F16" i="2"/>
  <c r="E16" i="2"/>
  <c r="D16" i="2"/>
  <c r="G15" i="2"/>
  <c r="F15" i="2"/>
  <c r="E15" i="2"/>
  <c r="D15" i="2"/>
  <c r="G14" i="2"/>
  <c r="F14" i="2"/>
  <c r="E14" i="2"/>
  <c r="D14" i="2"/>
  <c r="C14" i="2"/>
  <c r="G13" i="2"/>
  <c r="F13" i="2"/>
  <c r="E13" i="2"/>
  <c r="D13" i="2"/>
  <c r="C13" i="2"/>
  <c r="G9" i="2"/>
  <c r="F9" i="2"/>
  <c r="C9" i="2"/>
  <c r="G8" i="2"/>
  <c r="F8" i="2"/>
  <c r="E8" i="2"/>
  <c r="E9" i="2" s="1"/>
  <c r="D8" i="2"/>
  <c r="D9" i="2" s="1"/>
  <c r="C8" i="2"/>
  <c r="E31" i="3" l="1"/>
  <c r="F7" i="4"/>
  <c r="D6" i="4"/>
  <c r="G32" i="3"/>
  <c r="D31" i="3"/>
  <c r="E7" i="4"/>
  <c r="F31" i="3"/>
  <c r="G5" i="4"/>
  <c r="D7" i="4"/>
  <c r="D16" i="5"/>
  <c r="C27" i="5" s="1"/>
  <c r="C18" i="1" s="1"/>
  <c r="D18" i="1" s="1"/>
  <c r="F6" i="6"/>
  <c r="C30" i="3"/>
  <c r="C33" i="3" s="1"/>
  <c r="H5" i="4"/>
  <c r="G7" i="4"/>
  <c r="E16" i="5"/>
  <c r="G31" i="3"/>
  <c r="D30" i="3"/>
  <c r="C32" i="3"/>
  <c r="H7" i="4"/>
  <c r="E6" i="4"/>
  <c r="H17" i="5"/>
  <c r="H16" i="5"/>
  <c r="J27" i="7"/>
  <c r="D32" i="3"/>
  <c r="F30" i="3"/>
  <c r="F6" i="4"/>
  <c r="F15" i="5"/>
  <c r="E30" i="3"/>
  <c r="E32" i="3"/>
  <c r="C26" i="3"/>
  <c r="G30" i="3"/>
  <c r="F32" i="3"/>
  <c r="D5" i="4"/>
  <c r="G6" i="4"/>
  <c r="D17" i="5"/>
  <c r="E6" i="6"/>
  <c r="D6" i="6"/>
  <c r="F22" i="7"/>
  <c r="F23" i="7" s="1"/>
  <c r="H8" i="7"/>
  <c r="C31" i="3"/>
  <c r="E5" i="4"/>
  <c r="H6" i="4"/>
  <c r="H15" i="5"/>
  <c r="E17" i="5"/>
  <c r="F17" i="6"/>
  <c r="E17" i="6"/>
  <c r="C17" i="6"/>
  <c r="G22" i="7"/>
  <c r="G23" i="7" s="1"/>
  <c r="I22" i="7"/>
  <c r="I23" i="7" s="1"/>
  <c r="F26" i="7" l="1"/>
  <c r="F28" i="7" s="1"/>
  <c r="C34" i="3"/>
  <c r="D10" i="4" s="1"/>
  <c r="D9" i="4"/>
  <c r="D12" i="4" s="1"/>
  <c r="C37" i="3"/>
  <c r="D33" i="3"/>
  <c r="F46" i="3"/>
  <c r="E46" i="3"/>
  <c r="D46" i="3"/>
  <c r="C3" i="6"/>
  <c r="C46" i="3"/>
  <c r="G46" i="3"/>
  <c r="D13" i="4" l="1"/>
  <c r="D14" i="4" s="1"/>
  <c r="D18" i="4" s="1"/>
  <c r="D19" i="4" s="1"/>
  <c r="C44" i="3" s="1"/>
  <c r="D15" i="4"/>
  <c r="D16" i="4" s="1"/>
  <c r="G26" i="7"/>
  <c r="G28" i="7" s="1"/>
  <c r="E9" i="4"/>
  <c r="E12" i="4" s="1"/>
  <c r="D34" i="3"/>
  <c r="E10" i="4" s="1"/>
  <c r="D37" i="3"/>
  <c r="D35" i="3"/>
  <c r="E33" i="3"/>
  <c r="C35" i="3"/>
  <c r="B10" i="6"/>
  <c r="B21" i="6"/>
  <c r="B11" i="6"/>
  <c r="B7" i="6"/>
  <c r="B22" i="6"/>
  <c r="B18" i="6"/>
  <c r="B12" i="6"/>
  <c r="B8" i="6"/>
  <c r="B23" i="6"/>
  <c r="B19" i="6"/>
  <c r="B13" i="6"/>
  <c r="B9" i="6"/>
  <c r="B24" i="6"/>
  <c r="B20" i="6"/>
  <c r="E34" i="3" l="1"/>
  <c r="F10" i="4" s="1"/>
  <c r="H26" i="7"/>
  <c r="H28" i="7" s="1"/>
  <c r="E37" i="3"/>
  <c r="F9" i="4"/>
  <c r="F12" i="4" s="1"/>
  <c r="E35" i="3"/>
  <c r="F33" i="3"/>
  <c r="D39" i="3"/>
  <c r="D38" i="3"/>
  <c r="D36" i="3"/>
  <c r="E15" i="4"/>
  <c r="E16" i="4" s="1"/>
  <c r="E13" i="4"/>
  <c r="E14" i="4"/>
  <c r="E18" i="4" s="1"/>
  <c r="E19" i="4" s="1"/>
  <c r="D44" i="3" s="1"/>
  <c r="C36" i="3"/>
  <c r="C39" i="3"/>
  <c r="C38" i="3"/>
  <c r="D40" i="3" l="1"/>
  <c r="D41" i="3" s="1"/>
  <c r="D45" i="3" s="1"/>
  <c r="D47" i="3" s="1"/>
  <c r="I26" i="7"/>
  <c r="I28" i="7" s="1"/>
  <c r="F37" i="3"/>
  <c r="G9" i="4"/>
  <c r="G12" i="4" s="1"/>
  <c r="F34" i="3"/>
  <c r="G10" i="4" s="1"/>
  <c r="F35" i="3"/>
  <c r="G33" i="3"/>
  <c r="C40" i="3"/>
  <c r="C41" i="3" s="1"/>
  <c r="C45" i="3" s="1"/>
  <c r="E38" i="3"/>
  <c r="E36" i="3"/>
  <c r="E39" i="3"/>
  <c r="F14" i="4"/>
  <c r="F15" i="4"/>
  <c r="F16" i="4" s="1"/>
  <c r="F13" i="4"/>
  <c r="C47" i="3" l="1"/>
  <c r="J26" i="7"/>
  <c r="J28" i="7" s="1"/>
  <c r="H9" i="4"/>
  <c r="H12" i="4" s="1"/>
  <c r="G43" i="3"/>
  <c r="G34" i="3"/>
  <c r="H10" i="4" s="1"/>
  <c r="G42" i="3"/>
  <c r="G35" i="3"/>
  <c r="G37" i="3"/>
  <c r="F38" i="3"/>
  <c r="F36" i="3"/>
  <c r="F39" i="3"/>
  <c r="F18" i="4"/>
  <c r="F19" i="4" s="1"/>
  <c r="E44" i="3" s="1"/>
  <c r="G15" i="4"/>
  <c r="G16" i="4" s="1"/>
  <c r="G13" i="4"/>
  <c r="G14" i="4" s="1"/>
  <c r="G18" i="4" s="1"/>
  <c r="G19" i="4" s="1"/>
  <c r="F44" i="3" s="1"/>
  <c r="E40" i="3"/>
  <c r="E41" i="3" s="1"/>
  <c r="E45" i="3" s="1"/>
  <c r="E47" i="3" l="1"/>
  <c r="G39" i="3"/>
  <c r="G38" i="3"/>
  <c r="G36" i="3"/>
  <c r="H15" i="4"/>
  <c r="H16" i="4" s="1"/>
  <c r="H13" i="4"/>
  <c r="H14" i="4" s="1"/>
  <c r="H18" i="4" s="1"/>
  <c r="H19" i="4" s="1"/>
  <c r="G44" i="3" s="1"/>
  <c r="F40" i="3"/>
  <c r="F41" i="3"/>
  <c r="F45" i="3" s="1"/>
  <c r="F47" i="3" s="1"/>
  <c r="G40" i="3" l="1"/>
  <c r="G41" i="3"/>
  <c r="G45" i="3" s="1"/>
  <c r="F22" i="6" s="1"/>
  <c r="C59" i="3"/>
  <c r="C60" i="3" s="1"/>
  <c r="C61" i="3" s="1"/>
  <c r="G12" i="6"/>
  <c r="C23" i="6" l="1"/>
  <c r="E18" i="6"/>
  <c r="H10" i="6"/>
  <c r="F9" i="6"/>
  <c r="H12" i="6"/>
  <c r="F11" i="6"/>
  <c r="I7" i="6"/>
  <c r="H9" i="6"/>
  <c r="H22" i="6"/>
  <c r="G19" i="6"/>
  <c r="I18" i="6"/>
  <c r="I23" i="6"/>
  <c r="C10" i="6"/>
  <c r="I13" i="6"/>
  <c r="D12" i="6"/>
  <c r="D22" i="6"/>
  <c r="C9" i="6"/>
  <c r="I20" i="6"/>
  <c r="C7" i="6"/>
  <c r="G24" i="6"/>
  <c r="D19" i="6"/>
  <c r="F23" i="6"/>
  <c r="H19" i="6"/>
  <c r="H8" i="6"/>
  <c r="F13" i="6"/>
  <c r="C11" i="6"/>
  <c r="D9" i="6"/>
  <c r="H24" i="6"/>
  <c r="D18" i="6"/>
  <c r="I12" i="6"/>
  <c r="H13" i="6"/>
  <c r="D21" i="6"/>
  <c r="F21" i="6"/>
  <c r="C20" i="6"/>
  <c r="F20" i="6"/>
  <c r="G21" i="6"/>
  <c r="D23" i="6"/>
  <c r="D24" i="6"/>
  <c r="G8" i="6"/>
  <c r="C21" i="6"/>
  <c r="F19" i="6"/>
  <c r="E7" i="6"/>
  <c r="C51" i="3"/>
  <c r="C52" i="3" s="1"/>
  <c r="G47" i="3"/>
  <c r="C50" i="3" s="1"/>
  <c r="E12" i="6"/>
  <c r="C13" i="6"/>
  <c r="F12" i="6"/>
  <c r="H23" i="6"/>
  <c r="D13" i="6"/>
  <c r="I19" i="6"/>
  <c r="H11" i="6"/>
  <c r="C12" i="6"/>
  <c r="I24" i="6"/>
  <c r="E23" i="6"/>
  <c r="C19" i="6"/>
  <c r="I10" i="6"/>
  <c r="G10" i="6"/>
  <c r="H21" i="6"/>
  <c r="C18" i="6"/>
  <c r="I11" i="6"/>
  <c r="I22" i="6"/>
  <c r="D20" i="6"/>
  <c r="G9" i="6"/>
  <c r="E22" i="6"/>
  <c r="F10" i="6"/>
  <c r="E19" i="6"/>
  <c r="E13" i="6"/>
  <c r="F8" i="6"/>
  <c r="D10" i="6"/>
  <c r="D8" i="6"/>
  <c r="C24" i="6"/>
  <c r="I9" i="6"/>
  <c r="E24" i="6"/>
  <c r="F18" i="6"/>
  <c r="C22" i="6"/>
  <c r="H18" i="6"/>
  <c r="C8" i="6"/>
  <c r="G23" i="6"/>
  <c r="E20" i="6"/>
  <c r="D11" i="6"/>
  <c r="H7" i="6"/>
  <c r="E11" i="6"/>
  <c r="G13" i="6"/>
  <c r="E21" i="6"/>
  <c r="G20" i="6"/>
  <c r="E9" i="6"/>
  <c r="H20" i="6"/>
  <c r="D7" i="6"/>
  <c r="E10" i="6"/>
  <c r="E8" i="6"/>
  <c r="G7" i="6"/>
  <c r="F24" i="6"/>
  <c r="G18" i="6"/>
  <c r="F7" i="6"/>
  <c r="G11" i="6"/>
  <c r="I8" i="6"/>
  <c r="I21" i="6"/>
  <c r="G22" i="6"/>
  <c r="C53" i="3" l="1"/>
  <c r="C54" i="3" s="1"/>
  <c r="C55" i="3" s="1"/>
  <c r="C16" i="1" s="1"/>
  <c r="C58" i="3"/>
  <c r="C62" i="3" s="1"/>
  <c r="C63" i="3" s="1"/>
  <c r="C64" i="3" s="1"/>
  <c r="C17" i="1" s="1"/>
  <c r="D17" i="1" s="1"/>
  <c r="C21" i="1" l="1"/>
  <c r="C10" i="1"/>
  <c r="C12" i="1" s="1"/>
  <c r="C11" i="1" s="1"/>
  <c r="D16" i="1"/>
</calcChain>
</file>

<file path=xl/sharedStrings.xml><?xml version="1.0" encoding="utf-8"?>
<sst xmlns="http://schemas.openxmlformats.org/spreadsheetml/2006/main" count="335" uniqueCount="215">
  <si>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</si>
  <si>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</si>
  <si>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</si>
  <si>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</si>
  <si>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</si>
  <si>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</si>
  <si>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</si>
  <si>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</si>
  <si>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</si>
  <si>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</si>
  <si>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</si>
  <si>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</si>
  <si>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</si>
  <si>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</si>
  <si>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</si>
  <si>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</si>
  <si>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</si>
  <si>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</si>
  <si>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</si>
  <si>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</si>
  <si>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</si>
  <si>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</si>
  <si>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</si>
  <si>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Defense Tech: GNSS anti-spoofing tech for JASDF; 4-layer moat (proprietary receiver + QZSS auth + security clearance + space tech track record)</t>
  </si>
  <si>
    <t>2. AX Transformation: Layer 2 (solution) ratio rising 25.9% → 33.3%, structurally improving OPM</t>
  </si>
  <si>
    <t>3. Earnings Surprise: Base case EPS &gt;¥200 vs consensus ~¥174; Q3 OP progress rate 82.5% implies ~¥4,050M OP</t>
  </si>
  <si>
    <t>Key Risks</t>
  </si>
  <si>
    <t>1. Defense contracts still in R&amp;D/validation phase — mass production orders unconfirmed</t>
  </si>
  <si>
    <t>2. Key person risk in specialized GNSS/space technology division</t>
  </si>
  <si>
    <t>3. Revenue concentration in Japanese domestic IT services market</t>
  </si>
  <si>
    <t>株式会社コア - Historical Financials (JPY mn)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</si>
  <si>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</si>
  <si>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</si>
  <si>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</si>
  <si>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</si>
  <si>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</si>
  <si>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</si>
  <si>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</si>
  <si>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</si>
  <si>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</si>
  <si>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</si>
  <si>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</si>
  <si>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</si>
  <si>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</si>
  <si>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</si>
  <si>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</si>
  <si>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</si>
  <si>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</si>
  <si>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</si>
  <si>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</si>
  <si>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</si>
  <si>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</si>
  <si>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</si>
  <si>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</si>
  <si>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</si>
  <si>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</si>
  <si>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</si>
  <si>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</si>
  <si>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</si>
  <si>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株式会社コア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</si>
  <si>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</si>
  <si>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</si>
  <si>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</si>
  <si>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</si>
  <si>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</si>
  <si>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</si>
  <si>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</si>
  <si>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</si>
  <si>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</si>
  <si>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</si>
  <si>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</si>
  <si>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</si>
  <si>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</si>
  <si>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</si>
  <si>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</si>
  <si>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</si>
  <si>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</si>
  <si>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</si>
  <si>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</si>
  <si>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</si>
  <si>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</si>
  <si>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</si>
  <si>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</si>
  <si>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</si>
  <si>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</si>
  <si>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</si>
  <si>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</si>
  <si>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</si>
  <si>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</si>
  <si>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</si>
  <si>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</si>
  <si>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</si>
  <si>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</si>
  <si>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</si>
  <si>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</si>
  <si>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</si>
  <si>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</si>
  <si>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</si>
  <si>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</si>
  <si>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</si>
  <si>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</si>
  <si>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</si>
  <si>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</si>
  <si>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</si>
  <si>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</si>
  <si>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</si>
  <si>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</si>
  <si>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</si>
  <si>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</si>
  <si>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</si>
  <si>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</si>
  <si>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</si>
  <si>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</si>
  <si>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</si>
  <si>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</si>
  <si>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</si>
  <si>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</si>
  <si>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</si>
  <si>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</si>
  <si>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</si>
  <si>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</si>
  <si>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</si>
  <si>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</si>
  <si>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株式会社コア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</si>
  <si>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</si>
  <si>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</si>
  <si>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</si>
  <si>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</si>
  <si>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</si>
  <si>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</si>
  <si>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</si>
  <si>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</si>
  <si>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</si>
  <si>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</si>
  <si>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</si>
  <si>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</si>
  <si>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</si>
  <si>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</si>
  <si>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</si>
  <si>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</si>
  <si>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</si>
  <si>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</si>
  <si>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</si>
  <si>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</si>
  <si>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</si>
  <si>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</si>
  <si>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</si>
  <si>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</si>
  <si>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</si>
  <si>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</si>
  <si>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</si>
  <si>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</si>
  <si>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</si>
  <si>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</si>
  <si>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</si>
  <si>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</si>
  <si>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</si>
  <si>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</si>
  <si>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</si>
  <si>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</si>
  <si>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</si>
  <si>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</si>
  <si>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</si>
  <si>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</si>
  <si>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</si>
  <si>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</si>
  <si>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</si>
  <si>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</si>
  <si>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</si>
  <si>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t>Implied Valuation for 株式会社コア</t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</si>
  <si>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</si>
  <si>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</si>
  <si>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</si>
  <si>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</si>
  <si>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</si>
  <si>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</si>
  <si>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</si>
  <si>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</si>
  <si>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</si>
  <si>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</si>
  <si>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</si>
  <si>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</si>
  <si>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</si>
  <si>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</si>
  <si>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</si>
  <si>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</si>
  <si>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株式会社コア</t>
  </si>
  <si>
    <t>FY2026</t>
  </si>
  <si>
    <t>Future Society Solutions (未来社会ソリューション)</t>
  </si>
  <si>
    <t>—</t>
  </si>
  <si>
    <t>Operating Profit</t>
  </si>
  <si>
    <t>OP Margin</t>
  </si>
  <si>
    <t>Industrial Technology Solutions (産業技術ソリューション)</t>
  </si>
  <si>
    <t>Customer Business Integration (顧客業務インテグレーション)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</si>
  <si>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</si>
  <si>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</si>
  <si>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</si>
  <si>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</si>
  <si>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</si>
  <si>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</si>
  <si>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</si>
  <si>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</si>
  <si>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Driver Analysis - 株式会社コア</t>
  </si>
  <si>
    <t>Future Society Solutions (未来社会ソリューション) [manual]</t>
  </si>
  <si>
    <t>Revenue (Direct Input)</t>
  </si>
  <si>
    <t>YoY Growth</t>
  </si>
  <si>
    <t>Industrial Technology Solutions (産業技術ソリューション) [manmonth]</t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</si>
  <si>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</si>
  <si>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</si>
  <si>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</si>
  <si>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</si>
  <si>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</si>
  <si>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</si>
  <si>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</si>
  <si>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t>Customer Business Integration (顧客業務インテグレーション)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</si>
</sst>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#,##0.0;\(#,##0.0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176" fontId="5" fillId="0" borderId="2" xfId="0" applyNumberFormat="1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182" fontId="5" fillId="0" borderId="2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3" workbookViewId="0">
      <selection activeCell="H10" sqref="H10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8" t="s">
        <v>0</v>
      </c>
      <c r="C1" s="47"/>
      <c r="D1" s="47"/>
      <c r="E1" s="47"/>
    </row>
    <row r="3" spans="2:5" ht="18" x14ac:dyDescent="0.4">
      <c r="B3" s="46" t="s">
        <v>1</v>
      </c>
      <c r="C3" s="47"/>
      <c r="D3" s="47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2222</v>
      </c>
    </row>
    <row r="10" spans="2:5" ht="14" x14ac:dyDescent="0.3">
      <c r="B10" s="3" t="s">
        <v>10</v>
      </c>
      <c r="C10" s="4">
        <f>ROUND(AVERAGE(C16:C19),0)</f>
        <v>2924</v>
      </c>
    </row>
    <row r="11" spans="2:5" ht="14" x14ac:dyDescent="0.3">
      <c r="B11" s="3" t="s">
        <v>11</v>
      </c>
      <c r="C11" s="5" t="str">
        <f>IF(C12&gt;0.15,"BUY",IF(C12&gt;0.05,"HOLD","SELL"))</f>
        <v>BUY</v>
      </c>
    </row>
    <row r="12" spans="2:5" ht="14" x14ac:dyDescent="0.3">
      <c r="B12" s="3" t="s">
        <v>12</v>
      </c>
      <c r="C12" s="6">
        <f>(C10-C9)/C9</f>
        <v>0.3159315931593159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3041</v>
      </c>
      <c r="D16" s="6">
        <f>(C16-C9)/C9</f>
        <v>0.3685868586858686</v>
      </c>
    </row>
    <row r="17" spans="2:4" ht="13.5" x14ac:dyDescent="0.25">
      <c r="B17" t="s">
        <v>18</v>
      </c>
      <c r="C17" s="10">
        <f>'DCF Model'!C64</f>
        <v>4106</v>
      </c>
      <c r="D17" s="6">
        <f>(C17-C9)/C9</f>
        <v>0.84788478847884785</v>
      </c>
    </row>
    <row r="18" spans="2:4" ht="13.5" x14ac:dyDescent="0.25">
      <c r="B18" t="s">
        <v>19</v>
      </c>
      <c r="C18" s="10">
        <f>'Comps Analysis'!C27</f>
        <v>2490</v>
      </c>
      <c r="D18" s="6">
        <f>(C18-C9)/C9</f>
        <v>0.12061206120612061</v>
      </c>
    </row>
    <row r="19" spans="2:4" ht="13.5" x14ac:dyDescent="0.25">
      <c r="B19" t="s">
        <v>20</v>
      </c>
      <c r="C19" s="10">
        <f>'Comps Analysis'!C28</f>
        <v>2060</v>
      </c>
      <c r="D19" s="6">
        <f>(C19-C9)/C9</f>
        <v>-7.2907290729072913E-2</v>
      </c>
    </row>
    <row r="21" spans="2:4" ht="14" x14ac:dyDescent="0.3">
      <c r="B21" s="3" t="s">
        <v>21</v>
      </c>
      <c r="C21" s="5" t="str">
        <f>MIN(C16:C19)&amp;" - "&amp;MAX(C16:C19)</f>
        <v>2060 - 4106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G28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8" customWidth="1"/>
  </cols>
  <sheetData>
    <row r="2" spans="2:7" ht="18" x14ac:dyDescent="0.4">
      <c r="B2" s="1" t="s">
        <v>30</v>
      </c>
    </row>
    <row r="4" spans="2:7" ht="14" x14ac:dyDescent="0.3"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</row>
    <row r="5" spans="2:7" ht="14" x14ac:dyDescent="0.3">
      <c r="B5" s="2" t="s">
        <v>36</v>
      </c>
    </row>
    <row r="6" spans="2:7" ht="14" x14ac:dyDescent="0.3">
      <c r="B6" s="3" t="s">
        <v>37</v>
      </c>
      <c r="C6" s="4">
        <v>20785.261999999999</v>
      </c>
      <c r="D6" s="4">
        <v>21798.077000000001</v>
      </c>
      <c r="E6" s="4">
        <v>22848.129000000001</v>
      </c>
      <c r="F6" s="4">
        <v>23998.562000000002</v>
      </c>
      <c r="G6" s="4">
        <v>24599.166000000001</v>
      </c>
    </row>
    <row r="7" spans="2:7" ht="14" x14ac:dyDescent="0.3">
      <c r="B7" s="3" t="s">
        <v>38</v>
      </c>
      <c r="C7" s="4">
        <v>15524.609</v>
      </c>
      <c r="D7" s="4">
        <v>16231.035</v>
      </c>
      <c r="E7" s="4">
        <v>16853.21</v>
      </c>
      <c r="F7" s="4">
        <v>17407.88</v>
      </c>
      <c r="G7" s="4">
        <v>17821.474999999999</v>
      </c>
    </row>
    <row r="8" spans="2:7" ht="14" x14ac:dyDescent="0.3">
      <c r="B8" s="3" t="s">
        <v>39</v>
      </c>
      <c r="C8" s="4">
        <f>C6-C7</f>
        <v>5260.6529999999984</v>
      </c>
      <c r="D8" s="4">
        <f>D6-D7</f>
        <v>5567.0420000000013</v>
      </c>
      <c r="E8" s="4">
        <f>E6-E7</f>
        <v>5994.9190000000017</v>
      </c>
      <c r="F8" s="4">
        <f>F6-F7</f>
        <v>6590.6820000000007</v>
      </c>
      <c r="G8" s="4">
        <f>G6-G7</f>
        <v>6777.6910000000025</v>
      </c>
    </row>
    <row r="9" spans="2:7" ht="13.5" x14ac:dyDescent="0.25">
      <c r="B9" t="s">
        <v>40</v>
      </c>
      <c r="C9" s="6">
        <f>C8/C6</f>
        <v>0.25309534226703512</v>
      </c>
      <c r="D9" s="6">
        <f>D8/D6</f>
        <v>0.25539142741811588</v>
      </c>
      <c r="E9" s="6">
        <f>E8/E6</f>
        <v>0.26238117790739018</v>
      </c>
      <c r="F9" s="6">
        <f>F8/F6</f>
        <v>0.27462820480660466</v>
      </c>
      <c r="G9" s="6">
        <f>G8/G6</f>
        <v>0.27552523528643214</v>
      </c>
    </row>
    <row r="10" spans="2:7" ht="14" x14ac:dyDescent="0.3">
      <c r="B10" s="3" t="s">
        <v>41</v>
      </c>
      <c r="C10" s="4">
        <v>3228.5680000000002</v>
      </c>
      <c r="D10" s="4">
        <v>3199.384</v>
      </c>
      <c r="E10" s="4">
        <v>3251.0509999999999</v>
      </c>
      <c r="F10" s="4">
        <v>3450.098</v>
      </c>
      <c r="G10" s="4">
        <v>3602.2289999999998</v>
      </c>
    </row>
    <row r="11" spans="2:7" ht="14" x14ac:dyDescent="0.3">
      <c r="B11" s="3" t="s">
        <v>42</v>
      </c>
      <c r="C11" s="4">
        <v>2032.0840000000001</v>
      </c>
      <c r="D11" s="4">
        <v>2367.6579999999999</v>
      </c>
      <c r="E11" s="4">
        <v>2743.8670000000002</v>
      </c>
      <c r="F11" s="4">
        <v>3140.5830000000001</v>
      </c>
      <c r="G11" s="4">
        <v>3175.462</v>
      </c>
    </row>
    <row r="12" spans="2:7" ht="14" x14ac:dyDescent="0.3">
      <c r="B12" s="3" t="s">
        <v>43</v>
      </c>
      <c r="C12" s="4">
        <v>1423.3579999999999</v>
      </c>
      <c r="D12" s="4">
        <v>1622.7159999999999</v>
      </c>
      <c r="E12" s="4">
        <v>1968.404</v>
      </c>
      <c r="F12" s="4">
        <v>2270.7040000000002</v>
      </c>
      <c r="G12" s="4">
        <v>2242.34</v>
      </c>
    </row>
    <row r="13" spans="2:7" ht="13.5" x14ac:dyDescent="0.25">
      <c r="B13" t="s">
        <v>44</v>
      </c>
      <c r="C13" s="6">
        <f>C11/C6</f>
        <v>9.7765618735044094E-2</v>
      </c>
      <c r="D13" s="6">
        <f>D11/D6</f>
        <v>0.1086177464186405</v>
      </c>
      <c r="E13" s="6">
        <f>E11/E6</f>
        <v>0.12009154009941034</v>
      </c>
      <c r="F13" s="6">
        <f>F11/F6</f>
        <v>0.13086546602250584</v>
      </c>
      <c r="G13" s="6">
        <f>G11/G6</f>
        <v>0.12908819754295733</v>
      </c>
    </row>
    <row r="14" spans="2:7" ht="13.5" x14ac:dyDescent="0.25">
      <c r="B14" t="s">
        <v>45</v>
      </c>
      <c r="C14" s="6">
        <f>C12/C6</f>
        <v>6.8479194536975291E-2</v>
      </c>
      <c r="D14" s="6">
        <f>D12/D6</f>
        <v>7.4443080460721373E-2</v>
      </c>
      <c r="E14" s="6">
        <f>E12/E6</f>
        <v>8.615164944140502E-2</v>
      </c>
      <c r="F14" s="6">
        <f>F12/F6</f>
        <v>9.4618335881958268E-2</v>
      </c>
      <c r="G14" s="6">
        <f>G12/G6</f>
        <v>9.1155122901321134E-2</v>
      </c>
    </row>
    <row r="15" spans="2:7" ht="13.5" x14ac:dyDescent="0.25">
      <c r="B15" t="s">
        <v>46</v>
      </c>
      <c r="C15" t="s">
        <v>47</v>
      </c>
      <c r="D15" s="6">
        <f>(D6-C6)/C6</f>
        <v>4.8727555130168791E-2</v>
      </c>
      <c r="E15" s="6">
        <f>(E6-D6)/D6</f>
        <v>4.8171772216420723E-2</v>
      </c>
      <c r="F15" s="6">
        <f>(F6-E6)/E6</f>
        <v>5.0351300099890056E-2</v>
      </c>
      <c r="G15" s="6">
        <f>(G6-F6)/F6</f>
        <v>2.5026666181081989E-2</v>
      </c>
    </row>
    <row r="16" spans="2:7" ht="13.5" x14ac:dyDescent="0.25">
      <c r="B16" t="s">
        <v>48</v>
      </c>
      <c r="C16" t="s">
        <v>47</v>
      </c>
      <c r="D16" s="6">
        <f>(D11-C11)/C11</f>
        <v>0.16513785847435433</v>
      </c>
      <c r="E16" s="6">
        <f>(E11-D11)/D11</f>
        <v>0.15889499243556304</v>
      </c>
      <c r="F16" s="6">
        <f>(F11-E11)/E11</f>
        <v>0.14458280958953182</v>
      </c>
      <c r="G16" s="6">
        <f>(G11-F11)/F11</f>
        <v>1.1105899764470451E-2</v>
      </c>
    </row>
    <row r="18" spans="2:7" ht="14" x14ac:dyDescent="0.3">
      <c r="B18" s="2" t="s">
        <v>49</v>
      </c>
    </row>
    <row r="19" spans="2:7" ht="14" x14ac:dyDescent="0.3">
      <c r="B19" s="3" t="s">
        <v>50</v>
      </c>
      <c r="C19" s="4">
        <v>1851.105</v>
      </c>
      <c r="D19" s="4">
        <v>1799.231</v>
      </c>
      <c r="E19" s="4">
        <v>1943.7950000000001</v>
      </c>
      <c r="F19" s="4">
        <v>2190.0940000000001</v>
      </c>
      <c r="G19" s="4">
        <v>2372.799</v>
      </c>
    </row>
    <row r="20" spans="2:7" ht="14" x14ac:dyDescent="0.3">
      <c r="B20" s="3" t="s">
        <v>51</v>
      </c>
      <c r="C20" s="4">
        <v>93.543000000000006</v>
      </c>
      <c r="D20" s="4">
        <v>72.084000000000003</v>
      </c>
      <c r="E20" s="4">
        <v>85.454999999999998</v>
      </c>
      <c r="F20" s="4">
        <v>93.4</v>
      </c>
      <c r="G20" s="4">
        <v>95.32</v>
      </c>
    </row>
    <row r="21" spans="2:7" ht="14" x14ac:dyDescent="0.3">
      <c r="B21" s="3" t="s">
        <v>52</v>
      </c>
      <c r="C21" s="4">
        <f>C19-C20</f>
        <v>1757.5619999999999</v>
      </c>
      <c r="D21" s="4">
        <f>D19-D20</f>
        <v>1727.1469999999999</v>
      </c>
      <c r="E21" s="4">
        <f>E19-E20</f>
        <v>1858.3400000000001</v>
      </c>
      <c r="F21" s="4">
        <f>F19-F20</f>
        <v>2096.694</v>
      </c>
      <c r="G21" s="4">
        <f>G19-G20</f>
        <v>2277.4789999999998</v>
      </c>
    </row>
    <row r="22" spans="2:7" ht="13.5" x14ac:dyDescent="0.25">
      <c r="B22" t="s">
        <v>53</v>
      </c>
      <c r="C22" s="6">
        <f>C21/C6</f>
        <v>8.4558087360168954E-2</v>
      </c>
      <c r="D22" s="6">
        <f>D21/D6</f>
        <v>7.9233915909187769E-2</v>
      </c>
      <c r="E22" s="6">
        <f>E21/E6</f>
        <v>8.1334449748598672E-2</v>
      </c>
      <c r="F22" s="6">
        <f>F21/F6</f>
        <v>8.7367484768462372E-2</v>
      </c>
      <c r="G22" s="6">
        <f>G21/G6</f>
        <v>9.258358596384933E-2</v>
      </c>
    </row>
    <row r="23" spans="2:7" ht="13.5" x14ac:dyDescent="0.25">
      <c r="B23" t="s">
        <v>54</v>
      </c>
      <c r="C23" s="6">
        <f>C20/C6</f>
        <v>4.5004484427475589E-3</v>
      </c>
      <c r="D23" s="6">
        <f>D20/D6</f>
        <v>3.3068972093272266E-3</v>
      </c>
      <c r="E23" s="6">
        <f>E20/E6</f>
        <v>3.7401311941122179E-3</v>
      </c>
      <c r="F23" s="6">
        <f>F20/F6</f>
        <v>3.8918998563330586E-3</v>
      </c>
      <c r="G23" s="6">
        <f>G20/G6</f>
        <v>3.8749281174817059E-3</v>
      </c>
    </row>
    <row r="25" spans="2:7" ht="14" x14ac:dyDescent="0.3">
      <c r="B25" s="2" t="s">
        <v>55</v>
      </c>
    </row>
    <row r="26" spans="2:7" ht="14" x14ac:dyDescent="0.3">
      <c r="B26" s="3" t="s">
        <v>56</v>
      </c>
      <c r="C26" s="4">
        <v>3636.2190000000001</v>
      </c>
      <c r="D26" s="4">
        <v>4700.2349999999997</v>
      </c>
      <c r="E26" s="4">
        <v>5586.9340000000002</v>
      </c>
      <c r="F26" s="4">
        <v>6300.0749999999998</v>
      </c>
      <c r="G26" s="4">
        <v>7586.0709999999999</v>
      </c>
    </row>
    <row r="27" spans="2:7" ht="14" x14ac:dyDescent="0.3">
      <c r="B27" s="3" t="s">
        <v>57</v>
      </c>
      <c r="C27" s="4">
        <v>2109.6999999999998</v>
      </c>
      <c r="D27" s="4">
        <v>1963.6</v>
      </c>
      <c r="E27" s="4">
        <v>1812</v>
      </c>
      <c r="F27" s="4">
        <v>1734.8</v>
      </c>
      <c r="G27" s="4">
        <v>1412.4</v>
      </c>
    </row>
    <row r="28" spans="2:7" ht="14" x14ac:dyDescent="0.3">
      <c r="B28" s="3" t="s">
        <v>58</v>
      </c>
      <c r="C28" s="4">
        <f>C27-C26</f>
        <v>-1526.5190000000002</v>
      </c>
      <c r="D28" s="4">
        <f>D27-D26</f>
        <v>-2736.6349999999998</v>
      </c>
      <c r="E28" s="4">
        <f>E27-E26</f>
        <v>-3774.9340000000002</v>
      </c>
      <c r="F28" s="4">
        <f>F27-F26</f>
        <v>-4565.2749999999996</v>
      </c>
      <c r="G28" s="4">
        <f>G27-G26</f>
        <v>-6173.6710000000003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abSelected="1" topLeftCell="A7" workbookViewId="0">
      <selection activeCell="C9" sqref="C9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59</v>
      </c>
    </row>
    <row r="4" spans="2:7" ht="14" x14ac:dyDescent="0.3">
      <c r="B4" s="7" t="s">
        <v>60</v>
      </c>
      <c r="C4" s="8"/>
      <c r="D4" s="8"/>
      <c r="E4" s="8"/>
      <c r="F4" s="8"/>
      <c r="G4" s="8"/>
    </row>
    <row r="5" spans="2:7" ht="14" x14ac:dyDescent="0.3">
      <c r="B5" s="3" t="s">
        <v>54</v>
      </c>
      <c r="C5" s="6">
        <v>4.1668079316184948E-3</v>
      </c>
    </row>
    <row r="6" spans="2:7" ht="14" x14ac:dyDescent="0.3">
      <c r="B6" s="3" t="s">
        <v>61</v>
      </c>
      <c r="C6" s="6">
        <v>0.30499999999999999</v>
      </c>
    </row>
    <row r="7" spans="2:7" ht="14" x14ac:dyDescent="0.3">
      <c r="B7" s="3" t="s">
        <v>62</v>
      </c>
      <c r="C7" s="6">
        <v>2.1999999999999999E-2</v>
      </c>
    </row>
    <row r="8" spans="2:7" ht="14" x14ac:dyDescent="0.3">
      <c r="B8" s="3" t="s">
        <v>63</v>
      </c>
      <c r="C8" s="11">
        <v>0.88</v>
      </c>
    </row>
    <row r="9" spans="2:7" ht="14" x14ac:dyDescent="0.3">
      <c r="B9" s="3" t="s">
        <v>64</v>
      </c>
      <c r="C9" s="6">
        <v>6.5000000000000002E-2</v>
      </c>
    </row>
    <row r="10" spans="2:7" ht="14" x14ac:dyDescent="0.3">
      <c r="B10" s="3" t="s">
        <v>65</v>
      </c>
      <c r="C10" s="6">
        <v>0.04</v>
      </c>
    </row>
    <row r="11" spans="2:7" ht="14" x14ac:dyDescent="0.3">
      <c r="B11" s="3" t="s">
        <v>66</v>
      </c>
      <c r="C11" s="6">
        <v>5.0000000000000001E-3</v>
      </c>
    </row>
    <row r="12" spans="2:7" ht="14" x14ac:dyDescent="0.3">
      <c r="B12" s="3" t="s">
        <v>67</v>
      </c>
      <c r="C12" s="12">
        <v>0</v>
      </c>
    </row>
    <row r="13" spans="2:7" ht="14" x14ac:dyDescent="0.3">
      <c r="B13" s="3" t="s">
        <v>68</v>
      </c>
      <c r="C13" s="6">
        <v>1.4999999999999999E-2</v>
      </c>
    </row>
    <row r="14" spans="2:7" ht="14" x14ac:dyDescent="0.3">
      <c r="B14" s="3" t="s">
        <v>69</v>
      </c>
      <c r="C14" s="13">
        <v>10</v>
      </c>
    </row>
    <row r="15" spans="2:7" ht="14" x14ac:dyDescent="0.3">
      <c r="B15" s="3" t="s">
        <v>70</v>
      </c>
      <c r="C15" s="14">
        <v>14368501</v>
      </c>
    </row>
    <row r="16" spans="2:7" ht="14" x14ac:dyDescent="0.3">
      <c r="B16" s="3" t="s">
        <v>71</v>
      </c>
      <c r="C16" s="4">
        <v>-7296.8</v>
      </c>
    </row>
    <row r="17" spans="2:7" ht="14" x14ac:dyDescent="0.3">
      <c r="B17" s="3" t="s">
        <v>72</v>
      </c>
      <c r="C17" s="4">
        <v>24599.166000000001</v>
      </c>
    </row>
    <row r="18" spans="2:7" ht="14" x14ac:dyDescent="0.3">
      <c r="B18" s="3" t="s">
        <v>73</v>
      </c>
      <c r="C18" s="6">
        <v>8.5876895176039709E-3</v>
      </c>
    </row>
    <row r="19" spans="2:7" ht="14" x14ac:dyDescent="0.3">
      <c r="B19" s="3" t="s">
        <v>74</v>
      </c>
      <c r="C19" s="11">
        <v>0.25</v>
      </c>
    </row>
    <row r="20" spans="2:7" ht="14" x14ac:dyDescent="0.3">
      <c r="B20" s="3" t="s">
        <v>75</v>
      </c>
      <c r="C20" s="4">
        <v>24599</v>
      </c>
    </row>
    <row r="22" spans="2:7" ht="14" x14ac:dyDescent="0.3">
      <c r="B22" s="7" t="s">
        <v>76</v>
      </c>
      <c r="C22" s="8"/>
      <c r="D22" s="8"/>
      <c r="E22" s="8"/>
      <c r="F22" s="8"/>
      <c r="G22" s="8"/>
    </row>
    <row r="23" spans="2:7" ht="14" x14ac:dyDescent="0.3">
      <c r="B23" s="3" t="s">
        <v>77</v>
      </c>
      <c r="C23" s="15">
        <f>C7+C8*C9+C10</f>
        <v>0.1192</v>
      </c>
    </row>
    <row r="24" spans="2:7" ht="14" x14ac:dyDescent="0.3">
      <c r="B24" s="3" t="s">
        <v>78</v>
      </c>
      <c r="C24" s="15">
        <f>1/(1+C12)</f>
        <v>1</v>
      </c>
    </row>
    <row r="25" spans="2:7" ht="14" x14ac:dyDescent="0.3">
      <c r="B25" s="3" t="s">
        <v>79</v>
      </c>
      <c r="C25" s="15">
        <f>C12/(1+C12)</f>
        <v>0</v>
      </c>
    </row>
    <row r="26" spans="2:7" ht="14" x14ac:dyDescent="0.3">
      <c r="B26" s="3" t="s">
        <v>80</v>
      </c>
      <c r="C26" s="15">
        <f>C23*C24+C11*C25</f>
        <v>0.1192</v>
      </c>
    </row>
    <row r="27" spans="2:7" ht="14" x14ac:dyDescent="0.3">
      <c r="B27" s="3" t="s">
        <v>81</v>
      </c>
      <c r="C27" s="16" t="s">
        <v>82</v>
      </c>
      <c r="D27" s="5">
        <f>MATCH(C27,B69:B73,0)</f>
        <v>1</v>
      </c>
    </row>
    <row r="28" spans="2:7" ht="14" x14ac:dyDescent="0.3">
      <c r="B28" s="7" t="s">
        <v>83</v>
      </c>
      <c r="C28" s="8"/>
      <c r="D28" s="8"/>
      <c r="E28" s="8"/>
      <c r="F28" s="8"/>
      <c r="G28" s="8"/>
    </row>
    <row r="29" spans="2:7" ht="14" x14ac:dyDescent="0.3">
      <c r="C29" s="9" t="s">
        <v>84</v>
      </c>
      <c r="D29" s="9" t="s">
        <v>85</v>
      </c>
      <c r="E29" s="9" t="s">
        <v>86</v>
      </c>
      <c r="F29" s="9" t="s">
        <v>87</v>
      </c>
      <c r="G29" s="9" t="s">
        <v>88</v>
      </c>
    </row>
    <row r="30" spans="2:7" ht="14" x14ac:dyDescent="0.3">
      <c r="B30" s="3" t="s">
        <v>46</v>
      </c>
      <c r="C30" s="17">
        <f>CHOOSE($D$27,C69,C70,C71,C72,C73)</f>
        <v>9.8000000000000004E-2</v>
      </c>
      <c r="D30" s="17">
        <f>CHOOSE($D$27,D69,D70,D71,D72,D73)</f>
        <v>0.104</v>
      </c>
      <c r="E30" s="17">
        <f>CHOOSE($D$27,E69,E70,E71,E72,E73)</f>
        <v>7.0000000000000007E-2</v>
      </c>
      <c r="F30" s="17">
        <f>CHOOSE($D$27,F69,F70,F71,F72,F73)</f>
        <v>0.05</v>
      </c>
      <c r="G30" s="17">
        <f>CHOOSE($D$27,G69,G70,G71,G72,G73)</f>
        <v>0.04</v>
      </c>
    </row>
    <row r="31" spans="2:7" ht="14" x14ac:dyDescent="0.3">
      <c r="B31" s="3" t="s">
        <v>89</v>
      </c>
      <c r="C31" s="17">
        <f>CHOOSE($D$27,C76,C77,C78,C79,C80)</f>
        <v>0.71699999999999997</v>
      </c>
      <c r="D31" s="17">
        <f>CHOOSE($D$27,D76,D77,D78,D79,D80)</f>
        <v>0.71299999999999997</v>
      </c>
      <c r="E31" s="17">
        <f>CHOOSE($D$27,E76,E77,E78,E79,E80)</f>
        <v>0.71</v>
      </c>
      <c r="F31" s="17">
        <f>CHOOSE($D$27,F76,F77,F78,F79,F80)</f>
        <v>0.70499999999999996</v>
      </c>
      <c r="G31" s="17">
        <f>CHOOSE($D$27,G76,G77,G78,G79,G80)</f>
        <v>0.7</v>
      </c>
    </row>
    <row r="32" spans="2:7" ht="14" x14ac:dyDescent="0.3">
      <c r="B32" s="3" t="s">
        <v>90</v>
      </c>
      <c r="C32" s="17">
        <f>CHOOSE($D$27,C83,C84,C85,C86,C87)</f>
        <v>0.13300000000000001</v>
      </c>
      <c r="D32" s="17">
        <f>CHOOSE($D$27,D83,D84,D85,D86,D87)</f>
        <v>0.13</v>
      </c>
      <c r="E32" s="17">
        <f>CHOOSE($D$27,E83,E84,E85,E86,E87)</f>
        <v>0.128</v>
      </c>
      <c r="F32" s="17">
        <f>CHOOSE($D$27,F83,F84,F85,F86,F87)</f>
        <v>0.126</v>
      </c>
      <c r="G32" s="17">
        <f>CHOOSE($D$27,G83,G84,G85,G86,G87)</f>
        <v>0.125</v>
      </c>
    </row>
    <row r="33" spans="2:7" ht="14" x14ac:dyDescent="0.3">
      <c r="B33" s="3" t="s">
        <v>37</v>
      </c>
      <c r="C33" s="4">
        <f>C17*(1+C30)</f>
        <v>27009.884268000002</v>
      </c>
      <c r="D33" s="4">
        <f>C33*(1+D30)</f>
        <v>29818.912231872004</v>
      </c>
      <c r="E33" s="4">
        <f>D33*(1+E30)</f>
        <v>31906.236088103047</v>
      </c>
      <c r="F33" s="4">
        <f>E33*(1+F30)</f>
        <v>33501.547892508199</v>
      </c>
      <c r="G33" s="4">
        <f>F33*(1+G30)</f>
        <v>34841.60980820853</v>
      </c>
    </row>
    <row r="34" spans="2:7" ht="14" x14ac:dyDescent="0.3">
      <c r="B34" s="3" t="s">
        <v>38</v>
      </c>
      <c r="C34" s="4">
        <f>C33*C31</f>
        <v>19366.087020155999</v>
      </c>
      <c r="D34" s="4">
        <f>D33*D31</f>
        <v>21260.884421324739</v>
      </c>
      <c r="E34" s="4">
        <f>E33*E31</f>
        <v>22653.427622553161</v>
      </c>
      <c r="F34" s="4">
        <f>F33*F31</f>
        <v>23618.591264218278</v>
      </c>
      <c r="G34" s="4">
        <f>G33*G31</f>
        <v>24389.12686574597</v>
      </c>
    </row>
    <row r="35" spans="2:7" ht="14" x14ac:dyDescent="0.3">
      <c r="B35" s="3" t="s">
        <v>39</v>
      </c>
      <c r="C35" s="18">
        <f>C33-C34</f>
        <v>7643.7972478440024</v>
      </c>
      <c r="D35" s="18">
        <f>D33-D34</f>
        <v>8558.0278105472644</v>
      </c>
      <c r="E35" s="18">
        <f>E33-E34</f>
        <v>9252.808465549886</v>
      </c>
      <c r="F35" s="18">
        <f>F33-F34</f>
        <v>9882.9566282899214</v>
      </c>
      <c r="G35" s="18">
        <f>G33-G34</f>
        <v>10452.48294246256</v>
      </c>
    </row>
    <row r="36" spans="2:7" ht="14" x14ac:dyDescent="0.3">
      <c r="B36" s="3" t="s">
        <v>40</v>
      </c>
      <c r="C36" s="6">
        <f>C35/C33</f>
        <v>0.28300000000000008</v>
      </c>
      <c r="D36" s="6">
        <f>D35/D33</f>
        <v>0.28699999999999998</v>
      </c>
      <c r="E36" s="6">
        <f>E35/E33</f>
        <v>0.29000000000000009</v>
      </c>
      <c r="F36" s="6">
        <f>F35/F33</f>
        <v>0.2950000000000001</v>
      </c>
      <c r="G36" s="6">
        <f>G35/G33</f>
        <v>0.30000000000000004</v>
      </c>
    </row>
    <row r="37" spans="2:7" ht="14" x14ac:dyDescent="0.3">
      <c r="B37" s="3" t="s">
        <v>91</v>
      </c>
      <c r="C37" s="4">
        <f>C33*C32</f>
        <v>3592.3146076440003</v>
      </c>
      <c r="D37" s="4">
        <f>D33*D32</f>
        <v>3876.4585901433607</v>
      </c>
      <c r="E37" s="4">
        <f>E33*E32</f>
        <v>4083.9982192771899</v>
      </c>
      <c r="F37" s="4">
        <f>F33*F32</f>
        <v>4221.1950344560328</v>
      </c>
      <c r="G37" s="4">
        <f>G33*G32</f>
        <v>4355.2012260260663</v>
      </c>
    </row>
    <row r="38" spans="2:7" ht="14" x14ac:dyDescent="0.3">
      <c r="B38" s="3" t="s">
        <v>92</v>
      </c>
      <c r="C38" s="6">
        <f>(C35-C37)/C33</f>
        <v>0.15000000000000008</v>
      </c>
      <c r="D38" s="6">
        <f>(D35-D37)/D33</f>
        <v>0.15699999999999997</v>
      </c>
      <c r="E38" s="6">
        <f>(E35-E37)/E33</f>
        <v>0.16200000000000009</v>
      </c>
      <c r="F38" s="6">
        <f>(F35-F37)/F33</f>
        <v>0.16900000000000009</v>
      </c>
      <c r="G38" s="6">
        <f>(G35-G37)/G33</f>
        <v>0.17500000000000004</v>
      </c>
    </row>
    <row r="39" spans="2:7" ht="14" x14ac:dyDescent="0.3">
      <c r="B39" s="3" t="s">
        <v>93</v>
      </c>
      <c r="C39" s="18">
        <f>C35-C37</f>
        <v>4051.4826402000022</v>
      </c>
      <c r="D39" s="18">
        <f>D35-D37</f>
        <v>4681.5692204039042</v>
      </c>
      <c r="E39" s="18">
        <f>E35-E37</f>
        <v>5168.8102462726965</v>
      </c>
      <c r="F39" s="18">
        <f>F35-F37</f>
        <v>5661.7615938338886</v>
      </c>
      <c r="G39" s="18">
        <f>G35-G37</f>
        <v>6097.2817164364942</v>
      </c>
    </row>
    <row r="40" spans="2:7" ht="14" x14ac:dyDescent="0.3">
      <c r="B40" s="3" t="s">
        <v>94</v>
      </c>
      <c r="C40" s="4">
        <f>MAX(0,C39*C6)</f>
        <v>1235.7022052610007</v>
      </c>
      <c r="D40" s="4">
        <f>MAX(0,D39*C6)</f>
        <v>1427.8786122231907</v>
      </c>
      <c r="E40" s="4">
        <f>MAX(0,E39*C6)</f>
        <v>1576.4871251131724</v>
      </c>
      <c r="F40" s="4">
        <f>MAX(0,F39*C6)</f>
        <v>1726.8372861193359</v>
      </c>
      <c r="G40" s="4">
        <f>MAX(0,G39*C6)</f>
        <v>1859.6709235131307</v>
      </c>
    </row>
    <row r="41" spans="2:7" ht="14" x14ac:dyDescent="0.3">
      <c r="B41" s="3" t="s">
        <v>95</v>
      </c>
      <c r="C41" s="18">
        <f>C39-C40</f>
        <v>2815.7804349390017</v>
      </c>
      <c r="D41" s="18">
        <f>D39-D40</f>
        <v>3253.6906081807138</v>
      </c>
      <c r="E41" s="18">
        <f>E39-E40</f>
        <v>3592.3231211595239</v>
      </c>
      <c r="F41" s="18">
        <f>F39-F40</f>
        <v>3934.9243077145529</v>
      </c>
      <c r="G41" s="18">
        <f>G39-G40</f>
        <v>4237.610792923364</v>
      </c>
    </row>
    <row r="42" spans="2:7" ht="14" x14ac:dyDescent="0.3">
      <c r="B42" s="3" t="s">
        <v>96</v>
      </c>
      <c r="C42" s="4">
        <v>210</v>
      </c>
      <c r="D42" s="4">
        <v>210</v>
      </c>
      <c r="E42" s="4">
        <v>210</v>
      </c>
      <c r="F42" s="4">
        <v>215</v>
      </c>
      <c r="G42" s="4">
        <f>G33*C18</f>
        <v>299.2089273264001</v>
      </c>
    </row>
    <row r="43" spans="2:7" ht="14" x14ac:dyDescent="0.3">
      <c r="B43" s="3" t="s">
        <v>97</v>
      </c>
      <c r="C43" s="4">
        <v>100</v>
      </c>
      <c r="D43" s="4">
        <v>100</v>
      </c>
      <c r="E43" s="4">
        <v>105</v>
      </c>
      <c r="F43" s="4">
        <v>105</v>
      </c>
      <c r="G43" s="4">
        <f>G33*C5</f>
        <v>145.17829609920005</v>
      </c>
    </row>
    <row r="44" spans="2:7" ht="14" x14ac:dyDescent="0.3">
      <c r="B44" s="3" t="s">
        <v>98</v>
      </c>
      <c r="C44" s="4">
        <f>'NWC Schedule'!D19</f>
        <v>562.28812941226352</v>
      </c>
      <c r="D44" s="4">
        <f>'NWC Schedule'!E19</f>
        <v>711.04400931736927</v>
      </c>
      <c r="E44" s="4">
        <f>'NWC Schedule'!F19</f>
        <v>545.1060547286088</v>
      </c>
      <c r="F44" s="4">
        <f>'NWC Schedule'!G19</f>
        <v>424.22181845360319</v>
      </c>
      <c r="G44" s="4">
        <f>'NWC Schedule'!H19</f>
        <v>359.43030560838815</v>
      </c>
    </row>
    <row r="45" spans="2:7" ht="14" x14ac:dyDescent="0.3">
      <c r="B45" s="3" t="s">
        <v>99</v>
      </c>
      <c r="C45" s="19">
        <f>C41+C42-C43-C44</f>
        <v>2363.4923055267382</v>
      </c>
      <c r="D45" s="19">
        <f>D41+D42-D43-D44</f>
        <v>2652.6465988633445</v>
      </c>
      <c r="E45" s="19">
        <f>E41+E42-E43-E44</f>
        <v>3152.2170664309151</v>
      </c>
      <c r="F45" s="19">
        <f>F41+F42-F43-F44</f>
        <v>3620.7024892609497</v>
      </c>
      <c r="G45" s="19">
        <f>G41+G42-G43-G44</f>
        <v>4032.2111185421754</v>
      </c>
    </row>
    <row r="46" spans="2:7" ht="14" x14ac:dyDescent="0.3">
      <c r="B46" s="3" t="s">
        <v>100</v>
      </c>
      <c r="C46" s="20">
        <f>1/(1+C26)^(C19+0)</f>
        <v>0.97223908155185634</v>
      </c>
      <c r="D46" s="20">
        <f>1/(1+C26)^(C19+1)</f>
        <v>0.86869110217285239</v>
      </c>
      <c r="E46" s="20">
        <f>1/(1+C26)^(C19+2)</f>
        <v>0.77617146369983236</v>
      </c>
      <c r="F46" s="20">
        <f>1/(1+C26)^(C19+3)</f>
        <v>0.69350559658669797</v>
      </c>
      <c r="G46" s="20">
        <f>1/(1+C26)^(C19+4)</f>
        <v>0.61964402840126698</v>
      </c>
    </row>
    <row r="47" spans="2:7" ht="14" x14ac:dyDescent="0.3">
      <c r="B47" s="3" t="s">
        <v>101</v>
      </c>
      <c r="C47" s="18">
        <f>C45*C46</f>
        <v>2297.8795883801954</v>
      </c>
      <c r="D47" s="18">
        <f>D45*D46</f>
        <v>2304.3304976416671</v>
      </c>
      <c r="E47" s="18">
        <f>E45*E46</f>
        <v>2446.660934351275</v>
      </c>
      <c r="F47" s="18">
        <f>F45*F46</f>
        <v>2510.9774398778573</v>
      </c>
      <c r="G47" s="18">
        <f>G45*G46</f>
        <v>2498.5355408578521</v>
      </c>
    </row>
    <row r="49" spans="2:7" ht="14" x14ac:dyDescent="0.3">
      <c r="B49" s="21" t="s">
        <v>102</v>
      </c>
      <c r="C49" s="22"/>
      <c r="D49" s="22"/>
      <c r="E49" s="22"/>
      <c r="F49" s="22"/>
      <c r="G49" s="22"/>
    </row>
    <row r="50" spans="2:7" ht="14" x14ac:dyDescent="0.3">
      <c r="B50" s="3" t="s">
        <v>103</v>
      </c>
      <c r="C50" s="4">
        <f>SUM(C47:G47)</f>
        <v>12058.384001108847</v>
      </c>
    </row>
    <row r="51" spans="2:7" ht="14" x14ac:dyDescent="0.3">
      <c r="B51" s="3" t="s">
        <v>104</v>
      </c>
      <c r="C51" s="4">
        <f>G45*(1+C13)/(C26-C13)</f>
        <v>39277.296404225599</v>
      </c>
    </row>
    <row r="52" spans="2:7" ht="14" x14ac:dyDescent="0.3">
      <c r="B52" s="3" t="s">
        <v>105</v>
      </c>
      <c r="C52" s="4">
        <f>C51*G46</f>
        <v>24337.942168624948</v>
      </c>
    </row>
    <row r="53" spans="2:7" ht="14" x14ac:dyDescent="0.3">
      <c r="B53" s="3" t="s">
        <v>106</v>
      </c>
      <c r="C53" s="4">
        <f>C50+C52</f>
        <v>36396.326169733795</v>
      </c>
    </row>
    <row r="54" spans="2:7" ht="14" x14ac:dyDescent="0.3">
      <c r="B54" s="3" t="s">
        <v>107</v>
      </c>
      <c r="C54" s="4">
        <f>C53-C16</f>
        <v>43693.126169733798</v>
      </c>
    </row>
    <row r="55" spans="2:7" ht="14" x14ac:dyDescent="0.3">
      <c r="B55" s="3" t="s">
        <v>108</v>
      </c>
      <c r="C55" s="23">
        <f>ROUND(C54*1000000/C15,0)</f>
        <v>3041</v>
      </c>
    </row>
    <row r="57" spans="2:7" ht="14" x14ac:dyDescent="0.3">
      <c r="B57" s="21" t="s">
        <v>109</v>
      </c>
      <c r="C57" s="22"/>
      <c r="D57" s="22"/>
      <c r="E57" s="22"/>
      <c r="F57" s="22"/>
      <c r="G57" s="22"/>
    </row>
    <row r="58" spans="2:7" ht="14" x14ac:dyDescent="0.3">
      <c r="B58" s="3" t="s">
        <v>103</v>
      </c>
      <c r="C58" s="4">
        <f>C50</f>
        <v>12058.384001108847</v>
      </c>
    </row>
    <row r="59" spans="2:7" ht="14" x14ac:dyDescent="0.3">
      <c r="B59" s="3" t="s">
        <v>110</v>
      </c>
      <c r="C59" s="4">
        <f>G39+G42</f>
        <v>6396.4906437628943</v>
      </c>
    </row>
    <row r="60" spans="2:7" ht="14" x14ac:dyDescent="0.3">
      <c r="B60" s="3" t="s">
        <v>111</v>
      </c>
      <c r="C60" s="4">
        <f>C59*C14</f>
        <v>63964.906437628946</v>
      </c>
    </row>
    <row r="61" spans="2:7" ht="14" x14ac:dyDescent="0.3">
      <c r="B61" s="3" t="s">
        <v>105</v>
      </c>
      <c r="C61" s="4">
        <f>C60*G46</f>
        <v>39635.472301322538</v>
      </c>
    </row>
    <row r="62" spans="2:7" ht="14" x14ac:dyDescent="0.3">
      <c r="B62" s="3" t="s">
        <v>106</v>
      </c>
      <c r="C62" s="4">
        <f>C58+C61</f>
        <v>51693.856302431384</v>
      </c>
    </row>
    <row r="63" spans="2:7" ht="14" x14ac:dyDescent="0.3">
      <c r="B63" s="3" t="s">
        <v>107</v>
      </c>
      <c r="C63" s="4">
        <f>C62-C16</f>
        <v>58990.656302431387</v>
      </c>
    </row>
    <row r="64" spans="2:7" ht="14" x14ac:dyDescent="0.3">
      <c r="B64" s="3" t="s">
        <v>112</v>
      </c>
      <c r="C64" s="23">
        <f>ROUND(C63*1000000/C15,0)</f>
        <v>4106</v>
      </c>
    </row>
    <row r="66" spans="2:7" ht="14" x14ac:dyDescent="0.3">
      <c r="B66" s="21" t="s">
        <v>113</v>
      </c>
      <c r="C66" s="22"/>
      <c r="D66" s="22"/>
      <c r="E66" s="22"/>
      <c r="F66" s="22"/>
      <c r="G66" s="22"/>
    </row>
    <row r="67" spans="2:7" ht="14" x14ac:dyDescent="0.3">
      <c r="C67" s="24" t="s">
        <v>114</v>
      </c>
      <c r="D67" s="24" t="s">
        <v>115</v>
      </c>
      <c r="E67" s="24" t="s">
        <v>116</v>
      </c>
      <c r="F67" s="24" t="s">
        <v>117</v>
      </c>
      <c r="G67" s="24" t="s">
        <v>118</v>
      </c>
    </row>
    <row r="68" spans="2:7" ht="14" x14ac:dyDescent="0.3">
      <c r="B68" s="2" t="s">
        <v>46</v>
      </c>
    </row>
    <row r="69" spans="2:7" ht="14" x14ac:dyDescent="0.3">
      <c r="B69" s="3" t="s">
        <v>82</v>
      </c>
      <c r="C69" s="25">
        <v>9.8000000000000004E-2</v>
      </c>
      <c r="D69" s="25">
        <v>0.104</v>
      </c>
      <c r="E69" s="25">
        <v>7.0000000000000007E-2</v>
      </c>
      <c r="F69" s="25">
        <v>0.05</v>
      </c>
      <c r="G69" s="25">
        <v>0.04</v>
      </c>
    </row>
    <row r="70" spans="2:7" ht="14" x14ac:dyDescent="0.3">
      <c r="B70" s="3" t="s">
        <v>119</v>
      </c>
      <c r="C70" s="25">
        <v>9.8000000000000004E-2</v>
      </c>
      <c r="D70" s="25">
        <v>0.14000000000000001</v>
      </c>
      <c r="E70" s="25">
        <v>0.1</v>
      </c>
      <c r="F70" s="25">
        <v>0.08</v>
      </c>
      <c r="G70" s="25">
        <v>0.06</v>
      </c>
    </row>
    <row r="71" spans="2:7" ht="14" x14ac:dyDescent="0.3">
      <c r="B71" s="3" t="s">
        <v>120</v>
      </c>
      <c r="C71" s="25">
        <v>9.8000000000000004E-2</v>
      </c>
      <c r="D71" s="25">
        <v>0.08</v>
      </c>
      <c r="E71" s="25">
        <v>0.06</v>
      </c>
      <c r="F71" s="25">
        <v>0.05</v>
      </c>
      <c r="G71" s="25">
        <v>0.04</v>
      </c>
    </row>
    <row r="72" spans="2:7" ht="14" x14ac:dyDescent="0.3">
      <c r="B72" s="3" t="s">
        <v>121</v>
      </c>
      <c r="C72" s="25">
        <v>9.8000000000000004E-2</v>
      </c>
      <c r="D72" s="25">
        <v>0.04</v>
      </c>
      <c r="E72" s="25">
        <v>0.03</v>
      </c>
      <c r="F72" s="25">
        <v>0.02</v>
      </c>
      <c r="G72" s="25">
        <v>0.02</v>
      </c>
    </row>
    <row r="73" spans="2:7" ht="14" x14ac:dyDescent="0.3">
      <c r="B73" s="3" t="s">
        <v>122</v>
      </c>
      <c r="C73" s="25">
        <v>9.8000000000000004E-2</v>
      </c>
      <c r="D73" s="25">
        <v>0</v>
      </c>
      <c r="E73" s="25">
        <v>-0.02</v>
      </c>
      <c r="F73" s="25">
        <v>0</v>
      </c>
      <c r="G73" s="25">
        <v>0.01</v>
      </c>
    </row>
    <row r="75" spans="2:7" ht="14" x14ac:dyDescent="0.3">
      <c r="B75" s="2" t="s">
        <v>89</v>
      </c>
    </row>
    <row r="76" spans="2:7" ht="14" x14ac:dyDescent="0.3">
      <c r="B76" s="3" t="s">
        <v>82</v>
      </c>
      <c r="C76" s="25">
        <v>0.71699999999999997</v>
      </c>
      <c r="D76" s="25">
        <v>0.71299999999999997</v>
      </c>
      <c r="E76" s="25">
        <v>0.71</v>
      </c>
      <c r="F76" s="25">
        <v>0.70499999999999996</v>
      </c>
      <c r="G76" s="25">
        <v>0.7</v>
      </c>
    </row>
    <row r="77" spans="2:7" ht="14" x14ac:dyDescent="0.3">
      <c r="B77" s="3" t="s">
        <v>119</v>
      </c>
      <c r="C77" s="25">
        <v>0.71699999999999997</v>
      </c>
      <c r="D77" s="25">
        <v>0.70499999999999996</v>
      </c>
      <c r="E77" s="25">
        <v>0.69499999999999995</v>
      </c>
      <c r="F77" s="25">
        <v>0.69</v>
      </c>
      <c r="G77" s="25">
        <v>0.68500000000000005</v>
      </c>
    </row>
    <row r="78" spans="2:7" ht="14" x14ac:dyDescent="0.3">
      <c r="B78" s="3" t="s">
        <v>120</v>
      </c>
      <c r="C78" s="25">
        <v>0.72399999999999998</v>
      </c>
      <c r="D78" s="25">
        <v>0.72199999999999998</v>
      </c>
      <c r="E78" s="25">
        <v>0.72</v>
      </c>
      <c r="F78" s="25">
        <v>0.71799999999999997</v>
      </c>
      <c r="G78" s="25">
        <v>0.71599999999999997</v>
      </c>
    </row>
    <row r="79" spans="2:7" ht="14" x14ac:dyDescent="0.3">
      <c r="B79" s="3" t="s">
        <v>121</v>
      </c>
      <c r="C79" s="25">
        <v>0.72399999999999998</v>
      </c>
      <c r="D79" s="25">
        <v>0.73</v>
      </c>
      <c r="E79" s="25">
        <v>0.73499999999999999</v>
      </c>
      <c r="F79" s="25">
        <v>0.73799999999999999</v>
      </c>
      <c r="G79" s="25">
        <v>0.74</v>
      </c>
    </row>
    <row r="80" spans="2:7" ht="14" x14ac:dyDescent="0.3">
      <c r="B80" s="3" t="s">
        <v>122</v>
      </c>
      <c r="C80" s="25">
        <v>0.73</v>
      </c>
      <c r="D80" s="25">
        <v>0.745</v>
      </c>
      <c r="E80" s="25">
        <v>0.75</v>
      </c>
      <c r="F80" s="25">
        <v>0.748</v>
      </c>
      <c r="G80" s="25">
        <v>0.745</v>
      </c>
    </row>
    <row r="82" spans="2:7" ht="14" x14ac:dyDescent="0.3">
      <c r="B82" s="2" t="s">
        <v>90</v>
      </c>
    </row>
    <row r="83" spans="2:7" ht="14" x14ac:dyDescent="0.3">
      <c r="B83" s="3" t="s">
        <v>82</v>
      </c>
      <c r="C83" s="25">
        <v>0.13300000000000001</v>
      </c>
      <c r="D83" s="25">
        <v>0.13</v>
      </c>
      <c r="E83" s="25">
        <v>0.128</v>
      </c>
      <c r="F83" s="25">
        <v>0.126</v>
      </c>
      <c r="G83" s="25">
        <v>0.125</v>
      </c>
    </row>
    <row r="84" spans="2:7" ht="14" x14ac:dyDescent="0.3">
      <c r="B84" s="3" t="s">
        <v>119</v>
      </c>
      <c r="C84" s="25">
        <v>0.13</v>
      </c>
      <c r="D84" s="25">
        <v>0.125</v>
      </c>
      <c r="E84" s="25">
        <v>0.122</v>
      </c>
      <c r="F84" s="25">
        <v>0.12</v>
      </c>
      <c r="G84" s="25">
        <v>0.11799999999999999</v>
      </c>
    </row>
    <row r="85" spans="2:7" ht="14" x14ac:dyDescent="0.3">
      <c r="B85" s="3" t="s">
        <v>120</v>
      </c>
      <c r="C85" s="25">
        <v>0.14599999999999999</v>
      </c>
      <c r="D85" s="25">
        <v>0.14299999999999999</v>
      </c>
      <c r="E85" s="25">
        <v>0.14000000000000001</v>
      </c>
      <c r="F85" s="25">
        <v>0.13800000000000001</v>
      </c>
      <c r="G85" s="25">
        <v>0.13500000000000001</v>
      </c>
    </row>
    <row r="86" spans="2:7" ht="14" x14ac:dyDescent="0.3">
      <c r="B86" s="3" t="s">
        <v>121</v>
      </c>
      <c r="C86" s="25">
        <v>0.14000000000000001</v>
      </c>
      <c r="D86" s="25">
        <v>0.14199999999999999</v>
      </c>
      <c r="E86" s="25">
        <v>0.14499999999999999</v>
      </c>
      <c r="F86" s="25">
        <v>0.14499999999999999</v>
      </c>
      <c r="G86" s="25">
        <v>0.14499999999999999</v>
      </c>
    </row>
    <row r="87" spans="2:7" ht="14" x14ac:dyDescent="0.3">
      <c r="B87" s="3" t="s">
        <v>122</v>
      </c>
      <c r="C87" s="25">
        <v>0.14799999999999999</v>
      </c>
      <c r="D87" s="25">
        <v>0.15</v>
      </c>
      <c r="E87" s="25">
        <v>0.155</v>
      </c>
      <c r="F87" s="25">
        <v>0.155</v>
      </c>
      <c r="G87" s="25">
        <v>0.15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123</v>
      </c>
    </row>
    <row r="4" spans="2:8" ht="14" x14ac:dyDescent="0.3">
      <c r="B4" s="7" t="s">
        <v>124</v>
      </c>
      <c r="C4" s="26" t="s">
        <v>125</v>
      </c>
      <c r="D4" s="26" t="s">
        <v>84</v>
      </c>
      <c r="E4" s="26" t="s">
        <v>85</v>
      </c>
      <c r="F4" s="26" t="s">
        <v>86</v>
      </c>
      <c r="G4" s="26" t="s">
        <v>87</v>
      </c>
      <c r="H4" s="26" t="s">
        <v>88</v>
      </c>
    </row>
    <row r="5" spans="2:8" ht="14" x14ac:dyDescent="0.3">
      <c r="B5" s="27" t="s">
        <v>126</v>
      </c>
      <c r="C5" s="28">
        <f>C12/C9*365</f>
        <v>116.89298734761982</v>
      </c>
      <c r="D5" s="28">
        <f>CHOOSE('DCF Model'!$D$27,D25,D26,D27,D28,D29)</f>
        <v>115</v>
      </c>
      <c r="E5" s="28">
        <f>CHOOSE('DCF Model'!$D$27,E25,E26,E27,E28,E29)</f>
        <v>114</v>
      </c>
      <c r="F5" s="28">
        <f>CHOOSE('DCF Model'!$D$27,F25,F26,F27,F28,F29)</f>
        <v>114</v>
      </c>
      <c r="G5" s="28">
        <f>CHOOSE('DCF Model'!$D$27,G25,G26,G27,G28,G29)</f>
        <v>114</v>
      </c>
      <c r="H5" s="28">
        <f>CHOOSE('DCF Model'!$D$27,H25,H26,H27,H28,H29)</f>
        <v>114</v>
      </c>
    </row>
    <row r="6" spans="2:8" ht="14" x14ac:dyDescent="0.3">
      <c r="B6" s="27" t="s">
        <v>127</v>
      </c>
      <c r="C6" s="28">
        <f>C13/C10*365</f>
        <v>5.509364404461472</v>
      </c>
      <c r="D6" s="28">
        <f>CHOOSE('DCF Model'!$D$27,D32,D33,D34,D35,D36)</f>
        <v>6</v>
      </c>
      <c r="E6" s="28">
        <f>CHOOSE('DCF Model'!$D$27,E32,E33,E34,E35,E36)</f>
        <v>6</v>
      </c>
      <c r="F6" s="28">
        <f>CHOOSE('DCF Model'!$D$27,F32,F33,F34,F35,F36)</f>
        <v>6</v>
      </c>
      <c r="G6" s="28">
        <f>CHOOSE('DCF Model'!$D$27,G32,G33,G34,G35,G36)</f>
        <v>6</v>
      </c>
      <c r="H6" s="28">
        <f>CHOOSE('DCF Model'!$D$27,H32,H33,H34,H35,H36)</f>
        <v>6</v>
      </c>
    </row>
    <row r="7" spans="2:8" ht="14" x14ac:dyDescent="0.3">
      <c r="B7" s="27" t="s">
        <v>128</v>
      </c>
      <c r="C7" s="28">
        <f>C15/C10*365</f>
        <v>35.595819089048469</v>
      </c>
      <c r="D7" s="28">
        <f>CHOOSE('DCF Model'!$D$27,D39,D40,D41,D42,D43)</f>
        <v>35</v>
      </c>
      <c r="E7" s="28">
        <f>CHOOSE('DCF Model'!$D$27,E39,E40,E41,E42,E43)</f>
        <v>34</v>
      </c>
      <c r="F7" s="28">
        <f>CHOOSE('DCF Model'!$D$27,F39,F40,F41,F42,F43)</f>
        <v>34</v>
      </c>
      <c r="G7" s="28">
        <f>CHOOSE('DCF Model'!$D$27,G39,G40,G41,G42,G43)</f>
        <v>34</v>
      </c>
      <c r="H7" s="28">
        <f>CHOOSE('DCF Model'!$D$27,H39,H40,H41,H42,H43)</f>
        <v>34</v>
      </c>
    </row>
    <row r="8" spans="2:8" ht="14" x14ac:dyDescent="0.3">
      <c r="B8" s="7" t="s">
        <v>129</v>
      </c>
      <c r="C8" s="8"/>
      <c r="D8" s="8"/>
      <c r="E8" s="8"/>
      <c r="F8" s="8"/>
      <c r="G8" s="8"/>
      <c r="H8" s="8"/>
    </row>
    <row r="9" spans="2:8" ht="14" x14ac:dyDescent="0.3">
      <c r="B9" s="27" t="s">
        <v>37</v>
      </c>
      <c r="C9" s="29">
        <v>24599.166000000001</v>
      </c>
      <c r="D9" s="29">
        <f>'DCF Model'!C33</f>
        <v>27009.884268000002</v>
      </c>
      <c r="E9" s="29">
        <f>'DCF Model'!D33</f>
        <v>29818.912231872004</v>
      </c>
      <c r="F9" s="29">
        <f>'DCF Model'!E33</f>
        <v>31906.236088103047</v>
      </c>
      <c r="G9" s="29">
        <f>'DCF Model'!F33</f>
        <v>33501.547892508199</v>
      </c>
      <c r="H9" s="29">
        <f>'DCF Model'!G33</f>
        <v>34841.60980820853</v>
      </c>
    </row>
    <row r="10" spans="2:8" ht="14" x14ac:dyDescent="0.3">
      <c r="B10" s="27" t="s">
        <v>38</v>
      </c>
      <c r="C10" s="29">
        <v>17821.474999999999</v>
      </c>
      <c r="D10" s="29">
        <f>'DCF Model'!C34</f>
        <v>19366.087020155999</v>
      </c>
      <c r="E10" s="29">
        <f>'DCF Model'!D34</f>
        <v>21260.884421324739</v>
      </c>
      <c r="F10" s="29">
        <f>'DCF Model'!E34</f>
        <v>22653.427622553161</v>
      </c>
      <c r="G10" s="29">
        <f>'DCF Model'!F34</f>
        <v>23618.591264218278</v>
      </c>
      <c r="H10" s="29">
        <f>'DCF Model'!G34</f>
        <v>24389.12686574597</v>
      </c>
    </row>
    <row r="11" spans="2:8" ht="14" x14ac:dyDescent="0.3">
      <c r="B11" s="7" t="s">
        <v>130</v>
      </c>
      <c r="C11" s="8"/>
      <c r="D11" s="8"/>
      <c r="E11" s="8"/>
      <c r="F11" s="8"/>
      <c r="G11" s="8"/>
      <c r="H11" s="8"/>
    </row>
    <row r="12" spans="2:8" ht="14" x14ac:dyDescent="0.3">
      <c r="B12" s="27" t="s">
        <v>131</v>
      </c>
      <c r="C12" s="29">
        <v>7878</v>
      </c>
      <c r="D12" s="29">
        <f t="shared" ref="D12:H13" si="0">D9*D5/365</f>
        <v>8509.963536493151</v>
      </c>
      <c r="E12" s="29">
        <f t="shared" si="0"/>
        <v>9313.3040943381056</v>
      </c>
      <c r="F12" s="29">
        <f t="shared" si="0"/>
        <v>9965.2353809417727</v>
      </c>
      <c r="G12" s="29">
        <f t="shared" si="0"/>
        <v>10463.497149988862</v>
      </c>
      <c r="H12" s="29">
        <f t="shared" si="0"/>
        <v>10882.037035988418</v>
      </c>
    </row>
    <row r="13" spans="2:8" ht="14" x14ac:dyDescent="0.3">
      <c r="B13" s="27" t="s">
        <v>132</v>
      </c>
      <c r="C13" s="29">
        <v>269</v>
      </c>
      <c r="D13" s="29">
        <f t="shared" si="0"/>
        <v>318.34663594776981</v>
      </c>
      <c r="E13" s="29">
        <f t="shared" si="0"/>
        <v>349.49399048752997</v>
      </c>
      <c r="F13" s="29">
        <f t="shared" si="0"/>
        <v>372.38511160361361</v>
      </c>
      <c r="G13" s="29">
        <f t="shared" si="0"/>
        <v>388.25081530221826</v>
      </c>
      <c r="H13" s="29">
        <f t="shared" si="0"/>
        <v>400.91715395746797</v>
      </c>
    </row>
    <row r="14" spans="2:8" ht="14" x14ac:dyDescent="0.3">
      <c r="B14" s="27" t="s">
        <v>133</v>
      </c>
      <c r="C14" s="29">
        <f t="shared" ref="C14:H14" si="1">C12+C13</f>
        <v>8147</v>
      </c>
      <c r="D14" s="29">
        <f t="shared" si="1"/>
        <v>8828.3101724409207</v>
      </c>
      <c r="E14" s="29">
        <f t="shared" si="1"/>
        <v>9662.7980848256357</v>
      </c>
      <c r="F14" s="29">
        <f t="shared" si="1"/>
        <v>10337.620492545386</v>
      </c>
      <c r="G14" s="29">
        <f t="shared" si="1"/>
        <v>10851.747965291081</v>
      </c>
      <c r="H14" s="29">
        <f t="shared" si="1"/>
        <v>11282.954189945885</v>
      </c>
    </row>
    <row r="15" spans="2:8" ht="14" x14ac:dyDescent="0.3">
      <c r="B15" s="27" t="s">
        <v>134</v>
      </c>
      <c r="C15" s="29">
        <v>1738</v>
      </c>
      <c r="D15" s="29">
        <f>D10*D7/365</f>
        <v>1857.0220430286577</v>
      </c>
      <c r="E15" s="29">
        <f>E10*E7/365</f>
        <v>1980.4659460960033</v>
      </c>
      <c r="F15" s="29">
        <f>F10*F7/365</f>
        <v>2110.1822990871437</v>
      </c>
      <c r="G15" s="29">
        <f>G10*G7/365</f>
        <v>2200.0879533792368</v>
      </c>
      <c r="H15" s="29">
        <f>H10*H7/365</f>
        <v>2271.8638724256521</v>
      </c>
    </row>
    <row r="16" spans="2:8" ht="14" x14ac:dyDescent="0.3">
      <c r="B16" s="27" t="s">
        <v>135</v>
      </c>
      <c r="C16" s="29">
        <f t="shared" ref="C16:H16" si="2">C15</f>
        <v>1738</v>
      </c>
      <c r="D16" s="29">
        <f t="shared" si="2"/>
        <v>1857.0220430286577</v>
      </c>
      <c r="E16" s="29">
        <f t="shared" si="2"/>
        <v>1980.4659460960033</v>
      </c>
      <c r="F16" s="29">
        <f t="shared" si="2"/>
        <v>2110.1822990871437</v>
      </c>
      <c r="G16" s="29">
        <f t="shared" si="2"/>
        <v>2200.0879533792368</v>
      </c>
      <c r="H16" s="29">
        <f t="shared" si="2"/>
        <v>2271.8638724256521</v>
      </c>
    </row>
    <row r="17" spans="2:8" ht="14" x14ac:dyDescent="0.3">
      <c r="B17" s="21" t="s">
        <v>136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137</v>
      </c>
      <c r="C18" s="19">
        <f t="shared" ref="C18:H18" si="3">C14-C16</f>
        <v>6409</v>
      </c>
      <c r="D18" s="19">
        <f t="shared" si="3"/>
        <v>6971.2881294122635</v>
      </c>
      <c r="E18" s="19">
        <f t="shared" si="3"/>
        <v>7682.3321387296328</v>
      </c>
      <c r="F18" s="19">
        <f t="shared" si="3"/>
        <v>8227.4381934582416</v>
      </c>
      <c r="G18" s="19">
        <f t="shared" si="3"/>
        <v>8651.6600119118448</v>
      </c>
      <c r="H18" s="19">
        <f t="shared" si="3"/>
        <v>9011.0903175202329</v>
      </c>
    </row>
    <row r="19" spans="2:8" ht="14" x14ac:dyDescent="0.3">
      <c r="B19" s="27" t="s">
        <v>98</v>
      </c>
      <c r="C19" s="30" t="s">
        <v>47</v>
      </c>
      <c r="D19" s="23">
        <f>D18-C18</f>
        <v>562.28812941226352</v>
      </c>
      <c r="E19" s="23">
        <f>E18-D18</f>
        <v>711.04400931736927</v>
      </c>
      <c r="F19" s="23">
        <f>F18-E18</f>
        <v>545.1060547286088</v>
      </c>
      <c r="G19" s="23">
        <f>G18-F18</f>
        <v>424.22181845360319</v>
      </c>
      <c r="H19" s="23">
        <f>H18-G18</f>
        <v>359.43030560838815</v>
      </c>
    </row>
    <row r="22" spans="2:8" ht="14" x14ac:dyDescent="0.3">
      <c r="B22" s="21" t="s">
        <v>138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84</v>
      </c>
      <c r="E23" s="24" t="s">
        <v>85</v>
      </c>
      <c r="F23" s="24" t="s">
        <v>86</v>
      </c>
      <c r="G23" s="24" t="s">
        <v>87</v>
      </c>
      <c r="H23" s="24" t="s">
        <v>88</v>
      </c>
    </row>
    <row r="24" spans="2:8" ht="14" x14ac:dyDescent="0.3">
      <c r="B24" s="2" t="s">
        <v>139</v>
      </c>
    </row>
    <row r="25" spans="2:8" ht="14" x14ac:dyDescent="0.3">
      <c r="B25" s="3" t="s">
        <v>82</v>
      </c>
      <c r="D25" s="31">
        <v>115</v>
      </c>
      <c r="E25" s="31">
        <v>114</v>
      </c>
      <c r="F25" s="31">
        <v>114</v>
      </c>
      <c r="G25" s="31">
        <v>114</v>
      </c>
      <c r="H25" s="31">
        <v>114</v>
      </c>
    </row>
    <row r="26" spans="2:8" ht="14" x14ac:dyDescent="0.3">
      <c r="B26" s="3" t="s">
        <v>119</v>
      </c>
      <c r="D26" s="31">
        <v>113</v>
      </c>
      <c r="E26" s="31">
        <v>111</v>
      </c>
      <c r="F26" s="31">
        <v>109</v>
      </c>
      <c r="G26" s="31">
        <v>107</v>
      </c>
      <c r="H26" s="31">
        <v>107</v>
      </c>
    </row>
    <row r="27" spans="2:8" ht="14" x14ac:dyDescent="0.3">
      <c r="B27" s="3" t="s">
        <v>120</v>
      </c>
      <c r="D27" s="31">
        <v>116</v>
      </c>
      <c r="E27" s="31">
        <v>115</v>
      </c>
      <c r="F27" s="31">
        <v>115</v>
      </c>
      <c r="G27" s="31">
        <v>115</v>
      </c>
      <c r="H27" s="31">
        <v>115</v>
      </c>
    </row>
    <row r="28" spans="2:8" ht="14" x14ac:dyDescent="0.3">
      <c r="B28" s="3" t="s">
        <v>121</v>
      </c>
      <c r="D28" s="31">
        <v>118</v>
      </c>
      <c r="E28" s="31">
        <v>119</v>
      </c>
      <c r="F28" s="31">
        <v>120</v>
      </c>
      <c r="G28" s="31">
        <v>120</v>
      </c>
      <c r="H28" s="31">
        <v>120</v>
      </c>
    </row>
    <row r="29" spans="2:8" ht="14" x14ac:dyDescent="0.3">
      <c r="B29" s="3" t="s">
        <v>122</v>
      </c>
      <c r="D29" s="31">
        <v>120</v>
      </c>
      <c r="E29" s="31">
        <v>122</v>
      </c>
      <c r="F29" s="31">
        <v>124</v>
      </c>
      <c r="G29" s="31">
        <v>125</v>
      </c>
      <c r="H29" s="31">
        <v>125</v>
      </c>
    </row>
    <row r="31" spans="2:8" ht="14" x14ac:dyDescent="0.3">
      <c r="B31" s="2" t="s">
        <v>140</v>
      </c>
    </row>
    <row r="32" spans="2:8" ht="14" x14ac:dyDescent="0.3">
      <c r="B32" s="3" t="s">
        <v>82</v>
      </c>
      <c r="D32" s="31">
        <v>6</v>
      </c>
      <c r="E32" s="31">
        <v>6</v>
      </c>
      <c r="F32" s="31">
        <v>6</v>
      </c>
      <c r="G32" s="31">
        <v>6</v>
      </c>
      <c r="H32" s="31">
        <v>6</v>
      </c>
    </row>
    <row r="33" spans="2:8" ht="14" x14ac:dyDescent="0.3">
      <c r="B33" s="3" t="s">
        <v>119</v>
      </c>
      <c r="D33" s="31">
        <v>5.5</v>
      </c>
      <c r="E33" s="31">
        <v>5.5</v>
      </c>
      <c r="F33" s="31">
        <v>5.5</v>
      </c>
      <c r="G33" s="31">
        <v>5.5</v>
      </c>
      <c r="H33" s="31">
        <v>5.5</v>
      </c>
    </row>
    <row r="34" spans="2:8" ht="14" x14ac:dyDescent="0.3">
      <c r="B34" s="3" t="s">
        <v>120</v>
      </c>
      <c r="D34" s="31">
        <v>6</v>
      </c>
      <c r="E34" s="31">
        <v>6</v>
      </c>
      <c r="F34" s="31">
        <v>6</v>
      </c>
      <c r="G34" s="31">
        <v>6</v>
      </c>
      <c r="H34" s="31">
        <v>6</v>
      </c>
    </row>
    <row r="35" spans="2:8" ht="14" x14ac:dyDescent="0.3">
      <c r="B35" s="3" t="s">
        <v>121</v>
      </c>
      <c r="D35" s="31">
        <v>6.5</v>
      </c>
      <c r="E35" s="31">
        <v>6.5</v>
      </c>
      <c r="F35" s="31">
        <v>7</v>
      </c>
      <c r="G35" s="31">
        <v>7</v>
      </c>
      <c r="H35" s="31">
        <v>7</v>
      </c>
    </row>
    <row r="36" spans="2:8" ht="14" x14ac:dyDescent="0.3">
      <c r="B36" s="3" t="s">
        <v>122</v>
      </c>
      <c r="D36" s="31">
        <v>7</v>
      </c>
      <c r="E36" s="31">
        <v>7</v>
      </c>
      <c r="F36" s="31">
        <v>7.5</v>
      </c>
      <c r="G36" s="31">
        <v>7.5</v>
      </c>
      <c r="H36" s="31">
        <v>7.5</v>
      </c>
    </row>
    <row r="38" spans="2:8" ht="14" x14ac:dyDescent="0.3">
      <c r="B38" s="2" t="s">
        <v>141</v>
      </c>
    </row>
    <row r="39" spans="2:8" ht="14" x14ac:dyDescent="0.3">
      <c r="B39" s="3" t="s">
        <v>82</v>
      </c>
      <c r="D39" s="31">
        <v>35</v>
      </c>
      <c r="E39" s="31">
        <v>34</v>
      </c>
      <c r="F39" s="31">
        <v>34</v>
      </c>
      <c r="G39" s="31">
        <v>34</v>
      </c>
      <c r="H39" s="31">
        <v>34</v>
      </c>
    </row>
    <row r="40" spans="2:8" ht="14" x14ac:dyDescent="0.3">
      <c r="B40" s="3" t="s">
        <v>119</v>
      </c>
      <c r="D40" s="31">
        <v>36</v>
      </c>
      <c r="E40" s="31">
        <v>37</v>
      </c>
      <c r="F40" s="31">
        <v>38</v>
      </c>
      <c r="G40" s="31">
        <v>38</v>
      </c>
      <c r="H40" s="31">
        <v>38</v>
      </c>
    </row>
    <row r="41" spans="2:8" ht="14" x14ac:dyDescent="0.3">
      <c r="B41" s="3" t="s">
        <v>120</v>
      </c>
      <c r="D41" s="31">
        <v>35</v>
      </c>
      <c r="E41" s="31">
        <v>35</v>
      </c>
      <c r="F41" s="31">
        <v>35</v>
      </c>
      <c r="G41" s="31">
        <v>35</v>
      </c>
      <c r="H41" s="31">
        <v>35</v>
      </c>
    </row>
    <row r="42" spans="2:8" ht="14" x14ac:dyDescent="0.3">
      <c r="B42" s="3" t="s">
        <v>121</v>
      </c>
      <c r="D42" s="31">
        <v>34</v>
      </c>
      <c r="E42" s="31">
        <v>33</v>
      </c>
      <c r="F42" s="31">
        <v>33</v>
      </c>
      <c r="G42" s="31">
        <v>33</v>
      </c>
      <c r="H42" s="31">
        <v>33</v>
      </c>
    </row>
    <row r="43" spans="2:8" ht="14" x14ac:dyDescent="0.3">
      <c r="B43" s="3" t="s">
        <v>122</v>
      </c>
      <c r="D43" s="31">
        <v>33</v>
      </c>
      <c r="E43" s="31">
        <v>32</v>
      </c>
      <c r="F43" s="31">
        <v>32</v>
      </c>
      <c r="G43" s="31">
        <v>32</v>
      </c>
      <c r="H43" s="31">
        <v>32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142</v>
      </c>
    </row>
    <row r="4" spans="2:15" ht="28" x14ac:dyDescent="0.3">
      <c r="B4" s="9" t="s">
        <v>3</v>
      </c>
      <c r="C4" s="9" t="s">
        <v>5</v>
      </c>
      <c r="D4" s="9" t="s">
        <v>143</v>
      </c>
      <c r="E4" s="9" t="s">
        <v>144</v>
      </c>
      <c r="F4" s="9" t="s">
        <v>145</v>
      </c>
      <c r="G4" s="9" t="s">
        <v>146</v>
      </c>
      <c r="H4" s="9" t="s">
        <v>147</v>
      </c>
      <c r="I4" s="9" t="s">
        <v>148</v>
      </c>
      <c r="J4" s="9" t="s">
        <v>149</v>
      </c>
      <c r="K4" s="9" t="s">
        <v>150</v>
      </c>
      <c r="L4" s="9" t="s">
        <v>151</v>
      </c>
      <c r="M4" s="9" t="s">
        <v>152</v>
      </c>
      <c r="N4" s="9" t="s">
        <v>153</v>
      </c>
      <c r="O4" s="9" t="s">
        <v>154</v>
      </c>
    </row>
    <row r="5" spans="2:15" ht="14" x14ac:dyDescent="0.3">
      <c r="B5" s="3" t="s">
        <v>155</v>
      </c>
      <c r="C5" t="s">
        <v>156</v>
      </c>
      <c r="D5" s="32">
        <v>150846.35750400001</v>
      </c>
      <c r="E5" s="32">
        <v>152396.35750400001</v>
      </c>
      <c r="F5" s="32">
        <v>92410</v>
      </c>
      <c r="G5" s="32">
        <v>15820</v>
      </c>
      <c r="H5" s="32">
        <v>15360</v>
      </c>
      <c r="I5" s="32">
        <v>11250</v>
      </c>
      <c r="J5" s="33">
        <f>E5/G5</f>
        <v>9.6331452278128964</v>
      </c>
      <c r="K5" s="33">
        <f>E5/F5</f>
        <v>1.6491327508278326</v>
      </c>
      <c r="L5" s="33">
        <f>D5/I5</f>
        <v>13.408565111466668</v>
      </c>
      <c r="M5" s="33">
        <v>4.5780381640060703</v>
      </c>
      <c r="N5" s="34">
        <f>H5/F5</f>
        <v>0.16621577751325614</v>
      </c>
      <c r="O5" s="34">
        <v>0.34142640364188159</v>
      </c>
    </row>
    <row r="6" spans="2:15" ht="14" x14ac:dyDescent="0.3">
      <c r="B6" s="3" t="s">
        <v>157</v>
      </c>
      <c r="C6" t="s">
        <v>158</v>
      </c>
      <c r="D6" s="32">
        <v>61084.852224000002</v>
      </c>
      <c r="E6" s="32">
        <v>61154.852224000002</v>
      </c>
      <c r="F6" s="32">
        <v>54700</v>
      </c>
      <c r="G6" s="32">
        <v>8490</v>
      </c>
      <c r="H6" s="32">
        <v>8300</v>
      </c>
      <c r="I6" s="32">
        <v>5000</v>
      </c>
      <c r="J6" s="33">
        <f>E6/G6</f>
        <v>7.2031628061248529</v>
      </c>
      <c r="K6" s="33">
        <f>E6/F6</f>
        <v>1.1180046110420476</v>
      </c>
      <c r="L6" s="33">
        <f>D6/I6</f>
        <v>12.216970444800001</v>
      </c>
      <c r="M6" s="33">
        <v>1.963953709417098</v>
      </c>
      <c r="N6" s="34">
        <f>H6/F6</f>
        <v>0.15173674588665448</v>
      </c>
      <c r="O6" s="34">
        <v>0.16075619715140019</v>
      </c>
    </row>
    <row r="7" spans="2:15" ht="14" x14ac:dyDescent="0.3">
      <c r="B7" s="3" t="s">
        <v>159</v>
      </c>
      <c r="C7" t="s">
        <v>160</v>
      </c>
      <c r="D7" s="32">
        <v>62452.137984000001</v>
      </c>
      <c r="E7" s="32">
        <v>62802.137984000001</v>
      </c>
      <c r="F7" s="32">
        <v>65000</v>
      </c>
      <c r="G7" s="32">
        <v>8018</v>
      </c>
      <c r="H7" s="32">
        <v>7200</v>
      </c>
      <c r="I7" s="32">
        <v>5150</v>
      </c>
      <c r="J7" s="33">
        <f>E7/G7</f>
        <v>7.832643799451235</v>
      </c>
      <c r="K7" s="33">
        <f>E7/F7</f>
        <v>0.96618673821538459</v>
      </c>
      <c r="L7" s="33">
        <f>D7/I7</f>
        <v>12.126628734757281</v>
      </c>
      <c r="M7" s="33">
        <v>1.5458067370609641</v>
      </c>
      <c r="N7" s="34">
        <f>H7/F7</f>
        <v>0.11076923076923077</v>
      </c>
      <c r="O7" s="34">
        <v>0.12747209227494369</v>
      </c>
    </row>
    <row r="8" spans="2:15" ht="14" x14ac:dyDescent="0.3">
      <c r="B8" s="3" t="s">
        <v>161</v>
      </c>
      <c r="C8" t="s">
        <v>162</v>
      </c>
      <c r="D8" s="32">
        <v>59616.772096000001</v>
      </c>
      <c r="E8" s="32">
        <v>57116.772096000001</v>
      </c>
      <c r="F8" s="32">
        <v>48000</v>
      </c>
      <c r="G8" s="32">
        <v>6800</v>
      </c>
      <c r="H8" s="32">
        <v>5200</v>
      </c>
      <c r="I8" s="32">
        <v>3600</v>
      </c>
      <c r="J8" s="33">
        <f>E8/G8</f>
        <v>8.3995253082352939</v>
      </c>
      <c r="K8" s="33">
        <f>E8/F8</f>
        <v>1.189932752</v>
      </c>
      <c r="L8" s="33">
        <f>D8/I8</f>
        <v>16.560214471111113</v>
      </c>
      <c r="M8" s="33">
        <v>2.7098532770909092</v>
      </c>
      <c r="N8" s="34">
        <f>H8/F8</f>
        <v>0.10833333333333334</v>
      </c>
      <c r="O8" s="34">
        <v>0.16363636363636361</v>
      </c>
    </row>
    <row r="9" spans="2:15" ht="14" x14ac:dyDescent="0.3">
      <c r="B9" s="3" t="s">
        <v>163</v>
      </c>
      <c r="C9" t="s">
        <v>164</v>
      </c>
      <c r="D9" s="32">
        <v>173052.87065600001</v>
      </c>
      <c r="E9" s="32">
        <v>170052.87065600001</v>
      </c>
      <c r="F9" s="32">
        <v>47000</v>
      </c>
      <c r="G9" s="32">
        <v>7500</v>
      </c>
      <c r="H9" s="32">
        <v>5700</v>
      </c>
      <c r="I9" s="32">
        <v>3900</v>
      </c>
      <c r="J9" s="33">
        <f>E9/G9</f>
        <v>22.673716087466669</v>
      </c>
      <c r="K9" s="33">
        <f>E9/F9</f>
        <v>3.6181461841702132</v>
      </c>
      <c r="L9" s="33">
        <f>D9/I9</f>
        <v>44.372530937435904</v>
      </c>
      <c r="M9" s="33">
        <v>6.1804596662857154</v>
      </c>
      <c r="N9" s="34">
        <f>H9/F9</f>
        <v>0.12127659574468085</v>
      </c>
      <c r="O9" s="34">
        <v>0.13928571428571429</v>
      </c>
    </row>
    <row r="14" spans="2:15" ht="14" x14ac:dyDescent="0.3">
      <c r="B14" s="2" t="s">
        <v>165</v>
      </c>
    </row>
    <row r="15" spans="2:15" ht="14" x14ac:dyDescent="0.3">
      <c r="B15" s="3" t="s">
        <v>166</v>
      </c>
      <c r="D15" s="33">
        <f t="shared" ref="D15:I15" si="0">PERCENTILE(J5:J9,0.25)</f>
        <v>7.832643799451235</v>
      </c>
      <c r="E15" s="33">
        <f t="shared" si="0"/>
        <v>1.1180046110420476</v>
      </c>
      <c r="F15" s="33">
        <f t="shared" si="0"/>
        <v>12.216970444800001</v>
      </c>
      <c r="G15" s="33">
        <f t="shared" si="0"/>
        <v>1.963953709417098</v>
      </c>
      <c r="H15" s="34">
        <f t="shared" si="0"/>
        <v>0.11076923076923077</v>
      </c>
      <c r="I15" s="34">
        <f t="shared" si="0"/>
        <v>0.13928571428571429</v>
      </c>
    </row>
    <row r="16" spans="2:15" ht="14" x14ac:dyDescent="0.3">
      <c r="B16" s="3" t="s">
        <v>167</v>
      </c>
      <c r="D16" s="33">
        <f t="shared" ref="D16:I16" si="1">MEDIAN(J5:J9)</f>
        <v>8.3995253082352939</v>
      </c>
      <c r="E16" s="33">
        <f t="shared" si="1"/>
        <v>1.189932752</v>
      </c>
      <c r="F16" s="33">
        <f t="shared" si="1"/>
        <v>13.408565111466668</v>
      </c>
      <c r="G16" s="33">
        <f t="shared" si="1"/>
        <v>2.7098532770909092</v>
      </c>
      <c r="H16" s="34">
        <f t="shared" si="1"/>
        <v>0.12127659574468085</v>
      </c>
      <c r="I16" s="34">
        <f t="shared" si="1"/>
        <v>0.16075619715140019</v>
      </c>
    </row>
    <row r="17" spans="2:9" ht="14" x14ac:dyDescent="0.3">
      <c r="B17" s="3" t="s">
        <v>168</v>
      </c>
      <c r="D17" s="33">
        <f t="shared" ref="D17:I17" si="2">PERCENTILE(J5:J9,0.75)</f>
        <v>9.6331452278128964</v>
      </c>
      <c r="E17" s="33">
        <f t="shared" si="2"/>
        <v>1.6491327508278326</v>
      </c>
      <c r="F17" s="33">
        <f t="shared" si="2"/>
        <v>16.560214471111113</v>
      </c>
      <c r="G17" s="33">
        <f t="shared" si="2"/>
        <v>4.5780381640060703</v>
      </c>
      <c r="H17" s="34">
        <f t="shared" si="2"/>
        <v>0.15173674588665448</v>
      </c>
      <c r="I17" s="34">
        <f t="shared" si="2"/>
        <v>0.16363636363636361</v>
      </c>
    </row>
    <row r="19" spans="2:9" ht="14" x14ac:dyDescent="0.3">
      <c r="B19" s="21" t="s">
        <v>169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170</v>
      </c>
    </row>
    <row r="21" spans="2:9" ht="14" x14ac:dyDescent="0.3">
      <c r="B21" s="3" t="s">
        <v>171</v>
      </c>
      <c r="C21" s="4">
        <v>3391</v>
      </c>
    </row>
    <row r="22" spans="2:9" ht="14" x14ac:dyDescent="0.3">
      <c r="B22" s="3" t="s">
        <v>172</v>
      </c>
      <c r="C22" s="4">
        <v>2207</v>
      </c>
    </row>
    <row r="23" spans="2:9" ht="14" x14ac:dyDescent="0.3">
      <c r="B23" s="3" t="s">
        <v>173</v>
      </c>
      <c r="C23" s="14">
        <v>14368501</v>
      </c>
    </row>
    <row r="24" spans="2:9" ht="14" x14ac:dyDescent="0.3">
      <c r="B24" s="3" t="s">
        <v>71</v>
      </c>
      <c r="C24" s="4">
        <v>-7296.8</v>
      </c>
    </row>
    <row r="26" spans="2:9" ht="14" x14ac:dyDescent="0.3">
      <c r="B26" s="2" t="s">
        <v>174</v>
      </c>
    </row>
    <row r="27" spans="2:9" ht="14" x14ac:dyDescent="0.3">
      <c r="B27" s="3" t="s">
        <v>175</v>
      </c>
      <c r="C27" s="23">
        <f>ROUND((C21*D16-C24)*1000000/C23,0)</f>
        <v>2490</v>
      </c>
    </row>
    <row r="28" spans="2:9" ht="14" x14ac:dyDescent="0.3">
      <c r="B28" s="3" t="s">
        <v>176</v>
      </c>
      <c r="C28" s="23">
        <f>ROUND(C22*F16*1000000/C23,0)</f>
        <v>2060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topLeftCell="A5"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177</v>
      </c>
    </row>
    <row r="3" spans="2:9" ht="14" x14ac:dyDescent="0.3">
      <c r="B3" s="3" t="s">
        <v>178</v>
      </c>
      <c r="C3" s="15">
        <f>'DCF Model'!C26</f>
        <v>0.1192</v>
      </c>
      <c r="E3" s="3" t="s">
        <v>179</v>
      </c>
      <c r="F3" s="15">
        <f>'DCF Model'!C13</f>
        <v>1.4999999999999999E-2</v>
      </c>
      <c r="H3" s="3" t="s">
        <v>180</v>
      </c>
      <c r="I3" s="13">
        <f>'DCF Model'!C14</f>
        <v>10</v>
      </c>
    </row>
    <row r="5" spans="2:9" ht="14" x14ac:dyDescent="0.3">
      <c r="B5" s="2" t="s">
        <v>181</v>
      </c>
    </row>
    <row r="6" spans="2:9" ht="14" x14ac:dyDescent="0.3">
      <c r="B6" s="35" t="s">
        <v>182</v>
      </c>
      <c r="C6" s="36">
        <f>$F$3-0.0075</f>
        <v>7.4999999999999997E-3</v>
      </c>
      <c r="D6" s="36">
        <f>$F$3-0.005</f>
        <v>9.9999999999999985E-3</v>
      </c>
      <c r="E6" s="36">
        <f>$F$3-0.0025</f>
        <v>1.2499999999999999E-2</v>
      </c>
      <c r="F6" s="36">
        <f>$F$3</f>
        <v>1.4999999999999999E-2</v>
      </c>
      <c r="G6" s="36">
        <f>$F$3+0.0025</f>
        <v>1.7499999999999998E-2</v>
      </c>
      <c r="H6" s="36">
        <f>$F$3+0.005</f>
        <v>0.02</v>
      </c>
      <c r="I6" s="36">
        <f>$F$3+0.0075</f>
        <v>2.2499999999999999E-2</v>
      </c>
    </row>
    <row r="7" spans="2:9" ht="13.5" x14ac:dyDescent="0.25">
      <c r="B7" s="34">
        <f>$C$3-0.015</f>
        <v>0.1042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3292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3348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3407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3469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3535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3605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3678</v>
      </c>
    </row>
    <row r="8" spans="2:9" ht="13.5" x14ac:dyDescent="0.25">
      <c r="B8" s="34">
        <f>$C$3-0.01</f>
        <v>0.10920000000000001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3154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3204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3256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3311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3369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3430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3495</v>
      </c>
    </row>
    <row r="9" spans="2:9" ht="13.5" x14ac:dyDescent="0.25">
      <c r="B9" s="34">
        <f>$C$3-0.005</f>
        <v>0.1142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3029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3074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3120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3169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3221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3275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3332</v>
      </c>
    </row>
    <row r="10" spans="2:9" ht="13.5" x14ac:dyDescent="0.25">
      <c r="B10" s="34">
        <f>$C$3</f>
        <v>0.1192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2915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2955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2997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3041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3087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3135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3186</v>
      </c>
    </row>
    <row r="11" spans="2:9" ht="13.5" x14ac:dyDescent="0.25">
      <c r="B11" s="34">
        <f>$C$3+0.005</f>
        <v>0.1242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2812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2848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2885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2924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2966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3009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3054</v>
      </c>
    </row>
    <row r="12" spans="2:9" ht="13.5" x14ac:dyDescent="0.25">
      <c r="B12" s="34">
        <f>$C$3+0.01</f>
        <v>0.12920000000000001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2716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2749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2783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2818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2855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2894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2935</v>
      </c>
    </row>
    <row r="13" spans="2:9" ht="13.5" x14ac:dyDescent="0.25">
      <c r="B13" s="34">
        <f>$C$3+0.015</f>
        <v>0.13419999999999999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2629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2658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2689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2721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2755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2790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2826</v>
      </c>
    </row>
    <row r="16" spans="2:9" ht="14" x14ac:dyDescent="0.3">
      <c r="B16" s="2" t="s">
        <v>183</v>
      </c>
    </row>
    <row r="17" spans="2:9" ht="14" x14ac:dyDescent="0.3">
      <c r="B17" s="35" t="s">
        <v>184</v>
      </c>
      <c r="C17" s="37">
        <f>$I$3-3</f>
        <v>7</v>
      </c>
      <c r="D17" s="37">
        <f>$I$3-2</f>
        <v>8</v>
      </c>
      <c r="E17" s="37">
        <f>$I$3-1</f>
        <v>9</v>
      </c>
      <c r="F17" s="37">
        <f>$I$3</f>
        <v>10</v>
      </c>
      <c r="G17" s="37">
        <f>$I$3+1</f>
        <v>11</v>
      </c>
      <c r="H17" s="37">
        <f>$I$3+2</f>
        <v>12</v>
      </c>
      <c r="I17" s="37">
        <f>$I$3+3</f>
        <v>13</v>
      </c>
    </row>
    <row r="18" spans="2:9" ht="13.5" x14ac:dyDescent="0.25">
      <c r="B18" s="34">
        <f>$C$3-0.015</f>
        <v>0.1042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3419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3711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4003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4295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4587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4879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5171</v>
      </c>
    </row>
    <row r="19" spans="2:9" ht="13.5" x14ac:dyDescent="0.25">
      <c r="B19" s="34">
        <f>$C$3-0.01</f>
        <v>0.10920000000000001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3371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3657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3944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4230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4517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4804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5090</v>
      </c>
    </row>
    <row r="20" spans="2:9" ht="13.5" x14ac:dyDescent="0.25">
      <c r="B20" s="34">
        <f>$C$3-0.005</f>
        <v>0.1142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3324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3605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3886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4167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4448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4730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5011</v>
      </c>
    </row>
    <row r="21" spans="2:9" ht="13.5" x14ac:dyDescent="0.25">
      <c r="B21" s="34">
        <f>$C$3</f>
        <v>0.1192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3278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3554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3830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4106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4381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4657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4933</v>
      </c>
    </row>
    <row r="22" spans="2:9" ht="13.5" x14ac:dyDescent="0.25">
      <c r="B22" s="34">
        <f>$C$3+0.005</f>
        <v>0.1242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3233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3504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3775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4045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4316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4587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4857</v>
      </c>
    </row>
    <row r="23" spans="2:9" ht="13.5" x14ac:dyDescent="0.25">
      <c r="B23" s="34">
        <f>$C$3+0.01</f>
        <v>0.12920000000000001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3189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3455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3721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3986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4252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4518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4783</v>
      </c>
    </row>
    <row r="24" spans="2:9" ht="13.5" x14ac:dyDescent="0.25">
      <c r="B24" s="34">
        <f>$C$3+0.015</f>
        <v>0.13419999999999999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3147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3407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3668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3929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4189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4450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4711</v>
      </c>
    </row>
    <row r="26" spans="2:9" ht="14" x14ac:dyDescent="0.3">
      <c r="B26" s="48" t="s">
        <v>185</v>
      </c>
      <c r="C26" s="47"/>
      <c r="D26" s="47"/>
      <c r="E26" s="47"/>
      <c r="F26" s="47"/>
      <c r="G26" s="47"/>
      <c r="H26" s="47"/>
      <c r="I26" s="47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J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1" t="s">
        <v>186</v>
      </c>
    </row>
    <row r="4" spans="2:10" ht="14" x14ac:dyDescent="0.3">
      <c r="C4" s="9" t="s">
        <v>34</v>
      </c>
      <c r="D4" s="9" t="s">
        <v>35</v>
      </c>
      <c r="E4" s="9" t="s">
        <v>187</v>
      </c>
      <c r="F4" s="9" t="s">
        <v>84</v>
      </c>
      <c r="G4" s="9" t="s">
        <v>85</v>
      </c>
      <c r="H4" s="9" t="s">
        <v>86</v>
      </c>
      <c r="I4" s="9" t="s">
        <v>87</v>
      </c>
      <c r="J4" s="9" t="s">
        <v>88</v>
      </c>
    </row>
    <row r="5" spans="2:10" ht="14" x14ac:dyDescent="0.3">
      <c r="B5" s="7" t="s">
        <v>188</v>
      </c>
      <c r="C5" s="8"/>
      <c r="D5" s="8"/>
      <c r="E5" s="8"/>
      <c r="F5" s="8"/>
      <c r="G5" s="8"/>
      <c r="H5" s="8"/>
      <c r="I5" s="8"/>
      <c r="J5" s="8"/>
    </row>
    <row r="6" spans="2:10" ht="14" x14ac:dyDescent="0.3">
      <c r="B6" s="3" t="s">
        <v>37</v>
      </c>
      <c r="C6" s="38" t="s">
        <v>189</v>
      </c>
      <c r="D6" s="29">
        <v>4771</v>
      </c>
      <c r="E6" s="29">
        <v>4570</v>
      </c>
      <c r="F6" s="39">
        <v>5050</v>
      </c>
      <c r="G6" s="39">
        <v>5700</v>
      </c>
      <c r="H6" s="39">
        <v>6200</v>
      </c>
      <c r="I6" s="39">
        <v>6700</v>
      </c>
      <c r="J6" s="38" t="s">
        <v>189</v>
      </c>
    </row>
    <row r="7" spans="2:10" ht="14" x14ac:dyDescent="0.3">
      <c r="B7" s="3" t="s">
        <v>190</v>
      </c>
      <c r="C7" s="38" t="s">
        <v>189</v>
      </c>
      <c r="D7" s="29">
        <v>675</v>
      </c>
      <c r="E7" s="29">
        <v>461</v>
      </c>
      <c r="F7" s="29">
        <f>F6*0.149</f>
        <v>752.44999999999993</v>
      </c>
      <c r="G7" s="29">
        <f>G6*0.14</f>
        <v>798.00000000000011</v>
      </c>
      <c r="H7" s="29">
        <f>H6*0.145</f>
        <v>898.99999999999989</v>
      </c>
      <c r="I7" s="29">
        <f>I6*0.15</f>
        <v>1005</v>
      </c>
      <c r="J7" s="38" t="s">
        <v>189</v>
      </c>
    </row>
    <row r="8" spans="2:10" ht="14" x14ac:dyDescent="0.3">
      <c r="B8" s="40" t="s">
        <v>191</v>
      </c>
      <c r="C8" s="38" t="s">
        <v>189</v>
      </c>
      <c r="D8" s="41">
        <f>D7/D6</f>
        <v>0.14147977363236219</v>
      </c>
      <c r="E8" s="41">
        <f>E7/E6</f>
        <v>0.10087527352297593</v>
      </c>
      <c r="F8" s="41">
        <f>IFERROR(F7/F6,"—")</f>
        <v>0.14899999999999999</v>
      </c>
      <c r="G8" s="41">
        <f>IFERROR(G7/G6,"—")</f>
        <v>0.14000000000000001</v>
      </c>
      <c r="H8" s="41">
        <f>IFERROR(H7/H6,"—")</f>
        <v>0.14499999999999999</v>
      </c>
      <c r="I8" s="41">
        <f>IFERROR(I7/I6,"—")</f>
        <v>0.15</v>
      </c>
      <c r="J8" s="41" t="str">
        <f>IFERROR(J7/J6,"—")</f>
        <v>—</v>
      </c>
    </row>
    <row r="10" spans="2:10" ht="14" x14ac:dyDescent="0.3">
      <c r="B10" s="7" t="s">
        <v>192</v>
      </c>
      <c r="C10" s="8"/>
      <c r="D10" s="8"/>
      <c r="E10" s="8"/>
      <c r="F10" s="8"/>
      <c r="G10" s="8"/>
      <c r="H10" s="8"/>
      <c r="I10" s="8"/>
      <c r="J10" s="8"/>
    </row>
    <row r="11" spans="2:10" ht="14" x14ac:dyDescent="0.3">
      <c r="B11" s="3" t="s">
        <v>37</v>
      </c>
      <c r="C11" s="38" t="s">
        <v>189</v>
      </c>
      <c r="D11" s="29">
        <v>10546</v>
      </c>
      <c r="E11" s="29">
        <v>12035</v>
      </c>
      <c r="F11" s="39">
        <v>13950</v>
      </c>
      <c r="G11" s="39">
        <v>16000</v>
      </c>
      <c r="H11" s="39">
        <v>18000</v>
      </c>
      <c r="I11" s="39">
        <v>20000</v>
      </c>
      <c r="J11" s="38" t="s">
        <v>189</v>
      </c>
    </row>
    <row r="12" spans="2:10" ht="14" x14ac:dyDescent="0.3">
      <c r="B12" s="3" t="s">
        <v>190</v>
      </c>
      <c r="C12" s="38" t="s">
        <v>189</v>
      </c>
      <c r="D12" s="29">
        <v>1641</v>
      </c>
      <c r="E12" s="29">
        <v>1884</v>
      </c>
      <c r="F12" s="29">
        <f>F11*0.172</f>
        <v>2399.3999999999996</v>
      </c>
      <c r="G12" s="29">
        <f>G11*0.165</f>
        <v>2640</v>
      </c>
      <c r="H12" s="29">
        <f>H11*0.17</f>
        <v>3060</v>
      </c>
      <c r="I12" s="29">
        <f>I11*0.175</f>
        <v>3500</v>
      </c>
      <c r="J12" s="38" t="s">
        <v>189</v>
      </c>
    </row>
    <row r="13" spans="2:10" ht="14" x14ac:dyDescent="0.3">
      <c r="B13" s="40" t="s">
        <v>191</v>
      </c>
      <c r="C13" s="38" t="s">
        <v>189</v>
      </c>
      <c r="D13" s="41">
        <f>D12/D11</f>
        <v>0.15560402048169922</v>
      </c>
      <c r="E13" s="41">
        <f>E12/E11</f>
        <v>0.15654341503946823</v>
      </c>
      <c r="F13" s="41">
        <f>IFERROR(F12/F11,"—")</f>
        <v>0.17199999999999999</v>
      </c>
      <c r="G13" s="41">
        <f>IFERROR(G12/G11,"—")</f>
        <v>0.16500000000000001</v>
      </c>
      <c r="H13" s="41">
        <f>IFERROR(H12/H11,"—")</f>
        <v>0.17</v>
      </c>
      <c r="I13" s="41">
        <f>IFERROR(I12/I11,"—")</f>
        <v>0.17499999999999999</v>
      </c>
      <c r="J13" s="41" t="str">
        <f>IFERROR(J12/J11,"—")</f>
        <v>—</v>
      </c>
    </row>
    <row r="15" spans="2:10" ht="14" x14ac:dyDescent="0.3">
      <c r="B15" s="7" t="s">
        <v>193</v>
      </c>
      <c r="C15" s="8"/>
      <c r="D15" s="8"/>
      <c r="E15" s="8"/>
      <c r="F15" s="8"/>
      <c r="G15" s="8"/>
      <c r="H15" s="8"/>
      <c r="I15" s="8"/>
      <c r="J15" s="8"/>
    </row>
    <row r="16" spans="2:10" ht="14" x14ac:dyDescent="0.3">
      <c r="B16" s="3" t="s">
        <v>37</v>
      </c>
      <c r="C16" s="38" t="s">
        <v>189</v>
      </c>
      <c r="D16" s="29">
        <v>8680</v>
      </c>
      <c r="E16" s="29">
        <v>7993</v>
      </c>
      <c r="F16" s="39">
        <v>8000</v>
      </c>
      <c r="G16" s="39">
        <v>8100</v>
      </c>
      <c r="H16" s="39">
        <v>8200</v>
      </c>
      <c r="I16" s="39">
        <v>8300</v>
      </c>
      <c r="J16" s="38" t="s">
        <v>189</v>
      </c>
    </row>
    <row r="17" spans="2:10" ht="14" x14ac:dyDescent="0.3">
      <c r="B17" s="3" t="s">
        <v>190</v>
      </c>
      <c r="C17" s="38" t="s">
        <v>189</v>
      </c>
      <c r="D17" s="29">
        <v>823</v>
      </c>
      <c r="E17" s="29">
        <v>829</v>
      </c>
      <c r="F17" s="29">
        <f>F16*0.1125</f>
        <v>900</v>
      </c>
      <c r="G17" s="29">
        <f>G16*0.108</f>
        <v>874.8</v>
      </c>
      <c r="H17" s="29">
        <f>H16*0.11</f>
        <v>902</v>
      </c>
      <c r="I17" s="29">
        <f>I16*0.112</f>
        <v>929.6</v>
      </c>
      <c r="J17" s="38" t="s">
        <v>189</v>
      </c>
    </row>
    <row r="18" spans="2:10" ht="14" x14ac:dyDescent="0.3">
      <c r="B18" s="40" t="s">
        <v>191</v>
      </c>
      <c r="C18" s="38" t="s">
        <v>189</v>
      </c>
      <c r="D18" s="41">
        <f>D17/D16</f>
        <v>9.4815668202764977E-2</v>
      </c>
      <c r="E18" s="41">
        <f>E17/E16</f>
        <v>0.10371575128237208</v>
      </c>
      <c r="F18" s="41">
        <f>IFERROR(F17/F16,"—")</f>
        <v>0.1125</v>
      </c>
      <c r="G18" s="41">
        <f>IFERROR(G17/G16,"—")</f>
        <v>0.108</v>
      </c>
      <c r="H18" s="41">
        <f>IFERROR(H17/H16,"—")</f>
        <v>0.11</v>
      </c>
      <c r="I18" s="41">
        <f>IFERROR(I17/I16,"—")</f>
        <v>0.112</v>
      </c>
      <c r="J18" s="41" t="str">
        <f>IFERROR(J17/J16,"—")</f>
        <v>—</v>
      </c>
    </row>
    <row r="20" spans="2:10" ht="14" x14ac:dyDescent="0.3">
      <c r="B20" s="21" t="s">
        <v>194</v>
      </c>
      <c r="C20" s="22"/>
      <c r="D20" s="22"/>
      <c r="E20" s="22"/>
      <c r="F20" s="22"/>
      <c r="G20" s="22"/>
      <c r="H20" s="22"/>
      <c r="I20" s="22"/>
      <c r="J20" s="22"/>
    </row>
    <row r="21" spans="2:10" ht="14" x14ac:dyDescent="0.3">
      <c r="B21" s="3" t="s">
        <v>195</v>
      </c>
      <c r="C21" s="19" t="e">
        <f t="shared" ref="C21:J22" si="0">C6+C11+C16</f>
        <v>#VALUE!</v>
      </c>
      <c r="D21" s="19">
        <f t="shared" si="0"/>
        <v>23997</v>
      </c>
      <c r="E21" s="19">
        <f t="shared" si="0"/>
        <v>24598</v>
      </c>
      <c r="F21" s="19">
        <f t="shared" si="0"/>
        <v>27000</v>
      </c>
      <c r="G21" s="19">
        <f t="shared" si="0"/>
        <v>29800</v>
      </c>
      <c r="H21" s="19">
        <f t="shared" si="0"/>
        <v>32400</v>
      </c>
      <c r="I21" s="19">
        <f t="shared" si="0"/>
        <v>35000</v>
      </c>
      <c r="J21" s="19" t="e">
        <f t="shared" si="0"/>
        <v>#VALUE!</v>
      </c>
    </row>
    <row r="22" spans="2:10" ht="14" x14ac:dyDescent="0.3">
      <c r="B22" s="3" t="s">
        <v>196</v>
      </c>
      <c r="C22" s="19" t="e">
        <f t="shared" si="0"/>
        <v>#VALUE!</v>
      </c>
      <c r="D22" s="19">
        <f t="shared" si="0"/>
        <v>3139</v>
      </c>
      <c r="E22" s="19">
        <f t="shared" si="0"/>
        <v>3174</v>
      </c>
      <c r="F22" s="19">
        <f t="shared" si="0"/>
        <v>4051.8499999999995</v>
      </c>
      <c r="G22" s="19">
        <f t="shared" si="0"/>
        <v>4312.8</v>
      </c>
      <c r="H22" s="19">
        <f t="shared" si="0"/>
        <v>4861</v>
      </c>
      <c r="I22" s="19">
        <f t="shared" si="0"/>
        <v>5434.6</v>
      </c>
      <c r="J22" s="19" t="e">
        <f t="shared" si="0"/>
        <v>#VALUE!</v>
      </c>
    </row>
    <row r="23" spans="2:10" ht="14" x14ac:dyDescent="0.3">
      <c r="B23" s="40" t="s">
        <v>197</v>
      </c>
      <c r="C23" s="41" t="str">
        <f t="shared" ref="C23:J23" si="1">IFERROR(C22/C21,"—")</f>
        <v>—</v>
      </c>
      <c r="D23" s="41">
        <f t="shared" si="1"/>
        <v>0.13080801766887529</v>
      </c>
      <c r="E23" s="41">
        <f t="shared" si="1"/>
        <v>0.12903488088462475</v>
      </c>
      <c r="F23" s="41">
        <f t="shared" si="1"/>
        <v>0.15006851851851849</v>
      </c>
      <c r="G23" s="41">
        <f t="shared" si="1"/>
        <v>0.14472483221476512</v>
      </c>
      <c r="H23" s="41">
        <f t="shared" si="1"/>
        <v>0.15003086419753087</v>
      </c>
      <c r="I23" s="41">
        <f t="shared" si="1"/>
        <v>0.15527428571428573</v>
      </c>
      <c r="J23" s="41" t="str">
        <f t="shared" si="1"/>
        <v>—</v>
      </c>
    </row>
    <row r="25" spans="2:10" ht="14" x14ac:dyDescent="0.3">
      <c r="B25" s="42" t="s">
        <v>198</v>
      </c>
      <c r="C25" s="43"/>
      <c r="D25" s="43"/>
      <c r="E25" s="43"/>
      <c r="F25" s="43"/>
      <c r="G25" s="43"/>
      <c r="H25" s="43"/>
      <c r="I25" s="43"/>
      <c r="J25" s="43"/>
    </row>
    <row r="26" spans="2:10" ht="14" x14ac:dyDescent="0.3">
      <c r="B26" s="3" t="s">
        <v>199</v>
      </c>
      <c r="F26" s="44">
        <f>'DCF Model'!C33</f>
        <v>27009.884268000002</v>
      </c>
      <c r="G26" s="44">
        <f>'DCF Model'!D33</f>
        <v>29818.912231872004</v>
      </c>
      <c r="H26" s="44">
        <f>'DCF Model'!E33</f>
        <v>31906.236088103047</v>
      </c>
      <c r="I26" s="44">
        <f>'DCF Model'!F33</f>
        <v>33501.547892508199</v>
      </c>
      <c r="J26" s="44">
        <f>'DCF Model'!G33</f>
        <v>34841.60980820853</v>
      </c>
    </row>
    <row r="27" spans="2:10" ht="14" x14ac:dyDescent="0.3">
      <c r="B27" s="3" t="s">
        <v>200</v>
      </c>
      <c r="F27" s="29">
        <f>F21</f>
        <v>27000</v>
      </c>
      <c r="G27" s="29">
        <f>G21</f>
        <v>29800</v>
      </c>
      <c r="H27" s="29">
        <f>H21</f>
        <v>32400</v>
      </c>
      <c r="I27" s="29">
        <f>I21</f>
        <v>35000</v>
      </c>
      <c r="J27" s="29" t="e">
        <f>J21</f>
        <v>#VALUE!</v>
      </c>
    </row>
    <row r="28" spans="2:10" ht="14" x14ac:dyDescent="0.3">
      <c r="B28" s="3" t="s">
        <v>201</v>
      </c>
      <c r="F28" s="23">
        <f>F27-F26</f>
        <v>-9.8842680000016117</v>
      </c>
      <c r="G28" s="23">
        <f>G27-G26</f>
        <v>-18.912231872003758</v>
      </c>
      <c r="H28" s="23">
        <f>H27-H26</f>
        <v>493.76391189695278</v>
      </c>
      <c r="I28" s="23">
        <f>I27-I26</f>
        <v>1498.4521074918011</v>
      </c>
      <c r="J28" s="23" t="e">
        <f>J27-J26</f>
        <v>#VALUE!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J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1" t="s">
        <v>202</v>
      </c>
    </row>
    <row r="4" spans="2:10" ht="14" x14ac:dyDescent="0.3">
      <c r="C4" s="9" t="s">
        <v>34</v>
      </c>
      <c r="D4" s="9" t="s">
        <v>35</v>
      </c>
      <c r="E4" s="9" t="s">
        <v>187</v>
      </c>
      <c r="F4" s="9" t="s">
        <v>84</v>
      </c>
      <c r="G4" s="9" t="s">
        <v>85</v>
      </c>
      <c r="H4" s="9" t="s">
        <v>86</v>
      </c>
      <c r="I4" s="9" t="s">
        <v>87</v>
      </c>
      <c r="J4" s="9" t="s">
        <v>88</v>
      </c>
    </row>
    <row r="5" spans="2:10" ht="14" x14ac:dyDescent="0.3">
      <c r="B5" s="7" t="s">
        <v>203</v>
      </c>
      <c r="C5" s="8"/>
      <c r="D5" s="8"/>
      <c r="E5" s="8"/>
      <c r="F5" s="8"/>
      <c r="G5" s="8"/>
      <c r="H5" s="8"/>
      <c r="I5" s="8"/>
      <c r="J5" s="8"/>
    </row>
    <row r="6" spans="2:10" ht="14" x14ac:dyDescent="0.3">
      <c r="B6" s="3" t="s">
        <v>204</v>
      </c>
      <c r="C6" s="38" t="s">
        <v>189</v>
      </c>
      <c r="D6" s="29">
        <v>4771</v>
      </c>
      <c r="E6" s="29">
        <v>4570</v>
      </c>
      <c r="F6" s="39">
        <v>5050</v>
      </c>
      <c r="G6" s="39">
        <v>5700</v>
      </c>
      <c r="H6" s="39">
        <v>6200</v>
      </c>
      <c r="I6" s="39">
        <v>6700</v>
      </c>
      <c r="J6" s="38" t="s">
        <v>189</v>
      </c>
    </row>
    <row r="7" spans="2:10" ht="14" x14ac:dyDescent="0.3">
      <c r="B7" s="40" t="s">
        <v>205</v>
      </c>
      <c r="C7" s="38" t="s">
        <v>189</v>
      </c>
      <c r="D7" s="41" t="str">
        <f t="shared" ref="D7:J7" si="0">IFERROR((D6-C6)/C6,"—")</f>
        <v>—</v>
      </c>
      <c r="E7" s="41">
        <f t="shared" si="0"/>
        <v>-4.2129532592747855E-2</v>
      </c>
      <c r="F7" s="41">
        <f t="shared" si="0"/>
        <v>0.10503282275711159</v>
      </c>
      <c r="G7" s="41">
        <f t="shared" si="0"/>
        <v>0.12871287128712872</v>
      </c>
      <c r="H7" s="41">
        <f t="shared" si="0"/>
        <v>8.771929824561403E-2</v>
      </c>
      <c r="I7" s="41">
        <f t="shared" si="0"/>
        <v>8.0645161290322578E-2</v>
      </c>
      <c r="J7" s="41" t="str">
        <f t="shared" si="0"/>
        <v>—</v>
      </c>
    </row>
    <row r="9" spans="2:10" ht="14" x14ac:dyDescent="0.3">
      <c r="B9" s="7" t="s">
        <v>206</v>
      </c>
      <c r="C9" s="8"/>
      <c r="D9" s="8"/>
      <c r="E9" s="8"/>
      <c r="F9" s="8"/>
      <c r="G9" s="8"/>
      <c r="H9" s="8"/>
      <c r="I9" s="8"/>
      <c r="J9" s="8"/>
    </row>
    <row r="10" spans="2:10" ht="14" x14ac:dyDescent="0.3">
      <c r="B10" s="3" t="s">
        <v>207</v>
      </c>
      <c r="C10" s="38" t="s">
        <v>189</v>
      </c>
      <c r="D10" s="38" t="s">
        <v>189</v>
      </c>
      <c r="E10" s="38" t="s">
        <v>189</v>
      </c>
      <c r="F10" s="31">
        <v>820</v>
      </c>
      <c r="G10" s="31">
        <v>850</v>
      </c>
      <c r="H10" s="31">
        <v>880</v>
      </c>
      <c r="I10" s="31">
        <v>910</v>
      </c>
      <c r="J10" s="38" t="s">
        <v>189</v>
      </c>
    </row>
    <row r="11" spans="2:10" ht="14" x14ac:dyDescent="0.3">
      <c r="B11" s="3" t="s">
        <v>208</v>
      </c>
      <c r="C11" s="38" t="s">
        <v>189</v>
      </c>
      <c r="D11" s="38" t="s">
        <v>189</v>
      </c>
      <c r="E11" s="38" t="s">
        <v>189</v>
      </c>
      <c r="F11" s="25">
        <v>0.92</v>
      </c>
      <c r="G11" s="25">
        <v>0.93</v>
      </c>
      <c r="H11" s="25">
        <v>0.93</v>
      </c>
      <c r="I11" s="25">
        <v>0.94</v>
      </c>
      <c r="J11" s="38" t="s">
        <v>189</v>
      </c>
    </row>
    <row r="12" spans="2:10" ht="14" x14ac:dyDescent="0.3">
      <c r="B12" s="3" t="s">
        <v>209</v>
      </c>
      <c r="C12" s="38" t="s">
        <v>189</v>
      </c>
      <c r="D12" s="38" t="s">
        <v>189</v>
      </c>
      <c r="E12" s="38" t="s">
        <v>189</v>
      </c>
      <c r="F12" s="45">
        <v>0.7</v>
      </c>
      <c r="G12" s="45">
        <v>0.72</v>
      </c>
      <c r="H12" s="45">
        <v>0.74</v>
      </c>
      <c r="I12" s="45">
        <v>0.76</v>
      </c>
      <c r="J12" s="38" t="s">
        <v>189</v>
      </c>
    </row>
    <row r="13" spans="2:10" ht="14" x14ac:dyDescent="0.3">
      <c r="B13" s="3" t="s">
        <v>210</v>
      </c>
      <c r="C13" s="38" t="s">
        <v>189</v>
      </c>
      <c r="D13" s="38" t="s">
        <v>189</v>
      </c>
      <c r="E13" s="38" t="s">
        <v>189</v>
      </c>
      <c r="F13" s="19">
        <f>F10*F11*F12*12</f>
        <v>6336.9599999999991</v>
      </c>
      <c r="G13" s="19">
        <f>G10*G11*G12*12</f>
        <v>6829.92</v>
      </c>
      <c r="H13" s="19">
        <f>H10*H11*H12*12</f>
        <v>7267.3920000000016</v>
      </c>
      <c r="I13" s="19">
        <f>I10*I11*I12*12</f>
        <v>7801.2480000000005</v>
      </c>
      <c r="J13" s="19" t="e">
        <f>J10*J11*J12*12</f>
        <v>#VALUE!</v>
      </c>
    </row>
    <row r="14" spans="2:10" ht="14" x14ac:dyDescent="0.3">
      <c r="B14" s="3" t="s">
        <v>211</v>
      </c>
      <c r="C14" s="38" t="s">
        <v>189</v>
      </c>
      <c r="D14" s="38" t="s">
        <v>189</v>
      </c>
      <c r="E14" s="29">
        <v>6058</v>
      </c>
      <c r="F14" s="39">
        <v>7400</v>
      </c>
      <c r="G14" s="39">
        <v>9238</v>
      </c>
      <c r="H14" s="39">
        <v>11000</v>
      </c>
      <c r="I14" s="39">
        <v>13000</v>
      </c>
      <c r="J14" s="38" t="s">
        <v>189</v>
      </c>
    </row>
    <row r="15" spans="2:10" ht="14" x14ac:dyDescent="0.3">
      <c r="B15" s="3" t="s">
        <v>212</v>
      </c>
      <c r="C15" s="38" t="s">
        <v>189</v>
      </c>
      <c r="D15" s="19">
        <v>10546</v>
      </c>
      <c r="E15" s="19">
        <v>12035</v>
      </c>
      <c r="F15" s="19">
        <f>F13+F14</f>
        <v>13736.96</v>
      </c>
      <c r="G15" s="19">
        <f>G13+G14</f>
        <v>16067.92</v>
      </c>
      <c r="H15" s="19">
        <f>H13+H14</f>
        <v>18267.392</v>
      </c>
      <c r="I15" s="19">
        <f>I13+I14</f>
        <v>20801.248</v>
      </c>
      <c r="J15" s="19" t="e">
        <f>J13+J14</f>
        <v>#VALUE!</v>
      </c>
    </row>
    <row r="16" spans="2:10" ht="14" x14ac:dyDescent="0.3">
      <c r="B16" s="40" t="s">
        <v>213</v>
      </c>
      <c r="C16" s="41" t="str">
        <f t="shared" ref="C16:J16" si="1">IFERROR(C14/C15,"—")</f>
        <v>—</v>
      </c>
      <c r="D16" s="41" t="str">
        <f t="shared" si="1"/>
        <v>—</v>
      </c>
      <c r="E16" s="41">
        <f t="shared" si="1"/>
        <v>0.50336518487744075</v>
      </c>
      <c r="F16" s="41">
        <f t="shared" si="1"/>
        <v>0.53869269474468884</v>
      </c>
      <c r="G16" s="41">
        <f t="shared" si="1"/>
        <v>0.57493440345732361</v>
      </c>
      <c r="H16" s="41">
        <f t="shared" si="1"/>
        <v>0.60216587020194234</v>
      </c>
      <c r="I16" s="41">
        <f t="shared" si="1"/>
        <v>0.62496250224986505</v>
      </c>
      <c r="J16" s="41" t="str">
        <f t="shared" si="1"/>
        <v>—</v>
      </c>
    </row>
    <row r="18" spans="2:10" ht="14" x14ac:dyDescent="0.3">
      <c r="B18" s="7" t="s">
        <v>214</v>
      </c>
      <c r="C18" s="8"/>
      <c r="D18" s="8"/>
      <c r="E18" s="8"/>
      <c r="F18" s="8"/>
      <c r="G18" s="8"/>
      <c r="H18" s="8"/>
      <c r="I18" s="8"/>
      <c r="J18" s="8"/>
    </row>
    <row r="19" spans="2:10" ht="14" x14ac:dyDescent="0.3">
      <c r="B19" s="3" t="s">
        <v>204</v>
      </c>
      <c r="C19" s="38" t="s">
        <v>189</v>
      </c>
      <c r="D19" s="29">
        <v>8680</v>
      </c>
      <c r="E19" s="29">
        <v>7993</v>
      </c>
      <c r="F19" s="39">
        <v>8000</v>
      </c>
      <c r="G19" s="39">
        <v>8100</v>
      </c>
      <c r="H19" s="39">
        <v>8200</v>
      </c>
      <c r="I19" s="39">
        <v>8300</v>
      </c>
      <c r="J19" s="38" t="s">
        <v>189</v>
      </c>
    </row>
    <row r="20" spans="2:10" ht="14" x14ac:dyDescent="0.3">
      <c r="B20" s="40" t="s">
        <v>205</v>
      </c>
      <c r="C20" s="38" t="s">
        <v>189</v>
      </c>
      <c r="D20" s="41" t="str">
        <f t="shared" ref="D20:J20" si="2">IFERROR((D19-C19)/C19,"—")</f>
        <v>—</v>
      </c>
      <c r="E20" s="41">
        <f t="shared" si="2"/>
        <v>-7.9147465437788014E-2</v>
      </c>
      <c r="F20" s="41">
        <f t="shared" si="2"/>
        <v>8.7576629550857002E-4</v>
      </c>
      <c r="G20" s="41">
        <f t="shared" si="2"/>
        <v>1.2500000000000001E-2</v>
      </c>
      <c r="H20" s="41">
        <f t="shared" si="2"/>
        <v>1.2345679012345678E-2</v>
      </c>
      <c r="I20" s="41">
        <f t="shared" si="2"/>
        <v>1.2195121951219513E-2</v>
      </c>
      <c r="J20" s="41" t="str">
        <f t="shared" si="2"/>
        <v>—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2026-03-18T05:42:56Z</dcterms:created>
  <dcterms:modified xsi:type="dcterms:W3CDTF">2026-03-18T06:17:08Z</dcterms:modified>
</cp:coreProperties>
</file>