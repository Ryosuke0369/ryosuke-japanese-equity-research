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EA8DF349-CBB5-479B-9EC8-2F19C3FDA22B}"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N7" i="6"/>
  <c r="M7" i="6"/>
  <c r="L7" i="6"/>
  <c r="K7" i="6"/>
  <c r="J7" i="6"/>
  <c r="O6" i="6"/>
  <c r="N6" i="6"/>
  <c r="M6" i="6"/>
  <c r="K6" i="6"/>
  <c r="J6" i="6"/>
  <c r="D17" i="6" s="1"/>
  <c r="O5" i="6"/>
  <c r="N5" i="6"/>
  <c r="D5" i="6"/>
  <c r="E5" i="6" s="1"/>
  <c r="C16" i="5"/>
  <c r="C14" i="5"/>
  <c r="C18" i="5" s="1"/>
  <c r="C7" i="5"/>
  <c r="C6" i="5"/>
  <c r="C5" i="5"/>
  <c r="C13" i="4"/>
  <c r="C12" i="4"/>
  <c r="C9" i="4"/>
  <c r="C7" i="4"/>
  <c r="C6" i="4"/>
  <c r="C8" i="4" s="1"/>
  <c r="C10" i="4" s="1"/>
  <c r="D27" i="3"/>
  <c r="H6" i="5" s="1"/>
  <c r="C25" i="3"/>
  <c r="C24" i="3"/>
  <c r="C23" i="3"/>
  <c r="C26" i="3" s="1"/>
  <c r="F28" i="2"/>
  <c r="E28" i="2"/>
  <c r="D28" i="2"/>
  <c r="C28" i="2"/>
  <c r="F23" i="2"/>
  <c r="E23" i="2"/>
  <c r="D23" i="2"/>
  <c r="C23" i="2"/>
  <c r="F21" i="2"/>
  <c r="F22" i="2" s="1"/>
  <c r="E21" i="2"/>
  <c r="E22" i="2" s="1"/>
  <c r="D21" i="2"/>
  <c r="D22" i="2" s="1"/>
  <c r="C21" i="2"/>
  <c r="C22" i="2" s="1"/>
  <c r="F16" i="2"/>
  <c r="E16" i="2"/>
  <c r="D16" i="2"/>
  <c r="F15" i="2"/>
  <c r="E15" i="2"/>
  <c r="D15" i="2"/>
  <c r="F14" i="2"/>
  <c r="E14" i="2"/>
  <c r="D14" i="2"/>
  <c r="C14" i="2"/>
  <c r="F13" i="2"/>
  <c r="E13" i="2"/>
  <c r="D13" i="2"/>
  <c r="C13" i="2"/>
  <c r="F8" i="2"/>
  <c r="F9" i="2" s="1"/>
  <c r="E8" i="2"/>
  <c r="E9" i="2" s="1"/>
  <c r="D8" i="2"/>
  <c r="D9" i="2" s="1"/>
  <c r="C8" i="2"/>
  <c r="C9" i="2" s="1"/>
  <c r="C10" i="1"/>
  <c r="C12" i="1" s="1"/>
  <c r="C11" i="1" s="1"/>
  <c r="F15" i="6" l="1"/>
  <c r="H16" i="6"/>
  <c r="E15" i="6"/>
  <c r="G15" i="6"/>
  <c r="H15" i="6"/>
  <c r="I16" i="6"/>
  <c r="C71" i="4"/>
  <c r="C70" i="4"/>
  <c r="K5" i="6"/>
  <c r="J5" i="6"/>
  <c r="C3" i="7"/>
  <c r="F36" i="4"/>
  <c r="F46" i="3"/>
  <c r="E46" i="3"/>
  <c r="E36" i="4"/>
  <c r="D36" i="4"/>
  <c r="D46" i="3"/>
  <c r="C46" i="3"/>
  <c r="H36" i="4"/>
  <c r="G36" i="4"/>
  <c r="C11" i="4"/>
  <c r="C24" i="4" s="1"/>
  <c r="C25" i="4" s="1"/>
  <c r="G46" i="3"/>
  <c r="E31" i="3"/>
  <c r="G5" i="5"/>
  <c r="I15" i="6"/>
  <c r="E17" i="6"/>
  <c r="I6" i="7"/>
  <c r="C30" i="3"/>
  <c r="C33" i="3" s="1"/>
  <c r="F31" i="3"/>
  <c r="H5" i="5"/>
  <c r="D7" i="5"/>
  <c r="D16" i="6"/>
  <c r="F17" i="6"/>
  <c r="C17" i="7"/>
  <c r="D30" i="3"/>
  <c r="G31" i="3"/>
  <c r="E7" i="5"/>
  <c r="L5" i="6"/>
  <c r="E16" i="6"/>
  <c r="G17" i="6"/>
  <c r="C6" i="7"/>
  <c r="D17" i="7"/>
  <c r="E30" i="3"/>
  <c r="C32" i="3"/>
  <c r="D6" i="5"/>
  <c r="F7" i="5"/>
  <c r="M5" i="6"/>
  <c r="D15" i="6"/>
  <c r="F16" i="6"/>
  <c r="C28" i="6" s="1"/>
  <c r="C19" i="1" s="1"/>
  <c r="D19" i="1" s="1"/>
  <c r="H17" i="6"/>
  <c r="D6" i="7"/>
  <c r="E17" i="7"/>
  <c r="C31" i="3"/>
  <c r="F30" i="3"/>
  <c r="D32" i="3"/>
  <c r="E6" i="5"/>
  <c r="G7" i="5"/>
  <c r="G16" i="6"/>
  <c r="I17" i="6"/>
  <c r="E6" i="7"/>
  <c r="F17" i="7"/>
  <c r="G30" i="3"/>
  <c r="D5" i="5"/>
  <c r="F6" i="5"/>
  <c r="H7" i="5"/>
  <c r="F6" i="7"/>
  <c r="G17" i="7"/>
  <c r="E5" i="5"/>
  <c r="G6" i="5"/>
  <c r="G6" i="7"/>
  <c r="H17" i="7"/>
  <c r="E32" i="3"/>
  <c r="F32" i="3"/>
  <c r="D31" i="3"/>
  <c r="G32" i="3"/>
  <c r="F5" i="5"/>
  <c r="C29" i="4" l="1"/>
  <c r="C27" i="4"/>
  <c r="C26" i="4"/>
  <c r="C27" i="6"/>
  <c r="C18" i="1" s="1"/>
  <c r="D18" i="1" s="1"/>
  <c r="C74" i="4"/>
  <c r="E43" i="4"/>
  <c r="E46" i="4"/>
  <c r="E40" i="4"/>
  <c r="E44" i="4"/>
  <c r="E38" i="4"/>
  <c r="E41" i="4"/>
  <c r="E45" i="4"/>
  <c r="E39" i="4"/>
  <c r="E49" i="4" s="1"/>
  <c r="E54" i="4" s="1"/>
  <c r="D9" i="5"/>
  <c r="D12" i="5" s="1"/>
  <c r="C42" i="3"/>
  <c r="C37" i="3"/>
  <c r="C34" i="3"/>
  <c r="D10" i="5" s="1"/>
  <c r="D33" i="3"/>
  <c r="G40" i="4"/>
  <c r="G44" i="4"/>
  <c r="G38" i="4"/>
  <c r="G41" i="4"/>
  <c r="G51" i="4" s="1"/>
  <c r="G56" i="4" s="1"/>
  <c r="G45" i="4"/>
  <c r="G39" i="4"/>
  <c r="G43" i="4"/>
  <c r="G46" i="4"/>
  <c r="F46" i="4"/>
  <c r="F40" i="4"/>
  <c r="F44" i="4"/>
  <c r="F38" i="4"/>
  <c r="F48" i="4" s="1"/>
  <c r="F53" i="4" s="1"/>
  <c r="F41" i="4"/>
  <c r="F51" i="4" s="1"/>
  <c r="F56" i="4" s="1"/>
  <c r="F45" i="4"/>
  <c r="F39" i="4"/>
  <c r="F43" i="4"/>
  <c r="H44" i="4"/>
  <c r="H38" i="4"/>
  <c r="H41" i="4"/>
  <c r="H45" i="4"/>
  <c r="H39" i="4"/>
  <c r="H49" i="4" s="1"/>
  <c r="H54" i="4" s="1"/>
  <c r="H43" i="4"/>
  <c r="H46" i="4"/>
  <c r="H40" i="4"/>
  <c r="B13" i="7"/>
  <c r="B12" i="7"/>
  <c r="B11" i="7"/>
  <c r="B10" i="7"/>
  <c r="B9" i="7"/>
  <c r="B8" i="7"/>
  <c r="B7" i="7"/>
  <c r="B24" i="7"/>
  <c r="B23" i="7"/>
  <c r="B22" i="7"/>
  <c r="B21" i="7"/>
  <c r="B20" i="7"/>
  <c r="B19" i="7"/>
  <c r="B18" i="7"/>
  <c r="D39" i="4"/>
  <c r="D43" i="4"/>
  <c r="D46" i="4"/>
  <c r="D40" i="4"/>
  <c r="D44" i="4"/>
  <c r="D38" i="4"/>
  <c r="D48" i="4" s="1"/>
  <c r="D53" i="4" s="1"/>
  <c r="D41" i="4"/>
  <c r="D51" i="4" s="1"/>
  <c r="D56" i="4" s="1"/>
  <c r="D45" i="4"/>
  <c r="E50" i="4" l="1"/>
  <c r="E55" i="4" s="1"/>
  <c r="D50" i="4"/>
  <c r="D55" i="4" s="1"/>
  <c r="H48" i="4"/>
  <c r="H53" i="4" s="1"/>
  <c r="E48" i="4"/>
  <c r="E53" i="4" s="1"/>
  <c r="F50" i="4"/>
  <c r="F55" i="4" s="1"/>
  <c r="D49" i="4"/>
  <c r="D54" i="4" s="1"/>
  <c r="F49" i="4"/>
  <c r="F54" i="4" s="1"/>
  <c r="B78" i="4" s="1"/>
  <c r="G50" i="4"/>
  <c r="G55" i="4" s="1"/>
  <c r="H50" i="4"/>
  <c r="H55" i="4" s="1"/>
  <c r="E9" i="5"/>
  <c r="E12" i="5" s="1"/>
  <c r="D42" i="3"/>
  <c r="D34" i="3"/>
  <c r="E10" i="5" s="1"/>
  <c r="D37" i="3"/>
  <c r="D35" i="3"/>
  <c r="E33" i="3"/>
  <c r="E51" i="4"/>
  <c r="E56" i="4" s="1"/>
  <c r="C35" i="3"/>
  <c r="G49" i="4"/>
  <c r="G54" i="4" s="1"/>
  <c r="D13" i="5"/>
  <c r="D14" i="5" s="1"/>
  <c r="D15" i="5"/>
  <c r="D16" i="5" s="1"/>
  <c r="H51" i="4"/>
  <c r="H56" i="4" s="1"/>
  <c r="G48" i="4"/>
  <c r="G53" i="4" s="1"/>
  <c r="D18" i="5" l="1"/>
  <c r="D19" i="5" s="1"/>
  <c r="C44" i="3" s="1"/>
  <c r="C60" i="4"/>
  <c r="C63" i="4" s="1"/>
  <c r="D63" i="4" s="1"/>
  <c r="E42" i="3"/>
  <c r="E34" i="3"/>
  <c r="F10" i="5" s="1"/>
  <c r="E37" i="3"/>
  <c r="F33" i="3"/>
  <c r="F9" i="5"/>
  <c r="F12" i="5" s="1"/>
  <c r="E13" i="5"/>
  <c r="E14" i="5" s="1"/>
  <c r="E15" i="5"/>
  <c r="E16" i="5" s="1"/>
  <c r="D39" i="3"/>
  <c r="D38" i="3"/>
  <c r="D36" i="3"/>
  <c r="C36" i="3"/>
  <c r="C39" i="3"/>
  <c r="C38" i="3"/>
  <c r="C67" i="4"/>
  <c r="D67" i="4" s="1"/>
  <c r="C64" i="4" l="1"/>
  <c r="D64" i="4" s="1"/>
  <c r="E18" i="5"/>
  <c r="E19" i="5" s="1"/>
  <c r="D44" i="3" s="1"/>
  <c r="C65" i="4"/>
  <c r="D65" i="4" s="1"/>
  <c r="C66" i="4"/>
  <c r="D66" i="4" s="1"/>
  <c r="F13" i="5"/>
  <c r="F14" i="5" s="1"/>
  <c r="F15" i="5"/>
  <c r="F16" i="5" s="1"/>
  <c r="D40" i="3"/>
  <c r="D41" i="3" s="1"/>
  <c r="D45" i="3" s="1"/>
  <c r="D47" i="3" s="1"/>
  <c r="C40" i="3"/>
  <c r="C41" i="3" s="1"/>
  <c r="C45" i="3" s="1"/>
  <c r="F37" i="3"/>
  <c r="G33" i="3"/>
  <c r="G9" i="5"/>
  <c r="G12" i="5" s="1"/>
  <c r="F42" i="3"/>
  <c r="F34" i="3"/>
  <c r="G10" i="5" s="1"/>
  <c r="E35" i="3"/>
  <c r="F18" i="5" l="1"/>
  <c r="F19" i="5" s="1"/>
  <c r="E44" i="3" s="1"/>
  <c r="F35" i="3"/>
  <c r="C47" i="3"/>
  <c r="F38" i="3"/>
  <c r="F36" i="3"/>
  <c r="F39" i="3"/>
  <c r="E38" i="3"/>
  <c r="E36" i="3"/>
  <c r="E39" i="3"/>
  <c r="G15" i="5"/>
  <c r="G16" i="5" s="1"/>
  <c r="G13" i="5"/>
  <c r="G14" i="5" s="1"/>
  <c r="G18" i="5" s="1"/>
  <c r="G19" i="5" s="1"/>
  <c r="F44" i="3" s="1"/>
  <c r="C16" i="4"/>
  <c r="C28" i="4" s="1"/>
  <c r="H9" i="5"/>
  <c r="H12" i="5" s="1"/>
  <c r="G42" i="3"/>
  <c r="G34" i="3"/>
  <c r="H10" i="5" s="1"/>
  <c r="G37" i="3"/>
  <c r="G35" i="3" l="1"/>
  <c r="G38" i="3" s="1"/>
  <c r="C72" i="4"/>
  <c r="C73" i="4"/>
  <c r="F40" i="3"/>
  <c r="F41" i="3" s="1"/>
  <c r="F45" i="3" s="1"/>
  <c r="F47" i="3" s="1"/>
  <c r="H15" i="5"/>
  <c r="H16" i="5" s="1"/>
  <c r="H13" i="5"/>
  <c r="H14" i="5" s="1"/>
  <c r="H18" i="5" s="1"/>
  <c r="H19" i="5" s="1"/>
  <c r="G44" i="3" s="1"/>
  <c r="E40" i="3"/>
  <c r="E41" i="3" s="1"/>
  <c r="E45" i="3" s="1"/>
  <c r="G39" i="3" l="1"/>
  <c r="G36" i="3"/>
  <c r="E47" i="3"/>
  <c r="G40" i="3"/>
  <c r="G41" i="3" s="1"/>
  <c r="G45" i="3" s="1"/>
  <c r="C59" i="3"/>
  <c r="C60" i="3" s="1"/>
  <c r="C61" i="3" s="1"/>
  <c r="G10" i="7" l="1"/>
  <c r="D11" i="7"/>
  <c r="C12" i="7"/>
  <c r="C13" i="7"/>
  <c r="E7" i="7"/>
  <c r="I8" i="7"/>
  <c r="G24" i="7"/>
  <c r="I18" i="7"/>
  <c r="D23" i="7"/>
  <c r="F24" i="7"/>
  <c r="E10" i="7"/>
  <c r="G12" i="7"/>
  <c r="G8" i="7"/>
  <c r="H12" i="7"/>
  <c r="I21" i="7"/>
  <c r="E20" i="7"/>
  <c r="D24" i="7"/>
  <c r="F8" i="7"/>
  <c r="F13" i="7"/>
  <c r="I13" i="7"/>
  <c r="C22" i="7"/>
  <c r="E12" i="7"/>
  <c r="H13" i="7"/>
  <c r="C8" i="7"/>
  <c r="C11" i="7"/>
  <c r="D22" i="7"/>
  <c r="D9" i="7"/>
  <c r="G13" i="7"/>
  <c r="I7" i="7"/>
  <c r="I23" i="7"/>
  <c r="C23" i="7"/>
  <c r="G23" i="7"/>
  <c r="H23" i="7"/>
  <c r="G19" i="7"/>
  <c r="E18" i="7"/>
  <c r="E19" i="7"/>
  <c r="F19" i="7"/>
  <c r="I19" i="7"/>
  <c r="F12" i="7"/>
  <c r="H24" i="7"/>
  <c r="F23" i="7"/>
  <c r="E22" i="7"/>
  <c r="D21" i="7"/>
  <c r="H11" i="7"/>
  <c r="F18" i="7"/>
  <c r="H10" i="7"/>
  <c r="F9" i="7"/>
  <c r="E8" i="7"/>
  <c r="E9" i="7"/>
  <c r="C24" i="7"/>
  <c r="H18" i="7"/>
  <c r="D7" i="7"/>
  <c r="G7" i="7"/>
  <c r="G18" i="7"/>
  <c r="E23" i="7"/>
  <c r="I9" i="7"/>
  <c r="G20" i="7"/>
  <c r="I10" i="7"/>
  <c r="G21" i="7"/>
  <c r="F20" i="7"/>
  <c r="F21" i="7"/>
  <c r="D18" i="7"/>
  <c r="H8" i="7"/>
  <c r="C7" i="7"/>
  <c r="H19" i="7"/>
  <c r="H20" i="7"/>
  <c r="E13" i="7"/>
  <c r="C20" i="7"/>
  <c r="C51" i="3"/>
  <c r="C52" i="3" s="1"/>
  <c r="G47" i="3"/>
  <c r="C21" i="7"/>
  <c r="G11" i="7"/>
  <c r="G22" i="7"/>
  <c r="F11" i="7"/>
  <c r="D8" i="7"/>
  <c r="I20" i="7"/>
  <c r="D19" i="7"/>
  <c r="H9" i="7"/>
  <c r="I22" i="7"/>
  <c r="F7" i="7"/>
  <c r="C10" i="7"/>
  <c r="H22" i="7"/>
  <c r="E21" i="7"/>
  <c r="C18" i="7"/>
  <c r="C19" i="7"/>
  <c r="G9" i="7"/>
  <c r="D12" i="7"/>
  <c r="I24" i="7"/>
  <c r="D10" i="7"/>
  <c r="D13" i="7"/>
  <c r="I11" i="7"/>
  <c r="I12" i="7"/>
  <c r="H7" i="7"/>
  <c r="F22" i="7"/>
  <c r="F10" i="7"/>
  <c r="E11" i="7"/>
  <c r="D20" i="7"/>
  <c r="C9" i="7"/>
  <c r="H21" i="7"/>
  <c r="E24" i="7"/>
  <c r="C50" i="3"/>
  <c r="C58" i="3" l="1"/>
  <c r="C62" i="3" s="1"/>
  <c r="C53" i="3"/>
  <c r="C17" i="4" l="1"/>
  <c r="C54" i="3"/>
  <c r="C55" i="3" s="1"/>
  <c r="C16" i="1" s="1"/>
  <c r="C63" i="3"/>
  <c r="C64" i="3" s="1"/>
  <c r="C17" i="1" s="1"/>
  <c r="D17" i="1" s="1"/>
  <c r="D16" i="1" l="1"/>
  <c r="C21" i="1"/>
  <c r="C19" i="4"/>
  <c r="C20" i="4" s="1"/>
  <c r="B79" i="4" s="1"/>
</calcChain>
</file>

<file path=xl/sharedStrings.xml><?xml version="1.0" encoding="utf-8"?>
<sst xmlns="http://schemas.openxmlformats.org/spreadsheetml/2006/main" count="514" uniqueCount="399">
  <si>
    <t>DISCLAIMER: This is a sample analysis for demonstration purposes only. It does not constitute investment advice.</t>
  </si>
  <si>
    <t>中部電力 (9502.T)</t>
  </si>
  <si>
    <t>Equity Research Report</t>
  </si>
  <si>
    <t>Company</t>
  </si>
  <si>
    <t>中部電力</t>
  </si>
  <si>
    <t>Ticker</t>
  </si>
  <si>
    <t>9502.T (TSE Prime)</t>
  </si>
  <si>
    <t>Sector</t>
  </si>
  <si>
    <t>電気・ガス業</t>
  </si>
  <si>
    <t>Current Price</t>
  </si>
  <si>
    <t>Target Price (DCF Mid) [判定不能 — 追補8 §AD-2]</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</si>
  <si>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</si>
  <si>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</si>
  <si>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</si>
  <si>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</si>
  <si>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</si>
  <si>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</si>
  <si>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</si>
  <si>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</si>
  <si>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</si>
  <si>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</si>
  <si>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 ■【追補8 §AD-2】**Target は N/A（高レバレッジにより点推定が成立しない）**とした。PGM 3,408円 と Exit 1,097円 は**株価ベースで 3.11倍**開いているが、**倍率ベースの乖離は小さく、どちらの脚も誤りではない**。原因は財務レバレッジであり、株式価値 = EV − ネットデット の構造上、**EV のわずか数%の差が株式価値では数倍に増幅される**（net_debt / EV = 0.6043 &gt; 0.6）。■このためバンドテスト（追補6 §X-3）は倍率が一致しているため脚を判別できず、2脚の平均は追補5 が禁じた『どちらの世界観にも属さない中点』にしかならない。**点推定は意味を持たない**ため Target を出さない。■**要目視レビュー**。FINAL化時は負債削減の織り込み等の個別対応を行うこと。両脚の値（PGM 3,408円 / Exit 1,097円）は [参考] として残してある。</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</si>
  <si>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</si>
  <si>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</si>
  <si>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</si>
  <si>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</si>
  <si>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</si>
  <si>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</si>
  <si>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</si>
  <si>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</si>
  <si>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</si>
  <si>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中部電力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</si>
  <si>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</si>
  <si>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</si>
  <si>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</si>
  <si>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</si>
  <si>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</si>
  <si>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</si>
  <si>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</si>
  <si>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</si>
  <si>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</si>
  <si>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</si>
  <si>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</si>
  <si>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</si>
  <si>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</si>
  <si>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</si>
  <si>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</si>
  <si>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</si>
  <si>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</si>
  <si>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</si>
  <si>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</si>
  <si>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</si>
  <si>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</si>
  <si>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</si>
  <si>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</si>
  <si>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</si>
  <si>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</si>
  <si>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</si>
  <si>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</si>
  <si>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</si>
  <si>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中部電力</t>
  </si>
  <si>
    <t>Assumptions</t>
  </si>
  <si>
    <t>Capex / Revenue (hist 3yr avg,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</si>
  <si>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</si>
  <si>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</si>
  <si>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</si>
  <si>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</si>
  <si>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</si>
  <si>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</si>
  <si>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</si>
  <si>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</si>
  <si>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</si>
  <si>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</si>
  <si>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</si>
  <si>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</si>
  <si>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</si>
  <si>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</si>
  <si>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</si>
  <si>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</si>
  <si>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</si>
  <si>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</si>
  <si>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</si>
  <si>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</si>
  <si>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</si>
  <si>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</si>
  <si>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</si>
  <si>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</si>
  <si>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</si>
  <si>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</si>
  <si>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</si>
  <si>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</si>
  <si>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</si>
  <si>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</si>
  <si>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</si>
  <si>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</si>
  <si>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</si>
  <si>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</si>
  <si>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</si>
  <si>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</si>
  <si>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</si>
  <si>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</si>
  <si>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</si>
  <si>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</si>
  <si>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</si>
  <si>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</si>
  <si>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</si>
  <si>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</si>
  <si>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</si>
  <si>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</si>
  <si>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</si>
  <si>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</si>
  <si>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</si>
  <si>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</si>
  <si>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</si>
  <si>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</si>
  <si>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</si>
  <si>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</si>
  <si>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</si>
  <si>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</si>
  <si>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</si>
  <si>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</si>
  <si>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</si>
  <si>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</si>
  <si>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</si>
  <si>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</si>
  <si>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中部電力 (9502.T)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</si>
  <si>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</si>
  <si>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</si>
  <si>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</si>
  <si>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</si>
  <si>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</si>
  <si>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</si>
  <si>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</si>
  <si>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</si>
  <si>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</si>
  <si>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(FY2024 actual)</t>
  </si>
  <si>
    <t>Terminal-year Revenue, active scenario (JPY mn)</t>
  </si>
  <si>
    <t>Base-case DCF Enterprise Value, PGM (JPY mn)</t>
  </si>
  <si>
    <t>Cycle-peak Operating Margin (FY2024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</si>
  <si>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</si>
  <si>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</si>
  <si>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</si>
  <si>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</si>
  <si>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</si>
  <si>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</si>
  <si>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FY2024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</si>
  <si>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</si>
  <si>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</si>
  <si>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</si>
  <si>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</si>
  <si>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</si>
  <si>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</si>
  <si>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</si>
  <si>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</si>
  <si>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</si>
  <si>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</si>
  <si>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</si>
  <si>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</si>
  <si>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</si>
  <si>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</si>
  <si>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</si>
  <si>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FY2024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</si>
  <si>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</si>
  <si>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</si>
  <si>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</si>
  <si>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</si>
  <si>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</si>
  <si>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</si>
  <si>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(FY2024)</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</si>
  <si>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</si>
  <si>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</si>
  <si>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</si>
  <si>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</si>
  <si>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</si>
  <si>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</si>
  <si>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</si>
  <si>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</si>
  <si>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中部電力</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</si>
  <si>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</si>
  <si>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</si>
  <si>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</si>
  <si>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</si>
  <si>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</si>
  <si>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</si>
  <si>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</si>
  <si>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</si>
  <si>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</si>
  <si>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</si>
  <si>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</si>
  <si>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</si>
  <si>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</si>
  <si>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</si>
  <si>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</si>
  <si>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</si>
  <si>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</si>
  <si>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</si>
  <si>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</si>
  <si>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</si>
  <si>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</si>
  <si>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</si>
  <si>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</si>
  <si>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</si>
  <si>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</si>
  <si>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</si>
  <si>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</si>
  <si>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</si>
  <si>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</si>
  <si>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</si>
  <si>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</si>
  <si>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</si>
  <si>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</si>
  <si>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</si>
  <si>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Chubu Electric Power Company, Incorporated</t>
  </si>
  <si>
    <t>9502.T</t>
  </si>
  <si>
    <t>Tokyo Electric Power Company Holdings, Incorporated</t>
  </si>
  <si>
    <t>9501.T</t>
  </si>
  <si>
    <t>N/A</t>
  </si>
  <si>
    <t>The Kansai Electric Power Company, Incorporated</t>
  </si>
  <si>
    <t>9503.T</t>
  </si>
  <si>
    <t>Kyushu Electric Power Company, Incorporated</t>
  </si>
  <si>
    <t>9508.T</t>
  </si>
  <si>
    <t>Tohoku Electric Power Company, Incorporated</t>
  </si>
  <si>
    <t>9506.T</t>
  </si>
  <si>
    <t>Shikoku Electric Power Company, Incorporated</t>
  </si>
  <si>
    <t>9507.T</t>
  </si>
  <si>
    <t>Statistics</t>
  </si>
  <si>
    <t>25th Percentile</t>
  </si>
  <si>
    <t>Median (50th)</t>
  </si>
  <si>
    <t>75th Percentile</t>
  </si>
  <si>
    <t>Implied Valuation for 中部電力</t>
  </si>
  <si>
    <t>中部電力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</si>
  <si>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</si>
  <si>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</si>
  <si>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</si>
  <si>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</si>
  <si>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</si>
  <si>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</si>
  <si>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</si>
  <si>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</si>
  <si>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</si>
  <si>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</si>
  <si>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</si>
  <si>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</si>
  <si>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</si>
  <si>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</si>
  <si>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</si>
  <si>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中部電力</t>
  </si>
  <si>
    <t>日付</t>
  </si>
  <si>
    <t>セル</t>
  </si>
  <si>
    <t>変更内容</t>
  </si>
  <si>
    <t>理由</t>
  </si>
  <si>
    <t>元の値</t>
  </si>
  <si>
    <t>状態</t>
  </si>
  <si>
    <t>2026-09-06</t>
  </si>
  <si>
    <t>-</t>
  </si>
  <si>
    <t>Generated by pipeline on 2026-09-06 12:02, template rev c9b5dd9</t>
  </si>
  <si>
    <t>初期生成（手修正なし）</t>
  </si>
  <si>
    <t>generated</t>
  </si>
  <si>
    <t>2026-09-05</t>
  </si>
  <si>
    <t>DCF Model!C7</t>
  </si>
  <si>
    <t>Risk-Free Rate = 2.97%</t>
  </si>
  <si>
    <t>財務省 国債金利情報 jgbcm.csv 10年物 R8.9.3(2026-09-03) 2.966% を四捨五入。バッチ全銘柄共通の一次ソース。yfinance は日本国債利回りを返さないため使用しない。</t>
  </si>
  <si>
    <t>テンプレ既定 2.2%</t>
  </si>
  <si>
    <t>確定</t>
  </si>
  <si>
    <t>DCF Model!C9</t>
  </si>
  <si>
    <t>Equity Risk Premium = 6.5%</t>
  </si>
  <si>
    <t>バッチ共通の固定前提(v2 §1-3)。銘柄固有の調整はしていない。</t>
  </si>
  <si>
    <t>テンプレ既定 6.5%(同値)</t>
  </si>
  <si>
    <t>設計判断</t>
  </si>
  <si>
    <t>DCF Model!C10</t>
  </si>
  <si>
    <t>Size Premium = 1.0%</t>
  </si>
  <si>
    <t>時価総額バンドによる機械決定(&gt;3,000億円 -&gt; 1.0%)。当社時価総額 2,210,281百万円。■テンプレートの自動規則(&gt;=1兆円 -&gt; 0.0%、&gt;=1,000億円 -&gt; 1.5%)とは異なる値であり、明示指定で上書きしている。</t>
  </si>
  <si>
    <t>テンプレ自動値</t>
  </si>
  <si>
    <t>DCF Model!C8</t>
  </si>
  <si>
    <t>Beta = 0.60</t>
  </si>
  <si>
    <t>yfinance実測 **0.196** はクランプ下限 0.60 を下回るため、追補1 §A の規則 max(0.6, min(1.75, 実測)) により **0.60 を明示指定**した。テンプレの無言の 1.0 置換は起きていない。実測ベースより WACC は保守的に出る。</t>
  </si>
  <si>
    <t>yfinance実測 0.196</t>
  </si>
  <si>
    <t>設計判断(クランプ下限を採用)</t>
  </si>
  <si>
    <t>DCF Model!C6</t>
  </si>
  <si>
    <t>Effective Tax Rate = 25%</t>
  </si>
  <si>
    <t>バッチ共通の既定値(v2 §1-3)。当社の実績税負担率を個別に検証したものではない。</t>
  </si>
  <si>
    <t>テンプレ既定 30%</t>
  </si>
  <si>
    <t>推定</t>
  </si>
  <si>
    <t>DCF Model!C11</t>
  </si>
  <si>
    <t>After-tax Cost of Debt = 1.10%(実績ベース)</t>
  </si>
  <si>
    <t>支払利息 31,108百万円 ÷ 平均有利子負債 ((2,757,168 + 2,934,953)/2) から算出（validate チェック17 PASS）。■出所は yfinance の Interest Expense で EDINET 有報の支払利息と未突合。</t>
  </si>
  <si>
    <t>テンプレ既定(推定値)</t>
  </si>
  <si>
    <t>推定(出所が二次ソース・要確認)</t>
  </si>
  <si>
    <t>DCF Model!C13</t>
  </si>
  <si>
    <t>Terminal Growth = 1.0%</t>
  </si>
  <si>
    <t>バッチ共通の固定前提(v2 §1-3)。</t>
  </si>
  <si>
    <t>テンプレ既定 2.0%</t>
  </si>
  <si>
    <t>DCF Model!C14</t>
  </si>
  <si>
    <t>Exit Multiple (EV/EBITDA) = 8.3x</t>
  </si>
  <si>
    <t>Peer 5社の実測EV/EBITDA中央値。 自社の現在倍率 11.95x は算式に入れていない(市場価格への循環参照回避)。■マージン品質調整式はバッチ全体で棄却済み(EV/EBITDA が既に資本集約度を織り込むため、営業利益率による上方調整は資本集約型で逆方向に働く)。</t>
  </si>
  <si>
    <t>テンプレ既定 10.0x</t>
  </si>
  <si>
    <t>全体(型判定・プレスクリーン)</t>
  </si>
  <si>
    <t>型A（通常の事業会社）として処理</t>
  </si>
  <si>
    <t>追補1 §B に従い、型判定の前に batch/prescreen.py で EDINET有報XBRL の金融事業専用科目(ForFinancialBusiness / Banking / Deposits / CallLoan / InstallmentReceivable 系)を機械チェックした。検出結果: **CLEAN**（金融事業専用科目は1件も検出されず）。銀行・captive finance なし。プレスクリーン CLEAN。赤字年なし。</t>
  </si>
  <si>
    <t>DCF Model シナリオ5本</t>
  </si>
  <si>
    <t>実績OPM分布からの導出（追補7 §Y の単調性判定: **非単調**）</t>
  </si>
  <si>
    <t>min 2.69 / p25 5.54 / med 6.54 / p75 7.32 / max 9.51。**追補7 §Y: 非単調**（FY2023 の 2.69% は燃料費高騰、FY2024 の 9.51% は燃料費調整の反映による揺れ戻し）。直近 6.49% ≤ 中央値 6.54% のため**中央値へ収束**。Upside は p75 を上回る 7.49%、Downside 1 は p25 を下回る 5.54%、Downside 2 は 売上 −6% + OPM 3.2〜4.2%。COGS% は直近実績 **88.5%** 固定・SGA% 逆算。</t>
  </si>
  <si>
    <t>テンプレ自動生成シナリオ</t>
  </si>
  <si>
    <t>DCF Model Management シナリオ</t>
  </si>
  <si>
    <t>Management = Base と同一</t>
  </si>
  <si>
    <t>EDINET XBRL・TDnet短信のいずれからも会社業績予想を取得できなかった(生成ログ Step 3: 'No guidance data found')。v2 §7-2 に従い Management=Base で続行。■本バッチではここまで生成した全銘柄で同じ結果になっており、銘柄固有ではなくパイプラインの構造的な取得失敗である。</t>
  </si>
  <si>
    <t>フォールバック使用(会社予想未取得)</t>
  </si>
  <si>
    <t>DCF Model NWC(dso/dih/dpo)</t>
  </si>
  <si>
    <t>Base: DSO 32 / DIH 29 / DPO 28 日</t>
  </si>
  <si>
    <t>実績4期の平均。Downside では運転資本の悪化を織り込み DSO/DIH を延ばし DPO を縮めた。</t>
  </si>
  <si>
    <t>Comps Analysis</t>
  </si>
  <si>
    <t>Peer 5社 = 9501 東京電力HD / 9503 関西電力 / 9508 九州電力 / 9506 東北電力 / 9507 四国電力</t>
  </si>
  <si>
    <t>大手電力で事業比較可能性を優先。9502/9503 は相互に Peer。</t>
  </si>
  <si>
    <t>Executive Summary!C10 / Target</t>
  </si>
  <si>
    <t>Target Price = N/A円 = PGM 3,408円 と Exit 1,097円 の2本平均。Comps 2本(EV/EBITDA —円 / PER —円)は [参考・Target不算入]</t>
  </si>
  <si>
    <t>メモ§2 の規約どおり。validate チェック14 PASS(C10 が C16:C17 のみを平均)。</t>
  </si>
  <si>
    <t>全体(納品状態)</t>
  </si>
  <si>
    <t>本ファイルは DRAFT。_FINAL は付けない</t>
  </si>
  <si>
    <t>バッチモードでの機械生成物であり人間の検証を経ていない。FINAL化は手順書v2 §6 に従い検証後に行う。</t>
  </si>
  <si>
    <t>DRAFT</t>
  </si>
  <si>
    <t>全体(未解決)</t>
  </si>
  <si>
    <t>**⚠ 追補8 §AD-2 により Target = N/A（高レバレッジ・判定不能）**</t>
  </si>
  <si>
    <t>PGM 3,408円 と Exit 1,097円 は**株価ベースで 3.11倍**開いている一方、**倍率ベースの乖離は 1.60倍**にとどまる。**どちらの脚も誤りではなく、原因は財務レバレッジ**である: net_debt 2,598,267 に対しモデルの株式価値は 1,701,524 で、**net_debt / EV = 0.6043 &gt; 0.6**（追補8 §AD-2 の閾値）。EV のわずかな差が株式価値で増幅される。■**閾値ぎりぎりの該当**（0.6043）である点は留意すること。時価総額ベースなら 0.5403 で閾値を下回る。追補8 §AH で分母は**モデル株式価値基準**と確定しているため N/A とした。■両脚（PGM 3,408円 / Exit 1,097円）は [参考] として残している。**点推定は意味を持たない**。</t>
  </si>
  <si>
    <t>未解決</t>
  </si>
  <si>
    <t>**追補8 §AG の低WACC要検証に該当（WACC 4.06%）**</t>
  </si>
  <si>
    <t>beta 実測 0.196 → クランプ下限 0.60 の採用と、負債ウェイト 54%（D/E 1.18）・税引後Kd 1.10% の組合せ。永久成長率 1.0% との差（キャップレート 3.06%）が小さく PGM が大きく出る領域。**FINAL化時は beta 再導出と D/E 前提の検証を必須とする。**</t>
  </si>
  <si>
    <t>FY2023 の OPM 2.69% と FY2024 の 9.51% の振れ</t>
  </si>
  <si>
    <t>燃料費高騰と燃料費調整制度のタイムラグによる振れと推定しているが、一次ソースで確認していない。規制料金の改定サイクルが Base の 6.54% にどう効くかは未検証。</t>
  </si>
  <si>
    <t>Pipeline Metadata (do not edit — read by scripts/validate_output.py)</t>
  </si>
  <si>
    <t>key</t>
  </si>
  <si>
    <t>value</t>
  </si>
  <si>
    <t>auto_log_entries</t>
  </si>
  <si>
    <t>1</t>
  </si>
  <si>
    <t>capex_pct_basis</t>
  </si>
  <si>
    <t>hist_3yr_avg</t>
  </si>
  <si>
    <t>capex_pct_c5</t>
  </si>
  <si>
    <t>0.0772</t>
  </si>
  <si>
    <t>capex_pct_hist3yr</t>
  </si>
  <si>
    <t>0.077186</t>
  </si>
  <si>
    <t>company_name</t>
  </si>
  <si>
    <t>comps_asof</t>
  </si>
  <si>
    <t>comps_da_missing</t>
  </si>
  <si>
    <t>none</t>
  </si>
  <si>
    <t>comps_ev_ebitda_invalid</t>
  </si>
  <si>
    <t>no</t>
  </si>
  <si>
    <t>comps_ev_ebitda_rows</t>
  </si>
  <si>
    <t>6,7,8,9,10</t>
  </si>
  <si>
    <t>comps_impl_mult_row</t>
  </si>
  <si>
    <t>27</t>
  </si>
  <si>
    <t>comps_impl_per_row</t>
  </si>
  <si>
    <t>28</t>
  </si>
  <si>
    <t>comps_peer_rows</t>
  </si>
  <si>
    <t>comps_stale_excluded</t>
  </si>
  <si>
    <t>comps_stat_median_row</t>
  </si>
  <si>
    <t>16</t>
  </si>
  <si>
    <t>comps_subject_row</t>
  </si>
  <si>
    <t>5</t>
  </si>
  <si>
    <t>cost_of_debt_actual</t>
  </si>
  <si>
    <t>interest 31,108 (expense 31,108 + fees 0) / avg debt 2,846,060 (debt_beginning/debt_ending) = 0.010930 pre-tax -&gt; 0.008200 after-tax</t>
  </si>
  <si>
    <t>cost_of_debt_at_c11</t>
  </si>
  <si>
    <t>0.0082</t>
  </si>
  <si>
    <t>cost_of_debt_avg_debt</t>
  </si>
  <si>
    <t>2846060.5</t>
  </si>
  <si>
    <t>cost_of_debt_basis</t>
  </si>
  <si>
    <t>actual</t>
  </si>
  <si>
    <t>cost_of_debt_interest</t>
  </si>
  <si>
    <t>31108.0</t>
  </si>
  <si>
    <t>cost_of_debt_pretax</t>
  </si>
  <si>
    <t>0.010930196318736022</t>
  </si>
  <si>
    <t>da_pct_basis</t>
  </si>
  <si>
    <t>assumption</t>
  </si>
  <si>
    <t>da_pct_c18</t>
  </si>
  <si>
    <t>0.0486</t>
  </si>
  <si>
    <t>da_pct_hist3yr</t>
  </si>
  <si>
    <t>0.047605</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</si>
  <si>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</si>
  <si>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</si>
  <si>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</si>
  <si>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</si>
  <si>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</si>
  <si>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</si>
  <si>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</si>
  <si>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</si>
  <si>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</si>
  <si>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12:02:40</t>
  </si>
  <si>
    <t>ltm_revenue_c20</t>
  </si>
  <si>
    <t>3546041.0</t>
  </si>
  <si>
    <t>ltm_revenue_source</t>
  </si>
  <si>
    <t>latest FY (no LTM)</t>
  </si>
  <si>
    <t>narrative_tokens_used</t>
  </si>
  <si>
    <t>reverse_dcf_sheet</t>
  </si>
  <si>
    <t>op0=230,043(FY2026) peak=343,340(FY2024) peak_opm=0.0951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</si>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</sst>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0"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sz val="10"/>
      <name val="Arial"/>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8">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5" fillId="0" borderId="6" xfId="0" applyFont="1" applyBorder="1" applyAlignment="1">
      <alignment horizontal="right"/>
    </xf>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7" t="s">
        <v>0</v>
      </c>
      <c r="C1" s="46"/>
      <c r="D1" s="46"/>
      <c r="E1" s="46"/>
    </row>
    <row r="3" spans="2:5" ht="18" customHeight="1" x14ac:dyDescent="0.4">
      <c r="B3" s="45" t="s">
        <v>1</v>
      </c>
      <c r="C3" s="46"/>
      <c r="D3" s="46"/>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2926</v>
      </c>
    </row>
    <row r="10" spans="2:5" ht="14" customHeight="1" x14ac:dyDescent="0.3">
      <c r="B10" s="4" t="s">
        <v>10</v>
      </c>
      <c r="C10" s="5" t="str">
        <f>"N/A"</f>
        <v>N/A</v>
      </c>
    </row>
    <row r="11" spans="2:5" ht="14" customHeight="1" x14ac:dyDescent="0.3">
      <c r="B11" s="4" t="s">
        <v>11</v>
      </c>
      <c r="C11" s="6" t="str">
        <f>IF(NOT(ISNUMBER(C12)),"N/A",IF(C12&gt;0.15,"BUY",IF(C12&gt;0.05,"HOLD","SELL")))</f>
        <v>N/A</v>
      </c>
    </row>
    <row r="12" spans="2:5" ht="14" customHeight="1" x14ac:dyDescent="0.3">
      <c r="B12" s="4" t="s">
        <v>12</v>
      </c>
      <c r="C12" s="7" t="str">
        <f>IF(ISNUMBER(C10),(C10-C9)/C9,"N/A")</f>
        <v>N/A</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3408</v>
      </c>
      <c r="D16" s="7">
        <f>IF(ISNUMBER(C16),(C16-C9)/C9,"N/A")</f>
        <v>0.16473000683527</v>
      </c>
    </row>
    <row r="17" spans="2:5" ht="13.5" customHeight="1" x14ac:dyDescent="0.25">
      <c r="B17" t="s">
        <v>18</v>
      </c>
      <c r="C17" s="11">
        <f>IF('DCF Model'!C62&lt;'DCF Model'!C16,"INVALID (EV &lt; net debt)",'DCF Model'!C64)</f>
        <v>1097</v>
      </c>
      <c r="D17" s="7">
        <f>IF(ISNUMBER(C17),(C17-C9)/C9,"N/A")</f>
        <v>-0.62508544087491458</v>
      </c>
    </row>
    <row r="18" spans="2:5" ht="13.5" customHeight="1" x14ac:dyDescent="0.25">
      <c r="B18" t="s">
        <v>19</v>
      </c>
      <c r="C18" s="11">
        <f>'Comps Analysis'!C27</f>
        <v>967</v>
      </c>
      <c r="D18" s="7">
        <f>IF(ISNUMBER(C18),(C18-C9)/C9,"N/A")</f>
        <v>-0.66951469583048528</v>
      </c>
    </row>
    <row r="19" spans="2:5" ht="13.5" customHeight="1" x14ac:dyDescent="0.25">
      <c r="B19" t="s">
        <v>20</v>
      </c>
      <c r="C19" s="11">
        <f>'Comps Analysis'!C28</f>
        <v>2483</v>
      </c>
      <c r="D19" s="7">
        <f>IF(ISNUMBER(C19),(C19-C9)/C9,"N/A")</f>
        <v>-0.15140123034859876</v>
      </c>
    </row>
    <row r="20" spans="2:5" ht="14" customHeight="1" x14ac:dyDescent="0.3">
      <c r="B20" s="47" t="s">
        <v>21</v>
      </c>
      <c r="C20" s="46"/>
      <c r="D20" s="46"/>
      <c r="E20" s="46"/>
    </row>
    <row r="21" spans="2:5" ht="14" customHeight="1" x14ac:dyDescent="0.3">
      <c r="B21" s="4" t="s">
        <v>22</v>
      </c>
      <c r="C21" s="6" t="str">
        <f>IF(COUNT(C16:C17)=0,"N/A",MIN(C16:C17)&amp;" - "&amp;MAX(C16:C17))</f>
        <v>1097 - 3408</v>
      </c>
    </row>
    <row r="23" spans="2:5" ht="14" customHeight="1" x14ac:dyDescent="0.3">
      <c r="B23" s="8" t="s">
        <v>23</v>
      </c>
      <c r="C23" s="9"/>
      <c r="D23" s="9"/>
    </row>
    <row r="24" spans="2:5" x14ac:dyDescent="0.2">
      <c r="B24" t="s">
        <v>24</v>
      </c>
    </row>
    <row r="25" spans="2:5" x14ac:dyDescent="0.2">
      <c r="B25" t="s">
        <v>25</v>
      </c>
    </row>
    <row r="26" spans="2:5" x14ac:dyDescent="0.2">
      <c r="B26" t="s">
        <v>26</v>
      </c>
    </row>
    <row r="28" spans="2:5" ht="14" customHeight="1"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31</v>
      </c>
    </row>
    <row r="4" spans="2:6" ht="14" customHeight="1" x14ac:dyDescent="0.3">
      <c r="C4" s="10" t="s">
        <v>32</v>
      </c>
      <c r="D4" s="10" t="s">
        <v>33</v>
      </c>
      <c r="E4" s="10" t="s">
        <v>34</v>
      </c>
      <c r="F4" s="10" t="s">
        <v>35</v>
      </c>
    </row>
    <row r="5" spans="2:6" ht="14" customHeight="1" x14ac:dyDescent="0.3">
      <c r="B5" s="3" t="s">
        <v>36</v>
      </c>
    </row>
    <row r="6" spans="2:6" ht="14" customHeight="1" x14ac:dyDescent="0.3">
      <c r="B6" s="4" t="s">
        <v>37</v>
      </c>
      <c r="C6" s="5">
        <v>3986681</v>
      </c>
      <c r="D6" s="5">
        <v>3610414</v>
      </c>
      <c r="E6" s="5">
        <v>3669233</v>
      </c>
      <c r="F6" s="5">
        <v>3546041</v>
      </c>
    </row>
    <row r="7" spans="2:6" ht="14" customHeight="1" x14ac:dyDescent="0.3">
      <c r="B7" s="4" t="s">
        <v>38</v>
      </c>
      <c r="C7" s="5">
        <v>3879591</v>
      </c>
      <c r="D7" s="5">
        <v>3267074</v>
      </c>
      <c r="E7" s="5">
        <v>3427188</v>
      </c>
      <c r="F7" s="5">
        <v>3315998</v>
      </c>
    </row>
    <row r="8" spans="2:6" ht="14" customHeight="1" x14ac:dyDescent="0.3">
      <c r="B8" s="4" t="s">
        <v>39</v>
      </c>
      <c r="C8" s="5">
        <f>C6-C7</f>
        <v>107090</v>
      </c>
      <c r="D8" s="5">
        <f>D6-D7</f>
        <v>343340</v>
      </c>
      <c r="E8" s="5">
        <f>E6-E7</f>
        <v>242045</v>
      </c>
      <c r="F8" s="5">
        <f>F6-F7</f>
        <v>230043</v>
      </c>
    </row>
    <row r="9" spans="2:6" ht="13.5" customHeight="1" x14ac:dyDescent="0.25">
      <c r="B9" t="s">
        <v>40</v>
      </c>
      <c r="C9" s="7">
        <f>C8/C6</f>
        <v>2.6861943556557449E-2</v>
      </c>
      <c r="D9" s="7">
        <f>D8/D6</f>
        <v>9.5097127365448952E-2</v>
      </c>
      <c r="E9" s="7">
        <f>E8/E6</f>
        <v>6.5966102452474404E-2</v>
      </c>
      <c r="F9" s="7">
        <f>F8/F6</f>
        <v>6.4873192385536432E-2</v>
      </c>
    </row>
    <row r="10" spans="2:6" ht="14" customHeight="1" x14ac:dyDescent="0.3">
      <c r="B10" s="4" t="s">
        <v>41</v>
      </c>
      <c r="C10" s="5">
        <v>0</v>
      </c>
      <c r="D10" s="5">
        <v>0</v>
      </c>
      <c r="E10" s="5">
        <v>0</v>
      </c>
      <c r="F10" s="5">
        <v>0</v>
      </c>
    </row>
    <row r="11" spans="2:6" ht="14" customHeight="1" x14ac:dyDescent="0.3">
      <c r="B11" s="4" t="s">
        <v>42</v>
      </c>
      <c r="C11" s="5">
        <v>107090</v>
      </c>
      <c r="D11" s="5">
        <v>343340</v>
      </c>
      <c r="E11" s="5">
        <v>242045</v>
      </c>
      <c r="F11" s="5">
        <v>230043</v>
      </c>
    </row>
    <row r="12" spans="2:6" ht="14" customHeight="1" x14ac:dyDescent="0.3">
      <c r="B12" s="4" t="s">
        <v>43</v>
      </c>
      <c r="C12" s="5">
        <v>38231</v>
      </c>
      <c r="D12" s="5">
        <v>403140</v>
      </c>
      <c r="E12" s="5">
        <v>202087</v>
      </c>
      <c r="F12" s="5">
        <v>227795</v>
      </c>
    </row>
    <row r="13" spans="2:6" ht="13.5" customHeight="1" x14ac:dyDescent="0.25">
      <c r="B13" t="s">
        <v>44</v>
      </c>
      <c r="C13" s="7">
        <f>C11/C6</f>
        <v>2.6861943556557449E-2</v>
      </c>
      <c r="D13" s="7">
        <f>D11/D6</f>
        <v>9.5097127365448952E-2</v>
      </c>
      <c r="E13" s="7">
        <f>E11/E6</f>
        <v>6.5966102452474404E-2</v>
      </c>
      <c r="F13" s="7">
        <f>F11/F6</f>
        <v>6.4873192385536432E-2</v>
      </c>
    </row>
    <row r="14" spans="2:6" ht="13.5" customHeight="1" x14ac:dyDescent="0.25">
      <c r="B14" t="s">
        <v>45</v>
      </c>
      <c r="C14" s="7">
        <f>C12/C6</f>
        <v>9.5896812411125944E-3</v>
      </c>
      <c r="D14" s="7">
        <f>D12/D6</f>
        <v>0.1116603248270143</v>
      </c>
      <c r="E14" s="7">
        <f>E12/E6</f>
        <v>5.507608810887725E-2</v>
      </c>
      <c r="F14" s="7">
        <f>F12/F6</f>
        <v>6.4239245964725161E-2</v>
      </c>
    </row>
    <row r="15" spans="2:6" ht="13.5" customHeight="1" x14ac:dyDescent="0.25">
      <c r="B15" t="s">
        <v>46</v>
      </c>
      <c r="C15" t="s">
        <v>47</v>
      </c>
      <c r="D15" s="7">
        <f>(D6-C6)/C6</f>
        <v>-9.4381015185313291E-2</v>
      </c>
      <c r="E15" s="7">
        <f>(E6-D6)/D6</f>
        <v>1.6291483469762748E-2</v>
      </c>
      <c r="F15" s="7">
        <f>(F6-E6)/E6</f>
        <v>-3.3574319210581613E-2</v>
      </c>
    </row>
    <row r="16" spans="2:6" ht="13.5" customHeight="1" x14ac:dyDescent="0.25">
      <c r="B16" t="s">
        <v>48</v>
      </c>
      <c r="C16" t="s">
        <v>47</v>
      </c>
      <c r="D16" s="7">
        <f>(D11-C11)/C11</f>
        <v>2.206088336912877</v>
      </c>
      <c r="E16" s="7">
        <f>(E11-D11)/D11</f>
        <v>-0.29502825187860432</v>
      </c>
      <c r="F16" s="7">
        <f>(F11-E11)/E11</f>
        <v>-4.9585820818442851E-2</v>
      </c>
    </row>
    <row r="18" spans="2:6" ht="14" customHeight="1" x14ac:dyDescent="0.3">
      <c r="B18" s="3" t="s">
        <v>49</v>
      </c>
    </row>
    <row r="19" spans="2:6" ht="14" customHeight="1" x14ac:dyDescent="0.3">
      <c r="B19" s="4" t="s">
        <v>50</v>
      </c>
      <c r="C19" s="5">
        <v>295798</v>
      </c>
      <c r="D19" s="5">
        <v>344074</v>
      </c>
      <c r="E19" s="5">
        <v>301345</v>
      </c>
      <c r="F19" s="5">
        <v>334428</v>
      </c>
    </row>
    <row r="20" spans="2:6" ht="14" customHeight="1" x14ac:dyDescent="0.3">
      <c r="B20" s="4" t="s">
        <v>51</v>
      </c>
      <c r="C20" s="5">
        <v>249044</v>
      </c>
      <c r="D20" s="5">
        <v>248666</v>
      </c>
      <c r="E20" s="5">
        <v>272541</v>
      </c>
      <c r="F20" s="5">
        <v>313493</v>
      </c>
    </row>
    <row r="21" spans="2:6" ht="14" customHeight="1" x14ac:dyDescent="0.3">
      <c r="B21" s="4" t="s">
        <v>52</v>
      </c>
      <c r="C21" s="5">
        <f>C19-C20</f>
        <v>46754</v>
      </c>
      <c r="D21" s="5">
        <f>D19-D20</f>
        <v>95408</v>
      </c>
      <c r="E21" s="5">
        <f>E19-E20</f>
        <v>28804</v>
      </c>
      <c r="F21" s="5">
        <f>F19-F20</f>
        <v>20935</v>
      </c>
    </row>
    <row r="22" spans="2:6" ht="13.5" customHeight="1" x14ac:dyDescent="0.25">
      <c r="B22" t="s">
        <v>53</v>
      </c>
      <c r="C22" s="7">
        <f>C21/C6</f>
        <v>1.172754980897644E-2</v>
      </c>
      <c r="D22" s="7">
        <f>D21/D6</f>
        <v>2.6425778317943592E-2</v>
      </c>
      <c r="E22" s="7">
        <f>E21/E6</f>
        <v>7.8501419779011036E-3</v>
      </c>
      <c r="F22" s="7">
        <f>F21/F6</f>
        <v>5.9037670461227045E-3</v>
      </c>
    </row>
    <row r="23" spans="2:6" ht="13.5" customHeight="1" x14ac:dyDescent="0.25">
      <c r="B23" t="s">
        <v>54</v>
      </c>
      <c r="C23" s="7">
        <f>C20/C6</f>
        <v>6.2469006173305565E-2</v>
      </c>
      <c r="D23" s="7">
        <f>D20/D6</f>
        <v>6.8874649832401491E-2</v>
      </c>
      <c r="E23" s="7">
        <f>E20/E6</f>
        <v>7.4277376225494532E-2</v>
      </c>
      <c r="F23" s="7">
        <f>F20/F6</f>
        <v>8.8406479225705506E-2</v>
      </c>
    </row>
    <row r="25" spans="2:6" ht="14" customHeight="1" x14ac:dyDescent="0.3">
      <c r="B25" s="3" t="s">
        <v>55</v>
      </c>
    </row>
    <row r="26" spans="2:6" ht="14" customHeight="1" x14ac:dyDescent="0.3">
      <c r="B26" s="4" t="s">
        <v>56</v>
      </c>
      <c r="C26" s="5">
        <v>373484</v>
      </c>
      <c r="D26" s="5">
        <v>418518</v>
      </c>
      <c r="E26" s="5">
        <v>293547</v>
      </c>
      <c r="F26" s="5">
        <v>336686</v>
      </c>
    </row>
    <row r="27" spans="2:6" ht="14" customHeight="1" x14ac:dyDescent="0.3">
      <c r="B27" s="4" t="s">
        <v>57</v>
      </c>
      <c r="C27" s="5">
        <v>2691412</v>
      </c>
      <c r="D27" s="5">
        <v>2798156</v>
      </c>
      <c r="E27" s="5">
        <v>2757168</v>
      </c>
      <c r="F27" s="5">
        <v>2934953</v>
      </c>
    </row>
    <row r="28" spans="2:6" ht="14" customHeight="1" x14ac:dyDescent="0.3">
      <c r="B28" s="4" t="s">
        <v>58</v>
      </c>
      <c r="C28" s="5">
        <f>C27-C26</f>
        <v>2317928</v>
      </c>
      <c r="D28" s="5">
        <f>D27-D26</f>
        <v>2379638</v>
      </c>
      <c r="E28" s="5">
        <f>E27-E26</f>
        <v>2463621</v>
      </c>
      <c r="F28" s="5">
        <f>F27-F26</f>
        <v>2598267</v>
      </c>
    </row>
    <row r="30" spans="2:6" ht="14" customHeight="1"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60</v>
      </c>
    </row>
    <row r="4" spans="2:7" ht="14" customHeight="1" x14ac:dyDescent="0.3">
      <c r="B4" s="8" t="s">
        <v>61</v>
      </c>
      <c r="C4" s="9"/>
      <c r="D4" s="9"/>
      <c r="E4" s="9"/>
      <c r="F4" s="9"/>
      <c r="G4" s="9"/>
    </row>
    <row r="5" spans="2:7" ht="14" customHeight="1" x14ac:dyDescent="0.3">
      <c r="B5" s="4" t="s">
        <v>62</v>
      </c>
      <c r="C5" s="7">
        <v>7.7200000000000005E-2</v>
      </c>
    </row>
    <row r="6" spans="2:7" ht="14" customHeight="1" x14ac:dyDescent="0.3">
      <c r="B6" s="4" t="s">
        <v>63</v>
      </c>
      <c r="C6" s="7">
        <v>0.25</v>
      </c>
    </row>
    <row r="7" spans="2:7" ht="14" customHeight="1" x14ac:dyDescent="0.3">
      <c r="B7" s="4" t="s">
        <v>64</v>
      </c>
      <c r="C7" s="7">
        <v>2.9700000000000001E-2</v>
      </c>
    </row>
    <row r="8" spans="2:7" ht="14" customHeight="1" x14ac:dyDescent="0.3">
      <c r="B8" s="4" t="s">
        <v>65</v>
      </c>
      <c r="C8" s="12">
        <v>0.6</v>
      </c>
    </row>
    <row r="9" spans="2:7" ht="14" customHeight="1" x14ac:dyDescent="0.3">
      <c r="B9" s="4" t="s">
        <v>66</v>
      </c>
      <c r="C9" s="7">
        <v>6.5000000000000002E-2</v>
      </c>
    </row>
    <row r="10" spans="2:7" ht="14" customHeight="1" x14ac:dyDescent="0.3">
      <c r="B10" s="4" t="s">
        <v>67</v>
      </c>
      <c r="C10" s="7">
        <v>0.01</v>
      </c>
    </row>
    <row r="11" spans="2:7" ht="14" customHeight="1" x14ac:dyDescent="0.3">
      <c r="B11" s="4" t="s">
        <v>68</v>
      </c>
      <c r="C11" s="7">
        <v>8.2000000000000007E-3</v>
      </c>
    </row>
    <row r="12" spans="2:7" ht="14" customHeight="1" x14ac:dyDescent="0.3">
      <c r="B12" s="4" t="s">
        <v>69</v>
      </c>
      <c r="C12" s="13">
        <v>1.1755</v>
      </c>
    </row>
    <row r="13" spans="2:7" ht="14" customHeight="1" x14ac:dyDescent="0.3">
      <c r="B13" s="4" t="s">
        <v>70</v>
      </c>
      <c r="C13" s="7">
        <v>0.01</v>
      </c>
    </row>
    <row r="14" spans="2:7" ht="14" customHeight="1" x14ac:dyDescent="0.3">
      <c r="B14" s="4" t="s">
        <v>71</v>
      </c>
      <c r="C14" s="14">
        <v>8.3000000000000007</v>
      </c>
    </row>
    <row r="15" spans="2:7" ht="14" customHeight="1" x14ac:dyDescent="0.3">
      <c r="B15" s="4" t="s">
        <v>72</v>
      </c>
      <c r="C15" s="15">
        <v>755393538</v>
      </c>
    </row>
    <row r="16" spans="2:7" ht="14" customHeight="1" x14ac:dyDescent="0.3">
      <c r="B16" s="4" t="s">
        <v>73</v>
      </c>
      <c r="C16" s="5">
        <v>2598267</v>
      </c>
    </row>
    <row r="17" spans="2:7" ht="14" customHeight="1" x14ac:dyDescent="0.3">
      <c r="B17" s="4" t="s">
        <v>74</v>
      </c>
      <c r="C17" s="5">
        <v>3546041</v>
      </c>
    </row>
    <row r="18" spans="2:7" ht="14" customHeight="1" x14ac:dyDescent="0.3">
      <c r="B18" s="4" t="s">
        <v>75</v>
      </c>
      <c r="C18" s="7">
        <v>4.8599999999999997E-2</v>
      </c>
    </row>
    <row r="19" spans="2:7" ht="14" customHeight="1" x14ac:dyDescent="0.3">
      <c r="B19" s="4" t="s">
        <v>76</v>
      </c>
      <c r="C19" s="12">
        <v>1</v>
      </c>
    </row>
    <row r="20" spans="2:7" ht="14" customHeight="1" x14ac:dyDescent="0.3">
      <c r="B20" s="4" t="s">
        <v>77</v>
      </c>
      <c r="C20" s="5">
        <v>3546041</v>
      </c>
    </row>
    <row r="22" spans="2:7" ht="14" customHeight="1" x14ac:dyDescent="0.3">
      <c r="B22" s="8" t="s">
        <v>78</v>
      </c>
      <c r="C22" s="9"/>
      <c r="D22" s="9"/>
      <c r="E22" s="9"/>
      <c r="F22" s="9"/>
      <c r="G22" s="9"/>
    </row>
    <row r="23" spans="2:7" ht="14" customHeight="1" x14ac:dyDescent="0.3">
      <c r="B23" s="4" t="s">
        <v>79</v>
      </c>
      <c r="C23" s="16">
        <f>C7+C8*C9+C10</f>
        <v>7.8699999999999992E-2</v>
      </c>
    </row>
    <row r="24" spans="2:7" ht="14" customHeight="1" x14ac:dyDescent="0.3">
      <c r="B24" s="4" t="s">
        <v>80</v>
      </c>
      <c r="C24" s="16">
        <f>1/(1+C12)</f>
        <v>0.45966444495518272</v>
      </c>
    </row>
    <row r="25" spans="2:7" ht="14" customHeight="1" x14ac:dyDescent="0.3">
      <c r="B25" s="4" t="s">
        <v>81</v>
      </c>
      <c r="C25" s="16">
        <f>C12/(1+C12)</f>
        <v>0.54033555504481723</v>
      </c>
    </row>
    <row r="26" spans="2:7" ht="14" customHeight="1" x14ac:dyDescent="0.3">
      <c r="B26" s="4" t="s">
        <v>82</v>
      </c>
      <c r="C26" s="16">
        <f>C23*C24+C11*C25</f>
        <v>4.0606343369340381E-2</v>
      </c>
    </row>
    <row r="27" spans="2:7" ht="14" customHeight="1" x14ac:dyDescent="0.3">
      <c r="B27" s="4" t="s">
        <v>83</v>
      </c>
      <c r="C27" s="17" t="s">
        <v>84</v>
      </c>
      <c r="D27" s="6">
        <f>MATCH(C27,B69:B73,0)</f>
        <v>1</v>
      </c>
    </row>
    <row r="28" spans="2:7" ht="14" customHeight="1" x14ac:dyDescent="0.3">
      <c r="B28" s="8" t="s">
        <v>85</v>
      </c>
      <c r="C28" s="9"/>
      <c r="D28" s="9"/>
      <c r="E28" s="9"/>
      <c r="F28" s="9"/>
      <c r="G28" s="9"/>
    </row>
    <row r="29" spans="2:7" ht="14" customHeight="1" x14ac:dyDescent="0.3">
      <c r="C29" s="10" t="s">
        <v>86</v>
      </c>
      <c r="D29" s="10" t="s">
        <v>87</v>
      </c>
      <c r="E29" s="10" t="s">
        <v>88</v>
      </c>
      <c r="F29" s="10" t="s">
        <v>89</v>
      </c>
      <c r="G29" s="10" t="s">
        <v>90</v>
      </c>
    </row>
    <row r="30" spans="2:7" ht="14" customHeight="1" x14ac:dyDescent="0.3">
      <c r="B30" s="4" t="s">
        <v>46</v>
      </c>
      <c r="C30" s="18">
        <f>CHOOSE($D$27,C69,C70,C71,C72,C73)</f>
        <v>0.01</v>
      </c>
      <c r="D30" s="18">
        <f>CHOOSE($D$27,D69,D70,D71,D72,D73)</f>
        <v>1.4999999999999999E-2</v>
      </c>
      <c r="E30" s="18">
        <f>CHOOSE($D$27,E69,E70,E71,E72,E73)</f>
        <v>1.4999999999999999E-2</v>
      </c>
      <c r="F30" s="18">
        <f>CHOOSE($D$27,F69,F70,F71,F72,F73)</f>
        <v>1.4999999999999999E-2</v>
      </c>
      <c r="G30" s="18">
        <f>CHOOSE($D$27,G69,G70,G71,G72,G73)</f>
        <v>0.01</v>
      </c>
    </row>
    <row r="31" spans="2:7" ht="14" customHeight="1" x14ac:dyDescent="0.3">
      <c r="B31" s="4" t="s">
        <v>91</v>
      </c>
      <c r="C31" s="18">
        <f>CHOOSE($D$27,C76,C77,C78,C79,C80)</f>
        <v>0.88500000000000001</v>
      </c>
      <c r="D31" s="18">
        <f>CHOOSE($D$27,D76,D77,D78,D79,D80)</f>
        <v>0.88500000000000001</v>
      </c>
      <c r="E31" s="18">
        <f>CHOOSE($D$27,E76,E77,E78,E79,E80)</f>
        <v>0.88500000000000001</v>
      </c>
      <c r="F31" s="18">
        <f>CHOOSE($D$27,F76,F77,F78,F79,F80)</f>
        <v>0.88500000000000001</v>
      </c>
      <c r="G31" s="18">
        <f>CHOOSE($D$27,G76,G77,G78,G79,G80)</f>
        <v>0.88500000000000001</v>
      </c>
    </row>
    <row r="32" spans="2:7" ht="14" customHeight="1" x14ac:dyDescent="0.3">
      <c r="B32" s="4" t="s">
        <v>92</v>
      </c>
      <c r="C32" s="18">
        <f>CHOOSE($D$27,C83,C84,C85,C86,C87)</f>
        <v>4.99E-2</v>
      </c>
      <c r="D32" s="18">
        <f>CHOOSE($D$27,D83,D84,D85,D86,D87)</f>
        <v>4.9799999999999997E-2</v>
      </c>
      <c r="E32" s="18">
        <f>CHOOSE($D$27,E83,E84,E85,E86,E87)</f>
        <v>4.9700000000000001E-2</v>
      </c>
      <c r="F32" s="18">
        <f>CHOOSE($D$27,F83,F84,F85,F86,F87)</f>
        <v>4.9599999999999998E-2</v>
      </c>
      <c r="G32" s="18">
        <f>CHOOSE($D$27,G83,G84,G85,G86,G87)</f>
        <v>4.9599999999999998E-2</v>
      </c>
    </row>
    <row r="33" spans="2:7" ht="14" customHeight="1" x14ac:dyDescent="0.3">
      <c r="B33" s="4" t="s">
        <v>37</v>
      </c>
      <c r="C33" s="5">
        <f>C17*(1+C30)</f>
        <v>3581501.41</v>
      </c>
      <c r="D33" s="5">
        <f>C33*(1+D30)</f>
        <v>3635223.9311499996</v>
      </c>
      <c r="E33" s="5">
        <f>D33*(1+E30)</f>
        <v>3689752.2901172494</v>
      </c>
      <c r="F33" s="5">
        <f>E33*(1+F30)</f>
        <v>3745098.5744690076</v>
      </c>
      <c r="G33" s="5">
        <f>F33*(1+G30)</f>
        <v>3782549.5602136976</v>
      </c>
    </row>
    <row r="34" spans="2:7" ht="14" customHeight="1" x14ac:dyDescent="0.3">
      <c r="B34" s="4" t="s">
        <v>38</v>
      </c>
      <c r="C34" s="5">
        <f>C33*C31</f>
        <v>3169628.7478500004</v>
      </c>
      <c r="D34" s="5">
        <f>D33*D31</f>
        <v>3217173.1790677495</v>
      </c>
      <c r="E34" s="5">
        <f>E33*E31</f>
        <v>3265430.7767537655</v>
      </c>
      <c r="F34" s="5">
        <f>F33*F31</f>
        <v>3314412.2384050717</v>
      </c>
      <c r="G34" s="5">
        <f>G33*G31</f>
        <v>3347556.3607891225</v>
      </c>
    </row>
    <row r="35" spans="2:7" ht="14" customHeight="1" x14ac:dyDescent="0.3">
      <c r="B35" s="4" t="s">
        <v>39</v>
      </c>
      <c r="C35" s="19">
        <f>C33-C34</f>
        <v>411872.66214999976</v>
      </c>
      <c r="D35" s="19">
        <f>D33-D34</f>
        <v>418050.75208225008</v>
      </c>
      <c r="E35" s="19">
        <f>E33-E34</f>
        <v>424321.51336348383</v>
      </c>
      <c r="F35" s="19">
        <f>F33-F34</f>
        <v>430686.33606393589</v>
      </c>
      <c r="G35" s="19">
        <f>G33-G34</f>
        <v>434993.19942457508</v>
      </c>
    </row>
    <row r="36" spans="2:7" ht="14" customHeight="1" x14ac:dyDescent="0.3">
      <c r="B36" s="4" t="s">
        <v>40</v>
      </c>
      <c r="C36" s="7">
        <f>C35/C33</f>
        <v>0.11499999999999992</v>
      </c>
      <c r="D36" s="7">
        <f>D35/D33</f>
        <v>0.11500000000000003</v>
      </c>
      <c r="E36" s="7">
        <f>E35/E33</f>
        <v>0.11500000000000005</v>
      </c>
      <c r="F36" s="7">
        <f>F35/F33</f>
        <v>0.115</v>
      </c>
      <c r="G36" s="7">
        <f>G35/G33</f>
        <v>0.11499999999999996</v>
      </c>
    </row>
    <row r="37" spans="2:7" ht="14" customHeight="1" x14ac:dyDescent="0.3">
      <c r="B37" s="4" t="s">
        <v>93</v>
      </c>
      <c r="C37" s="5">
        <f>C33*C32</f>
        <v>178716.92035900001</v>
      </c>
      <c r="D37" s="5">
        <f>D33*D32</f>
        <v>181034.15177126997</v>
      </c>
      <c r="E37" s="5">
        <f>E33*E32</f>
        <v>183380.6888188273</v>
      </c>
      <c r="F37" s="5">
        <f>F33*F32</f>
        <v>185756.88929366277</v>
      </c>
      <c r="G37" s="5">
        <f>G33*G32</f>
        <v>187614.4581865994</v>
      </c>
    </row>
    <row r="38" spans="2:7" ht="14" customHeight="1" x14ac:dyDescent="0.3">
      <c r="B38" s="4" t="s">
        <v>94</v>
      </c>
      <c r="C38" s="7">
        <f>(C35-C37)/C33</f>
        <v>6.5099999999999922E-2</v>
      </c>
      <c r="D38" s="7">
        <f>(D35-D37)/D33</f>
        <v>6.5200000000000036E-2</v>
      </c>
      <c r="E38" s="7">
        <f>(E35-E37)/E33</f>
        <v>6.5300000000000039E-2</v>
      </c>
      <c r="F38" s="7">
        <f>(F35-F37)/F33</f>
        <v>6.5400000000000014E-2</v>
      </c>
      <c r="G38" s="7">
        <f>(G35-G37)/G33</f>
        <v>6.5399999999999958E-2</v>
      </c>
    </row>
    <row r="39" spans="2:7" ht="14" customHeight="1" x14ac:dyDescent="0.3">
      <c r="B39" s="4" t="s">
        <v>95</v>
      </c>
      <c r="C39" s="19">
        <f>C35-C37</f>
        <v>233155.74179099975</v>
      </c>
      <c r="D39" s="19">
        <f>D35-D37</f>
        <v>237016.60031098011</v>
      </c>
      <c r="E39" s="19">
        <f>E35-E37</f>
        <v>240940.82454465653</v>
      </c>
      <c r="F39" s="19">
        <f>F35-F37</f>
        <v>244929.44677027312</v>
      </c>
      <c r="G39" s="19">
        <f>G35-G37</f>
        <v>247378.74123797569</v>
      </c>
    </row>
    <row r="40" spans="2:7" ht="14" customHeight="1" x14ac:dyDescent="0.3">
      <c r="B40" s="4" t="s">
        <v>96</v>
      </c>
      <c r="C40" s="5">
        <f>MAX(0,C39*C6)</f>
        <v>58288.935447749936</v>
      </c>
      <c r="D40" s="5">
        <f>MAX(0,D39*C6)</f>
        <v>59254.150077745027</v>
      </c>
      <c r="E40" s="5">
        <f>MAX(0,E39*C6)</f>
        <v>60235.206136164132</v>
      </c>
      <c r="F40" s="5">
        <f>MAX(0,F39*C6)</f>
        <v>61232.36169256828</v>
      </c>
      <c r="G40" s="5">
        <f>MAX(0,G39*C6)</f>
        <v>61844.685309493922</v>
      </c>
    </row>
    <row r="41" spans="2:7" ht="14" customHeight="1" x14ac:dyDescent="0.3">
      <c r="B41" s="4" t="s">
        <v>97</v>
      </c>
      <c r="C41" s="19">
        <f>C39-C40</f>
        <v>174866.8063432498</v>
      </c>
      <c r="D41" s="19">
        <f>D39-D40</f>
        <v>177762.45023323508</v>
      </c>
      <c r="E41" s="19">
        <f>E39-E40</f>
        <v>180705.61840849239</v>
      </c>
      <c r="F41" s="19">
        <f>F39-F40</f>
        <v>183697.08507770483</v>
      </c>
      <c r="G41" s="19">
        <f>G39-G40</f>
        <v>185534.05592848177</v>
      </c>
    </row>
    <row r="42" spans="2:7" ht="14" customHeight="1" x14ac:dyDescent="0.3">
      <c r="B42" s="4" t="s">
        <v>98</v>
      </c>
      <c r="C42" s="5">
        <f>C33*C18</f>
        <v>174060.96852600001</v>
      </c>
      <c r="D42" s="5">
        <f>D33*C18</f>
        <v>176671.88305388996</v>
      </c>
      <c r="E42" s="5">
        <f>E33*C18</f>
        <v>179321.96129969831</v>
      </c>
      <c r="F42" s="5">
        <f>F33*C18</f>
        <v>182011.79071919376</v>
      </c>
      <c r="G42" s="5">
        <f>G33*C18</f>
        <v>183831.9086263857</v>
      </c>
    </row>
    <row r="43" spans="2:7" ht="14" customHeight="1" x14ac:dyDescent="0.3">
      <c r="B43" s="4" t="s">
        <v>99</v>
      </c>
      <c r="C43" s="5">
        <v>301000</v>
      </c>
      <c r="D43" s="5">
        <v>274000</v>
      </c>
      <c r="E43" s="5">
        <v>247000</v>
      </c>
      <c r="F43" s="5">
        <v>220000</v>
      </c>
      <c r="G43" s="5">
        <v>193000</v>
      </c>
    </row>
    <row r="44" spans="2:7" ht="14" customHeight="1" x14ac:dyDescent="0.3">
      <c r="B44" s="4" t="s">
        <v>100</v>
      </c>
      <c r="C44" s="5">
        <f>'NWC Schedule'!D19</f>
        <v>-21048.441457945155</v>
      </c>
      <c r="D44" s="5">
        <f>'NWC Schedule'!E19</f>
        <v>4840.1783781307167</v>
      </c>
      <c r="E44" s="5">
        <f>'NWC Schedule'!F19</f>
        <v>4912.7810538027552</v>
      </c>
      <c r="F44" s="5">
        <f>'NWC Schedule'!G19</f>
        <v>4986.4727696098271</v>
      </c>
      <c r="G44" s="5">
        <f>'NWC Schedule'!H19</f>
        <v>3374.1799074360752</v>
      </c>
    </row>
    <row r="45" spans="2:7" ht="14" customHeight="1" x14ac:dyDescent="0.3">
      <c r="B45" s="4" t="s">
        <v>101</v>
      </c>
      <c r="C45" s="20">
        <f>C41+C42-C43-C44</f>
        <v>68976.216327194939</v>
      </c>
      <c r="D45" s="20">
        <f>D41+D42-D43-D44</f>
        <v>75594.154908994329</v>
      </c>
      <c r="E45" s="20">
        <f>E41+E42-E43-E44</f>
        <v>108114.79865438794</v>
      </c>
      <c r="F45" s="20">
        <f>F41+F42-F43-F44</f>
        <v>140722.40302728879</v>
      </c>
      <c r="G45" s="20">
        <f>G41+G42-G43-G44</f>
        <v>172991.7846474314</v>
      </c>
    </row>
    <row r="46" spans="2:7" ht="14" customHeight="1" x14ac:dyDescent="0.3">
      <c r="B46" s="4" t="s">
        <v>102</v>
      </c>
      <c r="C46" s="21">
        <f>1/(1+C26)^(C19+0)</f>
        <v>0.96097818966021031</v>
      </c>
      <c r="D46" s="21">
        <f>1/(1+C26)^(C19+1)</f>
        <v>0.92347908100261511</v>
      </c>
      <c r="E46" s="21">
        <f>1/(1+C26)^(C19+2)</f>
        <v>0.88744325545096781</v>
      </c>
      <c r="F46" s="21">
        <f>1/(1+C26)^(C19+3)</f>
        <v>0.85281361304943448</v>
      </c>
      <c r="G46" s="21">
        <f>1/(1+C26)^(C19+4)</f>
        <v>0.81953528198582881</v>
      </c>
    </row>
    <row r="47" spans="2:7" ht="14" customHeight="1" x14ac:dyDescent="0.3">
      <c r="B47" s="4" t="s">
        <v>103</v>
      </c>
      <c r="C47" s="19">
        <f>C45*C46</f>
        <v>66284.639495718831</v>
      </c>
      <c r="D47" s="19">
        <f>D45*D46</f>
        <v>69809.620704527406</v>
      </c>
      <c r="E47" s="19">
        <f>E45*E46</f>
        <v>95945.748880275947</v>
      </c>
      <c r="F47" s="19">
        <f>F45*F46</f>
        <v>120009.98096270084</v>
      </c>
      <c r="G47" s="19">
        <f>G45*G46</f>
        <v>141772.87101226446</v>
      </c>
    </row>
    <row r="49" spans="2:7" ht="14" customHeight="1" x14ac:dyDescent="0.3">
      <c r="B49" s="22" t="s">
        <v>104</v>
      </c>
      <c r="C49" s="23"/>
      <c r="D49" s="23"/>
      <c r="E49" s="23"/>
      <c r="F49" s="23"/>
      <c r="G49" s="23"/>
    </row>
    <row r="50" spans="2:7" ht="14" customHeight="1" x14ac:dyDescent="0.3">
      <c r="B50" s="4" t="s">
        <v>105</v>
      </c>
      <c r="C50" s="5">
        <f>SUM(C47:G47)</f>
        <v>493822.86105548748</v>
      </c>
    </row>
    <row r="51" spans="2:7" ht="14" customHeight="1" x14ac:dyDescent="0.3">
      <c r="B51" s="4" t="s">
        <v>106</v>
      </c>
      <c r="C51" s="5">
        <f>G45*(1+C13)/(C26-C13)</f>
        <v>5708676.1520466879</v>
      </c>
    </row>
    <row r="52" spans="2:7" ht="14" customHeight="1" x14ac:dyDescent="0.3">
      <c r="B52" s="4" t="s">
        <v>107</v>
      </c>
      <c r="C52" s="5">
        <f>C51*G46</f>
        <v>4678461.5200333586</v>
      </c>
    </row>
    <row r="53" spans="2:7" ht="14" customHeight="1" x14ac:dyDescent="0.3">
      <c r="B53" s="4" t="s">
        <v>108</v>
      </c>
      <c r="C53" s="5">
        <f>C50+C52</f>
        <v>5172284.3810888464</v>
      </c>
    </row>
    <row r="54" spans="2:7" ht="14" customHeight="1" x14ac:dyDescent="0.3">
      <c r="B54" s="4" t="s">
        <v>109</v>
      </c>
      <c r="C54" s="5">
        <f>C53-C16</f>
        <v>2574017.3810888464</v>
      </c>
    </row>
    <row r="55" spans="2:7" ht="14" customHeight="1" x14ac:dyDescent="0.3">
      <c r="B55" s="4" t="s">
        <v>110</v>
      </c>
      <c r="C55" s="24">
        <f>ROUND(C54*1000000/C15,0)</f>
        <v>3408</v>
      </c>
    </row>
    <row r="57" spans="2:7" ht="14" customHeight="1" x14ac:dyDescent="0.3">
      <c r="B57" s="22" t="s">
        <v>111</v>
      </c>
      <c r="C57" s="23"/>
      <c r="D57" s="23"/>
      <c r="E57" s="23"/>
      <c r="F57" s="23"/>
      <c r="G57" s="23"/>
    </row>
    <row r="58" spans="2:7" ht="14" customHeight="1" x14ac:dyDescent="0.3">
      <c r="B58" s="4" t="s">
        <v>105</v>
      </c>
      <c r="C58" s="5">
        <f>C50</f>
        <v>493822.86105548748</v>
      </c>
    </row>
    <row r="59" spans="2:7" ht="14" customHeight="1" x14ac:dyDescent="0.3">
      <c r="B59" s="4" t="s">
        <v>112</v>
      </c>
      <c r="C59" s="5">
        <f>G39+G42</f>
        <v>431210.64986436139</v>
      </c>
    </row>
    <row r="60" spans="2:7" ht="14" customHeight="1" x14ac:dyDescent="0.3">
      <c r="B60" s="4" t="s">
        <v>113</v>
      </c>
      <c r="C60" s="5">
        <f>C59*C14</f>
        <v>3579048.3938742001</v>
      </c>
    </row>
    <row r="61" spans="2:7" ht="14" customHeight="1" x14ac:dyDescent="0.3">
      <c r="B61" s="4" t="s">
        <v>107</v>
      </c>
      <c r="C61" s="5">
        <f>C60*G46</f>
        <v>2933156.4347146205</v>
      </c>
    </row>
    <row r="62" spans="2:7" ht="14" customHeight="1" x14ac:dyDescent="0.3">
      <c r="B62" s="4" t="s">
        <v>108</v>
      </c>
      <c r="C62" s="5">
        <f>C58+C61</f>
        <v>3426979.2957701078</v>
      </c>
    </row>
    <row r="63" spans="2:7" ht="14" customHeight="1" x14ac:dyDescent="0.3">
      <c r="B63" s="4" t="s">
        <v>109</v>
      </c>
      <c r="C63" s="5">
        <f>C62-C16</f>
        <v>828712.29577010777</v>
      </c>
    </row>
    <row r="64" spans="2:7" ht="14" customHeight="1" x14ac:dyDescent="0.3">
      <c r="B64" s="4" t="s">
        <v>114</v>
      </c>
      <c r="C64" s="24">
        <f>ROUND(C63*1000000/C15,0)</f>
        <v>1097</v>
      </c>
    </row>
    <row r="66" spans="2:7" ht="14" customHeight="1" x14ac:dyDescent="0.3">
      <c r="B66" s="22" t="s">
        <v>115</v>
      </c>
      <c r="C66" s="23"/>
      <c r="D66" s="23"/>
      <c r="E66" s="23"/>
      <c r="F66" s="23"/>
      <c r="G66" s="23"/>
    </row>
    <row r="67" spans="2:7" ht="14" customHeight="1" x14ac:dyDescent="0.3">
      <c r="C67" s="25" t="s">
        <v>116</v>
      </c>
      <c r="D67" s="25" t="s">
        <v>117</v>
      </c>
      <c r="E67" s="25" t="s">
        <v>118</v>
      </c>
      <c r="F67" s="25" t="s">
        <v>119</v>
      </c>
      <c r="G67" s="25" t="s">
        <v>120</v>
      </c>
    </row>
    <row r="68" spans="2:7" ht="14" customHeight="1" x14ac:dyDescent="0.3">
      <c r="B68" s="3" t="s">
        <v>46</v>
      </c>
    </row>
    <row r="69" spans="2:7" ht="14" customHeight="1" x14ac:dyDescent="0.3">
      <c r="B69" s="4" t="s">
        <v>84</v>
      </c>
      <c r="C69" s="26">
        <v>0.01</v>
      </c>
      <c r="D69" s="26">
        <v>1.4999999999999999E-2</v>
      </c>
      <c r="E69" s="26">
        <v>1.4999999999999999E-2</v>
      </c>
      <c r="F69" s="26">
        <v>1.4999999999999999E-2</v>
      </c>
      <c r="G69" s="26">
        <v>0.01</v>
      </c>
    </row>
    <row r="70" spans="2:7" ht="14" customHeight="1" x14ac:dyDescent="0.3">
      <c r="B70" s="4" t="s">
        <v>121</v>
      </c>
      <c r="C70" s="26">
        <v>0.02</v>
      </c>
      <c r="D70" s="26">
        <v>0.02</v>
      </c>
      <c r="E70" s="26">
        <v>0.02</v>
      </c>
      <c r="F70" s="26">
        <v>0.02</v>
      </c>
      <c r="G70" s="26">
        <v>1.4999999999999999E-2</v>
      </c>
    </row>
    <row r="71" spans="2:7" ht="14" customHeight="1" x14ac:dyDescent="0.3">
      <c r="B71" s="4" t="s">
        <v>122</v>
      </c>
      <c r="C71" s="26">
        <v>0.01</v>
      </c>
      <c r="D71" s="26">
        <v>1.4999999999999999E-2</v>
      </c>
      <c r="E71" s="26">
        <v>1.4999999999999999E-2</v>
      </c>
      <c r="F71" s="26">
        <v>1.4999999999999999E-2</v>
      </c>
      <c r="G71" s="26">
        <v>0.01</v>
      </c>
    </row>
    <row r="72" spans="2:7" ht="14" customHeight="1" x14ac:dyDescent="0.3">
      <c r="B72" s="4" t="s">
        <v>123</v>
      </c>
      <c r="C72" s="26">
        <v>0</v>
      </c>
      <c r="D72" s="26">
        <v>5.0000000000000001E-3</v>
      </c>
      <c r="E72" s="26">
        <v>0.01</v>
      </c>
      <c r="F72" s="26">
        <v>0.01</v>
      </c>
      <c r="G72" s="26">
        <v>0.01</v>
      </c>
    </row>
    <row r="73" spans="2:7" ht="14" customHeight="1" x14ac:dyDescent="0.3">
      <c r="B73" s="4" t="s">
        <v>124</v>
      </c>
      <c r="C73" s="26">
        <v>-0.06</v>
      </c>
      <c r="D73" s="26">
        <v>-0.01</v>
      </c>
      <c r="E73" s="26">
        <v>0.01</v>
      </c>
      <c r="F73" s="26">
        <v>0.01</v>
      </c>
      <c r="G73" s="26">
        <v>0.01</v>
      </c>
    </row>
    <row r="75" spans="2:7" ht="14" customHeight="1" x14ac:dyDescent="0.3">
      <c r="B75" s="3" t="s">
        <v>91</v>
      </c>
    </row>
    <row r="76" spans="2:7" ht="14" customHeight="1" x14ac:dyDescent="0.3">
      <c r="B76" s="4" t="s">
        <v>84</v>
      </c>
      <c r="C76" s="26">
        <v>0.88500000000000001</v>
      </c>
      <c r="D76" s="26">
        <v>0.88500000000000001</v>
      </c>
      <c r="E76" s="26">
        <v>0.88500000000000001</v>
      </c>
      <c r="F76" s="26">
        <v>0.88500000000000001</v>
      </c>
      <c r="G76" s="26">
        <v>0.88500000000000001</v>
      </c>
    </row>
    <row r="77" spans="2:7" ht="14" customHeight="1" x14ac:dyDescent="0.3">
      <c r="B77" s="4" t="s">
        <v>121</v>
      </c>
      <c r="C77" s="26">
        <v>0.875</v>
      </c>
      <c r="D77" s="26">
        <v>0.875</v>
      </c>
      <c r="E77" s="26">
        <v>0.875</v>
      </c>
      <c r="F77" s="26">
        <v>0.875</v>
      </c>
      <c r="G77" s="26">
        <v>0.875</v>
      </c>
    </row>
    <row r="78" spans="2:7" ht="14" customHeight="1" x14ac:dyDescent="0.3">
      <c r="B78" s="4" t="s">
        <v>122</v>
      </c>
      <c r="C78" s="26">
        <v>0.88500000000000001</v>
      </c>
      <c r="D78" s="26">
        <v>0.88500000000000001</v>
      </c>
      <c r="E78" s="26">
        <v>0.88500000000000001</v>
      </c>
      <c r="F78" s="26">
        <v>0.88500000000000001</v>
      </c>
      <c r="G78" s="26">
        <v>0.88500000000000001</v>
      </c>
    </row>
    <row r="79" spans="2:7" ht="14" customHeight="1" x14ac:dyDescent="0.3">
      <c r="B79" s="4" t="s">
        <v>123</v>
      </c>
      <c r="C79" s="26">
        <v>0.89300000000000002</v>
      </c>
      <c r="D79" s="26">
        <v>0.89300000000000002</v>
      </c>
      <c r="E79" s="26">
        <v>0.89300000000000002</v>
      </c>
      <c r="F79" s="26">
        <v>0.89300000000000002</v>
      </c>
      <c r="G79" s="26">
        <v>0.89300000000000002</v>
      </c>
    </row>
    <row r="80" spans="2:7" ht="14" customHeight="1" x14ac:dyDescent="0.3">
      <c r="B80" s="4" t="s">
        <v>124</v>
      </c>
      <c r="C80" s="26">
        <v>0.91</v>
      </c>
      <c r="D80" s="26">
        <v>0.91</v>
      </c>
      <c r="E80" s="26">
        <v>0.91</v>
      </c>
      <c r="F80" s="26">
        <v>0.91</v>
      </c>
      <c r="G80" s="26">
        <v>0.91</v>
      </c>
    </row>
    <row r="82" spans="2:7" ht="14" customHeight="1" x14ac:dyDescent="0.3">
      <c r="B82" s="3" t="s">
        <v>92</v>
      </c>
    </row>
    <row r="83" spans="2:7" ht="14" customHeight="1" x14ac:dyDescent="0.3">
      <c r="B83" s="4" t="s">
        <v>84</v>
      </c>
      <c r="C83" s="26">
        <v>4.99E-2</v>
      </c>
      <c r="D83" s="26">
        <v>4.9799999999999997E-2</v>
      </c>
      <c r="E83" s="26">
        <v>4.9700000000000001E-2</v>
      </c>
      <c r="F83" s="26">
        <v>4.9599999999999998E-2</v>
      </c>
      <c r="G83" s="26">
        <v>4.9599999999999998E-2</v>
      </c>
    </row>
    <row r="84" spans="2:7" ht="14" customHeight="1" x14ac:dyDescent="0.3">
      <c r="B84" s="4" t="s">
        <v>121</v>
      </c>
      <c r="C84" s="26">
        <v>5.5E-2</v>
      </c>
      <c r="D84" s="26">
        <v>5.2999999999999999E-2</v>
      </c>
      <c r="E84" s="26">
        <v>5.1499999999999997E-2</v>
      </c>
      <c r="F84" s="26">
        <v>5.0500000000000003E-2</v>
      </c>
      <c r="G84" s="26">
        <v>5.0099999999999999E-2</v>
      </c>
    </row>
    <row r="85" spans="2:7" ht="14" customHeight="1" x14ac:dyDescent="0.3">
      <c r="B85" s="4" t="s">
        <v>122</v>
      </c>
      <c r="C85" s="26">
        <v>4.99E-2</v>
      </c>
      <c r="D85" s="26">
        <v>4.9799999999999997E-2</v>
      </c>
      <c r="E85" s="26">
        <v>4.9700000000000001E-2</v>
      </c>
      <c r="F85" s="26">
        <v>4.9599999999999998E-2</v>
      </c>
      <c r="G85" s="26">
        <v>4.9599999999999998E-2</v>
      </c>
    </row>
    <row r="86" spans="2:7" ht="14" customHeight="1" x14ac:dyDescent="0.3">
      <c r="B86" s="4" t="s">
        <v>123</v>
      </c>
      <c r="C86" s="26">
        <v>4.5999999999999999E-2</v>
      </c>
      <c r="D86" s="26">
        <v>4.8000000000000001E-2</v>
      </c>
      <c r="E86" s="26">
        <v>4.9500000000000002E-2</v>
      </c>
      <c r="F86" s="26">
        <v>5.0799999999999998E-2</v>
      </c>
      <c r="G86" s="26">
        <v>5.16E-2</v>
      </c>
    </row>
    <row r="87" spans="2:7" ht="14" customHeight="1" x14ac:dyDescent="0.3">
      <c r="B87" s="4" t="s">
        <v>124</v>
      </c>
      <c r="C87" s="26">
        <v>4.8000000000000001E-2</v>
      </c>
      <c r="D87" s="26">
        <v>5.5E-2</v>
      </c>
      <c r="E87" s="26">
        <v>5.8000000000000003E-2</v>
      </c>
      <c r="F87" s="26">
        <v>5.8000000000000003E-2</v>
      </c>
      <c r="G87" s="26">
        <v>5.7000000000000002E-2</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125</v>
      </c>
    </row>
    <row r="3" spans="2:9" ht="14" customHeight="1" x14ac:dyDescent="0.3">
      <c r="B3" s="1" t="s">
        <v>126</v>
      </c>
    </row>
    <row r="5" spans="2:9" ht="14" customHeight="1" x14ac:dyDescent="0.3">
      <c r="B5" s="8" t="s">
        <v>127</v>
      </c>
      <c r="C5" s="9"/>
      <c r="D5" s="9"/>
      <c r="E5" s="9"/>
      <c r="F5" s="9"/>
      <c r="G5" s="9"/>
      <c r="H5" s="9"/>
      <c r="I5" s="9"/>
    </row>
    <row r="6" spans="2:9" ht="14" customHeight="1" x14ac:dyDescent="0.3">
      <c r="B6" s="4" t="s">
        <v>128</v>
      </c>
      <c r="C6" s="15">
        <f>'Executive Summary'!C9</f>
        <v>2926</v>
      </c>
    </row>
    <row r="7" spans="2:9" ht="14" customHeight="1" x14ac:dyDescent="0.3">
      <c r="B7" s="4" t="s">
        <v>72</v>
      </c>
      <c r="C7" s="15">
        <f>'DCF Model'!C15</f>
        <v>755393538</v>
      </c>
    </row>
    <row r="8" spans="2:9" ht="14" customHeight="1" x14ac:dyDescent="0.3">
      <c r="B8" s="4" t="s">
        <v>129</v>
      </c>
      <c r="C8" s="5">
        <f>C6*C7/1000000</f>
        <v>2210281.4921880001</v>
      </c>
    </row>
    <row r="9" spans="2:9" ht="14" customHeight="1" x14ac:dyDescent="0.3">
      <c r="B9" s="4" t="s">
        <v>73</v>
      </c>
      <c r="C9" s="5">
        <f>'DCF Model'!C16</f>
        <v>2598267</v>
      </c>
    </row>
    <row r="10" spans="2:9" ht="14" customHeight="1" x14ac:dyDescent="0.3">
      <c r="B10" s="4" t="s">
        <v>130</v>
      </c>
      <c r="C10" s="5">
        <f>C8+C9</f>
        <v>4808548.4921880001</v>
      </c>
    </row>
    <row r="11" spans="2:9" ht="14" customHeight="1" x14ac:dyDescent="0.3">
      <c r="B11" s="4" t="s">
        <v>131</v>
      </c>
      <c r="C11" s="16">
        <f>'DCF Model'!C26</f>
        <v>4.0606343369340381E-2</v>
      </c>
    </row>
    <row r="12" spans="2:9" ht="14" customHeight="1" x14ac:dyDescent="0.3">
      <c r="B12" s="4" t="s">
        <v>132</v>
      </c>
      <c r="C12" s="16">
        <f>'DCF Model'!C13</f>
        <v>0.01</v>
      </c>
    </row>
    <row r="13" spans="2:9" ht="14" customHeight="1" x14ac:dyDescent="0.3">
      <c r="B13" s="4" t="s">
        <v>133</v>
      </c>
      <c r="C13" s="16">
        <f>'DCF Model'!C6</f>
        <v>0.25</v>
      </c>
    </row>
    <row r="14" spans="2:9" ht="14" customHeight="1" x14ac:dyDescent="0.3">
      <c r="B14" s="4" t="s">
        <v>134</v>
      </c>
      <c r="C14" s="27">
        <v>230043</v>
      </c>
    </row>
    <row r="15" spans="2:9" ht="14" customHeight="1" x14ac:dyDescent="0.3">
      <c r="B15" s="4" t="s">
        <v>135</v>
      </c>
      <c r="C15" s="27">
        <v>343340</v>
      </c>
    </row>
    <row r="16" spans="2:9" ht="14" customHeight="1" x14ac:dyDescent="0.3">
      <c r="B16" s="4" t="s">
        <v>136</v>
      </c>
      <c r="C16" s="5">
        <f>'DCF Model'!G33</f>
        <v>3782549.5602136976</v>
      </c>
    </row>
    <row r="17" spans="2:9" ht="14" customHeight="1" x14ac:dyDescent="0.3">
      <c r="B17" s="4" t="s">
        <v>137</v>
      </c>
      <c r="C17" s="5">
        <f>'DCF Model'!C53</f>
        <v>5172284.3810888464</v>
      </c>
    </row>
    <row r="18" spans="2:9" ht="14" customHeight="1" x14ac:dyDescent="0.3">
      <c r="B18" s="4" t="s">
        <v>138</v>
      </c>
      <c r="C18" s="26">
        <v>9.5097127365448952E-2</v>
      </c>
    </row>
    <row r="19" spans="2:9" ht="14" customHeight="1" x14ac:dyDescent="0.3">
      <c r="B19" s="4" t="s">
        <v>139</v>
      </c>
      <c r="C19" s="5">
        <f>C10-C17</f>
        <v>-363735.88890084624</v>
      </c>
    </row>
    <row r="20" spans="2:9" ht="14" customHeight="1" x14ac:dyDescent="0.3">
      <c r="B20" s="4" t="s">
        <v>140</v>
      </c>
      <c r="C20" s="15">
        <f>IFERROR(ROUND(C19*1000000/C7,0),"N/A")</f>
        <v>-482</v>
      </c>
    </row>
    <row r="22" spans="2:9" ht="14" customHeight="1" x14ac:dyDescent="0.3">
      <c r="B22" s="8" t="s">
        <v>141</v>
      </c>
      <c r="C22" s="9"/>
      <c r="D22" s="9"/>
      <c r="E22" s="9"/>
      <c r="F22" s="9"/>
      <c r="G22" s="9"/>
      <c r="H22" s="9"/>
      <c r="I22" s="9"/>
    </row>
    <row r="23" spans="2:9" ht="14" customHeight="1" x14ac:dyDescent="0.3">
      <c r="B23" s="1" t="s">
        <v>142</v>
      </c>
    </row>
    <row r="24" spans="2:9" ht="14" customHeight="1" x14ac:dyDescent="0.3">
      <c r="B24" s="4" t="s">
        <v>143</v>
      </c>
      <c r="C24" s="5">
        <f>C10*(C11-C12)</f>
        <v>147172.08626002987</v>
      </c>
    </row>
    <row r="25" spans="2:9" ht="14" customHeight="1" x14ac:dyDescent="0.3">
      <c r="B25" s="4" t="s">
        <v>144</v>
      </c>
      <c r="C25" s="5">
        <f>IFERROR(C24/(1-C13),"N/A")</f>
        <v>196229.44834670649</v>
      </c>
    </row>
    <row r="26" spans="2:9" ht="13.5" customHeight="1" x14ac:dyDescent="0.25">
      <c r="B26" s="6" t="s">
        <v>145</v>
      </c>
      <c r="C26" s="14">
        <f>IFERROR(C25/C15,"N/A")</f>
        <v>0.57153098487419607</v>
      </c>
    </row>
    <row r="27" spans="2:9" ht="13.5" customHeight="1" x14ac:dyDescent="0.25">
      <c r="B27" s="6" t="s">
        <v>146</v>
      </c>
      <c r="C27" s="14">
        <f>IFERROR(C25/C14,"N/A")</f>
        <v>0.8530120383871993</v>
      </c>
    </row>
    <row r="28" spans="2:9" ht="13.5" customHeight="1" x14ac:dyDescent="0.25">
      <c r="B28" s="6" t="s">
        <v>147</v>
      </c>
      <c r="C28" s="7">
        <f>IFERROR(C25/C16,"N/A")</f>
        <v>5.1877561740557965E-2</v>
      </c>
    </row>
    <row r="29" spans="2:9" ht="13.5" customHeight="1" x14ac:dyDescent="0.25">
      <c r="B29" s="6" t="s">
        <v>148</v>
      </c>
      <c r="C29" s="5">
        <f>IFERROR(C25/C18,"N/A")</f>
        <v>2063463.4692235857</v>
      </c>
    </row>
    <row r="32" spans="2:9" ht="14" customHeight="1" x14ac:dyDescent="0.3">
      <c r="B32" s="8" t="s">
        <v>149</v>
      </c>
      <c r="C32" s="9"/>
      <c r="D32" s="9"/>
      <c r="E32" s="9"/>
      <c r="F32" s="9"/>
      <c r="G32" s="9"/>
      <c r="H32" s="9"/>
      <c r="I32" s="9"/>
    </row>
    <row r="33" spans="2:9" ht="14" customHeight="1" x14ac:dyDescent="0.3">
      <c r="B33" s="1" t="s">
        <v>150</v>
      </c>
    </row>
    <row r="34" spans="2:9" ht="14" customHeight="1" x14ac:dyDescent="0.3">
      <c r="B34" s="1" t="s">
        <v>151</v>
      </c>
    </row>
    <row r="36" spans="2:9" ht="14" customHeight="1" x14ac:dyDescent="0.3">
      <c r="B36" s="28" t="s">
        <v>152</v>
      </c>
      <c r="C36" s="28" t="s">
        <v>153</v>
      </c>
      <c r="D36" s="29">
        <f>'DCF Model'!C26-0.02</f>
        <v>2.060634336934038E-2</v>
      </c>
      <c r="E36" s="29">
        <f>'DCF Model'!C26-0.01</f>
        <v>3.0606343369340379E-2</v>
      </c>
      <c r="F36" s="29">
        <f>'DCF Model'!C26</f>
        <v>4.0606343369340381E-2</v>
      </c>
      <c r="G36" s="29">
        <f>'DCF Model'!C26+0.01</f>
        <v>5.0606343369340383E-2</v>
      </c>
      <c r="H36" s="29">
        <f>'DCF Model'!C26+0.02</f>
        <v>6.0606343369340385E-2</v>
      </c>
    </row>
    <row r="37" spans="2:9" ht="14" customHeight="1" x14ac:dyDescent="0.3">
      <c r="B37" s="3" t="s">
        <v>154</v>
      </c>
    </row>
    <row r="38" spans="2:9" ht="14" customHeight="1" x14ac:dyDescent="0.3">
      <c r="B38" s="4" t="s">
        <v>155</v>
      </c>
      <c r="C38" s="30">
        <v>3</v>
      </c>
      <c r="D38" s="13">
        <f t="shared" ref="D38:H41" si="0">IFERROR((1-(1+D$36)^(-$C38))/D$36-(1+D$36)/(D$36^2*$C38)*(1-($C38+1)/(1+D$36)^$C38+$C38/(1+D$36)^($C38+1)),"N/A")</f>
        <v>0.97321548905513344</v>
      </c>
      <c r="E38" s="13">
        <f t="shared" si="0"/>
        <v>0.96069742664744262</v>
      </c>
      <c r="F38" s="13">
        <f t="shared" si="0"/>
        <v>0.94847848677444424</v>
      </c>
      <c r="G38" s="13">
        <f t="shared" si="0"/>
        <v>0.93654847257464202</v>
      </c>
      <c r="H38" s="13">
        <f t="shared" si="0"/>
        <v>0.92489763359876842</v>
      </c>
    </row>
    <row r="39" spans="2:9" ht="14" customHeight="1" x14ac:dyDescent="0.3">
      <c r="B39" s="4" t="s">
        <v>156</v>
      </c>
      <c r="C39" s="30">
        <v>5</v>
      </c>
      <c r="D39" s="13">
        <f t="shared" si="0"/>
        <v>1.9204519198033334</v>
      </c>
      <c r="E39" s="13">
        <f t="shared" si="0"/>
        <v>1.8838248788382659</v>
      </c>
      <c r="F39" s="13">
        <f t="shared" si="0"/>
        <v>1.84841002512001</v>
      </c>
      <c r="G39" s="13">
        <f t="shared" si="0"/>
        <v>1.8141528274225083</v>
      </c>
      <c r="H39" s="13">
        <f t="shared" si="0"/>
        <v>1.781001793319378</v>
      </c>
    </row>
    <row r="40" spans="2:9" ht="14" customHeight="1" x14ac:dyDescent="0.3">
      <c r="B40" s="4" t="s">
        <v>157</v>
      </c>
      <c r="C40" s="30">
        <v>7</v>
      </c>
      <c r="D40" s="13">
        <f t="shared" si="0"/>
        <v>2.8424889351116551</v>
      </c>
      <c r="E40" s="13">
        <f t="shared" si="0"/>
        <v>2.7710336062270828</v>
      </c>
      <c r="F40" s="13">
        <f t="shared" si="0"/>
        <v>2.7025863570776867</v>
      </c>
      <c r="G40" s="13">
        <f t="shared" si="0"/>
        <v>2.6369797677340232</v>
      </c>
      <c r="H40" s="13">
        <f t="shared" si="0"/>
        <v>2.5740577076244184</v>
      </c>
    </row>
    <row r="41" spans="2:9" ht="14" customHeight="1" x14ac:dyDescent="0.3">
      <c r="B41" s="4" t="s">
        <v>158</v>
      </c>
      <c r="C41" s="30">
        <v>10</v>
      </c>
      <c r="D41" s="13">
        <f t="shared" si="0"/>
        <v>4.179939830762514</v>
      </c>
      <c r="E41" s="13">
        <f t="shared" si="0"/>
        <v>4.0379217174513915</v>
      </c>
      <c r="F41" s="13">
        <f t="shared" si="0"/>
        <v>3.9037483387155856</v>
      </c>
      <c r="G41" s="13">
        <f t="shared" si="0"/>
        <v>3.7768607586969063</v>
      </c>
      <c r="H41" s="13">
        <f t="shared" si="0"/>
        <v>3.6567472983898481</v>
      </c>
    </row>
    <row r="42" spans="2:9" ht="14" customHeight="1" x14ac:dyDescent="0.3">
      <c r="B42" s="3" t="s">
        <v>159</v>
      </c>
    </row>
    <row r="43" spans="2:9" ht="14" customHeight="1" x14ac:dyDescent="0.3">
      <c r="B43" s="4" t="s">
        <v>155</v>
      </c>
      <c r="C43" s="30">
        <v>3</v>
      </c>
      <c r="D43" s="13">
        <f t="shared" ref="D43:H46" si="1">IFERROR((1+D$36)/(D$36^2*$C43)*(1-($C43+1)/(1+D$36)^$C43+$C43/(1+D$36)^($C43+1))+(1+$C$12)/((D$36-$C$12)*(1+D$36)^$C43),"N/A")</f>
        <v>91.481044968965477</v>
      </c>
      <c r="E43" s="13">
        <f t="shared" si="1"/>
        <v>46.640280848753342</v>
      </c>
      <c r="F43" s="13">
        <f t="shared" si="1"/>
        <v>31.108778907659516</v>
      </c>
      <c r="G43" s="13">
        <f t="shared" si="1"/>
        <v>23.232627507663263</v>
      </c>
      <c r="H43" s="13">
        <f t="shared" si="1"/>
        <v>18.473493448370778</v>
      </c>
    </row>
    <row r="44" spans="2:9" ht="14" customHeight="1" x14ac:dyDescent="0.3">
      <c r="B44" s="4" t="s">
        <v>156</v>
      </c>
      <c r="C44" s="30">
        <v>5</v>
      </c>
      <c r="D44" s="13">
        <f t="shared" si="1"/>
        <v>88.777976472112428</v>
      </c>
      <c r="E44" s="13">
        <f t="shared" si="1"/>
        <v>44.843672197965702</v>
      </c>
      <c r="F44" s="13">
        <f t="shared" si="1"/>
        <v>29.640253843618982</v>
      </c>
      <c r="G44" s="13">
        <f t="shared" si="1"/>
        <v>21.94051952196612</v>
      </c>
      <c r="H44" s="13">
        <f t="shared" si="1"/>
        <v>17.29559880723394</v>
      </c>
    </row>
    <row r="45" spans="2:9" ht="14" customHeight="1" x14ac:dyDescent="0.3">
      <c r="B45" s="4" t="s">
        <v>157</v>
      </c>
      <c r="C45" s="30">
        <v>7</v>
      </c>
      <c r="D45" s="13">
        <f t="shared" si="1"/>
        <v>86.170293164752394</v>
      </c>
      <c r="E45" s="13">
        <f t="shared" si="1"/>
        <v>43.134092182865871</v>
      </c>
      <c r="F45" s="13">
        <f t="shared" si="1"/>
        <v>28.260993285088478</v>
      </c>
      <c r="G45" s="13">
        <f t="shared" si="1"/>
        <v>20.742159412960394</v>
      </c>
      <c r="H45" s="13">
        <f t="shared" si="1"/>
        <v>16.216477874635519</v>
      </c>
    </row>
    <row r="46" spans="2:9" ht="14" customHeight="1" x14ac:dyDescent="0.3">
      <c r="B46" s="4" t="s">
        <v>158</v>
      </c>
      <c r="C46" s="30">
        <v>10</v>
      </c>
      <c r="D46" s="13">
        <f t="shared" si="1"/>
        <v>82.429864844900848</v>
      </c>
      <c r="E46" s="13">
        <f t="shared" si="1"/>
        <v>40.722984442669933</v>
      </c>
      <c r="F46" s="13">
        <f t="shared" si="1"/>
        <v>26.346572105457469</v>
      </c>
      <c r="G46" s="13">
        <f t="shared" si="1"/>
        <v>19.104128617529533</v>
      </c>
      <c r="H46" s="13">
        <f t="shared" si="1"/>
        <v>14.763121559450973</v>
      </c>
    </row>
    <row r="47" spans="2:9" ht="14" customHeight="1" x14ac:dyDescent="0.3">
      <c r="B47" s="22" t="s">
        <v>160</v>
      </c>
      <c r="C47" s="23"/>
      <c r="D47" s="23"/>
      <c r="E47" s="23"/>
      <c r="F47" s="23"/>
      <c r="G47" s="23"/>
      <c r="H47" s="23"/>
      <c r="I47" s="23"/>
    </row>
    <row r="48" spans="2:9" ht="14" customHeight="1" x14ac:dyDescent="0.3">
      <c r="B48" s="4" t="s">
        <v>155</v>
      </c>
      <c r="C48" s="30">
        <v>3</v>
      </c>
      <c r="D48" s="5">
        <f t="shared" ref="D48:H51" si="2">IFERROR(($C$10/(1-$C$13)-$C$14*D38)/D43,"N/A")</f>
        <v>67637.143639257469</v>
      </c>
      <c r="E48" s="5">
        <f t="shared" si="2"/>
        <v>132726.393555394</v>
      </c>
      <c r="F48" s="5">
        <f t="shared" si="2"/>
        <v>199082.29671869479</v>
      </c>
      <c r="G48" s="5">
        <f t="shared" si="2"/>
        <v>266691.81379780581</v>
      </c>
      <c r="H48" s="5">
        <f t="shared" si="2"/>
        <v>335541.93637396238</v>
      </c>
    </row>
    <row r="49" spans="2:9" ht="14" customHeight="1" x14ac:dyDescent="0.3">
      <c r="B49" s="4" t="s">
        <v>156</v>
      </c>
      <c r="C49" s="30">
        <v>5</v>
      </c>
      <c r="D49" s="5">
        <f t="shared" si="2"/>
        <v>67242.031253910129</v>
      </c>
      <c r="E49" s="5">
        <f t="shared" si="2"/>
        <v>133308.37930914582</v>
      </c>
      <c r="F49" s="5">
        <f t="shared" si="2"/>
        <v>201961.30012105263</v>
      </c>
      <c r="G49" s="5">
        <f t="shared" si="2"/>
        <v>273196.12120871549</v>
      </c>
      <c r="H49" s="5">
        <f t="shared" si="2"/>
        <v>347006.83456725441</v>
      </c>
    </row>
    <row r="50" spans="2:9" ht="14" customHeight="1" x14ac:dyDescent="0.3">
      <c r="B50" s="4" t="s">
        <v>157</v>
      </c>
      <c r="C50" s="30">
        <v>7</v>
      </c>
      <c r="D50" s="5">
        <f t="shared" si="2"/>
        <v>66815.408141598295</v>
      </c>
      <c r="E50" s="5">
        <f t="shared" si="2"/>
        <v>133860.26721573804</v>
      </c>
      <c r="F50" s="5">
        <f t="shared" si="2"/>
        <v>204864.94787490804</v>
      </c>
      <c r="G50" s="5">
        <f t="shared" si="2"/>
        <v>279854.1433081525</v>
      </c>
      <c r="H50" s="5">
        <f t="shared" si="2"/>
        <v>358848.2084294614</v>
      </c>
    </row>
    <row r="51" spans="2:9" ht="14" customHeight="1" x14ac:dyDescent="0.3">
      <c r="B51" s="4" t="s">
        <v>158</v>
      </c>
      <c r="C51" s="30">
        <v>10</v>
      </c>
      <c r="D51" s="5">
        <f t="shared" si="2"/>
        <v>66114.776499394298</v>
      </c>
      <c r="E51" s="5">
        <f t="shared" si="2"/>
        <v>134629.18887132718</v>
      </c>
      <c r="F51" s="5">
        <f t="shared" si="2"/>
        <v>209263.2008609121</v>
      </c>
      <c r="G51" s="5">
        <f t="shared" si="2"/>
        <v>290123.54978522059</v>
      </c>
      <c r="H51" s="5">
        <f t="shared" si="2"/>
        <v>377304.27460001584</v>
      </c>
    </row>
    <row r="52" spans="2:9" ht="14" customHeight="1" x14ac:dyDescent="0.3">
      <c r="B52" s="22" t="s">
        <v>161</v>
      </c>
      <c r="C52" s="23"/>
      <c r="D52" s="23"/>
      <c r="E52" s="23"/>
      <c r="F52" s="23"/>
      <c r="G52" s="23"/>
      <c r="H52" s="23"/>
      <c r="I52" s="23"/>
    </row>
    <row r="53" spans="2:9" ht="14" customHeight="1" x14ac:dyDescent="0.3">
      <c r="B53" s="4" t="s">
        <v>155</v>
      </c>
      <c r="C53" s="30">
        <v>3</v>
      </c>
      <c r="D53" s="14">
        <f t="shared" ref="D53:H56" si="3">IFERROR(D48/$C$15,"N/A")</f>
        <v>0.19699756404513738</v>
      </c>
      <c r="E53" s="14">
        <f t="shared" si="3"/>
        <v>0.38657422250653578</v>
      </c>
      <c r="F53" s="14">
        <f t="shared" si="3"/>
        <v>0.57984009063521524</v>
      </c>
      <c r="G53" s="14">
        <f t="shared" si="3"/>
        <v>0.77675719053359882</v>
      </c>
      <c r="H53" s="14">
        <f t="shared" si="3"/>
        <v>0.97728763433902943</v>
      </c>
    </row>
    <row r="54" spans="2:9" ht="14" customHeight="1" x14ac:dyDescent="0.3">
      <c r="B54" s="4" t="s">
        <v>156</v>
      </c>
      <c r="C54" s="30">
        <v>5</v>
      </c>
      <c r="D54" s="14">
        <f t="shared" si="3"/>
        <v>0.19584677361772623</v>
      </c>
      <c r="E54" s="14">
        <f t="shared" si="3"/>
        <v>0.38826929372967267</v>
      </c>
      <c r="F54" s="14">
        <f t="shared" si="3"/>
        <v>0.58822537461715096</v>
      </c>
      <c r="G54" s="14">
        <f t="shared" si="3"/>
        <v>0.79570140737669803</v>
      </c>
      <c r="H54" s="14">
        <f t="shared" si="3"/>
        <v>1.0106798933047545</v>
      </c>
    </row>
    <row r="55" spans="2:9" ht="14" customHeight="1" x14ac:dyDescent="0.3">
      <c r="B55" s="4" t="s">
        <v>157</v>
      </c>
      <c r="C55" s="30">
        <v>7</v>
      </c>
      <c r="D55" s="14">
        <f t="shared" si="3"/>
        <v>0.194604206155992</v>
      </c>
      <c r="E55" s="14">
        <f t="shared" si="3"/>
        <v>0.38987670302247929</v>
      </c>
      <c r="F55" s="14">
        <f t="shared" si="3"/>
        <v>0.59668243686989009</v>
      </c>
      <c r="G55" s="14">
        <f t="shared" si="3"/>
        <v>0.8150933282115469</v>
      </c>
      <c r="H55" s="14">
        <f t="shared" si="3"/>
        <v>1.045168662053537</v>
      </c>
    </row>
    <row r="56" spans="2:9" ht="14" customHeight="1" x14ac:dyDescent="0.3">
      <c r="B56" s="4" t="s">
        <v>158</v>
      </c>
      <c r="C56" s="30">
        <v>10</v>
      </c>
      <c r="D56" s="14">
        <f t="shared" si="3"/>
        <v>0.19256357109394273</v>
      </c>
      <c r="E56" s="14">
        <f t="shared" si="3"/>
        <v>0.3921162371740175</v>
      </c>
      <c r="F56" s="14">
        <f t="shared" si="3"/>
        <v>0.6094926337185067</v>
      </c>
      <c r="G56" s="14">
        <f t="shared" si="3"/>
        <v>0.84500364008044671</v>
      </c>
      <c r="H56" s="14">
        <f t="shared" si="3"/>
        <v>1.0989231508126518</v>
      </c>
    </row>
    <row r="58" spans="2:9" ht="14" customHeight="1" x14ac:dyDescent="0.3">
      <c r="B58" s="8" t="s">
        <v>162</v>
      </c>
      <c r="C58" s="9"/>
      <c r="D58" s="9"/>
      <c r="E58" s="9"/>
      <c r="F58" s="9"/>
      <c r="G58" s="9"/>
      <c r="H58" s="9"/>
      <c r="I58" s="9"/>
    </row>
    <row r="59" spans="2:9" ht="14" customHeight="1" x14ac:dyDescent="0.3">
      <c r="B59" s="1" t="s">
        <v>163</v>
      </c>
    </row>
    <row r="60" spans="2:9" ht="14" customHeight="1" x14ac:dyDescent="0.3">
      <c r="B60" s="4" t="s">
        <v>164</v>
      </c>
      <c r="C60" s="5">
        <f>F49</f>
        <v>201961.30012105263</v>
      </c>
    </row>
    <row r="62" spans="2:9" ht="14" customHeight="1" x14ac:dyDescent="0.3">
      <c r="B62" s="28" t="s">
        <v>165</v>
      </c>
      <c r="C62" s="28" t="s">
        <v>166</v>
      </c>
      <c r="D62" s="28" t="s">
        <v>167</v>
      </c>
    </row>
    <row r="63" spans="2:9" ht="14" customHeight="1" x14ac:dyDescent="0.3">
      <c r="B63" s="31">
        <v>4.7500000000000001E-2</v>
      </c>
      <c r="C63" s="5">
        <f>IFERROR($C$60/B63,"N/A")</f>
        <v>4251816.8446537396</v>
      </c>
      <c r="D63" s="14">
        <f>IFERROR(C63/'DCF Model'!C17,"N/A")</f>
        <v>1.1990320598813549</v>
      </c>
    </row>
    <row r="64" spans="2:9" ht="14" customHeight="1" x14ac:dyDescent="0.3">
      <c r="B64" s="31">
        <v>7.1300000000000002E-2</v>
      </c>
      <c r="C64" s="5">
        <f>IFERROR($C$60/B64,"N/A")</f>
        <v>2832556.8039418319</v>
      </c>
      <c r="D64" s="14">
        <f>IFERROR(C64/'DCF Model'!C17,"N/A")</f>
        <v>0.79879414928982262</v>
      </c>
    </row>
    <row r="65" spans="2:9" ht="14" customHeight="1" x14ac:dyDescent="0.3">
      <c r="B65" s="4" t="s">
        <v>168</v>
      </c>
      <c r="C65" s="5">
        <f>IFERROR($C$60/$C$18,"N/A")</f>
        <v>2123737.1276730066</v>
      </c>
      <c r="D65" s="14">
        <f>IFERROR(C65/'DCF Model'!C17,"N/A")</f>
        <v>0.59890371478305149</v>
      </c>
    </row>
    <row r="66" spans="2:9" ht="14" customHeight="1" x14ac:dyDescent="0.3">
      <c r="B66" s="31">
        <v>0.11890000000000001</v>
      </c>
      <c r="C66" s="5">
        <f>IFERROR($C$60/B66,"N/A")</f>
        <v>1698581.1616572971</v>
      </c>
      <c r="D66" s="14">
        <f>IFERROR(C66/'DCF Model'!C17,"N/A")</f>
        <v>0.47900776151694158</v>
      </c>
    </row>
    <row r="67" spans="2:9" ht="14" customHeight="1" x14ac:dyDescent="0.3">
      <c r="B67" s="31">
        <v>0.1426</v>
      </c>
      <c r="C67" s="5">
        <f>IFERROR($C$60/B67,"N/A")</f>
        <v>1416278.401970916</v>
      </c>
      <c r="D67" s="14">
        <f>IFERROR(C67/'DCF Model'!C17,"N/A")</f>
        <v>0.39939707464491131</v>
      </c>
    </row>
    <row r="69" spans="2:9" ht="14" customHeight="1" x14ac:dyDescent="0.3">
      <c r="B69" s="8" t="s">
        <v>169</v>
      </c>
      <c r="C69" s="9"/>
      <c r="D69" s="9"/>
      <c r="E69" s="9"/>
      <c r="F69" s="9"/>
      <c r="G69" s="9"/>
      <c r="H69" s="9"/>
      <c r="I69" s="9"/>
    </row>
    <row r="70" spans="2:9" ht="13.5" customHeight="1" x14ac:dyDescent="0.25">
      <c r="B70" s="6" t="s">
        <v>170</v>
      </c>
      <c r="C70" s="14">
        <f>IFERROR(C10/'Comps Analysis'!G5,"N/A")</f>
        <v>11.951247287013448</v>
      </c>
    </row>
    <row r="71" spans="2:9" ht="13.5" customHeight="1" x14ac:dyDescent="0.25">
      <c r="B71" s="6" t="s">
        <v>171</v>
      </c>
      <c r="C71" s="14">
        <f>IFERROR(C10/'Comps Analysis'!F5,"N/A")</f>
        <v>1.356032965266899</v>
      </c>
    </row>
    <row r="72" spans="2:9" ht="14" customHeight="1" x14ac:dyDescent="0.3">
      <c r="B72" s="4" t="s">
        <v>172</v>
      </c>
      <c r="C72" s="14">
        <f>IFERROR(C10/(C25+'DCF Model'!G42),"N/A")</f>
        <v>12.652032109984912</v>
      </c>
    </row>
    <row r="73" spans="2:9" ht="14" customHeight="1" x14ac:dyDescent="0.3">
      <c r="B73" s="4" t="s">
        <v>173</v>
      </c>
      <c r="C73" s="14">
        <f>IFERROR(C10/(C60+'DCF Model'!G42),"N/A")</f>
        <v>12.464056865593877</v>
      </c>
    </row>
    <row r="74" spans="2:9" ht="14" customHeight="1" x14ac:dyDescent="0.3">
      <c r="B74" s="4" t="s">
        <v>174</v>
      </c>
      <c r="C74" s="14">
        <f>IFERROR('Comps Analysis'!D16,"N/A")</f>
        <v>8.2741639417264086</v>
      </c>
    </row>
    <row r="75" spans="2:9" ht="14" customHeight="1" x14ac:dyDescent="0.3">
      <c r="B75" s="1" t="s">
        <v>175</v>
      </c>
    </row>
    <row r="77" spans="2:9" ht="14" customHeight="1" x14ac:dyDescent="0.3">
      <c r="B77" s="22" t="s">
        <v>176</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FY2024 cycle peak of "&amp;TEXT(C15,"#,##0")&amp;" mn - reached in 5 years and sustained for ever, against "&amp;TEXT(C14,"#,##0")&amp;" mn actually earned in FY2026."</f>
        <v>At 2,926 yen the market is paying for a steady-state operating profit of 201,961 mn JPY - 0.59x the FY2024 cycle peak of 343,340 mn - reached in 5 years and sustained for ever, against 230,043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196,229 mn, or 0.57x the peak. The base case supports an EV of only 5,172,284 mn, leaving -482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177</v>
      </c>
    </row>
    <row r="4" spans="2:8" ht="14" customHeight="1" x14ac:dyDescent="0.3">
      <c r="B4" s="8" t="s">
        <v>178</v>
      </c>
      <c r="C4" s="32" t="s">
        <v>179</v>
      </c>
      <c r="D4" s="32" t="s">
        <v>86</v>
      </c>
      <c r="E4" s="32" t="s">
        <v>87</v>
      </c>
      <c r="F4" s="32" t="s">
        <v>88</v>
      </c>
      <c r="G4" s="32" t="s">
        <v>89</v>
      </c>
      <c r="H4" s="32" t="s">
        <v>90</v>
      </c>
    </row>
    <row r="5" spans="2:8" ht="14" customHeight="1" x14ac:dyDescent="0.3">
      <c r="B5" s="33" t="s">
        <v>180</v>
      </c>
      <c r="C5" s="34">
        <f>C12/C9*365</f>
        <v>28.20256308373197</v>
      </c>
      <c r="D5" s="34">
        <f>CHOOSE('DCF Model'!$D$27,D25,D26,D27,D28,D29)</f>
        <v>32</v>
      </c>
      <c r="E5" s="34">
        <f>CHOOSE('DCF Model'!$D$27,E25,E26,E27,E28,E29)</f>
        <v>32</v>
      </c>
      <c r="F5" s="34">
        <f>CHOOSE('DCF Model'!$D$27,F25,F26,F27,F28,F29)</f>
        <v>32</v>
      </c>
      <c r="G5" s="34">
        <f>CHOOSE('DCF Model'!$D$27,G25,G26,G27,G28,G29)</f>
        <v>32</v>
      </c>
      <c r="H5" s="34">
        <f>CHOOSE('DCF Model'!$D$27,H25,H26,H27,H28,H29)</f>
        <v>32</v>
      </c>
    </row>
    <row r="6" spans="2:8" ht="14" customHeight="1" x14ac:dyDescent="0.3">
      <c r="B6" s="33" t="s">
        <v>181</v>
      </c>
      <c r="C6" s="34">
        <f>C13/C10*365</f>
        <v>35.614709357484536</v>
      </c>
      <c r="D6" s="34">
        <f>CHOOSE('DCF Model'!$D$27,D32,D33,D34,D35,D36)</f>
        <v>29</v>
      </c>
      <c r="E6" s="34">
        <f>CHOOSE('DCF Model'!$D$27,E32,E33,E34,E35,E36)</f>
        <v>29</v>
      </c>
      <c r="F6" s="34">
        <f>CHOOSE('DCF Model'!$D$27,F32,F33,F34,F35,F36)</f>
        <v>29</v>
      </c>
      <c r="G6" s="34">
        <f>CHOOSE('DCF Model'!$D$27,G32,G33,G34,G35,G36)</f>
        <v>29</v>
      </c>
      <c r="H6" s="34">
        <f>CHOOSE('DCF Model'!$D$27,H32,H33,H34,H35,H36)</f>
        <v>29</v>
      </c>
    </row>
    <row r="7" spans="2:8" ht="14" customHeight="1" x14ac:dyDescent="0.3">
      <c r="B7" s="33" t="s">
        <v>182</v>
      </c>
      <c r="C7" s="34">
        <f>C15/C10*365</f>
        <v>27.938917635052857</v>
      </c>
      <c r="D7" s="34">
        <f>CHOOSE('DCF Model'!$D$27,D39,D40,D41,D42,D43)</f>
        <v>28</v>
      </c>
      <c r="E7" s="34">
        <f>CHOOSE('DCF Model'!$D$27,E39,E40,E41,E42,E43)</f>
        <v>28</v>
      </c>
      <c r="F7" s="34">
        <f>CHOOSE('DCF Model'!$D$27,F39,F40,F41,F42,F43)</f>
        <v>28</v>
      </c>
      <c r="G7" s="34">
        <f>CHOOSE('DCF Model'!$D$27,G39,G40,G41,G42,G43)</f>
        <v>28</v>
      </c>
      <c r="H7" s="34">
        <f>CHOOSE('DCF Model'!$D$27,H39,H40,H41,H42,H43)</f>
        <v>28</v>
      </c>
    </row>
    <row r="8" spans="2:8" ht="14" customHeight="1" x14ac:dyDescent="0.3">
      <c r="B8" s="8" t="s">
        <v>183</v>
      </c>
      <c r="C8" s="9"/>
      <c r="D8" s="9"/>
      <c r="E8" s="9"/>
      <c r="F8" s="9"/>
      <c r="G8" s="9"/>
      <c r="H8" s="9"/>
    </row>
    <row r="9" spans="2:8" ht="14" customHeight="1" x14ac:dyDescent="0.3">
      <c r="B9" s="33" t="s">
        <v>37</v>
      </c>
      <c r="C9" s="35">
        <v>3546041</v>
      </c>
      <c r="D9" s="35">
        <f>'DCF Model'!C33</f>
        <v>3581501.41</v>
      </c>
      <c r="E9" s="35">
        <f>'DCF Model'!D33</f>
        <v>3635223.9311499996</v>
      </c>
      <c r="F9" s="35">
        <f>'DCF Model'!E33</f>
        <v>3689752.2901172494</v>
      </c>
      <c r="G9" s="35">
        <f>'DCF Model'!F33</f>
        <v>3745098.5744690076</v>
      </c>
      <c r="H9" s="35">
        <f>'DCF Model'!G33</f>
        <v>3782549.5602136976</v>
      </c>
    </row>
    <row r="10" spans="2:8" ht="14" customHeight="1" x14ac:dyDescent="0.3">
      <c r="B10" s="33" t="s">
        <v>38</v>
      </c>
      <c r="C10" s="35">
        <v>3315998</v>
      </c>
      <c r="D10" s="35">
        <f>'DCF Model'!C34</f>
        <v>3169628.7478500004</v>
      </c>
      <c r="E10" s="35">
        <f>'DCF Model'!D34</f>
        <v>3217173.1790677495</v>
      </c>
      <c r="F10" s="35">
        <f>'DCF Model'!E34</f>
        <v>3265430.7767537655</v>
      </c>
      <c r="G10" s="35">
        <f>'DCF Model'!F34</f>
        <v>3314412.2384050717</v>
      </c>
      <c r="H10" s="35">
        <f>'DCF Model'!G34</f>
        <v>3347556.3607891225</v>
      </c>
    </row>
    <row r="11" spans="2:8" ht="14" customHeight="1" x14ac:dyDescent="0.3">
      <c r="B11" s="8" t="s">
        <v>184</v>
      </c>
      <c r="C11" s="9"/>
      <c r="D11" s="9"/>
      <c r="E11" s="9"/>
      <c r="F11" s="9"/>
      <c r="G11" s="9"/>
      <c r="H11" s="9"/>
    </row>
    <row r="12" spans="2:8" ht="14" customHeight="1" x14ac:dyDescent="0.3">
      <c r="B12" s="33" t="s">
        <v>185</v>
      </c>
      <c r="C12" s="35">
        <v>273993</v>
      </c>
      <c r="D12" s="35">
        <f t="shared" ref="D12:H13" si="0">D9*D5/365</f>
        <v>313994.64416438359</v>
      </c>
      <c r="E12" s="35">
        <f t="shared" si="0"/>
        <v>318704.56382684928</v>
      </c>
      <c r="F12" s="35">
        <f t="shared" si="0"/>
        <v>323485.13228425197</v>
      </c>
      <c r="G12" s="35">
        <f t="shared" si="0"/>
        <v>328337.40926851571</v>
      </c>
      <c r="H12" s="35">
        <f t="shared" si="0"/>
        <v>331620.78336120088</v>
      </c>
    </row>
    <row r="13" spans="2:8" ht="14" customHeight="1" x14ac:dyDescent="0.3">
      <c r="B13" s="33" t="s">
        <v>186</v>
      </c>
      <c r="C13" s="35">
        <v>323557</v>
      </c>
      <c r="D13" s="35">
        <f t="shared" si="0"/>
        <v>251833.51695246578</v>
      </c>
      <c r="E13" s="35">
        <f t="shared" si="0"/>
        <v>255611.0197067527</v>
      </c>
      <c r="F13" s="35">
        <f t="shared" si="0"/>
        <v>259445.185002354</v>
      </c>
      <c r="G13" s="35">
        <f t="shared" si="0"/>
        <v>263336.86277738924</v>
      </c>
      <c r="H13" s="35">
        <f t="shared" si="0"/>
        <v>265970.23140516318</v>
      </c>
    </row>
    <row r="14" spans="2:8" ht="14" customHeight="1" x14ac:dyDescent="0.3">
      <c r="B14" s="33" t="s">
        <v>187</v>
      </c>
      <c r="C14" s="35">
        <f t="shared" ref="C14:H14" si="1">C12+C13</f>
        <v>597550</v>
      </c>
      <c r="D14" s="35">
        <f t="shared" si="1"/>
        <v>565828.1611168494</v>
      </c>
      <c r="E14" s="35">
        <f t="shared" si="1"/>
        <v>574315.58353360195</v>
      </c>
      <c r="F14" s="35">
        <f t="shared" si="1"/>
        <v>582930.31728660595</v>
      </c>
      <c r="G14" s="35">
        <f t="shared" si="1"/>
        <v>591674.272045905</v>
      </c>
      <c r="H14" s="35">
        <f t="shared" si="1"/>
        <v>597591.01476636413</v>
      </c>
    </row>
    <row r="15" spans="2:8" ht="14" customHeight="1" x14ac:dyDescent="0.3">
      <c r="B15" s="33" t="s">
        <v>188</v>
      </c>
      <c r="C15" s="35">
        <v>253823</v>
      </c>
      <c r="D15" s="35">
        <f>D10*D7/365</f>
        <v>243149.60257479455</v>
      </c>
      <c r="E15" s="35">
        <f>E10*E7/365</f>
        <v>246796.84661341639</v>
      </c>
      <c r="F15" s="35">
        <f>F10*F7/365</f>
        <v>250498.79931261763</v>
      </c>
      <c r="G15" s="35">
        <f>G10*G7/365</f>
        <v>254256.28130230686</v>
      </c>
      <c r="H15" s="35">
        <f>H10*H7/365</f>
        <v>256798.84411532994</v>
      </c>
    </row>
    <row r="16" spans="2:8" ht="14" customHeight="1" x14ac:dyDescent="0.3">
      <c r="B16" s="33" t="s">
        <v>189</v>
      </c>
      <c r="C16" s="35">
        <f t="shared" ref="C16:H16" si="2">C15</f>
        <v>253823</v>
      </c>
      <c r="D16" s="35">
        <f t="shared" si="2"/>
        <v>243149.60257479455</v>
      </c>
      <c r="E16" s="35">
        <f t="shared" si="2"/>
        <v>246796.84661341639</v>
      </c>
      <c r="F16" s="35">
        <f t="shared" si="2"/>
        <v>250498.79931261763</v>
      </c>
      <c r="G16" s="35">
        <f t="shared" si="2"/>
        <v>254256.28130230686</v>
      </c>
      <c r="H16" s="35">
        <f t="shared" si="2"/>
        <v>256798.84411532994</v>
      </c>
    </row>
    <row r="17" spans="2:8" ht="14" customHeight="1" x14ac:dyDescent="0.3">
      <c r="B17" s="22" t="s">
        <v>190</v>
      </c>
      <c r="C17" s="23"/>
      <c r="D17" s="23"/>
      <c r="E17" s="23"/>
      <c r="F17" s="23"/>
      <c r="G17" s="23"/>
      <c r="H17" s="23"/>
    </row>
    <row r="18" spans="2:8" ht="14" customHeight="1" x14ac:dyDescent="0.3">
      <c r="B18" s="33" t="s">
        <v>191</v>
      </c>
      <c r="C18" s="20">
        <f t="shared" ref="C18:H18" si="3">C14-C16</f>
        <v>343727</v>
      </c>
      <c r="D18" s="20">
        <f t="shared" si="3"/>
        <v>322678.55854205485</v>
      </c>
      <c r="E18" s="20">
        <f t="shared" si="3"/>
        <v>327518.73692018556</v>
      </c>
      <c r="F18" s="20">
        <f t="shared" si="3"/>
        <v>332431.51797398832</v>
      </c>
      <c r="G18" s="20">
        <f t="shared" si="3"/>
        <v>337417.99074359814</v>
      </c>
      <c r="H18" s="20">
        <f t="shared" si="3"/>
        <v>340792.17065103422</v>
      </c>
    </row>
    <row r="19" spans="2:8" ht="14" customHeight="1" x14ac:dyDescent="0.3">
      <c r="B19" s="33" t="s">
        <v>100</v>
      </c>
      <c r="C19" s="36" t="s">
        <v>47</v>
      </c>
      <c r="D19" s="24">
        <f>D18-C18</f>
        <v>-21048.441457945155</v>
      </c>
      <c r="E19" s="24">
        <f>E18-D18</f>
        <v>4840.1783781307167</v>
      </c>
      <c r="F19" s="24">
        <f>F18-E18</f>
        <v>4912.7810538027552</v>
      </c>
      <c r="G19" s="24">
        <f>G18-F18</f>
        <v>4986.4727696098271</v>
      </c>
      <c r="H19" s="24">
        <f>H18-G18</f>
        <v>3374.1799074360752</v>
      </c>
    </row>
    <row r="22" spans="2:8" ht="14" customHeight="1" x14ac:dyDescent="0.3">
      <c r="B22" s="22" t="s">
        <v>192</v>
      </c>
      <c r="C22" s="23"/>
      <c r="D22" s="23"/>
      <c r="E22" s="23"/>
      <c r="F22" s="23"/>
      <c r="G22" s="23"/>
      <c r="H22" s="23"/>
    </row>
    <row r="23" spans="2:8" ht="14" customHeight="1" x14ac:dyDescent="0.3">
      <c r="D23" s="25" t="s">
        <v>86</v>
      </c>
      <c r="E23" s="25" t="s">
        <v>87</v>
      </c>
      <c r="F23" s="25" t="s">
        <v>88</v>
      </c>
      <c r="G23" s="25" t="s">
        <v>89</v>
      </c>
      <c r="H23" s="25" t="s">
        <v>90</v>
      </c>
    </row>
    <row r="24" spans="2:8" ht="14" customHeight="1" x14ac:dyDescent="0.3">
      <c r="B24" s="3" t="s">
        <v>193</v>
      </c>
    </row>
    <row r="25" spans="2:8" ht="14" customHeight="1" x14ac:dyDescent="0.3">
      <c r="B25" s="4" t="s">
        <v>84</v>
      </c>
      <c r="D25" s="30">
        <v>32</v>
      </c>
      <c r="E25" s="30">
        <v>32</v>
      </c>
      <c r="F25" s="30">
        <v>32</v>
      </c>
      <c r="G25" s="30">
        <v>32</v>
      </c>
      <c r="H25" s="30">
        <v>32</v>
      </c>
    </row>
    <row r="26" spans="2:8" ht="14" customHeight="1" x14ac:dyDescent="0.3">
      <c r="B26" s="4" t="s">
        <v>121</v>
      </c>
      <c r="D26" s="30">
        <v>29</v>
      </c>
      <c r="E26" s="30">
        <v>29</v>
      </c>
      <c r="F26" s="30">
        <v>29</v>
      </c>
      <c r="G26" s="30">
        <v>29</v>
      </c>
      <c r="H26" s="30">
        <v>29</v>
      </c>
    </row>
    <row r="27" spans="2:8" ht="14" customHeight="1" x14ac:dyDescent="0.3">
      <c r="B27" s="4" t="s">
        <v>122</v>
      </c>
      <c r="D27" s="30">
        <v>32</v>
      </c>
      <c r="E27" s="30">
        <v>32</v>
      </c>
      <c r="F27" s="30">
        <v>32</v>
      </c>
      <c r="G27" s="30">
        <v>32</v>
      </c>
      <c r="H27" s="30">
        <v>32</v>
      </c>
    </row>
    <row r="28" spans="2:8" ht="14" customHeight="1" x14ac:dyDescent="0.3">
      <c r="B28" s="4" t="s">
        <v>123</v>
      </c>
      <c r="D28" s="30">
        <v>36</v>
      </c>
      <c r="E28" s="30">
        <v>36</v>
      </c>
      <c r="F28" s="30">
        <v>36</v>
      </c>
      <c r="G28" s="30">
        <v>36</v>
      </c>
      <c r="H28" s="30">
        <v>36</v>
      </c>
    </row>
    <row r="29" spans="2:8" ht="14" customHeight="1" x14ac:dyDescent="0.3">
      <c r="B29" s="4" t="s">
        <v>124</v>
      </c>
      <c r="D29" s="30">
        <v>40</v>
      </c>
      <c r="E29" s="30">
        <v>40</v>
      </c>
      <c r="F29" s="30">
        <v>40</v>
      </c>
      <c r="G29" s="30">
        <v>40</v>
      </c>
      <c r="H29" s="30">
        <v>40</v>
      </c>
    </row>
    <row r="31" spans="2:8" ht="14" customHeight="1" x14ac:dyDescent="0.3">
      <c r="B31" s="3" t="s">
        <v>194</v>
      </c>
    </row>
    <row r="32" spans="2:8" ht="14" customHeight="1" x14ac:dyDescent="0.3">
      <c r="B32" s="4" t="s">
        <v>84</v>
      </c>
      <c r="D32" s="30">
        <v>29</v>
      </c>
      <c r="E32" s="30">
        <v>29</v>
      </c>
      <c r="F32" s="30">
        <v>29</v>
      </c>
      <c r="G32" s="30">
        <v>29</v>
      </c>
      <c r="H32" s="30">
        <v>29</v>
      </c>
    </row>
    <row r="33" spans="2:8" ht="14" customHeight="1" x14ac:dyDescent="0.3">
      <c r="B33" s="4" t="s">
        <v>121</v>
      </c>
      <c r="D33" s="30">
        <v>23</v>
      </c>
      <c r="E33" s="30">
        <v>23</v>
      </c>
      <c r="F33" s="30">
        <v>23</v>
      </c>
      <c r="G33" s="30">
        <v>23</v>
      </c>
      <c r="H33" s="30">
        <v>23</v>
      </c>
    </row>
    <row r="34" spans="2:8" ht="14" customHeight="1" x14ac:dyDescent="0.3">
      <c r="B34" s="4" t="s">
        <v>122</v>
      </c>
      <c r="D34" s="30">
        <v>29</v>
      </c>
      <c r="E34" s="30">
        <v>29</v>
      </c>
      <c r="F34" s="30">
        <v>29</v>
      </c>
      <c r="G34" s="30">
        <v>29</v>
      </c>
      <c r="H34" s="30">
        <v>29</v>
      </c>
    </row>
    <row r="35" spans="2:8" ht="14" customHeight="1" x14ac:dyDescent="0.3">
      <c r="B35" s="4" t="s">
        <v>123</v>
      </c>
      <c r="D35" s="30">
        <v>36</v>
      </c>
      <c r="E35" s="30">
        <v>36</v>
      </c>
      <c r="F35" s="30">
        <v>36</v>
      </c>
      <c r="G35" s="30">
        <v>36</v>
      </c>
      <c r="H35" s="30">
        <v>36</v>
      </c>
    </row>
    <row r="36" spans="2:8" ht="14" customHeight="1" x14ac:dyDescent="0.3">
      <c r="B36" s="4" t="s">
        <v>124</v>
      </c>
      <c r="D36" s="30">
        <v>43</v>
      </c>
      <c r="E36" s="30">
        <v>43</v>
      </c>
      <c r="F36" s="30">
        <v>43</v>
      </c>
      <c r="G36" s="30">
        <v>43</v>
      </c>
      <c r="H36" s="30">
        <v>43</v>
      </c>
    </row>
    <row r="38" spans="2:8" ht="14" customHeight="1" x14ac:dyDescent="0.3">
      <c r="B38" s="3" t="s">
        <v>195</v>
      </c>
    </row>
    <row r="39" spans="2:8" ht="14" customHeight="1" x14ac:dyDescent="0.3">
      <c r="B39" s="4" t="s">
        <v>84</v>
      </c>
      <c r="D39" s="30">
        <v>28</v>
      </c>
      <c r="E39" s="30">
        <v>28</v>
      </c>
      <c r="F39" s="30">
        <v>28</v>
      </c>
      <c r="G39" s="30">
        <v>28</v>
      </c>
      <c r="H39" s="30">
        <v>28</v>
      </c>
    </row>
    <row r="40" spans="2:8" ht="14" customHeight="1" x14ac:dyDescent="0.3">
      <c r="B40" s="4" t="s">
        <v>121</v>
      </c>
      <c r="D40" s="30">
        <v>30</v>
      </c>
      <c r="E40" s="30">
        <v>30</v>
      </c>
      <c r="F40" s="30">
        <v>30</v>
      </c>
      <c r="G40" s="30">
        <v>30</v>
      </c>
      <c r="H40" s="30">
        <v>30</v>
      </c>
    </row>
    <row r="41" spans="2:8" ht="14" customHeight="1" x14ac:dyDescent="0.3">
      <c r="B41" s="4" t="s">
        <v>122</v>
      </c>
      <c r="D41" s="30">
        <v>28</v>
      </c>
      <c r="E41" s="30">
        <v>28</v>
      </c>
      <c r="F41" s="30">
        <v>28</v>
      </c>
      <c r="G41" s="30">
        <v>28</v>
      </c>
      <c r="H41" s="30">
        <v>28</v>
      </c>
    </row>
    <row r="42" spans="2:8" ht="14" customHeight="1" x14ac:dyDescent="0.3">
      <c r="B42" s="4" t="s">
        <v>123</v>
      </c>
      <c r="D42" s="30">
        <v>25</v>
      </c>
      <c r="E42" s="30">
        <v>25</v>
      </c>
      <c r="F42" s="30">
        <v>25</v>
      </c>
      <c r="G42" s="30">
        <v>25</v>
      </c>
      <c r="H42" s="30">
        <v>25</v>
      </c>
    </row>
    <row r="43" spans="2:8" ht="14" customHeight="1" x14ac:dyDescent="0.3">
      <c r="B43" s="4" t="s">
        <v>124</v>
      </c>
      <c r="D43" s="30">
        <v>22</v>
      </c>
      <c r="E43" s="30">
        <v>22</v>
      </c>
      <c r="F43" s="30">
        <v>22</v>
      </c>
      <c r="G43" s="30">
        <v>22</v>
      </c>
      <c r="H43" s="30">
        <v>22</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196</v>
      </c>
    </row>
    <row r="3" spans="2:17" ht="14" customHeight="1" x14ac:dyDescent="0.3">
      <c r="B3" s="1" t="s">
        <v>197</v>
      </c>
    </row>
    <row r="4" spans="2:17" ht="28" customHeight="1"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customHeight="1" x14ac:dyDescent="0.3">
      <c r="B5" s="4" t="s">
        <v>212</v>
      </c>
      <c r="C5" t="s">
        <v>213</v>
      </c>
      <c r="D5" s="37">
        <f>'Executive Summary'!C9*C23/1000000</f>
        <v>2210281.4921880001</v>
      </c>
      <c r="E5" s="37">
        <f>D5+C24</f>
        <v>4808548.4921880001</v>
      </c>
      <c r="F5" s="37">
        <v>3546041</v>
      </c>
      <c r="G5" s="37">
        <v>402347</v>
      </c>
      <c r="H5" s="37">
        <v>230043</v>
      </c>
      <c r="I5" s="37">
        <v>227795</v>
      </c>
      <c r="J5" s="38">
        <f t="shared" ref="J5:J10" si="0">IFERROR(E5/G5,"")</f>
        <v>11.951247287013448</v>
      </c>
      <c r="K5" s="38">
        <f t="shared" ref="K5:K10" si="1">IFERROR(E5/F5,"")</f>
        <v>1.356032965266899</v>
      </c>
      <c r="L5" s="38">
        <f>IFERROR(D5/I5,"")</f>
        <v>9.7029412067341259</v>
      </c>
      <c r="M5" s="38">
        <f t="shared" ref="M5:M10" si="2">IFERROR(D5/P5,"")</f>
        <v>0.70430248271269147</v>
      </c>
      <c r="N5" s="39">
        <f t="shared" ref="N5:N10" si="3">IFERROR(H5/F5,"")</f>
        <v>6.4873192385536432E-2</v>
      </c>
      <c r="O5" s="39">
        <f t="shared" ref="O5:O10" si="4">IFERROR(I5/P5,"")</f>
        <v>7.2586493899796573E-2</v>
      </c>
      <c r="P5" s="37">
        <v>3138256</v>
      </c>
    </row>
    <row r="6" spans="2:17" ht="14" customHeight="1" x14ac:dyDescent="0.3">
      <c r="B6" s="4" t="s">
        <v>214</v>
      </c>
      <c r="C6" t="s">
        <v>215</v>
      </c>
      <c r="D6" s="37">
        <v>889500</v>
      </c>
      <c r="E6" s="37">
        <v>6299555</v>
      </c>
      <c r="F6" s="37">
        <v>6328574</v>
      </c>
      <c r="G6" s="37">
        <v>726728</v>
      </c>
      <c r="H6" s="37">
        <v>337691</v>
      </c>
      <c r="I6" s="37">
        <v>-454263</v>
      </c>
      <c r="J6" s="38">
        <f t="shared" si="0"/>
        <v>8.6683807421758896</v>
      </c>
      <c r="K6" s="38">
        <f t="shared" si="1"/>
        <v>0.9954146068292794</v>
      </c>
      <c r="L6" s="40" t="s">
        <v>216</v>
      </c>
      <c r="M6" s="38">
        <f t="shared" si="2"/>
        <v>0.26241693817993866</v>
      </c>
      <c r="N6" s="39">
        <f t="shared" si="3"/>
        <v>5.335973001184785E-2</v>
      </c>
      <c r="O6" s="39">
        <f t="shared" si="4"/>
        <v>-0.13401495850301684</v>
      </c>
      <c r="P6" s="37">
        <v>3389644</v>
      </c>
    </row>
    <row r="7" spans="2:17" ht="14" customHeight="1" x14ac:dyDescent="0.3">
      <c r="B7" s="4" t="s">
        <v>217</v>
      </c>
      <c r="C7" t="s">
        <v>218</v>
      </c>
      <c r="D7" s="37">
        <v>3283125</v>
      </c>
      <c r="E7" s="37">
        <v>6220549</v>
      </c>
      <c r="F7" s="37">
        <v>4056637</v>
      </c>
      <c r="G7" s="37">
        <v>812350</v>
      </c>
      <c r="H7" s="37">
        <v>437557</v>
      </c>
      <c r="I7" s="37">
        <v>380051</v>
      </c>
      <c r="J7" s="38">
        <f t="shared" si="0"/>
        <v>7.6574739951991138</v>
      </c>
      <c r="K7" s="38">
        <f t="shared" si="1"/>
        <v>1.5334251006437105</v>
      </c>
      <c r="L7" s="38">
        <f>IFERROR(D7/I7,"")</f>
        <v>8.6386432347237605</v>
      </c>
      <c r="M7" s="38">
        <f t="shared" si="2"/>
        <v>0.95020650214027091</v>
      </c>
      <c r="N7" s="39">
        <f t="shared" si="3"/>
        <v>0.10786200490702028</v>
      </c>
      <c r="O7" s="39">
        <f t="shared" si="4"/>
        <v>0.1099948772419302</v>
      </c>
      <c r="P7" s="37">
        <v>3455170</v>
      </c>
    </row>
    <row r="8" spans="2:17" ht="14" customHeight="1" x14ac:dyDescent="0.3">
      <c r="B8" s="4" t="s">
        <v>219</v>
      </c>
      <c r="C8" t="s">
        <v>220</v>
      </c>
      <c r="D8" s="37">
        <v>1020492</v>
      </c>
      <c r="E8" s="37">
        <v>3905335</v>
      </c>
      <c r="F8" s="37">
        <v>2247213</v>
      </c>
      <c r="G8" s="37">
        <v>475087</v>
      </c>
      <c r="H8" s="37">
        <v>224854</v>
      </c>
      <c r="I8" s="37">
        <v>154535</v>
      </c>
      <c r="J8" s="38">
        <f t="shared" si="0"/>
        <v>8.2202522906330842</v>
      </c>
      <c r="K8" s="38">
        <f t="shared" si="1"/>
        <v>1.7378570700685694</v>
      </c>
      <c r="L8" s="38">
        <f>IFERROR(D8/I8,"")</f>
        <v>6.6036302455754363</v>
      </c>
      <c r="M8" s="38">
        <f t="shared" si="2"/>
        <v>0.85554828038058572</v>
      </c>
      <c r="N8" s="39">
        <f t="shared" si="3"/>
        <v>0.10005905092218673</v>
      </c>
      <c r="O8" s="39">
        <f t="shared" si="4"/>
        <v>0.12955726601346587</v>
      </c>
      <c r="P8" s="37">
        <v>1192793</v>
      </c>
    </row>
    <row r="9" spans="2:17" ht="14" customHeight="1" x14ac:dyDescent="0.3">
      <c r="B9" s="4" t="s">
        <v>221</v>
      </c>
      <c r="C9" t="s">
        <v>222</v>
      </c>
      <c r="D9" s="37">
        <v>684838</v>
      </c>
      <c r="E9" s="37">
        <v>3195871</v>
      </c>
      <c r="F9" s="37">
        <v>2372420</v>
      </c>
      <c r="G9" s="37">
        <v>386247</v>
      </c>
      <c r="H9" s="37">
        <v>160381</v>
      </c>
      <c r="I9" s="37">
        <v>84975</v>
      </c>
      <c r="J9" s="38">
        <f t="shared" si="0"/>
        <v>8.2741639417264086</v>
      </c>
      <c r="K9" s="38">
        <f t="shared" si="1"/>
        <v>1.3470932634187875</v>
      </c>
      <c r="L9" s="38">
        <f>IFERROR(D9/I9,"")</f>
        <v>8.059288025889968</v>
      </c>
      <c r="M9" s="38">
        <f t="shared" si="2"/>
        <v>0.6162278116758253</v>
      </c>
      <c r="N9" s="39">
        <f t="shared" si="3"/>
        <v>6.760227952891984E-2</v>
      </c>
      <c r="O9" s="39">
        <f t="shared" si="4"/>
        <v>7.6461817681193589E-2</v>
      </c>
      <c r="P9" s="37">
        <v>1111339</v>
      </c>
    </row>
    <row r="10" spans="2:17" ht="14" customHeight="1" x14ac:dyDescent="0.3">
      <c r="B10" s="4" t="s">
        <v>223</v>
      </c>
      <c r="C10" t="s">
        <v>224</v>
      </c>
      <c r="D10" s="37">
        <v>427128</v>
      </c>
      <c r="E10" s="37">
        <v>1219821</v>
      </c>
      <c r="F10" s="37">
        <v>761861</v>
      </c>
      <c r="G10" s="37">
        <v>131282</v>
      </c>
      <c r="H10" s="37">
        <v>67848</v>
      </c>
      <c r="I10" s="37">
        <v>50809</v>
      </c>
      <c r="J10" s="38">
        <f t="shared" si="0"/>
        <v>9.2916089029722269</v>
      </c>
      <c r="K10" s="38">
        <f t="shared" si="1"/>
        <v>1.6011070260848108</v>
      </c>
      <c r="L10" s="38">
        <f>IFERROR(D10/I10,"")</f>
        <v>8.4065421480446378</v>
      </c>
      <c r="M10" s="38">
        <f t="shared" si="2"/>
        <v>0.9000733329399766</v>
      </c>
      <c r="N10" s="39">
        <f t="shared" si="3"/>
        <v>8.9055615131894139E-2</v>
      </c>
      <c r="O10" s="39">
        <f t="shared" si="4"/>
        <v>0.10706819963417821</v>
      </c>
      <c r="P10" s="37">
        <v>474548</v>
      </c>
    </row>
    <row r="14" spans="2:17" ht="14" customHeight="1" x14ac:dyDescent="0.3">
      <c r="B14" s="3" t="s">
        <v>225</v>
      </c>
    </row>
    <row r="15" spans="2:17" ht="14" customHeight="1" x14ac:dyDescent="0.3">
      <c r="B15" s="4" t="s">
        <v>226</v>
      </c>
      <c r="D15" s="38">
        <f t="shared" ref="D15:I15" si="5">PERCENTILE(J6:J10,0.25)</f>
        <v>8.2202522906330842</v>
      </c>
      <c r="E15" s="38">
        <f t="shared" si="5"/>
        <v>1.3470932634187875</v>
      </c>
      <c r="F15" s="38">
        <f t="shared" si="5"/>
        <v>7.695373580811335</v>
      </c>
      <c r="G15" s="38">
        <f t="shared" si="5"/>
        <v>0.6162278116758253</v>
      </c>
      <c r="H15" s="39">
        <f t="shared" si="5"/>
        <v>6.760227952891984E-2</v>
      </c>
      <c r="I15" s="39">
        <f t="shared" si="5"/>
        <v>7.6461817681193589E-2</v>
      </c>
    </row>
    <row r="16" spans="2:17" ht="14" customHeight="1" x14ac:dyDescent="0.3">
      <c r="B16" s="4" t="s">
        <v>227</v>
      </c>
      <c r="D16" s="38">
        <f t="shared" ref="D16:I16" si="6">MEDIAN(J6:J10)</f>
        <v>8.2741639417264086</v>
      </c>
      <c r="E16" s="38">
        <f t="shared" si="6"/>
        <v>1.5334251006437105</v>
      </c>
      <c r="F16" s="38">
        <f t="shared" si="6"/>
        <v>8.2329150869673029</v>
      </c>
      <c r="G16" s="38">
        <f t="shared" si="6"/>
        <v>0.85554828038058572</v>
      </c>
      <c r="H16" s="39">
        <f t="shared" si="6"/>
        <v>8.9055615131894139E-2</v>
      </c>
      <c r="I16" s="39">
        <f t="shared" si="6"/>
        <v>0.10706819963417821</v>
      </c>
    </row>
    <row r="17" spans="2:9" ht="14" customHeight="1" x14ac:dyDescent="0.3">
      <c r="B17" s="4" t="s">
        <v>228</v>
      </c>
      <c r="D17" s="38">
        <f t="shared" ref="D17:I17" si="7">PERCENTILE(J6:J10,0.75)</f>
        <v>8.6683807421758896</v>
      </c>
      <c r="E17" s="38">
        <f t="shared" si="7"/>
        <v>1.6011070260848108</v>
      </c>
      <c r="F17" s="38">
        <f t="shared" si="7"/>
        <v>8.4645674197144185</v>
      </c>
      <c r="G17" s="38">
        <f t="shared" si="7"/>
        <v>0.9000733329399766</v>
      </c>
      <c r="H17" s="39">
        <f t="shared" si="7"/>
        <v>0.10005905092218673</v>
      </c>
      <c r="I17" s="39">
        <f t="shared" si="7"/>
        <v>0.1099948772419302</v>
      </c>
    </row>
    <row r="19" spans="2:9" ht="14" customHeight="1" x14ac:dyDescent="0.3">
      <c r="B19" s="22" t="s">
        <v>229</v>
      </c>
      <c r="C19" s="23"/>
      <c r="D19" s="23"/>
      <c r="E19" s="23"/>
      <c r="F19" s="23"/>
      <c r="G19" s="23"/>
      <c r="H19" s="23"/>
      <c r="I19" s="23"/>
    </row>
    <row r="20" spans="2:9" ht="14" customHeight="1" x14ac:dyDescent="0.3">
      <c r="B20" s="3" t="s">
        <v>230</v>
      </c>
    </row>
    <row r="21" spans="2:9" ht="14" customHeight="1" x14ac:dyDescent="0.3">
      <c r="B21" s="4" t="s">
        <v>231</v>
      </c>
      <c r="C21" s="5">
        <v>402347</v>
      </c>
    </row>
    <row r="22" spans="2:9" ht="14" customHeight="1" x14ac:dyDescent="0.3">
      <c r="B22" s="4" t="s">
        <v>232</v>
      </c>
      <c r="C22" s="5">
        <v>227795</v>
      </c>
    </row>
    <row r="23" spans="2:9" ht="14" customHeight="1" x14ac:dyDescent="0.3">
      <c r="B23" s="4" t="s">
        <v>233</v>
      </c>
      <c r="C23" s="15">
        <v>755393538</v>
      </c>
    </row>
    <row r="24" spans="2:9" ht="14" customHeight="1" x14ac:dyDescent="0.3">
      <c r="B24" s="4" t="s">
        <v>73</v>
      </c>
      <c r="C24" s="5">
        <v>2598267</v>
      </c>
    </row>
    <row r="26" spans="2:9" ht="14" customHeight="1" x14ac:dyDescent="0.3">
      <c r="B26" s="3" t="s">
        <v>234</v>
      </c>
    </row>
    <row r="27" spans="2:9" ht="14" customHeight="1" x14ac:dyDescent="0.3">
      <c r="B27" s="4" t="s">
        <v>235</v>
      </c>
      <c r="C27" s="24">
        <f>ROUND((C21*D16-C24)*1000000/C23,0)</f>
        <v>967</v>
      </c>
    </row>
    <row r="28" spans="2:9" ht="14" customHeight="1" x14ac:dyDescent="0.3">
      <c r="B28" s="4" t="s">
        <v>236</v>
      </c>
      <c r="C28" s="24">
        <f>ROUND(C22*F16*1000000/C23,0)</f>
        <v>2483</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237</v>
      </c>
    </row>
    <row r="3" spans="2:9" ht="14" customHeight="1" x14ac:dyDescent="0.3">
      <c r="B3" s="4" t="s">
        <v>238</v>
      </c>
      <c r="C3" s="16">
        <f>'DCF Model'!C26</f>
        <v>4.0606343369340381E-2</v>
      </c>
      <c r="E3" s="4" t="s">
        <v>239</v>
      </c>
      <c r="F3" s="16">
        <f>'DCF Model'!C13</f>
        <v>0.01</v>
      </c>
      <c r="H3" s="4" t="s">
        <v>240</v>
      </c>
      <c r="I3" s="14">
        <f>'DCF Model'!C14</f>
        <v>8.3000000000000007</v>
      </c>
    </row>
    <row r="5" spans="2:9" ht="14" customHeight="1" x14ac:dyDescent="0.3">
      <c r="B5" s="3" t="s">
        <v>241</v>
      </c>
    </row>
    <row r="6" spans="2:9" ht="14" customHeight="1" x14ac:dyDescent="0.3">
      <c r="B6" s="41" t="s">
        <v>242</v>
      </c>
      <c r="C6" s="42">
        <f>$F$3-0.0075</f>
        <v>2.5000000000000005E-3</v>
      </c>
      <c r="D6" s="42">
        <f>$F$3-0.005</f>
        <v>5.0000000000000001E-3</v>
      </c>
      <c r="E6" s="42">
        <f>$F$3-0.0025</f>
        <v>7.4999999999999997E-3</v>
      </c>
      <c r="F6" s="42">
        <f>$F$3</f>
        <v>0.01</v>
      </c>
      <c r="G6" s="42">
        <f>$F$3+0.0025</f>
        <v>1.2500000000000001E-2</v>
      </c>
      <c r="H6" s="42">
        <f>$F$3+0.005</f>
        <v>1.4999999999999999E-2</v>
      </c>
      <c r="I6" s="42">
        <f>$F$3+0.0075</f>
        <v>1.7500000000000002E-2</v>
      </c>
    </row>
    <row r="7" spans="2:9" ht="13.5" customHeight="1" x14ac:dyDescent="0.25">
      <c r="B7" s="39">
        <f>$C$3-0.015</f>
        <v>2.5606343369340381E-2</v>
      </c>
      <c r="C7" s="37">
        <f>IFERROR(ROUND(('DCF Model'!C45/(1+$B7)^('DCF Model'!C19+0)+'DCF Model'!D45/(1+$B7)^('DCF Model'!C19+1)+'DCF Model'!E45/(1+$B7)^('DCF Model'!C19+2)+'DCF Model'!F45/(1+$B7)^('DCF Model'!C19+3)+'DCF Model'!G45/(1+$B7)^('DCF Model'!C19+4)+'DCF Model'!G45*(1+C$6)/($B7-C$6)/(1+$B7)^('DCF Model'!C19+4)-'DCF Model'!C16)*1000000/'DCF Model'!C15,0),"")</f>
        <v>6003</v>
      </c>
      <c r="D7" s="37">
        <f>IFERROR(ROUND(('DCF Model'!C45/(1+$B7)^('DCF Model'!C19+0)+'DCF Model'!D45/(1+$B7)^('DCF Model'!C19+1)+'DCF Model'!E45/(1+$B7)^('DCF Model'!C19+2)+'DCF Model'!F45/(1+$B7)^('DCF Model'!C19+3)+'DCF Model'!G45/(1+$B7)^('DCF Model'!C19+4)+'DCF Model'!G45*(1+D$6)/($B7-D$6)/(1+$B7)^('DCF Model'!C19+4)-'DCF Model'!C16)*1000000/'DCF Model'!C15,0),"")</f>
        <v>7090</v>
      </c>
      <c r="E7" s="37">
        <f>IFERROR(ROUND(('DCF Model'!C45/(1+$B7)^('DCF Model'!C19+0)+'DCF Model'!D45/(1+$B7)^('DCF Model'!C19+1)+'DCF Model'!E45/(1+$B7)^('DCF Model'!C19+2)+'DCF Model'!F45/(1+$B7)^('DCF Model'!C19+3)+'DCF Model'!G45/(1+$B7)^('DCF Model'!C19+4)+'DCF Model'!G45*(1+E$6)/($B7-E$6)/(1+$B7)^('DCF Model'!C19+4)-'DCF Model'!C16)*1000000/'DCF Model'!C15,0),"")</f>
        <v>8477</v>
      </c>
      <c r="F7" s="37">
        <f>IFERROR(ROUND(('DCF Model'!C45/(1+$B7)^('DCF Model'!C19+0)+'DCF Model'!D45/(1+$B7)^('DCF Model'!C19+1)+'DCF Model'!E45/(1+$B7)^('DCF Model'!C19+2)+'DCF Model'!F45/(1+$B7)^('DCF Model'!C19+3)+'DCF Model'!G45/(1+$B7)^('DCF Model'!C19+4)+'DCF Model'!G45*(1+F$6)/($B7-F$6)/(1+$B7)^('DCF Model'!C19+4)-'DCF Model'!C16)*1000000/'DCF Model'!C15,0),"")</f>
        <v>10308</v>
      </c>
      <c r="G7" s="37">
        <f>IFERROR(ROUND(('DCF Model'!C45/(1+$B7)^('DCF Model'!C19+0)+'DCF Model'!D45/(1+$B7)^('DCF Model'!C19+1)+'DCF Model'!E45/(1+$B7)^('DCF Model'!C19+2)+'DCF Model'!F45/(1+$B7)^('DCF Model'!C19+3)+'DCF Model'!G45/(1+$B7)^('DCF Model'!C19+4)+'DCF Model'!G45*(1+G$6)/($B7-G$6)/(1+$B7)^('DCF Model'!C19+4)-'DCF Model'!C16)*1000000/'DCF Model'!C15,0),"")</f>
        <v>12838</v>
      </c>
      <c r="H7" s="37">
        <f>IFERROR(ROUND(('DCF Model'!C45/(1+$B7)^('DCF Model'!C19+0)+'DCF Model'!D45/(1+$B7)^('DCF Model'!C19+1)+'DCF Model'!E45/(1+$B7)^('DCF Model'!C19+2)+'DCF Model'!F45/(1+$B7)^('DCF Model'!C19+3)+'DCF Model'!G45/(1+$B7)^('DCF Model'!C19+4)+'DCF Model'!G45*(1+H$6)/($B7-H$6)/(1+$B7)^('DCF Model'!C19+4)-'DCF Model'!C16)*1000000/'DCF Model'!C15,0),"")</f>
        <v>16560</v>
      </c>
      <c r="I7" s="37">
        <f>IFERROR(ROUND(('DCF Model'!C45/(1+$B7)^('DCF Model'!C19+0)+'DCF Model'!D45/(1+$B7)^('DCF Model'!C19+1)+'DCF Model'!E45/(1+$B7)^('DCF Model'!C19+2)+'DCF Model'!F45/(1+$B7)^('DCF Model'!C19+3)+'DCF Model'!G45/(1+$B7)^('DCF Model'!C19+4)+'DCF Model'!G45*(1+I$6)/($B7-I$6)/(1+$B7)^('DCF Model'!C19+4)-'DCF Model'!C16)*1000000/'DCF Model'!C15,0),"")</f>
        <v>22579</v>
      </c>
    </row>
    <row r="8" spans="2:9" ht="13.5" customHeight="1" x14ac:dyDescent="0.25">
      <c r="B8" s="39">
        <f>$C$3-0.01</f>
        <v>3.0606343369340379E-2</v>
      </c>
      <c r="C8" s="37">
        <f>IFERROR(ROUND(('DCF Model'!C45/(1+$B8)^('DCF Model'!C19+0)+'DCF Model'!D45/(1+$B8)^('DCF Model'!C19+1)+'DCF Model'!E45/(1+$B8)^('DCF Model'!C19+2)+'DCF Model'!F45/(1+$B8)^('DCF Model'!C19+3)+'DCF Model'!G45/(1+$B8)^('DCF Model'!C19+4)+'DCF Model'!G45*(1+C$6)/($B8-C$6)/(1+$B8)^('DCF Model'!C19+4)-'DCF Model'!C16)*1000000/'DCF Model'!C15,0),"")</f>
        <v>4261</v>
      </c>
      <c r="D8" s="37">
        <f>IFERROR(ROUND(('DCF Model'!C45/(1+$B8)^('DCF Model'!C19+0)+'DCF Model'!D45/(1+$B8)^('DCF Model'!C19+1)+'DCF Model'!E45/(1+$B8)^('DCF Model'!C19+2)+'DCF Model'!F45/(1+$B8)^('DCF Model'!C19+3)+'DCF Model'!G45/(1+$B8)^('DCF Model'!C19+4)+'DCF Model'!G45*(1+D$6)/($B8-D$6)/(1+$B8)^('DCF Model'!C19+4)-'DCF Model'!C16)*1000000/'DCF Model'!C15,0),"")</f>
        <v>4967</v>
      </c>
      <c r="E8" s="37">
        <f>IFERROR(ROUND(('DCF Model'!C45/(1+$B8)^('DCF Model'!C19+0)+'DCF Model'!D45/(1+$B8)^('DCF Model'!C19+1)+'DCF Model'!E45/(1+$B8)^('DCF Model'!C19+2)+'DCF Model'!F45/(1+$B8)^('DCF Model'!C19+3)+'DCF Model'!G45/(1+$B8)^('DCF Model'!C19+4)+'DCF Model'!G45*(1+E$6)/($B8-E$6)/(1+$B8)^('DCF Model'!C19+4)-'DCF Model'!C16)*1000000/'DCF Model'!C15,0),"")</f>
        <v>5824</v>
      </c>
      <c r="F8" s="37">
        <f>IFERROR(ROUND(('DCF Model'!C45/(1+$B8)^('DCF Model'!C19+0)+'DCF Model'!D45/(1+$B8)^('DCF Model'!C19+1)+'DCF Model'!E45/(1+$B8)^('DCF Model'!C19+2)+'DCF Model'!F45/(1+$B8)^('DCF Model'!C19+3)+'DCF Model'!G45/(1+$B8)^('DCF Model'!C19+4)+'DCF Model'!G45*(1+F$6)/($B8-F$6)/(1+$B8)^('DCF Model'!C19+4)-'DCF Model'!C16)*1000000/'DCF Model'!C15,0),"")</f>
        <v>6890</v>
      </c>
      <c r="G8" s="37">
        <f>IFERROR(ROUND(('DCF Model'!C45/(1+$B8)^('DCF Model'!C19+0)+'DCF Model'!D45/(1+$B8)^('DCF Model'!C19+1)+'DCF Model'!E45/(1+$B8)^('DCF Model'!C19+2)+'DCF Model'!F45/(1+$B8)^('DCF Model'!C19+3)+'DCF Model'!G45/(1+$B8)^('DCF Model'!C19+4)+'DCF Model'!G45*(1+G$6)/($B8-G$6)/(1+$B8)^('DCF Model'!C19+4)-'DCF Model'!C16)*1000000/'DCF Model'!C15,0),"")</f>
        <v>8250</v>
      </c>
      <c r="H8" s="37">
        <f>IFERROR(ROUND(('DCF Model'!C45/(1+$B8)^('DCF Model'!C19+0)+'DCF Model'!D45/(1+$B8)^('DCF Model'!C19+1)+'DCF Model'!E45/(1+$B8)^('DCF Model'!C19+2)+'DCF Model'!F45/(1+$B8)^('DCF Model'!C19+3)+'DCF Model'!G45/(1+$B8)^('DCF Model'!C19+4)+'DCF Model'!G45*(1+H$6)/($B8-H$6)/(1+$B8)^('DCF Model'!C19+4)-'DCF Model'!C16)*1000000/'DCF Model'!C15,0),"")</f>
        <v>10046</v>
      </c>
      <c r="I8" s="37">
        <f>IFERROR(ROUND(('DCF Model'!C45/(1+$B8)^('DCF Model'!C19+0)+'DCF Model'!D45/(1+$B8)^('DCF Model'!C19+1)+'DCF Model'!E45/(1+$B8)^('DCF Model'!C19+2)+'DCF Model'!F45/(1+$B8)^('DCF Model'!C19+3)+'DCF Model'!G45/(1+$B8)^('DCF Model'!C19+4)+'DCF Model'!G45*(1+I$6)/($B8-I$6)/(1+$B8)^('DCF Model'!C19+4)-'DCF Model'!C16)*1000000/'DCF Model'!C15,0),"")</f>
        <v>12527</v>
      </c>
    </row>
    <row r="9" spans="2:9" ht="13.5" customHeight="1" x14ac:dyDescent="0.25">
      <c r="B9" s="39">
        <f>$C$3-0.005</f>
        <v>3.5606343369340383E-2</v>
      </c>
      <c r="C9" s="37">
        <f>IFERROR(ROUND(('DCF Model'!C45/(1+$B9)^('DCF Model'!C19+0)+'DCF Model'!D45/(1+$B9)^('DCF Model'!C19+1)+'DCF Model'!E45/(1+$B9)^('DCF Model'!C19+2)+'DCF Model'!F45/(1+$B9)^('DCF Model'!C19+3)+'DCF Model'!G45/(1+$B9)^('DCF Model'!C19+4)+'DCF Model'!G45*(1+C$6)/($B9-C$6)/(1+$B9)^('DCF Model'!C19+4)-'DCF Model'!C16)*1000000/'DCF Model'!C15,0),"")</f>
        <v>3047</v>
      </c>
      <c r="D9" s="37">
        <f>IFERROR(ROUND(('DCF Model'!C45/(1+$B9)^('DCF Model'!C19+0)+'DCF Model'!D45/(1+$B9)^('DCF Model'!C19+1)+'DCF Model'!E45/(1+$B9)^('DCF Model'!C19+2)+'DCF Model'!F45/(1+$B9)^('DCF Model'!C19+3)+'DCF Model'!G45/(1+$B9)^('DCF Model'!C19+4)+'DCF Model'!G45*(1+D$6)/($B9-D$6)/(1+$B9)^('DCF Model'!C19+4)-'DCF Model'!C16)*1000000/'DCF Model'!C15,0),"")</f>
        <v>3538</v>
      </c>
      <c r="E9" s="37">
        <f>IFERROR(ROUND(('DCF Model'!C45/(1+$B9)^('DCF Model'!C19+0)+'DCF Model'!D45/(1+$B9)^('DCF Model'!C19+1)+'DCF Model'!E45/(1+$B9)^('DCF Model'!C19+2)+'DCF Model'!F45/(1+$B9)^('DCF Model'!C19+3)+'DCF Model'!G45/(1+$B9)^('DCF Model'!C19+4)+'DCF Model'!G45*(1+E$6)/($B9-E$6)/(1+$B9)^('DCF Model'!C19+4)-'DCF Model'!C16)*1000000/'DCF Model'!C15,0),"")</f>
        <v>4117</v>
      </c>
      <c r="F9" s="37">
        <f>IFERROR(ROUND(('DCF Model'!C45/(1+$B9)^('DCF Model'!C19+0)+'DCF Model'!D45/(1+$B9)^('DCF Model'!C19+1)+'DCF Model'!E45/(1+$B9)^('DCF Model'!C19+2)+'DCF Model'!F45/(1+$B9)^('DCF Model'!C19+3)+'DCF Model'!G45/(1+$B9)^('DCF Model'!C19+4)+'DCF Model'!G45*(1+F$6)/($B9-F$6)/(1+$B9)^('DCF Model'!C19+4)-'DCF Model'!C16)*1000000/'DCF Model'!C15,0),"")</f>
        <v>4808</v>
      </c>
      <c r="G9" s="37">
        <f>IFERROR(ROUND(('DCF Model'!C45/(1+$B9)^('DCF Model'!C19+0)+'DCF Model'!D45/(1+$B9)^('DCF Model'!C19+1)+'DCF Model'!E45/(1+$B9)^('DCF Model'!C19+2)+'DCF Model'!F45/(1+$B9)^('DCF Model'!C19+3)+'DCF Model'!G45/(1+$B9)^('DCF Model'!C19+4)+'DCF Model'!G45*(1+G$6)/($B9-G$6)/(1+$B9)^('DCF Model'!C19+4)-'DCF Model'!C16)*1000000/'DCF Model'!C15,0),"")</f>
        <v>5649</v>
      </c>
      <c r="H9" s="37">
        <f>IFERROR(ROUND(('DCF Model'!C45/(1+$B9)^('DCF Model'!C19+0)+'DCF Model'!D45/(1+$B9)^('DCF Model'!C19+1)+'DCF Model'!E45/(1+$B9)^('DCF Model'!C19+2)+'DCF Model'!F45/(1+$B9)^('DCF Model'!C19+3)+'DCF Model'!G45/(1+$B9)^('DCF Model'!C19+4)+'DCF Model'!G45*(1+H$6)/($B9-H$6)/(1+$B9)^('DCF Model'!C19+4)-'DCF Model'!C16)*1000000/'DCF Model'!C15,0),"")</f>
        <v>6695</v>
      </c>
      <c r="I9" s="37">
        <f>IFERROR(ROUND(('DCF Model'!C45/(1+$B9)^('DCF Model'!C19+0)+'DCF Model'!D45/(1+$B9)^('DCF Model'!C19+1)+'DCF Model'!E45/(1+$B9)^('DCF Model'!C19+2)+'DCF Model'!F45/(1+$B9)^('DCF Model'!C19+3)+'DCF Model'!G45/(1+$B9)^('DCF Model'!C19+4)+'DCF Model'!G45*(1+I$6)/($B9-I$6)/(1+$B9)^('DCF Model'!C19+4)-'DCF Model'!C16)*1000000/'DCF Model'!C15,0),"")</f>
        <v>8029</v>
      </c>
    </row>
    <row r="10" spans="2:9" ht="13.5" customHeight="1" x14ac:dyDescent="0.25">
      <c r="B10" s="39">
        <f>$C$3</f>
        <v>4.0606343369340381E-2</v>
      </c>
      <c r="C10" s="37">
        <f>IFERROR(ROUND(('DCF Model'!C45/(1+$B10)^('DCF Model'!C19+0)+'DCF Model'!D45/(1+$B10)^('DCF Model'!C19+1)+'DCF Model'!E45/(1+$B10)^('DCF Model'!C19+2)+'DCF Model'!F45/(1+$B10)^('DCF Model'!C19+3)+'DCF Model'!G45/(1+$B10)^('DCF Model'!C19+4)+'DCF Model'!G45*(1+C$6)/($B10-C$6)/(1+$B10)^('DCF Model'!C19+4)-'DCF Model'!C16)*1000000/'DCF Model'!C15,0),"")</f>
        <v>2152</v>
      </c>
      <c r="D10" s="37">
        <f>IFERROR(ROUND(('DCF Model'!C45/(1+$B10)^('DCF Model'!C19+0)+'DCF Model'!D45/(1+$B10)^('DCF Model'!C19+1)+'DCF Model'!E45/(1+$B10)^('DCF Model'!C19+2)+'DCF Model'!F45/(1+$B10)^('DCF Model'!C19+3)+'DCF Model'!G45/(1+$B10)^('DCF Model'!C19+4)+'DCF Model'!G45*(1+D$6)/($B10-D$6)/(1+$B10)^('DCF Model'!C19+4)-'DCF Model'!C16)*1000000/'DCF Model'!C15,0),"")</f>
        <v>2511</v>
      </c>
      <c r="E10" s="37">
        <f>IFERROR(ROUND(('DCF Model'!C45/(1+$B10)^('DCF Model'!C19+0)+'DCF Model'!D45/(1+$B10)^('DCF Model'!C19+1)+'DCF Model'!E45/(1+$B10)^('DCF Model'!C19+2)+'DCF Model'!F45/(1+$B10)^('DCF Model'!C19+3)+'DCF Model'!G45/(1+$B10)^('DCF Model'!C19+4)+'DCF Model'!G45*(1+E$6)/($B10-E$6)/(1+$B10)^('DCF Model'!C19+4)-'DCF Model'!C16)*1000000/'DCF Model'!C15,0),"")</f>
        <v>2926</v>
      </c>
      <c r="F10" s="37">
        <f>IFERROR(ROUND(('DCF Model'!C45/(1+$B10)^('DCF Model'!C19+0)+'DCF Model'!D45/(1+$B10)^('DCF Model'!C19+1)+'DCF Model'!E45/(1+$B10)^('DCF Model'!C19+2)+'DCF Model'!F45/(1+$B10)^('DCF Model'!C19+3)+'DCF Model'!G45/(1+$B10)^('DCF Model'!C19+4)+'DCF Model'!G45*(1+F$6)/($B10-F$6)/(1+$B10)^('DCF Model'!C19+4)-'DCF Model'!C16)*1000000/'DCF Model'!C15,0),"")</f>
        <v>3408</v>
      </c>
      <c r="G10" s="37">
        <f>IFERROR(ROUND(('DCF Model'!C45/(1+$B10)^('DCF Model'!C19+0)+'DCF Model'!D45/(1+$B10)^('DCF Model'!C19+1)+'DCF Model'!E45/(1+$B10)^('DCF Model'!C19+2)+'DCF Model'!F45/(1+$B10)^('DCF Model'!C19+3)+'DCF Model'!G45/(1+$B10)^('DCF Model'!C19+4)+'DCF Model'!G45*(1+G$6)/($B10-G$6)/(1+$B10)^('DCF Model'!C19+4)-'DCF Model'!C16)*1000000/'DCF Model'!C15,0),"")</f>
        <v>3975</v>
      </c>
      <c r="H10" s="37">
        <f>IFERROR(ROUND(('DCF Model'!C45/(1+$B10)^('DCF Model'!C19+0)+'DCF Model'!D45/(1+$B10)^('DCF Model'!C19+1)+'DCF Model'!E45/(1+$B10)^('DCF Model'!C19+2)+'DCF Model'!F45/(1+$B10)^('DCF Model'!C19+3)+'DCF Model'!G45/(1+$B10)^('DCF Model'!C19+4)+'DCF Model'!G45*(1+H$6)/($B10-H$6)/(1+$B10)^('DCF Model'!C19+4)-'DCF Model'!C16)*1000000/'DCF Model'!C15,0),"")</f>
        <v>4654</v>
      </c>
      <c r="I10" s="37">
        <f>IFERROR(ROUND(('DCF Model'!C45/(1+$B10)^('DCF Model'!C19+0)+'DCF Model'!D45/(1+$B10)^('DCF Model'!C19+1)+'DCF Model'!E45/(1+$B10)^('DCF Model'!C19+2)+'DCF Model'!F45/(1+$B10)^('DCF Model'!C19+3)+'DCF Model'!G45/(1+$B10)^('DCF Model'!C19+4)+'DCF Model'!G45*(1+I$6)/($B10-I$6)/(1+$B10)^('DCF Model'!C19+4)-'DCF Model'!C16)*1000000/'DCF Model'!C15,0),"")</f>
        <v>5479</v>
      </c>
    </row>
    <row r="11" spans="2:9" ht="13.5" customHeight="1" x14ac:dyDescent="0.25">
      <c r="B11" s="39">
        <f>$C$3+0.005</f>
        <v>4.5606343369340378E-2</v>
      </c>
      <c r="C11" s="37">
        <f>IFERROR(ROUND(('DCF Model'!C45/(1+$B11)^('DCF Model'!C19+0)+'DCF Model'!D45/(1+$B11)^('DCF Model'!C19+1)+'DCF Model'!E45/(1+$B11)^('DCF Model'!C19+2)+'DCF Model'!F45/(1+$B11)^('DCF Model'!C19+3)+'DCF Model'!G45/(1+$B11)^('DCF Model'!C19+4)+'DCF Model'!G45*(1+C$6)/($B11-C$6)/(1+$B11)^('DCF Model'!C19+4)-'DCF Model'!C16)*1000000/'DCF Model'!C15,0),"")</f>
        <v>1465</v>
      </c>
      <c r="D11" s="37">
        <f>IFERROR(ROUND(('DCF Model'!C45/(1+$B11)^('DCF Model'!C19+0)+'DCF Model'!D45/(1+$B11)^('DCF Model'!C19+1)+'DCF Model'!E45/(1+$B11)^('DCF Model'!C19+2)+'DCF Model'!F45/(1+$B11)^('DCF Model'!C19+3)+'DCF Model'!G45/(1+$B11)^('DCF Model'!C19+4)+'DCF Model'!G45*(1+D$6)/($B11-D$6)/(1+$B11)^('DCF Model'!C19+4)-'DCF Model'!C16)*1000000/'DCF Model'!C15,0),"")</f>
        <v>1739</v>
      </c>
      <c r="E11" s="37">
        <f>IFERROR(ROUND(('DCF Model'!C45/(1+$B11)^('DCF Model'!C19+0)+'DCF Model'!D45/(1+$B11)^('DCF Model'!C19+1)+'DCF Model'!E45/(1+$B11)^('DCF Model'!C19+2)+'DCF Model'!F45/(1+$B11)^('DCF Model'!C19+3)+'DCF Model'!G45/(1+$B11)^('DCF Model'!C19+4)+'DCF Model'!G45*(1+E$6)/($B11-E$6)/(1+$B11)^('DCF Model'!C19+4)-'DCF Model'!C16)*1000000/'DCF Model'!C15,0),"")</f>
        <v>2048</v>
      </c>
      <c r="F11" s="37">
        <f>IFERROR(ROUND(('DCF Model'!C45/(1+$B11)^('DCF Model'!C19+0)+'DCF Model'!D45/(1+$B11)^('DCF Model'!C19+1)+'DCF Model'!E45/(1+$B11)^('DCF Model'!C19+2)+'DCF Model'!F45/(1+$B11)^('DCF Model'!C19+3)+'DCF Model'!G45/(1+$B11)^('DCF Model'!C19+4)+'DCF Model'!G45*(1+F$6)/($B11-F$6)/(1+$B11)^('DCF Model'!C19+4)-'DCF Model'!C16)*1000000/'DCF Model'!C15,0),"")</f>
        <v>2401</v>
      </c>
      <c r="G11" s="37">
        <f>IFERROR(ROUND(('DCF Model'!C45/(1+$B11)^('DCF Model'!C19+0)+'DCF Model'!D45/(1+$B11)^('DCF Model'!C19+1)+'DCF Model'!E45/(1+$B11)^('DCF Model'!C19+2)+'DCF Model'!F45/(1+$B11)^('DCF Model'!C19+3)+'DCF Model'!G45/(1+$B11)^('DCF Model'!C19+4)+'DCF Model'!G45*(1+G$6)/($B11-G$6)/(1+$B11)^('DCF Model'!C19+4)-'DCF Model'!C16)*1000000/'DCF Model'!C15,0),"")</f>
        <v>2807</v>
      </c>
      <c r="H11" s="37">
        <f>IFERROR(ROUND(('DCF Model'!C45/(1+$B11)^('DCF Model'!C19+0)+'DCF Model'!D45/(1+$B11)^('DCF Model'!C19+1)+'DCF Model'!E45/(1+$B11)^('DCF Model'!C19+2)+'DCF Model'!F45/(1+$B11)^('DCF Model'!C19+3)+'DCF Model'!G45/(1+$B11)^('DCF Model'!C19+4)+'DCF Model'!G45*(1+H$6)/($B11-H$6)/(1+$B11)^('DCF Model'!C19+4)-'DCF Model'!C16)*1000000/'DCF Model'!C15,0),"")</f>
        <v>3280</v>
      </c>
      <c r="I11" s="37">
        <f>IFERROR(ROUND(('DCF Model'!C45/(1+$B11)^('DCF Model'!C19+0)+'DCF Model'!D45/(1+$B11)^('DCF Model'!C19+1)+'DCF Model'!E45/(1+$B11)^('DCF Model'!C19+2)+'DCF Model'!F45/(1+$B11)^('DCF Model'!C19+3)+'DCF Model'!G45/(1+$B11)^('DCF Model'!C19+4)+'DCF Model'!G45*(1+I$6)/($B11-I$6)/(1+$B11)^('DCF Model'!C19+4)-'DCF Model'!C16)*1000000/'DCF Model'!C15,0),"")</f>
        <v>3837</v>
      </c>
    </row>
    <row r="12" spans="2:9" ht="13.5" customHeight="1" x14ac:dyDescent="0.25">
      <c r="B12" s="39">
        <f>$C$3+0.01</f>
        <v>5.0606343369340383E-2</v>
      </c>
      <c r="C12" s="37">
        <f>IFERROR(ROUND(('DCF Model'!C45/(1+$B12)^('DCF Model'!C19+0)+'DCF Model'!D45/(1+$B12)^('DCF Model'!C19+1)+'DCF Model'!E45/(1+$B12)^('DCF Model'!C19+2)+'DCF Model'!F45/(1+$B12)^('DCF Model'!C19+3)+'DCF Model'!G45/(1+$B12)^('DCF Model'!C19+4)+'DCF Model'!G45*(1+C$6)/($B12-C$6)/(1+$B12)^('DCF Model'!C19+4)-'DCF Model'!C16)*1000000/'DCF Model'!C15,0),"")</f>
        <v>922</v>
      </c>
      <c r="D12" s="37">
        <f>IFERROR(ROUND(('DCF Model'!C45/(1+$B12)^('DCF Model'!C19+0)+'DCF Model'!D45/(1+$B12)^('DCF Model'!C19+1)+'DCF Model'!E45/(1+$B12)^('DCF Model'!C19+2)+'DCF Model'!F45/(1+$B12)^('DCF Model'!C19+3)+'DCF Model'!G45/(1+$B12)^('DCF Model'!C19+4)+'DCF Model'!G45*(1+D$6)/($B12-D$6)/(1+$B12)^('DCF Model'!C19+4)-'DCF Model'!C16)*1000000/'DCF Model'!C15,0),"")</f>
        <v>1136</v>
      </c>
      <c r="E12" s="37">
        <f>IFERROR(ROUND(('DCF Model'!C45/(1+$B12)^('DCF Model'!C19+0)+'DCF Model'!D45/(1+$B12)^('DCF Model'!C19+1)+'DCF Model'!E45/(1+$B12)^('DCF Model'!C19+2)+'DCF Model'!F45/(1+$B12)^('DCF Model'!C19+3)+'DCF Model'!G45/(1+$B12)^('DCF Model'!C19+4)+'DCF Model'!G45*(1+E$6)/($B12-E$6)/(1+$B12)^('DCF Model'!C19+4)-'DCF Model'!C16)*1000000/'DCF Model'!C15,0),"")</f>
        <v>1375</v>
      </c>
      <c r="F12" s="37">
        <f>IFERROR(ROUND(('DCF Model'!C45/(1+$B12)^('DCF Model'!C19+0)+'DCF Model'!D45/(1+$B12)^('DCF Model'!C19+1)+'DCF Model'!E45/(1+$B12)^('DCF Model'!C19+2)+'DCF Model'!F45/(1+$B12)^('DCF Model'!C19+3)+'DCF Model'!G45/(1+$B12)^('DCF Model'!C19+4)+'DCF Model'!G45*(1+F$6)/($B12-F$6)/(1+$B12)^('DCF Model'!C19+4)-'DCF Model'!C16)*1000000/'DCF Model'!C15,0),"")</f>
        <v>1643</v>
      </c>
      <c r="G12" s="37">
        <f>IFERROR(ROUND(('DCF Model'!C45/(1+$B12)^('DCF Model'!C19+0)+'DCF Model'!D45/(1+$B12)^('DCF Model'!C19+1)+'DCF Model'!E45/(1+$B12)^('DCF Model'!C19+2)+'DCF Model'!F45/(1+$B12)^('DCF Model'!C19+3)+'DCF Model'!G45/(1+$B12)^('DCF Model'!C19+4)+'DCF Model'!G45*(1+G$6)/($B12-G$6)/(1+$B12)^('DCF Model'!C19+4)-'DCF Model'!C16)*1000000/'DCF Model'!C15,0),"")</f>
        <v>1947</v>
      </c>
      <c r="H12" s="37">
        <f>IFERROR(ROUND(('DCF Model'!C45/(1+$B12)^('DCF Model'!C19+0)+'DCF Model'!D45/(1+$B12)^('DCF Model'!C19+1)+'DCF Model'!E45/(1+$B12)^('DCF Model'!C19+2)+'DCF Model'!F45/(1+$B12)^('DCF Model'!C19+3)+'DCF Model'!G45/(1+$B12)^('DCF Model'!C19+4)+'DCF Model'!G45*(1+H$6)/($B12-H$6)/(1+$B12)^('DCF Model'!C19+4)-'DCF Model'!C16)*1000000/'DCF Model'!C15,0),"")</f>
        <v>2293</v>
      </c>
      <c r="I12" s="37">
        <f>IFERROR(ROUND(('DCF Model'!C45/(1+$B12)^('DCF Model'!C19+0)+'DCF Model'!D45/(1+$B12)^('DCF Model'!C19+1)+'DCF Model'!E45/(1+$B12)^('DCF Model'!C19+2)+'DCF Model'!F45/(1+$B12)^('DCF Model'!C19+3)+'DCF Model'!G45/(1+$B12)^('DCF Model'!C19+4)+'DCF Model'!G45*(1+I$6)/($B12-I$6)/(1+$B12)^('DCF Model'!C19+4)-'DCF Model'!C16)*1000000/'DCF Model'!C15,0),"")</f>
        <v>2692</v>
      </c>
    </row>
    <row r="13" spans="2:9" ht="13.5" customHeight="1" x14ac:dyDescent="0.25">
      <c r="B13" s="39">
        <f>$C$3+0.015</f>
        <v>5.560634336934038E-2</v>
      </c>
      <c r="C13" s="37">
        <f>IFERROR(ROUND(('DCF Model'!C45/(1+$B13)^('DCF Model'!C19+0)+'DCF Model'!D45/(1+$B13)^('DCF Model'!C19+1)+'DCF Model'!E45/(1+$B13)^('DCF Model'!C19+2)+'DCF Model'!F45/(1+$B13)^('DCF Model'!C19+3)+'DCF Model'!G45/(1+$B13)^('DCF Model'!C19+4)+'DCF Model'!G45*(1+C$6)/($B13-C$6)/(1+$B13)^('DCF Model'!C19+4)-'DCF Model'!C16)*1000000/'DCF Model'!C15,0),"")</f>
        <v>481</v>
      </c>
      <c r="D13" s="37">
        <f>IFERROR(ROUND(('DCF Model'!C45/(1+$B13)^('DCF Model'!C19+0)+'DCF Model'!D45/(1+$B13)^('DCF Model'!C19+1)+'DCF Model'!E45/(1+$B13)^('DCF Model'!C19+2)+'DCF Model'!F45/(1+$B13)^('DCF Model'!C19+3)+'DCF Model'!G45/(1+$B13)^('DCF Model'!C19+4)+'DCF Model'!G45*(1+D$6)/($B13-D$6)/(1+$B13)^('DCF Model'!C19+4)-'DCF Model'!C16)*1000000/'DCF Model'!C15,0),"")</f>
        <v>653</v>
      </c>
      <c r="E13" s="37">
        <f>IFERROR(ROUND(('DCF Model'!C45/(1+$B13)^('DCF Model'!C19+0)+'DCF Model'!D45/(1+$B13)^('DCF Model'!C19+1)+'DCF Model'!E45/(1+$B13)^('DCF Model'!C19+2)+'DCF Model'!F45/(1+$B13)^('DCF Model'!C19+3)+'DCF Model'!G45/(1+$B13)^('DCF Model'!C19+4)+'DCF Model'!G45*(1+E$6)/($B13-E$6)/(1+$B13)^('DCF Model'!C19+4)-'DCF Model'!C16)*1000000/'DCF Model'!C15,0),"")</f>
        <v>842</v>
      </c>
      <c r="F13" s="37">
        <f>IFERROR(ROUND(('DCF Model'!C45/(1+$B13)^('DCF Model'!C19+0)+'DCF Model'!D45/(1+$B13)^('DCF Model'!C19+1)+'DCF Model'!E45/(1+$B13)^('DCF Model'!C19+2)+'DCF Model'!F45/(1+$B13)^('DCF Model'!C19+3)+'DCF Model'!G45/(1+$B13)^('DCF Model'!C19+4)+'DCF Model'!G45*(1+F$6)/($B13-F$6)/(1+$B13)^('DCF Model'!C19+4)-'DCF Model'!C16)*1000000/'DCF Model'!C15,0),"")</f>
        <v>1052</v>
      </c>
      <c r="G13" s="37">
        <f>IFERROR(ROUND(('DCF Model'!C45/(1+$B13)^('DCF Model'!C19+0)+'DCF Model'!D45/(1+$B13)^('DCF Model'!C19+1)+'DCF Model'!E45/(1+$B13)^('DCF Model'!C19+2)+'DCF Model'!F45/(1+$B13)^('DCF Model'!C19+3)+'DCF Model'!G45/(1+$B13)^('DCF Model'!C19+4)+'DCF Model'!G45*(1+G$6)/($B13-G$6)/(1+$B13)^('DCF Model'!C19+4)-'DCF Model'!C16)*1000000/'DCF Model'!C15,0),"")</f>
        <v>1287</v>
      </c>
      <c r="H13" s="37">
        <f>IFERROR(ROUND(('DCF Model'!C45/(1+$B13)^('DCF Model'!C19+0)+'DCF Model'!D45/(1+$B13)^('DCF Model'!C19+1)+'DCF Model'!E45/(1+$B13)^('DCF Model'!C19+2)+'DCF Model'!F45/(1+$B13)^('DCF Model'!C19+3)+'DCF Model'!G45/(1+$B13)^('DCF Model'!C19+4)+'DCF Model'!G45*(1+H$6)/($B13-H$6)/(1+$B13)^('DCF Model'!C19+4)-'DCF Model'!C16)*1000000/'DCF Model'!C15,0),"")</f>
        <v>1550</v>
      </c>
      <c r="I13" s="37">
        <f>IFERROR(ROUND(('DCF Model'!C45/(1+$B13)^('DCF Model'!C19+0)+'DCF Model'!D45/(1+$B13)^('DCF Model'!C19+1)+'DCF Model'!E45/(1+$B13)^('DCF Model'!C19+2)+'DCF Model'!F45/(1+$B13)^('DCF Model'!C19+3)+'DCF Model'!G45/(1+$B13)^('DCF Model'!C19+4)+'DCF Model'!G45*(1+I$6)/($B13-I$6)/(1+$B13)^('DCF Model'!C19+4)-'DCF Model'!C16)*1000000/'DCF Model'!C15,0),"")</f>
        <v>1848</v>
      </c>
    </row>
    <row r="16" spans="2:9" ht="14" customHeight="1" x14ac:dyDescent="0.3">
      <c r="B16" s="3" t="s">
        <v>243</v>
      </c>
    </row>
    <row r="17" spans="2:9" ht="14" customHeight="1" x14ac:dyDescent="0.3">
      <c r="B17" s="41" t="s">
        <v>244</v>
      </c>
      <c r="C17" s="43">
        <f>$I$3-3</f>
        <v>5.3000000000000007</v>
      </c>
      <c r="D17" s="43">
        <f>$I$3-2</f>
        <v>6.3000000000000007</v>
      </c>
      <c r="E17" s="43">
        <f>$I$3-1</f>
        <v>7.3000000000000007</v>
      </c>
      <c r="F17" s="43">
        <f>$I$3</f>
        <v>8.3000000000000007</v>
      </c>
      <c r="G17" s="43">
        <f>$I$3+1</f>
        <v>9.3000000000000007</v>
      </c>
      <c r="H17" s="43">
        <f>$I$3+2</f>
        <v>10.3</v>
      </c>
      <c r="I17" s="43">
        <f>$I$3+3</f>
        <v>11.3</v>
      </c>
    </row>
    <row r="18" spans="2:9" ht="13.5" customHeight="1" x14ac:dyDescent="0.25">
      <c r="B18" s="39">
        <f>$C$3-0.015</f>
        <v>2.5606343369340381E-2</v>
      </c>
      <c r="C18" s="37">
        <f>IFERROR(ROUND(('DCF Model'!C45/(1+$B18)^('DCF Model'!C19+0)+'DCF Model'!D45/(1+$B18)^('DCF Model'!C19+1)+'DCF Model'!E45/(1+$B18)^('DCF Model'!C19+2)+'DCF Model'!F45/(1+$B18)^('DCF Model'!C19+3)+'DCF Model'!G45/(1+$B18)^('DCF Model'!C19+4)+('DCF Model'!G39+'DCF Model'!G42)*C$17/(1+$B18)^('DCF Model'!C19+4)-'DCF Model'!C16)*1000000/'DCF Model'!C15,0),"")</f>
        <v>-86</v>
      </c>
      <c r="D18" s="37">
        <f>IFERROR(ROUND(('DCF Model'!C45/(1+$B18)^('DCF Model'!C19+0)+'DCF Model'!D45/(1+$B18)^('DCF Model'!C19+1)+'DCF Model'!E45/(1+$B18)^('DCF Model'!C19+2)+'DCF Model'!F45/(1+$B18)^('DCF Model'!C19+3)+'DCF Model'!G45/(1+$B18)^('DCF Model'!C19+4)+('DCF Model'!G39+'DCF Model'!G42)*D$17/(1+$B18)^('DCF Model'!C19+4)-'DCF Model'!C16)*1000000/'DCF Model'!C15,0),"")</f>
        <v>417</v>
      </c>
      <c r="E18" s="37">
        <f>IFERROR(ROUND(('DCF Model'!C45/(1+$B18)^('DCF Model'!C19+0)+'DCF Model'!D45/(1+$B18)^('DCF Model'!C19+1)+'DCF Model'!E45/(1+$B18)^('DCF Model'!C19+2)+'DCF Model'!F45/(1+$B18)^('DCF Model'!C19+3)+'DCF Model'!G45/(1+$B18)^('DCF Model'!C19+4)+('DCF Model'!G39+'DCF Model'!G42)*E$17/(1+$B18)^('DCF Model'!C19+4)-'DCF Model'!C16)*1000000/'DCF Model'!C15,0),"")</f>
        <v>920</v>
      </c>
      <c r="F18" s="37">
        <f>IFERROR(ROUND(('DCF Model'!C45/(1+$B18)^('DCF Model'!C19+0)+'DCF Model'!D45/(1+$B18)^('DCF Model'!C19+1)+'DCF Model'!E45/(1+$B18)^('DCF Model'!C19+2)+'DCF Model'!F45/(1+$B18)^('DCF Model'!C19+3)+'DCF Model'!G45/(1+$B18)^('DCF Model'!C19+4)+('DCF Model'!G39+'DCF Model'!G42)*F$17/(1+$B18)^('DCF Model'!C19+4)-'DCF Model'!C16)*1000000/'DCF Model'!C15,0),"")</f>
        <v>1423</v>
      </c>
      <c r="G18" s="37">
        <f>IFERROR(ROUND(('DCF Model'!C45/(1+$B18)^('DCF Model'!C19+0)+'DCF Model'!D45/(1+$B18)^('DCF Model'!C19+1)+'DCF Model'!E45/(1+$B18)^('DCF Model'!C19+2)+'DCF Model'!F45/(1+$B18)^('DCF Model'!C19+3)+'DCF Model'!G45/(1+$B18)^('DCF Model'!C19+4)+('DCF Model'!G39+'DCF Model'!G42)*G$17/(1+$B18)^('DCF Model'!C19+4)-'DCF Model'!C16)*1000000/'DCF Model'!C15,0),"")</f>
        <v>1926</v>
      </c>
      <c r="H18" s="37">
        <f>IFERROR(ROUND(('DCF Model'!C45/(1+$B18)^('DCF Model'!C19+0)+'DCF Model'!D45/(1+$B18)^('DCF Model'!C19+1)+'DCF Model'!E45/(1+$B18)^('DCF Model'!C19+2)+'DCF Model'!F45/(1+$B18)^('DCF Model'!C19+3)+'DCF Model'!G45/(1+$B18)^('DCF Model'!C19+4)+('DCF Model'!G39+'DCF Model'!G42)*H$17/(1+$B18)^('DCF Model'!C19+4)-'DCF Model'!C16)*1000000/'DCF Model'!C15,0),"")</f>
        <v>2429</v>
      </c>
      <c r="I18" s="37">
        <f>IFERROR(ROUND(('DCF Model'!C45/(1+$B18)^('DCF Model'!C19+0)+'DCF Model'!D45/(1+$B18)^('DCF Model'!C19+1)+'DCF Model'!E45/(1+$B18)^('DCF Model'!C19+2)+'DCF Model'!F45/(1+$B18)^('DCF Model'!C19+3)+'DCF Model'!G45/(1+$B18)^('DCF Model'!C19+4)+('DCF Model'!G39+'DCF Model'!G42)*I$17/(1+$B18)^('DCF Model'!C19+4)-'DCF Model'!C16)*1000000/'DCF Model'!C15,0),"")</f>
        <v>2932</v>
      </c>
    </row>
    <row r="19" spans="2:9" ht="13.5" customHeight="1" x14ac:dyDescent="0.25">
      <c r="B19" s="39">
        <f>$C$3-0.01</f>
        <v>3.0606343369340379E-2</v>
      </c>
      <c r="C19" s="37">
        <f>IFERROR(ROUND(('DCF Model'!C45/(1+$B19)^('DCF Model'!C19+0)+'DCF Model'!D45/(1+$B19)^('DCF Model'!C19+1)+'DCF Model'!E45/(1+$B19)^('DCF Model'!C19+2)+'DCF Model'!F45/(1+$B19)^('DCF Model'!C19+3)+'DCF Model'!G45/(1+$B19)^('DCF Model'!C19+4)+('DCF Model'!G39+'DCF Model'!G42)*C$17/(1+$B19)^('DCF Model'!C19+4)-'DCF Model'!C16)*1000000/'DCF Model'!C15,0),"")</f>
        <v>-162</v>
      </c>
      <c r="D19" s="37">
        <f>IFERROR(ROUND(('DCF Model'!C45/(1+$B19)^('DCF Model'!C19+0)+'DCF Model'!D45/(1+$B19)^('DCF Model'!C19+1)+'DCF Model'!E45/(1+$B19)^('DCF Model'!C19+2)+'DCF Model'!F45/(1+$B19)^('DCF Model'!C19+3)+'DCF Model'!G45/(1+$B19)^('DCF Model'!C19+4)+('DCF Model'!G39+'DCF Model'!G42)*D$17/(1+$B19)^('DCF Model'!C19+4)-'DCF Model'!C16)*1000000/'DCF Model'!C15,0),"")</f>
        <v>329</v>
      </c>
      <c r="E19" s="37">
        <f>IFERROR(ROUND(('DCF Model'!C45/(1+$B19)^('DCF Model'!C19+0)+'DCF Model'!D45/(1+$B19)^('DCF Model'!C19+1)+'DCF Model'!E45/(1+$B19)^('DCF Model'!C19+2)+'DCF Model'!F45/(1+$B19)^('DCF Model'!C19+3)+'DCF Model'!G45/(1+$B19)^('DCF Model'!C19+4)+('DCF Model'!G39+'DCF Model'!G42)*E$17/(1+$B19)^('DCF Model'!C19+4)-'DCF Model'!C16)*1000000/'DCF Model'!C15,0),"")</f>
        <v>820</v>
      </c>
      <c r="F19" s="37">
        <f>IFERROR(ROUND(('DCF Model'!C45/(1+$B19)^('DCF Model'!C19+0)+'DCF Model'!D45/(1+$B19)^('DCF Model'!C19+1)+'DCF Model'!E45/(1+$B19)^('DCF Model'!C19+2)+'DCF Model'!F45/(1+$B19)^('DCF Model'!C19+3)+'DCF Model'!G45/(1+$B19)^('DCF Model'!C19+4)+('DCF Model'!G39+'DCF Model'!G42)*F$17/(1+$B19)^('DCF Model'!C19+4)-'DCF Model'!C16)*1000000/'DCF Model'!C15,0),"")</f>
        <v>1311</v>
      </c>
      <c r="G19" s="37">
        <f>IFERROR(ROUND(('DCF Model'!C45/(1+$B19)^('DCF Model'!C19+0)+'DCF Model'!D45/(1+$B19)^('DCF Model'!C19+1)+'DCF Model'!E45/(1+$B19)^('DCF Model'!C19+2)+'DCF Model'!F45/(1+$B19)^('DCF Model'!C19+3)+'DCF Model'!G45/(1+$B19)^('DCF Model'!C19+4)+('DCF Model'!G39+'DCF Model'!G42)*G$17/(1+$B19)^('DCF Model'!C19+4)-'DCF Model'!C16)*1000000/'DCF Model'!C15,0),"")</f>
        <v>1802</v>
      </c>
      <c r="H19" s="37">
        <f>IFERROR(ROUND(('DCF Model'!C45/(1+$B19)^('DCF Model'!C19+0)+'DCF Model'!D45/(1+$B19)^('DCF Model'!C19+1)+'DCF Model'!E45/(1+$B19)^('DCF Model'!C19+2)+'DCF Model'!F45/(1+$B19)^('DCF Model'!C19+3)+'DCF Model'!G45/(1+$B19)^('DCF Model'!C19+4)+('DCF Model'!G39+'DCF Model'!G42)*H$17/(1+$B19)^('DCF Model'!C19+4)-'DCF Model'!C16)*1000000/'DCF Model'!C15,0),"")</f>
        <v>2293</v>
      </c>
      <c r="I19" s="37">
        <f>IFERROR(ROUND(('DCF Model'!C45/(1+$B19)^('DCF Model'!C19+0)+'DCF Model'!D45/(1+$B19)^('DCF Model'!C19+1)+'DCF Model'!E45/(1+$B19)^('DCF Model'!C19+2)+'DCF Model'!F45/(1+$B19)^('DCF Model'!C19+3)+'DCF Model'!G45/(1+$B19)^('DCF Model'!C19+4)+('DCF Model'!G39+'DCF Model'!G42)*I$17/(1+$B19)^('DCF Model'!C19+4)-'DCF Model'!C16)*1000000/'DCF Model'!C15,0),"")</f>
        <v>2784</v>
      </c>
    </row>
    <row r="20" spans="2:9" ht="13.5" customHeight="1" x14ac:dyDescent="0.25">
      <c r="B20" s="39">
        <f>$C$3-0.005</f>
        <v>3.5606343369340383E-2</v>
      </c>
      <c r="C20" s="37">
        <f>IFERROR(ROUND(('DCF Model'!C45/(1+$B20)^('DCF Model'!C19+0)+'DCF Model'!D45/(1+$B20)^('DCF Model'!C19+1)+'DCF Model'!E45/(1+$B20)^('DCF Model'!C19+2)+'DCF Model'!F45/(1+$B20)^('DCF Model'!C19+3)+'DCF Model'!G45/(1+$B20)^('DCF Model'!C19+4)+('DCF Model'!G39+'DCF Model'!G42)*C$17/(1+$B20)^('DCF Model'!C19+4)-'DCF Model'!C16)*1000000/'DCF Model'!C15,0),"")</f>
        <v>-235</v>
      </c>
      <c r="D20" s="37">
        <f>IFERROR(ROUND(('DCF Model'!C45/(1+$B20)^('DCF Model'!C19+0)+'DCF Model'!D45/(1+$B20)^('DCF Model'!C19+1)+'DCF Model'!E45/(1+$B20)^('DCF Model'!C19+2)+'DCF Model'!F45/(1+$B20)^('DCF Model'!C19+3)+'DCF Model'!G45/(1+$B20)^('DCF Model'!C19+4)+('DCF Model'!G39+'DCF Model'!G42)*D$17/(1+$B20)^('DCF Model'!C19+4)-'DCF Model'!C16)*1000000/'DCF Model'!C15,0),"")</f>
        <v>244</v>
      </c>
      <c r="E20" s="37">
        <f>IFERROR(ROUND(('DCF Model'!C45/(1+$B20)^('DCF Model'!C19+0)+'DCF Model'!D45/(1+$B20)^('DCF Model'!C19+1)+'DCF Model'!E45/(1+$B20)^('DCF Model'!C19+2)+'DCF Model'!F45/(1+$B20)^('DCF Model'!C19+3)+'DCF Model'!G45/(1+$B20)^('DCF Model'!C19+4)+('DCF Model'!G39+'DCF Model'!G42)*E$17/(1+$B20)^('DCF Model'!C19+4)-'DCF Model'!C16)*1000000/'DCF Model'!C15,0),"")</f>
        <v>723</v>
      </c>
      <c r="F20" s="37">
        <f>IFERROR(ROUND(('DCF Model'!C45/(1+$B20)^('DCF Model'!C19+0)+'DCF Model'!D45/(1+$B20)^('DCF Model'!C19+1)+'DCF Model'!E45/(1+$B20)^('DCF Model'!C19+2)+'DCF Model'!F45/(1+$B20)^('DCF Model'!C19+3)+'DCF Model'!G45/(1+$B20)^('DCF Model'!C19+4)+('DCF Model'!G39+'DCF Model'!G42)*F$17/(1+$B20)^('DCF Model'!C19+4)-'DCF Model'!C16)*1000000/'DCF Model'!C15,0),"")</f>
        <v>1203</v>
      </c>
      <c r="G20" s="37">
        <f>IFERROR(ROUND(('DCF Model'!C45/(1+$B20)^('DCF Model'!C19+0)+'DCF Model'!D45/(1+$B20)^('DCF Model'!C19+1)+'DCF Model'!E45/(1+$B20)^('DCF Model'!C19+2)+'DCF Model'!F45/(1+$B20)^('DCF Model'!C19+3)+'DCF Model'!G45/(1+$B20)^('DCF Model'!C19+4)+('DCF Model'!G39+'DCF Model'!G42)*G$17/(1+$B20)^('DCF Model'!C19+4)-'DCF Model'!C16)*1000000/'DCF Model'!C15,0),"")</f>
        <v>1682</v>
      </c>
      <c r="H20" s="37">
        <f>IFERROR(ROUND(('DCF Model'!C45/(1+$B20)^('DCF Model'!C19+0)+'DCF Model'!D45/(1+$B20)^('DCF Model'!C19+1)+'DCF Model'!E45/(1+$B20)^('DCF Model'!C19+2)+'DCF Model'!F45/(1+$B20)^('DCF Model'!C19+3)+'DCF Model'!G45/(1+$B20)^('DCF Model'!C19+4)+('DCF Model'!G39+'DCF Model'!G42)*H$17/(1+$B20)^('DCF Model'!C19+4)-'DCF Model'!C16)*1000000/'DCF Model'!C15,0),"")</f>
        <v>2161</v>
      </c>
      <c r="I20" s="37">
        <f>IFERROR(ROUND(('DCF Model'!C45/(1+$B20)^('DCF Model'!C19+0)+'DCF Model'!D45/(1+$B20)^('DCF Model'!C19+1)+'DCF Model'!E45/(1+$B20)^('DCF Model'!C19+2)+'DCF Model'!F45/(1+$B20)^('DCF Model'!C19+3)+'DCF Model'!G45/(1+$B20)^('DCF Model'!C19+4)+('DCF Model'!G39+'DCF Model'!G42)*I$17/(1+$B20)^('DCF Model'!C19+4)-'DCF Model'!C16)*1000000/'DCF Model'!C15,0),"")</f>
        <v>2640</v>
      </c>
    </row>
    <row r="21" spans="2:9" ht="13.5" customHeight="1" x14ac:dyDescent="0.25">
      <c r="B21" s="39">
        <f>$C$3</f>
        <v>4.0606343369340381E-2</v>
      </c>
      <c r="C21" s="37">
        <f>IFERROR(ROUND(('DCF Model'!C45/(1+$B21)^('DCF Model'!C19+0)+'DCF Model'!D45/(1+$B21)^('DCF Model'!C19+1)+'DCF Model'!E45/(1+$B21)^('DCF Model'!C19+2)+'DCF Model'!F45/(1+$B21)^('DCF Model'!C19+3)+'DCF Model'!G45/(1+$B21)^('DCF Model'!C19+4)+('DCF Model'!G39+'DCF Model'!G42)*C$17/(1+$B21)^('DCF Model'!C19+4)-'DCF Model'!C16)*1000000/'DCF Model'!C15,0),"")</f>
        <v>-306</v>
      </c>
      <c r="D21" s="37">
        <f>IFERROR(ROUND(('DCF Model'!C45/(1+$B21)^('DCF Model'!C19+0)+'DCF Model'!D45/(1+$B21)^('DCF Model'!C19+1)+'DCF Model'!E45/(1+$B21)^('DCF Model'!C19+2)+'DCF Model'!F45/(1+$B21)^('DCF Model'!C19+3)+'DCF Model'!G45/(1+$B21)^('DCF Model'!C19+4)+('DCF Model'!G39+'DCF Model'!G42)*D$17/(1+$B21)^('DCF Model'!C19+4)-'DCF Model'!C16)*1000000/'DCF Model'!C15,0),"")</f>
        <v>161</v>
      </c>
      <c r="E21" s="37">
        <f>IFERROR(ROUND(('DCF Model'!C45/(1+$B21)^('DCF Model'!C19+0)+'DCF Model'!D45/(1+$B21)^('DCF Model'!C19+1)+'DCF Model'!E45/(1+$B21)^('DCF Model'!C19+2)+'DCF Model'!F45/(1+$B21)^('DCF Model'!C19+3)+'DCF Model'!G45/(1+$B21)^('DCF Model'!C19+4)+('DCF Model'!G39+'DCF Model'!G42)*E$17/(1+$B21)^('DCF Model'!C19+4)-'DCF Model'!C16)*1000000/'DCF Model'!C15,0),"")</f>
        <v>629</v>
      </c>
      <c r="F21" s="37">
        <f>IFERROR(ROUND(('DCF Model'!C45/(1+$B21)^('DCF Model'!C19+0)+'DCF Model'!D45/(1+$B21)^('DCF Model'!C19+1)+'DCF Model'!E45/(1+$B21)^('DCF Model'!C19+2)+'DCF Model'!F45/(1+$B21)^('DCF Model'!C19+3)+'DCF Model'!G45/(1+$B21)^('DCF Model'!C19+4)+('DCF Model'!G39+'DCF Model'!G42)*F$17/(1+$B21)^('DCF Model'!C19+4)-'DCF Model'!C16)*1000000/'DCF Model'!C15,0),"")</f>
        <v>1097</v>
      </c>
      <c r="G21" s="37">
        <f>IFERROR(ROUND(('DCF Model'!C45/(1+$B21)^('DCF Model'!C19+0)+'DCF Model'!D45/(1+$B21)^('DCF Model'!C19+1)+'DCF Model'!E45/(1+$B21)^('DCF Model'!C19+2)+'DCF Model'!F45/(1+$B21)^('DCF Model'!C19+3)+'DCF Model'!G45/(1+$B21)^('DCF Model'!C19+4)+('DCF Model'!G39+'DCF Model'!G42)*G$17/(1+$B21)^('DCF Model'!C19+4)-'DCF Model'!C16)*1000000/'DCF Model'!C15,0),"")</f>
        <v>1565</v>
      </c>
      <c r="H21" s="37">
        <f>IFERROR(ROUND(('DCF Model'!C45/(1+$B21)^('DCF Model'!C19+0)+'DCF Model'!D45/(1+$B21)^('DCF Model'!C19+1)+'DCF Model'!E45/(1+$B21)^('DCF Model'!C19+2)+'DCF Model'!F45/(1+$B21)^('DCF Model'!C19+3)+'DCF Model'!G45/(1+$B21)^('DCF Model'!C19+4)+('DCF Model'!G39+'DCF Model'!G42)*H$17/(1+$B21)^('DCF Model'!C19+4)-'DCF Model'!C16)*1000000/'DCF Model'!C15,0),"")</f>
        <v>2033</v>
      </c>
      <c r="I21" s="37">
        <f>IFERROR(ROUND(('DCF Model'!C45/(1+$B21)^('DCF Model'!C19+0)+'DCF Model'!D45/(1+$B21)^('DCF Model'!C19+1)+'DCF Model'!E45/(1+$B21)^('DCF Model'!C19+2)+'DCF Model'!F45/(1+$B21)^('DCF Model'!C19+3)+'DCF Model'!G45/(1+$B21)^('DCF Model'!C19+4)+('DCF Model'!G39+'DCF Model'!G42)*I$17/(1+$B21)^('DCF Model'!C19+4)-'DCF Model'!C16)*1000000/'DCF Model'!C15,0),"")</f>
        <v>2501</v>
      </c>
    </row>
    <row r="22" spans="2:9" ht="13.5" customHeight="1" x14ac:dyDescent="0.25">
      <c r="B22" s="39">
        <f>$C$3+0.005</f>
        <v>4.5606343369340378E-2</v>
      </c>
      <c r="C22" s="37">
        <f>IFERROR(ROUND(('DCF Model'!C45/(1+$B22)^('DCF Model'!C19+0)+'DCF Model'!D45/(1+$B22)^('DCF Model'!C19+1)+'DCF Model'!E45/(1+$B22)^('DCF Model'!C19+2)+'DCF Model'!F45/(1+$B22)^('DCF Model'!C19+3)+'DCF Model'!G45/(1+$B22)^('DCF Model'!C19+4)+('DCF Model'!G39+'DCF Model'!G42)*C$17/(1+$B22)^('DCF Model'!C19+4)-'DCF Model'!C16)*1000000/'DCF Model'!C15,0),"")</f>
        <v>-376</v>
      </c>
      <c r="D22" s="37">
        <f>IFERROR(ROUND(('DCF Model'!C45/(1+$B22)^('DCF Model'!C19+0)+'DCF Model'!D45/(1+$B22)^('DCF Model'!C19+1)+'DCF Model'!E45/(1+$B22)^('DCF Model'!C19+2)+'DCF Model'!F45/(1+$B22)^('DCF Model'!C19+3)+'DCF Model'!G45/(1+$B22)^('DCF Model'!C19+4)+('DCF Model'!G39+'DCF Model'!G42)*D$17/(1+$B22)^('DCF Model'!C19+4)-'DCF Model'!C16)*1000000/'DCF Model'!C15,0),"")</f>
        <v>81</v>
      </c>
      <c r="E22" s="37">
        <f>IFERROR(ROUND(('DCF Model'!C45/(1+$B22)^('DCF Model'!C19+0)+'DCF Model'!D45/(1+$B22)^('DCF Model'!C19+1)+'DCF Model'!E45/(1+$B22)^('DCF Model'!C19+2)+'DCF Model'!F45/(1+$B22)^('DCF Model'!C19+3)+'DCF Model'!G45/(1+$B22)^('DCF Model'!C19+4)+('DCF Model'!G39+'DCF Model'!G42)*E$17/(1+$B22)^('DCF Model'!C19+4)-'DCF Model'!C16)*1000000/'DCF Model'!C15,0),"")</f>
        <v>538</v>
      </c>
      <c r="F22" s="37">
        <f>IFERROR(ROUND(('DCF Model'!C45/(1+$B22)^('DCF Model'!C19+0)+'DCF Model'!D45/(1+$B22)^('DCF Model'!C19+1)+'DCF Model'!E45/(1+$B22)^('DCF Model'!C19+2)+'DCF Model'!F45/(1+$B22)^('DCF Model'!C19+3)+'DCF Model'!G45/(1+$B22)^('DCF Model'!C19+4)+('DCF Model'!G39+'DCF Model'!G42)*F$17/(1+$B22)^('DCF Model'!C19+4)-'DCF Model'!C16)*1000000/'DCF Model'!C15,0),"")</f>
        <v>995</v>
      </c>
      <c r="G22" s="37">
        <f>IFERROR(ROUND(('DCF Model'!C45/(1+$B22)^('DCF Model'!C19+0)+'DCF Model'!D45/(1+$B22)^('DCF Model'!C19+1)+'DCF Model'!E45/(1+$B22)^('DCF Model'!C19+2)+'DCF Model'!F45/(1+$B22)^('DCF Model'!C19+3)+'DCF Model'!G45/(1+$B22)^('DCF Model'!C19+4)+('DCF Model'!G39+'DCF Model'!G42)*G$17/(1+$B22)^('DCF Model'!C19+4)-'DCF Model'!C16)*1000000/'DCF Model'!C15,0),"")</f>
        <v>1451</v>
      </c>
      <c r="H22" s="37">
        <f>IFERROR(ROUND(('DCF Model'!C45/(1+$B22)^('DCF Model'!C19+0)+'DCF Model'!D45/(1+$B22)^('DCF Model'!C19+1)+'DCF Model'!E45/(1+$B22)^('DCF Model'!C19+2)+'DCF Model'!F45/(1+$B22)^('DCF Model'!C19+3)+'DCF Model'!G45/(1+$B22)^('DCF Model'!C19+4)+('DCF Model'!G39+'DCF Model'!G42)*H$17/(1+$B22)^('DCF Model'!C19+4)-'DCF Model'!C16)*1000000/'DCF Model'!C15,0),"")</f>
        <v>1908</v>
      </c>
      <c r="I22" s="37">
        <f>IFERROR(ROUND(('DCF Model'!C45/(1+$B22)^('DCF Model'!C19+0)+'DCF Model'!D45/(1+$B22)^('DCF Model'!C19+1)+'DCF Model'!E45/(1+$B22)^('DCF Model'!C19+2)+'DCF Model'!F45/(1+$B22)^('DCF Model'!C19+3)+'DCF Model'!G45/(1+$B22)^('DCF Model'!C19+4)+('DCF Model'!G39+'DCF Model'!G42)*I$17/(1+$B22)^('DCF Model'!C19+4)-'DCF Model'!C16)*1000000/'DCF Model'!C15,0),"")</f>
        <v>2365</v>
      </c>
    </row>
    <row r="23" spans="2:9" ht="13.5" customHeight="1" x14ac:dyDescent="0.25">
      <c r="B23" s="39">
        <f>$C$3+0.01</f>
        <v>5.0606343369340383E-2</v>
      </c>
      <c r="C23" s="37">
        <f>IFERROR(ROUND(('DCF Model'!C45/(1+$B23)^('DCF Model'!C19+0)+'DCF Model'!D45/(1+$B23)^('DCF Model'!C19+1)+'DCF Model'!E45/(1+$B23)^('DCF Model'!C19+2)+'DCF Model'!F45/(1+$B23)^('DCF Model'!C19+3)+'DCF Model'!G45/(1+$B23)^('DCF Model'!C19+4)+('DCF Model'!G39+'DCF Model'!G42)*C$17/(1+$B23)^('DCF Model'!C19+4)-'DCF Model'!C16)*1000000/'DCF Model'!C15,0),"")</f>
        <v>-443</v>
      </c>
      <c r="D23" s="37">
        <f>IFERROR(ROUND(('DCF Model'!C45/(1+$B23)^('DCF Model'!C19+0)+'DCF Model'!D45/(1+$B23)^('DCF Model'!C19+1)+'DCF Model'!E45/(1+$B23)^('DCF Model'!C19+2)+'DCF Model'!F45/(1+$B23)^('DCF Model'!C19+3)+'DCF Model'!G45/(1+$B23)^('DCF Model'!C19+4)+('DCF Model'!G39+'DCF Model'!G42)*D$17/(1+$B23)^('DCF Model'!C19+4)-'DCF Model'!C16)*1000000/'DCF Model'!C15,0),"")</f>
        <v>3</v>
      </c>
      <c r="E23" s="37">
        <f>IFERROR(ROUND(('DCF Model'!C45/(1+$B23)^('DCF Model'!C19+0)+'DCF Model'!D45/(1+$B23)^('DCF Model'!C19+1)+'DCF Model'!E45/(1+$B23)^('DCF Model'!C19+2)+'DCF Model'!F45/(1+$B23)^('DCF Model'!C19+3)+'DCF Model'!G45/(1+$B23)^('DCF Model'!C19+4)+('DCF Model'!G39+'DCF Model'!G42)*E$17/(1+$B23)^('DCF Model'!C19+4)-'DCF Model'!C16)*1000000/'DCF Model'!C15,0),"")</f>
        <v>449</v>
      </c>
      <c r="F23" s="37">
        <f>IFERROR(ROUND(('DCF Model'!C45/(1+$B23)^('DCF Model'!C19+0)+'DCF Model'!D45/(1+$B23)^('DCF Model'!C19+1)+'DCF Model'!E45/(1+$B23)^('DCF Model'!C19+2)+'DCF Model'!F45/(1+$B23)^('DCF Model'!C19+3)+'DCF Model'!G45/(1+$B23)^('DCF Model'!C19+4)+('DCF Model'!G39+'DCF Model'!G42)*F$17/(1+$B23)^('DCF Model'!C19+4)-'DCF Model'!C16)*1000000/'DCF Model'!C15,0),"")</f>
        <v>895</v>
      </c>
      <c r="G23" s="37">
        <f>IFERROR(ROUND(('DCF Model'!C45/(1+$B23)^('DCF Model'!C19+0)+'DCF Model'!D45/(1+$B23)^('DCF Model'!C19+1)+'DCF Model'!E45/(1+$B23)^('DCF Model'!C19+2)+'DCF Model'!F45/(1+$B23)^('DCF Model'!C19+3)+'DCF Model'!G45/(1+$B23)^('DCF Model'!C19+4)+('DCF Model'!G39+'DCF Model'!G42)*G$17/(1+$B23)^('DCF Model'!C19+4)-'DCF Model'!C16)*1000000/'DCF Model'!C15,0),"")</f>
        <v>1341</v>
      </c>
      <c r="H23" s="37">
        <f>IFERROR(ROUND(('DCF Model'!C45/(1+$B23)^('DCF Model'!C19+0)+'DCF Model'!D45/(1+$B23)^('DCF Model'!C19+1)+'DCF Model'!E45/(1+$B23)^('DCF Model'!C19+2)+'DCF Model'!F45/(1+$B23)^('DCF Model'!C19+3)+'DCF Model'!G45/(1+$B23)^('DCF Model'!C19+4)+('DCF Model'!G39+'DCF Model'!G42)*H$17/(1+$B23)^('DCF Model'!C19+4)-'DCF Model'!C16)*1000000/'DCF Model'!C15,0),"")</f>
        <v>1787</v>
      </c>
      <c r="I23" s="37">
        <f>IFERROR(ROUND(('DCF Model'!C45/(1+$B23)^('DCF Model'!C19+0)+'DCF Model'!D45/(1+$B23)^('DCF Model'!C19+1)+'DCF Model'!E45/(1+$B23)^('DCF Model'!C19+2)+'DCF Model'!F45/(1+$B23)^('DCF Model'!C19+3)+'DCF Model'!G45/(1+$B23)^('DCF Model'!C19+4)+('DCF Model'!G39+'DCF Model'!G42)*I$17/(1+$B23)^('DCF Model'!C19+4)-'DCF Model'!C16)*1000000/'DCF Model'!C15,0),"")</f>
        <v>2233</v>
      </c>
    </row>
    <row r="24" spans="2:9" ht="13.5" customHeight="1" x14ac:dyDescent="0.25">
      <c r="B24" s="39">
        <f>$C$3+0.015</f>
        <v>5.560634336934038E-2</v>
      </c>
      <c r="C24" s="37">
        <f>IFERROR(ROUND(('DCF Model'!C45/(1+$B24)^('DCF Model'!C19+0)+'DCF Model'!D45/(1+$B24)^('DCF Model'!C19+1)+'DCF Model'!E45/(1+$B24)^('DCF Model'!C19+2)+'DCF Model'!F45/(1+$B24)^('DCF Model'!C19+3)+'DCF Model'!G45/(1+$B24)^('DCF Model'!C19+4)+('DCF Model'!G39+'DCF Model'!G42)*C$17/(1+$B24)^('DCF Model'!C19+4)-'DCF Model'!C16)*1000000/'DCF Model'!C15,0),"")</f>
        <v>-509</v>
      </c>
      <c r="D24" s="37">
        <f>IFERROR(ROUND(('DCF Model'!C45/(1+$B24)^('DCF Model'!C19+0)+'DCF Model'!D45/(1+$B24)^('DCF Model'!C19+1)+'DCF Model'!E45/(1+$B24)^('DCF Model'!C19+2)+'DCF Model'!F45/(1+$B24)^('DCF Model'!C19+3)+'DCF Model'!G45/(1+$B24)^('DCF Model'!C19+4)+('DCF Model'!G39+'DCF Model'!G42)*D$17/(1+$B24)^('DCF Model'!C19+4)-'DCF Model'!C16)*1000000/'DCF Model'!C15,0),"")</f>
        <v>-73</v>
      </c>
      <c r="E24" s="37">
        <f>IFERROR(ROUND(('DCF Model'!C45/(1+$B24)^('DCF Model'!C19+0)+'DCF Model'!D45/(1+$B24)^('DCF Model'!C19+1)+'DCF Model'!E45/(1+$B24)^('DCF Model'!C19+2)+'DCF Model'!F45/(1+$B24)^('DCF Model'!C19+3)+'DCF Model'!G45/(1+$B24)^('DCF Model'!C19+4)+('DCF Model'!G39+'DCF Model'!G42)*E$17/(1+$B24)^('DCF Model'!C19+4)-'DCF Model'!C16)*1000000/'DCF Model'!C15,0),"")</f>
        <v>362</v>
      </c>
      <c r="F24" s="37">
        <f>IFERROR(ROUND(('DCF Model'!C45/(1+$B24)^('DCF Model'!C19+0)+'DCF Model'!D45/(1+$B24)^('DCF Model'!C19+1)+'DCF Model'!E45/(1+$B24)^('DCF Model'!C19+2)+'DCF Model'!F45/(1+$B24)^('DCF Model'!C19+3)+'DCF Model'!G45/(1+$B24)^('DCF Model'!C19+4)+('DCF Model'!G39+'DCF Model'!G42)*F$17/(1+$B24)^('DCF Model'!C19+4)-'DCF Model'!C16)*1000000/'DCF Model'!C15,0),"")</f>
        <v>798</v>
      </c>
      <c r="G24" s="37">
        <f>IFERROR(ROUND(('DCF Model'!C45/(1+$B24)^('DCF Model'!C19+0)+'DCF Model'!D45/(1+$B24)^('DCF Model'!C19+1)+'DCF Model'!E45/(1+$B24)^('DCF Model'!C19+2)+'DCF Model'!F45/(1+$B24)^('DCF Model'!C19+3)+'DCF Model'!G45/(1+$B24)^('DCF Model'!C19+4)+('DCF Model'!G39+'DCF Model'!G42)*G$17/(1+$B24)^('DCF Model'!C19+4)-'DCF Model'!C16)*1000000/'DCF Model'!C15,0),"")</f>
        <v>1233</v>
      </c>
      <c r="H24" s="37">
        <f>IFERROR(ROUND(('DCF Model'!C45/(1+$B24)^('DCF Model'!C19+0)+'DCF Model'!D45/(1+$B24)^('DCF Model'!C19+1)+'DCF Model'!E45/(1+$B24)^('DCF Model'!C19+2)+'DCF Model'!F45/(1+$B24)^('DCF Model'!C19+3)+'DCF Model'!G45/(1+$B24)^('DCF Model'!C19+4)+('DCF Model'!G39+'DCF Model'!G42)*H$17/(1+$B24)^('DCF Model'!C19+4)-'DCF Model'!C16)*1000000/'DCF Model'!C15,0),"")</f>
        <v>1669</v>
      </c>
      <c r="I24" s="37">
        <f>IFERROR(ROUND(('DCF Model'!C45/(1+$B24)^('DCF Model'!C19+0)+'DCF Model'!D45/(1+$B24)^('DCF Model'!C19+1)+'DCF Model'!E45/(1+$B24)^('DCF Model'!C19+2)+'DCF Model'!F45/(1+$B24)^('DCF Model'!C19+3)+'DCF Model'!G45/(1+$B24)^('DCF Model'!C19+4)+('DCF Model'!G39+'DCF Model'!G42)*I$17/(1+$B24)^('DCF Model'!C19+4)-'DCF Model'!C16)*1000000/'DCF Model'!C15,0),"")</f>
        <v>2104</v>
      </c>
    </row>
    <row r="26" spans="2:9" ht="14" customHeight="1" x14ac:dyDescent="0.3">
      <c r="B26" s="47" t="s">
        <v>245</v>
      </c>
      <c r="C26" s="46"/>
      <c r="D26" s="46"/>
      <c r="E26" s="46"/>
      <c r="F26" s="46"/>
      <c r="G26" s="46"/>
      <c r="H26" s="46"/>
      <c r="I26" s="46"/>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3"/>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246</v>
      </c>
    </row>
    <row r="4" spans="2:7" ht="14" customHeight="1" x14ac:dyDescent="0.3">
      <c r="B4" s="10" t="s">
        <v>247</v>
      </c>
      <c r="C4" s="10" t="s">
        <v>248</v>
      </c>
      <c r="D4" s="10" t="s">
        <v>249</v>
      </c>
      <c r="E4" s="10" t="s">
        <v>250</v>
      </c>
      <c r="F4" s="10" t="s">
        <v>251</v>
      </c>
      <c r="G4" s="10" t="s">
        <v>252</v>
      </c>
    </row>
    <row r="5" spans="2:7" x14ac:dyDescent="0.2">
      <c r="B5" t="s">
        <v>253</v>
      </c>
      <c r="C5" t="s">
        <v>254</v>
      </c>
      <c r="D5" t="s">
        <v>255</v>
      </c>
      <c r="E5" t="s">
        <v>256</v>
      </c>
      <c r="F5" t="s">
        <v>254</v>
      </c>
      <c r="G5" t="s">
        <v>257</v>
      </c>
    </row>
    <row r="6" spans="2:7" ht="30" customHeight="1" x14ac:dyDescent="0.3">
      <c r="B6" s="44" t="s">
        <v>258</v>
      </c>
      <c r="C6" s="4" t="s">
        <v>259</v>
      </c>
      <c r="D6" s="44" t="s">
        <v>260</v>
      </c>
      <c r="E6" s="44" t="s">
        <v>261</v>
      </c>
      <c r="F6" s="44" t="s">
        <v>262</v>
      </c>
      <c r="G6" s="44" t="s">
        <v>263</v>
      </c>
    </row>
    <row r="7" spans="2:7" ht="30" customHeight="1" x14ac:dyDescent="0.3">
      <c r="B7" s="44" t="s">
        <v>258</v>
      </c>
      <c r="C7" s="4" t="s">
        <v>264</v>
      </c>
      <c r="D7" s="44" t="s">
        <v>265</v>
      </c>
      <c r="E7" s="44" t="s">
        <v>266</v>
      </c>
      <c r="F7" s="44" t="s">
        <v>267</v>
      </c>
      <c r="G7" s="44" t="s">
        <v>268</v>
      </c>
    </row>
    <row r="8" spans="2:7" ht="30" customHeight="1" x14ac:dyDescent="0.3">
      <c r="B8" s="44" t="s">
        <v>258</v>
      </c>
      <c r="C8" s="4" t="s">
        <v>269</v>
      </c>
      <c r="D8" s="44" t="s">
        <v>270</v>
      </c>
      <c r="E8" s="44" t="s">
        <v>271</v>
      </c>
      <c r="F8" s="44" t="s">
        <v>272</v>
      </c>
      <c r="G8" s="44" t="s">
        <v>268</v>
      </c>
    </row>
    <row r="9" spans="2:7" ht="30" customHeight="1" x14ac:dyDescent="0.3">
      <c r="B9" s="44" t="s">
        <v>258</v>
      </c>
      <c r="C9" s="4" t="s">
        <v>273</v>
      </c>
      <c r="D9" s="44" t="s">
        <v>274</v>
      </c>
      <c r="E9" s="44" t="s">
        <v>275</v>
      </c>
      <c r="F9" s="44" t="s">
        <v>276</v>
      </c>
      <c r="G9" s="44" t="s">
        <v>277</v>
      </c>
    </row>
    <row r="10" spans="2:7" ht="30" customHeight="1" x14ac:dyDescent="0.3">
      <c r="B10" s="44" t="s">
        <v>258</v>
      </c>
      <c r="C10" s="4" t="s">
        <v>278</v>
      </c>
      <c r="D10" s="44" t="s">
        <v>279</v>
      </c>
      <c r="E10" s="44" t="s">
        <v>280</v>
      </c>
      <c r="F10" s="44" t="s">
        <v>281</v>
      </c>
      <c r="G10" s="44" t="s">
        <v>282</v>
      </c>
    </row>
    <row r="11" spans="2:7" ht="30" customHeight="1" x14ac:dyDescent="0.3">
      <c r="B11" s="44" t="s">
        <v>258</v>
      </c>
      <c r="C11" s="4" t="s">
        <v>283</v>
      </c>
      <c r="D11" s="44" t="s">
        <v>284</v>
      </c>
      <c r="E11" s="44" t="s">
        <v>285</v>
      </c>
      <c r="F11" s="44" t="s">
        <v>286</v>
      </c>
      <c r="G11" s="44" t="s">
        <v>287</v>
      </c>
    </row>
    <row r="12" spans="2:7" ht="30" customHeight="1" x14ac:dyDescent="0.3">
      <c r="B12" s="44" t="s">
        <v>258</v>
      </c>
      <c r="C12" s="4" t="s">
        <v>288</v>
      </c>
      <c r="D12" s="44" t="s">
        <v>289</v>
      </c>
      <c r="E12" s="44" t="s">
        <v>290</v>
      </c>
      <c r="F12" s="44" t="s">
        <v>291</v>
      </c>
      <c r="G12" s="44" t="s">
        <v>268</v>
      </c>
    </row>
    <row r="13" spans="2:7" ht="30" customHeight="1" x14ac:dyDescent="0.3">
      <c r="B13" s="44" t="s">
        <v>258</v>
      </c>
      <c r="C13" s="4" t="s">
        <v>292</v>
      </c>
      <c r="D13" s="44" t="s">
        <v>293</v>
      </c>
      <c r="E13" s="44" t="s">
        <v>294</v>
      </c>
      <c r="F13" s="44" t="s">
        <v>295</v>
      </c>
      <c r="G13" s="44" t="s">
        <v>268</v>
      </c>
    </row>
    <row r="14" spans="2:7" ht="30" customHeight="1" x14ac:dyDescent="0.3">
      <c r="B14" s="44" t="s">
        <v>258</v>
      </c>
      <c r="C14" s="4" t="s">
        <v>296</v>
      </c>
      <c r="D14" s="44" t="s">
        <v>297</v>
      </c>
      <c r="E14" s="44" t="s">
        <v>298</v>
      </c>
      <c r="F14" s="44" t="s">
        <v>254</v>
      </c>
      <c r="G14" s="44" t="s">
        <v>268</v>
      </c>
    </row>
    <row r="15" spans="2:7" ht="30" customHeight="1" x14ac:dyDescent="0.3">
      <c r="B15" s="44" t="s">
        <v>258</v>
      </c>
      <c r="C15" s="4" t="s">
        <v>299</v>
      </c>
      <c r="D15" s="44" t="s">
        <v>300</v>
      </c>
      <c r="E15" s="44" t="s">
        <v>301</v>
      </c>
      <c r="F15" s="44" t="s">
        <v>302</v>
      </c>
      <c r="G15" s="44" t="s">
        <v>268</v>
      </c>
    </row>
    <row r="16" spans="2:7" ht="30" customHeight="1" x14ac:dyDescent="0.3">
      <c r="B16" s="44" t="s">
        <v>258</v>
      </c>
      <c r="C16" s="4" t="s">
        <v>303</v>
      </c>
      <c r="D16" s="44" t="s">
        <v>304</v>
      </c>
      <c r="E16" s="44" t="s">
        <v>305</v>
      </c>
      <c r="F16" s="44" t="s">
        <v>254</v>
      </c>
      <c r="G16" s="44" t="s">
        <v>306</v>
      </c>
    </row>
    <row r="17" spans="2:7" ht="30" customHeight="1" x14ac:dyDescent="0.3">
      <c r="B17" s="44" t="s">
        <v>258</v>
      </c>
      <c r="C17" s="4" t="s">
        <v>307</v>
      </c>
      <c r="D17" s="44" t="s">
        <v>308</v>
      </c>
      <c r="E17" s="44" t="s">
        <v>309</v>
      </c>
      <c r="F17" s="44" t="s">
        <v>272</v>
      </c>
      <c r="G17" s="44" t="s">
        <v>268</v>
      </c>
    </row>
    <row r="18" spans="2:7" ht="30" customHeight="1" x14ac:dyDescent="0.3">
      <c r="B18" s="44" t="s">
        <v>258</v>
      </c>
      <c r="C18" s="4" t="s">
        <v>310</v>
      </c>
      <c r="D18" s="44" t="s">
        <v>311</v>
      </c>
      <c r="E18" s="44" t="s">
        <v>312</v>
      </c>
      <c r="F18" s="44" t="s">
        <v>254</v>
      </c>
      <c r="G18" s="44" t="s">
        <v>268</v>
      </c>
    </row>
    <row r="19" spans="2:7" ht="30" customHeight="1" x14ac:dyDescent="0.3">
      <c r="B19" s="44" t="s">
        <v>258</v>
      </c>
      <c r="C19" s="4" t="s">
        <v>313</v>
      </c>
      <c r="D19" s="44" t="s">
        <v>314</v>
      </c>
      <c r="E19" s="44" t="s">
        <v>315</v>
      </c>
      <c r="F19" s="44" t="s">
        <v>254</v>
      </c>
      <c r="G19" s="44" t="s">
        <v>263</v>
      </c>
    </row>
    <row r="20" spans="2:7" ht="30" customHeight="1" x14ac:dyDescent="0.3">
      <c r="B20" s="44" t="s">
        <v>258</v>
      </c>
      <c r="C20" s="4" t="s">
        <v>316</v>
      </c>
      <c r="D20" s="44" t="s">
        <v>317</v>
      </c>
      <c r="E20" s="44" t="s">
        <v>318</v>
      </c>
      <c r="F20" s="44" t="s">
        <v>254</v>
      </c>
      <c r="G20" s="44" t="s">
        <v>319</v>
      </c>
    </row>
    <row r="21" spans="2:7" ht="30" customHeight="1" x14ac:dyDescent="0.3">
      <c r="B21" s="44" t="s">
        <v>258</v>
      </c>
      <c r="C21" s="4" t="s">
        <v>320</v>
      </c>
      <c r="D21" s="44" t="s">
        <v>321</v>
      </c>
      <c r="E21" s="44" t="s">
        <v>322</v>
      </c>
      <c r="F21" s="44" t="s">
        <v>254</v>
      </c>
      <c r="G21" s="44" t="s">
        <v>323</v>
      </c>
    </row>
    <row r="22" spans="2:7" ht="30" customHeight="1" x14ac:dyDescent="0.3">
      <c r="B22" s="44" t="s">
        <v>258</v>
      </c>
      <c r="C22" s="4" t="s">
        <v>320</v>
      </c>
      <c r="D22" s="44" t="s">
        <v>324</v>
      </c>
      <c r="E22" s="44" t="s">
        <v>325</v>
      </c>
      <c r="F22" s="44" t="s">
        <v>254</v>
      </c>
      <c r="G22" s="44" t="s">
        <v>323</v>
      </c>
    </row>
    <row r="23" spans="2:7" ht="30" customHeight="1" x14ac:dyDescent="0.3">
      <c r="B23" s="44" t="s">
        <v>258</v>
      </c>
      <c r="C23" s="4" t="s">
        <v>320</v>
      </c>
      <c r="D23" s="44" t="s">
        <v>326</v>
      </c>
      <c r="E23" s="44" t="s">
        <v>327</v>
      </c>
      <c r="F23" s="44" t="s">
        <v>254</v>
      </c>
      <c r="G23" s="44" t="s">
        <v>323</v>
      </c>
    </row>
    <row r="24" spans="2:7" ht="14" customHeight="1" x14ac:dyDescent="0.2"/>
    <row r="25" spans="2:7" ht="14" customHeight="1" x14ac:dyDescent="0.3">
      <c r="B25" s="8" t="s">
        <v>328</v>
      </c>
    </row>
    <row r="26" spans="2:7" ht="14" customHeight="1" x14ac:dyDescent="0.3">
      <c r="B26" s="10" t="s">
        <v>329</v>
      </c>
      <c r="C26" s="10" t="s">
        <v>330</v>
      </c>
    </row>
    <row r="27" spans="2:7" ht="14" customHeight="1" x14ac:dyDescent="0.3">
      <c r="B27" s="4" t="s">
        <v>331</v>
      </c>
      <c r="C27" t="s">
        <v>332</v>
      </c>
    </row>
    <row r="28" spans="2:7" ht="14" customHeight="1" x14ac:dyDescent="0.3">
      <c r="B28" s="4" t="s">
        <v>333</v>
      </c>
      <c r="C28" t="s">
        <v>334</v>
      </c>
    </row>
    <row r="29" spans="2:7" ht="14" customHeight="1" x14ac:dyDescent="0.3">
      <c r="B29" s="4" t="s">
        <v>335</v>
      </c>
      <c r="C29" t="s">
        <v>336</v>
      </c>
    </row>
    <row r="30" spans="2:7" ht="14" customHeight="1" x14ac:dyDescent="0.3">
      <c r="B30" s="4" t="s">
        <v>337</v>
      </c>
      <c r="C30" t="s">
        <v>338</v>
      </c>
    </row>
    <row r="31" spans="2:7" ht="14" customHeight="1" x14ac:dyDescent="0.3">
      <c r="B31" s="4" t="s">
        <v>339</v>
      </c>
      <c r="C31" t="s">
        <v>4</v>
      </c>
    </row>
    <row r="32" spans="2:7" ht="14" customHeight="1" x14ac:dyDescent="0.3">
      <c r="B32" s="4" t="s">
        <v>340</v>
      </c>
      <c r="C32" t="s">
        <v>253</v>
      </c>
    </row>
    <row r="33" spans="2:3" ht="14" customHeight="1" x14ac:dyDescent="0.3">
      <c r="B33" s="4" t="s">
        <v>341</v>
      </c>
      <c r="C33" t="s">
        <v>342</v>
      </c>
    </row>
    <row r="34" spans="2:3" ht="14" customHeight="1" x14ac:dyDescent="0.3">
      <c r="B34" s="4" t="s">
        <v>343</v>
      </c>
      <c r="C34" t="s">
        <v>344</v>
      </c>
    </row>
    <row r="35" spans="2:3" ht="14" customHeight="1" x14ac:dyDescent="0.3">
      <c r="B35" s="4" t="s">
        <v>345</v>
      </c>
      <c r="C35" t="s">
        <v>346</v>
      </c>
    </row>
    <row r="36" spans="2:3" ht="14" customHeight="1" x14ac:dyDescent="0.3">
      <c r="B36" s="4" t="s">
        <v>347</v>
      </c>
      <c r="C36" t="s">
        <v>348</v>
      </c>
    </row>
    <row r="37" spans="2:3" ht="14" customHeight="1" x14ac:dyDescent="0.3">
      <c r="B37" s="4" t="s">
        <v>349</v>
      </c>
      <c r="C37" t="s">
        <v>350</v>
      </c>
    </row>
    <row r="38" spans="2:3" ht="14" customHeight="1" x14ac:dyDescent="0.3">
      <c r="B38" s="4" t="s">
        <v>351</v>
      </c>
      <c r="C38" t="s">
        <v>346</v>
      </c>
    </row>
    <row r="39" spans="2:3" ht="14" customHeight="1" x14ac:dyDescent="0.3">
      <c r="B39" s="4" t="s">
        <v>352</v>
      </c>
      <c r="C39" t="s">
        <v>342</v>
      </c>
    </row>
    <row r="40" spans="2:3" ht="14" customHeight="1" x14ac:dyDescent="0.3">
      <c r="B40" s="4" t="s">
        <v>353</v>
      </c>
      <c r="C40" t="s">
        <v>354</v>
      </c>
    </row>
    <row r="41" spans="2:3" ht="14" customHeight="1" x14ac:dyDescent="0.3">
      <c r="B41" s="4" t="s">
        <v>355</v>
      </c>
      <c r="C41" t="s">
        <v>356</v>
      </c>
    </row>
    <row r="42" spans="2:3" ht="14" customHeight="1" x14ac:dyDescent="0.3">
      <c r="B42" s="4" t="s">
        <v>357</v>
      </c>
      <c r="C42" t="s">
        <v>358</v>
      </c>
    </row>
    <row r="43" spans="2:3" ht="14" customHeight="1" x14ac:dyDescent="0.3">
      <c r="B43" s="4" t="s">
        <v>359</v>
      </c>
      <c r="C43" t="s">
        <v>360</v>
      </c>
    </row>
    <row r="44" spans="2:3" ht="14" customHeight="1" x14ac:dyDescent="0.3">
      <c r="B44" s="4" t="s">
        <v>361</v>
      </c>
      <c r="C44" t="s">
        <v>362</v>
      </c>
    </row>
    <row r="45" spans="2:3" ht="14" customHeight="1" x14ac:dyDescent="0.3">
      <c r="B45" s="4" t="s">
        <v>363</v>
      </c>
      <c r="C45" t="s">
        <v>364</v>
      </c>
    </row>
    <row r="46" spans="2:3" ht="14" customHeight="1" x14ac:dyDescent="0.3">
      <c r="B46" s="4" t="s">
        <v>365</v>
      </c>
      <c r="C46" t="s">
        <v>366</v>
      </c>
    </row>
    <row r="47" spans="2:3" ht="14" customHeight="1" x14ac:dyDescent="0.3">
      <c r="B47" s="4" t="s">
        <v>367</v>
      </c>
      <c r="C47" t="s">
        <v>368</v>
      </c>
    </row>
    <row r="48" spans="2:3" ht="14" customHeight="1" x14ac:dyDescent="0.3">
      <c r="B48" s="4" t="s">
        <v>369</v>
      </c>
      <c r="C48" t="s">
        <v>370</v>
      </c>
    </row>
    <row r="49" spans="2:3" ht="14" customHeight="1" x14ac:dyDescent="0.3">
      <c r="B49" s="4" t="s">
        <v>371</v>
      </c>
      <c r="C49" t="s">
        <v>372</v>
      </c>
    </row>
    <row r="50" spans="2:3" ht="14" customHeight="1" x14ac:dyDescent="0.3">
      <c r="B50" s="4" t="s">
        <v>373</v>
      </c>
      <c r="C50" t="s">
        <v>374</v>
      </c>
    </row>
    <row r="51" spans="2:3" ht="14" x14ac:dyDescent="0.3">
      <c r="B51" s="4" t="s">
        <v>375</v>
      </c>
      <c r="C51" t="s">
        <v>376</v>
      </c>
    </row>
    <row r="52" spans="2:3" ht="14" x14ac:dyDescent="0.3">
      <c r="B52" s="4" t="s">
        <v>377</v>
      </c>
      <c r="C52" t="s">
        <v>378</v>
      </c>
    </row>
    <row r="53" spans="2:3" ht="14" x14ac:dyDescent="0.3">
      <c r="B53" s="4" t="s">
        <v>379</v>
      </c>
      <c r="C53" t="s">
        <v>380</v>
      </c>
    </row>
    <row r="54" spans="2:3" ht="14" x14ac:dyDescent="0.3">
      <c r="B54" s="4" t="s">
        <v>381</v>
      </c>
      <c r="C54" t="s">
        <v>382</v>
      </c>
    </row>
    <row r="55" spans="2:3" ht="14" x14ac:dyDescent="0.3">
      <c r="B55" s="4" t="s">
        <v>383</v>
      </c>
      <c r="C55" t="s">
        <v>384</v>
      </c>
    </row>
    <row r="56" spans="2:3" ht="14" x14ac:dyDescent="0.3">
      <c r="B56" s="4" t="s">
        <v>385</v>
      </c>
      <c r="C56" t="s">
        <v>386</v>
      </c>
    </row>
    <row r="57" spans="2:3" ht="14" x14ac:dyDescent="0.3">
      <c r="B57" s="4" t="s">
        <v>387</v>
      </c>
      <c r="C57" t="s">
        <v>388</v>
      </c>
    </row>
    <row r="58" spans="2:3" ht="14" x14ac:dyDescent="0.3">
      <c r="B58" s="4" t="s">
        <v>389</v>
      </c>
      <c r="C58" t="s">
        <v>342</v>
      </c>
    </row>
    <row r="59" spans="2:3" ht="14" x14ac:dyDescent="0.3">
      <c r="B59" s="4" t="s">
        <v>390</v>
      </c>
      <c r="C59" t="s">
        <v>391</v>
      </c>
    </row>
    <row r="60" spans="2:3" ht="14" x14ac:dyDescent="0.3">
      <c r="B60" s="4" t="s">
        <v>392</v>
      </c>
      <c r="C60" t="s">
        <v>393</v>
      </c>
    </row>
    <row r="61" spans="2:3" ht="14" x14ac:dyDescent="0.3">
      <c r="B61" s="4" t="s">
        <v>394</v>
      </c>
      <c r="C61" t="s">
        <v>395</v>
      </c>
    </row>
    <row r="62" spans="2:3" ht="14" x14ac:dyDescent="0.3">
      <c r="B62" s="4" t="s">
        <v>396</v>
      </c>
      <c r="C62" t="s">
        <v>397</v>
      </c>
    </row>
    <row r="63" spans="2:3" ht="14" x14ac:dyDescent="0.3">
      <c r="B63" s="4" t="s">
        <v>398</v>
      </c>
      <c r="C63"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2026-09-06T03:02:40Z</dcterms:created>
  <dcterms:modified xsi:type="dcterms:W3CDTF">2026-09-06T04:41:35Z</dcterms:modified>
</cp:coreProperties>
</file>