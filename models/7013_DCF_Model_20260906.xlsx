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6255579F-2BC0-4771-8D15-34F6FCA4794C}"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N6" i="6"/>
  <c r="M6" i="6"/>
  <c r="L6" i="6"/>
  <c r="K6" i="6"/>
  <c r="J6" i="6"/>
  <c r="O5" i="6"/>
  <c r="N5" i="6"/>
  <c r="D5" i="6"/>
  <c r="E5" i="6" s="1"/>
  <c r="C16" i="5"/>
  <c r="C14" i="5"/>
  <c r="C18" i="5" s="1"/>
  <c r="C7" i="5"/>
  <c r="C6" i="5"/>
  <c r="C5" i="5"/>
  <c r="C13" i="4"/>
  <c r="C12" i="4"/>
  <c r="C9" i="4"/>
  <c r="C7" i="4"/>
  <c r="C6" i="4"/>
  <c r="C8" i="4" s="1"/>
  <c r="C10" i="4" s="1"/>
  <c r="D27" i="3"/>
  <c r="G5" i="5" s="1"/>
  <c r="C25" i="3"/>
  <c r="C24" i="3"/>
  <c r="C23" i="3"/>
  <c r="C26" i="3" s="1"/>
  <c r="F28" i="2"/>
  <c r="E28" i="2"/>
  <c r="D28" i="2"/>
  <c r="C28" i="2"/>
  <c r="F23" i="2"/>
  <c r="E23" i="2"/>
  <c r="D23" i="2"/>
  <c r="C23" i="2"/>
  <c r="F22" i="2"/>
  <c r="F21" i="2"/>
  <c r="E21" i="2"/>
  <c r="E22" i="2" s="1"/>
  <c r="D21" i="2"/>
  <c r="D22" i="2" s="1"/>
  <c r="C21" i="2"/>
  <c r="C22" i="2" s="1"/>
  <c r="F16" i="2"/>
  <c r="E16" i="2"/>
  <c r="D16" i="2"/>
  <c r="F15" i="2"/>
  <c r="E15" i="2"/>
  <c r="D15" i="2"/>
  <c r="F14" i="2"/>
  <c r="E14" i="2"/>
  <c r="D14" i="2"/>
  <c r="C14" i="2"/>
  <c r="F13" i="2"/>
  <c r="E13" i="2"/>
  <c r="D13" i="2"/>
  <c r="C13" i="2"/>
  <c r="F8" i="2"/>
  <c r="F9" i="2" s="1"/>
  <c r="E8" i="2"/>
  <c r="E9" i="2" s="1"/>
  <c r="D8" i="2"/>
  <c r="D9" i="2" s="1"/>
  <c r="C8" i="2"/>
  <c r="C9" i="2" s="1"/>
  <c r="E15" i="6" l="1"/>
  <c r="H17" i="7"/>
  <c r="F15" i="6"/>
  <c r="G6" i="7"/>
  <c r="G15" i="6"/>
  <c r="H15" i="6"/>
  <c r="I16" i="6"/>
  <c r="D17" i="6"/>
  <c r="C71" i="4"/>
  <c r="C70" i="4"/>
  <c r="J5" i="6"/>
  <c r="K5" i="6"/>
  <c r="C3" i="7"/>
  <c r="G36" i="4"/>
  <c r="C11" i="4"/>
  <c r="C24" i="4" s="1"/>
  <c r="C25" i="4" s="1"/>
  <c r="G46" i="3"/>
  <c r="F36" i="4"/>
  <c r="F46" i="3"/>
  <c r="B30" i="1"/>
  <c r="E46" i="3"/>
  <c r="E36" i="4"/>
  <c r="D36" i="4"/>
  <c r="D46" i="3"/>
  <c r="C46" i="3"/>
  <c r="B25" i="1"/>
  <c r="H36" i="4"/>
  <c r="E30" i="3"/>
  <c r="C31" i="3"/>
  <c r="F32" i="3"/>
  <c r="H5" i="5"/>
  <c r="D7" i="5"/>
  <c r="I15" i="6"/>
  <c r="E17" i="6"/>
  <c r="I6" i="7"/>
  <c r="D31" i="3"/>
  <c r="G32" i="3"/>
  <c r="E7" i="5"/>
  <c r="L5" i="6"/>
  <c r="D16" i="6"/>
  <c r="F17" i="6"/>
  <c r="C17" i="7"/>
  <c r="E31" i="3"/>
  <c r="D6" i="5"/>
  <c r="F7" i="5"/>
  <c r="M5" i="6"/>
  <c r="E16" i="6"/>
  <c r="G17" i="6"/>
  <c r="C6" i="7"/>
  <c r="D17" i="7"/>
  <c r="C30" i="3"/>
  <c r="C33" i="3" s="1"/>
  <c r="F31" i="3"/>
  <c r="E6" i="5"/>
  <c r="G7" i="5"/>
  <c r="D15" i="6"/>
  <c r="F16" i="6"/>
  <c r="C28" i="6" s="1"/>
  <c r="C19" i="1" s="1"/>
  <c r="D19" i="1" s="1"/>
  <c r="H17" i="6"/>
  <c r="D6" i="7"/>
  <c r="E17" i="7"/>
  <c r="D30" i="3"/>
  <c r="G31" i="3"/>
  <c r="D5" i="5"/>
  <c r="F6" i="5"/>
  <c r="H7" i="5"/>
  <c r="G16" i="6"/>
  <c r="I17" i="6"/>
  <c r="E6" i="7"/>
  <c r="F17" i="7"/>
  <c r="E5" i="5"/>
  <c r="G6" i="5"/>
  <c r="H16" i="6"/>
  <c r="F6" i="7"/>
  <c r="G17" i="7"/>
  <c r="F30" i="3"/>
  <c r="D32" i="3"/>
  <c r="F5" i="5"/>
  <c r="H6" i="5"/>
  <c r="C32" i="3"/>
  <c r="G30" i="3"/>
  <c r="E32" i="3"/>
  <c r="C29" i="4" l="1"/>
  <c r="C27" i="4"/>
  <c r="C26" i="4"/>
  <c r="C27" i="6"/>
  <c r="C18" i="1" s="1"/>
  <c r="D18" i="1" s="1"/>
  <c r="C74" i="4"/>
  <c r="C42" i="3"/>
  <c r="C34" i="3"/>
  <c r="D10" i="5" s="1"/>
  <c r="C37" i="3"/>
  <c r="D9" i="5"/>
  <c r="D12" i="5" s="1"/>
  <c r="C43" i="3"/>
  <c r="D33" i="3"/>
  <c r="H40" i="4"/>
  <c r="H44" i="4"/>
  <c r="H38" i="4"/>
  <c r="H48" i="4" s="1"/>
  <c r="H53" i="4" s="1"/>
  <c r="H41" i="4"/>
  <c r="H45" i="4"/>
  <c r="H39" i="4"/>
  <c r="H43" i="4"/>
  <c r="H46" i="4"/>
  <c r="B31" i="1"/>
  <c r="B24" i="1"/>
  <c r="D45" i="4"/>
  <c r="D39" i="4"/>
  <c r="D43" i="4"/>
  <c r="D46" i="4"/>
  <c r="D40" i="4"/>
  <c r="D44" i="4"/>
  <c r="D38" i="4"/>
  <c r="D41" i="4"/>
  <c r="G46" i="4"/>
  <c r="G40" i="4"/>
  <c r="G50" i="4" s="1"/>
  <c r="G55" i="4" s="1"/>
  <c r="G44" i="4"/>
  <c r="G38" i="4"/>
  <c r="G41" i="4"/>
  <c r="G45" i="4"/>
  <c r="G39" i="4"/>
  <c r="G43" i="4"/>
  <c r="E39" i="4"/>
  <c r="E49" i="4" s="1"/>
  <c r="E54" i="4" s="1"/>
  <c r="E43" i="4"/>
  <c r="E46" i="4"/>
  <c r="E40" i="4"/>
  <c r="E44" i="4"/>
  <c r="E38" i="4"/>
  <c r="E41" i="4"/>
  <c r="E45" i="4"/>
  <c r="B13" i="7"/>
  <c r="B12" i="7"/>
  <c r="B11" i="7"/>
  <c r="B10" i="7"/>
  <c r="B9" i="7"/>
  <c r="B8" i="7"/>
  <c r="B7" i="7"/>
  <c r="B24" i="7"/>
  <c r="B23" i="7"/>
  <c r="B22" i="7"/>
  <c r="B21" i="7"/>
  <c r="B20" i="7"/>
  <c r="B19" i="7"/>
  <c r="B18" i="7"/>
  <c r="F43" i="4"/>
  <c r="F46" i="4"/>
  <c r="F40" i="4"/>
  <c r="F50" i="4" s="1"/>
  <c r="F55" i="4" s="1"/>
  <c r="F44" i="4"/>
  <c r="F38" i="4"/>
  <c r="F41" i="4"/>
  <c r="F45" i="4"/>
  <c r="F39" i="4"/>
  <c r="F48" i="4" l="1"/>
  <c r="F53" i="4" s="1"/>
  <c r="D49" i="4"/>
  <c r="D54" i="4" s="1"/>
  <c r="H51" i="4"/>
  <c r="H56" i="4" s="1"/>
  <c r="F51" i="4"/>
  <c r="F56" i="4" s="1"/>
  <c r="E50" i="4"/>
  <c r="E55" i="4" s="1"/>
  <c r="G48" i="4"/>
  <c r="G53" i="4" s="1"/>
  <c r="H49" i="4"/>
  <c r="H54" i="4" s="1"/>
  <c r="G49" i="4"/>
  <c r="G54" i="4" s="1"/>
  <c r="D48" i="4"/>
  <c r="D53" i="4" s="1"/>
  <c r="H50" i="4"/>
  <c r="H55" i="4" s="1"/>
  <c r="D51" i="4"/>
  <c r="D56" i="4" s="1"/>
  <c r="E51" i="4"/>
  <c r="E56" i="4" s="1"/>
  <c r="F49" i="4"/>
  <c r="E48" i="4"/>
  <c r="E53" i="4" s="1"/>
  <c r="D37" i="3"/>
  <c r="E9" i="5"/>
  <c r="E12" i="5" s="1"/>
  <c r="E33" i="3"/>
  <c r="D42" i="3"/>
  <c r="D34" i="3"/>
  <c r="E10" i="5" s="1"/>
  <c r="D43" i="3"/>
  <c r="G51" i="4"/>
  <c r="G56" i="4" s="1"/>
  <c r="D50" i="4"/>
  <c r="D55" i="4" s="1"/>
  <c r="C35" i="3"/>
  <c r="D15" i="5"/>
  <c r="D16" i="5" s="1"/>
  <c r="D13" i="5"/>
  <c r="D14" i="5" s="1"/>
  <c r="D18" i="5" l="1"/>
  <c r="D19" i="5" s="1"/>
  <c r="C44" i="3" s="1"/>
  <c r="D35" i="3"/>
  <c r="F54" i="4"/>
  <c r="C60" i="4"/>
  <c r="B78" i="4"/>
  <c r="E13" i="5"/>
  <c r="E14" i="5" s="1"/>
  <c r="E15" i="5"/>
  <c r="E16" i="5" s="1"/>
  <c r="F9" i="5"/>
  <c r="F12" i="5" s="1"/>
  <c r="E43" i="3"/>
  <c r="F33" i="3"/>
  <c r="E42" i="3"/>
  <c r="E34" i="3"/>
  <c r="F10" i="5" s="1"/>
  <c r="E37" i="3"/>
  <c r="C38" i="3"/>
  <c r="C36" i="3"/>
  <c r="C39" i="3"/>
  <c r="E18" i="5" l="1"/>
  <c r="E19" i="5" s="1"/>
  <c r="D44" i="3" s="1"/>
  <c r="F13" i="5"/>
  <c r="F14" i="5" s="1"/>
  <c r="F18" i="5" s="1"/>
  <c r="F19" i="5" s="1"/>
  <c r="E44" i="3" s="1"/>
  <c r="F15" i="5"/>
  <c r="F16" i="5" s="1"/>
  <c r="C40" i="3"/>
  <c r="C41" i="3" s="1"/>
  <c r="C45" i="3" s="1"/>
  <c r="C65" i="4"/>
  <c r="D65" i="4" s="1"/>
  <c r="C64" i="4"/>
  <c r="D64" i="4" s="1"/>
  <c r="C67" i="4"/>
  <c r="D67" i="4" s="1"/>
  <c r="C63" i="4"/>
  <c r="D63" i="4" s="1"/>
  <c r="C66" i="4"/>
  <c r="D66" i="4" s="1"/>
  <c r="F43" i="3"/>
  <c r="G33" i="3"/>
  <c r="F42" i="3"/>
  <c r="F34" i="3"/>
  <c r="G10" i="5" s="1"/>
  <c r="F37" i="3"/>
  <c r="G9" i="5"/>
  <c r="G12" i="5" s="1"/>
  <c r="E35" i="3"/>
  <c r="D38" i="3"/>
  <c r="D36" i="3"/>
  <c r="D39" i="3"/>
  <c r="C47" i="3" l="1"/>
  <c r="G13" i="5"/>
  <c r="G14" i="5" s="1"/>
  <c r="G15" i="5"/>
  <c r="G16" i="5" s="1"/>
  <c r="D40" i="3"/>
  <c r="D41" i="3" s="1"/>
  <c r="D45" i="3" s="1"/>
  <c r="G42" i="3"/>
  <c r="G34" i="3"/>
  <c r="H10" i="5" s="1"/>
  <c r="C16" i="4"/>
  <c r="C28" i="4" s="1"/>
  <c r="G37" i="3"/>
  <c r="H9" i="5"/>
  <c r="H12" i="5" s="1"/>
  <c r="G43" i="3"/>
  <c r="F35" i="3"/>
  <c r="E38" i="3"/>
  <c r="E36" i="3"/>
  <c r="E39" i="3"/>
  <c r="G35" i="3" l="1"/>
  <c r="G18" i="5"/>
  <c r="G19" i="5" s="1"/>
  <c r="F44" i="3" s="1"/>
  <c r="D47" i="3"/>
  <c r="C72" i="4"/>
  <c r="C73" i="4"/>
  <c r="F38" i="3"/>
  <c r="F36" i="3"/>
  <c r="F39" i="3"/>
  <c r="G38" i="3"/>
  <c r="G36" i="3"/>
  <c r="G39" i="3"/>
  <c r="E40" i="3"/>
  <c r="E41" i="3" s="1"/>
  <c r="E45" i="3" s="1"/>
  <c r="H15" i="5"/>
  <c r="H16" i="5" s="1"/>
  <c r="H13" i="5"/>
  <c r="H14" i="5" s="1"/>
  <c r="H18" i="5" s="1"/>
  <c r="H19" i="5" s="1"/>
  <c r="G44" i="3" s="1"/>
  <c r="E47" i="3" l="1"/>
  <c r="F40" i="3"/>
  <c r="F41" i="3" s="1"/>
  <c r="F45" i="3" s="1"/>
  <c r="C59" i="3"/>
  <c r="C60" i="3" s="1"/>
  <c r="C61" i="3" s="1"/>
  <c r="G40" i="3"/>
  <c r="G41" i="3" s="1"/>
  <c r="G45" i="3" s="1"/>
  <c r="C51" i="3" l="1"/>
  <c r="C52" i="3" s="1"/>
  <c r="G47" i="3"/>
  <c r="F47" i="3"/>
  <c r="F12" i="7"/>
  <c r="G19" i="7"/>
  <c r="F7" i="7"/>
  <c r="D19" i="7"/>
  <c r="H7" i="7"/>
  <c r="C20" i="7"/>
  <c r="H24" i="7"/>
  <c r="C22" i="7"/>
  <c r="F8" i="7"/>
  <c r="C24" i="7"/>
  <c r="C9" i="7"/>
  <c r="D23" i="7"/>
  <c r="D24" i="7"/>
  <c r="G22" i="7"/>
  <c r="E10" i="7"/>
  <c r="D18" i="7"/>
  <c r="E24" i="7"/>
  <c r="G23" i="7"/>
  <c r="I7" i="7"/>
  <c r="I22" i="7"/>
  <c r="H9" i="7"/>
  <c r="E13" i="7"/>
  <c r="F21" i="7"/>
  <c r="C12" i="7"/>
  <c r="I21" i="7"/>
  <c r="F11" i="7"/>
  <c r="F18" i="7"/>
  <c r="F23" i="7"/>
  <c r="H21" i="7"/>
  <c r="G7" i="7"/>
  <c r="F20" i="7"/>
  <c r="C23" i="7"/>
  <c r="E9" i="7"/>
  <c r="D10" i="7"/>
  <c r="F13" i="7"/>
  <c r="E23" i="7"/>
  <c r="F19" i="7"/>
  <c r="G20" i="7"/>
  <c r="H11" i="7"/>
  <c r="I10" i="7"/>
  <c r="F24" i="7"/>
  <c r="I9" i="7"/>
  <c r="I19" i="7"/>
  <c r="I18" i="7"/>
  <c r="G9" i="7"/>
  <c r="H23" i="7"/>
  <c r="G13" i="7"/>
  <c r="E18" i="7"/>
  <c r="I11" i="7"/>
  <c r="H10" i="7"/>
  <c r="E21" i="7"/>
  <c r="I8" i="7"/>
  <c r="D11" i="7"/>
  <c r="D21" i="7"/>
  <c r="D13" i="7"/>
  <c r="D9" i="7"/>
  <c r="E20" i="7"/>
  <c r="C18" i="7"/>
  <c r="E7" i="7"/>
  <c r="C19" i="7"/>
  <c r="C11" i="7"/>
  <c r="F22" i="7"/>
  <c r="E22" i="7"/>
  <c r="G21" i="7"/>
  <c r="D20" i="7"/>
  <c r="H20" i="7"/>
  <c r="I23" i="7"/>
  <c r="G8" i="7"/>
  <c r="G24" i="7"/>
  <c r="I12" i="7"/>
  <c r="G12" i="7"/>
  <c r="H18" i="7"/>
  <c r="D7" i="7"/>
  <c r="I24" i="7"/>
  <c r="E19" i="7"/>
  <c r="G11" i="7"/>
  <c r="F9" i="7"/>
  <c r="C13" i="7"/>
  <c r="C8" i="7"/>
  <c r="C7" i="7"/>
  <c r="H8" i="7"/>
  <c r="G18" i="7"/>
  <c r="H19" i="7"/>
  <c r="E12" i="7"/>
  <c r="D12" i="7"/>
  <c r="E8" i="7"/>
  <c r="H12" i="7"/>
  <c r="H22" i="7"/>
  <c r="I20" i="7"/>
  <c r="F10" i="7"/>
  <c r="I13" i="7"/>
  <c r="E11" i="7"/>
  <c r="C21" i="7"/>
  <c r="D22" i="7"/>
  <c r="C10" i="7"/>
  <c r="G10" i="7"/>
  <c r="D8" i="7"/>
  <c r="H13" i="7"/>
  <c r="C50" i="3"/>
  <c r="C58" i="3" l="1"/>
  <c r="C62" i="3" s="1"/>
  <c r="C53" i="3"/>
  <c r="C17" i="4" l="1"/>
  <c r="C54" i="3"/>
  <c r="C55" i="3" s="1"/>
  <c r="C16" i="1" s="1"/>
  <c r="C63" i="3"/>
  <c r="C64" i="3" s="1"/>
  <c r="C17" i="1" s="1"/>
  <c r="C10" i="1" l="1"/>
  <c r="D17" i="1"/>
  <c r="C19" i="4"/>
  <c r="C20" i="4" s="1"/>
  <c r="B79" i="4"/>
  <c r="D16" i="1"/>
  <c r="C21" i="1"/>
  <c r="C12" i="1" l="1"/>
  <c r="C11" i="1" s="1"/>
  <c r="B29" i="1"/>
  <c r="B26" i="1" l="1"/>
</calcChain>
</file>

<file path=xl/sharedStrings.xml><?xml version="1.0" encoding="utf-8"?>
<sst xmlns="http://schemas.openxmlformats.org/spreadsheetml/2006/main" count="439" uniqueCount="355">
  <si>
    <t>DISCLAIMER: This is a sample analysis for demonstration purposes only. It does not constitute investment advice.</t>
  </si>
  <si>
    <t>IHI (7013.T)</t>
  </si>
  <si>
    <t>Equity Research Report</t>
  </si>
  <si>
    <t>Company</t>
  </si>
  <si>
    <t>IHI</t>
  </si>
  <si>
    <t>Ticker</t>
  </si>
  <si>
    <t>7013.T (TSE Prime)</t>
  </si>
  <si>
    <t>Sector</t>
  </si>
  <si>
    <t>機械</t>
  </si>
  <si>
    <t>Current Price</t>
  </si>
  <si>
    <t>Target Price (DCF Mid)</t>
  </si>
  <si>
    <t>Recommendation</t>
  </si>
  <si>
    <t>Upside / Downside</t>
  </si>
  <si>
    <t>Valuation Summary</t>
  </si>
  <si>
    <t>Methodology</t>
  </si>
  <si>
    <t>Implied Value (JPY)</t>
  </si>
  <si>
    <t>vs Current Price</t>
  </si>
  <si>
    <t>DCF - Perpetuity Growth [参考・Target不算入 — 追補6 §X]</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</si>
  <si>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</si>
  <si>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</si>
  <si>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</si>
  <si>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 ■【追補6 §X】PGMとExitの乖離が **4.28倍** で 3.0倍を超えたため、**乖離そのものを裁定トリガーとする追補6 §X により中点平均を禁止**し、どちらの脚を落とすかを判定した。■**観測倍率バンドテスト**: Peer の実測 EV/EBITDA の第1〜第3四分位バンドは **(9.37302990302855, 15.552094158010673, 5)倍**。これに対し **PGM逆算 3.34倍 / 仮定Exit 14.30倍**。**PGM法のみがバンドの外にあるため PGM法を[参考]に降格し、Target = Exit 単独**とした。■バンドテストは市場倍率を無条件のアンカーにするものではない（それではスクリーナーが市場の複写に堕する）。**実際に取引されているレンジの外に出た脚だけを取り除く**という位置づけである。</t>
  </si>
  <si>
    <t>DCF Valuation Range (PGM - Exit)</t>
  </si>
  <si>
    <t>Key Investment Thesis</t>
  </si>
  <si>
    <t>Key Risks</t>
  </si>
  <si>
    <t>IHI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</si>
  <si>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</si>
  <si>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</si>
  <si>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</si>
  <si>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</si>
  <si>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</si>
  <si>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</si>
  <si>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</si>
  <si>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</si>
  <si>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</si>
  <si>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</si>
  <si>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</si>
  <si>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</si>
  <si>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</si>
  <si>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</si>
  <si>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</si>
  <si>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</si>
  <si>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</si>
  <si>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</si>
  <si>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</si>
  <si>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</si>
  <si>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</si>
  <si>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</si>
  <si>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</si>
  <si>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</si>
  <si>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</si>
  <si>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</si>
  <si>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</si>
  <si>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</si>
  <si>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IHI</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</si>
  <si>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</si>
  <si>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</si>
  <si>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</si>
  <si>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</si>
  <si>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</si>
  <si>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</si>
  <si>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</si>
  <si>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</si>
  <si>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</si>
  <si>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</si>
  <si>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</si>
  <si>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</si>
  <si>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</si>
  <si>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</si>
  <si>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</si>
  <si>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</si>
  <si>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</si>
  <si>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</si>
  <si>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</si>
  <si>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</si>
  <si>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</si>
  <si>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</si>
  <si>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</si>
  <si>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</si>
  <si>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</si>
  <si>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</si>
  <si>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</si>
  <si>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</si>
  <si>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</si>
  <si>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</si>
  <si>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</si>
  <si>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</si>
  <si>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</si>
  <si>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</si>
  <si>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</si>
  <si>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</si>
  <si>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</si>
  <si>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</si>
  <si>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</si>
  <si>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</si>
  <si>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</si>
  <si>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</si>
  <si>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</si>
  <si>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</si>
  <si>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</si>
  <si>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</si>
  <si>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</si>
  <si>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</si>
  <si>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</si>
  <si>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</si>
  <si>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</si>
  <si>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</si>
  <si>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</si>
  <si>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</si>
  <si>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</si>
  <si>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</si>
  <si>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</si>
  <si>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</si>
  <si>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</si>
  <si>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</si>
  <si>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</si>
  <si>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</si>
  <si>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</si>
  <si>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IHI (7013.T)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</si>
  <si>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</si>
  <si>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</si>
  <si>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</si>
  <si>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</si>
  <si>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</si>
  <si>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</si>
  <si>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</si>
  <si>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</si>
  <si>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</si>
  <si>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</si>
  <si>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</si>
  <si>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</si>
  <si>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</si>
  <si>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</si>
  <si>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</si>
  <si>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</si>
  <si>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</si>
  <si>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</si>
  <si>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</si>
  <si>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</si>
  <si>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</si>
  <si>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</si>
  <si>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</si>
  <si>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</si>
  <si>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</si>
  <si>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</si>
  <si>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</si>
  <si>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</si>
  <si>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</si>
  <si>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</si>
  <si>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</si>
  <si>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</si>
  <si>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</si>
  <si>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</si>
  <si>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</si>
  <si>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</si>
  <si>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</si>
  <si>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</si>
  <si>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</si>
  <si>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</si>
  <si>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</si>
  <si>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</si>
  <si>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</si>
  <si>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</si>
  <si>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</si>
  <si>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</si>
  <si>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</si>
  <si>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</si>
  <si>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</si>
  <si>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</si>
  <si>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</si>
  <si>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IHI</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</si>
  <si>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</si>
  <si>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</si>
  <si>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</si>
  <si>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</si>
  <si>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</si>
  <si>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</si>
  <si>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</si>
  <si>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</si>
  <si>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</si>
  <si>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</si>
  <si>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</si>
  <si>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</si>
  <si>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</si>
  <si>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</si>
  <si>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</si>
  <si>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</si>
  <si>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</si>
  <si>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</si>
  <si>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</si>
  <si>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</si>
  <si>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</si>
  <si>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</si>
  <si>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</si>
  <si>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</si>
  <si>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</si>
  <si>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</si>
  <si>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</si>
  <si>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</si>
  <si>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</si>
  <si>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</si>
  <si>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</si>
  <si>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</si>
  <si>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</si>
  <si>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</si>
  <si>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IHI Corporation</t>
  </si>
  <si>
    <t>7013.T</t>
  </si>
  <si>
    <t>Kawasaki Heavy Industries, Ltd.</t>
  </si>
  <si>
    <t>7012.T</t>
  </si>
  <si>
    <t>Mitsubishi Heavy Industries, Ltd.</t>
  </si>
  <si>
    <t>7011.T</t>
  </si>
  <si>
    <t>Hitachi, Ltd.</t>
  </si>
  <si>
    <t>6501.T</t>
  </si>
  <si>
    <t>Mitsubishi Electric Corporation</t>
  </si>
  <si>
    <t>6503.T</t>
  </si>
  <si>
    <t>Daikin Industries,Ltd.</t>
  </si>
  <si>
    <t>6367.T</t>
  </si>
  <si>
    <t>Statistics</t>
  </si>
  <si>
    <t>25th Percentile</t>
  </si>
  <si>
    <t>Median (50th)</t>
  </si>
  <si>
    <t>75th Percentile</t>
  </si>
  <si>
    <t>Implied Valuation for IHI</t>
  </si>
  <si>
    <t>IHI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</si>
  <si>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</si>
  <si>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</si>
  <si>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</si>
  <si>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</si>
  <si>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</si>
  <si>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</si>
  <si>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</si>
  <si>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</si>
  <si>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</si>
  <si>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</si>
  <si>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</si>
  <si>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</si>
  <si>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</si>
  <si>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</si>
  <si>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</si>
  <si>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IHI</t>
  </si>
  <si>
    <t>日付</t>
  </si>
  <si>
    <t>セル</t>
  </si>
  <si>
    <t>変更内容</t>
  </si>
  <si>
    <t>理由</t>
  </si>
  <si>
    <t>元の値</t>
  </si>
  <si>
    <t>状態</t>
  </si>
  <si>
    <t>2026-09-06</t>
  </si>
  <si>
    <t>-</t>
  </si>
  <si>
    <t>Generated by pipeline on 2026-09-06 19:23, template rev 63983ab</t>
  </si>
  <si>
    <t>初期生成（手修正なし）</t>
  </si>
  <si>
    <t>generated</t>
  </si>
  <si>
    <t>DCF Model!C11</t>
  </si>
  <si>
    <t>After-tax Cost of Debt = 1.35% (実績ベース)</t>
  </si>
  <si>
    <t>実績Kd = 支払利息9,059 ÷ 平均有利子負債502,308(期首514,723/期末489,893、debt_beginning/debt_ending) = 税引前1.80% × (1−25.0%) = 1.35%。【マージナルコスト注記】これは既存借入の実績平均コストであり、新規調達の限界コストではない。テンプレ既定(税引前2.8%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</si>
  <si>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</si>
  <si>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</si>
  <si>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</si>
  <si>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1.500（採用値）</t>
  </si>
  <si>
    <t>実測β(raw) = 1.746 → Blume調整 0.67×raw + 0.33×1.00 = 1.500 → 採用 1.500。クランプ域 [0.3, 2.0] の内側。置換なし。回帰βは平均回帰するため Blume 調整を既定とする（2026-09-05 バッチで85件中57件が旧下限 0.60 に張り付き、両裾の歪みが実証された）。</t>
  </si>
  <si>
    <t>実測 1.746</t>
  </si>
  <si>
    <t>確定</t>
  </si>
  <si>
    <t>Pipeline Metadata (do not edit — read by scripts/validate_output.py)</t>
  </si>
  <si>
    <t>key</t>
  </si>
  <si>
    <t>value</t>
  </si>
  <si>
    <t>auto_log_entries</t>
  </si>
  <si>
    <t>2</t>
  </si>
  <si>
    <t>beta_adopted_c8</t>
  </si>
  <si>
    <t>1.5002</t>
  </si>
  <si>
    <t>beta_basis</t>
  </si>
  <si>
    <t>Blume: 0.67 x 1.746 + 0.33 x 1.00 = 1.500</t>
  </si>
  <si>
    <t>beta_blume_adjusted</t>
  </si>
  <si>
    <t>beta_clamped</t>
  </si>
  <si>
    <t>no</t>
  </si>
  <si>
    <t>beta_raw</t>
  </si>
  <si>
    <t>1.7465</t>
  </si>
  <si>
    <t>capex_pct_basis</t>
  </si>
  <si>
    <t>explicit_override</t>
  </si>
  <si>
    <t>capex_pct_c5</t>
  </si>
  <si>
    <t>0.0557</t>
  </si>
  <si>
    <t>capex_pct_hist3yr</t>
  </si>
  <si>
    <t>0.046331</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</si>
  <si>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</si>
  <si>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</si>
  <si>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</si>
  <si>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</si>
  <si>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</si>
  <si>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</si>
  <si>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</si>
  <si>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</si>
  <si>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</si>
  <si>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</si>
  <si>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</si>
  <si>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</si>
  <si>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</si>
  <si>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</si>
  <si>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</si>
  <si>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</si>
  <si>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</si>
  <si>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</si>
  <si>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</si>
  <si>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</si>
  <si>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252356.0</t>
  </si>
  <si>
    <t>core_net_income</t>
  </si>
  <si>
    <t>160992.0</t>
  </si>
  <si>
    <t>cost_of_debt_actual</t>
  </si>
  <si>
    <t>interest 9,059 (expense 9,059 + fees 0) / avg debt 502,308 (debt_beginning/debt_ending) = 0.018035 pre-tax -&gt; 0.013500 after-tax</t>
  </si>
  <si>
    <t>cost_of_debt_at_c11</t>
  </si>
  <si>
    <t>0.0135</t>
  </si>
  <si>
    <t>cost_of_debt_avg_debt</t>
  </si>
  <si>
    <t>502308.0</t>
  </si>
  <si>
    <t>cost_of_debt_basis</t>
  </si>
  <si>
    <t>actual</t>
  </si>
  <si>
    <t>cost_of_debt_interest</t>
  </si>
  <si>
    <t>9059.0</t>
  </si>
  <si>
    <t>cost_of_debt_pretax</t>
  </si>
  <si>
    <t>0.018034751586675904</t>
  </si>
  <si>
    <t>da_pct_basis</t>
  </si>
  <si>
    <t>da_pct_c18</t>
  </si>
  <si>
    <t>0.053</t>
  </si>
  <si>
    <t>da_pct_hist3yr</t>
  </si>
  <si>
    <t>0.048104</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</si>
  <si>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</si>
  <si>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</si>
  <si>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</si>
  <si>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</si>
  <si>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</si>
  <si>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</si>
  <si>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</si>
  <si>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</si>
  <si>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</si>
  <si>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19:23:51</t>
  </si>
  <si>
    <t>guidance_note</t>
  </si>
  <si>
    <t>TDnet 決算短信 via screener guidance table: FY2027 disclosed 2026-08-05 (net_income=172,000mn, operating_income=250,000mn, revenue=1,840,000mn)</t>
  </si>
  <si>
    <t>guidance_source</t>
  </si>
  <si>
    <t>tdnet_screener_db</t>
  </si>
  <si>
    <t>latest_operating_income</t>
  </si>
  <si>
    <t>165534.0</t>
  </si>
  <si>
    <t>ltm_revenue_c20</t>
  </si>
  <si>
    <t>1643402.0</t>
  </si>
  <si>
    <t>ltm_revenue_source</t>
  </si>
  <si>
    <t>latest FY (no LTM)</t>
  </si>
  <si>
    <t>market_data_source</t>
  </si>
  <si>
    <t>yfinance; from overrides: beta, current_price, shares_outstanding</t>
  </si>
  <si>
    <t>narrative_tokens_used</t>
  </si>
  <si>
    <t>pb,per,price,target_price,upside_pct,wacc</t>
  </si>
  <si>
    <t>net_debt_source</t>
  </si>
  <si>
    <t>EDINET net_debt</t>
  </si>
  <si>
    <t>reverse_dcf_sheet</t>
  </si>
  <si>
    <t>op0=165,534(FY2026) peak=165,534(FY2026) peak_opm=0.1007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</si>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</sst>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5" t="s">
        <v>0</v>
      </c>
      <c r="C1" s="44"/>
      <c r="D1" s="44"/>
      <c r="E1" s="44"/>
    </row>
    <row r="3" spans="2:5" ht="18" customHeight="1" x14ac:dyDescent="0.4">
      <c r="B3" s="43" t="s">
        <v>1</v>
      </c>
      <c r="C3" s="44"/>
      <c r="D3" s="44"/>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2624.5</v>
      </c>
    </row>
    <row r="10" spans="2:5" ht="14" customHeight="1" x14ac:dyDescent="0.3">
      <c r="B10" s="4" t="s">
        <v>10</v>
      </c>
      <c r="C10" s="5">
        <f>IF(ISNUMBER(C17),ROUND(C17,0),"N/A")</f>
        <v>2044</v>
      </c>
    </row>
    <row r="11" spans="2:5" ht="14" customHeight="1" x14ac:dyDescent="0.3">
      <c r="B11" s="4" t="s">
        <v>11</v>
      </c>
      <c r="C11" s="6" t="str">
        <f>IF(NOT(ISNUMBER(C12)),"N/A",IF(C12&gt;0.15,"BUY",IF(C12&gt;0.05,"HOLD","SELL")))</f>
        <v>SELL</v>
      </c>
    </row>
    <row r="12" spans="2:5" ht="14" customHeight="1" x14ac:dyDescent="0.3">
      <c r="B12" s="4" t="s">
        <v>12</v>
      </c>
      <c r="C12" s="7">
        <f>IF(ISNUMBER(C10),(C10-C9)/C9,"N/A")</f>
        <v>-0.22118498761668889</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493</v>
      </c>
      <c r="D16" s="7">
        <f>IF(ISNUMBER(C16),(C16-C9)/C9,"N/A")</f>
        <v>-0.81215469613259672</v>
      </c>
    </row>
    <row r="17" spans="2:5" ht="13.5" customHeight="1" x14ac:dyDescent="0.25">
      <c r="B17" t="s">
        <v>18</v>
      </c>
      <c r="C17" s="11">
        <f>IF('DCF Model'!C62&lt;'DCF Model'!C16,"INVALID (EV &lt; net debt)",'DCF Model'!C64)</f>
        <v>2044</v>
      </c>
      <c r="D17" s="7">
        <f>IF(ISNUMBER(C17),(C17-C9)/C9,"N/A")</f>
        <v>-0.22118498761668889</v>
      </c>
    </row>
    <row r="18" spans="2:5" ht="13.5" customHeight="1" x14ac:dyDescent="0.25">
      <c r="B18" t="s">
        <v>19</v>
      </c>
      <c r="C18" s="11">
        <f>'Comps Analysis'!C27</f>
        <v>3096</v>
      </c>
      <c r="D18" s="7">
        <f>IF(ISNUMBER(C18),(C18-C9)/C9,"N/A")</f>
        <v>0.17965326728900743</v>
      </c>
    </row>
    <row r="19" spans="2:5" ht="13.5" customHeight="1" x14ac:dyDescent="0.25">
      <c r="B19" t="s">
        <v>20</v>
      </c>
      <c r="C19" s="11">
        <f>'Comps Analysis'!C28</f>
        <v>4000</v>
      </c>
      <c r="D19" s="7">
        <f>IF(ISNUMBER(C19),(C19-C9)/C9,"N/A")</f>
        <v>0.52409982853876924</v>
      </c>
    </row>
    <row r="20" spans="2:5" ht="14" customHeight="1" x14ac:dyDescent="0.3">
      <c r="B20" s="45" t="s">
        <v>21</v>
      </c>
      <c r="C20" s="44"/>
      <c r="D20" s="44"/>
      <c r="E20" s="44"/>
    </row>
    <row r="21" spans="2:5" ht="14" customHeight="1" x14ac:dyDescent="0.3">
      <c r="B21" s="4" t="s">
        <v>22</v>
      </c>
      <c r="C21" s="6" t="str">
        <f>IF(COUNT(C16:C17)=0,"N/A",MIN(C16:C17)&amp;" - "&amp;MAX(C16:C17))</f>
        <v>493 - 2044</v>
      </c>
    </row>
    <row r="23" spans="2:5" ht="14" customHeight="1" x14ac:dyDescent="0.3">
      <c r="B23" s="8" t="s">
        <v>23</v>
      </c>
      <c r="C23" s="9"/>
      <c r="D23" s="9"/>
    </row>
    <row r="24" spans="2:5" x14ac:dyDescent="0.2">
      <c r="B24" t="str">
        <f>"IHI has turned its civil aero-engine spare-parts business from a loss into the group's profit engine, and the operating margin has reached the top of its four-year range; the shares trade at "&amp;TEXT('Comps Analysis'!L5,"0.0""x""")&amp;" earnings and "&amp;TEXT('Comps Analysis'!M5,"0.00""x""")&amp;" book."</f>
        <v>IHI has turned its civil aero-engine spare-parts business from a loss into the group's profit engine, and the operating margin has reached the top of its four-year range; the shares trade at 17.3x earnings and 4.27x book.</v>
      </c>
    </row>
    <row r="25" spans="2:5" x14ac:dyDescent="0.2">
      <c r="B25" t="str">
        <f>"The stock is valued slightly below the heavy-machinery peer median on EV/EBITDA, which is where the exit leg of this model finds value against a "&amp;TEXT('DCF Model'!C26,"0.00%")&amp;" cost of capital."</f>
        <v>The stock is valued slightly below the heavy-machinery peer median on EV/EBITDA, which is where the exit leg of this model finds value against a 12.39% cost of capital.</v>
      </c>
    </row>
    <row r="26" spans="2:5" x14ac:dyDescent="0.2">
      <c r="B26" t="str">
        <f>"At "&amp;TEXT(C9,"#,##0")&amp;" the market has not fully re-rated the earnings recovery; a base case that normalises only partway back toward the cycle median supports "&amp;TEXT(C10,"#,##0")&amp;", or "&amp;TEXT(C12,"+0.0%;-0.0%")&amp;" from here."</f>
        <v>At 2,625 the market has not fully re-rated the earnings recovery; a base case that normalises only partway back toward the cycle median supports 2,044, or -22.1% from here.</v>
      </c>
    </row>
    <row r="28" spans="2:5" ht="14" customHeight="1" x14ac:dyDescent="0.3">
      <c r="B28" s="8" t="s">
        <v>24</v>
      </c>
      <c r="C28" s="9"/>
      <c r="D28" s="9"/>
    </row>
    <row r="29" spans="2:5" x14ac:dyDescent="0.2">
      <c r="B29" t="str">
        <f>"The company posted an operating loss two years ago on civil aero-engine charges; that year is excluded from the mid-cycle calculation as a one-off, and if such charges prove recurrent the base case behind "&amp;TEXT(C10,"#,##0")&amp;" is too generous."</f>
        <v>The company posted an operating loss two years ago on civil aero-engine charges; that year is excluded from the mid-cycle calculation as a one-off, and if such charges prove recurrent the base case behind 2,044 is too generous.</v>
      </c>
    </row>
    <row r="30" spans="2:5" x14ac:dyDescent="0.2">
      <c r="B30" t="str">
        <f>"Aero-engine spare-parts revenue depends on flight hours and on programme share that is contractually fixed years ahead, so a demand shock feeds through with a lag the "&amp;TEXT('DCF Model'!C26,"0.00%")&amp;" single-path discounting does not represent."</f>
        <v>Aero-engine spare-parts revenue depends on flight hours and on programme share that is contractually fixed years ahead, so a demand shock feeds through with a lag the 12.39% single-path discounting does not represent.</v>
      </c>
    </row>
    <row r="31" spans="2:5" x14ac:dyDescent="0.2">
      <c r="B31" t="str">
        <f>"Working capital is heavy — receivable and inventory days together exceed two hundred and fifty — so a revenue decline ties up cash before it appears in the "&amp;TEXT('Comps Analysis'!L5,"0.0""x""")&amp;" the market pays."</f>
        <v>Working capital is heavy — receivable and inventory days together exceed two hundred and fifty — so a revenue decline ties up cash before it appears in the 17.3x the market pays.</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25</v>
      </c>
    </row>
    <row r="4" spans="2:6" ht="14" customHeight="1" x14ac:dyDescent="0.3">
      <c r="C4" s="10" t="s">
        <v>26</v>
      </c>
      <c r="D4" s="10" t="s">
        <v>27</v>
      </c>
      <c r="E4" s="10" t="s">
        <v>28</v>
      </c>
      <c r="F4" s="10" t="s">
        <v>29</v>
      </c>
    </row>
    <row r="5" spans="2:6" ht="14" customHeight="1" x14ac:dyDescent="0.3">
      <c r="B5" s="3" t="s">
        <v>30</v>
      </c>
    </row>
    <row r="6" spans="2:6" ht="14" customHeight="1" x14ac:dyDescent="0.3">
      <c r="B6" s="4" t="s">
        <v>31</v>
      </c>
      <c r="C6" s="5">
        <v>1352940</v>
      </c>
      <c r="D6" s="5">
        <v>1322591</v>
      </c>
      <c r="E6" s="5">
        <v>1626831</v>
      </c>
      <c r="F6" s="5">
        <v>1643402</v>
      </c>
    </row>
    <row r="7" spans="2:6" ht="14" customHeight="1" x14ac:dyDescent="0.3">
      <c r="B7" s="4" t="s">
        <v>32</v>
      </c>
      <c r="C7" s="5">
        <v>1070935</v>
      </c>
      <c r="D7" s="5">
        <v>1177736</v>
      </c>
      <c r="E7" s="5">
        <v>1252317</v>
      </c>
      <c r="F7" s="5">
        <v>1263891</v>
      </c>
    </row>
    <row r="8" spans="2:6" ht="14" customHeight="1" x14ac:dyDescent="0.3">
      <c r="B8" s="4" t="s">
        <v>33</v>
      </c>
      <c r="C8" s="5">
        <f>C6-C7</f>
        <v>282005</v>
      </c>
      <c r="D8" s="5">
        <f>D6-D7</f>
        <v>144855</v>
      </c>
      <c r="E8" s="5">
        <f>E6-E7</f>
        <v>374514</v>
      </c>
      <c r="F8" s="5">
        <f>F6-F7</f>
        <v>379511</v>
      </c>
    </row>
    <row r="9" spans="2:6" ht="13.5" customHeight="1" x14ac:dyDescent="0.25">
      <c r="B9" t="s">
        <v>34</v>
      </c>
      <c r="C9" s="7">
        <f>C8/C6</f>
        <v>0.20843865951187784</v>
      </c>
      <c r="D9" s="7">
        <f>D8/D6</f>
        <v>0.10952365470504487</v>
      </c>
      <c r="E9" s="7">
        <f>E8/E6</f>
        <v>0.23021075944581829</v>
      </c>
      <c r="F9" s="7">
        <f>F8/F6</f>
        <v>0.23093010718010565</v>
      </c>
    </row>
    <row r="10" spans="2:6" ht="14" customHeight="1" x14ac:dyDescent="0.3">
      <c r="B10" s="4" t="s">
        <v>35</v>
      </c>
      <c r="C10" s="5">
        <v>200020</v>
      </c>
      <c r="D10" s="5">
        <v>214993</v>
      </c>
      <c r="E10" s="5">
        <v>230997</v>
      </c>
      <c r="F10" s="5">
        <v>213977</v>
      </c>
    </row>
    <row r="11" spans="2:6" ht="14" customHeight="1" x14ac:dyDescent="0.3">
      <c r="B11" s="4" t="s">
        <v>36</v>
      </c>
      <c r="C11" s="5">
        <v>81985</v>
      </c>
      <c r="D11" s="5">
        <v>-70138</v>
      </c>
      <c r="E11" s="5">
        <v>143517</v>
      </c>
      <c r="F11" s="5">
        <v>165534</v>
      </c>
    </row>
    <row r="12" spans="2:6" ht="14" customHeight="1" x14ac:dyDescent="0.3">
      <c r="B12" s="4" t="s">
        <v>37</v>
      </c>
      <c r="C12" s="5">
        <v>44545</v>
      </c>
      <c r="D12" s="5">
        <v>-68214</v>
      </c>
      <c r="E12" s="5">
        <v>112740</v>
      </c>
      <c r="F12" s="5">
        <v>160992</v>
      </c>
    </row>
    <row r="13" spans="2:6" ht="13.5" customHeight="1" x14ac:dyDescent="0.25">
      <c r="B13" t="s">
        <v>38</v>
      </c>
      <c r="C13" s="7">
        <f>C11/C6</f>
        <v>6.0597661389270772E-2</v>
      </c>
      <c r="D13" s="7">
        <f>D11/D6</f>
        <v>-5.3030755539694434E-2</v>
      </c>
      <c r="E13" s="7">
        <f>E11/E6</f>
        <v>8.8218751671193876E-2</v>
      </c>
      <c r="F13" s="7">
        <f>F11/F6</f>
        <v>0.10072641995080936</v>
      </c>
    </row>
    <row r="14" spans="2:6" ht="13.5" customHeight="1" x14ac:dyDescent="0.25">
      <c r="B14" t="s">
        <v>39</v>
      </c>
      <c r="C14" s="7">
        <f>C12/C6</f>
        <v>3.2924593847472913E-2</v>
      </c>
      <c r="D14" s="7">
        <f>D12/D6</f>
        <v>-5.1576035221773023E-2</v>
      </c>
      <c r="E14" s="7">
        <f>E12/E6</f>
        <v>6.9300376007096001E-2</v>
      </c>
      <c r="F14" s="7">
        <f>F12/F6</f>
        <v>9.7962640911961898E-2</v>
      </c>
    </row>
    <row r="15" spans="2:6" ht="13.5" customHeight="1" x14ac:dyDescent="0.25">
      <c r="B15" t="s">
        <v>40</v>
      </c>
      <c r="C15" t="s">
        <v>41</v>
      </c>
      <c r="D15" s="7">
        <f>(D6-C6)/C6</f>
        <v>-2.2431889071207887E-2</v>
      </c>
      <c r="E15" s="7">
        <f>(E6-D6)/D6</f>
        <v>0.23003332095863346</v>
      </c>
      <c r="F15" s="7">
        <f>(F6-E6)/E6</f>
        <v>1.0186061121284264E-2</v>
      </c>
    </row>
    <row r="16" spans="2:6" ht="13.5" customHeight="1" x14ac:dyDescent="0.25">
      <c r="B16" t="s">
        <v>42</v>
      </c>
      <c r="C16" t="s">
        <v>41</v>
      </c>
      <c r="D16" s="7">
        <f>(D11-C11)/C11</f>
        <v>-1.8554979569433432</v>
      </c>
      <c r="E16" s="7">
        <f>(E11-D11)/D11</f>
        <v>-3.046208902449457</v>
      </c>
      <c r="F16" s="7">
        <f>(F11-E11)/E11</f>
        <v>0.15341039737452705</v>
      </c>
    </row>
    <row r="18" spans="2:6" ht="14" customHeight="1" x14ac:dyDescent="0.3">
      <c r="B18" s="3" t="s">
        <v>43</v>
      </c>
    </row>
    <row r="19" spans="2:6" ht="14" customHeight="1" x14ac:dyDescent="0.3">
      <c r="B19" s="4" t="s">
        <v>44</v>
      </c>
      <c r="C19" s="5">
        <v>54116</v>
      </c>
      <c r="D19" s="5">
        <v>62117</v>
      </c>
      <c r="E19" s="5">
        <v>177634</v>
      </c>
      <c r="F19" s="5">
        <v>121360</v>
      </c>
    </row>
    <row r="20" spans="2:6" ht="14" customHeight="1" x14ac:dyDescent="0.3">
      <c r="B20" s="4" t="s">
        <v>45</v>
      </c>
      <c r="C20" s="5">
        <v>62577</v>
      </c>
      <c r="D20" s="5">
        <v>60993</v>
      </c>
      <c r="E20" s="5">
        <v>60249</v>
      </c>
      <c r="F20" s="5">
        <v>91770</v>
      </c>
    </row>
    <row r="21" spans="2:6" ht="14" customHeight="1" x14ac:dyDescent="0.3">
      <c r="B21" s="4" t="s">
        <v>46</v>
      </c>
      <c r="C21" s="5">
        <f>C19-C20</f>
        <v>-8461</v>
      </c>
      <c r="D21" s="5">
        <f>D19-D20</f>
        <v>1124</v>
      </c>
      <c r="E21" s="5">
        <f>E19-E20</f>
        <v>117385</v>
      </c>
      <c r="F21" s="5">
        <f>F19-F20</f>
        <v>29590</v>
      </c>
    </row>
    <row r="22" spans="2:6" ht="13.5" customHeight="1" x14ac:dyDescent="0.25">
      <c r="B22" t="s">
        <v>47</v>
      </c>
      <c r="C22" s="7">
        <f>C21/C6</f>
        <v>-6.2537880467722143E-3</v>
      </c>
      <c r="D22" s="7">
        <f>D21/D6</f>
        <v>8.4984700485637662E-4</v>
      </c>
      <c r="E22" s="7">
        <f>E21/E6</f>
        <v>7.2155620344092286E-2</v>
      </c>
      <c r="F22" s="7">
        <f>F21/F6</f>
        <v>1.8005332840047659E-2</v>
      </c>
    </row>
    <row r="23" spans="2:6" ht="13.5" customHeight="1" x14ac:dyDescent="0.25">
      <c r="B23" t="s">
        <v>48</v>
      </c>
      <c r="C23" s="7">
        <f>C20/C6</f>
        <v>4.6252605437048205E-2</v>
      </c>
      <c r="D23" s="7">
        <f>D20/D6</f>
        <v>4.611629747971973E-2</v>
      </c>
      <c r="E23" s="7">
        <f>E20/E6</f>
        <v>3.7034578269039622E-2</v>
      </c>
      <c r="F23" s="7">
        <f>F20/F6</f>
        <v>5.5841480051746314E-2</v>
      </c>
    </row>
    <row r="25" spans="2:6" ht="14" customHeight="1" x14ac:dyDescent="0.3">
      <c r="B25" s="3" t="s">
        <v>49</v>
      </c>
    </row>
    <row r="26" spans="2:6" ht="14" customHeight="1" x14ac:dyDescent="0.3">
      <c r="B26" s="4" t="s">
        <v>50</v>
      </c>
      <c r="C26" s="5">
        <v>124749</v>
      </c>
      <c r="D26" s="5">
        <v>138805</v>
      </c>
      <c r="E26" s="5">
        <v>136809</v>
      </c>
      <c r="F26" s="5">
        <v>155084</v>
      </c>
    </row>
    <row r="27" spans="2:6" ht="14" customHeight="1" x14ac:dyDescent="0.3">
      <c r="B27" s="4" t="s">
        <v>51</v>
      </c>
      <c r="C27" s="5">
        <v>393661</v>
      </c>
      <c r="D27" s="5">
        <v>449153</v>
      </c>
      <c r="E27" s="5">
        <v>389396</v>
      </c>
      <c r="F27" s="5">
        <v>359533</v>
      </c>
    </row>
    <row r="28" spans="2:6" ht="14" customHeight="1" x14ac:dyDescent="0.3">
      <c r="B28" s="4" t="s">
        <v>52</v>
      </c>
      <c r="C28" s="5">
        <f>C27-C26</f>
        <v>268912</v>
      </c>
      <c r="D28" s="5">
        <f>D27-D26</f>
        <v>310348</v>
      </c>
      <c r="E28" s="5">
        <f>E27-E26</f>
        <v>252587</v>
      </c>
      <c r="F28" s="5">
        <f>F27-F26</f>
        <v>204449</v>
      </c>
    </row>
    <row r="30" spans="2:6" ht="14" customHeight="1" x14ac:dyDescent="0.3">
      <c r="B30" s="1" t="s">
        <v>53</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54</v>
      </c>
    </row>
    <row r="4" spans="2:7" ht="14" customHeight="1" x14ac:dyDescent="0.3">
      <c r="B4" s="8" t="s">
        <v>55</v>
      </c>
      <c r="C4" s="9"/>
      <c r="D4" s="9"/>
      <c r="E4" s="9"/>
      <c r="F4" s="9"/>
      <c r="G4" s="9"/>
    </row>
    <row r="5" spans="2:7" ht="14" customHeight="1" x14ac:dyDescent="0.3">
      <c r="B5" s="4" t="s">
        <v>48</v>
      </c>
      <c r="C5" s="7">
        <v>5.57E-2</v>
      </c>
    </row>
    <row r="6" spans="2:7" ht="14" customHeight="1" x14ac:dyDescent="0.3">
      <c r="B6" s="4" t="s">
        <v>56</v>
      </c>
      <c r="C6" s="7">
        <v>0.25</v>
      </c>
    </row>
    <row r="7" spans="2:7" ht="14" customHeight="1" x14ac:dyDescent="0.3">
      <c r="B7" s="4" t="s">
        <v>57</v>
      </c>
      <c r="C7" s="7">
        <v>2.9700000000000001E-2</v>
      </c>
    </row>
    <row r="8" spans="2:7" ht="14" customHeight="1" x14ac:dyDescent="0.3">
      <c r="B8" s="4" t="s">
        <v>58</v>
      </c>
      <c r="C8" s="12">
        <v>1.5002</v>
      </c>
    </row>
    <row r="9" spans="2:7" ht="14" customHeight="1" x14ac:dyDescent="0.3">
      <c r="B9" s="4" t="s">
        <v>59</v>
      </c>
      <c r="C9" s="7">
        <v>6.5000000000000002E-2</v>
      </c>
    </row>
    <row r="10" spans="2:7" ht="14" customHeight="1" x14ac:dyDescent="0.3">
      <c r="B10" s="4" t="s">
        <v>60</v>
      </c>
      <c r="C10" s="7">
        <v>0.01</v>
      </c>
    </row>
    <row r="11" spans="2:7" ht="14" customHeight="1" x14ac:dyDescent="0.3">
      <c r="B11" s="4" t="s">
        <v>61</v>
      </c>
      <c r="C11" s="7">
        <v>1.35E-2</v>
      </c>
    </row>
    <row r="12" spans="2:7" ht="14" customHeight="1" x14ac:dyDescent="0.3">
      <c r="B12" s="4" t="s">
        <v>62</v>
      </c>
      <c r="C12" s="13">
        <v>0.1203</v>
      </c>
    </row>
    <row r="13" spans="2:7" ht="14" customHeight="1" x14ac:dyDescent="0.3">
      <c r="B13" s="4" t="s">
        <v>63</v>
      </c>
      <c r="C13" s="7">
        <v>0.01</v>
      </c>
    </row>
    <row r="14" spans="2:7" ht="14" customHeight="1" x14ac:dyDescent="0.3">
      <c r="B14" s="4" t="s">
        <v>64</v>
      </c>
      <c r="C14" s="14">
        <v>14.3</v>
      </c>
    </row>
    <row r="15" spans="2:7" ht="14" customHeight="1" x14ac:dyDescent="0.3">
      <c r="B15" s="4" t="s">
        <v>65</v>
      </c>
      <c r="C15" s="15">
        <v>1060161928</v>
      </c>
    </row>
    <row r="16" spans="2:7" ht="14" customHeight="1" x14ac:dyDescent="0.3">
      <c r="B16" s="4" t="s">
        <v>66</v>
      </c>
      <c r="C16" s="5">
        <v>334809</v>
      </c>
    </row>
    <row r="17" spans="2:7" ht="14" customHeight="1" x14ac:dyDescent="0.3">
      <c r="B17" s="4" t="s">
        <v>67</v>
      </c>
      <c r="C17" s="5">
        <v>1643402</v>
      </c>
    </row>
    <row r="18" spans="2:7" ht="14" customHeight="1" x14ac:dyDescent="0.3">
      <c r="B18" s="4" t="s">
        <v>68</v>
      </c>
      <c r="C18" s="7">
        <v>5.2999999999999999E-2</v>
      </c>
    </row>
    <row r="19" spans="2:7" ht="14" customHeight="1" x14ac:dyDescent="0.3">
      <c r="B19" s="4" t="s">
        <v>69</v>
      </c>
      <c r="C19" s="12">
        <v>1</v>
      </c>
    </row>
    <row r="20" spans="2:7" ht="14" customHeight="1" x14ac:dyDescent="0.3">
      <c r="B20" s="4" t="s">
        <v>70</v>
      </c>
      <c r="C20" s="5">
        <v>1643402</v>
      </c>
    </row>
    <row r="22" spans="2:7" ht="14" customHeight="1" x14ac:dyDescent="0.3">
      <c r="B22" s="8" t="s">
        <v>71</v>
      </c>
      <c r="C22" s="9"/>
      <c r="D22" s="9"/>
      <c r="E22" s="9"/>
      <c r="F22" s="9"/>
      <c r="G22" s="9"/>
    </row>
    <row r="23" spans="2:7" ht="14" customHeight="1" x14ac:dyDescent="0.3">
      <c r="B23" s="4" t="s">
        <v>72</v>
      </c>
      <c r="C23" s="16">
        <f>C7+C8*C9+C10</f>
        <v>0.137213</v>
      </c>
    </row>
    <row r="24" spans="2:7" ht="14" customHeight="1" x14ac:dyDescent="0.3">
      <c r="B24" s="4" t="s">
        <v>73</v>
      </c>
      <c r="C24" s="16">
        <f>1/(1+C12)</f>
        <v>0.89261804873694539</v>
      </c>
    </row>
    <row r="25" spans="2:7" ht="14" customHeight="1" x14ac:dyDescent="0.3">
      <c r="B25" s="4" t="s">
        <v>74</v>
      </c>
      <c r="C25" s="16">
        <f>C12/(1+C12)</f>
        <v>0.10738195126305454</v>
      </c>
    </row>
    <row r="26" spans="2:7" ht="14" customHeight="1" x14ac:dyDescent="0.3">
      <c r="B26" s="4" t="s">
        <v>75</v>
      </c>
      <c r="C26" s="16">
        <f>C23*C24+C11*C25</f>
        <v>0.12392845666339374</v>
      </c>
    </row>
    <row r="27" spans="2:7" ht="14" customHeight="1" x14ac:dyDescent="0.3">
      <c r="B27" s="4" t="s">
        <v>76</v>
      </c>
      <c r="C27" s="17" t="s">
        <v>77</v>
      </c>
      <c r="D27" s="6">
        <f>MATCH(C27,B69:B73,0)</f>
        <v>1</v>
      </c>
    </row>
    <row r="28" spans="2:7" ht="14" customHeight="1" x14ac:dyDescent="0.3">
      <c r="B28" s="8" t="s">
        <v>78</v>
      </c>
      <c r="C28" s="9"/>
      <c r="D28" s="9"/>
      <c r="E28" s="9"/>
      <c r="F28" s="9"/>
      <c r="G28" s="9"/>
    </row>
    <row r="29" spans="2:7" ht="14" customHeight="1" x14ac:dyDescent="0.3">
      <c r="C29" s="10" t="s">
        <v>79</v>
      </c>
      <c r="D29" s="10" t="s">
        <v>80</v>
      </c>
      <c r="E29" s="10" t="s">
        <v>81</v>
      </c>
      <c r="F29" s="10" t="s">
        <v>82</v>
      </c>
      <c r="G29" s="10" t="s">
        <v>83</v>
      </c>
    </row>
    <row r="30" spans="2:7" ht="14" customHeight="1" x14ac:dyDescent="0.3">
      <c r="B30" s="4" t="s">
        <v>40</v>
      </c>
      <c r="C30" s="18">
        <f>CHOOSE($D$27,C69,C70,C71,C72,C73)</f>
        <v>0.04</v>
      </c>
      <c r="D30" s="18">
        <f>CHOOSE($D$27,D69,D70,D71,D72,D73)</f>
        <v>3.5000000000000003E-2</v>
      </c>
      <c r="E30" s="18">
        <f>CHOOSE($D$27,E69,E70,E71,E72,E73)</f>
        <v>0.03</v>
      </c>
      <c r="F30" s="18">
        <f>CHOOSE($D$27,F69,F70,F71,F72,F73)</f>
        <v>2.5000000000000001E-2</v>
      </c>
      <c r="G30" s="18">
        <f>CHOOSE($D$27,G69,G70,G71,G72,G73)</f>
        <v>2.5000000000000001E-2</v>
      </c>
    </row>
    <row r="31" spans="2:7" ht="14" customHeight="1" x14ac:dyDescent="0.3">
      <c r="B31" s="4" t="s">
        <v>84</v>
      </c>
      <c r="C31" s="18">
        <f>CHOOSE($D$27,C76,C77,C78,C79,C80)</f>
        <v>0.76900000000000002</v>
      </c>
      <c r="D31" s="18">
        <f>CHOOSE($D$27,D76,D77,D78,D79,D80)</f>
        <v>0.76900000000000002</v>
      </c>
      <c r="E31" s="18">
        <f>CHOOSE($D$27,E76,E77,E78,E79,E80)</f>
        <v>0.76900000000000002</v>
      </c>
      <c r="F31" s="18">
        <f>CHOOSE($D$27,F76,F77,F78,F79,F80)</f>
        <v>0.76900000000000002</v>
      </c>
      <c r="G31" s="18">
        <f>CHOOSE($D$27,G76,G77,G78,G79,G80)</f>
        <v>0.76900000000000002</v>
      </c>
    </row>
    <row r="32" spans="2:7" ht="14" customHeight="1" x14ac:dyDescent="0.3">
      <c r="B32" s="4" t="s">
        <v>85</v>
      </c>
      <c r="C32" s="18">
        <f>CHOOSE($D$27,C83,C84,C85,C86,C87)</f>
        <v>0.13300000000000001</v>
      </c>
      <c r="D32" s="18">
        <f>CHOOSE($D$27,D83,D84,D85,D86,D87)</f>
        <v>0.13600000000000001</v>
      </c>
      <c r="E32" s="18">
        <f>CHOOSE($D$27,E83,E84,E85,E86,E87)</f>
        <v>0.13900000000000001</v>
      </c>
      <c r="F32" s="18">
        <f>CHOOSE($D$27,F83,F84,F85,F86,F87)</f>
        <v>0.14199999999999999</v>
      </c>
      <c r="G32" s="18">
        <f>CHOOSE($D$27,G83,G84,G85,G86,G87)</f>
        <v>0.1434</v>
      </c>
    </row>
    <row r="33" spans="2:7" ht="14" customHeight="1" x14ac:dyDescent="0.3">
      <c r="B33" s="4" t="s">
        <v>31</v>
      </c>
      <c r="C33" s="5">
        <f>C17*(1+C30)</f>
        <v>1709138.08</v>
      </c>
      <c r="D33" s="5">
        <f>C33*(1+D30)</f>
        <v>1768957.9128</v>
      </c>
      <c r="E33" s="5">
        <f>D33*(1+E30)</f>
        <v>1822026.6501840001</v>
      </c>
      <c r="F33" s="5">
        <f>E33*(1+F30)</f>
        <v>1867577.3164386</v>
      </c>
      <c r="G33" s="5">
        <f>F33*(1+G30)</f>
        <v>1914266.7493495648</v>
      </c>
    </row>
    <row r="34" spans="2:7" ht="14" customHeight="1" x14ac:dyDescent="0.3">
      <c r="B34" s="4" t="s">
        <v>32</v>
      </c>
      <c r="C34" s="5">
        <f>C33*C31</f>
        <v>1314327.1835200002</v>
      </c>
      <c r="D34" s="5">
        <f>D33*D31</f>
        <v>1360328.6349432</v>
      </c>
      <c r="E34" s="5">
        <f>E33*E31</f>
        <v>1401138.493991496</v>
      </c>
      <c r="F34" s="5">
        <f>F33*F31</f>
        <v>1436166.9563412834</v>
      </c>
      <c r="G34" s="5">
        <f>G33*G31</f>
        <v>1472071.1302498153</v>
      </c>
    </row>
    <row r="35" spans="2:7" ht="14" customHeight="1" x14ac:dyDescent="0.3">
      <c r="B35" s="4" t="s">
        <v>33</v>
      </c>
      <c r="C35" s="19">
        <f>C33-C34</f>
        <v>394810.89647999988</v>
      </c>
      <c r="D35" s="19">
        <f>D33-D34</f>
        <v>408629.27785680001</v>
      </c>
      <c r="E35" s="19">
        <f>E33-E34</f>
        <v>420888.1561925041</v>
      </c>
      <c r="F35" s="19">
        <f>F33-F34</f>
        <v>431410.36009731656</v>
      </c>
      <c r="G35" s="19">
        <f>G33-G34</f>
        <v>442195.61909974949</v>
      </c>
    </row>
    <row r="36" spans="2:7" ht="14" customHeight="1" x14ac:dyDescent="0.3">
      <c r="B36" s="4" t="s">
        <v>34</v>
      </c>
      <c r="C36" s="7">
        <f>C35/C33</f>
        <v>0.23099999999999993</v>
      </c>
      <c r="D36" s="7">
        <f>D35/D33</f>
        <v>0.23100000000000001</v>
      </c>
      <c r="E36" s="7">
        <f>E35/E33</f>
        <v>0.23100000000000004</v>
      </c>
      <c r="F36" s="7">
        <f>F35/F33</f>
        <v>0.23099999999999998</v>
      </c>
      <c r="G36" s="7">
        <f>G35/G33</f>
        <v>0.23100000000000001</v>
      </c>
    </row>
    <row r="37" spans="2:7" ht="14" customHeight="1" x14ac:dyDescent="0.3">
      <c r="B37" s="4" t="s">
        <v>86</v>
      </c>
      <c r="C37" s="5">
        <f>C33*C32</f>
        <v>227315.36464000001</v>
      </c>
      <c r="D37" s="5">
        <f>D33*D32</f>
        <v>240578.27614080004</v>
      </c>
      <c r="E37" s="5">
        <f>E33*E32</f>
        <v>253261.70437557605</v>
      </c>
      <c r="F37" s="5">
        <f>F33*F32</f>
        <v>265195.97893428116</v>
      </c>
      <c r="G37" s="5">
        <f>G33*G32</f>
        <v>274505.85185672756</v>
      </c>
    </row>
    <row r="38" spans="2:7" ht="14" customHeight="1" x14ac:dyDescent="0.3">
      <c r="B38" s="4" t="s">
        <v>87</v>
      </c>
      <c r="C38" s="7">
        <f>(C35-C37)/C33</f>
        <v>9.7999999999999921E-2</v>
      </c>
      <c r="D38" s="7">
        <f>(D35-D37)/D33</f>
        <v>9.4999999999999973E-2</v>
      </c>
      <c r="E38" s="7">
        <f>(E35-E37)/E33</f>
        <v>9.2000000000000026E-2</v>
      </c>
      <c r="F38" s="7">
        <f>(F35-F37)/F33</f>
        <v>8.900000000000001E-2</v>
      </c>
      <c r="G38" s="7">
        <f>(G35-G37)/G33</f>
        <v>8.7600000000000025E-2</v>
      </c>
    </row>
    <row r="39" spans="2:7" ht="14" customHeight="1" x14ac:dyDescent="0.3">
      <c r="B39" s="4" t="s">
        <v>88</v>
      </c>
      <c r="C39" s="19">
        <f>C35-C37</f>
        <v>167495.53183999987</v>
      </c>
      <c r="D39" s="19">
        <f>D35-D37</f>
        <v>168051.00171599997</v>
      </c>
      <c r="E39" s="19">
        <f>E35-E37</f>
        <v>167626.45181692805</v>
      </c>
      <c r="F39" s="19">
        <f>F35-F37</f>
        <v>166214.3811630354</v>
      </c>
      <c r="G39" s="19">
        <f>G35-G37</f>
        <v>167689.76724302192</v>
      </c>
    </row>
    <row r="40" spans="2:7" ht="14" customHeight="1" x14ac:dyDescent="0.3">
      <c r="B40" s="4" t="s">
        <v>89</v>
      </c>
      <c r="C40" s="5">
        <f>MAX(0,C39*C6)</f>
        <v>41873.882959999966</v>
      </c>
      <c r="D40" s="5">
        <f>MAX(0,D39*C6)</f>
        <v>42012.750428999992</v>
      </c>
      <c r="E40" s="5">
        <f>MAX(0,E39*C6)</f>
        <v>41906.612954232012</v>
      </c>
      <c r="F40" s="5">
        <f>MAX(0,F39*C6)</f>
        <v>41553.595290758851</v>
      </c>
      <c r="G40" s="5">
        <f>MAX(0,G39*C6)</f>
        <v>41922.441810755481</v>
      </c>
    </row>
    <row r="41" spans="2:7" ht="14" customHeight="1" x14ac:dyDescent="0.3">
      <c r="B41" s="4" t="s">
        <v>90</v>
      </c>
      <c r="C41" s="19">
        <f>C39-C40</f>
        <v>125621.64887999991</v>
      </c>
      <c r="D41" s="19">
        <f>D39-D40</f>
        <v>126038.25128699998</v>
      </c>
      <c r="E41" s="19">
        <f>E39-E40</f>
        <v>125719.83886269604</v>
      </c>
      <c r="F41" s="19">
        <f>F39-F40</f>
        <v>124660.78587227655</v>
      </c>
      <c r="G41" s="19">
        <f>G39-G40</f>
        <v>125767.32543226644</v>
      </c>
    </row>
    <row r="42" spans="2:7" ht="14" customHeight="1" x14ac:dyDescent="0.3">
      <c r="B42" s="4" t="s">
        <v>91</v>
      </c>
      <c r="C42" s="5">
        <f>C33*C18</f>
        <v>90584.318240000008</v>
      </c>
      <c r="D42" s="5">
        <f>D33*C18</f>
        <v>93754.7693784</v>
      </c>
      <c r="E42" s="5">
        <f>E33*C18</f>
        <v>96567.412459751999</v>
      </c>
      <c r="F42" s="5">
        <f>F33*C18</f>
        <v>98981.597771245797</v>
      </c>
      <c r="G42" s="5">
        <f>G33*C18</f>
        <v>101456.13771552693</v>
      </c>
    </row>
    <row r="43" spans="2:7" ht="14" customHeight="1" x14ac:dyDescent="0.3">
      <c r="B43" s="4" t="s">
        <v>92</v>
      </c>
      <c r="C43" s="5">
        <f>C33*C5</f>
        <v>95198.991055999999</v>
      </c>
      <c r="D43" s="5">
        <f>D33*C5</f>
        <v>98530.955742959995</v>
      </c>
      <c r="E43" s="5">
        <f>E33*C5</f>
        <v>101486.8844152488</v>
      </c>
      <c r="F43" s="5">
        <f>F33*C5</f>
        <v>104024.05652563002</v>
      </c>
      <c r="G43" s="5">
        <f>G33*C5</f>
        <v>106624.65793877076</v>
      </c>
    </row>
    <row r="44" spans="2:7" ht="14" customHeight="1" x14ac:dyDescent="0.3">
      <c r="B44" s="4" t="s">
        <v>93</v>
      </c>
      <c r="C44" s="5">
        <f>'NWC Schedule'!D19</f>
        <v>20337.348131068517</v>
      </c>
      <c r="D44" s="5">
        <f>'NWC Schedule'!E19</f>
        <v>24468.442184587358</v>
      </c>
      <c r="E44" s="5">
        <f>'NWC Schedule'!F19</f>
        <v>21707.003709469805</v>
      </c>
      <c r="F44" s="5">
        <f>'NWC Schedule'!G19</f>
        <v>18631.844850628171</v>
      </c>
      <c r="G44" s="5">
        <f>'NWC Schedule'!H19</f>
        <v>19097.640971893677</v>
      </c>
    </row>
    <row r="45" spans="2:7" ht="14" customHeight="1" x14ac:dyDescent="0.3">
      <c r="B45" s="4" t="s">
        <v>94</v>
      </c>
      <c r="C45" s="20">
        <f>C41+C42-C43-C44</f>
        <v>100669.62793293141</v>
      </c>
      <c r="D45" s="20">
        <f>D41+D42-D43-D44</f>
        <v>96793.622737852609</v>
      </c>
      <c r="E45" s="20">
        <f>E41+E42-E43-E44</f>
        <v>99093.363197729414</v>
      </c>
      <c r="F45" s="20">
        <f>F41+F42-F43-F44</f>
        <v>100986.48226726415</v>
      </c>
      <c r="G45" s="20">
        <f>G41+G42-G43-G44</f>
        <v>101501.16423712893</v>
      </c>
    </row>
    <row r="46" spans="2:7" ht="14" customHeight="1" x14ac:dyDescent="0.3">
      <c r="B46" s="4" t="s">
        <v>95</v>
      </c>
      <c r="C46" s="21">
        <f>1/(1+C26)^(C19+0)</f>
        <v>0.88973634760409914</v>
      </c>
      <c r="D46" s="21">
        <f>1/(1+C26)^(C19+1)</f>
        <v>0.79163076824788225</v>
      </c>
      <c r="E46" s="21">
        <f>1/(1+C26)^(C19+2)</f>
        <v>0.70434266839189785</v>
      </c>
      <c r="F46" s="21">
        <f>1/(1+C26)^(C19+3)</f>
        <v>0.62667927323673223</v>
      </c>
      <c r="G46" s="21">
        <f>1/(1+C26)^(C19+4)</f>
        <v>0.55757932768884144</v>
      </c>
    </row>
    <row r="47" spans="2:7" ht="14" customHeight="1" x14ac:dyDescent="0.3">
      <c r="B47" s="4" t="s">
        <v>96</v>
      </c>
      <c r="C47" s="19">
        <f>C45*C46</f>
        <v>89569.427071709986</v>
      </c>
      <c r="D47" s="19">
        <f>D45*D46</f>
        <v>76624.809929461946</v>
      </c>
      <c r="E47" s="19">
        <f>E45*E46</f>
        <v>69795.683854616218</v>
      </c>
      <c r="F47" s="19">
        <f>F45*F46</f>
        <v>63286.135313983243</v>
      </c>
      <c r="G47" s="19">
        <f>G45*G46</f>
        <v>56594.950914973029</v>
      </c>
    </row>
    <row r="49" spans="2:7" ht="14" customHeight="1" x14ac:dyDescent="0.3">
      <c r="B49" s="22" t="s">
        <v>97</v>
      </c>
      <c r="C49" s="23"/>
      <c r="D49" s="23"/>
      <c r="E49" s="23"/>
      <c r="F49" s="23"/>
      <c r="G49" s="23"/>
    </row>
    <row r="50" spans="2:7" ht="14" customHeight="1" x14ac:dyDescent="0.3">
      <c r="B50" s="4" t="s">
        <v>98</v>
      </c>
      <c r="C50" s="5">
        <f>SUM(C47:G47)</f>
        <v>355871.0070847444</v>
      </c>
    </row>
    <row r="51" spans="2:7" ht="14" customHeight="1" x14ac:dyDescent="0.3">
      <c r="B51" s="4" t="s">
        <v>99</v>
      </c>
      <c r="C51" s="5">
        <f>G45*(1+C13)/(C26-C13)</f>
        <v>899829.40945464082</v>
      </c>
    </row>
    <row r="52" spans="2:7" ht="14" customHeight="1" x14ac:dyDescent="0.3">
      <c r="B52" s="4" t="s">
        <v>100</v>
      </c>
      <c r="C52" s="5">
        <f>C51*G46</f>
        <v>501726.27715836588</v>
      </c>
    </row>
    <row r="53" spans="2:7" ht="14" customHeight="1" x14ac:dyDescent="0.3">
      <c r="B53" s="4" t="s">
        <v>101</v>
      </c>
      <c r="C53" s="5">
        <f>C50+C52</f>
        <v>857597.28424311033</v>
      </c>
    </row>
    <row r="54" spans="2:7" ht="14" customHeight="1" x14ac:dyDescent="0.3">
      <c r="B54" s="4" t="s">
        <v>102</v>
      </c>
      <c r="C54" s="5">
        <f>C53-C16</f>
        <v>522788.28424311033</v>
      </c>
    </row>
    <row r="55" spans="2:7" ht="14" customHeight="1" x14ac:dyDescent="0.3">
      <c r="B55" s="4" t="s">
        <v>103</v>
      </c>
      <c r="C55" s="24">
        <f>ROUND(C54*1000000/C15,0)</f>
        <v>493</v>
      </c>
    </row>
    <row r="57" spans="2:7" ht="14" customHeight="1" x14ac:dyDescent="0.3">
      <c r="B57" s="22" t="s">
        <v>104</v>
      </c>
      <c r="C57" s="23"/>
      <c r="D57" s="23"/>
      <c r="E57" s="23"/>
      <c r="F57" s="23"/>
      <c r="G57" s="23"/>
    </row>
    <row r="58" spans="2:7" ht="14" customHeight="1" x14ac:dyDescent="0.3">
      <c r="B58" s="4" t="s">
        <v>98</v>
      </c>
      <c r="C58" s="5">
        <f>C50</f>
        <v>355871.0070847444</v>
      </c>
    </row>
    <row r="59" spans="2:7" ht="14" customHeight="1" x14ac:dyDescent="0.3">
      <c r="B59" s="4" t="s">
        <v>105</v>
      </c>
      <c r="C59" s="5">
        <f>G39+G42</f>
        <v>269145.90495854884</v>
      </c>
    </row>
    <row r="60" spans="2:7" ht="14" customHeight="1" x14ac:dyDescent="0.3">
      <c r="B60" s="4" t="s">
        <v>106</v>
      </c>
      <c r="C60" s="5">
        <f>C59*C14</f>
        <v>3848786.4409072488</v>
      </c>
    </row>
    <row r="61" spans="2:7" ht="14" customHeight="1" x14ac:dyDescent="0.3">
      <c r="B61" s="4" t="s">
        <v>100</v>
      </c>
      <c r="C61" s="5">
        <f>C60*G46</f>
        <v>2146003.7561389925</v>
      </c>
    </row>
    <row r="62" spans="2:7" ht="14" customHeight="1" x14ac:dyDescent="0.3">
      <c r="B62" s="4" t="s">
        <v>101</v>
      </c>
      <c r="C62" s="5">
        <f>C58+C61</f>
        <v>2501874.763223737</v>
      </c>
    </row>
    <row r="63" spans="2:7" ht="14" customHeight="1" x14ac:dyDescent="0.3">
      <c r="B63" s="4" t="s">
        <v>102</v>
      </c>
      <c r="C63" s="5">
        <f>C62-C16</f>
        <v>2167065.763223737</v>
      </c>
    </row>
    <row r="64" spans="2:7" ht="14" customHeight="1" x14ac:dyDescent="0.3">
      <c r="B64" s="4" t="s">
        <v>107</v>
      </c>
      <c r="C64" s="24">
        <f>ROUND(C63*1000000/C15,0)</f>
        <v>2044</v>
      </c>
    </row>
    <row r="66" spans="2:7" ht="14" customHeight="1" x14ac:dyDescent="0.3">
      <c r="B66" s="22" t="s">
        <v>108</v>
      </c>
      <c r="C66" s="23"/>
      <c r="D66" s="23"/>
      <c r="E66" s="23"/>
      <c r="F66" s="23"/>
      <c r="G66" s="23"/>
    </row>
    <row r="67" spans="2:7" ht="14" customHeight="1" x14ac:dyDescent="0.3">
      <c r="C67" s="25" t="s">
        <v>109</v>
      </c>
      <c r="D67" s="25" t="s">
        <v>110</v>
      </c>
      <c r="E67" s="25" t="s">
        <v>111</v>
      </c>
      <c r="F67" s="25" t="s">
        <v>112</v>
      </c>
      <c r="G67" s="25" t="s">
        <v>113</v>
      </c>
    </row>
    <row r="68" spans="2:7" ht="14" customHeight="1" x14ac:dyDescent="0.3">
      <c r="B68" s="3" t="s">
        <v>40</v>
      </c>
    </row>
    <row r="69" spans="2:7" ht="14" customHeight="1" x14ac:dyDescent="0.3">
      <c r="B69" s="4" t="s">
        <v>77</v>
      </c>
      <c r="C69" s="26">
        <v>0.04</v>
      </c>
      <c r="D69" s="26">
        <v>3.5000000000000003E-2</v>
      </c>
      <c r="E69" s="26">
        <v>0.03</v>
      </c>
      <c r="F69" s="26">
        <v>2.5000000000000001E-2</v>
      </c>
      <c r="G69" s="26">
        <v>2.5000000000000001E-2</v>
      </c>
    </row>
    <row r="70" spans="2:7" ht="14" customHeight="1" x14ac:dyDescent="0.3">
      <c r="B70" s="4" t="s">
        <v>114</v>
      </c>
      <c r="C70" s="26">
        <v>0.06</v>
      </c>
      <c r="D70" s="26">
        <v>0.05</v>
      </c>
      <c r="E70" s="26">
        <v>0.04</v>
      </c>
      <c r="F70" s="26">
        <v>3.5000000000000003E-2</v>
      </c>
      <c r="G70" s="26">
        <v>0.03</v>
      </c>
    </row>
    <row r="71" spans="2:7" ht="14" customHeight="1" x14ac:dyDescent="0.3">
      <c r="B71" s="4" t="s">
        <v>115</v>
      </c>
      <c r="C71" s="26">
        <v>0.04</v>
      </c>
      <c r="D71" s="26">
        <v>3.5000000000000003E-2</v>
      </c>
      <c r="E71" s="26">
        <v>0.03</v>
      </c>
      <c r="F71" s="26">
        <v>2.5000000000000001E-2</v>
      </c>
      <c r="G71" s="26">
        <v>2.5000000000000001E-2</v>
      </c>
    </row>
    <row r="72" spans="2:7" ht="14" customHeight="1" x14ac:dyDescent="0.3">
      <c r="B72" s="4" t="s">
        <v>116</v>
      </c>
      <c r="C72" s="26">
        <v>0.01</v>
      </c>
      <c r="D72" s="26">
        <v>0.01</v>
      </c>
      <c r="E72" s="26">
        <v>5.0000000000000001E-3</v>
      </c>
      <c r="F72" s="26">
        <v>5.0000000000000001E-3</v>
      </c>
      <c r="G72" s="26">
        <v>5.0000000000000001E-3</v>
      </c>
    </row>
    <row r="73" spans="2:7" ht="14" customHeight="1" x14ac:dyDescent="0.3">
      <c r="B73" s="4" t="s">
        <v>117</v>
      </c>
      <c r="C73" s="26">
        <v>-0.1</v>
      </c>
      <c r="D73" s="26">
        <v>-0.02</v>
      </c>
      <c r="E73" s="26">
        <v>0.01</v>
      </c>
      <c r="F73" s="26">
        <v>0.02</v>
      </c>
      <c r="G73" s="26">
        <v>2.5000000000000001E-2</v>
      </c>
    </row>
    <row r="75" spans="2:7" ht="14" customHeight="1" x14ac:dyDescent="0.3">
      <c r="B75" s="3" t="s">
        <v>84</v>
      </c>
    </row>
    <row r="76" spans="2:7" ht="14" customHeight="1" x14ac:dyDescent="0.3">
      <c r="B76" s="4" t="s">
        <v>77</v>
      </c>
      <c r="C76" s="26">
        <v>0.76900000000000002</v>
      </c>
      <c r="D76" s="26">
        <v>0.76900000000000002</v>
      </c>
      <c r="E76" s="26">
        <v>0.76900000000000002</v>
      </c>
      <c r="F76" s="26">
        <v>0.76900000000000002</v>
      </c>
      <c r="G76" s="26">
        <v>0.76900000000000002</v>
      </c>
    </row>
    <row r="77" spans="2:7" ht="14" customHeight="1" x14ac:dyDescent="0.3">
      <c r="B77" s="4" t="s">
        <v>114</v>
      </c>
      <c r="C77" s="26">
        <v>0.76300000000000001</v>
      </c>
      <c r="D77" s="26">
        <v>0.76300000000000001</v>
      </c>
      <c r="E77" s="26">
        <v>0.76300000000000001</v>
      </c>
      <c r="F77" s="26">
        <v>0.76300000000000001</v>
      </c>
      <c r="G77" s="26">
        <v>0.76300000000000001</v>
      </c>
    </row>
    <row r="78" spans="2:7" ht="14" customHeight="1" x14ac:dyDescent="0.3">
      <c r="B78" s="4" t="s">
        <v>115</v>
      </c>
      <c r="C78" s="26">
        <v>0.76900000000000002</v>
      </c>
      <c r="D78" s="26">
        <v>0.76900000000000002</v>
      </c>
      <c r="E78" s="26">
        <v>0.76900000000000002</v>
      </c>
      <c r="F78" s="26">
        <v>0.76900000000000002</v>
      </c>
      <c r="G78" s="26">
        <v>0.76900000000000002</v>
      </c>
    </row>
    <row r="79" spans="2:7" ht="14" customHeight="1" x14ac:dyDescent="0.3">
      <c r="B79" s="4" t="s">
        <v>116</v>
      </c>
      <c r="C79" s="26">
        <v>0.77800000000000002</v>
      </c>
      <c r="D79" s="26">
        <v>0.77800000000000002</v>
      </c>
      <c r="E79" s="26">
        <v>0.77800000000000002</v>
      </c>
      <c r="F79" s="26">
        <v>0.77800000000000002</v>
      </c>
      <c r="G79" s="26">
        <v>0.77800000000000002</v>
      </c>
    </row>
    <row r="80" spans="2:7" ht="14" customHeight="1" x14ac:dyDescent="0.3">
      <c r="B80" s="4" t="s">
        <v>117</v>
      </c>
      <c r="C80" s="26">
        <v>0.8</v>
      </c>
      <c r="D80" s="26">
        <v>0.8</v>
      </c>
      <c r="E80" s="26">
        <v>0.8</v>
      </c>
      <c r="F80" s="26">
        <v>0.8</v>
      </c>
      <c r="G80" s="26">
        <v>0.8</v>
      </c>
    </row>
    <row r="82" spans="2:7" ht="14" customHeight="1" x14ac:dyDescent="0.3">
      <c r="B82" s="3" t="s">
        <v>85</v>
      </c>
    </row>
    <row r="83" spans="2:7" ht="14" customHeight="1" x14ac:dyDescent="0.3">
      <c r="B83" s="4" t="s">
        <v>77</v>
      </c>
      <c r="C83" s="26">
        <v>0.13300000000000001</v>
      </c>
      <c r="D83" s="26">
        <v>0.13600000000000001</v>
      </c>
      <c r="E83" s="26">
        <v>0.13900000000000001</v>
      </c>
      <c r="F83" s="26">
        <v>0.14199999999999999</v>
      </c>
      <c r="G83" s="26">
        <v>0.1434</v>
      </c>
    </row>
    <row r="84" spans="2:7" ht="14" customHeight="1" x14ac:dyDescent="0.3">
      <c r="B84" s="4" t="s">
        <v>114</v>
      </c>
      <c r="C84" s="26">
        <v>0.13400000000000001</v>
      </c>
      <c r="D84" s="26">
        <v>0.13200000000000001</v>
      </c>
      <c r="E84" s="26">
        <v>0.13</v>
      </c>
      <c r="F84" s="26">
        <v>0.128</v>
      </c>
      <c r="G84" s="26">
        <v>0.1263</v>
      </c>
    </row>
    <row r="85" spans="2:7" ht="14" customHeight="1" x14ac:dyDescent="0.3">
      <c r="B85" s="4" t="s">
        <v>115</v>
      </c>
      <c r="C85" s="26">
        <v>0.13300000000000001</v>
      </c>
      <c r="D85" s="26">
        <v>0.13600000000000001</v>
      </c>
      <c r="E85" s="26">
        <v>0.13900000000000001</v>
      </c>
      <c r="F85" s="26">
        <v>0.14199999999999999</v>
      </c>
      <c r="G85" s="26">
        <v>0.1434</v>
      </c>
    </row>
    <row r="86" spans="2:7" ht="14" customHeight="1" x14ac:dyDescent="0.3">
      <c r="B86" s="4" t="s">
        <v>116</v>
      </c>
      <c r="C86" s="26">
        <v>0.13</v>
      </c>
      <c r="D86" s="26">
        <v>0.13600000000000001</v>
      </c>
      <c r="E86" s="26">
        <v>0.14199999999999999</v>
      </c>
      <c r="F86" s="26">
        <v>0.14599999999999999</v>
      </c>
      <c r="G86" s="26">
        <v>0.14760000000000001</v>
      </c>
    </row>
    <row r="87" spans="2:7" ht="14" customHeight="1" x14ac:dyDescent="0.3">
      <c r="B87" s="4" t="s">
        <v>117</v>
      </c>
      <c r="C87" s="26">
        <v>0.17</v>
      </c>
      <c r="D87" s="26">
        <v>0.18</v>
      </c>
      <c r="E87" s="26">
        <v>0.17499999999999999</v>
      </c>
      <c r="F87" s="26">
        <v>0.16500000000000001</v>
      </c>
      <c r="G87" s="26">
        <v>0.16</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118</v>
      </c>
    </row>
    <row r="3" spans="2:9" ht="14" customHeight="1" x14ac:dyDescent="0.3">
      <c r="B3" s="1" t="s">
        <v>119</v>
      </c>
    </row>
    <row r="5" spans="2:9" ht="14" customHeight="1" x14ac:dyDescent="0.3">
      <c r="B5" s="8" t="s">
        <v>120</v>
      </c>
      <c r="C5" s="9"/>
      <c r="D5" s="9"/>
      <c r="E5" s="9"/>
      <c r="F5" s="9"/>
      <c r="G5" s="9"/>
      <c r="H5" s="9"/>
      <c r="I5" s="9"/>
    </row>
    <row r="6" spans="2:9" ht="14" customHeight="1" x14ac:dyDescent="0.3">
      <c r="B6" s="4" t="s">
        <v>121</v>
      </c>
      <c r="C6" s="15">
        <f>'Executive Summary'!C9</f>
        <v>2624.5</v>
      </c>
    </row>
    <row r="7" spans="2:9" ht="14" customHeight="1" x14ac:dyDescent="0.3">
      <c r="B7" s="4" t="s">
        <v>65</v>
      </c>
      <c r="C7" s="15">
        <f>'DCF Model'!C15</f>
        <v>1060161928</v>
      </c>
    </row>
    <row r="8" spans="2:9" ht="14" customHeight="1" x14ac:dyDescent="0.3">
      <c r="B8" s="4" t="s">
        <v>122</v>
      </c>
      <c r="C8" s="5">
        <f>C6*C7/1000000</f>
        <v>2782394.9800359998</v>
      </c>
    </row>
    <row r="9" spans="2:9" ht="14" customHeight="1" x14ac:dyDescent="0.3">
      <c r="B9" s="4" t="s">
        <v>66</v>
      </c>
      <c r="C9" s="5">
        <f>'DCF Model'!C16</f>
        <v>334809</v>
      </c>
    </row>
    <row r="10" spans="2:9" ht="14" customHeight="1" x14ac:dyDescent="0.3">
      <c r="B10" s="4" t="s">
        <v>123</v>
      </c>
      <c r="C10" s="5">
        <f>C8+C9</f>
        <v>3117203.9800359998</v>
      </c>
    </row>
    <row r="11" spans="2:9" ht="14" customHeight="1" x14ac:dyDescent="0.3">
      <c r="B11" s="4" t="s">
        <v>124</v>
      </c>
      <c r="C11" s="16">
        <f>'DCF Model'!C26</f>
        <v>0.12392845666339374</v>
      </c>
    </row>
    <row r="12" spans="2:9" ht="14" customHeight="1" x14ac:dyDescent="0.3">
      <c r="B12" s="4" t="s">
        <v>125</v>
      </c>
      <c r="C12" s="16">
        <f>'DCF Model'!C13</f>
        <v>0.01</v>
      </c>
    </row>
    <row r="13" spans="2:9" ht="14" customHeight="1" x14ac:dyDescent="0.3">
      <c r="B13" s="4" t="s">
        <v>126</v>
      </c>
      <c r="C13" s="16">
        <f>'DCF Model'!C6</f>
        <v>0.25</v>
      </c>
    </row>
    <row r="14" spans="2:9" ht="14" customHeight="1" x14ac:dyDescent="0.3">
      <c r="B14" s="4" t="s">
        <v>127</v>
      </c>
      <c r="C14" s="27">
        <v>165534</v>
      </c>
    </row>
    <row r="15" spans="2:9" ht="14" customHeight="1" x14ac:dyDescent="0.3">
      <c r="B15" s="4" t="s">
        <v>128</v>
      </c>
      <c r="C15" s="27">
        <v>165534</v>
      </c>
    </row>
    <row r="16" spans="2:9" ht="14" customHeight="1" x14ac:dyDescent="0.3">
      <c r="B16" s="4" t="s">
        <v>129</v>
      </c>
      <c r="C16" s="5">
        <f>'DCF Model'!G33</f>
        <v>1914266.7493495648</v>
      </c>
    </row>
    <row r="17" spans="2:9" ht="14" customHeight="1" x14ac:dyDescent="0.3">
      <c r="B17" s="4" t="s">
        <v>130</v>
      </c>
      <c r="C17" s="5">
        <f>'DCF Model'!C53</f>
        <v>857597.28424311033</v>
      </c>
    </row>
    <row r="18" spans="2:9" ht="14" customHeight="1" x14ac:dyDescent="0.3">
      <c r="B18" s="4" t="s">
        <v>131</v>
      </c>
      <c r="C18" s="26">
        <v>0.1007264199508094</v>
      </c>
    </row>
    <row r="19" spans="2:9" ht="14" customHeight="1" x14ac:dyDescent="0.3">
      <c r="B19" s="4" t="s">
        <v>132</v>
      </c>
      <c r="C19" s="5">
        <f>C10-C17</f>
        <v>2259606.6957928892</v>
      </c>
    </row>
    <row r="20" spans="2:9" ht="14" customHeight="1" x14ac:dyDescent="0.3">
      <c r="B20" s="4" t="s">
        <v>133</v>
      </c>
      <c r="C20" s="15">
        <f>IFERROR(ROUND(C19*1000000/C7,0),"N/A")</f>
        <v>2131</v>
      </c>
    </row>
    <row r="22" spans="2:9" ht="14" customHeight="1" x14ac:dyDescent="0.3">
      <c r="B22" s="8" t="s">
        <v>134</v>
      </c>
      <c r="C22" s="9"/>
      <c r="D22" s="9"/>
      <c r="E22" s="9"/>
      <c r="F22" s="9"/>
      <c r="G22" s="9"/>
      <c r="H22" s="9"/>
      <c r="I22" s="9"/>
    </row>
    <row r="23" spans="2:9" ht="14" customHeight="1" x14ac:dyDescent="0.3">
      <c r="B23" s="1" t="s">
        <v>135</v>
      </c>
    </row>
    <row r="24" spans="2:9" ht="14" customHeight="1" x14ac:dyDescent="0.3">
      <c r="B24" s="4" t="s">
        <v>136</v>
      </c>
      <c r="C24" s="5">
        <f>C10*(C11-C12)</f>
        <v>355138.23855048988</v>
      </c>
    </row>
    <row r="25" spans="2:9" ht="14" customHeight="1" x14ac:dyDescent="0.3">
      <c r="B25" s="4" t="s">
        <v>137</v>
      </c>
      <c r="C25" s="5">
        <f>IFERROR(C24/(1-C13),"N/A")</f>
        <v>473517.65140065318</v>
      </c>
    </row>
    <row r="26" spans="2:9" ht="13.5" customHeight="1" x14ac:dyDescent="0.25">
      <c r="B26" s="6" t="s">
        <v>138</v>
      </c>
      <c r="C26" s="14">
        <f>IFERROR(C25/C15,"N/A")</f>
        <v>2.8605461802448633</v>
      </c>
    </row>
    <row r="27" spans="2:9" ht="13.5" customHeight="1" x14ac:dyDescent="0.25">
      <c r="B27" s="6" t="s">
        <v>139</v>
      </c>
      <c r="C27" s="14">
        <f>IFERROR(C25/C14,"N/A")</f>
        <v>2.8605461802448633</v>
      </c>
    </row>
    <row r="28" spans="2:9" ht="13.5" customHeight="1" x14ac:dyDescent="0.25">
      <c r="B28" s="6" t="s">
        <v>140</v>
      </c>
      <c r="C28" s="7">
        <f>IFERROR(C25/C16,"N/A")</f>
        <v>0.24736241778296908</v>
      </c>
    </row>
    <row r="29" spans="2:9" ht="13.5" customHeight="1" x14ac:dyDescent="0.25">
      <c r="B29" s="6" t="s">
        <v>141</v>
      </c>
      <c r="C29" s="5">
        <f>IFERROR(C25/C18,"N/A")</f>
        <v>4701027.3137067668</v>
      </c>
    </row>
    <row r="32" spans="2:9" ht="14" customHeight="1" x14ac:dyDescent="0.3">
      <c r="B32" s="8" t="s">
        <v>142</v>
      </c>
      <c r="C32" s="9"/>
      <c r="D32" s="9"/>
      <c r="E32" s="9"/>
      <c r="F32" s="9"/>
      <c r="G32" s="9"/>
      <c r="H32" s="9"/>
      <c r="I32" s="9"/>
    </row>
    <row r="33" spans="2:9" ht="14" customHeight="1" x14ac:dyDescent="0.3">
      <c r="B33" s="1" t="s">
        <v>143</v>
      </c>
    </row>
    <row r="34" spans="2:9" ht="14" customHeight="1" x14ac:dyDescent="0.3">
      <c r="B34" s="1" t="s">
        <v>144</v>
      </c>
    </row>
    <row r="36" spans="2:9" ht="14" customHeight="1" x14ac:dyDescent="0.3">
      <c r="B36" s="28" t="s">
        <v>145</v>
      </c>
      <c r="C36" s="28" t="s">
        <v>146</v>
      </c>
      <c r="D36" s="29">
        <f>'DCF Model'!C26-0.02</f>
        <v>0.10392845666339373</v>
      </c>
      <c r="E36" s="29">
        <f>'DCF Model'!C26-0.01</f>
        <v>0.11392845666339374</v>
      </c>
      <c r="F36" s="29">
        <f>'DCF Model'!C26</f>
        <v>0.12392845666339374</v>
      </c>
      <c r="G36" s="29">
        <f>'DCF Model'!C26+0.01</f>
        <v>0.13392845666339373</v>
      </c>
      <c r="H36" s="29">
        <f>'DCF Model'!C26+0.02</f>
        <v>0.14392845666339374</v>
      </c>
    </row>
    <row r="37" spans="2:9" ht="14" customHeight="1" x14ac:dyDescent="0.3">
      <c r="B37" s="3" t="s">
        <v>147</v>
      </c>
    </row>
    <row r="38" spans="2:9" ht="14" customHeight="1" x14ac:dyDescent="0.3">
      <c r="B38" s="4" t="s">
        <v>148</v>
      </c>
      <c r="C38" s="30">
        <v>3</v>
      </c>
      <c r="D38" s="13">
        <f t="shared" ref="D38:H41" si="0">IFERROR((1-(1+D$36)^(-$C38))/D$36-(1+D$36)/(D$36^2*$C38)*(1-($C38+1)/(1+D$36)^$C38+$C38/(1+D$36)^($C38+1)),"N/A")</f>
        <v>0.87742878226080334</v>
      </c>
      <c r="E38" s="13">
        <f t="shared" si="0"/>
        <v>0.86711844150153139</v>
      </c>
      <c r="F38" s="13">
        <f t="shared" si="0"/>
        <v>0.85703448781869973</v>
      </c>
      <c r="G38" s="13">
        <f t="shared" si="0"/>
        <v>0.84716980631970906</v>
      </c>
      <c r="H38" s="13">
        <f t="shared" si="0"/>
        <v>0.8375175699095303</v>
      </c>
    </row>
    <row r="39" spans="2:9" ht="14" customHeight="1" x14ac:dyDescent="0.3">
      <c r="B39" s="4" t="s">
        <v>149</v>
      </c>
      <c r="C39" s="30">
        <v>5</v>
      </c>
      <c r="D39" s="13">
        <f t="shared" si="0"/>
        <v>1.6490270223164285</v>
      </c>
      <c r="E39" s="13">
        <f t="shared" si="0"/>
        <v>1.6210142573087434</v>
      </c>
      <c r="F39" s="13">
        <f t="shared" si="0"/>
        <v>1.5938404610361172</v>
      </c>
      <c r="G39" s="13">
        <f t="shared" si="0"/>
        <v>1.5674711883027601</v>
      </c>
      <c r="H39" s="13">
        <f t="shared" si="0"/>
        <v>1.5418737548893953</v>
      </c>
    </row>
    <row r="40" spans="2:9" ht="14" customHeight="1" x14ac:dyDescent="0.3">
      <c r="B40" s="4" t="s">
        <v>150</v>
      </c>
      <c r="C40" s="30">
        <v>7</v>
      </c>
      <c r="D40" s="13">
        <f t="shared" si="0"/>
        <v>2.3291083003121886</v>
      </c>
      <c r="E40" s="13">
        <f t="shared" si="0"/>
        <v>2.2782603656084843</v>
      </c>
      <c r="F40" s="13">
        <f t="shared" si="0"/>
        <v>2.2293196671481268</v>
      </c>
      <c r="G40" s="13">
        <f t="shared" si="0"/>
        <v>2.1821903241204579</v>
      </c>
      <c r="H40" s="13">
        <f t="shared" si="0"/>
        <v>2.1367823440157703</v>
      </c>
    </row>
    <row r="41" spans="2:9" ht="14" customHeight="1" x14ac:dyDescent="0.3">
      <c r="B41" s="4" t="s">
        <v>151</v>
      </c>
      <c r="C41" s="30">
        <v>10</v>
      </c>
      <c r="D41" s="13">
        <f t="shared" si="0"/>
        <v>3.2039505299723379</v>
      </c>
      <c r="E41" s="13">
        <f t="shared" si="0"/>
        <v>3.1129127382341415</v>
      </c>
      <c r="F41" s="13">
        <f t="shared" si="0"/>
        <v>3.0262506694566791</v>
      </c>
      <c r="G41" s="13">
        <f t="shared" si="0"/>
        <v>2.94368717868032</v>
      </c>
      <c r="H41" s="13">
        <f t="shared" si="0"/>
        <v>2.8649662208792672</v>
      </c>
    </row>
    <row r="42" spans="2:9" ht="14" customHeight="1" x14ac:dyDescent="0.3">
      <c r="B42" s="3" t="s">
        <v>152</v>
      </c>
    </row>
    <row r="43" spans="2:9" ht="14" customHeight="1" x14ac:dyDescent="0.3">
      <c r="B43" s="4" t="s">
        <v>148</v>
      </c>
      <c r="C43" s="30">
        <v>3</v>
      </c>
      <c r="D43" s="13">
        <f t="shared" ref="D43:H46" si="1">IFERROR((1+D$36)/(D$36^2*$C43)*(1-($C43+1)/(1+D$36)^$C43+$C43/(1+D$36)^($C43+1))+(1+$C$12)/((D$36-$C$12)*(1+D$36)^$C43),"N/A")</f>
        <v>9.5851693427882232</v>
      </c>
      <c r="E43" s="13">
        <f t="shared" si="1"/>
        <v>8.5909618141996393</v>
      </c>
      <c r="F43" s="13">
        <f t="shared" si="1"/>
        <v>7.772822859817845</v>
      </c>
      <c r="G43" s="13">
        <f t="shared" si="1"/>
        <v>7.0880843783735052</v>
      </c>
      <c r="H43" s="13">
        <f t="shared" si="1"/>
        <v>6.5068236018111136</v>
      </c>
    </row>
    <row r="44" spans="2:9" ht="14" customHeight="1" x14ac:dyDescent="0.3">
      <c r="B44" s="4" t="s">
        <v>149</v>
      </c>
      <c r="C44" s="30">
        <v>5</v>
      </c>
      <c r="D44" s="13">
        <f t="shared" si="1"/>
        <v>8.6627472373446963</v>
      </c>
      <c r="E44" s="13">
        <f t="shared" si="1"/>
        <v>7.704958760528017</v>
      </c>
      <c r="F44" s="13">
        <f t="shared" si="1"/>
        <v>6.9191872567950155</v>
      </c>
      <c r="G44" s="13">
        <f t="shared" si="1"/>
        <v>6.2636313363714908</v>
      </c>
      <c r="H44" s="13">
        <f t="shared" si="1"/>
        <v>5.7089824088326635</v>
      </c>
    </row>
    <row r="45" spans="2:9" ht="14" customHeight="1" x14ac:dyDescent="0.3">
      <c r="B45" s="4" t="s">
        <v>150</v>
      </c>
      <c r="C45" s="30">
        <v>7</v>
      </c>
      <c r="D45" s="13">
        <f t="shared" si="1"/>
        <v>7.8589037054964752</v>
      </c>
      <c r="E45" s="13">
        <f t="shared" si="1"/>
        <v>6.9412463881242736</v>
      </c>
      <c r="F45" s="13">
        <f t="shared" si="1"/>
        <v>6.1912221210860316</v>
      </c>
      <c r="G45" s="13">
        <f t="shared" si="1"/>
        <v>5.5679103599104875</v>
      </c>
      <c r="H45" s="13">
        <f t="shared" si="1"/>
        <v>5.042633359747775</v>
      </c>
    </row>
    <row r="46" spans="2:9" ht="14" customHeight="1" x14ac:dyDescent="0.3">
      <c r="B46" s="4" t="s">
        <v>151</v>
      </c>
      <c r="C46" s="30">
        <v>10</v>
      </c>
      <c r="D46" s="13">
        <f t="shared" si="1"/>
        <v>6.8387798298060058</v>
      </c>
      <c r="E46" s="13">
        <f t="shared" si="1"/>
        <v>5.9843544083538278</v>
      </c>
      <c r="F46" s="13">
        <f t="shared" si="1"/>
        <v>5.2904059872175306</v>
      </c>
      <c r="G46" s="13">
        <f t="shared" si="1"/>
        <v>4.7173809378444505</v>
      </c>
      <c r="H46" s="13">
        <f t="shared" si="1"/>
        <v>4.2375946564341875</v>
      </c>
    </row>
    <row r="47" spans="2:9" ht="14" customHeight="1" x14ac:dyDescent="0.3">
      <c r="B47" s="22" t="s">
        <v>153</v>
      </c>
      <c r="C47" s="23"/>
      <c r="D47" s="23"/>
      <c r="E47" s="23"/>
      <c r="F47" s="23"/>
      <c r="G47" s="23"/>
      <c r="H47" s="23"/>
      <c r="I47" s="23"/>
    </row>
    <row r="48" spans="2:9" ht="14" customHeight="1" x14ac:dyDescent="0.3">
      <c r="B48" s="4" t="s">
        <v>148</v>
      </c>
      <c r="C48" s="30">
        <v>3</v>
      </c>
      <c r="D48" s="5">
        <f t="shared" ref="D48:H51" si="2">IFERROR(($C$10/(1-$C$13)-$C$14*D38)/D43,"N/A")</f>
        <v>418461.84807954665</v>
      </c>
      <c r="E48" s="5">
        <f t="shared" si="2"/>
        <v>467087.90890600154</v>
      </c>
      <c r="F48" s="5">
        <f t="shared" si="2"/>
        <v>516466.62980414677</v>
      </c>
      <c r="G48" s="5">
        <f t="shared" si="2"/>
        <v>566589.83616438857</v>
      </c>
      <c r="H48" s="5">
        <f t="shared" si="2"/>
        <v>617449.40170894715</v>
      </c>
    </row>
    <row r="49" spans="2:9" ht="14" customHeight="1" x14ac:dyDescent="0.3">
      <c r="B49" s="4" t="s">
        <v>149</v>
      </c>
      <c r="C49" s="30">
        <v>5</v>
      </c>
      <c r="D49" s="5">
        <f t="shared" si="2"/>
        <v>448276.02928646852</v>
      </c>
      <c r="E49" s="5">
        <f t="shared" si="2"/>
        <v>504602.18154958024</v>
      </c>
      <c r="F49" s="5">
        <f t="shared" si="2"/>
        <v>562556.99434664054</v>
      </c>
      <c r="G49" s="5">
        <f t="shared" si="2"/>
        <v>622131.4742885608</v>
      </c>
      <c r="H49" s="5">
        <f t="shared" si="2"/>
        <v>683316.07349218149</v>
      </c>
    </row>
    <row r="50" spans="2:9" ht="14" customHeight="1" x14ac:dyDescent="0.3">
      <c r="B50" s="4" t="s">
        <v>150</v>
      </c>
      <c r="C50" s="30">
        <v>7</v>
      </c>
      <c r="D50" s="5">
        <f t="shared" si="2"/>
        <v>479802.97269200918</v>
      </c>
      <c r="E50" s="5">
        <f t="shared" si="2"/>
        <v>544447.23767281976</v>
      </c>
      <c r="F50" s="5">
        <f t="shared" si="2"/>
        <v>611711.8232119407</v>
      </c>
      <c r="G50" s="5">
        <f t="shared" si="2"/>
        <v>681592.38115489134</v>
      </c>
      <c r="H50" s="5">
        <f t="shared" si="2"/>
        <v>754082.55440511042</v>
      </c>
    </row>
    <row r="51" spans="2:9" ht="14" customHeight="1" x14ac:dyDescent="0.3">
      <c r="B51" s="4" t="s">
        <v>151</v>
      </c>
      <c r="C51" s="30">
        <v>10</v>
      </c>
      <c r="D51" s="5">
        <f t="shared" si="2"/>
        <v>530198.26878324104</v>
      </c>
      <c r="E51" s="5">
        <f t="shared" si="2"/>
        <v>608416.35165990121</v>
      </c>
      <c r="F51" s="5">
        <f t="shared" si="2"/>
        <v>690934.6095357032</v>
      </c>
      <c r="G51" s="5">
        <f t="shared" si="2"/>
        <v>777760.30986002285</v>
      </c>
      <c r="H51" s="5">
        <f t="shared" si="2"/>
        <v>868894.49168614426</v>
      </c>
    </row>
    <row r="52" spans="2:9" ht="14" customHeight="1" x14ac:dyDescent="0.3">
      <c r="B52" s="22" t="s">
        <v>154</v>
      </c>
      <c r="C52" s="23"/>
      <c r="D52" s="23"/>
      <c r="E52" s="23"/>
      <c r="F52" s="23"/>
      <c r="G52" s="23"/>
      <c r="H52" s="23"/>
      <c r="I52" s="23"/>
    </row>
    <row r="53" spans="2:9" ht="14" customHeight="1" x14ac:dyDescent="0.3">
      <c r="B53" s="4" t="s">
        <v>148</v>
      </c>
      <c r="C53" s="30">
        <v>3</v>
      </c>
      <c r="D53" s="14">
        <f t="shared" ref="D53:H56" si="3">IFERROR(D48/$C$15,"N/A")</f>
        <v>2.527951043770746</v>
      </c>
      <c r="E53" s="14">
        <f t="shared" si="3"/>
        <v>2.8217037521355222</v>
      </c>
      <c r="F53" s="14">
        <f t="shared" si="3"/>
        <v>3.1200033213970952</v>
      </c>
      <c r="G53" s="14">
        <f t="shared" si="3"/>
        <v>3.422800368289225</v>
      </c>
      <c r="H53" s="14">
        <f t="shared" si="3"/>
        <v>3.7300458015208182</v>
      </c>
    </row>
    <row r="54" spans="2:9" ht="14" customHeight="1" x14ac:dyDescent="0.3">
      <c r="B54" s="4" t="s">
        <v>149</v>
      </c>
      <c r="C54" s="30">
        <v>5</v>
      </c>
      <c r="D54" s="14">
        <f t="shared" si="3"/>
        <v>2.708060152515305</v>
      </c>
      <c r="E54" s="14">
        <f t="shared" si="3"/>
        <v>3.0483295368297765</v>
      </c>
      <c r="F54" s="14">
        <f t="shared" si="3"/>
        <v>3.398437749022198</v>
      </c>
      <c r="G54" s="14">
        <f t="shared" si="3"/>
        <v>3.7583304595343603</v>
      </c>
      <c r="H54" s="14">
        <f t="shared" si="3"/>
        <v>4.1279499890788687</v>
      </c>
    </row>
    <row r="55" spans="2:9" ht="14" customHeight="1" x14ac:dyDescent="0.3">
      <c r="B55" s="4" t="s">
        <v>150</v>
      </c>
      <c r="C55" s="30">
        <v>7</v>
      </c>
      <c r="D55" s="14">
        <f t="shared" si="3"/>
        <v>2.8985161519205067</v>
      </c>
      <c r="E55" s="14">
        <f t="shared" si="3"/>
        <v>3.2890357127407044</v>
      </c>
      <c r="F55" s="14">
        <f t="shared" si="3"/>
        <v>3.6953847741970876</v>
      </c>
      <c r="G55" s="14">
        <f t="shared" si="3"/>
        <v>4.1175370688492476</v>
      </c>
      <c r="H55" s="14">
        <f t="shared" si="3"/>
        <v>4.5554541931271544</v>
      </c>
    </row>
    <row r="56" spans="2:9" ht="14" customHeight="1" x14ac:dyDescent="0.3">
      <c r="B56" s="4" t="s">
        <v>151</v>
      </c>
      <c r="C56" s="30">
        <v>10</v>
      </c>
      <c r="D56" s="14">
        <f t="shared" si="3"/>
        <v>3.2029569078451621</v>
      </c>
      <c r="E56" s="14">
        <f t="shared" si="3"/>
        <v>3.6754766492678312</v>
      </c>
      <c r="F56" s="14">
        <f t="shared" si="3"/>
        <v>4.1739739844122852</v>
      </c>
      <c r="G56" s="14">
        <f t="shared" si="3"/>
        <v>4.6984928163399839</v>
      </c>
      <c r="H56" s="14">
        <f t="shared" si="3"/>
        <v>5.2490394220289742</v>
      </c>
    </row>
    <row r="58" spans="2:9" ht="14" customHeight="1" x14ac:dyDescent="0.3">
      <c r="B58" s="8" t="s">
        <v>155</v>
      </c>
      <c r="C58" s="9"/>
      <c r="D58" s="9"/>
      <c r="E58" s="9"/>
      <c r="F58" s="9"/>
      <c r="G58" s="9"/>
      <c r="H58" s="9"/>
      <c r="I58" s="9"/>
    </row>
    <row r="59" spans="2:9" ht="14" customHeight="1" x14ac:dyDescent="0.3">
      <c r="B59" s="1" t="s">
        <v>156</v>
      </c>
    </row>
    <row r="60" spans="2:9" ht="14" customHeight="1" x14ac:dyDescent="0.3">
      <c r="B60" s="4" t="s">
        <v>157</v>
      </c>
      <c r="C60" s="5">
        <f>F49</f>
        <v>562556.99434664054</v>
      </c>
    </row>
    <row r="62" spans="2:9" ht="14" customHeight="1" x14ac:dyDescent="0.3">
      <c r="B62" s="28" t="s">
        <v>158</v>
      </c>
      <c r="C62" s="28" t="s">
        <v>159</v>
      </c>
      <c r="D62" s="28" t="s">
        <v>160</v>
      </c>
    </row>
    <row r="63" spans="2:9" ht="14" customHeight="1" x14ac:dyDescent="0.3">
      <c r="B63" s="31">
        <v>5.04E-2</v>
      </c>
      <c r="C63" s="5">
        <f>IFERROR($C$60/B63,"N/A")</f>
        <v>11161845.125925407</v>
      </c>
      <c r="D63" s="14">
        <f>IFERROR(C63/'DCF Model'!C17,"N/A")</f>
        <v>6.7919140453312137</v>
      </c>
    </row>
    <row r="64" spans="2:9" ht="14" customHeight="1" x14ac:dyDescent="0.3">
      <c r="B64" s="31">
        <v>7.5499999999999998E-2</v>
      </c>
      <c r="C64" s="5">
        <f>IFERROR($C$60/B64,"N/A")</f>
        <v>7451086.0178362988</v>
      </c>
      <c r="D64" s="14">
        <f>IFERROR(C64/'DCF Model'!C17,"N/A")</f>
        <v>4.5339399719826909</v>
      </c>
    </row>
    <row r="65" spans="2:9" ht="14" customHeight="1" x14ac:dyDescent="0.3">
      <c r="B65" s="4" t="s">
        <v>161</v>
      </c>
      <c r="C65" s="5">
        <f>IFERROR($C$60/$C$18,"N/A")</f>
        <v>5584999.3936185762</v>
      </c>
      <c r="D65" s="14">
        <f>IFERROR(C65/'DCF Model'!C17,"N/A")</f>
        <v>3.3984377490221966</v>
      </c>
    </row>
    <row r="66" spans="2:9" ht="14" customHeight="1" x14ac:dyDescent="0.3">
      <c r="B66" s="31">
        <v>0.12590000000000001</v>
      </c>
      <c r="C66" s="5">
        <f>IFERROR($C$60/B66,"N/A")</f>
        <v>4468284.3077572715</v>
      </c>
      <c r="D66" s="14">
        <f>IFERROR(C66/'DCF Model'!C17,"N/A")</f>
        <v>2.7189234939213116</v>
      </c>
    </row>
    <row r="67" spans="2:9" ht="14" customHeight="1" x14ac:dyDescent="0.3">
      <c r="B67" s="31">
        <v>0.15110000000000001</v>
      </c>
      <c r="C67" s="5">
        <f>IFERROR($C$60/B67,"N/A")</f>
        <v>3723077.3947494407</v>
      </c>
      <c r="D67" s="14">
        <f>IFERROR(C67/'DCF Model'!C17,"N/A")</f>
        <v>2.2654696749483332</v>
      </c>
    </row>
    <row r="69" spans="2:9" ht="14" customHeight="1" x14ac:dyDescent="0.3">
      <c r="B69" s="8" t="s">
        <v>162</v>
      </c>
      <c r="C69" s="9"/>
      <c r="D69" s="9"/>
      <c r="E69" s="9"/>
      <c r="F69" s="9"/>
      <c r="G69" s="9"/>
      <c r="H69" s="9"/>
      <c r="I69" s="9"/>
    </row>
    <row r="70" spans="2:9" ht="13.5" customHeight="1" x14ac:dyDescent="0.25">
      <c r="B70" s="6" t="s">
        <v>163</v>
      </c>
      <c r="C70" s="14">
        <f>IFERROR(C10/'Comps Analysis'!G5,"N/A")</f>
        <v>12.352406838101729</v>
      </c>
    </row>
    <row r="71" spans="2:9" ht="13.5" customHeight="1" x14ac:dyDescent="0.25">
      <c r="B71" s="6" t="s">
        <v>164</v>
      </c>
      <c r="C71" s="14">
        <f>IFERROR(C10/'Comps Analysis'!F5,"N/A")</f>
        <v>1.8967994319320529</v>
      </c>
    </row>
    <row r="72" spans="2:9" ht="14" customHeight="1" x14ac:dyDescent="0.3">
      <c r="B72" s="4" t="s">
        <v>165</v>
      </c>
      <c r="C72" s="14">
        <f>IFERROR(C10/(C25+'DCF Model'!G42),"N/A")</f>
        <v>5.4214714462508002</v>
      </c>
    </row>
    <row r="73" spans="2:9" ht="14" customHeight="1" x14ac:dyDescent="0.3">
      <c r="B73" s="4" t="s">
        <v>166</v>
      </c>
      <c r="C73" s="14">
        <f>IFERROR(C10/(C60+'DCF Model'!G42),"N/A")</f>
        <v>4.6944914633768944</v>
      </c>
    </row>
    <row r="74" spans="2:9" ht="14" customHeight="1" x14ac:dyDescent="0.3">
      <c r="B74" s="4" t="s">
        <v>167</v>
      </c>
      <c r="C74" s="14">
        <f>IFERROR('Comps Analysis'!D16,"N/A")</f>
        <v>14.333259113904496</v>
      </c>
    </row>
    <row r="75" spans="2:9" ht="14" customHeight="1" x14ac:dyDescent="0.3">
      <c r="B75" s="1" t="s">
        <v>168</v>
      </c>
    </row>
    <row r="77" spans="2:9" ht="14" customHeight="1" x14ac:dyDescent="0.3">
      <c r="B77" s="22" t="s">
        <v>169</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2,625 yen the market is paying for a steady-state operating profit of 562,557 mn JPY - 3.40x the FY2026 cycle peak of 165,534 mn - reached in 5 years and sustained for ever, against 165,534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473,518 mn, or 2.86x the peak. The base case supports an EV of only 857,597 mn, leaving 2,131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170</v>
      </c>
    </row>
    <row r="4" spans="2:8" ht="14" customHeight="1" x14ac:dyDescent="0.3">
      <c r="B4" s="8" t="s">
        <v>171</v>
      </c>
      <c r="C4" s="32" t="s">
        <v>172</v>
      </c>
      <c r="D4" s="32" t="s">
        <v>79</v>
      </c>
      <c r="E4" s="32" t="s">
        <v>80</v>
      </c>
      <c r="F4" s="32" t="s">
        <v>81</v>
      </c>
      <c r="G4" s="32" t="s">
        <v>82</v>
      </c>
      <c r="H4" s="32" t="s">
        <v>83</v>
      </c>
    </row>
    <row r="5" spans="2:8" ht="14" customHeight="1" x14ac:dyDescent="0.3">
      <c r="B5" s="33" t="s">
        <v>173</v>
      </c>
      <c r="C5" s="34">
        <f>C12/C9*365</f>
        <v>127.92197222590698</v>
      </c>
      <c r="D5" s="34">
        <f>CHOOSE('DCF Model'!$D$27,D25,D26,D27,D28,D29)</f>
        <v>117</v>
      </c>
      <c r="E5" s="34">
        <f>CHOOSE('DCF Model'!$D$27,E25,E26,E27,E28,E29)</f>
        <v>117</v>
      </c>
      <c r="F5" s="34">
        <f>CHOOSE('DCF Model'!$D$27,F25,F26,F27,F28,F29)</f>
        <v>117</v>
      </c>
      <c r="G5" s="34">
        <f>CHOOSE('DCF Model'!$D$27,G25,G26,G27,G28,G29)</f>
        <v>117</v>
      </c>
      <c r="H5" s="34">
        <f>CHOOSE('DCF Model'!$D$27,H25,H26,H27,H28,H29)</f>
        <v>117</v>
      </c>
    </row>
    <row r="6" spans="2:8" ht="14" customHeight="1" x14ac:dyDescent="0.3">
      <c r="B6" s="33" t="s">
        <v>174</v>
      </c>
      <c r="C6" s="34">
        <f>C13/C10*365</f>
        <v>145.61492644539757</v>
      </c>
      <c r="D6" s="34">
        <f>CHOOSE('DCF Model'!$D$27,D32,D33,D34,D35,D36)</f>
        <v>133</v>
      </c>
      <c r="E6" s="34">
        <f>CHOOSE('DCF Model'!$D$27,E32,E33,E34,E35,E36)</f>
        <v>133</v>
      </c>
      <c r="F6" s="34">
        <f>CHOOSE('DCF Model'!$D$27,F32,F33,F34,F35,F36)</f>
        <v>133</v>
      </c>
      <c r="G6" s="34">
        <f>CHOOSE('DCF Model'!$D$27,G32,G33,G34,G35,G36)</f>
        <v>133</v>
      </c>
      <c r="H6" s="34">
        <f>CHOOSE('DCF Model'!$D$27,H32,H33,H34,H35,H36)</f>
        <v>133</v>
      </c>
    </row>
    <row r="7" spans="2:8" ht="14" customHeight="1" x14ac:dyDescent="0.3">
      <c r="B7" s="33" t="s">
        <v>175</v>
      </c>
      <c r="C7" s="34">
        <f>C15/C10*365</f>
        <v>115.92839493279088</v>
      </c>
      <c r="D7" s="34">
        <f>CHOOSE('DCF Model'!$D$27,D39,D40,D41,D42,D43)</f>
        <v>91</v>
      </c>
      <c r="E7" s="34">
        <f>CHOOSE('DCF Model'!$D$27,E39,E40,E41,E42,E43)</f>
        <v>91</v>
      </c>
      <c r="F7" s="34">
        <f>CHOOSE('DCF Model'!$D$27,F39,F40,F41,F42,F43)</f>
        <v>91</v>
      </c>
      <c r="G7" s="34">
        <f>CHOOSE('DCF Model'!$D$27,G39,G40,G41,G42,G43)</f>
        <v>91</v>
      </c>
      <c r="H7" s="34">
        <f>CHOOSE('DCF Model'!$D$27,H39,H40,H41,H42,H43)</f>
        <v>91</v>
      </c>
    </row>
    <row r="8" spans="2:8" ht="14" customHeight="1" x14ac:dyDescent="0.3">
      <c r="B8" s="8" t="s">
        <v>176</v>
      </c>
      <c r="C8" s="9"/>
      <c r="D8" s="9"/>
      <c r="E8" s="9"/>
      <c r="F8" s="9"/>
      <c r="G8" s="9"/>
      <c r="H8" s="9"/>
    </row>
    <row r="9" spans="2:8" ht="14" customHeight="1" x14ac:dyDescent="0.3">
      <c r="B9" s="33" t="s">
        <v>31</v>
      </c>
      <c r="C9" s="35">
        <v>1643402</v>
      </c>
      <c r="D9" s="35">
        <f>'DCF Model'!C33</f>
        <v>1709138.08</v>
      </c>
      <c r="E9" s="35">
        <f>'DCF Model'!D33</f>
        <v>1768957.9128</v>
      </c>
      <c r="F9" s="35">
        <f>'DCF Model'!E33</f>
        <v>1822026.6501840001</v>
      </c>
      <c r="G9" s="35">
        <f>'DCF Model'!F33</f>
        <v>1867577.3164386</v>
      </c>
      <c r="H9" s="35">
        <f>'DCF Model'!G33</f>
        <v>1914266.7493495648</v>
      </c>
    </row>
    <row r="10" spans="2:8" ht="14" customHeight="1" x14ac:dyDescent="0.3">
      <c r="B10" s="33" t="s">
        <v>32</v>
      </c>
      <c r="C10" s="35">
        <v>1263891</v>
      </c>
      <c r="D10" s="35">
        <f>'DCF Model'!C34</f>
        <v>1314327.1835200002</v>
      </c>
      <c r="E10" s="35">
        <f>'DCF Model'!D34</f>
        <v>1360328.6349432</v>
      </c>
      <c r="F10" s="35">
        <f>'DCF Model'!E34</f>
        <v>1401138.493991496</v>
      </c>
      <c r="G10" s="35">
        <f>'DCF Model'!F34</f>
        <v>1436166.9563412834</v>
      </c>
      <c r="H10" s="35">
        <f>'DCF Model'!G34</f>
        <v>1472071.1302498153</v>
      </c>
    </row>
    <row r="11" spans="2:8" ht="14" customHeight="1" x14ac:dyDescent="0.3">
      <c r="B11" s="8" t="s">
        <v>177</v>
      </c>
      <c r="C11" s="9"/>
      <c r="D11" s="9"/>
      <c r="E11" s="9"/>
      <c r="F11" s="9"/>
      <c r="G11" s="9"/>
      <c r="H11" s="9"/>
    </row>
    <row r="12" spans="2:8" ht="14" customHeight="1" x14ac:dyDescent="0.3">
      <c r="B12" s="33" t="s">
        <v>178</v>
      </c>
      <c r="C12" s="35">
        <v>575965</v>
      </c>
      <c r="D12" s="35">
        <f t="shared" ref="D12:H13" si="0">D9*D5/365</f>
        <v>547860.69961643836</v>
      </c>
      <c r="E12" s="35">
        <f t="shared" si="0"/>
        <v>567035.82410301373</v>
      </c>
      <c r="F12" s="35">
        <f t="shared" si="0"/>
        <v>584046.89882610412</v>
      </c>
      <c r="G12" s="35">
        <f t="shared" si="0"/>
        <v>598648.07129675674</v>
      </c>
      <c r="H12" s="35">
        <f t="shared" si="0"/>
        <v>613614.27307917562</v>
      </c>
    </row>
    <row r="13" spans="2:8" ht="14" customHeight="1" x14ac:dyDescent="0.3">
      <c r="B13" s="33" t="s">
        <v>179</v>
      </c>
      <c r="C13" s="35">
        <v>504223</v>
      </c>
      <c r="D13" s="35">
        <f t="shared" si="0"/>
        <v>478919.22029632883</v>
      </c>
      <c r="E13" s="35">
        <f t="shared" si="0"/>
        <v>495681.39300670027</v>
      </c>
      <c r="F13" s="35">
        <f t="shared" si="0"/>
        <v>510551.83479690127</v>
      </c>
      <c r="G13" s="35">
        <f t="shared" si="0"/>
        <v>523315.63066682382</v>
      </c>
      <c r="H13" s="35">
        <f t="shared" si="0"/>
        <v>536398.5214334944</v>
      </c>
    </row>
    <row r="14" spans="2:8" ht="14" customHeight="1" x14ac:dyDescent="0.3">
      <c r="B14" s="33" t="s">
        <v>180</v>
      </c>
      <c r="C14" s="35">
        <f t="shared" ref="C14:H14" si="1">C12+C13</f>
        <v>1080188</v>
      </c>
      <c r="D14" s="35">
        <f t="shared" si="1"/>
        <v>1026779.9199127671</v>
      </c>
      <c r="E14" s="35">
        <f t="shared" si="1"/>
        <v>1062717.2171097139</v>
      </c>
      <c r="F14" s="35">
        <f t="shared" si="1"/>
        <v>1094598.7336230054</v>
      </c>
      <c r="G14" s="35">
        <f t="shared" si="1"/>
        <v>1121963.7019635807</v>
      </c>
      <c r="H14" s="35">
        <f t="shared" si="1"/>
        <v>1150012.79451267</v>
      </c>
    </row>
    <row r="15" spans="2:8" ht="14" customHeight="1" x14ac:dyDescent="0.3">
      <c r="B15" s="33" t="s">
        <v>181</v>
      </c>
      <c r="C15" s="35">
        <v>401427</v>
      </c>
      <c r="D15" s="35">
        <f>D10*D7/365</f>
        <v>327681.57178169867</v>
      </c>
      <c r="E15" s="35">
        <f>E10*E7/365</f>
        <v>339150.42679405806</v>
      </c>
      <c r="F15" s="35">
        <f>F10*F7/365</f>
        <v>349324.93959787983</v>
      </c>
      <c r="G15" s="35">
        <f>G10*G7/365</f>
        <v>358058.06308782683</v>
      </c>
      <c r="H15" s="35">
        <f>H10*H7/365</f>
        <v>367009.51466502243</v>
      </c>
    </row>
    <row r="16" spans="2:8" ht="14" customHeight="1" x14ac:dyDescent="0.3">
      <c r="B16" s="33" t="s">
        <v>182</v>
      </c>
      <c r="C16" s="35">
        <f t="shared" ref="C16:H16" si="2">C15</f>
        <v>401427</v>
      </c>
      <c r="D16" s="35">
        <f t="shared" si="2"/>
        <v>327681.57178169867</v>
      </c>
      <c r="E16" s="35">
        <f t="shared" si="2"/>
        <v>339150.42679405806</v>
      </c>
      <c r="F16" s="35">
        <f t="shared" si="2"/>
        <v>349324.93959787983</v>
      </c>
      <c r="G16" s="35">
        <f t="shared" si="2"/>
        <v>358058.06308782683</v>
      </c>
      <c r="H16" s="35">
        <f t="shared" si="2"/>
        <v>367009.51466502243</v>
      </c>
    </row>
    <row r="17" spans="2:8" ht="14" customHeight="1" x14ac:dyDescent="0.3">
      <c r="B17" s="22" t="s">
        <v>183</v>
      </c>
      <c r="C17" s="23"/>
      <c r="D17" s="23"/>
      <c r="E17" s="23"/>
      <c r="F17" s="23"/>
      <c r="G17" s="23"/>
      <c r="H17" s="23"/>
    </row>
    <row r="18" spans="2:8" ht="14" customHeight="1" x14ac:dyDescent="0.3">
      <c r="B18" s="33" t="s">
        <v>184</v>
      </c>
      <c r="C18" s="20">
        <f t="shared" ref="C18:H18" si="3">C14-C16</f>
        <v>678761</v>
      </c>
      <c r="D18" s="20">
        <f t="shared" si="3"/>
        <v>699098.34813106852</v>
      </c>
      <c r="E18" s="20">
        <f t="shared" si="3"/>
        <v>723566.79031565588</v>
      </c>
      <c r="F18" s="20">
        <f t="shared" si="3"/>
        <v>745273.79402512568</v>
      </c>
      <c r="G18" s="20">
        <f t="shared" si="3"/>
        <v>763905.63887575385</v>
      </c>
      <c r="H18" s="20">
        <f t="shared" si="3"/>
        <v>783003.27984764753</v>
      </c>
    </row>
    <row r="19" spans="2:8" ht="14" customHeight="1" x14ac:dyDescent="0.3">
      <c r="B19" s="33" t="s">
        <v>93</v>
      </c>
      <c r="C19" s="36" t="s">
        <v>41</v>
      </c>
      <c r="D19" s="24">
        <f>D18-C18</f>
        <v>20337.348131068517</v>
      </c>
      <c r="E19" s="24">
        <f>E18-D18</f>
        <v>24468.442184587358</v>
      </c>
      <c r="F19" s="24">
        <f>F18-E18</f>
        <v>21707.003709469805</v>
      </c>
      <c r="G19" s="24">
        <f>G18-F18</f>
        <v>18631.844850628171</v>
      </c>
      <c r="H19" s="24">
        <f>H18-G18</f>
        <v>19097.640971893677</v>
      </c>
    </row>
    <row r="22" spans="2:8" ht="14" customHeight="1" x14ac:dyDescent="0.3">
      <c r="B22" s="22" t="s">
        <v>185</v>
      </c>
      <c r="C22" s="23"/>
      <c r="D22" s="23"/>
      <c r="E22" s="23"/>
      <c r="F22" s="23"/>
      <c r="G22" s="23"/>
      <c r="H22" s="23"/>
    </row>
    <row r="23" spans="2:8" ht="14" customHeight="1" x14ac:dyDescent="0.3">
      <c r="D23" s="25" t="s">
        <v>79</v>
      </c>
      <c r="E23" s="25" t="s">
        <v>80</v>
      </c>
      <c r="F23" s="25" t="s">
        <v>81</v>
      </c>
      <c r="G23" s="25" t="s">
        <v>82</v>
      </c>
      <c r="H23" s="25" t="s">
        <v>83</v>
      </c>
    </row>
    <row r="24" spans="2:8" ht="14" customHeight="1" x14ac:dyDescent="0.3">
      <c r="B24" s="3" t="s">
        <v>186</v>
      </c>
    </row>
    <row r="25" spans="2:8" ht="14" customHeight="1" x14ac:dyDescent="0.3">
      <c r="B25" s="4" t="s">
        <v>77</v>
      </c>
      <c r="D25" s="30">
        <v>117</v>
      </c>
      <c r="E25" s="30">
        <v>117</v>
      </c>
      <c r="F25" s="30">
        <v>117</v>
      </c>
      <c r="G25" s="30">
        <v>117</v>
      </c>
      <c r="H25" s="30">
        <v>117</v>
      </c>
    </row>
    <row r="26" spans="2:8" ht="14" customHeight="1" x14ac:dyDescent="0.3">
      <c r="B26" s="4" t="s">
        <v>114</v>
      </c>
      <c r="D26" s="30">
        <v>112</v>
      </c>
      <c r="E26" s="30">
        <v>112</v>
      </c>
      <c r="F26" s="30">
        <v>112</v>
      </c>
      <c r="G26" s="30">
        <v>112</v>
      </c>
      <c r="H26" s="30">
        <v>112</v>
      </c>
    </row>
    <row r="27" spans="2:8" ht="14" customHeight="1" x14ac:dyDescent="0.3">
      <c r="B27" s="4" t="s">
        <v>115</v>
      </c>
      <c r="D27" s="30">
        <v>117</v>
      </c>
      <c r="E27" s="30">
        <v>117</v>
      </c>
      <c r="F27" s="30">
        <v>117</v>
      </c>
      <c r="G27" s="30">
        <v>117</v>
      </c>
      <c r="H27" s="30">
        <v>117</v>
      </c>
    </row>
    <row r="28" spans="2:8" ht="14" customHeight="1" x14ac:dyDescent="0.3">
      <c r="B28" s="4" t="s">
        <v>116</v>
      </c>
      <c r="D28" s="30">
        <v>123</v>
      </c>
      <c r="E28" s="30">
        <v>123</v>
      </c>
      <c r="F28" s="30">
        <v>123</v>
      </c>
      <c r="G28" s="30">
        <v>123</v>
      </c>
      <c r="H28" s="30">
        <v>123</v>
      </c>
    </row>
    <row r="29" spans="2:8" ht="14" customHeight="1" x14ac:dyDescent="0.3">
      <c r="B29" s="4" t="s">
        <v>117</v>
      </c>
      <c r="D29" s="30">
        <v>129</v>
      </c>
      <c r="E29" s="30">
        <v>129</v>
      </c>
      <c r="F29" s="30">
        <v>129</v>
      </c>
      <c r="G29" s="30">
        <v>129</v>
      </c>
      <c r="H29" s="30">
        <v>129</v>
      </c>
    </row>
    <row r="31" spans="2:8" ht="14" customHeight="1" x14ac:dyDescent="0.3">
      <c r="B31" s="3" t="s">
        <v>187</v>
      </c>
    </row>
    <row r="32" spans="2:8" ht="14" customHeight="1" x14ac:dyDescent="0.3">
      <c r="B32" s="4" t="s">
        <v>77</v>
      </c>
      <c r="D32" s="30">
        <v>133</v>
      </c>
      <c r="E32" s="30">
        <v>133</v>
      </c>
      <c r="F32" s="30">
        <v>133</v>
      </c>
      <c r="G32" s="30">
        <v>133</v>
      </c>
      <c r="H32" s="30">
        <v>133</v>
      </c>
    </row>
    <row r="33" spans="2:8" ht="14" customHeight="1" x14ac:dyDescent="0.3">
      <c r="B33" s="4" t="s">
        <v>114</v>
      </c>
      <c r="D33" s="30">
        <v>127</v>
      </c>
      <c r="E33" s="30">
        <v>127</v>
      </c>
      <c r="F33" s="30">
        <v>127</v>
      </c>
      <c r="G33" s="30">
        <v>127</v>
      </c>
      <c r="H33" s="30">
        <v>127</v>
      </c>
    </row>
    <row r="34" spans="2:8" ht="14" customHeight="1" x14ac:dyDescent="0.3">
      <c r="B34" s="4" t="s">
        <v>115</v>
      </c>
      <c r="D34" s="30">
        <v>133</v>
      </c>
      <c r="E34" s="30">
        <v>133</v>
      </c>
      <c r="F34" s="30">
        <v>133</v>
      </c>
      <c r="G34" s="30">
        <v>133</v>
      </c>
      <c r="H34" s="30">
        <v>133</v>
      </c>
    </row>
    <row r="35" spans="2:8" ht="14" customHeight="1" x14ac:dyDescent="0.3">
      <c r="B35" s="4" t="s">
        <v>116</v>
      </c>
      <c r="D35" s="30">
        <v>140</v>
      </c>
      <c r="E35" s="30">
        <v>140</v>
      </c>
      <c r="F35" s="30">
        <v>140</v>
      </c>
      <c r="G35" s="30">
        <v>140</v>
      </c>
      <c r="H35" s="30">
        <v>140</v>
      </c>
    </row>
    <row r="36" spans="2:8" ht="14" customHeight="1" x14ac:dyDescent="0.3">
      <c r="B36" s="4" t="s">
        <v>117</v>
      </c>
      <c r="D36" s="30">
        <v>147</v>
      </c>
      <c r="E36" s="30">
        <v>147</v>
      </c>
      <c r="F36" s="30">
        <v>147</v>
      </c>
      <c r="G36" s="30">
        <v>147</v>
      </c>
      <c r="H36" s="30">
        <v>147</v>
      </c>
    </row>
    <row r="38" spans="2:8" ht="14" customHeight="1" x14ac:dyDescent="0.3">
      <c r="B38" s="3" t="s">
        <v>188</v>
      </c>
    </row>
    <row r="39" spans="2:8" ht="14" customHeight="1" x14ac:dyDescent="0.3">
      <c r="B39" s="4" t="s">
        <v>77</v>
      </c>
      <c r="D39" s="30">
        <v>91</v>
      </c>
      <c r="E39" s="30">
        <v>91</v>
      </c>
      <c r="F39" s="30">
        <v>91</v>
      </c>
      <c r="G39" s="30">
        <v>91</v>
      </c>
      <c r="H39" s="30">
        <v>91</v>
      </c>
    </row>
    <row r="40" spans="2:8" ht="14" customHeight="1" x14ac:dyDescent="0.3">
      <c r="B40" s="4" t="s">
        <v>114</v>
      </c>
      <c r="D40" s="30">
        <v>95</v>
      </c>
      <c r="E40" s="30">
        <v>95</v>
      </c>
      <c r="F40" s="30">
        <v>95</v>
      </c>
      <c r="G40" s="30">
        <v>95</v>
      </c>
      <c r="H40" s="30">
        <v>95</v>
      </c>
    </row>
    <row r="41" spans="2:8" ht="14" customHeight="1" x14ac:dyDescent="0.3">
      <c r="B41" s="4" t="s">
        <v>115</v>
      </c>
      <c r="D41" s="30">
        <v>91</v>
      </c>
      <c r="E41" s="30">
        <v>91</v>
      </c>
      <c r="F41" s="30">
        <v>91</v>
      </c>
      <c r="G41" s="30">
        <v>91</v>
      </c>
      <c r="H41" s="30">
        <v>91</v>
      </c>
    </row>
    <row r="42" spans="2:8" ht="14" customHeight="1" x14ac:dyDescent="0.3">
      <c r="B42" s="4" t="s">
        <v>116</v>
      </c>
      <c r="D42" s="30">
        <v>86</v>
      </c>
      <c r="E42" s="30">
        <v>86</v>
      </c>
      <c r="F42" s="30">
        <v>86</v>
      </c>
      <c r="G42" s="30">
        <v>86</v>
      </c>
      <c r="H42" s="30">
        <v>86</v>
      </c>
    </row>
    <row r="43" spans="2:8" ht="14" customHeight="1" x14ac:dyDescent="0.3">
      <c r="B43" s="4" t="s">
        <v>117</v>
      </c>
      <c r="D43" s="30">
        <v>82</v>
      </c>
      <c r="E43" s="30">
        <v>82</v>
      </c>
      <c r="F43" s="30">
        <v>82</v>
      </c>
      <c r="G43" s="30">
        <v>82</v>
      </c>
      <c r="H43" s="30">
        <v>82</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189</v>
      </c>
    </row>
    <row r="3" spans="2:17" ht="14" customHeight="1" x14ac:dyDescent="0.3">
      <c r="B3" s="1" t="s">
        <v>190</v>
      </c>
    </row>
    <row r="4" spans="2:17" ht="28" customHeight="1" x14ac:dyDescent="0.3">
      <c r="B4" s="10" t="s">
        <v>3</v>
      </c>
      <c r="C4" s="10" t="s">
        <v>5</v>
      </c>
      <c r="D4" s="10" t="s">
        <v>191</v>
      </c>
      <c r="E4" s="10" t="s">
        <v>192</v>
      </c>
      <c r="F4" s="10" t="s">
        <v>193</v>
      </c>
      <c r="G4" s="10" t="s">
        <v>194</v>
      </c>
      <c r="H4" s="10" t="s">
        <v>195</v>
      </c>
      <c r="I4" s="10" t="s">
        <v>196</v>
      </c>
      <c r="J4" s="10" t="s">
        <v>197</v>
      </c>
      <c r="K4" s="10" t="s">
        <v>198</v>
      </c>
      <c r="L4" s="10" t="s">
        <v>199</v>
      </c>
      <c r="M4" s="10" t="s">
        <v>200</v>
      </c>
      <c r="N4" s="10" t="s">
        <v>201</v>
      </c>
      <c r="O4" s="10" t="s">
        <v>202</v>
      </c>
      <c r="P4" s="10" t="s">
        <v>203</v>
      </c>
      <c r="Q4" s="10" t="s">
        <v>204</v>
      </c>
    </row>
    <row r="5" spans="2:17" ht="14" customHeight="1" x14ac:dyDescent="0.3">
      <c r="B5" s="4" t="s">
        <v>205</v>
      </c>
      <c r="C5" t="s">
        <v>206</v>
      </c>
      <c r="D5" s="37">
        <f>'Executive Summary'!C9*C23/1000000</f>
        <v>2782394.9800359998</v>
      </c>
      <c r="E5" s="37">
        <f>D5+C24</f>
        <v>3117203.9800359998</v>
      </c>
      <c r="F5" s="37">
        <v>1643402</v>
      </c>
      <c r="G5" s="37">
        <v>252356</v>
      </c>
      <c r="H5" s="37">
        <v>165534</v>
      </c>
      <c r="I5" s="37">
        <v>160992</v>
      </c>
      <c r="J5" s="38">
        <f t="shared" ref="J5:J10" si="0">IFERROR(E5/G5,"")</f>
        <v>12.352406838101729</v>
      </c>
      <c r="K5" s="38">
        <f t="shared" ref="K5:K10" si="1">IFERROR(E5/F5,"")</f>
        <v>1.8967994319320529</v>
      </c>
      <c r="L5" s="38">
        <f t="shared" ref="L5:L10" si="2">IFERROR(D5/I5,"")</f>
        <v>17.282815171163783</v>
      </c>
      <c r="M5" s="38">
        <f t="shared" ref="M5:M10" si="3">IFERROR(D5/P5,"")</f>
        <v>4.2658870697516109</v>
      </c>
      <c r="N5" s="39">
        <f t="shared" ref="N5:N10" si="4">IFERROR(H5/F5,"")</f>
        <v>0.10072641995080936</v>
      </c>
      <c r="O5" s="39">
        <f t="shared" ref="O5:O10" si="5">IFERROR(I5/P5,"")</f>
        <v>0.24682825266043484</v>
      </c>
      <c r="P5" s="37">
        <v>652243</v>
      </c>
    </row>
    <row r="6" spans="2:17" ht="14" customHeight="1" x14ac:dyDescent="0.3">
      <c r="B6" s="4" t="s">
        <v>207</v>
      </c>
      <c r="C6" t="s">
        <v>208</v>
      </c>
      <c r="D6" s="37">
        <v>2124926</v>
      </c>
      <c r="E6" s="37">
        <v>2009512</v>
      </c>
      <c r="F6" s="37">
        <v>2311267</v>
      </c>
      <c r="G6" s="37">
        <v>214393</v>
      </c>
      <c r="H6" s="37">
        <v>120962</v>
      </c>
      <c r="I6" s="37">
        <v>108157</v>
      </c>
      <c r="J6" s="38">
        <f t="shared" si="0"/>
        <v>9.3730299030285504</v>
      </c>
      <c r="K6" s="38">
        <f t="shared" si="1"/>
        <v>0.86944173909807909</v>
      </c>
      <c r="L6" s="38">
        <f t="shared" si="2"/>
        <v>19.646680288839374</v>
      </c>
      <c r="M6" s="38">
        <f t="shared" si="3"/>
        <v>2.4198555779898214</v>
      </c>
      <c r="N6" s="39">
        <f t="shared" si="4"/>
        <v>5.2335796772938828E-2</v>
      </c>
      <c r="O6" s="39">
        <f t="shared" si="5"/>
        <v>0.12316867493204239</v>
      </c>
      <c r="P6" s="37">
        <v>878121</v>
      </c>
    </row>
    <row r="7" spans="2:17" ht="14" customHeight="1" x14ac:dyDescent="0.3">
      <c r="B7" s="4" t="s">
        <v>209</v>
      </c>
      <c r="C7" t="s">
        <v>210</v>
      </c>
      <c r="D7" s="37">
        <v>12614226</v>
      </c>
      <c r="E7" s="37">
        <v>12155592</v>
      </c>
      <c r="F7" s="37">
        <v>4361127</v>
      </c>
      <c r="G7" s="37">
        <v>568788</v>
      </c>
      <c r="H7" s="37">
        <v>357574</v>
      </c>
      <c r="I7" s="37">
        <v>245447</v>
      </c>
      <c r="J7" s="38">
        <f t="shared" si="0"/>
        <v>21.371041583155762</v>
      </c>
      <c r="K7" s="38">
        <f t="shared" si="1"/>
        <v>2.7872593483289982</v>
      </c>
      <c r="L7" s="38">
        <f t="shared" si="2"/>
        <v>51.392870966033399</v>
      </c>
      <c r="M7" s="38">
        <f t="shared" si="3"/>
        <v>4.0841691581141539</v>
      </c>
      <c r="N7" s="39">
        <f t="shared" si="4"/>
        <v>8.1991191726358811E-2</v>
      </c>
      <c r="O7" s="39">
        <f t="shared" si="5"/>
        <v>7.946956613522263E-2</v>
      </c>
      <c r="P7" s="37">
        <v>3088566</v>
      </c>
    </row>
    <row r="8" spans="2:17" ht="14" customHeight="1" x14ac:dyDescent="0.3">
      <c r="B8" s="4" t="s">
        <v>211</v>
      </c>
      <c r="C8" t="s">
        <v>212</v>
      </c>
      <c r="D8" s="37">
        <v>24068208</v>
      </c>
      <c r="E8" s="37">
        <v>23753765</v>
      </c>
      <c r="F8" s="37">
        <v>10586781</v>
      </c>
      <c r="G8" s="37">
        <v>1657248</v>
      </c>
      <c r="H8" s="37">
        <v>1199275</v>
      </c>
      <c r="I8" s="37">
        <v>802368</v>
      </c>
      <c r="J8" s="38">
        <f t="shared" si="0"/>
        <v>14.333259113904496</v>
      </c>
      <c r="K8" s="38">
        <f t="shared" si="1"/>
        <v>2.2437193137366305</v>
      </c>
      <c r="L8" s="38">
        <f t="shared" si="2"/>
        <v>29.996470447475474</v>
      </c>
      <c r="M8" s="38">
        <f t="shared" si="3"/>
        <v>3.6642594226968672</v>
      </c>
      <c r="N8" s="39">
        <f t="shared" si="4"/>
        <v>0.1132804201768224</v>
      </c>
      <c r="O8" s="39">
        <f t="shared" si="5"/>
        <v>0.12215635266532682</v>
      </c>
      <c r="P8" s="37">
        <v>6568369</v>
      </c>
    </row>
    <row r="9" spans="2:17" ht="14" customHeight="1" x14ac:dyDescent="0.3">
      <c r="B9" s="4" t="s">
        <v>213</v>
      </c>
      <c r="C9" t="s">
        <v>214</v>
      </c>
      <c r="D9" s="37">
        <v>10739696</v>
      </c>
      <c r="E9" s="37">
        <v>10371365</v>
      </c>
      <c r="F9" s="37">
        <v>5894747</v>
      </c>
      <c r="G9" s="37">
        <v>666879</v>
      </c>
      <c r="H9" s="37">
        <v>433095</v>
      </c>
      <c r="I9" s="37">
        <v>407758</v>
      </c>
      <c r="J9" s="38">
        <f t="shared" si="0"/>
        <v>15.552094158010673</v>
      </c>
      <c r="K9" s="38">
        <f t="shared" si="1"/>
        <v>1.7594249592052043</v>
      </c>
      <c r="L9" s="38">
        <f t="shared" si="2"/>
        <v>26.338406603917029</v>
      </c>
      <c r="M9" s="38">
        <f t="shared" si="3"/>
        <v>2.3949730011555959</v>
      </c>
      <c r="N9" s="39">
        <f t="shared" si="4"/>
        <v>7.3471346607411656E-2</v>
      </c>
      <c r="O9" s="39">
        <f t="shared" si="5"/>
        <v>9.0930823461409294E-2</v>
      </c>
      <c r="P9" s="37">
        <v>4484266</v>
      </c>
    </row>
    <row r="10" spans="2:17" ht="14" customHeight="1" x14ac:dyDescent="0.3">
      <c r="B10" s="4" t="s">
        <v>215</v>
      </c>
      <c r="C10" t="s">
        <v>216</v>
      </c>
      <c r="D10" s="37">
        <v>5705891</v>
      </c>
      <c r="E10" s="37">
        <v>5866992</v>
      </c>
      <c r="F10" s="37">
        <v>5015036</v>
      </c>
      <c r="G10" s="37">
        <v>691198</v>
      </c>
      <c r="H10" s="37">
        <v>414992</v>
      </c>
      <c r="I10" s="37">
        <v>275229</v>
      </c>
      <c r="J10" s="38">
        <f t="shared" si="0"/>
        <v>8.4881495606179413</v>
      </c>
      <c r="K10" s="38">
        <f t="shared" si="1"/>
        <v>1.1698803358540197</v>
      </c>
      <c r="L10" s="38">
        <f t="shared" si="2"/>
        <v>20.731430917526861</v>
      </c>
      <c r="M10" s="38">
        <f t="shared" si="3"/>
        <v>1.7531493382395413</v>
      </c>
      <c r="N10" s="39">
        <f t="shared" si="4"/>
        <v>8.2749555536590372E-2</v>
      </c>
      <c r="O10" s="39">
        <f t="shared" si="5"/>
        <v>8.4564801398121822E-2</v>
      </c>
      <c r="P10" s="37">
        <v>3254652</v>
      </c>
    </row>
    <row r="14" spans="2:17" ht="14" customHeight="1" x14ac:dyDescent="0.3">
      <c r="B14" s="3" t="s">
        <v>217</v>
      </c>
    </row>
    <row r="15" spans="2:17" ht="14" customHeight="1" x14ac:dyDescent="0.3">
      <c r="B15" s="4" t="s">
        <v>218</v>
      </c>
      <c r="D15" s="38">
        <f t="shared" ref="D15:I15" si="6">PERCENTILE(J6:J10,0.25)</f>
        <v>9.3730299030285504</v>
      </c>
      <c r="E15" s="38">
        <f t="shared" si="6"/>
        <v>1.1698803358540197</v>
      </c>
      <c r="F15" s="38">
        <f t="shared" si="6"/>
        <v>20.731430917526861</v>
      </c>
      <c r="G15" s="38">
        <f t="shared" si="6"/>
        <v>2.3949730011555959</v>
      </c>
      <c r="H15" s="39">
        <f t="shared" si="6"/>
        <v>7.3471346607411656E-2</v>
      </c>
      <c r="I15" s="39">
        <f t="shared" si="6"/>
        <v>8.4564801398121822E-2</v>
      </c>
    </row>
    <row r="16" spans="2:17" ht="14" customHeight="1" x14ac:dyDescent="0.3">
      <c r="B16" s="4" t="s">
        <v>219</v>
      </c>
      <c r="D16" s="38">
        <f t="shared" ref="D16:I16" si="7">MEDIAN(J6:J10)</f>
        <v>14.333259113904496</v>
      </c>
      <c r="E16" s="38">
        <f t="shared" si="7"/>
        <v>1.7594249592052043</v>
      </c>
      <c r="F16" s="38">
        <f t="shared" si="7"/>
        <v>26.338406603917029</v>
      </c>
      <c r="G16" s="38">
        <f t="shared" si="7"/>
        <v>2.4198555779898214</v>
      </c>
      <c r="H16" s="39">
        <f t="shared" si="7"/>
        <v>8.1991191726358811E-2</v>
      </c>
      <c r="I16" s="39">
        <f t="shared" si="7"/>
        <v>9.0930823461409294E-2</v>
      </c>
    </row>
    <row r="17" spans="2:9" ht="14" customHeight="1" x14ac:dyDescent="0.3">
      <c r="B17" s="4" t="s">
        <v>220</v>
      </c>
      <c r="D17" s="38">
        <f t="shared" ref="D17:I17" si="8">PERCENTILE(J6:J10,0.75)</f>
        <v>15.552094158010673</v>
      </c>
      <c r="E17" s="38">
        <f t="shared" si="8"/>
        <v>2.2437193137366305</v>
      </c>
      <c r="F17" s="38">
        <f t="shared" si="8"/>
        <v>29.996470447475474</v>
      </c>
      <c r="G17" s="38">
        <f t="shared" si="8"/>
        <v>3.6642594226968672</v>
      </c>
      <c r="H17" s="39">
        <f t="shared" si="8"/>
        <v>8.2749555536590372E-2</v>
      </c>
      <c r="I17" s="39">
        <f t="shared" si="8"/>
        <v>0.12215635266532682</v>
      </c>
    </row>
    <row r="19" spans="2:9" ht="14" customHeight="1" x14ac:dyDescent="0.3">
      <c r="B19" s="22" t="s">
        <v>221</v>
      </c>
      <c r="C19" s="23"/>
      <c r="D19" s="23"/>
      <c r="E19" s="23"/>
      <c r="F19" s="23"/>
      <c r="G19" s="23"/>
      <c r="H19" s="23"/>
      <c r="I19" s="23"/>
    </row>
    <row r="20" spans="2:9" ht="14" customHeight="1" x14ac:dyDescent="0.3">
      <c r="B20" s="3" t="s">
        <v>222</v>
      </c>
    </row>
    <row r="21" spans="2:9" ht="14" customHeight="1" x14ac:dyDescent="0.3">
      <c r="B21" s="4" t="s">
        <v>223</v>
      </c>
      <c r="C21" s="5">
        <v>252356</v>
      </c>
    </row>
    <row r="22" spans="2:9" ht="14" customHeight="1" x14ac:dyDescent="0.3">
      <c r="B22" s="4" t="s">
        <v>224</v>
      </c>
      <c r="C22" s="5">
        <v>160992</v>
      </c>
    </row>
    <row r="23" spans="2:9" ht="14" customHeight="1" x14ac:dyDescent="0.3">
      <c r="B23" s="4" t="s">
        <v>225</v>
      </c>
      <c r="C23" s="15">
        <v>1060161928</v>
      </c>
    </row>
    <row r="24" spans="2:9" ht="14" customHeight="1" x14ac:dyDescent="0.3">
      <c r="B24" s="4" t="s">
        <v>66</v>
      </c>
      <c r="C24" s="5">
        <v>334809</v>
      </c>
    </row>
    <row r="26" spans="2:9" ht="14" customHeight="1" x14ac:dyDescent="0.3">
      <c r="B26" s="3" t="s">
        <v>226</v>
      </c>
    </row>
    <row r="27" spans="2:9" ht="14" customHeight="1" x14ac:dyDescent="0.3">
      <c r="B27" s="4" t="s">
        <v>227</v>
      </c>
      <c r="C27" s="24">
        <f>ROUND((C21*D16-C24)*1000000/C23,0)</f>
        <v>3096</v>
      </c>
    </row>
    <row r="28" spans="2:9" ht="14" customHeight="1" x14ac:dyDescent="0.3">
      <c r="B28" s="4" t="s">
        <v>228</v>
      </c>
      <c r="C28" s="24">
        <f>ROUND(C22*F16*1000000/C23,0)</f>
        <v>4000</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229</v>
      </c>
    </row>
    <row r="3" spans="2:9" ht="14" customHeight="1" x14ac:dyDescent="0.3">
      <c r="B3" s="4" t="s">
        <v>230</v>
      </c>
      <c r="C3" s="16">
        <f>'DCF Model'!C26</f>
        <v>0.12392845666339374</v>
      </c>
      <c r="E3" s="4" t="s">
        <v>231</v>
      </c>
      <c r="F3" s="16">
        <f>'DCF Model'!C13</f>
        <v>0.01</v>
      </c>
      <c r="H3" s="4" t="s">
        <v>232</v>
      </c>
      <c r="I3" s="14">
        <f>'DCF Model'!C14</f>
        <v>14.3</v>
      </c>
    </row>
    <row r="5" spans="2:9" ht="14" customHeight="1" x14ac:dyDescent="0.3">
      <c r="B5" s="3" t="s">
        <v>233</v>
      </c>
    </row>
    <row r="6" spans="2:9" ht="14" customHeight="1" x14ac:dyDescent="0.3">
      <c r="B6" s="40" t="s">
        <v>234</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0.10892845666339374</v>
      </c>
      <c r="C7" s="37">
        <f>IFERROR(ROUND(('DCF Model'!C45/(1+$B7)^('DCF Model'!C19+0)+'DCF Model'!D45/(1+$B7)^('DCF Model'!C19+1)+'DCF Model'!E45/(1+$B7)^('DCF Model'!C19+2)+'DCF Model'!F45/(1+$B7)^('DCF Model'!C19+3)+'DCF Model'!G45/(1+$B7)^('DCF Model'!C19+4)+'DCF Model'!G45*(1+C$6)/($B7-C$6)/(1+$B7)^('DCF Model'!C19+4)-'DCF Model'!C16)*1000000/'DCF Model'!C15,0),"")</f>
        <v>570</v>
      </c>
      <c r="D7" s="37">
        <f>IFERROR(ROUND(('DCF Model'!C45/(1+$B7)^('DCF Model'!C19+0)+'DCF Model'!D45/(1+$B7)^('DCF Model'!C19+1)+'DCF Model'!E45/(1+$B7)^('DCF Model'!C19+2)+'DCF Model'!F45/(1+$B7)^('DCF Model'!C19+3)+'DCF Model'!G45/(1+$B7)^('DCF Model'!C19+4)+'DCF Model'!G45*(1+D$6)/($B7-D$6)/(1+$B7)^('DCF Model'!C19+4)-'DCF Model'!C16)*1000000/'DCF Model'!C15,0),"")</f>
        <v>585</v>
      </c>
      <c r="E7" s="37">
        <f>IFERROR(ROUND(('DCF Model'!C45/(1+$B7)^('DCF Model'!C19+0)+'DCF Model'!D45/(1+$B7)^('DCF Model'!C19+1)+'DCF Model'!E45/(1+$B7)^('DCF Model'!C19+2)+'DCF Model'!F45/(1+$B7)^('DCF Model'!C19+3)+'DCF Model'!G45/(1+$B7)^('DCF Model'!C19+4)+'DCF Model'!G45*(1+E$6)/($B7-E$6)/(1+$B7)^('DCF Model'!C19+4)-'DCF Model'!C16)*1000000/'DCF Model'!C15,0),"")</f>
        <v>600</v>
      </c>
      <c r="F7" s="37">
        <f>IFERROR(ROUND(('DCF Model'!C45/(1+$B7)^('DCF Model'!C19+0)+'DCF Model'!D45/(1+$B7)^('DCF Model'!C19+1)+'DCF Model'!E45/(1+$B7)^('DCF Model'!C19+2)+'DCF Model'!F45/(1+$B7)^('DCF Model'!C19+3)+'DCF Model'!G45/(1+$B7)^('DCF Model'!C19+4)+'DCF Model'!G45*(1+F$6)/($B7-F$6)/(1+$B7)^('DCF Model'!C19+4)-'DCF Model'!C16)*1000000/'DCF Model'!C15,0),"")</f>
        <v>616</v>
      </c>
      <c r="G7" s="37">
        <f>IFERROR(ROUND(('DCF Model'!C45/(1+$B7)^('DCF Model'!C19+0)+'DCF Model'!D45/(1+$B7)^('DCF Model'!C19+1)+'DCF Model'!E45/(1+$B7)^('DCF Model'!C19+2)+'DCF Model'!F45/(1+$B7)^('DCF Model'!C19+3)+'DCF Model'!G45/(1+$B7)^('DCF Model'!C19+4)+'DCF Model'!G45*(1+G$6)/($B7-G$6)/(1+$B7)^('DCF Model'!C19+4)-'DCF Model'!C16)*1000000/'DCF Model'!C15,0),"")</f>
        <v>632</v>
      </c>
      <c r="H7" s="37">
        <f>IFERROR(ROUND(('DCF Model'!C45/(1+$B7)^('DCF Model'!C19+0)+'DCF Model'!D45/(1+$B7)^('DCF Model'!C19+1)+'DCF Model'!E45/(1+$B7)^('DCF Model'!C19+2)+'DCF Model'!F45/(1+$B7)^('DCF Model'!C19+3)+'DCF Model'!G45/(1+$B7)^('DCF Model'!C19+4)+'DCF Model'!G45*(1+H$6)/($B7-H$6)/(1+$B7)^('DCF Model'!C19+4)-'DCF Model'!C16)*1000000/'DCF Model'!C15,0),"")</f>
        <v>650</v>
      </c>
      <c r="I7" s="37">
        <f>IFERROR(ROUND(('DCF Model'!C45/(1+$B7)^('DCF Model'!C19+0)+'DCF Model'!D45/(1+$B7)^('DCF Model'!C19+1)+'DCF Model'!E45/(1+$B7)^('DCF Model'!C19+2)+'DCF Model'!F45/(1+$B7)^('DCF Model'!C19+3)+'DCF Model'!G45/(1+$B7)^('DCF Model'!C19+4)+'DCF Model'!G45*(1+I$6)/($B7-I$6)/(1+$B7)^('DCF Model'!C19+4)-'DCF Model'!C16)*1000000/'DCF Model'!C15,0),"")</f>
        <v>668</v>
      </c>
    </row>
    <row r="8" spans="2:9" ht="13.5" customHeight="1" x14ac:dyDescent="0.25">
      <c r="B8" s="39">
        <f>$C$3-0.01</f>
        <v>0.11392845666339374</v>
      </c>
      <c r="C8" s="37">
        <f>IFERROR(ROUND(('DCF Model'!C45/(1+$B8)^('DCF Model'!C19+0)+'DCF Model'!D45/(1+$B8)^('DCF Model'!C19+1)+'DCF Model'!E45/(1+$B8)^('DCF Model'!C19+2)+'DCF Model'!F45/(1+$B8)^('DCF Model'!C19+3)+'DCF Model'!G45/(1+$B8)^('DCF Model'!C19+4)+'DCF Model'!G45*(1+C$6)/($B8-C$6)/(1+$B8)^('DCF Model'!C19+4)-'DCF Model'!C16)*1000000/'DCF Model'!C15,0),"")</f>
        <v>531</v>
      </c>
      <c r="D8" s="37">
        <f>IFERROR(ROUND(('DCF Model'!C45/(1+$B8)^('DCF Model'!C19+0)+'DCF Model'!D45/(1+$B8)^('DCF Model'!C19+1)+'DCF Model'!E45/(1+$B8)^('DCF Model'!C19+2)+'DCF Model'!F45/(1+$B8)^('DCF Model'!C19+3)+'DCF Model'!G45/(1+$B8)^('DCF Model'!C19+4)+'DCF Model'!G45*(1+D$6)/($B8-D$6)/(1+$B8)^('DCF Model'!C19+4)-'DCF Model'!C16)*1000000/'DCF Model'!C15,0),"")</f>
        <v>543</v>
      </c>
      <c r="E8" s="37">
        <f>IFERROR(ROUND(('DCF Model'!C45/(1+$B8)^('DCF Model'!C19+0)+'DCF Model'!D45/(1+$B8)^('DCF Model'!C19+1)+'DCF Model'!E45/(1+$B8)^('DCF Model'!C19+2)+'DCF Model'!F45/(1+$B8)^('DCF Model'!C19+3)+'DCF Model'!G45/(1+$B8)^('DCF Model'!C19+4)+'DCF Model'!G45*(1+E$6)/($B8-E$6)/(1+$B8)^('DCF Model'!C19+4)-'DCF Model'!C16)*1000000/'DCF Model'!C15,0),"")</f>
        <v>557</v>
      </c>
      <c r="F8" s="37">
        <f>IFERROR(ROUND(('DCF Model'!C45/(1+$B8)^('DCF Model'!C19+0)+'DCF Model'!D45/(1+$B8)^('DCF Model'!C19+1)+'DCF Model'!E45/(1+$B8)^('DCF Model'!C19+2)+'DCF Model'!F45/(1+$B8)^('DCF Model'!C19+3)+'DCF Model'!G45/(1+$B8)^('DCF Model'!C19+4)+'DCF Model'!G45*(1+F$6)/($B8-F$6)/(1+$B8)^('DCF Model'!C19+4)-'DCF Model'!C16)*1000000/'DCF Model'!C15,0),"")</f>
        <v>571</v>
      </c>
      <c r="G8" s="37">
        <f>IFERROR(ROUND(('DCF Model'!C45/(1+$B8)^('DCF Model'!C19+0)+'DCF Model'!D45/(1+$B8)^('DCF Model'!C19+1)+'DCF Model'!E45/(1+$B8)^('DCF Model'!C19+2)+'DCF Model'!F45/(1+$B8)^('DCF Model'!C19+3)+'DCF Model'!G45/(1+$B8)^('DCF Model'!C19+4)+'DCF Model'!G45*(1+G$6)/($B8-G$6)/(1+$B8)^('DCF Model'!C19+4)-'DCF Model'!C16)*1000000/'DCF Model'!C15,0),"")</f>
        <v>586</v>
      </c>
      <c r="H8" s="37">
        <f>IFERROR(ROUND(('DCF Model'!C45/(1+$B8)^('DCF Model'!C19+0)+'DCF Model'!D45/(1+$B8)^('DCF Model'!C19+1)+'DCF Model'!E45/(1+$B8)^('DCF Model'!C19+2)+'DCF Model'!F45/(1+$B8)^('DCF Model'!C19+3)+'DCF Model'!G45/(1+$B8)^('DCF Model'!C19+4)+'DCF Model'!G45*(1+H$6)/($B8-H$6)/(1+$B8)^('DCF Model'!C19+4)-'DCF Model'!C16)*1000000/'DCF Model'!C15,0),"")</f>
        <v>601</v>
      </c>
      <c r="I8" s="37">
        <f>IFERROR(ROUND(('DCF Model'!C45/(1+$B8)^('DCF Model'!C19+0)+'DCF Model'!D45/(1+$B8)^('DCF Model'!C19+1)+'DCF Model'!E45/(1+$B8)^('DCF Model'!C19+2)+'DCF Model'!F45/(1+$B8)^('DCF Model'!C19+3)+'DCF Model'!G45/(1+$B8)^('DCF Model'!C19+4)+'DCF Model'!G45*(1+I$6)/($B8-I$6)/(1+$B8)^('DCF Model'!C19+4)-'DCF Model'!C16)*1000000/'DCF Model'!C15,0),"")</f>
        <v>617</v>
      </c>
    </row>
    <row r="9" spans="2:9" ht="13.5" customHeight="1" x14ac:dyDescent="0.25">
      <c r="B9" s="39">
        <f>$C$3-0.005</f>
        <v>0.11892845666339373</v>
      </c>
      <c r="C9" s="37">
        <f>IFERROR(ROUND(('DCF Model'!C45/(1+$B9)^('DCF Model'!C19+0)+'DCF Model'!D45/(1+$B9)^('DCF Model'!C19+1)+'DCF Model'!E45/(1+$B9)^('DCF Model'!C19+2)+'DCF Model'!F45/(1+$B9)^('DCF Model'!C19+3)+'DCF Model'!G45/(1+$B9)^('DCF Model'!C19+4)+'DCF Model'!G45*(1+C$6)/($B9-C$6)/(1+$B9)^('DCF Model'!C19+4)-'DCF Model'!C16)*1000000/'DCF Model'!C15,0),"")</f>
        <v>494</v>
      </c>
      <c r="D9" s="37">
        <f>IFERROR(ROUND(('DCF Model'!C45/(1+$B9)^('DCF Model'!C19+0)+'DCF Model'!D45/(1+$B9)^('DCF Model'!C19+1)+'DCF Model'!E45/(1+$B9)^('DCF Model'!C19+2)+'DCF Model'!F45/(1+$B9)^('DCF Model'!C19+3)+'DCF Model'!G45/(1+$B9)^('DCF Model'!C19+4)+'DCF Model'!G45*(1+D$6)/($B9-D$6)/(1+$B9)^('DCF Model'!C19+4)-'DCF Model'!C16)*1000000/'DCF Model'!C15,0),"")</f>
        <v>506</v>
      </c>
      <c r="E9" s="37">
        <f>IFERROR(ROUND(('DCF Model'!C45/(1+$B9)^('DCF Model'!C19+0)+'DCF Model'!D45/(1+$B9)^('DCF Model'!C19+1)+'DCF Model'!E45/(1+$B9)^('DCF Model'!C19+2)+'DCF Model'!F45/(1+$B9)^('DCF Model'!C19+3)+'DCF Model'!G45/(1+$B9)^('DCF Model'!C19+4)+'DCF Model'!G45*(1+E$6)/($B9-E$6)/(1+$B9)^('DCF Model'!C19+4)-'DCF Model'!C16)*1000000/'DCF Model'!C15,0),"")</f>
        <v>518</v>
      </c>
      <c r="F9" s="37">
        <f>IFERROR(ROUND(('DCF Model'!C45/(1+$B9)^('DCF Model'!C19+0)+'DCF Model'!D45/(1+$B9)^('DCF Model'!C19+1)+'DCF Model'!E45/(1+$B9)^('DCF Model'!C19+2)+'DCF Model'!F45/(1+$B9)^('DCF Model'!C19+3)+'DCF Model'!G45/(1+$B9)^('DCF Model'!C19+4)+'DCF Model'!G45*(1+F$6)/($B9-F$6)/(1+$B9)^('DCF Model'!C19+4)-'DCF Model'!C16)*1000000/'DCF Model'!C15,0),"")</f>
        <v>530</v>
      </c>
      <c r="G9" s="37">
        <f>IFERROR(ROUND(('DCF Model'!C45/(1+$B9)^('DCF Model'!C19+0)+'DCF Model'!D45/(1+$B9)^('DCF Model'!C19+1)+'DCF Model'!E45/(1+$B9)^('DCF Model'!C19+2)+'DCF Model'!F45/(1+$B9)^('DCF Model'!C19+3)+'DCF Model'!G45/(1+$B9)^('DCF Model'!C19+4)+'DCF Model'!G45*(1+G$6)/($B9-G$6)/(1+$B9)^('DCF Model'!C19+4)-'DCF Model'!C16)*1000000/'DCF Model'!C15,0),"")</f>
        <v>543</v>
      </c>
      <c r="H9" s="37">
        <f>IFERROR(ROUND(('DCF Model'!C45/(1+$B9)^('DCF Model'!C19+0)+'DCF Model'!D45/(1+$B9)^('DCF Model'!C19+1)+'DCF Model'!E45/(1+$B9)^('DCF Model'!C19+2)+'DCF Model'!F45/(1+$B9)^('DCF Model'!C19+3)+'DCF Model'!G45/(1+$B9)^('DCF Model'!C19+4)+'DCF Model'!G45*(1+H$6)/($B9-H$6)/(1+$B9)^('DCF Model'!C19+4)-'DCF Model'!C16)*1000000/'DCF Model'!C15,0),"")</f>
        <v>557</v>
      </c>
      <c r="I9" s="37">
        <f>IFERROR(ROUND(('DCF Model'!C45/(1+$B9)^('DCF Model'!C19+0)+'DCF Model'!D45/(1+$B9)^('DCF Model'!C19+1)+'DCF Model'!E45/(1+$B9)^('DCF Model'!C19+2)+'DCF Model'!F45/(1+$B9)^('DCF Model'!C19+3)+'DCF Model'!G45/(1+$B9)^('DCF Model'!C19+4)+'DCF Model'!G45*(1+I$6)/($B9-I$6)/(1+$B9)^('DCF Model'!C19+4)-'DCF Model'!C16)*1000000/'DCF Model'!C15,0),"")</f>
        <v>572</v>
      </c>
    </row>
    <row r="10" spans="2:9" ht="13.5" customHeight="1" x14ac:dyDescent="0.25">
      <c r="B10" s="39">
        <f>$C$3</f>
        <v>0.12392845666339374</v>
      </c>
      <c r="C10" s="37">
        <f>IFERROR(ROUND(('DCF Model'!C45/(1+$B10)^('DCF Model'!C19+0)+'DCF Model'!D45/(1+$B10)^('DCF Model'!C19+1)+'DCF Model'!E45/(1+$B10)^('DCF Model'!C19+2)+'DCF Model'!F45/(1+$B10)^('DCF Model'!C19+3)+'DCF Model'!G45/(1+$B10)^('DCF Model'!C19+4)+'DCF Model'!G45*(1+C$6)/($B10-C$6)/(1+$B10)^('DCF Model'!C19+4)-'DCF Model'!C16)*1000000/'DCF Model'!C15,0),"")</f>
        <v>461</v>
      </c>
      <c r="D10" s="37">
        <f>IFERROR(ROUND(('DCF Model'!C45/(1+$B10)^('DCF Model'!C19+0)+'DCF Model'!D45/(1+$B10)^('DCF Model'!C19+1)+'DCF Model'!E45/(1+$B10)^('DCF Model'!C19+2)+'DCF Model'!F45/(1+$B10)^('DCF Model'!C19+3)+'DCF Model'!G45/(1+$B10)^('DCF Model'!C19+4)+'DCF Model'!G45*(1+D$6)/($B10-D$6)/(1+$B10)^('DCF Model'!C19+4)-'DCF Model'!C16)*1000000/'DCF Model'!C15,0),"")</f>
        <v>471</v>
      </c>
      <c r="E10" s="37">
        <f>IFERROR(ROUND(('DCF Model'!C45/(1+$B10)^('DCF Model'!C19+0)+'DCF Model'!D45/(1+$B10)^('DCF Model'!C19+1)+'DCF Model'!E45/(1+$B10)^('DCF Model'!C19+2)+'DCF Model'!F45/(1+$B10)^('DCF Model'!C19+3)+'DCF Model'!G45/(1+$B10)^('DCF Model'!C19+4)+'DCF Model'!G45*(1+E$6)/($B10-E$6)/(1+$B10)^('DCF Model'!C19+4)-'DCF Model'!C16)*1000000/'DCF Model'!C15,0),"")</f>
        <v>482</v>
      </c>
      <c r="F10" s="37">
        <f>IFERROR(ROUND(('DCF Model'!C45/(1+$B10)^('DCF Model'!C19+0)+'DCF Model'!D45/(1+$B10)^('DCF Model'!C19+1)+'DCF Model'!E45/(1+$B10)^('DCF Model'!C19+2)+'DCF Model'!F45/(1+$B10)^('DCF Model'!C19+3)+'DCF Model'!G45/(1+$B10)^('DCF Model'!C19+4)+'DCF Model'!G45*(1+F$6)/($B10-F$6)/(1+$B10)^('DCF Model'!C19+4)-'DCF Model'!C16)*1000000/'DCF Model'!C15,0),"")</f>
        <v>493</v>
      </c>
      <c r="G10" s="37">
        <f>IFERROR(ROUND(('DCF Model'!C45/(1+$B10)^('DCF Model'!C19+0)+'DCF Model'!D45/(1+$B10)^('DCF Model'!C19+1)+'DCF Model'!E45/(1+$B10)^('DCF Model'!C19+2)+'DCF Model'!F45/(1+$B10)^('DCF Model'!C19+3)+'DCF Model'!G45/(1+$B10)^('DCF Model'!C19+4)+'DCF Model'!G45*(1+G$6)/($B10-G$6)/(1+$B10)^('DCF Model'!C19+4)-'DCF Model'!C16)*1000000/'DCF Model'!C15,0),"")</f>
        <v>505</v>
      </c>
      <c r="H10" s="37">
        <f>IFERROR(ROUND(('DCF Model'!C45/(1+$B10)^('DCF Model'!C19+0)+'DCF Model'!D45/(1+$B10)^('DCF Model'!C19+1)+'DCF Model'!E45/(1+$B10)^('DCF Model'!C19+2)+'DCF Model'!F45/(1+$B10)^('DCF Model'!C19+3)+'DCF Model'!G45/(1+$B10)^('DCF Model'!C19+4)+'DCF Model'!G45*(1+H$6)/($B10-H$6)/(1+$B10)^('DCF Model'!C19+4)-'DCF Model'!C16)*1000000/'DCF Model'!C15,0),"")</f>
        <v>517</v>
      </c>
      <c r="I10" s="37">
        <f>IFERROR(ROUND(('DCF Model'!C45/(1+$B10)^('DCF Model'!C19+0)+'DCF Model'!D45/(1+$B10)^('DCF Model'!C19+1)+'DCF Model'!E45/(1+$B10)^('DCF Model'!C19+2)+'DCF Model'!F45/(1+$B10)^('DCF Model'!C19+3)+'DCF Model'!G45/(1+$B10)^('DCF Model'!C19+4)+'DCF Model'!G45*(1+I$6)/($B10-I$6)/(1+$B10)^('DCF Model'!C19+4)-'DCF Model'!C16)*1000000/'DCF Model'!C15,0),"")</f>
        <v>530</v>
      </c>
    </row>
    <row r="11" spans="2:9" ht="13.5" customHeight="1" x14ac:dyDescent="0.25">
      <c r="B11" s="39">
        <f>$C$3+0.005</f>
        <v>0.12892845666339373</v>
      </c>
      <c r="C11" s="37">
        <f>IFERROR(ROUND(('DCF Model'!C45/(1+$B11)^('DCF Model'!C19+0)+'DCF Model'!D45/(1+$B11)^('DCF Model'!C19+1)+'DCF Model'!E45/(1+$B11)^('DCF Model'!C19+2)+'DCF Model'!F45/(1+$B11)^('DCF Model'!C19+3)+'DCF Model'!G45/(1+$B11)^('DCF Model'!C19+4)+'DCF Model'!G45*(1+C$6)/($B11-C$6)/(1+$B11)^('DCF Model'!C19+4)-'DCF Model'!C16)*1000000/'DCF Model'!C15,0),"")</f>
        <v>430</v>
      </c>
      <c r="D11" s="37">
        <f>IFERROR(ROUND(('DCF Model'!C45/(1+$B11)^('DCF Model'!C19+0)+'DCF Model'!D45/(1+$B11)^('DCF Model'!C19+1)+'DCF Model'!E45/(1+$B11)^('DCF Model'!C19+2)+'DCF Model'!F45/(1+$B11)^('DCF Model'!C19+3)+'DCF Model'!G45/(1+$B11)^('DCF Model'!C19+4)+'DCF Model'!G45*(1+D$6)/($B11-D$6)/(1+$B11)^('DCF Model'!C19+4)-'DCF Model'!C16)*1000000/'DCF Model'!C15,0),"")</f>
        <v>439</v>
      </c>
      <c r="E11" s="37">
        <f>IFERROR(ROUND(('DCF Model'!C45/(1+$B11)^('DCF Model'!C19+0)+'DCF Model'!D45/(1+$B11)^('DCF Model'!C19+1)+'DCF Model'!E45/(1+$B11)^('DCF Model'!C19+2)+'DCF Model'!F45/(1+$B11)^('DCF Model'!C19+3)+'DCF Model'!G45/(1+$B11)^('DCF Model'!C19+4)+'DCF Model'!G45*(1+E$6)/($B11-E$6)/(1+$B11)^('DCF Model'!C19+4)-'DCF Model'!C16)*1000000/'DCF Model'!C15,0),"")</f>
        <v>449</v>
      </c>
      <c r="F11" s="37">
        <f>IFERROR(ROUND(('DCF Model'!C45/(1+$B11)^('DCF Model'!C19+0)+'DCF Model'!D45/(1+$B11)^('DCF Model'!C19+1)+'DCF Model'!E45/(1+$B11)^('DCF Model'!C19+2)+'DCF Model'!F45/(1+$B11)^('DCF Model'!C19+3)+'DCF Model'!G45/(1+$B11)^('DCF Model'!C19+4)+'DCF Model'!G45*(1+F$6)/($B11-F$6)/(1+$B11)^('DCF Model'!C19+4)-'DCF Model'!C16)*1000000/'DCF Model'!C15,0),"")</f>
        <v>459</v>
      </c>
      <c r="G11" s="37">
        <f>IFERROR(ROUND(('DCF Model'!C45/(1+$B11)^('DCF Model'!C19+0)+'DCF Model'!D45/(1+$B11)^('DCF Model'!C19+1)+'DCF Model'!E45/(1+$B11)^('DCF Model'!C19+2)+'DCF Model'!F45/(1+$B11)^('DCF Model'!C19+3)+'DCF Model'!G45/(1+$B11)^('DCF Model'!C19+4)+'DCF Model'!G45*(1+G$6)/($B11-G$6)/(1+$B11)^('DCF Model'!C19+4)-'DCF Model'!C16)*1000000/'DCF Model'!C15,0),"")</f>
        <v>470</v>
      </c>
      <c r="H11" s="37">
        <f>IFERROR(ROUND(('DCF Model'!C45/(1+$B11)^('DCF Model'!C19+0)+'DCF Model'!D45/(1+$B11)^('DCF Model'!C19+1)+'DCF Model'!E45/(1+$B11)^('DCF Model'!C19+2)+'DCF Model'!F45/(1+$B11)^('DCF Model'!C19+3)+'DCF Model'!G45/(1+$B11)^('DCF Model'!C19+4)+'DCF Model'!G45*(1+H$6)/($B11-H$6)/(1+$B11)^('DCF Model'!C19+4)-'DCF Model'!C16)*1000000/'DCF Model'!C15,0),"")</f>
        <v>481</v>
      </c>
      <c r="I11" s="37">
        <f>IFERROR(ROUND(('DCF Model'!C45/(1+$B11)^('DCF Model'!C19+0)+'DCF Model'!D45/(1+$B11)^('DCF Model'!C19+1)+'DCF Model'!E45/(1+$B11)^('DCF Model'!C19+2)+'DCF Model'!F45/(1+$B11)^('DCF Model'!C19+3)+'DCF Model'!G45/(1+$B11)^('DCF Model'!C19+4)+'DCF Model'!G45*(1+I$6)/($B11-I$6)/(1+$B11)^('DCF Model'!C19+4)-'DCF Model'!C16)*1000000/'DCF Model'!C15,0),"")</f>
        <v>493</v>
      </c>
    </row>
    <row r="12" spans="2:9" ht="13.5" customHeight="1" x14ac:dyDescent="0.25">
      <c r="B12" s="39">
        <f>$C$3+0.01</f>
        <v>0.13392845666339373</v>
      </c>
      <c r="C12" s="37">
        <f>IFERROR(ROUND(('DCF Model'!C45/(1+$B12)^('DCF Model'!C19+0)+'DCF Model'!D45/(1+$B12)^('DCF Model'!C19+1)+'DCF Model'!E45/(1+$B12)^('DCF Model'!C19+2)+'DCF Model'!F45/(1+$B12)^('DCF Model'!C19+3)+'DCF Model'!G45/(1+$B12)^('DCF Model'!C19+4)+'DCF Model'!G45*(1+C$6)/($B12-C$6)/(1+$B12)^('DCF Model'!C19+4)-'DCF Model'!C16)*1000000/'DCF Model'!C15,0),"")</f>
        <v>401</v>
      </c>
      <c r="D12" s="37">
        <f>IFERROR(ROUND(('DCF Model'!C45/(1+$B12)^('DCF Model'!C19+0)+'DCF Model'!D45/(1+$B12)^('DCF Model'!C19+1)+'DCF Model'!E45/(1+$B12)^('DCF Model'!C19+2)+'DCF Model'!F45/(1+$B12)^('DCF Model'!C19+3)+'DCF Model'!G45/(1+$B12)^('DCF Model'!C19+4)+'DCF Model'!G45*(1+D$6)/($B12-D$6)/(1+$B12)^('DCF Model'!C19+4)-'DCF Model'!C16)*1000000/'DCF Model'!C15,0),"")</f>
        <v>410</v>
      </c>
      <c r="E12" s="37">
        <f>IFERROR(ROUND(('DCF Model'!C45/(1+$B12)^('DCF Model'!C19+0)+'DCF Model'!D45/(1+$B12)^('DCF Model'!C19+1)+'DCF Model'!E45/(1+$B12)^('DCF Model'!C19+2)+'DCF Model'!F45/(1+$B12)^('DCF Model'!C19+3)+'DCF Model'!G45/(1+$B12)^('DCF Model'!C19+4)+'DCF Model'!G45*(1+E$6)/($B12-E$6)/(1+$B12)^('DCF Model'!C19+4)-'DCF Model'!C16)*1000000/'DCF Model'!C15,0),"")</f>
        <v>419</v>
      </c>
      <c r="F12" s="37">
        <f>IFERROR(ROUND(('DCF Model'!C45/(1+$B12)^('DCF Model'!C19+0)+'DCF Model'!D45/(1+$B12)^('DCF Model'!C19+1)+'DCF Model'!E45/(1+$B12)^('DCF Model'!C19+2)+'DCF Model'!F45/(1+$B12)^('DCF Model'!C19+3)+'DCF Model'!G45/(1+$B12)^('DCF Model'!C19+4)+'DCF Model'!G45*(1+F$6)/($B12-F$6)/(1+$B12)^('DCF Model'!C19+4)-'DCF Model'!C16)*1000000/'DCF Model'!C15,0),"")</f>
        <v>428</v>
      </c>
      <c r="G12" s="37">
        <f>IFERROR(ROUND(('DCF Model'!C45/(1+$B12)^('DCF Model'!C19+0)+'DCF Model'!D45/(1+$B12)^('DCF Model'!C19+1)+'DCF Model'!E45/(1+$B12)^('DCF Model'!C19+2)+'DCF Model'!F45/(1+$B12)^('DCF Model'!C19+3)+'DCF Model'!G45/(1+$B12)^('DCF Model'!C19+4)+'DCF Model'!G45*(1+G$6)/($B12-G$6)/(1+$B12)^('DCF Model'!C19+4)-'DCF Model'!C16)*1000000/'DCF Model'!C15,0),"")</f>
        <v>438</v>
      </c>
      <c r="H12" s="37">
        <f>IFERROR(ROUND(('DCF Model'!C45/(1+$B12)^('DCF Model'!C19+0)+'DCF Model'!D45/(1+$B12)^('DCF Model'!C19+1)+'DCF Model'!E45/(1+$B12)^('DCF Model'!C19+2)+'DCF Model'!F45/(1+$B12)^('DCF Model'!C19+3)+'DCF Model'!G45/(1+$B12)^('DCF Model'!C19+4)+'DCF Model'!G45*(1+H$6)/($B12-H$6)/(1+$B12)^('DCF Model'!C19+4)-'DCF Model'!C16)*1000000/'DCF Model'!C15,0),"")</f>
        <v>448</v>
      </c>
      <c r="I12" s="37">
        <f>IFERROR(ROUND(('DCF Model'!C45/(1+$B12)^('DCF Model'!C19+0)+'DCF Model'!D45/(1+$B12)^('DCF Model'!C19+1)+'DCF Model'!E45/(1+$B12)^('DCF Model'!C19+2)+'DCF Model'!F45/(1+$B12)^('DCF Model'!C19+3)+'DCF Model'!G45/(1+$B12)^('DCF Model'!C19+4)+'DCF Model'!G45*(1+I$6)/($B12-I$6)/(1+$B12)^('DCF Model'!C19+4)-'DCF Model'!C16)*1000000/'DCF Model'!C15,0),"")</f>
        <v>458</v>
      </c>
    </row>
    <row r="13" spans="2:9" ht="13.5" customHeight="1" x14ac:dyDescent="0.25">
      <c r="B13" s="39">
        <f>$C$3+0.015</f>
        <v>0.13892845666339373</v>
      </c>
      <c r="C13" s="37">
        <f>IFERROR(ROUND(('DCF Model'!C45/(1+$B13)^('DCF Model'!C19+0)+'DCF Model'!D45/(1+$B13)^('DCF Model'!C19+1)+'DCF Model'!E45/(1+$B13)^('DCF Model'!C19+2)+'DCF Model'!F45/(1+$B13)^('DCF Model'!C19+3)+'DCF Model'!G45/(1+$B13)^('DCF Model'!C19+4)+'DCF Model'!G45*(1+C$6)/($B13-C$6)/(1+$B13)^('DCF Model'!C19+4)-'DCF Model'!C16)*1000000/'DCF Model'!C15,0),"")</f>
        <v>375</v>
      </c>
      <c r="D13" s="37">
        <f>IFERROR(ROUND(('DCF Model'!C45/(1+$B13)^('DCF Model'!C19+0)+'DCF Model'!D45/(1+$B13)^('DCF Model'!C19+1)+'DCF Model'!E45/(1+$B13)^('DCF Model'!C19+2)+'DCF Model'!F45/(1+$B13)^('DCF Model'!C19+3)+'DCF Model'!G45/(1+$B13)^('DCF Model'!C19+4)+'DCF Model'!G45*(1+D$6)/($B13-D$6)/(1+$B13)^('DCF Model'!C19+4)-'DCF Model'!C16)*1000000/'DCF Model'!C15,0),"")</f>
        <v>383</v>
      </c>
      <c r="E13" s="37">
        <f>IFERROR(ROUND(('DCF Model'!C45/(1+$B13)^('DCF Model'!C19+0)+'DCF Model'!D45/(1+$B13)^('DCF Model'!C19+1)+'DCF Model'!E45/(1+$B13)^('DCF Model'!C19+2)+'DCF Model'!F45/(1+$B13)^('DCF Model'!C19+3)+'DCF Model'!G45/(1+$B13)^('DCF Model'!C19+4)+'DCF Model'!G45*(1+E$6)/($B13-E$6)/(1+$B13)^('DCF Model'!C19+4)-'DCF Model'!C16)*1000000/'DCF Model'!C15,0),"")</f>
        <v>391</v>
      </c>
      <c r="F13" s="37">
        <f>IFERROR(ROUND(('DCF Model'!C45/(1+$B13)^('DCF Model'!C19+0)+'DCF Model'!D45/(1+$B13)^('DCF Model'!C19+1)+'DCF Model'!E45/(1+$B13)^('DCF Model'!C19+2)+'DCF Model'!F45/(1+$B13)^('DCF Model'!C19+3)+'DCF Model'!G45/(1+$B13)^('DCF Model'!C19+4)+'DCF Model'!G45*(1+F$6)/($B13-F$6)/(1+$B13)^('DCF Model'!C19+4)-'DCF Model'!C16)*1000000/'DCF Model'!C15,0),"")</f>
        <v>399</v>
      </c>
      <c r="G13" s="37">
        <f>IFERROR(ROUND(('DCF Model'!C45/(1+$B13)^('DCF Model'!C19+0)+'DCF Model'!D45/(1+$B13)^('DCF Model'!C19+1)+'DCF Model'!E45/(1+$B13)^('DCF Model'!C19+2)+'DCF Model'!F45/(1+$B13)^('DCF Model'!C19+3)+'DCF Model'!G45/(1+$B13)^('DCF Model'!C19+4)+'DCF Model'!G45*(1+G$6)/($B13-G$6)/(1+$B13)^('DCF Model'!C19+4)-'DCF Model'!C16)*1000000/'DCF Model'!C15,0),"")</f>
        <v>408</v>
      </c>
      <c r="H13" s="37">
        <f>IFERROR(ROUND(('DCF Model'!C45/(1+$B13)^('DCF Model'!C19+0)+'DCF Model'!D45/(1+$B13)^('DCF Model'!C19+1)+'DCF Model'!E45/(1+$B13)^('DCF Model'!C19+2)+'DCF Model'!F45/(1+$B13)^('DCF Model'!C19+3)+'DCF Model'!G45/(1+$B13)^('DCF Model'!C19+4)+'DCF Model'!G45*(1+H$6)/($B13-H$6)/(1+$B13)^('DCF Model'!C19+4)-'DCF Model'!C16)*1000000/'DCF Model'!C15,0),"")</f>
        <v>417</v>
      </c>
      <c r="I13" s="37">
        <f>IFERROR(ROUND(('DCF Model'!C45/(1+$B13)^('DCF Model'!C19+0)+'DCF Model'!D45/(1+$B13)^('DCF Model'!C19+1)+'DCF Model'!E45/(1+$B13)^('DCF Model'!C19+2)+'DCF Model'!F45/(1+$B13)^('DCF Model'!C19+3)+'DCF Model'!G45/(1+$B13)^('DCF Model'!C19+4)+'DCF Model'!G45*(1+I$6)/($B13-I$6)/(1+$B13)^('DCF Model'!C19+4)-'DCF Model'!C16)*1000000/'DCF Model'!C15,0),"")</f>
        <v>426</v>
      </c>
    </row>
    <row r="16" spans="2:9" ht="14" customHeight="1" x14ac:dyDescent="0.3">
      <c r="B16" s="3" t="s">
        <v>235</v>
      </c>
    </row>
    <row r="17" spans="2:9" ht="14" customHeight="1" x14ac:dyDescent="0.3">
      <c r="B17" s="40" t="s">
        <v>236</v>
      </c>
      <c r="C17" s="42">
        <f>$I$3-3</f>
        <v>11.3</v>
      </c>
      <c r="D17" s="42">
        <f>$I$3-2</f>
        <v>12.3</v>
      </c>
      <c r="E17" s="42">
        <f>$I$3-1</f>
        <v>13.3</v>
      </c>
      <c r="F17" s="42">
        <f>$I$3</f>
        <v>14.3</v>
      </c>
      <c r="G17" s="42">
        <f>$I$3+1</f>
        <v>15.3</v>
      </c>
      <c r="H17" s="42">
        <f>$I$3+2</f>
        <v>16.3</v>
      </c>
      <c r="I17" s="42">
        <f>$I$3+3</f>
        <v>17.3</v>
      </c>
    </row>
    <row r="18" spans="2:9" ht="13.5" customHeight="1" x14ac:dyDescent="0.25">
      <c r="B18" s="39">
        <f>$C$3-0.015</f>
        <v>0.10892845666339374</v>
      </c>
      <c r="C18" s="37">
        <f>IFERROR(ROUND(('DCF Model'!C45/(1+$B18)^('DCF Model'!C19+0)+'DCF Model'!D45/(1+$B18)^('DCF Model'!C19+1)+'DCF Model'!E45/(1+$B18)^('DCF Model'!C19+2)+'DCF Model'!F45/(1+$B18)^('DCF Model'!C19+3)+'DCF Model'!G45/(1+$B18)^('DCF Model'!C19+4)+('DCF Model'!G39+'DCF Model'!G42)*C$17/(1+$B18)^('DCF Model'!C19+4)-'DCF Model'!C16)*1000000/'DCF Model'!C15,0),"")</f>
        <v>1743</v>
      </c>
      <c r="D18" s="37">
        <f>IFERROR(ROUND(('DCF Model'!C45/(1+$B18)^('DCF Model'!C19+0)+'DCF Model'!D45/(1+$B18)^('DCF Model'!C19+1)+'DCF Model'!E45/(1+$B18)^('DCF Model'!C19+2)+'DCF Model'!F45/(1+$B18)^('DCF Model'!C19+3)+'DCF Model'!G45/(1+$B18)^('DCF Model'!C19+4)+('DCF Model'!G39+'DCF Model'!G42)*D$17/(1+$B18)^('DCF Model'!C19+4)-'DCF Model'!C16)*1000000/'DCF Model'!C15,0),"")</f>
        <v>1895</v>
      </c>
      <c r="E18" s="37">
        <f>IFERROR(ROUND(('DCF Model'!C45/(1+$B18)^('DCF Model'!C19+0)+'DCF Model'!D45/(1+$B18)^('DCF Model'!C19+1)+'DCF Model'!E45/(1+$B18)^('DCF Model'!C19+2)+'DCF Model'!F45/(1+$B18)^('DCF Model'!C19+3)+'DCF Model'!G45/(1+$B18)^('DCF Model'!C19+4)+('DCF Model'!G39+'DCF Model'!G42)*E$17/(1+$B18)^('DCF Model'!C19+4)-'DCF Model'!C16)*1000000/'DCF Model'!C15,0),"")</f>
        <v>2046</v>
      </c>
      <c r="F18" s="37">
        <f>IFERROR(ROUND(('DCF Model'!C45/(1+$B18)^('DCF Model'!C19+0)+'DCF Model'!D45/(1+$B18)^('DCF Model'!C19+1)+'DCF Model'!E45/(1+$B18)^('DCF Model'!C19+2)+'DCF Model'!F45/(1+$B18)^('DCF Model'!C19+3)+'DCF Model'!G45/(1+$B18)^('DCF Model'!C19+4)+('DCF Model'!G39+'DCF Model'!G42)*F$17/(1+$B18)^('DCF Model'!C19+4)-'DCF Model'!C16)*1000000/'DCF Model'!C15,0),"")</f>
        <v>2198</v>
      </c>
      <c r="G18" s="37">
        <f>IFERROR(ROUND(('DCF Model'!C45/(1+$B18)^('DCF Model'!C19+0)+'DCF Model'!D45/(1+$B18)^('DCF Model'!C19+1)+'DCF Model'!E45/(1+$B18)^('DCF Model'!C19+2)+'DCF Model'!F45/(1+$B18)^('DCF Model'!C19+3)+'DCF Model'!G45/(1+$B18)^('DCF Model'!C19+4)+('DCF Model'!G39+'DCF Model'!G42)*G$17/(1+$B18)^('DCF Model'!C19+4)-'DCF Model'!C16)*1000000/'DCF Model'!C15,0),"")</f>
        <v>2349</v>
      </c>
      <c r="H18" s="37">
        <f>IFERROR(ROUND(('DCF Model'!C45/(1+$B18)^('DCF Model'!C19+0)+'DCF Model'!D45/(1+$B18)^('DCF Model'!C19+1)+'DCF Model'!E45/(1+$B18)^('DCF Model'!C19+2)+'DCF Model'!F45/(1+$B18)^('DCF Model'!C19+3)+'DCF Model'!G45/(1+$B18)^('DCF Model'!C19+4)+('DCF Model'!G39+'DCF Model'!G42)*H$17/(1+$B18)^('DCF Model'!C19+4)-'DCF Model'!C16)*1000000/'DCF Model'!C15,0),"")</f>
        <v>2500</v>
      </c>
      <c r="I18" s="37">
        <f>IFERROR(ROUND(('DCF Model'!C45/(1+$B18)^('DCF Model'!C19+0)+'DCF Model'!D45/(1+$B18)^('DCF Model'!C19+1)+'DCF Model'!E45/(1+$B18)^('DCF Model'!C19+2)+'DCF Model'!F45/(1+$B18)^('DCF Model'!C19+3)+'DCF Model'!G45/(1+$B18)^('DCF Model'!C19+4)+('DCF Model'!G39+'DCF Model'!G42)*I$17/(1+$B18)^('DCF Model'!C19+4)-'DCF Model'!C16)*1000000/'DCF Model'!C15,0),"")</f>
        <v>2652</v>
      </c>
    </row>
    <row r="19" spans="2:9" ht="13.5" customHeight="1" x14ac:dyDescent="0.25">
      <c r="B19" s="39">
        <f>$C$3-0.01</f>
        <v>0.11392845666339374</v>
      </c>
      <c r="C19" s="37">
        <f>IFERROR(ROUND(('DCF Model'!C45/(1+$B19)^('DCF Model'!C19+0)+'DCF Model'!D45/(1+$B19)^('DCF Model'!C19+1)+'DCF Model'!E45/(1+$B19)^('DCF Model'!C19+2)+'DCF Model'!F45/(1+$B19)^('DCF Model'!C19+3)+'DCF Model'!G45/(1+$B19)^('DCF Model'!C19+4)+('DCF Model'!G39+'DCF Model'!G42)*C$17/(1+$B19)^('DCF Model'!C19+4)-'DCF Model'!C16)*1000000/'DCF Model'!C15,0),"")</f>
        <v>1701</v>
      </c>
      <c r="D19" s="37">
        <f>IFERROR(ROUND(('DCF Model'!C45/(1+$B19)^('DCF Model'!C19+0)+'DCF Model'!D45/(1+$B19)^('DCF Model'!C19+1)+'DCF Model'!E45/(1+$B19)^('DCF Model'!C19+2)+'DCF Model'!F45/(1+$B19)^('DCF Model'!C19+3)+'DCF Model'!G45/(1+$B19)^('DCF Model'!C19+4)+('DCF Model'!G39+'DCF Model'!G42)*D$17/(1+$B19)^('DCF Model'!C19+4)-'DCF Model'!C16)*1000000/'DCF Model'!C15,0),"")</f>
        <v>1849</v>
      </c>
      <c r="E19" s="37">
        <f>IFERROR(ROUND(('DCF Model'!C45/(1+$B19)^('DCF Model'!C19+0)+'DCF Model'!D45/(1+$B19)^('DCF Model'!C19+1)+'DCF Model'!E45/(1+$B19)^('DCF Model'!C19+2)+'DCF Model'!F45/(1+$B19)^('DCF Model'!C19+3)+'DCF Model'!G45/(1+$B19)^('DCF Model'!C19+4)+('DCF Model'!G39+'DCF Model'!G42)*E$17/(1+$B19)^('DCF Model'!C19+4)-'DCF Model'!C16)*1000000/'DCF Model'!C15,0),"")</f>
        <v>1997</v>
      </c>
      <c r="F19" s="37">
        <f>IFERROR(ROUND(('DCF Model'!C45/(1+$B19)^('DCF Model'!C19+0)+'DCF Model'!D45/(1+$B19)^('DCF Model'!C19+1)+'DCF Model'!E45/(1+$B19)^('DCF Model'!C19+2)+'DCF Model'!F45/(1+$B19)^('DCF Model'!C19+3)+'DCF Model'!G45/(1+$B19)^('DCF Model'!C19+4)+('DCF Model'!G39+'DCF Model'!G42)*F$17/(1+$B19)^('DCF Model'!C19+4)-'DCF Model'!C16)*1000000/'DCF Model'!C15,0),"")</f>
        <v>2145</v>
      </c>
      <c r="G19" s="37">
        <f>IFERROR(ROUND(('DCF Model'!C45/(1+$B19)^('DCF Model'!C19+0)+'DCF Model'!D45/(1+$B19)^('DCF Model'!C19+1)+'DCF Model'!E45/(1+$B19)^('DCF Model'!C19+2)+'DCF Model'!F45/(1+$B19)^('DCF Model'!C19+3)+'DCF Model'!G45/(1+$B19)^('DCF Model'!C19+4)+('DCF Model'!G39+'DCF Model'!G42)*G$17/(1+$B19)^('DCF Model'!C19+4)-'DCF Model'!C16)*1000000/'DCF Model'!C15,0),"")</f>
        <v>2293</v>
      </c>
      <c r="H19" s="37">
        <f>IFERROR(ROUND(('DCF Model'!C45/(1+$B19)^('DCF Model'!C19+0)+'DCF Model'!D45/(1+$B19)^('DCF Model'!C19+1)+'DCF Model'!E45/(1+$B19)^('DCF Model'!C19+2)+'DCF Model'!F45/(1+$B19)^('DCF Model'!C19+3)+'DCF Model'!G45/(1+$B19)^('DCF Model'!C19+4)+('DCF Model'!G39+'DCF Model'!G42)*H$17/(1+$B19)^('DCF Model'!C19+4)-'DCF Model'!C16)*1000000/'DCF Model'!C15,0),"")</f>
        <v>2441</v>
      </c>
      <c r="I19" s="37">
        <f>IFERROR(ROUND(('DCF Model'!C45/(1+$B19)^('DCF Model'!C19+0)+'DCF Model'!D45/(1+$B19)^('DCF Model'!C19+1)+'DCF Model'!E45/(1+$B19)^('DCF Model'!C19+2)+'DCF Model'!F45/(1+$B19)^('DCF Model'!C19+3)+'DCF Model'!G45/(1+$B19)^('DCF Model'!C19+4)+('DCF Model'!G39+'DCF Model'!G42)*I$17/(1+$B19)^('DCF Model'!C19+4)-'DCF Model'!C16)*1000000/'DCF Model'!C15,0),"")</f>
        <v>2589</v>
      </c>
    </row>
    <row r="20" spans="2:9" ht="13.5" customHeight="1" x14ac:dyDescent="0.25">
      <c r="B20" s="39">
        <f>$C$3-0.005</f>
        <v>0.11892845666339373</v>
      </c>
      <c r="C20" s="37">
        <f>IFERROR(ROUND(('DCF Model'!C45/(1+$B20)^('DCF Model'!C19+0)+'DCF Model'!D45/(1+$B20)^('DCF Model'!C19+1)+'DCF Model'!E45/(1+$B20)^('DCF Model'!C19+2)+'DCF Model'!F45/(1+$B20)^('DCF Model'!C19+3)+'DCF Model'!G45/(1+$B20)^('DCF Model'!C19+4)+('DCF Model'!G39+'DCF Model'!G42)*C$17/(1+$B20)^('DCF Model'!C19+4)-'DCF Model'!C16)*1000000/'DCF Model'!C15,0),"")</f>
        <v>1660</v>
      </c>
      <c r="D20" s="37">
        <f>IFERROR(ROUND(('DCF Model'!C45/(1+$B20)^('DCF Model'!C19+0)+'DCF Model'!D45/(1+$B20)^('DCF Model'!C19+1)+'DCF Model'!E45/(1+$B20)^('DCF Model'!C19+2)+'DCF Model'!F45/(1+$B20)^('DCF Model'!C19+3)+'DCF Model'!G45/(1+$B20)^('DCF Model'!C19+4)+('DCF Model'!G39+'DCF Model'!G42)*D$17/(1+$B20)^('DCF Model'!C19+4)-'DCF Model'!C16)*1000000/'DCF Model'!C15,0),"")</f>
        <v>1804</v>
      </c>
      <c r="E20" s="37">
        <f>IFERROR(ROUND(('DCF Model'!C45/(1+$B20)^('DCF Model'!C19+0)+'DCF Model'!D45/(1+$B20)^('DCF Model'!C19+1)+'DCF Model'!E45/(1+$B20)^('DCF Model'!C19+2)+'DCF Model'!F45/(1+$B20)^('DCF Model'!C19+3)+'DCF Model'!G45/(1+$B20)^('DCF Model'!C19+4)+('DCF Model'!G39+'DCF Model'!G42)*E$17/(1+$B20)^('DCF Model'!C19+4)-'DCF Model'!C16)*1000000/'DCF Model'!C15,0),"")</f>
        <v>1949</v>
      </c>
      <c r="F20" s="37">
        <f>IFERROR(ROUND(('DCF Model'!C45/(1+$B20)^('DCF Model'!C19+0)+'DCF Model'!D45/(1+$B20)^('DCF Model'!C19+1)+'DCF Model'!E45/(1+$B20)^('DCF Model'!C19+2)+'DCF Model'!F45/(1+$B20)^('DCF Model'!C19+3)+'DCF Model'!G45/(1+$B20)^('DCF Model'!C19+4)+('DCF Model'!G39+'DCF Model'!G42)*F$17/(1+$B20)^('DCF Model'!C19+4)-'DCF Model'!C16)*1000000/'DCF Model'!C15,0),"")</f>
        <v>2094</v>
      </c>
      <c r="G20" s="37">
        <f>IFERROR(ROUND(('DCF Model'!C45/(1+$B20)^('DCF Model'!C19+0)+'DCF Model'!D45/(1+$B20)^('DCF Model'!C19+1)+'DCF Model'!E45/(1+$B20)^('DCF Model'!C19+2)+'DCF Model'!F45/(1+$B20)^('DCF Model'!C19+3)+'DCF Model'!G45/(1+$B20)^('DCF Model'!C19+4)+('DCF Model'!G39+'DCF Model'!G42)*G$17/(1+$B20)^('DCF Model'!C19+4)-'DCF Model'!C16)*1000000/'DCF Model'!C15,0),"")</f>
        <v>2239</v>
      </c>
      <c r="H20" s="37">
        <f>IFERROR(ROUND(('DCF Model'!C45/(1+$B20)^('DCF Model'!C19+0)+'DCF Model'!D45/(1+$B20)^('DCF Model'!C19+1)+'DCF Model'!E45/(1+$B20)^('DCF Model'!C19+2)+'DCF Model'!F45/(1+$B20)^('DCF Model'!C19+3)+'DCF Model'!G45/(1+$B20)^('DCF Model'!C19+4)+('DCF Model'!G39+'DCF Model'!G42)*H$17/(1+$B20)^('DCF Model'!C19+4)-'DCF Model'!C16)*1000000/'DCF Model'!C15,0),"")</f>
        <v>2383</v>
      </c>
      <c r="I20" s="37">
        <f>IFERROR(ROUND(('DCF Model'!C45/(1+$B20)^('DCF Model'!C19+0)+'DCF Model'!D45/(1+$B20)^('DCF Model'!C19+1)+'DCF Model'!E45/(1+$B20)^('DCF Model'!C19+2)+'DCF Model'!F45/(1+$B20)^('DCF Model'!C19+3)+'DCF Model'!G45/(1+$B20)^('DCF Model'!C19+4)+('DCF Model'!G39+'DCF Model'!G42)*I$17/(1+$B20)^('DCF Model'!C19+4)-'DCF Model'!C16)*1000000/'DCF Model'!C15,0),"")</f>
        <v>2528</v>
      </c>
    </row>
    <row r="21" spans="2:9" ht="13.5" customHeight="1" x14ac:dyDescent="0.25">
      <c r="B21" s="39">
        <f>$C$3</f>
        <v>0.12392845666339374</v>
      </c>
      <c r="C21" s="37">
        <f>IFERROR(ROUND(('DCF Model'!C45/(1+$B21)^('DCF Model'!C19+0)+'DCF Model'!D45/(1+$B21)^('DCF Model'!C19+1)+'DCF Model'!E45/(1+$B21)^('DCF Model'!C19+2)+'DCF Model'!F45/(1+$B21)^('DCF Model'!C19+3)+'DCF Model'!G45/(1+$B21)^('DCF Model'!C19+4)+('DCF Model'!G39+'DCF Model'!G42)*C$17/(1+$B21)^('DCF Model'!C19+4)-'DCF Model'!C16)*1000000/'DCF Model'!C15,0),"")</f>
        <v>1619</v>
      </c>
      <c r="D21" s="37">
        <f>IFERROR(ROUND(('DCF Model'!C45/(1+$B21)^('DCF Model'!C19+0)+'DCF Model'!D45/(1+$B21)^('DCF Model'!C19+1)+'DCF Model'!E45/(1+$B21)^('DCF Model'!C19+2)+'DCF Model'!F45/(1+$B21)^('DCF Model'!C19+3)+'DCF Model'!G45/(1+$B21)^('DCF Model'!C19+4)+('DCF Model'!G39+'DCF Model'!G42)*D$17/(1+$B21)^('DCF Model'!C19+4)-'DCF Model'!C16)*1000000/'DCF Model'!C15,0),"")</f>
        <v>1761</v>
      </c>
      <c r="E21" s="37">
        <f>IFERROR(ROUND(('DCF Model'!C45/(1+$B21)^('DCF Model'!C19+0)+'DCF Model'!D45/(1+$B21)^('DCF Model'!C19+1)+'DCF Model'!E45/(1+$B21)^('DCF Model'!C19+2)+'DCF Model'!F45/(1+$B21)^('DCF Model'!C19+3)+'DCF Model'!G45/(1+$B21)^('DCF Model'!C19+4)+('DCF Model'!G39+'DCF Model'!G42)*E$17/(1+$B21)^('DCF Model'!C19+4)-'DCF Model'!C16)*1000000/'DCF Model'!C15,0),"")</f>
        <v>1903</v>
      </c>
      <c r="F21" s="37">
        <f>IFERROR(ROUND(('DCF Model'!C45/(1+$B21)^('DCF Model'!C19+0)+'DCF Model'!D45/(1+$B21)^('DCF Model'!C19+1)+'DCF Model'!E45/(1+$B21)^('DCF Model'!C19+2)+'DCF Model'!F45/(1+$B21)^('DCF Model'!C19+3)+'DCF Model'!G45/(1+$B21)^('DCF Model'!C19+4)+('DCF Model'!G39+'DCF Model'!G42)*F$17/(1+$B21)^('DCF Model'!C19+4)-'DCF Model'!C16)*1000000/'DCF Model'!C15,0),"")</f>
        <v>2044</v>
      </c>
      <c r="G21" s="37">
        <f>IFERROR(ROUND(('DCF Model'!C45/(1+$B21)^('DCF Model'!C19+0)+'DCF Model'!D45/(1+$B21)^('DCF Model'!C19+1)+'DCF Model'!E45/(1+$B21)^('DCF Model'!C19+2)+'DCF Model'!F45/(1+$B21)^('DCF Model'!C19+3)+'DCF Model'!G45/(1+$B21)^('DCF Model'!C19+4)+('DCF Model'!G39+'DCF Model'!G42)*G$17/(1+$B21)^('DCF Model'!C19+4)-'DCF Model'!C16)*1000000/'DCF Model'!C15,0),"")</f>
        <v>2186</v>
      </c>
      <c r="H21" s="37">
        <f>IFERROR(ROUND(('DCF Model'!C45/(1+$B21)^('DCF Model'!C19+0)+'DCF Model'!D45/(1+$B21)^('DCF Model'!C19+1)+'DCF Model'!E45/(1+$B21)^('DCF Model'!C19+2)+'DCF Model'!F45/(1+$B21)^('DCF Model'!C19+3)+'DCF Model'!G45/(1+$B21)^('DCF Model'!C19+4)+('DCF Model'!G39+'DCF Model'!G42)*H$17/(1+$B21)^('DCF Model'!C19+4)-'DCF Model'!C16)*1000000/'DCF Model'!C15,0),"")</f>
        <v>2327</v>
      </c>
      <c r="I21" s="37">
        <f>IFERROR(ROUND(('DCF Model'!C45/(1+$B21)^('DCF Model'!C19+0)+'DCF Model'!D45/(1+$B21)^('DCF Model'!C19+1)+'DCF Model'!E45/(1+$B21)^('DCF Model'!C19+2)+'DCF Model'!F45/(1+$B21)^('DCF Model'!C19+3)+'DCF Model'!G45/(1+$B21)^('DCF Model'!C19+4)+('DCF Model'!G39+'DCF Model'!G42)*I$17/(1+$B21)^('DCF Model'!C19+4)-'DCF Model'!C16)*1000000/'DCF Model'!C15,0),"")</f>
        <v>2469</v>
      </c>
    </row>
    <row r="22" spans="2:9" ht="13.5" customHeight="1" x14ac:dyDescent="0.25">
      <c r="B22" s="39">
        <f>$C$3+0.005</f>
        <v>0.12892845666339373</v>
      </c>
      <c r="C22" s="37">
        <f>IFERROR(ROUND(('DCF Model'!C45/(1+$B22)^('DCF Model'!C19+0)+'DCF Model'!D45/(1+$B22)^('DCF Model'!C19+1)+'DCF Model'!E45/(1+$B22)^('DCF Model'!C19+2)+'DCF Model'!F45/(1+$B22)^('DCF Model'!C19+3)+'DCF Model'!G45/(1+$B22)^('DCF Model'!C19+4)+('DCF Model'!G39+'DCF Model'!G42)*C$17/(1+$B22)^('DCF Model'!C19+4)-'DCF Model'!C16)*1000000/'DCF Model'!C15,0),"")</f>
        <v>1580</v>
      </c>
      <c r="D22" s="37">
        <f>IFERROR(ROUND(('DCF Model'!C45/(1+$B22)^('DCF Model'!C19+0)+'DCF Model'!D45/(1+$B22)^('DCF Model'!C19+1)+'DCF Model'!E45/(1+$B22)^('DCF Model'!C19+2)+'DCF Model'!F45/(1+$B22)^('DCF Model'!C19+3)+'DCF Model'!G45/(1+$B22)^('DCF Model'!C19+4)+('DCF Model'!G39+'DCF Model'!G42)*D$17/(1+$B22)^('DCF Model'!C19+4)-'DCF Model'!C16)*1000000/'DCF Model'!C15,0),"")</f>
        <v>1719</v>
      </c>
      <c r="E22" s="37">
        <f>IFERROR(ROUND(('DCF Model'!C45/(1+$B22)^('DCF Model'!C19+0)+'DCF Model'!D45/(1+$B22)^('DCF Model'!C19+1)+'DCF Model'!E45/(1+$B22)^('DCF Model'!C19+2)+'DCF Model'!F45/(1+$B22)^('DCF Model'!C19+3)+'DCF Model'!G45/(1+$B22)^('DCF Model'!C19+4)+('DCF Model'!G39+'DCF Model'!G42)*E$17/(1+$B22)^('DCF Model'!C19+4)-'DCF Model'!C16)*1000000/'DCF Model'!C15,0),"")</f>
        <v>1857</v>
      </c>
      <c r="F22" s="37">
        <f>IFERROR(ROUND(('DCF Model'!C45/(1+$B22)^('DCF Model'!C19+0)+'DCF Model'!D45/(1+$B22)^('DCF Model'!C19+1)+'DCF Model'!E45/(1+$B22)^('DCF Model'!C19+2)+'DCF Model'!F45/(1+$B22)^('DCF Model'!C19+3)+'DCF Model'!G45/(1+$B22)^('DCF Model'!C19+4)+('DCF Model'!G39+'DCF Model'!G42)*F$17/(1+$B22)^('DCF Model'!C19+4)-'DCF Model'!C16)*1000000/'DCF Model'!C15,0),"")</f>
        <v>1996</v>
      </c>
      <c r="G22" s="37">
        <f>IFERROR(ROUND(('DCF Model'!C45/(1+$B22)^('DCF Model'!C19+0)+'DCF Model'!D45/(1+$B22)^('DCF Model'!C19+1)+'DCF Model'!E45/(1+$B22)^('DCF Model'!C19+2)+'DCF Model'!F45/(1+$B22)^('DCF Model'!C19+3)+'DCF Model'!G45/(1+$B22)^('DCF Model'!C19+4)+('DCF Model'!G39+'DCF Model'!G42)*G$17/(1+$B22)^('DCF Model'!C19+4)-'DCF Model'!C16)*1000000/'DCF Model'!C15,0),"")</f>
        <v>2134</v>
      </c>
      <c r="H22" s="37">
        <f>IFERROR(ROUND(('DCF Model'!C45/(1+$B22)^('DCF Model'!C19+0)+'DCF Model'!D45/(1+$B22)^('DCF Model'!C19+1)+'DCF Model'!E45/(1+$B22)^('DCF Model'!C19+2)+'DCF Model'!F45/(1+$B22)^('DCF Model'!C19+3)+'DCF Model'!G45/(1+$B22)^('DCF Model'!C19+4)+('DCF Model'!G39+'DCF Model'!G42)*H$17/(1+$B22)^('DCF Model'!C19+4)-'DCF Model'!C16)*1000000/'DCF Model'!C15,0),"")</f>
        <v>2272</v>
      </c>
      <c r="I22" s="37">
        <f>IFERROR(ROUND(('DCF Model'!C45/(1+$B22)^('DCF Model'!C19+0)+'DCF Model'!D45/(1+$B22)^('DCF Model'!C19+1)+'DCF Model'!E45/(1+$B22)^('DCF Model'!C19+2)+'DCF Model'!F45/(1+$B22)^('DCF Model'!C19+3)+'DCF Model'!G45/(1+$B22)^('DCF Model'!C19+4)+('DCF Model'!G39+'DCF Model'!G42)*I$17/(1+$B22)^('DCF Model'!C19+4)-'DCF Model'!C16)*1000000/'DCF Model'!C15,0),"")</f>
        <v>2411</v>
      </c>
    </row>
    <row r="23" spans="2:9" ht="13.5" customHeight="1" x14ac:dyDescent="0.25">
      <c r="B23" s="39">
        <f>$C$3+0.01</f>
        <v>0.13392845666339373</v>
      </c>
      <c r="C23" s="37">
        <f>IFERROR(ROUND(('DCF Model'!C45/(1+$B23)^('DCF Model'!C19+0)+'DCF Model'!D45/(1+$B23)^('DCF Model'!C19+1)+'DCF Model'!E45/(1+$B23)^('DCF Model'!C19+2)+'DCF Model'!F45/(1+$B23)^('DCF Model'!C19+3)+'DCF Model'!G45/(1+$B23)^('DCF Model'!C19+4)+('DCF Model'!G39+'DCF Model'!G42)*C$17/(1+$B23)^('DCF Model'!C19+4)-'DCF Model'!C16)*1000000/'DCF Model'!C15,0),"")</f>
        <v>1542</v>
      </c>
      <c r="D23" s="37">
        <f>IFERROR(ROUND(('DCF Model'!C45/(1+$B23)^('DCF Model'!C19+0)+'DCF Model'!D45/(1+$B23)^('DCF Model'!C19+1)+'DCF Model'!E45/(1+$B23)^('DCF Model'!C19+2)+'DCF Model'!F45/(1+$B23)^('DCF Model'!C19+3)+'DCF Model'!G45/(1+$B23)^('DCF Model'!C19+4)+('DCF Model'!G39+'DCF Model'!G42)*D$17/(1+$B23)^('DCF Model'!C19+4)-'DCF Model'!C16)*1000000/'DCF Model'!C15,0),"")</f>
        <v>1677</v>
      </c>
      <c r="E23" s="37">
        <f>IFERROR(ROUND(('DCF Model'!C45/(1+$B23)^('DCF Model'!C19+0)+'DCF Model'!D45/(1+$B23)^('DCF Model'!C19+1)+'DCF Model'!E45/(1+$B23)^('DCF Model'!C19+2)+'DCF Model'!F45/(1+$B23)^('DCF Model'!C19+3)+'DCF Model'!G45/(1+$B23)^('DCF Model'!C19+4)+('DCF Model'!G39+'DCF Model'!G42)*E$17/(1+$B23)^('DCF Model'!C19+4)-'DCF Model'!C16)*1000000/'DCF Model'!C15,0),"")</f>
        <v>1813</v>
      </c>
      <c r="F23" s="37">
        <f>IFERROR(ROUND(('DCF Model'!C45/(1+$B23)^('DCF Model'!C19+0)+'DCF Model'!D45/(1+$B23)^('DCF Model'!C19+1)+'DCF Model'!E45/(1+$B23)^('DCF Model'!C19+2)+'DCF Model'!F45/(1+$B23)^('DCF Model'!C19+3)+'DCF Model'!G45/(1+$B23)^('DCF Model'!C19+4)+('DCF Model'!G39+'DCF Model'!G42)*F$17/(1+$B23)^('DCF Model'!C19+4)-'DCF Model'!C16)*1000000/'DCF Model'!C15,0),"")</f>
        <v>1948</v>
      </c>
      <c r="G23" s="37">
        <f>IFERROR(ROUND(('DCF Model'!C45/(1+$B23)^('DCF Model'!C19+0)+'DCF Model'!D45/(1+$B23)^('DCF Model'!C19+1)+'DCF Model'!E45/(1+$B23)^('DCF Model'!C19+2)+'DCF Model'!F45/(1+$B23)^('DCF Model'!C19+3)+'DCF Model'!G45/(1+$B23)^('DCF Model'!C19+4)+('DCF Model'!G39+'DCF Model'!G42)*G$17/(1+$B23)^('DCF Model'!C19+4)-'DCF Model'!C16)*1000000/'DCF Model'!C15,0),"")</f>
        <v>2084</v>
      </c>
      <c r="H23" s="37">
        <f>IFERROR(ROUND(('DCF Model'!C45/(1+$B23)^('DCF Model'!C19+0)+'DCF Model'!D45/(1+$B23)^('DCF Model'!C19+1)+'DCF Model'!E45/(1+$B23)^('DCF Model'!C19+2)+'DCF Model'!F45/(1+$B23)^('DCF Model'!C19+3)+'DCF Model'!G45/(1+$B23)^('DCF Model'!C19+4)+('DCF Model'!G39+'DCF Model'!G42)*H$17/(1+$B23)^('DCF Model'!C19+4)-'DCF Model'!C16)*1000000/'DCF Model'!C15,0),"")</f>
        <v>2219</v>
      </c>
      <c r="I23" s="37">
        <f>IFERROR(ROUND(('DCF Model'!C45/(1+$B23)^('DCF Model'!C19+0)+'DCF Model'!D45/(1+$B23)^('DCF Model'!C19+1)+'DCF Model'!E45/(1+$B23)^('DCF Model'!C19+2)+'DCF Model'!F45/(1+$B23)^('DCF Model'!C19+3)+'DCF Model'!G45/(1+$B23)^('DCF Model'!C19+4)+('DCF Model'!G39+'DCF Model'!G42)*I$17/(1+$B23)^('DCF Model'!C19+4)-'DCF Model'!C16)*1000000/'DCF Model'!C15,0),"")</f>
        <v>2355</v>
      </c>
    </row>
    <row r="24" spans="2:9" ht="13.5" customHeight="1" x14ac:dyDescent="0.25">
      <c r="B24" s="39">
        <f>$C$3+0.015</f>
        <v>0.13892845666339373</v>
      </c>
      <c r="C24" s="37">
        <f>IFERROR(ROUND(('DCF Model'!C45/(1+$B24)^('DCF Model'!C19+0)+'DCF Model'!D45/(1+$B24)^('DCF Model'!C19+1)+'DCF Model'!E45/(1+$B24)^('DCF Model'!C19+2)+'DCF Model'!F45/(1+$B24)^('DCF Model'!C19+3)+'DCF Model'!G45/(1+$B24)^('DCF Model'!C19+4)+('DCF Model'!G39+'DCF Model'!G42)*C$17/(1+$B24)^('DCF Model'!C19+4)-'DCF Model'!C16)*1000000/'DCF Model'!C15,0),"")</f>
        <v>1505</v>
      </c>
      <c r="D24" s="37">
        <f>IFERROR(ROUND(('DCF Model'!C45/(1+$B24)^('DCF Model'!C19+0)+'DCF Model'!D45/(1+$B24)^('DCF Model'!C19+1)+'DCF Model'!E45/(1+$B24)^('DCF Model'!C19+2)+'DCF Model'!F45/(1+$B24)^('DCF Model'!C19+3)+'DCF Model'!G45/(1+$B24)^('DCF Model'!C19+4)+('DCF Model'!G39+'DCF Model'!G42)*D$17/(1+$B24)^('DCF Model'!C19+4)-'DCF Model'!C16)*1000000/'DCF Model'!C15,0),"")</f>
        <v>1637</v>
      </c>
      <c r="E24" s="37">
        <f>IFERROR(ROUND(('DCF Model'!C45/(1+$B24)^('DCF Model'!C19+0)+'DCF Model'!D45/(1+$B24)^('DCF Model'!C19+1)+'DCF Model'!E45/(1+$B24)^('DCF Model'!C19+2)+'DCF Model'!F45/(1+$B24)^('DCF Model'!C19+3)+'DCF Model'!G45/(1+$B24)^('DCF Model'!C19+4)+('DCF Model'!G39+'DCF Model'!G42)*E$17/(1+$B24)^('DCF Model'!C19+4)-'DCF Model'!C16)*1000000/'DCF Model'!C15,0),"")</f>
        <v>1770</v>
      </c>
      <c r="F24" s="37">
        <f>IFERROR(ROUND(('DCF Model'!C45/(1+$B24)^('DCF Model'!C19+0)+'DCF Model'!D45/(1+$B24)^('DCF Model'!C19+1)+'DCF Model'!E45/(1+$B24)^('DCF Model'!C19+2)+'DCF Model'!F45/(1+$B24)^('DCF Model'!C19+3)+'DCF Model'!G45/(1+$B24)^('DCF Model'!C19+4)+('DCF Model'!G39+'DCF Model'!G42)*F$17/(1+$B24)^('DCF Model'!C19+4)-'DCF Model'!C16)*1000000/'DCF Model'!C15,0),"")</f>
        <v>1902</v>
      </c>
      <c r="G24" s="37">
        <f>IFERROR(ROUND(('DCF Model'!C45/(1+$B24)^('DCF Model'!C19+0)+'DCF Model'!D45/(1+$B24)^('DCF Model'!C19+1)+'DCF Model'!E45/(1+$B24)^('DCF Model'!C19+2)+'DCF Model'!F45/(1+$B24)^('DCF Model'!C19+3)+'DCF Model'!G45/(1+$B24)^('DCF Model'!C19+4)+('DCF Model'!G39+'DCF Model'!G42)*G$17/(1+$B24)^('DCF Model'!C19+4)-'DCF Model'!C16)*1000000/'DCF Model'!C15,0),"")</f>
        <v>2035</v>
      </c>
      <c r="H24" s="37">
        <f>IFERROR(ROUND(('DCF Model'!C45/(1+$B24)^('DCF Model'!C19+0)+'DCF Model'!D45/(1+$B24)^('DCF Model'!C19+1)+'DCF Model'!E45/(1+$B24)^('DCF Model'!C19+2)+'DCF Model'!F45/(1+$B24)^('DCF Model'!C19+3)+'DCF Model'!G45/(1+$B24)^('DCF Model'!C19+4)+('DCF Model'!G39+'DCF Model'!G42)*H$17/(1+$B24)^('DCF Model'!C19+4)-'DCF Model'!C16)*1000000/'DCF Model'!C15,0),"")</f>
        <v>2167</v>
      </c>
      <c r="I24" s="37">
        <f>IFERROR(ROUND(('DCF Model'!C45/(1+$B24)^('DCF Model'!C19+0)+'DCF Model'!D45/(1+$B24)^('DCF Model'!C19+1)+'DCF Model'!E45/(1+$B24)^('DCF Model'!C19+2)+'DCF Model'!F45/(1+$B24)^('DCF Model'!C19+3)+'DCF Model'!G45/(1+$B24)^('DCF Model'!C19+4)+('DCF Model'!G39+'DCF Model'!G42)*I$17/(1+$B24)^('DCF Model'!C19+4)-'DCF Model'!C16)*1000000/'DCF Model'!C15,0),"")</f>
        <v>2300</v>
      </c>
    </row>
    <row r="26" spans="2:9" ht="14" customHeight="1" x14ac:dyDescent="0.3">
      <c r="B26" s="45" t="s">
        <v>237</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238</v>
      </c>
    </row>
    <row r="4" spans="2:7" ht="14" customHeight="1" x14ac:dyDescent="0.3">
      <c r="B4" s="10" t="s">
        <v>239</v>
      </c>
      <c r="C4" s="10" t="s">
        <v>240</v>
      </c>
      <c r="D4" s="10" t="s">
        <v>241</v>
      </c>
      <c r="E4" s="10" t="s">
        <v>242</v>
      </c>
      <c r="F4" s="10" t="s">
        <v>243</v>
      </c>
      <c r="G4" s="10" t="s">
        <v>244</v>
      </c>
    </row>
    <row r="5" spans="2:7" x14ac:dyDescent="0.2">
      <c r="B5" t="s">
        <v>245</v>
      </c>
      <c r="C5" t="s">
        <v>246</v>
      </c>
      <c r="D5" t="s">
        <v>247</v>
      </c>
      <c r="E5" t="s">
        <v>248</v>
      </c>
      <c r="F5" t="s">
        <v>246</v>
      </c>
      <c r="G5" t="s">
        <v>249</v>
      </c>
    </row>
    <row r="6" spans="2:7" ht="30" customHeight="1" x14ac:dyDescent="0.3">
      <c r="B6" t="s">
        <v>245</v>
      </c>
      <c r="C6" s="4" t="s">
        <v>250</v>
      </c>
      <c r="D6" t="s">
        <v>251</v>
      </c>
      <c r="E6" t="s">
        <v>252</v>
      </c>
      <c r="F6" t="s">
        <v>253</v>
      </c>
      <c r="G6" t="s">
        <v>254</v>
      </c>
    </row>
    <row r="7" spans="2:7" ht="30" customHeight="1" x14ac:dyDescent="0.3">
      <c r="B7" t="s">
        <v>245</v>
      </c>
      <c r="C7" s="4" t="s">
        <v>255</v>
      </c>
      <c r="D7" t="s">
        <v>256</v>
      </c>
      <c r="E7" t="s">
        <v>257</v>
      </c>
      <c r="F7" t="s">
        <v>258</v>
      </c>
      <c r="G7" t="s">
        <v>259</v>
      </c>
    </row>
    <row r="12" spans="2:7" ht="14" customHeight="1" x14ac:dyDescent="0.3">
      <c r="B12" s="8" t="s">
        <v>260</v>
      </c>
    </row>
    <row r="13" spans="2:7" ht="14" customHeight="1" x14ac:dyDescent="0.3">
      <c r="B13" s="10" t="s">
        <v>261</v>
      </c>
      <c r="C13" s="10" t="s">
        <v>262</v>
      </c>
    </row>
    <row r="14" spans="2:7" ht="14" customHeight="1" x14ac:dyDescent="0.3">
      <c r="B14" s="4" t="s">
        <v>263</v>
      </c>
      <c r="C14" t="s">
        <v>264</v>
      </c>
    </row>
    <row r="15" spans="2:7" ht="14" customHeight="1" x14ac:dyDescent="0.3">
      <c r="B15" s="4" t="s">
        <v>265</v>
      </c>
      <c r="C15" t="s">
        <v>266</v>
      </c>
    </row>
    <row r="16" spans="2:7" ht="14" customHeight="1" x14ac:dyDescent="0.3">
      <c r="B16" s="4" t="s">
        <v>267</v>
      </c>
      <c r="C16" t="s">
        <v>268</v>
      </c>
    </row>
    <row r="17" spans="2:3" ht="14" customHeight="1" x14ac:dyDescent="0.3">
      <c r="B17" s="4" t="s">
        <v>269</v>
      </c>
      <c r="C17" t="s">
        <v>266</v>
      </c>
    </row>
    <row r="18" spans="2:3" ht="14" customHeight="1" x14ac:dyDescent="0.3">
      <c r="B18" s="4" t="s">
        <v>270</v>
      </c>
      <c r="C18" t="s">
        <v>271</v>
      </c>
    </row>
    <row r="19" spans="2:3" ht="14" customHeight="1" x14ac:dyDescent="0.3">
      <c r="B19" s="4" t="s">
        <v>272</v>
      </c>
      <c r="C19" t="s">
        <v>273</v>
      </c>
    </row>
    <row r="20" spans="2:3" ht="14" customHeight="1" x14ac:dyDescent="0.3">
      <c r="B20" s="4" t="s">
        <v>274</v>
      </c>
      <c r="C20" t="s">
        <v>275</v>
      </c>
    </row>
    <row r="21" spans="2:3" ht="14" customHeight="1" x14ac:dyDescent="0.3">
      <c r="B21" s="4" t="s">
        <v>276</v>
      </c>
      <c r="C21" t="s">
        <v>277</v>
      </c>
    </row>
    <row r="22" spans="2:3" ht="14" customHeight="1" x14ac:dyDescent="0.3">
      <c r="B22" s="4" t="s">
        <v>278</v>
      </c>
      <c r="C22" t="s">
        <v>279</v>
      </c>
    </row>
    <row r="23" spans="2:3" ht="14" customHeight="1" x14ac:dyDescent="0.3">
      <c r="B23" s="4" t="s">
        <v>280</v>
      </c>
      <c r="C23" t="s">
        <v>4</v>
      </c>
    </row>
    <row r="24" spans="2:3" ht="14" customHeight="1" x14ac:dyDescent="0.3">
      <c r="B24" s="4" t="s">
        <v>281</v>
      </c>
      <c r="C24" t="s">
        <v>245</v>
      </c>
    </row>
    <row r="25" spans="2:3" ht="14" customHeight="1" x14ac:dyDescent="0.3">
      <c r="B25" s="4" t="s">
        <v>282</v>
      </c>
      <c r="C25" t="s">
        <v>283</v>
      </c>
    </row>
    <row r="26" spans="2:3" ht="14" customHeight="1" x14ac:dyDescent="0.3">
      <c r="B26" s="4" t="s">
        <v>284</v>
      </c>
      <c r="C26" t="s">
        <v>271</v>
      </c>
    </row>
    <row r="27" spans="2:3" ht="14" customHeight="1" x14ac:dyDescent="0.3">
      <c r="B27" s="4" t="s">
        <v>285</v>
      </c>
      <c r="C27" t="s">
        <v>271</v>
      </c>
    </row>
    <row r="28" spans="2:3" ht="14" customHeight="1" x14ac:dyDescent="0.3">
      <c r="B28" s="4" t="s">
        <v>286</v>
      </c>
      <c r="C28" t="s">
        <v>287</v>
      </c>
    </row>
    <row r="29" spans="2:3" ht="14" customHeight="1" x14ac:dyDescent="0.3">
      <c r="B29" s="4" t="s">
        <v>288</v>
      </c>
      <c r="C29" t="s">
        <v>289</v>
      </c>
    </row>
    <row r="30" spans="2:3" ht="14" customHeight="1" x14ac:dyDescent="0.3">
      <c r="B30" s="4" t="s">
        <v>290</v>
      </c>
      <c r="C30" t="s">
        <v>291</v>
      </c>
    </row>
    <row r="31" spans="2:3" ht="14" customHeight="1" x14ac:dyDescent="0.3">
      <c r="B31" s="4" t="s">
        <v>292</v>
      </c>
      <c r="C31" t="s">
        <v>287</v>
      </c>
    </row>
    <row r="32" spans="2:3" ht="14" customHeight="1" x14ac:dyDescent="0.3">
      <c r="B32" s="4" t="s">
        <v>293</v>
      </c>
      <c r="C32" t="s">
        <v>271</v>
      </c>
    </row>
    <row r="33" spans="2:3" ht="14" customHeight="1" x14ac:dyDescent="0.3">
      <c r="B33" s="4" t="s">
        <v>294</v>
      </c>
      <c r="C33" t="s">
        <v>283</v>
      </c>
    </row>
    <row r="34" spans="2:3" ht="14" customHeight="1" x14ac:dyDescent="0.3">
      <c r="B34" s="4" t="s">
        <v>295</v>
      </c>
      <c r="C34" t="s">
        <v>296</v>
      </c>
    </row>
    <row r="35" spans="2:3" ht="14" customHeight="1" x14ac:dyDescent="0.3">
      <c r="B35" s="4" t="s">
        <v>297</v>
      </c>
      <c r="C35" t="s">
        <v>298</v>
      </c>
    </row>
    <row r="36" spans="2:3" ht="14" customHeight="1" x14ac:dyDescent="0.3">
      <c r="B36" s="4" t="s">
        <v>299</v>
      </c>
      <c r="C36" t="s">
        <v>300</v>
      </c>
    </row>
    <row r="37" spans="2:3" ht="14" customHeight="1" x14ac:dyDescent="0.3">
      <c r="B37" s="4" t="s">
        <v>301</v>
      </c>
      <c r="C37" t="s">
        <v>302</v>
      </c>
    </row>
    <row r="38" spans="2:3" ht="14" customHeight="1" x14ac:dyDescent="0.3">
      <c r="B38" s="4" t="s">
        <v>303</v>
      </c>
      <c r="C38" t="s">
        <v>304</v>
      </c>
    </row>
    <row r="39" spans="2:3" ht="14" customHeight="1" x14ac:dyDescent="0.3">
      <c r="B39" s="4" t="s">
        <v>305</v>
      </c>
      <c r="C39" t="s">
        <v>306</v>
      </c>
    </row>
    <row r="40" spans="2:3" ht="14" customHeight="1" x14ac:dyDescent="0.3">
      <c r="B40" s="4" t="s">
        <v>307</v>
      </c>
      <c r="C40" t="s">
        <v>308</v>
      </c>
    </row>
    <row r="41" spans="2:3" ht="14" customHeight="1" x14ac:dyDescent="0.3">
      <c r="B41" s="4" t="s">
        <v>309</v>
      </c>
      <c r="C41" t="s">
        <v>310</v>
      </c>
    </row>
    <row r="42" spans="2:3" ht="14" customHeight="1" x14ac:dyDescent="0.3">
      <c r="B42" s="4" t="s">
        <v>311</v>
      </c>
      <c r="C42" t="s">
        <v>312</v>
      </c>
    </row>
    <row r="43" spans="2:3" ht="14" customHeight="1" x14ac:dyDescent="0.3">
      <c r="B43" s="4" t="s">
        <v>313</v>
      </c>
      <c r="C43" t="s">
        <v>314</v>
      </c>
    </row>
    <row r="44" spans="2:3" ht="14" customHeight="1" x14ac:dyDescent="0.3">
      <c r="B44" s="4" t="s">
        <v>315</v>
      </c>
      <c r="C44" t="s">
        <v>275</v>
      </c>
    </row>
    <row r="45" spans="2:3" ht="14" customHeight="1" x14ac:dyDescent="0.3">
      <c r="B45" s="4" t="s">
        <v>316</v>
      </c>
      <c r="C45" t="s">
        <v>317</v>
      </c>
    </row>
    <row r="46" spans="2:3" ht="14" customHeight="1" x14ac:dyDescent="0.3">
      <c r="B46" s="4" t="s">
        <v>318</v>
      </c>
      <c r="C46" t="s">
        <v>319</v>
      </c>
    </row>
    <row r="47" spans="2:3" ht="14" customHeight="1" x14ac:dyDescent="0.3">
      <c r="B47" s="4" t="s">
        <v>320</v>
      </c>
      <c r="C47" t="s">
        <v>321</v>
      </c>
    </row>
    <row r="48" spans="2:3" ht="14" customHeight="1" x14ac:dyDescent="0.3">
      <c r="B48" s="4" t="s">
        <v>322</v>
      </c>
      <c r="C48" t="s">
        <v>323</v>
      </c>
    </row>
    <row r="49" spans="2:3" ht="14" customHeight="1" x14ac:dyDescent="0.3">
      <c r="B49" s="4" t="s">
        <v>324</v>
      </c>
      <c r="C49" t="s">
        <v>325</v>
      </c>
    </row>
    <row r="50" spans="2:3" ht="14" customHeight="1" x14ac:dyDescent="0.3">
      <c r="B50" s="4" t="s">
        <v>326</v>
      </c>
      <c r="C50" t="s">
        <v>327</v>
      </c>
    </row>
    <row r="51" spans="2:3" ht="14" customHeight="1" x14ac:dyDescent="0.3">
      <c r="B51" s="4" t="s">
        <v>328</v>
      </c>
      <c r="C51" t="s">
        <v>329</v>
      </c>
    </row>
    <row r="52" spans="2:3" ht="14" customHeight="1" x14ac:dyDescent="0.3">
      <c r="B52" s="4" t="s">
        <v>330</v>
      </c>
      <c r="C52" t="s">
        <v>331</v>
      </c>
    </row>
    <row r="53" spans="2:3" ht="14" customHeight="1" x14ac:dyDescent="0.3">
      <c r="B53" s="4" t="s">
        <v>332</v>
      </c>
      <c r="C53" t="s">
        <v>333</v>
      </c>
    </row>
    <row r="54" spans="2:3" ht="14" customHeight="1" x14ac:dyDescent="0.3">
      <c r="B54" s="4" t="s">
        <v>334</v>
      </c>
      <c r="C54" t="s">
        <v>335</v>
      </c>
    </row>
    <row r="55" spans="2:3" ht="14" customHeight="1" x14ac:dyDescent="0.3">
      <c r="B55" s="4" t="s">
        <v>336</v>
      </c>
      <c r="C55" t="s">
        <v>337</v>
      </c>
    </row>
    <row r="56" spans="2:3" ht="14" customHeight="1" x14ac:dyDescent="0.3">
      <c r="B56" s="4" t="s">
        <v>338</v>
      </c>
      <c r="C56" t="s">
        <v>339</v>
      </c>
    </row>
    <row r="57" spans="2:3" ht="14" customHeight="1" x14ac:dyDescent="0.3">
      <c r="B57" s="4" t="s">
        <v>340</v>
      </c>
      <c r="C57" t="s">
        <v>341</v>
      </c>
    </row>
    <row r="58" spans="2:3" ht="14" customHeight="1" x14ac:dyDescent="0.3">
      <c r="B58" s="4" t="s">
        <v>342</v>
      </c>
      <c r="C58" t="s">
        <v>343</v>
      </c>
    </row>
    <row r="59" spans="2:3" ht="14" customHeight="1" x14ac:dyDescent="0.3">
      <c r="B59" s="4" t="s">
        <v>344</v>
      </c>
      <c r="C59" t="s">
        <v>345</v>
      </c>
    </row>
    <row r="60" spans="2:3" ht="14" customHeight="1" x14ac:dyDescent="0.3">
      <c r="B60" s="4" t="s">
        <v>346</v>
      </c>
      <c r="C60" t="s">
        <v>347</v>
      </c>
    </row>
    <row r="61" spans="2:3" ht="14" customHeight="1" x14ac:dyDescent="0.3">
      <c r="B61" s="4" t="s">
        <v>348</v>
      </c>
      <c r="C61" t="s">
        <v>349</v>
      </c>
    </row>
    <row r="62" spans="2:3" ht="14" customHeight="1" x14ac:dyDescent="0.3">
      <c r="B62" s="4" t="s">
        <v>350</v>
      </c>
      <c r="C62" t="s">
        <v>351</v>
      </c>
    </row>
    <row r="63" spans="2:3" ht="14" customHeight="1" x14ac:dyDescent="0.3">
      <c r="B63" s="4" t="s">
        <v>352</v>
      </c>
      <c r="C63" t="s">
        <v>353</v>
      </c>
    </row>
    <row r="64" spans="2:3" ht="14" customHeight="1" x14ac:dyDescent="0.3">
      <c r="B64" s="4" t="s">
        <v>354</v>
      </c>
      <c r="C64" t="s">
        <v>206</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2026-09-06T10:23:51Z</dcterms:created>
  <dcterms:modified xsi:type="dcterms:W3CDTF">2026-09-06T10:47:04Z</dcterms:modified>
</cp:coreProperties>
</file>