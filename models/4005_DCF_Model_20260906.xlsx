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7177D9F-9F9A-44A1-A8BF-1223A2C4CD3B}"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G15" i="6" s="1"/>
  <c r="L7" i="6"/>
  <c r="K7" i="6"/>
  <c r="J7" i="6"/>
  <c r="O6" i="6"/>
  <c r="N6" i="6"/>
  <c r="M6" i="6"/>
  <c r="L6" i="6"/>
  <c r="K6" i="6"/>
  <c r="E17" i="6" s="1"/>
  <c r="J6" i="6"/>
  <c r="O5" i="6"/>
  <c r="N5" i="6"/>
  <c r="D5" i="6"/>
  <c r="M5" i="6" s="1"/>
  <c r="C16" i="5"/>
  <c r="C18" i="5" s="1"/>
  <c r="C14" i="5"/>
  <c r="C7" i="5"/>
  <c r="C6" i="5"/>
  <c r="C5" i="5"/>
  <c r="C13" i="4"/>
  <c r="C12" i="4"/>
  <c r="C9" i="4"/>
  <c r="C7" i="4"/>
  <c r="C6" i="4"/>
  <c r="C8" i="4" s="1"/>
  <c r="C10" i="4" s="1"/>
  <c r="D27" i="3"/>
  <c r="C25" i="3"/>
  <c r="C24" i="3"/>
  <c r="C23" i="3"/>
  <c r="C26" i="3" s="1"/>
  <c r="F28" i="2"/>
  <c r="E28" i="2"/>
  <c r="D28" i="2"/>
  <c r="C28" i="2"/>
  <c r="F16" i="2"/>
  <c r="E16" i="2"/>
  <c r="D16" i="2"/>
  <c r="F15" i="2"/>
  <c r="E15" i="2"/>
  <c r="D15" i="2"/>
  <c r="F14" i="2"/>
  <c r="E14" i="2"/>
  <c r="D14" i="2"/>
  <c r="C14" i="2"/>
  <c r="F13" i="2"/>
  <c r="E13" i="2"/>
  <c r="D13" i="2"/>
  <c r="C13" i="2"/>
  <c r="F9" i="2"/>
  <c r="E9" i="2"/>
  <c r="F8" i="2"/>
  <c r="E8" i="2"/>
  <c r="D8" i="2"/>
  <c r="D9" i="2" s="1"/>
  <c r="C8" i="2"/>
  <c r="C9" i="2" s="1"/>
  <c r="C3" i="7" l="1"/>
  <c r="B30" i="1"/>
  <c r="D36" i="4"/>
  <c r="D46" i="3"/>
  <c r="C46" i="3"/>
  <c r="E5" i="6"/>
  <c r="J5" i="6" s="1"/>
  <c r="L5" i="6"/>
  <c r="B29" i="1" s="1"/>
  <c r="F15" i="6"/>
  <c r="G16" i="6"/>
  <c r="D16" i="6"/>
  <c r="E16" i="6"/>
  <c r="F16" i="6"/>
  <c r="C28" i="6" s="1"/>
  <c r="C19" i="1" s="1"/>
  <c r="D19" i="1" s="1"/>
  <c r="C70" i="4"/>
  <c r="C71" i="4"/>
  <c r="G5" i="5"/>
  <c r="E32" i="3"/>
  <c r="G30" i="3"/>
  <c r="D32" i="3"/>
  <c r="E30" i="3"/>
  <c r="D5" i="5"/>
  <c r="C32" i="3"/>
  <c r="F6" i="5"/>
  <c r="G6" i="5"/>
  <c r="E5" i="5"/>
  <c r="E7" i="5"/>
  <c r="G32" i="3"/>
  <c r="D31" i="3"/>
  <c r="H7" i="5"/>
  <c r="D7" i="5"/>
  <c r="H5" i="5"/>
  <c r="F32" i="3"/>
  <c r="C31" i="3"/>
  <c r="H6" i="5"/>
  <c r="F5" i="5"/>
  <c r="F30" i="3"/>
  <c r="F7" i="5"/>
  <c r="C30" i="3"/>
  <c r="C33" i="3" s="1"/>
  <c r="G7" i="5"/>
  <c r="G17" i="6"/>
  <c r="D30" i="3"/>
  <c r="D43" i="4"/>
  <c r="D38" i="4"/>
  <c r="D41" i="4"/>
  <c r="D39" i="4"/>
  <c r="H15" i="6"/>
  <c r="I16" i="6"/>
  <c r="I17" i="6"/>
  <c r="I15" i="6"/>
  <c r="E31" i="3"/>
  <c r="F31" i="3"/>
  <c r="D15" i="6"/>
  <c r="C27" i="6"/>
  <c r="C18" i="1" s="1"/>
  <c r="D18" i="1" s="1"/>
  <c r="C74" i="4"/>
  <c r="G31" i="3"/>
  <c r="D6" i="5"/>
  <c r="E15" i="6"/>
  <c r="B13" i="7"/>
  <c r="B12" i="7"/>
  <c r="B11" i="7"/>
  <c r="B10" i="7"/>
  <c r="B9" i="7"/>
  <c r="B8" i="7"/>
  <c r="B7" i="7"/>
  <c r="B24" i="7"/>
  <c r="B23" i="7"/>
  <c r="B22" i="7"/>
  <c r="B21" i="7"/>
  <c r="B20" i="7"/>
  <c r="B19" i="7"/>
  <c r="B18" i="7"/>
  <c r="E6" i="5"/>
  <c r="D17" i="6"/>
  <c r="F36" i="4"/>
  <c r="B25" i="1"/>
  <c r="H36" i="4"/>
  <c r="K5" i="6"/>
  <c r="I6" i="7"/>
  <c r="F17" i="6"/>
  <c r="C17" i="7"/>
  <c r="C6" i="7"/>
  <c r="D17" i="7"/>
  <c r="H17" i="6"/>
  <c r="D6" i="7"/>
  <c r="E17" i="7"/>
  <c r="E6" i="7"/>
  <c r="F17" i="7"/>
  <c r="E36" i="4"/>
  <c r="H16" i="6"/>
  <c r="F6" i="7"/>
  <c r="G17" i="7"/>
  <c r="G6" i="7"/>
  <c r="H17" i="7"/>
  <c r="E46" i="3"/>
  <c r="F46" i="3"/>
  <c r="G46" i="3"/>
  <c r="C11" i="4"/>
  <c r="C24" i="4" s="1"/>
  <c r="C25" i="4" s="1"/>
  <c r="G36" i="4"/>
  <c r="B24" i="1" l="1"/>
  <c r="D48" i="4"/>
  <c r="D53" i="4" s="1"/>
  <c r="D44" i="4"/>
  <c r="D49" i="4" s="1"/>
  <c r="D54" i="4" s="1"/>
  <c r="D46" i="4"/>
  <c r="D51" i="4" s="1"/>
  <c r="D56" i="4" s="1"/>
  <c r="D40" i="4"/>
  <c r="D45" i="4"/>
  <c r="D50" i="4" s="1"/>
  <c r="D55" i="4" s="1"/>
  <c r="C27" i="4"/>
  <c r="C26" i="4"/>
  <c r="C29" i="4"/>
  <c r="H40" i="4"/>
  <c r="H50" i="4" s="1"/>
  <c r="H55" i="4" s="1"/>
  <c r="H38" i="4"/>
  <c r="H43" i="4"/>
  <c r="H46" i="4"/>
  <c r="H44" i="4"/>
  <c r="H39" i="4"/>
  <c r="H41" i="4"/>
  <c r="H45" i="4"/>
  <c r="F43" i="4"/>
  <c r="F46" i="4"/>
  <c r="F40" i="4"/>
  <c r="F45" i="4"/>
  <c r="F39" i="4"/>
  <c r="F44" i="4"/>
  <c r="F38" i="4"/>
  <c r="F41" i="4"/>
  <c r="G46" i="4"/>
  <c r="G40" i="4"/>
  <c r="G44" i="4"/>
  <c r="G39" i="4"/>
  <c r="G43" i="4"/>
  <c r="G45" i="4"/>
  <c r="G38" i="4"/>
  <c r="G41" i="4"/>
  <c r="E39" i="4"/>
  <c r="E46" i="4"/>
  <c r="E41" i="4"/>
  <c r="E51" i="4" s="1"/>
  <c r="E56" i="4" s="1"/>
  <c r="E45" i="4"/>
  <c r="E43" i="4"/>
  <c r="E44" i="4"/>
  <c r="E38" i="4"/>
  <c r="E40" i="4"/>
  <c r="C42" i="3"/>
  <c r="C34" i="3"/>
  <c r="D10" i="5" s="1"/>
  <c r="C37" i="3"/>
  <c r="D9" i="5"/>
  <c r="D12" i="5" s="1"/>
  <c r="C35" i="3"/>
  <c r="D33" i="3"/>
  <c r="C43" i="3"/>
  <c r="F50" i="4" l="1"/>
  <c r="F55" i="4" s="1"/>
  <c r="G50" i="4"/>
  <c r="G55" i="4" s="1"/>
  <c r="E49" i="4"/>
  <c r="E54" i="4" s="1"/>
  <c r="F49" i="4"/>
  <c r="C60" i="4" s="1"/>
  <c r="E50" i="4"/>
  <c r="E55" i="4" s="1"/>
  <c r="G51" i="4"/>
  <c r="G56" i="4" s="1"/>
  <c r="H51" i="4"/>
  <c r="H56" i="4" s="1"/>
  <c r="D15" i="5"/>
  <c r="D16" i="5" s="1"/>
  <c r="D13" i="5"/>
  <c r="F51" i="4"/>
  <c r="F56" i="4" s="1"/>
  <c r="E48" i="4"/>
  <c r="E53" i="4" s="1"/>
  <c r="G48" i="4"/>
  <c r="G53" i="4" s="1"/>
  <c r="F48" i="4"/>
  <c r="F53" i="4" s="1"/>
  <c r="H48" i="4"/>
  <c r="H53" i="4" s="1"/>
  <c r="D37" i="3"/>
  <c r="E9" i="5"/>
  <c r="E12" i="5" s="1"/>
  <c r="D43" i="3"/>
  <c r="D42" i="3"/>
  <c r="D34" i="3"/>
  <c r="E10" i="5" s="1"/>
  <c r="E33" i="3"/>
  <c r="H49" i="4"/>
  <c r="H54" i="4" s="1"/>
  <c r="C36" i="3"/>
  <c r="C39" i="3"/>
  <c r="C38" i="3"/>
  <c r="D14" i="5"/>
  <c r="G49" i="4"/>
  <c r="G54" i="4" s="1"/>
  <c r="D18" i="5" l="1"/>
  <c r="D19" i="5" s="1"/>
  <c r="C44" i="3" s="1"/>
  <c r="F54" i="4"/>
  <c r="B78" i="4" s="1"/>
  <c r="E13" i="5"/>
  <c r="E14" i="5" s="1"/>
  <c r="E15" i="5"/>
  <c r="E16" i="5" s="1"/>
  <c r="F9" i="5"/>
  <c r="F12" i="5" s="1"/>
  <c r="F33" i="3"/>
  <c r="E42" i="3"/>
  <c r="E34" i="3"/>
  <c r="F10" i="5" s="1"/>
  <c r="E37" i="3"/>
  <c r="E43" i="3"/>
  <c r="C64" i="4"/>
  <c r="D64" i="4" s="1"/>
  <c r="C66" i="4"/>
  <c r="D66" i="4" s="1"/>
  <c r="C65" i="4"/>
  <c r="D65" i="4" s="1"/>
  <c r="C63" i="4"/>
  <c r="D63" i="4" s="1"/>
  <c r="C67" i="4"/>
  <c r="D67" i="4" s="1"/>
  <c r="D35" i="3"/>
  <c r="C40" i="3"/>
  <c r="C41" i="3" s="1"/>
  <c r="C45" i="3" s="1"/>
  <c r="E18" i="5" l="1"/>
  <c r="E19" i="5" s="1"/>
  <c r="D44" i="3" s="1"/>
  <c r="C47" i="3"/>
  <c r="D39" i="3"/>
  <c r="D36" i="3"/>
  <c r="D38" i="3"/>
  <c r="F13" i="5"/>
  <c r="F14" i="5" s="1"/>
  <c r="F15" i="5"/>
  <c r="F16" i="5" s="1"/>
  <c r="E35" i="3"/>
  <c r="F43" i="3"/>
  <c r="F37" i="3"/>
  <c r="G9" i="5"/>
  <c r="G12" i="5" s="1"/>
  <c r="G33" i="3"/>
  <c r="F34" i="3"/>
  <c r="G10" i="5" s="1"/>
  <c r="F42" i="3"/>
  <c r="F18" i="5" l="1"/>
  <c r="F19" i="5" s="1"/>
  <c r="E44" i="3" s="1"/>
  <c r="G13" i="5"/>
  <c r="G14" i="5" s="1"/>
  <c r="G15" i="5"/>
  <c r="G16" i="5" s="1"/>
  <c r="F35" i="3"/>
  <c r="H9" i="5"/>
  <c r="H12" i="5" s="1"/>
  <c r="G43" i="3"/>
  <c r="G35" i="3"/>
  <c r="G37" i="3"/>
  <c r="C16" i="4"/>
  <c r="C28" i="4" s="1"/>
  <c r="G34" i="3"/>
  <c r="H10" i="5" s="1"/>
  <c r="G42" i="3"/>
  <c r="D40" i="3"/>
  <c r="D41" i="3" s="1"/>
  <c r="D45" i="3" s="1"/>
  <c r="E38" i="3"/>
  <c r="E36" i="3"/>
  <c r="E39" i="3"/>
  <c r="D47" i="3" l="1"/>
  <c r="C72" i="4"/>
  <c r="C73" i="4"/>
  <c r="G38" i="3"/>
  <c r="G36" i="3"/>
  <c r="G39" i="3"/>
  <c r="F38" i="3"/>
  <c r="F36" i="3"/>
  <c r="F39" i="3"/>
  <c r="H13" i="5"/>
  <c r="H14" i="5" s="1"/>
  <c r="H15" i="5"/>
  <c r="H16" i="5" s="1"/>
  <c r="E40" i="3"/>
  <c r="E41" i="3" s="1"/>
  <c r="E45" i="3" s="1"/>
  <c r="G18" i="5"/>
  <c r="G19" i="5" s="1"/>
  <c r="F44" i="3" s="1"/>
  <c r="H18" i="5" l="1"/>
  <c r="H19" i="5" s="1"/>
  <c r="G44" i="3" s="1"/>
  <c r="E47" i="3"/>
  <c r="F40" i="3"/>
  <c r="F41" i="3" s="1"/>
  <c r="F45" i="3" s="1"/>
  <c r="F47" i="3" s="1"/>
  <c r="G40" i="3"/>
  <c r="G41" i="3" s="1"/>
  <c r="G45" i="3" s="1"/>
  <c r="C59" i="3"/>
  <c r="C60" i="3" s="1"/>
  <c r="C61" i="3" s="1"/>
  <c r="C51" i="3" l="1"/>
  <c r="C52" i="3" s="1"/>
  <c r="G47" i="3"/>
  <c r="C50" i="3" s="1"/>
  <c r="D22" i="7"/>
  <c r="F12" i="7"/>
  <c r="F18" i="7"/>
  <c r="F23" i="7"/>
  <c r="C9" i="7"/>
  <c r="C22" i="7"/>
  <c r="H19" i="7"/>
  <c r="F22" i="7"/>
  <c r="I11" i="7"/>
  <c r="G9" i="7"/>
  <c r="D18" i="7"/>
  <c r="E11" i="7"/>
  <c r="I18" i="7"/>
  <c r="C20" i="7"/>
  <c r="E12" i="7"/>
  <c r="H24" i="7"/>
  <c r="H23" i="7"/>
  <c r="E19" i="7"/>
  <c r="I20" i="7"/>
  <c r="E13" i="7"/>
  <c r="H20" i="7"/>
  <c r="I13" i="7"/>
  <c r="C19" i="7"/>
  <c r="H12" i="7"/>
  <c r="C24" i="7"/>
  <c r="F20" i="7"/>
  <c r="D19" i="7"/>
  <c r="H13" i="7"/>
  <c r="C12" i="7"/>
  <c r="G7" i="7"/>
  <c r="E9" i="7"/>
  <c r="D13" i="7"/>
  <c r="E18" i="7"/>
  <c r="D9" i="7"/>
  <c r="G11" i="7"/>
  <c r="F24" i="7"/>
  <c r="F19" i="7"/>
  <c r="F9" i="7"/>
  <c r="H18" i="7"/>
  <c r="G10" i="7"/>
  <c r="G19" i="7"/>
  <c r="I21" i="7"/>
  <c r="C13" i="7"/>
  <c r="I9" i="7"/>
  <c r="I24" i="7"/>
  <c r="E22" i="7"/>
  <c r="D12" i="7"/>
  <c r="F10" i="7"/>
  <c r="D11" i="7"/>
  <c r="C7" i="7"/>
  <c r="I12" i="7"/>
  <c r="I8" i="7"/>
  <c r="F13" i="7"/>
  <c r="D23" i="7"/>
  <c r="D24" i="7"/>
  <c r="D20" i="7"/>
  <c r="I10" i="7"/>
  <c r="C11" i="7"/>
  <c r="D7" i="7"/>
  <c r="E7" i="7"/>
  <c r="E20" i="7"/>
  <c r="I23" i="7"/>
  <c r="E23" i="7"/>
  <c r="G24" i="7"/>
  <c r="G20" i="7"/>
  <c r="C18" i="7"/>
  <c r="F11" i="7"/>
  <c r="C10" i="7"/>
  <c r="H10" i="7"/>
  <c r="G23" i="7"/>
  <c r="D10" i="7"/>
  <c r="G12" i="7"/>
  <c r="D21" i="7"/>
  <c r="H9" i="7"/>
  <c r="C21" i="7"/>
  <c r="E21" i="7"/>
  <c r="C23" i="7"/>
  <c r="G8" i="7"/>
  <c r="H8" i="7"/>
  <c r="H22" i="7"/>
  <c r="I7" i="7"/>
  <c r="D8" i="7"/>
  <c r="I22" i="7"/>
  <c r="H7" i="7"/>
  <c r="H11" i="7"/>
  <c r="E8" i="7"/>
  <c r="I19" i="7"/>
  <c r="F8" i="7"/>
  <c r="G18" i="7"/>
  <c r="F21" i="7"/>
  <c r="F7" i="7"/>
  <c r="C8" i="7"/>
  <c r="G21" i="7"/>
  <c r="G22" i="7"/>
  <c r="G13" i="7"/>
  <c r="H21" i="7"/>
  <c r="E10" i="7"/>
  <c r="E24" i="7"/>
  <c r="C53" i="3" l="1"/>
  <c r="C58" i="3"/>
  <c r="C62" i="3" s="1"/>
  <c r="C63" i="3" l="1"/>
  <c r="C64" i="3" s="1"/>
  <c r="C17" i="1"/>
  <c r="D17" i="1" s="1"/>
  <c r="C54" i="3"/>
  <c r="C55" i="3" s="1"/>
  <c r="C16" i="1" s="1"/>
  <c r="C17" i="4"/>
  <c r="D16" i="1" l="1"/>
  <c r="C21" i="1"/>
  <c r="C10" i="1"/>
  <c r="C19" i="4"/>
  <c r="C20" i="4" s="1"/>
  <c r="B79" i="4" s="1"/>
  <c r="C12" i="1" l="1"/>
  <c r="C11" i="1" s="1"/>
  <c r="B26" i="1"/>
</calcChain>
</file>

<file path=xl/sharedStrings.xml><?xml version="1.0" encoding="utf-8"?>
<sst xmlns="http://schemas.openxmlformats.org/spreadsheetml/2006/main" count="440" uniqueCount="355">
  <si>
    <t>DISCLAIMER: This is a sample analysis for demonstration purposes only. It does not constitute investment advice.</t>
  </si>
  <si>
    <t>住友化学 (4005.T)</t>
  </si>
  <si>
    <t>Equity Research Report</t>
  </si>
  <si>
    <t>Company</t>
  </si>
  <si>
    <t>住友化学</t>
  </si>
  <si>
    <t>Ticker</t>
  </si>
  <si>
    <t>4005.T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</si>
  <si>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</si>
  <si>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</si>
  <si>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</si>
  <si>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</si>
  <si>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</si>
  <si>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</si>
  <si>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</si>
  <si>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</si>
  <si>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</si>
  <si>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</si>
  <si>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</si>
  <si>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</si>
  <si>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</si>
  <si>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</si>
  <si>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</si>
  <si>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</si>
  <si>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</si>
  <si>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</si>
  <si>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has fallen for three consecutive years on divestitures, so the base case growth path assumes the portfolio pruning is finished — which the filings do not yet confirm.</t>
  </si>
  <si>
    <t>住友化学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</si>
  <si>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</si>
  <si>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</si>
  <si>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</si>
  <si>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</si>
  <si>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</si>
  <si>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</si>
  <si>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</si>
  <si>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</si>
  <si>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</si>
  <si>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</si>
  <si>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</si>
  <si>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</si>
  <si>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</si>
  <si>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</si>
  <si>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</si>
  <si>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</si>
  <si>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</si>
  <si>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</si>
  <si>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</si>
  <si>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</si>
  <si>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</si>
  <si>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</si>
  <si>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</si>
  <si>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</si>
  <si>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</si>
  <si>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</si>
  <si>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</si>
  <si>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</si>
  <si>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住友化学</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</si>
  <si>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</si>
  <si>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</si>
  <si>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</si>
  <si>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</si>
  <si>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</si>
  <si>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</si>
  <si>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</si>
  <si>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</si>
  <si>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</si>
  <si>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</si>
  <si>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</si>
  <si>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</si>
  <si>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</si>
  <si>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</si>
  <si>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</si>
  <si>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</si>
  <si>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</si>
  <si>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</si>
  <si>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</si>
  <si>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</si>
  <si>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</si>
  <si>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</si>
  <si>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</si>
  <si>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</si>
  <si>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</si>
  <si>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</si>
  <si>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</si>
  <si>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</si>
  <si>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</si>
  <si>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</si>
  <si>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</si>
  <si>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</si>
  <si>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</si>
  <si>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</si>
  <si>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</si>
  <si>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</si>
  <si>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</si>
  <si>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</si>
  <si>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</si>
  <si>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</si>
  <si>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</si>
  <si>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</si>
  <si>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</si>
  <si>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</si>
  <si>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</si>
  <si>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</si>
  <si>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</si>
  <si>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</si>
  <si>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</si>
  <si>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</si>
  <si>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</si>
  <si>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</si>
  <si>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</si>
  <si>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</si>
  <si>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</si>
  <si>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</si>
  <si>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</si>
  <si>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</si>
  <si>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</si>
  <si>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</si>
  <si>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</si>
  <si>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</si>
  <si>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</si>
  <si>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住友化学 (4005.T)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</si>
  <si>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</si>
  <si>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</si>
  <si>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</si>
  <si>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</si>
  <si>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</si>
  <si>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</si>
  <si>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</si>
  <si>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</si>
  <si>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</si>
  <si>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</si>
  <si>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</si>
  <si>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</si>
  <si>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</si>
  <si>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</si>
  <si>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</si>
  <si>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</si>
  <si>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</si>
  <si>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</si>
  <si>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</si>
  <si>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</si>
  <si>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</si>
  <si>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</si>
  <si>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</si>
  <si>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</si>
  <si>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</si>
  <si>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</si>
  <si>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</si>
  <si>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</si>
  <si>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</si>
  <si>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</si>
  <si>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</si>
  <si>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</si>
  <si>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</si>
  <si>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</si>
  <si>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</si>
  <si>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</si>
  <si>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</si>
  <si>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</si>
  <si>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</si>
  <si>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</si>
  <si>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</si>
  <si>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</si>
  <si>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</si>
  <si>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</si>
  <si>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</si>
  <si>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</si>
  <si>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</si>
  <si>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</si>
  <si>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</si>
  <si>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</si>
  <si>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</si>
  <si>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住友化学</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</si>
  <si>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</si>
  <si>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</si>
  <si>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</si>
  <si>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</si>
  <si>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</si>
  <si>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</si>
  <si>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</si>
  <si>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</si>
  <si>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</si>
  <si>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</si>
  <si>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</si>
  <si>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</si>
  <si>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</si>
  <si>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</si>
  <si>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</si>
  <si>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</si>
  <si>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</si>
  <si>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</si>
  <si>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</si>
  <si>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</si>
  <si>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</si>
  <si>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</si>
  <si>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</si>
  <si>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</si>
  <si>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</si>
  <si>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</si>
  <si>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</si>
  <si>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</si>
  <si>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</si>
  <si>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</si>
  <si>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</si>
  <si>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</si>
  <si>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</si>
  <si>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</si>
  <si>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Sumitomo Chemical Company, Limited</t>
  </si>
  <si>
    <t>4005.T</t>
  </si>
  <si>
    <t>Mitsui Chemicals, Inc.</t>
  </si>
  <si>
    <t>4183.T</t>
  </si>
  <si>
    <t>Mitsubishi Chemical Group Corporation</t>
  </si>
  <si>
    <t>4188.T</t>
  </si>
  <si>
    <t>Asahi Kasei Corporation</t>
  </si>
  <si>
    <t>3407.T</t>
  </si>
  <si>
    <t>Kuraray Co., Ltd.</t>
  </si>
  <si>
    <t>3405.T</t>
  </si>
  <si>
    <t>Nippon Sanso Holdings Corporation</t>
  </si>
  <si>
    <t>4091.T</t>
  </si>
  <si>
    <t>Statistics</t>
  </si>
  <si>
    <t>25th Percentile</t>
  </si>
  <si>
    <t>Median (50th)</t>
  </si>
  <si>
    <t>75th Percentile</t>
  </si>
  <si>
    <t>Implied Valuation for 住友化学</t>
  </si>
  <si>
    <t>住友化学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</si>
  <si>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</si>
  <si>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</si>
  <si>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</si>
  <si>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</si>
  <si>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</si>
  <si>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</si>
  <si>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</si>
  <si>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</si>
  <si>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</si>
  <si>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</si>
  <si>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</si>
  <si>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</si>
  <si>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</si>
  <si>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</si>
  <si>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</si>
  <si>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住友化学</t>
  </si>
  <si>
    <t>日付</t>
  </si>
  <si>
    <t>セル</t>
  </si>
  <si>
    <t>変更内容</t>
  </si>
  <si>
    <t>理由</t>
  </si>
  <si>
    <t>元の値</t>
  </si>
  <si>
    <t>状態</t>
  </si>
  <si>
    <t>2026-09-06</t>
  </si>
  <si>
    <t>-</t>
  </si>
  <si>
    <t>Generated by pipeline on 2026-09-06 18:52, template rev 63983ab</t>
  </si>
  <si>
    <t>初期生成（手修正なし）</t>
  </si>
  <si>
    <t>generated</t>
  </si>
  <si>
    <t>DCF Model!C11</t>
  </si>
  <si>
    <t>After-tax Cost of Debt = 3.92% (実績ベース)</t>
  </si>
  <si>
    <t>実績Kd = 支払利息63,776 ÷ 平均有利子負債1,218,792(期首1,286,128/期末1,151,455、debt_beginning/debt_ending) = 税引前5.23% × (1−25.0%) = 3.92%。【マージナルコスト注記】これは既存借入の実績平均コストであり、新規調達の限界コストではない。テンプレ既定(税引前2.8%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</si>
  <si>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</si>
  <si>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</si>
  <si>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</si>
  <si>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1.071（採用値）</t>
  </si>
  <si>
    <t>実測β(raw) = 1.106 → Blume調整 0.67×raw + 0.33×1.00 = 1.071 → 採用 1.071。クランプ域 [0.3, 2.0] の内側。置換なし。回帰βは平均回帰するため Blume 調整を既定とする（2026-09-05 バッチで85件中57件が旧下限 0.60 に張り付き、両裾の歪みが実証された）。</t>
  </si>
  <si>
    <t>実測 1.106</t>
  </si>
  <si>
    <t>確定</t>
  </si>
  <si>
    <t>Pipeline Metadata (do not edit — read by scripts/validate_output.py)</t>
  </si>
  <si>
    <t>key</t>
  </si>
  <si>
    <t>value</t>
  </si>
  <si>
    <t>auto_log_entries</t>
  </si>
  <si>
    <t>2</t>
  </si>
  <si>
    <t>beta_adopted_c8</t>
  </si>
  <si>
    <t>1.071</t>
  </si>
  <si>
    <t>beta_basis</t>
  </si>
  <si>
    <t>Blume: 0.67 x 1.106 + 0.33 x 1.00 = 1.071</t>
  </si>
  <si>
    <t>beta_blume_adjusted</t>
  </si>
  <si>
    <t>beta_clamped</t>
  </si>
  <si>
    <t>no</t>
  </si>
  <si>
    <t>beta_raw</t>
  </si>
  <si>
    <t>1.106</t>
  </si>
  <si>
    <t>capex_pct_basis</t>
  </si>
  <si>
    <t>explicit_override</t>
  </si>
  <si>
    <t>capex_pct_c5</t>
  </si>
  <si>
    <t>0.0546</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</si>
  <si>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</si>
  <si>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</si>
  <si>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</si>
  <si>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</si>
  <si>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</si>
  <si>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</si>
  <si>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</si>
  <si>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</si>
  <si>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</si>
  <si>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</si>
  <si>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</si>
  <si>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</si>
  <si>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</si>
  <si>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</si>
  <si>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</si>
  <si>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</si>
  <si>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</si>
  <si>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</si>
  <si>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</si>
  <si>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</si>
  <si>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</si>
  <si>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316084</t>
  </si>
  <si>
    <t>core_net_income</t>
  </si>
  <si>
    <t>60947.0</t>
  </si>
  <si>
    <t>cost_of_debt_actual</t>
  </si>
  <si>
    <t>interest 63,776 (expense 63,776 + fees 0) / avg debt 1,218,792 (debt_beginning/debt_ending) = 0.052327 pre-tax -&gt; 0.039200 after-tax</t>
  </si>
  <si>
    <t>cost_of_debt_at_c11</t>
  </si>
  <si>
    <t>0.0392</t>
  </si>
  <si>
    <t>cost_of_debt_avg_debt</t>
  </si>
  <si>
    <t>1218791.5</t>
  </si>
  <si>
    <t>cost_of_debt_basis</t>
  </si>
  <si>
    <t>actual</t>
  </si>
  <si>
    <t>cost_of_debt_interest</t>
  </si>
  <si>
    <t>63776.0</t>
  </si>
  <si>
    <t>cost_of_debt_pretax</t>
  </si>
  <si>
    <t>0.05232724383128697</t>
  </si>
  <si>
    <t>da_pct_basis</t>
  </si>
  <si>
    <t>da_pct_c18</t>
  </si>
  <si>
    <t>0.052</t>
  </si>
  <si>
    <t>da_pct_hist3yr</t>
  </si>
  <si>
    <t>0.055621</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</si>
  <si>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</si>
  <si>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</si>
  <si>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</si>
  <si>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</si>
  <si>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</si>
  <si>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</si>
  <si>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</si>
  <si>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</si>
  <si>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</si>
  <si>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18:52:42</t>
  </si>
  <si>
    <t>guidance_note</t>
  </si>
  <si>
    <t>TDnet 決算短信 via screener guidance table: FY2027 disclosed 2026-08-04 (net_income=70,000mn, operating_income=177,000mn, revenue=2,360,000mn)</t>
  </si>
  <si>
    <t>guidance_source</t>
  </si>
  <si>
    <t>tdnet_screener_db</t>
  </si>
  <si>
    <t>latest_operating_income</t>
  </si>
  <si>
    <t>195015</t>
  </si>
  <si>
    <t>ltm_revenue_c20</t>
  </si>
  <si>
    <t>2328515.0</t>
  </si>
  <si>
    <t>ltm_revenue_source</t>
  </si>
  <si>
    <t>latest FY (no LTM)</t>
  </si>
  <si>
    <t>market_data_source</t>
  </si>
  <si>
    <t>yfinance; from overrides: beta</t>
  </si>
  <si>
    <t>narrative_tokens_used</t>
  </si>
  <si>
    <t>pb,per,price,target_price,upside_pct,wacc</t>
  </si>
  <si>
    <t>net_debt_source</t>
  </si>
  <si>
    <t>EDINET net_debt</t>
  </si>
  <si>
    <t>reverse_dcf_sheet</t>
  </si>
  <si>
    <t>op0=195,015(FY2026) peak=195,015(FY2026) peak_opm=0.0838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</si>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</sst>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594.70000000000005</v>
      </c>
    </row>
    <row r="10" spans="2:5" ht="14" x14ac:dyDescent="0.3">
      <c r="B10" s="4" t="s">
        <v>10</v>
      </c>
      <c r="C10" s="5">
        <f>IF(COUNT(C16:C17)=0,"N/A",ROUND(AVERAGE(C16:C17),0))</f>
        <v>483</v>
      </c>
    </row>
    <row r="11" spans="2:5" ht="14" x14ac:dyDescent="0.3">
      <c r="B11" s="4" t="s">
        <v>11</v>
      </c>
      <c r="C11" s="6" t="str">
        <f>IF(NOT(ISNUMBER(C12)),"N/A",IF(C12&gt;0.15,"BUY",IF(C12&gt;0.05,"HOLD","SELL")))</f>
        <v>SELL</v>
      </c>
    </row>
    <row r="12" spans="2:5" ht="14" x14ac:dyDescent="0.3">
      <c r="B12" s="4" t="s">
        <v>12</v>
      </c>
      <c r="C12" s="7">
        <f>IF(ISNUMBER(C10),(C10-C9)/C9,"N/A")</f>
        <v>-0.18782579451824455</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262</v>
      </c>
      <c r="D16" s="7">
        <f>IF(ISNUMBER(C16),(C16-C9)/C9,"N/A")</f>
        <v>-0.5594417353287372</v>
      </c>
    </row>
    <row r="17" spans="2:5" ht="13.5" x14ac:dyDescent="0.25">
      <c r="B17" t="s">
        <v>18</v>
      </c>
      <c r="C17" s="11">
        <f>IF('DCF Model'!C62&lt;'DCF Model'!C16,"INVALID (EV &lt; net debt)",'DCF Model'!C64)</f>
        <v>704</v>
      </c>
      <c r="D17" s="7">
        <f>IF(ISNUMBER(C17),(C17-C9)/C9,"N/A")</f>
        <v>0.1837901462922481</v>
      </c>
    </row>
    <row r="18" spans="2:5" ht="13.5" x14ac:dyDescent="0.25">
      <c r="B18" t="s">
        <v>19</v>
      </c>
      <c r="C18" s="11">
        <f>'Comps Analysis'!C27</f>
        <v>1095</v>
      </c>
      <c r="D18" s="7">
        <f>IF(ISNUMBER(C18),(C18-C9)/C9,"N/A")</f>
        <v>0.84126450311081202</v>
      </c>
    </row>
    <row r="19" spans="2:5" ht="13.5" x14ac:dyDescent="0.25">
      <c r="B19" t="s">
        <v>20</v>
      </c>
      <c r="C19" s="11">
        <f>'Comps Analysis'!C28</f>
        <v>863</v>
      </c>
      <c r="D19" s="7">
        <f>IF(ISNUMBER(C19),(C19-C9)/C9,"N/A")</f>
        <v>0.45115184126450297</v>
      </c>
    </row>
    <row r="20" spans="2:5" ht="14" x14ac:dyDescent="0.3">
      <c r="B20" s="45" t="s">
        <v>21</v>
      </c>
      <c r="C20" s="44"/>
      <c r="D20" s="44"/>
      <c r="E20" s="44"/>
    </row>
    <row r="21" spans="2:5" ht="14" x14ac:dyDescent="0.3">
      <c r="B21" s="4" t="s">
        <v>22</v>
      </c>
      <c r="C21" s="6" t="str">
        <f>IF(COUNT(C16:C17)=0,"N/A",MIN(C16:C17)&amp;" - "&amp;MAX(C16:C17))</f>
        <v>262 - 704</v>
      </c>
    </row>
    <row r="23" spans="2:5" ht="14" x14ac:dyDescent="0.3">
      <c r="B23" s="8" t="s">
        <v>23</v>
      </c>
      <c r="C23" s="9"/>
      <c r="D23" s="9"/>
    </row>
    <row r="24" spans="2:5" x14ac:dyDescent="0.2">
      <c r="B24" t="str">
        <f>"Sumitomo Chemical has exited loss-making petrochemical capacity and restructured pharmaceuticals, taking the operating margin from a deep loss to the top of its four-year range; the shares trade at "&amp;TEXT('Comps Analysis'!L5,"0.0""x""")&amp;" earnings and "&amp;TEXT('Comps Analysis'!M5,"0.00""x""")&amp;" book."</f>
        <v>Sumitomo Chemical has exited loss-making petrochemical capacity and restructured pharmaceuticals, taking the operating margin from a deep loss to the top of its four-year range; the shares trade at 16.1x earnings and 0.97x book.</v>
      </c>
    </row>
    <row r="25" spans="2:5" x14ac:dyDescent="0.2">
      <c r="B25" t="str">
        <f>"Leverage is the defining feature of the equity: net debt is close to the market value of the equity, so the "&amp;TEXT('DCF Model'!C26,"0.00%")&amp;" discount rate is dominated by an actual, filing-derived cost of debt that is well above the domestic chemical norm."</f>
        <v>Leverage is the defining feature of the equity: net debt is close to the market value of the equity, so the 7.50% discount rate is dominated by an actual, filing-derived cost of debt that is well above the domestic chemical norm.</v>
      </c>
    </row>
    <row r="26" spans="2:5" x14ac:dyDescent="0.2">
      <c r="B26" t="str">
        <f>"At "&amp;TEXT(C9,"#,##0")&amp;" the market is not paying for the restructured margin to hold; a base case that normalises only halfway back toward the cycle median supports "&amp;TEXT(C10,"#,##0")&amp;", or "&amp;TEXT(C12,"+0.0%;-0.0%")&amp;" from here."</f>
        <v>At 595 the market is not paying for the restructured margin to hold; a base case that normalises only halfway back toward the cycle median supports 483, or -18.8% from here.</v>
      </c>
    </row>
    <row r="28" spans="2:5" ht="14" x14ac:dyDescent="0.3">
      <c r="B28" s="8" t="s">
        <v>24</v>
      </c>
      <c r="C28" s="9"/>
      <c r="D28" s="9"/>
    </row>
    <row r="29" spans="2:5" x14ac:dyDescent="0.2">
      <c r="B29" t="str">
        <f>"This is a cyclical with a recent loss year: petrochemical spreads and pharmaceutical impairments have twice taken earnings far below the level implied by today's "&amp;TEXT(C9,"#,##0")&amp;" and "&amp;TEXT('Comps Analysis'!L5,"0.0""x""")&amp;"."</f>
        <v>This is a cyclical with a recent loss year: petrochemical spreads and pharmaceutical impairments have twice taken earnings far below the level implied by today's 595 and 16.1x.</v>
      </c>
    </row>
    <row r="30" spans="2:5" x14ac:dyDescent="0.2">
      <c r="B30" t="str">
        <f>"The realised cost of debt embedded in "&amp;TEXT('DCF Model'!C26,"0.00%")&amp;" reflects dollar-denominated project financing at overseas affiliates, and a refinancing at wider spreads would raise it further against an already heavy debt load."</f>
        <v>The realised cost of debt embedded in 7.50% reflects dollar-denominated project financing at overseas affiliates, and a refinancing at wider spreads would raise it further against an already heavy debt load.</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2895283</v>
      </c>
      <c r="D6" s="5">
        <v>2446893</v>
      </c>
      <c r="E6" s="5">
        <v>2606281</v>
      </c>
      <c r="F6" s="5">
        <v>2328515</v>
      </c>
    </row>
    <row r="7" spans="2:6" ht="14" x14ac:dyDescent="0.3">
      <c r="B7" s="4" t="s">
        <v>33</v>
      </c>
      <c r="C7" s="5">
        <v>2074357</v>
      </c>
      <c r="D7" s="5">
        <v>1947198</v>
      </c>
      <c r="E7" s="5">
        <v>1880805</v>
      </c>
      <c r="F7" s="5">
        <v>1660247</v>
      </c>
    </row>
    <row r="8" spans="2:6" ht="14" x14ac:dyDescent="0.3">
      <c r="B8" s="4" t="s">
        <v>34</v>
      </c>
      <c r="C8" s="5">
        <f>C6-C7</f>
        <v>820926</v>
      </c>
      <c r="D8" s="5">
        <f>D6-D7</f>
        <v>499695</v>
      </c>
      <c r="E8" s="5">
        <f>E6-E7</f>
        <v>725476</v>
      </c>
      <c r="F8" s="5">
        <f>F6-F7</f>
        <v>668268</v>
      </c>
    </row>
    <row r="9" spans="2:6" ht="13.5" x14ac:dyDescent="0.25">
      <c r="B9" t="s">
        <v>35</v>
      </c>
      <c r="C9" s="7">
        <f>C8/C6</f>
        <v>0.28353912208236637</v>
      </c>
      <c r="D9" s="7">
        <f>D8/D6</f>
        <v>0.20421612224155286</v>
      </c>
      <c r="E9" s="7">
        <f>E8/E6</f>
        <v>0.27835678501282096</v>
      </c>
      <c r="F9" s="7">
        <f>F8/F6</f>
        <v>0.2869932124122026</v>
      </c>
    </row>
    <row r="10" spans="2:6" ht="14" x14ac:dyDescent="0.3">
      <c r="B10" s="4" t="s">
        <v>36</v>
      </c>
      <c r="C10" s="5">
        <v>845113</v>
      </c>
      <c r="D10" s="5">
        <v>931123</v>
      </c>
      <c r="E10" s="5">
        <v>553082</v>
      </c>
      <c r="F10" s="5">
        <v>473253</v>
      </c>
    </row>
    <row r="11" spans="2:6" ht="14" x14ac:dyDescent="0.3">
      <c r="B11" s="4" t="s">
        <v>37</v>
      </c>
      <c r="C11" s="5">
        <v>-24187</v>
      </c>
      <c r="D11" s="5">
        <v>-431428</v>
      </c>
      <c r="E11" s="5">
        <v>172394</v>
      </c>
      <c r="F11" s="5">
        <v>195015</v>
      </c>
    </row>
    <row r="12" spans="2:6" ht="14" x14ac:dyDescent="0.3">
      <c r="B12" s="4" t="s">
        <v>38</v>
      </c>
      <c r="C12" s="5">
        <v>6987</v>
      </c>
      <c r="D12" s="5">
        <v>-311838</v>
      </c>
      <c r="E12" s="5">
        <v>38591</v>
      </c>
      <c r="F12" s="5">
        <v>60947</v>
      </c>
    </row>
    <row r="13" spans="2:6" ht="13.5" x14ac:dyDescent="0.25">
      <c r="B13" t="s">
        <v>39</v>
      </c>
      <c r="C13" s="7">
        <f>C11/C6</f>
        <v>-8.3539329315994327E-3</v>
      </c>
      <c r="D13" s="7">
        <f>D11/D6</f>
        <v>-0.17631665953517378</v>
      </c>
      <c r="E13" s="7">
        <f>E11/E6</f>
        <v>6.6145592129167957E-2</v>
      </c>
      <c r="F13" s="7">
        <f>F11/F6</f>
        <v>8.3750802550123141E-2</v>
      </c>
    </row>
    <row r="14" spans="2:6" ht="13.5" x14ac:dyDescent="0.25">
      <c r="B14" t="s">
        <v>40</v>
      </c>
      <c r="C14" s="7">
        <f>C12/C6</f>
        <v>2.4132355973492054E-3</v>
      </c>
      <c r="D14" s="7">
        <f>D12/D6</f>
        <v>-0.1274424341399481</v>
      </c>
      <c r="E14" s="7">
        <f>E12/E6</f>
        <v>1.4806922200637614E-2</v>
      </c>
      <c r="F14" s="7">
        <f>F12/F6</f>
        <v>2.6174192564789148E-2</v>
      </c>
    </row>
    <row r="15" spans="2:6" ht="13.5" x14ac:dyDescent="0.25">
      <c r="B15" t="s">
        <v>41</v>
      </c>
      <c r="C15" t="s">
        <v>42</v>
      </c>
      <c r="D15" s="7">
        <f>(D6-C6)/C6</f>
        <v>-0.15486914405258484</v>
      </c>
      <c r="E15" s="7">
        <f>(E6-D6)/D6</f>
        <v>6.5138933333006382E-2</v>
      </c>
      <c r="F15" s="7">
        <f>(F6-E6)/E6</f>
        <v>-0.10657561483201543</v>
      </c>
    </row>
    <row r="16" spans="2:6" ht="13.5" x14ac:dyDescent="0.25">
      <c r="B16" t="s">
        <v>43</v>
      </c>
      <c r="C16" t="s">
        <v>42</v>
      </c>
      <c r="D16" s="7">
        <f>(D11-C11)/C11</f>
        <v>16.837185264811676</v>
      </c>
      <c r="E16" s="7">
        <f>(E11-D11)/D11</f>
        <v>-1.3995892709791669</v>
      </c>
      <c r="F16" s="7">
        <f>(F11-E11)/E11</f>
        <v>0.13121686369595228</v>
      </c>
    </row>
    <row r="18" spans="2:6" ht="14" x14ac:dyDescent="0.3">
      <c r="B18" s="3" t="s">
        <v>44</v>
      </c>
    </row>
    <row r="19" spans="2:6" ht="14" x14ac:dyDescent="0.3">
      <c r="B19" s="4" t="s">
        <v>45</v>
      </c>
      <c r="C19" s="5">
        <v>111621</v>
      </c>
      <c r="D19" s="5">
        <v>-51317</v>
      </c>
      <c r="E19" s="5">
        <v>233027</v>
      </c>
      <c r="F19" s="5">
        <v>234759</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305844</v>
      </c>
      <c r="D26" s="5">
        <v>217449</v>
      </c>
      <c r="E26" s="5">
        <v>209838</v>
      </c>
      <c r="F26" s="5">
        <v>208589</v>
      </c>
    </row>
    <row r="27" spans="2:6" ht="14" x14ac:dyDescent="0.3">
      <c r="B27" s="4" t="s">
        <v>52</v>
      </c>
      <c r="C27" s="5">
        <v>1461366</v>
      </c>
      <c r="D27" s="5">
        <v>1563486</v>
      </c>
      <c r="E27" s="5">
        <v>1286128</v>
      </c>
      <c r="F27" s="5">
        <v>1151455</v>
      </c>
    </row>
    <row r="28" spans="2:6" ht="14" x14ac:dyDescent="0.3">
      <c r="B28" s="4" t="s">
        <v>53</v>
      </c>
      <c r="C28" s="5">
        <f>C27-C26</f>
        <v>1155522</v>
      </c>
      <c r="D28" s="5">
        <f>D27-D26</f>
        <v>1346037</v>
      </c>
      <c r="E28" s="5">
        <f>E27-E26</f>
        <v>1076290</v>
      </c>
      <c r="F28" s="5">
        <f>F27-F26</f>
        <v>942866</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5.4600000000000003E-2</v>
      </c>
    </row>
    <row r="6" spans="2:7" ht="14" x14ac:dyDescent="0.3">
      <c r="B6" s="4" t="s">
        <v>57</v>
      </c>
      <c r="C6" s="7">
        <v>0.25</v>
      </c>
    </row>
    <row r="7" spans="2:7" ht="14" x14ac:dyDescent="0.3">
      <c r="B7" s="4" t="s">
        <v>58</v>
      </c>
      <c r="C7" s="7">
        <v>2.9700000000000001E-2</v>
      </c>
    </row>
    <row r="8" spans="2:7" ht="14" x14ac:dyDescent="0.3">
      <c r="B8" s="4" t="s">
        <v>59</v>
      </c>
      <c r="C8" s="12">
        <v>1.071</v>
      </c>
    </row>
    <row r="9" spans="2:7" ht="14" x14ac:dyDescent="0.3">
      <c r="B9" s="4" t="s">
        <v>60</v>
      </c>
      <c r="C9" s="7">
        <v>6.5000000000000002E-2</v>
      </c>
    </row>
    <row r="10" spans="2:7" ht="14" x14ac:dyDescent="0.3">
      <c r="B10" s="4" t="s">
        <v>61</v>
      </c>
      <c r="C10" s="7">
        <v>0.01</v>
      </c>
    </row>
    <row r="11" spans="2:7" ht="14" x14ac:dyDescent="0.3">
      <c r="B11" s="4" t="s">
        <v>62</v>
      </c>
      <c r="C11" s="7">
        <v>3.9199999999999999E-2</v>
      </c>
    </row>
    <row r="12" spans="2:7" ht="14" x14ac:dyDescent="0.3">
      <c r="B12" s="4" t="s">
        <v>63</v>
      </c>
      <c r="C12" s="13">
        <v>0.95979999999999999</v>
      </c>
    </row>
    <row r="13" spans="2:7" ht="14" x14ac:dyDescent="0.3">
      <c r="B13" s="4" t="s">
        <v>64</v>
      </c>
      <c r="C13" s="7">
        <v>0.01</v>
      </c>
    </row>
    <row r="14" spans="2:7" ht="14" x14ac:dyDescent="0.3">
      <c r="B14" s="4" t="s">
        <v>65</v>
      </c>
      <c r="C14" s="14">
        <v>8.6999999999999993</v>
      </c>
    </row>
    <row r="15" spans="2:7" ht="14" x14ac:dyDescent="0.3">
      <c r="B15" s="4" t="s">
        <v>66</v>
      </c>
      <c r="C15" s="15">
        <v>1651872408</v>
      </c>
    </row>
    <row r="16" spans="2:7" ht="14" x14ac:dyDescent="0.3">
      <c r="B16" s="4" t="s">
        <v>67</v>
      </c>
      <c r="C16" s="5">
        <v>942866</v>
      </c>
    </row>
    <row r="17" spans="2:7" ht="14" x14ac:dyDescent="0.3">
      <c r="B17" s="4" t="s">
        <v>68</v>
      </c>
      <c r="C17" s="5">
        <v>2328515</v>
      </c>
    </row>
    <row r="18" spans="2:7" ht="14" x14ac:dyDescent="0.3">
      <c r="B18" s="4" t="s">
        <v>69</v>
      </c>
      <c r="C18" s="7">
        <v>5.1999999999999998E-2</v>
      </c>
    </row>
    <row r="19" spans="2:7" ht="14" x14ac:dyDescent="0.3">
      <c r="B19" s="4" t="s">
        <v>70</v>
      </c>
      <c r="C19" s="12">
        <v>1</v>
      </c>
    </row>
    <row r="20" spans="2:7" ht="14" x14ac:dyDescent="0.3">
      <c r="B20" s="4" t="s">
        <v>71</v>
      </c>
      <c r="C20" s="5">
        <v>2328515</v>
      </c>
    </row>
    <row r="22" spans="2:7" ht="14" x14ac:dyDescent="0.3">
      <c r="B22" s="8" t="s">
        <v>72</v>
      </c>
      <c r="C22" s="9"/>
      <c r="D22" s="9"/>
      <c r="E22" s="9"/>
      <c r="F22" s="9"/>
      <c r="G22" s="9"/>
    </row>
    <row r="23" spans="2:7" ht="14" x14ac:dyDescent="0.3">
      <c r="B23" s="4" t="s">
        <v>73</v>
      </c>
      <c r="C23" s="16">
        <f>C7+C8*C9+C10</f>
        <v>0.109315</v>
      </c>
    </row>
    <row r="24" spans="2:7" ht="14" x14ac:dyDescent="0.3">
      <c r="B24" s="4" t="s">
        <v>74</v>
      </c>
      <c r="C24" s="16">
        <f>1/(1+C12)</f>
        <v>0.51025614858659052</v>
      </c>
    </row>
    <row r="25" spans="2:7" ht="14" x14ac:dyDescent="0.3">
      <c r="B25" s="4" t="s">
        <v>75</v>
      </c>
      <c r="C25" s="16">
        <f>C12/(1+C12)</f>
        <v>0.48974385141340954</v>
      </c>
    </row>
    <row r="26" spans="2:7" ht="14" x14ac:dyDescent="0.3">
      <c r="B26" s="4" t="s">
        <v>76</v>
      </c>
      <c r="C26" s="16">
        <f>C23*C24+C11*C25</f>
        <v>7.4976609858148802E-2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0</v>
      </c>
      <c r="D30" s="18">
        <f>CHOOSE($D$27,D69,D70,D71,D72,D73)</f>
        <v>0.01</v>
      </c>
      <c r="E30" s="18">
        <f>CHOOSE($D$27,E69,E70,E71,E72,E73)</f>
        <v>1.4999999999999999E-2</v>
      </c>
      <c r="F30" s="18">
        <f>CHOOSE($D$27,F69,F70,F71,F72,F73)</f>
        <v>0.02</v>
      </c>
      <c r="G30" s="18">
        <f>CHOOSE($D$27,G69,G70,G71,G72,G73)</f>
        <v>0.02</v>
      </c>
    </row>
    <row r="31" spans="2:7" ht="14" x14ac:dyDescent="0.3">
      <c r="B31" s="4" t="s">
        <v>85</v>
      </c>
      <c r="C31" s="18">
        <f>CHOOSE($D$27,C76,C77,C78,C79,C80)</f>
        <v>0.67500000000000004</v>
      </c>
      <c r="D31" s="18">
        <f>CHOOSE($D$27,D76,D77,D78,D79,D80)</f>
        <v>0.68100000000000005</v>
      </c>
      <c r="E31" s="18">
        <f>CHOOSE($D$27,E76,E77,E78,E79,E80)</f>
        <v>0.68799999999999994</v>
      </c>
      <c r="F31" s="18">
        <f>CHOOSE($D$27,F76,F77,F78,F79,F80)</f>
        <v>0.69499999999999995</v>
      </c>
      <c r="G31" s="18">
        <f>CHOOSE($D$27,G76,G77,G78,G79,G80)</f>
        <v>0.6986</v>
      </c>
    </row>
    <row r="32" spans="2:7" ht="14" x14ac:dyDescent="0.3">
      <c r="B32" s="4" t="s">
        <v>86</v>
      </c>
      <c r="C32" s="18">
        <f>CHOOSE($D$27,C83,C84,C85,C86,C87)</f>
        <v>0.245</v>
      </c>
      <c r="D32" s="18">
        <f>CHOOSE($D$27,D83,D84,D85,D86,D87)</f>
        <v>0.245</v>
      </c>
      <c r="E32" s="18">
        <f>CHOOSE($D$27,E83,E84,E85,E86,E87)</f>
        <v>0.245</v>
      </c>
      <c r="F32" s="18">
        <f>CHOOSE($D$27,F83,F84,F85,F86,F87)</f>
        <v>0.245</v>
      </c>
      <c r="G32" s="18">
        <f>CHOOSE($D$27,G83,G84,G85,G86,G87)</f>
        <v>0.245</v>
      </c>
    </row>
    <row r="33" spans="2:7" ht="14" x14ac:dyDescent="0.3">
      <c r="B33" s="4" t="s">
        <v>32</v>
      </c>
      <c r="C33" s="5">
        <f>C17*(1+C30)</f>
        <v>2328515</v>
      </c>
      <c r="D33" s="5">
        <f>C33*(1+D30)</f>
        <v>2351800.15</v>
      </c>
      <c r="E33" s="5">
        <f>D33*(1+E30)</f>
        <v>2387077.1522499998</v>
      </c>
      <c r="F33" s="5">
        <f>E33*(1+F30)</f>
        <v>2434818.695295</v>
      </c>
      <c r="G33" s="5">
        <f>F33*(1+G30)</f>
        <v>2483515.0692008999</v>
      </c>
    </row>
    <row r="34" spans="2:7" ht="14" x14ac:dyDescent="0.3">
      <c r="B34" s="4" t="s">
        <v>33</v>
      </c>
      <c r="C34" s="5">
        <f>C33*C31</f>
        <v>1571747.625</v>
      </c>
      <c r="D34" s="5">
        <f>D33*D31</f>
        <v>1601575.90215</v>
      </c>
      <c r="E34" s="5">
        <f>E33*E31</f>
        <v>1642309.0807479997</v>
      </c>
      <c r="F34" s="5">
        <f>F33*F31</f>
        <v>1692198.9932300248</v>
      </c>
      <c r="G34" s="5">
        <f>G33*G31</f>
        <v>1734983.6273437487</v>
      </c>
    </row>
    <row r="35" spans="2:7" ht="14" x14ac:dyDescent="0.3">
      <c r="B35" s="4" t="s">
        <v>34</v>
      </c>
      <c r="C35" s="19">
        <f>C33-C34</f>
        <v>756767.375</v>
      </c>
      <c r="D35" s="19">
        <f>D33-D34</f>
        <v>750224.24784999993</v>
      </c>
      <c r="E35" s="19">
        <f>E33-E34</f>
        <v>744768.07150200009</v>
      </c>
      <c r="F35" s="19">
        <f>F33-F34</f>
        <v>742619.70206497516</v>
      </c>
      <c r="G35" s="19">
        <f>G33-G34</f>
        <v>748531.44185715122</v>
      </c>
    </row>
    <row r="36" spans="2:7" ht="14" x14ac:dyDescent="0.3">
      <c r="B36" s="4" t="s">
        <v>35</v>
      </c>
      <c r="C36" s="7">
        <f>C35/C33</f>
        <v>0.32500000000000001</v>
      </c>
      <c r="D36" s="7">
        <f>D35/D33</f>
        <v>0.31900000000000001</v>
      </c>
      <c r="E36" s="7">
        <f>E35/E33</f>
        <v>0.31200000000000006</v>
      </c>
      <c r="F36" s="7">
        <f>F35/F33</f>
        <v>0.30500000000000005</v>
      </c>
      <c r="G36" s="7">
        <f>G35/G33</f>
        <v>0.3014</v>
      </c>
    </row>
    <row r="37" spans="2:7" ht="14" x14ac:dyDescent="0.3">
      <c r="B37" s="4" t="s">
        <v>87</v>
      </c>
      <c r="C37" s="5">
        <f>C33*C32</f>
        <v>570486.17500000005</v>
      </c>
      <c r="D37" s="5">
        <f>D33*D32</f>
        <v>576191.03674999997</v>
      </c>
      <c r="E37" s="5">
        <f>E33*E32</f>
        <v>584833.90230124991</v>
      </c>
      <c r="F37" s="5">
        <f>F33*F32</f>
        <v>596530.58034727501</v>
      </c>
      <c r="G37" s="5">
        <f>G33*G32</f>
        <v>608461.19195422041</v>
      </c>
    </row>
    <row r="38" spans="2:7" ht="14" x14ac:dyDescent="0.3">
      <c r="B38" s="4" t="s">
        <v>88</v>
      </c>
      <c r="C38" s="7">
        <f>(C35-C37)/C33</f>
        <v>7.9999999999999974E-2</v>
      </c>
      <c r="D38" s="7">
        <f>(D35-D37)/D33</f>
        <v>7.3999999999999982E-2</v>
      </c>
      <c r="E38" s="7">
        <f>(E35-E37)/E33</f>
        <v>6.7000000000000087E-2</v>
      </c>
      <c r="F38" s="7">
        <f>(F35-F37)/F33</f>
        <v>6.000000000000006E-2</v>
      </c>
      <c r="G38" s="7">
        <f>(G35-G37)/G33</f>
        <v>5.640000000000002E-2</v>
      </c>
    </row>
    <row r="39" spans="2:7" ht="14" x14ac:dyDescent="0.3">
      <c r="B39" s="4" t="s">
        <v>89</v>
      </c>
      <c r="C39" s="19">
        <f>C35-C37</f>
        <v>186281.19999999995</v>
      </c>
      <c r="D39" s="19">
        <f>D35-D37</f>
        <v>174033.21109999996</v>
      </c>
      <c r="E39" s="19">
        <f>E35-E37</f>
        <v>159934.16920075018</v>
      </c>
      <c r="F39" s="19">
        <f>F35-F37</f>
        <v>146089.12171770015</v>
      </c>
      <c r="G39" s="19">
        <f>G35-G37</f>
        <v>140070.24990293081</v>
      </c>
    </row>
    <row r="40" spans="2:7" ht="14" x14ac:dyDescent="0.3">
      <c r="B40" s="4" t="s">
        <v>90</v>
      </c>
      <c r="C40" s="5">
        <f>MAX(0,C39*C6)</f>
        <v>46570.299999999988</v>
      </c>
      <c r="D40" s="5">
        <f>MAX(0,D39*C6)</f>
        <v>43508.302774999989</v>
      </c>
      <c r="E40" s="5">
        <f>MAX(0,E39*C6)</f>
        <v>39983.542300187546</v>
      </c>
      <c r="F40" s="5">
        <f>MAX(0,F39*C6)</f>
        <v>36522.280429425038</v>
      </c>
      <c r="G40" s="5">
        <f>MAX(0,G39*C6)</f>
        <v>35017.562475732702</v>
      </c>
    </row>
    <row r="41" spans="2:7" ht="14" x14ac:dyDescent="0.3">
      <c r="B41" s="4" t="s">
        <v>91</v>
      </c>
      <c r="C41" s="19">
        <f>C39-C40</f>
        <v>139710.89999999997</v>
      </c>
      <c r="D41" s="19">
        <f>D39-D40</f>
        <v>130524.90832499997</v>
      </c>
      <c r="E41" s="19">
        <f>E39-E40</f>
        <v>119950.62690056264</v>
      </c>
      <c r="F41" s="19">
        <f>F39-F40</f>
        <v>109566.84128827511</v>
      </c>
      <c r="G41" s="19">
        <f>G39-G40</f>
        <v>105052.68742719811</v>
      </c>
    </row>
    <row r="42" spans="2:7" ht="14" x14ac:dyDescent="0.3">
      <c r="B42" s="4" t="s">
        <v>92</v>
      </c>
      <c r="C42" s="5">
        <f>C33*C18</f>
        <v>121082.78</v>
      </c>
      <c r="D42" s="5">
        <f>D33*C18</f>
        <v>122293.60779999998</v>
      </c>
      <c r="E42" s="5">
        <f>E33*C18</f>
        <v>124128.01191699998</v>
      </c>
      <c r="F42" s="5">
        <f>F33*C18</f>
        <v>126610.57215533999</v>
      </c>
      <c r="G42" s="5">
        <f>G33*C18</f>
        <v>129142.7835984468</v>
      </c>
    </row>
    <row r="43" spans="2:7" ht="14" x14ac:dyDescent="0.3">
      <c r="B43" s="4" t="s">
        <v>93</v>
      </c>
      <c r="C43" s="5">
        <f>C33*C5</f>
        <v>127136.91900000001</v>
      </c>
      <c r="D43" s="5">
        <f>D33*C5</f>
        <v>128408.28819000001</v>
      </c>
      <c r="E43" s="5">
        <f>E33*C5</f>
        <v>130334.41251285</v>
      </c>
      <c r="F43" s="5">
        <f>F33*C5</f>
        <v>132941.10076310701</v>
      </c>
      <c r="G43" s="5">
        <f>G33*C5</f>
        <v>135599.92277836913</v>
      </c>
    </row>
    <row r="44" spans="2:7" ht="14" x14ac:dyDescent="0.3">
      <c r="B44" s="4" t="s">
        <v>94</v>
      </c>
      <c r="C44" s="5">
        <f>'NWC Schedule'!D19</f>
        <v>-46906.043835616321</v>
      </c>
      <c r="D44" s="5">
        <f>'NWC Schedule'!E19</f>
        <v>8165.2408734246856</v>
      </c>
      <c r="E44" s="5">
        <f>'NWC Schedule'!F19</f>
        <v>11979.618933933903</v>
      </c>
      <c r="F44" s="5">
        <f>'NWC Schedule'!G19</f>
        <v>15753.401217369596</v>
      </c>
      <c r="G44" s="5">
        <f>'NWC Schedule'!H19</f>
        <v>15358.062524527078</v>
      </c>
    </row>
    <row r="45" spans="2:7" ht="14" x14ac:dyDescent="0.3">
      <c r="B45" s="4" t="s">
        <v>95</v>
      </c>
      <c r="C45" s="20">
        <f>C41+C42-C43-C44</f>
        <v>180562.80483561626</v>
      </c>
      <c r="D45" s="20">
        <f>D41+D42-D43-D44</f>
        <v>116244.98706157527</v>
      </c>
      <c r="E45" s="20">
        <f>E41+E42-E43-E44</f>
        <v>101764.6073707787</v>
      </c>
      <c r="F45" s="20">
        <f>F41+F42-F43-F44</f>
        <v>87482.911463138502</v>
      </c>
      <c r="G45" s="20">
        <f>G41+G42-G43-G44</f>
        <v>83237.485722748708</v>
      </c>
    </row>
    <row r="46" spans="2:7" ht="14" x14ac:dyDescent="0.3">
      <c r="B46" s="4" t="s">
        <v>96</v>
      </c>
      <c r="C46" s="21">
        <f>1/(1+C26)^(C19+0)</f>
        <v>0.93025279883248568</v>
      </c>
      <c r="D46" s="21">
        <f>1/(1+C26)^(C19+1)</f>
        <v>0.86537026973567321</v>
      </c>
      <c r="E46" s="21">
        <f>1/(1+C26)^(C19+2)</f>
        <v>0.80501311544803311</v>
      </c>
      <c r="F46" s="21">
        <f>1/(1+C26)^(C19+3)</f>
        <v>0.74886570374239181</v>
      </c>
      <c r="G46" s="21">
        <f>1/(1+C26)^(C19+4)</f>
        <v>0.69663441685601901</v>
      </c>
    </row>
    <row r="47" spans="2:7" ht="14" x14ac:dyDescent="0.3">
      <c r="B47" s="4" t="s">
        <v>97</v>
      </c>
      <c r="C47" s="19">
        <f>C45*C46</f>
        <v>167969.05456337592</v>
      </c>
      <c r="D47" s="19">
        <f>D45*D46</f>
        <v>100594.95580889523</v>
      </c>
      <c r="E47" s="19">
        <f>E45*E46</f>
        <v>81921.843621896434</v>
      </c>
      <c r="F47" s="19">
        <f>F45*F46</f>
        <v>65512.952058276569</v>
      </c>
      <c r="G47" s="19">
        <f>G45*G46</f>
        <v>57986.097327028256</v>
      </c>
    </row>
    <row r="49" spans="2:7" ht="14" x14ac:dyDescent="0.3">
      <c r="B49" s="22" t="s">
        <v>98</v>
      </c>
      <c r="C49" s="23"/>
      <c r="D49" s="23"/>
      <c r="E49" s="23"/>
      <c r="F49" s="23"/>
      <c r="G49" s="23"/>
    </row>
    <row r="50" spans="2:7" ht="14" x14ac:dyDescent="0.3">
      <c r="B50" s="4" t="s">
        <v>99</v>
      </c>
      <c r="C50" s="5">
        <f>SUM(C47:G47)</f>
        <v>473984.90337947244</v>
      </c>
    </row>
    <row r="51" spans="2:7" ht="14" x14ac:dyDescent="0.3">
      <c r="B51" s="4" t="s">
        <v>100</v>
      </c>
      <c r="C51" s="5">
        <f>G45*(1+C13)/(C26-C13)</f>
        <v>1293848.0595326547</v>
      </c>
    </row>
    <row r="52" spans="2:7" ht="14" x14ac:dyDescent="0.3">
      <c r="B52" s="4" t="s">
        <v>101</v>
      </c>
      <c r="C52" s="5">
        <f>C51*G46</f>
        <v>901339.08845282265</v>
      </c>
    </row>
    <row r="53" spans="2:7" ht="14" x14ac:dyDescent="0.3">
      <c r="B53" s="4" t="s">
        <v>102</v>
      </c>
      <c r="C53" s="5">
        <f>C50+C52</f>
        <v>1375323.991832295</v>
      </c>
    </row>
    <row r="54" spans="2:7" ht="14" x14ac:dyDescent="0.3">
      <c r="B54" s="4" t="s">
        <v>103</v>
      </c>
      <c r="C54" s="5">
        <f>C53-C16</f>
        <v>432457.99183229497</v>
      </c>
    </row>
    <row r="55" spans="2:7" ht="14" x14ac:dyDescent="0.3">
      <c r="B55" s="4" t="s">
        <v>104</v>
      </c>
      <c r="C55" s="24">
        <f>ROUND(C54*1000000/C15,0)</f>
        <v>262</v>
      </c>
    </row>
    <row r="57" spans="2:7" ht="14" x14ac:dyDescent="0.3">
      <c r="B57" s="22" t="s">
        <v>105</v>
      </c>
      <c r="C57" s="23"/>
      <c r="D57" s="23"/>
      <c r="E57" s="23"/>
      <c r="F57" s="23"/>
      <c r="G57" s="23"/>
    </row>
    <row r="58" spans="2:7" ht="14" x14ac:dyDescent="0.3">
      <c r="B58" s="4" t="s">
        <v>99</v>
      </c>
      <c r="C58" s="5">
        <f>C50</f>
        <v>473984.90337947244</v>
      </c>
    </row>
    <row r="59" spans="2:7" ht="14" x14ac:dyDescent="0.3">
      <c r="B59" s="4" t="s">
        <v>106</v>
      </c>
      <c r="C59" s="5">
        <f>G39+G42</f>
        <v>269213.03350137762</v>
      </c>
    </row>
    <row r="60" spans="2:7" ht="14" x14ac:dyDescent="0.3">
      <c r="B60" s="4" t="s">
        <v>107</v>
      </c>
      <c r="C60" s="5">
        <f>C59*C14</f>
        <v>2342153.3914619852</v>
      </c>
    </row>
    <row r="61" spans="2:7" ht="14" x14ac:dyDescent="0.3">
      <c r="B61" s="4" t="s">
        <v>101</v>
      </c>
      <c r="C61" s="5">
        <f>C60*G46</f>
        <v>1631624.6620484672</v>
      </c>
    </row>
    <row r="62" spans="2:7" ht="14" x14ac:dyDescent="0.3">
      <c r="B62" s="4" t="s">
        <v>102</v>
      </c>
      <c r="C62" s="5">
        <f>C58+C61</f>
        <v>2105609.5654279394</v>
      </c>
    </row>
    <row r="63" spans="2:7" ht="14" x14ac:dyDescent="0.3">
      <c r="B63" s="4" t="s">
        <v>103</v>
      </c>
      <c r="C63" s="5">
        <f>C62-C16</f>
        <v>1162743.5654279394</v>
      </c>
    </row>
    <row r="64" spans="2:7" ht="14" x14ac:dyDescent="0.3">
      <c r="B64" s="4" t="s">
        <v>108</v>
      </c>
      <c r="C64" s="24">
        <f>ROUND(C63*1000000/C15,0)</f>
        <v>704</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0</v>
      </c>
      <c r="D69" s="26">
        <v>0.01</v>
      </c>
      <c r="E69" s="26">
        <v>1.4999999999999999E-2</v>
      </c>
      <c r="F69" s="26">
        <v>0.02</v>
      </c>
      <c r="G69" s="26">
        <v>0.02</v>
      </c>
    </row>
    <row r="70" spans="2:7" ht="14" x14ac:dyDescent="0.3">
      <c r="B70" s="4" t="s">
        <v>115</v>
      </c>
      <c r="C70" s="26">
        <v>0.02</v>
      </c>
      <c r="D70" s="26">
        <v>2.5000000000000001E-2</v>
      </c>
      <c r="E70" s="26">
        <v>2.5000000000000001E-2</v>
      </c>
      <c r="F70" s="26">
        <v>2.5000000000000001E-2</v>
      </c>
      <c r="G70" s="26">
        <v>2.5000000000000001E-2</v>
      </c>
    </row>
    <row r="71" spans="2:7" ht="14" x14ac:dyDescent="0.3">
      <c r="B71" s="4" t="s">
        <v>116</v>
      </c>
      <c r="C71" s="26">
        <v>0</v>
      </c>
      <c r="D71" s="26">
        <v>0.01</v>
      </c>
      <c r="E71" s="26">
        <v>1.4999999999999999E-2</v>
      </c>
      <c r="F71" s="26">
        <v>0.02</v>
      </c>
      <c r="G71" s="26">
        <v>0.02</v>
      </c>
    </row>
    <row r="72" spans="2:7" ht="14" x14ac:dyDescent="0.3">
      <c r="B72" s="4" t="s">
        <v>117</v>
      </c>
      <c r="C72" s="26">
        <v>-0.03</v>
      </c>
      <c r="D72" s="26">
        <v>0</v>
      </c>
      <c r="E72" s="26">
        <v>5.0000000000000001E-3</v>
      </c>
      <c r="F72" s="26">
        <v>5.0000000000000001E-3</v>
      </c>
      <c r="G72" s="26">
        <v>5.0000000000000001E-3</v>
      </c>
    </row>
    <row r="73" spans="2:7" ht="14" x14ac:dyDescent="0.3">
      <c r="B73" s="4" t="s">
        <v>118</v>
      </c>
      <c r="C73" s="26">
        <v>-0.12</v>
      </c>
      <c r="D73" s="26">
        <v>-0.03</v>
      </c>
      <c r="E73" s="26">
        <v>0</v>
      </c>
      <c r="F73" s="26">
        <v>0.01</v>
      </c>
      <c r="G73" s="26">
        <v>1.4999999999999999E-2</v>
      </c>
    </row>
    <row r="75" spans="2:7" ht="14" x14ac:dyDescent="0.3">
      <c r="B75" s="3" t="s">
        <v>85</v>
      </c>
    </row>
    <row r="76" spans="2:7" ht="14" x14ac:dyDescent="0.3">
      <c r="B76" s="4" t="s">
        <v>78</v>
      </c>
      <c r="C76" s="26">
        <v>0.67500000000000004</v>
      </c>
      <c r="D76" s="26">
        <v>0.68100000000000005</v>
      </c>
      <c r="E76" s="26">
        <v>0.68799999999999994</v>
      </c>
      <c r="F76" s="26">
        <v>0.69499999999999995</v>
      </c>
      <c r="G76" s="26">
        <v>0.6986</v>
      </c>
    </row>
    <row r="77" spans="2:7" ht="14" x14ac:dyDescent="0.3">
      <c r="B77" s="4" t="s">
        <v>115</v>
      </c>
      <c r="C77" s="26">
        <v>0.67600000000000005</v>
      </c>
      <c r="D77" s="26">
        <v>0.67400000000000004</v>
      </c>
      <c r="E77" s="26">
        <v>0.67200000000000004</v>
      </c>
      <c r="F77" s="26">
        <v>0.67</v>
      </c>
      <c r="G77" s="26">
        <v>0.66820000000000002</v>
      </c>
    </row>
    <row r="78" spans="2:7" ht="14" x14ac:dyDescent="0.3">
      <c r="B78" s="4" t="s">
        <v>116</v>
      </c>
      <c r="C78" s="26">
        <v>0.67500000000000004</v>
      </c>
      <c r="D78" s="26">
        <v>0.68100000000000005</v>
      </c>
      <c r="E78" s="26">
        <v>0.68799999999999994</v>
      </c>
      <c r="F78" s="26">
        <v>0.69499999999999995</v>
      </c>
      <c r="G78" s="26">
        <v>0.6986</v>
      </c>
    </row>
    <row r="79" spans="2:7" ht="14" x14ac:dyDescent="0.3">
      <c r="B79" s="4" t="s">
        <v>117</v>
      </c>
      <c r="C79" s="26">
        <v>0.68</v>
      </c>
      <c r="D79" s="26">
        <v>0.69499999999999995</v>
      </c>
      <c r="E79" s="26">
        <v>0.70699999999999996</v>
      </c>
      <c r="F79" s="26">
        <v>0.71499999999999997</v>
      </c>
      <c r="G79" s="26">
        <v>0.71609999999999996</v>
      </c>
    </row>
    <row r="80" spans="2:7" ht="14" x14ac:dyDescent="0.3">
      <c r="B80" s="4" t="s">
        <v>118</v>
      </c>
      <c r="C80" s="26">
        <v>0.74</v>
      </c>
      <c r="D80" s="26">
        <v>0.75</v>
      </c>
      <c r="E80" s="26">
        <v>0.74</v>
      </c>
      <c r="F80" s="26">
        <v>0.73</v>
      </c>
      <c r="G80" s="26">
        <v>0.72499999999999998</v>
      </c>
    </row>
    <row r="82" spans="2:7" ht="14" x14ac:dyDescent="0.3">
      <c r="B82" s="3" t="s">
        <v>86</v>
      </c>
    </row>
    <row r="83" spans="2:7" ht="14" x14ac:dyDescent="0.3">
      <c r="B83" s="4" t="s">
        <v>78</v>
      </c>
      <c r="C83" s="26">
        <v>0.245</v>
      </c>
      <c r="D83" s="26">
        <v>0.245</v>
      </c>
      <c r="E83" s="26">
        <v>0.245</v>
      </c>
      <c r="F83" s="26">
        <v>0.245</v>
      </c>
      <c r="G83" s="26">
        <v>0.245</v>
      </c>
    </row>
    <row r="84" spans="2:7" ht="14" x14ac:dyDescent="0.3">
      <c r="B84" s="4" t="s">
        <v>115</v>
      </c>
      <c r="C84" s="26">
        <v>0.23799999999999999</v>
      </c>
      <c r="D84" s="26">
        <v>0.23799999999999999</v>
      </c>
      <c r="E84" s="26">
        <v>0.23799999999999999</v>
      </c>
      <c r="F84" s="26">
        <v>0.23799999999999999</v>
      </c>
      <c r="G84" s="26">
        <v>0.23799999999999999</v>
      </c>
    </row>
    <row r="85" spans="2:7" ht="14" x14ac:dyDescent="0.3">
      <c r="B85" s="4" t="s">
        <v>116</v>
      </c>
      <c r="C85" s="26">
        <v>0.245</v>
      </c>
      <c r="D85" s="26">
        <v>0.245</v>
      </c>
      <c r="E85" s="26">
        <v>0.245</v>
      </c>
      <c r="F85" s="26">
        <v>0.245</v>
      </c>
      <c r="G85" s="26">
        <v>0.245</v>
      </c>
    </row>
    <row r="86" spans="2:7" ht="14" x14ac:dyDescent="0.3">
      <c r="B86" s="4" t="s">
        <v>117</v>
      </c>
      <c r="C86" s="26">
        <v>0.255</v>
      </c>
      <c r="D86" s="26">
        <v>0.255</v>
      </c>
      <c r="E86" s="26">
        <v>0.255</v>
      </c>
      <c r="F86" s="26">
        <v>0.255</v>
      </c>
      <c r="G86" s="26">
        <v>0.255</v>
      </c>
    </row>
    <row r="87" spans="2:7" ht="14" x14ac:dyDescent="0.3">
      <c r="B87" s="4" t="s">
        <v>118</v>
      </c>
      <c r="C87" s="26">
        <v>0.27</v>
      </c>
      <c r="D87" s="26">
        <v>0.27</v>
      </c>
      <c r="E87" s="26">
        <v>0.27</v>
      </c>
      <c r="F87" s="26">
        <v>0.27</v>
      </c>
      <c r="G87" s="26">
        <v>0.27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594.70000000000005</v>
      </c>
    </row>
    <row r="7" spans="2:9" ht="14" x14ac:dyDescent="0.3">
      <c r="B7" s="4" t="s">
        <v>66</v>
      </c>
      <c r="C7" s="15">
        <f>'DCF Model'!C15</f>
        <v>1651872408</v>
      </c>
    </row>
    <row r="8" spans="2:9" ht="14" x14ac:dyDescent="0.3">
      <c r="B8" s="4" t="s">
        <v>123</v>
      </c>
      <c r="C8" s="5">
        <f>C6*C7/1000000</f>
        <v>982368.52103760012</v>
      </c>
    </row>
    <row r="9" spans="2:9" ht="14" x14ac:dyDescent="0.3">
      <c r="B9" s="4" t="s">
        <v>67</v>
      </c>
      <c r="C9" s="5">
        <f>'DCF Model'!C16</f>
        <v>942866</v>
      </c>
    </row>
    <row r="10" spans="2:9" ht="14" x14ac:dyDescent="0.3">
      <c r="B10" s="4" t="s">
        <v>124</v>
      </c>
      <c r="C10" s="5">
        <f>C8+C9</f>
        <v>1925234.5210376</v>
      </c>
    </row>
    <row r="11" spans="2:9" ht="14" x14ac:dyDescent="0.3">
      <c r="B11" s="4" t="s">
        <v>125</v>
      </c>
      <c r="C11" s="16">
        <f>'DCF Model'!C26</f>
        <v>7.4976609858148802E-2</v>
      </c>
    </row>
    <row r="12" spans="2:9" ht="14" x14ac:dyDescent="0.3">
      <c r="B12" s="4" t="s">
        <v>126</v>
      </c>
      <c r="C12" s="16">
        <f>'DCF Model'!C13</f>
        <v>0.01</v>
      </c>
    </row>
    <row r="13" spans="2:9" ht="14" x14ac:dyDescent="0.3">
      <c r="B13" s="4" t="s">
        <v>127</v>
      </c>
      <c r="C13" s="16">
        <f>'DCF Model'!C6</f>
        <v>0.25</v>
      </c>
    </row>
    <row r="14" spans="2:9" ht="14" x14ac:dyDescent="0.3">
      <c r="B14" s="4" t="s">
        <v>128</v>
      </c>
      <c r="C14" s="27">
        <v>195015</v>
      </c>
    </row>
    <row r="15" spans="2:9" ht="14" x14ac:dyDescent="0.3">
      <c r="B15" s="4" t="s">
        <v>129</v>
      </c>
      <c r="C15" s="27">
        <v>195015</v>
      </c>
    </row>
    <row r="16" spans="2:9" ht="14" x14ac:dyDescent="0.3">
      <c r="B16" s="4" t="s">
        <v>130</v>
      </c>
      <c r="C16" s="5">
        <f>'DCF Model'!G33</f>
        <v>2483515.0692008999</v>
      </c>
    </row>
    <row r="17" spans="2:9" ht="14" x14ac:dyDescent="0.3">
      <c r="B17" s="4" t="s">
        <v>131</v>
      </c>
      <c r="C17" s="5">
        <f>'DCF Model'!C53</f>
        <v>1375323.991832295</v>
      </c>
    </row>
    <row r="18" spans="2:9" ht="14" x14ac:dyDescent="0.3">
      <c r="B18" s="4" t="s">
        <v>132</v>
      </c>
      <c r="C18" s="26">
        <v>8.3750802550123141E-2</v>
      </c>
    </row>
    <row r="19" spans="2:9" ht="14" x14ac:dyDescent="0.3">
      <c r="B19" s="4" t="s">
        <v>133</v>
      </c>
      <c r="C19" s="5">
        <f>C10-C17</f>
        <v>549910.52920530504</v>
      </c>
    </row>
    <row r="20" spans="2:9" ht="14" x14ac:dyDescent="0.3">
      <c r="B20" s="4" t="s">
        <v>134</v>
      </c>
      <c r="C20" s="15">
        <f>IFERROR(ROUND(C19*1000000/C7,0),"N/A")</f>
        <v>333</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125095.21235890011</v>
      </c>
    </row>
    <row r="25" spans="2:9" ht="14" x14ac:dyDescent="0.3">
      <c r="B25" s="4" t="s">
        <v>138</v>
      </c>
      <c r="C25" s="5">
        <f>IFERROR(C24/(1-C13),"N/A")</f>
        <v>166793.61647853348</v>
      </c>
    </row>
    <row r="26" spans="2:9" ht="13.5" x14ac:dyDescent="0.25">
      <c r="B26" s="6" t="s">
        <v>139</v>
      </c>
      <c r="C26" s="14">
        <f>IFERROR(C25/C15,"N/A")</f>
        <v>0.85528608813954554</v>
      </c>
    </row>
    <row r="27" spans="2:9" ht="13.5" x14ac:dyDescent="0.25">
      <c r="B27" s="6" t="s">
        <v>140</v>
      </c>
      <c r="C27" s="14">
        <f>IFERROR(C25/C14,"N/A")</f>
        <v>0.85528608813954554</v>
      </c>
    </row>
    <row r="28" spans="2:9" ht="13.5" x14ac:dyDescent="0.25">
      <c r="B28" s="6" t="s">
        <v>141</v>
      </c>
      <c r="C28" s="7">
        <f>IFERROR(C25/C16,"N/A")</f>
        <v>6.7160299748936614E-2</v>
      </c>
    </row>
    <row r="29" spans="2:9" ht="13.5" x14ac:dyDescent="0.25">
      <c r="B29" s="6" t="s">
        <v>142</v>
      </c>
      <c r="C29" s="5">
        <f>IFERROR(C25/C18,"N/A")</f>
        <v>1991546.4855242542</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5.4976609858148798E-2</v>
      </c>
      <c r="E36" s="29">
        <f>'DCF Model'!C26-0.01</f>
        <v>6.4976609858148807E-2</v>
      </c>
      <c r="F36" s="29">
        <f>'DCF Model'!C26</f>
        <v>7.4976609858148802E-2</v>
      </c>
      <c r="G36" s="29">
        <f>'DCF Model'!C26+0.01</f>
        <v>8.4976609858148797E-2</v>
      </c>
      <c r="H36" s="29">
        <f>'DCF Model'!C26+0.02</f>
        <v>9.4976609858148806E-2</v>
      </c>
    </row>
    <row r="37" spans="2:9" ht="14" x14ac:dyDescent="0.3">
      <c r="B37" s="3" t="s">
        <v>148</v>
      </c>
    </row>
    <row r="38" spans="2:9" ht="14" x14ac:dyDescent="0.3">
      <c r="B38" s="4" t="s">
        <v>149</v>
      </c>
      <c r="C38" s="30">
        <v>3</v>
      </c>
      <c r="D38" s="13">
        <f t="shared" ref="D38:H41" si="0">IFERROR((1-(1+D$36)^(-$C38))/D$36-(1+D$36)/(D$36^2*$C38)*(1-($C38+1)/(1+D$36)^$C38+$C38/(1+D$36)^($C38+1)),"N/A")</f>
        <v>0.93142296123831714</v>
      </c>
      <c r="E38" s="13">
        <f t="shared" si="0"/>
        <v>0.91989117617968597</v>
      </c>
      <c r="F38" s="13">
        <f t="shared" si="0"/>
        <v>0.90862528913354024</v>
      </c>
      <c r="G38" s="13">
        <f t="shared" si="0"/>
        <v>0.89761654120361745</v>
      </c>
      <c r="H38" s="13">
        <f t="shared" si="0"/>
        <v>0.88685654437903594</v>
      </c>
    </row>
    <row r="39" spans="2:9" ht="14" x14ac:dyDescent="0.3">
      <c r="B39" s="4" t="s">
        <v>150</v>
      </c>
      <c r="C39" s="30">
        <v>5</v>
      </c>
      <c r="D39" s="13">
        <f t="shared" si="0"/>
        <v>1.7995317951495253</v>
      </c>
      <c r="E39" s="13">
        <f t="shared" si="0"/>
        <v>1.7668487458862474</v>
      </c>
      <c r="F39" s="13">
        <f t="shared" si="0"/>
        <v>1.7352027878350862</v>
      </c>
      <c r="G39" s="13">
        <f t="shared" si="0"/>
        <v>1.7045490274184112</v>
      </c>
      <c r="H39" s="13">
        <f t="shared" si="0"/>
        <v>1.6748449836699502</v>
      </c>
    </row>
    <row r="40" spans="2:9" ht="14" x14ac:dyDescent="0.3">
      <c r="B40" s="4" t="s">
        <v>151</v>
      </c>
      <c r="C40" s="30">
        <v>7</v>
      </c>
      <c r="D40" s="13">
        <f t="shared" si="0"/>
        <v>2.6091597246324656</v>
      </c>
      <c r="E40" s="13">
        <f t="shared" si="0"/>
        <v>2.5473645333158887</v>
      </c>
      <c r="F40" s="13">
        <f t="shared" si="0"/>
        <v>2.4880475234925674</v>
      </c>
      <c r="G40" s="13">
        <f t="shared" si="0"/>
        <v>2.4310765376590044</v>
      </c>
      <c r="H40" s="13">
        <f t="shared" si="0"/>
        <v>2.3763279867752733</v>
      </c>
    </row>
    <row r="41" spans="2:9" ht="14" x14ac:dyDescent="0.3">
      <c r="B41" s="4" t="s">
        <v>152</v>
      </c>
      <c r="C41" s="30">
        <v>10</v>
      </c>
      <c r="D41" s="13">
        <f t="shared" si="0"/>
        <v>3.7235632128323939</v>
      </c>
      <c r="E41" s="13">
        <f t="shared" si="0"/>
        <v>3.6062605966310484</v>
      </c>
      <c r="F41" s="13">
        <f t="shared" si="0"/>
        <v>3.4950705373400481</v>
      </c>
      <c r="G41" s="13">
        <f t="shared" si="0"/>
        <v>3.3895784390703168</v>
      </c>
      <c r="H41" s="13">
        <f t="shared" si="0"/>
        <v>3.2894032556577297</v>
      </c>
    </row>
    <row r="42" spans="2:9" ht="14" x14ac:dyDescent="0.3">
      <c r="B42" s="3" t="s">
        <v>153</v>
      </c>
    </row>
    <row r="43" spans="2:9" ht="14" x14ac:dyDescent="0.3">
      <c r="B43" s="4" t="s">
        <v>149</v>
      </c>
      <c r="C43" s="30">
        <v>3</v>
      </c>
      <c r="D43" s="13">
        <f t="shared" ref="D43:H46" si="1">IFERROR((1+D$36)/(D$36^2*$C43)*(1-($C43+1)/(1+D$36)^$C43+$C43/(1+D$36)^($C43+1))+(1+$C$12)/((D$36-$C$12)*(1+D$36)^$C43),"N/A")</f>
        <v>20.891835781433556</v>
      </c>
      <c r="E43" s="13">
        <f t="shared" si="1"/>
        <v>16.938487956968572</v>
      </c>
      <c r="F43" s="13">
        <f t="shared" si="1"/>
        <v>14.205179069977062</v>
      </c>
      <c r="G43" s="13">
        <f t="shared" si="1"/>
        <v>12.203646561744787</v>
      </c>
      <c r="H43" s="13">
        <f t="shared" si="1"/>
        <v>10.675465375506896</v>
      </c>
    </row>
    <row r="44" spans="2:9" ht="14" x14ac:dyDescent="0.3">
      <c r="B44" s="4" t="s">
        <v>150</v>
      </c>
      <c r="C44" s="30">
        <v>5</v>
      </c>
      <c r="D44" s="13">
        <f t="shared" si="1"/>
        <v>19.654877750496471</v>
      </c>
      <c r="E44" s="13">
        <f t="shared" si="1"/>
        <v>15.799534386391333</v>
      </c>
      <c r="F44" s="13">
        <f t="shared" si="1"/>
        <v>13.139457235708807</v>
      </c>
      <c r="G44" s="13">
        <f t="shared" si="1"/>
        <v>11.196038792093766</v>
      </c>
      <c r="H44" s="13">
        <f t="shared" si="1"/>
        <v>9.7159784034379477</v>
      </c>
    </row>
    <row r="45" spans="2:9" ht="14" x14ac:dyDescent="0.3">
      <c r="B45" s="4" t="s">
        <v>151</v>
      </c>
      <c r="C45" s="30">
        <v>7</v>
      </c>
      <c r="D45" s="13">
        <f t="shared" si="1"/>
        <v>18.513841673939666</v>
      </c>
      <c r="E45" s="13">
        <f t="shared" si="1"/>
        <v>14.761566305756133</v>
      </c>
      <c r="F45" s="13">
        <f t="shared" si="1"/>
        <v>12.179664101876206</v>
      </c>
      <c r="G45" s="13">
        <f t="shared" si="1"/>
        <v>10.299039251506425</v>
      </c>
      <c r="H45" s="13">
        <f t="shared" si="1"/>
        <v>8.8714576323752041</v>
      </c>
    </row>
    <row r="46" spans="2:9" ht="14" x14ac:dyDescent="0.3">
      <c r="B46" s="4" t="s">
        <v>152</v>
      </c>
      <c r="C46" s="30">
        <v>10</v>
      </c>
      <c r="D46" s="13">
        <f t="shared" si="1"/>
        <v>16.964320803726558</v>
      </c>
      <c r="E46" s="13">
        <f t="shared" si="1"/>
        <v>13.372455646365061</v>
      </c>
      <c r="F46" s="13">
        <f t="shared" si="1"/>
        <v>10.913265878707595</v>
      </c>
      <c r="G46" s="13">
        <f t="shared" si="1"/>
        <v>9.1317064021115719</v>
      </c>
      <c r="H46" s="13">
        <f t="shared" si="1"/>
        <v>7.7870757723840409</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114175.60129959528</v>
      </c>
      <c r="E48" s="5">
        <f t="shared" si="2"/>
        <v>140956.31143265779</v>
      </c>
      <c r="F48" s="5">
        <f t="shared" si="2"/>
        <v>168233.27526183365</v>
      </c>
      <c r="G48" s="5">
        <f t="shared" si="2"/>
        <v>196001.30661754127</v>
      </c>
      <c r="H48" s="5">
        <f t="shared" si="2"/>
        <v>224255.23835935956</v>
      </c>
    </row>
    <row r="49" spans="2:9" ht="14" x14ac:dyDescent="0.3">
      <c r="B49" s="4" t="s">
        <v>150</v>
      </c>
      <c r="C49" s="30">
        <v>5</v>
      </c>
      <c r="D49" s="5">
        <f t="shared" si="2"/>
        <v>112747.77164647619</v>
      </c>
      <c r="E49" s="5">
        <f t="shared" si="2"/>
        <v>140663.47139436603</v>
      </c>
      <c r="F49" s="5">
        <f t="shared" si="2"/>
        <v>169610.41462635319</v>
      </c>
      <c r="G49" s="5">
        <f t="shared" si="2"/>
        <v>199585.47610423024</v>
      </c>
      <c r="H49" s="5">
        <f t="shared" si="2"/>
        <v>230585.06038880572</v>
      </c>
    </row>
    <row r="50" spans="2:9" ht="14" x14ac:dyDescent="0.3">
      <c r="B50" s="4" t="s">
        <v>151</v>
      </c>
      <c r="C50" s="30">
        <v>7</v>
      </c>
      <c r="D50" s="5">
        <f t="shared" si="2"/>
        <v>111168.3957296314</v>
      </c>
      <c r="E50" s="5">
        <f t="shared" si="2"/>
        <v>140242.91352548488</v>
      </c>
      <c r="F50" s="5">
        <f t="shared" si="2"/>
        <v>170922.01855294831</v>
      </c>
      <c r="G50" s="5">
        <f t="shared" si="2"/>
        <v>203211.47626326143</v>
      </c>
      <c r="H50" s="5">
        <f t="shared" si="2"/>
        <v>237115.46018839398</v>
      </c>
    </row>
    <row r="51" spans="2:9" ht="14" x14ac:dyDescent="0.3">
      <c r="B51" s="4" t="s">
        <v>152</v>
      </c>
      <c r="C51" s="30">
        <v>10</v>
      </c>
      <c r="D51" s="5">
        <f t="shared" si="2"/>
        <v>108511.78203542235</v>
      </c>
      <c r="E51" s="5">
        <f t="shared" si="2"/>
        <v>139368.90130109049</v>
      </c>
      <c r="F51" s="5">
        <f t="shared" si="2"/>
        <v>172761.13323900566</v>
      </c>
      <c r="G51" s="5">
        <f t="shared" si="2"/>
        <v>208719.01024407044</v>
      </c>
      <c r="H51" s="5">
        <f t="shared" si="2"/>
        <v>247268.2225990305</v>
      </c>
    </row>
    <row r="52" spans="2:9" ht="14" x14ac:dyDescent="0.3">
      <c r="B52" s="22" t="s">
        <v>155</v>
      </c>
      <c r="C52" s="23"/>
      <c r="D52" s="23"/>
      <c r="E52" s="23"/>
      <c r="F52" s="23"/>
      <c r="G52" s="23"/>
      <c r="H52" s="23"/>
      <c r="I52" s="23"/>
    </row>
    <row r="53" spans="2:9" ht="14" x14ac:dyDescent="0.3">
      <c r="B53" s="4" t="s">
        <v>149</v>
      </c>
      <c r="C53" s="30">
        <v>3</v>
      </c>
      <c r="D53" s="14">
        <f t="shared" ref="D53:H56" si="3">IFERROR(D48/$C$15,"N/A")</f>
        <v>0.58547086787988245</v>
      </c>
      <c r="E53" s="14">
        <f t="shared" si="3"/>
        <v>0.72279727935111548</v>
      </c>
      <c r="F53" s="14">
        <f t="shared" si="3"/>
        <v>0.86266838582587824</v>
      </c>
      <c r="G53" s="14">
        <f t="shared" si="3"/>
        <v>1.0050575936083956</v>
      </c>
      <c r="H53" s="14">
        <f t="shared" si="3"/>
        <v>1.1499384065808249</v>
      </c>
    </row>
    <row r="54" spans="2:9" ht="14" x14ac:dyDescent="0.3">
      <c r="B54" s="4" t="s">
        <v>150</v>
      </c>
      <c r="C54" s="30">
        <v>5</v>
      </c>
      <c r="D54" s="14">
        <f t="shared" si="3"/>
        <v>0.57814922773364197</v>
      </c>
      <c r="E54" s="14">
        <f t="shared" si="3"/>
        <v>0.72129565107487137</v>
      </c>
      <c r="F54" s="14">
        <f t="shared" si="3"/>
        <v>0.86973009576880334</v>
      </c>
      <c r="G54" s="14">
        <f t="shared" si="3"/>
        <v>1.0234365361855766</v>
      </c>
      <c r="H54" s="14">
        <f t="shared" si="3"/>
        <v>1.1823965355937016</v>
      </c>
    </row>
    <row r="55" spans="2:9" ht="14" x14ac:dyDescent="0.3">
      <c r="B55" s="4" t="s">
        <v>151</v>
      </c>
      <c r="C55" s="30">
        <v>7</v>
      </c>
      <c r="D55" s="14">
        <f t="shared" si="3"/>
        <v>0.57005048703756844</v>
      </c>
      <c r="E55" s="14">
        <f t="shared" si="3"/>
        <v>0.71913910994274743</v>
      </c>
      <c r="F55" s="14">
        <f t="shared" si="3"/>
        <v>0.87645575239314055</v>
      </c>
      <c r="G55" s="14">
        <f t="shared" si="3"/>
        <v>1.0420299785311973</v>
      </c>
      <c r="H55" s="14">
        <f t="shared" si="3"/>
        <v>1.2158831894387303</v>
      </c>
    </row>
    <row r="56" spans="2:9" ht="14" x14ac:dyDescent="0.3">
      <c r="B56" s="4" t="s">
        <v>152</v>
      </c>
      <c r="C56" s="30">
        <v>10</v>
      </c>
      <c r="D56" s="14">
        <f t="shared" si="3"/>
        <v>0.55642787496050228</v>
      </c>
      <c r="E56" s="14">
        <f t="shared" si="3"/>
        <v>0.71465734072297249</v>
      </c>
      <c r="F56" s="14">
        <f t="shared" si="3"/>
        <v>0.88588638432431177</v>
      </c>
      <c r="G56" s="14">
        <f t="shared" si="3"/>
        <v>1.070271570105225</v>
      </c>
      <c r="H56" s="14">
        <f t="shared" si="3"/>
        <v>1.267944632971979</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169610.41462635319</v>
      </c>
    </row>
    <row r="62" spans="2:9" ht="14" x14ac:dyDescent="0.3">
      <c r="B62" s="28" t="s">
        <v>159</v>
      </c>
      <c r="C62" s="28" t="s">
        <v>160</v>
      </c>
      <c r="D62" s="28" t="s">
        <v>161</v>
      </c>
    </row>
    <row r="63" spans="2:9" ht="14" x14ac:dyDescent="0.3">
      <c r="B63" s="31">
        <v>4.19E-2</v>
      </c>
      <c r="C63" s="5">
        <f>IFERROR($C$60/B63,"N/A")</f>
        <v>4047981.2559988829</v>
      </c>
      <c r="D63" s="14">
        <f>IFERROR(C63/'DCF Model'!C17,"N/A")</f>
        <v>1.738438986220352</v>
      </c>
    </row>
    <row r="64" spans="2:9" ht="14" x14ac:dyDescent="0.3">
      <c r="B64" s="31">
        <v>6.2799999999999995E-2</v>
      </c>
      <c r="C64" s="5">
        <f>IFERROR($C$60/B64,"N/A")</f>
        <v>2700802.7806744142</v>
      </c>
      <c r="D64" s="14">
        <f>IFERROR(C64/'DCF Model'!C17,"N/A")</f>
        <v>1.159882062462305</v>
      </c>
    </row>
    <row r="65" spans="2:9" ht="14" x14ac:dyDescent="0.3">
      <c r="B65" s="4" t="s">
        <v>162</v>
      </c>
      <c r="C65" s="5">
        <f>IFERROR($C$60/$C$18,"N/A")</f>
        <v>2025179.5739490953</v>
      </c>
      <c r="D65" s="14">
        <f>IFERROR(C65/'DCF Model'!C17,"N/A")</f>
        <v>0.86973009576880345</v>
      </c>
    </row>
    <row r="66" spans="2:9" ht="14" x14ac:dyDescent="0.3">
      <c r="B66" s="31">
        <v>0.1047</v>
      </c>
      <c r="C66" s="5">
        <f>IFERROR($C$60/B66,"N/A")</f>
        <v>1619965.7557435834</v>
      </c>
      <c r="D66" s="14">
        <f>IFERROR(C66/'DCF Model'!C17,"N/A")</f>
        <v>0.69570767452371296</v>
      </c>
    </row>
    <row r="67" spans="2:9" ht="14" x14ac:dyDescent="0.3">
      <c r="B67" s="31">
        <v>0.12559999999999999</v>
      </c>
      <c r="C67" s="5">
        <f>IFERROR($C$60/B67,"N/A")</f>
        <v>1350401.3903372071</v>
      </c>
      <c r="D67" s="14">
        <f>IFERROR(C67/'DCF Model'!C17,"N/A")</f>
        <v>0.57994103123115248</v>
      </c>
    </row>
    <row r="69" spans="2:9" ht="14" x14ac:dyDescent="0.3">
      <c r="B69" s="8" t="s">
        <v>163</v>
      </c>
      <c r="C69" s="9"/>
      <c r="D69" s="9"/>
      <c r="E69" s="9"/>
      <c r="F69" s="9"/>
      <c r="G69" s="9"/>
      <c r="H69" s="9"/>
      <c r="I69" s="9"/>
    </row>
    <row r="70" spans="2:9" ht="13.5" x14ac:dyDescent="0.25">
      <c r="B70" s="6" t="s">
        <v>164</v>
      </c>
      <c r="C70" s="14">
        <f>IFERROR(C10/'Comps Analysis'!G5,"N/A")</f>
        <v>6.0908952083547412</v>
      </c>
    </row>
    <row r="71" spans="2:9" ht="13.5" x14ac:dyDescent="0.25">
      <c r="B71" s="6" t="s">
        <v>165</v>
      </c>
      <c r="C71" s="14">
        <f>IFERROR(C10/'Comps Analysis'!F5,"N/A")</f>
        <v>0.82680786726201039</v>
      </c>
    </row>
    <row r="72" spans="2:9" ht="14" x14ac:dyDescent="0.3">
      <c r="B72" s="4" t="s">
        <v>166</v>
      </c>
      <c r="C72" s="14">
        <f>IFERROR(C10/(C25+'DCF Model'!G42),"N/A")</f>
        <v>6.5055684955848605</v>
      </c>
    </row>
    <row r="73" spans="2:9" ht="14" x14ac:dyDescent="0.3">
      <c r="B73" s="4" t="s">
        <v>167</v>
      </c>
      <c r="C73" s="14">
        <f>IFERROR(C10/(C60+'DCF Model'!G42),"N/A")</f>
        <v>6.444230664231875</v>
      </c>
    </row>
    <row r="74" spans="2:9" ht="14" x14ac:dyDescent="0.3">
      <c r="B74" s="4" t="s">
        <v>168</v>
      </c>
      <c r="C74" s="14">
        <f>IFERROR('Comps Analysis'!D16,"N/A")</f>
        <v>8.7045916735946793</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595 yen the market is paying for a steady-state operating profit of 169,610 mn JPY - 0.87x the FY2026 cycle peak of 195,015 mn - reached in 5 years and sustained for ever, against 195,015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166,794 mn, or 0.86x the peak. The base case supports an EV of only 1,375,324 mn, leaving 333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95.410401049595976</v>
      </c>
      <c r="D5" s="34">
        <f>CHOOSE('DCF Model'!$D$27,D25,D26,D27,D28,D29)</f>
        <v>87</v>
      </c>
      <c r="E5" s="34">
        <f>CHOOSE('DCF Model'!$D$27,E25,E26,E27,E28,E29)</f>
        <v>87</v>
      </c>
      <c r="F5" s="34">
        <f>CHOOSE('DCF Model'!$D$27,F25,F26,F27,F28,F29)</f>
        <v>87</v>
      </c>
      <c r="G5" s="34">
        <f>CHOOSE('DCF Model'!$D$27,G25,G26,G27,G28,G29)</f>
        <v>87</v>
      </c>
      <c r="H5" s="34">
        <f>CHOOSE('DCF Model'!$D$27,H25,H26,H27,H28,H29)</f>
        <v>87</v>
      </c>
    </row>
    <row r="6" spans="2:8" ht="14" x14ac:dyDescent="0.3">
      <c r="B6" s="33" t="s">
        <v>175</v>
      </c>
      <c r="C6" s="34">
        <f>C13/C10*365</f>
        <v>130.91239737219823</v>
      </c>
      <c r="D6" s="34">
        <f>CHOOSE('DCF Model'!$D$27,D32,D33,D34,D35,D36)</f>
        <v>129</v>
      </c>
      <c r="E6" s="34">
        <f>CHOOSE('DCF Model'!$D$27,E32,E33,E34,E35,E36)</f>
        <v>129</v>
      </c>
      <c r="F6" s="34">
        <f>CHOOSE('DCF Model'!$D$27,F32,F33,F34,F35,F36)</f>
        <v>129</v>
      </c>
      <c r="G6" s="34">
        <f>CHOOSE('DCF Model'!$D$27,G32,G33,G34,G35,G36)</f>
        <v>129</v>
      </c>
      <c r="H6" s="34">
        <f>CHOOSE('DCF Model'!$D$27,H32,H33,H34,H35,H36)</f>
        <v>129</v>
      </c>
    </row>
    <row r="7" spans="2:8" ht="14" x14ac:dyDescent="0.3">
      <c r="B7" s="33" t="s">
        <v>176</v>
      </c>
      <c r="C7" s="34">
        <f>C15/C10*365</f>
        <v>102.10169330226165</v>
      </c>
      <c r="D7" s="34">
        <f>CHOOSE('DCF Model'!$D$27,D39,D40,D41,D42,D43)</f>
        <v>97</v>
      </c>
      <c r="E7" s="34">
        <f>CHOOSE('DCF Model'!$D$27,E39,E40,E41,E42,E43)</f>
        <v>97</v>
      </c>
      <c r="F7" s="34">
        <f>CHOOSE('DCF Model'!$D$27,F39,F40,F41,F42,F43)</f>
        <v>97</v>
      </c>
      <c r="G7" s="34">
        <f>CHOOSE('DCF Model'!$D$27,G39,G40,G41,G42,G43)</f>
        <v>97</v>
      </c>
      <c r="H7" s="34">
        <f>CHOOSE('DCF Model'!$D$27,H39,H40,H41,H42,H43)</f>
        <v>97</v>
      </c>
    </row>
    <row r="8" spans="2:8" ht="14" x14ac:dyDescent="0.3">
      <c r="B8" s="8" t="s">
        <v>177</v>
      </c>
      <c r="C8" s="9"/>
      <c r="D8" s="9"/>
      <c r="E8" s="9"/>
      <c r="F8" s="9"/>
      <c r="G8" s="9"/>
      <c r="H8" s="9"/>
    </row>
    <row r="9" spans="2:8" ht="14" x14ac:dyDescent="0.3">
      <c r="B9" s="33" t="s">
        <v>32</v>
      </c>
      <c r="C9" s="35">
        <v>2328515</v>
      </c>
      <c r="D9" s="35">
        <f>'DCF Model'!C33</f>
        <v>2328515</v>
      </c>
      <c r="E9" s="35">
        <f>'DCF Model'!D33</f>
        <v>2351800.15</v>
      </c>
      <c r="F9" s="35">
        <f>'DCF Model'!E33</f>
        <v>2387077.1522499998</v>
      </c>
      <c r="G9" s="35">
        <f>'DCF Model'!F33</f>
        <v>2434818.695295</v>
      </c>
      <c r="H9" s="35">
        <f>'DCF Model'!G33</f>
        <v>2483515.0692008999</v>
      </c>
    </row>
    <row r="10" spans="2:8" ht="14" x14ac:dyDescent="0.3">
      <c r="B10" s="33" t="s">
        <v>33</v>
      </c>
      <c r="C10" s="35">
        <v>1660247</v>
      </c>
      <c r="D10" s="35">
        <f>'DCF Model'!C34</f>
        <v>1571747.625</v>
      </c>
      <c r="E10" s="35">
        <f>'DCF Model'!D34</f>
        <v>1601575.90215</v>
      </c>
      <c r="F10" s="35">
        <f>'DCF Model'!E34</f>
        <v>1642309.0807479997</v>
      </c>
      <c r="G10" s="35">
        <f>'DCF Model'!F34</f>
        <v>1692198.9932300248</v>
      </c>
      <c r="H10" s="35">
        <f>'DCF Model'!G34</f>
        <v>1734983.6273437487</v>
      </c>
    </row>
    <row r="11" spans="2:8" ht="14" x14ac:dyDescent="0.3">
      <c r="B11" s="8" t="s">
        <v>178</v>
      </c>
      <c r="C11" s="9"/>
      <c r="D11" s="9"/>
      <c r="E11" s="9"/>
      <c r="F11" s="9"/>
      <c r="G11" s="9"/>
      <c r="H11" s="9"/>
    </row>
    <row r="12" spans="2:8" ht="14" x14ac:dyDescent="0.3">
      <c r="B12" s="33" t="s">
        <v>179</v>
      </c>
      <c r="C12" s="35">
        <v>608670</v>
      </c>
      <c r="D12" s="35">
        <f t="shared" ref="D12:H13" si="0">D9*D5/365</f>
        <v>555015.90410958906</v>
      </c>
      <c r="E12" s="35">
        <f t="shared" si="0"/>
        <v>560566.06315068493</v>
      </c>
      <c r="F12" s="35">
        <f t="shared" si="0"/>
        <v>568974.5540979451</v>
      </c>
      <c r="G12" s="35">
        <f t="shared" si="0"/>
        <v>580354.04517990409</v>
      </c>
      <c r="H12" s="35">
        <f t="shared" si="0"/>
        <v>591961.12608350208</v>
      </c>
    </row>
    <row r="13" spans="2:8" ht="14" x14ac:dyDescent="0.3">
      <c r="B13" s="33" t="s">
        <v>180</v>
      </c>
      <c r="C13" s="35">
        <v>595471</v>
      </c>
      <c r="D13" s="35">
        <f t="shared" si="0"/>
        <v>555494.36609589041</v>
      </c>
      <c r="E13" s="35">
        <f t="shared" si="0"/>
        <v>566036.41473246575</v>
      </c>
      <c r="F13" s="35">
        <f t="shared" si="0"/>
        <v>580432.52442874503</v>
      </c>
      <c r="G13" s="35">
        <f t="shared" si="0"/>
        <v>598064.84966211836</v>
      </c>
      <c r="H13" s="35">
        <f t="shared" si="0"/>
        <v>613185.99432148924</v>
      </c>
    </row>
    <row r="14" spans="2:8" ht="14" x14ac:dyDescent="0.3">
      <c r="B14" s="33" t="s">
        <v>181</v>
      </c>
      <c r="C14" s="35">
        <f t="shared" ref="C14:H14" si="1">C12+C13</f>
        <v>1204141</v>
      </c>
      <c r="D14" s="35">
        <f t="shared" si="1"/>
        <v>1110510.2702054796</v>
      </c>
      <c r="E14" s="35">
        <f t="shared" si="1"/>
        <v>1126602.4778831508</v>
      </c>
      <c r="F14" s="35">
        <f t="shared" si="1"/>
        <v>1149407.0785266901</v>
      </c>
      <c r="G14" s="35">
        <f t="shared" si="1"/>
        <v>1178418.8948420226</v>
      </c>
      <c r="H14" s="35">
        <f t="shared" si="1"/>
        <v>1205147.1204049913</v>
      </c>
    </row>
    <row r="15" spans="2:8" ht="14" x14ac:dyDescent="0.3">
      <c r="B15" s="33" t="s">
        <v>182</v>
      </c>
      <c r="C15" s="35">
        <v>464422</v>
      </c>
      <c r="D15" s="35">
        <f>D10*D7/365</f>
        <v>417697.3140410959</v>
      </c>
      <c r="E15" s="35">
        <f>E10*E7/365</f>
        <v>425624.28084534244</v>
      </c>
      <c r="F15" s="35">
        <f>F10*F7/365</f>
        <v>436449.26255494787</v>
      </c>
      <c r="G15" s="35">
        <f>G10*G7/365</f>
        <v>449707.6776529107</v>
      </c>
      <c r="H15" s="35">
        <f>H10*H7/365</f>
        <v>461077.84069135238</v>
      </c>
    </row>
    <row r="16" spans="2:8" ht="14" x14ac:dyDescent="0.3">
      <c r="B16" s="33" t="s">
        <v>183</v>
      </c>
      <c r="C16" s="35">
        <f t="shared" ref="C16:H16" si="2">C15</f>
        <v>464422</v>
      </c>
      <c r="D16" s="35">
        <f t="shared" si="2"/>
        <v>417697.3140410959</v>
      </c>
      <c r="E16" s="35">
        <f t="shared" si="2"/>
        <v>425624.28084534244</v>
      </c>
      <c r="F16" s="35">
        <f t="shared" si="2"/>
        <v>436449.26255494787</v>
      </c>
      <c r="G16" s="35">
        <f t="shared" si="2"/>
        <v>449707.6776529107</v>
      </c>
      <c r="H16" s="35">
        <f t="shared" si="2"/>
        <v>461077.84069135238</v>
      </c>
    </row>
    <row r="17" spans="2:8" ht="14" x14ac:dyDescent="0.3">
      <c r="B17" s="22" t="s">
        <v>184</v>
      </c>
      <c r="C17" s="23"/>
      <c r="D17" s="23"/>
      <c r="E17" s="23"/>
      <c r="F17" s="23"/>
      <c r="G17" s="23"/>
      <c r="H17" s="23"/>
    </row>
    <row r="18" spans="2:8" ht="14" x14ac:dyDescent="0.3">
      <c r="B18" s="33" t="s">
        <v>185</v>
      </c>
      <c r="C18" s="20">
        <f t="shared" ref="C18:H18" si="3">C14-C16</f>
        <v>739719</v>
      </c>
      <c r="D18" s="20">
        <f t="shared" si="3"/>
        <v>692812.95616438368</v>
      </c>
      <c r="E18" s="20">
        <f t="shared" si="3"/>
        <v>700978.19703780836</v>
      </c>
      <c r="F18" s="20">
        <f t="shared" si="3"/>
        <v>712957.81597174227</v>
      </c>
      <c r="G18" s="20">
        <f t="shared" si="3"/>
        <v>728711.21718911186</v>
      </c>
      <c r="H18" s="20">
        <f t="shared" si="3"/>
        <v>744069.27971363894</v>
      </c>
    </row>
    <row r="19" spans="2:8" ht="14" x14ac:dyDescent="0.3">
      <c r="B19" s="33" t="s">
        <v>94</v>
      </c>
      <c r="C19" s="36" t="s">
        <v>42</v>
      </c>
      <c r="D19" s="24">
        <f>D18-C18</f>
        <v>-46906.043835616321</v>
      </c>
      <c r="E19" s="24">
        <f>E18-D18</f>
        <v>8165.2408734246856</v>
      </c>
      <c r="F19" s="24">
        <f>F18-E18</f>
        <v>11979.618933933903</v>
      </c>
      <c r="G19" s="24">
        <f>G18-F18</f>
        <v>15753.401217369596</v>
      </c>
      <c r="H19" s="24">
        <f>H18-G18</f>
        <v>15358.062524527078</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87</v>
      </c>
      <c r="E25" s="30">
        <v>87</v>
      </c>
      <c r="F25" s="30">
        <v>87</v>
      </c>
      <c r="G25" s="30">
        <v>87</v>
      </c>
      <c r="H25" s="30">
        <v>87</v>
      </c>
    </row>
    <row r="26" spans="2:8" ht="14" x14ac:dyDescent="0.3">
      <c r="B26" s="4" t="s">
        <v>115</v>
      </c>
      <c r="D26" s="30">
        <v>83</v>
      </c>
      <c r="E26" s="30">
        <v>83</v>
      </c>
      <c r="F26" s="30">
        <v>83</v>
      </c>
      <c r="G26" s="30">
        <v>83</v>
      </c>
      <c r="H26" s="30">
        <v>83</v>
      </c>
    </row>
    <row r="27" spans="2:8" ht="14" x14ac:dyDescent="0.3">
      <c r="B27" s="4" t="s">
        <v>116</v>
      </c>
      <c r="D27" s="30">
        <v>87</v>
      </c>
      <c r="E27" s="30">
        <v>87</v>
      </c>
      <c r="F27" s="30">
        <v>87</v>
      </c>
      <c r="G27" s="30">
        <v>87</v>
      </c>
      <c r="H27" s="30">
        <v>87</v>
      </c>
    </row>
    <row r="28" spans="2:8" ht="14" x14ac:dyDescent="0.3">
      <c r="B28" s="4" t="s">
        <v>117</v>
      </c>
      <c r="D28" s="30">
        <v>92</v>
      </c>
      <c r="E28" s="30">
        <v>92</v>
      </c>
      <c r="F28" s="30">
        <v>92</v>
      </c>
      <c r="G28" s="30">
        <v>92</v>
      </c>
      <c r="H28" s="30">
        <v>92</v>
      </c>
    </row>
    <row r="29" spans="2:8" ht="14" x14ac:dyDescent="0.3">
      <c r="B29" s="4" t="s">
        <v>118</v>
      </c>
      <c r="D29" s="30">
        <v>97</v>
      </c>
      <c r="E29" s="30">
        <v>97</v>
      </c>
      <c r="F29" s="30">
        <v>97</v>
      </c>
      <c r="G29" s="30">
        <v>97</v>
      </c>
      <c r="H29" s="30">
        <v>97</v>
      </c>
    </row>
    <row r="31" spans="2:8" ht="14" x14ac:dyDescent="0.3">
      <c r="B31" s="3" t="s">
        <v>188</v>
      </c>
    </row>
    <row r="32" spans="2:8" ht="14" x14ac:dyDescent="0.3">
      <c r="B32" s="4" t="s">
        <v>78</v>
      </c>
      <c r="D32" s="30">
        <v>129</v>
      </c>
      <c r="E32" s="30">
        <v>129</v>
      </c>
      <c r="F32" s="30">
        <v>129</v>
      </c>
      <c r="G32" s="30">
        <v>129</v>
      </c>
      <c r="H32" s="30">
        <v>129</v>
      </c>
    </row>
    <row r="33" spans="2:8" ht="14" x14ac:dyDescent="0.3">
      <c r="B33" s="4" t="s">
        <v>115</v>
      </c>
      <c r="D33" s="30">
        <v>122</v>
      </c>
      <c r="E33" s="30">
        <v>122</v>
      </c>
      <c r="F33" s="30">
        <v>122</v>
      </c>
      <c r="G33" s="30">
        <v>122</v>
      </c>
      <c r="H33" s="30">
        <v>122</v>
      </c>
    </row>
    <row r="34" spans="2:8" ht="14" x14ac:dyDescent="0.3">
      <c r="B34" s="4" t="s">
        <v>116</v>
      </c>
      <c r="D34" s="30">
        <v>129</v>
      </c>
      <c r="E34" s="30">
        <v>129</v>
      </c>
      <c r="F34" s="30">
        <v>129</v>
      </c>
      <c r="G34" s="30">
        <v>129</v>
      </c>
      <c r="H34" s="30">
        <v>129</v>
      </c>
    </row>
    <row r="35" spans="2:8" ht="14" x14ac:dyDescent="0.3">
      <c r="B35" s="4" t="s">
        <v>117</v>
      </c>
      <c r="D35" s="30">
        <v>137</v>
      </c>
      <c r="E35" s="30">
        <v>137</v>
      </c>
      <c r="F35" s="30">
        <v>137</v>
      </c>
      <c r="G35" s="30">
        <v>137</v>
      </c>
      <c r="H35" s="30">
        <v>137</v>
      </c>
    </row>
    <row r="36" spans="2:8" ht="14" x14ac:dyDescent="0.3">
      <c r="B36" s="4" t="s">
        <v>118</v>
      </c>
      <c r="D36" s="30">
        <v>146</v>
      </c>
      <c r="E36" s="30">
        <v>146</v>
      </c>
      <c r="F36" s="30">
        <v>146</v>
      </c>
      <c r="G36" s="30">
        <v>146</v>
      </c>
      <c r="H36" s="30">
        <v>146</v>
      </c>
    </row>
    <row r="38" spans="2:8" ht="14" x14ac:dyDescent="0.3">
      <c r="B38" s="3" t="s">
        <v>189</v>
      </c>
    </row>
    <row r="39" spans="2:8" ht="14" x14ac:dyDescent="0.3">
      <c r="B39" s="4" t="s">
        <v>78</v>
      </c>
      <c r="D39" s="30">
        <v>97</v>
      </c>
      <c r="E39" s="30">
        <v>97</v>
      </c>
      <c r="F39" s="30">
        <v>97</v>
      </c>
      <c r="G39" s="30">
        <v>97</v>
      </c>
      <c r="H39" s="30">
        <v>97</v>
      </c>
    </row>
    <row r="40" spans="2:8" ht="14" x14ac:dyDescent="0.3">
      <c r="B40" s="4" t="s">
        <v>115</v>
      </c>
      <c r="D40" s="30">
        <v>100</v>
      </c>
      <c r="E40" s="30">
        <v>100</v>
      </c>
      <c r="F40" s="30">
        <v>100</v>
      </c>
      <c r="G40" s="30">
        <v>100</v>
      </c>
      <c r="H40" s="30">
        <v>100</v>
      </c>
    </row>
    <row r="41" spans="2:8" ht="14" x14ac:dyDescent="0.3">
      <c r="B41" s="4" t="s">
        <v>116</v>
      </c>
      <c r="D41" s="30">
        <v>97</v>
      </c>
      <c r="E41" s="30">
        <v>97</v>
      </c>
      <c r="F41" s="30">
        <v>97</v>
      </c>
      <c r="G41" s="30">
        <v>97</v>
      </c>
      <c r="H41" s="30">
        <v>97</v>
      </c>
    </row>
    <row r="42" spans="2:8" ht="14" x14ac:dyDescent="0.3">
      <c r="B42" s="4" t="s">
        <v>117</v>
      </c>
      <c r="D42" s="30">
        <v>93</v>
      </c>
      <c r="E42" s="30">
        <v>93</v>
      </c>
      <c r="F42" s="30">
        <v>93</v>
      </c>
      <c r="G42" s="30">
        <v>93</v>
      </c>
      <c r="H42" s="30">
        <v>93</v>
      </c>
    </row>
    <row r="43" spans="2:8" ht="14" x14ac:dyDescent="0.3">
      <c r="B43" s="4" t="s">
        <v>118</v>
      </c>
      <c r="D43" s="30">
        <v>88</v>
      </c>
      <c r="E43" s="30">
        <v>88</v>
      </c>
      <c r="F43" s="30">
        <v>88</v>
      </c>
      <c r="G43" s="30">
        <v>88</v>
      </c>
      <c r="H43" s="30">
        <v>88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982368.52103760012</v>
      </c>
      <c r="E5" s="37">
        <f>D5+C24</f>
        <v>1925234.5210376</v>
      </c>
      <c r="F5" s="37">
        <v>2328515</v>
      </c>
      <c r="G5" s="37">
        <v>316084</v>
      </c>
      <c r="H5" s="37">
        <v>195015</v>
      </c>
      <c r="I5" s="37">
        <v>60947</v>
      </c>
      <c r="J5" s="38">
        <f t="shared" ref="J5:J10" si="0">IFERROR(E5/G5,"")</f>
        <v>6.0908952083547412</v>
      </c>
      <c r="K5" s="38">
        <f t="shared" ref="K5:K10" si="1">IFERROR(E5/F5,"")</f>
        <v>0.82680786726201039</v>
      </c>
      <c r="L5" s="38">
        <f t="shared" ref="L5:L10" si="2">IFERROR(D5/I5,"")</f>
        <v>16.118406501347074</v>
      </c>
      <c r="M5" s="38">
        <f t="shared" ref="M5:M10" si="3">IFERROR(D5/P5,"")</f>
        <v>0.9739496998322501</v>
      </c>
      <c r="N5" s="39">
        <f t="shared" ref="N5:N10" si="4">IFERROR(H5/F5,"")</f>
        <v>8.3750802550123141E-2</v>
      </c>
      <c r="O5" s="39">
        <f t="shared" ref="O5:O10" si="5">IFERROR(I5/P5,"")</f>
        <v>6.0424688988384406E-2</v>
      </c>
      <c r="P5" s="37">
        <v>1008644</v>
      </c>
    </row>
    <row r="6" spans="2:17" ht="14" x14ac:dyDescent="0.3">
      <c r="B6" s="4" t="s">
        <v>208</v>
      </c>
      <c r="C6" t="s">
        <v>209</v>
      </c>
      <c r="D6" s="37">
        <v>804059</v>
      </c>
      <c r="E6" s="37">
        <v>1361137</v>
      </c>
      <c r="F6" s="37">
        <v>1668754</v>
      </c>
      <c r="G6" s="37">
        <v>156370</v>
      </c>
      <c r="H6" s="37">
        <v>56602</v>
      </c>
      <c r="I6" s="37">
        <v>34378</v>
      </c>
      <c r="J6" s="38">
        <f t="shared" si="0"/>
        <v>8.7045916735946793</v>
      </c>
      <c r="K6" s="38">
        <f t="shared" si="1"/>
        <v>0.81566066658117375</v>
      </c>
      <c r="L6" s="38">
        <f t="shared" si="2"/>
        <v>23.388766071324685</v>
      </c>
      <c r="M6" s="38">
        <f t="shared" si="3"/>
        <v>0.92984144128725021</v>
      </c>
      <c r="N6" s="39">
        <f t="shared" si="4"/>
        <v>3.3918720194828E-2</v>
      </c>
      <c r="O6" s="39">
        <f t="shared" si="5"/>
        <v>3.9755899838908697E-2</v>
      </c>
      <c r="P6" s="37">
        <v>864727</v>
      </c>
    </row>
    <row r="7" spans="2:17" ht="14" x14ac:dyDescent="0.3">
      <c r="B7" s="4" t="s">
        <v>210</v>
      </c>
      <c r="C7" t="s">
        <v>211</v>
      </c>
      <c r="D7" s="37">
        <v>1681376</v>
      </c>
      <c r="E7" s="37">
        <v>3044793</v>
      </c>
      <c r="F7" s="37">
        <v>3703988</v>
      </c>
      <c r="G7" s="37">
        <v>303490</v>
      </c>
      <c r="H7" s="37">
        <v>32333</v>
      </c>
      <c r="I7" s="37">
        <v>11829</v>
      </c>
      <c r="J7" s="38">
        <f t="shared" si="0"/>
        <v>10.032597449668852</v>
      </c>
      <c r="K7" s="38">
        <f t="shared" si="1"/>
        <v>0.8220310108996034</v>
      </c>
      <c r="L7" s="38">
        <f t="shared" si="2"/>
        <v>142.14016400371966</v>
      </c>
      <c r="M7" s="38">
        <f t="shared" si="3"/>
        <v>0.95441894787631087</v>
      </c>
      <c r="N7" s="39">
        <f t="shared" si="4"/>
        <v>8.7292399435419336E-3</v>
      </c>
      <c r="O7" s="39">
        <f t="shared" si="5"/>
        <v>6.7146323811145643E-3</v>
      </c>
      <c r="P7" s="37">
        <v>1761675</v>
      </c>
    </row>
    <row r="8" spans="2:17" ht="14" x14ac:dyDescent="0.3">
      <c r="B8" s="4" t="s">
        <v>212</v>
      </c>
      <c r="C8" t="s">
        <v>213</v>
      </c>
      <c r="D8" s="37">
        <v>2160016</v>
      </c>
      <c r="E8" s="37">
        <v>2794214</v>
      </c>
      <c r="F8" s="37">
        <v>3074505</v>
      </c>
      <c r="G8" s="37">
        <v>427544</v>
      </c>
      <c r="H8" s="37">
        <v>231200</v>
      </c>
      <c r="I8" s="37">
        <v>158794</v>
      </c>
      <c r="J8" s="38">
        <f t="shared" si="0"/>
        <v>6.5355004397208241</v>
      </c>
      <c r="K8" s="38">
        <f t="shared" si="1"/>
        <v>0.90883377974665835</v>
      </c>
      <c r="L8" s="38">
        <f t="shared" si="2"/>
        <v>13.602629822285477</v>
      </c>
      <c r="M8" s="38">
        <f t="shared" si="3"/>
        <v>1.0342630619035376</v>
      </c>
      <c r="N8" s="39">
        <f t="shared" si="4"/>
        <v>7.5199097090425937E-2</v>
      </c>
      <c r="O8" s="39">
        <f t="shared" si="5"/>
        <v>7.6034051901425884E-2</v>
      </c>
      <c r="P8" s="37">
        <v>2088459</v>
      </c>
    </row>
    <row r="9" spans="2:17" ht="14" x14ac:dyDescent="0.3">
      <c r="B9" s="4" t="s">
        <v>214</v>
      </c>
      <c r="C9" t="s">
        <v>215</v>
      </c>
      <c r="D9" s="37">
        <v>553934</v>
      </c>
      <c r="E9" s="37">
        <v>734751</v>
      </c>
      <c r="F9" s="37">
        <v>808447</v>
      </c>
      <c r="G9" s="37">
        <v>143585</v>
      </c>
      <c r="H9" s="37">
        <v>58883</v>
      </c>
      <c r="I9" s="37">
        <v>7468</v>
      </c>
      <c r="J9" s="38">
        <f t="shared" si="0"/>
        <v>5.1171849427168574</v>
      </c>
      <c r="K9" s="38">
        <f t="shared" si="1"/>
        <v>0.90884250915644438</v>
      </c>
      <c r="L9" s="38">
        <f t="shared" si="2"/>
        <v>74.174343867166584</v>
      </c>
      <c r="M9" s="38">
        <f t="shared" si="3"/>
        <v>0.74568956233307482</v>
      </c>
      <c r="N9" s="39">
        <f t="shared" si="4"/>
        <v>7.2834706542296526E-2</v>
      </c>
      <c r="O9" s="39">
        <f t="shared" si="5"/>
        <v>1.005320065477729E-2</v>
      </c>
      <c r="P9" s="37">
        <v>742848</v>
      </c>
    </row>
    <row r="10" spans="2:17" ht="14" x14ac:dyDescent="0.3">
      <c r="B10" s="4" t="s">
        <v>216</v>
      </c>
      <c r="C10" t="s">
        <v>217</v>
      </c>
      <c r="D10" s="37">
        <v>2368140</v>
      </c>
      <c r="E10" s="37">
        <v>3084852</v>
      </c>
      <c r="F10" s="37">
        <v>1359611</v>
      </c>
      <c r="G10" s="37">
        <v>320233</v>
      </c>
      <c r="H10" s="37">
        <v>193329</v>
      </c>
      <c r="I10" s="37">
        <v>123891</v>
      </c>
      <c r="J10" s="38">
        <f t="shared" si="0"/>
        <v>9.6331483638475728</v>
      </c>
      <c r="K10" s="38">
        <f t="shared" si="1"/>
        <v>2.2689225079820625</v>
      </c>
      <c r="L10" s="38">
        <f t="shared" si="2"/>
        <v>19.11470566869264</v>
      </c>
      <c r="M10" s="38">
        <f t="shared" si="3"/>
        <v>1.9453126732749719</v>
      </c>
      <c r="N10" s="39">
        <f t="shared" si="4"/>
        <v>0.14219434823637056</v>
      </c>
      <c r="O10" s="39">
        <f t="shared" si="5"/>
        <v>0.10177047488945314</v>
      </c>
      <c r="P10" s="37">
        <v>1217357</v>
      </c>
    </row>
    <row r="14" spans="2:17" ht="14" x14ac:dyDescent="0.3">
      <c r="B14" s="3" t="s">
        <v>218</v>
      </c>
    </row>
    <row r="15" spans="2:17" ht="14" x14ac:dyDescent="0.3">
      <c r="B15" s="4" t="s">
        <v>219</v>
      </c>
      <c r="D15" s="38">
        <f t="shared" ref="D15:I15" si="6">PERCENTILE(J6:J10,0.25)</f>
        <v>6.5355004397208241</v>
      </c>
      <c r="E15" s="38">
        <f t="shared" si="6"/>
        <v>0.8220310108996034</v>
      </c>
      <c r="F15" s="38">
        <f t="shared" si="6"/>
        <v>19.11470566869264</v>
      </c>
      <c r="G15" s="38">
        <f t="shared" si="6"/>
        <v>0.92984144128725021</v>
      </c>
      <c r="H15" s="39">
        <f t="shared" si="6"/>
        <v>3.3918720194828E-2</v>
      </c>
      <c r="I15" s="39">
        <f t="shared" si="6"/>
        <v>1.005320065477729E-2</v>
      </c>
    </row>
    <row r="16" spans="2:17" ht="14" x14ac:dyDescent="0.3">
      <c r="B16" s="4" t="s">
        <v>220</v>
      </c>
      <c r="D16" s="38">
        <f t="shared" ref="D16:I16" si="7">MEDIAN(J6:J10)</f>
        <v>8.7045916735946793</v>
      </c>
      <c r="E16" s="38">
        <f t="shared" si="7"/>
        <v>0.90883377974665835</v>
      </c>
      <c r="F16" s="38">
        <f t="shared" si="7"/>
        <v>23.388766071324685</v>
      </c>
      <c r="G16" s="38">
        <f t="shared" si="7"/>
        <v>0.95441894787631087</v>
      </c>
      <c r="H16" s="39">
        <f t="shared" si="7"/>
        <v>7.2834706542296526E-2</v>
      </c>
      <c r="I16" s="39">
        <f t="shared" si="7"/>
        <v>3.9755899838908697E-2</v>
      </c>
    </row>
    <row r="17" spans="2:9" ht="14" x14ac:dyDescent="0.3">
      <c r="B17" s="4" t="s">
        <v>221</v>
      </c>
      <c r="D17" s="38">
        <f t="shared" ref="D17:I17" si="8">PERCENTILE(J6:J10,0.75)</f>
        <v>9.6331483638475728</v>
      </c>
      <c r="E17" s="38">
        <f t="shared" si="8"/>
        <v>0.90884250915644438</v>
      </c>
      <c r="F17" s="38">
        <f t="shared" si="8"/>
        <v>74.174343867166584</v>
      </c>
      <c r="G17" s="38">
        <f t="shared" si="8"/>
        <v>1.0342630619035376</v>
      </c>
      <c r="H17" s="39">
        <f t="shared" si="8"/>
        <v>7.5199097090425937E-2</v>
      </c>
      <c r="I17" s="39">
        <f t="shared" si="8"/>
        <v>7.6034051901425884E-2</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316084</v>
      </c>
    </row>
    <row r="22" spans="2:9" ht="14" x14ac:dyDescent="0.3">
      <c r="B22" s="4" t="s">
        <v>225</v>
      </c>
      <c r="C22" s="5">
        <v>60947</v>
      </c>
    </row>
    <row r="23" spans="2:9" ht="14" x14ac:dyDescent="0.3">
      <c r="B23" s="4" t="s">
        <v>226</v>
      </c>
      <c r="C23" s="15">
        <v>1651872408</v>
      </c>
    </row>
    <row r="24" spans="2:9" ht="14" x14ac:dyDescent="0.3">
      <c r="B24" s="4" t="s">
        <v>67</v>
      </c>
      <c r="C24" s="5">
        <v>942866</v>
      </c>
    </row>
    <row r="26" spans="2:9" ht="14" x14ac:dyDescent="0.3">
      <c r="B26" s="3" t="s">
        <v>227</v>
      </c>
    </row>
    <row r="27" spans="2:9" ht="14" x14ac:dyDescent="0.3">
      <c r="B27" s="4" t="s">
        <v>228</v>
      </c>
      <c r="C27" s="24">
        <f>ROUND((C21*D16-C24)*1000000/C23,0)</f>
        <v>1095</v>
      </c>
    </row>
    <row r="28" spans="2:9" ht="14" x14ac:dyDescent="0.3">
      <c r="B28" s="4" t="s">
        <v>229</v>
      </c>
      <c r="C28" s="24">
        <f>ROUND(C22*F16*1000000/C23,0)</f>
        <v>863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7.4976609858148802E-2</v>
      </c>
      <c r="E3" s="4" t="s">
        <v>232</v>
      </c>
      <c r="F3" s="16">
        <f>'DCF Model'!C13</f>
        <v>0.01</v>
      </c>
      <c r="H3" s="4" t="s">
        <v>233</v>
      </c>
      <c r="I3" s="14">
        <f>'DCF Model'!C14</f>
        <v>8.6999999999999993</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5.9976609858148802E-2</v>
      </c>
      <c r="C7" s="37">
        <f>IFERROR(ROUND(('DCF Model'!C45/(1+$B7)^('DCF Model'!C19+0)+'DCF Model'!D45/(1+$B7)^('DCF Model'!C19+1)+'DCF Model'!E45/(1+$B7)^('DCF Model'!C19+2)+'DCF Model'!F45/(1+$B7)^('DCF Model'!C19+3)+'DCF Model'!G45/(1+$B7)^('DCF Model'!C19+4)+'DCF Model'!G45*(1+C$6)/($B7-C$6)/(1+$B7)^('DCF Model'!C19+4)-'DCF Model'!C16)*1000000/'DCF Model'!C15,0),"")</f>
        <v>383</v>
      </c>
      <c r="D7" s="37">
        <f>IFERROR(ROUND(('DCF Model'!C45/(1+$B7)^('DCF Model'!C19+0)+'DCF Model'!D45/(1+$B7)^('DCF Model'!C19+1)+'DCF Model'!E45/(1+$B7)^('DCF Model'!C19+2)+'DCF Model'!F45/(1+$B7)^('DCF Model'!C19+3)+'DCF Model'!G45/(1+$B7)^('DCF Model'!C19+4)+'DCF Model'!G45*(1+D$6)/($B7-D$6)/(1+$B7)^('DCF Model'!C19+4)-'DCF Model'!C16)*1000000/'DCF Model'!C15,0),"")</f>
        <v>415</v>
      </c>
      <c r="E7" s="37">
        <f>IFERROR(ROUND(('DCF Model'!C45/(1+$B7)^('DCF Model'!C19+0)+'DCF Model'!D45/(1+$B7)^('DCF Model'!C19+1)+'DCF Model'!E45/(1+$B7)^('DCF Model'!C19+2)+'DCF Model'!F45/(1+$B7)^('DCF Model'!C19+3)+'DCF Model'!G45/(1+$B7)^('DCF Model'!C19+4)+'DCF Model'!G45*(1+E$6)/($B7-E$6)/(1+$B7)^('DCF Model'!C19+4)-'DCF Model'!C16)*1000000/'DCF Model'!C15,0),"")</f>
        <v>449</v>
      </c>
      <c r="F7" s="37">
        <f>IFERROR(ROUND(('DCF Model'!C45/(1+$B7)^('DCF Model'!C19+0)+'DCF Model'!D45/(1+$B7)^('DCF Model'!C19+1)+'DCF Model'!E45/(1+$B7)^('DCF Model'!C19+2)+'DCF Model'!F45/(1+$B7)^('DCF Model'!C19+3)+'DCF Model'!G45/(1+$B7)^('DCF Model'!C19+4)+'DCF Model'!G45*(1+F$6)/($B7-F$6)/(1+$B7)^('DCF Model'!C19+4)-'DCF Model'!C16)*1000000/'DCF Model'!C15,0),"")</f>
        <v>487</v>
      </c>
      <c r="G7" s="37">
        <f>IFERROR(ROUND(('DCF Model'!C45/(1+$B7)^('DCF Model'!C19+0)+'DCF Model'!D45/(1+$B7)^('DCF Model'!C19+1)+'DCF Model'!E45/(1+$B7)^('DCF Model'!C19+2)+'DCF Model'!F45/(1+$B7)^('DCF Model'!C19+3)+'DCF Model'!G45/(1+$B7)^('DCF Model'!C19+4)+'DCF Model'!G45*(1+G$6)/($B7-G$6)/(1+$B7)^('DCF Model'!C19+4)-'DCF Model'!C16)*1000000/'DCF Model'!C15,0),"")</f>
        <v>529</v>
      </c>
      <c r="H7" s="37">
        <f>IFERROR(ROUND(('DCF Model'!C45/(1+$B7)^('DCF Model'!C19+0)+'DCF Model'!D45/(1+$B7)^('DCF Model'!C19+1)+'DCF Model'!E45/(1+$B7)^('DCF Model'!C19+2)+'DCF Model'!F45/(1+$B7)^('DCF Model'!C19+3)+'DCF Model'!G45/(1+$B7)^('DCF Model'!C19+4)+'DCF Model'!G45*(1+H$6)/($B7-H$6)/(1+$B7)^('DCF Model'!C19+4)-'DCF Model'!C16)*1000000/'DCF Model'!C15,0),"")</f>
        <v>576</v>
      </c>
      <c r="I7" s="37">
        <f>IFERROR(ROUND(('DCF Model'!C45/(1+$B7)^('DCF Model'!C19+0)+'DCF Model'!D45/(1+$B7)^('DCF Model'!C19+1)+'DCF Model'!E45/(1+$B7)^('DCF Model'!C19+2)+'DCF Model'!F45/(1+$B7)^('DCF Model'!C19+3)+'DCF Model'!G45/(1+$B7)^('DCF Model'!C19+4)+'DCF Model'!G45*(1+I$6)/($B7-I$6)/(1+$B7)^('DCF Model'!C19+4)-'DCF Model'!C16)*1000000/'DCF Model'!C15,0),"")</f>
        <v>628</v>
      </c>
    </row>
    <row r="8" spans="2:9" ht="13.5" x14ac:dyDescent="0.25">
      <c r="B8" s="39">
        <f>$C$3-0.01</f>
        <v>6.4976609858148807E-2</v>
      </c>
      <c r="C8" s="37">
        <f>IFERROR(ROUND(('DCF Model'!C45/(1+$B8)^('DCF Model'!C19+0)+'DCF Model'!D45/(1+$B8)^('DCF Model'!C19+1)+'DCF Model'!E45/(1+$B8)^('DCF Model'!C19+2)+'DCF Model'!F45/(1+$B8)^('DCF Model'!C19+3)+'DCF Model'!G45/(1+$B8)^('DCF Model'!C19+4)+'DCF Model'!G45*(1+C$6)/($B8-C$6)/(1+$B8)^('DCF Model'!C19+4)-'DCF Model'!C16)*1000000/'DCF Model'!C15,0),"")</f>
        <v>313</v>
      </c>
      <c r="D8" s="37">
        <f>IFERROR(ROUND(('DCF Model'!C45/(1+$B8)^('DCF Model'!C19+0)+'DCF Model'!D45/(1+$B8)^('DCF Model'!C19+1)+'DCF Model'!E45/(1+$B8)^('DCF Model'!C19+2)+'DCF Model'!F45/(1+$B8)^('DCF Model'!C19+3)+'DCF Model'!G45/(1+$B8)^('DCF Model'!C19+4)+'DCF Model'!G45*(1+D$6)/($B8-D$6)/(1+$B8)^('DCF Model'!C19+4)-'DCF Model'!C16)*1000000/'DCF Model'!C15,0),"")</f>
        <v>339</v>
      </c>
      <c r="E8" s="37">
        <f>IFERROR(ROUND(('DCF Model'!C45/(1+$B8)^('DCF Model'!C19+0)+'DCF Model'!D45/(1+$B8)^('DCF Model'!C19+1)+'DCF Model'!E45/(1+$B8)^('DCF Model'!C19+2)+'DCF Model'!F45/(1+$B8)^('DCF Model'!C19+3)+'DCF Model'!G45/(1+$B8)^('DCF Model'!C19+4)+'DCF Model'!G45*(1+E$6)/($B8-E$6)/(1+$B8)^('DCF Model'!C19+4)-'DCF Model'!C16)*1000000/'DCF Model'!C15,0),"")</f>
        <v>368</v>
      </c>
      <c r="F8" s="37">
        <f>IFERROR(ROUND(('DCF Model'!C45/(1+$B8)^('DCF Model'!C19+0)+'DCF Model'!D45/(1+$B8)^('DCF Model'!C19+1)+'DCF Model'!E45/(1+$B8)^('DCF Model'!C19+2)+'DCF Model'!F45/(1+$B8)^('DCF Model'!C19+3)+'DCF Model'!G45/(1+$B8)^('DCF Model'!C19+4)+'DCF Model'!G45*(1+F$6)/($B8-F$6)/(1+$B8)^('DCF Model'!C19+4)-'DCF Model'!C16)*1000000/'DCF Model'!C15,0),"")</f>
        <v>399</v>
      </c>
      <c r="G8" s="37">
        <f>IFERROR(ROUND(('DCF Model'!C45/(1+$B8)^('DCF Model'!C19+0)+'DCF Model'!D45/(1+$B8)^('DCF Model'!C19+1)+'DCF Model'!E45/(1+$B8)^('DCF Model'!C19+2)+'DCF Model'!F45/(1+$B8)^('DCF Model'!C19+3)+'DCF Model'!G45/(1+$B8)^('DCF Model'!C19+4)+'DCF Model'!G45*(1+G$6)/($B8-G$6)/(1+$B8)^('DCF Model'!C19+4)-'DCF Model'!C16)*1000000/'DCF Model'!C15,0),"")</f>
        <v>433</v>
      </c>
      <c r="H8" s="37">
        <f>IFERROR(ROUND(('DCF Model'!C45/(1+$B8)^('DCF Model'!C19+0)+'DCF Model'!D45/(1+$B8)^('DCF Model'!C19+1)+'DCF Model'!E45/(1+$B8)^('DCF Model'!C19+2)+'DCF Model'!F45/(1+$B8)^('DCF Model'!C19+3)+'DCF Model'!G45/(1+$B8)^('DCF Model'!C19+4)+'DCF Model'!G45*(1+H$6)/($B8-H$6)/(1+$B8)^('DCF Model'!C19+4)-'DCF Model'!C16)*1000000/'DCF Model'!C15,0),"")</f>
        <v>470</v>
      </c>
      <c r="I8" s="37">
        <f>IFERROR(ROUND(('DCF Model'!C45/(1+$B8)^('DCF Model'!C19+0)+'DCF Model'!D45/(1+$B8)^('DCF Model'!C19+1)+'DCF Model'!E45/(1+$B8)^('DCF Model'!C19+2)+'DCF Model'!F45/(1+$B8)^('DCF Model'!C19+3)+'DCF Model'!G45/(1+$B8)^('DCF Model'!C19+4)+'DCF Model'!G45*(1+I$6)/($B8-I$6)/(1+$B8)^('DCF Model'!C19+4)-'DCF Model'!C16)*1000000/'DCF Model'!C15,0),"")</f>
        <v>511</v>
      </c>
    </row>
    <row r="9" spans="2:9" ht="13.5" x14ac:dyDescent="0.25">
      <c r="B9" s="39">
        <f>$C$3-0.005</f>
        <v>6.9976609858148797E-2</v>
      </c>
      <c r="C9" s="37">
        <f>IFERROR(ROUND(('DCF Model'!C45/(1+$B9)^('DCF Model'!C19+0)+'DCF Model'!D45/(1+$B9)^('DCF Model'!C19+1)+'DCF Model'!E45/(1+$B9)^('DCF Model'!C19+2)+'DCF Model'!F45/(1+$B9)^('DCF Model'!C19+3)+'DCF Model'!G45/(1+$B9)^('DCF Model'!C19+4)+'DCF Model'!G45*(1+C$6)/($B9-C$6)/(1+$B9)^('DCF Model'!C19+4)-'DCF Model'!C16)*1000000/'DCF Model'!C15,0),"")</f>
        <v>253</v>
      </c>
      <c r="D9" s="37">
        <f>IFERROR(ROUND(('DCF Model'!C45/(1+$B9)^('DCF Model'!C19+0)+'DCF Model'!D45/(1+$B9)^('DCF Model'!C19+1)+'DCF Model'!E45/(1+$B9)^('DCF Model'!C19+2)+'DCF Model'!F45/(1+$B9)^('DCF Model'!C19+3)+'DCF Model'!G45/(1+$B9)^('DCF Model'!C19+4)+'DCF Model'!G45*(1+D$6)/($B9-D$6)/(1+$B9)^('DCF Model'!C19+4)-'DCF Model'!C16)*1000000/'DCF Model'!C15,0),"")</f>
        <v>275</v>
      </c>
      <c r="E9" s="37">
        <f>IFERROR(ROUND(('DCF Model'!C45/(1+$B9)^('DCF Model'!C19+0)+'DCF Model'!D45/(1+$B9)^('DCF Model'!C19+1)+'DCF Model'!E45/(1+$B9)^('DCF Model'!C19+2)+'DCF Model'!F45/(1+$B9)^('DCF Model'!C19+3)+'DCF Model'!G45/(1+$B9)^('DCF Model'!C19+4)+'DCF Model'!G45*(1+E$6)/($B9-E$6)/(1+$B9)^('DCF Model'!C19+4)-'DCF Model'!C16)*1000000/'DCF Model'!C15,0),"")</f>
        <v>299</v>
      </c>
      <c r="F9" s="37">
        <f>IFERROR(ROUND(('DCF Model'!C45/(1+$B9)^('DCF Model'!C19+0)+'DCF Model'!D45/(1+$B9)^('DCF Model'!C19+1)+'DCF Model'!E45/(1+$B9)^('DCF Model'!C19+2)+'DCF Model'!F45/(1+$B9)^('DCF Model'!C19+3)+'DCF Model'!G45/(1+$B9)^('DCF Model'!C19+4)+'DCF Model'!G45*(1+F$6)/($B9-F$6)/(1+$B9)^('DCF Model'!C19+4)-'DCF Model'!C16)*1000000/'DCF Model'!C15,0),"")</f>
        <v>325</v>
      </c>
      <c r="G9" s="37">
        <f>IFERROR(ROUND(('DCF Model'!C45/(1+$B9)^('DCF Model'!C19+0)+'DCF Model'!D45/(1+$B9)^('DCF Model'!C19+1)+'DCF Model'!E45/(1+$B9)^('DCF Model'!C19+2)+'DCF Model'!F45/(1+$B9)^('DCF Model'!C19+3)+'DCF Model'!G45/(1+$B9)^('DCF Model'!C19+4)+'DCF Model'!G45*(1+G$6)/($B9-G$6)/(1+$B9)^('DCF Model'!C19+4)-'DCF Model'!C16)*1000000/'DCF Model'!C15,0),"")</f>
        <v>352</v>
      </c>
      <c r="H9" s="37">
        <f>IFERROR(ROUND(('DCF Model'!C45/(1+$B9)^('DCF Model'!C19+0)+'DCF Model'!D45/(1+$B9)^('DCF Model'!C19+1)+'DCF Model'!E45/(1+$B9)^('DCF Model'!C19+2)+'DCF Model'!F45/(1+$B9)^('DCF Model'!C19+3)+'DCF Model'!G45/(1+$B9)^('DCF Model'!C19+4)+'DCF Model'!G45*(1+H$6)/($B9-H$6)/(1+$B9)^('DCF Model'!C19+4)-'DCF Model'!C16)*1000000/'DCF Model'!C15,0),"")</f>
        <v>383</v>
      </c>
      <c r="I9" s="37">
        <f>IFERROR(ROUND(('DCF Model'!C45/(1+$B9)^('DCF Model'!C19+0)+'DCF Model'!D45/(1+$B9)^('DCF Model'!C19+1)+'DCF Model'!E45/(1+$B9)^('DCF Model'!C19+2)+'DCF Model'!F45/(1+$B9)^('DCF Model'!C19+3)+'DCF Model'!G45/(1+$B9)^('DCF Model'!C19+4)+'DCF Model'!G45*(1+I$6)/($B9-I$6)/(1+$B9)^('DCF Model'!C19+4)-'DCF Model'!C16)*1000000/'DCF Model'!C15,0),"")</f>
        <v>416</v>
      </c>
    </row>
    <row r="10" spans="2:9" ht="13.5" x14ac:dyDescent="0.25">
      <c r="B10" s="39">
        <f>$C$3</f>
        <v>7.4976609858148802E-2</v>
      </c>
      <c r="C10" s="37">
        <f>IFERROR(ROUND(('DCF Model'!C45/(1+$B10)^('DCF Model'!C19+0)+'DCF Model'!D45/(1+$B10)^('DCF Model'!C19+1)+'DCF Model'!E45/(1+$B10)^('DCF Model'!C19+2)+'DCF Model'!F45/(1+$B10)^('DCF Model'!C19+3)+'DCF Model'!G45/(1+$B10)^('DCF Model'!C19+4)+'DCF Model'!G45*(1+C$6)/($B10-C$6)/(1+$B10)^('DCF Model'!C19+4)-'DCF Model'!C16)*1000000/'DCF Model'!C15,0),"")</f>
        <v>202</v>
      </c>
      <c r="D10" s="37">
        <f>IFERROR(ROUND(('DCF Model'!C45/(1+$B10)^('DCF Model'!C19+0)+'DCF Model'!D45/(1+$B10)^('DCF Model'!C19+1)+'DCF Model'!E45/(1+$B10)^('DCF Model'!C19+2)+'DCF Model'!F45/(1+$B10)^('DCF Model'!C19+3)+'DCF Model'!G45/(1+$B10)^('DCF Model'!C19+4)+'DCF Model'!G45*(1+D$6)/($B10-D$6)/(1+$B10)^('DCF Model'!C19+4)-'DCF Model'!C16)*1000000/'DCF Model'!C15,0),"")</f>
        <v>220</v>
      </c>
      <c r="E10" s="37">
        <f>IFERROR(ROUND(('DCF Model'!C45/(1+$B10)^('DCF Model'!C19+0)+'DCF Model'!D45/(1+$B10)^('DCF Model'!C19+1)+'DCF Model'!E45/(1+$B10)^('DCF Model'!C19+2)+'DCF Model'!F45/(1+$B10)^('DCF Model'!C19+3)+'DCF Model'!G45/(1+$B10)^('DCF Model'!C19+4)+'DCF Model'!G45*(1+E$6)/($B10-E$6)/(1+$B10)^('DCF Model'!C19+4)-'DCF Model'!C16)*1000000/'DCF Model'!C15,0),"")</f>
        <v>240</v>
      </c>
      <c r="F10" s="37">
        <f>IFERROR(ROUND(('DCF Model'!C45/(1+$B10)^('DCF Model'!C19+0)+'DCF Model'!D45/(1+$B10)^('DCF Model'!C19+1)+'DCF Model'!E45/(1+$B10)^('DCF Model'!C19+2)+'DCF Model'!F45/(1+$B10)^('DCF Model'!C19+3)+'DCF Model'!G45/(1+$B10)^('DCF Model'!C19+4)+'DCF Model'!G45*(1+F$6)/($B10-F$6)/(1+$B10)^('DCF Model'!C19+4)-'DCF Model'!C16)*1000000/'DCF Model'!C15,0),"")</f>
        <v>262</v>
      </c>
      <c r="G10" s="37">
        <f>IFERROR(ROUND(('DCF Model'!C45/(1+$B10)^('DCF Model'!C19+0)+'DCF Model'!D45/(1+$B10)^('DCF Model'!C19+1)+'DCF Model'!E45/(1+$B10)^('DCF Model'!C19+2)+'DCF Model'!F45/(1+$B10)^('DCF Model'!C19+3)+'DCF Model'!G45/(1+$B10)^('DCF Model'!C19+4)+'DCF Model'!G45*(1+G$6)/($B10-G$6)/(1+$B10)^('DCF Model'!C19+4)-'DCF Model'!C16)*1000000/'DCF Model'!C15,0),"")</f>
        <v>285</v>
      </c>
      <c r="H10" s="37">
        <f>IFERROR(ROUND(('DCF Model'!C45/(1+$B10)^('DCF Model'!C19+0)+'DCF Model'!D45/(1+$B10)^('DCF Model'!C19+1)+'DCF Model'!E45/(1+$B10)^('DCF Model'!C19+2)+'DCF Model'!F45/(1+$B10)^('DCF Model'!C19+3)+'DCF Model'!G45/(1+$B10)^('DCF Model'!C19+4)+'DCF Model'!G45*(1+H$6)/($B10-H$6)/(1+$B10)^('DCF Model'!C19+4)-'DCF Model'!C16)*1000000/'DCF Model'!C15,0),"")</f>
        <v>310</v>
      </c>
      <c r="I10" s="37">
        <f>IFERROR(ROUND(('DCF Model'!C45/(1+$B10)^('DCF Model'!C19+0)+'DCF Model'!D45/(1+$B10)^('DCF Model'!C19+1)+'DCF Model'!E45/(1+$B10)^('DCF Model'!C19+2)+'DCF Model'!F45/(1+$B10)^('DCF Model'!C19+3)+'DCF Model'!G45/(1+$B10)^('DCF Model'!C19+4)+'DCF Model'!G45*(1+I$6)/($B10-I$6)/(1+$B10)^('DCF Model'!C19+4)-'DCF Model'!C16)*1000000/'DCF Model'!C15,0),"")</f>
        <v>338</v>
      </c>
    </row>
    <row r="11" spans="2:9" ht="13.5" x14ac:dyDescent="0.25">
      <c r="B11" s="39">
        <f>$C$3+0.005</f>
        <v>7.9976609858148806E-2</v>
      </c>
      <c r="C11" s="37">
        <f>IFERROR(ROUND(('DCF Model'!C45/(1+$B11)^('DCF Model'!C19+0)+'DCF Model'!D45/(1+$B11)^('DCF Model'!C19+1)+'DCF Model'!E45/(1+$B11)^('DCF Model'!C19+2)+'DCF Model'!F45/(1+$B11)^('DCF Model'!C19+3)+'DCF Model'!G45/(1+$B11)^('DCF Model'!C19+4)+'DCF Model'!G45*(1+C$6)/($B11-C$6)/(1+$B11)^('DCF Model'!C19+4)-'DCF Model'!C16)*1000000/'DCF Model'!C15,0),"")</f>
        <v>157</v>
      </c>
      <c r="D11" s="37">
        <f>IFERROR(ROUND(('DCF Model'!C45/(1+$B11)^('DCF Model'!C19+0)+'DCF Model'!D45/(1+$B11)^('DCF Model'!C19+1)+'DCF Model'!E45/(1+$B11)^('DCF Model'!C19+2)+'DCF Model'!F45/(1+$B11)^('DCF Model'!C19+3)+'DCF Model'!G45/(1+$B11)^('DCF Model'!C19+4)+'DCF Model'!G45*(1+D$6)/($B11-D$6)/(1+$B11)^('DCF Model'!C19+4)-'DCF Model'!C16)*1000000/'DCF Model'!C15,0),"")</f>
        <v>173</v>
      </c>
      <c r="E11" s="37">
        <f>IFERROR(ROUND(('DCF Model'!C45/(1+$B11)^('DCF Model'!C19+0)+'DCF Model'!D45/(1+$B11)^('DCF Model'!C19+1)+'DCF Model'!E45/(1+$B11)^('DCF Model'!C19+2)+'DCF Model'!F45/(1+$B11)^('DCF Model'!C19+3)+'DCF Model'!G45/(1+$B11)^('DCF Model'!C19+4)+'DCF Model'!G45*(1+E$6)/($B11-E$6)/(1+$B11)^('DCF Model'!C19+4)-'DCF Model'!C16)*1000000/'DCF Model'!C15,0),"")</f>
        <v>190</v>
      </c>
      <c r="F11" s="37">
        <f>IFERROR(ROUND(('DCF Model'!C45/(1+$B11)^('DCF Model'!C19+0)+'DCF Model'!D45/(1+$B11)^('DCF Model'!C19+1)+'DCF Model'!E45/(1+$B11)^('DCF Model'!C19+2)+'DCF Model'!F45/(1+$B11)^('DCF Model'!C19+3)+'DCF Model'!G45/(1+$B11)^('DCF Model'!C19+4)+'DCF Model'!G45*(1+F$6)/($B11-F$6)/(1+$B11)^('DCF Model'!C19+4)-'DCF Model'!C16)*1000000/'DCF Model'!C15,0),"")</f>
        <v>208</v>
      </c>
      <c r="G11" s="37">
        <f>IFERROR(ROUND(('DCF Model'!C45/(1+$B11)^('DCF Model'!C19+0)+'DCF Model'!D45/(1+$B11)^('DCF Model'!C19+1)+'DCF Model'!E45/(1+$B11)^('DCF Model'!C19+2)+'DCF Model'!F45/(1+$B11)^('DCF Model'!C19+3)+'DCF Model'!G45/(1+$B11)^('DCF Model'!C19+4)+'DCF Model'!G45*(1+G$6)/($B11-G$6)/(1+$B11)^('DCF Model'!C19+4)-'DCF Model'!C16)*1000000/'DCF Model'!C15,0),"")</f>
        <v>228</v>
      </c>
      <c r="H11" s="37">
        <f>IFERROR(ROUND(('DCF Model'!C45/(1+$B11)^('DCF Model'!C19+0)+'DCF Model'!D45/(1+$B11)^('DCF Model'!C19+1)+'DCF Model'!E45/(1+$B11)^('DCF Model'!C19+2)+'DCF Model'!F45/(1+$B11)^('DCF Model'!C19+3)+'DCF Model'!G45/(1+$B11)^('DCF Model'!C19+4)+'DCF Model'!G45*(1+H$6)/($B11-H$6)/(1+$B11)^('DCF Model'!C19+4)-'DCF Model'!C16)*1000000/'DCF Model'!C15,0),"")</f>
        <v>249</v>
      </c>
      <c r="I11" s="37">
        <f>IFERROR(ROUND(('DCF Model'!C45/(1+$B11)^('DCF Model'!C19+0)+'DCF Model'!D45/(1+$B11)^('DCF Model'!C19+1)+'DCF Model'!E45/(1+$B11)^('DCF Model'!C19+2)+'DCF Model'!F45/(1+$B11)^('DCF Model'!C19+3)+'DCF Model'!G45/(1+$B11)^('DCF Model'!C19+4)+'DCF Model'!G45*(1+I$6)/($B11-I$6)/(1+$B11)^('DCF Model'!C19+4)-'DCF Model'!C16)*1000000/'DCF Model'!C15,0),"")</f>
        <v>271</v>
      </c>
    </row>
    <row r="12" spans="2:9" ht="13.5" x14ac:dyDescent="0.25">
      <c r="B12" s="39">
        <f>$C$3+0.01</f>
        <v>8.4976609858148797E-2</v>
      </c>
      <c r="C12" s="37">
        <f>IFERROR(ROUND(('DCF Model'!C45/(1+$B12)^('DCF Model'!C19+0)+'DCF Model'!D45/(1+$B12)^('DCF Model'!C19+1)+'DCF Model'!E45/(1+$B12)^('DCF Model'!C19+2)+'DCF Model'!F45/(1+$B12)^('DCF Model'!C19+3)+'DCF Model'!G45/(1+$B12)^('DCF Model'!C19+4)+'DCF Model'!G45*(1+C$6)/($B12-C$6)/(1+$B12)^('DCF Model'!C19+4)-'DCF Model'!C16)*1000000/'DCF Model'!C15,0),"")</f>
        <v>117</v>
      </c>
      <c r="D12" s="37">
        <f>IFERROR(ROUND(('DCF Model'!C45/(1+$B12)^('DCF Model'!C19+0)+'DCF Model'!D45/(1+$B12)^('DCF Model'!C19+1)+'DCF Model'!E45/(1+$B12)^('DCF Model'!C19+2)+'DCF Model'!F45/(1+$B12)^('DCF Model'!C19+3)+'DCF Model'!G45/(1+$B12)^('DCF Model'!C19+4)+'DCF Model'!G45*(1+D$6)/($B12-D$6)/(1+$B12)^('DCF Model'!C19+4)-'DCF Model'!C16)*1000000/'DCF Model'!C15,0),"")</f>
        <v>131</v>
      </c>
      <c r="E12" s="37">
        <f>IFERROR(ROUND(('DCF Model'!C45/(1+$B12)^('DCF Model'!C19+0)+'DCF Model'!D45/(1+$B12)^('DCF Model'!C19+1)+'DCF Model'!E45/(1+$B12)^('DCF Model'!C19+2)+'DCF Model'!F45/(1+$B12)^('DCF Model'!C19+3)+'DCF Model'!G45/(1+$B12)^('DCF Model'!C19+4)+'DCF Model'!G45*(1+E$6)/($B12-E$6)/(1+$B12)^('DCF Model'!C19+4)-'DCF Model'!C16)*1000000/'DCF Model'!C15,0),"")</f>
        <v>146</v>
      </c>
      <c r="F12" s="37">
        <f>IFERROR(ROUND(('DCF Model'!C45/(1+$B12)^('DCF Model'!C19+0)+'DCF Model'!D45/(1+$B12)^('DCF Model'!C19+1)+'DCF Model'!E45/(1+$B12)^('DCF Model'!C19+2)+'DCF Model'!F45/(1+$B12)^('DCF Model'!C19+3)+'DCF Model'!G45/(1+$B12)^('DCF Model'!C19+4)+'DCF Model'!G45*(1+F$6)/($B12-F$6)/(1+$B12)^('DCF Model'!C19+4)-'DCF Model'!C16)*1000000/'DCF Model'!C15,0),"")</f>
        <v>161</v>
      </c>
      <c r="G12" s="37">
        <f>IFERROR(ROUND(('DCF Model'!C45/(1+$B12)^('DCF Model'!C19+0)+'DCF Model'!D45/(1+$B12)^('DCF Model'!C19+1)+'DCF Model'!E45/(1+$B12)^('DCF Model'!C19+2)+'DCF Model'!F45/(1+$B12)^('DCF Model'!C19+3)+'DCF Model'!G45/(1+$B12)^('DCF Model'!C19+4)+'DCF Model'!G45*(1+G$6)/($B12-G$6)/(1+$B12)^('DCF Model'!C19+4)-'DCF Model'!C16)*1000000/'DCF Model'!C15,0),"")</f>
        <v>178</v>
      </c>
      <c r="H12" s="37">
        <f>IFERROR(ROUND(('DCF Model'!C45/(1+$B12)^('DCF Model'!C19+0)+'DCF Model'!D45/(1+$B12)^('DCF Model'!C19+1)+'DCF Model'!E45/(1+$B12)^('DCF Model'!C19+2)+'DCF Model'!F45/(1+$B12)^('DCF Model'!C19+3)+'DCF Model'!G45/(1+$B12)^('DCF Model'!C19+4)+'DCF Model'!G45*(1+H$6)/($B12-H$6)/(1+$B12)^('DCF Model'!C19+4)-'DCF Model'!C16)*1000000/'DCF Model'!C15,0),"")</f>
        <v>196</v>
      </c>
      <c r="I12" s="37">
        <f>IFERROR(ROUND(('DCF Model'!C45/(1+$B12)^('DCF Model'!C19+0)+'DCF Model'!D45/(1+$B12)^('DCF Model'!C19+1)+'DCF Model'!E45/(1+$B12)^('DCF Model'!C19+2)+'DCF Model'!F45/(1+$B12)^('DCF Model'!C19+3)+'DCF Model'!G45/(1+$B12)^('DCF Model'!C19+4)+'DCF Model'!G45*(1+I$6)/($B12-I$6)/(1+$B12)^('DCF Model'!C19+4)-'DCF Model'!C16)*1000000/'DCF Model'!C15,0),"")</f>
        <v>215</v>
      </c>
    </row>
    <row r="13" spans="2:9" ht="13.5" x14ac:dyDescent="0.25">
      <c r="B13" s="39">
        <f>$C$3+0.015</f>
        <v>8.9976609858148801E-2</v>
      </c>
      <c r="C13" s="37">
        <f>IFERROR(ROUND(('DCF Model'!C45/(1+$B13)^('DCF Model'!C19+0)+'DCF Model'!D45/(1+$B13)^('DCF Model'!C19+1)+'DCF Model'!E45/(1+$B13)^('DCF Model'!C19+2)+'DCF Model'!F45/(1+$B13)^('DCF Model'!C19+3)+'DCF Model'!G45/(1+$B13)^('DCF Model'!C19+4)+'DCF Model'!G45*(1+C$6)/($B13-C$6)/(1+$B13)^('DCF Model'!C19+4)-'DCF Model'!C16)*1000000/'DCF Model'!C15,0),"")</f>
        <v>82</v>
      </c>
      <c r="D13" s="37">
        <f>IFERROR(ROUND(('DCF Model'!C45/(1+$B13)^('DCF Model'!C19+0)+'DCF Model'!D45/(1+$B13)^('DCF Model'!C19+1)+'DCF Model'!E45/(1+$B13)^('DCF Model'!C19+2)+'DCF Model'!F45/(1+$B13)^('DCF Model'!C19+3)+'DCF Model'!G45/(1+$B13)^('DCF Model'!C19+4)+'DCF Model'!G45*(1+D$6)/($B13-D$6)/(1+$B13)^('DCF Model'!C19+4)-'DCF Model'!C16)*1000000/'DCF Model'!C15,0),"")</f>
        <v>94</v>
      </c>
      <c r="E13" s="37">
        <f>IFERROR(ROUND(('DCF Model'!C45/(1+$B13)^('DCF Model'!C19+0)+'DCF Model'!D45/(1+$B13)^('DCF Model'!C19+1)+'DCF Model'!E45/(1+$B13)^('DCF Model'!C19+2)+'DCF Model'!F45/(1+$B13)^('DCF Model'!C19+3)+'DCF Model'!G45/(1+$B13)^('DCF Model'!C19+4)+'DCF Model'!G45*(1+E$6)/($B13-E$6)/(1+$B13)^('DCF Model'!C19+4)-'DCF Model'!C16)*1000000/'DCF Model'!C15,0),"")</f>
        <v>107</v>
      </c>
      <c r="F13" s="37">
        <f>IFERROR(ROUND(('DCF Model'!C45/(1+$B13)^('DCF Model'!C19+0)+'DCF Model'!D45/(1+$B13)^('DCF Model'!C19+1)+'DCF Model'!E45/(1+$B13)^('DCF Model'!C19+2)+'DCF Model'!F45/(1+$B13)^('DCF Model'!C19+3)+'DCF Model'!G45/(1+$B13)^('DCF Model'!C19+4)+'DCF Model'!G45*(1+F$6)/($B13-F$6)/(1+$B13)^('DCF Model'!C19+4)-'DCF Model'!C16)*1000000/'DCF Model'!C15,0),"")</f>
        <v>120</v>
      </c>
      <c r="G13" s="37">
        <f>IFERROR(ROUND(('DCF Model'!C45/(1+$B13)^('DCF Model'!C19+0)+'DCF Model'!D45/(1+$B13)^('DCF Model'!C19+1)+'DCF Model'!E45/(1+$B13)^('DCF Model'!C19+2)+'DCF Model'!F45/(1+$B13)^('DCF Model'!C19+3)+'DCF Model'!G45/(1+$B13)^('DCF Model'!C19+4)+'DCF Model'!G45*(1+G$6)/($B13-G$6)/(1+$B13)^('DCF Model'!C19+4)-'DCF Model'!C16)*1000000/'DCF Model'!C15,0),"")</f>
        <v>135</v>
      </c>
      <c r="H13" s="37">
        <f>IFERROR(ROUND(('DCF Model'!C45/(1+$B13)^('DCF Model'!C19+0)+'DCF Model'!D45/(1+$B13)^('DCF Model'!C19+1)+'DCF Model'!E45/(1+$B13)^('DCF Model'!C19+2)+'DCF Model'!F45/(1+$B13)^('DCF Model'!C19+3)+'DCF Model'!G45/(1+$B13)^('DCF Model'!C19+4)+'DCF Model'!G45*(1+H$6)/($B13-H$6)/(1+$B13)^('DCF Model'!C19+4)-'DCF Model'!C16)*1000000/'DCF Model'!C15,0),"")</f>
        <v>150</v>
      </c>
      <c r="I13" s="37">
        <f>IFERROR(ROUND(('DCF Model'!C45/(1+$B13)^('DCF Model'!C19+0)+'DCF Model'!D45/(1+$B13)^('DCF Model'!C19+1)+'DCF Model'!E45/(1+$B13)^('DCF Model'!C19+2)+'DCF Model'!F45/(1+$B13)^('DCF Model'!C19+3)+'DCF Model'!G45/(1+$B13)^('DCF Model'!C19+4)+'DCF Model'!G45*(1+I$6)/($B13-I$6)/(1+$B13)^('DCF Model'!C19+4)-'DCF Model'!C16)*1000000/'DCF Model'!C15,0),"")</f>
        <v>166</v>
      </c>
    </row>
    <row r="16" spans="2:9" ht="14" x14ac:dyDescent="0.3">
      <c r="B16" s="3" t="s">
        <v>236</v>
      </c>
    </row>
    <row r="17" spans="2:9" ht="14" x14ac:dyDescent="0.3">
      <c r="B17" s="40" t="s">
        <v>237</v>
      </c>
      <c r="C17" s="42">
        <f>$I$3-3</f>
        <v>5.6999999999999993</v>
      </c>
      <c r="D17" s="42">
        <f>$I$3-2</f>
        <v>6.6999999999999993</v>
      </c>
      <c r="E17" s="42">
        <f>$I$3-1</f>
        <v>7.6999999999999993</v>
      </c>
      <c r="F17" s="42">
        <f>$I$3</f>
        <v>8.6999999999999993</v>
      </c>
      <c r="G17" s="42">
        <f>$I$3+1</f>
        <v>9.6999999999999993</v>
      </c>
      <c r="H17" s="42">
        <f>$I$3+2</f>
        <v>10.7</v>
      </c>
      <c r="I17" s="42">
        <f>$I$3+3</f>
        <v>11.7</v>
      </c>
    </row>
    <row r="18" spans="2:9" ht="13.5" x14ac:dyDescent="0.25">
      <c r="B18" s="39">
        <f>$C$3-0.015</f>
        <v>5.9976609858148802E-2</v>
      </c>
      <c r="C18" s="37">
        <f>IFERROR(ROUND(('DCF Model'!C45/(1+$B18)^('DCF Model'!C19+0)+'DCF Model'!D45/(1+$B18)^('DCF Model'!C19+1)+'DCF Model'!E45/(1+$B18)^('DCF Model'!C19+2)+'DCF Model'!F45/(1+$B18)^('DCF Model'!C19+3)+'DCF Model'!G45/(1+$B18)^('DCF Model'!C19+4)+('DCF Model'!G39+'DCF Model'!G42)*C$17/(1+$B18)^('DCF Model'!C19+4)-'DCF Model'!C16)*1000000/'DCF Model'!C15,0),"")</f>
        <v>421</v>
      </c>
      <c r="D18" s="37">
        <f>IFERROR(ROUND(('DCF Model'!C45/(1+$B18)^('DCF Model'!C19+0)+'DCF Model'!D45/(1+$B18)^('DCF Model'!C19+1)+'DCF Model'!E45/(1+$B18)^('DCF Model'!C19+2)+'DCF Model'!F45/(1+$B18)^('DCF Model'!C19+3)+'DCF Model'!G45/(1+$B18)^('DCF Model'!C19+4)+('DCF Model'!G39+'DCF Model'!G42)*D$17/(1+$B18)^('DCF Model'!C19+4)-'DCF Model'!C16)*1000000/'DCF Model'!C15,0),"")</f>
        <v>542</v>
      </c>
      <c r="E18" s="37">
        <f>IFERROR(ROUND(('DCF Model'!C45/(1+$B18)^('DCF Model'!C19+0)+'DCF Model'!D45/(1+$B18)^('DCF Model'!C19+1)+'DCF Model'!E45/(1+$B18)^('DCF Model'!C19+2)+'DCF Model'!F45/(1+$B18)^('DCF Model'!C19+3)+'DCF Model'!G45/(1+$B18)^('DCF Model'!C19+4)+('DCF Model'!G39+'DCF Model'!G42)*E$17/(1+$B18)^('DCF Model'!C19+4)-'DCF Model'!C16)*1000000/'DCF Model'!C15,0),"")</f>
        <v>664</v>
      </c>
      <c r="F18" s="37">
        <f>IFERROR(ROUND(('DCF Model'!C45/(1+$B18)^('DCF Model'!C19+0)+'DCF Model'!D45/(1+$B18)^('DCF Model'!C19+1)+'DCF Model'!E45/(1+$B18)^('DCF Model'!C19+2)+'DCF Model'!F45/(1+$B18)^('DCF Model'!C19+3)+'DCF Model'!G45/(1+$B18)^('DCF Model'!C19+4)+('DCF Model'!G39+'DCF Model'!G42)*F$17/(1+$B18)^('DCF Model'!C19+4)-'DCF Model'!C16)*1000000/'DCF Model'!C15,0),"")</f>
        <v>786</v>
      </c>
      <c r="G18" s="37">
        <f>IFERROR(ROUND(('DCF Model'!C45/(1+$B18)^('DCF Model'!C19+0)+'DCF Model'!D45/(1+$B18)^('DCF Model'!C19+1)+'DCF Model'!E45/(1+$B18)^('DCF Model'!C19+2)+'DCF Model'!F45/(1+$B18)^('DCF Model'!C19+3)+'DCF Model'!G45/(1+$B18)^('DCF Model'!C19+4)+('DCF Model'!G39+'DCF Model'!G42)*G$17/(1+$B18)^('DCF Model'!C19+4)-'DCF Model'!C16)*1000000/'DCF Model'!C15,0),"")</f>
        <v>908</v>
      </c>
      <c r="H18" s="37">
        <f>IFERROR(ROUND(('DCF Model'!C45/(1+$B18)^('DCF Model'!C19+0)+'DCF Model'!D45/(1+$B18)^('DCF Model'!C19+1)+'DCF Model'!E45/(1+$B18)^('DCF Model'!C19+2)+'DCF Model'!F45/(1+$B18)^('DCF Model'!C19+3)+'DCF Model'!G45/(1+$B18)^('DCF Model'!C19+4)+('DCF Model'!G39+'DCF Model'!G42)*H$17/(1+$B18)^('DCF Model'!C19+4)-'DCF Model'!C16)*1000000/'DCF Model'!C15,0),"")</f>
        <v>1030</v>
      </c>
      <c r="I18" s="37">
        <f>IFERROR(ROUND(('DCF Model'!C45/(1+$B18)^('DCF Model'!C19+0)+'DCF Model'!D45/(1+$B18)^('DCF Model'!C19+1)+'DCF Model'!E45/(1+$B18)^('DCF Model'!C19+2)+'DCF Model'!F45/(1+$B18)^('DCF Model'!C19+3)+'DCF Model'!G45/(1+$B18)^('DCF Model'!C19+4)+('DCF Model'!G39+'DCF Model'!G42)*I$17/(1+$B18)^('DCF Model'!C19+4)-'DCF Model'!C16)*1000000/'DCF Model'!C15,0),"")</f>
        <v>1151</v>
      </c>
    </row>
    <row r="19" spans="2:9" ht="13.5" x14ac:dyDescent="0.25">
      <c r="B19" s="39">
        <f>$C$3-0.01</f>
        <v>6.4976609858148807E-2</v>
      </c>
      <c r="C19" s="37">
        <f>IFERROR(ROUND(('DCF Model'!C45/(1+$B19)^('DCF Model'!C19+0)+'DCF Model'!D45/(1+$B19)^('DCF Model'!C19+1)+'DCF Model'!E45/(1+$B19)^('DCF Model'!C19+2)+'DCF Model'!F45/(1+$B19)^('DCF Model'!C19+3)+'DCF Model'!G45/(1+$B19)^('DCF Model'!C19+4)+('DCF Model'!G39+'DCF Model'!G42)*C$17/(1+$B19)^('DCF Model'!C19+4)-'DCF Model'!C16)*1000000/'DCF Model'!C15,0),"")</f>
        <v>401</v>
      </c>
      <c r="D19" s="37">
        <f>IFERROR(ROUND(('DCF Model'!C45/(1+$B19)^('DCF Model'!C19+0)+'DCF Model'!D45/(1+$B19)^('DCF Model'!C19+1)+'DCF Model'!E45/(1+$B19)^('DCF Model'!C19+2)+'DCF Model'!F45/(1+$B19)^('DCF Model'!C19+3)+'DCF Model'!G45/(1+$B19)^('DCF Model'!C19+4)+('DCF Model'!G39+'DCF Model'!G42)*D$17/(1+$B19)^('DCF Model'!C19+4)-'DCF Model'!C16)*1000000/'DCF Model'!C15,0),"")</f>
        <v>520</v>
      </c>
      <c r="E19" s="37">
        <f>IFERROR(ROUND(('DCF Model'!C45/(1+$B19)^('DCF Model'!C19+0)+'DCF Model'!D45/(1+$B19)^('DCF Model'!C19+1)+'DCF Model'!E45/(1+$B19)^('DCF Model'!C19+2)+'DCF Model'!F45/(1+$B19)^('DCF Model'!C19+3)+'DCF Model'!G45/(1+$B19)^('DCF Model'!C19+4)+('DCF Model'!G39+'DCF Model'!G42)*E$17/(1+$B19)^('DCF Model'!C19+4)-'DCF Model'!C16)*1000000/'DCF Model'!C15,0),"")</f>
        <v>639</v>
      </c>
      <c r="F19" s="37">
        <f>IFERROR(ROUND(('DCF Model'!C45/(1+$B19)^('DCF Model'!C19+0)+'DCF Model'!D45/(1+$B19)^('DCF Model'!C19+1)+'DCF Model'!E45/(1+$B19)^('DCF Model'!C19+2)+'DCF Model'!F45/(1+$B19)^('DCF Model'!C19+3)+'DCF Model'!G45/(1+$B19)^('DCF Model'!C19+4)+('DCF Model'!G39+'DCF Model'!G42)*F$17/(1+$B19)^('DCF Model'!C19+4)-'DCF Model'!C16)*1000000/'DCF Model'!C15,0),"")</f>
        <v>758</v>
      </c>
      <c r="G19" s="37">
        <f>IFERROR(ROUND(('DCF Model'!C45/(1+$B19)^('DCF Model'!C19+0)+'DCF Model'!D45/(1+$B19)^('DCF Model'!C19+1)+'DCF Model'!E45/(1+$B19)^('DCF Model'!C19+2)+'DCF Model'!F45/(1+$B19)^('DCF Model'!C19+3)+'DCF Model'!G45/(1+$B19)^('DCF Model'!C19+4)+('DCF Model'!G39+'DCF Model'!G42)*G$17/(1+$B19)^('DCF Model'!C19+4)-'DCF Model'!C16)*1000000/'DCF Model'!C15,0),"")</f>
        <v>877</v>
      </c>
      <c r="H19" s="37">
        <f>IFERROR(ROUND(('DCF Model'!C45/(1+$B19)^('DCF Model'!C19+0)+'DCF Model'!D45/(1+$B19)^('DCF Model'!C19+1)+'DCF Model'!E45/(1+$B19)^('DCF Model'!C19+2)+'DCF Model'!F45/(1+$B19)^('DCF Model'!C19+3)+'DCF Model'!G45/(1+$B19)^('DCF Model'!C19+4)+('DCF Model'!G39+'DCF Model'!G42)*H$17/(1+$B19)^('DCF Model'!C19+4)-'DCF Model'!C16)*1000000/'DCF Model'!C15,0),"")</f>
        <v>996</v>
      </c>
      <c r="I19" s="37">
        <f>IFERROR(ROUND(('DCF Model'!C45/(1+$B19)^('DCF Model'!C19+0)+'DCF Model'!D45/(1+$B19)^('DCF Model'!C19+1)+'DCF Model'!E45/(1+$B19)^('DCF Model'!C19+2)+'DCF Model'!F45/(1+$B19)^('DCF Model'!C19+3)+'DCF Model'!G45/(1+$B19)^('DCF Model'!C19+4)+('DCF Model'!G39+'DCF Model'!G42)*I$17/(1+$B19)^('DCF Model'!C19+4)-'DCF Model'!C16)*1000000/'DCF Model'!C15,0),"")</f>
        <v>1115</v>
      </c>
    </row>
    <row r="20" spans="2:9" ht="13.5" x14ac:dyDescent="0.25">
      <c r="B20" s="39">
        <f>$C$3-0.005</f>
        <v>6.9976609858148797E-2</v>
      </c>
      <c r="C20" s="37">
        <f>IFERROR(ROUND(('DCF Model'!C45/(1+$B20)^('DCF Model'!C19+0)+'DCF Model'!D45/(1+$B20)^('DCF Model'!C19+1)+'DCF Model'!E45/(1+$B20)^('DCF Model'!C19+2)+'DCF Model'!F45/(1+$B20)^('DCF Model'!C19+3)+'DCF Model'!G45/(1+$B20)^('DCF Model'!C19+4)+('DCF Model'!G39+'DCF Model'!G42)*C$17/(1+$B20)^('DCF Model'!C19+4)-'DCF Model'!C16)*1000000/'DCF Model'!C15,0),"")</f>
        <v>382</v>
      </c>
      <c r="D20" s="37">
        <f>IFERROR(ROUND(('DCF Model'!C45/(1+$B20)^('DCF Model'!C19+0)+'DCF Model'!D45/(1+$B20)^('DCF Model'!C19+1)+'DCF Model'!E45/(1+$B20)^('DCF Model'!C19+2)+'DCF Model'!F45/(1+$B20)^('DCF Model'!C19+3)+'DCF Model'!G45/(1+$B20)^('DCF Model'!C19+4)+('DCF Model'!G39+'DCF Model'!G42)*D$17/(1+$B20)^('DCF Model'!C19+4)-'DCF Model'!C16)*1000000/'DCF Model'!C15,0),"")</f>
        <v>498</v>
      </c>
      <c r="E20" s="37">
        <f>IFERROR(ROUND(('DCF Model'!C45/(1+$B20)^('DCF Model'!C19+0)+'DCF Model'!D45/(1+$B20)^('DCF Model'!C19+1)+'DCF Model'!E45/(1+$B20)^('DCF Model'!C19+2)+'DCF Model'!F45/(1+$B20)^('DCF Model'!C19+3)+'DCF Model'!G45/(1+$B20)^('DCF Model'!C19+4)+('DCF Model'!G39+'DCF Model'!G42)*E$17/(1+$B20)^('DCF Model'!C19+4)-'DCF Model'!C16)*1000000/'DCF Model'!C15,0),"")</f>
        <v>614</v>
      </c>
      <c r="F20" s="37">
        <f>IFERROR(ROUND(('DCF Model'!C45/(1+$B20)^('DCF Model'!C19+0)+'DCF Model'!D45/(1+$B20)^('DCF Model'!C19+1)+'DCF Model'!E45/(1+$B20)^('DCF Model'!C19+2)+'DCF Model'!F45/(1+$B20)^('DCF Model'!C19+3)+'DCF Model'!G45/(1+$B20)^('DCF Model'!C19+4)+('DCF Model'!G39+'DCF Model'!G42)*F$17/(1+$B20)^('DCF Model'!C19+4)-'DCF Model'!C16)*1000000/'DCF Model'!C15,0),"")</f>
        <v>731</v>
      </c>
      <c r="G20" s="37">
        <f>IFERROR(ROUND(('DCF Model'!C45/(1+$B20)^('DCF Model'!C19+0)+'DCF Model'!D45/(1+$B20)^('DCF Model'!C19+1)+'DCF Model'!E45/(1+$B20)^('DCF Model'!C19+2)+'DCF Model'!F45/(1+$B20)^('DCF Model'!C19+3)+'DCF Model'!G45/(1+$B20)^('DCF Model'!C19+4)+('DCF Model'!G39+'DCF Model'!G42)*G$17/(1+$B20)^('DCF Model'!C19+4)-'DCF Model'!C16)*1000000/'DCF Model'!C15,0),"")</f>
        <v>847</v>
      </c>
      <c r="H20" s="37">
        <f>IFERROR(ROUND(('DCF Model'!C45/(1+$B20)^('DCF Model'!C19+0)+'DCF Model'!D45/(1+$B20)^('DCF Model'!C19+1)+'DCF Model'!E45/(1+$B20)^('DCF Model'!C19+2)+'DCF Model'!F45/(1+$B20)^('DCF Model'!C19+3)+'DCF Model'!G45/(1+$B20)^('DCF Model'!C19+4)+('DCF Model'!G39+'DCF Model'!G42)*H$17/(1+$B20)^('DCF Model'!C19+4)-'DCF Model'!C16)*1000000/'DCF Model'!C15,0),"")</f>
        <v>963</v>
      </c>
      <c r="I20" s="37">
        <f>IFERROR(ROUND(('DCF Model'!C45/(1+$B20)^('DCF Model'!C19+0)+'DCF Model'!D45/(1+$B20)^('DCF Model'!C19+1)+'DCF Model'!E45/(1+$B20)^('DCF Model'!C19+2)+'DCF Model'!F45/(1+$B20)^('DCF Model'!C19+3)+'DCF Model'!G45/(1+$B20)^('DCF Model'!C19+4)+('DCF Model'!G39+'DCF Model'!G42)*I$17/(1+$B20)^('DCF Model'!C19+4)-'DCF Model'!C16)*1000000/'DCF Model'!C15,0),"")</f>
        <v>1079</v>
      </c>
    </row>
    <row r="21" spans="2:9" ht="13.5" x14ac:dyDescent="0.25">
      <c r="B21" s="39">
        <f>$C$3</f>
        <v>7.4976609858148802E-2</v>
      </c>
      <c r="C21" s="37">
        <f>IFERROR(ROUND(('DCF Model'!C45/(1+$B21)^('DCF Model'!C19+0)+'DCF Model'!D45/(1+$B21)^('DCF Model'!C19+1)+'DCF Model'!E45/(1+$B21)^('DCF Model'!C19+2)+'DCF Model'!F45/(1+$B21)^('DCF Model'!C19+3)+'DCF Model'!G45/(1+$B21)^('DCF Model'!C19+4)+('DCF Model'!G39+'DCF Model'!G42)*C$17/(1+$B21)^('DCF Model'!C19+4)-'DCF Model'!C16)*1000000/'DCF Model'!C15,0),"")</f>
        <v>363</v>
      </c>
      <c r="D21" s="37">
        <f>IFERROR(ROUND(('DCF Model'!C45/(1+$B21)^('DCF Model'!C19+0)+'DCF Model'!D45/(1+$B21)^('DCF Model'!C19+1)+'DCF Model'!E45/(1+$B21)^('DCF Model'!C19+2)+'DCF Model'!F45/(1+$B21)^('DCF Model'!C19+3)+'DCF Model'!G45/(1+$B21)^('DCF Model'!C19+4)+('DCF Model'!G39+'DCF Model'!G42)*D$17/(1+$B21)^('DCF Model'!C19+4)-'DCF Model'!C16)*1000000/'DCF Model'!C15,0),"")</f>
        <v>477</v>
      </c>
      <c r="E21" s="37">
        <f>IFERROR(ROUND(('DCF Model'!C45/(1+$B21)^('DCF Model'!C19+0)+'DCF Model'!D45/(1+$B21)^('DCF Model'!C19+1)+'DCF Model'!E45/(1+$B21)^('DCF Model'!C19+2)+'DCF Model'!F45/(1+$B21)^('DCF Model'!C19+3)+'DCF Model'!G45/(1+$B21)^('DCF Model'!C19+4)+('DCF Model'!G39+'DCF Model'!G42)*E$17/(1+$B21)^('DCF Model'!C19+4)-'DCF Model'!C16)*1000000/'DCF Model'!C15,0),"")</f>
        <v>590</v>
      </c>
      <c r="F21" s="37">
        <f>IFERROR(ROUND(('DCF Model'!C45/(1+$B21)^('DCF Model'!C19+0)+'DCF Model'!D45/(1+$B21)^('DCF Model'!C19+1)+'DCF Model'!E45/(1+$B21)^('DCF Model'!C19+2)+'DCF Model'!F45/(1+$B21)^('DCF Model'!C19+3)+'DCF Model'!G45/(1+$B21)^('DCF Model'!C19+4)+('DCF Model'!G39+'DCF Model'!G42)*F$17/(1+$B21)^('DCF Model'!C19+4)-'DCF Model'!C16)*1000000/'DCF Model'!C15,0),"")</f>
        <v>704</v>
      </c>
      <c r="G21" s="37">
        <f>IFERROR(ROUND(('DCF Model'!C45/(1+$B21)^('DCF Model'!C19+0)+'DCF Model'!D45/(1+$B21)^('DCF Model'!C19+1)+'DCF Model'!E45/(1+$B21)^('DCF Model'!C19+2)+'DCF Model'!F45/(1+$B21)^('DCF Model'!C19+3)+'DCF Model'!G45/(1+$B21)^('DCF Model'!C19+4)+('DCF Model'!G39+'DCF Model'!G42)*G$17/(1+$B21)^('DCF Model'!C19+4)-'DCF Model'!C16)*1000000/'DCF Model'!C15,0),"")</f>
        <v>817</v>
      </c>
      <c r="H21" s="37">
        <f>IFERROR(ROUND(('DCF Model'!C45/(1+$B21)^('DCF Model'!C19+0)+'DCF Model'!D45/(1+$B21)^('DCF Model'!C19+1)+'DCF Model'!E45/(1+$B21)^('DCF Model'!C19+2)+'DCF Model'!F45/(1+$B21)^('DCF Model'!C19+3)+'DCF Model'!G45/(1+$B21)^('DCF Model'!C19+4)+('DCF Model'!G39+'DCF Model'!G42)*H$17/(1+$B21)^('DCF Model'!C19+4)-'DCF Model'!C16)*1000000/'DCF Model'!C15,0),"")</f>
        <v>931</v>
      </c>
      <c r="I21" s="37">
        <f>IFERROR(ROUND(('DCF Model'!C45/(1+$B21)^('DCF Model'!C19+0)+'DCF Model'!D45/(1+$B21)^('DCF Model'!C19+1)+'DCF Model'!E45/(1+$B21)^('DCF Model'!C19+2)+'DCF Model'!F45/(1+$B21)^('DCF Model'!C19+3)+'DCF Model'!G45/(1+$B21)^('DCF Model'!C19+4)+('DCF Model'!G39+'DCF Model'!G42)*I$17/(1+$B21)^('DCF Model'!C19+4)-'DCF Model'!C16)*1000000/'DCF Model'!C15,0),"")</f>
        <v>1044</v>
      </c>
    </row>
    <row r="22" spans="2:9" ht="13.5" x14ac:dyDescent="0.25">
      <c r="B22" s="39">
        <f>$C$3+0.005</f>
        <v>7.9976609858148806E-2</v>
      </c>
      <c r="C22" s="37">
        <f>IFERROR(ROUND(('DCF Model'!C45/(1+$B22)^('DCF Model'!C19+0)+'DCF Model'!D45/(1+$B22)^('DCF Model'!C19+1)+'DCF Model'!E45/(1+$B22)^('DCF Model'!C19+2)+'DCF Model'!F45/(1+$B22)^('DCF Model'!C19+3)+'DCF Model'!G45/(1+$B22)^('DCF Model'!C19+4)+('DCF Model'!G39+'DCF Model'!G42)*C$17/(1+$B22)^('DCF Model'!C19+4)-'DCF Model'!C16)*1000000/'DCF Model'!C15,0),"")</f>
        <v>345</v>
      </c>
      <c r="D22" s="37">
        <f>IFERROR(ROUND(('DCF Model'!C45/(1+$B22)^('DCF Model'!C19+0)+'DCF Model'!D45/(1+$B22)^('DCF Model'!C19+1)+'DCF Model'!E45/(1+$B22)^('DCF Model'!C19+2)+'DCF Model'!F45/(1+$B22)^('DCF Model'!C19+3)+'DCF Model'!G45/(1+$B22)^('DCF Model'!C19+4)+('DCF Model'!G39+'DCF Model'!G42)*D$17/(1+$B22)^('DCF Model'!C19+4)-'DCF Model'!C16)*1000000/'DCF Model'!C15,0),"")</f>
        <v>456</v>
      </c>
      <c r="E22" s="37">
        <f>IFERROR(ROUND(('DCF Model'!C45/(1+$B22)^('DCF Model'!C19+0)+'DCF Model'!D45/(1+$B22)^('DCF Model'!C19+1)+'DCF Model'!E45/(1+$B22)^('DCF Model'!C19+2)+'DCF Model'!F45/(1+$B22)^('DCF Model'!C19+3)+'DCF Model'!G45/(1+$B22)^('DCF Model'!C19+4)+('DCF Model'!G39+'DCF Model'!G42)*E$17/(1+$B22)^('DCF Model'!C19+4)-'DCF Model'!C16)*1000000/'DCF Model'!C15,0),"")</f>
        <v>567</v>
      </c>
      <c r="F22" s="37">
        <f>IFERROR(ROUND(('DCF Model'!C45/(1+$B22)^('DCF Model'!C19+0)+'DCF Model'!D45/(1+$B22)^('DCF Model'!C19+1)+'DCF Model'!E45/(1+$B22)^('DCF Model'!C19+2)+'DCF Model'!F45/(1+$B22)^('DCF Model'!C19+3)+'DCF Model'!G45/(1+$B22)^('DCF Model'!C19+4)+('DCF Model'!G39+'DCF Model'!G42)*F$17/(1+$B22)^('DCF Model'!C19+4)-'DCF Model'!C16)*1000000/'DCF Model'!C15,0),"")</f>
        <v>678</v>
      </c>
      <c r="G22" s="37">
        <f>IFERROR(ROUND(('DCF Model'!C45/(1+$B22)^('DCF Model'!C19+0)+'DCF Model'!D45/(1+$B22)^('DCF Model'!C19+1)+'DCF Model'!E45/(1+$B22)^('DCF Model'!C19+2)+'DCF Model'!F45/(1+$B22)^('DCF Model'!C19+3)+'DCF Model'!G45/(1+$B22)^('DCF Model'!C19+4)+('DCF Model'!G39+'DCF Model'!G42)*G$17/(1+$B22)^('DCF Model'!C19+4)-'DCF Model'!C16)*1000000/'DCF Model'!C15,0),"")</f>
        <v>789</v>
      </c>
      <c r="H22" s="37">
        <f>IFERROR(ROUND(('DCF Model'!C45/(1+$B22)^('DCF Model'!C19+0)+'DCF Model'!D45/(1+$B22)^('DCF Model'!C19+1)+'DCF Model'!E45/(1+$B22)^('DCF Model'!C19+2)+'DCF Model'!F45/(1+$B22)^('DCF Model'!C19+3)+'DCF Model'!G45/(1+$B22)^('DCF Model'!C19+4)+('DCF Model'!G39+'DCF Model'!G42)*H$17/(1+$B22)^('DCF Model'!C19+4)-'DCF Model'!C16)*1000000/'DCF Model'!C15,0),"")</f>
        <v>900</v>
      </c>
      <c r="I22" s="37">
        <f>IFERROR(ROUND(('DCF Model'!C45/(1+$B22)^('DCF Model'!C19+0)+'DCF Model'!D45/(1+$B22)^('DCF Model'!C19+1)+'DCF Model'!E45/(1+$B22)^('DCF Model'!C19+2)+'DCF Model'!F45/(1+$B22)^('DCF Model'!C19+3)+'DCF Model'!G45/(1+$B22)^('DCF Model'!C19+4)+('DCF Model'!G39+'DCF Model'!G42)*I$17/(1+$B22)^('DCF Model'!C19+4)-'DCF Model'!C16)*1000000/'DCF Model'!C15,0),"")</f>
        <v>1011</v>
      </c>
    </row>
    <row r="23" spans="2:9" ht="13.5" x14ac:dyDescent="0.25">
      <c r="B23" s="39">
        <f>$C$3+0.01</f>
        <v>8.4976609858148797E-2</v>
      </c>
      <c r="C23" s="37">
        <f>IFERROR(ROUND(('DCF Model'!C45/(1+$B23)^('DCF Model'!C19+0)+'DCF Model'!D45/(1+$B23)^('DCF Model'!C19+1)+'DCF Model'!E45/(1+$B23)^('DCF Model'!C19+2)+'DCF Model'!F45/(1+$B23)^('DCF Model'!C19+3)+'DCF Model'!G45/(1+$B23)^('DCF Model'!C19+4)+('DCF Model'!G39+'DCF Model'!G42)*C$17/(1+$B23)^('DCF Model'!C19+4)-'DCF Model'!C16)*1000000/'DCF Model'!C15,0),"")</f>
        <v>328</v>
      </c>
      <c r="D23" s="37">
        <f>IFERROR(ROUND(('DCF Model'!C45/(1+$B23)^('DCF Model'!C19+0)+'DCF Model'!D45/(1+$B23)^('DCF Model'!C19+1)+'DCF Model'!E45/(1+$B23)^('DCF Model'!C19+2)+'DCF Model'!F45/(1+$B23)^('DCF Model'!C19+3)+'DCF Model'!G45/(1+$B23)^('DCF Model'!C19+4)+('DCF Model'!G39+'DCF Model'!G42)*D$17/(1+$B23)^('DCF Model'!C19+4)-'DCF Model'!C16)*1000000/'DCF Model'!C15,0),"")</f>
        <v>436</v>
      </c>
      <c r="E23" s="37">
        <f>IFERROR(ROUND(('DCF Model'!C45/(1+$B23)^('DCF Model'!C19+0)+'DCF Model'!D45/(1+$B23)^('DCF Model'!C19+1)+'DCF Model'!E45/(1+$B23)^('DCF Model'!C19+2)+'DCF Model'!F45/(1+$B23)^('DCF Model'!C19+3)+'DCF Model'!G45/(1+$B23)^('DCF Model'!C19+4)+('DCF Model'!G39+'DCF Model'!G42)*E$17/(1+$B23)^('DCF Model'!C19+4)-'DCF Model'!C16)*1000000/'DCF Model'!C15,0),"")</f>
        <v>544</v>
      </c>
      <c r="F23" s="37">
        <f>IFERROR(ROUND(('DCF Model'!C45/(1+$B23)^('DCF Model'!C19+0)+'DCF Model'!D45/(1+$B23)^('DCF Model'!C19+1)+'DCF Model'!E45/(1+$B23)^('DCF Model'!C19+2)+'DCF Model'!F45/(1+$B23)^('DCF Model'!C19+3)+'DCF Model'!G45/(1+$B23)^('DCF Model'!C19+4)+('DCF Model'!G39+'DCF Model'!G42)*F$17/(1+$B23)^('DCF Model'!C19+4)-'DCF Model'!C16)*1000000/'DCF Model'!C15,0),"")</f>
        <v>653</v>
      </c>
      <c r="G23" s="37">
        <f>IFERROR(ROUND(('DCF Model'!C45/(1+$B23)^('DCF Model'!C19+0)+'DCF Model'!D45/(1+$B23)^('DCF Model'!C19+1)+'DCF Model'!E45/(1+$B23)^('DCF Model'!C19+2)+'DCF Model'!F45/(1+$B23)^('DCF Model'!C19+3)+'DCF Model'!G45/(1+$B23)^('DCF Model'!C19+4)+('DCF Model'!G39+'DCF Model'!G42)*G$17/(1+$B23)^('DCF Model'!C19+4)-'DCF Model'!C16)*1000000/'DCF Model'!C15,0),"")</f>
        <v>761</v>
      </c>
      <c r="H23" s="37">
        <f>IFERROR(ROUND(('DCF Model'!C45/(1+$B23)^('DCF Model'!C19+0)+'DCF Model'!D45/(1+$B23)^('DCF Model'!C19+1)+'DCF Model'!E45/(1+$B23)^('DCF Model'!C19+2)+'DCF Model'!F45/(1+$B23)^('DCF Model'!C19+3)+'DCF Model'!G45/(1+$B23)^('DCF Model'!C19+4)+('DCF Model'!G39+'DCF Model'!G42)*H$17/(1+$B23)^('DCF Model'!C19+4)-'DCF Model'!C16)*1000000/'DCF Model'!C15,0),"")</f>
        <v>870</v>
      </c>
      <c r="I23" s="37">
        <f>IFERROR(ROUND(('DCF Model'!C45/(1+$B23)^('DCF Model'!C19+0)+'DCF Model'!D45/(1+$B23)^('DCF Model'!C19+1)+'DCF Model'!E45/(1+$B23)^('DCF Model'!C19+2)+'DCF Model'!F45/(1+$B23)^('DCF Model'!C19+3)+'DCF Model'!G45/(1+$B23)^('DCF Model'!C19+4)+('DCF Model'!G39+'DCF Model'!G42)*I$17/(1+$B23)^('DCF Model'!C19+4)-'DCF Model'!C16)*1000000/'DCF Model'!C15,0),"")</f>
        <v>978</v>
      </c>
    </row>
    <row r="24" spans="2:9" ht="13.5" x14ac:dyDescent="0.25">
      <c r="B24" s="39">
        <f>$C$3+0.015</f>
        <v>8.9976609858148801E-2</v>
      </c>
      <c r="C24" s="37">
        <f>IFERROR(ROUND(('DCF Model'!C45/(1+$B24)^('DCF Model'!C19+0)+'DCF Model'!D45/(1+$B24)^('DCF Model'!C19+1)+'DCF Model'!E45/(1+$B24)^('DCF Model'!C19+2)+'DCF Model'!F45/(1+$B24)^('DCF Model'!C19+3)+'DCF Model'!G45/(1+$B24)^('DCF Model'!C19+4)+('DCF Model'!G39+'DCF Model'!G42)*C$17/(1+$B24)^('DCF Model'!C19+4)-'DCF Model'!C16)*1000000/'DCF Model'!C15,0),"")</f>
        <v>310</v>
      </c>
      <c r="D24" s="37">
        <f>IFERROR(ROUND(('DCF Model'!C45/(1+$B24)^('DCF Model'!C19+0)+'DCF Model'!D45/(1+$B24)^('DCF Model'!C19+1)+'DCF Model'!E45/(1+$B24)^('DCF Model'!C19+2)+'DCF Model'!F45/(1+$B24)^('DCF Model'!C19+3)+'DCF Model'!G45/(1+$B24)^('DCF Model'!C19+4)+('DCF Model'!G39+'DCF Model'!G42)*D$17/(1+$B24)^('DCF Model'!C19+4)-'DCF Model'!C16)*1000000/'DCF Model'!C15,0),"")</f>
        <v>416</v>
      </c>
      <c r="E24" s="37">
        <f>IFERROR(ROUND(('DCF Model'!C45/(1+$B24)^('DCF Model'!C19+0)+'DCF Model'!D45/(1+$B24)^('DCF Model'!C19+1)+'DCF Model'!E45/(1+$B24)^('DCF Model'!C19+2)+'DCF Model'!F45/(1+$B24)^('DCF Model'!C19+3)+'DCF Model'!G45/(1+$B24)^('DCF Model'!C19+4)+('DCF Model'!G39+'DCF Model'!G42)*E$17/(1+$B24)^('DCF Model'!C19+4)-'DCF Model'!C16)*1000000/'DCF Model'!C15,0),"")</f>
        <v>522</v>
      </c>
      <c r="F24" s="37">
        <f>IFERROR(ROUND(('DCF Model'!C45/(1+$B24)^('DCF Model'!C19+0)+'DCF Model'!D45/(1+$B24)^('DCF Model'!C19+1)+'DCF Model'!E45/(1+$B24)^('DCF Model'!C19+2)+'DCF Model'!F45/(1+$B24)^('DCF Model'!C19+3)+'DCF Model'!G45/(1+$B24)^('DCF Model'!C19+4)+('DCF Model'!G39+'DCF Model'!G42)*F$17/(1+$B24)^('DCF Model'!C19+4)-'DCF Model'!C16)*1000000/'DCF Model'!C15,0),"")</f>
        <v>628</v>
      </c>
      <c r="G24" s="37">
        <f>IFERROR(ROUND(('DCF Model'!C45/(1+$B24)^('DCF Model'!C19+0)+'DCF Model'!D45/(1+$B24)^('DCF Model'!C19+1)+'DCF Model'!E45/(1+$B24)^('DCF Model'!C19+2)+'DCF Model'!F45/(1+$B24)^('DCF Model'!C19+3)+'DCF Model'!G45/(1+$B24)^('DCF Model'!C19+4)+('DCF Model'!G39+'DCF Model'!G42)*G$17/(1+$B24)^('DCF Model'!C19+4)-'DCF Model'!C16)*1000000/'DCF Model'!C15,0),"")</f>
        <v>734</v>
      </c>
      <c r="H24" s="37">
        <f>IFERROR(ROUND(('DCF Model'!C45/(1+$B24)^('DCF Model'!C19+0)+'DCF Model'!D45/(1+$B24)^('DCF Model'!C19+1)+'DCF Model'!E45/(1+$B24)^('DCF Model'!C19+2)+'DCF Model'!F45/(1+$B24)^('DCF Model'!C19+3)+'DCF Model'!G45/(1+$B24)^('DCF Model'!C19+4)+('DCF Model'!G39+'DCF Model'!G42)*H$17/(1+$B24)^('DCF Model'!C19+4)-'DCF Model'!C16)*1000000/'DCF Model'!C15,0),"")</f>
        <v>840</v>
      </c>
      <c r="I24" s="37">
        <f>IFERROR(ROUND(('DCF Model'!C45/(1+$B24)^('DCF Model'!C19+0)+'DCF Model'!D45/(1+$B24)^('DCF Model'!C19+1)+'DCF Model'!E45/(1+$B24)^('DCF Model'!C19+2)+'DCF Model'!F45/(1+$B24)^('DCF Model'!C19+3)+'DCF Model'!G45/(1+$B24)^('DCF Model'!C19+4)+('DCF Model'!G39+'DCF Model'!G42)*I$17/(1+$B24)^('DCF Model'!C19+4)-'DCF Model'!C16)*1000000/'DCF Model'!C15,0),"")</f>
        <v>946</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7" spans="2:7" ht="30" customHeight="1" x14ac:dyDescent="0.3">
      <c r="B7" t="s">
        <v>246</v>
      </c>
      <c r="C7" s="4" t="s">
        <v>256</v>
      </c>
      <c r="D7" t="s">
        <v>257</v>
      </c>
      <c r="E7" t="s">
        <v>258</v>
      </c>
      <c r="F7" t="s">
        <v>259</v>
      </c>
      <c r="G7" t="s">
        <v>260</v>
      </c>
    </row>
    <row r="12" spans="2:7" ht="14" x14ac:dyDescent="0.3">
      <c r="B12" s="8" t="s">
        <v>261</v>
      </c>
    </row>
    <row r="13" spans="2:7" ht="14" x14ac:dyDescent="0.3">
      <c r="B13" s="10" t="s">
        <v>262</v>
      </c>
      <c r="C13" s="10" t="s">
        <v>263</v>
      </c>
    </row>
    <row r="14" spans="2:7" ht="14" x14ac:dyDescent="0.3">
      <c r="B14" s="4" t="s">
        <v>264</v>
      </c>
      <c r="C14" t="s">
        <v>265</v>
      </c>
    </row>
    <row r="15" spans="2:7" ht="14" x14ac:dyDescent="0.3">
      <c r="B15" s="4" t="s">
        <v>266</v>
      </c>
      <c r="C15" t="s">
        <v>267</v>
      </c>
    </row>
    <row r="16" spans="2:7" ht="14" x14ac:dyDescent="0.3">
      <c r="B16" s="4" t="s">
        <v>268</v>
      </c>
      <c r="C16" t="s">
        <v>269</v>
      </c>
    </row>
    <row r="17" spans="2:3" ht="14" x14ac:dyDescent="0.3">
      <c r="B17" s="4" t="s">
        <v>270</v>
      </c>
      <c r="C17" t="s">
        <v>267</v>
      </c>
    </row>
    <row r="18" spans="2:3" ht="14" x14ac:dyDescent="0.3">
      <c r="B18" s="4" t="s">
        <v>271</v>
      </c>
      <c r="C18" t="s">
        <v>272</v>
      </c>
    </row>
    <row r="19" spans="2:3" ht="14" x14ac:dyDescent="0.3">
      <c r="B19" s="4" t="s">
        <v>273</v>
      </c>
      <c r="C19" t="s">
        <v>274</v>
      </c>
    </row>
    <row r="20" spans="2:3" ht="14" x14ac:dyDescent="0.3">
      <c r="B20" s="4" t="s">
        <v>275</v>
      </c>
      <c r="C20" t="s">
        <v>276</v>
      </c>
    </row>
    <row r="21" spans="2:3" ht="14" x14ac:dyDescent="0.3">
      <c r="B21" s="4" t="s">
        <v>277</v>
      </c>
      <c r="C21" t="s">
        <v>278</v>
      </c>
    </row>
    <row r="22" spans="2:3" ht="14" x14ac:dyDescent="0.3">
      <c r="B22" s="4" t="s">
        <v>279</v>
      </c>
      <c r="C22" t="s">
        <v>42</v>
      </c>
    </row>
    <row r="23" spans="2:3" ht="14" x14ac:dyDescent="0.3">
      <c r="B23" s="4" t="s">
        <v>280</v>
      </c>
      <c r="C23" t="s">
        <v>4</v>
      </c>
    </row>
    <row r="24" spans="2:3" ht="14" x14ac:dyDescent="0.3">
      <c r="B24" s="4" t="s">
        <v>281</v>
      </c>
      <c r="C24" t="s">
        <v>246</v>
      </c>
    </row>
    <row r="25" spans="2:3" ht="14" x14ac:dyDescent="0.3">
      <c r="B25" s="4" t="s">
        <v>282</v>
      </c>
      <c r="C25" t="s">
        <v>283</v>
      </c>
    </row>
    <row r="26" spans="2:3" ht="14" x14ac:dyDescent="0.3">
      <c r="B26" s="4" t="s">
        <v>284</v>
      </c>
      <c r="C26" t="s">
        <v>272</v>
      </c>
    </row>
    <row r="27" spans="2:3" ht="14" x14ac:dyDescent="0.3">
      <c r="B27" s="4" t="s">
        <v>285</v>
      </c>
      <c r="C27" t="s">
        <v>272</v>
      </c>
    </row>
    <row r="28" spans="2:3" ht="14" x14ac:dyDescent="0.3">
      <c r="B28" s="4" t="s">
        <v>286</v>
      </c>
      <c r="C28" t="s">
        <v>287</v>
      </c>
    </row>
    <row r="29" spans="2:3" ht="14" x14ac:dyDescent="0.3">
      <c r="B29" s="4" t="s">
        <v>288</v>
      </c>
      <c r="C29" t="s">
        <v>289</v>
      </c>
    </row>
    <row r="30" spans="2:3" ht="14" x14ac:dyDescent="0.3">
      <c r="B30" s="4" t="s">
        <v>290</v>
      </c>
      <c r="C30" t="s">
        <v>291</v>
      </c>
    </row>
    <row r="31" spans="2:3" ht="14" x14ac:dyDescent="0.3">
      <c r="B31" s="4" t="s">
        <v>292</v>
      </c>
      <c r="C31" t="s">
        <v>287</v>
      </c>
    </row>
    <row r="32" spans="2:3" ht="14" x14ac:dyDescent="0.3">
      <c r="B32" s="4" t="s">
        <v>293</v>
      </c>
      <c r="C32" t="s">
        <v>272</v>
      </c>
    </row>
    <row r="33" spans="2:3" ht="14" x14ac:dyDescent="0.3">
      <c r="B33" s="4" t="s">
        <v>294</v>
      </c>
      <c r="C33" t="s">
        <v>283</v>
      </c>
    </row>
    <row r="34" spans="2:3" ht="14" x14ac:dyDescent="0.3">
      <c r="B34" s="4" t="s">
        <v>295</v>
      </c>
      <c r="C34" t="s">
        <v>296</v>
      </c>
    </row>
    <row r="35" spans="2:3" ht="14" x14ac:dyDescent="0.3">
      <c r="B35" s="4" t="s">
        <v>297</v>
      </c>
      <c r="C35" t="s">
        <v>298</v>
      </c>
    </row>
    <row r="36" spans="2:3" ht="14" x14ac:dyDescent="0.3">
      <c r="B36" s="4" t="s">
        <v>299</v>
      </c>
      <c r="C36" t="s">
        <v>300</v>
      </c>
    </row>
    <row r="37" spans="2:3" ht="14" x14ac:dyDescent="0.3">
      <c r="B37" s="4" t="s">
        <v>301</v>
      </c>
      <c r="C37" t="s">
        <v>302</v>
      </c>
    </row>
    <row r="38" spans="2:3" ht="14" x14ac:dyDescent="0.3">
      <c r="B38" s="4" t="s">
        <v>303</v>
      </c>
      <c r="C38" t="s">
        <v>304</v>
      </c>
    </row>
    <row r="39" spans="2:3" ht="14" x14ac:dyDescent="0.3">
      <c r="B39" s="4" t="s">
        <v>305</v>
      </c>
      <c r="C39" t="s">
        <v>306</v>
      </c>
    </row>
    <row r="40" spans="2:3" ht="14" x14ac:dyDescent="0.3">
      <c r="B40" s="4" t="s">
        <v>307</v>
      </c>
      <c r="C40" t="s">
        <v>308</v>
      </c>
    </row>
    <row r="41" spans="2:3" ht="14" x14ac:dyDescent="0.3">
      <c r="B41" s="4" t="s">
        <v>309</v>
      </c>
      <c r="C41" t="s">
        <v>310</v>
      </c>
    </row>
    <row r="42" spans="2:3" ht="14" x14ac:dyDescent="0.3">
      <c r="B42" s="4" t="s">
        <v>311</v>
      </c>
      <c r="C42" t="s">
        <v>312</v>
      </c>
    </row>
    <row r="43" spans="2:3" ht="14" x14ac:dyDescent="0.3">
      <c r="B43" s="4" t="s">
        <v>313</v>
      </c>
      <c r="C43" t="s">
        <v>314</v>
      </c>
    </row>
    <row r="44" spans="2:3" ht="14" x14ac:dyDescent="0.3">
      <c r="B44" s="4" t="s">
        <v>315</v>
      </c>
      <c r="C44" t="s">
        <v>276</v>
      </c>
    </row>
    <row r="45" spans="2:3" ht="14" x14ac:dyDescent="0.3">
      <c r="B45" s="4" t="s">
        <v>316</v>
      </c>
      <c r="C45" t="s">
        <v>317</v>
      </c>
    </row>
    <row r="46" spans="2:3" ht="14" x14ac:dyDescent="0.3">
      <c r="B46" s="4" t="s">
        <v>318</v>
      </c>
      <c r="C46" t="s">
        <v>319</v>
      </c>
    </row>
    <row r="47" spans="2:3" ht="14" x14ac:dyDescent="0.3">
      <c r="B47" s="4" t="s">
        <v>320</v>
      </c>
      <c r="C47" t="s">
        <v>321</v>
      </c>
    </row>
    <row r="48" spans="2:3" ht="14" x14ac:dyDescent="0.3">
      <c r="B48" s="4" t="s">
        <v>322</v>
      </c>
      <c r="C48" t="s">
        <v>323</v>
      </c>
    </row>
    <row r="49" spans="2:3" ht="14" x14ac:dyDescent="0.3">
      <c r="B49" s="4" t="s">
        <v>324</v>
      </c>
      <c r="C49" t="s">
        <v>325</v>
      </c>
    </row>
    <row r="50" spans="2:3" ht="14" x14ac:dyDescent="0.3">
      <c r="B50" s="4" t="s">
        <v>326</v>
      </c>
      <c r="C50" t="s">
        <v>327</v>
      </c>
    </row>
    <row r="51" spans="2:3" ht="14" x14ac:dyDescent="0.3">
      <c r="B51" s="4" t="s">
        <v>328</v>
      </c>
      <c r="C51" t="s">
        <v>329</v>
      </c>
    </row>
    <row r="52" spans="2:3" ht="14" x14ac:dyDescent="0.3">
      <c r="B52" s="4" t="s">
        <v>330</v>
      </c>
      <c r="C52" t="s">
        <v>331</v>
      </c>
    </row>
    <row r="53" spans="2:3" ht="14" x14ac:dyDescent="0.3">
      <c r="B53" s="4" t="s">
        <v>332</v>
      </c>
      <c r="C53" t="s">
        <v>333</v>
      </c>
    </row>
    <row r="54" spans="2:3" ht="14" x14ac:dyDescent="0.3">
      <c r="B54" s="4" t="s">
        <v>334</v>
      </c>
      <c r="C54" t="s">
        <v>335</v>
      </c>
    </row>
    <row r="55" spans="2:3" ht="14" x14ac:dyDescent="0.3">
      <c r="B55" s="4" t="s">
        <v>336</v>
      </c>
      <c r="C55" t="s">
        <v>337</v>
      </c>
    </row>
    <row r="56" spans="2:3" ht="14" x14ac:dyDescent="0.3">
      <c r="B56" s="4" t="s">
        <v>338</v>
      </c>
      <c r="C56" t="s">
        <v>339</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347</v>
      </c>
    </row>
    <row r="61" spans="2:3" ht="14" x14ac:dyDescent="0.3">
      <c r="B61" s="4" t="s">
        <v>348</v>
      </c>
      <c r="C61" t="s">
        <v>349</v>
      </c>
    </row>
    <row r="62" spans="2:3" ht="14" x14ac:dyDescent="0.3">
      <c r="B62" s="4" t="s">
        <v>350</v>
      </c>
      <c r="C62" t="s">
        <v>351</v>
      </c>
    </row>
    <row r="63" spans="2:3" ht="14" x14ac:dyDescent="0.3">
      <c r="B63" s="4" t="s">
        <v>352</v>
      </c>
      <c r="C63" t="s">
        <v>353</v>
      </c>
    </row>
    <row r="64" spans="2:3" ht="14" x14ac:dyDescent="0.3">
      <c r="B64" s="4" t="s">
        <v>354</v>
      </c>
      <c r="C64"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2026-09-06T09:52:42Z</dcterms:created>
  <dcterms:modified xsi:type="dcterms:W3CDTF">2026-09-06T09:52:46Z</dcterms:modified>
</cp:coreProperties>
</file>