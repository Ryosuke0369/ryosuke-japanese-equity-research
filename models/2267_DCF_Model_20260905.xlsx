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9998E0DD-4D4B-4B9E-AC80-524586D91AF7}"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L6" i="6"/>
  <c r="F16" i="6" s="1"/>
  <c r="C28" i="6" s="1"/>
  <c r="C19" i="1" s="1"/>
  <c r="D19" i="1" s="1"/>
  <c r="K6" i="6"/>
  <c r="E15" i="6" s="1"/>
  <c r="J6" i="6"/>
  <c r="O5" i="6"/>
  <c r="N5" i="6"/>
  <c r="D5" i="6"/>
  <c r="E5" i="6" s="1"/>
  <c r="C16" i="5"/>
  <c r="C14" i="5"/>
  <c r="C18" i="5" s="1"/>
  <c r="C7" i="5"/>
  <c r="C6" i="5"/>
  <c r="C5" i="5"/>
  <c r="C13" i="4"/>
  <c r="C12" i="4"/>
  <c r="C9" i="4"/>
  <c r="C7" i="4"/>
  <c r="C6" i="4"/>
  <c r="C8" i="4" s="1"/>
  <c r="C10" i="4" s="1"/>
  <c r="D27" i="3"/>
  <c r="G5" i="5" s="1"/>
  <c r="C25" i="3"/>
  <c r="C24" i="3"/>
  <c r="C23" i="3"/>
  <c r="H28" i="2"/>
  <c r="G28" i="2"/>
  <c r="F28" i="2"/>
  <c r="E28" i="2"/>
  <c r="D28" i="2"/>
  <c r="C28" i="2"/>
  <c r="H23" i="2"/>
  <c r="G23" i="2"/>
  <c r="F23" i="2"/>
  <c r="E23" i="2"/>
  <c r="D23" i="2"/>
  <c r="C23" i="2"/>
  <c r="D22" i="2"/>
  <c r="H21" i="2"/>
  <c r="H22" i="2" s="1"/>
  <c r="G21" i="2"/>
  <c r="G22" i="2" s="1"/>
  <c r="F21" i="2"/>
  <c r="F22" i="2" s="1"/>
  <c r="E21" i="2"/>
  <c r="E22" i="2" s="1"/>
  <c r="D21" i="2"/>
  <c r="C21" i="2"/>
  <c r="C22" i="2" s="1"/>
  <c r="H16" i="2"/>
  <c r="G16" i="2"/>
  <c r="F16" i="2"/>
  <c r="E16" i="2"/>
  <c r="D16" i="2"/>
  <c r="H15" i="2"/>
  <c r="G15" i="2"/>
  <c r="F15" i="2"/>
  <c r="E15" i="2"/>
  <c r="D15" i="2"/>
  <c r="H14" i="2"/>
  <c r="G14" i="2"/>
  <c r="F14" i="2"/>
  <c r="E14" i="2"/>
  <c r="D14" i="2"/>
  <c r="C14" i="2"/>
  <c r="H13" i="2"/>
  <c r="G13" i="2"/>
  <c r="F13" i="2"/>
  <c r="E13" i="2"/>
  <c r="D13" i="2"/>
  <c r="C13" i="2"/>
  <c r="G9" i="2"/>
  <c r="F9" i="2"/>
  <c r="E9" i="2"/>
  <c r="H8" i="2"/>
  <c r="H9" i="2" s="1"/>
  <c r="G8" i="2"/>
  <c r="F8" i="2"/>
  <c r="E8" i="2"/>
  <c r="D8" i="2"/>
  <c r="D9" i="2" s="1"/>
  <c r="C8" i="2"/>
  <c r="C9" i="2" s="1"/>
  <c r="G15" i="6" l="1"/>
  <c r="H15" i="6"/>
  <c r="I16" i="6"/>
  <c r="C26" i="3"/>
  <c r="F46" i="3" s="1"/>
  <c r="F15" i="6"/>
  <c r="D17" i="6"/>
  <c r="H16" i="6"/>
  <c r="B25" i="1"/>
  <c r="F36" i="4"/>
  <c r="B30" i="1"/>
  <c r="H36" i="4"/>
  <c r="C70" i="4"/>
  <c r="C71" i="4"/>
  <c r="J5" i="6"/>
  <c r="K5" i="6"/>
  <c r="C31" i="3"/>
  <c r="F32" i="3"/>
  <c r="H5" i="5"/>
  <c r="D7" i="5"/>
  <c r="I15" i="6"/>
  <c r="E17" i="6"/>
  <c r="I6" i="7"/>
  <c r="D31" i="3"/>
  <c r="G32" i="3"/>
  <c r="E7" i="5"/>
  <c r="L5" i="6"/>
  <c r="D16" i="6"/>
  <c r="F17" i="6"/>
  <c r="C17" i="7"/>
  <c r="E31" i="3"/>
  <c r="D6" i="5"/>
  <c r="F7" i="5"/>
  <c r="M5" i="6"/>
  <c r="E16" i="6"/>
  <c r="G17" i="6"/>
  <c r="C6" i="7"/>
  <c r="D17" i="7"/>
  <c r="C30" i="3"/>
  <c r="C33" i="3" s="1"/>
  <c r="F31" i="3"/>
  <c r="E6" i="5"/>
  <c r="G7" i="5"/>
  <c r="D15" i="6"/>
  <c r="H17" i="6"/>
  <c r="D6" i="7"/>
  <c r="E17" i="7"/>
  <c r="E30" i="3"/>
  <c r="D30" i="3"/>
  <c r="G31" i="3"/>
  <c r="D5" i="5"/>
  <c r="F6" i="5"/>
  <c r="H7" i="5"/>
  <c r="G16" i="6"/>
  <c r="I17" i="6"/>
  <c r="E6" i="7"/>
  <c r="F17" i="7"/>
  <c r="F6" i="7"/>
  <c r="G17" i="7"/>
  <c r="G6" i="5"/>
  <c r="F30" i="3"/>
  <c r="D32" i="3"/>
  <c r="F5" i="5"/>
  <c r="H6" i="5"/>
  <c r="G6" i="7"/>
  <c r="H17" i="7"/>
  <c r="C32" i="3"/>
  <c r="E5" i="5"/>
  <c r="G30" i="3"/>
  <c r="E32" i="3"/>
  <c r="C46" i="3" l="1"/>
  <c r="G46" i="3"/>
  <c r="D36" i="4"/>
  <c r="G36" i="4"/>
  <c r="G40" i="4" s="1"/>
  <c r="E46" i="3"/>
  <c r="C3" i="7"/>
  <c r="B12" i="7" s="1"/>
  <c r="E36" i="4"/>
  <c r="E44" i="4" s="1"/>
  <c r="D46" i="3"/>
  <c r="C11" i="4"/>
  <c r="C24" i="4" s="1"/>
  <c r="C25" i="4" s="1"/>
  <c r="C42" i="3"/>
  <c r="C34" i="3"/>
  <c r="D10" i="5" s="1"/>
  <c r="C37" i="3"/>
  <c r="C43" i="3"/>
  <c r="D33" i="3"/>
  <c r="D9" i="5"/>
  <c r="D12" i="5" s="1"/>
  <c r="G46" i="4"/>
  <c r="G41" i="4"/>
  <c r="G43" i="4"/>
  <c r="B13" i="7"/>
  <c r="B10" i="7"/>
  <c r="B9" i="7"/>
  <c r="B7" i="7"/>
  <c r="B24" i="7"/>
  <c r="B23" i="7"/>
  <c r="B20" i="7"/>
  <c r="B19" i="7"/>
  <c r="E43" i="4"/>
  <c r="E40" i="4"/>
  <c r="C27" i="6"/>
  <c r="C18" i="1" s="1"/>
  <c r="D18" i="1" s="1"/>
  <c r="C74" i="4"/>
  <c r="B24" i="1"/>
  <c r="B31" i="1"/>
  <c r="C29" i="4"/>
  <c r="C27" i="4"/>
  <c r="C26" i="4"/>
  <c r="H40" i="4"/>
  <c r="H44" i="4"/>
  <c r="H38" i="4"/>
  <c r="H48" i="4" s="1"/>
  <c r="H53" i="4" s="1"/>
  <c r="H41" i="4"/>
  <c r="H51" i="4" s="1"/>
  <c r="H56" i="4" s="1"/>
  <c r="H45" i="4"/>
  <c r="H39" i="4"/>
  <c r="H43" i="4"/>
  <c r="H46" i="4"/>
  <c r="F43" i="4"/>
  <c r="F46" i="4"/>
  <c r="F44" i="4"/>
  <c r="F38" i="4"/>
  <c r="F48" i="4" s="1"/>
  <c r="F53" i="4" s="1"/>
  <c r="F41" i="4"/>
  <c r="F51" i="4" s="1"/>
  <c r="F56" i="4" s="1"/>
  <c r="F45" i="4"/>
  <c r="F39" i="4"/>
  <c r="F40" i="4"/>
  <c r="F50" i="4" s="1"/>
  <c r="F55" i="4" s="1"/>
  <c r="D45" i="4"/>
  <c r="D43" i="4"/>
  <c r="D39" i="4"/>
  <c r="D49" i="4" s="1"/>
  <c r="D54" i="4" s="1"/>
  <c r="D46" i="4"/>
  <c r="D40" i="4"/>
  <c r="D44" i="4"/>
  <c r="D38" i="4"/>
  <c r="D41" i="4"/>
  <c r="E39" i="4" l="1"/>
  <c r="E49" i="4" s="1"/>
  <c r="E54" i="4" s="1"/>
  <c r="G39" i="4"/>
  <c r="E46" i="4"/>
  <c r="B18" i="7"/>
  <c r="B8" i="7"/>
  <c r="G45" i="4"/>
  <c r="G50" i="4" s="1"/>
  <c r="G55" i="4" s="1"/>
  <c r="E45" i="4"/>
  <c r="E50" i="4" s="1"/>
  <c r="E55" i="4" s="1"/>
  <c r="E41" i="4"/>
  <c r="G38" i="4"/>
  <c r="G48" i="4" s="1"/>
  <c r="G53" i="4" s="1"/>
  <c r="E38" i="4"/>
  <c r="E48" i="4" s="1"/>
  <c r="E53" i="4" s="1"/>
  <c r="B21" i="7"/>
  <c r="B11" i="7"/>
  <c r="G44" i="4"/>
  <c r="G49" i="4" s="1"/>
  <c r="G54" i="4" s="1"/>
  <c r="B22" i="7"/>
  <c r="D51" i="4"/>
  <c r="D56" i="4" s="1"/>
  <c r="D37" i="3"/>
  <c r="E9" i="5"/>
  <c r="E12" i="5" s="1"/>
  <c r="E33" i="3"/>
  <c r="D43" i="3"/>
  <c r="D42" i="3"/>
  <c r="D34" i="3"/>
  <c r="E10" i="5" s="1"/>
  <c r="H50" i="4"/>
  <c r="H55" i="4" s="1"/>
  <c r="D48" i="4"/>
  <c r="D53" i="4" s="1"/>
  <c r="F49" i="4"/>
  <c r="C35" i="3"/>
  <c r="D50" i="4"/>
  <c r="D55" i="4" s="1"/>
  <c r="H49" i="4"/>
  <c r="H54" i="4" s="1"/>
  <c r="G51" i="4"/>
  <c r="G56" i="4" s="1"/>
  <c r="D15" i="5"/>
  <c r="D16" i="5" s="1"/>
  <c r="D13" i="5"/>
  <c r="D14" i="5" s="1"/>
  <c r="D35" i="3" l="1"/>
  <c r="D18" i="5"/>
  <c r="D19" i="5" s="1"/>
  <c r="C44" i="3" s="1"/>
  <c r="E51" i="4"/>
  <c r="E56" i="4" s="1"/>
  <c r="F54" i="4"/>
  <c r="C60" i="4"/>
  <c r="B78" i="4"/>
  <c r="F9" i="5"/>
  <c r="F12" i="5" s="1"/>
  <c r="E43" i="3"/>
  <c r="E42" i="3"/>
  <c r="E34" i="3"/>
  <c r="F10" i="5" s="1"/>
  <c r="E37" i="3"/>
  <c r="F33" i="3"/>
  <c r="D38" i="3"/>
  <c r="D36" i="3"/>
  <c r="D39" i="3"/>
  <c r="C38" i="3"/>
  <c r="C36" i="3"/>
  <c r="C39" i="3"/>
  <c r="E15" i="5"/>
  <c r="E16" i="5" s="1"/>
  <c r="E13" i="5"/>
  <c r="E14" i="5" s="1"/>
  <c r="E18" i="5" s="1"/>
  <c r="E19" i="5" s="1"/>
  <c r="D44" i="3" s="1"/>
  <c r="C40" i="3" l="1"/>
  <c r="C41" i="3" s="1"/>
  <c r="C45" i="3" s="1"/>
  <c r="F43" i="3"/>
  <c r="G33" i="3"/>
  <c r="F42" i="3"/>
  <c r="F34" i="3"/>
  <c r="G10" i="5" s="1"/>
  <c r="F37" i="3"/>
  <c r="G9" i="5"/>
  <c r="G12" i="5" s="1"/>
  <c r="C65" i="4"/>
  <c r="D65" i="4" s="1"/>
  <c r="C64" i="4"/>
  <c r="D64" i="4" s="1"/>
  <c r="C67" i="4"/>
  <c r="D67" i="4" s="1"/>
  <c r="C63" i="4"/>
  <c r="D63" i="4" s="1"/>
  <c r="C66" i="4"/>
  <c r="D66" i="4" s="1"/>
  <c r="F13" i="5"/>
  <c r="F14" i="5" s="1"/>
  <c r="F15" i="5"/>
  <c r="F16" i="5" s="1"/>
  <c r="E35" i="3"/>
  <c r="D40" i="3"/>
  <c r="D41" i="3" s="1"/>
  <c r="D45" i="3" s="1"/>
  <c r="D47" i="3" s="1"/>
  <c r="F18" i="5" l="1"/>
  <c r="F19" i="5" s="1"/>
  <c r="E44" i="3" s="1"/>
  <c r="C47" i="3"/>
  <c r="G13" i="5"/>
  <c r="G15" i="5"/>
  <c r="G16" i="5" s="1"/>
  <c r="G42" i="3"/>
  <c r="G34" i="3"/>
  <c r="H10" i="5" s="1"/>
  <c r="C16" i="4"/>
  <c r="C28" i="4" s="1"/>
  <c r="G37" i="3"/>
  <c r="H9" i="5"/>
  <c r="H12" i="5" s="1"/>
  <c r="G43" i="3"/>
  <c r="F35" i="3"/>
  <c r="E38" i="3"/>
  <c r="E36" i="3"/>
  <c r="E39" i="3"/>
  <c r="G14" i="5"/>
  <c r="G18" i="5" s="1"/>
  <c r="G19" i="5" s="1"/>
  <c r="F44" i="3" s="1"/>
  <c r="H15" i="5" l="1"/>
  <c r="H16" i="5" s="1"/>
  <c r="H13" i="5"/>
  <c r="E40" i="3"/>
  <c r="E41" i="3"/>
  <c r="E45" i="3" s="1"/>
  <c r="C72" i="4"/>
  <c r="C73" i="4"/>
  <c r="F38" i="3"/>
  <c r="F36" i="3"/>
  <c r="F39" i="3"/>
  <c r="G35" i="3"/>
  <c r="H14" i="5"/>
  <c r="H18" i="5" s="1"/>
  <c r="H19" i="5" s="1"/>
  <c r="G44" i="3" s="1"/>
  <c r="E47" i="3" l="1"/>
  <c r="G38" i="3"/>
  <c r="G39" i="3"/>
  <c r="G36" i="3"/>
  <c r="F40" i="3"/>
  <c r="F41" i="3" s="1"/>
  <c r="F45" i="3" s="1"/>
  <c r="F47" i="3" s="1"/>
  <c r="C59" i="3" l="1"/>
  <c r="C60" i="3" s="1"/>
  <c r="C61" i="3" s="1"/>
  <c r="G40" i="3"/>
  <c r="G41" i="3" s="1"/>
  <c r="G45" i="3" s="1"/>
  <c r="C51" i="3" l="1"/>
  <c r="C52" i="3" s="1"/>
  <c r="G47" i="3"/>
  <c r="C50" i="3" s="1"/>
  <c r="D10" i="7"/>
  <c r="D12" i="7"/>
  <c r="F13" i="7"/>
  <c r="I20" i="7"/>
  <c r="E18" i="7"/>
  <c r="I9" i="7"/>
  <c r="D21" i="7"/>
  <c r="G7" i="7"/>
  <c r="F11" i="7"/>
  <c r="E8" i="7"/>
  <c r="H21" i="7"/>
  <c r="H10" i="7"/>
  <c r="H22" i="7"/>
  <c r="C24" i="7"/>
  <c r="F9" i="7"/>
  <c r="C12" i="7"/>
  <c r="F21" i="7"/>
  <c r="F19" i="7"/>
  <c r="G21" i="7"/>
  <c r="H11" i="7"/>
  <c r="I22" i="7"/>
  <c r="I13" i="7"/>
  <c r="I10" i="7"/>
  <c r="G10" i="7"/>
  <c r="C9" i="7"/>
  <c r="D20" i="7"/>
  <c r="E24" i="7"/>
  <c r="F20" i="7"/>
  <c r="I8" i="7"/>
  <c r="D18" i="7"/>
  <c r="C11" i="7"/>
  <c r="F12" i="7"/>
  <c r="I19" i="7"/>
  <c r="D13" i="7"/>
  <c r="C18" i="7"/>
  <c r="D24" i="7"/>
  <c r="H20" i="7"/>
  <c r="H23" i="7"/>
  <c r="D22" i="7"/>
  <c r="I18" i="7"/>
  <c r="G19" i="7"/>
  <c r="H8" i="7"/>
  <c r="E11" i="7"/>
  <c r="G20" i="7"/>
  <c r="C8" i="7"/>
  <c r="I11" i="7"/>
  <c r="D11" i="7"/>
  <c r="D19" i="7"/>
  <c r="F24" i="7"/>
  <c r="F22" i="7"/>
  <c r="G8" i="7"/>
  <c r="C19" i="7"/>
  <c r="F18" i="7"/>
  <c r="F23" i="7"/>
  <c r="F7" i="7"/>
  <c r="G23" i="7"/>
  <c r="I23" i="7"/>
  <c r="H9" i="7"/>
  <c r="G22" i="7"/>
  <c r="I24" i="7"/>
  <c r="E21" i="7"/>
  <c r="H24" i="7"/>
  <c r="I7" i="7"/>
  <c r="E9" i="7"/>
  <c r="G9" i="7"/>
  <c r="G18" i="7"/>
  <c r="I21" i="7"/>
  <c r="I12" i="7"/>
  <c r="C21" i="7"/>
  <c r="E10" i="7"/>
  <c r="C13" i="7"/>
  <c r="E13" i="7"/>
  <c r="C20" i="7"/>
  <c r="E19" i="7"/>
  <c r="H13" i="7"/>
  <c r="H12" i="7"/>
  <c r="E7" i="7"/>
  <c r="C7" i="7"/>
  <c r="G11" i="7"/>
  <c r="E12" i="7"/>
  <c r="H7" i="7"/>
  <c r="D23" i="7"/>
  <c r="H18" i="7"/>
  <c r="C10" i="7"/>
  <c r="H19" i="7"/>
  <c r="F10" i="7"/>
  <c r="F8" i="7"/>
  <c r="E20" i="7"/>
  <c r="G24" i="7"/>
  <c r="D7" i="7"/>
  <c r="D8" i="7"/>
  <c r="C23" i="7"/>
  <c r="E23" i="7"/>
  <c r="D9" i="7"/>
  <c r="G12" i="7"/>
  <c r="C22" i="7"/>
  <c r="E22" i="7"/>
  <c r="G13" i="7"/>
  <c r="C58" i="3" l="1"/>
  <c r="C62" i="3" s="1"/>
  <c r="C53" i="3"/>
  <c r="C63" i="3" l="1"/>
  <c r="C64" i="3" s="1"/>
  <c r="C17" i="1" s="1"/>
  <c r="D17" i="1" s="1"/>
  <c r="C17" i="4"/>
  <c r="C54" i="3"/>
  <c r="C55" i="3" s="1"/>
  <c r="C16" i="1" s="1"/>
  <c r="C10" i="1" l="1"/>
  <c r="D16" i="1"/>
  <c r="C21" i="1"/>
  <c r="C19" i="4"/>
  <c r="C20" i="4" s="1"/>
  <c r="B79" i="4" s="1"/>
  <c r="C12" i="1" l="1"/>
  <c r="C11" i="1" s="1"/>
  <c r="B29" i="1"/>
  <c r="B26" i="1" l="1"/>
</calcChain>
</file>

<file path=xl/sharedStrings.xml><?xml version="1.0" encoding="utf-8"?>
<sst xmlns="http://schemas.openxmlformats.org/spreadsheetml/2006/main" count="495" uniqueCount="381">
  <si>
    <t>DISCLAIMER: This is a sample analysis for demonstration purposes only. It does not constitute investment advice.</t>
  </si>
  <si>
    <t>ヤクルト本社 (2267.T)</t>
  </si>
  <si>
    <t>Equity Research Report</t>
  </si>
  <si>
    <t>Company</t>
  </si>
  <si>
    <t>ヤクルト本社</t>
  </si>
  <si>
    <t>Ticker</t>
  </si>
  <si>
    <t>2267.T (TSE Prime)</t>
  </si>
  <si>
    <t>Sector</t>
  </si>
  <si>
    <t>食料品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</si>
  <si>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</si>
  <si>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</si>
  <si>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</si>
  <si>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</si>
  <si>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</si>
  <si>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</si>
  <si>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</si>
  <si>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</si>
  <si>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</si>
  <si>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</si>
  <si>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</si>
  <si>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</si>
  <si>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</si>
  <si>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</si>
  <si>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</si>
  <si>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</si>
  <si>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ヤクルト本社 - Historical Financials (JPY mn)</t>
  </si>
  <si>
    <t>FY2021</t>
  </si>
  <si>
    <t>FY2022</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</si>
  <si>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</si>
  <si>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</si>
  <si>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</si>
  <si>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</si>
  <si>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</si>
  <si>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</si>
  <si>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</si>
  <si>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</si>
  <si>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</si>
  <si>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</si>
  <si>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</si>
  <si>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</si>
  <si>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</si>
  <si>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</si>
  <si>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</si>
  <si>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</si>
  <si>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</si>
  <si>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</si>
  <si>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</si>
  <si>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</si>
  <si>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</si>
  <si>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</si>
  <si>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</si>
  <si>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</si>
  <si>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</si>
  <si>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</si>
  <si>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</si>
  <si>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6/6, Cash 6/6, Debt 6/6 — blank cells are years with no year-key match in the source data (verify against 決算短信 or set hist_ocf / hist_cash / hist_debt in overrides).</t>
  </si>
  <si>
    <t>DCF Valuation Model - ヤクルト本社</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</si>
  <si>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</si>
  <si>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</si>
  <si>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</si>
  <si>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</si>
  <si>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</si>
  <si>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</si>
  <si>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</si>
  <si>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</si>
  <si>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</si>
  <si>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</si>
  <si>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</si>
  <si>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</si>
  <si>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</si>
  <si>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</si>
  <si>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</si>
  <si>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</si>
  <si>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</si>
  <si>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</si>
  <si>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</si>
  <si>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</si>
  <si>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</si>
  <si>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</si>
  <si>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</si>
  <si>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</si>
  <si>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</si>
  <si>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</si>
  <si>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</si>
  <si>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</si>
  <si>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</si>
  <si>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</si>
  <si>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</si>
  <si>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</si>
  <si>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</si>
  <si>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</si>
  <si>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</si>
  <si>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</si>
  <si>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</si>
  <si>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</si>
  <si>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</si>
  <si>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</si>
  <si>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</si>
  <si>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</si>
  <si>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</si>
  <si>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</si>
  <si>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</si>
  <si>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</si>
  <si>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</si>
  <si>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</si>
  <si>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</si>
  <si>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</si>
  <si>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</si>
  <si>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</si>
  <si>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</si>
  <si>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</si>
  <si>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</si>
  <si>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</si>
  <si>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</si>
  <si>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</si>
  <si>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</si>
  <si>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</si>
  <si>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</si>
  <si>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</si>
  <si>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</si>
  <si>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ヤクルト本社 (2267.T)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</si>
  <si>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</si>
  <si>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</si>
  <si>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</si>
  <si>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</si>
  <si>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</si>
  <si>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</si>
  <si>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</si>
  <si>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</si>
  <si>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</si>
  <si>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</si>
  <si>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</si>
  <si>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</si>
  <si>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</si>
  <si>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</si>
  <si>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</si>
  <si>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</si>
  <si>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</si>
  <si>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</si>
  <si>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</si>
  <si>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</si>
  <si>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</si>
  <si>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</si>
  <si>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</si>
  <si>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</si>
  <si>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</si>
  <si>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</si>
  <si>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</si>
  <si>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</si>
  <si>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</si>
  <si>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</si>
  <si>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</si>
  <si>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</si>
  <si>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</si>
  <si>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</si>
  <si>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</si>
  <si>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</si>
  <si>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</si>
  <si>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</si>
  <si>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</si>
  <si>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</si>
  <si>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</si>
  <si>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</si>
  <si>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</si>
  <si>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</si>
  <si>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</si>
  <si>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</si>
  <si>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</si>
  <si>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</si>
  <si>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</si>
  <si>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</si>
  <si>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</si>
  <si>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ヤクルト本社</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</si>
  <si>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</si>
  <si>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</si>
  <si>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</si>
  <si>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</si>
  <si>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</si>
  <si>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</si>
  <si>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</si>
  <si>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</si>
  <si>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</si>
  <si>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</si>
  <si>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</si>
  <si>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</si>
  <si>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</si>
  <si>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</si>
  <si>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</si>
  <si>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</si>
  <si>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</si>
  <si>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</si>
  <si>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</si>
  <si>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</si>
  <si>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</si>
  <si>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</si>
  <si>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</si>
  <si>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</si>
  <si>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</si>
  <si>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</si>
  <si>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</si>
  <si>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</si>
  <si>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</si>
  <si>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</si>
  <si>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</si>
  <si>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</si>
  <si>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</si>
  <si>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</si>
  <si>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Yakult Honsha Co.,Ltd.</t>
  </si>
  <si>
    <t>2267.T</t>
  </si>
  <si>
    <t>Kikkoman Corporation</t>
  </si>
  <si>
    <t>2801.T</t>
  </si>
  <si>
    <t>Meiji Holdings Co., Ltd.</t>
  </si>
  <si>
    <t>2269.T</t>
  </si>
  <si>
    <t>Nissin Foods Holdings Co.,Ltd.</t>
  </si>
  <si>
    <t>2897.T</t>
  </si>
  <si>
    <t>Kirin Holdings Company, Limited</t>
  </si>
  <si>
    <t>2503.T</t>
  </si>
  <si>
    <t>Asahi Group Holdings, Ltd.</t>
  </si>
  <si>
    <t>2502.T</t>
  </si>
  <si>
    <t>Statistics</t>
  </si>
  <si>
    <t>25th Percentile</t>
  </si>
  <si>
    <t>Median (50th)</t>
  </si>
  <si>
    <t>75th Percentile</t>
  </si>
  <si>
    <t>Implied Valuation for ヤクルト本社</t>
  </si>
  <si>
    <t>ヤクルト本社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</si>
  <si>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</si>
  <si>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</si>
  <si>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</si>
  <si>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</si>
  <si>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</si>
  <si>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</si>
  <si>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</si>
  <si>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</si>
  <si>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</si>
  <si>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</si>
  <si>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</si>
  <si>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</si>
  <si>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</si>
  <si>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</si>
  <si>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</si>
  <si>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ヤクルト本社</t>
  </si>
  <si>
    <t>日付</t>
  </si>
  <si>
    <t>セル</t>
  </si>
  <si>
    <t>変更内容</t>
  </si>
  <si>
    <t>理由</t>
  </si>
  <si>
    <t>元の値</t>
  </si>
  <si>
    <t>状態</t>
  </si>
  <si>
    <t>2026-09-05</t>
  </si>
  <si>
    <t>-</t>
  </si>
  <si>
    <t>Generated by pipeline on 2026-09-05 12:40, template rev c9b5dd9</t>
  </si>
  <si>
    <t>初期生成（手修正なし）</t>
  </si>
  <si>
    <t>generated</t>
  </si>
  <si>
    <t>DCF Model!C7</t>
  </si>
  <si>
    <t>Risk-Free Rate = 2.97%</t>
  </si>
  <si>
    <t>財務省 国債金利情報 jgbcm.csv 10年物 R8.9.3(2026-09-03) 2.966% を四捨五入。バッチ全銘柄共通の一次ソース。</t>
  </si>
  <si>
    <t>テンプレ既定 2.2%</t>
  </si>
  <si>
    <t>確定</t>
  </si>
  <si>
    <t>DCF Model!C9</t>
  </si>
  <si>
    <t>Equity Risk Premium = 6.5%</t>
  </si>
  <si>
    <t>バッチ共通の固定前提(§1-3)。</t>
  </si>
  <si>
    <t>テンプレ既定 6.5%(同値)</t>
  </si>
  <si>
    <t>設計判断</t>
  </si>
  <si>
    <t>DCF Model!C10</t>
  </si>
  <si>
    <t>Size Premium = 1.0%</t>
  </si>
  <si>
    <t>時価総額バンドの機械決定(&gt;3,000億円 -&gt; 1.0%)。当社時価総額 809,500百万円。テンプレの自動規則(&gt;=1兆円 -&gt; 0.0%、&gt;=1,000億円 -&gt; 1.5%)とは異なる値であり、明示指定で上書きしている。</t>
  </si>
  <si>
    <t>テンプレ自動値</t>
  </si>
  <si>
    <t>DCF Model!C8</t>
  </si>
  <si>
    <t>Beta = 0.60</t>
  </si>
  <si>
    <t>yfinance実測は 0.079。テンプレは beta を [0.6, 1.75] にクランプし範囲外は【無言で 1.0 に置換】する(templates/dcf_comps_template.py:1819、生成ログでも確認)。サイレントフォールバック禁止の原則により許容域の下限 0.60 を明示指定し、当社の低ベータ性を保持した。0.60 は実測値ではなく『テンプレが受け付ける最小値』であることに注意。</t>
  </si>
  <si>
    <t>yfinance実測 0.079 / テンプレ置換値 1.0</t>
  </si>
  <si>
    <t>DCF Model!C6</t>
  </si>
  <si>
    <t>Effective Tax Rate = 25%</t>
  </si>
  <si>
    <t>バッチ共通の既定値(§1-3)。当社の実績税負担率を個別検証したものではない。</t>
  </si>
  <si>
    <t>テンプレ既定 30%</t>
  </si>
  <si>
    <t>推定</t>
  </si>
  <si>
    <t>DCF Model!C11</t>
  </si>
  <si>
    <t>After-tax Cost of Debt = 1.0%(テンプレ既定値のまま)</t>
  </si>
  <si>
    <t>当社はネットキャッシュ(net_debt −128,064百万円)で D/E = 0 のため、負債コストは WACC に一切寄与しない(WACC = Ke = 7.87%)。実績Kd の算出は結果に影響しないため interest_expense を指定していない。</t>
  </si>
  <si>
    <t>テンプレ既定</t>
  </si>
  <si>
    <t>DCF Model!C13</t>
  </si>
  <si>
    <t>Terminal Growth = 1.0%</t>
  </si>
  <si>
    <t>テンプレ既定 2.0%</t>
  </si>
  <si>
    <t>DCF Model!C14</t>
  </si>
  <si>
    <t>Exit Multiple (EV/EBITDA) = 10.9x</t>
  </si>
  <si>
    <t>Peer 5社の実測EV/EBITDA中央値 10.92x(2801 15.63 / 2269 8.35 / 2897 10.92 / 2503 10.21 / 2502 11.13)。 自社の現在倍率 9.51x は算式に入れていない(市場価格への循環参照回避)。■当初は Peer中央値にマージン優位分を上乗せする調整式を検討したが、EV/EBITDA は既に資本集約度を織り込んでおり営業利益率による上方調整は資本集約型銘柄で逆方向に働くため(9022 で実測 7.4x に対し調整式が 16.3x を返した)、バッチ全銘柄で素の Peer 中央値に統一した。</t>
  </si>
  <si>
    <t>テンプレ既定 10.0x</t>
  </si>
  <si>
    <t>DCF Model シナリオ5本</t>
  </si>
  <si>
    <t>実績OPM が4期連続で単調低下(13.68 → 12.61 → 11.08 → 9.29%)。min 9.29 / p25 10.64 / med 11.84 / p75 12.87 / max 13.68%</t>
  </si>
  <si>
    <t>【仕様の機械適用からの逸脱・単調トレンドへの規則】§4-3 は Base の OPM を実績中央値へ収束させるが、当社の系列は4期連続の単調低下であって『サイクル』ではない。中央値 11.84% へ機械的に収束させると『根拠のない回復』を仮定することになる。したがって単調系列に対する規則として Base の到達OPM = (直近実績 9.29% + 実績中央値 11.84%)/2 = 10.57% とし、低下の下げ止まりと緩やかな改善のみを織り込んだ(Y1 9.4% → Y5 10.57%)。Upside は max(p75 12.87, 直近+1.0pt=10.29) = 12.87%。Downside 1 は min(p25 10.64, 直近 9.29) = 9.29% を下回る 7.2%。Downside 2 は実績トラフ(9.29%)が直近実績そのものでトラフとして機能しないため §4-3 の代替アーム(売上−10% + OPM半減 4.5-5.0%)を採用。■COGS% は実績40.3-41.2%と極めて安定しているため固定し、SGA% = 100% − OPM − COGS% で構成した(実績SGA% は46.0 → 49.6% と上昇しており、マージン低下の主因が販売費の増加であることを表す)。既存銘柄からの流用なし。</t>
  </si>
  <si>
    <t>テンプレ自動生成シナリオ</t>
  </si>
  <si>
    <t>DCF Model!C5</t>
  </si>
  <si>
    <t>capex_pct = 6.2%(推定)</t>
  </si>
  <si>
    <t>【推定値・要確認】yfinance は当社の設備投資額を1期も収録していない(hist_capex 全期 None)。生成ログの FS align は FY2021-FY2026 の6期すべてで ocf+cash+debt を報告しており EDINET 側の CF は取得できているが、capex 系列の充足状況は個別に確認していない。capex_pct 6.2% は D&amp;A比率 5.9%(実績5.2→6.0%)の 1.051倍として置いた値であり、実績 capex/売上 比率に基づくものではない。ターミナル比率は定義上 1.051x でレンジ[0.90,1.15]内(validate チェック9 PASS)。■実績 capex が D&amp;A を大きく上回る/下回る場合、FCF が系統的にずれる。</t>
  </si>
  <si>
    <t>推定(要確認)</t>
  </si>
  <si>
    <t>DCF Model!C16</t>
  </si>
  <si>
    <t>net_debt = −128,064百万円(EDINET自動算出値を採用、ネットキャッシュ)</t>
  </si>
  <si>
    <t>EDINET有報XBRLからの自動算出値。■yfinance ベースの独立計算(有利子負債 125,607 − 現金 231,464 = −105,857)とは 22,207百万円 の差がある(1株あたり約77円)。現金同等物の範囲の差と解されるが突合していない。EDINET(有報XBRL)が一次ソースであるためそちらを採用。■captive finance・銀行子会社なし(型A)。</t>
  </si>
  <si>
    <t>要確認(net_debt のソース間差異)</t>
  </si>
  <si>
    <t>DCF Model NWC(dso/dih/dpo)</t>
  </si>
  <si>
    <t>Base: DSO 43日 / DIH 66日 / DPO 43日</t>
  </si>
  <si>
    <t>実績4期平均。</t>
  </si>
  <si>
    <t>全体(未解決)</t>
  </si>
  <si>
    <t>マージンの単調低下が止まるかどうかが結論を決める</t>
  </si>
  <si>
    <t>Base は下げ止まり + 緩やかな改善(9.29% → 10.57%)を仮定して Target 2,722円(−3.5%、SELL)。仮に下げ止まらず Downside 1(7.2%)へ向かうなら Target は大きく下振れる。逆に中央値 11.84% まで戻るなら上振れる。会社の中期経営計画・販売費構造の見直し方針を確認する必要がある。</t>
  </si>
  <si>
    <t>未解決</t>
  </si>
  <si>
    <t>DCF Model Management シナリオ</t>
  </si>
  <si>
    <t>Management = Base と同一</t>
  </si>
  <si>
    <t>EDINET XBRL・TDnet短信のいずれからも会社業績予想を取得できなかった(生成ログ Step 3: 'No guidance data found')。§7-2 に従い Management=Base で続行。■本バッチではここまで生成した全銘柄で同じ結果になっており、銘柄固有ではなくパイプラインの構造的な取得失敗である。</t>
  </si>
  <si>
    <t>フォールバック使用(会社予想未取得)</t>
  </si>
  <si>
    <t>Comps Analysis</t>
  </si>
  <si>
    <t>Peer 5社 = 2801 キッコーマン / 2269 明治HD / 2897 日清食品HD / 2503 キリンHD / 2502 アサヒGHD</t>
  </si>
  <si>
    <t>■選定理由: TSE33業種『食料品』。■時価総額バンド: §5 の 0.3〜3倍は 0.24〜2.43兆円で、採用5社すべてがバンド内。■除外: 2802 味の素(4.93兆円でバンド外)、2914 JT(バンド外・たばこ)。海外Peer は §5 により不使用。■EBITDA = 営業利益 + 減価償却費で全6社統一、D&amp;A欠損による除外はゼロ。■年度混在の開示: 2503 キリンの D&amp;A は FY2024/12 の値。■Market_Cap は全行記入(2026-09-04終値ベース静的値)。</t>
  </si>
  <si>
    <t>Executive Summary!C10 / Target</t>
  </si>
  <si>
    <t>Target Price = 2,722円 = PGM 2,279円 と Exit 3,165円 の2本平均。Comps 2本(EV/EBITDA 3,264円 / PER 3,041円)は [参考・Target不算入]</t>
  </si>
  <si>
    <t>メモ§2 の規約どおり。validate チェック14 PASS(C10 が C16:C17 のみを平均)。EV&lt;net_debt による INVALID 化は発生していない(チェック10・15 とも PASS)。</t>
  </si>
  <si>
    <t>全体(納品状態)</t>
  </si>
  <si>
    <t>本ファイルは DRAFT。_FINAL は付けない</t>
  </si>
  <si>
    <t>バッチモードでの機械生成物であり人間の検証を経ていない。FINAL化は手順書v2 §6 に従い検証後に行う。</t>
  </si>
  <si>
    <t>DRAFT</t>
  </si>
  <si>
    <t>Pipeline Metadata (do not edit — read by scripts/validate_output.py)</t>
  </si>
  <si>
    <t>key</t>
  </si>
  <si>
    <t>value</t>
  </si>
  <si>
    <t>auto_log_entries</t>
  </si>
  <si>
    <t>0</t>
  </si>
  <si>
    <t>capex_pct_basis</t>
  </si>
  <si>
    <t>assumption</t>
  </si>
  <si>
    <t>capex_pct_c5</t>
  </si>
  <si>
    <t>0.062</t>
  </si>
  <si>
    <t>capex_pct_hist3yr</t>
  </si>
  <si>
    <t>0.111154</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</si>
  <si>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</si>
  <si>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</si>
  <si>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</si>
  <si>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</si>
  <si>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</si>
  <si>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</si>
  <si>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</si>
  <si>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</si>
  <si>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</si>
  <si>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</si>
  <si>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</si>
  <si>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</si>
  <si>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</si>
  <si>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</si>
  <si>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</si>
  <si>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</si>
  <si>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</si>
  <si>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</si>
  <si>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cost_of_debt_at_c11</t>
  </si>
  <si>
    <t>0.01</t>
  </si>
  <si>
    <t>cost_of_debt_basis</t>
  </si>
  <si>
    <t>da_pct_basis</t>
  </si>
  <si>
    <t>da_pct_c18</t>
  </si>
  <si>
    <t>0.059</t>
  </si>
  <si>
    <t>da_pct_hist3yr</t>
  </si>
  <si>
    <t>0.058187</t>
  </si>
  <si>
    <t>fs_year_coverage</t>
  </si>
  <si>
    <t>OCF 6/6, Cash 6/6, Debt 6/6</t>
  </si>
  <si>
    <t>fs_year_map</t>
  </si>
  <si>
    <t>FY2021&lt;-FY2021[ocf+cash+debt]; FY2022&lt;-FY2022[ocf+cash+debt]; 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</si>
  <si>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</si>
  <si>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</si>
  <si>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</si>
  <si>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</si>
  <si>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</si>
  <si>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2026-09-05 12:40:53</t>
  </si>
  <si>
    <t>ltm_revenue_c20</t>
  </si>
  <si>
    <t>486425.0</t>
  </si>
  <si>
    <t>ltm_revenue_source</t>
  </si>
  <si>
    <t>latest FY (no LTM)</t>
  </si>
  <si>
    <t>narrative_tokens_used</t>
  </si>
  <si>
    <t>pb,per,price,target_price,upside_pct,wacc</t>
  </si>
  <si>
    <t>reverse_dcf_sheet</t>
  </si>
  <si>
    <t>op0=45,185(FY2026) peak=66,068(FY2023) peak_opm=0.1368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</si>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</sst>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2822</v>
      </c>
    </row>
    <row r="10" spans="2:5" ht="14" customHeight="1" x14ac:dyDescent="0.3">
      <c r="B10" s="4" t="s">
        <v>10</v>
      </c>
      <c r="C10" s="5">
        <f>IF(COUNT(C16:C17)=0,"N/A",ROUND(AVERAGE(C16:C17),0))</f>
        <v>2722</v>
      </c>
    </row>
    <row r="11" spans="2:5" ht="14" customHeight="1" x14ac:dyDescent="0.3">
      <c r="B11" s="4" t="s">
        <v>11</v>
      </c>
      <c r="C11" s="6" t="str">
        <f>IF(NOT(ISNUMBER(C12)),"N/A",IF(C12&gt;0.15,"BUY",IF(C12&gt;0.05,"HOLD","SELL")))</f>
        <v>SELL</v>
      </c>
    </row>
    <row r="12" spans="2:5" ht="14" customHeight="1" x14ac:dyDescent="0.3">
      <c r="B12" s="4" t="s">
        <v>12</v>
      </c>
      <c r="C12" s="7">
        <f>IF(ISNUMBER(C10),(C10-C9)/C9,"N/A")</f>
        <v>-3.543586109142452E-2</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2279</v>
      </c>
      <c r="D16" s="7">
        <f>IF(ISNUMBER(C16),(C16-C9)/C9,"N/A")</f>
        <v>-0.19241672572643514</v>
      </c>
    </row>
    <row r="17" spans="2:5" ht="13.5" customHeight="1" x14ac:dyDescent="0.25">
      <c r="B17" t="s">
        <v>18</v>
      </c>
      <c r="C17" s="11">
        <f>IF('DCF Model'!C62&lt;'DCF Model'!C16,"INVALID (EV &lt; net debt)",'DCF Model'!C64)</f>
        <v>3165</v>
      </c>
      <c r="D17" s="7">
        <f>IF(ISNUMBER(C17),(C17-C9)/C9,"N/A")</f>
        <v>0.12154500354358611</v>
      </c>
    </row>
    <row r="18" spans="2:5" ht="13.5" customHeight="1" x14ac:dyDescent="0.25">
      <c r="B18" t="s">
        <v>19</v>
      </c>
      <c r="C18" s="11">
        <f>'Comps Analysis'!C27</f>
        <v>3264</v>
      </c>
      <c r="D18" s="7">
        <f>IF(ISNUMBER(C18),(C18-C9)/C9,"N/A")</f>
        <v>0.15662650602409639</v>
      </c>
    </row>
    <row r="19" spans="2:5" ht="13.5" customHeight="1" x14ac:dyDescent="0.25">
      <c r="B19" t="s">
        <v>20</v>
      </c>
      <c r="C19" s="11">
        <f>'Comps Analysis'!C28</f>
        <v>3041</v>
      </c>
      <c r="D19" s="7">
        <f>IF(ISNUMBER(C19),(C19-C9)/C9,"N/A")</f>
        <v>7.7604535790219697E-2</v>
      </c>
    </row>
    <row r="20" spans="2:5" ht="14" customHeight="1" x14ac:dyDescent="0.3">
      <c r="B20" s="46" t="s">
        <v>21</v>
      </c>
      <c r="C20" s="45"/>
      <c r="D20" s="45"/>
      <c r="E20" s="45"/>
    </row>
    <row r="21" spans="2:5" ht="14" customHeight="1" x14ac:dyDescent="0.3">
      <c r="B21" s="4" t="s">
        <v>22</v>
      </c>
      <c r="C21" s="6" t="str">
        <f>IF(COUNT(C16:C17)=0,"N/A",MIN(C16:C17)&amp;" - "&amp;MAX(C16:C17))</f>
        <v>2279 - 3165</v>
      </c>
    </row>
    <row r="23" spans="2:5" ht="14" customHeight="1" x14ac:dyDescent="0.3">
      <c r="B23" s="8" t="s">
        <v>23</v>
      </c>
      <c r="C23" s="9"/>
      <c r="D23" s="9"/>
    </row>
    <row r="24" spans="2:5" x14ac:dyDescent="0.2">
      <c r="B24" t="str">
        <f>"Yakult sells a single fermented-dairy franchise through a direct sales network, which gives it an unusually stable gross margin even as the operating margin has fallen for four consecutive years; the shares trade at "&amp;TEXT('Comps Analysis'!L5,"0.0""x""")&amp;" earnings and "&amp;TEXT('Comps Analysis'!M5,"0.00""x""")&amp;" book."</f>
        <v>Yakult sells a single fermented-dairy franchise through a direct sales network, which gives it an unusually stable gross margin even as the operating margin has fallen for four consecutive years; the shares trade at 18.3x earnings and 1.34x book.</v>
      </c>
    </row>
    <row r="25" spans="2:5" x14ac:dyDescent="0.2">
      <c r="B25" t="str">
        <f>"The balance sheet holds net cash, so enterprise value sits below market capitalisation and the "&amp;TEXT('DCF Model'!C26,"0.00%")&amp;" discount rate is the cost of equity with no leverage benefit assumed."</f>
        <v>The balance sheet holds net cash, so enterprise value sits below market capitalisation and the 7.87% discount rate is the cost of equity with no leverage benefit assumed.</v>
      </c>
    </row>
    <row r="26" spans="2:5" x14ac:dyDescent="0.2">
      <c r="B26" t="str">
        <f>"At "&amp;TEXT(C9,"#,##0")&amp;" the market is extrapolating the margin decline; a base case that only halts the slide, without restoring the historical median, still supports "&amp;TEXT(C10,"#,##0")&amp;", or "&amp;TEXT(C12,"+0.0%;-0.0%")&amp;" from here."</f>
        <v>At 2,822 the market is extrapolating the margin decline; a base case that only halts the slide, without restoring the historical median, still supports 2,722, or -3.5% from here.</v>
      </c>
    </row>
    <row r="28" spans="2:5" ht="14" customHeight="1" x14ac:dyDescent="0.3">
      <c r="B28" s="8" t="s">
        <v>24</v>
      </c>
      <c r="C28" s="9"/>
      <c r="D28" s="9"/>
    </row>
    <row r="29" spans="2:5" x14ac:dyDescent="0.2">
      <c r="B29" t="str">
        <f>"The operating margin has fallen in each of the last four years as selling costs rose faster than revenue, and nothing in the filings yet confirms the stabilisation the base case assumes behind "&amp;TEXT(C10,"#,##0")&amp;"."</f>
        <v>The operating margin has fallen in each of the last four years as selling costs rose faster than revenue, and nothing in the filings yet confirms the stabilisation the base case assumes behind 2,722.</v>
      </c>
    </row>
    <row r="30" spans="2:5" x14ac:dyDescent="0.2">
      <c r="B30" t="str">
        <f>"Overseas volume, particularly in China, drives group growth and is not hedged in the "&amp;TEXT('DCF Model'!C26,"0.00%")&amp;" applied here."</f>
        <v>Overseas volume, particularly in China, drives group growth and is not hedged in the 7.87% applied here.</v>
      </c>
    </row>
    <row r="31" spans="2:5" x14ac:dyDescent="0.2">
      <c r="B31" t="str">
        <f>"Revenue has been flat to negative for three years, so the terminal growth assumed in this model is above what the recent record supports at "&amp;TEXT(C9,"#,##0")&amp;" and "&amp;TEXT('Comps Analysis'!L5,"0.0""x""")&amp;"."</f>
        <v>Revenue has been flat to negative for three years, so the terminal growth assumed in this model is above what the recent record supports at 2,822 and 18.3x.</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H30"/>
  <sheetViews>
    <sheetView workbookViewId="0"/>
  </sheetViews>
  <sheetFormatPr defaultRowHeight="13" x14ac:dyDescent="0.2"/>
  <cols>
    <col min="1" max="1" width="3" customWidth="1"/>
    <col min="2" max="2" width="32" customWidth="1"/>
    <col min="3" max="8" width="18" customWidth="1"/>
  </cols>
  <sheetData>
    <row r="2" spans="2:8" ht="18" customHeight="1" x14ac:dyDescent="0.4">
      <c r="B2" s="2" t="s">
        <v>25</v>
      </c>
    </row>
    <row r="4" spans="2:8" ht="14" customHeight="1" x14ac:dyDescent="0.3">
      <c r="C4" s="10" t="s">
        <v>26</v>
      </c>
      <c r="D4" s="10" t="s">
        <v>27</v>
      </c>
      <c r="E4" s="10" t="s">
        <v>28</v>
      </c>
      <c r="F4" s="10" t="s">
        <v>29</v>
      </c>
      <c r="G4" s="10" t="s">
        <v>30</v>
      </c>
      <c r="H4" s="10" t="s">
        <v>31</v>
      </c>
    </row>
    <row r="5" spans="2:8" ht="14" customHeight="1" x14ac:dyDescent="0.3">
      <c r="B5" s="3" t="s">
        <v>32</v>
      </c>
    </row>
    <row r="6" spans="2:8" ht="14" customHeight="1" x14ac:dyDescent="0.3">
      <c r="B6" s="4" t="s">
        <v>33</v>
      </c>
      <c r="C6" s="5">
        <v>385706</v>
      </c>
      <c r="D6" s="5">
        <v>415116</v>
      </c>
      <c r="E6" s="5">
        <v>483071</v>
      </c>
      <c r="F6" s="5">
        <v>503079</v>
      </c>
      <c r="G6" s="5">
        <v>499683</v>
      </c>
      <c r="H6" s="5">
        <v>486425</v>
      </c>
    </row>
    <row r="7" spans="2:8" ht="14" customHeight="1" x14ac:dyDescent="0.3">
      <c r="B7" s="4" t="s">
        <v>34</v>
      </c>
      <c r="C7" s="5">
        <v>158885</v>
      </c>
      <c r="D7" s="5">
        <v>166699</v>
      </c>
      <c r="E7" s="5">
        <v>194593</v>
      </c>
      <c r="F7" s="5">
        <v>203166</v>
      </c>
      <c r="G7" s="5">
        <v>204163</v>
      </c>
      <c r="H7" s="5">
        <v>200189</v>
      </c>
    </row>
    <row r="8" spans="2:8" ht="14" customHeight="1" x14ac:dyDescent="0.3">
      <c r="B8" s="4" t="s">
        <v>35</v>
      </c>
      <c r="C8" s="5">
        <f t="shared" ref="C8:H8" si="0">C6-C7</f>
        <v>226821</v>
      </c>
      <c r="D8" s="5">
        <f t="shared" si="0"/>
        <v>248417</v>
      </c>
      <c r="E8" s="5">
        <f t="shared" si="0"/>
        <v>288478</v>
      </c>
      <c r="F8" s="5">
        <f t="shared" si="0"/>
        <v>299913</v>
      </c>
      <c r="G8" s="5">
        <f t="shared" si="0"/>
        <v>295520</v>
      </c>
      <c r="H8" s="5">
        <f t="shared" si="0"/>
        <v>286236</v>
      </c>
    </row>
    <row r="9" spans="2:8" ht="13.5" customHeight="1" x14ac:dyDescent="0.25">
      <c r="B9" t="s">
        <v>36</v>
      </c>
      <c r="C9" s="7">
        <f t="shared" ref="C9:H9" si="1">C8/C6</f>
        <v>0.58806707699646876</v>
      </c>
      <c r="D9" s="7">
        <f t="shared" si="1"/>
        <v>0.59842790930727796</v>
      </c>
      <c r="E9" s="7">
        <f t="shared" si="1"/>
        <v>0.59717515644698194</v>
      </c>
      <c r="F9" s="7">
        <f t="shared" si="1"/>
        <v>0.59615487825967695</v>
      </c>
      <c r="G9" s="7">
        <f t="shared" si="1"/>
        <v>0.59141495708279046</v>
      </c>
      <c r="H9" s="7">
        <f t="shared" si="1"/>
        <v>0.58844837333607447</v>
      </c>
    </row>
    <row r="10" spans="2:8" ht="14" customHeight="1" x14ac:dyDescent="0.3">
      <c r="B10" s="4" t="s">
        <v>37</v>
      </c>
      <c r="C10" s="5">
        <v>183127</v>
      </c>
      <c r="D10" s="5">
        <v>195213</v>
      </c>
      <c r="E10" s="5">
        <v>222409</v>
      </c>
      <c r="F10" s="5">
        <v>236513</v>
      </c>
      <c r="G10" s="5">
        <v>240128</v>
      </c>
      <c r="H10" s="5">
        <v>241050</v>
      </c>
    </row>
    <row r="11" spans="2:8" ht="14" customHeight="1" x14ac:dyDescent="0.3">
      <c r="B11" s="4" t="s">
        <v>38</v>
      </c>
      <c r="C11" s="5">
        <v>43694</v>
      </c>
      <c r="D11" s="5">
        <v>53202</v>
      </c>
      <c r="E11" s="5">
        <v>66068</v>
      </c>
      <c r="F11" s="5">
        <v>63399</v>
      </c>
      <c r="G11" s="5">
        <v>55391</v>
      </c>
      <c r="H11" s="5">
        <v>45185</v>
      </c>
    </row>
    <row r="12" spans="2:8" ht="14" customHeight="1" x14ac:dyDescent="0.3">
      <c r="B12" s="4" t="s">
        <v>39</v>
      </c>
      <c r="C12" s="5">
        <v>39267</v>
      </c>
      <c r="D12" s="5">
        <v>44917</v>
      </c>
      <c r="E12" s="5">
        <v>50641</v>
      </c>
      <c r="F12" s="5">
        <v>51006</v>
      </c>
      <c r="G12" s="5">
        <v>45533</v>
      </c>
      <c r="H12" s="5">
        <v>44228</v>
      </c>
    </row>
    <row r="13" spans="2:8" ht="13.5" customHeight="1" x14ac:dyDescent="0.25">
      <c r="B13" t="s">
        <v>40</v>
      </c>
      <c r="C13" s="7">
        <f t="shared" ref="C13:H13" si="2">C11/C6</f>
        <v>0.11328317423115015</v>
      </c>
      <c r="D13" s="7">
        <f t="shared" si="2"/>
        <v>0.1281617668314399</v>
      </c>
      <c r="E13" s="7">
        <f t="shared" si="2"/>
        <v>0.13676664506873731</v>
      </c>
      <c r="F13" s="7">
        <f t="shared" si="2"/>
        <v>0.12602195679008665</v>
      </c>
      <c r="G13" s="7">
        <f t="shared" si="2"/>
        <v>0.1108522803457392</v>
      </c>
      <c r="H13" s="7">
        <f t="shared" si="2"/>
        <v>9.2892018296756945E-2</v>
      </c>
    </row>
    <row r="14" spans="2:8" ht="13.5" customHeight="1" x14ac:dyDescent="0.25">
      <c r="B14" t="s">
        <v>41</v>
      </c>
      <c r="C14" s="7">
        <f t="shared" ref="C14:H14" si="3">C12/C6</f>
        <v>0.10180552026673166</v>
      </c>
      <c r="D14" s="7">
        <f t="shared" si="3"/>
        <v>0.10820349010878887</v>
      </c>
      <c r="E14" s="7">
        <f t="shared" si="3"/>
        <v>0.10483138089431988</v>
      </c>
      <c r="F14" s="7">
        <f t="shared" si="3"/>
        <v>0.10138765482160854</v>
      </c>
      <c r="G14" s="7">
        <f t="shared" si="3"/>
        <v>9.1123772471747091E-2</v>
      </c>
      <c r="H14" s="7">
        <f t="shared" si="3"/>
        <v>9.0924602970653232E-2</v>
      </c>
    </row>
    <row r="15" spans="2:8" ht="13.5" customHeight="1" x14ac:dyDescent="0.25">
      <c r="B15" t="s">
        <v>42</v>
      </c>
      <c r="C15" t="s">
        <v>43</v>
      </c>
      <c r="D15" s="7">
        <f>(D6-C6)/C6</f>
        <v>7.6249786106516365E-2</v>
      </c>
      <c r="E15" s="7">
        <f>(E6-D6)/D6</f>
        <v>0.16370123049942667</v>
      </c>
      <c r="F15" s="7">
        <f>(F6-E6)/E6</f>
        <v>4.1418342231266211E-2</v>
      </c>
      <c r="G15" s="7">
        <f>(G6-F6)/F6</f>
        <v>-6.7504308468451278E-3</v>
      </c>
      <c r="H15" s="7">
        <f>(H6-G6)/G6</f>
        <v>-2.6532821809026923E-2</v>
      </c>
    </row>
    <row r="16" spans="2:8" ht="13.5" customHeight="1" x14ac:dyDescent="0.25">
      <c r="B16" t="s">
        <v>44</v>
      </c>
      <c r="C16" t="s">
        <v>43</v>
      </c>
      <c r="D16" s="7">
        <f>(D11-C11)/C11</f>
        <v>0.21760424772279946</v>
      </c>
      <c r="E16" s="7">
        <f>(E11-D11)/D11</f>
        <v>0.24183301379647382</v>
      </c>
      <c r="F16" s="7">
        <f>(F11-E11)/E11</f>
        <v>-4.039777199249258E-2</v>
      </c>
      <c r="G16" s="7">
        <f>(G11-F11)/F11</f>
        <v>-0.12631114055426743</v>
      </c>
      <c r="H16" s="7">
        <f>(H11-G11)/G11</f>
        <v>-0.18425375963604196</v>
      </c>
    </row>
    <row r="18" spans="2:8" ht="14" customHeight="1" x14ac:dyDescent="0.3">
      <c r="B18" s="3" t="s">
        <v>45</v>
      </c>
    </row>
    <row r="19" spans="2:8" ht="14" customHeight="1" x14ac:dyDescent="0.3">
      <c r="B19" s="4" t="s">
        <v>46</v>
      </c>
      <c r="C19" s="5">
        <v>55820</v>
      </c>
      <c r="D19" s="5">
        <v>73390</v>
      </c>
      <c r="E19" s="5">
        <v>86513</v>
      </c>
      <c r="F19" s="5">
        <v>70702</v>
      </c>
      <c r="G19" s="5">
        <v>84687</v>
      </c>
      <c r="H19" s="5">
        <v>52121</v>
      </c>
    </row>
    <row r="20" spans="2:8" ht="14" customHeight="1" x14ac:dyDescent="0.3">
      <c r="B20" s="4" t="s">
        <v>47</v>
      </c>
      <c r="C20" s="5">
        <v>23663</v>
      </c>
      <c r="D20" s="5">
        <v>26725</v>
      </c>
      <c r="E20" s="5">
        <v>30285</v>
      </c>
      <c r="F20" s="5">
        <v>46233</v>
      </c>
      <c r="G20" s="5">
        <v>53682</v>
      </c>
      <c r="H20" s="5">
        <v>65244</v>
      </c>
    </row>
    <row r="21" spans="2:8" ht="14" customHeight="1" x14ac:dyDescent="0.3">
      <c r="B21" s="4" t="s">
        <v>48</v>
      </c>
      <c r="C21" s="5">
        <f t="shared" ref="C21:H21" si="4">C19-C20</f>
        <v>32157</v>
      </c>
      <c r="D21" s="5">
        <f t="shared" si="4"/>
        <v>46665</v>
      </c>
      <c r="E21" s="5">
        <f t="shared" si="4"/>
        <v>56228</v>
      </c>
      <c r="F21" s="5">
        <f t="shared" si="4"/>
        <v>24469</v>
      </c>
      <c r="G21" s="5">
        <f t="shared" si="4"/>
        <v>31005</v>
      </c>
      <c r="H21" s="5">
        <f t="shared" si="4"/>
        <v>-13123</v>
      </c>
    </row>
    <row r="22" spans="2:8" ht="13.5" customHeight="1" x14ac:dyDescent="0.25">
      <c r="B22" t="s">
        <v>49</v>
      </c>
      <c r="C22" s="7">
        <f t="shared" ref="C22:H22" si="5">C21/C6</f>
        <v>8.3371790949583358E-2</v>
      </c>
      <c r="D22" s="7">
        <f t="shared" si="5"/>
        <v>0.11241436128696557</v>
      </c>
      <c r="E22" s="7">
        <f t="shared" si="5"/>
        <v>0.11639696856155721</v>
      </c>
      <c r="F22" s="7">
        <f t="shared" si="5"/>
        <v>4.8638484214208903E-2</v>
      </c>
      <c r="G22" s="7">
        <f t="shared" si="5"/>
        <v>6.2049339281104218E-2</v>
      </c>
      <c r="H22" s="7">
        <f t="shared" si="5"/>
        <v>-2.6978465333813022E-2</v>
      </c>
    </row>
    <row r="23" spans="2:8" ht="13.5" customHeight="1" x14ac:dyDescent="0.25">
      <c r="B23" t="s">
        <v>50</v>
      </c>
      <c r="C23" s="7">
        <f t="shared" ref="C23:H23" si="6">C20/C6</f>
        <v>6.1349836403893118E-2</v>
      </c>
      <c r="D23" s="7">
        <f t="shared" si="6"/>
        <v>6.4379595101128353E-2</v>
      </c>
      <c r="E23" s="7">
        <f t="shared" si="6"/>
        <v>6.2692647664629009E-2</v>
      </c>
      <c r="F23" s="7">
        <f t="shared" si="6"/>
        <v>9.1900079311599173E-2</v>
      </c>
      <c r="G23" s="7">
        <f t="shared" si="6"/>
        <v>0.10743211195898199</v>
      </c>
      <c r="H23" s="7">
        <f t="shared" si="6"/>
        <v>0.13412961916019941</v>
      </c>
    </row>
    <row r="25" spans="2:8" ht="14" customHeight="1" x14ac:dyDescent="0.3">
      <c r="B25" s="3" t="s">
        <v>51</v>
      </c>
    </row>
    <row r="26" spans="2:8" ht="14" customHeight="1" x14ac:dyDescent="0.3">
      <c r="B26" s="4" t="s">
        <v>52</v>
      </c>
      <c r="C26" s="5">
        <v>122766</v>
      </c>
      <c r="D26" s="5">
        <v>150725</v>
      </c>
      <c r="E26" s="5">
        <v>190489</v>
      </c>
      <c r="F26" s="5">
        <v>197648</v>
      </c>
      <c r="G26" s="5">
        <v>269057</v>
      </c>
      <c r="H26" s="5">
        <v>231464</v>
      </c>
    </row>
    <row r="27" spans="2:8" ht="14" customHeight="1" x14ac:dyDescent="0.3">
      <c r="B27" s="4" t="s">
        <v>53</v>
      </c>
      <c r="C27" s="5">
        <v>86555</v>
      </c>
      <c r="D27" s="5">
        <v>70537</v>
      </c>
      <c r="E27" s="5">
        <v>63606</v>
      </c>
      <c r="F27" s="5">
        <v>77734</v>
      </c>
      <c r="G27" s="5">
        <v>92318</v>
      </c>
      <c r="H27" s="5">
        <v>103400</v>
      </c>
    </row>
    <row r="28" spans="2:8" ht="14" customHeight="1" x14ac:dyDescent="0.3">
      <c r="B28" s="4" t="s">
        <v>54</v>
      </c>
      <c r="C28" s="5">
        <f t="shared" ref="C28:H28" si="7">C27-C26</f>
        <v>-36211</v>
      </c>
      <c r="D28" s="5">
        <f t="shared" si="7"/>
        <v>-80188</v>
      </c>
      <c r="E28" s="5">
        <f t="shared" si="7"/>
        <v>-126883</v>
      </c>
      <c r="F28" s="5">
        <f t="shared" si="7"/>
        <v>-119914</v>
      </c>
      <c r="G28" s="5">
        <f t="shared" si="7"/>
        <v>-176739</v>
      </c>
      <c r="H28" s="5">
        <f t="shared" si="7"/>
        <v>-128064</v>
      </c>
    </row>
    <row r="30" spans="2:8" ht="14" customHeight="1" x14ac:dyDescent="0.3">
      <c r="B30" s="1" t="s">
        <v>55</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56</v>
      </c>
    </row>
    <row r="4" spans="2:7" ht="14" customHeight="1" x14ac:dyDescent="0.3">
      <c r="B4" s="8" t="s">
        <v>57</v>
      </c>
      <c r="C4" s="9"/>
      <c r="D4" s="9"/>
      <c r="E4" s="9"/>
      <c r="F4" s="9"/>
      <c r="G4" s="9"/>
    </row>
    <row r="5" spans="2:7" ht="14" customHeight="1" x14ac:dyDescent="0.3">
      <c r="B5" s="4" t="s">
        <v>50</v>
      </c>
      <c r="C5" s="7">
        <v>6.2E-2</v>
      </c>
    </row>
    <row r="6" spans="2:7" ht="14" customHeight="1" x14ac:dyDescent="0.3">
      <c r="B6" s="4" t="s">
        <v>58</v>
      </c>
      <c r="C6" s="7">
        <v>0.25</v>
      </c>
    </row>
    <row r="7" spans="2:7" ht="14" customHeight="1" x14ac:dyDescent="0.3">
      <c r="B7" s="4" t="s">
        <v>59</v>
      </c>
      <c r="C7" s="7">
        <v>2.9700000000000001E-2</v>
      </c>
    </row>
    <row r="8" spans="2:7" ht="14" customHeight="1" x14ac:dyDescent="0.3">
      <c r="B8" s="4" t="s">
        <v>60</v>
      </c>
      <c r="C8" s="12">
        <v>0.6</v>
      </c>
    </row>
    <row r="9" spans="2:7" ht="14" customHeight="1" x14ac:dyDescent="0.3">
      <c r="B9" s="4" t="s">
        <v>61</v>
      </c>
      <c r="C9" s="7">
        <v>6.5000000000000002E-2</v>
      </c>
    </row>
    <row r="10" spans="2:7" ht="14" customHeight="1" x14ac:dyDescent="0.3">
      <c r="B10" s="4" t="s">
        <v>62</v>
      </c>
      <c r="C10" s="7">
        <v>0.01</v>
      </c>
    </row>
    <row r="11" spans="2:7" ht="14" customHeight="1" x14ac:dyDescent="0.3">
      <c r="B11" s="4" t="s">
        <v>63</v>
      </c>
      <c r="C11" s="7">
        <v>0.01</v>
      </c>
    </row>
    <row r="12" spans="2:7" ht="14" customHeight="1" x14ac:dyDescent="0.3">
      <c r="B12" s="4" t="s">
        <v>64</v>
      </c>
      <c r="C12" s="13">
        <v>0</v>
      </c>
    </row>
    <row r="13" spans="2:7" ht="14" customHeight="1" x14ac:dyDescent="0.3">
      <c r="B13" s="4" t="s">
        <v>65</v>
      </c>
      <c r="C13" s="7">
        <v>0.01</v>
      </c>
    </row>
    <row r="14" spans="2:7" ht="14" customHeight="1" x14ac:dyDescent="0.3">
      <c r="B14" s="4" t="s">
        <v>66</v>
      </c>
      <c r="C14" s="14">
        <v>10.9</v>
      </c>
    </row>
    <row r="15" spans="2:7" ht="14" customHeight="1" x14ac:dyDescent="0.3">
      <c r="B15" s="4" t="s">
        <v>67</v>
      </c>
      <c r="C15" s="15">
        <v>286835826</v>
      </c>
    </row>
    <row r="16" spans="2:7" ht="14" customHeight="1" x14ac:dyDescent="0.3">
      <c r="B16" s="4" t="s">
        <v>68</v>
      </c>
      <c r="C16" s="5">
        <v>-128064</v>
      </c>
    </row>
    <row r="17" spans="2:7" ht="14" customHeight="1" x14ac:dyDescent="0.3">
      <c r="B17" s="4" t="s">
        <v>69</v>
      </c>
      <c r="C17" s="5">
        <v>486425</v>
      </c>
    </row>
    <row r="18" spans="2:7" ht="14" customHeight="1" x14ac:dyDescent="0.3">
      <c r="B18" s="4" t="s">
        <v>70</v>
      </c>
      <c r="C18" s="7">
        <v>5.8999999999999997E-2</v>
      </c>
    </row>
    <row r="19" spans="2:7" ht="14" customHeight="1" x14ac:dyDescent="0.3">
      <c r="B19" s="4" t="s">
        <v>71</v>
      </c>
      <c r="C19" s="12">
        <v>1</v>
      </c>
    </row>
    <row r="20" spans="2:7" ht="14" customHeight="1" x14ac:dyDescent="0.3">
      <c r="B20" s="4" t="s">
        <v>72</v>
      </c>
      <c r="C20" s="5">
        <v>486425</v>
      </c>
    </row>
    <row r="22" spans="2:7" ht="14" customHeight="1" x14ac:dyDescent="0.3">
      <c r="B22" s="8" t="s">
        <v>73</v>
      </c>
      <c r="C22" s="9"/>
      <c r="D22" s="9"/>
      <c r="E22" s="9"/>
      <c r="F22" s="9"/>
      <c r="G22" s="9"/>
    </row>
    <row r="23" spans="2:7" ht="14" customHeight="1" x14ac:dyDescent="0.3">
      <c r="B23" s="4" t="s">
        <v>74</v>
      </c>
      <c r="C23" s="16">
        <f>C7+C8*C9+C10</f>
        <v>7.8699999999999992E-2</v>
      </c>
    </row>
    <row r="24" spans="2:7" ht="14" customHeight="1" x14ac:dyDescent="0.3">
      <c r="B24" s="4" t="s">
        <v>75</v>
      </c>
      <c r="C24" s="16">
        <f>1/(1+C12)</f>
        <v>1</v>
      </c>
    </row>
    <row r="25" spans="2:7" ht="14" customHeight="1" x14ac:dyDescent="0.3">
      <c r="B25" s="4" t="s">
        <v>76</v>
      </c>
      <c r="C25" s="16">
        <f>C12/(1+C12)</f>
        <v>0</v>
      </c>
    </row>
    <row r="26" spans="2:7" ht="14" customHeight="1" x14ac:dyDescent="0.3">
      <c r="B26" s="4" t="s">
        <v>77</v>
      </c>
      <c r="C26" s="16">
        <f>C23*C24+C11*C25</f>
        <v>7.8699999999999992E-2</v>
      </c>
    </row>
    <row r="27" spans="2:7" ht="14" customHeight="1" x14ac:dyDescent="0.3">
      <c r="B27" s="4" t="s">
        <v>78</v>
      </c>
      <c r="C27" s="17" t="s">
        <v>79</v>
      </c>
      <c r="D27" s="6">
        <f>MATCH(C27,B69:B73,0)</f>
        <v>1</v>
      </c>
    </row>
    <row r="28" spans="2:7" ht="14" customHeight="1" x14ac:dyDescent="0.3">
      <c r="B28" s="8" t="s">
        <v>80</v>
      </c>
      <c r="C28" s="9"/>
      <c r="D28" s="9"/>
      <c r="E28" s="9"/>
      <c r="F28" s="9"/>
      <c r="G28" s="9"/>
    </row>
    <row r="29" spans="2:7" ht="14" customHeight="1" x14ac:dyDescent="0.3">
      <c r="C29" s="10" t="s">
        <v>81</v>
      </c>
      <c r="D29" s="10" t="s">
        <v>82</v>
      </c>
      <c r="E29" s="10" t="s">
        <v>83</v>
      </c>
      <c r="F29" s="10" t="s">
        <v>84</v>
      </c>
      <c r="G29" s="10" t="s">
        <v>85</v>
      </c>
    </row>
    <row r="30" spans="2:7" ht="14" customHeight="1" x14ac:dyDescent="0.3">
      <c r="B30" s="4" t="s">
        <v>42</v>
      </c>
      <c r="C30" s="18">
        <f>CHOOSE($D$27,C69,C70,C71,C72,C73)</f>
        <v>5.0000000000000001E-3</v>
      </c>
      <c r="D30" s="18">
        <f>CHOOSE($D$27,D69,D70,D71,D72,D73)</f>
        <v>0.01</v>
      </c>
      <c r="E30" s="18">
        <f>CHOOSE($D$27,E69,E70,E71,E72,E73)</f>
        <v>1.4999999999999999E-2</v>
      </c>
      <c r="F30" s="18">
        <f>CHOOSE($D$27,F69,F70,F71,F72,F73)</f>
        <v>1.4999999999999999E-2</v>
      </c>
      <c r="G30" s="18">
        <f>CHOOSE($D$27,G69,G70,G71,G72,G73)</f>
        <v>0.02</v>
      </c>
    </row>
    <row r="31" spans="2:7" ht="14" customHeight="1" x14ac:dyDescent="0.3">
      <c r="B31" s="4" t="s">
        <v>86</v>
      </c>
      <c r="C31" s="18">
        <f>CHOOSE($D$27,C76,C77,C78,C79,C80)</f>
        <v>0.41</v>
      </c>
      <c r="D31" s="18">
        <f>CHOOSE($D$27,D76,D77,D78,D79,D80)</f>
        <v>0.41</v>
      </c>
      <c r="E31" s="18">
        <f>CHOOSE($D$27,E76,E77,E78,E79,E80)</f>
        <v>0.41</v>
      </c>
      <c r="F31" s="18">
        <f>CHOOSE($D$27,F76,F77,F78,F79,F80)</f>
        <v>0.41</v>
      </c>
      <c r="G31" s="18">
        <f>CHOOSE($D$27,G76,G77,G78,G79,G80)</f>
        <v>0.41</v>
      </c>
    </row>
    <row r="32" spans="2:7" ht="14" customHeight="1" x14ac:dyDescent="0.3">
      <c r="B32" s="4" t="s">
        <v>87</v>
      </c>
      <c r="C32" s="18">
        <f>CHOOSE($D$27,C83,C84,C85,C86,C87)</f>
        <v>0.496</v>
      </c>
      <c r="D32" s="18">
        <f>CHOOSE($D$27,D83,D84,D85,D86,D87)</f>
        <v>0.49299999999999999</v>
      </c>
      <c r="E32" s="18">
        <f>CHOOSE($D$27,E83,E84,E85,E86,E87)</f>
        <v>0.49</v>
      </c>
      <c r="F32" s="18">
        <f>CHOOSE($D$27,F83,F84,F85,F86,F87)</f>
        <v>0.48699999999999999</v>
      </c>
      <c r="G32" s="18">
        <f>CHOOSE($D$27,G83,G84,G85,G86,G87)</f>
        <v>0.48430000000000001</v>
      </c>
    </row>
    <row r="33" spans="2:7" ht="14" customHeight="1" x14ac:dyDescent="0.3">
      <c r="B33" s="4" t="s">
        <v>33</v>
      </c>
      <c r="C33" s="5">
        <f>C17*(1+C30)</f>
        <v>488857.12499999994</v>
      </c>
      <c r="D33" s="5">
        <f>C33*(1+D30)</f>
        <v>493745.69624999992</v>
      </c>
      <c r="E33" s="5">
        <f>D33*(1+E30)</f>
        <v>501151.88169374986</v>
      </c>
      <c r="F33" s="5">
        <f>E33*(1+F30)</f>
        <v>508669.15991915605</v>
      </c>
      <c r="G33" s="5">
        <f>F33*(1+G30)</f>
        <v>518842.5431175392</v>
      </c>
    </row>
    <row r="34" spans="2:7" ht="14" customHeight="1" x14ac:dyDescent="0.3">
      <c r="B34" s="4" t="s">
        <v>34</v>
      </c>
      <c r="C34" s="5">
        <f>C33*C31</f>
        <v>200431.42124999996</v>
      </c>
      <c r="D34" s="5">
        <f>D33*D31</f>
        <v>202435.73546249996</v>
      </c>
      <c r="E34" s="5">
        <f>E33*E31</f>
        <v>205472.27149443745</v>
      </c>
      <c r="F34" s="5">
        <f>F33*F31</f>
        <v>208554.35556685398</v>
      </c>
      <c r="G34" s="5">
        <f>G33*G31</f>
        <v>212725.44267819106</v>
      </c>
    </row>
    <row r="35" spans="2:7" ht="14" customHeight="1" x14ac:dyDescent="0.3">
      <c r="B35" s="4" t="s">
        <v>35</v>
      </c>
      <c r="C35" s="19">
        <f>C33-C34</f>
        <v>288425.70374999999</v>
      </c>
      <c r="D35" s="19">
        <f>D33-D34</f>
        <v>291309.96078749996</v>
      </c>
      <c r="E35" s="19">
        <f>E33-E34</f>
        <v>295679.61019931245</v>
      </c>
      <c r="F35" s="19">
        <f>F33-F34</f>
        <v>300114.8043523021</v>
      </c>
      <c r="G35" s="19">
        <f>G33-G34</f>
        <v>306117.10043934814</v>
      </c>
    </row>
    <row r="36" spans="2:7" ht="14" customHeight="1" x14ac:dyDescent="0.3">
      <c r="B36" s="4" t="s">
        <v>36</v>
      </c>
      <c r="C36" s="7">
        <f>C35/C33</f>
        <v>0.59000000000000008</v>
      </c>
      <c r="D36" s="7">
        <f>D35/D33</f>
        <v>0.59</v>
      </c>
      <c r="E36" s="7">
        <f>E35/E33</f>
        <v>0.59000000000000008</v>
      </c>
      <c r="F36" s="7">
        <f>F35/F33</f>
        <v>0.59000000000000008</v>
      </c>
      <c r="G36" s="7">
        <f>G35/G33</f>
        <v>0.59000000000000008</v>
      </c>
    </row>
    <row r="37" spans="2:7" ht="14" customHeight="1" x14ac:dyDescent="0.3">
      <c r="B37" s="4" t="s">
        <v>88</v>
      </c>
      <c r="C37" s="5">
        <f>C33*C32</f>
        <v>242473.13399999996</v>
      </c>
      <c r="D37" s="5">
        <f>D33*D32</f>
        <v>243416.62825124996</v>
      </c>
      <c r="E37" s="5">
        <f>E33*E32</f>
        <v>245564.42202993744</v>
      </c>
      <c r="F37" s="5">
        <f>F33*F32</f>
        <v>247721.880880629</v>
      </c>
      <c r="G37" s="5">
        <f>G33*G32</f>
        <v>251275.44363182425</v>
      </c>
    </row>
    <row r="38" spans="2:7" ht="14" customHeight="1" x14ac:dyDescent="0.3">
      <c r="B38" s="4" t="s">
        <v>89</v>
      </c>
      <c r="C38" s="7">
        <f>(C35-C37)/C33</f>
        <v>9.4000000000000056E-2</v>
      </c>
      <c r="D38" s="7">
        <f>(D35-D37)/D33</f>
        <v>9.7000000000000017E-2</v>
      </c>
      <c r="E38" s="7">
        <f>(E35-E37)/E33</f>
        <v>0.10000000000000003</v>
      </c>
      <c r="F38" s="7">
        <f>(F35-F37)/F33</f>
        <v>0.10300000000000005</v>
      </c>
      <c r="G38" s="7">
        <f>(G35-G37)/G33</f>
        <v>0.10569999999999999</v>
      </c>
    </row>
    <row r="39" spans="2:7" ht="14" customHeight="1" x14ac:dyDescent="0.3">
      <c r="B39" s="4" t="s">
        <v>90</v>
      </c>
      <c r="C39" s="19">
        <f>C35-C37</f>
        <v>45952.569750000024</v>
      </c>
      <c r="D39" s="19">
        <f>D35-D37</f>
        <v>47893.332536250004</v>
      </c>
      <c r="E39" s="19">
        <f>E35-E37</f>
        <v>50115.188169375004</v>
      </c>
      <c r="F39" s="19">
        <f>F35-F37</f>
        <v>52392.923471673101</v>
      </c>
      <c r="G39" s="19">
        <f>G35-G37</f>
        <v>54841.65680752389</v>
      </c>
    </row>
    <row r="40" spans="2:7" ht="14" customHeight="1" x14ac:dyDescent="0.3">
      <c r="B40" s="4" t="s">
        <v>91</v>
      </c>
      <c r="C40" s="5">
        <f>MAX(0,C39*C6)</f>
        <v>11488.142437500006</v>
      </c>
      <c r="D40" s="5">
        <f>MAX(0,D39*C6)</f>
        <v>11973.333134062501</v>
      </c>
      <c r="E40" s="5">
        <f>MAX(0,E39*C6)</f>
        <v>12528.797042343751</v>
      </c>
      <c r="F40" s="5">
        <f>MAX(0,F39*C6)</f>
        <v>13098.230867918275</v>
      </c>
      <c r="G40" s="5">
        <f>MAX(0,G39*C6)</f>
        <v>13710.414201880973</v>
      </c>
    </row>
    <row r="41" spans="2:7" ht="14" customHeight="1" x14ac:dyDescent="0.3">
      <c r="B41" s="4" t="s">
        <v>92</v>
      </c>
      <c r="C41" s="19">
        <f>C39-C40</f>
        <v>34464.427312500018</v>
      </c>
      <c r="D41" s="19">
        <f>D39-D40</f>
        <v>35919.999402187503</v>
      </c>
      <c r="E41" s="19">
        <f>E39-E40</f>
        <v>37586.391127031253</v>
      </c>
      <c r="F41" s="19">
        <f>F39-F40</f>
        <v>39294.692603754826</v>
      </c>
      <c r="G41" s="19">
        <f>G39-G40</f>
        <v>41131.242605642918</v>
      </c>
    </row>
    <row r="42" spans="2:7" ht="14" customHeight="1" x14ac:dyDescent="0.3">
      <c r="B42" s="4" t="s">
        <v>93</v>
      </c>
      <c r="C42" s="5">
        <f>C33*C18</f>
        <v>28842.570374999996</v>
      </c>
      <c r="D42" s="5">
        <f>D33*C18</f>
        <v>29130.996078749995</v>
      </c>
      <c r="E42" s="5">
        <f>E33*C18</f>
        <v>29567.961019931241</v>
      </c>
      <c r="F42" s="5">
        <f>F33*C18</f>
        <v>30011.480435230205</v>
      </c>
      <c r="G42" s="5">
        <f>G33*C18</f>
        <v>30611.710043934811</v>
      </c>
    </row>
    <row r="43" spans="2:7" ht="14" customHeight="1" x14ac:dyDescent="0.3">
      <c r="B43" s="4" t="s">
        <v>94</v>
      </c>
      <c r="C43" s="5">
        <f>C33*C5</f>
        <v>30309.141749999995</v>
      </c>
      <c r="D43" s="5">
        <f>D33*C5</f>
        <v>30612.233167499995</v>
      </c>
      <c r="E43" s="5">
        <f>E33*C5</f>
        <v>31071.41666501249</v>
      </c>
      <c r="F43" s="5">
        <f>F33*C5</f>
        <v>31537.487914987676</v>
      </c>
      <c r="G43" s="5">
        <f>G33*C5</f>
        <v>32168.237673287429</v>
      </c>
    </row>
    <row r="44" spans="2:7" ht="14" customHeight="1" x14ac:dyDescent="0.3">
      <c r="B44" s="4" t="s">
        <v>95</v>
      </c>
      <c r="C44" s="5">
        <f>'NWC Schedule'!D19</f>
        <v>-1374.6874965753523</v>
      </c>
      <c r="D44" s="5">
        <f>'NWC Schedule'!E19</f>
        <v>702.21312503423542</v>
      </c>
      <c r="E44" s="5">
        <f>'NWC Schedule'!F19</f>
        <v>1063.8528844268876</v>
      </c>
      <c r="F44" s="5">
        <f>'NWC Schedule'!G19</f>
        <v>1079.8106776932837</v>
      </c>
      <c r="G44" s="5">
        <f>'NWC Schedule'!H19</f>
        <v>1461.3437838115788</v>
      </c>
    </row>
    <row r="45" spans="2:7" ht="14" customHeight="1" x14ac:dyDescent="0.3">
      <c r="B45" s="4" t="s">
        <v>96</v>
      </c>
      <c r="C45" s="20">
        <f>C41+C42-C43-C44</f>
        <v>34372.543434075371</v>
      </c>
      <c r="D45" s="20">
        <f>D41+D42-D43-D44</f>
        <v>33736.549188403267</v>
      </c>
      <c r="E45" s="20">
        <f>E41+E42-E43-E44</f>
        <v>35019.08259752312</v>
      </c>
      <c r="F45" s="20">
        <f>F41+F42-F43-F44</f>
        <v>36688.874446304064</v>
      </c>
      <c r="G45" s="20">
        <f>G41+G42-G43-G44</f>
        <v>38113.37119247872</v>
      </c>
    </row>
    <row r="46" spans="2:7" ht="14" customHeight="1" x14ac:dyDescent="0.3">
      <c r="B46" s="4" t="s">
        <v>97</v>
      </c>
      <c r="C46" s="21">
        <f>1/(1+C26)^(C19+0)</f>
        <v>0.92704180958561233</v>
      </c>
      <c r="D46" s="21">
        <f>1/(1+C26)^(C19+1)</f>
        <v>0.85940651671976676</v>
      </c>
      <c r="E46" s="21">
        <f>1/(1+C26)^(C19+2)</f>
        <v>0.79670577242956031</v>
      </c>
      <c r="F46" s="21">
        <f>1/(1+C26)^(C19+3)</f>
        <v>0.73857956098040267</v>
      </c>
      <c r="G46" s="21">
        <f>1/(1+C26)^(C19+4)</f>
        <v>0.68469413273421964</v>
      </c>
    </row>
    <row r="47" spans="2:7" ht="14" customHeight="1" x14ac:dyDescent="0.3">
      <c r="B47" s="4" t="s">
        <v>98</v>
      </c>
      <c r="C47" s="19">
        <f>C45*C46</f>
        <v>31864.784865185291</v>
      </c>
      <c r="D47" s="19">
        <f>D45*D46</f>
        <v>28993.410224150724</v>
      </c>
      <c r="E47" s="19">
        <f>E45*E46</f>
        <v>27899.90525063423</v>
      </c>
      <c r="F47" s="19">
        <f>F45*F46</f>
        <v>27097.652781416371</v>
      </c>
      <c r="G47" s="19">
        <f>G45*G46</f>
        <v>26096.001634211607</v>
      </c>
    </row>
    <row r="49" spans="2:7" ht="14" customHeight="1" x14ac:dyDescent="0.3">
      <c r="B49" s="22" t="s">
        <v>99</v>
      </c>
      <c r="C49" s="23"/>
      <c r="D49" s="23"/>
      <c r="E49" s="23"/>
      <c r="F49" s="23"/>
      <c r="G49" s="23"/>
    </row>
    <row r="50" spans="2:7" ht="14" customHeight="1" x14ac:dyDescent="0.3">
      <c r="B50" s="4" t="s">
        <v>100</v>
      </c>
      <c r="C50" s="5">
        <f>SUM(C47:G47)</f>
        <v>141951.75475559823</v>
      </c>
    </row>
    <row r="51" spans="2:7" ht="14" customHeight="1" x14ac:dyDescent="0.3">
      <c r="B51" s="4" t="s">
        <v>101</v>
      </c>
      <c r="C51" s="5">
        <f>G45*(1+C13)/(C26-C13)</f>
        <v>560327.58230572799</v>
      </c>
    </row>
    <row r="52" spans="2:7" ht="14" customHeight="1" x14ac:dyDescent="0.3">
      <c r="B52" s="4" t="s">
        <v>102</v>
      </c>
      <c r="C52" s="5">
        <f>C51*G46</f>
        <v>383653.0080138825</v>
      </c>
    </row>
    <row r="53" spans="2:7" ht="14" customHeight="1" x14ac:dyDescent="0.3">
      <c r="B53" s="4" t="s">
        <v>103</v>
      </c>
      <c r="C53" s="5">
        <f>C50+C52</f>
        <v>525604.7627694807</v>
      </c>
    </row>
    <row r="54" spans="2:7" ht="14" customHeight="1" x14ac:dyDescent="0.3">
      <c r="B54" s="4" t="s">
        <v>104</v>
      </c>
      <c r="C54" s="5">
        <f>C53-C16</f>
        <v>653668.7627694807</v>
      </c>
    </row>
    <row r="55" spans="2:7" ht="14" customHeight="1" x14ac:dyDescent="0.3">
      <c r="B55" s="4" t="s">
        <v>105</v>
      </c>
      <c r="C55" s="24">
        <f>ROUND(C54*1000000/C15,0)</f>
        <v>2279</v>
      </c>
    </row>
    <row r="57" spans="2:7" ht="14" customHeight="1" x14ac:dyDescent="0.3">
      <c r="B57" s="22" t="s">
        <v>106</v>
      </c>
      <c r="C57" s="23"/>
      <c r="D57" s="23"/>
      <c r="E57" s="23"/>
      <c r="F57" s="23"/>
      <c r="G57" s="23"/>
    </row>
    <row r="58" spans="2:7" ht="14" customHeight="1" x14ac:dyDescent="0.3">
      <c r="B58" s="4" t="s">
        <v>100</v>
      </c>
      <c r="C58" s="5">
        <f>C50</f>
        <v>141951.75475559823</v>
      </c>
    </row>
    <row r="59" spans="2:7" ht="14" customHeight="1" x14ac:dyDescent="0.3">
      <c r="B59" s="4" t="s">
        <v>107</v>
      </c>
      <c r="C59" s="5">
        <f>G39+G42</f>
        <v>85453.366851458704</v>
      </c>
    </row>
    <row r="60" spans="2:7" ht="14" customHeight="1" x14ac:dyDescent="0.3">
      <c r="B60" s="4" t="s">
        <v>108</v>
      </c>
      <c r="C60" s="5">
        <f>C59*C14</f>
        <v>931441.69868089992</v>
      </c>
    </row>
    <row r="61" spans="2:7" ht="14" customHeight="1" x14ac:dyDescent="0.3">
      <c r="B61" s="4" t="s">
        <v>102</v>
      </c>
      <c r="C61" s="5">
        <f>C60*G46</f>
        <v>637752.66607080714</v>
      </c>
    </row>
    <row r="62" spans="2:7" ht="14" customHeight="1" x14ac:dyDescent="0.3">
      <c r="B62" s="4" t="s">
        <v>103</v>
      </c>
      <c r="C62" s="5">
        <f>C58+C61</f>
        <v>779704.4208264054</v>
      </c>
    </row>
    <row r="63" spans="2:7" ht="14" customHeight="1" x14ac:dyDescent="0.3">
      <c r="B63" s="4" t="s">
        <v>104</v>
      </c>
      <c r="C63" s="5">
        <f>C62-C16</f>
        <v>907768.4208264054</v>
      </c>
    </row>
    <row r="64" spans="2:7" ht="14" customHeight="1" x14ac:dyDescent="0.3">
      <c r="B64" s="4" t="s">
        <v>109</v>
      </c>
      <c r="C64" s="24">
        <f>ROUND(C63*1000000/C15,0)</f>
        <v>3165</v>
      </c>
    </row>
    <row r="66" spans="2:7" ht="14" customHeight="1" x14ac:dyDescent="0.3">
      <c r="B66" s="22" t="s">
        <v>110</v>
      </c>
      <c r="C66" s="23"/>
      <c r="D66" s="23"/>
      <c r="E66" s="23"/>
      <c r="F66" s="23"/>
      <c r="G66" s="23"/>
    </row>
    <row r="67" spans="2:7" ht="14" customHeight="1" x14ac:dyDescent="0.3">
      <c r="C67" s="25" t="s">
        <v>111</v>
      </c>
      <c r="D67" s="25" t="s">
        <v>112</v>
      </c>
      <c r="E67" s="25" t="s">
        <v>113</v>
      </c>
      <c r="F67" s="25" t="s">
        <v>114</v>
      </c>
      <c r="G67" s="25" t="s">
        <v>115</v>
      </c>
    </row>
    <row r="68" spans="2:7" ht="14" customHeight="1" x14ac:dyDescent="0.3">
      <c r="B68" s="3" t="s">
        <v>42</v>
      </c>
    </row>
    <row r="69" spans="2:7" ht="14" customHeight="1" x14ac:dyDescent="0.3">
      <c r="B69" s="4" t="s">
        <v>79</v>
      </c>
      <c r="C69" s="26">
        <v>5.0000000000000001E-3</v>
      </c>
      <c r="D69" s="26">
        <v>0.01</v>
      </c>
      <c r="E69" s="26">
        <v>1.4999999999999999E-2</v>
      </c>
      <c r="F69" s="26">
        <v>1.4999999999999999E-2</v>
      </c>
      <c r="G69" s="26">
        <v>0.02</v>
      </c>
    </row>
    <row r="70" spans="2:7" ht="14" customHeight="1" x14ac:dyDescent="0.3">
      <c r="B70" s="4" t="s">
        <v>116</v>
      </c>
      <c r="C70" s="26">
        <v>0.02</v>
      </c>
      <c r="D70" s="26">
        <v>2.5000000000000001E-2</v>
      </c>
      <c r="E70" s="26">
        <v>2.5000000000000001E-2</v>
      </c>
      <c r="F70" s="26">
        <v>2.5000000000000001E-2</v>
      </c>
      <c r="G70" s="26">
        <v>2.5000000000000001E-2</v>
      </c>
    </row>
    <row r="71" spans="2:7" ht="14" customHeight="1" x14ac:dyDescent="0.3">
      <c r="B71" s="4" t="s">
        <v>117</v>
      </c>
      <c r="C71" s="26">
        <v>5.0000000000000001E-3</v>
      </c>
      <c r="D71" s="26">
        <v>0.01</v>
      </c>
      <c r="E71" s="26">
        <v>1.4999999999999999E-2</v>
      </c>
      <c r="F71" s="26">
        <v>1.4999999999999999E-2</v>
      </c>
      <c r="G71" s="26">
        <v>0.02</v>
      </c>
    </row>
    <row r="72" spans="2:7" ht="14" customHeight="1" x14ac:dyDescent="0.3">
      <c r="B72" s="4" t="s">
        <v>118</v>
      </c>
      <c r="C72" s="26">
        <v>-0.01</v>
      </c>
      <c r="D72" s="26">
        <v>-5.0000000000000001E-3</v>
      </c>
      <c r="E72" s="26">
        <v>0</v>
      </c>
      <c r="F72" s="26">
        <v>0</v>
      </c>
      <c r="G72" s="26">
        <v>0</v>
      </c>
    </row>
    <row r="73" spans="2:7" ht="14" customHeight="1" x14ac:dyDescent="0.3">
      <c r="B73" s="4" t="s">
        <v>119</v>
      </c>
      <c r="C73" s="26">
        <v>-0.1</v>
      </c>
      <c r="D73" s="26">
        <v>-0.02</v>
      </c>
      <c r="E73" s="26">
        <v>0</v>
      </c>
      <c r="F73" s="26">
        <v>5.0000000000000001E-3</v>
      </c>
      <c r="G73" s="26">
        <v>0.01</v>
      </c>
    </row>
    <row r="75" spans="2:7" ht="14" customHeight="1" x14ac:dyDescent="0.3">
      <c r="B75" s="3" t="s">
        <v>86</v>
      </c>
    </row>
    <row r="76" spans="2:7" ht="14" customHeight="1" x14ac:dyDescent="0.3">
      <c r="B76" s="4" t="s">
        <v>79</v>
      </c>
      <c r="C76" s="26">
        <v>0.41</v>
      </c>
      <c r="D76" s="26">
        <v>0.41</v>
      </c>
      <c r="E76" s="26">
        <v>0.41</v>
      </c>
      <c r="F76" s="26">
        <v>0.41</v>
      </c>
      <c r="G76" s="26">
        <v>0.41</v>
      </c>
    </row>
    <row r="77" spans="2:7" ht="14" customHeight="1" x14ac:dyDescent="0.3">
      <c r="B77" s="4" t="s">
        <v>116</v>
      </c>
      <c r="C77" s="26">
        <v>0.40600000000000003</v>
      </c>
      <c r="D77" s="26">
        <v>0.40600000000000003</v>
      </c>
      <c r="E77" s="26">
        <v>0.40600000000000003</v>
      </c>
      <c r="F77" s="26">
        <v>0.40600000000000003</v>
      </c>
      <c r="G77" s="26">
        <v>0.40600000000000003</v>
      </c>
    </row>
    <row r="78" spans="2:7" ht="14" customHeight="1" x14ac:dyDescent="0.3">
      <c r="B78" s="4" t="s">
        <v>117</v>
      </c>
      <c r="C78" s="26">
        <v>0.41</v>
      </c>
      <c r="D78" s="26">
        <v>0.41</v>
      </c>
      <c r="E78" s="26">
        <v>0.41</v>
      </c>
      <c r="F78" s="26">
        <v>0.41</v>
      </c>
      <c r="G78" s="26">
        <v>0.41</v>
      </c>
    </row>
    <row r="79" spans="2:7" ht="14" customHeight="1" x14ac:dyDescent="0.3">
      <c r="B79" s="4" t="s">
        <v>118</v>
      </c>
      <c r="C79" s="26">
        <v>0.41599999999999998</v>
      </c>
      <c r="D79" s="26">
        <v>0.41599999999999998</v>
      </c>
      <c r="E79" s="26">
        <v>0.41599999999999998</v>
      </c>
      <c r="F79" s="26">
        <v>0.41599999999999998</v>
      </c>
      <c r="G79" s="26">
        <v>0.41599999999999998</v>
      </c>
    </row>
    <row r="80" spans="2:7" ht="14" customHeight="1" x14ac:dyDescent="0.3">
      <c r="B80" s="4" t="s">
        <v>119</v>
      </c>
      <c r="C80" s="26">
        <v>0.42499999999999999</v>
      </c>
      <c r="D80" s="26">
        <v>0.42499999999999999</v>
      </c>
      <c r="E80" s="26">
        <v>0.42499999999999999</v>
      </c>
      <c r="F80" s="26">
        <v>0.42499999999999999</v>
      </c>
      <c r="G80" s="26">
        <v>0.42499999999999999</v>
      </c>
    </row>
    <row r="82" spans="2:7" ht="14" customHeight="1" x14ac:dyDescent="0.3">
      <c r="B82" s="3" t="s">
        <v>87</v>
      </c>
    </row>
    <row r="83" spans="2:7" ht="14" customHeight="1" x14ac:dyDescent="0.3">
      <c r="B83" s="4" t="s">
        <v>79</v>
      </c>
      <c r="C83" s="26">
        <v>0.496</v>
      </c>
      <c r="D83" s="26">
        <v>0.49299999999999999</v>
      </c>
      <c r="E83" s="26">
        <v>0.49</v>
      </c>
      <c r="F83" s="26">
        <v>0.48699999999999999</v>
      </c>
      <c r="G83" s="26">
        <v>0.48430000000000001</v>
      </c>
    </row>
    <row r="84" spans="2:7" ht="14" customHeight="1" x14ac:dyDescent="0.3">
      <c r="B84" s="4" t="s">
        <v>116</v>
      </c>
      <c r="C84" s="26">
        <v>0.49399999999999999</v>
      </c>
      <c r="D84" s="26">
        <v>0.48399999999999999</v>
      </c>
      <c r="E84" s="26">
        <v>0.47399999999999998</v>
      </c>
      <c r="F84" s="26">
        <v>0.46700000000000003</v>
      </c>
      <c r="G84" s="26">
        <v>0.46529999999999999</v>
      </c>
    </row>
    <row r="85" spans="2:7" ht="14" customHeight="1" x14ac:dyDescent="0.3">
      <c r="B85" s="4" t="s">
        <v>117</v>
      </c>
      <c r="C85" s="26">
        <v>0.496</v>
      </c>
      <c r="D85" s="26">
        <v>0.49299999999999999</v>
      </c>
      <c r="E85" s="26">
        <v>0.49</v>
      </c>
      <c r="F85" s="26">
        <v>0.48699999999999999</v>
      </c>
      <c r="G85" s="26">
        <v>0.48430000000000001</v>
      </c>
    </row>
    <row r="86" spans="2:7" ht="14" customHeight="1" x14ac:dyDescent="0.3">
      <c r="B86" s="4" t="s">
        <v>118</v>
      </c>
      <c r="C86" s="26">
        <v>0.499</v>
      </c>
      <c r="D86" s="26">
        <v>0.504</v>
      </c>
      <c r="E86" s="26">
        <v>0.50900000000000001</v>
      </c>
      <c r="F86" s="26">
        <v>0.51200000000000001</v>
      </c>
      <c r="G86" s="26">
        <v>0.51200000000000001</v>
      </c>
    </row>
    <row r="87" spans="2:7" ht="14" customHeight="1" x14ac:dyDescent="0.3">
      <c r="B87" s="4" t="s">
        <v>119</v>
      </c>
      <c r="C87" s="26">
        <v>0.52500000000000002</v>
      </c>
      <c r="D87" s="26">
        <v>0.53</v>
      </c>
      <c r="E87" s="26">
        <v>0.53</v>
      </c>
      <c r="F87" s="26">
        <v>0.52700000000000002</v>
      </c>
      <c r="G87" s="26">
        <v>0.52500000000000002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120</v>
      </c>
    </row>
    <row r="3" spans="2:9" ht="14" customHeight="1" x14ac:dyDescent="0.3">
      <c r="B3" s="1" t="s">
        <v>121</v>
      </c>
    </row>
    <row r="5" spans="2:9" ht="14" customHeight="1" x14ac:dyDescent="0.3">
      <c r="B5" s="8" t="s">
        <v>122</v>
      </c>
      <c r="C5" s="9"/>
      <c r="D5" s="9"/>
      <c r="E5" s="9"/>
      <c r="F5" s="9"/>
      <c r="G5" s="9"/>
      <c r="H5" s="9"/>
      <c r="I5" s="9"/>
    </row>
    <row r="6" spans="2:9" ht="14" customHeight="1" x14ac:dyDescent="0.3">
      <c r="B6" s="4" t="s">
        <v>123</v>
      </c>
      <c r="C6" s="15">
        <f>'Executive Summary'!C9</f>
        <v>2822</v>
      </c>
    </row>
    <row r="7" spans="2:9" ht="14" customHeight="1" x14ac:dyDescent="0.3">
      <c r="B7" s="4" t="s">
        <v>67</v>
      </c>
      <c r="C7" s="15">
        <f>'DCF Model'!C15</f>
        <v>286835826</v>
      </c>
    </row>
    <row r="8" spans="2:9" ht="14" customHeight="1" x14ac:dyDescent="0.3">
      <c r="B8" s="4" t="s">
        <v>124</v>
      </c>
      <c r="C8" s="5">
        <f>C6*C7/1000000</f>
        <v>809450.70097200002</v>
      </c>
    </row>
    <row r="9" spans="2:9" ht="14" customHeight="1" x14ac:dyDescent="0.3">
      <c r="B9" s="4" t="s">
        <v>68</v>
      </c>
      <c r="C9" s="5">
        <f>'DCF Model'!C16</f>
        <v>-128064</v>
      </c>
    </row>
    <row r="10" spans="2:9" ht="14" customHeight="1" x14ac:dyDescent="0.3">
      <c r="B10" s="4" t="s">
        <v>125</v>
      </c>
      <c r="C10" s="5">
        <f>C8+C9</f>
        <v>681386.70097200002</v>
      </c>
    </row>
    <row r="11" spans="2:9" ht="14" customHeight="1" x14ac:dyDescent="0.3">
      <c r="B11" s="4" t="s">
        <v>126</v>
      </c>
      <c r="C11" s="16">
        <f>'DCF Model'!C26</f>
        <v>7.8699999999999992E-2</v>
      </c>
    </row>
    <row r="12" spans="2:9" ht="14" customHeight="1" x14ac:dyDescent="0.3">
      <c r="B12" s="4" t="s">
        <v>127</v>
      </c>
      <c r="C12" s="16">
        <f>'DCF Model'!C13</f>
        <v>0.01</v>
      </c>
    </row>
    <row r="13" spans="2:9" ht="14" customHeight="1" x14ac:dyDescent="0.3">
      <c r="B13" s="4" t="s">
        <v>128</v>
      </c>
      <c r="C13" s="16">
        <f>'DCF Model'!C6</f>
        <v>0.25</v>
      </c>
    </row>
    <row r="14" spans="2:9" ht="14" customHeight="1" x14ac:dyDescent="0.3">
      <c r="B14" s="4" t="s">
        <v>129</v>
      </c>
      <c r="C14" s="27">
        <v>45185</v>
      </c>
    </row>
    <row r="15" spans="2:9" ht="14" customHeight="1" x14ac:dyDescent="0.3">
      <c r="B15" s="4" t="s">
        <v>130</v>
      </c>
      <c r="C15" s="27">
        <v>66068</v>
      </c>
    </row>
    <row r="16" spans="2:9" ht="14" customHeight="1" x14ac:dyDescent="0.3">
      <c r="B16" s="4" t="s">
        <v>131</v>
      </c>
      <c r="C16" s="5">
        <f>'DCF Model'!G33</f>
        <v>518842.5431175392</v>
      </c>
    </row>
    <row r="17" spans="2:9" ht="14" customHeight="1" x14ac:dyDescent="0.3">
      <c r="B17" s="4" t="s">
        <v>132</v>
      </c>
      <c r="C17" s="5">
        <f>'DCF Model'!C53</f>
        <v>525604.7627694807</v>
      </c>
    </row>
    <row r="18" spans="2:9" ht="14" customHeight="1" x14ac:dyDescent="0.3">
      <c r="B18" s="4" t="s">
        <v>133</v>
      </c>
      <c r="C18" s="26">
        <v>0.13676664506873731</v>
      </c>
    </row>
    <row r="19" spans="2:9" ht="14" customHeight="1" x14ac:dyDescent="0.3">
      <c r="B19" s="4" t="s">
        <v>134</v>
      </c>
      <c r="C19" s="5">
        <f>C10-C17</f>
        <v>155781.93820251932</v>
      </c>
    </row>
    <row r="20" spans="2:9" ht="14" customHeight="1" x14ac:dyDescent="0.3">
      <c r="B20" s="4" t="s">
        <v>135</v>
      </c>
      <c r="C20" s="15">
        <f>IFERROR(ROUND(C19*1000000/C7,0),"N/A")</f>
        <v>543</v>
      </c>
    </row>
    <row r="22" spans="2:9" ht="14" customHeight="1" x14ac:dyDescent="0.3">
      <c r="B22" s="8" t="s">
        <v>136</v>
      </c>
      <c r="C22" s="9"/>
      <c r="D22" s="9"/>
      <c r="E22" s="9"/>
      <c r="F22" s="9"/>
      <c r="G22" s="9"/>
      <c r="H22" s="9"/>
      <c r="I22" s="9"/>
    </row>
    <row r="23" spans="2:9" ht="14" customHeight="1" x14ac:dyDescent="0.3">
      <c r="B23" s="1" t="s">
        <v>137</v>
      </c>
    </row>
    <row r="24" spans="2:9" ht="14" customHeight="1" x14ac:dyDescent="0.3">
      <c r="B24" s="4" t="s">
        <v>138</v>
      </c>
      <c r="C24" s="5">
        <f>C10*(C11-C12)</f>
        <v>46811.266356776403</v>
      </c>
    </row>
    <row r="25" spans="2:9" ht="14" customHeight="1" x14ac:dyDescent="0.3">
      <c r="B25" s="4" t="s">
        <v>139</v>
      </c>
      <c r="C25" s="5">
        <f>IFERROR(C24/(1-C13),"N/A")</f>
        <v>62415.021809035206</v>
      </c>
    </row>
    <row r="26" spans="2:9" ht="13.5" customHeight="1" x14ac:dyDescent="0.25">
      <c r="B26" s="6" t="s">
        <v>140</v>
      </c>
      <c r="C26" s="14">
        <f>IFERROR(C25/C15,"N/A")</f>
        <v>0.94470881226971004</v>
      </c>
    </row>
    <row r="27" spans="2:9" ht="13.5" customHeight="1" x14ac:dyDescent="0.25">
      <c r="B27" s="6" t="s">
        <v>141</v>
      </c>
      <c r="C27" s="14">
        <f>IFERROR(C25/C14,"N/A")</f>
        <v>1.381321717584048</v>
      </c>
    </row>
    <row r="28" spans="2:9" ht="13.5" customHeight="1" x14ac:dyDescent="0.25">
      <c r="B28" s="6" t="s">
        <v>142</v>
      </c>
      <c r="C28" s="7">
        <f>IFERROR(C25/C16,"N/A")</f>
        <v>0.1202966538441618</v>
      </c>
    </row>
    <row r="29" spans="2:9" ht="13.5" customHeight="1" x14ac:dyDescent="0.25">
      <c r="B29" s="6" t="s">
        <v>143</v>
      </c>
      <c r="C29" s="5">
        <f>IFERROR(C25/C18,"N/A")</f>
        <v>456361.4306519411</v>
      </c>
    </row>
    <row r="32" spans="2:9" ht="14" customHeight="1" x14ac:dyDescent="0.3">
      <c r="B32" s="8" t="s">
        <v>144</v>
      </c>
      <c r="C32" s="9"/>
      <c r="D32" s="9"/>
      <c r="E32" s="9"/>
      <c r="F32" s="9"/>
      <c r="G32" s="9"/>
      <c r="H32" s="9"/>
      <c r="I32" s="9"/>
    </row>
    <row r="33" spans="2:9" ht="14" customHeight="1" x14ac:dyDescent="0.3">
      <c r="B33" s="1" t="s">
        <v>145</v>
      </c>
    </row>
    <row r="34" spans="2:9" ht="14" customHeight="1" x14ac:dyDescent="0.3">
      <c r="B34" s="1" t="s">
        <v>146</v>
      </c>
    </row>
    <row r="36" spans="2:9" ht="14" customHeight="1" x14ac:dyDescent="0.3">
      <c r="B36" s="28" t="s">
        <v>147</v>
      </c>
      <c r="C36" s="28" t="s">
        <v>148</v>
      </c>
      <c r="D36" s="29">
        <f>'DCF Model'!C26-0.02</f>
        <v>5.8699999999999988E-2</v>
      </c>
      <c r="E36" s="29">
        <f>'DCF Model'!C26-0.01</f>
        <v>6.8699999999999997E-2</v>
      </c>
      <c r="F36" s="29">
        <f>'DCF Model'!C26</f>
        <v>7.8699999999999992E-2</v>
      </c>
      <c r="G36" s="29">
        <f>'DCF Model'!C26+0.01</f>
        <v>8.8699999999999987E-2</v>
      </c>
      <c r="H36" s="29">
        <f>'DCF Model'!C26+0.02</f>
        <v>9.8699999999999996E-2</v>
      </c>
    </row>
    <row r="37" spans="2:9" ht="14" customHeight="1" x14ac:dyDescent="0.3">
      <c r="B37" s="3" t="s">
        <v>149</v>
      </c>
    </row>
    <row r="38" spans="2:9" ht="14" customHeight="1" x14ac:dyDescent="0.3">
      <c r="B38" s="4" t="s">
        <v>150</v>
      </c>
      <c r="C38" s="30">
        <v>3</v>
      </c>
      <c r="D38" s="13">
        <f t="shared" ref="D38:H41" si="0">IFERROR((1-(1+D$36)^(-$C38))/D$36-(1+D$36)/(D$36^2*$C38)*(1-($C38+1)/(1+D$36)^$C38+$C38/(1+D$36)^($C38+1)),"N/A")</f>
        <v>0.92709758587143232</v>
      </c>
      <c r="E38" s="13">
        <f t="shared" si="0"/>
        <v>0.91566585284944635</v>
      </c>
      <c r="F38" s="13">
        <f t="shared" si="0"/>
        <v>0.90449671196365755</v>
      </c>
      <c r="G38" s="13">
        <f t="shared" si="0"/>
        <v>0.89358154471701523</v>
      </c>
      <c r="H38" s="13">
        <f t="shared" si="0"/>
        <v>0.88291209625937972</v>
      </c>
    </row>
    <row r="39" spans="2:9" ht="14" customHeight="1" x14ac:dyDescent="0.3">
      <c r="B39" s="4" t="s">
        <v>151</v>
      </c>
      <c r="C39" s="30">
        <v>5</v>
      </c>
      <c r="D39" s="13">
        <f t="shared" si="0"/>
        <v>1.7872384837584874</v>
      </c>
      <c r="E39" s="13">
        <f t="shared" si="0"/>
        <v>1.7549469895836154</v>
      </c>
      <c r="F39" s="13">
        <f t="shared" si="0"/>
        <v>1.7236755788682676</v>
      </c>
      <c r="G39" s="13">
        <f t="shared" si="0"/>
        <v>1.6933802749910432</v>
      </c>
      <c r="H39" s="13">
        <f t="shared" si="0"/>
        <v>1.6640194555418164</v>
      </c>
    </row>
    <row r="40" spans="2:9" ht="14" customHeight="1" x14ac:dyDescent="0.3">
      <c r="B40" s="4" t="s">
        <v>152</v>
      </c>
      <c r="C40" s="30">
        <v>7</v>
      </c>
      <c r="D40" s="13">
        <f t="shared" si="0"/>
        <v>2.5858526289316472</v>
      </c>
      <c r="E40" s="13">
        <f t="shared" si="0"/>
        <v>2.5249961759284361</v>
      </c>
      <c r="F40" s="13">
        <f t="shared" si="0"/>
        <v>2.4665676524375546</v>
      </c>
      <c r="G40" s="13">
        <f t="shared" si="0"/>
        <v>2.4104381704157212</v>
      </c>
      <c r="H40" s="13">
        <f t="shared" si="0"/>
        <v>2.3564871633383597</v>
      </c>
    </row>
    <row r="41" spans="2:9" ht="14" customHeight="1" x14ac:dyDescent="0.3">
      <c r="B41" s="4" t="s">
        <v>153</v>
      </c>
      <c r="C41" s="30">
        <v>10</v>
      </c>
      <c r="D41" s="13">
        <f t="shared" si="0"/>
        <v>3.6791448281785812</v>
      </c>
      <c r="E41" s="13">
        <f t="shared" si="0"/>
        <v>3.564168868174971</v>
      </c>
      <c r="F41" s="13">
        <f t="shared" si="0"/>
        <v>3.4551469634530938</v>
      </c>
      <c r="G41" s="13">
        <f t="shared" si="0"/>
        <v>3.3516773942026385</v>
      </c>
      <c r="H41" s="13">
        <f t="shared" si="0"/>
        <v>3.2533907960108661</v>
      </c>
    </row>
    <row r="42" spans="2:9" ht="14" customHeight="1" x14ac:dyDescent="0.3">
      <c r="B42" s="3" t="s">
        <v>154</v>
      </c>
    </row>
    <row r="43" spans="2:9" ht="14" customHeight="1" x14ac:dyDescent="0.3">
      <c r="B43" s="4" t="s">
        <v>150</v>
      </c>
      <c r="C43" s="30">
        <v>3</v>
      </c>
      <c r="D43" s="13">
        <f t="shared" ref="D43:H46" si="1">IFERROR((1+D$36)/(D$36^2*$C43)*(1-($C43+1)/(1+D$36)^$C43+$C43/(1+D$36)^($C43+1))+(1+$C$12)/((D$36-$C$12)*(1+D$36)^$C43),"N/A")</f>
        <v>19.229629700549918</v>
      </c>
      <c r="E43" s="13">
        <f t="shared" si="1"/>
        <v>15.81154347121738</v>
      </c>
      <c r="F43" s="13">
        <f t="shared" si="1"/>
        <v>13.39150789847224</v>
      </c>
      <c r="G43" s="13">
        <f t="shared" si="1"/>
        <v>11.588982883370557</v>
      </c>
      <c r="H43" s="13">
        <f t="shared" si="1"/>
        <v>10.195039456356449</v>
      </c>
    </row>
    <row r="44" spans="2:9" ht="14" customHeight="1" x14ac:dyDescent="0.3">
      <c r="B44" s="4" t="s">
        <v>151</v>
      </c>
      <c r="C44" s="30">
        <v>5</v>
      </c>
      <c r="D44" s="13">
        <f t="shared" si="1"/>
        <v>18.032998578866387</v>
      </c>
      <c r="E44" s="13">
        <f t="shared" si="1"/>
        <v>14.702092923690998</v>
      </c>
      <c r="F44" s="13">
        <f t="shared" si="1"/>
        <v>12.348852272701555</v>
      </c>
      <c r="G44" s="13">
        <f t="shared" si="1"/>
        <v>10.600268283072305</v>
      </c>
      <c r="H44" s="13">
        <f t="shared" si="1"/>
        <v>9.2515604318662881</v>
      </c>
    </row>
    <row r="45" spans="2:9" ht="14" customHeight="1" x14ac:dyDescent="0.3">
      <c r="B45" s="4" t="s">
        <v>152</v>
      </c>
      <c r="C45" s="30">
        <v>7</v>
      </c>
      <c r="D45" s="13">
        <f t="shared" si="1"/>
        <v>16.934173417316408</v>
      </c>
      <c r="E45" s="13">
        <f t="shared" si="1"/>
        <v>13.695492863424885</v>
      </c>
      <c r="F45" s="13">
        <f t="shared" si="1"/>
        <v>11.413902816227345</v>
      </c>
      <c r="G45" s="13">
        <f t="shared" si="1"/>
        <v>9.7238237177686653</v>
      </c>
      <c r="H45" s="13">
        <f t="shared" si="1"/>
        <v>8.424583522247941</v>
      </c>
    </row>
    <row r="46" spans="2:9" ht="14" customHeight="1" x14ac:dyDescent="0.3">
      <c r="B46" s="4" t="s">
        <v>153</v>
      </c>
      <c r="C46" s="30">
        <v>10</v>
      </c>
      <c r="D46" s="13">
        <f t="shared" si="1"/>
        <v>15.450148398544387</v>
      </c>
      <c r="E46" s="13">
        <f t="shared" si="1"/>
        <v>12.355521764267314</v>
      </c>
      <c r="F46" s="13">
        <f t="shared" si="1"/>
        <v>10.186658081705215</v>
      </c>
      <c r="G46" s="13">
        <f t="shared" si="1"/>
        <v>8.5889754455251577</v>
      </c>
      <c r="H46" s="13">
        <f t="shared" si="1"/>
        <v>7.3679278867019544</v>
      </c>
    </row>
    <row r="47" spans="2:9" ht="14" customHeight="1" x14ac:dyDescent="0.3">
      <c r="B47" s="22" t="s">
        <v>155</v>
      </c>
      <c r="C47" s="23"/>
      <c r="D47" s="23"/>
      <c r="E47" s="23"/>
      <c r="F47" s="23"/>
      <c r="G47" s="23"/>
      <c r="H47" s="23"/>
      <c r="I47" s="23"/>
    </row>
    <row r="48" spans="2:9" ht="14" customHeight="1" x14ac:dyDescent="0.3">
      <c r="B48" s="4" t="s">
        <v>150</v>
      </c>
      <c r="C48" s="30">
        <v>3</v>
      </c>
      <c r="D48" s="5">
        <f t="shared" ref="D48:H51" si="2">IFERROR(($C$10/(1-$C$13)-$C$14*D38)/D43,"N/A")</f>
        <v>45067.154717681129</v>
      </c>
      <c r="E48" s="5">
        <f t="shared" si="2"/>
        <v>54842.2891992488</v>
      </c>
      <c r="F48" s="5">
        <f t="shared" si="2"/>
        <v>64790.755749388532</v>
      </c>
      <c r="G48" s="5">
        <f t="shared" si="2"/>
        <v>74910.725810432035</v>
      </c>
      <c r="H48" s="5">
        <f t="shared" si="2"/>
        <v>85200.378276608637</v>
      </c>
    </row>
    <row r="49" spans="2:9" ht="14" customHeight="1" x14ac:dyDescent="0.3">
      <c r="B49" s="4" t="s">
        <v>151</v>
      </c>
      <c r="C49" s="30">
        <v>5</v>
      </c>
      <c r="D49" s="5">
        <f t="shared" si="2"/>
        <v>45902.473001770093</v>
      </c>
      <c r="E49" s="5">
        <f t="shared" si="2"/>
        <v>56401.379441389559</v>
      </c>
      <c r="F49" s="5">
        <f t="shared" si="2"/>
        <v>67263.847839611451</v>
      </c>
      <c r="G49" s="5">
        <f t="shared" si="2"/>
        <v>78488.599661119981</v>
      </c>
      <c r="H49" s="5">
        <f t="shared" si="2"/>
        <v>90074.197572877834</v>
      </c>
    </row>
    <row r="50" spans="2:9" ht="14" customHeight="1" x14ac:dyDescent="0.3">
      <c r="B50" s="4" t="s">
        <v>152</v>
      </c>
      <c r="C50" s="30">
        <v>7</v>
      </c>
      <c r="D50" s="5">
        <f t="shared" si="2"/>
        <v>46750.073401762864</v>
      </c>
      <c r="E50" s="5">
        <f t="shared" si="2"/>
        <v>58006.211022040508</v>
      </c>
      <c r="F50" s="5">
        <f t="shared" si="2"/>
        <v>69832.707948714058</v>
      </c>
      <c r="G50" s="5">
        <f t="shared" si="2"/>
        <v>82231.021023615453</v>
      </c>
      <c r="H50" s="5">
        <f t="shared" si="2"/>
        <v>95202.062713546184</v>
      </c>
    </row>
    <row r="51" spans="2:9" ht="14" customHeight="1" x14ac:dyDescent="0.3">
      <c r="B51" s="4" t="s">
        <v>153</v>
      </c>
      <c r="C51" s="30">
        <v>10</v>
      </c>
      <c r="D51" s="5">
        <f t="shared" si="2"/>
        <v>48043.12703589844</v>
      </c>
      <c r="E51" s="5">
        <f t="shared" si="2"/>
        <v>60496.727313388306</v>
      </c>
      <c r="F51" s="5">
        <f t="shared" si="2"/>
        <v>73860.806921912852</v>
      </c>
      <c r="G51" s="5">
        <f t="shared" si="2"/>
        <v>88144.396621064516</v>
      </c>
      <c r="H51" s="5">
        <f t="shared" si="2"/>
        <v>103354.85768701221</v>
      </c>
    </row>
    <row r="52" spans="2:9" ht="14" customHeight="1" x14ac:dyDescent="0.3">
      <c r="B52" s="22" t="s">
        <v>156</v>
      </c>
      <c r="C52" s="23"/>
      <c r="D52" s="23"/>
      <c r="E52" s="23"/>
      <c r="F52" s="23"/>
      <c r="G52" s="23"/>
      <c r="H52" s="23"/>
      <c r="I52" s="23"/>
    </row>
    <row r="53" spans="2:9" ht="14" customHeight="1" x14ac:dyDescent="0.3">
      <c r="B53" s="4" t="s">
        <v>150</v>
      </c>
      <c r="C53" s="30">
        <v>3</v>
      </c>
      <c r="D53" s="14">
        <f t="shared" ref="D53:H56" si="3">IFERROR(D48/$C$15,"N/A")</f>
        <v>0.68213287397349898</v>
      </c>
      <c r="E53" s="14">
        <f t="shared" si="3"/>
        <v>0.83008853301520857</v>
      </c>
      <c r="F53" s="14">
        <f t="shared" si="3"/>
        <v>0.98066773247848482</v>
      </c>
      <c r="G53" s="14">
        <f t="shared" si="3"/>
        <v>1.1338427954597088</v>
      </c>
      <c r="H53" s="14">
        <f t="shared" si="3"/>
        <v>1.2895861578465919</v>
      </c>
    </row>
    <row r="54" spans="2:9" ht="14" customHeight="1" x14ac:dyDescent="0.3">
      <c r="B54" s="4" t="s">
        <v>151</v>
      </c>
      <c r="C54" s="30">
        <v>5</v>
      </c>
      <c r="D54" s="14">
        <f t="shared" si="3"/>
        <v>0.69477618516937234</v>
      </c>
      <c r="E54" s="14">
        <f t="shared" si="3"/>
        <v>0.85368679907655076</v>
      </c>
      <c r="F54" s="14">
        <f t="shared" si="3"/>
        <v>1.0181002579102054</v>
      </c>
      <c r="G54" s="14">
        <f t="shared" si="3"/>
        <v>1.1879972098613547</v>
      </c>
      <c r="H54" s="14">
        <f t="shared" si="3"/>
        <v>1.363355899571318</v>
      </c>
    </row>
    <row r="55" spans="2:9" ht="14" customHeight="1" x14ac:dyDescent="0.3">
      <c r="B55" s="4" t="s">
        <v>152</v>
      </c>
      <c r="C55" s="30">
        <v>7</v>
      </c>
      <c r="D55" s="14">
        <f t="shared" si="3"/>
        <v>0.70760539749595663</v>
      </c>
      <c r="E55" s="14">
        <f t="shared" si="3"/>
        <v>0.8779774024041973</v>
      </c>
      <c r="F55" s="14">
        <f t="shared" si="3"/>
        <v>1.0569823204685183</v>
      </c>
      <c r="G55" s="14">
        <f t="shared" si="3"/>
        <v>1.2446422023311656</v>
      </c>
      <c r="H55" s="14">
        <f t="shared" si="3"/>
        <v>1.4409708590171668</v>
      </c>
    </row>
    <row r="56" spans="2:9" ht="14" customHeight="1" x14ac:dyDescent="0.3">
      <c r="B56" s="4" t="s">
        <v>153</v>
      </c>
      <c r="C56" s="30">
        <v>10</v>
      </c>
      <c r="D56" s="14">
        <f t="shared" si="3"/>
        <v>0.72717695459070109</v>
      </c>
      <c r="E56" s="14">
        <f t="shared" si="3"/>
        <v>0.91567365916008214</v>
      </c>
      <c r="F56" s="14">
        <f t="shared" si="3"/>
        <v>1.117951306561616</v>
      </c>
      <c r="G56" s="14">
        <f t="shared" si="3"/>
        <v>1.3341465856551511</v>
      </c>
      <c r="H56" s="14">
        <f t="shared" si="3"/>
        <v>1.5643709161320489</v>
      </c>
    </row>
    <row r="58" spans="2:9" ht="14" customHeight="1" x14ac:dyDescent="0.3">
      <c r="B58" s="8" t="s">
        <v>157</v>
      </c>
      <c r="C58" s="9"/>
      <c r="D58" s="9"/>
      <c r="E58" s="9"/>
      <c r="F58" s="9"/>
      <c r="G58" s="9"/>
      <c r="H58" s="9"/>
      <c r="I58" s="9"/>
    </row>
    <row r="59" spans="2:9" ht="14" customHeight="1" x14ac:dyDescent="0.3">
      <c r="B59" s="1" t="s">
        <v>158</v>
      </c>
    </row>
    <row r="60" spans="2:9" ht="14" customHeight="1" x14ac:dyDescent="0.3">
      <c r="B60" s="4" t="s">
        <v>159</v>
      </c>
      <c r="C60" s="5">
        <f>F49</f>
        <v>67263.847839611451</v>
      </c>
    </row>
    <row r="62" spans="2:9" ht="14" customHeight="1" x14ac:dyDescent="0.3">
      <c r="B62" s="28" t="s">
        <v>160</v>
      </c>
      <c r="C62" s="28" t="s">
        <v>161</v>
      </c>
      <c r="D62" s="28" t="s">
        <v>162</v>
      </c>
    </row>
    <row r="63" spans="2:9" ht="14" customHeight="1" x14ac:dyDescent="0.3">
      <c r="B63" s="31">
        <v>6.8400000000000002E-2</v>
      </c>
      <c r="C63" s="5">
        <f>IFERROR($C$60/B63,"N/A")</f>
        <v>983389.58829841297</v>
      </c>
      <c r="D63" s="14">
        <f>IFERROR(C63/'DCF Model'!C17,"N/A")</f>
        <v>2.0216674478047243</v>
      </c>
    </row>
    <row r="64" spans="2:9" ht="14" customHeight="1" x14ac:dyDescent="0.3">
      <c r="B64" s="31">
        <v>0.1026</v>
      </c>
      <c r="C64" s="5">
        <f>IFERROR($C$60/B64,"N/A")</f>
        <v>655593.05886560876</v>
      </c>
      <c r="D64" s="14">
        <f>IFERROR(C64/'DCF Model'!C17,"N/A")</f>
        <v>1.347778298536483</v>
      </c>
    </row>
    <row r="65" spans="2:9" ht="14" customHeight="1" x14ac:dyDescent="0.3">
      <c r="B65" s="4" t="s">
        <v>163</v>
      </c>
      <c r="C65" s="5">
        <f>IFERROR($C$60/$C$18,"N/A")</f>
        <v>491814.70968894084</v>
      </c>
      <c r="D65" s="14">
        <f>IFERROR(C65/'DCF Model'!C17,"N/A")</f>
        <v>1.0110802481141816</v>
      </c>
    </row>
    <row r="66" spans="2:9" ht="14" customHeight="1" x14ac:dyDescent="0.3">
      <c r="B66" s="31">
        <v>0.17100000000000001</v>
      </c>
      <c r="C66" s="5">
        <f>IFERROR($C$60/B66,"N/A")</f>
        <v>393355.8353193652</v>
      </c>
      <c r="D66" s="14">
        <f>IFERROR(C66/'DCF Model'!C17,"N/A")</f>
        <v>0.80866697912188967</v>
      </c>
    </row>
    <row r="67" spans="2:9" ht="14" customHeight="1" x14ac:dyDescent="0.3">
      <c r="B67" s="31">
        <v>0.2051</v>
      </c>
      <c r="C67" s="5">
        <f>IFERROR($C$60/B67,"N/A")</f>
        <v>327956.3522165356</v>
      </c>
      <c r="D67" s="14">
        <f>IFERROR(C67/'DCF Model'!C17,"N/A")</f>
        <v>0.67421771540635367</v>
      </c>
    </row>
    <row r="69" spans="2:9" ht="14" customHeight="1" x14ac:dyDescent="0.3">
      <c r="B69" s="8" t="s">
        <v>164</v>
      </c>
      <c r="C69" s="9"/>
      <c r="D69" s="9"/>
      <c r="E69" s="9"/>
      <c r="F69" s="9"/>
      <c r="G69" s="9"/>
      <c r="H69" s="9"/>
      <c r="I69" s="9"/>
    </row>
    <row r="70" spans="2:9" ht="13.5" customHeight="1" x14ac:dyDescent="0.25">
      <c r="B70" s="6" t="s">
        <v>165</v>
      </c>
      <c r="C70" s="14">
        <f>IFERROR(C10/'Comps Analysis'!G5,"N/A")</f>
        <v>9.2086750408411504</v>
      </c>
    </row>
    <row r="71" spans="2:9" ht="13.5" customHeight="1" x14ac:dyDescent="0.25">
      <c r="B71" s="6" t="s">
        <v>166</v>
      </c>
      <c r="C71" s="14">
        <f>IFERROR(C10/'Comps Analysis'!F5,"N/A")</f>
        <v>1.4008052648856453</v>
      </c>
    </row>
    <row r="72" spans="2:9" ht="14" customHeight="1" x14ac:dyDescent="0.3">
      <c r="B72" s="4" t="s">
        <v>167</v>
      </c>
      <c r="C72" s="14">
        <f>IFERROR(C10/(C25+'DCF Model'!G42),"N/A")</f>
        <v>7.3246333328030993</v>
      </c>
    </row>
    <row r="73" spans="2:9" ht="14" customHeight="1" x14ac:dyDescent="0.3">
      <c r="B73" s="4" t="s">
        <v>168</v>
      </c>
      <c r="C73" s="14">
        <f>IFERROR(C10/(C60+'DCF Model'!G42),"N/A")</f>
        <v>6.9617656921324897</v>
      </c>
    </row>
    <row r="74" spans="2:9" ht="14" customHeight="1" x14ac:dyDescent="0.3">
      <c r="B74" s="4" t="s">
        <v>169</v>
      </c>
      <c r="C74" s="14">
        <f>IFERROR('Comps Analysis'!D16,"N/A")</f>
        <v>10.92142078168791</v>
      </c>
    </row>
    <row r="75" spans="2:9" ht="14" customHeight="1" x14ac:dyDescent="0.3">
      <c r="B75" s="1" t="s">
        <v>170</v>
      </c>
    </row>
    <row r="77" spans="2:9" ht="14" customHeight="1" x14ac:dyDescent="0.3">
      <c r="B77" s="22" t="s">
        <v>171</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2,822 yen the market is paying for a steady-state operating profit of 67,264 mn JPY - 1.02x the FY2023 cycle peak of 66,068 mn - reached in 5 years and sustained for ever, against 45,185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62,415 mn, or 0.94x the peak. The base case supports an EV of only 525,605 mn, leaving 543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172</v>
      </c>
    </row>
    <row r="4" spans="2:8" ht="14" customHeight="1" x14ac:dyDescent="0.3">
      <c r="B4" s="8" t="s">
        <v>173</v>
      </c>
      <c r="C4" s="32" t="s">
        <v>174</v>
      </c>
      <c r="D4" s="32" t="s">
        <v>81</v>
      </c>
      <c r="E4" s="32" t="s">
        <v>82</v>
      </c>
      <c r="F4" s="32" t="s">
        <v>83</v>
      </c>
      <c r="G4" s="32" t="s">
        <v>84</v>
      </c>
      <c r="H4" s="32" t="s">
        <v>85</v>
      </c>
    </row>
    <row r="5" spans="2:8" ht="14" customHeight="1" x14ac:dyDescent="0.3">
      <c r="B5" s="33" t="s">
        <v>175</v>
      </c>
      <c r="C5" s="34">
        <f>C12/C9*365</f>
        <v>41.307262167857324</v>
      </c>
      <c r="D5" s="34">
        <f>CHOOSE('DCF Model'!$D$27,D25,D26,D27,D28,D29)</f>
        <v>43</v>
      </c>
      <c r="E5" s="34">
        <f>CHOOSE('DCF Model'!$D$27,E25,E26,E27,E28,E29)</f>
        <v>43</v>
      </c>
      <c r="F5" s="34">
        <f>CHOOSE('DCF Model'!$D$27,F25,F26,F27,F28,F29)</f>
        <v>43</v>
      </c>
      <c r="G5" s="34">
        <f>CHOOSE('DCF Model'!$D$27,G25,G26,G27,G28,G29)</f>
        <v>43</v>
      </c>
      <c r="H5" s="34">
        <f>CHOOSE('DCF Model'!$D$27,H25,H26,H27,H28,H29)</f>
        <v>43</v>
      </c>
    </row>
    <row r="6" spans="2:8" ht="14" customHeight="1" x14ac:dyDescent="0.3">
      <c r="B6" s="33" t="s">
        <v>176</v>
      </c>
      <c r="C6" s="34">
        <f>C13/C10*365</f>
        <v>65.740075628531045</v>
      </c>
      <c r="D6" s="34">
        <f>CHOOSE('DCF Model'!$D$27,D32,D33,D34,D35,D36)</f>
        <v>66</v>
      </c>
      <c r="E6" s="34">
        <f>CHOOSE('DCF Model'!$D$27,E32,E33,E34,E35,E36)</f>
        <v>66</v>
      </c>
      <c r="F6" s="34">
        <f>CHOOSE('DCF Model'!$D$27,F32,F33,F34,F35,F36)</f>
        <v>66</v>
      </c>
      <c r="G6" s="34">
        <f>CHOOSE('DCF Model'!$D$27,G32,G33,G34,G35,G36)</f>
        <v>66</v>
      </c>
      <c r="H6" s="34">
        <f>CHOOSE('DCF Model'!$D$27,H32,H33,H34,H35,H36)</f>
        <v>66</v>
      </c>
    </row>
    <row r="7" spans="2:8" ht="14" customHeight="1" x14ac:dyDescent="0.3">
      <c r="B7" s="33" t="s">
        <v>177</v>
      </c>
      <c r="C7" s="34">
        <f>C15/C10*365</f>
        <v>35.570311056052034</v>
      </c>
      <c r="D7" s="34">
        <f>CHOOSE('DCF Model'!$D$27,D39,D40,D41,D42,D43)</f>
        <v>43</v>
      </c>
      <c r="E7" s="34">
        <f>CHOOSE('DCF Model'!$D$27,E39,E40,E41,E42,E43)</f>
        <v>43</v>
      </c>
      <c r="F7" s="34">
        <f>CHOOSE('DCF Model'!$D$27,F39,F40,F41,F42,F43)</f>
        <v>43</v>
      </c>
      <c r="G7" s="34">
        <f>CHOOSE('DCF Model'!$D$27,G39,G40,G41,G42,G43)</f>
        <v>43</v>
      </c>
      <c r="H7" s="34">
        <f>CHOOSE('DCF Model'!$D$27,H39,H40,H41,H42,H43)</f>
        <v>43</v>
      </c>
    </row>
    <row r="8" spans="2:8" ht="14" customHeight="1" x14ac:dyDescent="0.3">
      <c r="B8" s="8" t="s">
        <v>178</v>
      </c>
      <c r="C8" s="9"/>
      <c r="D8" s="9"/>
      <c r="E8" s="9"/>
      <c r="F8" s="9"/>
      <c r="G8" s="9"/>
      <c r="H8" s="9"/>
    </row>
    <row r="9" spans="2:8" ht="14" customHeight="1" x14ac:dyDescent="0.3">
      <c r="B9" s="33" t="s">
        <v>33</v>
      </c>
      <c r="C9" s="35">
        <v>486425</v>
      </c>
      <c r="D9" s="35">
        <f>'DCF Model'!C33</f>
        <v>488857.12499999994</v>
      </c>
      <c r="E9" s="35">
        <f>'DCF Model'!D33</f>
        <v>493745.69624999992</v>
      </c>
      <c r="F9" s="35">
        <f>'DCF Model'!E33</f>
        <v>501151.88169374986</v>
      </c>
      <c r="G9" s="35">
        <f>'DCF Model'!F33</f>
        <v>508669.15991915605</v>
      </c>
      <c r="H9" s="35">
        <f>'DCF Model'!G33</f>
        <v>518842.5431175392</v>
      </c>
    </row>
    <row r="10" spans="2:8" ht="14" customHeight="1" x14ac:dyDescent="0.3">
      <c r="B10" s="33" t="s">
        <v>34</v>
      </c>
      <c r="C10" s="35">
        <v>200189</v>
      </c>
      <c r="D10" s="35">
        <f>'DCF Model'!C34</f>
        <v>200431.42124999996</v>
      </c>
      <c r="E10" s="35">
        <f>'DCF Model'!D34</f>
        <v>202435.73546249996</v>
      </c>
      <c r="F10" s="35">
        <f>'DCF Model'!E34</f>
        <v>205472.27149443745</v>
      </c>
      <c r="G10" s="35">
        <f>'DCF Model'!F34</f>
        <v>208554.35556685398</v>
      </c>
      <c r="H10" s="35">
        <f>'DCF Model'!G34</f>
        <v>212725.44267819106</v>
      </c>
    </row>
    <row r="11" spans="2:8" ht="14" customHeight="1" x14ac:dyDescent="0.3">
      <c r="B11" s="8" t="s">
        <v>179</v>
      </c>
      <c r="C11" s="9"/>
      <c r="D11" s="9"/>
      <c r="E11" s="9"/>
      <c r="F11" s="9"/>
      <c r="G11" s="9"/>
      <c r="H11" s="9"/>
    </row>
    <row r="12" spans="2:8" ht="14" customHeight="1" x14ac:dyDescent="0.3">
      <c r="B12" s="33" t="s">
        <v>180</v>
      </c>
      <c r="C12" s="35">
        <v>55049</v>
      </c>
      <c r="D12" s="35">
        <f t="shared" ref="D12:H13" si="0">D9*D5/365</f>
        <v>57591.387328767116</v>
      </c>
      <c r="E12" s="35">
        <f t="shared" si="0"/>
        <v>58167.301202054783</v>
      </c>
      <c r="F12" s="35">
        <f t="shared" si="0"/>
        <v>59039.810720085596</v>
      </c>
      <c r="G12" s="35">
        <f t="shared" si="0"/>
        <v>59925.40788088688</v>
      </c>
      <c r="H12" s="35">
        <f t="shared" si="0"/>
        <v>61123.91603850462</v>
      </c>
    </row>
    <row r="13" spans="2:8" ht="14" customHeight="1" x14ac:dyDescent="0.3">
      <c r="B13" s="33" t="s">
        <v>181</v>
      </c>
      <c r="C13" s="35">
        <v>36056</v>
      </c>
      <c r="D13" s="35">
        <f t="shared" si="0"/>
        <v>36242.393979452048</v>
      </c>
      <c r="E13" s="35">
        <f t="shared" si="0"/>
        <v>36604.817919246569</v>
      </c>
      <c r="F13" s="35">
        <f t="shared" si="0"/>
        <v>37153.890188035264</v>
      </c>
      <c r="G13" s="35">
        <f t="shared" si="0"/>
        <v>37711.198540855788</v>
      </c>
      <c r="H13" s="35">
        <f t="shared" si="0"/>
        <v>38465.422511672899</v>
      </c>
    </row>
    <row r="14" spans="2:8" ht="14" customHeight="1" x14ac:dyDescent="0.3">
      <c r="B14" s="33" t="s">
        <v>182</v>
      </c>
      <c r="C14" s="35">
        <f t="shared" ref="C14:H14" si="1">C12+C13</f>
        <v>91105</v>
      </c>
      <c r="D14" s="35">
        <f t="shared" si="1"/>
        <v>93833.781308219157</v>
      </c>
      <c r="E14" s="35">
        <f t="shared" si="1"/>
        <v>94772.119121301352</v>
      </c>
      <c r="F14" s="35">
        <f t="shared" si="1"/>
        <v>96193.700908120867</v>
      </c>
      <c r="G14" s="35">
        <f t="shared" si="1"/>
        <v>97636.606421742676</v>
      </c>
      <c r="H14" s="35">
        <f t="shared" si="1"/>
        <v>99589.338550177519</v>
      </c>
    </row>
    <row r="15" spans="2:8" ht="14" customHeight="1" x14ac:dyDescent="0.3">
      <c r="B15" s="33" t="s">
        <v>183</v>
      </c>
      <c r="C15" s="35">
        <v>19509</v>
      </c>
      <c r="D15" s="35">
        <f>D10*D7/365</f>
        <v>23612.468804794513</v>
      </c>
      <c r="E15" s="35">
        <f>E10*E7/365</f>
        <v>23848.593492842461</v>
      </c>
      <c r="F15" s="35">
        <f>F10*F7/365</f>
        <v>24206.322395235096</v>
      </c>
      <c r="G15" s="35">
        <f>G10*G7/365</f>
        <v>24569.417231163618</v>
      </c>
      <c r="H15" s="35">
        <f>H10*H7/365</f>
        <v>25060.805575786893</v>
      </c>
    </row>
    <row r="16" spans="2:8" ht="14" customHeight="1" x14ac:dyDescent="0.3">
      <c r="B16" s="33" t="s">
        <v>184</v>
      </c>
      <c r="C16" s="35">
        <f t="shared" ref="C16:H16" si="2">C15</f>
        <v>19509</v>
      </c>
      <c r="D16" s="35">
        <f t="shared" si="2"/>
        <v>23612.468804794513</v>
      </c>
      <c r="E16" s="35">
        <f t="shared" si="2"/>
        <v>23848.593492842461</v>
      </c>
      <c r="F16" s="35">
        <f t="shared" si="2"/>
        <v>24206.322395235096</v>
      </c>
      <c r="G16" s="35">
        <f t="shared" si="2"/>
        <v>24569.417231163618</v>
      </c>
      <c r="H16" s="35">
        <f t="shared" si="2"/>
        <v>25060.805575786893</v>
      </c>
    </row>
    <row r="17" spans="2:8" ht="14" customHeight="1" x14ac:dyDescent="0.3">
      <c r="B17" s="22" t="s">
        <v>185</v>
      </c>
      <c r="C17" s="23"/>
      <c r="D17" s="23"/>
      <c r="E17" s="23"/>
      <c r="F17" s="23"/>
      <c r="G17" s="23"/>
      <c r="H17" s="23"/>
    </row>
    <row r="18" spans="2:8" ht="14" customHeight="1" x14ac:dyDescent="0.3">
      <c r="B18" s="33" t="s">
        <v>186</v>
      </c>
      <c r="C18" s="20">
        <f t="shared" ref="C18:H18" si="3">C14-C16</f>
        <v>71596</v>
      </c>
      <c r="D18" s="20">
        <f t="shared" si="3"/>
        <v>70221.312503424648</v>
      </c>
      <c r="E18" s="20">
        <f t="shared" si="3"/>
        <v>70923.525628458883</v>
      </c>
      <c r="F18" s="20">
        <f t="shared" si="3"/>
        <v>71987.378512885771</v>
      </c>
      <c r="G18" s="20">
        <f t="shared" si="3"/>
        <v>73067.189190579054</v>
      </c>
      <c r="H18" s="20">
        <f t="shared" si="3"/>
        <v>74528.532974390633</v>
      </c>
    </row>
    <row r="19" spans="2:8" ht="14" customHeight="1" x14ac:dyDescent="0.3">
      <c r="B19" s="33" t="s">
        <v>95</v>
      </c>
      <c r="C19" s="36" t="s">
        <v>43</v>
      </c>
      <c r="D19" s="24">
        <f>D18-C18</f>
        <v>-1374.6874965753523</v>
      </c>
      <c r="E19" s="24">
        <f>E18-D18</f>
        <v>702.21312503423542</v>
      </c>
      <c r="F19" s="24">
        <f>F18-E18</f>
        <v>1063.8528844268876</v>
      </c>
      <c r="G19" s="24">
        <f>G18-F18</f>
        <v>1079.8106776932837</v>
      </c>
      <c r="H19" s="24">
        <f>H18-G18</f>
        <v>1461.3437838115788</v>
      </c>
    </row>
    <row r="22" spans="2:8" ht="14" customHeight="1" x14ac:dyDescent="0.3">
      <c r="B22" s="22" t="s">
        <v>187</v>
      </c>
      <c r="C22" s="23"/>
      <c r="D22" s="23"/>
      <c r="E22" s="23"/>
      <c r="F22" s="23"/>
      <c r="G22" s="23"/>
      <c r="H22" s="23"/>
    </row>
    <row r="23" spans="2:8" ht="14" customHeight="1" x14ac:dyDescent="0.3">
      <c r="D23" s="25" t="s">
        <v>81</v>
      </c>
      <c r="E23" s="25" t="s">
        <v>82</v>
      </c>
      <c r="F23" s="25" t="s">
        <v>83</v>
      </c>
      <c r="G23" s="25" t="s">
        <v>84</v>
      </c>
      <c r="H23" s="25" t="s">
        <v>85</v>
      </c>
    </row>
    <row r="24" spans="2:8" ht="14" customHeight="1" x14ac:dyDescent="0.3">
      <c r="B24" s="3" t="s">
        <v>188</v>
      </c>
    </row>
    <row r="25" spans="2:8" ht="14" customHeight="1" x14ac:dyDescent="0.3">
      <c r="B25" s="4" t="s">
        <v>79</v>
      </c>
      <c r="D25" s="30">
        <v>43</v>
      </c>
      <c r="E25" s="30">
        <v>43</v>
      </c>
      <c r="F25" s="30">
        <v>43</v>
      </c>
      <c r="G25" s="30">
        <v>43</v>
      </c>
      <c r="H25" s="30">
        <v>43</v>
      </c>
    </row>
    <row r="26" spans="2:8" ht="14" customHeight="1" x14ac:dyDescent="0.3">
      <c r="B26" s="4" t="s">
        <v>116</v>
      </c>
      <c r="D26" s="30">
        <v>41</v>
      </c>
      <c r="E26" s="30">
        <v>41</v>
      </c>
      <c r="F26" s="30">
        <v>41</v>
      </c>
      <c r="G26" s="30">
        <v>41</v>
      </c>
      <c r="H26" s="30">
        <v>41</v>
      </c>
    </row>
    <row r="27" spans="2:8" ht="14" customHeight="1" x14ac:dyDescent="0.3">
      <c r="B27" s="4" t="s">
        <v>117</v>
      </c>
      <c r="D27" s="30">
        <v>43</v>
      </c>
      <c r="E27" s="30">
        <v>43</v>
      </c>
      <c r="F27" s="30">
        <v>43</v>
      </c>
      <c r="G27" s="30">
        <v>43</v>
      </c>
      <c r="H27" s="30">
        <v>43</v>
      </c>
    </row>
    <row r="28" spans="2:8" ht="14" customHeight="1" x14ac:dyDescent="0.3">
      <c r="B28" s="4" t="s">
        <v>118</v>
      </c>
      <c r="D28" s="30">
        <v>45</v>
      </c>
      <c r="E28" s="30">
        <v>45</v>
      </c>
      <c r="F28" s="30">
        <v>45</v>
      </c>
      <c r="G28" s="30">
        <v>45</v>
      </c>
      <c r="H28" s="30">
        <v>45</v>
      </c>
    </row>
    <row r="29" spans="2:8" ht="14" customHeight="1" x14ac:dyDescent="0.3">
      <c r="B29" s="4" t="s">
        <v>119</v>
      </c>
      <c r="D29" s="30">
        <v>47</v>
      </c>
      <c r="E29" s="30">
        <v>47</v>
      </c>
      <c r="F29" s="30">
        <v>47</v>
      </c>
      <c r="G29" s="30">
        <v>47</v>
      </c>
      <c r="H29" s="30">
        <v>47</v>
      </c>
    </row>
    <row r="31" spans="2:8" ht="14" customHeight="1" x14ac:dyDescent="0.3">
      <c r="B31" s="3" t="s">
        <v>189</v>
      </c>
    </row>
    <row r="32" spans="2:8" ht="14" customHeight="1" x14ac:dyDescent="0.3">
      <c r="B32" s="4" t="s">
        <v>79</v>
      </c>
      <c r="D32" s="30">
        <v>66</v>
      </c>
      <c r="E32" s="30">
        <v>66</v>
      </c>
      <c r="F32" s="30">
        <v>66</v>
      </c>
      <c r="G32" s="30">
        <v>66</v>
      </c>
      <c r="H32" s="30">
        <v>66</v>
      </c>
    </row>
    <row r="33" spans="2:8" ht="14" customHeight="1" x14ac:dyDescent="0.3">
      <c r="B33" s="4" t="s">
        <v>116</v>
      </c>
      <c r="D33" s="30">
        <v>62</v>
      </c>
      <c r="E33" s="30">
        <v>62</v>
      </c>
      <c r="F33" s="30">
        <v>62</v>
      </c>
      <c r="G33" s="30">
        <v>62</v>
      </c>
      <c r="H33" s="30">
        <v>62</v>
      </c>
    </row>
    <row r="34" spans="2:8" ht="14" customHeight="1" x14ac:dyDescent="0.3">
      <c r="B34" s="4" t="s">
        <v>117</v>
      </c>
      <c r="D34" s="30">
        <v>66</v>
      </c>
      <c r="E34" s="30">
        <v>66</v>
      </c>
      <c r="F34" s="30">
        <v>66</v>
      </c>
      <c r="G34" s="30">
        <v>66</v>
      </c>
      <c r="H34" s="30">
        <v>66</v>
      </c>
    </row>
    <row r="35" spans="2:8" ht="14" customHeight="1" x14ac:dyDescent="0.3">
      <c r="B35" s="4" t="s">
        <v>118</v>
      </c>
      <c r="D35" s="30">
        <v>70</v>
      </c>
      <c r="E35" s="30">
        <v>70</v>
      </c>
      <c r="F35" s="30">
        <v>70</v>
      </c>
      <c r="G35" s="30">
        <v>70</v>
      </c>
      <c r="H35" s="30">
        <v>70</v>
      </c>
    </row>
    <row r="36" spans="2:8" ht="14" customHeight="1" x14ac:dyDescent="0.3">
      <c r="B36" s="4" t="s">
        <v>119</v>
      </c>
      <c r="D36" s="30">
        <v>74</v>
      </c>
      <c r="E36" s="30">
        <v>74</v>
      </c>
      <c r="F36" s="30">
        <v>74</v>
      </c>
      <c r="G36" s="30">
        <v>74</v>
      </c>
      <c r="H36" s="30">
        <v>74</v>
      </c>
    </row>
    <row r="38" spans="2:8" ht="14" customHeight="1" x14ac:dyDescent="0.3">
      <c r="B38" s="3" t="s">
        <v>190</v>
      </c>
    </row>
    <row r="39" spans="2:8" ht="14" customHeight="1" x14ac:dyDescent="0.3">
      <c r="B39" s="4" t="s">
        <v>79</v>
      </c>
      <c r="D39" s="30">
        <v>43</v>
      </c>
      <c r="E39" s="30">
        <v>43</v>
      </c>
      <c r="F39" s="30">
        <v>43</v>
      </c>
      <c r="G39" s="30">
        <v>43</v>
      </c>
      <c r="H39" s="30">
        <v>43</v>
      </c>
    </row>
    <row r="40" spans="2:8" ht="14" customHeight="1" x14ac:dyDescent="0.3">
      <c r="B40" s="4" t="s">
        <v>116</v>
      </c>
      <c r="D40" s="30">
        <v>45</v>
      </c>
      <c r="E40" s="30">
        <v>45</v>
      </c>
      <c r="F40" s="30">
        <v>45</v>
      </c>
      <c r="G40" s="30">
        <v>45</v>
      </c>
      <c r="H40" s="30">
        <v>45</v>
      </c>
    </row>
    <row r="41" spans="2:8" ht="14" customHeight="1" x14ac:dyDescent="0.3">
      <c r="B41" s="4" t="s">
        <v>117</v>
      </c>
      <c r="D41" s="30">
        <v>43</v>
      </c>
      <c r="E41" s="30">
        <v>43</v>
      </c>
      <c r="F41" s="30">
        <v>43</v>
      </c>
      <c r="G41" s="30">
        <v>43</v>
      </c>
      <c r="H41" s="30">
        <v>43</v>
      </c>
    </row>
    <row r="42" spans="2:8" ht="14" customHeight="1" x14ac:dyDescent="0.3">
      <c r="B42" s="4" t="s">
        <v>118</v>
      </c>
      <c r="D42" s="30">
        <v>41</v>
      </c>
      <c r="E42" s="30">
        <v>41</v>
      </c>
      <c r="F42" s="30">
        <v>41</v>
      </c>
      <c r="G42" s="30">
        <v>41</v>
      </c>
      <c r="H42" s="30">
        <v>41</v>
      </c>
    </row>
    <row r="43" spans="2:8" ht="14" customHeight="1" x14ac:dyDescent="0.3">
      <c r="B43" s="4" t="s">
        <v>119</v>
      </c>
      <c r="D43" s="30">
        <v>39</v>
      </c>
      <c r="E43" s="30">
        <v>39</v>
      </c>
      <c r="F43" s="30">
        <v>39</v>
      </c>
      <c r="G43" s="30">
        <v>39</v>
      </c>
      <c r="H43" s="30">
        <v>39</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191</v>
      </c>
    </row>
    <row r="3" spans="2:17" ht="14" customHeight="1" x14ac:dyDescent="0.3">
      <c r="B3" s="1" t="s">
        <v>192</v>
      </c>
    </row>
    <row r="4" spans="2:17" ht="28" customHeight="1" x14ac:dyDescent="0.3">
      <c r="B4" s="10" t="s">
        <v>3</v>
      </c>
      <c r="C4" s="10" t="s">
        <v>5</v>
      </c>
      <c r="D4" s="10" t="s">
        <v>193</v>
      </c>
      <c r="E4" s="10" t="s">
        <v>194</v>
      </c>
      <c r="F4" s="10" t="s">
        <v>195</v>
      </c>
      <c r="G4" s="10" t="s">
        <v>196</v>
      </c>
      <c r="H4" s="10" t="s">
        <v>197</v>
      </c>
      <c r="I4" s="10" t="s">
        <v>198</v>
      </c>
      <c r="J4" s="10" t="s">
        <v>199</v>
      </c>
      <c r="K4" s="10" t="s">
        <v>200</v>
      </c>
      <c r="L4" s="10" t="s">
        <v>201</v>
      </c>
      <c r="M4" s="10" t="s">
        <v>202</v>
      </c>
      <c r="N4" s="10" t="s">
        <v>203</v>
      </c>
      <c r="O4" s="10" t="s">
        <v>204</v>
      </c>
      <c r="P4" s="10" t="s">
        <v>205</v>
      </c>
      <c r="Q4" s="10" t="s">
        <v>206</v>
      </c>
    </row>
    <row r="5" spans="2:17" ht="14" customHeight="1" x14ac:dyDescent="0.3">
      <c r="B5" s="4" t="s">
        <v>207</v>
      </c>
      <c r="C5" t="s">
        <v>208</v>
      </c>
      <c r="D5" s="37">
        <f>'Executive Summary'!C9*C23/1000000</f>
        <v>809450.70097200002</v>
      </c>
      <c r="E5" s="37">
        <f>D5+C24</f>
        <v>681386.70097200002</v>
      </c>
      <c r="F5" s="37">
        <v>486425</v>
      </c>
      <c r="G5" s="37">
        <v>73994</v>
      </c>
      <c r="H5" s="37">
        <v>45185</v>
      </c>
      <c r="I5" s="37">
        <v>44228</v>
      </c>
      <c r="J5" s="38">
        <f t="shared" ref="J5:J10" si="0">IFERROR(E5/G5,"")</f>
        <v>9.2086750408411504</v>
      </c>
      <c r="K5" s="38">
        <f t="shared" ref="K5:K10" si="1">IFERROR(E5/F5,"")</f>
        <v>1.4008052648856453</v>
      </c>
      <c r="L5" s="38">
        <f t="shared" ref="L5:L10" si="2">IFERROR(D5/I5,"")</f>
        <v>18.301770393687256</v>
      </c>
      <c r="M5" s="38">
        <f t="shared" ref="M5:M10" si="3">IFERROR(D5/P5,"")</f>
        <v>1.3352865406994392</v>
      </c>
      <c r="N5" s="39">
        <f t="shared" ref="N5:N10" si="4">IFERROR(H5/F5,"")</f>
        <v>9.2892018296756945E-2</v>
      </c>
      <c r="O5" s="39">
        <f t="shared" ref="O5:O10" si="5">IFERROR(I5/P5,"")</f>
        <v>7.295941933355328E-2</v>
      </c>
      <c r="P5" s="37">
        <v>606200</v>
      </c>
    </row>
    <row r="6" spans="2:17" ht="14" customHeight="1" x14ac:dyDescent="0.3">
      <c r="B6" s="4" t="s">
        <v>209</v>
      </c>
      <c r="C6" t="s">
        <v>210</v>
      </c>
      <c r="D6" s="37">
        <v>1655551</v>
      </c>
      <c r="E6" s="37">
        <v>1605210</v>
      </c>
      <c r="F6" s="37">
        <v>745539</v>
      </c>
      <c r="G6" s="37">
        <v>102686</v>
      </c>
      <c r="H6" s="37">
        <v>75940</v>
      </c>
      <c r="I6" s="37">
        <v>61615</v>
      </c>
      <c r="J6" s="38">
        <f t="shared" si="0"/>
        <v>15.632218608184173</v>
      </c>
      <c r="K6" s="38">
        <f t="shared" si="1"/>
        <v>2.1530865588520518</v>
      </c>
      <c r="L6" s="38">
        <f t="shared" si="2"/>
        <v>26.869285076685873</v>
      </c>
      <c r="M6" s="38">
        <f t="shared" si="3"/>
        <v>2.9514711440409038</v>
      </c>
      <c r="N6" s="39">
        <f t="shared" si="4"/>
        <v>0.1018591918061966</v>
      </c>
      <c r="O6" s="39">
        <f t="shared" si="5"/>
        <v>0.10984554057234135</v>
      </c>
      <c r="P6" s="37">
        <v>560924</v>
      </c>
    </row>
    <row r="7" spans="2:17" ht="14" customHeight="1" x14ac:dyDescent="0.3">
      <c r="B7" s="4" t="s">
        <v>211</v>
      </c>
      <c r="C7" t="s">
        <v>212</v>
      </c>
      <c r="D7" s="37">
        <v>1195303</v>
      </c>
      <c r="E7" s="37">
        <v>1238638</v>
      </c>
      <c r="F7" s="37">
        <v>1173688</v>
      </c>
      <c r="G7" s="37">
        <v>148261</v>
      </c>
      <c r="H7" s="37">
        <v>93307</v>
      </c>
      <c r="I7" s="37">
        <v>35076</v>
      </c>
      <c r="J7" s="38">
        <f t="shared" si="0"/>
        <v>8.3544425034230176</v>
      </c>
      <c r="K7" s="38">
        <f t="shared" si="1"/>
        <v>1.0553383863513983</v>
      </c>
      <c r="L7" s="38">
        <f t="shared" si="2"/>
        <v>34.077517390808531</v>
      </c>
      <c r="M7" s="38">
        <f t="shared" si="3"/>
        <v>1.5471475630513147</v>
      </c>
      <c r="N7" s="39">
        <f t="shared" si="4"/>
        <v>7.9498980989837167E-2</v>
      </c>
      <c r="O7" s="39">
        <f t="shared" si="5"/>
        <v>4.5400829682170893E-2</v>
      </c>
      <c r="P7" s="37">
        <v>772585</v>
      </c>
    </row>
    <row r="8" spans="2:17" ht="14" customHeight="1" x14ac:dyDescent="0.3">
      <c r="B8" s="4" t="s">
        <v>213</v>
      </c>
      <c r="C8" t="s">
        <v>214</v>
      </c>
      <c r="D8" s="37">
        <v>854146</v>
      </c>
      <c r="E8" s="37">
        <v>931346</v>
      </c>
      <c r="F8" s="37">
        <v>788131</v>
      </c>
      <c r="G8" s="37">
        <v>85277</v>
      </c>
      <c r="H8" s="37">
        <v>49380</v>
      </c>
      <c r="I8" s="37">
        <v>45380</v>
      </c>
      <c r="J8" s="38">
        <f t="shared" si="0"/>
        <v>10.92142078168791</v>
      </c>
      <c r="K8" s="38">
        <f t="shared" si="1"/>
        <v>1.1817147149395215</v>
      </c>
      <c r="L8" s="38">
        <f t="shared" si="2"/>
        <v>18.822080211546936</v>
      </c>
      <c r="M8" s="38">
        <f t="shared" si="3"/>
        <v>1.6515832379420228</v>
      </c>
      <c r="N8" s="39">
        <f t="shared" si="4"/>
        <v>6.2654558696460361E-2</v>
      </c>
      <c r="O8" s="39">
        <f t="shared" si="5"/>
        <v>8.7747115057389469E-2</v>
      </c>
      <c r="P8" s="37">
        <v>517168</v>
      </c>
    </row>
    <row r="9" spans="2:17" ht="14" customHeight="1" x14ac:dyDescent="0.3">
      <c r="B9" s="4" t="s">
        <v>215</v>
      </c>
      <c r="C9" t="s">
        <v>216</v>
      </c>
      <c r="D9" s="37">
        <v>2320547</v>
      </c>
      <c r="E9" s="37">
        <v>3118689</v>
      </c>
      <c r="F9" s="37">
        <v>2433363</v>
      </c>
      <c r="G9" s="37">
        <v>305379</v>
      </c>
      <c r="H9" s="37">
        <v>209677</v>
      </c>
      <c r="I9" s="37">
        <v>147542</v>
      </c>
      <c r="J9" s="38">
        <f t="shared" si="0"/>
        <v>10.212519524918216</v>
      </c>
      <c r="K9" s="38">
        <f t="shared" si="1"/>
        <v>1.2816373882564993</v>
      </c>
      <c r="L9" s="38">
        <f t="shared" si="2"/>
        <v>15.728043540144501</v>
      </c>
      <c r="M9" s="38">
        <f t="shared" si="3"/>
        <v>1.803079431013892</v>
      </c>
      <c r="N9" s="39">
        <f t="shared" si="4"/>
        <v>8.6167579600741853E-2</v>
      </c>
      <c r="O9" s="39">
        <f t="shared" si="5"/>
        <v>0.11464105032591526</v>
      </c>
      <c r="P9" s="37">
        <v>1286991</v>
      </c>
    </row>
    <row r="10" spans="2:17" ht="14" customHeight="1" x14ac:dyDescent="0.3">
      <c r="B10" s="4" t="s">
        <v>217</v>
      </c>
      <c r="C10" t="s">
        <v>218</v>
      </c>
      <c r="D10" s="37">
        <v>2397303</v>
      </c>
      <c r="E10" s="37">
        <v>3885100</v>
      </c>
      <c r="F10" s="37">
        <v>2894676</v>
      </c>
      <c r="G10" s="37">
        <v>348957</v>
      </c>
      <c r="H10" s="37">
        <v>185870</v>
      </c>
      <c r="I10" s="37">
        <v>121574</v>
      </c>
      <c r="J10" s="38">
        <f t="shared" si="0"/>
        <v>11.133463435322977</v>
      </c>
      <c r="K10" s="38">
        <f t="shared" si="1"/>
        <v>1.3421536641751961</v>
      </c>
      <c r="L10" s="38">
        <f t="shared" si="2"/>
        <v>19.718879036636125</v>
      </c>
      <c r="M10" s="38">
        <f t="shared" si="3"/>
        <v>0.79828887411872984</v>
      </c>
      <c r="N10" s="39">
        <f t="shared" si="4"/>
        <v>6.4210985961814029E-2</v>
      </c>
      <c r="O10" s="39">
        <f t="shared" si="5"/>
        <v>4.0483481471516314E-2</v>
      </c>
      <c r="P10" s="37">
        <v>3003052</v>
      </c>
    </row>
    <row r="14" spans="2:17" ht="14" customHeight="1" x14ac:dyDescent="0.3">
      <c r="B14" s="3" t="s">
        <v>219</v>
      </c>
    </row>
    <row r="15" spans="2:17" ht="14" customHeight="1" x14ac:dyDescent="0.3">
      <c r="B15" s="4" t="s">
        <v>220</v>
      </c>
      <c r="D15" s="38">
        <f t="shared" ref="D15:I15" si="6">PERCENTILE(J6:J10,0.25)</f>
        <v>10.212519524918216</v>
      </c>
      <c r="E15" s="38">
        <f t="shared" si="6"/>
        <v>1.1817147149395215</v>
      </c>
      <c r="F15" s="38">
        <f t="shared" si="6"/>
        <v>18.822080211546936</v>
      </c>
      <c r="G15" s="38">
        <f t="shared" si="6"/>
        <v>1.5471475630513147</v>
      </c>
      <c r="H15" s="39">
        <f t="shared" si="6"/>
        <v>6.4210985961814029E-2</v>
      </c>
      <c r="I15" s="39">
        <f t="shared" si="6"/>
        <v>4.5400829682170893E-2</v>
      </c>
    </row>
    <row r="16" spans="2:17" ht="14" customHeight="1" x14ac:dyDescent="0.3">
      <c r="B16" s="4" t="s">
        <v>221</v>
      </c>
      <c r="D16" s="38">
        <f t="shared" ref="D16:I16" si="7">MEDIAN(J6:J10)</f>
        <v>10.92142078168791</v>
      </c>
      <c r="E16" s="38">
        <f t="shared" si="7"/>
        <v>1.2816373882564993</v>
      </c>
      <c r="F16" s="38">
        <f t="shared" si="7"/>
        <v>19.718879036636125</v>
      </c>
      <c r="G16" s="38">
        <f t="shared" si="7"/>
        <v>1.6515832379420228</v>
      </c>
      <c r="H16" s="39">
        <f t="shared" si="7"/>
        <v>7.9498980989837167E-2</v>
      </c>
      <c r="I16" s="39">
        <f t="shared" si="7"/>
        <v>8.7747115057389469E-2</v>
      </c>
    </row>
    <row r="17" spans="2:9" ht="14" customHeight="1" x14ac:dyDescent="0.3">
      <c r="B17" s="4" t="s">
        <v>222</v>
      </c>
      <c r="D17" s="38">
        <f t="shared" ref="D17:I17" si="8">PERCENTILE(J6:J10,0.75)</f>
        <v>11.133463435322977</v>
      </c>
      <c r="E17" s="38">
        <f t="shared" si="8"/>
        <v>1.3421536641751961</v>
      </c>
      <c r="F17" s="38">
        <f t="shared" si="8"/>
        <v>26.869285076685873</v>
      </c>
      <c r="G17" s="38">
        <f t="shared" si="8"/>
        <v>1.803079431013892</v>
      </c>
      <c r="H17" s="39">
        <f t="shared" si="8"/>
        <v>8.6167579600741853E-2</v>
      </c>
      <c r="I17" s="39">
        <f t="shared" si="8"/>
        <v>0.10984554057234135</v>
      </c>
    </row>
    <row r="19" spans="2:9" ht="14" customHeight="1" x14ac:dyDescent="0.3">
      <c r="B19" s="22" t="s">
        <v>223</v>
      </c>
      <c r="C19" s="23"/>
      <c r="D19" s="23"/>
      <c r="E19" s="23"/>
      <c r="F19" s="23"/>
      <c r="G19" s="23"/>
      <c r="H19" s="23"/>
      <c r="I19" s="23"/>
    </row>
    <row r="20" spans="2:9" ht="14" customHeight="1" x14ac:dyDescent="0.3">
      <c r="B20" s="3" t="s">
        <v>224</v>
      </c>
    </row>
    <row r="21" spans="2:9" ht="14" customHeight="1" x14ac:dyDescent="0.3">
      <c r="B21" s="4" t="s">
        <v>225</v>
      </c>
      <c r="C21" s="5">
        <v>73994</v>
      </c>
    </row>
    <row r="22" spans="2:9" ht="14" customHeight="1" x14ac:dyDescent="0.3">
      <c r="B22" s="4" t="s">
        <v>226</v>
      </c>
      <c r="C22" s="5">
        <v>44228</v>
      </c>
    </row>
    <row r="23" spans="2:9" ht="14" customHeight="1" x14ac:dyDescent="0.3">
      <c r="B23" s="4" t="s">
        <v>227</v>
      </c>
      <c r="C23" s="15">
        <v>286835826</v>
      </c>
    </row>
    <row r="24" spans="2:9" ht="14" customHeight="1" x14ac:dyDescent="0.3">
      <c r="B24" s="4" t="s">
        <v>68</v>
      </c>
      <c r="C24" s="5">
        <v>-128064</v>
      </c>
    </row>
    <row r="26" spans="2:9" ht="14" customHeight="1" x14ac:dyDescent="0.3">
      <c r="B26" s="3" t="s">
        <v>228</v>
      </c>
    </row>
    <row r="27" spans="2:9" ht="14" customHeight="1" x14ac:dyDescent="0.3">
      <c r="B27" s="4" t="s">
        <v>229</v>
      </c>
      <c r="C27" s="24">
        <f>ROUND((C21*D16-C24)*1000000/C23,0)</f>
        <v>3264</v>
      </c>
    </row>
    <row r="28" spans="2:9" ht="14" customHeight="1" x14ac:dyDescent="0.3">
      <c r="B28" s="4" t="s">
        <v>230</v>
      </c>
      <c r="C28" s="24">
        <f>ROUND(C22*F16*1000000/C23,0)</f>
        <v>3041</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231</v>
      </c>
    </row>
    <row r="3" spans="2:9" ht="14" customHeight="1" x14ac:dyDescent="0.3">
      <c r="B3" s="4" t="s">
        <v>232</v>
      </c>
      <c r="C3" s="16">
        <f>'DCF Model'!C26</f>
        <v>7.8699999999999992E-2</v>
      </c>
      <c r="E3" s="4" t="s">
        <v>233</v>
      </c>
      <c r="F3" s="16">
        <f>'DCF Model'!C13</f>
        <v>0.01</v>
      </c>
      <c r="H3" s="4" t="s">
        <v>234</v>
      </c>
      <c r="I3" s="14">
        <f>'DCF Model'!C14</f>
        <v>10.9</v>
      </c>
    </row>
    <row r="5" spans="2:9" ht="14" customHeight="1" x14ac:dyDescent="0.3">
      <c r="B5" s="3" t="s">
        <v>235</v>
      </c>
    </row>
    <row r="6" spans="2:9" ht="14" customHeight="1" x14ac:dyDescent="0.3">
      <c r="B6" s="40" t="s">
        <v>236</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6.3699999999999993E-2</v>
      </c>
      <c r="C7" s="37">
        <f>IFERROR(ROUND(('DCF Model'!C45/(1+$B7)^('DCF Model'!C19+0)+'DCF Model'!D45/(1+$B7)^('DCF Model'!C19+1)+'DCF Model'!E45/(1+$B7)^('DCF Model'!C19+2)+'DCF Model'!F45/(1+$B7)^('DCF Model'!C19+3)+'DCF Model'!G45/(1+$B7)^('DCF Model'!C19+4)+'DCF Model'!G45*(1+C$6)/($B7-C$6)/(1+$B7)^('DCF Model'!C19+4)-'DCF Model'!C16)*1000000/'DCF Model'!C15,0),"")</f>
        <v>2560</v>
      </c>
      <c r="D7" s="37">
        <f>IFERROR(ROUND(('DCF Model'!C45/(1+$B7)^('DCF Model'!C19+0)+'DCF Model'!D45/(1+$B7)^('DCF Model'!C19+1)+'DCF Model'!E45/(1+$B7)^('DCF Model'!C19+2)+'DCF Model'!F45/(1+$B7)^('DCF Model'!C19+3)+'DCF Model'!G45/(1+$B7)^('DCF Model'!C19+4)+'DCF Model'!G45*(1+D$6)/($B7-D$6)/(1+$B7)^('DCF Model'!C19+4)-'DCF Model'!C16)*1000000/'DCF Model'!C15,0),"")</f>
        <v>2633</v>
      </c>
      <c r="E7" s="37">
        <f>IFERROR(ROUND(('DCF Model'!C45/(1+$B7)^('DCF Model'!C19+0)+'DCF Model'!D45/(1+$B7)^('DCF Model'!C19+1)+'DCF Model'!E45/(1+$B7)^('DCF Model'!C19+2)+'DCF Model'!F45/(1+$B7)^('DCF Model'!C19+3)+'DCF Model'!G45/(1+$B7)^('DCF Model'!C19+4)+'DCF Model'!G45*(1+E$6)/($B7-E$6)/(1+$B7)^('DCF Model'!C19+4)-'DCF Model'!C16)*1000000/'DCF Model'!C15,0),"")</f>
        <v>2711</v>
      </c>
      <c r="F7" s="37">
        <f>IFERROR(ROUND(('DCF Model'!C45/(1+$B7)^('DCF Model'!C19+0)+'DCF Model'!D45/(1+$B7)^('DCF Model'!C19+1)+'DCF Model'!E45/(1+$B7)^('DCF Model'!C19+2)+'DCF Model'!F45/(1+$B7)^('DCF Model'!C19+3)+'DCF Model'!G45/(1+$B7)^('DCF Model'!C19+4)+'DCF Model'!G45*(1+F$6)/($B7-F$6)/(1+$B7)^('DCF Model'!C19+4)-'DCF Model'!C16)*1000000/'DCF Model'!C15,0),"")</f>
        <v>2797</v>
      </c>
      <c r="G7" s="37">
        <f>IFERROR(ROUND(('DCF Model'!C45/(1+$B7)^('DCF Model'!C19+0)+'DCF Model'!D45/(1+$B7)^('DCF Model'!C19+1)+'DCF Model'!E45/(1+$B7)^('DCF Model'!C19+2)+'DCF Model'!F45/(1+$B7)^('DCF Model'!C19+3)+'DCF Model'!G45/(1+$B7)^('DCF Model'!C19+4)+'DCF Model'!G45*(1+G$6)/($B7-G$6)/(1+$B7)^('DCF Model'!C19+4)-'DCF Model'!C16)*1000000/'DCF Model'!C15,0),"")</f>
        <v>2892</v>
      </c>
      <c r="H7" s="37">
        <f>IFERROR(ROUND(('DCF Model'!C45/(1+$B7)^('DCF Model'!C19+0)+'DCF Model'!D45/(1+$B7)^('DCF Model'!C19+1)+'DCF Model'!E45/(1+$B7)^('DCF Model'!C19+2)+'DCF Model'!F45/(1+$B7)^('DCF Model'!C19+3)+'DCF Model'!G45/(1+$B7)^('DCF Model'!C19+4)+'DCF Model'!G45*(1+H$6)/($B7-H$6)/(1+$B7)^('DCF Model'!C19+4)-'DCF Model'!C16)*1000000/'DCF Model'!C15,0),"")</f>
        <v>2996</v>
      </c>
      <c r="I7" s="37">
        <f>IFERROR(ROUND(('DCF Model'!C45/(1+$B7)^('DCF Model'!C19+0)+'DCF Model'!D45/(1+$B7)^('DCF Model'!C19+1)+'DCF Model'!E45/(1+$B7)^('DCF Model'!C19+2)+'DCF Model'!F45/(1+$B7)^('DCF Model'!C19+3)+'DCF Model'!G45/(1+$B7)^('DCF Model'!C19+4)+'DCF Model'!G45*(1+I$6)/($B7-I$6)/(1+$B7)^('DCF Model'!C19+4)-'DCF Model'!C16)*1000000/'DCF Model'!C15,0),"")</f>
        <v>3111</v>
      </c>
    </row>
    <row r="8" spans="2:9" ht="13.5" customHeight="1" x14ac:dyDescent="0.25">
      <c r="B8" s="39">
        <f>$C$3-0.01</f>
        <v>6.8699999999999997E-2</v>
      </c>
      <c r="C8" s="37">
        <f>IFERROR(ROUND(('DCF Model'!C45/(1+$B8)^('DCF Model'!C19+0)+'DCF Model'!D45/(1+$B8)^('DCF Model'!C19+1)+'DCF Model'!E45/(1+$B8)^('DCF Model'!C19+2)+'DCF Model'!F45/(1+$B8)^('DCF Model'!C19+3)+'DCF Model'!G45/(1+$B8)^('DCF Model'!C19+4)+'DCF Model'!G45*(1+C$6)/($B8-C$6)/(1+$B8)^('DCF Model'!C19+4)-'DCF Model'!C16)*1000000/'DCF Model'!C15,0),"")</f>
        <v>2398</v>
      </c>
      <c r="D8" s="37">
        <f>IFERROR(ROUND(('DCF Model'!C45/(1+$B8)^('DCF Model'!C19+0)+'DCF Model'!D45/(1+$B8)^('DCF Model'!C19+1)+'DCF Model'!E45/(1+$B8)^('DCF Model'!C19+2)+'DCF Model'!F45/(1+$B8)^('DCF Model'!C19+3)+'DCF Model'!G45/(1+$B8)^('DCF Model'!C19+4)+'DCF Model'!G45*(1+D$6)/($B8-D$6)/(1+$B8)^('DCF Model'!C19+4)-'DCF Model'!C16)*1000000/'DCF Model'!C15,0),"")</f>
        <v>2459</v>
      </c>
      <c r="E8" s="37">
        <f>IFERROR(ROUND(('DCF Model'!C45/(1+$B8)^('DCF Model'!C19+0)+'DCF Model'!D45/(1+$B8)^('DCF Model'!C19+1)+'DCF Model'!E45/(1+$B8)^('DCF Model'!C19+2)+'DCF Model'!F45/(1+$B8)^('DCF Model'!C19+3)+'DCF Model'!G45/(1+$B8)^('DCF Model'!C19+4)+'DCF Model'!G45*(1+E$6)/($B8-E$6)/(1+$B8)^('DCF Model'!C19+4)-'DCF Model'!C16)*1000000/'DCF Model'!C15,0),"")</f>
        <v>2524</v>
      </c>
      <c r="F8" s="37">
        <f>IFERROR(ROUND(('DCF Model'!C45/(1+$B8)^('DCF Model'!C19+0)+'DCF Model'!D45/(1+$B8)^('DCF Model'!C19+1)+'DCF Model'!E45/(1+$B8)^('DCF Model'!C19+2)+'DCF Model'!F45/(1+$B8)^('DCF Model'!C19+3)+'DCF Model'!G45/(1+$B8)^('DCF Model'!C19+4)+'DCF Model'!G45*(1+F$6)/($B8-F$6)/(1+$B8)^('DCF Model'!C19+4)-'DCF Model'!C16)*1000000/'DCF Model'!C15,0),"")</f>
        <v>2595</v>
      </c>
      <c r="G8" s="37">
        <f>IFERROR(ROUND(('DCF Model'!C45/(1+$B8)^('DCF Model'!C19+0)+'DCF Model'!D45/(1+$B8)^('DCF Model'!C19+1)+'DCF Model'!E45/(1+$B8)^('DCF Model'!C19+2)+'DCF Model'!F45/(1+$B8)^('DCF Model'!C19+3)+'DCF Model'!G45/(1+$B8)^('DCF Model'!C19+4)+'DCF Model'!G45*(1+G$6)/($B8-G$6)/(1+$B8)^('DCF Model'!C19+4)-'DCF Model'!C16)*1000000/'DCF Model'!C15,0),"")</f>
        <v>2672</v>
      </c>
      <c r="H8" s="37">
        <f>IFERROR(ROUND(('DCF Model'!C45/(1+$B8)^('DCF Model'!C19+0)+'DCF Model'!D45/(1+$B8)^('DCF Model'!C19+1)+'DCF Model'!E45/(1+$B8)^('DCF Model'!C19+2)+'DCF Model'!F45/(1+$B8)^('DCF Model'!C19+3)+'DCF Model'!G45/(1+$B8)^('DCF Model'!C19+4)+'DCF Model'!G45*(1+H$6)/($B8-H$6)/(1+$B8)^('DCF Model'!C19+4)-'DCF Model'!C16)*1000000/'DCF Model'!C15,0),"")</f>
        <v>2757</v>
      </c>
      <c r="I8" s="37">
        <f>IFERROR(ROUND(('DCF Model'!C45/(1+$B8)^('DCF Model'!C19+0)+'DCF Model'!D45/(1+$B8)^('DCF Model'!C19+1)+'DCF Model'!E45/(1+$B8)^('DCF Model'!C19+2)+'DCF Model'!F45/(1+$B8)^('DCF Model'!C19+3)+'DCF Model'!G45/(1+$B8)^('DCF Model'!C19+4)+'DCF Model'!G45*(1+I$6)/($B8-I$6)/(1+$B8)^('DCF Model'!C19+4)-'DCF Model'!C16)*1000000/'DCF Model'!C15,0),"")</f>
        <v>2849</v>
      </c>
    </row>
    <row r="9" spans="2:9" ht="13.5" customHeight="1" x14ac:dyDescent="0.25">
      <c r="B9" s="39">
        <f>$C$3-0.005</f>
        <v>7.3699999999999988E-2</v>
      </c>
      <c r="C9" s="37">
        <f>IFERROR(ROUND(('DCF Model'!C45/(1+$B9)^('DCF Model'!C19+0)+'DCF Model'!D45/(1+$B9)^('DCF Model'!C19+1)+'DCF Model'!E45/(1+$B9)^('DCF Model'!C19+2)+'DCF Model'!F45/(1+$B9)^('DCF Model'!C19+3)+'DCF Model'!G45/(1+$B9)^('DCF Model'!C19+4)+'DCF Model'!G45*(1+C$6)/($B9-C$6)/(1+$B9)^('DCF Model'!C19+4)-'DCF Model'!C16)*1000000/'DCF Model'!C15,0),"")</f>
        <v>2259</v>
      </c>
      <c r="D9" s="37">
        <f>IFERROR(ROUND(('DCF Model'!C45/(1+$B9)^('DCF Model'!C19+0)+'DCF Model'!D45/(1+$B9)^('DCF Model'!C19+1)+'DCF Model'!E45/(1+$B9)^('DCF Model'!C19+2)+'DCF Model'!F45/(1+$B9)^('DCF Model'!C19+3)+'DCF Model'!G45/(1+$B9)^('DCF Model'!C19+4)+'DCF Model'!G45*(1+D$6)/($B9-D$6)/(1+$B9)^('DCF Model'!C19+4)-'DCF Model'!C16)*1000000/'DCF Model'!C15,0),"")</f>
        <v>2310</v>
      </c>
      <c r="E9" s="37">
        <f>IFERROR(ROUND(('DCF Model'!C45/(1+$B9)^('DCF Model'!C19+0)+'DCF Model'!D45/(1+$B9)^('DCF Model'!C19+1)+'DCF Model'!E45/(1+$B9)^('DCF Model'!C19+2)+'DCF Model'!F45/(1+$B9)^('DCF Model'!C19+3)+'DCF Model'!G45/(1+$B9)^('DCF Model'!C19+4)+'DCF Model'!G45*(1+E$6)/($B9-E$6)/(1+$B9)^('DCF Model'!C19+4)-'DCF Model'!C16)*1000000/'DCF Model'!C15,0),"")</f>
        <v>2365</v>
      </c>
      <c r="F9" s="37">
        <f>IFERROR(ROUND(('DCF Model'!C45/(1+$B9)^('DCF Model'!C19+0)+'DCF Model'!D45/(1+$B9)^('DCF Model'!C19+1)+'DCF Model'!E45/(1+$B9)^('DCF Model'!C19+2)+'DCF Model'!F45/(1+$B9)^('DCF Model'!C19+3)+'DCF Model'!G45/(1+$B9)^('DCF Model'!C19+4)+'DCF Model'!G45*(1+F$6)/($B9-F$6)/(1+$B9)^('DCF Model'!C19+4)-'DCF Model'!C16)*1000000/'DCF Model'!C15,0),"")</f>
        <v>2425</v>
      </c>
      <c r="G9" s="37">
        <f>IFERROR(ROUND(('DCF Model'!C45/(1+$B9)^('DCF Model'!C19+0)+'DCF Model'!D45/(1+$B9)^('DCF Model'!C19+1)+'DCF Model'!E45/(1+$B9)^('DCF Model'!C19+2)+'DCF Model'!F45/(1+$B9)^('DCF Model'!C19+3)+'DCF Model'!G45/(1+$B9)^('DCF Model'!C19+4)+'DCF Model'!G45*(1+G$6)/($B9-G$6)/(1+$B9)^('DCF Model'!C19+4)-'DCF Model'!C16)*1000000/'DCF Model'!C15,0),"")</f>
        <v>2489</v>
      </c>
      <c r="H9" s="37">
        <f>IFERROR(ROUND(('DCF Model'!C45/(1+$B9)^('DCF Model'!C19+0)+'DCF Model'!D45/(1+$B9)^('DCF Model'!C19+1)+'DCF Model'!E45/(1+$B9)^('DCF Model'!C19+2)+'DCF Model'!F45/(1+$B9)^('DCF Model'!C19+3)+'DCF Model'!G45/(1+$B9)^('DCF Model'!C19+4)+'DCF Model'!G45*(1+H$6)/($B9-H$6)/(1+$B9)^('DCF Model'!C19+4)-'DCF Model'!C16)*1000000/'DCF Model'!C15,0),"")</f>
        <v>2558</v>
      </c>
      <c r="I9" s="37">
        <f>IFERROR(ROUND(('DCF Model'!C45/(1+$B9)^('DCF Model'!C19+0)+'DCF Model'!D45/(1+$B9)^('DCF Model'!C19+1)+'DCF Model'!E45/(1+$B9)^('DCF Model'!C19+2)+'DCF Model'!F45/(1+$B9)^('DCF Model'!C19+3)+'DCF Model'!G45/(1+$B9)^('DCF Model'!C19+4)+'DCF Model'!G45*(1+I$6)/($B9-I$6)/(1+$B9)^('DCF Model'!C19+4)-'DCF Model'!C16)*1000000/'DCF Model'!C15,0),"")</f>
        <v>2634</v>
      </c>
    </row>
    <row r="10" spans="2:9" ht="13.5" customHeight="1" x14ac:dyDescent="0.25">
      <c r="B10" s="39">
        <f>$C$3</f>
        <v>7.8699999999999992E-2</v>
      </c>
      <c r="C10" s="37">
        <f>IFERROR(ROUND(('DCF Model'!C45/(1+$B10)^('DCF Model'!C19+0)+'DCF Model'!D45/(1+$B10)^('DCF Model'!C19+1)+'DCF Model'!E45/(1+$B10)^('DCF Model'!C19+2)+'DCF Model'!F45/(1+$B10)^('DCF Model'!C19+3)+'DCF Model'!G45/(1+$B10)^('DCF Model'!C19+4)+'DCF Model'!G45*(1+C$6)/($B10-C$6)/(1+$B10)^('DCF Model'!C19+4)-'DCF Model'!C16)*1000000/'DCF Model'!C15,0),"")</f>
        <v>2138</v>
      </c>
      <c r="D10" s="37">
        <f>IFERROR(ROUND(('DCF Model'!C45/(1+$B10)^('DCF Model'!C19+0)+'DCF Model'!D45/(1+$B10)^('DCF Model'!C19+1)+'DCF Model'!E45/(1+$B10)^('DCF Model'!C19+2)+'DCF Model'!F45/(1+$B10)^('DCF Model'!C19+3)+'DCF Model'!G45/(1+$B10)^('DCF Model'!C19+4)+'DCF Model'!G45*(1+D$6)/($B10-D$6)/(1+$B10)^('DCF Model'!C19+4)-'DCF Model'!C16)*1000000/'DCF Model'!C15,0),"")</f>
        <v>2182</v>
      </c>
      <c r="E10" s="37">
        <f>IFERROR(ROUND(('DCF Model'!C45/(1+$B10)^('DCF Model'!C19+0)+'DCF Model'!D45/(1+$B10)^('DCF Model'!C19+1)+'DCF Model'!E45/(1+$B10)^('DCF Model'!C19+2)+'DCF Model'!F45/(1+$B10)^('DCF Model'!C19+3)+'DCF Model'!G45/(1+$B10)^('DCF Model'!C19+4)+'DCF Model'!G45*(1+E$6)/($B10-E$6)/(1+$B10)^('DCF Model'!C19+4)-'DCF Model'!C16)*1000000/'DCF Model'!C15,0),"")</f>
        <v>2229</v>
      </c>
      <c r="F10" s="37">
        <f>IFERROR(ROUND(('DCF Model'!C45/(1+$B10)^('DCF Model'!C19+0)+'DCF Model'!D45/(1+$B10)^('DCF Model'!C19+1)+'DCF Model'!E45/(1+$B10)^('DCF Model'!C19+2)+'DCF Model'!F45/(1+$B10)^('DCF Model'!C19+3)+'DCF Model'!G45/(1+$B10)^('DCF Model'!C19+4)+'DCF Model'!G45*(1+F$6)/($B10-F$6)/(1+$B10)^('DCF Model'!C19+4)-'DCF Model'!C16)*1000000/'DCF Model'!C15,0),"")</f>
        <v>2279</v>
      </c>
      <c r="G10" s="37">
        <f>IFERROR(ROUND(('DCF Model'!C45/(1+$B10)^('DCF Model'!C19+0)+'DCF Model'!D45/(1+$B10)^('DCF Model'!C19+1)+'DCF Model'!E45/(1+$B10)^('DCF Model'!C19+2)+'DCF Model'!F45/(1+$B10)^('DCF Model'!C19+3)+'DCF Model'!G45/(1+$B10)^('DCF Model'!C19+4)+'DCF Model'!G45*(1+G$6)/($B10-G$6)/(1+$B10)^('DCF Model'!C19+4)-'DCF Model'!C16)*1000000/'DCF Model'!C15,0),"")</f>
        <v>2333</v>
      </c>
      <c r="H10" s="37">
        <f>IFERROR(ROUND(('DCF Model'!C45/(1+$B10)^('DCF Model'!C19+0)+'DCF Model'!D45/(1+$B10)^('DCF Model'!C19+1)+'DCF Model'!E45/(1+$B10)^('DCF Model'!C19+2)+'DCF Model'!F45/(1+$B10)^('DCF Model'!C19+3)+'DCF Model'!G45/(1+$B10)^('DCF Model'!C19+4)+'DCF Model'!G45*(1+H$6)/($B10-H$6)/(1+$B10)^('DCF Model'!C19+4)-'DCF Model'!C16)*1000000/'DCF Model'!C15,0),"")</f>
        <v>2391</v>
      </c>
      <c r="I10" s="37">
        <f>IFERROR(ROUND(('DCF Model'!C45/(1+$B10)^('DCF Model'!C19+0)+'DCF Model'!D45/(1+$B10)^('DCF Model'!C19+1)+'DCF Model'!E45/(1+$B10)^('DCF Model'!C19+2)+'DCF Model'!F45/(1+$B10)^('DCF Model'!C19+3)+'DCF Model'!G45/(1+$B10)^('DCF Model'!C19+4)+'DCF Model'!G45*(1+I$6)/($B10-I$6)/(1+$B10)^('DCF Model'!C19+4)-'DCF Model'!C16)*1000000/'DCF Model'!C15,0),"")</f>
        <v>2454</v>
      </c>
    </row>
    <row r="11" spans="2:9" ht="13.5" customHeight="1" x14ac:dyDescent="0.25">
      <c r="B11" s="39">
        <f>$C$3+0.005</f>
        <v>8.3699999999999997E-2</v>
      </c>
      <c r="C11" s="37">
        <f>IFERROR(ROUND(('DCF Model'!C45/(1+$B11)^('DCF Model'!C19+0)+'DCF Model'!D45/(1+$B11)^('DCF Model'!C19+1)+'DCF Model'!E45/(1+$B11)^('DCF Model'!C19+2)+'DCF Model'!F45/(1+$B11)^('DCF Model'!C19+3)+'DCF Model'!G45/(1+$B11)^('DCF Model'!C19+4)+'DCF Model'!G45*(1+C$6)/($B11-C$6)/(1+$B11)^('DCF Model'!C19+4)-'DCF Model'!C16)*1000000/'DCF Model'!C15,0),"")</f>
        <v>2032</v>
      </c>
      <c r="D11" s="37">
        <f>IFERROR(ROUND(('DCF Model'!C45/(1+$B11)^('DCF Model'!C19+0)+'DCF Model'!D45/(1+$B11)^('DCF Model'!C19+1)+'DCF Model'!E45/(1+$B11)^('DCF Model'!C19+2)+'DCF Model'!F45/(1+$B11)^('DCF Model'!C19+3)+'DCF Model'!G45/(1+$B11)^('DCF Model'!C19+4)+'DCF Model'!G45*(1+D$6)/($B11-D$6)/(1+$B11)^('DCF Model'!C19+4)-'DCF Model'!C16)*1000000/'DCF Model'!C15,0),"")</f>
        <v>2070</v>
      </c>
      <c r="E11" s="37">
        <f>IFERROR(ROUND(('DCF Model'!C45/(1+$B11)^('DCF Model'!C19+0)+'DCF Model'!D45/(1+$B11)^('DCF Model'!C19+1)+'DCF Model'!E45/(1+$B11)^('DCF Model'!C19+2)+'DCF Model'!F45/(1+$B11)^('DCF Model'!C19+3)+'DCF Model'!G45/(1+$B11)^('DCF Model'!C19+4)+'DCF Model'!G45*(1+E$6)/($B11-E$6)/(1+$B11)^('DCF Model'!C19+4)-'DCF Model'!C16)*1000000/'DCF Model'!C15,0),"")</f>
        <v>2110</v>
      </c>
      <c r="F11" s="37">
        <f>IFERROR(ROUND(('DCF Model'!C45/(1+$B11)^('DCF Model'!C19+0)+'DCF Model'!D45/(1+$B11)^('DCF Model'!C19+1)+'DCF Model'!E45/(1+$B11)^('DCF Model'!C19+2)+'DCF Model'!F45/(1+$B11)^('DCF Model'!C19+3)+'DCF Model'!G45/(1+$B11)^('DCF Model'!C19+4)+'DCF Model'!G45*(1+F$6)/($B11-F$6)/(1+$B11)^('DCF Model'!C19+4)-'DCF Model'!C16)*1000000/'DCF Model'!C15,0),"")</f>
        <v>2153</v>
      </c>
      <c r="G11" s="37">
        <f>IFERROR(ROUND(('DCF Model'!C45/(1+$B11)^('DCF Model'!C19+0)+'DCF Model'!D45/(1+$B11)^('DCF Model'!C19+1)+'DCF Model'!E45/(1+$B11)^('DCF Model'!C19+2)+'DCF Model'!F45/(1+$B11)^('DCF Model'!C19+3)+'DCF Model'!G45/(1+$B11)^('DCF Model'!C19+4)+'DCF Model'!G45*(1+G$6)/($B11-G$6)/(1+$B11)^('DCF Model'!C19+4)-'DCF Model'!C16)*1000000/'DCF Model'!C15,0),"")</f>
        <v>2199</v>
      </c>
      <c r="H11" s="37">
        <f>IFERROR(ROUND(('DCF Model'!C45/(1+$B11)^('DCF Model'!C19+0)+'DCF Model'!D45/(1+$B11)^('DCF Model'!C19+1)+'DCF Model'!E45/(1+$B11)^('DCF Model'!C19+2)+'DCF Model'!F45/(1+$B11)^('DCF Model'!C19+3)+'DCF Model'!G45/(1+$B11)^('DCF Model'!C19+4)+'DCF Model'!G45*(1+H$6)/($B11-H$6)/(1+$B11)^('DCF Model'!C19+4)-'DCF Model'!C16)*1000000/'DCF Model'!C15,0),"")</f>
        <v>2248</v>
      </c>
      <c r="I11" s="37">
        <f>IFERROR(ROUND(('DCF Model'!C45/(1+$B11)^('DCF Model'!C19+0)+'DCF Model'!D45/(1+$B11)^('DCF Model'!C19+1)+'DCF Model'!E45/(1+$B11)^('DCF Model'!C19+2)+'DCF Model'!F45/(1+$B11)^('DCF Model'!C19+3)+'DCF Model'!G45/(1+$B11)^('DCF Model'!C19+4)+'DCF Model'!G45*(1+I$6)/($B11-I$6)/(1+$B11)^('DCF Model'!C19+4)-'DCF Model'!C16)*1000000/'DCF Model'!C15,0),"")</f>
        <v>2301</v>
      </c>
    </row>
    <row r="12" spans="2:9" ht="13.5" customHeight="1" x14ac:dyDescent="0.25">
      <c r="B12" s="39">
        <f>$C$3+0.01</f>
        <v>8.8699999999999987E-2</v>
      </c>
      <c r="C12" s="37">
        <f>IFERROR(ROUND(('DCF Model'!C45/(1+$B12)^('DCF Model'!C19+0)+'DCF Model'!D45/(1+$B12)^('DCF Model'!C19+1)+'DCF Model'!E45/(1+$B12)^('DCF Model'!C19+2)+'DCF Model'!F45/(1+$B12)^('DCF Model'!C19+3)+'DCF Model'!G45/(1+$B12)^('DCF Model'!C19+4)+'DCF Model'!G45*(1+C$6)/($B12-C$6)/(1+$B12)^('DCF Model'!C19+4)-'DCF Model'!C16)*1000000/'DCF Model'!C15,0),"")</f>
        <v>1939</v>
      </c>
      <c r="D12" s="37">
        <f>IFERROR(ROUND(('DCF Model'!C45/(1+$B12)^('DCF Model'!C19+0)+'DCF Model'!D45/(1+$B12)^('DCF Model'!C19+1)+'DCF Model'!E45/(1+$B12)^('DCF Model'!C19+2)+'DCF Model'!F45/(1+$B12)^('DCF Model'!C19+3)+'DCF Model'!G45/(1+$B12)^('DCF Model'!C19+4)+'DCF Model'!G45*(1+D$6)/($B12-D$6)/(1+$B12)^('DCF Model'!C19+4)-'DCF Model'!C16)*1000000/'DCF Model'!C15,0),"")</f>
        <v>1971</v>
      </c>
      <c r="E12" s="37">
        <f>IFERROR(ROUND(('DCF Model'!C45/(1+$B12)^('DCF Model'!C19+0)+'DCF Model'!D45/(1+$B12)^('DCF Model'!C19+1)+'DCF Model'!E45/(1+$B12)^('DCF Model'!C19+2)+'DCF Model'!F45/(1+$B12)^('DCF Model'!C19+3)+'DCF Model'!G45/(1+$B12)^('DCF Model'!C19+4)+'DCF Model'!G45*(1+E$6)/($B12-E$6)/(1+$B12)^('DCF Model'!C19+4)-'DCF Model'!C16)*1000000/'DCF Model'!C15,0),"")</f>
        <v>2006</v>
      </c>
      <c r="F12" s="37">
        <f>IFERROR(ROUND(('DCF Model'!C45/(1+$B12)^('DCF Model'!C19+0)+'DCF Model'!D45/(1+$B12)^('DCF Model'!C19+1)+'DCF Model'!E45/(1+$B12)^('DCF Model'!C19+2)+'DCF Model'!F45/(1+$B12)^('DCF Model'!C19+3)+'DCF Model'!G45/(1+$B12)^('DCF Model'!C19+4)+'DCF Model'!G45*(1+F$6)/($B12-F$6)/(1+$B12)^('DCF Model'!C19+4)-'DCF Model'!C16)*1000000/'DCF Model'!C15,0),"")</f>
        <v>2043</v>
      </c>
      <c r="G12" s="37">
        <f>IFERROR(ROUND(('DCF Model'!C45/(1+$B12)^('DCF Model'!C19+0)+'DCF Model'!D45/(1+$B12)^('DCF Model'!C19+1)+'DCF Model'!E45/(1+$B12)^('DCF Model'!C19+2)+'DCF Model'!F45/(1+$B12)^('DCF Model'!C19+3)+'DCF Model'!G45/(1+$B12)^('DCF Model'!C19+4)+'DCF Model'!G45*(1+G$6)/($B12-G$6)/(1+$B12)^('DCF Model'!C19+4)-'DCF Model'!C16)*1000000/'DCF Model'!C15,0),"")</f>
        <v>2083</v>
      </c>
      <c r="H12" s="37">
        <f>IFERROR(ROUND(('DCF Model'!C45/(1+$B12)^('DCF Model'!C19+0)+'DCF Model'!D45/(1+$B12)^('DCF Model'!C19+1)+'DCF Model'!E45/(1+$B12)^('DCF Model'!C19+2)+'DCF Model'!F45/(1+$B12)^('DCF Model'!C19+3)+'DCF Model'!G45/(1+$B12)^('DCF Model'!C19+4)+'DCF Model'!G45*(1+H$6)/($B12-H$6)/(1+$B12)^('DCF Model'!C19+4)-'DCF Model'!C16)*1000000/'DCF Model'!C15,0),"")</f>
        <v>2125</v>
      </c>
      <c r="I12" s="37">
        <f>IFERROR(ROUND(('DCF Model'!C45/(1+$B12)^('DCF Model'!C19+0)+'DCF Model'!D45/(1+$B12)^('DCF Model'!C19+1)+'DCF Model'!E45/(1+$B12)^('DCF Model'!C19+2)+'DCF Model'!F45/(1+$B12)^('DCF Model'!C19+3)+'DCF Model'!G45/(1+$B12)^('DCF Model'!C19+4)+'DCF Model'!G45*(1+I$6)/($B12-I$6)/(1+$B12)^('DCF Model'!C19+4)-'DCF Model'!C16)*1000000/'DCF Model'!C15,0),"")</f>
        <v>2170</v>
      </c>
    </row>
    <row r="13" spans="2:9" ht="13.5" customHeight="1" x14ac:dyDescent="0.25">
      <c r="B13" s="39">
        <f>$C$3+0.015</f>
        <v>9.3699999999999992E-2</v>
      </c>
      <c r="C13" s="37">
        <f>IFERROR(ROUND(('DCF Model'!C45/(1+$B13)^('DCF Model'!C19+0)+'DCF Model'!D45/(1+$B13)^('DCF Model'!C19+1)+'DCF Model'!E45/(1+$B13)^('DCF Model'!C19+2)+'DCF Model'!F45/(1+$B13)^('DCF Model'!C19+3)+'DCF Model'!G45/(1+$B13)^('DCF Model'!C19+4)+'DCF Model'!G45*(1+C$6)/($B13-C$6)/(1+$B13)^('DCF Model'!C19+4)-'DCF Model'!C16)*1000000/'DCF Model'!C15,0),"")</f>
        <v>1855</v>
      </c>
      <c r="D13" s="37">
        <f>IFERROR(ROUND(('DCF Model'!C45/(1+$B13)^('DCF Model'!C19+0)+'DCF Model'!D45/(1+$B13)^('DCF Model'!C19+1)+'DCF Model'!E45/(1+$B13)^('DCF Model'!C19+2)+'DCF Model'!F45/(1+$B13)^('DCF Model'!C19+3)+'DCF Model'!G45/(1+$B13)^('DCF Model'!C19+4)+'DCF Model'!G45*(1+D$6)/($B13-D$6)/(1+$B13)^('DCF Model'!C19+4)-'DCF Model'!C16)*1000000/'DCF Model'!C15,0),"")</f>
        <v>1884</v>
      </c>
      <c r="E13" s="37">
        <f>IFERROR(ROUND(('DCF Model'!C45/(1+$B13)^('DCF Model'!C19+0)+'DCF Model'!D45/(1+$B13)^('DCF Model'!C19+1)+'DCF Model'!E45/(1+$B13)^('DCF Model'!C19+2)+'DCF Model'!F45/(1+$B13)^('DCF Model'!C19+3)+'DCF Model'!G45/(1+$B13)^('DCF Model'!C19+4)+'DCF Model'!G45*(1+E$6)/($B13-E$6)/(1+$B13)^('DCF Model'!C19+4)-'DCF Model'!C16)*1000000/'DCF Model'!C15,0),"")</f>
        <v>1914</v>
      </c>
      <c r="F13" s="37">
        <f>IFERROR(ROUND(('DCF Model'!C45/(1+$B13)^('DCF Model'!C19+0)+'DCF Model'!D45/(1+$B13)^('DCF Model'!C19+1)+'DCF Model'!E45/(1+$B13)^('DCF Model'!C19+2)+'DCF Model'!F45/(1+$B13)^('DCF Model'!C19+3)+'DCF Model'!G45/(1+$B13)^('DCF Model'!C19+4)+'DCF Model'!G45*(1+F$6)/($B13-F$6)/(1+$B13)^('DCF Model'!C19+4)-'DCF Model'!C16)*1000000/'DCF Model'!C15,0),"")</f>
        <v>1947</v>
      </c>
      <c r="G13" s="37">
        <f>IFERROR(ROUND(('DCF Model'!C45/(1+$B13)^('DCF Model'!C19+0)+'DCF Model'!D45/(1+$B13)^('DCF Model'!C19+1)+'DCF Model'!E45/(1+$B13)^('DCF Model'!C19+2)+'DCF Model'!F45/(1+$B13)^('DCF Model'!C19+3)+'DCF Model'!G45/(1+$B13)^('DCF Model'!C19+4)+'DCF Model'!G45*(1+G$6)/($B13-G$6)/(1+$B13)^('DCF Model'!C19+4)-'DCF Model'!C16)*1000000/'DCF Model'!C15,0),"")</f>
        <v>1981</v>
      </c>
      <c r="H13" s="37">
        <f>IFERROR(ROUND(('DCF Model'!C45/(1+$B13)^('DCF Model'!C19+0)+'DCF Model'!D45/(1+$B13)^('DCF Model'!C19+1)+'DCF Model'!E45/(1+$B13)^('DCF Model'!C19+2)+'DCF Model'!F45/(1+$B13)^('DCF Model'!C19+3)+'DCF Model'!G45/(1+$B13)^('DCF Model'!C19+4)+'DCF Model'!G45*(1+H$6)/($B13-H$6)/(1+$B13)^('DCF Model'!C19+4)-'DCF Model'!C16)*1000000/'DCF Model'!C15,0),"")</f>
        <v>2017</v>
      </c>
      <c r="I13" s="37">
        <f>IFERROR(ROUND(('DCF Model'!C45/(1+$B13)^('DCF Model'!C19+0)+'DCF Model'!D45/(1+$B13)^('DCF Model'!C19+1)+'DCF Model'!E45/(1+$B13)^('DCF Model'!C19+2)+'DCF Model'!F45/(1+$B13)^('DCF Model'!C19+3)+'DCF Model'!G45/(1+$B13)^('DCF Model'!C19+4)+'DCF Model'!G45*(1+I$6)/($B13-I$6)/(1+$B13)^('DCF Model'!C19+4)-'DCF Model'!C16)*1000000/'DCF Model'!C15,0),"")</f>
        <v>2056</v>
      </c>
    </row>
    <row r="16" spans="2:9" ht="14" customHeight="1" x14ac:dyDescent="0.3">
      <c r="B16" s="3" t="s">
        <v>237</v>
      </c>
    </row>
    <row r="17" spans="2:9" ht="14" customHeight="1" x14ac:dyDescent="0.3">
      <c r="B17" s="40" t="s">
        <v>238</v>
      </c>
      <c r="C17" s="42">
        <f>$I$3-3</f>
        <v>7.9</v>
      </c>
      <c r="D17" s="42">
        <f>$I$3-2</f>
        <v>8.9</v>
      </c>
      <c r="E17" s="42">
        <f>$I$3-1</f>
        <v>9.9</v>
      </c>
      <c r="F17" s="42">
        <f>$I$3</f>
        <v>10.9</v>
      </c>
      <c r="G17" s="42">
        <f>$I$3+1</f>
        <v>11.9</v>
      </c>
      <c r="H17" s="42">
        <f>$I$3+2</f>
        <v>12.9</v>
      </c>
      <c r="I17" s="42">
        <f>$I$3+3</f>
        <v>13.9</v>
      </c>
    </row>
    <row r="18" spans="2:9" ht="13.5" customHeight="1" x14ac:dyDescent="0.25">
      <c r="B18" s="39">
        <f>$C$3-0.015</f>
        <v>6.3699999999999993E-2</v>
      </c>
      <c r="C18" s="37">
        <f>IFERROR(ROUND(('DCF Model'!C45/(1+$B18)^('DCF Model'!C19+0)+'DCF Model'!D45/(1+$B18)^('DCF Model'!C19+1)+'DCF Model'!E45/(1+$B18)^('DCF Model'!C19+2)+'DCF Model'!F45/(1+$B18)^('DCF Model'!C19+3)+'DCF Model'!G45/(1+$B18)^('DCF Model'!C19+4)+('DCF Model'!G39+'DCF Model'!G42)*C$17/(1+$B18)^('DCF Model'!C19+4)-'DCF Model'!C16)*1000000/'DCF Model'!C15,0),"")</f>
        <v>2690</v>
      </c>
      <c r="D18" s="37">
        <f>IFERROR(ROUND(('DCF Model'!C45/(1+$B18)^('DCF Model'!C19+0)+'DCF Model'!D45/(1+$B18)^('DCF Model'!C19+1)+'DCF Model'!E45/(1+$B18)^('DCF Model'!C19+2)+'DCF Model'!F45/(1+$B18)^('DCF Model'!C19+3)+'DCF Model'!G45/(1+$B18)^('DCF Model'!C19+4)+('DCF Model'!G39+'DCF Model'!G42)*D$17/(1+$B18)^('DCF Model'!C19+4)-'DCF Model'!C16)*1000000/'DCF Model'!C15,0),"")</f>
        <v>2909</v>
      </c>
      <c r="E18" s="37">
        <f>IFERROR(ROUND(('DCF Model'!C45/(1+$B18)^('DCF Model'!C19+0)+'DCF Model'!D45/(1+$B18)^('DCF Model'!C19+1)+'DCF Model'!E45/(1+$B18)^('DCF Model'!C19+2)+'DCF Model'!F45/(1+$B18)^('DCF Model'!C19+3)+'DCF Model'!G45/(1+$B18)^('DCF Model'!C19+4)+('DCF Model'!G39+'DCF Model'!G42)*E$17/(1+$B18)^('DCF Model'!C19+4)-'DCF Model'!C16)*1000000/'DCF Model'!C15,0),"")</f>
        <v>3128</v>
      </c>
      <c r="F18" s="37">
        <f>IFERROR(ROUND(('DCF Model'!C45/(1+$B18)^('DCF Model'!C19+0)+'DCF Model'!D45/(1+$B18)^('DCF Model'!C19+1)+'DCF Model'!E45/(1+$B18)^('DCF Model'!C19+2)+'DCF Model'!F45/(1+$B18)^('DCF Model'!C19+3)+'DCF Model'!G45/(1+$B18)^('DCF Model'!C19+4)+('DCF Model'!G39+'DCF Model'!G42)*F$17/(1+$B18)^('DCF Model'!C19+4)-'DCF Model'!C16)*1000000/'DCF Model'!C15,0),"")</f>
        <v>3347</v>
      </c>
      <c r="G18" s="37">
        <f>IFERROR(ROUND(('DCF Model'!C45/(1+$B18)^('DCF Model'!C19+0)+'DCF Model'!D45/(1+$B18)^('DCF Model'!C19+1)+'DCF Model'!E45/(1+$B18)^('DCF Model'!C19+2)+'DCF Model'!F45/(1+$B18)^('DCF Model'!C19+3)+'DCF Model'!G45/(1+$B18)^('DCF Model'!C19+4)+('DCF Model'!G39+'DCF Model'!G42)*G$17/(1+$B18)^('DCF Model'!C19+4)-'DCF Model'!C16)*1000000/'DCF Model'!C15,0),"")</f>
        <v>3565</v>
      </c>
      <c r="H18" s="37">
        <f>IFERROR(ROUND(('DCF Model'!C45/(1+$B18)^('DCF Model'!C19+0)+'DCF Model'!D45/(1+$B18)^('DCF Model'!C19+1)+'DCF Model'!E45/(1+$B18)^('DCF Model'!C19+2)+'DCF Model'!F45/(1+$B18)^('DCF Model'!C19+3)+'DCF Model'!G45/(1+$B18)^('DCF Model'!C19+4)+('DCF Model'!G39+'DCF Model'!G42)*H$17/(1+$B18)^('DCF Model'!C19+4)-'DCF Model'!C16)*1000000/'DCF Model'!C15,0),"")</f>
        <v>3784</v>
      </c>
      <c r="I18" s="37">
        <f>IFERROR(ROUND(('DCF Model'!C45/(1+$B18)^('DCF Model'!C19+0)+'DCF Model'!D45/(1+$B18)^('DCF Model'!C19+1)+'DCF Model'!E45/(1+$B18)^('DCF Model'!C19+2)+'DCF Model'!F45/(1+$B18)^('DCF Model'!C19+3)+'DCF Model'!G45/(1+$B18)^('DCF Model'!C19+4)+('DCF Model'!G39+'DCF Model'!G42)*I$17/(1+$B18)^('DCF Model'!C19+4)-'DCF Model'!C16)*1000000/'DCF Model'!C15,0),"")</f>
        <v>4003</v>
      </c>
    </row>
    <row r="19" spans="2:9" ht="13.5" customHeight="1" x14ac:dyDescent="0.25">
      <c r="B19" s="39">
        <f>$C$3-0.01</f>
        <v>6.8699999999999997E-2</v>
      </c>
      <c r="C19" s="37">
        <f>IFERROR(ROUND(('DCF Model'!C45/(1+$B19)^('DCF Model'!C19+0)+'DCF Model'!D45/(1+$B19)^('DCF Model'!C19+1)+'DCF Model'!E45/(1+$B19)^('DCF Model'!C19+2)+'DCF Model'!F45/(1+$B19)^('DCF Model'!C19+3)+'DCF Model'!G45/(1+$B19)^('DCF Model'!C19+4)+('DCF Model'!G39+'DCF Model'!G42)*C$17/(1+$B19)^('DCF Model'!C19+4)-'DCF Model'!C16)*1000000/'DCF Model'!C15,0),"")</f>
        <v>2643</v>
      </c>
      <c r="D19" s="37">
        <f>IFERROR(ROUND(('DCF Model'!C45/(1+$B19)^('DCF Model'!C19+0)+'DCF Model'!D45/(1+$B19)^('DCF Model'!C19+1)+'DCF Model'!E45/(1+$B19)^('DCF Model'!C19+2)+'DCF Model'!F45/(1+$B19)^('DCF Model'!C19+3)+'DCF Model'!G45/(1+$B19)^('DCF Model'!C19+4)+('DCF Model'!G39+'DCF Model'!G42)*D$17/(1+$B19)^('DCF Model'!C19+4)-'DCF Model'!C16)*1000000/'DCF Model'!C15,0),"")</f>
        <v>2857</v>
      </c>
      <c r="E19" s="37">
        <f>IFERROR(ROUND(('DCF Model'!C45/(1+$B19)^('DCF Model'!C19+0)+'DCF Model'!D45/(1+$B19)^('DCF Model'!C19+1)+'DCF Model'!E45/(1+$B19)^('DCF Model'!C19+2)+'DCF Model'!F45/(1+$B19)^('DCF Model'!C19+3)+'DCF Model'!G45/(1+$B19)^('DCF Model'!C19+4)+('DCF Model'!G39+'DCF Model'!G42)*E$17/(1+$B19)^('DCF Model'!C19+4)-'DCF Model'!C16)*1000000/'DCF Model'!C15,0),"")</f>
        <v>3071</v>
      </c>
      <c r="F19" s="37">
        <f>IFERROR(ROUND(('DCF Model'!C45/(1+$B19)^('DCF Model'!C19+0)+'DCF Model'!D45/(1+$B19)^('DCF Model'!C19+1)+'DCF Model'!E45/(1+$B19)^('DCF Model'!C19+2)+'DCF Model'!F45/(1+$B19)^('DCF Model'!C19+3)+'DCF Model'!G45/(1+$B19)^('DCF Model'!C19+4)+('DCF Model'!G39+'DCF Model'!G42)*F$17/(1+$B19)^('DCF Model'!C19+4)-'DCF Model'!C16)*1000000/'DCF Model'!C15,0),"")</f>
        <v>3284</v>
      </c>
      <c r="G19" s="37">
        <f>IFERROR(ROUND(('DCF Model'!C45/(1+$B19)^('DCF Model'!C19+0)+'DCF Model'!D45/(1+$B19)^('DCF Model'!C19+1)+'DCF Model'!E45/(1+$B19)^('DCF Model'!C19+2)+'DCF Model'!F45/(1+$B19)^('DCF Model'!C19+3)+'DCF Model'!G45/(1+$B19)^('DCF Model'!C19+4)+('DCF Model'!G39+'DCF Model'!G42)*G$17/(1+$B19)^('DCF Model'!C19+4)-'DCF Model'!C16)*1000000/'DCF Model'!C15,0),"")</f>
        <v>3498</v>
      </c>
      <c r="H19" s="37">
        <f>IFERROR(ROUND(('DCF Model'!C45/(1+$B19)^('DCF Model'!C19+0)+'DCF Model'!D45/(1+$B19)^('DCF Model'!C19+1)+'DCF Model'!E45/(1+$B19)^('DCF Model'!C19+2)+'DCF Model'!F45/(1+$B19)^('DCF Model'!C19+3)+'DCF Model'!G45/(1+$B19)^('DCF Model'!C19+4)+('DCF Model'!G39+'DCF Model'!G42)*H$17/(1+$B19)^('DCF Model'!C19+4)-'DCF Model'!C16)*1000000/'DCF Model'!C15,0),"")</f>
        <v>3712</v>
      </c>
      <c r="I19" s="37">
        <f>IFERROR(ROUND(('DCF Model'!C45/(1+$B19)^('DCF Model'!C19+0)+'DCF Model'!D45/(1+$B19)^('DCF Model'!C19+1)+'DCF Model'!E45/(1+$B19)^('DCF Model'!C19+2)+'DCF Model'!F45/(1+$B19)^('DCF Model'!C19+3)+'DCF Model'!G45/(1+$B19)^('DCF Model'!C19+4)+('DCF Model'!G39+'DCF Model'!G42)*I$17/(1+$B19)^('DCF Model'!C19+4)-'DCF Model'!C16)*1000000/'DCF Model'!C15,0),"")</f>
        <v>3925</v>
      </c>
    </row>
    <row r="20" spans="2:9" ht="13.5" customHeight="1" x14ac:dyDescent="0.25">
      <c r="B20" s="39">
        <f>$C$3-0.005</f>
        <v>7.3699999999999988E-2</v>
      </c>
      <c r="C20" s="37">
        <f>IFERROR(ROUND(('DCF Model'!C45/(1+$B20)^('DCF Model'!C19+0)+'DCF Model'!D45/(1+$B20)^('DCF Model'!C19+1)+'DCF Model'!E45/(1+$B20)^('DCF Model'!C19+2)+'DCF Model'!F45/(1+$B20)^('DCF Model'!C19+3)+'DCF Model'!G45/(1+$B20)^('DCF Model'!C19+4)+('DCF Model'!G39+'DCF Model'!G42)*C$17/(1+$B20)^('DCF Model'!C19+4)-'DCF Model'!C16)*1000000/'DCF Model'!C15,0),"")</f>
        <v>2597</v>
      </c>
      <c r="D20" s="37">
        <f>IFERROR(ROUND(('DCF Model'!C45/(1+$B20)^('DCF Model'!C19+0)+'DCF Model'!D45/(1+$B20)^('DCF Model'!C19+1)+'DCF Model'!E45/(1+$B20)^('DCF Model'!C19+2)+'DCF Model'!F45/(1+$B20)^('DCF Model'!C19+3)+'DCF Model'!G45/(1+$B20)^('DCF Model'!C19+4)+('DCF Model'!G39+'DCF Model'!G42)*D$17/(1+$B20)^('DCF Model'!C19+4)-'DCF Model'!C16)*1000000/'DCF Model'!C15,0),"")</f>
        <v>2806</v>
      </c>
      <c r="E20" s="37">
        <f>IFERROR(ROUND(('DCF Model'!C45/(1+$B20)^('DCF Model'!C19+0)+'DCF Model'!D45/(1+$B20)^('DCF Model'!C19+1)+'DCF Model'!E45/(1+$B20)^('DCF Model'!C19+2)+'DCF Model'!F45/(1+$B20)^('DCF Model'!C19+3)+'DCF Model'!G45/(1+$B20)^('DCF Model'!C19+4)+('DCF Model'!G39+'DCF Model'!G42)*E$17/(1+$B20)^('DCF Model'!C19+4)-'DCF Model'!C16)*1000000/'DCF Model'!C15,0),"")</f>
        <v>3015</v>
      </c>
      <c r="F20" s="37">
        <f>IFERROR(ROUND(('DCF Model'!C45/(1+$B20)^('DCF Model'!C19+0)+'DCF Model'!D45/(1+$B20)^('DCF Model'!C19+1)+'DCF Model'!E45/(1+$B20)^('DCF Model'!C19+2)+'DCF Model'!F45/(1+$B20)^('DCF Model'!C19+3)+'DCF Model'!G45/(1+$B20)^('DCF Model'!C19+4)+('DCF Model'!G39+'DCF Model'!G42)*F$17/(1+$B20)^('DCF Model'!C19+4)-'DCF Model'!C16)*1000000/'DCF Model'!C15,0),"")</f>
        <v>3224</v>
      </c>
      <c r="G20" s="37">
        <f>IFERROR(ROUND(('DCF Model'!C45/(1+$B20)^('DCF Model'!C19+0)+'DCF Model'!D45/(1+$B20)^('DCF Model'!C19+1)+'DCF Model'!E45/(1+$B20)^('DCF Model'!C19+2)+'DCF Model'!F45/(1+$B20)^('DCF Model'!C19+3)+'DCF Model'!G45/(1+$B20)^('DCF Model'!C19+4)+('DCF Model'!G39+'DCF Model'!G42)*G$17/(1+$B20)^('DCF Model'!C19+4)-'DCF Model'!C16)*1000000/'DCF Model'!C15,0),"")</f>
        <v>3433</v>
      </c>
      <c r="H20" s="37">
        <f>IFERROR(ROUND(('DCF Model'!C45/(1+$B20)^('DCF Model'!C19+0)+'DCF Model'!D45/(1+$B20)^('DCF Model'!C19+1)+'DCF Model'!E45/(1+$B20)^('DCF Model'!C19+2)+'DCF Model'!F45/(1+$B20)^('DCF Model'!C19+3)+'DCF Model'!G45/(1+$B20)^('DCF Model'!C19+4)+('DCF Model'!G39+'DCF Model'!G42)*H$17/(1+$B20)^('DCF Model'!C19+4)-'DCF Model'!C16)*1000000/'DCF Model'!C15,0),"")</f>
        <v>3641</v>
      </c>
      <c r="I20" s="37">
        <f>IFERROR(ROUND(('DCF Model'!C45/(1+$B20)^('DCF Model'!C19+0)+'DCF Model'!D45/(1+$B20)^('DCF Model'!C19+1)+'DCF Model'!E45/(1+$B20)^('DCF Model'!C19+2)+'DCF Model'!F45/(1+$B20)^('DCF Model'!C19+3)+'DCF Model'!G45/(1+$B20)^('DCF Model'!C19+4)+('DCF Model'!G39+'DCF Model'!G42)*I$17/(1+$B20)^('DCF Model'!C19+4)-'DCF Model'!C16)*1000000/'DCF Model'!C15,0),"")</f>
        <v>3850</v>
      </c>
    </row>
    <row r="21" spans="2:9" ht="13.5" customHeight="1" x14ac:dyDescent="0.25">
      <c r="B21" s="39">
        <f>$C$3</f>
        <v>7.8699999999999992E-2</v>
      </c>
      <c r="C21" s="37">
        <f>IFERROR(ROUND(('DCF Model'!C45/(1+$B21)^('DCF Model'!C19+0)+'DCF Model'!D45/(1+$B21)^('DCF Model'!C19+1)+'DCF Model'!E45/(1+$B21)^('DCF Model'!C19+2)+'DCF Model'!F45/(1+$B21)^('DCF Model'!C19+3)+'DCF Model'!G45/(1+$B21)^('DCF Model'!C19+4)+('DCF Model'!G39+'DCF Model'!G42)*C$17/(1+$B21)^('DCF Model'!C19+4)-'DCF Model'!C16)*1000000/'DCF Model'!C15,0),"")</f>
        <v>2553</v>
      </c>
      <c r="D21" s="37">
        <f>IFERROR(ROUND(('DCF Model'!C45/(1+$B21)^('DCF Model'!C19+0)+'DCF Model'!D45/(1+$B21)^('DCF Model'!C19+1)+'DCF Model'!E45/(1+$B21)^('DCF Model'!C19+2)+'DCF Model'!F45/(1+$B21)^('DCF Model'!C19+3)+'DCF Model'!G45/(1+$B21)^('DCF Model'!C19+4)+('DCF Model'!G39+'DCF Model'!G42)*D$17/(1+$B21)^('DCF Model'!C19+4)-'DCF Model'!C16)*1000000/'DCF Model'!C15,0),"")</f>
        <v>2757</v>
      </c>
      <c r="E21" s="37">
        <f>IFERROR(ROUND(('DCF Model'!C45/(1+$B21)^('DCF Model'!C19+0)+'DCF Model'!D45/(1+$B21)^('DCF Model'!C19+1)+'DCF Model'!E45/(1+$B21)^('DCF Model'!C19+2)+'DCF Model'!F45/(1+$B21)^('DCF Model'!C19+3)+'DCF Model'!G45/(1+$B21)^('DCF Model'!C19+4)+('DCF Model'!G39+'DCF Model'!G42)*E$17/(1+$B21)^('DCF Model'!C19+4)-'DCF Model'!C16)*1000000/'DCF Model'!C15,0),"")</f>
        <v>2961</v>
      </c>
      <c r="F21" s="37">
        <f>IFERROR(ROUND(('DCF Model'!C45/(1+$B21)^('DCF Model'!C19+0)+'DCF Model'!D45/(1+$B21)^('DCF Model'!C19+1)+'DCF Model'!E45/(1+$B21)^('DCF Model'!C19+2)+'DCF Model'!F45/(1+$B21)^('DCF Model'!C19+3)+'DCF Model'!G45/(1+$B21)^('DCF Model'!C19+4)+('DCF Model'!G39+'DCF Model'!G42)*F$17/(1+$B21)^('DCF Model'!C19+4)-'DCF Model'!C16)*1000000/'DCF Model'!C15,0),"")</f>
        <v>3165</v>
      </c>
      <c r="G21" s="37">
        <f>IFERROR(ROUND(('DCF Model'!C45/(1+$B21)^('DCF Model'!C19+0)+'DCF Model'!D45/(1+$B21)^('DCF Model'!C19+1)+'DCF Model'!E45/(1+$B21)^('DCF Model'!C19+2)+'DCF Model'!F45/(1+$B21)^('DCF Model'!C19+3)+'DCF Model'!G45/(1+$B21)^('DCF Model'!C19+4)+('DCF Model'!G39+'DCF Model'!G42)*G$17/(1+$B21)^('DCF Model'!C19+4)-'DCF Model'!C16)*1000000/'DCF Model'!C15,0),"")</f>
        <v>3369</v>
      </c>
      <c r="H21" s="37">
        <f>IFERROR(ROUND(('DCF Model'!C45/(1+$B21)^('DCF Model'!C19+0)+'DCF Model'!D45/(1+$B21)^('DCF Model'!C19+1)+'DCF Model'!E45/(1+$B21)^('DCF Model'!C19+2)+'DCF Model'!F45/(1+$B21)^('DCF Model'!C19+3)+'DCF Model'!G45/(1+$B21)^('DCF Model'!C19+4)+('DCF Model'!G39+'DCF Model'!G42)*H$17/(1+$B21)^('DCF Model'!C19+4)-'DCF Model'!C16)*1000000/'DCF Model'!C15,0),"")</f>
        <v>3573</v>
      </c>
      <c r="I21" s="37">
        <f>IFERROR(ROUND(('DCF Model'!C45/(1+$B21)^('DCF Model'!C19+0)+'DCF Model'!D45/(1+$B21)^('DCF Model'!C19+1)+'DCF Model'!E45/(1+$B21)^('DCF Model'!C19+2)+'DCF Model'!F45/(1+$B21)^('DCF Model'!C19+3)+'DCF Model'!G45/(1+$B21)^('DCF Model'!C19+4)+('DCF Model'!G39+'DCF Model'!G42)*I$17/(1+$B21)^('DCF Model'!C19+4)-'DCF Model'!C16)*1000000/'DCF Model'!C15,0),"")</f>
        <v>3777</v>
      </c>
    </row>
    <row r="22" spans="2:9" ht="13.5" customHeight="1" x14ac:dyDescent="0.25">
      <c r="B22" s="39">
        <f>$C$3+0.005</f>
        <v>8.3699999999999997E-2</v>
      </c>
      <c r="C22" s="37">
        <f>IFERROR(ROUND(('DCF Model'!C45/(1+$B22)^('DCF Model'!C19+0)+'DCF Model'!D45/(1+$B22)^('DCF Model'!C19+1)+'DCF Model'!E45/(1+$B22)^('DCF Model'!C19+2)+'DCF Model'!F45/(1+$B22)^('DCF Model'!C19+3)+'DCF Model'!G45/(1+$B22)^('DCF Model'!C19+4)+('DCF Model'!G39+'DCF Model'!G42)*C$17/(1+$B22)^('DCF Model'!C19+4)-'DCF Model'!C16)*1000000/'DCF Model'!C15,0),"")</f>
        <v>2509</v>
      </c>
      <c r="D22" s="37">
        <f>IFERROR(ROUND(('DCF Model'!C45/(1+$B22)^('DCF Model'!C19+0)+'DCF Model'!D45/(1+$B22)^('DCF Model'!C19+1)+'DCF Model'!E45/(1+$B22)^('DCF Model'!C19+2)+'DCF Model'!F45/(1+$B22)^('DCF Model'!C19+3)+'DCF Model'!G45/(1+$B22)^('DCF Model'!C19+4)+('DCF Model'!G39+'DCF Model'!G42)*D$17/(1+$B22)^('DCF Model'!C19+4)-'DCF Model'!C16)*1000000/'DCF Model'!C15,0),"")</f>
        <v>2709</v>
      </c>
      <c r="E22" s="37">
        <f>IFERROR(ROUND(('DCF Model'!C45/(1+$B22)^('DCF Model'!C19+0)+'DCF Model'!D45/(1+$B22)^('DCF Model'!C19+1)+'DCF Model'!E45/(1+$B22)^('DCF Model'!C19+2)+'DCF Model'!F45/(1+$B22)^('DCF Model'!C19+3)+'DCF Model'!G45/(1+$B22)^('DCF Model'!C19+4)+('DCF Model'!G39+'DCF Model'!G42)*E$17/(1+$B22)^('DCF Model'!C19+4)-'DCF Model'!C16)*1000000/'DCF Model'!C15,0),"")</f>
        <v>2908</v>
      </c>
      <c r="F22" s="37">
        <f>IFERROR(ROUND(('DCF Model'!C45/(1+$B22)^('DCF Model'!C19+0)+'DCF Model'!D45/(1+$B22)^('DCF Model'!C19+1)+'DCF Model'!E45/(1+$B22)^('DCF Model'!C19+2)+'DCF Model'!F45/(1+$B22)^('DCF Model'!C19+3)+'DCF Model'!G45/(1+$B22)^('DCF Model'!C19+4)+('DCF Model'!G39+'DCF Model'!G42)*F$17/(1+$B22)^('DCF Model'!C19+4)-'DCF Model'!C16)*1000000/'DCF Model'!C15,0),"")</f>
        <v>3107</v>
      </c>
      <c r="G22" s="37">
        <f>IFERROR(ROUND(('DCF Model'!C45/(1+$B22)^('DCF Model'!C19+0)+'DCF Model'!D45/(1+$B22)^('DCF Model'!C19+1)+'DCF Model'!E45/(1+$B22)^('DCF Model'!C19+2)+'DCF Model'!F45/(1+$B22)^('DCF Model'!C19+3)+'DCF Model'!G45/(1+$B22)^('DCF Model'!C19+4)+('DCF Model'!G39+'DCF Model'!G42)*G$17/(1+$B22)^('DCF Model'!C19+4)-'DCF Model'!C16)*1000000/'DCF Model'!C15,0),"")</f>
        <v>3307</v>
      </c>
      <c r="H22" s="37">
        <f>IFERROR(ROUND(('DCF Model'!C45/(1+$B22)^('DCF Model'!C19+0)+'DCF Model'!D45/(1+$B22)^('DCF Model'!C19+1)+'DCF Model'!E45/(1+$B22)^('DCF Model'!C19+2)+'DCF Model'!F45/(1+$B22)^('DCF Model'!C19+3)+'DCF Model'!G45/(1+$B22)^('DCF Model'!C19+4)+('DCF Model'!G39+'DCF Model'!G42)*H$17/(1+$B22)^('DCF Model'!C19+4)-'DCF Model'!C16)*1000000/'DCF Model'!C15,0),"")</f>
        <v>3506</v>
      </c>
      <c r="I22" s="37">
        <f>IFERROR(ROUND(('DCF Model'!C45/(1+$B22)^('DCF Model'!C19+0)+'DCF Model'!D45/(1+$B22)^('DCF Model'!C19+1)+'DCF Model'!E45/(1+$B22)^('DCF Model'!C19+2)+'DCF Model'!F45/(1+$B22)^('DCF Model'!C19+3)+'DCF Model'!G45/(1+$B22)^('DCF Model'!C19+4)+('DCF Model'!G39+'DCF Model'!G42)*I$17/(1+$B22)^('DCF Model'!C19+4)-'DCF Model'!C16)*1000000/'DCF Model'!C15,0),"")</f>
        <v>3705</v>
      </c>
    </row>
    <row r="23" spans="2:9" ht="13.5" customHeight="1" x14ac:dyDescent="0.25">
      <c r="B23" s="39">
        <f>$C$3+0.01</f>
        <v>8.8699999999999987E-2</v>
      </c>
      <c r="C23" s="37">
        <f>IFERROR(ROUND(('DCF Model'!C45/(1+$B23)^('DCF Model'!C19+0)+'DCF Model'!D45/(1+$B23)^('DCF Model'!C19+1)+'DCF Model'!E45/(1+$B23)^('DCF Model'!C19+2)+'DCF Model'!F45/(1+$B23)^('DCF Model'!C19+3)+'DCF Model'!G45/(1+$B23)^('DCF Model'!C19+4)+('DCF Model'!G39+'DCF Model'!G42)*C$17/(1+$B23)^('DCF Model'!C19+4)-'DCF Model'!C16)*1000000/'DCF Model'!C15,0),"")</f>
        <v>2467</v>
      </c>
      <c r="D23" s="37">
        <f>IFERROR(ROUND(('DCF Model'!C45/(1+$B23)^('DCF Model'!C19+0)+'DCF Model'!D45/(1+$B23)^('DCF Model'!C19+1)+'DCF Model'!E45/(1+$B23)^('DCF Model'!C19+2)+'DCF Model'!F45/(1+$B23)^('DCF Model'!C19+3)+'DCF Model'!G45/(1+$B23)^('DCF Model'!C19+4)+('DCF Model'!G39+'DCF Model'!G42)*D$17/(1+$B23)^('DCF Model'!C19+4)-'DCF Model'!C16)*1000000/'DCF Model'!C15,0),"")</f>
        <v>2662</v>
      </c>
      <c r="E23" s="37">
        <f>IFERROR(ROUND(('DCF Model'!C45/(1+$B23)^('DCF Model'!C19+0)+'DCF Model'!D45/(1+$B23)^('DCF Model'!C19+1)+'DCF Model'!E45/(1+$B23)^('DCF Model'!C19+2)+'DCF Model'!F45/(1+$B23)^('DCF Model'!C19+3)+'DCF Model'!G45/(1+$B23)^('DCF Model'!C19+4)+('DCF Model'!G39+'DCF Model'!G42)*E$17/(1+$B23)^('DCF Model'!C19+4)-'DCF Model'!C16)*1000000/'DCF Model'!C15,0),"")</f>
        <v>2857</v>
      </c>
      <c r="F23" s="37">
        <f>IFERROR(ROUND(('DCF Model'!C45/(1+$B23)^('DCF Model'!C19+0)+'DCF Model'!D45/(1+$B23)^('DCF Model'!C19+1)+'DCF Model'!E45/(1+$B23)^('DCF Model'!C19+2)+'DCF Model'!F45/(1+$B23)^('DCF Model'!C19+3)+'DCF Model'!G45/(1+$B23)^('DCF Model'!C19+4)+('DCF Model'!G39+'DCF Model'!G42)*F$17/(1+$B23)^('DCF Model'!C19+4)-'DCF Model'!C16)*1000000/'DCF Model'!C15,0),"")</f>
        <v>3051</v>
      </c>
      <c r="G23" s="37">
        <f>IFERROR(ROUND(('DCF Model'!C45/(1+$B23)^('DCF Model'!C19+0)+'DCF Model'!D45/(1+$B23)^('DCF Model'!C19+1)+'DCF Model'!E45/(1+$B23)^('DCF Model'!C19+2)+'DCF Model'!F45/(1+$B23)^('DCF Model'!C19+3)+'DCF Model'!G45/(1+$B23)^('DCF Model'!C19+4)+('DCF Model'!G39+'DCF Model'!G42)*G$17/(1+$B23)^('DCF Model'!C19+4)-'DCF Model'!C16)*1000000/'DCF Model'!C15,0),"")</f>
        <v>3246</v>
      </c>
      <c r="H23" s="37">
        <f>IFERROR(ROUND(('DCF Model'!C45/(1+$B23)^('DCF Model'!C19+0)+'DCF Model'!D45/(1+$B23)^('DCF Model'!C19+1)+'DCF Model'!E45/(1+$B23)^('DCF Model'!C19+2)+'DCF Model'!F45/(1+$B23)^('DCF Model'!C19+3)+'DCF Model'!G45/(1+$B23)^('DCF Model'!C19+4)+('DCF Model'!G39+'DCF Model'!G42)*H$17/(1+$B23)^('DCF Model'!C19+4)-'DCF Model'!C16)*1000000/'DCF Model'!C15,0),"")</f>
        <v>3441</v>
      </c>
      <c r="I23" s="37">
        <f>IFERROR(ROUND(('DCF Model'!C45/(1+$B23)^('DCF Model'!C19+0)+'DCF Model'!D45/(1+$B23)^('DCF Model'!C19+1)+'DCF Model'!E45/(1+$B23)^('DCF Model'!C19+2)+'DCF Model'!F45/(1+$B23)^('DCF Model'!C19+3)+'DCF Model'!G45/(1+$B23)^('DCF Model'!C19+4)+('DCF Model'!G39+'DCF Model'!G42)*I$17/(1+$B23)^('DCF Model'!C19+4)-'DCF Model'!C16)*1000000/'DCF Model'!C15,0),"")</f>
        <v>3636</v>
      </c>
    </row>
    <row r="24" spans="2:9" ht="13.5" customHeight="1" x14ac:dyDescent="0.25">
      <c r="B24" s="39">
        <f>$C$3+0.015</f>
        <v>9.3699999999999992E-2</v>
      </c>
      <c r="C24" s="37">
        <f>IFERROR(ROUND(('DCF Model'!C45/(1+$B24)^('DCF Model'!C19+0)+'DCF Model'!D45/(1+$B24)^('DCF Model'!C19+1)+'DCF Model'!E45/(1+$B24)^('DCF Model'!C19+2)+'DCF Model'!F45/(1+$B24)^('DCF Model'!C19+3)+'DCF Model'!G45/(1+$B24)^('DCF Model'!C19+4)+('DCF Model'!G39+'DCF Model'!G42)*C$17/(1+$B24)^('DCF Model'!C19+4)-'DCF Model'!C16)*1000000/'DCF Model'!C15,0),"")</f>
        <v>2426</v>
      </c>
      <c r="D24" s="37">
        <f>IFERROR(ROUND(('DCF Model'!C45/(1+$B24)^('DCF Model'!C19+0)+'DCF Model'!D45/(1+$B24)^('DCF Model'!C19+1)+'DCF Model'!E45/(1+$B24)^('DCF Model'!C19+2)+'DCF Model'!F45/(1+$B24)^('DCF Model'!C19+3)+'DCF Model'!G45/(1+$B24)^('DCF Model'!C19+4)+('DCF Model'!G39+'DCF Model'!G42)*D$17/(1+$B24)^('DCF Model'!C19+4)-'DCF Model'!C16)*1000000/'DCF Model'!C15,0),"")</f>
        <v>2616</v>
      </c>
      <c r="E24" s="37">
        <f>IFERROR(ROUND(('DCF Model'!C45/(1+$B24)^('DCF Model'!C19+0)+'DCF Model'!D45/(1+$B24)^('DCF Model'!C19+1)+'DCF Model'!E45/(1+$B24)^('DCF Model'!C19+2)+'DCF Model'!F45/(1+$B24)^('DCF Model'!C19+3)+'DCF Model'!G45/(1+$B24)^('DCF Model'!C19+4)+('DCF Model'!G39+'DCF Model'!G42)*E$17/(1+$B24)^('DCF Model'!C19+4)-'DCF Model'!C16)*1000000/'DCF Model'!C15,0),"")</f>
        <v>2807</v>
      </c>
      <c r="F24" s="37">
        <f>IFERROR(ROUND(('DCF Model'!C45/(1+$B24)^('DCF Model'!C19+0)+'DCF Model'!D45/(1+$B24)^('DCF Model'!C19+1)+'DCF Model'!E45/(1+$B24)^('DCF Model'!C19+2)+'DCF Model'!F45/(1+$B24)^('DCF Model'!C19+3)+'DCF Model'!G45/(1+$B24)^('DCF Model'!C19+4)+('DCF Model'!G39+'DCF Model'!G42)*F$17/(1+$B24)^('DCF Model'!C19+4)-'DCF Model'!C16)*1000000/'DCF Model'!C15,0),"")</f>
        <v>2997</v>
      </c>
      <c r="G24" s="37">
        <f>IFERROR(ROUND(('DCF Model'!C45/(1+$B24)^('DCF Model'!C19+0)+'DCF Model'!D45/(1+$B24)^('DCF Model'!C19+1)+'DCF Model'!E45/(1+$B24)^('DCF Model'!C19+2)+'DCF Model'!F45/(1+$B24)^('DCF Model'!C19+3)+'DCF Model'!G45/(1+$B24)^('DCF Model'!C19+4)+('DCF Model'!G39+'DCF Model'!G42)*G$17/(1+$B24)^('DCF Model'!C19+4)-'DCF Model'!C16)*1000000/'DCF Model'!C15,0),"")</f>
        <v>3187</v>
      </c>
      <c r="H24" s="37">
        <f>IFERROR(ROUND(('DCF Model'!C45/(1+$B24)^('DCF Model'!C19+0)+'DCF Model'!D45/(1+$B24)^('DCF Model'!C19+1)+'DCF Model'!E45/(1+$B24)^('DCF Model'!C19+2)+'DCF Model'!F45/(1+$B24)^('DCF Model'!C19+3)+'DCF Model'!G45/(1+$B24)^('DCF Model'!C19+4)+('DCF Model'!G39+'DCF Model'!G42)*H$17/(1+$B24)^('DCF Model'!C19+4)-'DCF Model'!C16)*1000000/'DCF Model'!C15,0),"")</f>
        <v>3378</v>
      </c>
      <c r="I24" s="37">
        <f>IFERROR(ROUND(('DCF Model'!C45/(1+$B24)^('DCF Model'!C19+0)+'DCF Model'!D45/(1+$B24)^('DCF Model'!C19+1)+'DCF Model'!E45/(1+$B24)^('DCF Model'!C19+2)+'DCF Model'!F45/(1+$B24)^('DCF Model'!C19+3)+'DCF Model'!G45/(1+$B24)^('DCF Model'!C19+4)+('DCF Model'!G39+'DCF Model'!G42)*I$17/(1+$B24)^('DCF Model'!C19+4)-'DCF Model'!C16)*1000000/'DCF Model'!C15,0),"")</f>
        <v>3568</v>
      </c>
    </row>
    <row r="26" spans="2:9" ht="14" customHeight="1" x14ac:dyDescent="0.3">
      <c r="B26" s="46" t="s">
        <v>239</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58"/>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240</v>
      </c>
    </row>
    <row r="4" spans="2:7" ht="14" customHeight="1" x14ac:dyDescent="0.3">
      <c r="B4" s="10" t="s">
        <v>241</v>
      </c>
      <c r="C4" s="10" t="s">
        <v>242</v>
      </c>
      <c r="D4" s="10" t="s">
        <v>243</v>
      </c>
      <c r="E4" s="10" t="s">
        <v>244</v>
      </c>
      <c r="F4" s="10" t="s">
        <v>245</v>
      </c>
      <c r="G4" s="10" t="s">
        <v>246</v>
      </c>
    </row>
    <row r="5" spans="2:7" x14ac:dyDescent="0.2">
      <c r="B5" t="s">
        <v>247</v>
      </c>
      <c r="C5" t="s">
        <v>248</v>
      </c>
      <c r="D5" t="s">
        <v>249</v>
      </c>
      <c r="E5" t="s">
        <v>250</v>
      </c>
      <c r="F5" t="s">
        <v>248</v>
      </c>
      <c r="G5" t="s">
        <v>251</v>
      </c>
    </row>
    <row r="6" spans="2:7" ht="30" customHeight="1" x14ac:dyDescent="0.3">
      <c r="B6" s="43" t="s">
        <v>247</v>
      </c>
      <c r="C6" s="4" t="s">
        <v>252</v>
      </c>
      <c r="D6" s="43" t="s">
        <v>253</v>
      </c>
      <c r="E6" s="43" t="s">
        <v>254</v>
      </c>
      <c r="F6" s="43" t="s">
        <v>255</v>
      </c>
      <c r="G6" s="43" t="s">
        <v>256</v>
      </c>
    </row>
    <row r="7" spans="2:7" ht="30" customHeight="1" x14ac:dyDescent="0.3">
      <c r="B7" s="43" t="s">
        <v>247</v>
      </c>
      <c r="C7" s="4" t="s">
        <v>257</v>
      </c>
      <c r="D7" s="43" t="s">
        <v>258</v>
      </c>
      <c r="E7" s="43" t="s">
        <v>259</v>
      </c>
      <c r="F7" s="43" t="s">
        <v>260</v>
      </c>
      <c r="G7" s="43" t="s">
        <v>261</v>
      </c>
    </row>
    <row r="8" spans="2:7" ht="30" customHeight="1" x14ac:dyDescent="0.3">
      <c r="B8" s="43" t="s">
        <v>247</v>
      </c>
      <c r="C8" s="4" t="s">
        <v>262</v>
      </c>
      <c r="D8" s="43" t="s">
        <v>263</v>
      </c>
      <c r="E8" s="43" t="s">
        <v>264</v>
      </c>
      <c r="F8" s="43" t="s">
        <v>265</v>
      </c>
      <c r="G8" s="43" t="s">
        <v>261</v>
      </c>
    </row>
    <row r="9" spans="2:7" ht="30" customHeight="1" x14ac:dyDescent="0.3">
      <c r="B9" s="43" t="s">
        <v>247</v>
      </c>
      <c r="C9" s="4" t="s">
        <v>266</v>
      </c>
      <c r="D9" s="43" t="s">
        <v>267</v>
      </c>
      <c r="E9" s="43" t="s">
        <v>268</v>
      </c>
      <c r="F9" s="43" t="s">
        <v>269</v>
      </c>
      <c r="G9" s="43" t="s">
        <v>261</v>
      </c>
    </row>
    <row r="10" spans="2:7" ht="30" customHeight="1" x14ac:dyDescent="0.3">
      <c r="B10" s="43" t="s">
        <v>247</v>
      </c>
      <c r="C10" s="4" t="s">
        <v>270</v>
      </c>
      <c r="D10" s="43" t="s">
        <v>271</v>
      </c>
      <c r="E10" s="43" t="s">
        <v>272</v>
      </c>
      <c r="F10" s="43" t="s">
        <v>273</v>
      </c>
      <c r="G10" s="43" t="s">
        <v>274</v>
      </c>
    </row>
    <row r="11" spans="2:7" ht="30" customHeight="1" x14ac:dyDescent="0.3">
      <c r="B11" s="43" t="s">
        <v>247</v>
      </c>
      <c r="C11" s="4" t="s">
        <v>275</v>
      </c>
      <c r="D11" s="43" t="s">
        <v>276</v>
      </c>
      <c r="E11" s="43" t="s">
        <v>277</v>
      </c>
      <c r="F11" s="43" t="s">
        <v>278</v>
      </c>
      <c r="G11" s="43" t="s">
        <v>261</v>
      </c>
    </row>
    <row r="12" spans="2:7" ht="30" customHeight="1" x14ac:dyDescent="0.3">
      <c r="B12" s="43" t="s">
        <v>247</v>
      </c>
      <c r="C12" s="4" t="s">
        <v>279</v>
      </c>
      <c r="D12" s="43" t="s">
        <v>280</v>
      </c>
      <c r="E12" s="43" t="s">
        <v>259</v>
      </c>
      <c r="F12" s="43" t="s">
        <v>281</v>
      </c>
      <c r="G12" s="43" t="s">
        <v>261</v>
      </c>
    </row>
    <row r="13" spans="2:7" ht="30" customHeight="1" x14ac:dyDescent="0.3">
      <c r="B13" s="43" t="s">
        <v>247</v>
      </c>
      <c r="C13" s="4" t="s">
        <v>282</v>
      </c>
      <c r="D13" s="43" t="s">
        <v>283</v>
      </c>
      <c r="E13" s="43" t="s">
        <v>284</v>
      </c>
      <c r="F13" s="43" t="s">
        <v>285</v>
      </c>
      <c r="G13" s="43" t="s">
        <v>261</v>
      </c>
    </row>
    <row r="14" spans="2:7" ht="30" customHeight="1" x14ac:dyDescent="0.3">
      <c r="B14" s="43" t="s">
        <v>247</v>
      </c>
      <c r="C14" s="4" t="s">
        <v>286</v>
      </c>
      <c r="D14" s="43" t="s">
        <v>287</v>
      </c>
      <c r="E14" s="43" t="s">
        <v>288</v>
      </c>
      <c r="F14" s="43" t="s">
        <v>289</v>
      </c>
      <c r="G14" s="43" t="s">
        <v>261</v>
      </c>
    </row>
    <row r="15" spans="2:7" ht="30" customHeight="1" x14ac:dyDescent="0.3">
      <c r="B15" s="43" t="s">
        <v>247</v>
      </c>
      <c r="C15" s="4" t="s">
        <v>290</v>
      </c>
      <c r="D15" s="43" t="s">
        <v>291</v>
      </c>
      <c r="E15" s="43" t="s">
        <v>292</v>
      </c>
      <c r="F15" s="43" t="s">
        <v>248</v>
      </c>
      <c r="G15" s="43" t="s">
        <v>293</v>
      </c>
    </row>
    <row r="16" spans="2:7" ht="30" customHeight="1" x14ac:dyDescent="0.3">
      <c r="B16" s="43" t="s">
        <v>247</v>
      </c>
      <c r="C16" s="4" t="s">
        <v>294</v>
      </c>
      <c r="D16" s="43" t="s">
        <v>295</v>
      </c>
      <c r="E16" s="43" t="s">
        <v>296</v>
      </c>
      <c r="F16" s="43" t="s">
        <v>248</v>
      </c>
      <c r="G16" s="43" t="s">
        <v>297</v>
      </c>
    </row>
    <row r="17" spans="2:7" ht="30" customHeight="1" x14ac:dyDescent="0.3">
      <c r="B17" s="43" t="s">
        <v>247</v>
      </c>
      <c r="C17" s="4" t="s">
        <v>298</v>
      </c>
      <c r="D17" s="43" t="s">
        <v>299</v>
      </c>
      <c r="E17" s="43" t="s">
        <v>300</v>
      </c>
      <c r="F17" s="43" t="s">
        <v>265</v>
      </c>
      <c r="G17" s="43" t="s">
        <v>261</v>
      </c>
    </row>
    <row r="18" spans="2:7" ht="30" customHeight="1" x14ac:dyDescent="0.3">
      <c r="B18" s="43" t="s">
        <v>247</v>
      </c>
      <c r="C18" s="4" t="s">
        <v>301</v>
      </c>
      <c r="D18" s="43" t="s">
        <v>302</v>
      </c>
      <c r="E18" s="43" t="s">
        <v>303</v>
      </c>
      <c r="F18" s="43" t="s">
        <v>248</v>
      </c>
      <c r="G18" s="43" t="s">
        <v>304</v>
      </c>
    </row>
    <row r="19" spans="2:7" ht="30" customHeight="1" x14ac:dyDescent="0.3">
      <c r="B19" s="43" t="s">
        <v>247</v>
      </c>
      <c r="C19" s="4" t="s">
        <v>305</v>
      </c>
      <c r="D19" s="43" t="s">
        <v>306</v>
      </c>
      <c r="E19" s="43" t="s">
        <v>307</v>
      </c>
      <c r="F19" s="43" t="s">
        <v>248</v>
      </c>
      <c r="G19" s="43" t="s">
        <v>308</v>
      </c>
    </row>
    <row r="20" spans="2:7" ht="30" customHeight="1" x14ac:dyDescent="0.3">
      <c r="B20" s="43" t="s">
        <v>247</v>
      </c>
      <c r="C20" s="4" t="s">
        <v>309</v>
      </c>
      <c r="D20" s="43" t="s">
        <v>310</v>
      </c>
      <c r="E20" s="43" t="s">
        <v>311</v>
      </c>
      <c r="F20" s="43" t="s">
        <v>248</v>
      </c>
      <c r="G20" s="43" t="s">
        <v>261</v>
      </c>
    </row>
    <row r="21" spans="2:7" ht="30" customHeight="1" x14ac:dyDescent="0.3">
      <c r="B21" s="43" t="s">
        <v>247</v>
      </c>
      <c r="C21" s="4" t="s">
        <v>312</v>
      </c>
      <c r="D21" s="43" t="s">
        <v>313</v>
      </c>
      <c r="E21" s="43" t="s">
        <v>314</v>
      </c>
      <c r="F21" s="43" t="s">
        <v>248</v>
      </c>
      <c r="G21" s="43" t="s">
        <v>256</v>
      </c>
    </row>
    <row r="22" spans="2:7" ht="30" customHeight="1" x14ac:dyDescent="0.3">
      <c r="B22" s="43" t="s">
        <v>247</v>
      </c>
      <c r="C22" s="4" t="s">
        <v>315</v>
      </c>
      <c r="D22" s="43" t="s">
        <v>316</v>
      </c>
      <c r="E22" s="43" t="s">
        <v>317</v>
      </c>
      <c r="F22" s="43" t="s">
        <v>248</v>
      </c>
      <c r="G22" s="43" t="s">
        <v>318</v>
      </c>
    </row>
    <row r="23" spans="2:7" ht="14" customHeight="1" x14ac:dyDescent="0.2"/>
    <row r="24" spans="2:7" ht="14" customHeight="1" x14ac:dyDescent="0.3">
      <c r="B24" s="8" t="s">
        <v>319</v>
      </c>
    </row>
    <row r="25" spans="2:7" ht="14" customHeight="1" x14ac:dyDescent="0.3">
      <c r="B25" s="10" t="s">
        <v>320</v>
      </c>
      <c r="C25" s="10" t="s">
        <v>321</v>
      </c>
    </row>
    <row r="26" spans="2:7" ht="14" customHeight="1" x14ac:dyDescent="0.3">
      <c r="B26" s="4" t="s">
        <v>322</v>
      </c>
      <c r="C26" t="s">
        <v>323</v>
      </c>
    </row>
    <row r="27" spans="2:7" ht="14" customHeight="1" x14ac:dyDescent="0.3">
      <c r="B27" s="4" t="s">
        <v>324</v>
      </c>
      <c r="C27" t="s">
        <v>325</v>
      </c>
    </row>
    <row r="28" spans="2:7" ht="14" customHeight="1" x14ac:dyDescent="0.3">
      <c r="B28" s="4" t="s">
        <v>326</v>
      </c>
      <c r="C28" t="s">
        <v>327</v>
      </c>
    </row>
    <row r="29" spans="2:7" ht="14" customHeight="1" x14ac:dyDescent="0.3">
      <c r="B29" s="4" t="s">
        <v>328</v>
      </c>
      <c r="C29" t="s">
        <v>329</v>
      </c>
    </row>
    <row r="30" spans="2:7" ht="14" customHeight="1" x14ac:dyDescent="0.3">
      <c r="B30" s="4" t="s">
        <v>330</v>
      </c>
      <c r="C30" t="s">
        <v>4</v>
      </c>
    </row>
    <row r="31" spans="2:7" ht="14" customHeight="1" x14ac:dyDescent="0.3">
      <c r="B31" s="4" t="s">
        <v>331</v>
      </c>
      <c r="C31" t="s">
        <v>247</v>
      </c>
    </row>
    <row r="32" spans="2:7" ht="14" customHeight="1" x14ac:dyDescent="0.3">
      <c r="B32" s="4" t="s">
        <v>332</v>
      </c>
      <c r="C32" t="s">
        <v>333</v>
      </c>
    </row>
    <row r="33" spans="2:3" ht="14" customHeight="1" x14ac:dyDescent="0.3">
      <c r="B33" s="4" t="s">
        <v>334</v>
      </c>
      <c r="C33" t="s">
        <v>335</v>
      </c>
    </row>
    <row r="34" spans="2:3" ht="14" customHeight="1" x14ac:dyDescent="0.3">
      <c r="B34" s="4" t="s">
        <v>336</v>
      </c>
      <c r="C34" t="s">
        <v>337</v>
      </c>
    </row>
    <row r="35" spans="2:3" ht="14" customHeight="1" x14ac:dyDescent="0.3">
      <c r="B35" s="4" t="s">
        <v>338</v>
      </c>
      <c r="C35" t="s">
        <v>339</v>
      </c>
    </row>
    <row r="36" spans="2:3" ht="14" customHeight="1" x14ac:dyDescent="0.3">
      <c r="B36" s="4" t="s">
        <v>340</v>
      </c>
      <c r="C36" t="s">
        <v>341</v>
      </c>
    </row>
    <row r="37" spans="2:3" ht="14" customHeight="1" x14ac:dyDescent="0.3">
      <c r="B37" s="4" t="s">
        <v>342</v>
      </c>
      <c r="C37" t="s">
        <v>337</v>
      </c>
    </row>
    <row r="38" spans="2:3" ht="14" customHeight="1" x14ac:dyDescent="0.3">
      <c r="B38" s="4" t="s">
        <v>343</v>
      </c>
      <c r="C38" t="s">
        <v>333</v>
      </c>
    </row>
    <row r="39" spans="2:3" ht="14" customHeight="1" x14ac:dyDescent="0.3">
      <c r="B39" s="4" t="s">
        <v>344</v>
      </c>
      <c r="C39" t="s">
        <v>345</v>
      </c>
    </row>
    <row r="40" spans="2:3" ht="14" customHeight="1" x14ac:dyDescent="0.3">
      <c r="B40" s="4" t="s">
        <v>346</v>
      </c>
      <c r="C40" t="s">
        <v>347</v>
      </c>
    </row>
    <row r="41" spans="2:3" ht="14" customHeight="1" x14ac:dyDescent="0.3">
      <c r="B41" s="4" t="s">
        <v>348</v>
      </c>
      <c r="C41" t="s">
        <v>349</v>
      </c>
    </row>
    <row r="42" spans="2:3" ht="14" customHeight="1" x14ac:dyDescent="0.3">
      <c r="B42" s="4" t="s">
        <v>350</v>
      </c>
      <c r="C42" t="s">
        <v>325</v>
      </c>
    </row>
    <row r="43" spans="2:3" ht="14" customHeight="1" x14ac:dyDescent="0.3">
      <c r="B43" s="4" t="s">
        <v>351</v>
      </c>
      <c r="C43" t="s">
        <v>325</v>
      </c>
    </row>
    <row r="44" spans="2:3" ht="14" customHeight="1" x14ac:dyDescent="0.3">
      <c r="B44" s="4" t="s">
        <v>352</v>
      </c>
      <c r="C44" t="s">
        <v>353</v>
      </c>
    </row>
    <row r="45" spans="2:3" ht="14" customHeight="1" x14ac:dyDescent="0.3">
      <c r="B45" s="4" t="s">
        <v>354</v>
      </c>
      <c r="C45" t="s">
        <v>355</v>
      </c>
    </row>
    <row r="46" spans="2:3" ht="14" customHeight="1" x14ac:dyDescent="0.3">
      <c r="B46" s="4" t="s">
        <v>356</v>
      </c>
      <c r="C46" t="s">
        <v>357</v>
      </c>
    </row>
    <row r="47" spans="2:3" ht="14" x14ac:dyDescent="0.3">
      <c r="B47" s="4" t="s">
        <v>358</v>
      </c>
      <c r="C47" t="s">
        <v>359</v>
      </c>
    </row>
    <row r="48" spans="2:3" ht="14" x14ac:dyDescent="0.3">
      <c r="B48" s="4" t="s">
        <v>360</v>
      </c>
      <c r="C48" t="s">
        <v>361</v>
      </c>
    </row>
    <row r="49" spans="2:3" ht="14" x14ac:dyDescent="0.3">
      <c r="B49" s="4" t="s">
        <v>362</v>
      </c>
      <c r="C49" t="s">
        <v>363</v>
      </c>
    </row>
    <row r="50" spans="2:3" ht="14" x14ac:dyDescent="0.3">
      <c r="B50" s="4" t="s">
        <v>364</v>
      </c>
      <c r="C50" t="s">
        <v>365</v>
      </c>
    </row>
    <row r="51" spans="2:3" ht="14" x14ac:dyDescent="0.3">
      <c r="B51" s="4" t="s">
        <v>366</v>
      </c>
      <c r="C51" t="s">
        <v>367</v>
      </c>
    </row>
    <row r="52" spans="2:3" ht="14" x14ac:dyDescent="0.3">
      <c r="B52" s="4" t="s">
        <v>368</v>
      </c>
      <c r="C52" t="s">
        <v>369</v>
      </c>
    </row>
    <row r="53" spans="2:3" ht="14" x14ac:dyDescent="0.3">
      <c r="B53" s="4" t="s">
        <v>370</v>
      </c>
      <c r="C53" t="s">
        <v>371</v>
      </c>
    </row>
    <row r="54" spans="2:3" ht="14" x14ac:dyDescent="0.3">
      <c r="B54" s="4" t="s">
        <v>372</v>
      </c>
      <c r="C54" t="s">
        <v>373</v>
      </c>
    </row>
    <row r="55" spans="2:3" ht="14" x14ac:dyDescent="0.3">
      <c r="B55" s="4" t="s">
        <v>374</v>
      </c>
      <c r="C55" t="s">
        <v>375</v>
      </c>
    </row>
    <row r="56" spans="2:3" ht="14" x14ac:dyDescent="0.3">
      <c r="B56" s="4" t="s">
        <v>376</v>
      </c>
      <c r="C56" t="s">
        <v>377</v>
      </c>
    </row>
    <row r="57" spans="2:3" ht="14" x14ac:dyDescent="0.3">
      <c r="B57" s="4" t="s">
        <v>378</v>
      </c>
      <c r="C57" t="s">
        <v>379</v>
      </c>
    </row>
    <row r="58" spans="2:3" ht="14" x14ac:dyDescent="0.3">
      <c r="B58" s="4" t="s">
        <v>380</v>
      </c>
      <c r="C58" t="s">
        <v>208</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2026-09-05T03:40:53Z</dcterms:created>
  <dcterms:modified xsi:type="dcterms:W3CDTF">2026-09-05T04:04:19Z</dcterms:modified>
</cp:coreProperties>
</file>