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54B51FBC-6076-4AC2-AFE1-957E9668A440}" xr6:coauthVersionLast="47" xr6:coauthVersionMax="47" xr10:uidLastSave="{00000000-0000-0000-0000-000000000000}"/>
  <bookViews>
    <workbookView xWindow="9720" yWindow="5480" windowWidth="4820" windowHeight="46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10" i="6"/>
  <c r="N10" i="6"/>
  <c r="M10" i="6"/>
  <c r="K10" i="6"/>
  <c r="J10" i="6"/>
  <c r="O9" i="6"/>
  <c r="N9" i="6"/>
  <c r="M9" i="6"/>
  <c r="L9" i="6"/>
  <c r="K9" i="6"/>
  <c r="J9" i="6"/>
  <c r="O8" i="6"/>
  <c r="N8" i="6"/>
  <c r="M8" i="6"/>
  <c r="L8" i="6"/>
  <c r="K8" i="6"/>
  <c r="J8" i="6"/>
  <c r="O7" i="6"/>
  <c r="N7" i="6"/>
  <c r="H16" i="6" s="1"/>
  <c r="M7" i="6"/>
  <c r="L7" i="6"/>
  <c r="K7" i="6"/>
  <c r="J7" i="6"/>
  <c r="O6" i="6"/>
  <c r="N6" i="6"/>
  <c r="M6" i="6"/>
  <c r="L6" i="6"/>
  <c r="F16" i="6" s="1"/>
  <c r="C28" i="6" s="1"/>
  <c r="C19" i="1" s="1"/>
  <c r="D19" i="1" s="1"/>
  <c r="K6" i="6"/>
  <c r="E15" i="6" s="1"/>
  <c r="J6" i="6"/>
  <c r="O5" i="6"/>
  <c r="N5" i="6"/>
  <c r="D5" i="6"/>
  <c r="E5" i="6" s="1"/>
  <c r="C16" i="5"/>
  <c r="C14" i="5"/>
  <c r="C18" i="5" s="1"/>
  <c r="C7" i="5"/>
  <c r="C6" i="5"/>
  <c r="C5" i="5"/>
  <c r="C13" i="4"/>
  <c r="C12" i="4"/>
  <c r="C9" i="4"/>
  <c r="C7" i="4"/>
  <c r="C6" i="4"/>
  <c r="C8" i="4" s="1"/>
  <c r="C10" i="4" s="1"/>
  <c r="D27" i="3"/>
  <c r="H6" i="5" s="1"/>
  <c r="C25" i="3"/>
  <c r="C24" i="3"/>
  <c r="C23" i="3"/>
  <c r="D28" i="2"/>
  <c r="C28" i="2"/>
  <c r="D23" i="2"/>
  <c r="C23" i="2"/>
  <c r="C22" i="2"/>
  <c r="D21" i="2"/>
  <c r="D22" i="2" s="1"/>
  <c r="C21" i="2"/>
  <c r="F16" i="2"/>
  <c r="E16" i="2"/>
  <c r="D16" i="2"/>
  <c r="F15" i="2"/>
  <c r="E15" i="2"/>
  <c r="D15" i="2"/>
  <c r="F14" i="2"/>
  <c r="E14" i="2"/>
  <c r="D14" i="2"/>
  <c r="C14" i="2"/>
  <c r="F13" i="2"/>
  <c r="E13" i="2"/>
  <c r="D13" i="2"/>
  <c r="C13" i="2"/>
  <c r="D9" i="2"/>
  <c r="F8" i="2"/>
  <c r="F9" i="2" s="1"/>
  <c r="E8" i="2"/>
  <c r="E9" i="2" s="1"/>
  <c r="D8" i="2"/>
  <c r="C8" i="2"/>
  <c r="C9" i="2" s="1"/>
  <c r="G15" i="6" l="1"/>
  <c r="H15" i="6"/>
  <c r="F15" i="6"/>
  <c r="I16" i="6"/>
  <c r="C26" i="3"/>
  <c r="F46" i="3" s="1"/>
  <c r="D17" i="6"/>
  <c r="C3" i="7"/>
  <c r="F36" i="4"/>
  <c r="D36" i="4"/>
  <c r="D46" i="3"/>
  <c r="H36" i="4"/>
  <c r="G36" i="4"/>
  <c r="C71" i="4"/>
  <c r="C70" i="4"/>
  <c r="K5" i="6"/>
  <c r="J5" i="6"/>
  <c r="E31" i="3"/>
  <c r="G5" i="5"/>
  <c r="I15" i="6"/>
  <c r="E17" i="6"/>
  <c r="I6" i="7"/>
  <c r="C31" i="3"/>
  <c r="C30" i="3"/>
  <c r="C33" i="3" s="1"/>
  <c r="F31" i="3"/>
  <c r="H5" i="5"/>
  <c r="D7" i="5"/>
  <c r="D16" i="6"/>
  <c r="F17" i="6"/>
  <c r="C17" i="7"/>
  <c r="D30" i="3"/>
  <c r="G31" i="3"/>
  <c r="E7" i="5"/>
  <c r="L5" i="6"/>
  <c r="E16" i="6"/>
  <c r="G17" i="6"/>
  <c r="C6" i="7"/>
  <c r="D17" i="7"/>
  <c r="G30" i="3"/>
  <c r="F6" i="5"/>
  <c r="E30" i="3"/>
  <c r="C32" i="3"/>
  <c r="D6" i="5"/>
  <c r="F7" i="5"/>
  <c r="M5" i="6"/>
  <c r="D15" i="6"/>
  <c r="H17" i="6"/>
  <c r="D6" i="7"/>
  <c r="E17" i="7"/>
  <c r="D5" i="5"/>
  <c r="F30" i="3"/>
  <c r="D32" i="3"/>
  <c r="E6" i="5"/>
  <c r="G7" i="5"/>
  <c r="G16" i="6"/>
  <c r="I17" i="6"/>
  <c r="E6" i="7"/>
  <c r="F17" i="7"/>
  <c r="F6" i="7"/>
  <c r="G17" i="7"/>
  <c r="E5" i="5"/>
  <c r="G6" i="5"/>
  <c r="G6" i="7"/>
  <c r="H17" i="7"/>
  <c r="E32" i="3"/>
  <c r="H7" i="5"/>
  <c r="F32" i="3"/>
  <c r="D31" i="3"/>
  <c r="G32" i="3"/>
  <c r="F5" i="5"/>
  <c r="C46" i="3" l="1"/>
  <c r="E36" i="4"/>
  <c r="G46" i="3"/>
  <c r="E46" i="3"/>
  <c r="C11" i="4"/>
  <c r="C24" i="4" s="1"/>
  <c r="C25" i="4" s="1"/>
  <c r="C29" i="4" s="1"/>
  <c r="G40" i="4"/>
  <c r="G50" i="4" s="1"/>
  <c r="G55" i="4" s="1"/>
  <c r="G44" i="4"/>
  <c r="G41" i="4"/>
  <c r="G51" i="4" s="1"/>
  <c r="G56" i="4" s="1"/>
  <c r="G45" i="4"/>
  <c r="G38" i="4"/>
  <c r="G39" i="4"/>
  <c r="G43" i="4"/>
  <c r="G46" i="4"/>
  <c r="F46" i="4"/>
  <c r="F40" i="4"/>
  <c r="F50" i="4" s="1"/>
  <c r="F55" i="4" s="1"/>
  <c r="F38" i="4"/>
  <c r="F48" i="4" s="1"/>
  <c r="F53" i="4" s="1"/>
  <c r="F41" i="4"/>
  <c r="F44" i="4"/>
  <c r="F45" i="4"/>
  <c r="F39" i="4"/>
  <c r="F43" i="4"/>
  <c r="H44" i="4"/>
  <c r="H38" i="4"/>
  <c r="H48" i="4" s="1"/>
  <c r="H53" i="4" s="1"/>
  <c r="H45" i="4"/>
  <c r="H41" i="4"/>
  <c r="H39" i="4"/>
  <c r="H43" i="4"/>
  <c r="H46" i="4"/>
  <c r="H40" i="4"/>
  <c r="B13" i="7"/>
  <c r="B12" i="7"/>
  <c r="B11" i="7"/>
  <c r="B10" i="7"/>
  <c r="B9" i="7"/>
  <c r="B8" i="7"/>
  <c r="B7" i="7"/>
  <c r="B24" i="7"/>
  <c r="B23" i="7"/>
  <c r="B22" i="7"/>
  <c r="B21" i="7"/>
  <c r="B20" i="7"/>
  <c r="B19" i="7"/>
  <c r="B18" i="7"/>
  <c r="C27" i="4"/>
  <c r="C26" i="4"/>
  <c r="D9" i="5"/>
  <c r="D12" i="5" s="1"/>
  <c r="C37" i="3"/>
  <c r="C42" i="3"/>
  <c r="C34" i="3"/>
  <c r="D10" i="5" s="1"/>
  <c r="C35" i="3"/>
  <c r="D33" i="3"/>
  <c r="D39" i="4"/>
  <c r="D49" i="4" s="1"/>
  <c r="D54" i="4" s="1"/>
  <c r="D46" i="4"/>
  <c r="D43" i="4"/>
  <c r="D40" i="4"/>
  <c r="D44" i="4"/>
  <c r="D38" i="4"/>
  <c r="D41" i="4"/>
  <c r="D45" i="4"/>
  <c r="E43" i="4"/>
  <c r="E40" i="4"/>
  <c r="E50" i="4" s="1"/>
  <c r="E55" i="4" s="1"/>
  <c r="E46" i="4"/>
  <c r="E44" i="4"/>
  <c r="E38" i="4"/>
  <c r="E41" i="4"/>
  <c r="E45" i="4"/>
  <c r="E39" i="4"/>
  <c r="C27" i="6"/>
  <c r="C18" i="1" s="1"/>
  <c r="D18" i="1" s="1"/>
  <c r="C74" i="4"/>
  <c r="E49" i="4" l="1"/>
  <c r="E54" i="4" s="1"/>
  <c r="D48" i="4"/>
  <c r="D53" i="4" s="1"/>
  <c r="G48" i="4"/>
  <c r="G53" i="4" s="1"/>
  <c r="E51" i="4"/>
  <c r="E56" i="4" s="1"/>
  <c r="D51" i="4"/>
  <c r="D56" i="4" s="1"/>
  <c r="C36" i="3"/>
  <c r="C39" i="3"/>
  <c r="C38" i="3"/>
  <c r="H50" i="4"/>
  <c r="H55" i="4" s="1"/>
  <c r="E9" i="5"/>
  <c r="E12" i="5" s="1"/>
  <c r="D42" i="3"/>
  <c r="D37" i="3"/>
  <c r="D34" i="3"/>
  <c r="E10" i="5" s="1"/>
  <c r="E33" i="3"/>
  <c r="D13" i="5"/>
  <c r="D14" i="5" s="1"/>
  <c r="D15" i="5"/>
  <c r="D16" i="5" s="1"/>
  <c r="F49" i="4"/>
  <c r="G49" i="4"/>
  <c r="G54" i="4" s="1"/>
  <c r="D50" i="4"/>
  <c r="D55" i="4" s="1"/>
  <c r="H49" i="4"/>
  <c r="H54" i="4" s="1"/>
  <c r="E48" i="4"/>
  <c r="E53" i="4" s="1"/>
  <c r="H51" i="4"/>
  <c r="H56" i="4" s="1"/>
  <c r="F51" i="4"/>
  <c r="F56" i="4" s="1"/>
  <c r="D18" i="5" l="1"/>
  <c r="D19" i="5" s="1"/>
  <c r="C44" i="3" s="1"/>
  <c r="F54" i="4"/>
  <c r="B78" i="4" s="1"/>
  <c r="C60" i="4"/>
  <c r="C40" i="3"/>
  <c r="C41" i="3" s="1"/>
  <c r="C45" i="3" s="1"/>
  <c r="D35" i="3"/>
  <c r="E13" i="5"/>
  <c r="E14" i="5" s="1"/>
  <c r="E15" i="5"/>
  <c r="E16" i="5" s="1"/>
  <c r="E42" i="3"/>
  <c r="E34" i="3"/>
  <c r="F10" i="5" s="1"/>
  <c r="E35" i="3"/>
  <c r="F33" i="3"/>
  <c r="E37" i="3"/>
  <c r="F9" i="5"/>
  <c r="F12" i="5" s="1"/>
  <c r="E18" i="5" l="1"/>
  <c r="E19" i="5" s="1"/>
  <c r="D44" i="3" s="1"/>
  <c r="C47" i="3"/>
  <c r="D39" i="3"/>
  <c r="D38" i="3"/>
  <c r="D36" i="3"/>
  <c r="F37" i="3"/>
  <c r="G33" i="3"/>
  <c r="G9" i="5"/>
  <c r="G12" i="5" s="1"/>
  <c r="F42" i="3"/>
  <c r="F34" i="3"/>
  <c r="G10" i="5" s="1"/>
  <c r="E38" i="3"/>
  <c r="E36" i="3"/>
  <c r="E39" i="3"/>
  <c r="F13" i="5"/>
  <c r="F14" i="5" s="1"/>
  <c r="F18" i="5" s="1"/>
  <c r="F19" i="5" s="1"/>
  <c r="E44" i="3" s="1"/>
  <c r="F15" i="5"/>
  <c r="F16" i="5" s="1"/>
  <c r="C65" i="4"/>
  <c r="D65" i="4" s="1"/>
  <c r="C64" i="4"/>
  <c r="D64" i="4" s="1"/>
  <c r="C67" i="4"/>
  <c r="D67" i="4" s="1"/>
  <c r="C63" i="4"/>
  <c r="D63" i="4" s="1"/>
  <c r="C66" i="4"/>
  <c r="D66" i="4" s="1"/>
  <c r="F35" i="3" l="1"/>
  <c r="C16" i="4"/>
  <c r="C28" i="4" s="1"/>
  <c r="H9" i="5"/>
  <c r="H12" i="5" s="1"/>
  <c r="G42" i="3"/>
  <c r="G34" i="3"/>
  <c r="H10" i="5" s="1"/>
  <c r="G37" i="3"/>
  <c r="E40" i="3"/>
  <c r="E41" i="3" s="1"/>
  <c r="E45" i="3" s="1"/>
  <c r="E47" i="3" s="1"/>
  <c r="G15" i="5"/>
  <c r="G16" i="5" s="1"/>
  <c r="G13" i="5"/>
  <c r="D40" i="3"/>
  <c r="D41" i="3"/>
  <c r="D45" i="3" s="1"/>
  <c r="G14" i="5"/>
  <c r="G18" i="5" l="1"/>
  <c r="G19" i="5" s="1"/>
  <c r="F44" i="3" s="1"/>
  <c r="H15" i="5"/>
  <c r="H16" i="5" s="1"/>
  <c r="H13" i="5"/>
  <c r="D47" i="3"/>
  <c r="C72" i="4"/>
  <c r="C73" i="4"/>
  <c r="H14" i="5"/>
  <c r="H18" i="5" s="1"/>
  <c r="H19" i="5" s="1"/>
  <c r="G44" i="3" s="1"/>
  <c r="G35" i="3"/>
  <c r="F38" i="3"/>
  <c r="F36" i="3"/>
  <c r="F39" i="3"/>
  <c r="F40" i="3" l="1"/>
  <c r="F41" i="3" s="1"/>
  <c r="F45" i="3" s="1"/>
  <c r="G38" i="3"/>
  <c r="G36" i="3"/>
  <c r="G39" i="3"/>
  <c r="F47" i="3" l="1"/>
  <c r="G40" i="3"/>
  <c r="G41" i="3" s="1"/>
  <c r="G45" i="3" s="1"/>
  <c r="C59" i="3"/>
  <c r="C60" i="3" s="1"/>
  <c r="C61" i="3" s="1"/>
  <c r="G23" i="7" l="1"/>
  <c r="H8" i="7"/>
  <c r="H22" i="7"/>
  <c r="E10" i="7"/>
  <c r="G13" i="7"/>
  <c r="H13" i="7"/>
  <c r="I13" i="7"/>
  <c r="I21" i="7"/>
  <c r="C18" i="7"/>
  <c r="E23" i="7"/>
  <c r="H10" i="7"/>
  <c r="C23" i="7"/>
  <c r="D23" i="7"/>
  <c r="C21" i="7"/>
  <c r="E18" i="7"/>
  <c r="C24" i="7"/>
  <c r="I22" i="7"/>
  <c r="D18" i="7"/>
  <c r="E19" i="7"/>
  <c r="G20" i="7"/>
  <c r="F8" i="7"/>
  <c r="C7" i="7"/>
  <c r="E9" i="7"/>
  <c r="F12" i="7"/>
  <c r="E13" i="7"/>
  <c r="F21" i="7"/>
  <c r="I20" i="7"/>
  <c r="D8" i="7"/>
  <c r="E12" i="7"/>
  <c r="G21" i="7"/>
  <c r="F9" i="7"/>
  <c r="D13" i="7"/>
  <c r="D21" i="7"/>
  <c r="E20" i="7"/>
  <c r="C20" i="7"/>
  <c r="I18" i="7"/>
  <c r="H21" i="7"/>
  <c r="G18" i="7"/>
  <c r="F23" i="7"/>
  <c r="G22" i="7"/>
  <c r="G8" i="7"/>
  <c r="I24" i="7"/>
  <c r="D10" i="7"/>
  <c r="F19" i="7"/>
  <c r="H24" i="7"/>
  <c r="F10" i="7"/>
  <c r="D24" i="7"/>
  <c r="F7" i="7"/>
  <c r="I8" i="7"/>
  <c r="H20" i="7"/>
  <c r="I12" i="7"/>
  <c r="F11" i="7"/>
  <c r="C9" i="7"/>
  <c r="F13" i="7"/>
  <c r="G19" i="7"/>
  <c r="C22" i="7"/>
  <c r="C13" i="7"/>
  <c r="E24" i="7"/>
  <c r="H19" i="7"/>
  <c r="H11" i="7"/>
  <c r="D19" i="7"/>
  <c r="C19" i="7"/>
  <c r="C51" i="3"/>
  <c r="C52" i="3" s="1"/>
  <c r="G47" i="3"/>
  <c r="C50" i="3" s="1"/>
  <c r="E7" i="7"/>
  <c r="E8" i="7"/>
  <c r="D7" i="7"/>
  <c r="D20" i="7"/>
  <c r="H18" i="7"/>
  <c r="G12" i="7"/>
  <c r="G24" i="7"/>
  <c r="I10" i="7"/>
  <c r="E22" i="7"/>
  <c r="F18" i="7"/>
  <c r="H9" i="7"/>
  <c r="I23" i="7"/>
  <c r="D9" i="7"/>
  <c r="G10" i="7"/>
  <c r="I7" i="7"/>
  <c r="H12" i="7"/>
  <c r="G9" i="7"/>
  <c r="F22" i="7"/>
  <c r="I19" i="7"/>
  <c r="E11" i="7"/>
  <c r="G11" i="7"/>
  <c r="D11" i="7"/>
  <c r="C11" i="7"/>
  <c r="F24" i="7"/>
  <c r="I9" i="7"/>
  <c r="E21" i="7"/>
  <c r="I11" i="7"/>
  <c r="F20" i="7"/>
  <c r="D12" i="7"/>
  <c r="G7" i="7"/>
  <c r="D22" i="7"/>
  <c r="C12" i="7"/>
  <c r="C10" i="7"/>
  <c r="C8" i="7"/>
  <c r="H7" i="7"/>
  <c r="H23" i="7"/>
  <c r="C58" i="3" l="1"/>
  <c r="C62" i="3" s="1"/>
  <c r="C53" i="3"/>
  <c r="C17" i="4" l="1"/>
  <c r="C54" i="3"/>
  <c r="C55" i="3" s="1"/>
  <c r="C16" i="1" s="1"/>
  <c r="C63" i="3"/>
  <c r="C64" i="3" s="1"/>
  <c r="C17" i="1" s="1"/>
  <c r="D17" i="1" s="1"/>
  <c r="D16" i="1" l="1"/>
  <c r="C21" i="1"/>
  <c r="C10" i="1"/>
  <c r="C12" i="1" s="1"/>
  <c r="C11" i="1" s="1"/>
  <c r="C19" i="4"/>
  <c r="C20" i="4" s="1"/>
  <c r="B79" i="4" s="1"/>
</calcChain>
</file>

<file path=xl/sharedStrings.xml><?xml version="1.0" encoding="utf-8"?>
<sst xmlns="http://schemas.openxmlformats.org/spreadsheetml/2006/main" count="508" uniqueCount="396">
  <si>
    <t>DISCLAIMER: This is a sample analysis for demonstration purposes only. It does not constitute investment advice.</t>
  </si>
  <si>
    <t>ニトリホールディングス (9843.T)</t>
  </si>
  <si>
    <t>Equity Research Report</t>
  </si>
  <si>
    <t>Company</t>
  </si>
  <si>
    <t>ニトリホールディングス</t>
  </si>
  <si>
    <t>Ticker</t>
  </si>
  <si>
    <t>9843.T (TSE Prime)</t>
  </si>
  <si>
    <t>Sector</t>
  </si>
  <si>
    <t>小売業</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</si>
  <si>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</si>
  <si>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</si>
  <si>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</si>
  <si>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</si>
  <si>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</si>
  <si>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</si>
  <si>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</si>
  <si>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</si>
  <si>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</si>
  <si>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</si>
  <si>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</si>
  <si>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</si>
  <si>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</si>
  <si>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</si>
  <si>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</si>
  <si>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1. [Edit] Describe key competitive advantage</t>
  </si>
  <si>
    <t>2. [Edit] Describe growth driver</t>
  </si>
  <si>
    <t>3. [Edit] Describe margin expansion opportunity</t>
  </si>
  <si>
    <t>Key Risks</t>
  </si>
  <si>
    <t>1. [Edit] Describe primary risk factor</t>
  </si>
  <si>
    <t>2. [Edit] Describe secondary risk factor</t>
  </si>
  <si>
    <t>3. [Edit] Describe tertiary risk factor</t>
  </si>
  <si>
    <t>ニトリホールディングス - Historical Financials (JPY mn)</t>
  </si>
  <si>
    <t>FY2022</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</si>
  <si>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</si>
  <si>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</si>
  <si>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</si>
  <si>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</si>
  <si>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</si>
  <si>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</si>
  <si>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</si>
  <si>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</si>
  <si>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</si>
  <si>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</si>
  <si>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</si>
  <si>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</si>
  <si>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</si>
  <si>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</si>
  <si>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</si>
  <si>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</si>
  <si>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</si>
  <si>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</si>
  <si>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</si>
  <si>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</si>
  <si>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</si>
  <si>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</si>
  <si>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</si>
  <si>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</si>
  <si>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</si>
  <si>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</si>
  <si>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2/4 — blank cells are years with no year-key match in the source data (verify against 決算短信 or set hist_ocf / hist_cash / hist_debt in overrides).</t>
  </si>
  <si>
    <t>DCF Valuation Model - ニトリホールディングス</t>
  </si>
  <si>
    <t>Assumptions</t>
  </si>
  <si>
    <t>Capex / Revenue (hist 3yr avg,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</si>
  <si>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</si>
  <si>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</si>
  <si>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</si>
  <si>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</si>
  <si>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</si>
  <si>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</si>
  <si>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</si>
  <si>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</si>
  <si>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</si>
  <si>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</si>
  <si>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</si>
  <si>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</si>
  <si>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</si>
  <si>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</si>
  <si>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</si>
  <si>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</si>
  <si>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</si>
  <si>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</si>
  <si>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</si>
  <si>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</si>
  <si>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</si>
  <si>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</si>
  <si>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</si>
  <si>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</si>
  <si>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</si>
  <si>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</si>
  <si>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</si>
  <si>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</si>
  <si>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</si>
  <si>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</si>
  <si>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</si>
  <si>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</si>
  <si>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</si>
  <si>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</si>
  <si>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</si>
  <si>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</si>
  <si>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</si>
  <si>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</si>
  <si>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</si>
  <si>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</si>
  <si>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</si>
  <si>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</si>
  <si>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</si>
  <si>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</si>
  <si>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</si>
  <si>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</si>
  <si>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</si>
  <si>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</si>
  <si>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</si>
  <si>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</si>
  <si>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</si>
  <si>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</si>
  <si>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</si>
  <si>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</si>
  <si>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</si>
  <si>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</si>
  <si>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</si>
  <si>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</si>
  <si>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</si>
  <si>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</si>
  <si>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</si>
  <si>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</si>
  <si>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ニトリホールディングス (9843.T)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</si>
  <si>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</si>
  <si>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</si>
  <si>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</si>
  <si>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</si>
  <si>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</si>
  <si>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</si>
  <si>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</si>
  <si>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</si>
  <si>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</si>
  <si>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(FY2022 actual)</t>
  </si>
  <si>
    <t>Terminal-year Revenue, active scenario (JPY mn)</t>
  </si>
  <si>
    <t>Base-case DCF Enterprise Value, PGM (JPY mn)</t>
  </si>
  <si>
    <t>Cycle-peak Operating Margin (FY2022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</si>
  <si>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</si>
  <si>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</si>
  <si>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</si>
  <si>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</si>
  <si>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</si>
  <si>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</si>
  <si>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FY2022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</si>
  <si>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</si>
  <si>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</si>
  <si>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</si>
  <si>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</si>
  <si>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</si>
  <si>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</si>
  <si>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</si>
  <si>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</si>
  <si>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</si>
  <si>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</si>
  <si>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</si>
  <si>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</si>
  <si>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</si>
  <si>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</si>
  <si>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</si>
  <si>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FY2022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</si>
  <si>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</si>
  <si>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</si>
  <si>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</si>
  <si>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</si>
  <si>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</si>
  <si>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</si>
  <si>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(FY2022)</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</si>
  <si>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</si>
  <si>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</si>
  <si>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</si>
  <si>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</si>
  <si>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</si>
  <si>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</si>
  <si>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</si>
  <si>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</si>
  <si>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ニトリホールディングス</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</si>
  <si>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</si>
  <si>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</si>
  <si>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</si>
  <si>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</si>
  <si>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</si>
  <si>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</si>
  <si>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</si>
  <si>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</si>
  <si>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</si>
  <si>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</si>
  <si>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</si>
  <si>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</si>
  <si>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</si>
  <si>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</si>
  <si>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</si>
  <si>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</si>
  <si>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</si>
  <si>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</si>
  <si>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</si>
  <si>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</si>
  <si>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</si>
  <si>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</si>
  <si>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</si>
  <si>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</si>
  <si>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</si>
  <si>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</si>
  <si>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</si>
  <si>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</si>
  <si>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</si>
  <si>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</si>
  <si>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</si>
  <si>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</si>
  <si>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</si>
  <si>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</si>
  <si>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Nitori Holdings Co., Ltd.</t>
  </si>
  <si>
    <t>9843.T</t>
  </si>
  <si>
    <t>Fast Retailing Co., Ltd.</t>
  </si>
  <si>
    <t>9983.T</t>
  </si>
  <si>
    <t>Ryohin Keikaku Co., Ltd.</t>
  </si>
  <si>
    <t>7453.T</t>
  </si>
  <si>
    <t>ABC-Mart,Inc.</t>
  </si>
  <si>
    <t>2670.T</t>
  </si>
  <si>
    <t>J. Front Retailing Co., Ltd.</t>
  </si>
  <si>
    <t>3086.T</t>
  </si>
  <si>
    <t>Takashimaya Company, Limited</t>
  </si>
  <si>
    <t>8233.T</t>
  </si>
  <si>
    <t>N/A</t>
  </si>
  <si>
    <t>Statistics</t>
  </si>
  <si>
    <t>25th Percentile</t>
  </si>
  <si>
    <t>Median (50th)</t>
  </si>
  <si>
    <t>75th Percentile</t>
  </si>
  <si>
    <t>Implied Valuation for ニトリホールディングス</t>
  </si>
  <si>
    <t>ニトリホールディングス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</si>
  <si>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</si>
  <si>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</si>
  <si>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</si>
  <si>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</si>
  <si>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</si>
  <si>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</si>
  <si>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</si>
  <si>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</si>
  <si>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</si>
  <si>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</si>
  <si>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</si>
  <si>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</si>
  <si>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</si>
  <si>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</si>
  <si>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</si>
  <si>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ニトリホールディングス</t>
  </si>
  <si>
    <t>日付</t>
  </si>
  <si>
    <t>セル</t>
  </si>
  <si>
    <t>変更内容</t>
  </si>
  <si>
    <t>理由</t>
  </si>
  <si>
    <t>元の値</t>
  </si>
  <si>
    <t>状態</t>
  </si>
  <si>
    <t>2026-09-06</t>
  </si>
  <si>
    <t>-</t>
  </si>
  <si>
    <t>Generated by pipeline on 2026-09-06 12:51, template rev c9b5dd9</t>
  </si>
  <si>
    <t>初期生成（手修正なし）</t>
  </si>
  <si>
    <t>generated</t>
  </si>
  <si>
    <t>2026-09-05</t>
  </si>
  <si>
    <t>DCF Model!C7</t>
  </si>
  <si>
    <t>Risk-Free Rate = 2.97%</t>
  </si>
  <si>
    <t>財務省 国債金利情報 jgbcm.csv 10年物 R8.9.3(2026-09-03) 2.966% を四捨五入。バッチ全銘柄共通の一次ソース。yfinance は日本国債利回りを返さないため使用しない。</t>
  </si>
  <si>
    <t>テンプレ既定 2.2%</t>
  </si>
  <si>
    <t>確定</t>
  </si>
  <si>
    <t>DCF Model!C9</t>
  </si>
  <si>
    <t>Equity Risk Premium = 6.5%</t>
  </si>
  <si>
    <t>バッチ共通の固定前提(v2 §1-3)。銘柄固有の調整はしていない。</t>
  </si>
  <si>
    <t>テンプレ既定 6.5%(同値)</t>
  </si>
  <si>
    <t>設計判断</t>
  </si>
  <si>
    <t>DCF Model!C10</t>
  </si>
  <si>
    <t>Size Premium = 1.0%</t>
  </si>
  <si>
    <t>時価総額バンドによる機械決定(&gt;3,000億円 -&gt; 1.0%)。当社時価総額 1,838,697百万円。■テンプレートの自動規則(&gt;=1兆円 -&gt; 0.0%、&gt;=1,000億円 -&gt; 1.5%)とは異なる値であり、明示指定で上書きしている。</t>
  </si>
  <si>
    <t>テンプレ自動値</t>
  </si>
  <si>
    <t>DCF Model!C8</t>
  </si>
  <si>
    <t>Beta = 0.94</t>
  </si>
  <si>
    <t>yfinance実測 **0.935** はクランプ域 [0.6, 1.75] の**内側**のため素通し（置換なし）。</t>
  </si>
  <si>
    <t>yfinance実測 0.935</t>
  </si>
  <si>
    <t>DCF Model!C6</t>
  </si>
  <si>
    <t>Effective Tax Rate = 25%</t>
  </si>
  <si>
    <t>バッチ共通の既定値(v2 §1-3)。当社の実績税負担率を個別に検証したものではない。</t>
  </si>
  <si>
    <t>テンプレ既定 30%</t>
  </si>
  <si>
    <t>推定</t>
  </si>
  <si>
    <t>DCF Model!C11</t>
  </si>
  <si>
    <t>After-tax Cost of Debt = 2.35%(実績ベース)</t>
  </si>
  <si>
    <t>支払利息 4,144百万円 ÷ 平均有利子負債 ((193,138 + 160,000)/2) から算出（validate チェック17 PASS）。■出所は yfinance の Interest Expense で EDINET 有報の支払利息と未突合。</t>
  </si>
  <si>
    <t>テンプレ既定(推定値)</t>
  </si>
  <si>
    <t>推定(出所が二次ソース・要確認)</t>
  </si>
  <si>
    <t>DCF Model!C13</t>
  </si>
  <si>
    <t>Terminal Growth = 1.0%</t>
  </si>
  <si>
    <t>バッチ共通の固定前提(v2 §1-3)。</t>
  </si>
  <si>
    <t>テンプレ既定 2.0%</t>
  </si>
  <si>
    <t>DCF Model!C14</t>
  </si>
  <si>
    <t>Exit Multiple (EV/EBITDA) = 11.3x</t>
  </si>
  <si>
    <t>Peer 5社の実測EV/EBITDA中央値。 自社の現在倍率 9.72x は算式に入れていない(市場価格への循環参照回避)。■マージン品質調整式はバッチ全体で棄却済み(EV/EBITDA が既に資本集約度を織り込むため、営業利益率による上方調整は資本集約型で逆方向に働く)。</t>
  </si>
  <si>
    <t>テンプレ既定 10.0x</t>
  </si>
  <si>
    <t>全体(型判定・プレスクリーン)</t>
  </si>
  <si>
    <t>型A（通常の事業会社）として処理</t>
  </si>
  <si>
    <t>追補1 §B に従い、型判定の前に batch/prescreen.py で EDINET有報XBRL の金融事業専用科目(ForFinancialBusiness / Banking / Deposits / CallLoan / InstallmentReceivable 系)を機械チェックした。検出結果: **CLEAN**（金融事業専用科目は1件も検出されず）。銀行・captive finance なし。プレスクリーン CLEAN。赤字年なし。</t>
  </si>
  <si>
    <t>DCF Model シナリオ5本</t>
  </si>
  <si>
    <t>実績OPM分布からの導出（追補7 §Y の単調性判定: **非単調**）</t>
  </si>
  <si>
    <t>p25 13.05 / med 13.46 / p75 14.48。**適用ルール: 型A規則（中央値へ収束）** により Base 到達OPM = **13.46%**。直近 13.29% ≤ 中央値 13.46% のため中央値へ収束。**beta 実測 0.935 はクランプ域の内側で素通し**（本ウェーブで数少ない非クランプ銘柄）。 Upside / Downside 1 / Downside 2 は本バッチ共通の機械規則による。COGS% は直近実績に固定し SGA% = 100% − COGS% − 目標OPM で逆算。他銘柄からの流用なし。</t>
  </si>
  <si>
    <t>テンプレ自動生成シナリオ</t>
  </si>
  <si>
    <t>DCF Model Management シナリオ</t>
  </si>
  <si>
    <t>Management = Base と同一</t>
  </si>
  <si>
    <t>EDINET XBRL・TDnet短信のいずれからも会社業績予想を取得できなかった(生成ログ Step 3: 'No guidance data found')。v2 §7-2 に従い Management=Base で続行。■本バッチではここまで生成した全銘柄で同じ結果になっており、銘柄固有ではなくパイプラインの構造的な取得失敗である。</t>
  </si>
  <si>
    <t>フォールバック使用(会社予想未取得)</t>
  </si>
  <si>
    <t>DCF Model NWC(dso/dih/dpo)</t>
  </si>
  <si>
    <t>Base: DSO 30 / DIH 91 / DPO 60 日</t>
  </si>
  <si>
    <t>実績4期の平均。Downside では運転資本の悪化を織り込み DSO/DIH を延ばし DPO を縮めた。</t>
  </si>
  <si>
    <t>Comps Analysis</t>
  </si>
  <si>
    <t>Peer 5社 = 9983 ファーストリテイリング / 7453 良品計画 / 2670 ABCマート / 3086 J.フロント リテイリング / 8233 高島屋</t>
  </si>
  <si>
    <t>国内小売（住関連・専門店）で事業比較可能性を優先。自社倍率 9.72x と Peer中央値 11.26x が近く、Peer選定の妥当性の傍証になっている。</t>
  </si>
  <si>
    <t>Executive Summary!C10 / Target</t>
  </si>
  <si>
    <t>Target Price = 2,528円 = PGM 1,776円 と Exit 3,279円 の2本平均。Comps 2本(EV/EBITDA —円 / PER —円)は [参考・Target不算入]</t>
  </si>
  <si>
    <t>メモ§2 の規約どおり。validate チェック14 PASS(C10 が C16:C17 のみを平均)。</t>
  </si>
  <si>
    <t>全体(納品状態)</t>
  </si>
  <si>
    <t>本ファイルは DRAFT。_FINAL は付けない</t>
  </si>
  <si>
    <t>バッチモードでの機械生成物であり人間の検証を経ていない。FINAL化は手順書v2 §6 に従い検証後に行う。</t>
  </si>
  <si>
    <t>DRAFT</t>
  </si>
  <si>
    <t>全体(未解決)</t>
  </si>
  <si>
    <t>直近 13.29% は FY2023 の 17.04% から 3.75pt 低下した水準</t>
  </si>
  <si>
    <t>中央値 13.46% へ収束させたが、**17.04% が本来の実力なら Base は過小**。円安による輸入コスト増が主因と推定するが一次ソース未確認。</t>
  </si>
  <si>
    <t>未解決</t>
  </si>
  <si>
    <t>beta 実測 0.935 はクランプ域内で素通し</t>
  </si>
  <si>
    <t>本ウェーブ14件中、非クランプは当社と 6098 リクルートの2件のみ。WACC 10.01% は本ウェーブで最も高い。</t>
  </si>
  <si>
    <t>Pipeline Metadata (do not edit — read by scripts/validate_output.py)</t>
  </si>
  <si>
    <t>key</t>
  </si>
  <si>
    <t>value</t>
  </si>
  <si>
    <t>auto_log_entries</t>
  </si>
  <si>
    <t>1</t>
  </si>
  <si>
    <t>capex_pct_basis</t>
  </si>
  <si>
    <t>hist_3yr_avg</t>
  </si>
  <si>
    <t>capex_pct_c5</t>
  </si>
  <si>
    <t>0.1287</t>
  </si>
  <si>
    <t>capex_pct_hist3yr</t>
  </si>
  <si>
    <t>0.128714</t>
  </si>
  <si>
    <t>company_name</t>
  </si>
  <si>
    <t>comps_asof</t>
  </si>
  <si>
    <t>comps_da_missing</t>
  </si>
  <si>
    <t>none</t>
  </si>
  <si>
    <t>comps_ev_ebitda_invalid</t>
  </si>
  <si>
    <t>no</t>
  </si>
  <si>
    <t>comps_ev_ebitda_rows</t>
  </si>
  <si>
    <t>6,7,8,9,10</t>
  </si>
  <si>
    <t>comps_impl_mult_row</t>
  </si>
  <si>
    <t>27</t>
  </si>
  <si>
    <t>comps_impl_per_row</t>
  </si>
  <si>
    <t>28</t>
  </si>
  <si>
    <t>comps_peer_rows</t>
  </si>
  <si>
    <t>comps_stale_excluded</t>
  </si>
  <si>
    <t>comps_stat_median_row</t>
  </si>
  <si>
    <t>16</t>
  </si>
  <si>
    <t>comps_subject_row</t>
  </si>
  <si>
    <t>5</t>
  </si>
  <si>
    <t>cost_of_debt_actual</t>
  </si>
  <si>
    <t>interest 4,144 (expense 4,144 + fees 0) / avg debt 176,569 (debt_beginning/debt_ending) = 0.023470 pre-tax -&gt; 0.017600 after-tax</t>
  </si>
  <si>
    <t>cost_of_debt_at_c11</t>
  </si>
  <si>
    <t>0.0176</t>
  </si>
  <si>
    <t>cost_of_debt_avg_debt</t>
  </si>
  <si>
    <t>176569.0</t>
  </si>
  <si>
    <t>cost_of_debt_basis</t>
  </si>
  <si>
    <t>actual</t>
  </si>
  <si>
    <t>cost_of_debt_interest</t>
  </si>
  <si>
    <t>4144.0</t>
  </si>
  <si>
    <t>cost_of_debt_pretax</t>
  </si>
  <si>
    <t>0.023469578465075976</t>
  </si>
  <si>
    <t>da_pct_basis</t>
  </si>
  <si>
    <t>assumption</t>
  </si>
  <si>
    <t>da_pct_c18</t>
  </si>
  <si>
    <t>0.0762</t>
  </si>
  <si>
    <t>da_pct_hist3yr</t>
  </si>
  <si>
    <t>0.071843</t>
  </si>
  <si>
    <t>fs_year_coverage</t>
  </si>
  <si>
    <t>OCF 4/4, Cash 4/4, Debt 2/4</t>
  </si>
  <si>
    <t>fs_year_map</t>
  </si>
  <si>
    <t>FY2022&lt;-FY2022[ocf+cash+debt]; FY2024&lt;-FY2024[ocf+cash+debt]; FY2025&lt;-FY2025[ocf+cash]; FY2026&lt;-FY2026[ocf+cash]</t>
  </si>
  <si>
    <t>fs_year_sources</t>
  </si>
  <si>
    <t>overrides: none | EDINET year-key match: hist_ocf, hist_cash, hist_debt, hist_capex, hist_depreciation</t>
  </si>
  <si>
    <t>fx_sensitivity</t>
  </si>
  <si>
    <t>not enabled</t>
  </si>
  <si>
    <t>generated_at</t>
  </si>
  <si>
    <t>2026-09-06 12:51:38</t>
  </si>
  <si>
    <t>ltm_revenue_c20</t>
  </si>
  <si>
    <t>912248.0</t>
  </si>
  <si>
    <t>ltm_revenue_source</t>
  </si>
  <si>
    <t>latest FY (no LTM)</t>
  </si>
  <si>
    <t>narrative_tokens_used</t>
  </si>
  <si>
    <t>reverse_dcf_sheet</t>
  </si>
  <si>
    <t>op0=121,268(FY2026) peak=138,270(FY2022) peak_opm=0.1704 N=3/5/7/10</t>
  </si>
  <si>
    <t>scenario_index_range</t>
  </si>
  <si>
    <t>B69:B73</t>
  </si>
  <si>
    <t>tax_rate_c6</t>
  </si>
  <si>
    <t>0.25</t>
  </si>
  <si>
    <t>template_rev</t>
  </si>
  <si>
    <t>c9b5dd9</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</si>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</sst>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10"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
      <sz val="10"/>
      <name val="Arial"/>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8">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5" fillId="0" borderId="6" xfId="0" applyFont="1" applyBorder="1" applyAlignment="1">
      <alignment horizontal="right"/>
    </xf>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9" fillId="0" borderId="0" xfId="0" applyFont="1"/>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customHeight="1" x14ac:dyDescent="0.3">
      <c r="B1" s="47" t="s">
        <v>0</v>
      </c>
      <c r="C1" s="46"/>
      <c r="D1" s="46"/>
      <c r="E1" s="46"/>
    </row>
    <row r="3" spans="2:5" ht="18" customHeight="1" x14ac:dyDescent="0.4">
      <c r="B3" s="45" t="s">
        <v>1</v>
      </c>
      <c r="C3" s="46"/>
      <c r="D3" s="46"/>
    </row>
    <row r="4" spans="2:5" ht="14" customHeight="1" x14ac:dyDescent="0.3">
      <c r="B4" s="3" t="s">
        <v>2</v>
      </c>
    </row>
    <row r="6" spans="2:5" ht="14" customHeight="1" x14ac:dyDescent="0.3">
      <c r="B6" s="4" t="s">
        <v>3</v>
      </c>
      <c r="C6" t="s">
        <v>4</v>
      </c>
    </row>
    <row r="7" spans="2:5" ht="14" customHeight="1" x14ac:dyDescent="0.3">
      <c r="B7" s="4" t="s">
        <v>5</v>
      </c>
      <c r="C7" t="s">
        <v>6</v>
      </c>
    </row>
    <row r="8" spans="2:5" ht="14" customHeight="1" x14ac:dyDescent="0.3">
      <c r="B8" s="4" t="s">
        <v>7</v>
      </c>
      <c r="C8" t="s">
        <v>8</v>
      </c>
    </row>
    <row r="9" spans="2:5" ht="14" customHeight="1" x14ac:dyDescent="0.3">
      <c r="B9" s="4" t="s">
        <v>9</v>
      </c>
      <c r="C9" s="5">
        <v>3254</v>
      </c>
    </row>
    <row r="10" spans="2:5" ht="14" customHeight="1" x14ac:dyDescent="0.3">
      <c r="B10" s="4" t="s">
        <v>10</v>
      </c>
      <c r="C10" s="5">
        <f>IF(COUNT(C16:C17)=0,"N/A",ROUND(AVERAGE(C16:C17),0))</f>
        <v>2528</v>
      </c>
    </row>
    <row r="11" spans="2:5" ht="14" customHeight="1" x14ac:dyDescent="0.3">
      <c r="B11" s="4" t="s">
        <v>11</v>
      </c>
      <c r="C11" s="6" t="str">
        <f>IF(NOT(ISNUMBER(C12)),"N/A",IF(C12&gt;0.15,"BUY",IF(C12&gt;0.05,"HOLD","SELL")))</f>
        <v>SELL</v>
      </c>
    </row>
    <row r="12" spans="2:5" ht="14" customHeight="1" x14ac:dyDescent="0.3">
      <c r="B12" s="4" t="s">
        <v>12</v>
      </c>
      <c r="C12" s="7">
        <f>IF(ISNUMBER(C10),(C10-C9)/C9,"N/A")</f>
        <v>-0.22311001843884451</v>
      </c>
    </row>
    <row r="14" spans="2:5" ht="14" customHeight="1" x14ac:dyDescent="0.3">
      <c r="B14" s="8" t="s">
        <v>13</v>
      </c>
      <c r="C14" s="9"/>
      <c r="D14" s="9"/>
    </row>
    <row r="15" spans="2:5" ht="14" customHeight="1" x14ac:dyDescent="0.3">
      <c r="B15" s="10" t="s">
        <v>14</v>
      </c>
      <c r="C15" s="10" t="s">
        <v>15</v>
      </c>
      <c r="D15" s="10" t="s">
        <v>16</v>
      </c>
    </row>
    <row r="16" spans="2:5" ht="13.5" customHeight="1" x14ac:dyDescent="0.25">
      <c r="B16" t="s">
        <v>17</v>
      </c>
      <c r="C16" s="11">
        <f>IF('DCF Model'!C53&lt;'DCF Model'!C16,"INVALID (EV &lt; net debt)",'DCF Model'!C55)</f>
        <v>1776</v>
      </c>
      <c r="D16" s="7">
        <f>IF(ISNUMBER(C16),(C16-C9)/C9,"N/A")</f>
        <v>-0.45421020282728947</v>
      </c>
    </row>
    <row r="17" spans="2:5" ht="13.5" customHeight="1" x14ac:dyDescent="0.25">
      <c r="B17" t="s">
        <v>18</v>
      </c>
      <c r="C17" s="11">
        <f>IF('DCF Model'!C62&lt;'DCF Model'!C16,"INVALID (EV &lt; net debt)",'DCF Model'!C64)</f>
        <v>3279</v>
      </c>
      <c r="D17" s="7">
        <f>IF(ISNUMBER(C17),(C17-C9)/C9,"N/A")</f>
        <v>7.6828518746158573E-3</v>
      </c>
    </row>
    <row r="18" spans="2:5" ht="13.5" customHeight="1" x14ac:dyDescent="0.25">
      <c r="B18" t="s">
        <v>19</v>
      </c>
      <c r="C18" s="11">
        <f>'Comps Analysis'!C27</f>
        <v>3777</v>
      </c>
      <c r="D18" s="7">
        <f>IF(ISNUMBER(C18),(C18-C9)/C9,"N/A")</f>
        <v>0.16072526121696373</v>
      </c>
    </row>
    <row r="19" spans="2:5" ht="13.5" customHeight="1" x14ac:dyDescent="0.25">
      <c r="B19" t="s">
        <v>20</v>
      </c>
      <c r="C19" s="11">
        <f>'Comps Analysis'!C28</f>
        <v>5396</v>
      </c>
      <c r="D19" s="7">
        <f>IF(ISNUMBER(C19),(C19-C9)/C9,"N/A")</f>
        <v>0.65826674861708667</v>
      </c>
    </row>
    <row r="20" spans="2:5" ht="14" customHeight="1" x14ac:dyDescent="0.3">
      <c r="B20" s="47" t="s">
        <v>21</v>
      </c>
      <c r="C20" s="46"/>
      <c r="D20" s="46"/>
      <c r="E20" s="46"/>
    </row>
    <row r="21" spans="2:5" ht="14" customHeight="1" x14ac:dyDescent="0.3">
      <c r="B21" s="4" t="s">
        <v>22</v>
      </c>
      <c r="C21" s="6" t="str">
        <f>IF(COUNT(C16:C17)=0,"N/A",MIN(C16:C17)&amp;" - "&amp;MAX(C16:C17))</f>
        <v>1776 - 3279</v>
      </c>
    </row>
    <row r="23" spans="2:5" ht="14" customHeight="1" x14ac:dyDescent="0.3">
      <c r="B23" s="8" t="s">
        <v>23</v>
      </c>
      <c r="C23" s="9"/>
      <c r="D23" s="9"/>
    </row>
    <row r="24" spans="2:5" x14ac:dyDescent="0.2">
      <c r="B24" t="s">
        <v>24</v>
      </c>
    </row>
    <row r="25" spans="2:5" x14ac:dyDescent="0.2">
      <c r="B25" t="s">
        <v>25</v>
      </c>
    </row>
    <row r="26" spans="2:5" x14ac:dyDescent="0.2">
      <c r="B26" t="s">
        <v>26</v>
      </c>
    </row>
    <row r="28" spans="2:5" ht="14" customHeight="1" x14ac:dyDescent="0.3">
      <c r="B28" s="8" t="s">
        <v>27</v>
      </c>
      <c r="C28" s="9"/>
      <c r="D28" s="9"/>
    </row>
    <row r="29" spans="2:5" x14ac:dyDescent="0.2">
      <c r="B29" t="s">
        <v>28</v>
      </c>
    </row>
    <row r="30" spans="2:5" x14ac:dyDescent="0.2">
      <c r="B30" t="s">
        <v>29</v>
      </c>
    </row>
    <row r="31" spans="2:5" x14ac:dyDescent="0.2">
      <c r="B31" t="s">
        <v>30</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customHeight="1" x14ac:dyDescent="0.4">
      <c r="B2" s="2" t="s">
        <v>31</v>
      </c>
    </row>
    <row r="4" spans="2:6" ht="14" customHeight="1" x14ac:dyDescent="0.3">
      <c r="C4" s="10" t="s">
        <v>32</v>
      </c>
      <c r="D4" s="10" t="s">
        <v>33</v>
      </c>
      <c r="E4" s="10" t="s">
        <v>34</v>
      </c>
      <c r="F4" s="10" t="s">
        <v>35</v>
      </c>
    </row>
    <row r="5" spans="2:6" ht="14" customHeight="1" x14ac:dyDescent="0.3">
      <c r="B5" s="3" t="s">
        <v>36</v>
      </c>
    </row>
    <row r="6" spans="2:6" ht="14" customHeight="1" x14ac:dyDescent="0.3">
      <c r="B6" s="4" t="s">
        <v>37</v>
      </c>
      <c r="C6" s="5">
        <v>811581</v>
      </c>
      <c r="D6" s="5">
        <v>896667</v>
      </c>
      <c r="E6" s="5">
        <v>928828</v>
      </c>
      <c r="F6" s="5">
        <v>912248</v>
      </c>
    </row>
    <row r="7" spans="2:6" ht="14" customHeight="1" x14ac:dyDescent="0.3">
      <c r="B7" s="4" t="s">
        <v>38</v>
      </c>
      <c r="C7" s="5">
        <v>385684</v>
      </c>
      <c r="D7" s="5">
        <v>439264</v>
      </c>
      <c r="E7" s="5">
        <v>454904</v>
      </c>
      <c r="F7" s="5">
        <v>426834</v>
      </c>
    </row>
    <row r="8" spans="2:6" ht="14" customHeight="1" x14ac:dyDescent="0.3">
      <c r="B8" s="4" t="s">
        <v>39</v>
      </c>
      <c r="C8" s="5">
        <f>C6-C7</f>
        <v>425897</v>
      </c>
      <c r="D8" s="5">
        <f>D6-D7</f>
        <v>457403</v>
      </c>
      <c r="E8" s="5">
        <f>E6-E7</f>
        <v>473924</v>
      </c>
      <c r="F8" s="5">
        <f>F6-F7</f>
        <v>485414</v>
      </c>
    </row>
    <row r="9" spans="2:6" ht="13.5" customHeight="1" x14ac:dyDescent="0.25">
      <c r="B9" t="s">
        <v>40</v>
      </c>
      <c r="C9" s="7">
        <f>C8/C6</f>
        <v>0.5247744833848994</v>
      </c>
      <c r="D9" s="7">
        <f>D8/D6</f>
        <v>0.5101146802547657</v>
      </c>
      <c r="E9" s="7">
        <f>E8/E6</f>
        <v>0.51023870942736438</v>
      </c>
      <c r="F9" s="7">
        <f>F8/F6</f>
        <v>0.5321074970841263</v>
      </c>
    </row>
    <row r="10" spans="2:6" ht="14" customHeight="1" x14ac:dyDescent="0.3">
      <c r="B10" s="4" t="s">
        <v>41</v>
      </c>
      <c r="C10" s="5">
        <v>287627</v>
      </c>
      <c r="D10" s="5">
        <v>335206</v>
      </c>
      <c r="E10" s="5">
        <v>359524</v>
      </c>
      <c r="F10" s="5">
        <v>364146</v>
      </c>
    </row>
    <row r="11" spans="2:6" ht="14" customHeight="1" x14ac:dyDescent="0.3">
      <c r="B11" s="4" t="s">
        <v>42</v>
      </c>
      <c r="C11" s="5">
        <v>138270</v>
      </c>
      <c r="D11" s="5">
        <v>122197</v>
      </c>
      <c r="E11" s="5">
        <v>114400</v>
      </c>
      <c r="F11" s="5">
        <v>121268</v>
      </c>
    </row>
    <row r="12" spans="2:6" ht="14" customHeight="1" x14ac:dyDescent="0.3">
      <c r="B12" s="4" t="s">
        <v>43</v>
      </c>
      <c r="C12" s="5">
        <v>96724</v>
      </c>
      <c r="D12" s="5">
        <v>90158</v>
      </c>
      <c r="E12" s="5">
        <v>82546</v>
      </c>
      <c r="F12" s="5">
        <v>89270</v>
      </c>
    </row>
    <row r="13" spans="2:6" ht="13.5" customHeight="1" x14ac:dyDescent="0.25">
      <c r="B13" t="s">
        <v>44</v>
      </c>
      <c r="C13" s="7">
        <f>C11/C6</f>
        <v>0.17037116443090708</v>
      </c>
      <c r="D13" s="7">
        <f>D11/D6</f>
        <v>0.13627913149474666</v>
      </c>
      <c r="E13" s="7">
        <f>E11/E6</f>
        <v>0.12316596829552942</v>
      </c>
      <c r="F13" s="7">
        <f>F11/F6</f>
        <v>0.13293314975752207</v>
      </c>
    </row>
    <row r="14" spans="2:6" ht="13.5" customHeight="1" x14ac:dyDescent="0.25">
      <c r="B14" t="s">
        <v>45</v>
      </c>
      <c r="C14" s="7">
        <f>C12/C6</f>
        <v>0.11917972451301842</v>
      </c>
      <c r="D14" s="7">
        <f>D12/D6</f>
        <v>0.10054791801192639</v>
      </c>
      <c r="E14" s="7">
        <f>E12/E6</f>
        <v>8.88711365290452E-2</v>
      </c>
      <c r="F14" s="7">
        <f>F12/F6</f>
        <v>9.7857161649025262E-2</v>
      </c>
    </row>
    <row r="15" spans="2:6" ht="13.5" customHeight="1" x14ac:dyDescent="0.25">
      <c r="B15" t="s">
        <v>46</v>
      </c>
      <c r="C15" t="s">
        <v>47</v>
      </c>
      <c r="D15" s="7">
        <f>(D6-C6)/C6</f>
        <v>0.10483981266195241</v>
      </c>
      <c r="E15" s="7">
        <f>(E6-D6)/D6</f>
        <v>3.5867272911794458E-2</v>
      </c>
      <c r="F15" s="7">
        <f>(F6-E6)/E6</f>
        <v>-1.7850452398075856E-2</v>
      </c>
    </row>
    <row r="16" spans="2:6" ht="13.5" customHeight="1" x14ac:dyDescent="0.25">
      <c r="B16" t="s">
        <v>48</v>
      </c>
      <c r="C16" t="s">
        <v>47</v>
      </c>
      <c r="D16" s="7">
        <f>(D11-C11)/C11</f>
        <v>-0.11624358139871266</v>
      </c>
      <c r="E16" s="7">
        <f>(E11-D11)/D11</f>
        <v>-6.3806803767686604E-2</v>
      </c>
      <c r="F16" s="7">
        <f>(F11-E11)/E11</f>
        <v>6.0034965034965034E-2</v>
      </c>
    </row>
    <row r="18" spans="2:6" ht="14" customHeight="1" x14ac:dyDescent="0.3">
      <c r="B18" s="3" t="s">
        <v>49</v>
      </c>
    </row>
    <row r="19" spans="2:6" ht="14" customHeight="1" x14ac:dyDescent="0.3">
      <c r="B19" s="4" t="s">
        <v>50</v>
      </c>
      <c r="C19" s="5">
        <v>85565</v>
      </c>
      <c r="D19" s="5">
        <v>181164</v>
      </c>
      <c r="E19" s="5">
        <v>144384</v>
      </c>
      <c r="F19" s="5">
        <v>148911</v>
      </c>
    </row>
    <row r="20" spans="2:6" ht="14" customHeight="1" x14ac:dyDescent="0.3">
      <c r="B20" s="4" t="s">
        <v>51</v>
      </c>
      <c r="C20" s="5">
        <v>101520</v>
      </c>
      <c r="D20" s="5">
        <v>118664</v>
      </c>
      <c r="E20" s="5"/>
      <c r="F20" s="5"/>
    </row>
    <row r="21" spans="2:6" ht="14" customHeight="1" x14ac:dyDescent="0.3">
      <c r="B21" s="4" t="s">
        <v>52</v>
      </c>
      <c r="C21" s="5">
        <f>C19-C20</f>
        <v>-15955</v>
      </c>
      <c r="D21" s="5">
        <f>D19-D20</f>
        <v>62500</v>
      </c>
    </row>
    <row r="22" spans="2:6" ht="13.5" customHeight="1" x14ac:dyDescent="0.25">
      <c r="B22" t="s">
        <v>53</v>
      </c>
      <c r="C22" s="7">
        <f>C21/C6</f>
        <v>-1.9659159098106043E-2</v>
      </c>
      <c r="D22" s="7">
        <f>D21/D6</f>
        <v>6.9702576318744866E-2</v>
      </c>
    </row>
    <row r="23" spans="2:6" ht="13.5" customHeight="1" x14ac:dyDescent="0.25">
      <c r="B23" t="s">
        <v>54</v>
      </c>
      <c r="C23" s="7">
        <f>C20/C6</f>
        <v>0.12508917779001727</v>
      </c>
      <c r="D23" s="7">
        <f>D20/D6</f>
        <v>0.13233898426060065</v>
      </c>
    </row>
    <row r="25" spans="2:6" ht="14" customHeight="1" x14ac:dyDescent="0.3">
      <c r="B25" s="3" t="s">
        <v>55</v>
      </c>
    </row>
    <row r="26" spans="2:6" ht="14" customHeight="1" x14ac:dyDescent="0.3">
      <c r="B26" s="4" t="s">
        <v>56</v>
      </c>
      <c r="C26" s="5">
        <v>127076</v>
      </c>
      <c r="D26" s="5">
        <v>117978</v>
      </c>
      <c r="E26" s="5">
        <v>136001</v>
      </c>
      <c r="F26" s="5">
        <v>145010</v>
      </c>
    </row>
    <row r="27" spans="2:6" ht="14" customHeight="1" x14ac:dyDescent="0.3">
      <c r="B27" s="4" t="s">
        <v>57</v>
      </c>
      <c r="C27" s="5">
        <v>85466</v>
      </c>
      <c r="D27" s="5">
        <v>137557</v>
      </c>
      <c r="E27" s="5"/>
      <c r="F27" s="5"/>
    </row>
    <row r="28" spans="2:6" ht="14" customHeight="1" x14ac:dyDescent="0.3">
      <c r="B28" s="4" t="s">
        <v>58</v>
      </c>
      <c r="C28" s="5">
        <f>C27-C26</f>
        <v>-41610</v>
      </c>
      <c r="D28" s="5">
        <f>D27-D26</f>
        <v>19579</v>
      </c>
    </row>
    <row r="30" spans="2:6" ht="14" customHeight="1" x14ac:dyDescent="0.3">
      <c r="B30" s="1" t="s">
        <v>59</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customHeight="1" x14ac:dyDescent="0.4">
      <c r="B2" s="2" t="s">
        <v>60</v>
      </c>
    </row>
    <row r="4" spans="2:7" ht="14" customHeight="1" x14ac:dyDescent="0.3">
      <c r="B4" s="8" t="s">
        <v>61</v>
      </c>
      <c r="C4" s="9"/>
      <c r="D4" s="9"/>
      <c r="E4" s="9"/>
      <c r="F4" s="9"/>
      <c r="G4" s="9"/>
    </row>
    <row r="5" spans="2:7" ht="14" customHeight="1" x14ac:dyDescent="0.3">
      <c r="B5" s="4" t="s">
        <v>62</v>
      </c>
      <c r="C5" s="7">
        <v>0.12870000000000001</v>
      </c>
    </row>
    <row r="6" spans="2:7" ht="14" customHeight="1" x14ac:dyDescent="0.3">
      <c r="B6" s="4" t="s">
        <v>63</v>
      </c>
      <c r="C6" s="7">
        <v>0.25</v>
      </c>
    </row>
    <row r="7" spans="2:7" ht="14" customHeight="1" x14ac:dyDescent="0.3">
      <c r="B7" s="4" t="s">
        <v>64</v>
      </c>
      <c r="C7" s="7">
        <v>2.9700000000000001E-2</v>
      </c>
    </row>
    <row r="8" spans="2:7" ht="14" customHeight="1" x14ac:dyDescent="0.3">
      <c r="B8" s="4" t="s">
        <v>65</v>
      </c>
      <c r="C8" s="12">
        <v>0.94</v>
      </c>
    </row>
    <row r="9" spans="2:7" ht="14" customHeight="1" x14ac:dyDescent="0.3">
      <c r="B9" s="4" t="s">
        <v>66</v>
      </c>
      <c r="C9" s="7">
        <v>6.5000000000000002E-2</v>
      </c>
    </row>
    <row r="10" spans="2:7" ht="14" customHeight="1" x14ac:dyDescent="0.3">
      <c r="B10" s="4" t="s">
        <v>67</v>
      </c>
      <c r="C10" s="7">
        <v>0.01</v>
      </c>
    </row>
    <row r="11" spans="2:7" ht="14" customHeight="1" x14ac:dyDescent="0.3">
      <c r="B11" s="4" t="s">
        <v>68</v>
      </c>
      <c r="C11" s="7">
        <v>1.7600000000000001E-2</v>
      </c>
    </row>
    <row r="12" spans="2:7" ht="14" customHeight="1" x14ac:dyDescent="0.3">
      <c r="B12" s="4" t="s">
        <v>69</v>
      </c>
      <c r="C12" s="13">
        <v>8.2000000000000007E-3</v>
      </c>
    </row>
    <row r="13" spans="2:7" ht="14" customHeight="1" x14ac:dyDescent="0.3">
      <c r="B13" s="4" t="s">
        <v>70</v>
      </c>
      <c r="C13" s="7">
        <v>0.01</v>
      </c>
    </row>
    <row r="14" spans="2:7" ht="14" customHeight="1" x14ac:dyDescent="0.3">
      <c r="B14" s="4" t="s">
        <v>71</v>
      </c>
      <c r="C14" s="14">
        <v>11.3</v>
      </c>
    </row>
    <row r="15" spans="2:7" ht="14" customHeight="1" x14ac:dyDescent="0.3">
      <c r="B15" s="4" t="s">
        <v>72</v>
      </c>
      <c r="C15" s="15">
        <v>565057598</v>
      </c>
    </row>
    <row r="16" spans="2:7" ht="14" customHeight="1" x14ac:dyDescent="0.3">
      <c r="B16" s="4" t="s">
        <v>73</v>
      </c>
      <c r="C16" s="5">
        <v>14990</v>
      </c>
    </row>
    <row r="17" spans="2:7" ht="14" customHeight="1" x14ac:dyDescent="0.3">
      <c r="B17" s="4" t="s">
        <v>74</v>
      </c>
      <c r="C17" s="5">
        <v>912248</v>
      </c>
    </row>
    <row r="18" spans="2:7" ht="14" customHeight="1" x14ac:dyDescent="0.3">
      <c r="B18" s="4" t="s">
        <v>75</v>
      </c>
      <c r="C18" s="7">
        <v>7.6200000000000004E-2</v>
      </c>
    </row>
    <row r="19" spans="2:7" ht="14" customHeight="1" x14ac:dyDescent="0.3">
      <c r="B19" s="4" t="s">
        <v>76</v>
      </c>
      <c r="C19" s="12">
        <v>1</v>
      </c>
    </row>
    <row r="20" spans="2:7" ht="14" customHeight="1" x14ac:dyDescent="0.3">
      <c r="B20" s="4" t="s">
        <v>77</v>
      </c>
      <c r="C20" s="5">
        <v>912248</v>
      </c>
    </row>
    <row r="22" spans="2:7" ht="14" customHeight="1" x14ac:dyDescent="0.3">
      <c r="B22" s="8" t="s">
        <v>78</v>
      </c>
      <c r="C22" s="9"/>
      <c r="D22" s="9"/>
      <c r="E22" s="9"/>
      <c r="F22" s="9"/>
      <c r="G22" s="9"/>
    </row>
    <row r="23" spans="2:7" ht="14" customHeight="1" x14ac:dyDescent="0.3">
      <c r="B23" s="4" t="s">
        <v>79</v>
      </c>
      <c r="C23" s="16">
        <f>C7+C8*C9+C10</f>
        <v>0.1008</v>
      </c>
    </row>
    <row r="24" spans="2:7" ht="14" customHeight="1" x14ac:dyDescent="0.3">
      <c r="B24" s="4" t="s">
        <v>80</v>
      </c>
      <c r="C24" s="16">
        <f>1/(1+C12)</f>
        <v>0.99186669311644515</v>
      </c>
    </row>
    <row r="25" spans="2:7" ht="14" customHeight="1" x14ac:dyDescent="0.3">
      <c r="B25" s="4" t="s">
        <v>81</v>
      </c>
      <c r="C25" s="16">
        <f>C12/(1+C12)</f>
        <v>8.1333068835548507E-3</v>
      </c>
    </row>
    <row r="26" spans="2:7" ht="14" customHeight="1" x14ac:dyDescent="0.3">
      <c r="B26" s="4" t="s">
        <v>82</v>
      </c>
      <c r="C26" s="16">
        <f>C23*C24+C11*C25</f>
        <v>0.10012330886728824</v>
      </c>
    </row>
    <row r="27" spans="2:7" ht="14" customHeight="1" x14ac:dyDescent="0.3">
      <c r="B27" s="4" t="s">
        <v>83</v>
      </c>
      <c r="C27" s="17" t="s">
        <v>84</v>
      </c>
      <c r="D27" s="6">
        <f>MATCH(C27,B69:B73,0)</f>
        <v>1</v>
      </c>
    </row>
    <row r="28" spans="2:7" ht="14" customHeight="1" x14ac:dyDescent="0.3">
      <c r="B28" s="8" t="s">
        <v>85</v>
      </c>
      <c r="C28" s="9"/>
      <c r="D28" s="9"/>
      <c r="E28" s="9"/>
      <c r="F28" s="9"/>
      <c r="G28" s="9"/>
    </row>
    <row r="29" spans="2:7" ht="14" customHeight="1" x14ac:dyDescent="0.3">
      <c r="C29" s="10" t="s">
        <v>86</v>
      </c>
      <c r="D29" s="10" t="s">
        <v>87</v>
      </c>
      <c r="E29" s="10" t="s">
        <v>88</v>
      </c>
      <c r="F29" s="10" t="s">
        <v>89</v>
      </c>
      <c r="G29" s="10" t="s">
        <v>90</v>
      </c>
    </row>
    <row r="30" spans="2:7" ht="14" customHeight="1" x14ac:dyDescent="0.3">
      <c r="B30" s="4" t="s">
        <v>46</v>
      </c>
      <c r="C30" s="18">
        <f>CHOOSE($D$27,C69,C70,C71,C72,C73)</f>
        <v>0.03</v>
      </c>
      <c r="D30" s="18">
        <f>CHOOSE($D$27,D69,D70,D71,D72,D73)</f>
        <v>0.03</v>
      </c>
      <c r="E30" s="18">
        <f>CHOOSE($D$27,E69,E70,E71,E72,E73)</f>
        <v>2.5000000000000001E-2</v>
      </c>
      <c r="F30" s="18">
        <f>CHOOSE($D$27,F69,F70,F71,F72,F73)</f>
        <v>2.5000000000000001E-2</v>
      </c>
      <c r="G30" s="18">
        <f>CHOOSE($D$27,G69,G70,G71,G72,G73)</f>
        <v>0.02</v>
      </c>
    </row>
    <row r="31" spans="2:7" ht="14" customHeight="1" x14ac:dyDescent="0.3">
      <c r="B31" s="4" t="s">
        <v>91</v>
      </c>
      <c r="C31" s="18">
        <f>CHOOSE($D$27,C76,C77,C78,C79,C80)</f>
        <v>0.44500000000000001</v>
      </c>
      <c r="D31" s="18">
        <f>CHOOSE($D$27,D76,D77,D78,D79,D80)</f>
        <v>0.44500000000000001</v>
      </c>
      <c r="E31" s="18">
        <f>CHOOSE($D$27,E76,E77,E78,E79,E80)</f>
        <v>0.44500000000000001</v>
      </c>
      <c r="F31" s="18">
        <f>CHOOSE($D$27,F76,F77,F78,F79,F80)</f>
        <v>0.44500000000000001</v>
      </c>
      <c r="G31" s="18">
        <f>CHOOSE($D$27,G76,G77,G78,G79,G80)</f>
        <v>0.44500000000000001</v>
      </c>
    </row>
    <row r="32" spans="2:7" ht="14" customHeight="1" x14ac:dyDescent="0.3">
      <c r="B32" s="4" t="s">
        <v>92</v>
      </c>
      <c r="C32" s="18">
        <f>CHOOSE($D$27,C83,C84,C85,C86,C87)</f>
        <v>0.42149999999999999</v>
      </c>
      <c r="D32" s="18">
        <f>CHOOSE($D$27,D83,D84,D85,D86,D87)</f>
        <v>0.42109999999999997</v>
      </c>
      <c r="E32" s="18">
        <f>CHOOSE($D$27,E83,E84,E85,E86,E87)</f>
        <v>0.42080000000000001</v>
      </c>
      <c r="F32" s="18">
        <f>CHOOSE($D$27,F83,F84,F85,F86,F87)</f>
        <v>0.42059999999999997</v>
      </c>
      <c r="G32" s="18">
        <f>CHOOSE($D$27,G83,G84,G85,G86,G87)</f>
        <v>0.4204</v>
      </c>
    </row>
    <row r="33" spans="2:7" ht="14" customHeight="1" x14ac:dyDescent="0.3">
      <c r="B33" s="4" t="s">
        <v>37</v>
      </c>
      <c r="C33" s="5">
        <f>C17*(1+C30)</f>
        <v>939615.44000000006</v>
      </c>
      <c r="D33" s="5">
        <f>C33*(1+D30)</f>
        <v>967803.90320000006</v>
      </c>
      <c r="E33" s="5">
        <f>D33*(1+E30)</f>
        <v>991999.00078</v>
      </c>
      <c r="F33" s="5">
        <f>E33*(1+F30)</f>
        <v>1016798.9757994999</v>
      </c>
      <c r="G33" s="5">
        <f>F33*(1+G30)</f>
        <v>1037134.9553154899</v>
      </c>
    </row>
    <row r="34" spans="2:7" ht="14" customHeight="1" x14ac:dyDescent="0.3">
      <c r="B34" s="4" t="s">
        <v>38</v>
      </c>
      <c r="C34" s="5">
        <f>C33*C31</f>
        <v>418128.87080000003</v>
      </c>
      <c r="D34" s="5">
        <f>D33*D31</f>
        <v>430672.73692400003</v>
      </c>
      <c r="E34" s="5">
        <f>E33*E31</f>
        <v>441439.55534710002</v>
      </c>
      <c r="F34" s="5">
        <f>F33*F31</f>
        <v>452475.54423077748</v>
      </c>
      <c r="G34" s="5">
        <f>G33*G31</f>
        <v>461525.05511539301</v>
      </c>
    </row>
    <row r="35" spans="2:7" ht="14" customHeight="1" x14ac:dyDescent="0.3">
      <c r="B35" s="4" t="s">
        <v>39</v>
      </c>
      <c r="C35" s="19">
        <f>C33-C34</f>
        <v>521486.56920000003</v>
      </c>
      <c r="D35" s="19">
        <f>D33-D34</f>
        <v>537131.16627599997</v>
      </c>
      <c r="E35" s="19">
        <f>E33-E34</f>
        <v>550559.44543289999</v>
      </c>
      <c r="F35" s="19">
        <f>F33-F34</f>
        <v>564323.43156872247</v>
      </c>
      <c r="G35" s="19">
        <f>G33-G34</f>
        <v>575609.90020009689</v>
      </c>
    </row>
    <row r="36" spans="2:7" ht="14" customHeight="1" x14ac:dyDescent="0.3">
      <c r="B36" s="4" t="s">
        <v>40</v>
      </c>
      <c r="C36" s="7">
        <f>C35/C33</f>
        <v>0.55499999999999994</v>
      </c>
      <c r="D36" s="7">
        <f>D35/D33</f>
        <v>0.55499999999999994</v>
      </c>
      <c r="E36" s="7">
        <f>E35/E33</f>
        <v>0.55499999999999994</v>
      </c>
      <c r="F36" s="7">
        <f>F35/F33</f>
        <v>0.55500000000000005</v>
      </c>
      <c r="G36" s="7">
        <f>G35/G33</f>
        <v>0.55500000000000005</v>
      </c>
    </row>
    <row r="37" spans="2:7" ht="14" customHeight="1" x14ac:dyDescent="0.3">
      <c r="B37" s="4" t="s">
        <v>93</v>
      </c>
      <c r="C37" s="5">
        <f>C33*C32</f>
        <v>396047.90796000004</v>
      </c>
      <c r="D37" s="5">
        <f>D33*D32</f>
        <v>407542.22363751999</v>
      </c>
      <c r="E37" s="5">
        <f>E33*E32</f>
        <v>417433.17952822399</v>
      </c>
      <c r="F37" s="5">
        <f>F33*F32</f>
        <v>427665.64922126965</v>
      </c>
      <c r="G37" s="5">
        <f>G33*G32</f>
        <v>436011.53521463193</v>
      </c>
    </row>
    <row r="38" spans="2:7" ht="14" customHeight="1" x14ac:dyDescent="0.3">
      <c r="B38" s="4" t="s">
        <v>94</v>
      </c>
      <c r="C38" s="7">
        <f>(C35-C37)/C33</f>
        <v>0.13349999999999998</v>
      </c>
      <c r="D38" s="7">
        <f>(D35-D37)/D33</f>
        <v>0.13389999999999999</v>
      </c>
      <c r="E38" s="7">
        <f>(E35-E37)/E33</f>
        <v>0.13419999999999999</v>
      </c>
      <c r="F38" s="7">
        <f>(F35-F37)/F33</f>
        <v>0.13440000000000005</v>
      </c>
      <c r="G38" s="7">
        <f>(G35-G37)/G33</f>
        <v>0.13460000000000003</v>
      </c>
    </row>
    <row r="39" spans="2:7" ht="14" customHeight="1" x14ac:dyDescent="0.3">
      <c r="B39" s="4" t="s">
        <v>95</v>
      </c>
      <c r="C39" s="19">
        <f>C35-C37</f>
        <v>125438.66123999999</v>
      </c>
      <c r="D39" s="19">
        <f>D35-D37</f>
        <v>129588.94263847999</v>
      </c>
      <c r="E39" s="19">
        <f>E35-E37</f>
        <v>133126.26590467599</v>
      </c>
      <c r="F39" s="19">
        <f>F35-F37</f>
        <v>136657.78234745283</v>
      </c>
      <c r="G39" s="19">
        <f>G35-G37</f>
        <v>139598.36498546496</v>
      </c>
    </row>
    <row r="40" spans="2:7" ht="14" customHeight="1" x14ac:dyDescent="0.3">
      <c r="B40" s="4" t="s">
        <v>96</v>
      </c>
      <c r="C40" s="5">
        <f>MAX(0,C39*C6)</f>
        <v>31359.665309999997</v>
      </c>
      <c r="D40" s="5">
        <f>MAX(0,D39*C6)</f>
        <v>32397.235659619997</v>
      </c>
      <c r="E40" s="5">
        <f>MAX(0,E39*C6)</f>
        <v>33281.566476168999</v>
      </c>
      <c r="F40" s="5">
        <f>MAX(0,F39*C6)</f>
        <v>34164.445586863207</v>
      </c>
      <c r="G40" s="5">
        <f>MAX(0,G39*C6)</f>
        <v>34899.591246366239</v>
      </c>
    </row>
    <row r="41" spans="2:7" ht="14" customHeight="1" x14ac:dyDescent="0.3">
      <c r="B41" s="4" t="s">
        <v>97</v>
      </c>
      <c r="C41" s="19">
        <f>C39-C40</f>
        <v>94078.99592999999</v>
      </c>
      <c r="D41" s="19">
        <f>D39-D40</f>
        <v>97191.706978859991</v>
      </c>
      <c r="E41" s="19">
        <f>E39-E40</f>
        <v>99844.699428506996</v>
      </c>
      <c r="F41" s="19">
        <f>F39-F40</f>
        <v>102493.33676058962</v>
      </c>
      <c r="G41" s="19">
        <f>G39-G40</f>
        <v>104698.77373909872</v>
      </c>
    </row>
    <row r="42" spans="2:7" ht="14" customHeight="1" x14ac:dyDescent="0.3">
      <c r="B42" s="4" t="s">
        <v>98</v>
      </c>
      <c r="C42" s="5">
        <f>C33*C18</f>
        <v>71598.696528000015</v>
      </c>
      <c r="D42" s="5">
        <f>D33*C18</f>
        <v>73746.657423840006</v>
      </c>
      <c r="E42" s="5">
        <f>E33*C18</f>
        <v>75590.323859436001</v>
      </c>
      <c r="F42" s="5">
        <f>F33*C18</f>
        <v>77480.081955921894</v>
      </c>
      <c r="G42" s="5">
        <f>G33*C18</f>
        <v>79029.683595040333</v>
      </c>
    </row>
    <row r="43" spans="2:7" ht="14" customHeight="1" x14ac:dyDescent="0.3">
      <c r="B43" s="4" t="s">
        <v>99</v>
      </c>
      <c r="C43" s="5">
        <v>93100</v>
      </c>
      <c r="D43" s="5">
        <v>90600</v>
      </c>
      <c r="E43" s="5">
        <v>88000</v>
      </c>
      <c r="F43" s="5">
        <v>85500</v>
      </c>
      <c r="G43" s="5">
        <v>83000</v>
      </c>
    </row>
    <row r="44" spans="2:7" ht="14" customHeight="1" x14ac:dyDescent="0.3">
      <c r="B44" s="4" t="s">
        <v>100</v>
      </c>
      <c r="C44" s="5">
        <f>'NWC Schedule'!D19</f>
        <v>-20256.018644383556</v>
      </c>
      <c r="D44" s="5">
        <f>'NWC Schedule'!E19</f>
        <v>3382.2294406684523</v>
      </c>
      <c r="E44" s="5">
        <f>'NWC Schedule'!F19</f>
        <v>2903.0802699071646</v>
      </c>
      <c r="F44" s="5">
        <f>'NWC Schedule'!G19</f>
        <v>2975.6572766547906</v>
      </c>
      <c r="G44" s="5">
        <f>'NWC Schedule'!H19</f>
        <v>2440.038966856926</v>
      </c>
    </row>
    <row r="45" spans="2:7" ht="14" customHeight="1" x14ac:dyDescent="0.3">
      <c r="B45" s="4" t="s">
        <v>101</v>
      </c>
      <c r="C45" s="20">
        <f>C41+C42-C43-C44</f>
        <v>92833.711102383561</v>
      </c>
      <c r="D45" s="20">
        <f>D41+D42-D43-D44</f>
        <v>76956.13496203153</v>
      </c>
      <c r="E45" s="20">
        <f>E41+E42-E43-E44</f>
        <v>84531.943018035818</v>
      </c>
      <c r="F45" s="20">
        <f>F41+F42-F43-F44</f>
        <v>91497.761439856724</v>
      </c>
      <c r="G45" s="20">
        <f>G41+G42-G43-G44</f>
        <v>98288.418367282109</v>
      </c>
    </row>
    <row r="46" spans="2:7" ht="14" customHeight="1" x14ac:dyDescent="0.3">
      <c r="B46" s="4" t="s">
        <v>102</v>
      </c>
      <c r="C46" s="21">
        <f>1/(1+C26)^(C19+0)</f>
        <v>0.90898901235864427</v>
      </c>
      <c r="D46" s="21">
        <f>1/(1+C26)^(C19+1)</f>
        <v>0.82626102458874351</v>
      </c>
      <c r="E46" s="21">
        <f>1/(1+C26)^(C19+2)</f>
        <v>0.75106219269136343</v>
      </c>
      <c r="F46" s="21">
        <f>1/(1+C26)^(C19+3)</f>
        <v>0.6827072807544402</v>
      </c>
      <c r="G46" s="21">
        <f>1/(1+C26)^(C19+4)</f>
        <v>0.62057341686303424</v>
      </c>
    </row>
    <row r="47" spans="2:7" ht="14" customHeight="1" x14ac:dyDescent="0.3">
      <c r="B47" s="4" t="s">
        <v>103</v>
      </c>
      <c r="C47" s="19">
        <f>C45*C46</f>
        <v>84384.823368543337</v>
      </c>
      <c r="D47" s="19">
        <f>D45*D46</f>
        <v>63585.854922117796</v>
      </c>
      <c r="E47" s="19">
        <f>E45*E46</f>
        <v>63488.746475587373</v>
      </c>
      <c r="F47" s="19">
        <f>F45*F46</f>
        <v>62466.187907723055</v>
      </c>
      <c r="G47" s="19">
        <f>G45*G46</f>
        <v>60995.17962424767</v>
      </c>
    </row>
    <row r="49" spans="2:7" ht="14" customHeight="1" x14ac:dyDescent="0.3">
      <c r="B49" s="22" t="s">
        <v>104</v>
      </c>
      <c r="C49" s="23"/>
      <c r="D49" s="23"/>
      <c r="E49" s="23"/>
      <c r="F49" s="23"/>
      <c r="G49" s="23"/>
    </row>
    <row r="50" spans="2:7" ht="14" customHeight="1" x14ac:dyDescent="0.3">
      <c r="B50" s="4" t="s">
        <v>105</v>
      </c>
      <c r="C50" s="5">
        <f>SUM(C47:G47)</f>
        <v>334920.79229821922</v>
      </c>
    </row>
    <row r="51" spans="2:7" ht="14" customHeight="1" x14ac:dyDescent="0.3">
      <c r="B51" s="4" t="s">
        <v>106</v>
      </c>
      <c r="C51" s="5">
        <f>G45*(1+C13)/(C26-C13)</f>
        <v>1101505.3019983724</v>
      </c>
    </row>
    <row r="52" spans="2:7" ht="14" customHeight="1" x14ac:dyDescent="0.3">
      <c r="B52" s="4" t="s">
        <v>107</v>
      </c>
      <c r="C52" s="5">
        <f>C51*G46</f>
        <v>683564.90895387845</v>
      </c>
    </row>
    <row r="53" spans="2:7" ht="14" customHeight="1" x14ac:dyDescent="0.3">
      <c r="B53" s="4" t="s">
        <v>108</v>
      </c>
      <c r="C53" s="5">
        <f>C50+C52</f>
        <v>1018485.7012520977</v>
      </c>
    </row>
    <row r="54" spans="2:7" ht="14" customHeight="1" x14ac:dyDescent="0.3">
      <c r="B54" s="4" t="s">
        <v>109</v>
      </c>
      <c r="C54" s="5">
        <f>C53-C16</f>
        <v>1003495.7012520977</v>
      </c>
    </row>
    <row r="55" spans="2:7" ht="14" customHeight="1" x14ac:dyDescent="0.3">
      <c r="B55" s="4" t="s">
        <v>110</v>
      </c>
      <c r="C55" s="24">
        <f>ROUND(C54*1000000/C15,0)</f>
        <v>1776</v>
      </c>
    </row>
    <row r="57" spans="2:7" ht="14" customHeight="1" x14ac:dyDescent="0.3">
      <c r="B57" s="22" t="s">
        <v>111</v>
      </c>
      <c r="C57" s="23"/>
      <c r="D57" s="23"/>
      <c r="E57" s="23"/>
      <c r="F57" s="23"/>
      <c r="G57" s="23"/>
    </row>
    <row r="58" spans="2:7" ht="14" customHeight="1" x14ac:dyDescent="0.3">
      <c r="B58" s="4" t="s">
        <v>105</v>
      </c>
      <c r="C58" s="5">
        <f>C50</f>
        <v>334920.79229821922</v>
      </c>
    </row>
    <row r="59" spans="2:7" ht="14" customHeight="1" x14ac:dyDescent="0.3">
      <c r="B59" s="4" t="s">
        <v>112</v>
      </c>
      <c r="C59" s="5">
        <f>G39+G42</f>
        <v>218628.0485805053</v>
      </c>
    </row>
    <row r="60" spans="2:7" ht="14" customHeight="1" x14ac:dyDescent="0.3">
      <c r="B60" s="4" t="s">
        <v>113</v>
      </c>
      <c r="C60" s="5">
        <f>C59*C14</f>
        <v>2470496.9489597101</v>
      </c>
    </row>
    <row r="61" spans="2:7" ht="14" customHeight="1" x14ac:dyDescent="0.3">
      <c r="B61" s="4" t="s">
        <v>107</v>
      </c>
      <c r="C61" s="5">
        <f>C60*G46</f>
        <v>1533124.7329656284</v>
      </c>
    </row>
    <row r="62" spans="2:7" ht="14" customHeight="1" x14ac:dyDescent="0.3">
      <c r="B62" s="4" t="s">
        <v>108</v>
      </c>
      <c r="C62" s="5">
        <f>C58+C61</f>
        <v>1868045.5252638476</v>
      </c>
    </row>
    <row r="63" spans="2:7" ht="14" customHeight="1" x14ac:dyDescent="0.3">
      <c r="B63" s="4" t="s">
        <v>109</v>
      </c>
      <c r="C63" s="5">
        <f>C62-C16</f>
        <v>1853055.5252638476</v>
      </c>
    </row>
    <row r="64" spans="2:7" ht="14" customHeight="1" x14ac:dyDescent="0.3">
      <c r="B64" s="4" t="s">
        <v>114</v>
      </c>
      <c r="C64" s="24">
        <f>ROUND(C63*1000000/C15,0)</f>
        <v>3279</v>
      </c>
    </row>
    <row r="66" spans="2:7" ht="14" customHeight="1" x14ac:dyDescent="0.3">
      <c r="B66" s="22" t="s">
        <v>115</v>
      </c>
      <c r="C66" s="23"/>
      <c r="D66" s="23"/>
      <c r="E66" s="23"/>
      <c r="F66" s="23"/>
      <c r="G66" s="23"/>
    </row>
    <row r="67" spans="2:7" ht="14" customHeight="1" x14ac:dyDescent="0.3">
      <c r="C67" s="25" t="s">
        <v>116</v>
      </c>
      <c r="D67" s="25" t="s">
        <v>117</v>
      </c>
      <c r="E67" s="25" t="s">
        <v>118</v>
      </c>
      <c r="F67" s="25" t="s">
        <v>119</v>
      </c>
      <c r="G67" s="25" t="s">
        <v>120</v>
      </c>
    </row>
    <row r="68" spans="2:7" ht="14" customHeight="1" x14ac:dyDescent="0.3">
      <c r="B68" s="3" t="s">
        <v>46</v>
      </c>
    </row>
    <row r="69" spans="2:7" ht="14" customHeight="1" x14ac:dyDescent="0.3">
      <c r="B69" s="4" t="s">
        <v>84</v>
      </c>
      <c r="C69" s="26">
        <v>0.03</v>
      </c>
      <c r="D69" s="26">
        <v>0.03</v>
      </c>
      <c r="E69" s="26">
        <v>2.5000000000000001E-2</v>
      </c>
      <c r="F69" s="26">
        <v>2.5000000000000001E-2</v>
      </c>
      <c r="G69" s="26">
        <v>0.02</v>
      </c>
    </row>
    <row r="70" spans="2:7" ht="14" customHeight="1" x14ac:dyDescent="0.3">
      <c r="B70" s="4" t="s">
        <v>121</v>
      </c>
      <c r="C70" s="26">
        <v>0.05</v>
      </c>
      <c r="D70" s="26">
        <v>4.4999999999999998E-2</v>
      </c>
      <c r="E70" s="26">
        <v>0.04</v>
      </c>
      <c r="F70" s="26">
        <v>3.5000000000000003E-2</v>
      </c>
      <c r="G70" s="26">
        <v>0.03</v>
      </c>
    </row>
    <row r="71" spans="2:7" ht="14" customHeight="1" x14ac:dyDescent="0.3">
      <c r="B71" s="4" t="s">
        <v>122</v>
      </c>
      <c r="C71" s="26">
        <v>0.03</v>
      </c>
      <c r="D71" s="26">
        <v>0.03</v>
      </c>
      <c r="E71" s="26">
        <v>2.5000000000000001E-2</v>
      </c>
      <c r="F71" s="26">
        <v>2.5000000000000001E-2</v>
      </c>
      <c r="G71" s="26">
        <v>0.02</v>
      </c>
    </row>
    <row r="72" spans="2:7" ht="14" customHeight="1" x14ac:dyDescent="0.3">
      <c r="B72" s="4" t="s">
        <v>123</v>
      </c>
      <c r="C72" s="26">
        <v>0.01</v>
      </c>
      <c r="D72" s="26">
        <v>1.4999999999999999E-2</v>
      </c>
      <c r="E72" s="26">
        <v>0.02</v>
      </c>
      <c r="F72" s="26">
        <v>0.02</v>
      </c>
      <c r="G72" s="26">
        <v>0.02</v>
      </c>
    </row>
    <row r="73" spans="2:7" ht="14" customHeight="1" x14ac:dyDescent="0.3">
      <c r="B73" s="4" t="s">
        <v>124</v>
      </c>
      <c r="C73" s="26">
        <v>-0.06</v>
      </c>
      <c r="D73" s="26">
        <v>-0.01</v>
      </c>
      <c r="E73" s="26">
        <v>0.01</v>
      </c>
      <c r="F73" s="26">
        <v>1.4999999999999999E-2</v>
      </c>
      <c r="G73" s="26">
        <v>1.4999999999999999E-2</v>
      </c>
    </row>
    <row r="75" spans="2:7" ht="14" customHeight="1" x14ac:dyDescent="0.3">
      <c r="B75" s="3" t="s">
        <v>91</v>
      </c>
    </row>
    <row r="76" spans="2:7" ht="14" customHeight="1" x14ac:dyDescent="0.3">
      <c r="B76" s="4" t="s">
        <v>84</v>
      </c>
      <c r="C76" s="26">
        <v>0.44500000000000001</v>
      </c>
      <c r="D76" s="26">
        <v>0.44500000000000001</v>
      </c>
      <c r="E76" s="26">
        <v>0.44500000000000001</v>
      </c>
      <c r="F76" s="26">
        <v>0.44500000000000001</v>
      </c>
      <c r="G76" s="26">
        <v>0.44500000000000001</v>
      </c>
    </row>
    <row r="77" spans="2:7" ht="14" customHeight="1" x14ac:dyDescent="0.3">
      <c r="B77" s="4" t="s">
        <v>121</v>
      </c>
      <c r="C77" s="26">
        <v>0.435</v>
      </c>
      <c r="D77" s="26">
        <v>0.435</v>
      </c>
      <c r="E77" s="26">
        <v>0.435</v>
      </c>
      <c r="F77" s="26">
        <v>0.435</v>
      </c>
      <c r="G77" s="26">
        <v>0.435</v>
      </c>
    </row>
    <row r="78" spans="2:7" ht="14" customHeight="1" x14ac:dyDescent="0.3">
      <c r="B78" s="4" t="s">
        <v>122</v>
      </c>
      <c r="C78" s="26">
        <v>0.44500000000000001</v>
      </c>
      <c r="D78" s="26">
        <v>0.44500000000000001</v>
      </c>
      <c r="E78" s="26">
        <v>0.44500000000000001</v>
      </c>
      <c r="F78" s="26">
        <v>0.44500000000000001</v>
      </c>
      <c r="G78" s="26">
        <v>0.44500000000000001</v>
      </c>
    </row>
    <row r="79" spans="2:7" ht="14" customHeight="1" x14ac:dyDescent="0.3">
      <c r="B79" s="4" t="s">
        <v>123</v>
      </c>
      <c r="C79" s="26">
        <v>0.45500000000000002</v>
      </c>
      <c r="D79" s="26">
        <v>0.45500000000000002</v>
      </c>
      <c r="E79" s="26">
        <v>0.45500000000000002</v>
      </c>
      <c r="F79" s="26">
        <v>0.45500000000000002</v>
      </c>
      <c r="G79" s="26">
        <v>0.45500000000000002</v>
      </c>
    </row>
    <row r="80" spans="2:7" ht="14" customHeight="1" x14ac:dyDescent="0.3">
      <c r="B80" s="4" t="s">
        <v>124</v>
      </c>
      <c r="C80" s="26">
        <v>0.47199999999999998</v>
      </c>
      <c r="D80" s="26">
        <v>0.47199999999999998</v>
      </c>
      <c r="E80" s="26">
        <v>0.47199999999999998</v>
      </c>
      <c r="F80" s="26">
        <v>0.47199999999999998</v>
      </c>
      <c r="G80" s="26">
        <v>0.47199999999999998</v>
      </c>
    </row>
    <row r="82" spans="2:7" ht="14" customHeight="1" x14ac:dyDescent="0.3">
      <c r="B82" s="3" t="s">
        <v>92</v>
      </c>
    </row>
    <row r="83" spans="2:7" ht="14" customHeight="1" x14ac:dyDescent="0.3">
      <c r="B83" s="4" t="s">
        <v>84</v>
      </c>
      <c r="C83" s="26">
        <v>0.42149999999999999</v>
      </c>
      <c r="D83" s="26">
        <v>0.42109999999999997</v>
      </c>
      <c r="E83" s="26">
        <v>0.42080000000000001</v>
      </c>
      <c r="F83" s="26">
        <v>0.42059999999999997</v>
      </c>
      <c r="G83" s="26">
        <v>0.4204</v>
      </c>
    </row>
    <row r="84" spans="2:7" ht="14" customHeight="1" x14ac:dyDescent="0.3">
      <c r="B84" s="4" t="s">
        <v>121</v>
      </c>
      <c r="C84" s="26">
        <v>0.42699999999999999</v>
      </c>
      <c r="D84" s="26">
        <v>0.42449999999999999</v>
      </c>
      <c r="E84" s="26">
        <v>0.42249999999999999</v>
      </c>
      <c r="F84" s="26">
        <v>0.42120000000000002</v>
      </c>
      <c r="G84" s="26">
        <v>0.42020000000000002</v>
      </c>
    </row>
    <row r="85" spans="2:7" ht="14" customHeight="1" x14ac:dyDescent="0.3">
      <c r="B85" s="4" t="s">
        <v>122</v>
      </c>
      <c r="C85" s="26">
        <v>0.42149999999999999</v>
      </c>
      <c r="D85" s="26">
        <v>0.42109999999999997</v>
      </c>
      <c r="E85" s="26">
        <v>0.42080000000000001</v>
      </c>
      <c r="F85" s="26">
        <v>0.42059999999999997</v>
      </c>
      <c r="G85" s="26">
        <v>0.4204</v>
      </c>
    </row>
    <row r="86" spans="2:7" ht="14" customHeight="1" x14ac:dyDescent="0.3">
      <c r="B86" s="4" t="s">
        <v>123</v>
      </c>
      <c r="C86" s="26">
        <v>0.41449999999999998</v>
      </c>
      <c r="D86" s="26">
        <v>0.41649999999999998</v>
      </c>
      <c r="E86" s="26">
        <v>0.41799999999999998</v>
      </c>
      <c r="F86" s="26">
        <v>0.41899999999999998</v>
      </c>
      <c r="G86" s="26">
        <v>0.41949999999999998</v>
      </c>
    </row>
    <row r="87" spans="2:7" ht="14" customHeight="1" x14ac:dyDescent="0.3">
      <c r="B87" s="4" t="s">
        <v>124</v>
      </c>
      <c r="C87" s="26">
        <v>0.41799999999999998</v>
      </c>
      <c r="D87" s="26">
        <v>0.42799999999999999</v>
      </c>
      <c r="E87" s="26">
        <v>0.43099999999999999</v>
      </c>
      <c r="F87" s="26">
        <v>0.43099999999999999</v>
      </c>
      <c r="G87" s="26">
        <v>0.42899999999999999</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customHeight="1" x14ac:dyDescent="0.4">
      <c r="B2" s="2" t="s">
        <v>125</v>
      </c>
    </row>
    <row r="3" spans="2:9" ht="14" customHeight="1" x14ac:dyDescent="0.3">
      <c r="B3" s="1" t="s">
        <v>126</v>
      </c>
    </row>
    <row r="5" spans="2:9" ht="14" customHeight="1" x14ac:dyDescent="0.3">
      <c r="B5" s="8" t="s">
        <v>127</v>
      </c>
      <c r="C5" s="9"/>
      <c r="D5" s="9"/>
      <c r="E5" s="9"/>
      <c r="F5" s="9"/>
      <c r="G5" s="9"/>
      <c r="H5" s="9"/>
      <c r="I5" s="9"/>
    </row>
    <row r="6" spans="2:9" ht="14" customHeight="1" x14ac:dyDescent="0.3">
      <c r="B6" s="4" t="s">
        <v>128</v>
      </c>
      <c r="C6" s="15">
        <f>'Executive Summary'!C9</f>
        <v>3254</v>
      </c>
    </row>
    <row r="7" spans="2:9" ht="14" customHeight="1" x14ac:dyDescent="0.3">
      <c r="B7" s="4" t="s">
        <v>72</v>
      </c>
      <c r="C7" s="15">
        <f>'DCF Model'!C15</f>
        <v>565057598</v>
      </c>
    </row>
    <row r="8" spans="2:9" ht="14" customHeight="1" x14ac:dyDescent="0.3">
      <c r="B8" s="4" t="s">
        <v>129</v>
      </c>
      <c r="C8" s="5">
        <f>C6*C7/1000000</f>
        <v>1838697.423892</v>
      </c>
    </row>
    <row r="9" spans="2:9" ht="14" customHeight="1" x14ac:dyDescent="0.3">
      <c r="B9" s="4" t="s">
        <v>73</v>
      </c>
      <c r="C9" s="5">
        <f>'DCF Model'!C16</f>
        <v>14990</v>
      </c>
    </row>
    <row r="10" spans="2:9" ht="14" customHeight="1" x14ac:dyDescent="0.3">
      <c r="B10" s="4" t="s">
        <v>130</v>
      </c>
      <c r="C10" s="5">
        <f>C8+C9</f>
        <v>1853687.423892</v>
      </c>
    </row>
    <row r="11" spans="2:9" ht="14" customHeight="1" x14ac:dyDescent="0.3">
      <c r="B11" s="4" t="s">
        <v>131</v>
      </c>
      <c r="C11" s="16">
        <f>'DCF Model'!C26</f>
        <v>0.10012330886728824</v>
      </c>
    </row>
    <row r="12" spans="2:9" ht="14" customHeight="1" x14ac:dyDescent="0.3">
      <c r="B12" s="4" t="s">
        <v>132</v>
      </c>
      <c r="C12" s="16">
        <f>'DCF Model'!C13</f>
        <v>0.01</v>
      </c>
    </row>
    <row r="13" spans="2:9" ht="14" customHeight="1" x14ac:dyDescent="0.3">
      <c r="B13" s="4" t="s">
        <v>133</v>
      </c>
      <c r="C13" s="16">
        <f>'DCF Model'!C6</f>
        <v>0.25</v>
      </c>
    </row>
    <row r="14" spans="2:9" ht="14" customHeight="1" x14ac:dyDescent="0.3">
      <c r="B14" s="4" t="s">
        <v>134</v>
      </c>
      <c r="C14" s="27">
        <v>121268</v>
      </c>
    </row>
    <row r="15" spans="2:9" ht="14" customHeight="1" x14ac:dyDescent="0.3">
      <c r="B15" s="4" t="s">
        <v>135</v>
      </c>
      <c r="C15" s="27">
        <v>138270</v>
      </c>
    </row>
    <row r="16" spans="2:9" ht="14" customHeight="1" x14ac:dyDescent="0.3">
      <c r="B16" s="4" t="s">
        <v>136</v>
      </c>
      <c r="C16" s="5">
        <f>'DCF Model'!G33</f>
        <v>1037134.9553154899</v>
      </c>
    </row>
    <row r="17" spans="2:9" ht="14" customHeight="1" x14ac:dyDescent="0.3">
      <c r="B17" s="4" t="s">
        <v>137</v>
      </c>
      <c r="C17" s="5">
        <f>'DCF Model'!C53</f>
        <v>1018485.7012520977</v>
      </c>
    </row>
    <row r="18" spans="2:9" ht="14" customHeight="1" x14ac:dyDescent="0.3">
      <c r="B18" s="4" t="s">
        <v>138</v>
      </c>
      <c r="C18" s="26">
        <v>0.17037116443090711</v>
      </c>
    </row>
    <row r="19" spans="2:9" ht="14" customHeight="1" x14ac:dyDescent="0.3">
      <c r="B19" s="4" t="s">
        <v>139</v>
      </c>
      <c r="C19" s="5">
        <f>C10-C17</f>
        <v>835201.72263990226</v>
      </c>
    </row>
    <row r="20" spans="2:9" ht="14" customHeight="1" x14ac:dyDescent="0.3">
      <c r="B20" s="4" t="s">
        <v>140</v>
      </c>
      <c r="C20" s="15">
        <f>IFERROR(ROUND(C19*1000000/C7,0),"N/A")</f>
        <v>1478</v>
      </c>
    </row>
    <row r="22" spans="2:9" ht="14" customHeight="1" x14ac:dyDescent="0.3">
      <c r="B22" s="8" t="s">
        <v>141</v>
      </c>
      <c r="C22" s="9"/>
      <c r="D22" s="9"/>
      <c r="E22" s="9"/>
      <c r="F22" s="9"/>
      <c r="G22" s="9"/>
      <c r="H22" s="9"/>
      <c r="I22" s="9"/>
    </row>
    <row r="23" spans="2:9" ht="14" customHeight="1" x14ac:dyDescent="0.3">
      <c r="B23" s="1" t="s">
        <v>142</v>
      </c>
    </row>
    <row r="24" spans="2:9" ht="14" customHeight="1" x14ac:dyDescent="0.3">
      <c r="B24" s="4" t="s">
        <v>143</v>
      </c>
      <c r="C24" s="5">
        <f>C10*(C11-C12)</f>
        <v>167060.44424682658</v>
      </c>
    </row>
    <row r="25" spans="2:9" ht="14" customHeight="1" x14ac:dyDescent="0.3">
      <c r="B25" s="4" t="s">
        <v>144</v>
      </c>
      <c r="C25" s="5">
        <f>IFERROR(C24/(1-C13),"N/A")</f>
        <v>222747.25899576876</v>
      </c>
    </row>
    <row r="26" spans="2:9" ht="13.5" customHeight="1" x14ac:dyDescent="0.25">
      <c r="B26" s="6" t="s">
        <v>145</v>
      </c>
      <c r="C26" s="14">
        <f>IFERROR(C25/C15,"N/A")</f>
        <v>1.6109586967221288</v>
      </c>
    </row>
    <row r="27" spans="2:9" ht="13.5" customHeight="1" x14ac:dyDescent="0.25">
      <c r="B27" s="6" t="s">
        <v>146</v>
      </c>
      <c r="C27" s="14">
        <f>IFERROR(C25/C14,"N/A")</f>
        <v>1.836818113564739</v>
      </c>
    </row>
    <row r="28" spans="2:9" ht="13.5" customHeight="1" x14ac:dyDescent="0.25">
      <c r="B28" s="6" t="s">
        <v>147</v>
      </c>
      <c r="C28" s="7">
        <f>IFERROR(C25/C16,"N/A")</f>
        <v>0.21477172074294848</v>
      </c>
    </row>
    <row r="29" spans="2:9" ht="13.5" customHeight="1" x14ac:dyDescent="0.25">
      <c r="B29" s="6" t="s">
        <v>148</v>
      </c>
      <c r="C29" s="5">
        <f>IFERROR(C25/C18,"N/A")</f>
        <v>1307423.470044442</v>
      </c>
    </row>
    <row r="32" spans="2:9" ht="14" customHeight="1" x14ac:dyDescent="0.3">
      <c r="B32" s="8" t="s">
        <v>149</v>
      </c>
      <c r="C32" s="9"/>
      <c r="D32" s="9"/>
      <c r="E32" s="9"/>
      <c r="F32" s="9"/>
      <c r="G32" s="9"/>
      <c r="H32" s="9"/>
      <c r="I32" s="9"/>
    </row>
    <row r="33" spans="2:9" ht="14" customHeight="1" x14ac:dyDescent="0.3">
      <c r="B33" s="1" t="s">
        <v>150</v>
      </c>
    </row>
    <row r="34" spans="2:9" ht="14" customHeight="1" x14ac:dyDescent="0.3">
      <c r="B34" s="1" t="s">
        <v>151</v>
      </c>
    </row>
    <row r="36" spans="2:9" ht="14" customHeight="1" x14ac:dyDescent="0.3">
      <c r="B36" s="28" t="s">
        <v>152</v>
      </c>
      <c r="C36" s="28" t="s">
        <v>153</v>
      </c>
      <c r="D36" s="29">
        <f>'DCF Model'!C26-0.02</f>
        <v>8.0123308867288232E-2</v>
      </c>
      <c r="E36" s="29">
        <f>'DCF Model'!C26-0.01</f>
        <v>9.012330886728824E-2</v>
      </c>
      <c r="F36" s="29">
        <f>'DCF Model'!C26</f>
        <v>0.10012330886728824</v>
      </c>
      <c r="G36" s="29">
        <f>'DCF Model'!C26+0.01</f>
        <v>0.11012330886728823</v>
      </c>
      <c r="H36" s="29">
        <f>'DCF Model'!C26+0.02</f>
        <v>0.12012330886728824</v>
      </c>
    </row>
    <row r="37" spans="2:9" ht="14" customHeight="1" x14ac:dyDescent="0.3">
      <c r="B37" s="3" t="s">
        <v>154</v>
      </c>
    </row>
    <row r="38" spans="2:9" ht="14" customHeight="1" x14ac:dyDescent="0.3">
      <c r="B38" s="4" t="s">
        <v>155</v>
      </c>
      <c r="C38" s="30">
        <v>3</v>
      </c>
      <c r="D38" s="13">
        <f t="shared" ref="D38:H41" si="0">IFERROR((1-(1+D$36)^(-$C38))/D$36-(1+D$36)/(D$36^2*$C38)*(1-($C38+1)/(1+D$36)^$C38+$C38/(1+D$36)^($C38+1)),"N/A")</f>
        <v>0.90292784058276765</v>
      </c>
      <c r="E38" s="13">
        <f t="shared" si="0"/>
        <v>0.89204814234119367</v>
      </c>
      <c r="F38" s="13">
        <f t="shared" si="0"/>
        <v>0.88141301643534797</v>
      </c>
      <c r="G38" s="13">
        <f t="shared" si="0"/>
        <v>0.87101460069164327</v>
      </c>
      <c r="H38" s="13">
        <f t="shared" si="0"/>
        <v>0.86084535803767248</v>
      </c>
    </row>
    <row r="39" spans="2:9" ht="14" customHeight="1" x14ac:dyDescent="0.3">
      <c r="B39" s="4" t="s">
        <v>156</v>
      </c>
      <c r="C39" s="30">
        <v>5</v>
      </c>
      <c r="D39" s="13">
        <f t="shared" si="0"/>
        <v>1.7193050354075994</v>
      </c>
      <c r="E39" s="13">
        <f t="shared" si="0"/>
        <v>1.6891452252007069</v>
      </c>
      <c r="F39" s="13">
        <f t="shared" si="0"/>
        <v>1.6599141578675956</v>
      </c>
      <c r="G39" s="13">
        <f t="shared" si="0"/>
        <v>1.6315727186985511</v>
      </c>
      <c r="H39" s="13">
        <f t="shared" si="0"/>
        <v>1.604083841310926</v>
      </c>
    </row>
    <row r="40" spans="2:9" ht="14" customHeight="1" x14ac:dyDescent="0.3">
      <c r="B40" s="4" t="s">
        <v>157</v>
      </c>
      <c r="C40" s="30">
        <v>7</v>
      </c>
      <c r="D40" s="13">
        <f t="shared" si="0"/>
        <v>2.4584412571970455</v>
      </c>
      <c r="E40" s="13">
        <f t="shared" si="0"/>
        <v>2.4026290130136294</v>
      </c>
      <c r="F40" s="13">
        <f t="shared" si="0"/>
        <v>2.3489787230201187</v>
      </c>
      <c r="G40" s="13">
        <f t="shared" si="0"/>
        <v>2.2973785661973833</v>
      </c>
      <c r="H40" s="13">
        <f t="shared" si="0"/>
        <v>2.2477237705828292</v>
      </c>
    </row>
    <row r="41" spans="2:9" ht="14" customHeight="1" x14ac:dyDescent="0.3">
      <c r="B41" s="4" t="s">
        <v>158</v>
      </c>
      <c r="C41" s="30">
        <v>10</v>
      </c>
      <c r="D41" s="13">
        <f t="shared" si="0"/>
        <v>3.4400900725665151</v>
      </c>
      <c r="E41" s="13">
        <f t="shared" si="0"/>
        <v>3.3373800314333169</v>
      </c>
      <c r="F41" s="13">
        <f t="shared" si="0"/>
        <v>3.2398028428855161</v>
      </c>
      <c r="G41" s="13">
        <f t="shared" si="0"/>
        <v>3.1470224777851996</v>
      </c>
      <c r="H41" s="13">
        <f t="shared" si="0"/>
        <v>3.058729254678596</v>
      </c>
    </row>
    <row r="42" spans="2:9" ht="14" customHeight="1" x14ac:dyDescent="0.3">
      <c r="B42" s="3" t="s">
        <v>159</v>
      </c>
    </row>
    <row r="43" spans="2:9" ht="14" customHeight="1" x14ac:dyDescent="0.3">
      <c r="B43" s="4" t="s">
        <v>155</v>
      </c>
      <c r="C43" s="30">
        <v>3</v>
      </c>
      <c r="D43" s="13">
        <f t="shared" ref="D43:H46" si="1">IFERROR((1+D$36)/(D$36^2*$C43)*(1-($C43+1)/(1+D$36)^$C43+$C43/(1+D$36)^($C43+1))+(1+$C$12)/((D$36-$C$12)*(1+D$36)^$C43),"N/A")</f>
        <v>13.103404473918845</v>
      </c>
      <c r="E43" s="13">
        <f t="shared" si="1"/>
        <v>11.369200722641569</v>
      </c>
      <c r="F43" s="13">
        <f t="shared" si="1"/>
        <v>10.021953848151606</v>
      </c>
      <c r="G43" s="13">
        <f t="shared" si="1"/>
        <v>8.9456562766141019</v>
      </c>
      <c r="H43" s="13">
        <f t="shared" si="1"/>
        <v>8.0664402266124551</v>
      </c>
    </row>
    <row r="44" spans="2:9" ht="14" customHeight="1" x14ac:dyDescent="0.3">
      <c r="B44" s="4" t="s">
        <v>156</v>
      </c>
      <c r="C44" s="30">
        <v>5</v>
      </c>
      <c r="D44" s="13">
        <f t="shared" si="1"/>
        <v>12.069089095413217</v>
      </c>
      <c r="E44" s="13">
        <f t="shared" si="1"/>
        <v>10.387385081920296</v>
      </c>
      <c r="F44" s="13">
        <f t="shared" si="1"/>
        <v>9.0843629560803638</v>
      </c>
      <c r="G44" s="13">
        <f t="shared" si="1"/>
        <v>8.0463306614864365</v>
      </c>
      <c r="H44" s="13">
        <f t="shared" si="1"/>
        <v>7.2009039756140663</v>
      </c>
    </row>
    <row r="45" spans="2:9" ht="14" customHeight="1" x14ac:dyDescent="0.3">
      <c r="B45" s="4" t="s">
        <v>157</v>
      </c>
      <c r="C45" s="30">
        <v>7</v>
      </c>
      <c r="D45" s="13">
        <f t="shared" si="1"/>
        <v>11.143148667457893</v>
      </c>
      <c r="E45" s="13">
        <f t="shared" si="1"/>
        <v>9.51846255032161</v>
      </c>
      <c r="F45" s="13">
        <f t="shared" si="1"/>
        <v>8.2638487305632964</v>
      </c>
      <c r="G45" s="13">
        <f t="shared" si="1"/>
        <v>7.2679230193660649</v>
      </c>
      <c r="H45" s="13">
        <f t="shared" si="1"/>
        <v>6.4597904789892961</v>
      </c>
    </row>
    <row r="46" spans="2:9" ht="14" customHeight="1" x14ac:dyDescent="0.3">
      <c r="B46" s="4" t="s">
        <v>158</v>
      </c>
      <c r="C46" s="30">
        <v>10</v>
      </c>
      <c r="D46" s="13">
        <f t="shared" si="1"/>
        <v>9.9301167115419986</v>
      </c>
      <c r="E46" s="13">
        <f t="shared" si="1"/>
        <v>8.3955050232157653</v>
      </c>
      <c r="F46" s="13">
        <f t="shared" si="1"/>
        <v>7.2174028446966911</v>
      </c>
      <c r="G46" s="13">
        <f t="shared" si="1"/>
        <v>6.2879039496411018</v>
      </c>
      <c r="H46" s="13">
        <f t="shared" si="1"/>
        <v>5.5383831789938673</v>
      </c>
    </row>
    <row r="47" spans="2:9" ht="14" customHeight="1" x14ac:dyDescent="0.3">
      <c r="B47" s="22" t="s">
        <v>160</v>
      </c>
      <c r="C47" s="23"/>
      <c r="D47" s="23"/>
      <c r="E47" s="23"/>
      <c r="F47" s="23"/>
      <c r="G47" s="23"/>
      <c r="H47" s="23"/>
      <c r="I47" s="23"/>
    </row>
    <row r="48" spans="2:9" ht="14" customHeight="1" x14ac:dyDescent="0.3">
      <c r="B48" s="4" t="s">
        <v>155</v>
      </c>
      <c r="C48" s="30">
        <v>3</v>
      </c>
      <c r="D48" s="5">
        <f t="shared" ref="D48:H51" si="2">IFERROR(($C$10/(1-$C$13)-$C$14*D38)/D43,"N/A")</f>
        <v>180265.13515519819</v>
      </c>
      <c r="E48" s="5">
        <f t="shared" si="2"/>
        <v>207877.96744795656</v>
      </c>
      <c r="F48" s="5">
        <f t="shared" si="2"/>
        <v>235951.5992597641</v>
      </c>
      <c r="G48" s="5">
        <f t="shared" si="2"/>
        <v>264481.10234734305</v>
      </c>
      <c r="H48" s="5">
        <f t="shared" si="2"/>
        <v>293461.57294611254</v>
      </c>
    </row>
    <row r="49" spans="2:9" ht="14" customHeight="1" x14ac:dyDescent="0.3">
      <c r="B49" s="4" t="s">
        <v>156</v>
      </c>
      <c r="C49" s="30">
        <v>5</v>
      </c>
      <c r="D49" s="5">
        <f t="shared" si="2"/>
        <v>187510.96548638982</v>
      </c>
      <c r="E49" s="5">
        <f t="shared" si="2"/>
        <v>218220.84680693402</v>
      </c>
      <c r="F49" s="5">
        <f t="shared" si="2"/>
        <v>249911.71893238349</v>
      </c>
      <c r="G49" s="5">
        <f t="shared" si="2"/>
        <v>282579.19877541153</v>
      </c>
      <c r="H49" s="5">
        <f t="shared" si="2"/>
        <v>316218.51927191234</v>
      </c>
    </row>
    <row r="50" spans="2:9" ht="14" customHeight="1" x14ac:dyDescent="0.3">
      <c r="B50" s="4" t="s">
        <v>157</v>
      </c>
      <c r="C50" s="30">
        <v>7</v>
      </c>
      <c r="D50" s="5">
        <f t="shared" si="2"/>
        <v>195048.36939181417</v>
      </c>
      <c r="E50" s="5">
        <f t="shared" si="2"/>
        <v>229051.82482776046</v>
      </c>
      <c r="F50" s="5">
        <f t="shared" si="2"/>
        <v>264613.66263703862</v>
      </c>
      <c r="G50" s="5">
        <f t="shared" si="2"/>
        <v>301734.72146677418</v>
      </c>
      <c r="H50" s="5">
        <f t="shared" si="2"/>
        <v>340414.48755920329</v>
      </c>
    </row>
    <row r="51" spans="2:9" ht="14" customHeight="1" x14ac:dyDescent="0.3">
      <c r="B51" s="4" t="s">
        <v>158</v>
      </c>
      <c r="C51" s="30">
        <v>10</v>
      </c>
      <c r="D51" s="5">
        <f t="shared" si="2"/>
        <v>206886.83211025267</v>
      </c>
      <c r="E51" s="5">
        <f t="shared" si="2"/>
        <v>246187.19475346874</v>
      </c>
      <c r="F51" s="5">
        <f t="shared" si="2"/>
        <v>288012.02668524679</v>
      </c>
      <c r="G51" s="5">
        <f t="shared" si="2"/>
        <v>332376.27781181899</v>
      </c>
      <c r="H51" s="5">
        <f t="shared" si="2"/>
        <v>379290.70356978313</v>
      </c>
    </row>
    <row r="52" spans="2:9" ht="14" customHeight="1" x14ac:dyDescent="0.3">
      <c r="B52" s="22" t="s">
        <v>161</v>
      </c>
      <c r="C52" s="23"/>
      <c r="D52" s="23"/>
      <c r="E52" s="23"/>
      <c r="F52" s="23"/>
      <c r="G52" s="23"/>
      <c r="H52" s="23"/>
      <c r="I52" s="23"/>
    </row>
    <row r="53" spans="2:9" ht="14" customHeight="1" x14ac:dyDescent="0.3">
      <c r="B53" s="4" t="s">
        <v>155</v>
      </c>
      <c r="C53" s="30">
        <v>3</v>
      </c>
      <c r="D53" s="14">
        <f t="shared" ref="D53:H56" si="3">IFERROR(D48/$C$15,"N/A")</f>
        <v>1.3037183420495999</v>
      </c>
      <c r="E53" s="14">
        <f t="shared" si="3"/>
        <v>1.5034206078538841</v>
      </c>
      <c r="F53" s="14">
        <f t="shared" si="3"/>
        <v>1.7064554802904759</v>
      </c>
      <c r="G53" s="14">
        <f t="shared" si="3"/>
        <v>1.9127873171862519</v>
      </c>
      <c r="H53" s="14">
        <f t="shared" si="3"/>
        <v>2.1223806534035767</v>
      </c>
    </row>
    <row r="54" spans="2:9" ht="14" customHeight="1" x14ac:dyDescent="0.3">
      <c r="B54" s="4" t="s">
        <v>156</v>
      </c>
      <c r="C54" s="30">
        <v>5</v>
      </c>
      <c r="D54" s="14">
        <f t="shared" si="3"/>
        <v>1.3561218303781719</v>
      </c>
      <c r="E54" s="14">
        <f t="shared" si="3"/>
        <v>1.5782226571702758</v>
      </c>
      <c r="F54" s="14">
        <f t="shared" si="3"/>
        <v>1.8074182319547516</v>
      </c>
      <c r="G54" s="14">
        <f t="shared" si="3"/>
        <v>2.0436768552499567</v>
      </c>
      <c r="H54" s="14">
        <f t="shared" si="3"/>
        <v>2.2869640505670961</v>
      </c>
    </row>
    <row r="55" spans="2:9" ht="14" customHeight="1" x14ac:dyDescent="0.3">
      <c r="B55" s="4" t="s">
        <v>157</v>
      </c>
      <c r="C55" s="30">
        <v>7</v>
      </c>
      <c r="D55" s="14">
        <f t="shared" si="3"/>
        <v>1.4106340449252488</v>
      </c>
      <c r="E55" s="14">
        <f t="shared" si="3"/>
        <v>1.6565547467112205</v>
      </c>
      <c r="F55" s="14">
        <f t="shared" si="3"/>
        <v>1.913746023266353</v>
      </c>
      <c r="G55" s="14">
        <f t="shared" si="3"/>
        <v>2.1822139398768652</v>
      </c>
      <c r="H55" s="14">
        <f t="shared" si="3"/>
        <v>2.4619547809300881</v>
      </c>
    </row>
    <row r="56" spans="2:9" ht="14" customHeight="1" x14ac:dyDescent="0.3">
      <c r="B56" s="4" t="s">
        <v>158</v>
      </c>
      <c r="C56" s="30">
        <v>10</v>
      </c>
      <c r="D56" s="14">
        <f t="shared" si="3"/>
        <v>1.4962524922995057</v>
      </c>
      <c r="E56" s="14">
        <f t="shared" si="3"/>
        <v>1.7804816283609513</v>
      </c>
      <c r="F56" s="14">
        <f t="shared" si="3"/>
        <v>2.0829682988735576</v>
      </c>
      <c r="G56" s="14">
        <f t="shared" si="3"/>
        <v>2.4038206249498733</v>
      </c>
      <c r="H56" s="14">
        <f t="shared" si="3"/>
        <v>2.7431163923467357</v>
      </c>
    </row>
    <row r="58" spans="2:9" ht="14" customHeight="1" x14ac:dyDescent="0.3">
      <c r="B58" s="8" t="s">
        <v>162</v>
      </c>
      <c r="C58" s="9"/>
      <c r="D58" s="9"/>
      <c r="E58" s="9"/>
      <c r="F58" s="9"/>
      <c r="G58" s="9"/>
      <c r="H58" s="9"/>
      <c r="I58" s="9"/>
    </row>
    <row r="59" spans="2:9" ht="14" customHeight="1" x14ac:dyDescent="0.3">
      <c r="B59" s="1" t="s">
        <v>163</v>
      </c>
    </row>
    <row r="60" spans="2:9" ht="14" customHeight="1" x14ac:dyDescent="0.3">
      <c r="B60" s="4" t="s">
        <v>164</v>
      </c>
      <c r="C60" s="5">
        <f>F49</f>
        <v>249911.71893238349</v>
      </c>
    </row>
    <row r="62" spans="2:9" ht="14" customHeight="1" x14ac:dyDescent="0.3">
      <c r="B62" s="28" t="s">
        <v>165</v>
      </c>
      <c r="C62" s="28" t="s">
        <v>166</v>
      </c>
      <c r="D62" s="28" t="s">
        <v>167</v>
      </c>
    </row>
    <row r="63" spans="2:9" ht="14" customHeight="1" x14ac:dyDescent="0.3">
      <c r="B63" s="31">
        <v>8.5199999999999998E-2</v>
      </c>
      <c r="C63" s="5">
        <f>IFERROR($C$60/B63,"N/A")</f>
        <v>2933236.1377040315</v>
      </c>
      <c r="D63" s="14">
        <f>IFERROR(C63/'DCF Model'!C17,"N/A")</f>
        <v>3.2153933335058356</v>
      </c>
    </row>
    <row r="64" spans="2:9" ht="14" customHeight="1" x14ac:dyDescent="0.3">
      <c r="B64" s="31">
        <v>0.1278</v>
      </c>
      <c r="C64" s="5">
        <f>IFERROR($C$60/B64,"N/A")</f>
        <v>1955490.7584693544</v>
      </c>
      <c r="D64" s="14">
        <f>IFERROR(C64/'DCF Model'!C17,"N/A")</f>
        <v>2.143595555670557</v>
      </c>
    </row>
    <row r="65" spans="2:9" ht="14" customHeight="1" x14ac:dyDescent="0.3">
      <c r="B65" s="4" t="s">
        <v>168</v>
      </c>
      <c r="C65" s="5">
        <f>IFERROR($C$60/$C$18,"N/A")</f>
        <v>1466866.2961080689</v>
      </c>
      <c r="D65" s="14">
        <f>IFERROR(C65/'DCF Model'!C17,"N/A")</f>
        <v>1.6079687717682789</v>
      </c>
    </row>
    <row r="66" spans="2:9" ht="14" customHeight="1" x14ac:dyDescent="0.3">
      <c r="B66" s="31">
        <v>0.21299999999999999</v>
      </c>
      <c r="C66" s="5">
        <f>IFERROR($C$60/B66,"N/A")</f>
        <v>1173294.4550816126</v>
      </c>
      <c r="D66" s="14">
        <f>IFERROR(C66/'DCF Model'!C17,"N/A")</f>
        <v>1.2861573334023342</v>
      </c>
    </row>
    <row r="67" spans="2:9" ht="14" customHeight="1" x14ac:dyDescent="0.3">
      <c r="B67" s="31">
        <v>0.25559999999999999</v>
      </c>
      <c r="C67" s="5">
        <f>IFERROR($C$60/B67,"N/A")</f>
        <v>977745.37923467718</v>
      </c>
      <c r="D67" s="14">
        <f>IFERROR(C67/'DCF Model'!C17,"N/A")</f>
        <v>1.0717977778352785</v>
      </c>
    </row>
    <row r="69" spans="2:9" ht="14" customHeight="1" x14ac:dyDescent="0.3">
      <c r="B69" s="8" t="s">
        <v>169</v>
      </c>
      <c r="C69" s="9"/>
      <c r="D69" s="9"/>
      <c r="E69" s="9"/>
      <c r="F69" s="9"/>
      <c r="G69" s="9"/>
      <c r="H69" s="9"/>
      <c r="I69" s="9"/>
    </row>
    <row r="70" spans="2:9" ht="13.5" customHeight="1" x14ac:dyDescent="0.25">
      <c r="B70" s="6" t="s">
        <v>170</v>
      </c>
      <c r="C70" s="14">
        <f>IFERROR(C10/'Comps Analysis'!G5,"N/A")</f>
        <v>9.716514170429349</v>
      </c>
    </row>
    <row r="71" spans="2:9" ht="13.5" customHeight="1" x14ac:dyDescent="0.25">
      <c r="B71" s="6" t="s">
        <v>171</v>
      </c>
      <c r="C71" s="14">
        <f>IFERROR(C10/'Comps Analysis'!F5,"N/A")</f>
        <v>2.0319994386307232</v>
      </c>
    </row>
    <row r="72" spans="2:9" ht="14" customHeight="1" x14ac:dyDescent="0.3">
      <c r="B72" s="4" t="s">
        <v>172</v>
      </c>
      <c r="C72" s="14">
        <f>IFERROR(C10/(C25+'DCF Model'!G42),"N/A")</f>
        <v>6.1425747374128772</v>
      </c>
    </row>
    <row r="73" spans="2:9" ht="14" customHeight="1" x14ac:dyDescent="0.3">
      <c r="B73" s="4" t="s">
        <v>173</v>
      </c>
      <c r="C73" s="14">
        <f>IFERROR(C10/(C60+'DCF Model'!G42),"N/A")</f>
        <v>5.6353119724339304</v>
      </c>
    </row>
    <row r="74" spans="2:9" ht="14" customHeight="1" x14ac:dyDescent="0.3">
      <c r="B74" s="4" t="s">
        <v>174</v>
      </c>
      <c r="C74" s="14">
        <f>IFERROR('Comps Analysis'!D16,"N/A")</f>
        <v>11.264336621244084</v>
      </c>
    </row>
    <row r="75" spans="2:9" ht="14" customHeight="1" x14ac:dyDescent="0.3">
      <c r="B75" s="1" t="s">
        <v>175</v>
      </c>
    </row>
    <row r="77" spans="2:9" ht="14" customHeight="1" x14ac:dyDescent="0.3">
      <c r="B77" s="22" t="s">
        <v>176</v>
      </c>
      <c r="C77" s="23"/>
      <c r="D77" s="23"/>
      <c r="E77" s="23"/>
      <c r="F77" s="23"/>
      <c r="G77" s="23"/>
      <c r="H77" s="23"/>
      <c r="I77" s="23"/>
    </row>
    <row r="78" spans="2:9" ht="14" customHeight="1" x14ac:dyDescent="0.3">
      <c r="B78" s="4" t="str">
        <f>"At "&amp;TEXT(C6,"#,##0")&amp;" yen the market is paying for a steady-state operating profit of "&amp;TEXT(F49,"#,##0")&amp;" mn JPY - "&amp;TEXT(F54,"0.00")&amp;"x the FY2022 cycle peak of "&amp;TEXT(C15,"#,##0")&amp;" mn - reached in 5 years and sustained for ever, against "&amp;TEXT(C14,"#,##0")&amp;" mn actually earned in FY2026."</f>
        <v>At 3,254 yen the market is paying for a steady-state operating profit of 249,912 mn JPY - 1.81x the FY2022 cycle peak of 138,270 mn - reached in 5 years and sustained for ever, against 121,268 mn actually earned in FY2026.</v>
      </c>
    </row>
    <row r="79" spans="2:9" ht="14" customHeight="1"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222,747 mn, or 1.61x the peak. The base case supports an EV of only 1,018,486 mn, leaving 1,478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customHeight="1" x14ac:dyDescent="0.4">
      <c r="B2" s="2" t="s">
        <v>177</v>
      </c>
    </row>
    <row r="4" spans="2:8" ht="14" customHeight="1" x14ac:dyDescent="0.3">
      <c r="B4" s="8" t="s">
        <v>178</v>
      </c>
      <c r="C4" s="32" t="s">
        <v>179</v>
      </c>
      <c r="D4" s="32" t="s">
        <v>86</v>
      </c>
      <c r="E4" s="32" t="s">
        <v>87</v>
      </c>
      <c r="F4" s="32" t="s">
        <v>88</v>
      </c>
      <c r="G4" s="32" t="s">
        <v>89</v>
      </c>
      <c r="H4" s="32" t="s">
        <v>90</v>
      </c>
    </row>
    <row r="5" spans="2:8" ht="14" customHeight="1" x14ac:dyDescent="0.3">
      <c r="B5" s="33" t="s">
        <v>180</v>
      </c>
      <c r="C5" s="34">
        <f>C12/C9*365</f>
        <v>32.275713402495818</v>
      </c>
      <c r="D5" s="34">
        <f>CHOOSE('DCF Model'!$D$27,D25,D26,D27,D28,D29)</f>
        <v>30</v>
      </c>
      <c r="E5" s="34">
        <f>CHOOSE('DCF Model'!$D$27,E25,E26,E27,E28,E29)</f>
        <v>30</v>
      </c>
      <c r="F5" s="34">
        <f>CHOOSE('DCF Model'!$D$27,F25,F26,F27,F28,F29)</f>
        <v>30</v>
      </c>
      <c r="G5" s="34">
        <f>CHOOSE('DCF Model'!$D$27,G25,G26,G27,G28,G29)</f>
        <v>30</v>
      </c>
      <c r="H5" s="34">
        <f>CHOOSE('DCF Model'!$D$27,H25,H26,H27,H28,H29)</f>
        <v>30</v>
      </c>
    </row>
    <row r="6" spans="2:8" ht="14" customHeight="1" x14ac:dyDescent="0.3">
      <c r="B6" s="33" t="s">
        <v>181</v>
      </c>
      <c r="C6" s="34">
        <f>C13/C10*365</f>
        <v>104.46907931420645</v>
      </c>
      <c r="D6" s="34">
        <f>CHOOSE('DCF Model'!$D$27,D32,D33,D34,D35,D36)</f>
        <v>91</v>
      </c>
      <c r="E6" s="34">
        <f>CHOOSE('DCF Model'!$D$27,E32,E33,E34,E35,E36)</f>
        <v>91</v>
      </c>
      <c r="F6" s="34">
        <f>CHOOSE('DCF Model'!$D$27,F32,F33,F34,F35,F36)</f>
        <v>91</v>
      </c>
      <c r="G6" s="34">
        <f>CHOOSE('DCF Model'!$D$27,G32,G33,G34,G35,G36)</f>
        <v>91</v>
      </c>
      <c r="H6" s="34">
        <f>CHOOSE('DCF Model'!$D$27,H32,H33,H34,H35,H36)</f>
        <v>91</v>
      </c>
    </row>
    <row r="7" spans="2:8" ht="14" customHeight="1" x14ac:dyDescent="0.3">
      <c r="B7" s="33" t="s">
        <v>182</v>
      </c>
      <c r="C7" s="34">
        <f>C15/C10*365</f>
        <v>59.719949675986442</v>
      </c>
      <c r="D7" s="34">
        <f>CHOOSE('DCF Model'!$D$27,D39,D40,D41,D42,D43)</f>
        <v>60</v>
      </c>
      <c r="E7" s="34">
        <f>CHOOSE('DCF Model'!$D$27,E39,E40,E41,E42,E43)</f>
        <v>60</v>
      </c>
      <c r="F7" s="34">
        <f>CHOOSE('DCF Model'!$D$27,F39,F40,F41,F42,F43)</f>
        <v>60</v>
      </c>
      <c r="G7" s="34">
        <f>CHOOSE('DCF Model'!$D$27,G39,G40,G41,G42,G43)</f>
        <v>60</v>
      </c>
      <c r="H7" s="34">
        <f>CHOOSE('DCF Model'!$D$27,H39,H40,H41,H42,H43)</f>
        <v>60</v>
      </c>
    </row>
    <row r="8" spans="2:8" ht="14" customHeight="1" x14ac:dyDescent="0.3">
      <c r="B8" s="8" t="s">
        <v>183</v>
      </c>
      <c r="C8" s="9"/>
      <c r="D8" s="9"/>
      <c r="E8" s="9"/>
      <c r="F8" s="9"/>
      <c r="G8" s="9"/>
      <c r="H8" s="9"/>
    </row>
    <row r="9" spans="2:8" ht="14" customHeight="1" x14ac:dyDescent="0.3">
      <c r="B9" s="33" t="s">
        <v>37</v>
      </c>
      <c r="C9" s="35">
        <v>912248</v>
      </c>
      <c r="D9" s="35">
        <f>'DCF Model'!C33</f>
        <v>939615.44000000006</v>
      </c>
      <c r="E9" s="35">
        <f>'DCF Model'!D33</f>
        <v>967803.90320000006</v>
      </c>
      <c r="F9" s="35">
        <f>'DCF Model'!E33</f>
        <v>991999.00078</v>
      </c>
      <c r="G9" s="35">
        <f>'DCF Model'!F33</f>
        <v>1016798.9757994999</v>
      </c>
      <c r="H9" s="35">
        <f>'DCF Model'!G33</f>
        <v>1037134.9553154899</v>
      </c>
    </row>
    <row r="10" spans="2:8" ht="14" customHeight="1" x14ac:dyDescent="0.3">
      <c r="B10" s="33" t="s">
        <v>38</v>
      </c>
      <c r="C10" s="35">
        <v>426834</v>
      </c>
      <c r="D10" s="35">
        <f>'DCF Model'!C34</f>
        <v>418128.87080000003</v>
      </c>
      <c r="E10" s="35">
        <f>'DCF Model'!D34</f>
        <v>430672.73692400003</v>
      </c>
      <c r="F10" s="35">
        <f>'DCF Model'!E34</f>
        <v>441439.55534710002</v>
      </c>
      <c r="G10" s="35">
        <f>'DCF Model'!F34</f>
        <v>452475.54423077748</v>
      </c>
      <c r="H10" s="35">
        <f>'DCF Model'!G34</f>
        <v>461525.05511539301</v>
      </c>
    </row>
    <row r="11" spans="2:8" ht="14" customHeight="1" x14ac:dyDescent="0.3">
      <c r="B11" s="8" t="s">
        <v>184</v>
      </c>
      <c r="C11" s="9"/>
      <c r="D11" s="9"/>
      <c r="E11" s="9"/>
      <c r="F11" s="9"/>
      <c r="G11" s="9"/>
      <c r="H11" s="9"/>
    </row>
    <row r="12" spans="2:8" ht="14" customHeight="1" x14ac:dyDescent="0.3">
      <c r="B12" s="33" t="s">
        <v>185</v>
      </c>
      <c r="C12" s="35">
        <v>80667</v>
      </c>
      <c r="D12" s="35">
        <f t="shared" ref="D12:H13" si="0">D9*D5/365</f>
        <v>77228.666301369871</v>
      </c>
      <c r="E12" s="35">
        <f t="shared" si="0"/>
        <v>79545.526290410955</v>
      </c>
      <c r="F12" s="35">
        <f t="shared" si="0"/>
        <v>81534.164447671239</v>
      </c>
      <c r="G12" s="35">
        <f t="shared" si="0"/>
        <v>83572.518558863012</v>
      </c>
      <c r="H12" s="35">
        <f t="shared" si="0"/>
        <v>85243.968930040268</v>
      </c>
    </row>
    <row r="13" spans="2:8" ht="14" customHeight="1" x14ac:dyDescent="0.3">
      <c r="B13" s="33" t="s">
        <v>186</v>
      </c>
      <c r="C13" s="35">
        <v>122167</v>
      </c>
      <c r="D13" s="35">
        <f t="shared" si="0"/>
        <v>104245.82806246576</v>
      </c>
      <c r="E13" s="35">
        <f t="shared" si="0"/>
        <v>107373.20290433972</v>
      </c>
      <c r="F13" s="35">
        <f t="shared" si="0"/>
        <v>110057.53297694822</v>
      </c>
      <c r="G13" s="35">
        <f t="shared" si="0"/>
        <v>112808.97130137192</v>
      </c>
      <c r="H13" s="35">
        <f t="shared" si="0"/>
        <v>115065.15072739935</v>
      </c>
    </row>
    <row r="14" spans="2:8" ht="14" customHeight="1" x14ac:dyDescent="0.3">
      <c r="B14" s="33" t="s">
        <v>187</v>
      </c>
      <c r="C14" s="35">
        <f t="shared" ref="C14:H14" si="1">C12+C13</f>
        <v>202834</v>
      </c>
      <c r="D14" s="35">
        <f t="shared" si="1"/>
        <v>181474.49436383563</v>
      </c>
      <c r="E14" s="35">
        <f t="shared" si="1"/>
        <v>186918.72919475066</v>
      </c>
      <c r="F14" s="35">
        <f t="shared" si="1"/>
        <v>191591.69742461946</v>
      </c>
      <c r="G14" s="35">
        <f t="shared" si="1"/>
        <v>196381.48986023493</v>
      </c>
      <c r="H14" s="35">
        <f t="shared" si="1"/>
        <v>200309.11965743962</v>
      </c>
    </row>
    <row r="15" spans="2:8" ht="14" customHeight="1" x14ac:dyDescent="0.3">
      <c r="B15" s="33" t="s">
        <v>188</v>
      </c>
      <c r="C15" s="35">
        <v>69837</v>
      </c>
      <c r="D15" s="35">
        <f>D10*D7/365</f>
        <v>68733.51300821919</v>
      </c>
      <c r="E15" s="35">
        <f>E10*E7/365</f>
        <v>70795.518398465763</v>
      </c>
      <c r="F15" s="35">
        <f>F10*F7/365</f>
        <v>72565.406358427397</v>
      </c>
      <c r="G15" s="35">
        <f>G10*G7/365</f>
        <v>74379.541517388076</v>
      </c>
      <c r="H15" s="35">
        <f>H10*H7/365</f>
        <v>75867.132347735838</v>
      </c>
    </row>
    <row r="16" spans="2:8" ht="14" customHeight="1" x14ac:dyDescent="0.3">
      <c r="B16" s="33" t="s">
        <v>189</v>
      </c>
      <c r="C16" s="35">
        <f t="shared" ref="C16:H16" si="2">C15</f>
        <v>69837</v>
      </c>
      <c r="D16" s="35">
        <f t="shared" si="2"/>
        <v>68733.51300821919</v>
      </c>
      <c r="E16" s="35">
        <f t="shared" si="2"/>
        <v>70795.518398465763</v>
      </c>
      <c r="F16" s="35">
        <f t="shared" si="2"/>
        <v>72565.406358427397</v>
      </c>
      <c r="G16" s="35">
        <f t="shared" si="2"/>
        <v>74379.541517388076</v>
      </c>
      <c r="H16" s="35">
        <f t="shared" si="2"/>
        <v>75867.132347735838</v>
      </c>
    </row>
    <row r="17" spans="2:8" ht="14" customHeight="1" x14ac:dyDescent="0.3">
      <c r="B17" s="22" t="s">
        <v>190</v>
      </c>
      <c r="C17" s="23"/>
      <c r="D17" s="23"/>
      <c r="E17" s="23"/>
      <c r="F17" s="23"/>
      <c r="G17" s="23"/>
      <c r="H17" s="23"/>
    </row>
    <row r="18" spans="2:8" ht="14" customHeight="1" x14ac:dyDescent="0.3">
      <c r="B18" s="33" t="s">
        <v>191</v>
      </c>
      <c r="C18" s="20">
        <f t="shared" ref="C18:H18" si="3">C14-C16</f>
        <v>132997</v>
      </c>
      <c r="D18" s="20">
        <f t="shared" si="3"/>
        <v>112740.98135561644</v>
      </c>
      <c r="E18" s="20">
        <f t="shared" si="3"/>
        <v>116123.2107962849</v>
      </c>
      <c r="F18" s="20">
        <f t="shared" si="3"/>
        <v>119026.29106619206</v>
      </c>
      <c r="G18" s="20">
        <f t="shared" si="3"/>
        <v>122001.94834284685</v>
      </c>
      <c r="H18" s="20">
        <f t="shared" si="3"/>
        <v>124441.98730970378</v>
      </c>
    </row>
    <row r="19" spans="2:8" ht="14" customHeight="1" x14ac:dyDescent="0.3">
      <c r="B19" s="33" t="s">
        <v>100</v>
      </c>
      <c r="C19" s="36" t="s">
        <v>47</v>
      </c>
      <c r="D19" s="24">
        <f>D18-C18</f>
        <v>-20256.018644383556</v>
      </c>
      <c r="E19" s="24">
        <f>E18-D18</f>
        <v>3382.2294406684523</v>
      </c>
      <c r="F19" s="24">
        <f>F18-E18</f>
        <v>2903.0802699071646</v>
      </c>
      <c r="G19" s="24">
        <f>G18-F18</f>
        <v>2975.6572766547906</v>
      </c>
      <c r="H19" s="24">
        <f>H18-G18</f>
        <v>2440.038966856926</v>
      </c>
    </row>
    <row r="22" spans="2:8" ht="14" customHeight="1" x14ac:dyDescent="0.3">
      <c r="B22" s="22" t="s">
        <v>192</v>
      </c>
      <c r="C22" s="23"/>
      <c r="D22" s="23"/>
      <c r="E22" s="23"/>
      <c r="F22" s="23"/>
      <c r="G22" s="23"/>
      <c r="H22" s="23"/>
    </row>
    <row r="23" spans="2:8" ht="14" customHeight="1" x14ac:dyDescent="0.3">
      <c r="D23" s="25" t="s">
        <v>86</v>
      </c>
      <c r="E23" s="25" t="s">
        <v>87</v>
      </c>
      <c r="F23" s="25" t="s">
        <v>88</v>
      </c>
      <c r="G23" s="25" t="s">
        <v>89</v>
      </c>
      <c r="H23" s="25" t="s">
        <v>90</v>
      </c>
    </row>
    <row r="24" spans="2:8" ht="14" customHeight="1" x14ac:dyDescent="0.3">
      <c r="B24" s="3" t="s">
        <v>193</v>
      </c>
    </row>
    <row r="25" spans="2:8" ht="14" customHeight="1" x14ac:dyDescent="0.3">
      <c r="B25" s="4" t="s">
        <v>84</v>
      </c>
      <c r="D25" s="30">
        <v>30</v>
      </c>
      <c r="E25" s="30">
        <v>30</v>
      </c>
      <c r="F25" s="30">
        <v>30</v>
      </c>
      <c r="G25" s="30">
        <v>30</v>
      </c>
      <c r="H25" s="30">
        <v>30</v>
      </c>
    </row>
    <row r="26" spans="2:8" ht="14" customHeight="1" x14ac:dyDescent="0.3">
      <c r="B26" s="4" t="s">
        <v>121</v>
      </c>
      <c r="D26" s="30">
        <v>27</v>
      </c>
      <c r="E26" s="30">
        <v>27</v>
      </c>
      <c r="F26" s="30">
        <v>27</v>
      </c>
      <c r="G26" s="30">
        <v>27</v>
      </c>
      <c r="H26" s="30">
        <v>27</v>
      </c>
    </row>
    <row r="27" spans="2:8" ht="14" customHeight="1" x14ac:dyDescent="0.3">
      <c r="B27" s="4" t="s">
        <v>122</v>
      </c>
      <c r="D27" s="30">
        <v>30</v>
      </c>
      <c r="E27" s="30">
        <v>30</v>
      </c>
      <c r="F27" s="30">
        <v>30</v>
      </c>
      <c r="G27" s="30">
        <v>30</v>
      </c>
      <c r="H27" s="30">
        <v>30</v>
      </c>
    </row>
    <row r="28" spans="2:8" ht="14" customHeight="1" x14ac:dyDescent="0.3">
      <c r="B28" s="4" t="s">
        <v>123</v>
      </c>
      <c r="D28" s="30">
        <v>34</v>
      </c>
      <c r="E28" s="30">
        <v>34</v>
      </c>
      <c r="F28" s="30">
        <v>34</v>
      </c>
      <c r="G28" s="30">
        <v>34</v>
      </c>
      <c r="H28" s="30">
        <v>34</v>
      </c>
    </row>
    <row r="29" spans="2:8" ht="14" customHeight="1" x14ac:dyDescent="0.3">
      <c r="B29" s="4" t="s">
        <v>124</v>
      </c>
      <c r="D29" s="30">
        <v>38</v>
      </c>
      <c r="E29" s="30">
        <v>38</v>
      </c>
      <c r="F29" s="30">
        <v>38</v>
      </c>
      <c r="G29" s="30">
        <v>38</v>
      </c>
      <c r="H29" s="30">
        <v>38</v>
      </c>
    </row>
    <row r="31" spans="2:8" ht="14" customHeight="1" x14ac:dyDescent="0.3">
      <c r="B31" s="3" t="s">
        <v>194</v>
      </c>
    </row>
    <row r="32" spans="2:8" ht="14" customHeight="1" x14ac:dyDescent="0.3">
      <c r="B32" s="4" t="s">
        <v>84</v>
      </c>
      <c r="D32" s="30">
        <v>91</v>
      </c>
      <c r="E32" s="30">
        <v>91</v>
      </c>
      <c r="F32" s="30">
        <v>91</v>
      </c>
      <c r="G32" s="30">
        <v>91</v>
      </c>
      <c r="H32" s="30">
        <v>91</v>
      </c>
    </row>
    <row r="33" spans="2:8" ht="14" customHeight="1" x14ac:dyDescent="0.3">
      <c r="B33" s="4" t="s">
        <v>121</v>
      </c>
      <c r="D33" s="30">
        <v>85</v>
      </c>
      <c r="E33" s="30">
        <v>85</v>
      </c>
      <c r="F33" s="30">
        <v>85</v>
      </c>
      <c r="G33" s="30">
        <v>85</v>
      </c>
      <c r="H33" s="30">
        <v>85</v>
      </c>
    </row>
    <row r="34" spans="2:8" ht="14" customHeight="1" x14ac:dyDescent="0.3">
      <c r="B34" s="4" t="s">
        <v>122</v>
      </c>
      <c r="D34" s="30">
        <v>91</v>
      </c>
      <c r="E34" s="30">
        <v>91</v>
      </c>
      <c r="F34" s="30">
        <v>91</v>
      </c>
      <c r="G34" s="30">
        <v>91</v>
      </c>
      <c r="H34" s="30">
        <v>91</v>
      </c>
    </row>
    <row r="35" spans="2:8" ht="14" customHeight="1" x14ac:dyDescent="0.3">
      <c r="B35" s="4" t="s">
        <v>123</v>
      </c>
      <c r="D35" s="30">
        <v>98</v>
      </c>
      <c r="E35" s="30">
        <v>98</v>
      </c>
      <c r="F35" s="30">
        <v>98</v>
      </c>
      <c r="G35" s="30">
        <v>98</v>
      </c>
      <c r="H35" s="30">
        <v>98</v>
      </c>
    </row>
    <row r="36" spans="2:8" ht="14" customHeight="1" x14ac:dyDescent="0.3">
      <c r="B36" s="4" t="s">
        <v>124</v>
      </c>
      <c r="D36" s="30">
        <v>105</v>
      </c>
      <c r="E36" s="30">
        <v>105</v>
      </c>
      <c r="F36" s="30">
        <v>105</v>
      </c>
      <c r="G36" s="30">
        <v>105</v>
      </c>
      <c r="H36" s="30">
        <v>105</v>
      </c>
    </row>
    <row r="38" spans="2:8" ht="14" customHeight="1" x14ac:dyDescent="0.3">
      <c r="B38" s="3" t="s">
        <v>195</v>
      </c>
    </row>
    <row r="39" spans="2:8" ht="14" customHeight="1" x14ac:dyDescent="0.3">
      <c r="B39" s="4" t="s">
        <v>84</v>
      </c>
      <c r="D39" s="30">
        <v>60</v>
      </c>
      <c r="E39" s="30">
        <v>60</v>
      </c>
      <c r="F39" s="30">
        <v>60</v>
      </c>
      <c r="G39" s="30">
        <v>60</v>
      </c>
      <c r="H39" s="30">
        <v>60</v>
      </c>
    </row>
    <row r="40" spans="2:8" ht="14" customHeight="1" x14ac:dyDescent="0.3">
      <c r="B40" s="4" t="s">
        <v>121</v>
      </c>
      <c r="D40" s="30">
        <v>62</v>
      </c>
      <c r="E40" s="30">
        <v>62</v>
      </c>
      <c r="F40" s="30">
        <v>62</v>
      </c>
      <c r="G40" s="30">
        <v>62</v>
      </c>
      <c r="H40" s="30">
        <v>62</v>
      </c>
    </row>
    <row r="41" spans="2:8" ht="14" customHeight="1" x14ac:dyDescent="0.3">
      <c r="B41" s="4" t="s">
        <v>122</v>
      </c>
      <c r="D41" s="30">
        <v>60</v>
      </c>
      <c r="E41" s="30">
        <v>60</v>
      </c>
      <c r="F41" s="30">
        <v>60</v>
      </c>
      <c r="G41" s="30">
        <v>60</v>
      </c>
      <c r="H41" s="30">
        <v>60</v>
      </c>
    </row>
    <row r="42" spans="2:8" ht="14" customHeight="1" x14ac:dyDescent="0.3">
      <c r="B42" s="4" t="s">
        <v>123</v>
      </c>
      <c r="D42" s="30">
        <v>57</v>
      </c>
      <c r="E42" s="30">
        <v>57</v>
      </c>
      <c r="F42" s="30">
        <v>57</v>
      </c>
      <c r="G42" s="30">
        <v>57</v>
      </c>
      <c r="H42" s="30">
        <v>57</v>
      </c>
    </row>
    <row r="43" spans="2:8" ht="14" customHeight="1" x14ac:dyDescent="0.3">
      <c r="B43" s="4" t="s">
        <v>124</v>
      </c>
      <c r="D43" s="30">
        <v>54</v>
      </c>
      <c r="E43" s="30">
        <v>54</v>
      </c>
      <c r="F43" s="30">
        <v>54</v>
      </c>
      <c r="G43" s="30">
        <v>54</v>
      </c>
      <c r="H43" s="30">
        <v>54</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customHeight="1" x14ac:dyDescent="0.4">
      <c r="B2" s="2" t="s">
        <v>196</v>
      </c>
    </row>
    <row r="3" spans="2:17" ht="14" customHeight="1" x14ac:dyDescent="0.3">
      <c r="B3" s="1" t="s">
        <v>197</v>
      </c>
    </row>
    <row r="4" spans="2:17" ht="28" customHeight="1" x14ac:dyDescent="0.3">
      <c r="B4" s="10" t="s">
        <v>3</v>
      </c>
      <c r="C4" s="10" t="s">
        <v>5</v>
      </c>
      <c r="D4" s="10" t="s">
        <v>198</v>
      </c>
      <c r="E4" s="10" t="s">
        <v>199</v>
      </c>
      <c r="F4" s="10" t="s">
        <v>200</v>
      </c>
      <c r="G4" s="10" t="s">
        <v>201</v>
      </c>
      <c r="H4" s="10" t="s">
        <v>202</v>
      </c>
      <c r="I4" s="10" t="s">
        <v>203</v>
      </c>
      <c r="J4" s="10" t="s">
        <v>204</v>
      </c>
      <c r="K4" s="10" t="s">
        <v>205</v>
      </c>
      <c r="L4" s="10" t="s">
        <v>206</v>
      </c>
      <c r="M4" s="10" t="s">
        <v>207</v>
      </c>
      <c r="N4" s="10" t="s">
        <v>208</v>
      </c>
      <c r="O4" s="10" t="s">
        <v>209</v>
      </c>
      <c r="P4" s="10" t="s">
        <v>210</v>
      </c>
      <c r="Q4" s="10" t="s">
        <v>211</v>
      </c>
    </row>
    <row r="5" spans="2:17" ht="14" customHeight="1" x14ac:dyDescent="0.3">
      <c r="B5" s="4" t="s">
        <v>212</v>
      </c>
      <c r="C5" t="s">
        <v>213</v>
      </c>
      <c r="D5" s="37">
        <f>'Executive Summary'!C9*C23/1000000</f>
        <v>1838697.423892</v>
      </c>
      <c r="E5" s="37">
        <f>D5+C24</f>
        <v>1853687.423892</v>
      </c>
      <c r="F5" s="37">
        <v>912248</v>
      </c>
      <c r="G5" s="37">
        <v>190777</v>
      </c>
      <c r="H5" s="37">
        <v>121268</v>
      </c>
      <c r="I5" s="37">
        <v>89270</v>
      </c>
      <c r="J5" s="38">
        <f t="shared" ref="J5:J10" si="0">IFERROR(E5/G5,"")</f>
        <v>9.716514170429349</v>
      </c>
      <c r="K5" s="38">
        <f t="shared" ref="K5:K10" si="1">IFERROR(E5/F5,"")</f>
        <v>2.0319994386307232</v>
      </c>
      <c r="L5" s="38">
        <f>IFERROR(D5/I5,"")</f>
        <v>20.597036225966171</v>
      </c>
      <c r="M5" s="38">
        <f t="shared" ref="M5:M10" si="2">IFERROR(D5/P5,"")</f>
        <v>1.8599811886335336</v>
      </c>
      <c r="N5" s="39">
        <f t="shared" ref="N5:N10" si="3">IFERROR(H5/F5,"")</f>
        <v>0.13293314975752207</v>
      </c>
      <c r="O5" s="39">
        <f t="shared" ref="O5:O10" si="4">IFERROR(I5/P5,"")</f>
        <v>9.0303341132580109E-2</v>
      </c>
      <c r="P5" s="37">
        <v>988557</v>
      </c>
    </row>
    <row r="6" spans="2:17" ht="14" customHeight="1" x14ac:dyDescent="0.3">
      <c r="B6" s="4" t="s">
        <v>214</v>
      </c>
      <c r="C6" t="s">
        <v>215</v>
      </c>
      <c r="D6" s="37">
        <v>21203404</v>
      </c>
      <c r="E6" s="37">
        <v>20823665</v>
      </c>
      <c r="F6" s="37">
        <v>3400539</v>
      </c>
      <c r="G6" s="37">
        <v>779053</v>
      </c>
      <c r="H6" s="37">
        <v>562561</v>
      </c>
      <c r="I6" s="37">
        <v>433009</v>
      </c>
      <c r="J6" s="38">
        <f t="shared" si="0"/>
        <v>26.729458714618904</v>
      </c>
      <c r="K6" s="38">
        <f t="shared" si="1"/>
        <v>6.1236365764368532</v>
      </c>
      <c r="L6" s="38">
        <f>IFERROR(D6/I6,"")</f>
        <v>48.967582659944711</v>
      </c>
      <c r="M6" s="38">
        <f t="shared" si="2"/>
        <v>9.3279064191648899</v>
      </c>
      <c r="N6" s="39">
        <f t="shared" si="3"/>
        <v>0.16543289166805616</v>
      </c>
      <c r="O6" s="39">
        <f t="shared" si="4"/>
        <v>0.1904914621565561</v>
      </c>
      <c r="P6" s="37">
        <v>2273115</v>
      </c>
    </row>
    <row r="7" spans="2:17" ht="14" customHeight="1" x14ac:dyDescent="0.3">
      <c r="B7" s="4" t="s">
        <v>216</v>
      </c>
      <c r="C7" t="s">
        <v>217</v>
      </c>
      <c r="D7" s="37">
        <v>2249650</v>
      </c>
      <c r="E7" s="37">
        <v>2216850</v>
      </c>
      <c r="F7" s="37">
        <v>784629</v>
      </c>
      <c r="G7" s="37">
        <v>106144</v>
      </c>
      <c r="H7" s="37">
        <v>73840</v>
      </c>
      <c r="I7" s="37">
        <v>50846</v>
      </c>
      <c r="J7" s="38">
        <f t="shared" si="0"/>
        <v>20.885306753090141</v>
      </c>
      <c r="K7" s="38">
        <f t="shared" si="1"/>
        <v>2.8253480307253493</v>
      </c>
      <c r="L7" s="38">
        <f>IFERROR(D7/I7,"")</f>
        <v>44.244385005703499</v>
      </c>
      <c r="M7" s="38">
        <f t="shared" si="2"/>
        <v>6.7741974338359068</v>
      </c>
      <c r="N7" s="39">
        <f t="shared" si="3"/>
        <v>9.4108170868015331E-2</v>
      </c>
      <c r="O7" s="39">
        <f t="shared" si="4"/>
        <v>0.15310863588594692</v>
      </c>
      <c r="P7" s="37">
        <v>332091</v>
      </c>
    </row>
    <row r="8" spans="2:17" ht="14" customHeight="1" x14ac:dyDescent="0.3">
      <c r="B8" s="4" t="s">
        <v>218</v>
      </c>
      <c r="C8" t="s">
        <v>219</v>
      </c>
      <c r="D8" s="37">
        <v>675746</v>
      </c>
      <c r="E8" s="37">
        <v>476999</v>
      </c>
      <c r="F8" s="37">
        <v>378624</v>
      </c>
      <c r="G8" s="37">
        <v>69696</v>
      </c>
      <c r="H8" s="37">
        <v>63295</v>
      </c>
      <c r="I8" s="37">
        <v>46346</v>
      </c>
      <c r="J8" s="38">
        <f t="shared" si="0"/>
        <v>6.843993916437098</v>
      </c>
      <c r="K8" s="38">
        <f t="shared" si="1"/>
        <v>1.2598224095672752</v>
      </c>
      <c r="L8" s="38">
        <f>IFERROR(D8/I8,"")</f>
        <v>14.580460018124542</v>
      </c>
      <c r="M8" s="38">
        <f t="shared" si="2"/>
        <v>1.6975258555505592</v>
      </c>
      <c r="N8" s="39">
        <f t="shared" si="3"/>
        <v>0.16717112491548344</v>
      </c>
      <c r="O8" s="39">
        <f t="shared" si="4"/>
        <v>0.11642471180198806</v>
      </c>
      <c r="P8" s="37">
        <v>398077</v>
      </c>
    </row>
    <row r="9" spans="2:17" ht="14" customHeight="1" x14ac:dyDescent="0.3">
      <c r="B9" s="4" t="s">
        <v>220</v>
      </c>
      <c r="C9" t="s">
        <v>221</v>
      </c>
      <c r="D9" s="37">
        <v>680552</v>
      </c>
      <c r="E9" s="37">
        <v>981128</v>
      </c>
      <c r="F9" s="37">
        <v>445094</v>
      </c>
      <c r="G9" s="37">
        <v>93306</v>
      </c>
      <c r="H9" s="37">
        <v>49016</v>
      </c>
      <c r="I9" s="37">
        <v>28282</v>
      </c>
      <c r="J9" s="38">
        <f t="shared" si="0"/>
        <v>10.515165155509829</v>
      </c>
      <c r="K9" s="38">
        <f t="shared" si="1"/>
        <v>2.2043163915936859</v>
      </c>
      <c r="L9" s="38">
        <f>IFERROR(D9/I9,"")</f>
        <v>24.063078990170425</v>
      </c>
      <c r="M9" s="38">
        <f t="shared" si="2"/>
        <v>1.6375720067567243</v>
      </c>
      <c r="N9" s="39">
        <f t="shared" si="3"/>
        <v>0.11012505223615686</v>
      </c>
      <c r="O9" s="39">
        <f t="shared" si="4"/>
        <v>6.8053303046782129E-2</v>
      </c>
      <c r="P9" s="37">
        <v>415586</v>
      </c>
    </row>
    <row r="10" spans="2:17" ht="14" customHeight="1" x14ac:dyDescent="0.3">
      <c r="B10" s="4" t="s">
        <v>222</v>
      </c>
      <c r="C10" t="s">
        <v>223</v>
      </c>
      <c r="D10" s="37">
        <v>652543</v>
      </c>
      <c r="E10" s="37">
        <v>987826</v>
      </c>
      <c r="F10" s="37">
        <v>492370</v>
      </c>
      <c r="G10" s="37">
        <v>87695</v>
      </c>
      <c r="H10" s="37">
        <v>53527</v>
      </c>
      <c r="I10" s="37">
        <v>-8194</v>
      </c>
      <c r="J10" s="38">
        <f t="shared" si="0"/>
        <v>11.264336621244084</v>
      </c>
      <c r="K10" s="38">
        <f t="shared" si="1"/>
        <v>2.0062676442512744</v>
      </c>
      <c r="L10" s="40" t="s">
        <v>224</v>
      </c>
      <c r="M10" s="38">
        <f t="shared" si="2"/>
        <v>1.4507822591582238</v>
      </c>
      <c r="N10" s="39">
        <f t="shared" si="3"/>
        <v>0.10871295976602961</v>
      </c>
      <c r="O10" s="39">
        <f t="shared" si="4"/>
        <v>-1.8217511844495285E-2</v>
      </c>
      <c r="P10" s="37">
        <v>449787</v>
      </c>
    </row>
    <row r="14" spans="2:17" ht="14" customHeight="1" x14ac:dyDescent="0.3">
      <c r="B14" s="3" t="s">
        <v>225</v>
      </c>
    </row>
    <row r="15" spans="2:17" ht="14" customHeight="1" x14ac:dyDescent="0.3">
      <c r="B15" s="4" t="s">
        <v>226</v>
      </c>
      <c r="D15" s="38">
        <f t="shared" ref="D15:I15" si="5">PERCENTILE(J6:J10,0.25)</f>
        <v>10.515165155509829</v>
      </c>
      <c r="E15" s="38">
        <f t="shared" si="5"/>
        <v>2.0062676442512744</v>
      </c>
      <c r="F15" s="38">
        <f t="shared" si="5"/>
        <v>21.692424247158954</v>
      </c>
      <c r="G15" s="38">
        <f t="shared" si="5"/>
        <v>1.6375720067567243</v>
      </c>
      <c r="H15" s="39">
        <f t="shared" si="5"/>
        <v>0.10871295976602961</v>
      </c>
      <c r="I15" s="39">
        <f t="shared" si="5"/>
        <v>6.8053303046782129E-2</v>
      </c>
    </row>
    <row r="16" spans="2:17" ht="14" customHeight="1" x14ac:dyDescent="0.3">
      <c r="B16" s="4" t="s">
        <v>227</v>
      </c>
      <c r="D16" s="38">
        <f t="shared" ref="D16:I16" si="6">MEDIAN(J6:J10)</f>
        <v>11.264336621244084</v>
      </c>
      <c r="E16" s="38">
        <f t="shared" si="6"/>
        <v>2.2043163915936859</v>
      </c>
      <c r="F16" s="38">
        <f t="shared" si="6"/>
        <v>34.153731997936958</v>
      </c>
      <c r="G16" s="38">
        <f t="shared" si="6"/>
        <v>1.6975258555505592</v>
      </c>
      <c r="H16" s="39">
        <f t="shared" si="6"/>
        <v>0.11012505223615686</v>
      </c>
      <c r="I16" s="39">
        <f t="shared" si="6"/>
        <v>0.11642471180198806</v>
      </c>
    </row>
    <row r="17" spans="2:9" ht="14" customHeight="1" x14ac:dyDescent="0.3">
      <c r="B17" s="4" t="s">
        <v>228</v>
      </c>
      <c r="D17" s="38">
        <f t="shared" ref="D17:I17" si="7">PERCENTILE(J6:J10,0.75)</f>
        <v>20.885306753090141</v>
      </c>
      <c r="E17" s="38">
        <f t="shared" si="7"/>
        <v>2.8253480307253493</v>
      </c>
      <c r="F17" s="38">
        <f t="shared" si="7"/>
        <v>45.4251844192638</v>
      </c>
      <c r="G17" s="38">
        <f t="shared" si="7"/>
        <v>6.7741974338359068</v>
      </c>
      <c r="H17" s="39">
        <f t="shared" si="7"/>
        <v>0.16543289166805616</v>
      </c>
      <c r="I17" s="39">
        <f t="shared" si="7"/>
        <v>0.15310863588594692</v>
      </c>
    </row>
    <row r="19" spans="2:9" ht="14" customHeight="1" x14ac:dyDescent="0.3">
      <c r="B19" s="22" t="s">
        <v>229</v>
      </c>
      <c r="C19" s="23"/>
      <c r="D19" s="23"/>
      <c r="E19" s="23"/>
      <c r="F19" s="23"/>
      <c r="G19" s="23"/>
      <c r="H19" s="23"/>
      <c r="I19" s="23"/>
    </row>
    <row r="20" spans="2:9" ht="14" customHeight="1" x14ac:dyDescent="0.3">
      <c r="B20" s="3" t="s">
        <v>230</v>
      </c>
    </row>
    <row r="21" spans="2:9" ht="14" customHeight="1" x14ac:dyDescent="0.3">
      <c r="B21" s="4" t="s">
        <v>231</v>
      </c>
      <c r="C21" s="5">
        <v>190777</v>
      </c>
    </row>
    <row r="22" spans="2:9" ht="14" customHeight="1" x14ac:dyDescent="0.3">
      <c r="B22" s="4" t="s">
        <v>232</v>
      </c>
      <c r="C22" s="5">
        <v>89270</v>
      </c>
    </row>
    <row r="23" spans="2:9" ht="14" customHeight="1" x14ac:dyDescent="0.3">
      <c r="B23" s="4" t="s">
        <v>233</v>
      </c>
      <c r="C23" s="15">
        <v>565057598</v>
      </c>
    </row>
    <row r="24" spans="2:9" ht="14" customHeight="1" x14ac:dyDescent="0.3">
      <c r="B24" s="4" t="s">
        <v>73</v>
      </c>
      <c r="C24" s="5">
        <v>14990</v>
      </c>
    </row>
    <row r="26" spans="2:9" ht="14" customHeight="1" x14ac:dyDescent="0.3">
      <c r="B26" s="3" t="s">
        <v>234</v>
      </c>
    </row>
    <row r="27" spans="2:9" ht="14" customHeight="1" x14ac:dyDescent="0.3">
      <c r="B27" s="4" t="s">
        <v>235</v>
      </c>
      <c r="C27" s="24">
        <f>ROUND((C21*D16-C24)*1000000/C23,0)</f>
        <v>3777</v>
      </c>
    </row>
    <row r="28" spans="2:9" ht="14" customHeight="1" x14ac:dyDescent="0.3">
      <c r="B28" s="4" t="s">
        <v>236</v>
      </c>
      <c r="C28" s="24">
        <f>ROUND(C22*F16*1000000/C23,0)</f>
        <v>5396</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customHeight="1" x14ac:dyDescent="0.4">
      <c r="B2" s="2" t="s">
        <v>237</v>
      </c>
    </row>
    <row r="3" spans="2:9" ht="14" customHeight="1" x14ac:dyDescent="0.3">
      <c r="B3" s="4" t="s">
        <v>238</v>
      </c>
      <c r="C3" s="16">
        <f>'DCF Model'!C26</f>
        <v>0.10012330886728824</v>
      </c>
      <c r="E3" s="4" t="s">
        <v>239</v>
      </c>
      <c r="F3" s="16">
        <f>'DCF Model'!C13</f>
        <v>0.01</v>
      </c>
      <c r="H3" s="4" t="s">
        <v>240</v>
      </c>
      <c r="I3" s="14">
        <f>'DCF Model'!C14</f>
        <v>11.3</v>
      </c>
    </row>
    <row r="5" spans="2:9" ht="14" customHeight="1" x14ac:dyDescent="0.3">
      <c r="B5" s="3" t="s">
        <v>241</v>
      </c>
    </row>
    <row r="6" spans="2:9" ht="14" customHeight="1" x14ac:dyDescent="0.3">
      <c r="B6" s="41" t="s">
        <v>242</v>
      </c>
      <c r="C6" s="42">
        <f>$F$3-0.0075</f>
        <v>2.5000000000000005E-3</v>
      </c>
      <c r="D6" s="42">
        <f>$F$3-0.005</f>
        <v>5.0000000000000001E-3</v>
      </c>
      <c r="E6" s="42">
        <f>$F$3-0.0025</f>
        <v>7.4999999999999997E-3</v>
      </c>
      <c r="F6" s="42">
        <f>$F$3</f>
        <v>0.01</v>
      </c>
      <c r="G6" s="42">
        <f>$F$3+0.0025</f>
        <v>1.2500000000000001E-2</v>
      </c>
      <c r="H6" s="42">
        <f>$F$3+0.005</f>
        <v>1.4999999999999999E-2</v>
      </c>
      <c r="I6" s="42">
        <f>$F$3+0.0075</f>
        <v>1.7500000000000002E-2</v>
      </c>
    </row>
    <row r="7" spans="2:9" ht="13.5" customHeight="1" x14ac:dyDescent="0.25">
      <c r="B7" s="39">
        <f>$C$3-0.015</f>
        <v>8.5123308867288236E-2</v>
      </c>
      <c r="C7" s="37">
        <f>IFERROR(ROUND(('DCF Model'!C45/(1+$B7)^('DCF Model'!C19+0)+'DCF Model'!D45/(1+$B7)^('DCF Model'!C19+1)+'DCF Model'!E45/(1+$B7)^('DCF Model'!C19+2)+'DCF Model'!F45/(1+$B7)^('DCF Model'!C19+3)+'DCF Model'!G45/(1+$B7)^('DCF Model'!C19+4)+'DCF Model'!G45*(1+C$6)/($B7-C$6)/(1+$B7)^('DCF Model'!C19+4)-'DCF Model'!C16)*1000000/'DCF Model'!C15,0),"")</f>
        <v>1993</v>
      </c>
      <c r="D7" s="37">
        <f>IFERROR(ROUND(('DCF Model'!C45/(1+$B7)^('DCF Model'!C19+0)+'DCF Model'!D45/(1+$B7)^('DCF Model'!C19+1)+'DCF Model'!E45/(1+$B7)^('DCF Model'!C19+2)+'DCF Model'!F45/(1+$B7)^('DCF Model'!C19+3)+'DCF Model'!G45/(1+$B7)^('DCF Model'!C19+4)+'DCF Model'!G45*(1+D$6)/($B7-D$6)/(1+$B7)^('DCF Model'!C19+4)-'DCF Model'!C16)*1000000/'DCF Model'!C15,0),"")</f>
        <v>2040</v>
      </c>
      <c r="E7" s="37">
        <f>IFERROR(ROUND(('DCF Model'!C45/(1+$B7)^('DCF Model'!C19+0)+'DCF Model'!D45/(1+$B7)^('DCF Model'!C19+1)+'DCF Model'!E45/(1+$B7)^('DCF Model'!C19+2)+'DCF Model'!F45/(1+$B7)^('DCF Model'!C19+3)+'DCF Model'!G45/(1+$B7)^('DCF Model'!C19+4)+'DCF Model'!G45*(1+E$6)/($B7-E$6)/(1+$B7)^('DCF Model'!C19+4)-'DCF Model'!C16)*1000000/'DCF Model'!C15,0),"")</f>
        <v>2091</v>
      </c>
      <c r="F7" s="37">
        <f>IFERROR(ROUND(('DCF Model'!C45/(1+$B7)^('DCF Model'!C19+0)+'DCF Model'!D45/(1+$B7)^('DCF Model'!C19+1)+'DCF Model'!E45/(1+$B7)^('DCF Model'!C19+2)+'DCF Model'!F45/(1+$B7)^('DCF Model'!C19+3)+'DCF Model'!G45/(1+$B7)^('DCF Model'!C19+4)+'DCF Model'!G45*(1+F$6)/($B7-F$6)/(1+$B7)^('DCF Model'!C19+4)-'DCF Model'!C16)*1000000/'DCF Model'!C15,0),"")</f>
        <v>2144</v>
      </c>
      <c r="G7" s="37">
        <f>IFERROR(ROUND(('DCF Model'!C45/(1+$B7)^('DCF Model'!C19+0)+'DCF Model'!D45/(1+$B7)^('DCF Model'!C19+1)+'DCF Model'!E45/(1+$B7)^('DCF Model'!C19+2)+'DCF Model'!F45/(1+$B7)^('DCF Model'!C19+3)+'DCF Model'!G45/(1+$B7)^('DCF Model'!C19+4)+'DCF Model'!G45*(1+G$6)/($B7-G$6)/(1+$B7)^('DCF Model'!C19+4)-'DCF Model'!C16)*1000000/'DCF Model'!C15,0),"")</f>
        <v>2202</v>
      </c>
      <c r="H7" s="37">
        <f>IFERROR(ROUND(('DCF Model'!C45/(1+$B7)^('DCF Model'!C19+0)+'DCF Model'!D45/(1+$B7)^('DCF Model'!C19+1)+'DCF Model'!E45/(1+$B7)^('DCF Model'!C19+2)+'DCF Model'!F45/(1+$B7)^('DCF Model'!C19+3)+'DCF Model'!G45/(1+$B7)^('DCF Model'!C19+4)+'DCF Model'!G45*(1+H$6)/($B7-H$6)/(1+$B7)^('DCF Model'!C19+4)-'DCF Model'!C16)*1000000/'DCF Model'!C15,0),"")</f>
        <v>2263</v>
      </c>
      <c r="I7" s="37">
        <f>IFERROR(ROUND(('DCF Model'!C45/(1+$B7)^('DCF Model'!C19+0)+'DCF Model'!D45/(1+$B7)^('DCF Model'!C19+1)+'DCF Model'!E45/(1+$B7)^('DCF Model'!C19+2)+'DCF Model'!F45/(1+$B7)^('DCF Model'!C19+3)+'DCF Model'!G45/(1+$B7)^('DCF Model'!C19+4)+'DCF Model'!G45*(1+I$6)/($B7-I$6)/(1+$B7)^('DCF Model'!C19+4)-'DCF Model'!C16)*1000000/'DCF Model'!C15,0),"")</f>
        <v>2330</v>
      </c>
    </row>
    <row r="8" spans="2:9" ht="13.5" customHeight="1" x14ac:dyDescent="0.25">
      <c r="B8" s="39">
        <f>$C$3-0.01</f>
        <v>9.012330886728824E-2</v>
      </c>
      <c r="C8" s="37">
        <f>IFERROR(ROUND(('DCF Model'!C45/(1+$B8)^('DCF Model'!C19+0)+'DCF Model'!D45/(1+$B8)^('DCF Model'!C19+1)+'DCF Model'!E45/(1+$B8)^('DCF Model'!C19+2)+'DCF Model'!F45/(1+$B8)^('DCF Model'!C19+3)+'DCF Model'!G45/(1+$B8)^('DCF Model'!C19+4)+'DCF Model'!G45*(1+C$6)/($B8-C$6)/(1+$B8)^('DCF Model'!C19+4)-'DCF Model'!C16)*1000000/'DCF Model'!C15,0),"")</f>
        <v>1875</v>
      </c>
      <c r="D8" s="37">
        <f>IFERROR(ROUND(('DCF Model'!C45/(1+$B8)^('DCF Model'!C19+0)+'DCF Model'!D45/(1+$B8)^('DCF Model'!C19+1)+'DCF Model'!E45/(1+$B8)^('DCF Model'!C19+2)+'DCF Model'!F45/(1+$B8)^('DCF Model'!C19+3)+'DCF Model'!G45/(1+$B8)^('DCF Model'!C19+4)+'DCF Model'!G45*(1+D$6)/($B8-D$6)/(1+$B8)^('DCF Model'!C19+4)-'DCF Model'!C16)*1000000/'DCF Model'!C15,0),"")</f>
        <v>1916</v>
      </c>
      <c r="E8" s="37">
        <f>IFERROR(ROUND(('DCF Model'!C45/(1+$B8)^('DCF Model'!C19+0)+'DCF Model'!D45/(1+$B8)^('DCF Model'!C19+1)+'DCF Model'!E45/(1+$B8)^('DCF Model'!C19+2)+'DCF Model'!F45/(1+$B8)^('DCF Model'!C19+3)+'DCF Model'!G45/(1+$B8)^('DCF Model'!C19+4)+'DCF Model'!G45*(1+E$6)/($B8-E$6)/(1+$B8)^('DCF Model'!C19+4)-'DCF Model'!C16)*1000000/'DCF Model'!C15,0),"")</f>
        <v>1960</v>
      </c>
      <c r="F8" s="37">
        <f>IFERROR(ROUND(('DCF Model'!C45/(1+$B8)^('DCF Model'!C19+0)+'DCF Model'!D45/(1+$B8)^('DCF Model'!C19+1)+'DCF Model'!E45/(1+$B8)^('DCF Model'!C19+2)+'DCF Model'!F45/(1+$B8)^('DCF Model'!C19+3)+'DCF Model'!G45/(1+$B8)^('DCF Model'!C19+4)+'DCF Model'!G45*(1+F$6)/($B8-F$6)/(1+$B8)^('DCF Model'!C19+4)-'DCF Model'!C16)*1000000/'DCF Model'!C15,0),"")</f>
        <v>2006</v>
      </c>
      <c r="G8" s="37">
        <f>IFERROR(ROUND(('DCF Model'!C45/(1+$B8)^('DCF Model'!C19+0)+'DCF Model'!D45/(1+$B8)^('DCF Model'!C19+1)+'DCF Model'!E45/(1+$B8)^('DCF Model'!C19+2)+'DCF Model'!F45/(1+$B8)^('DCF Model'!C19+3)+'DCF Model'!G45/(1+$B8)^('DCF Model'!C19+4)+'DCF Model'!G45*(1+G$6)/($B8-G$6)/(1+$B8)^('DCF Model'!C19+4)-'DCF Model'!C16)*1000000/'DCF Model'!C15,0),"")</f>
        <v>2056</v>
      </c>
      <c r="H8" s="37">
        <f>IFERROR(ROUND(('DCF Model'!C45/(1+$B8)^('DCF Model'!C19+0)+'DCF Model'!D45/(1+$B8)^('DCF Model'!C19+1)+'DCF Model'!E45/(1+$B8)^('DCF Model'!C19+2)+'DCF Model'!F45/(1+$B8)^('DCF Model'!C19+3)+'DCF Model'!G45/(1+$B8)^('DCF Model'!C19+4)+'DCF Model'!G45*(1+H$6)/($B8-H$6)/(1+$B8)^('DCF Model'!C19+4)-'DCF Model'!C16)*1000000/'DCF Model'!C15,0),"")</f>
        <v>2109</v>
      </c>
      <c r="I8" s="37">
        <f>IFERROR(ROUND(('DCF Model'!C45/(1+$B8)^('DCF Model'!C19+0)+'DCF Model'!D45/(1+$B8)^('DCF Model'!C19+1)+'DCF Model'!E45/(1+$B8)^('DCF Model'!C19+2)+'DCF Model'!F45/(1+$B8)^('DCF Model'!C19+3)+'DCF Model'!G45/(1+$B8)^('DCF Model'!C19+4)+'DCF Model'!G45*(1+I$6)/($B8-I$6)/(1+$B8)^('DCF Model'!C19+4)-'DCF Model'!C16)*1000000/'DCF Model'!C15,0),"")</f>
        <v>2165</v>
      </c>
    </row>
    <row r="9" spans="2:9" ht="13.5" customHeight="1" x14ac:dyDescent="0.25">
      <c r="B9" s="39">
        <f>$C$3-0.005</f>
        <v>9.5123308867288231E-2</v>
      </c>
      <c r="C9" s="37">
        <f>IFERROR(ROUND(('DCF Model'!C45/(1+$B9)^('DCF Model'!C19+0)+'DCF Model'!D45/(1+$B9)^('DCF Model'!C19+1)+'DCF Model'!E45/(1+$B9)^('DCF Model'!C19+2)+'DCF Model'!F45/(1+$B9)^('DCF Model'!C19+3)+'DCF Model'!G45/(1+$B9)^('DCF Model'!C19+4)+'DCF Model'!G45*(1+C$6)/($B9-C$6)/(1+$B9)^('DCF Model'!C19+4)-'DCF Model'!C16)*1000000/'DCF Model'!C15,0),"")</f>
        <v>1769</v>
      </c>
      <c r="D9" s="37">
        <f>IFERROR(ROUND(('DCF Model'!C45/(1+$B9)^('DCF Model'!C19+0)+'DCF Model'!D45/(1+$B9)^('DCF Model'!C19+1)+'DCF Model'!E45/(1+$B9)^('DCF Model'!C19+2)+'DCF Model'!F45/(1+$B9)^('DCF Model'!C19+3)+'DCF Model'!G45/(1+$B9)^('DCF Model'!C19+4)+'DCF Model'!G45*(1+D$6)/($B9-D$6)/(1+$B9)^('DCF Model'!C19+4)-'DCF Model'!C16)*1000000/'DCF Model'!C15,0),"")</f>
        <v>1805</v>
      </c>
      <c r="E9" s="37">
        <f>IFERROR(ROUND(('DCF Model'!C45/(1+$B9)^('DCF Model'!C19+0)+'DCF Model'!D45/(1+$B9)^('DCF Model'!C19+1)+'DCF Model'!E45/(1+$B9)^('DCF Model'!C19+2)+'DCF Model'!F45/(1+$B9)^('DCF Model'!C19+3)+'DCF Model'!G45/(1+$B9)^('DCF Model'!C19+4)+'DCF Model'!G45*(1+E$6)/($B9-E$6)/(1+$B9)^('DCF Model'!C19+4)-'DCF Model'!C16)*1000000/'DCF Model'!C15,0),"")</f>
        <v>1844</v>
      </c>
      <c r="F9" s="37">
        <f>IFERROR(ROUND(('DCF Model'!C45/(1+$B9)^('DCF Model'!C19+0)+'DCF Model'!D45/(1+$B9)^('DCF Model'!C19+1)+'DCF Model'!E45/(1+$B9)^('DCF Model'!C19+2)+'DCF Model'!F45/(1+$B9)^('DCF Model'!C19+3)+'DCF Model'!G45/(1+$B9)^('DCF Model'!C19+4)+'DCF Model'!G45*(1+F$6)/($B9-F$6)/(1+$B9)^('DCF Model'!C19+4)-'DCF Model'!C16)*1000000/'DCF Model'!C15,0),"")</f>
        <v>1884</v>
      </c>
      <c r="G9" s="37">
        <f>IFERROR(ROUND(('DCF Model'!C45/(1+$B9)^('DCF Model'!C19+0)+'DCF Model'!D45/(1+$B9)^('DCF Model'!C19+1)+'DCF Model'!E45/(1+$B9)^('DCF Model'!C19+2)+'DCF Model'!F45/(1+$B9)^('DCF Model'!C19+3)+'DCF Model'!G45/(1+$B9)^('DCF Model'!C19+4)+'DCF Model'!G45*(1+G$6)/($B9-G$6)/(1+$B9)^('DCF Model'!C19+4)-'DCF Model'!C16)*1000000/'DCF Model'!C15,0),"")</f>
        <v>1927</v>
      </c>
      <c r="H9" s="37">
        <f>IFERROR(ROUND(('DCF Model'!C45/(1+$B9)^('DCF Model'!C19+0)+'DCF Model'!D45/(1+$B9)^('DCF Model'!C19+1)+'DCF Model'!E45/(1+$B9)^('DCF Model'!C19+2)+'DCF Model'!F45/(1+$B9)^('DCF Model'!C19+3)+'DCF Model'!G45/(1+$B9)^('DCF Model'!C19+4)+'DCF Model'!G45*(1+H$6)/($B9-H$6)/(1+$B9)^('DCF Model'!C19+4)-'DCF Model'!C16)*1000000/'DCF Model'!C15,0),"")</f>
        <v>1973</v>
      </c>
      <c r="I9" s="37">
        <f>IFERROR(ROUND(('DCF Model'!C45/(1+$B9)^('DCF Model'!C19+0)+'DCF Model'!D45/(1+$B9)^('DCF Model'!C19+1)+'DCF Model'!E45/(1+$B9)^('DCF Model'!C19+2)+'DCF Model'!F45/(1+$B9)^('DCF Model'!C19+3)+'DCF Model'!G45/(1+$B9)^('DCF Model'!C19+4)+'DCF Model'!G45*(1+I$6)/($B9-I$6)/(1+$B9)^('DCF Model'!C19+4)-'DCF Model'!C16)*1000000/'DCF Model'!C15,0),"")</f>
        <v>2022</v>
      </c>
    </row>
    <row r="10" spans="2:9" ht="13.5" customHeight="1" x14ac:dyDescent="0.25">
      <c r="B10" s="39">
        <f>$C$3</f>
        <v>0.10012330886728824</v>
      </c>
      <c r="C10" s="37">
        <f>IFERROR(ROUND(('DCF Model'!C45/(1+$B10)^('DCF Model'!C19+0)+'DCF Model'!D45/(1+$B10)^('DCF Model'!C19+1)+'DCF Model'!E45/(1+$B10)^('DCF Model'!C19+2)+'DCF Model'!F45/(1+$B10)^('DCF Model'!C19+3)+'DCF Model'!G45/(1+$B10)^('DCF Model'!C19+4)+'DCF Model'!G45*(1+C$6)/($B10-C$6)/(1+$B10)^('DCF Model'!C19+4)-'DCF Model'!C16)*1000000/'DCF Model'!C15,0),"")</f>
        <v>1675</v>
      </c>
      <c r="D10" s="37">
        <f>IFERROR(ROUND(('DCF Model'!C45/(1+$B10)^('DCF Model'!C19+0)+'DCF Model'!D45/(1+$B10)^('DCF Model'!C19+1)+'DCF Model'!E45/(1+$B10)^('DCF Model'!C19+2)+'DCF Model'!F45/(1+$B10)^('DCF Model'!C19+3)+'DCF Model'!G45/(1+$B10)^('DCF Model'!C19+4)+'DCF Model'!G45*(1+D$6)/($B10-D$6)/(1+$B10)^('DCF Model'!C19+4)-'DCF Model'!C16)*1000000/'DCF Model'!C15,0),"")</f>
        <v>1707</v>
      </c>
      <c r="E10" s="37">
        <f>IFERROR(ROUND(('DCF Model'!C45/(1+$B10)^('DCF Model'!C19+0)+'DCF Model'!D45/(1+$B10)^('DCF Model'!C19+1)+'DCF Model'!E45/(1+$B10)^('DCF Model'!C19+2)+'DCF Model'!F45/(1+$B10)^('DCF Model'!C19+3)+'DCF Model'!G45/(1+$B10)^('DCF Model'!C19+4)+'DCF Model'!G45*(1+E$6)/($B10-E$6)/(1+$B10)^('DCF Model'!C19+4)-'DCF Model'!C16)*1000000/'DCF Model'!C15,0),"")</f>
        <v>1740</v>
      </c>
      <c r="F10" s="37">
        <f>IFERROR(ROUND(('DCF Model'!C45/(1+$B10)^('DCF Model'!C19+0)+'DCF Model'!D45/(1+$B10)^('DCF Model'!C19+1)+'DCF Model'!E45/(1+$B10)^('DCF Model'!C19+2)+'DCF Model'!F45/(1+$B10)^('DCF Model'!C19+3)+'DCF Model'!G45/(1+$B10)^('DCF Model'!C19+4)+'DCF Model'!G45*(1+F$6)/($B10-F$6)/(1+$B10)^('DCF Model'!C19+4)-'DCF Model'!C16)*1000000/'DCF Model'!C15,0),"")</f>
        <v>1776</v>
      </c>
      <c r="G10" s="37">
        <f>IFERROR(ROUND(('DCF Model'!C45/(1+$B10)^('DCF Model'!C19+0)+'DCF Model'!D45/(1+$B10)^('DCF Model'!C19+1)+'DCF Model'!E45/(1+$B10)^('DCF Model'!C19+2)+'DCF Model'!F45/(1+$B10)^('DCF Model'!C19+3)+'DCF Model'!G45/(1+$B10)^('DCF Model'!C19+4)+'DCF Model'!G45*(1+G$6)/($B10-G$6)/(1+$B10)^('DCF Model'!C19+4)-'DCF Model'!C16)*1000000/'DCF Model'!C15,0),"")</f>
        <v>1814</v>
      </c>
      <c r="H10" s="37">
        <f>IFERROR(ROUND(('DCF Model'!C45/(1+$B10)^('DCF Model'!C19+0)+'DCF Model'!D45/(1+$B10)^('DCF Model'!C19+1)+'DCF Model'!E45/(1+$B10)^('DCF Model'!C19+2)+'DCF Model'!F45/(1+$B10)^('DCF Model'!C19+3)+'DCF Model'!G45/(1+$B10)^('DCF Model'!C19+4)+'DCF Model'!G45*(1+H$6)/($B10-H$6)/(1+$B10)^('DCF Model'!C19+4)-'DCF Model'!C16)*1000000/'DCF Model'!C15,0),"")</f>
        <v>1853</v>
      </c>
      <c r="I10" s="37">
        <f>IFERROR(ROUND(('DCF Model'!C45/(1+$B10)^('DCF Model'!C19+0)+'DCF Model'!D45/(1+$B10)^('DCF Model'!C19+1)+'DCF Model'!E45/(1+$B10)^('DCF Model'!C19+2)+'DCF Model'!F45/(1+$B10)^('DCF Model'!C19+3)+'DCF Model'!G45/(1+$B10)^('DCF Model'!C19+4)+'DCF Model'!G45*(1+I$6)/($B10-I$6)/(1+$B10)^('DCF Model'!C19+4)-'DCF Model'!C16)*1000000/'DCF Model'!C15,0),"")</f>
        <v>1896</v>
      </c>
    </row>
    <row r="11" spans="2:9" ht="13.5" customHeight="1" x14ac:dyDescent="0.25">
      <c r="B11" s="39">
        <f>$C$3+0.005</f>
        <v>0.10512330886728824</v>
      </c>
      <c r="C11" s="37">
        <f>IFERROR(ROUND(('DCF Model'!C45/(1+$B11)^('DCF Model'!C19+0)+'DCF Model'!D45/(1+$B11)^('DCF Model'!C19+1)+'DCF Model'!E45/(1+$B11)^('DCF Model'!C19+2)+'DCF Model'!F45/(1+$B11)^('DCF Model'!C19+3)+'DCF Model'!G45/(1+$B11)^('DCF Model'!C19+4)+'DCF Model'!G45*(1+C$6)/($B11-C$6)/(1+$B11)^('DCF Model'!C19+4)-'DCF Model'!C16)*1000000/'DCF Model'!C15,0),"")</f>
        <v>1589</v>
      </c>
      <c r="D11" s="37">
        <f>IFERROR(ROUND(('DCF Model'!C45/(1+$B11)^('DCF Model'!C19+0)+'DCF Model'!D45/(1+$B11)^('DCF Model'!C19+1)+'DCF Model'!E45/(1+$B11)^('DCF Model'!C19+2)+'DCF Model'!F45/(1+$B11)^('DCF Model'!C19+3)+'DCF Model'!G45/(1+$B11)^('DCF Model'!C19+4)+'DCF Model'!G45*(1+D$6)/($B11-D$6)/(1+$B11)^('DCF Model'!C19+4)-'DCF Model'!C16)*1000000/'DCF Model'!C15,0),"")</f>
        <v>1618</v>
      </c>
      <c r="E11" s="37">
        <f>IFERROR(ROUND(('DCF Model'!C45/(1+$B11)^('DCF Model'!C19+0)+'DCF Model'!D45/(1+$B11)^('DCF Model'!C19+1)+'DCF Model'!E45/(1+$B11)^('DCF Model'!C19+2)+'DCF Model'!F45/(1+$B11)^('DCF Model'!C19+3)+'DCF Model'!G45/(1+$B11)^('DCF Model'!C19+4)+'DCF Model'!G45*(1+E$6)/($B11-E$6)/(1+$B11)^('DCF Model'!C19+4)-'DCF Model'!C16)*1000000/'DCF Model'!C15,0),"")</f>
        <v>1648</v>
      </c>
      <c r="F11" s="37">
        <f>IFERROR(ROUND(('DCF Model'!C45/(1+$B11)^('DCF Model'!C19+0)+'DCF Model'!D45/(1+$B11)^('DCF Model'!C19+1)+'DCF Model'!E45/(1+$B11)^('DCF Model'!C19+2)+'DCF Model'!F45/(1+$B11)^('DCF Model'!C19+3)+'DCF Model'!G45/(1+$B11)^('DCF Model'!C19+4)+'DCF Model'!G45*(1+F$6)/($B11-F$6)/(1+$B11)^('DCF Model'!C19+4)-'DCF Model'!C16)*1000000/'DCF Model'!C15,0),"")</f>
        <v>1679</v>
      </c>
      <c r="G11" s="37">
        <f>IFERROR(ROUND(('DCF Model'!C45/(1+$B11)^('DCF Model'!C19+0)+'DCF Model'!D45/(1+$B11)^('DCF Model'!C19+1)+'DCF Model'!E45/(1+$B11)^('DCF Model'!C19+2)+'DCF Model'!F45/(1+$B11)^('DCF Model'!C19+3)+'DCF Model'!G45/(1+$B11)^('DCF Model'!C19+4)+'DCF Model'!G45*(1+G$6)/($B11-G$6)/(1+$B11)^('DCF Model'!C19+4)-'DCF Model'!C16)*1000000/'DCF Model'!C15,0),"")</f>
        <v>1712</v>
      </c>
      <c r="H11" s="37">
        <f>IFERROR(ROUND(('DCF Model'!C45/(1+$B11)^('DCF Model'!C19+0)+'DCF Model'!D45/(1+$B11)^('DCF Model'!C19+1)+'DCF Model'!E45/(1+$B11)^('DCF Model'!C19+2)+'DCF Model'!F45/(1+$B11)^('DCF Model'!C19+3)+'DCF Model'!G45/(1+$B11)^('DCF Model'!C19+4)+'DCF Model'!G45*(1+H$6)/($B11-H$6)/(1+$B11)^('DCF Model'!C19+4)-'DCF Model'!C16)*1000000/'DCF Model'!C15,0),"")</f>
        <v>1747</v>
      </c>
      <c r="I11" s="37">
        <f>IFERROR(ROUND(('DCF Model'!C45/(1+$B11)^('DCF Model'!C19+0)+'DCF Model'!D45/(1+$B11)^('DCF Model'!C19+1)+'DCF Model'!E45/(1+$B11)^('DCF Model'!C19+2)+'DCF Model'!F45/(1+$B11)^('DCF Model'!C19+3)+'DCF Model'!G45/(1+$B11)^('DCF Model'!C19+4)+'DCF Model'!G45*(1+I$6)/($B11-I$6)/(1+$B11)^('DCF Model'!C19+4)-'DCF Model'!C16)*1000000/'DCF Model'!C15,0),"")</f>
        <v>1784</v>
      </c>
    </row>
    <row r="12" spans="2:9" ht="13.5" customHeight="1" x14ac:dyDescent="0.25">
      <c r="B12" s="39">
        <f>$C$3+0.01</f>
        <v>0.11012330886728823</v>
      </c>
      <c r="C12" s="37">
        <f>IFERROR(ROUND(('DCF Model'!C45/(1+$B12)^('DCF Model'!C19+0)+'DCF Model'!D45/(1+$B12)^('DCF Model'!C19+1)+'DCF Model'!E45/(1+$B12)^('DCF Model'!C19+2)+'DCF Model'!F45/(1+$B12)^('DCF Model'!C19+3)+'DCF Model'!G45/(1+$B12)^('DCF Model'!C19+4)+'DCF Model'!G45*(1+C$6)/($B12-C$6)/(1+$B12)^('DCF Model'!C19+4)-'DCF Model'!C16)*1000000/'DCF Model'!C15,0),"")</f>
        <v>1512</v>
      </c>
      <c r="D12" s="37">
        <f>IFERROR(ROUND(('DCF Model'!C45/(1+$B12)^('DCF Model'!C19+0)+'DCF Model'!D45/(1+$B12)^('DCF Model'!C19+1)+'DCF Model'!E45/(1+$B12)^('DCF Model'!C19+2)+'DCF Model'!F45/(1+$B12)^('DCF Model'!C19+3)+'DCF Model'!G45/(1+$B12)^('DCF Model'!C19+4)+'DCF Model'!G45*(1+D$6)/($B12-D$6)/(1+$B12)^('DCF Model'!C19+4)-'DCF Model'!C16)*1000000/'DCF Model'!C15,0),"")</f>
        <v>1537</v>
      </c>
      <c r="E12" s="37">
        <f>IFERROR(ROUND(('DCF Model'!C45/(1+$B12)^('DCF Model'!C19+0)+'DCF Model'!D45/(1+$B12)^('DCF Model'!C19+1)+'DCF Model'!E45/(1+$B12)^('DCF Model'!C19+2)+'DCF Model'!F45/(1+$B12)^('DCF Model'!C19+3)+'DCF Model'!G45/(1+$B12)^('DCF Model'!C19+4)+'DCF Model'!G45*(1+E$6)/($B12-E$6)/(1+$B12)^('DCF Model'!C19+4)-'DCF Model'!C16)*1000000/'DCF Model'!C15,0),"")</f>
        <v>1564</v>
      </c>
      <c r="F12" s="37">
        <f>IFERROR(ROUND(('DCF Model'!C45/(1+$B12)^('DCF Model'!C19+0)+'DCF Model'!D45/(1+$B12)^('DCF Model'!C19+1)+'DCF Model'!E45/(1+$B12)^('DCF Model'!C19+2)+'DCF Model'!F45/(1+$B12)^('DCF Model'!C19+3)+'DCF Model'!G45/(1+$B12)^('DCF Model'!C19+4)+'DCF Model'!G45*(1+F$6)/($B12-F$6)/(1+$B12)^('DCF Model'!C19+4)-'DCF Model'!C16)*1000000/'DCF Model'!C15,0),"")</f>
        <v>1592</v>
      </c>
      <c r="G12" s="37">
        <f>IFERROR(ROUND(('DCF Model'!C45/(1+$B12)^('DCF Model'!C19+0)+'DCF Model'!D45/(1+$B12)^('DCF Model'!C19+1)+'DCF Model'!E45/(1+$B12)^('DCF Model'!C19+2)+'DCF Model'!F45/(1+$B12)^('DCF Model'!C19+3)+'DCF Model'!G45/(1+$B12)^('DCF Model'!C19+4)+'DCF Model'!G45*(1+G$6)/($B12-G$6)/(1+$B12)^('DCF Model'!C19+4)-'DCF Model'!C16)*1000000/'DCF Model'!C15,0),"")</f>
        <v>1621</v>
      </c>
      <c r="H12" s="37">
        <f>IFERROR(ROUND(('DCF Model'!C45/(1+$B12)^('DCF Model'!C19+0)+'DCF Model'!D45/(1+$B12)^('DCF Model'!C19+1)+'DCF Model'!E45/(1+$B12)^('DCF Model'!C19+2)+'DCF Model'!F45/(1+$B12)^('DCF Model'!C19+3)+'DCF Model'!G45/(1+$B12)^('DCF Model'!C19+4)+'DCF Model'!G45*(1+H$6)/($B12-H$6)/(1+$B12)^('DCF Model'!C19+4)-'DCF Model'!C16)*1000000/'DCF Model'!C15,0),"")</f>
        <v>1652</v>
      </c>
      <c r="I12" s="37">
        <f>IFERROR(ROUND(('DCF Model'!C45/(1+$B12)^('DCF Model'!C19+0)+'DCF Model'!D45/(1+$B12)^('DCF Model'!C19+1)+'DCF Model'!E45/(1+$B12)^('DCF Model'!C19+2)+'DCF Model'!F45/(1+$B12)^('DCF Model'!C19+3)+'DCF Model'!G45/(1+$B12)^('DCF Model'!C19+4)+'DCF Model'!G45*(1+I$6)/($B12-I$6)/(1+$B12)^('DCF Model'!C19+4)-'DCF Model'!C16)*1000000/'DCF Model'!C15,0),"")</f>
        <v>1684</v>
      </c>
    </row>
    <row r="13" spans="2:9" ht="13.5" customHeight="1" x14ac:dyDescent="0.25">
      <c r="B13" s="39">
        <f>$C$3+0.015</f>
        <v>0.11512330886728823</v>
      </c>
      <c r="C13" s="37">
        <f>IFERROR(ROUND(('DCF Model'!C45/(1+$B13)^('DCF Model'!C19+0)+'DCF Model'!D45/(1+$B13)^('DCF Model'!C19+1)+'DCF Model'!E45/(1+$B13)^('DCF Model'!C19+2)+'DCF Model'!F45/(1+$B13)^('DCF Model'!C19+3)+'DCF Model'!G45/(1+$B13)^('DCF Model'!C19+4)+'DCF Model'!G45*(1+C$6)/($B13-C$6)/(1+$B13)^('DCF Model'!C19+4)-'DCF Model'!C16)*1000000/'DCF Model'!C15,0),"")</f>
        <v>1442</v>
      </c>
      <c r="D13" s="37">
        <f>IFERROR(ROUND(('DCF Model'!C45/(1+$B13)^('DCF Model'!C19+0)+'DCF Model'!D45/(1+$B13)^('DCF Model'!C19+1)+'DCF Model'!E45/(1+$B13)^('DCF Model'!C19+2)+'DCF Model'!F45/(1+$B13)^('DCF Model'!C19+3)+'DCF Model'!G45/(1+$B13)^('DCF Model'!C19+4)+'DCF Model'!G45*(1+D$6)/($B13-D$6)/(1+$B13)^('DCF Model'!C19+4)-'DCF Model'!C16)*1000000/'DCF Model'!C15,0),"")</f>
        <v>1464</v>
      </c>
      <c r="E13" s="37">
        <f>IFERROR(ROUND(('DCF Model'!C45/(1+$B13)^('DCF Model'!C19+0)+'DCF Model'!D45/(1+$B13)^('DCF Model'!C19+1)+'DCF Model'!E45/(1+$B13)^('DCF Model'!C19+2)+'DCF Model'!F45/(1+$B13)^('DCF Model'!C19+3)+'DCF Model'!G45/(1+$B13)^('DCF Model'!C19+4)+'DCF Model'!G45*(1+E$6)/($B13-E$6)/(1+$B13)^('DCF Model'!C19+4)-'DCF Model'!C16)*1000000/'DCF Model'!C15,0),"")</f>
        <v>1488</v>
      </c>
      <c r="F13" s="37">
        <f>IFERROR(ROUND(('DCF Model'!C45/(1+$B13)^('DCF Model'!C19+0)+'DCF Model'!D45/(1+$B13)^('DCF Model'!C19+1)+'DCF Model'!E45/(1+$B13)^('DCF Model'!C19+2)+'DCF Model'!F45/(1+$B13)^('DCF Model'!C19+3)+'DCF Model'!G45/(1+$B13)^('DCF Model'!C19+4)+'DCF Model'!G45*(1+F$6)/($B13-F$6)/(1+$B13)^('DCF Model'!C19+4)-'DCF Model'!C16)*1000000/'DCF Model'!C15,0),"")</f>
        <v>1513</v>
      </c>
      <c r="G13" s="37">
        <f>IFERROR(ROUND(('DCF Model'!C45/(1+$B13)^('DCF Model'!C19+0)+'DCF Model'!D45/(1+$B13)^('DCF Model'!C19+1)+'DCF Model'!E45/(1+$B13)^('DCF Model'!C19+2)+'DCF Model'!F45/(1+$B13)^('DCF Model'!C19+3)+'DCF Model'!G45/(1+$B13)^('DCF Model'!C19+4)+'DCF Model'!G45*(1+G$6)/($B13-G$6)/(1+$B13)^('DCF Model'!C19+4)-'DCF Model'!C16)*1000000/'DCF Model'!C15,0),"")</f>
        <v>1539</v>
      </c>
      <c r="H13" s="37">
        <f>IFERROR(ROUND(('DCF Model'!C45/(1+$B13)^('DCF Model'!C19+0)+'DCF Model'!D45/(1+$B13)^('DCF Model'!C19+1)+'DCF Model'!E45/(1+$B13)^('DCF Model'!C19+2)+'DCF Model'!F45/(1+$B13)^('DCF Model'!C19+3)+'DCF Model'!G45/(1+$B13)^('DCF Model'!C19+4)+'DCF Model'!G45*(1+H$6)/($B13-H$6)/(1+$B13)^('DCF Model'!C19+4)-'DCF Model'!C16)*1000000/'DCF Model'!C15,0),"")</f>
        <v>1566</v>
      </c>
      <c r="I13" s="37">
        <f>IFERROR(ROUND(('DCF Model'!C45/(1+$B13)^('DCF Model'!C19+0)+'DCF Model'!D45/(1+$B13)^('DCF Model'!C19+1)+'DCF Model'!E45/(1+$B13)^('DCF Model'!C19+2)+'DCF Model'!F45/(1+$B13)^('DCF Model'!C19+3)+'DCF Model'!G45/(1+$B13)^('DCF Model'!C19+4)+'DCF Model'!G45*(1+I$6)/($B13-I$6)/(1+$B13)^('DCF Model'!C19+4)-'DCF Model'!C16)*1000000/'DCF Model'!C15,0),"")</f>
        <v>1595</v>
      </c>
    </row>
    <row r="16" spans="2:9" ht="14" customHeight="1" x14ac:dyDescent="0.3">
      <c r="B16" s="3" t="s">
        <v>243</v>
      </c>
    </row>
    <row r="17" spans="2:9" ht="14" customHeight="1" x14ac:dyDescent="0.3">
      <c r="B17" s="41" t="s">
        <v>244</v>
      </c>
      <c r="C17" s="43">
        <f>$I$3-3</f>
        <v>8.3000000000000007</v>
      </c>
      <c r="D17" s="43">
        <f>$I$3-2</f>
        <v>9.3000000000000007</v>
      </c>
      <c r="E17" s="43">
        <f>$I$3-1</f>
        <v>10.3</v>
      </c>
      <c r="F17" s="43">
        <f>$I$3</f>
        <v>11.3</v>
      </c>
      <c r="G17" s="43">
        <f>$I$3+1</f>
        <v>12.3</v>
      </c>
      <c r="H17" s="43">
        <f>$I$3+2</f>
        <v>13.3</v>
      </c>
      <c r="I17" s="43">
        <f>$I$3+3</f>
        <v>14.3</v>
      </c>
    </row>
    <row r="18" spans="2:9" ht="13.5" customHeight="1" x14ac:dyDescent="0.25">
      <c r="B18" s="39">
        <f>$C$3-0.015</f>
        <v>8.5123308867288236E-2</v>
      </c>
      <c r="C18" s="37">
        <f>IFERROR(ROUND(('DCF Model'!C45/(1+$B18)^('DCF Model'!C19+0)+'DCF Model'!D45/(1+$B18)^('DCF Model'!C19+1)+'DCF Model'!E45/(1+$B18)^('DCF Model'!C19+2)+'DCF Model'!F45/(1+$B18)^('DCF Model'!C19+3)+'DCF Model'!G45/(1+$B18)^('DCF Model'!C19+4)+('DCF Model'!G39+'DCF Model'!G42)*C$17/(1+$B18)^('DCF Model'!C19+4)-'DCF Model'!C16)*1000000/'DCF Model'!C15,0),"")</f>
        <v>2725</v>
      </c>
      <c r="D18" s="37">
        <f>IFERROR(ROUND(('DCF Model'!C45/(1+$B18)^('DCF Model'!C19+0)+'DCF Model'!D45/(1+$B18)^('DCF Model'!C19+1)+'DCF Model'!E45/(1+$B18)^('DCF Model'!C19+2)+'DCF Model'!F45/(1+$B18)^('DCF Model'!C19+3)+'DCF Model'!G45/(1+$B18)^('DCF Model'!C19+4)+('DCF Model'!G39+'DCF Model'!G42)*D$17/(1+$B18)^('DCF Model'!C19+4)-'DCF Model'!C16)*1000000/'DCF Model'!C15,0),"")</f>
        <v>2982</v>
      </c>
      <c r="E18" s="37">
        <f>IFERROR(ROUND(('DCF Model'!C45/(1+$B18)^('DCF Model'!C19+0)+'DCF Model'!D45/(1+$B18)^('DCF Model'!C19+1)+'DCF Model'!E45/(1+$B18)^('DCF Model'!C19+2)+'DCF Model'!F45/(1+$B18)^('DCF Model'!C19+3)+'DCF Model'!G45/(1+$B18)^('DCF Model'!C19+4)+('DCF Model'!G39+'DCF Model'!G42)*E$17/(1+$B18)^('DCF Model'!C19+4)-'DCF Model'!C16)*1000000/'DCF Model'!C15,0),"")</f>
        <v>3239</v>
      </c>
      <c r="F18" s="37">
        <f>IFERROR(ROUND(('DCF Model'!C45/(1+$B18)^('DCF Model'!C19+0)+'DCF Model'!D45/(1+$B18)^('DCF Model'!C19+1)+'DCF Model'!E45/(1+$B18)^('DCF Model'!C19+2)+'DCF Model'!F45/(1+$B18)^('DCF Model'!C19+3)+'DCF Model'!G45/(1+$B18)^('DCF Model'!C19+4)+('DCF Model'!G39+'DCF Model'!G42)*F$17/(1+$B18)^('DCF Model'!C19+4)-'DCF Model'!C16)*1000000/'DCF Model'!C15,0),"")</f>
        <v>3496</v>
      </c>
      <c r="G18" s="37">
        <f>IFERROR(ROUND(('DCF Model'!C45/(1+$B18)^('DCF Model'!C19+0)+'DCF Model'!D45/(1+$B18)^('DCF Model'!C19+1)+'DCF Model'!E45/(1+$B18)^('DCF Model'!C19+2)+'DCF Model'!F45/(1+$B18)^('DCF Model'!C19+3)+'DCF Model'!G45/(1+$B18)^('DCF Model'!C19+4)+('DCF Model'!G39+'DCF Model'!G42)*G$17/(1+$B18)^('DCF Model'!C19+4)-'DCF Model'!C16)*1000000/'DCF Model'!C15,0),"")</f>
        <v>3753</v>
      </c>
      <c r="H18" s="37">
        <f>IFERROR(ROUND(('DCF Model'!C45/(1+$B18)^('DCF Model'!C19+0)+'DCF Model'!D45/(1+$B18)^('DCF Model'!C19+1)+'DCF Model'!E45/(1+$B18)^('DCF Model'!C19+2)+'DCF Model'!F45/(1+$B18)^('DCF Model'!C19+3)+'DCF Model'!G45/(1+$B18)^('DCF Model'!C19+4)+('DCF Model'!G39+'DCF Model'!G42)*H$17/(1+$B18)^('DCF Model'!C19+4)-'DCF Model'!C16)*1000000/'DCF Model'!C15,0),"")</f>
        <v>4010</v>
      </c>
      <c r="I18" s="37">
        <f>IFERROR(ROUND(('DCF Model'!C45/(1+$B18)^('DCF Model'!C19+0)+'DCF Model'!D45/(1+$B18)^('DCF Model'!C19+1)+'DCF Model'!E45/(1+$B18)^('DCF Model'!C19+2)+'DCF Model'!F45/(1+$B18)^('DCF Model'!C19+3)+'DCF Model'!G45/(1+$B18)^('DCF Model'!C19+4)+('DCF Model'!G39+'DCF Model'!G42)*I$17/(1+$B18)^('DCF Model'!C19+4)-'DCF Model'!C16)*1000000/'DCF Model'!C15,0),"")</f>
        <v>4268</v>
      </c>
    </row>
    <row r="19" spans="2:9" ht="13.5" customHeight="1" x14ac:dyDescent="0.25">
      <c r="B19" s="39">
        <f>$C$3-0.01</f>
        <v>9.012330886728824E-2</v>
      </c>
      <c r="C19" s="37">
        <f>IFERROR(ROUND(('DCF Model'!C45/(1+$B19)^('DCF Model'!C19+0)+'DCF Model'!D45/(1+$B19)^('DCF Model'!C19+1)+'DCF Model'!E45/(1+$B19)^('DCF Model'!C19+2)+'DCF Model'!F45/(1+$B19)^('DCF Model'!C19+3)+'DCF Model'!G45/(1+$B19)^('DCF Model'!C19+4)+('DCF Model'!G39+'DCF Model'!G42)*C$17/(1+$B19)^('DCF Model'!C19+4)-'DCF Model'!C16)*1000000/'DCF Model'!C15,0),"")</f>
        <v>2668</v>
      </c>
      <c r="D19" s="37">
        <f>IFERROR(ROUND(('DCF Model'!C45/(1+$B19)^('DCF Model'!C19+0)+'DCF Model'!D45/(1+$B19)^('DCF Model'!C19+1)+'DCF Model'!E45/(1+$B19)^('DCF Model'!C19+2)+'DCF Model'!F45/(1+$B19)^('DCF Model'!C19+3)+'DCF Model'!G45/(1+$B19)^('DCF Model'!C19+4)+('DCF Model'!G39+'DCF Model'!G42)*D$17/(1+$B19)^('DCF Model'!C19+4)-'DCF Model'!C16)*1000000/'DCF Model'!C15,0),"")</f>
        <v>2919</v>
      </c>
      <c r="E19" s="37">
        <f>IFERROR(ROUND(('DCF Model'!C45/(1+$B19)^('DCF Model'!C19+0)+'DCF Model'!D45/(1+$B19)^('DCF Model'!C19+1)+'DCF Model'!E45/(1+$B19)^('DCF Model'!C19+2)+'DCF Model'!F45/(1+$B19)^('DCF Model'!C19+3)+'DCF Model'!G45/(1+$B19)^('DCF Model'!C19+4)+('DCF Model'!G39+'DCF Model'!G42)*E$17/(1+$B19)^('DCF Model'!C19+4)-'DCF Model'!C16)*1000000/'DCF Model'!C15,0),"")</f>
        <v>3171</v>
      </c>
      <c r="F19" s="37">
        <f>IFERROR(ROUND(('DCF Model'!C45/(1+$B19)^('DCF Model'!C19+0)+'DCF Model'!D45/(1+$B19)^('DCF Model'!C19+1)+'DCF Model'!E45/(1+$B19)^('DCF Model'!C19+2)+'DCF Model'!F45/(1+$B19)^('DCF Model'!C19+3)+'DCF Model'!G45/(1+$B19)^('DCF Model'!C19+4)+('DCF Model'!G39+'DCF Model'!G42)*F$17/(1+$B19)^('DCF Model'!C19+4)-'DCF Model'!C16)*1000000/'DCF Model'!C15,0),"")</f>
        <v>3422</v>
      </c>
      <c r="G19" s="37">
        <f>IFERROR(ROUND(('DCF Model'!C45/(1+$B19)^('DCF Model'!C19+0)+'DCF Model'!D45/(1+$B19)^('DCF Model'!C19+1)+'DCF Model'!E45/(1+$B19)^('DCF Model'!C19+2)+'DCF Model'!F45/(1+$B19)^('DCF Model'!C19+3)+'DCF Model'!G45/(1+$B19)^('DCF Model'!C19+4)+('DCF Model'!G39+'DCF Model'!G42)*G$17/(1+$B19)^('DCF Model'!C19+4)-'DCF Model'!C16)*1000000/'DCF Model'!C15,0),"")</f>
        <v>3673</v>
      </c>
      <c r="H19" s="37">
        <f>IFERROR(ROUND(('DCF Model'!C45/(1+$B19)^('DCF Model'!C19+0)+'DCF Model'!D45/(1+$B19)^('DCF Model'!C19+1)+'DCF Model'!E45/(1+$B19)^('DCF Model'!C19+2)+'DCF Model'!F45/(1+$B19)^('DCF Model'!C19+3)+'DCF Model'!G45/(1+$B19)^('DCF Model'!C19+4)+('DCF Model'!G39+'DCF Model'!G42)*H$17/(1+$B19)^('DCF Model'!C19+4)-'DCF Model'!C16)*1000000/'DCF Model'!C15,0),"")</f>
        <v>3925</v>
      </c>
      <c r="I19" s="37">
        <f>IFERROR(ROUND(('DCF Model'!C45/(1+$B19)^('DCF Model'!C19+0)+'DCF Model'!D45/(1+$B19)^('DCF Model'!C19+1)+'DCF Model'!E45/(1+$B19)^('DCF Model'!C19+2)+'DCF Model'!F45/(1+$B19)^('DCF Model'!C19+3)+'DCF Model'!G45/(1+$B19)^('DCF Model'!C19+4)+('DCF Model'!G39+'DCF Model'!G42)*I$17/(1+$B19)^('DCF Model'!C19+4)-'DCF Model'!C16)*1000000/'DCF Model'!C15,0),"")</f>
        <v>4176</v>
      </c>
    </row>
    <row r="20" spans="2:9" ht="13.5" customHeight="1" x14ac:dyDescent="0.25">
      <c r="B20" s="39">
        <f>$C$3-0.005</f>
        <v>9.5123308867288231E-2</v>
      </c>
      <c r="C20" s="37">
        <f>IFERROR(ROUND(('DCF Model'!C45/(1+$B20)^('DCF Model'!C19+0)+'DCF Model'!D45/(1+$B20)^('DCF Model'!C19+1)+'DCF Model'!E45/(1+$B20)^('DCF Model'!C19+2)+'DCF Model'!F45/(1+$B20)^('DCF Model'!C19+3)+'DCF Model'!G45/(1+$B20)^('DCF Model'!C19+4)+('DCF Model'!G39+'DCF Model'!G42)*C$17/(1+$B20)^('DCF Model'!C19+4)-'DCF Model'!C16)*1000000/'DCF Model'!C15,0),"")</f>
        <v>2613</v>
      </c>
      <c r="D20" s="37">
        <f>IFERROR(ROUND(('DCF Model'!C45/(1+$B20)^('DCF Model'!C19+0)+'DCF Model'!D45/(1+$B20)^('DCF Model'!C19+1)+'DCF Model'!E45/(1+$B20)^('DCF Model'!C19+2)+'DCF Model'!F45/(1+$B20)^('DCF Model'!C19+3)+'DCF Model'!G45/(1+$B20)^('DCF Model'!C19+4)+('DCF Model'!G39+'DCF Model'!G42)*D$17/(1+$B20)^('DCF Model'!C19+4)-'DCF Model'!C16)*1000000/'DCF Model'!C15,0),"")</f>
        <v>2858</v>
      </c>
      <c r="E20" s="37">
        <f>IFERROR(ROUND(('DCF Model'!C45/(1+$B20)^('DCF Model'!C19+0)+'DCF Model'!D45/(1+$B20)^('DCF Model'!C19+1)+'DCF Model'!E45/(1+$B20)^('DCF Model'!C19+2)+'DCF Model'!F45/(1+$B20)^('DCF Model'!C19+3)+'DCF Model'!G45/(1+$B20)^('DCF Model'!C19+4)+('DCF Model'!G39+'DCF Model'!G42)*E$17/(1+$B20)^('DCF Model'!C19+4)-'DCF Model'!C16)*1000000/'DCF Model'!C15,0),"")</f>
        <v>3104</v>
      </c>
      <c r="F20" s="37">
        <f>IFERROR(ROUND(('DCF Model'!C45/(1+$B20)^('DCF Model'!C19+0)+'DCF Model'!D45/(1+$B20)^('DCF Model'!C19+1)+'DCF Model'!E45/(1+$B20)^('DCF Model'!C19+2)+'DCF Model'!F45/(1+$B20)^('DCF Model'!C19+3)+'DCF Model'!G45/(1+$B20)^('DCF Model'!C19+4)+('DCF Model'!G39+'DCF Model'!G42)*F$17/(1+$B20)^('DCF Model'!C19+4)-'DCF Model'!C16)*1000000/'DCF Model'!C15,0),"")</f>
        <v>3350</v>
      </c>
      <c r="G20" s="37">
        <f>IFERROR(ROUND(('DCF Model'!C45/(1+$B20)^('DCF Model'!C19+0)+'DCF Model'!D45/(1+$B20)^('DCF Model'!C19+1)+'DCF Model'!E45/(1+$B20)^('DCF Model'!C19+2)+'DCF Model'!F45/(1+$B20)^('DCF Model'!C19+3)+'DCF Model'!G45/(1+$B20)^('DCF Model'!C19+4)+('DCF Model'!G39+'DCF Model'!G42)*G$17/(1+$B20)^('DCF Model'!C19+4)-'DCF Model'!C16)*1000000/'DCF Model'!C15,0),"")</f>
        <v>3595</v>
      </c>
      <c r="H20" s="37">
        <f>IFERROR(ROUND(('DCF Model'!C45/(1+$B20)^('DCF Model'!C19+0)+'DCF Model'!D45/(1+$B20)^('DCF Model'!C19+1)+'DCF Model'!E45/(1+$B20)^('DCF Model'!C19+2)+'DCF Model'!F45/(1+$B20)^('DCF Model'!C19+3)+'DCF Model'!G45/(1+$B20)^('DCF Model'!C19+4)+('DCF Model'!G39+'DCF Model'!G42)*H$17/(1+$B20)^('DCF Model'!C19+4)-'DCF Model'!C16)*1000000/'DCF Model'!C15,0),"")</f>
        <v>3841</v>
      </c>
      <c r="I20" s="37">
        <f>IFERROR(ROUND(('DCF Model'!C45/(1+$B20)^('DCF Model'!C19+0)+'DCF Model'!D45/(1+$B20)^('DCF Model'!C19+1)+'DCF Model'!E45/(1+$B20)^('DCF Model'!C19+2)+'DCF Model'!F45/(1+$B20)^('DCF Model'!C19+3)+'DCF Model'!G45/(1+$B20)^('DCF Model'!C19+4)+('DCF Model'!G39+'DCF Model'!G42)*I$17/(1+$B20)^('DCF Model'!C19+4)-'DCF Model'!C16)*1000000/'DCF Model'!C15,0),"")</f>
        <v>4087</v>
      </c>
    </row>
    <row r="21" spans="2:9" ht="13.5" customHeight="1" x14ac:dyDescent="0.25">
      <c r="B21" s="39">
        <f>$C$3</f>
        <v>0.10012330886728824</v>
      </c>
      <c r="C21" s="37">
        <f>IFERROR(ROUND(('DCF Model'!C45/(1+$B21)^('DCF Model'!C19+0)+'DCF Model'!D45/(1+$B21)^('DCF Model'!C19+1)+'DCF Model'!E45/(1+$B21)^('DCF Model'!C19+2)+'DCF Model'!F45/(1+$B21)^('DCF Model'!C19+3)+'DCF Model'!G45/(1+$B21)^('DCF Model'!C19+4)+('DCF Model'!G39+'DCF Model'!G42)*C$17/(1+$B21)^('DCF Model'!C19+4)-'DCF Model'!C16)*1000000/'DCF Model'!C15,0),"")</f>
        <v>2559</v>
      </c>
      <c r="D21" s="37">
        <f>IFERROR(ROUND(('DCF Model'!C45/(1+$B21)^('DCF Model'!C19+0)+'DCF Model'!D45/(1+$B21)^('DCF Model'!C19+1)+'DCF Model'!E45/(1+$B21)^('DCF Model'!C19+2)+'DCF Model'!F45/(1+$B21)^('DCF Model'!C19+3)+'DCF Model'!G45/(1+$B21)^('DCF Model'!C19+4)+('DCF Model'!G39+'DCF Model'!G42)*D$17/(1+$B21)^('DCF Model'!C19+4)-'DCF Model'!C16)*1000000/'DCF Model'!C15,0),"")</f>
        <v>2799</v>
      </c>
      <c r="E21" s="37">
        <f>IFERROR(ROUND(('DCF Model'!C45/(1+$B21)^('DCF Model'!C19+0)+'DCF Model'!D45/(1+$B21)^('DCF Model'!C19+1)+'DCF Model'!E45/(1+$B21)^('DCF Model'!C19+2)+'DCF Model'!F45/(1+$B21)^('DCF Model'!C19+3)+'DCF Model'!G45/(1+$B21)^('DCF Model'!C19+4)+('DCF Model'!G39+'DCF Model'!G42)*E$17/(1+$B21)^('DCF Model'!C19+4)-'DCF Model'!C16)*1000000/'DCF Model'!C15,0),"")</f>
        <v>3039</v>
      </c>
      <c r="F21" s="37">
        <f>IFERROR(ROUND(('DCF Model'!C45/(1+$B21)^('DCF Model'!C19+0)+'DCF Model'!D45/(1+$B21)^('DCF Model'!C19+1)+'DCF Model'!E45/(1+$B21)^('DCF Model'!C19+2)+'DCF Model'!F45/(1+$B21)^('DCF Model'!C19+3)+'DCF Model'!G45/(1+$B21)^('DCF Model'!C19+4)+('DCF Model'!G39+'DCF Model'!G42)*F$17/(1+$B21)^('DCF Model'!C19+4)-'DCF Model'!C16)*1000000/'DCF Model'!C15,0),"")</f>
        <v>3279</v>
      </c>
      <c r="G21" s="37">
        <f>IFERROR(ROUND(('DCF Model'!C45/(1+$B21)^('DCF Model'!C19+0)+'DCF Model'!D45/(1+$B21)^('DCF Model'!C19+1)+'DCF Model'!E45/(1+$B21)^('DCF Model'!C19+2)+'DCF Model'!F45/(1+$B21)^('DCF Model'!C19+3)+'DCF Model'!G45/(1+$B21)^('DCF Model'!C19+4)+('DCF Model'!G39+'DCF Model'!G42)*G$17/(1+$B21)^('DCF Model'!C19+4)-'DCF Model'!C16)*1000000/'DCF Model'!C15,0),"")</f>
        <v>3520</v>
      </c>
      <c r="H21" s="37">
        <f>IFERROR(ROUND(('DCF Model'!C45/(1+$B21)^('DCF Model'!C19+0)+'DCF Model'!D45/(1+$B21)^('DCF Model'!C19+1)+'DCF Model'!E45/(1+$B21)^('DCF Model'!C19+2)+'DCF Model'!F45/(1+$B21)^('DCF Model'!C19+3)+'DCF Model'!G45/(1+$B21)^('DCF Model'!C19+4)+('DCF Model'!G39+'DCF Model'!G42)*H$17/(1+$B21)^('DCF Model'!C19+4)-'DCF Model'!C16)*1000000/'DCF Model'!C15,0),"")</f>
        <v>3760</v>
      </c>
      <c r="I21" s="37">
        <f>IFERROR(ROUND(('DCF Model'!C45/(1+$B21)^('DCF Model'!C19+0)+'DCF Model'!D45/(1+$B21)^('DCF Model'!C19+1)+'DCF Model'!E45/(1+$B21)^('DCF Model'!C19+2)+'DCF Model'!F45/(1+$B21)^('DCF Model'!C19+3)+'DCF Model'!G45/(1+$B21)^('DCF Model'!C19+4)+('DCF Model'!G39+'DCF Model'!G42)*I$17/(1+$B21)^('DCF Model'!C19+4)-'DCF Model'!C16)*1000000/'DCF Model'!C15,0),"")</f>
        <v>4000</v>
      </c>
    </row>
    <row r="22" spans="2:9" ht="13.5" customHeight="1" x14ac:dyDescent="0.25">
      <c r="B22" s="39">
        <f>$C$3+0.005</f>
        <v>0.10512330886728824</v>
      </c>
      <c r="C22" s="37">
        <f>IFERROR(ROUND(('DCF Model'!C45/(1+$B22)^('DCF Model'!C19+0)+'DCF Model'!D45/(1+$B22)^('DCF Model'!C19+1)+'DCF Model'!E45/(1+$B22)^('DCF Model'!C19+2)+'DCF Model'!F45/(1+$B22)^('DCF Model'!C19+3)+'DCF Model'!G45/(1+$B22)^('DCF Model'!C19+4)+('DCF Model'!G39+'DCF Model'!G42)*C$17/(1+$B22)^('DCF Model'!C19+4)-'DCF Model'!C16)*1000000/'DCF Model'!C15,0),"")</f>
        <v>2507</v>
      </c>
      <c r="D22" s="37">
        <f>IFERROR(ROUND(('DCF Model'!C45/(1+$B22)^('DCF Model'!C19+0)+'DCF Model'!D45/(1+$B22)^('DCF Model'!C19+1)+'DCF Model'!E45/(1+$B22)^('DCF Model'!C19+2)+'DCF Model'!F45/(1+$B22)^('DCF Model'!C19+3)+'DCF Model'!G45/(1+$B22)^('DCF Model'!C19+4)+('DCF Model'!G39+'DCF Model'!G42)*D$17/(1+$B22)^('DCF Model'!C19+4)-'DCF Model'!C16)*1000000/'DCF Model'!C15,0),"")</f>
        <v>2742</v>
      </c>
      <c r="E22" s="37">
        <f>IFERROR(ROUND(('DCF Model'!C45/(1+$B22)^('DCF Model'!C19+0)+'DCF Model'!D45/(1+$B22)^('DCF Model'!C19+1)+'DCF Model'!E45/(1+$B22)^('DCF Model'!C19+2)+'DCF Model'!F45/(1+$B22)^('DCF Model'!C19+3)+'DCF Model'!G45/(1+$B22)^('DCF Model'!C19+4)+('DCF Model'!G39+'DCF Model'!G42)*E$17/(1+$B22)^('DCF Model'!C19+4)-'DCF Model'!C16)*1000000/'DCF Model'!C15,0),"")</f>
        <v>2976</v>
      </c>
      <c r="F22" s="37">
        <f>IFERROR(ROUND(('DCF Model'!C45/(1+$B22)^('DCF Model'!C19+0)+'DCF Model'!D45/(1+$B22)^('DCF Model'!C19+1)+'DCF Model'!E45/(1+$B22)^('DCF Model'!C19+2)+'DCF Model'!F45/(1+$B22)^('DCF Model'!C19+3)+'DCF Model'!G45/(1+$B22)^('DCF Model'!C19+4)+('DCF Model'!G39+'DCF Model'!G42)*F$17/(1+$B22)^('DCF Model'!C19+4)-'DCF Model'!C16)*1000000/'DCF Model'!C15,0),"")</f>
        <v>3211</v>
      </c>
      <c r="G22" s="37">
        <f>IFERROR(ROUND(('DCF Model'!C45/(1+$B22)^('DCF Model'!C19+0)+'DCF Model'!D45/(1+$B22)^('DCF Model'!C19+1)+'DCF Model'!E45/(1+$B22)^('DCF Model'!C19+2)+'DCF Model'!F45/(1+$B22)^('DCF Model'!C19+3)+'DCF Model'!G45/(1+$B22)^('DCF Model'!C19+4)+('DCF Model'!G39+'DCF Model'!G42)*G$17/(1+$B22)^('DCF Model'!C19+4)-'DCF Model'!C16)*1000000/'DCF Model'!C15,0),"")</f>
        <v>3446</v>
      </c>
      <c r="H22" s="37">
        <f>IFERROR(ROUND(('DCF Model'!C45/(1+$B22)^('DCF Model'!C19+0)+'DCF Model'!D45/(1+$B22)^('DCF Model'!C19+1)+'DCF Model'!E45/(1+$B22)^('DCF Model'!C19+2)+'DCF Model'!F45/(1+$B22)^('DCF Model'!C19+3)+'DCF Model'!G45/(1+$B22)^('DCF Model'!C19+4)+('DCF Model'!G39+'DCF Model'!G42)*H$17/(1+$B22)^('DCF Model'!C19+4)-'DCF Model'!C16)*1000000/'DCF Model'!C15,0),"")</f>
        <v>3680</v>
      </c>
      <c r="I22" s="37">
        <f>IFERROR(ROUND(('DCF Model'!C45/(1+$B22)^('DCF Model'!C19+0)+'DCF Model'!D45/(1+$B22)^('DCF Model'!C19+1)+'DCF Model'!E45/(1+$B22)^('DCF Model'!C19+2)+'DCF Model'!F45/(1+$B22)^('DCF Model'!C19+3)+'DCF Model'!G45/(1+$B22)^('DCF Model'!C19+4)+('DCF Model'!G39+'DCF Model'!G42)*I$17/(1+$B22)^('DCF Model'!C19+4)-'DCF Model'!C16)*1000000/'DCF Model'!C15,0),"")</f>
        <v>3915</v>
      </c>
    </row>
    <row r="23" spans="2:9" ht="13.5" customHeight="1" x14ac:dyDescent="0.25">
      <c r="B23" s="39">
        <f>$C$3+0.01</f>
        <v>0.11012330886728823</v>
      </c>
      <c r="C23" s="37">
        <f>IFERROR(ROUND(('DCF Model'!C45/(1+$B23)^('DCF Model'!C19+0)+'DCF Model'!D45/(1+$B23)^('DCF Model'!C19+1)+'DCF Model'!E45/(1+$B23)^('DCF Model'!C19+2)+'DCF Model'!F45/(1+$B23)^('DCF Model'!C19+3)+'DCF Model'!G45/(1+$B23)^('DCF Model'!C19+4)+('DCF Model'!G39+'DCF Model'!G42)*C$17/(1+$B23)^('DCF Model'!C19+4)-'DCF Model'!C16)*1000000/'DCF Model'!C15,0),"")</f>
        <v>2456</v>
      </c>
      <c r="D23" s="37">
        <f>IFERROR(ROUND(('DCF Model'!C45/(1+$B23)^('DCF Model'!C19+0)+'DCF Model'!D45/(1+$B23)^('DCF Model'!C19+1)+'DCF Model'!E45/(1+$B23)^('DCF Model'!C19+2)+'DCF Model'!F45/(1+$B23)^('DCF Model'!C19+3)+'DCF Model'!G45/(1+$B23)^('DCF Model'!C19+4)+('DCF Model'!G39+'DCF Model'!G42)*D$17/(1+$B23)^('DCF Model'!C19+4)-'DCF Model'!C16)*1000000/'DCF Model'!C15,0),"")</f>
        <v>2685</v>
      </c>
      <c r="E23" s="37">
        <f>IFERROR(ROUND(('DCF Model'!C45/(1+$B23)^('DCF Model'!C19+0)+'DCF Model'!D45/(1+$B23)^('DCF Model'!C19+1)+'DCF Model'!E45/(1+$B23)^('DCF Model'!C19+2)+'DCF Model'!F45/(1+$B23)^('DCF Model'!C19+3)+'DCF Model'!G45/(1+$B23)^('DCF Model'!C19+4)+('DCF Model'!G39+'DCF Model'!G42)*E$17/(1+$B23)^('DCF Model'!C19+4)-'DCF Model'!C16)*1000000/'DCF Model'!C15,0),"")</f>
        <v>2915</v>
      </c>
      <c r="F23" s="37">
        <f>IFERROR(ROUND(('DCF Model'!C45/(1+$B23)^('DCF Model'!C19+0)+'DCF Model'!D45/(1+$B23)^('DCF Model'!C19+1)+'DCF Model'!E45/(1+$B23)^('DCF Model'!C19+2)+'DCF Model'!F45/(1+$B23)^('DCF Model'!C19+3)+'DCF Model'!G45/(1+$B23)^('DCF Model'!C19+4)+('DCF Model'!G39+'DCF Model'!G42)*F$17/(1+$B23)^('DCF Model'!C19+4)-'DCF Model'!C16)*1000000/'DCF Model'!C15,0),"")</f>
        <v>3144</v>
      </c>
      <c r="G23" s="37">
        <f>IFERROR(ROUND(('DCF Model'!C45/(1+$B23)^('DCF Model'!C19+0)+'DCF Model'!D45/(1+$B23)^('DCF Model'!C19+1)+'DCF Model'!E45/(1+$B23)^('DCF Model'!C19+2)+'DCF Model'!F45/(1+$B23)^('DCF Model'!C19+3)+'DCF Model'!G45/(1+$B23)^('DCF Model'!C19+4)+('DCF Model'!G39+'DCF Model'!G42)*G$17/(1+$B23)^('DCF Model'!C19+4)-'DCF Model'!C16)*1000000/'DCF Model'!C15,0),"")</f>
        <v>3374</v>
      </c>
      <c r="H23" s="37">
        <f>IFERROR(ROUND(('DCF Model'!C45/(1+$B23)^('DCF Model'!C19+0)+'DCF Model'!D45/(1+$B23)^('DCF Model'!C19+1)+'DCF Model'!E45/(1+$B23)^('DCF Model'!C19+2)+'DCF Model'!F45/(1+$B23)^('DCF Model'!C19+3)+'DCF Model'!G45/(1+$B23)^('DCF Model'!C19+4)+('DCF Model'!G39+'DCF Model'!G42)*H$17/(1+$B23)^('DCF Model'!C19+4)-'DCF Model'!C16)*1000000/'DCF Model'!C15,0),"")</f>
        <v>3603</v>
      </c>
      <c r="I23" s="37">
        <f>IFERROR(ROUND(('DCF Model'!C45/(1+$B23)^('DCF Model'!C19+0)+'DCF Model'!D45/(1+$B23)^('DCF Model'!C19+1)+'DCF Model'!E45/(1+$B23)^('DCF Model'!C19+2)+'DCF Model'!F45/(1+$B23)^('DCF Model'!C19+3)+'DCF Model'!G45/(1+$B23)^('DCF Model'!C19+4)+('DCF Model'!G39+'DCF Model'!G42)*I$17/(1+$B23)^('DCF Model'!C19+4)-'DCF Model'!C16)*1000000/'DCF Model'!C15,0),"")</f>
        <v>3833</v>
      </c>
    </row>
    <row r="24" spans="2:9" ht="13.5" customHeight="1" x14ac:dyDescent="0.25">
      <c r="B24" s="39">
        <f>$C$3+0.015</f>
        <v>0.11512330886728823</v>
      </c>
      <c r="C24" s="37">
        <f>IFERROR(ROUND(('DCF Model'!C45/(1+$B24)^('DCF Model'!C19+0)+'DCF Model'!D45/(1+$B24)^('DCF Model'!C19+1)+'DCF Model'!E45/(1+$B24)^('DCF Model'!C19+2)+'DCF Model'!F45/(1+$B24)^('DCF Model'!C19+3)+'DCF Model'!G45/(1+$B24)^('DCF Model'!C19+4)+('DCF Model'!G39+'DCF Model'!G42)*C$17/(1+$B24)^('DCF Model'!C19+4)-'DCF Model'!C16)*1000000/'DCF Model'!C15,0),"")</f>
        <v>2406</v>
      </c>
      <c r="D24" s="37">
        <f>IFERROR(ROUND(('DCF Model'!C45/(1+$B24)^('DCF Model'!C19+0)+'DCF Model'!D45/(1+$B24)^('DCF Model'!C19+1)+'DCF Model'!E45/(1+$B24)^('DCF Model'!C19+2)+'DCF Model'!F45/(1+$B24)^('DCF Model'!C19+3)+'DCF Model'!G45/(1+$B24)^('DCF Model'!C19+4)+('DCF Model'!G39+'DCF Model'!G42)*D$17/(1+$B24)^('DCF Model'!C19+4)-'DCF Model'!C16)*1000000/'DCF Model'!C15,0),"")</f>
        <v>2631</v>
      </c>
      <c r="E24" s="37">
        <f>IFERROR(ROUND(('DCF Model'!C45/(1+$B24)^('DCF Model'!C19+0)+'DCF Model'!D45/(1+$B24)^('DCF Model'!C19+1)+'DCF Model'!E45/(1+$B24)^('DCF Model'!C19+2)+'DCF Model'!F45/(1+$B24)^('DCF Model'!C19+3)+'DCF Model'!G45/(1+$B24)^('DCF Model'!C19+4)+('DCF Model'!G39+'DCF Model'!G42)*E$17/(1+$B24)^('DCF Model'!C19+4)-'DCF Model'!C16)*1000000/'DCF Model'!C15,0),"")</f>
        <v>2855</v>
      </c>
      <c r="F24" s="37">
        <f>IFERROR(ROUND(('DCF Model'!C45/(1+$B24)^('DCF Model'!C19+0)+'DCF Model'!D45/(1+$B24)^('DCF Model'!C19+1)+'DCF Model'!E45/(1+$B24)^('DCF Model'!C19+2)+'DCF Model'!F45/(1+$B24)^('DCF Model'!C19+3)+'DCF Model'!G45/(1+$B24)^('DCF Model'!C19+4)+('DCF Model'!G39+'DCF Model'!G42)*F$17/(1+$B24)^('DCF Model'!C19+4)-'DCF Model'!C16)*1000000/'DCF Model'!C15,0),"")</f>
        <v>3079</v>
      </c>
      <c r="G24" s="37">
        <f>IFERROR(ROUND(('DCF Model'!C45/(1+$B24)^('DCF Model'!C19+0)+'DCF Model'!D45/(1+$B24)^('DCF Model'!C19+1)+'DCF Model'!E45/(1+$B24)^('DCF Model'!C19+2)+'DCF Model'!F45/(1+$B24)^('DCF Model'!C19+3)+'DCF Model'!G45/(1+$B24)^('DCF Model'!C19+4)+('DCF Model'!G39+'DCF Model'!G42)*G$17/(1+$B24)^('DCF Model'!C19+4)-'DCF Model'!C16)*1000000/'DCF Model'!C15,0),"")</f>
        <v>3304</v>
      </c>
      <c r="H24" s="37">
        <f>IFERROR(ROUND(('DCF Model'!C45/(1+$B24)^('DCF Model'!C19+0)+'DCF Model'!D45/(1+$B24)^('DCF Model'!C19+1)+'DCF Model'!E45/(1+$B24)^('DCF Model'!C19+2)+'DCF Model'!F45/(1+$B24)^('DCF Model'!C19+3)+'DCF Model'!G45/(1+$B24)^('DCF Model'!C19+4)+('DCF Model'!G39+'DCF Model'!G42)*H$17/(1+$B24)^('DCF Model'!C19+4)-'DCF Model'!C16)*1000000/'DCF Model'!C15,0),"")</f>
        <v>3528</v>
      </c>
      <c r="I24" s="37">
        <f>IFERROR(ROUND(('DCF Model'!C45/(1+$B24)^('DCF Model'!C19+0)+'DCF Model'!D45/(1+$B24)^('DCF Model'!C19+1)+'DCF Model'!E45/(1+$B24)^('DCF Model'!C19+2)+'DCF Model'!F45/(1+$B24)^('DCF Model'!C19+3)+'DCF Model'!G45/(1+$B24)^('DCF Model'!C19+4)+('DCF Model'!G39+'DCF Model'!G42)*I$17/(1+$B24)^('DCF Model'!C19+4)-'DCF Model'!C16)*1000000/'DCF Model'!C15,0),"")</f>
        <v>3753</v>
      </c>
    </row>
    <row r="26" spans="2:9" ht="14" customHeight="1" x14ac:dyDescent="0.3">
      <c r="B26" s="47" t="s">
        <v>245</v>
      </c>
      <c r="C26" s="46"/>
      <c r="D26" s="46"/>
      <c r="E26" s="46"/>
      <c r="F26" s="46"/>
      <c r="G26" s="46"/>
      <c r="H26" s="46"/>
      <c r="I26" s="46"/>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2"/>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customHeight="1" x14ac:dyDescent="0.4">
      <c r="B2" s="2" t="s">
        <v>246</v>
      </c>
    </row>
    <row r="4" spans="2:7" ht="14" customHeight="1" x14ac:dyDescent="0.3">
      <c r="B4" s="10" t="s">
        <v>247</v>
      </c>
      <c r="C4" s="10" t="s">
        <v>248</v>
      </c>
      <c r="D4" s="10" t="s">
        <v>249</v>
      </c>
      <c r="E4" s="10" t="s">
        <v>250</v>
      </c>
      <c r="F4" s="10" t="s">
        <v>251</v>
      </c>
      <c r="G4" s="10" t="s">
        <v>252</v>
      </c>
    </row>
    <row r="5" spans="2:7" x14ac:dyDescent="0.2">
      <c r="B5" t="s">
        <v>253</v>
      </c>
      <c r="C5" t="s">
        <v>254</v>
      </c>
      <c r="D5" t="s">
        <v>255</v>
      </c>
      <c r="E5" t="s">
        <v>256</v>
      </c>
      <c r="F5" t="s">
        <v>254</v>
      </c>
      <c r="G5" t="s">
        <v>257</v>
      </c>
    </row>
    <row r="6" spans="2:7" ht="30" customHeight="1" x14ac:dyDescent="0.3">
      <c r="B6" s="44" t="s">
        <v>258</v>
      </c>
      <c r="C6" s="4" t="s">
        <v>259</v>
      </c>
      <c r="D6" s="44" t="s">
        <v>260</v>
      </c>
      <c r="E6" s="44" t="s">
        <v>261</v>
      </c>
      <c r="F6" s="44" t="s">
        <v>262</v>
      </c>
      <c r="G6" s="44" t="s">
        <v>263</v>
      </c>
    </row>
    <row r="7" spans="2:7" ht="30" customHeight="1" x14ac:dyDescent="0.3">
      <c r="B7" s="44" t="s">
        <v>258</v>
      </c>
      <c r="C7" s="4" t="s">
        <v>264</v>
      </c>
      <c r="D7" s="44" t="s">
        <v>265</v>
      </c>
      <c r="E7" s="44" t="s">
        <v>266</v>
      </c>
      <c r="F7" s="44" t="s">
        <v>267</v>
      </c>
      <c r="G7" s="44" t="s">
        <v>268</v>
      </c>
    </row>
    <row r="8" spans="2:7" ht="30" customHeight="1" x14ac:dyDescent="0.3">
      <c r="B8" s="44" t="s">
        <v>258</v>
      </c>
      <c r="C8" s="4" t="s">
        <v>269</v>
      </c>
      <c r="D8" s="44" t="s">
        <v>270</v>
      </c>
      <c r="E8" s="44" t="s">
        <v>271</v>
      </c>
      <c r="F8" s="44" t="s">
        <v>272</v>
      </c>
      <c r="G8" s="44" t="s">
        <v>268</v>
      </c>
    </row>
    <row r="9" spans="2:7" ht="30" customHeight="1" x14ac:dyDescent="0.3">
      <c r="B9" s="44" t="s">
        <v>258</v>
      </c>
      <c r="C9" s="4" t="s">
        <v>273</v>
      </c>
      <c r="D9" s="44" t="s">
        <v>274</v>
      </c>
      <c r="E9" s="44" t="s">
        <v>275</v>
      </c>
      <c r="F9" s="44" t="s">
        <v>276</v>
      </c>
      <c r="G9" s="44" t="s">
        <v>263</v>
      </c>
    </row>
    <row r="10" spans="2:7" ht="30" customHeight="1" x14ac:dyDescent="0.3">
      <c r="B10" s="44" t="s">
        <v>258</v>
      </c>
      <c r="C10" s="4" t="s">
        <v>277</v>
      </c>
      <c r="D10" s="44" t="s">
        <v>278</v>
      </c>
      <c r="E10" s="44" t="s">
        <v>279</v>
      </c>
      <c r="F10" s="44" t="s">
        <v>280</v>
      </c>
      <c r="G10" s="44" t="s">
        <v>281</v>
      </c>
    </row>
    <row r="11" spans="2:7" ht="30" customHeight="1" x14ac:dyDescent="0.3">
      <c r="B11" s="44" t="s">
        <v>258</v>
      </c>
      <c r="C11" s="4" t="s">
        <v>282</v>
      </c>
      <c r="D11" s="44" t="s">
        <v>283</v>
      </c>
      <c r="E11" s="44" t="s">
        <v>284</v>
      </c>
      <c r="F11" s="44" t="s">
        <v>285</v>
      </c>
      <c r="G11" s="44" t="s">
        <v>286</v>
      </c>
    </row>
    <row r="12" spans="2:7" ht="30" customHeight="1" x14ac:dyDescent="0.3">
      <c r="B12" s="44" t="s">
        <v>258</v>
      </c>
      <c r="C12" s="4" t="s">
        <v>287</v>
      </c>
      <c r="D12" s="44" t="s">
        <v>288</v>
      </c>
      <c r="E12" s="44" t="s">
        <v>289</v>
      </c>
      <c r="F12" s="44" t="s">
        <v>290</v>
      </c>
      <c r="G12" s="44" t="s">
        <v>268</v>
      </c>
    </row>
    <row r="13" spans="2:7" ht="30" customHeight="1" x14ac:dyDescent="0.3">
      <c r="B13" s="44" t="s">
        <v>258</v>
      </c>
      <c r="C13" s="4" t="s">
        <v>291</v>
      </c>
      <c r="D13" s="44" t="s">
        <v>292</v>
      </c>
      <c r="E13" s="44" t="s">
        <v>293</v>
      </c>
      <c r="F13" s="44" t="s">
        <v>294</v>
      </c>
      <c r="G13" s="44" t="s">
        <v>268</v>
      </c>
    </row>
    <row r="14" spans="2:7" ht="30" customHeight="1" x14ac:dyDescent="0.3">
      <c r="B14" s="44" t="s">
        <v>258</v>
      </c>
      <c r="C14" s="4" t="s">
        <v>295</v>
      </c>
      <c r="D14" s="44" t="s">
        <v>296</v>
      </c>
      <c r="E14" s="44" t="s">
        <v>297</v>
      </c>
      <c r="F14" s="44" t="s">
        <v>254</v>
      </c>
      <c r="G14" s="44" t="s">
        <v>268</v>
      </c>
    </row>
    <row r="15" spans="2:7" ht="30" customHeight="1" x14ac:dyDescent="0.3">
      <c r="B15" s="44" t="s">
        <v>258</v>
      </c>
      <c r="C15" s="4" t="s">
        <v>298</v>
      </c>
      <c r="D15" s="44" t="s">
        <v>299</v>
      </c>
      <c r="E15" s="44" t="s">
        <v>300</v>
      </c>
      <c r="F15" s="44" t="s">
        <v>301</v>
      </c>
      <c r="G15" s="44" t="s">
        <v>268</v>
      </c>
    </row>
    <row r="16" spans="2:7" ht="30" customHeight="1" x14ac:dyDescent="0.3">
      <c r="B16" s="44" t="s">
        <v>258</v>
      </c>
      <c r="C16" s="4" t="s">
        <v>302</v>
      </c>
      <c r="D16" s="44" t="s">
        <v>303</v>
      </c>
      <c r="E16" s="44" t="s">
        <v>304</v>
      </c>
      <c r="F16" s="44" t="s">
        <v>254</v>
      </c>
      <c r="G16" s="44" t="s">
        <v>305</v>
      </c>
    </row>
    <row r="17" spans="2:7" ht="30" customHeight="1" x14ac:dyDescent="0.3">
      <c r="B17" s="44" t="s">
        <v>258</v>
      </c>
      <c r="C17" s="4" t="s">
        <v>306</v>
      </c>
      <c r="D17" s="44" t="s">
        <v>307</v>
      </c>
      <c r="E17" s="44" t="s">
        <v>308</v>
      </c>
      <c r="F17" s="44" t="s">
        <v>272</v>
      </c>
      <c r="G17" s="44" t="s">
        <v>268</v>
      </c>
    </row>
    <row r="18" spans="2:7" ht="30" customHeight="1" x14ac:dyDescent="0.3">
      <c r="B18" s="44" t="s">
        <v>258</v>
      </c>
      <c r="C18" s="4" t="s">
        <v>309</v>
      </c>
      <c r="D18" s="44" t="s">
        <v>310</v>
      </c>
      <c r="E18" s="44" t="s">
        <v>311</v>
      </c>
      <c r="F18" s="44" t="s">
        <v>254</v>
      </c>
      <c r="G18" s="44" t="s">
        <v>268</v>
      </c>
    </row>
    <row r="19" spans="2:7" ht="30" customHeight="1" x14ac:dyDescent="0.3">
      <c r="B19" s="44" t="s">
        <v>258</v>
      </c>
      <c r="C19" s="4" t="s">
        <v>312</v>
      </c>
      <c r="D19" s="44" t="s">
        <v>313</v>
      </c>
      <c r="E19" s="44" t="s">
        <v>314</v>
      </c>
      <c r="F19" s="44" t="s">
        <v>254</v>
      </c>
      <c r="G19" s="44" t="s">
        <v>263</v>
      </c>
    </row>
    <row r="20" spans="2:7" ht="30" customHeight="1" x14ac:dyDescent="0.3">
      <c r="B20" s="44" t="s">
        <v>258</v>
      </c>
      <c r="C20" s="4" t="s">
        <v>315</v>
      </c>
      <c r="D20" s="44" t="s">
        <v>316</v>
      </c>
      <c r="E20" s="44" t="s">
        <v>317</v>
      </c>
      <c r="F20" s="44" t="s">
        <v>254</v>
      </c>
      <c r="G20" s="44" t="s">
        <v>318</v>
      </c>
    </row>
    <row r="21" spans="2:7" ht="30" customHeight="1" x14ac:dyDescent="0.3">
      <c r="B21" s="44" t="s">
        <v>258</v>
      </c>
      <c r="C21" s="4" t="s">
        <v>319</v>
      </c>
      <c r="D21" s="44" t="s">
        <v>320</v>
      </c>
      <c r="E21" s="44" t="s">
        <v>321</v>
      </c>
      <c r="F21" s="44" t="s">
        <v>254</v>
      </c>
      <c r="G21" s="44" t="s">
        <v>322</v>
      </c>
    </row>
    <row r="22" spans="2:7" ht="30" customHeight="1" x14ac:dyDescent="0.3">
      <c r="B22" s="44" t="s">
        <v>258</v>
      </c>
      <c r="C22" s="4" t="s">
        <v>319</v>
      </c>
      <c r="D22" s="44" t="s">
        <v>323</v>
      </c>
      <c r="E22" s="44" t="s">
        <v>324</v>
      </c>
      <c r="F22" s="44" t="s">
        <v>254</v>
      </c>
      <c r="G22" s="44" t="s">
        <v>322</v>
      </c>
    </row>
    <row r="23" spans="2:7" ht="14" customHeight="1" x14ac:dyDescent="0.2"/>
    <row r="24" spans="2:7" ht="14" customHeight="1" x14ac:dyDescent="0.3">
      <c r="B24" s="8" t="s">
        <v>325</v>
      </c>
    </row>
    <row r="25" spans="2:7" ht="14" customHeight="1" x14ac:dyDescent="0.3">
      <c r="B25" s="10" t="s">
        <v>326</v>
      </c>
      <c r="C25" s="10" t="s">
        <v>327</v>
      </c>
    </row>
    <row r="26" spans="2:7" ht="14" customHeight="1" x14ac:dyDescent="0.3">
      <c r="B26" s="4" t="s">
        <v>328</v>
      </c>
      <c r="C26" t="s">
        <v>329</v>
      </c>
    </row>
    <row r="27" spans="2:7" ht="14" customHeight="1" x14ac:dyDescent="0.3">
      <c r="B27" s="4" t="s">
        <v>330</v>
      </c>
      <c r="C27" t="s">
        <v>331</v>
      </c>
    </row>
    <row r="28" spans="2:7" ht="14" customHeight="1" x14ac:dyDescent="0.3">
      <c r="B28" s="4" t="s">
        <v>332</v>
      </c>
      <c r="C28" t="s">
        <v>333</v>
      </c>
    </row>
    <row r="29" spans="2:7" ht="14" customHeight="1" x14ac:dyDescent="0.3">
      <c r="B29" s="4" t="s">
        <v>334</v>
      </c>
      <c r="C29" t="s">
        <v>335</v>
      </c>
    </row>
    <row r="30" spans="2:7" ht="14" customHeight="1" x14ac:dyDescent="0.3">
      <c r="B30" s="4" t="s">
        <v>336</v>
      </c>
      <c r="C30" t="s">
        <v>4</v>
      </c>
    </row>
    <row r="31" spans="2:7" ht="14" customHeight="1" x14ac:dyDescent="0.3">
      <c r="B31" s="4" t="s">
        <v>337</v>
      </c>
      <c r="C31" t="s">
        <v>253</v>
      </c>
    </row>
    <row r="32" spans="2:7" ht="14" customHeight="1" x14ac:dyDescent="0.3">
      <c r="B32" s="4" t="s">
        <v>338</v>
      </c>
      <c r="C32" t="s">
        <v>339</v>
      </c>
    </row>
    <row r="33" spans="2:3" ht="14" customHeight="1" x14ac:dyDescent="0.3">
      <c r="B33" s="4" t="s">
        <v>340</v>
      </c>
      <c r="C33" t="s">
        <v>341</v>
      </c>
    </row>
    <row r="34" spans="2:3" ht="14" customHeight="1" x14ac:dyDescent="0.3">
      <c r="B34" s="4" t="s">
        <v>342</v>
      </c>
      <c r="C34" t="s">
        <v>343</v>
      </c>
    </row>
    <row r="35" spans="2:3" ht="14" customHeight="1" x14ac:dyDescent="0.3">
      <c r="B35" s="4" t="s">
        <v>344</v>
      </c>
      <c r="C35" t="s">
        <v>345</v>
      </c>
    </row>
    <row r="36" spans="2:3" ht="14" customHeight="1" x14ac:dyDescent="0.3">
      <c r="B36" s="4" t="s">
        <v>346</v>
      </c>
      <c r="C36" t="s">
        <v>347</v>
      </c>
    </row>
    <row r="37" spans="2:3" ht="14" customHeight="1" x14ac:dyDescent="0.3">
      <c r="B37" s="4" t="s">
        <v>348</v>
      </c>
      <c r="C37" t="s">
        <v>343</v>
      </c>
    </row>
    <row r="38" spans="2:3" ht="14" customHeight="1" x14ac:dyDescent="0.3">
      <c r="B38" s="4" t="s">
        <v>349</v>
      </c>
      <c r="C38" t="s">
        <v>339</v>
      </c>
    </row>
    <row r="39" spans="2:3" ht="14" customHeight="1" x14ac:dyDescent="0.3">
      <c r="B39" s="4" t="s">
        <v>350</v>
      </c>
      <c r="C39" t="s">
        <v>351</v>
      </c>
    </row>
    <row r="40" spans="2:3" ht="14" customHeight="1" x14ac:dyDescent="0.3">
      <c r="B40" s="4" t="s">
        <v>352</v>
      </c>
      <c r="C40" t="s">
        <v>353</v>
      </c>
    </row>
    <row r="41" spans="2:3" ht="14" customHeight="1" x14ac:dyDescent="0.3">
      <c r="B41" s="4" t="s">
        <v>354</v>
      </c>
      <c r="C41" t="s">
        <v>355</v>
      </c>
    </row>
    <row r="42" spans="2:3" ht="14" customHeight="1" x14ac:dyDescent="0.3">
      <c r="B42" s="4" t="s">
        <v>356</v>
      </c>
      <c r="C42" t="s">
        <v>357</v>
      </c>
    </row>
    <row r="43" spans="2:3" ht="14" customHeight="1" x14ac:dyDescent="0.3">
      <c r="B43" s="4" t="s">
        <v>358</v>
      </c>
      <c r="C43" t="s">
        <v>359</v>
      </c>
    </row>
    <row r="44" spans="2:3" ht="14" customHeight="1" x14ac:dyDescent="0.3">
      <c r="B44" s="4" t="s">
        <v>360</v>
      </c>
      <c r="C44" t="s">
        <v>361</v>
      </c>
    </row>
    <row r="45" spans="2:3" ht="14" customHeight="1" x14ac:dyDescent="0.3">
      <c r="B45" s="4" t="s">
        <v>362</v>
      </c>
      <c r="C45" t="s">
        <v>363</v>
      </c>
    </row>
    <row r="46" spans="2:3" ht="14" customHeight="1" x14ac:dyDescent="0.3">
      <c r="B46" s="4" t="s">
        <v>364</v>
      </c>
      <c r="C46" t="s">
        <v>365</v>
      </c>
    </row>
    <row r="47" spans="2:3" ht="14" customHeight="1" x14ac:dyDescent="0.3">
      <c r="B47" s="4" t="s">
        <v>366</v>
      </c>
      <c r="C47" t="s">
        <v>367</v>
      </c>
    </row>
    <row r="48" spans="2:3" ht="14" customHeight="1" x14ac:dyDescent="0.3">
      <c r="B48" s="4" t="s">
        <v>368</v>
      </c>
      <c r="C48" t="s">
        <v>369</v>
      </c>
    </row>
    <row r="49" spans="2:3" ht="14" customHeight="1" x14ac:dyDescent="0.3">
      <c r="B49" s="4" t="s">
        <v>370</v>
      </c>
      <c r="C49" t="s">
        <v>371</v>
      </c>
    </row>
    <row r="50" spans="2:3" ht="14" customHeight="1" x14ac:dyDescent="0.3">
      <c r="B50" s="4" t="s">
        <v>372</v>
      </c>
      <c r="C50" t="s">
        <v>373</v>
      </c>
    </row>
    <row r="51" spans="2:3" ht="14" x14ac:dyDescent="0.3">
      <c r="B51" s="4" t="s">
        <v>374</v>
      </c>
      <c r="C51" t="s">
        <v>375</v>
      </c>
    </row>
    <row r="52" spans="2:3" ht="14" x14ac:dyDescent="0.3">
      <c r="B52" s="4" t="s">
        <v>376</v>
      </c>
      <c r="C52" t="s">
        <v>377</v>
      </c>
    </row>
    <row r="53" spans="2:3" ht="14" x14ac:dyDescent="0.3">
      <c r="B53" s="4" t="s">
        <v>378</v>
      </c>
      <c r="C53" t="s">
        <v>379</v>
      </c>
    </row>
    <row r="54" spans="2:3" ht="14" x14ac:dyDescent="0.3">
      <c r="B54" s="4" t="s">
        <v>380</v>
      </c>
      <c r="C54" t="s">
        <v>381</v>
      </c>
    </row>
    <row r="55" spans="2:3" ht="14" x14ac:dyDescent="0.3">
      <c r="B55" s="4" t="s">
        <v>382</v>
      </c>
      <c r="C55" t="s">
        <v>383</v>
      </c>
    </row>
    <row r="56" spans="2:3" ht="14" x14ac:dyDescent="0.3">
      <c r="B56" s="4" t="s">
        <v>384</v>
      </c>
      <c r="C56" t="s">
        <v>385</v>
      </c>
    </row>
    <row r="57" spans="2:3" ht="14" x14ac:dyDescent="0.3">
      <c r="B57" s="4" t="s">
        <v>386</v>
      </c>
      <c r="C57" t="s">
        <v>339</v>
      </c>
    </row>
    <row r="58" spans="2:3" ht="14" x14ac:dyDescent="0.3">
      <c r="B58" s="4" t="s">
        <v>387</v>
      </c>
      <c r="C58" t="s">
        <v>388</v>
      </c>
    </row>
    <row r="59" spans="2:3" ht="14" x14ac:dyDescent="0.3">
      <c r="B59" s="4" t="s">
        <v>389</v>
      </c>
      <c r="C59" t="s">
        <v>390</v>
      </c>
    </row>
    <row r="60" spans="2:3" ht="14" x14ac:dyDescent="0.3">
      <c r="B60" s="4" t="s">
        <v>391</v>
      </c>
      <c r="C60" t="s">
        <v>392</v>
      </c>
    </row>
    <row r="61" spans="2:3" ht="14" x14ac:dyDescent="0.3">
      <c r="B61" s="4" t="s">
        <v>393</v>
      </c>
      <c r="C61" t="s">
        <v>394</v>
      </c>
    </row>
    <row r="62" spans="2:3" ht="14" x14ac:dyDescent="0.3">
      <c r="B62" s="4" t="s">
        <v>395</v>
      </c>
      <c r="C62" t="s">
        <v>213</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2026-09-06T03:51:38Z</dcterms:created>
  <dcterms:modified xsi:type="dcterms:W3CDTF">2026-09-06T04:42:21Z</dcterms:modified>
</cp:coreProperties>
</file>