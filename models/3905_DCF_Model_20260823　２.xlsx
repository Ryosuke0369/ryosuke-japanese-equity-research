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F1AA5249-5615-40AE-B445-DEA15DA9025F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6" l="1"/>
  <c r="H17" i="6"/>
  <c r="E17" i="6"/>
  <c r="D17" i="6"/>
  <c r="I3" i="6"/>
  <c r="G17" i="6" s="1"/>
  <c r="F3" i="6"/>
  <c r="H6" i="6" s="1"/>
  <c r="E17" i="5"/>
  <c r="O9" i="5"/>
  <c r="N9" i="5"/>
  <c r="M9" i="5"/>
  <c r="L9" i="5"/>
  <c r="K9" i="5"/>
  <c r="J9" i="5"/>
  <c r="O8" i="5"/>
  <c r="N8" i="5"/>
  <c r="M8" i="5"/>
  <c r="L8" i="5"/>
  <c r="K8" i="5"/>
  <c r="J8" i="5"/>
  <c r="O7" i="5"/>
  <c r="N7" i="5"/>
  <c r="M7" i="5"/>
  <c r="L7" i="5"/>
  <c r="K7" i="5"/>
  <c r="J7" i="5"/>
  <c r="O6" i="5"/>
  <c r="I16" i="5" s="1"/>
  <c r="N6" i="5"/>
  <c r="H15" i="5" s="1"/>
  <c r="M6" i="5"/>
  <c r="G15" i="5" s="1"/>
  <c r="L6" i="5"/>
  <c r="F15" i="5" s="1"/>
  <c r="K6" i="5"/>
  <c r="E15" i="5" s="1"/>
  <c r="J6" i="5"/>
  <c r="D17" i="5" s="1"/>
  <c r="O5" i="5"/>
  <c r="N5" i="5"/>
  <c r="M5" i="5"/>
  <c r="D5" i="5"/>
  <c r="L5" i="5" s="1"/>
  <c r="C18" i="4"/>
  <c r="C16" i="4"/>
  <c r="C14" i="4"/>
  <c r="H7" i="4"/>
  <c r="G7" i="4"/>
  <c r="F7" i="4"/>
  <c r="E7" i="4"/>
  <c r="D7" i="4"/>
  <c r="C7" i="4"/>
  <c r="H6" i="4"/>
  <c r="G6" i="4"/>
  <c r="F6" i="4"/>
  <c r="E6" i="4"/>
  <c r="D6" i="4"/>
  <c r="C6" i="4"/>
  <c r="H5" i="4"/>
  <c r="G5" i="4"/>
  <c r="F5" i="4"/>
  <c r="E5" i="4"/>
  <c r="D5" i="4"/>
  <c r="C5" i="4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C33" i="3" s="1"/>
  <c r="C25" i="3"/>
  <c r="C24" i="3"/>
  <c r="C23" i="3"/>
  <c r="C26" i="3" s="1"/>
  <c r="E28" i="2"/>
  <c r="D28" i="2"/>
  <c r="C28" i="2"/>
  <c r="E23" i="2"/>
  <c r="D23" i="2"/>
  <c r="C23" i="2"/>
  <c r="D22" i="2"/>
  <c r="E21" i="2"/>
  <c r="E22" i="2" s="1"/>
  <c r="D21" i="2"/>
  <c r="C21" i="2"/>
  <c r="C22" i="2" s="1"/>
  <c r="E16" i="2"/>
  <c r="D16" i="2"/>
  <c r="E15" i="2"/>
  <c r="D15" i="2"/>
  <c r="E14" i="2"/>
  <c r="D14" i="2"/>
  <c r="C14" i="2"/>
  <c r="E13" i="2"/>
  <c r="D13" i="2"/>
  <c r="C13" i="2"/>
  <c r="D9" i="2"/>
  <c r="E8" i="2"/>
  <c r="E9" i="2" s="1"/>
  <c r="D8" i="2"/>
  <c r="C8" i="2"/>
  <c r="C9" i="2" s="1"/>
  <c r="D19" i="1"/>
  <c r="D18" i="1"/>
  <c r="C3" i="6" l="1"/>
  <c r="G46" i="3"/>
  <c r="F46" i="3"/>
  <c r="E46" i="3"/>
  <c r="D46" i="3"/>
  <c r="C46" i="3"/>
  <c r="C42" i="3"/>
  <c r="C34" i="3"/>
  <c r="D10" i="4" s="1"/>
  <c r="C37" i="3"/>
  <c r="D9" i="4"/>
  <c r="D12" i="4" s="1"/>
  <c r="C43" i="3"/>
  <c r="D33" i="3"/>
  <c r="D16" i="5"/>
  <c r="C27" i="5" s="1"/>
  <c r="F17" i="5"/>
  <c r="C17" i="6"/>
  <c r="I15" i="5"/>
  <c r="I6" i="6"/>
  <c r="E16" i="5"/>
  <c r="G17" i="5"/>
  <c r="C6" i="6"/>
  <c r="D15" i="5"/>
  <c r="F16" i="5"/>
  <c r="C28" i="5" s="1"/>
  <c r="H17" i="5"/>
  <c r="D6" i="6"/>
  <c r="E5" i="5"/>
  <c r="G16" i="5"/>
  <c r="I17" i="5"/>
  <c r="E6" i="6"/>
  <c r="F17" i="6"/>
  <c r="H16" i="5"/>
  <c r="F6" i="6"/>
  <c r="G6" i="6"/>
  <c r="K5" i="5" l="1"/>
  <c r="J5" i="5"/>
  <c r="B24" i="6"/>
  <c r="B21" i="6"/>
  <c r="B18" i="6"/>
  <c r="B22" i="6"/>
  <c r="B19" i="6"/>
  <c r="B13" i="6"/>
  <c r="B12" i="6"/>
  <c r="B11" i="6"/>
  <c r="B10" i="6"/>
  <c r="B9" i="6"/>
  <c r="B8" i="6"/>
  <c r="B7" i="6"/>
  <c r="B23" i="6"/>
  <c r="B20" i="6"/>
  <c r="D15" i="4"/>
  <c r="D16" i="4" s="1"/>
  <c r="D13" i="4"/>
  <c r="D14" i="4" s="1"/>
  <c r="D18" i="4" s="1"/>
  <c r="D19" i="4" s="1"/>
  <c r="C44" i="3" s="1"/>
  <c r="D42" i="3"/>
  <c r="D34" i="3"/>
  <c r="E10" i="4" s="1"/>
  <c r="D37" i="3"/>
  <c r="E9" i="4"/>
  <c r="E12" i="4" s="1"/>
  <c r="D43" i="3"/>
  <c r="E33" i="3"/>
  <c r="C35" i="3"/>
  <c r="C39" i="3" l="1"/>
  <c r="C36" i="3"/>
  <c r="C38" i="3"/>
  <c r="E37" i="3"/>
  <c r="F9" i="4"/>
  <c r="F12" i="4" s="1"/>
  <c r="E43" i="3"/>
  <c r="E35" i="3"/>
  <c r="F33" i="3"/>
  <c r="E42" i="3"/>
  <c r="E34" i="3"/>
  <c r="F10" i="4" s="1"/>
  <c r="E15" i="4"/>
  <c r="E16" i="4" s="1"/>
  <c r="E13" i="4"/>
  <c r="E14" i="4" s="1"/>
  <c r="E18" i="4" s="1"/>
  <c r="E19" i="4" s="1"/>
  <c r="D44" i="3" s="1"/>
  <c r="D35" i="3"/>
  <c r="E38" i="3" l="1"/>
  <c r="E36" i="3"/>
  <c r="E39" i="3"/>
  <c r="D38" i="3"/>
  <c r="D39" i="3"/>
  <c r="D36" i="3"/>
  <c r="F15" i="4"/>
  <c r="F16" i="4" s="1"/>
  <c r="F13" i="4"/>
  <c r="F14" i="4" s="1"/>
  <c r="C40" i="3"/>
  <c r="C41" i="3" s="1"/>
  <c r="C45" i="3" s="1"/>
  <c r="G9" i="4"/>
  <c r="G12" i="4" s="1"/>
  <c r="F43" i="3"/>
  <c r="G33" i="3"/>
  <c r="F37" i="3"/>
  <c r="F42" i="3"/>
  <c r="F34" i="3"/>
  <c r="G10" i="4" s="1"/>
  <c r="F18" i="4" l="1"/>
  <c r="F19" i="4" s="1"/>
  <c r="E44" i="3" s="1"/>
  <c r="C47" i="3"/>
  <c r="H9" i="4"/>
  <c r="H12" i="4" s="1"/>
  <c r="G43" i="3"/>
  <c r="G42" i="3"/>
  <c r="G34" i="3"/>
  <c r="H10" i="4" s="1"/>
  <c r="G37" i="3"/>
  <c r="E40" i="3"/>
  <c r="E41" i="3" s="1"/>
  <c r="E45" i="3" s="1"/>
  <c r="E47" i="3" s="1"/>
  <c r="G13" i="4"/>
  <c r="G15" i="4"/>
  <c r="G16" i="4" s="1"/>
  <c r="F35" i="3"/>
  <c r="D40" i="3"/>
  <c r="D41" i="3" s="1"/>
  <c r="D45" i="3" s="1"/>
  <c r="D47" i="3" s="1"/>
  <c r="G14" i="4"/>
  <c r="G18" i="4" s="1"/>
  <c r="G19" i="4" s="1"/>
  <c r="F44" i="3" s="1"/>
  <c r="H13" i="4" l="1"/>
  <c r="H14" i="4" s="1"/>
  <c r="H15" i="4"/>
  <c r="H16" i="4" s="1"/>
  <c r="F38" i="3"/>
  <c r="F36" i="3"/>
  <c r="F39" i="3"/>
  <c r="G35" i="3"/>
  <c r="H18" i="4" l="1"/>
  <c r="H19" i="4" s="1"/>
  <c r="G44" i="3" s="1"/>
  <c r="F40" i="3"/>
  <c r="F41" i="3" s="1"/>
  <c r="F45" i="3" s="1"/>
  <c r="G38" i="3"/>
  <c r="G36" i="3"/>
  <c r="G39" i="3"/>
  <c r="F47" i="3" l="1"/>
  <c r="G40" i="3"/>
  <c r="G41" i="3" s="1"/>
  <c r="G45" i="3" s="1"/>
  <c r="C59" i="3"/>
  <c r="C60" i="3" s="1"/>
  <c r="C61" i="3" s="1"/>
  <c r="C51" i="3" l="1"/>
  <c r="C52" i="3" s="1"/>
  <c r="G47" i="3"/>
  <c r="G21" i="6"/>
  <c r="I19" i="6"/>
  <c r="H11" i="6"/>
  <c r="I12" i="6"/>
  <c r="F7" i="6"/>
  <c r="F8" i="6"/>
  <c r="I21" i="6"/>
  <c r="C21" i="6"/>
  <c r="G8" i="6"/>
  <c r="D23" i="6"/>
  <c r="H20" i="6"/>
  <c r="G12" i="6"/>
  <c r="D20" i="6"/>
  <c r="I13" i="6"/>
  <c r="H7" i="6"/>
  <c r="E21" i="6"/>
  <c r="G9" i="6"/>
  <c r="G11" i="6"/>
  <c r="D12" i="6"/>
  <c r="H23" i="6"/>
  <c r="H19" i="6"/>
  <c r="C11" i="6"/>
  <c r="F13" i="6"/>
  <c r="E22" i="6"/>
  <c r="C9" i="6"/>
  <c r="I8" i="6"/>
  <c r="D21" i="6"/>
  <c r="E13" i="6"/>
  <c r="H21" i="6"/>
  <c r="I23" i="6"/>
  <c r="F10" i="6"/>
  <c r="H18" i="6"/>
  <c r="C7" i="6"/>
  <c r="I10" i="6"/>
  <c r="G13" i="6"/>
  <c r="G20" i="6"/>
  <c r="C8" i="6"/>
  <c r="C10" i="6"/>
  <c r="E19" i="6"/>
  <c r="E18" i="6"/>
  <c r="F9" i="6"/>
  <c r="I11" i="6"/>
  <c r="C20" i="6"/>
  <c r="H10" i="6"/>
  <c r="D9" i="6"/>
  <c r="G19" i="6"/>
  <c r="D19" i="6"/>
  <c r="F18" i="6"/>
  <c r="C13" i="6"/>
  <c r="D8" i="6"/>
  <c r="H9" i="6"/>
  <c r="F24" i="6"/>
  <c r="C24" i="6"/>
  <c r="H22" i="6"/>
  <c r="E7" i="6"/>
  <c r="I24" i="6"/>
  <c r="C18" i="6"/>
  <c r="I18" i="6"/>
  <c r="G18" i="6"/>
  <c r="E24" i="6"/>
  <c r="F11" i="6"/>
  <c r="H24" i="6"/>
  <c r="D11" i="6"/>
  <c r="G24" i="6"/>
  <c r="G7" i="6"/>
  <c r="F21" i="6"/>
  <c r="E20" i="6"/>
  <c r="I7" i="6"/>
  <c r="I9" i="6"/>
  <c r="E9" i="6"/>
  <c r="H8" i="6"/>
  <c r="E11" i="6"/>
  <c r="E8" i="6"/>
  <c r="G23" i="6"/>
  <c r="E10" i="6"/>
  <c r="D22" i="6"/>
  <c r="E12" i="6"/>
  <c r="F12" i="6"/>
  <c r="H13" i="6"/>
  <c r="D7" i="6"/>
  <c r="D13" i="6"/>
  <c r="G22" i="6"/>
  <c r="D24" i="6"/>
  <c r="E23" i="6"/>
  <c r="F23" i="6"/>
  <c r="C23" i="6"/>
  <c r="H12" i="6"/>
  <c r="F22" i="6"/>
  <c r="C12" i="6"/>
  <c r="F20" i="6"/>
  <c r="D10" i="6"/>
  <c r="D18" i="6"/>
  <c r="I22" i="6"/>
  <c r="C19" i="6"/>
  <c r="I20" i="6"/>
  <c r="F19" i="6"/>
  <c r="C22" i="6"/>
  <c r="G10" i="6"/>
  <c r="C50" i="3"/>
  <c r="C53" i="3" l="1"/>
  <c r="C58" i="3"/>
  <c r="C62" i="3" s="1"/>
  <c r="C63" i="3" s="1"/>
  <c r="C64" i="3" s="1"/>
  <c r="C17" i="1" s="1"/>
  <c r="D17" i="1" s="1"/>
  <c r="C54" i="3" l="1"/>
  <c r="C55" i="3" s="1"/>
  <c r="C16" i="1"/>
  <c r="C21" i="1" l="1"/>
  <c r="D16" i="1"/>
  <c r="C10" i="1"/>
  <c r="C12" i="1" l="1"/>
  <c r="C11" i="1" s="1"/>
  <c r="B26" i="1"/>
</calcChain>
</file>

<file path=xl/sharedStrings.xml><?xml version="1.0" encoding="utf-8"?>
<sst xmlns="http://schemas.openxmlformats.org/spreadsheetml/2006/main" count="353" uniqueCount="277">
  <si>
    <t>DISCLAIMER: This is a sample analysis for demonstration purposes only. It does not constitute investment advice.</t>
  </si>
  <si>
    <t>Data Section (3905.T)</t>
  </si>
  <si>
    <t>Equity Research Report</t>
  </si>
  <si>
    <t>Company</t>
  </si>
  <si>
    <t>Data Section</t>
  </si>
  <si>
    <t>Ticker</t>
  </si>
  <si>
    <t>3905.T (TSE Growth)</t>
  </si>
  <si>
    <t>Sector</t>
  </si>
  <si>
    <t>GPU Cloud / Data Center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</si>
  <si>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</si>
  <si>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</si>
  <si>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</si>
  <si>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</si>
  <si>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</si>
  <si>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</si>
  <si>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</si>
  <si>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</si>
  <si>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</si>
  <si>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</si>
  <si>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</si>
  <si>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</si>
  <si>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N/A (FY3/26 NI from cancelled contract)</t>
  </si>
  <si>
    <t>Integrated Valuation Range</t>
  </si>
  <si>
    <t>Key Investment Thesis</t>
  </si>
  <si>
    <t>Physical progress is real: ~4,700 GPUs procured with a Taiwanese server partner, Thai BOI approval secured, and servers delivered to the first domestic data center.</t>
  </si>
  <si>
    <t>Our Base case excludes the cancelled JPY80bn contract and treats the JPY5.6bn Q1 arrangement fee as one-off; three data centers at full run-rate still imply revenue above JPY50bn from FY3/28.</t>
  </si>
  <si>
    <t>Key Risks</t>
  </si>
  <si>
    <t>A large contract was cancelled retroactively; receivables and contract assets of JPY8.8bn may be partly unrecoverable and FY3/26 results could be restated.</t>
  </si>
  <si>
    <t>Cash is under JPY1bn against JPY6.7bn of construction in progress; warrant exercises keep diluting shareholders, so the target uses the treasury-stock-method share count (47.5m, +48%).</t>
  </si>
  <si>
    <t>A short-seller report alleges export-control breaches on GPU sourcing; the company is suing, but an adverse regulatory finding would stall the Thai project.</t>
  </si>
  <si>
    <t>Note (2026-08-23): Target = average of DCF PGM and Exit only. Comps EV/EBITDA (1,417) and PER (3,626) are excluded because the FY3/26 EBITDA/NI they rest on came mostly from the retroactively cancelled JPY80bn contract. Share count is treasury-stock-method diluted (47,465,390); on basic shares (32,017,051) PGM/Exit would be about 1,967 / 3,169 (mid 2,568). Base Y1 includes the one-off JPY5.6bn arrangement fee; ex-fee Y1 operating income is roughly break-even.</t>
  </si>
  <si>
    <t>Data Section - Historical Financials (JPY mn)</t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</si>
  <si>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</si>
  <si>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</si>
  <si>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</si>
  <si>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</si>
  <si>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</si>
  <si>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</si>
  <si>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</si>
  <si>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</si>
  <si>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</si>
  <si>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</si>
  <si>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</si>
  <si>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</si>
  <si>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</si>
  <si>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</si>
  <si>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</si>
  <si>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</si>
  <si>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</si>
  <si>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</si>
  <si>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</si>
  <si>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</si>
  <si>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</si>
  <si>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</si>
  <si>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</si>
  <si>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</si>
  <si>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</si>
  <si>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</si>
  <si>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r>
      <rPr>
        <i/>
        <sz val="9"/>
        <color rgb="FF808080"/>
        <rFont val="Arial"/>
        <family val="2"/>
      </rPr>
      <t xml:space="preserve">Note: OCF / Cash / Debt coverage OCF 3/3, Cash 3/3, Debt 3/3 — blank cells are years with no year-key match in the source data (verify against </t>
    </r>
    <r>
      <rPr>
        <i/>
        <sz val="9"/>
        <color rgb="FF808080"/>
        <rFont val="Noto Sans CJK SC"/>
        <family val="2"/>
      </rPr>
      <t xml:space="preserve">決算短信 </t>
    </r>
    <r>
      <rPr>
        <i/>
        <sz val="9"/>
        <color rgb="FF808080"/>
        <rFont val="Arial"/>
        <family val="2"/>
      </rPr>
      <t>or set hist_ocf / hist_cash / hist_debt in overrides).</t>
    </r>
  </si>
  <si>
    <t>DCF Valuation Model - Data Section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</si>
  <si>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</si>
  <si>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</si>
  <si>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</si>
  <si>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</si>
  <si>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</si>
  <si>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</si>
  <si>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</si>
  <si>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</si>
  <si>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</si>
  <si>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</si>
  <si>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</si>
  <si>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</si>
  <si>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</si>
  <si>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</si>
  <si>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</si>
  <si>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 (override)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</si>
  <si>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</si>
  <si>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</si>
  <si>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</si>
  <si>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</si>
  <si>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</si>
  <si>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</si>
  <si>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</si>
  <si>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</si>
  <si>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</si>
  <si>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</si>
  <si>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</si>
  <si>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</si>
  <si>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</si>
  <si>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</si>
  <si>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</si>
  <si>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</si>
  <si>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</si>
  <si>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</si>
  <si>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</si>
  <si>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</si>
  <si>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</si>
  <si>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</si>
  <si>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</si>
  <si>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</si>
  <si>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</si>
  <si>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</si>
  <si>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</si>
  <si>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</si>
  <si>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</si>
  <si>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</si>
  <si>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</si>
  <si>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</si>
  <si>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</si>
  <si>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</si>
  <si>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</si>
  <si>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</si>
  <si>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</si>
  <si>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</si>
  <si>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</si>
  <si>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</si>
  <si>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</si>
  <si>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</si>
  <si>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</si>
  <si>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</si>
  <si>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</si>
  <si>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</si>
  <si>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</si>
  <si>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Data Section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</si>
  <si>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</si>
  <si>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</si>
  <si>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</si>
  <si>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</si>
  <si>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</si>
  <si>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</si>
  <si>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</si>
  <si>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</si>
  <si>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</si>
  <si>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</si>
  <si>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</si>
  <si>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</si>
  <si>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</si>
  <si>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</si>
  <si>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</si>
  <si>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</si>
  <si>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</si>
  <si>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</si>
  <si>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</si>
  <si>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2026-08-22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</si>
  <si>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</si>
  <si>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</si>
  <si>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</si>
  <si>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</si>
  <si>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</si>
  <si>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</si>
  <si>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</si>
  <si>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</si>
  <si>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</si>
  <si>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</si>
  <si>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</si>
  <si>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</si>
  <si>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</si>
  <si>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</si>
  <si>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3905.T</t>
  </si>
  <si>
    <t>SAKURA Internet</t>
  </si>
  <si>
    <t>3778.T</t>
  </si>
  <si>
    <t>GMO internet</t>
  </si>
  <si>
    <t>4784.T</t>
  </si>
  <si>
    <t>Internet Initiative Japan</t>
  </si>
  <si>
    <t>3774.T</t>
  </si>
  <si>
    <t>BroadBand Tower</t>
  </si>
  <si>
    <t>3776.T</t>
  </si>
  <si>
    <t>Statistics</t>
  </si>
  <si>
    <t>25th Percentile</t>
  </si>
  <si>
    <t>Median (50th)</t>
  </si>
  <si>
    <t>75th Percentile</t>
  </si>
  <si>
    <t>Implied Valuation for Data Section</t>
  </si>
  <si>
    <t>Data Section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</si>
  <si>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</si>
  <si>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</si>
  <si>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</si>
  <si>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</si>
  <si>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</si>
  <si>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</si>
  <si>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</si>
  <si>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</si>
  <si>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</si>
  <si>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</si>
  <si>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</si>
  <si>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</si>
  <si>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</si>
  <si>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</si>
  <si>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</si>
  <si>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Data Section</t>
  </si>
  <si>
    <t>日付</t>
  </si>
  <si>
    <t>セル</t>
  </si>
  <si>
    <t>変更内容</t>
  </si>
  <si>
    <t>理由</t>
  </si>
  <si>
    <t>元の値</t>
  </si>
  <si>
    <t>状態</t>
  </si>
  <si>
    <t>2026-08-22</t>
  </si>
  <si>
    <t>-</t>
  </si>
  <si>
    <t>Generated by pipeline on 2026-08-22 15:39, template rev e5effd6</t>
  </si>
  <si>
    <t>初期生成（手修正なし）</t>
  </si>
  <si>
    <t>generated</t>
  </si>
  <si>
    <t>'DCF Model'!C15 / 'Comps Analysis'!C23</t>
  </si>
  <si>
    <t>未行使新株予約権による希薄化が Target Price に未反映(株数 32,017,051 のまま)</t>
  </si>
  <si>
    <t>有報 第26期(S100YMGV)に「当連結会計年度末現在の新株予約権による潜在株式数は38,737,100株であり発行済株式総数29,769,051株の130.1%に相当」と明記。Q1行使済2,248,000株を控除した残 約36,489,100株。単純加算の Fully Diluted は約68,506,151株(+114.0%)、行使代金を織り込む treasury stock method(平均行使価額1,061円 / 株価1,840円)では約47,465,390株(+48.3%)。プロンプト指定の時価総額58,911百万円との整合を優先して未反映のままとした。Target Mid 3,586円は希薄化前の値であり、+48.3%希薄化なら約2,418円相当。</t>
  </si>
  <si>
    <t>解決(2026-08-23: C15 を TSM 47,465,390 に変更)</t>
  </si>
  <si>
    <t>'DCF Model'!C5 / C18</t>
  </si>
  <si>
    <r>
      <rPr>
        <sz val="10"/>
        <color rgb="FF000000"/>
        <rFont val="Arial"/>
        <family val="2"/>
      </rPr>
      <t xml:space="preserve">capex_pct 6.0% / da_pct 5.8% </t>
    </r>
    <r>
      <rPr>
        <sz val="10"/>
        <color rgb="FF000000"/>
        <rFont val="Noto Sans CJK SC"/>
        <family val="2"/>
      </rPr>
      <t>を単一値で全</t>
    </r>
    <r>
      <rPr>
        <sz val="10"/>
        <color rgb="FF000000"/>
        <rFont val="Arial"/>
        <family val="2"/>
      </rPr>
      <t>5</t>
    </r>
    <r>
      <rPr>
        <sz val="10"/>
        <color rgb="FF000000"/>
        <rFont val="Noto Sans CJK SC"/>
        <family val="2"/>
      </rPr>
      <t>年に適用</t>
    </r>
  </si>
  <si>
    <r>
      <rPr>
        <sz val="10"/>
        <color rgb="FF000000"/>
        <rFont val="Arial"/>
        <family val="2"/>
      </rPr>
      <t xml:space="preserve">overrides_validator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2"/>
      </rPr>
      <t xml:space="preserve">ALLOWED_KEYS </t>
    </r>
    <r>
      <rPr>
        <sz val="10"/>
        <color rgb="FF000000"/>
        <rFont val="Noto Sans CJK SC"/>
        <family val="2"/>
      </rPr>
      <t xml:space="preserve">で </t>
    </r>
    <r>
      <rPr>
        <sz val="10"/>
        <color rgb="FF000000"/>
        <rFont val="Arial"/>
        <family val="2"/>
      </rPr>
      <t xml:space="preserve">capex_pct / da_pct </t>
    </r>
    <r>
      <rPr>
        <sz val="10"/>
        <color rgb="FF000000"/>
        <rFont val="Noto Sans CJK SC"/>
        <family val="2"/>
      </rPr>
      <t>は数値スカラーのみ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配列は契約違反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。プロンプト指定の年次テーパー</t>
    </r>
    <r>
      <rPr>
        <sz val="10"/>
        <color rgb="FF000000"/>
        <rFont val="Arial"/>
        <family val="2"/>
      </rPr>
      <t>(capex 12%→5% / D&amp;A 3.0%→5.0%)</t>
    </r>
    <r>
      <rPr>
        <sz val="10"/>
        <color rgb="FF000000"/>
        <rFont val="Noto Sans CJK SC"/>
        <family val="2"/>
      </rPr>
      <t>を表現できず、ターミナル整合</t>
    </r>
    <r>
      <rPr>
        <sz val="10"/>
        <color rgb="FF000000"/>
        <rFont val="Arial"/>
        <family val="2"/>
      </rPr>
      <t>(capex/D&amp;A = 1.03x)</t>
    </r>
    <r>
      <rPr>
        <sz val="10"/>
        <color rgb="FF000000"/>
        <rFont val="Noto Sans CJK SC"/>
        <family val="2"/>
      </rPr>
      <t>を満たす単一値フォールバックを採用した。帰結</t>
    </r>
    <r>
      <rPr>
        <sz val="10"/>
        <color rgb="FF000000"/>
        <rFont val="Arial"/>
        <family val="2"/>
      </rPr>
      <t xml:space="preserve">: Y1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2"/>
      </rPr>
      <t xml:space="preserve">capex </t>
    </r>
    <r>
      <rPr>
        <sz val="10"/>
        <color rgb="FF000000"/>
        <rFont val="Noto Sans CJK SC"/>
        <family val="2"/>
      </rPr>
      <t>が過小</t>
    </r>
    <r>
      <rPr>
        <sz val="10"/>
        <color rgb="FF000000"/>
        <rFont val="Arial"/>
        <family val="2"/>
      </rPr>
      <t xml:space="preserve">(6.0% vs </t>
    </r>
    <r>
      <rPr>
        <sz val="10"/>
        <color rgb="FF000000"/>
        <rFont val="Noto Sans CJK SC"/>
        <family val="2"/>
      </rPr>
      <t>想定</t>
    </r>
    <r>
      <rPr>
        <sz val="10"/>
        <color rgb="FF000000"/>
        <rFont val="Arial"/>
        <family val="2"/>
      </rPr>
      <t>12%</t>
    </r>
    <r>
      <rPr>
        <sz val="10"/>
        <color rgb="FF000000"/>
        <rFont val="Noto Sans CJK SC"/>
        <family val="2"/>
      </rPr>
      <t>、約</t>
    </r>
    <r>
      <rPr>
        <sz val="10"/>
        <color rgb="FF000000"/>
        <rFont val="Arial"/>
        <family val="2"/>
      </rPr>
      <t>4,436 vs 8,872</t>
    </r>
    <r>
      <rPr>
        <sz val="10"/>
        <color rgb="FF000000"/>
        <rFont val="Noto Sans CJK SC"/>
        <family val="2"/>
      </rPr>
      <t>百万円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 xml:space="preserve">かつ </t>
    </r>
    <r>
      <rPr>
        <sz val="10"/>
        <color rgb="FF000000"/>
        <rFont val="Arial"/>
        <family val="2"/>
      </rPr>
      <t xml:space="preserve">Y1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2"/>
      </rPr>
      <t xml:space="preserve">D&amp;A </t>
    </r>
    <r>
      <rPr>
        <sz val="10"/>
        <color rgb="FF000000"/>
        <rFont val="Noto Sans CJK SC"/>
        <family val="2"/>
      </rPr>
      <t>が過大</t>
    </r>
    <r>
      <rPr>
        <sz val="10"/>
        <color rgb="FF000000"/>
        <rFont val="Arial"/>
        <family val="2"/>
      </rPr>
      <t xml:space="preserve">(5.8% vs </t>
    </r>
    <r>
      <rPr>
        <sz val="10"/>
        <color rgb="FF000000"/>
        <rFont val="Noto Sans CJK SC"/>
        <family val="2"/>
      </rPr>
      <t>想定</t>
    </r>
    <r>
      <rPr>
        <sz val="10"/>
        <color rgb="FF000000"/>
        <rFont val="Arial"/>
        <family val="2"/>
      </rPr>
      <t>3.0%</t>
    </r>
    <r>
      <rPr>
        <sz val="10"/>
        <color rgb="FF000000"/>
        <rFont val="Noto Sans CJK SC"/>
        <family val="2"/>
      </rPr>
      <t>、約</t>
    </r>
    <r>
      <rPr>
        <sz val="10"/>
        <color rgb="FF000000"/>
        <rFont val="Arial"/>
        <family val="2"/>
      </rPr>
      <t>4,288 vs 2,218</t>
    </r>
    <r>
      <rPr>
        <sz val="10"/>
        <color rgb="FF000000"/>
        <rFont val="Noto Sans CJK SC"/>
        <family val="2"/>
      </rPr>
      <t>百万円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 xml:space="preserve">。両者とも </t>
    </r>
    <r>
      <rPr>
        <sz val="10"/>
        <color rgb="FF000000"/>
        <rFont val="Arial"/>
        <family val="2"/>
      </rPr>
      <t xml:space="preserve">Y1 FCF </t>
    </r>
    <r>
      <rPr>
        <sz val="10"/>
        <color rgb="FF000000"/>
        <rFont val="Noto Sans CJK SC"/>
        <family val="2"/>
      </rPr>
      <t>を過大に見せる方向で、合計で約</t>
    </r>
    <r>
      <rPr>
        <sz val="10"/>
        <color rgb="FF000000"/>
        <rFont val="Arial"/>
        <family val="2"/>
      </rPr>
      <t>6,506</t>
    </r>
    <r>
      <rPr>
        <sz val="10"/>
        <color rgb="FF000000"/>
        <rFont val="Noto Sans CJK SC"/>
        <family val="2"/>
      </rPr>
      <t xml:space="preserve">百万円 </t>
    </r>
    <r>
      <rPr>
        <sz val="10"/>
        <color rgb="FF000000"/>
        <rFont val="Arial"/>
        <family val="2"/>
      </rPr>
      <t xml:space="preserve">Y1 FCF </t>
    </r>
    <r>
      <rPr>
        <sz val="10"/>
        <color rgb="FF000000"/>
        <rFont val="Noto Sans CJK SC"/>
        <family val="2"/>
      </rPr>
      <t>が上振れしている。</t>
    </r>
    <r>
      <rPr>
        <sz val="10"/>
        <color rgb="FF000000"/>
        <rFont val="Arial"/>
        <family val="2"/>
      </rPr>
      <t>GPU</t>
    </r>
    <r>
      <rPr>
        <sz val="10"/>
        <color rgb="FF000000"/>
        <rFont val="Noto Sans CJK SC"/>
        <family val="2"/>
      </rPr>
      <t xml:space="preserve">資産の償却は稼働に遅れて立ち上がるため、本来は </t>
    </r>
    <r>
      <rPr>
        <sz val="10"/>
        <color rgb="FF000000"/>
        <rFont val="Arial"/>
        <family val="2"/>
      </rPr>
      <t xml:space="preserve">D&amp;A </t>
    </r>
    <r>
      <rPr>
        <sz val="10"/>
        <color rgb="FF000000"/>
        <rFont val="Noto Sans CJK SC"/>
        <family val="2"/>
      </rPr>
      <t>比率が後年に向けて上昇する形が実態に近い。</t>
    </r>
  </si>
  <si>
    <t>未解決</t>
  </si>
  <si>
    <t>'Comps Analysis'!C21</t>
  </si>
  <si>
    <t>自社 EBITDA に FY2026/3 通期実績 4,000(営業利益3,545 + D&amp;A 455)を採用</t>
  </si>
  <si>
    <r>
      <rPr>
        <sz val="10"/>
        <color rgb="FF000000"/>
        <rFont val="Arial"/>
        <family val="2"/>
      </rPr>
      <t xml:space="preserve">LTM </t>
    </r>
    <r>
      <rPr>
        <sz val="10"/>
        <color rgb="FF000000"/>
        <rFont val="Noto Sans CJK SC"/>
        <family val="2"/>
      </rPr>
      <t>ベースなら 約</t>
    </r>
    <r>
      <rPr>
        <sz val="10"/>
        <color rgb="FF000000"/>
        <rFont val="Arial"/>
        <family val="2"/>
      </rPr>
      <t>9,330(</t>
    </r>
    <r>
      <rPr>
        <sz val="10"/>
        <color rgb="FF000000"/>
        <rFont val="Noto Sans CJK SC"/>
        <family val="2"/>
      </rPr>
      <t>営業利益</t>
    </r>
    <r>
      <rPr>
        <sz val="10"/>
        <color rgb="FF000000"/>
        <rFont val="Arial"/>
        <family val="2"/>
      </rPr>
      <t>8,730 + D&amp;A</t>
    </r>
    <r>
      <rPr>
        <sz val="10"/>
        <color rgb="FF000000"/>
        <rFont val="Noto Sans CJK SC"/>
        <family val="2"/>
      </rPr>
      <t>約</t>
    </r>
    <r>
      <rPr>
        <sz val="10"/>
        <color rgb="FF000000"/>
        <rFont val="Arial"/>
        <family val="2"/>
      </rPr>
      <t>600)</t>
    </r>
    <r>
      <rPr>
        <sz val="10"/>
        <color rgb="FF000000"/>
        <rFont val="Noto Sans CJK SC"/>
        <family val="2"/>
      </rPr>
      <t xml:space="preserve">。収益構造が </t>
    </r>
    <r>
      <rPr>
        <sz val="10"/>
        <color rgb="FF000000"/>
        <rFont val="Arial"/>
        <family val="2"/>
      </rPr>
      <t>FY2026/3(</t>
    </r>
    <r>
      <rPr>
        <sz val="10"/>
        <color rgb="FF000000"/>
        <rFont val="Noto Sans CJK SC"/>
        <family val="2"/>
      </rPr>
      <t>物販中心・粗利</t>
    </r>
    <r>
      <rPr>
        <sz val="10"/>
        <color rgb="FF000000"/>
        <rFont val="Arial"/>
        <family val="2"/>
      </rPr>
      <t>19%)</t>
    </r>
    <r>
      <rPr>
        <sz val="10"/>
        <color rgb="FF000000"/>
        <rFont val="Noto Sans CJK SC"/>
        <family val="2"/>
      </rPr>
      <t>と</t>
    </r>
    <r>
      <rPr>
        <sz val="10"/>
        <color rgb="FF000000"/>
        <rFont val="Arial"/>
        <family val="2"/>
      </rPr>
      <t>Q1 FY2027/3(</t>
    </r>
    <r>
      <rPr>
        <sz val="10"/>
        <color rgb="FF000000"/>
        <rFont val="Noto Sans CJK SC"/>
        <family val="2"/>
      </rPr>
      <t>賃貸中心・粗利</t>
    </r>
    <r>
      <rPr>
        <sz val="10"/>
        <color rgb="FF000000"/>
        <rFont val="Arial"/>
        <family val="2"/>
      </rPr>
      <t>91%)</t>
    </r>
    <r>
      <rPr>
        <sz val="10"/>
        <color rgb="FF000000"/>
        <rFont val="Noto Sans CJK SC"/>
        <family val="2"/>
      </rPr>
      <t xml:space="preserve">で別物のため、どちらを採るかで </t>
    </r>
    <r>
      <rPr>
        <sz val="10"/>
        <color rgb="FF000000"/>
        <rFont val="Arial"/>
        <family val="2"/>
      </rPr>
      <t xml:space="preserve">Comps EV/EBITDA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2"/>
      </rPr>
      <t xml:space="preserve">implied </t>
    </r>
    <r>
      <rPr>
        <sz val="10"/>
        <color rgb="FF000000"/>
        <rFont val="Noto Sans CJK SC"/>
        <family val="2"/>
      </rPr>
      <t>株価が</t>
    </r>
    <r>
      <rPr>
        <sz val="10"/>
        <color rgb="FF000000"/>
        <rFont val="Arial"/>
        <family val="2"/>
      </rPr>
      <t>1,417</t>
    </r>
    <r>
      <rPr>
        <sz val="10"/>
        <color rgb="FF000000"/>
        <rFont val="Noto Sans CJK SC"/>
        <family val="2"/>
      </rPr>
      <t xml:space="preserve">円 と </t>
    </r>
    <r>
      <rPr>
        <sz val="10"/>
        <color rgb="FF000000"/>
        <rFont val="Arial"/>
        <family val="2"/>
      </rPr>
      <t>3,296</t>
    </r>
    <r>
      <rPr>
        <sz val="10"/>
        <color rgb="FF000000"/>
        <rFont val="Noto Sans CJK SC"/>
        <family val="2"/>
      </rPr>
      <t>円 に分かれる。</t>
    </r>
    <r>
      <rPr>
        <sz val="10"/>
        <color rgb="FF000000"/>
        <rFont val="Arial"/>
        <family val="2"/>
      </rPr>
      <t>peer 4</t>
    </r>
    <r>
      <rPr>
        <sz val="10"/>
        <color rgb="FF000000"/>
        <rFont val="Noto Sans CJK SC"/>
        <family val="2"/>
      </rPr>
      <t xml:space="preserve">社が通期実績ベースであり基準混在を避けるため通期を採用したが、構造転換後の実力を測るなら </t>
    </r>
    <r>
      <rPr>
        <sz val="10"/>
        <color rgb="FF000000"/>
        <rFont val="Arial"/>
        <family val="2"/>
      </rPr>
      <t xml:space="preserve">LTM </t>
    </r>
    <r>
      <rPr>
        <sz val="10"/>
        <color rgb="FF000000"/>
        <rFont val="Noto Sans CJK SC"/>
        <family val="2"/>
      </rPr>
      <t>の方が適切という判断もあり得る。</t>
    </r>
  </si>
  <si>
    <t>2026-08-23</t>
  </si>
  <si>
    <t>'DCF Model'!C69:G73 / C76:G80 / C83:G87</t>
  </si>
  <si>
    <r>
      <rPr>
        <sz val="11"/>
        <color theme="1"/>
        <rFont val="Noto Sans CJK SC"/>
        <family val="2"/>
      </rPr>
      <t>シナリオ行列を全面改定。</t>
    </r>
    <r>
      <rPr>
        <sz val="11"/>
        <color theme="1"/>
        <rFont val="ＭＳ Ｐゴシック"/>
        <family val="2"/>
        <charset val="1"/>
      </rPr>
      <t xml:space="preserve">Base Y1 </t>
    </r>
    <r>
      <rPr>
        <sz val="11"/>
        <color theme="1"/>
        <rFont val="Noto Sans CJK SC"/>
        <family val="2"/>
      </rPr>
      <t>売上 −</t>
    </r>
    <r>
      <rPr>
        <sz val="11"/>
        <color theme="1"/>
        <rFont val="ＭＳ Ｐゴシック"/>
        <family val="2"/>
        <charset val="1"/>
      </rPr>
      <t>20%(26,884)/</t>
    </r>
    <r>
      <rPr>
        <sz val="11"/>
        <color theme="1"/>
        <rFont val="Noto Sans CJK SC"/>
        <family val="2"/>
      </rPr>
      <t>営業利益率</t>
    </r>
    <r>
      <rPr>
        <sz val="11"/>
        <color theme="1"/>
        <rFont val="ＭＳ Ｐゴシック"/>
        <family val="2"/>
        <charset val="1"/>
      </rPr>
      <t>20%(</t>
    </r>
    <r>
      <rPr>
        <sz val="11"/>
        <color theme="1"/>
        <rFont val="Noto Sans CJK SC"/>
        <family val="2"/>
      </rPr>
      <t>うち一時手数料</t>
    </r>
    <r>
      <rPr>
        <sz val="11"/>
        <color theme="1"/>
        <rFont val="ＭＳ Ｐゴシック"/>
        <family val="2"/>
        <charset val="1"/>
      </rPr>
      <t>5,578)</t>
    </r>
    <r>
      <rPr>
        <sz val="11"/>
        <color theme="1"/>
        <rFont val="Noto Sans CJK SC"/>
        <family val="2"/>
      </rPr>
      <t>、</t>
    </r>
    <r>
      <rPr>
        <sz val="11"/>
        <color theme="1"/>
        <rFont val="ＭＳ Ｐゴシック"/>
        <family val="2"/>
        <charset val="1"/>
      </rPr>
      <t>Y2 +100%(53,768)/18%</t>
    </r>
    <r>
      <rPr>
        <sz val="11"/>
        <color theme="1"/>
        <rFont val="Noto Sans CJK SC"/>
        <family val="2"/>
      </rPr>
      <t>。</t>
    </r>
    <r>
      <rPr>
        <sz val="11"/>
        <color theme="1"/>
        <rFont val="ＭＳ Ｐゴシック"/>
        <family val="2"/>
        <charset val="1"/>
      </rPr>
      <t>Upside Y1 +79%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ＭＳ Ｐゴシック"/>
        <family val="2"/>
        <charset val="1"/>
      </rPr>
      <t>Downside 1 Y1 −55%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ＭＳ Ｐゴシック"/>
        <family val="2"/>
        <charset val="1"/>
      </rPr>
      <t>Downside 2 Y1 −70%/−10%(</t>
    </r>
    <r>
      <rPr>
        <sz val="11"/>
        <color theme="1"/>
        <rFont val="Noto Sans CJK SC"/>
        <family val="2"/>
      </rPr>
      <t>貸倒織込</t>
    </r>
    <r>
      <rPr>
        <sz val="11"/>
        <color theme="1"/>
        <rFont val="ＭＳ Ｐゴシック"/>
        <family val="2"/>
        <charset val="1"/>
      </rPr>
      <t>)</t>
    </r>
    <r>
      <rPr>
        <sz val="11"/>
        <color theme="1"/>
        <rFont val="Noto Sans CJK SC"/>
        <family val="2"/>
      </rPr>
      <t>。</t>
    </r>
    <r>
      <rPr>
        <sz val="11"/>
        <color theme="1"/>
        <rFont val="ＭＳ Ｐゴシック"/>
        <family val="2"/>
        <charset val="1"/>
      </rPr>
      <t xml:space="preserve">Management </t>
    </r>
    <r>
      <rPr>
        <sz val="11"/>
        <color theme="1"/>
        <rFont val="Noto Sans CJK SC"/>
        <family val="2"/>
      </rPr>
      <t xml:space="preserve">は会社予想据え置きのまま </t>
    </r>
    <r>
      <rPr>
        <sz val="11"/>
        <color theme="1"/>
        <rFont val="ＭＳ Ｐゴシック"/>
        <family val="2"/>
        <charset val="1"/>
      </rPr>
      <t>Y2</t>
    </r>
    <r>
      <rPr>
        <sz val="11"/>
        <color theme="1"/>
        <rFont val="Noto Sans CJK SC"/>
        <family val="2"/>
      </rPr>
      <t>以降を減速</t>
    </r>
  </si>
  <si>
    <r>
      <rPr>
        <sz val="11"/>
        <color theme="1"/>
        <rFont val="Noto Sans CJK SC"/>
        <family val="2"/>
      </rPr>
      <t>前回</t>
    </r>
    <r>
      <rPr>
        <sz val="11"/>
        <color theme="1"/>
        <rFont val="ＭＳ Ｐゴシック"/>
        <family val="2"/>
        <charset val="1"/>
      </rPr>
      <t>Base</t>
    </r>
    <r>
      <rPr>
        <sz val="11"/>
        <color theme="1"/>
        <rFont val="Noto Sans CJK SC"/>
        <family val="2"/>
      </rPr>
      <t xml:space="preserve">は </t>
    </r>
    <r>
      <rPr>
        <sz val="11"/>
        <color theme="1"/>
        <rFont val="ＭＳ Ｐゴシック"/>
        <family val="2"/>
        <charset val="1"/>
      </rPr>
      <t xml:space="preserve">Q1 </t>
    </r>
    <r>
      <rPr>
        <sz val="11"/>
        <color theme="1"/>
        <rFont val="Noto Sans CJK SC"/>
        <family val="2"/>
      </rPr>
      <t>の案件組成・紹介手数料</t>
    </r>
    <r>
      <rPr>
        <sz val="11"/>
        <color theme="1"/>
        <rFont val="ＭＳ Ｐゴシック"/>
        <family val="2"/>
        <charset val="1"/>
      </rPr>
      <t>5,578(</t>
    </r>
    <r>
      <rPr>
        <sz val="11"/>
        <color theme="1"/>
        <rFont val="Noto Sans CJK SC"/>
        <family val="2"/>
      </rPr>
      <t>一時</t>
    </r>
    <r>
      <rPr>
        <sz val="11"/>
        <color theme="1"/>
        <rFont val="ＭＳ Ｐゴシック"/>
        <family val="2"/>
        <charset val="1"/>
      </rPr>
      <t>)</t>
    </r>
    <r>
      <rPr>
        <sz val="11"/>
        <color theme="1"/>
        <rFont val="Noto Sans CJK SC"/>
        <family val="2"/>
      </rPr>
      <t>を継続収益と誤読し、遡及解約された</t>
    </r>
    <r>
      <rPr>
        <sz val="11"/>
        <color theme="1"/>
        <rFont val="ＭＳ Ｐゴシック"/>
        <family val="2"/>
        <charset val="1"/>
      </rPr>
      <t>79,864</t>
    </r>
    <r>
      <rPr>
        <sz val="11"/>
        <color theme="1"/>
        <rFont val="Noto Sans CJK SC"/>
        <family val="2"/>
      </rPr>
      <t>百万円の案件を織り込んでいた。</t>
    </r>
    <r>
      <rPr>
        <sz val="11"/>
        <color theme="1"/>
        <rFont val="ＭＳ Ｐゴシック"/>
        <family val="2"/>
        <charset val="1"/>
      </rPr>
      <t>Q1</t>
    </r>
    <r>
      <rPr>
        <sz val="11"/>
        <color theme="1"/>
        <rFont val="Noto Sans CJK SC"/>
        <family val="2"/>
      </rPr>
      <t>短信の説明で判明</t>
    </r>
  </si>
  <si>
    <t>Base: [1.2,0.4,0.2,0.1,0.05] / COGS [0.72,0.71,0.715,0.74,0.76]</t>
  </si>
  <si>
    <t>解決</t>
  </si>
  <si>
    <t>'DCF Model'!C15 / C27 / D27</t>
  </si>
  <si>
    <r>
      <rPr>
        <sz val="11"/>
        <color theme="1"/>
        <rFont val="Noto Sans CJK SC"/>
        <family val="2"/>
      </rPr>
      <t xml:space="preserve">株数を </t>
    </r>
    <r>
      <rPr>
        <sz val="11"/>
        <color theme="1"/>
        <rFont val="ＭＳ Ｐゴシック"/>
        <family val="2"/>
        <charset val="1"/>
      </rPr>
      <t xml:space="preserve">TSM </t>
    </r>
    <r>
      <rPr>
        <sz val="11"/>
        <color theme="1"/>
        <rFont val="Noto Sans CJK SC"/>
        <family val="2"/>
      </rPr>
      <t xml:space="preserve">希薄化後 </t>
    </r>
    <r>
      <rPr>
        <sz val="11"/>
        <color theme="1"/>
        <rFont val="ＭＳ Ｐゴシック"/>
        <family val="2"/>
        <charset val="1"/>
      </rPr>
      <t xml:space="preserve">47,465,390 </t>
    </r>
    <r>
      <rPr>
        <sz val="11"/>
        <color theme="1"/>
        <rFont val="Noto Sans CJK SC"/>
        <family val="2"/>
      </rPr>
      <t xml:space="preserve">に変更。アクティブシナリオを </t>
    </r>
    <r>
      <rPr>
        <sz val="11"/>
        <color theme="1"/>
        <rFont val="ＭＳ Ｐゴシック"/>
        <family val="2"/>
        <charset val="1"/>
      </rPr>
      <t>Base(D27=1)</t>
    </r>
    <r>
      <rPr>
        <sz val="11"/>
        <color theme="1"/>
        <rFont val="Noto Sans CJK SC"/>
        <family val="2"/>
      </rPr>
      <t>に戻した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 xml:space="preserve">受領時は </t>
    </r>
    <r>
      <rPr>
        <sz val="11"/>
        <color theme="1"/>
        <rFont val="ＭＳ Ｐゴシック"/>
        <family val="2"/>
        <charset val="1"/>
      </rPr>
      <t>D27=3 Management)</t>
    </r>
  </si>
  <si>
    <r>
      <rPr>
        <sz val="11"/>
        <color theme="1"/>
        <rFont val="Noto Sans CJK SC"/>
        <family val="2"/>
      </rPr>
      <t>未行使新株予約権の希薄化</t>
    </r>
    <r>
      <rPr>
        <sz val="11"/>
        <color theme="1"/>
        <rFont val="ＭＳ Ｐゴシック"/>
        <family val="2"/>
        <charset val="1"/>
      </rPr>
      <t>(+48.3%)</t>
    </r>
    <r>
      <rPr>
        <sz val="11"/>
        <color theme="1"/>
        <rFont val="Noto Sans CJK SC"/>
        <family val="2"/>
      </rPr>
      <t xml:space="preserve">を </t>
    </r>
    <r>
      <rPr>
        <sz val="11"/>
        <color theme="1"/>
        <rFont val="ＭＳ Ｐゴシック"/>
        <family val="2"/>
        <charset val="1"/>
      </rPr>
      <t xml:space="preserve">Target </t>
    </r>
    <r>
      <rPr>
        <sz val="11"/>
        <color theme="1"/>
        <rFont val="Noto Sans CJK SC"/>
        <family val="2"/>
      </rPr>
      <t>に反映。</t>
    </r>
    <r>
      <rPr>
        <sz val="11"/>
        <color theme="1"/>
        <rFont val="ＭＳ Ｐゴシック"/>
        <family val="2"/>
        <charset val="1"/>
      </rPr>
      <t xml:space="preserve">market_analysis </t>
    </r>
    <r>
      <rPr>
        <sz val="11"/>
        <color theme="1"/>
        <rFont val="Noto Sans CJK SC"/>
        <family val="2"/>
      </rPr>
      <t xml:space="preserve">用に </t>
    </r>
    <r>
      <rPr>
        <sz val="11"/>
        <color theme="1"/>
        <rFont val="ＭＳ Ｐゴシック"/>
        <family val="2"/>
        <charset val="1"/>
      </rPr>
      <t xml:space="preserve">Base </t>
    </r>
    <r>
      <rPr>
        <sz val="11"/>
        <color theme="1"/>
        <rFont val="Noto Sans CJK SC"/>
        <family val="2"/>
      </rPr>
      <t>をアクティブに</t>
    </r>
  </si>
  <si>
    <t>32,017,051 / D27=3</t>
  </si>
  <si>
    <t>'Executive Summary'!C18 / C19 / B33 / B24-B31</t>
  </si>
  <si>
    <r>
      <rPr>
        <sz val="11"/>
        <color theme="1"/>
        <rFont val="ＭＳ Ｐゴシック"/>
        <family val="2"/>
        <charset val="1"/>
      </rPr>
      <t xml:space="preserve">Comps EV/EBITDA </t>
    </r>
    <r>
      <rPr>
        <sz val="11"/>
        <color theme="1"/>
        <rFont val="Noto Sans CJK SC"/>
        <family val="2"/>
      </rPr>
      <t xml:space="preserve">と </t>
    </r>
    <r>
      <rPr>
        <sz val="11"/>
        <color theme="1"/>
        <rFont val="ＭＳ Ｐゴシック"/>
        <family val="2"/>
        <charset val="1"/>
      </rPr>
      <t xml:space="preserve">PER </t>
    </r>
    <r>
      <rPr>
        <sz val="11"/>
        <color theme="1"/>
        <rFont val="Noto Sans CJK SC"/>
        <family val="2"/>
      </rPr>
      <t xml:space="preserve">を </t>
    </r>
    <r>
      <rPr>
        <sz val="11"/>
        <color theme="1"/>
        <rFont val="ＭＳ Ｐゴシック"/>
        <family val="2"/>
        <charset val="1"/>
      </rPr>
      <t xml:space="preserve">Target </t>
    </r>
    <r>
      <rPr>
        <sz val="11"/>
        <color theme="1"/>
        <rFont val="Noto Sans CJK SC"/>
        <family val="2"/>
      </rPr>
      <t>平均から除外</t>
    </r>
    <r>
      <rPr>
        <sz val="11"/>
        <color theme="1"/>
        <rFont val="ＭＳ Ｐゴシック"/>
        <family val="2"/>
        <charset val="1"/>
      </rPr>
      <t xml:space="preserve">(N/A </t>
    </r>
    <r>
      <rPr>
        <sz val="11"/>
        <color theme="1"/>
        <rFont val="Noto Sans CJK SC"/>
        <family val="2"/>
      </rPr>
      <t>表示</t>
    </r>
    <r>
      <rPr>
        <sz val="11"/>
        <color theme="1"/>
        <rFont val="ＭＳ Ｐゴシック"/>
        <family val="2"/>
        <charset val="1"/>
      </rPr>
      <t>)</t>
    </r>
    <r>
      <rPr>
        <sz val="11"/>
        <color theme="1"/>
        <rFont val="Noto Sans CJK SC"/>
        <family val="2"/>
      </rPr>
      <t>。</t>
    </r>
    <r>
      <rPr>
        <sz val="11"/>
        <color theme="1"/>
        <rFont val="ＭＳ Ｐゴシック"/>
        <family val="2"/>
        <charset val="1"/>
      </rPr>
      <t xml:space="preserve">thesis/risks </t>
    </r>
    <r>
      <rPr>
        <sz val="11"/>
        <color theme="1"/>
        <rFont val="Noto Sans CJK SC"/>
        <family val="2"/>
      </rPr>
      <t>を一時手数料・遡及解約・希薄化・空売りレポート反映に書換。</t>
    </r>
    <r>
      <rPr>
        <sz val="11"/>
        <color theme="1"/>
        <rFont val="ＭＳ Ｐゴシック"/>
        <family val="2"/>
        <charset val="1"/>
      </rPr>
      <t xml:space="preserve">B33 </t>
    </r>
    <r>
      <rPr>
        <sz val="11"/>
        <color theme="1"/>
        <rFont val="Noto Sans CJK SC"/>
        <family val="2"/>
      </rPr>
      <t>に注記追加</t>
    </r>
  </si>
  <si>
    <r>
      <rPr>
        <sz val="11"/>
        <color theme="1"/>
        <rFont val="ＭＳ Ｐゴシック"/>
        <family val="2"/>
        <charset val="1"/>
      </rPr>
      <t xml:space="preserve">FY3/26 </t>
    </r>
    <r>
      <rPr>
        <sz val="11"/>
        <color theme="1"/>
        <rFont val="Noto Sans CJK SC"/>
        <family val="2"/>
      </rPr>
      <t xml:space="preserve">の </t>
    </r>
    <r>
      <rPr>
        <sz val="11"/>
        <color theme="1"/>
        <rFont val="ＭＳ Ｐゴシック"/>
        <family val="2"/>
        <charset val="1"/>
      </rPr>
      <t xml:space="preserve">EBITDA 4,000 / </t>
    </r>
    <r>
      <rPr>
        <sz val="11"/>
        <color theme="1"/>
        <rFont val="Noto Sans CJK SC"/>
        <family val="2"/>
      </rPr>
      <t xml:space="preserve">純利益 </t>
    </r>
    <r>
      <rPr>
        <sz val="11"/>
        <color theme="1"/>
        <rFont val="ＭＳ Ｐゴシック"/>
        <family val="2"/>
        <charset val="1"/>
      </rPr>
      <t xml:space="preserve">2,802 </t>
    </r>
    <r>
      <rPr>
        <sz val="11"/>
        <color theme="1"/>
        <rFont val="Noto Sans CJK SC"/>
        <family val="2"/>
      </rPr>
      <t>は解約済み契約由来で継続水準ではない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手順書</t>
    </r>
    <r>
      <rPr>
        <sz val="11"/>
        <color theme="1"/>
        <rFont val="ＭＳ Ｐゴシック"/>
        <family val="2"/>
        <charset val="1"/>
      </rPr>
      <t xml:space="preserve">§8: </t>
    </r>
    <r>
      <rPr>
        <sz val="11"/>
        <color theme="1"/>
        <rFont val="Noto Sans CJK SC"/>
        <family val="2"/>
      </rPr>
      <t xml:space="preserve">無意味な指標を </t>
    </r>
    <r>
      <rPr>
        <sz val="11"/>
        <color theme="1"/>
        <rFont val="ＭＳ Ｐゴシック"/>
        <family val="2"/>
        <charset val="1"/>
      </rPr>
      <t xml:space="preserve">Target </t>
    </r>
    <r>
      <rPr>
        <sz val="11"/>
        <color theme="1"/>
        <rFont val="Noto Sans CJK SC"/>
        <family val="2"/>
      </rPr>
      <t>に残さない</t>
    </r>
    <r>
      <rPr>
        <sz val="11"/>
        <color theme="1"/>
        <rFont val="ＭＳ Ｐゴシック"/>
        <family val="2"/>
        <charset val="1"/>
      </rPr>
      <t>)</t>
    </r>
    <r>
      <rPr>
        <sz val="11"/>
        <color theme="1"/>
        <rFont val="Noto Sans CJK SC"/>
        <family val="2"/>
      </rPr>
      <t xml:space="preserve">。基本株数ベースの値は </t>
    </r>
    <r>
      <rPr>
        <sz val="11"/>
        <color theme="1"/>
        <rFont val="ＭＳ Ｐゴシック"/>
        <family val="2"/>
        <charset val="1"/>
      </rPr>
      <t xml:space="preserve">B33 </t>
    </r>
    <r>
      <rPr>
        <sz val="11"/>
        <color theme="1"/>
        <rFont val="Noto Sans CJK SC"/>
        <family val="2"/>
      </rPr>
      <t>に併記</t>
    </r>
  </si>
  <si>
    <r>
      <rPr>
        <sz val="11"/>
        <color theme="1"/>
        <rFont val="ＭＳ Ｐゴシック"/>
        <family val="2"/>
        <charset val="1"/>
      </rPr>
      <t xml:space="preserve">Comps 1,417 / PER 3,626 </t>
    </r>
    <r>
      <rPr>
        <sz val="11"/>
        <color theme="1"/>
        <rFont val="Noto Sans CJK SC"/>
        <family val="2"/>
      </rPr>
      <t>を平均に含めていた</t>
    </r>
  </si>
  <si>
    <t>Pipeline Metadata (do not edit — read by scripts/validate_output.py)</t>
  </si>
  <si>
    <t>key</t>
  </si>
  <si>
    <t>value</t>
  </si>
  <si>
    <t>capex_pct_basis</t>
  </si>
  <si>
    <t>assumption</t>
  </si>
  <si>
    <t>capex_pct_c5</t>
  </si>
  <si>
    <t>0.06</t>
  </si>
  <si>
    <t>capex_pct_hist3yr</t>
  </si>
  <si>
    <t>0.136868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</si>
  <si>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</si>
  <si>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</si>
  <si>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</si>
  <si>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</si>
  <si>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</si>
  <si>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</si>
  <si>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</si>
  <si>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</si>
  <si>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</si>
  <si>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</si>
  <si>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</si>
  <si>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</si>
  <si>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</si>
  <si>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</si>
  <si>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</si>
  <si>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</si>
  <si>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</si>
  <si>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</si>
  <si>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da_pct_basis</t>
  </si>
  <si>
    <t>da_pct_c18</t>
  </si>
  <si>
    <t>0.058</t>
  </si>
  <si>
    <t>da_pct_hist3yr</t>
  </si>
  <si>
    <t>0.049535</t>
  </si>
  <si>
    <t>fs_year_coverage</t>
  </si>
  <si>
    <t>OCF 3/3, Cash 3/3, Debt 3/3</t>
  </si>
  <si>
    <t>fs_year_map</t>
  </si>
  <si>
    <t>FY2024/3&lt;-FY2024[ocf+cash+debt]; FY2025/3&lt;-FY2025[ocf+cash+debt]; FY2026/3&lt;-FY2026[ocf+cash+debt]</t>
  </si>
  <si>
    <t>fs_year_sources</t>
  </si>
  <si>
    <t>overrides: hist_ocf, hist_cash, hist_debt, hist_capex, hist_depreciation | EDINET year-key match: none</t>
  </si>
  <si>
    <t>generated_at</t>
  </si>
  <si>
    <t>2026-08-22 15:39:02</t>
  </si>
  <si>
    <t>ltm_revenue_c20</t>
  </si>
  <si>
    <t>39265</t>
  </si>
  <si>
    <t>ltm_revenue_source</t>
  </si>
  <si>
    <t>override</t>
  </si>
  <si>
    <t>narrative_tokens_used</t>
  </si>
  <si>
    <t>pb,per,price,target_price,upside_pct,wacc</t>
  </si>
  <si>
    <t>scenario_index_range</t>
  </si>
  <si>
    <t>B69:B73</t>
  </si>
  <si>
    <t>template_rev</t>
  </si>
  <si>
    <t>e5effd6</t>
  </si>
  <si>
    <t>ticker</t>
  </si>
  <si>
    <t>N/A (FY3/26 EBITDA from cancelled contract)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</si>
</sst>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\x"/>
    <numFmt numFmtId="180" formatCode="0.00%;\(0.00%\)"/>
    <numFmt numFmtId="181" formatCode="0.0000"/>
  </numFmts>
  <fonts count="18">
    <font>
      <sz val="11"/>
      <color theme="1"/>
      <name val="ＭＳ Ｐゴシック"/>
      <family val="2"/>
      <charset val="1"/>
    </font>
    <font>
      <i/>
      <sz val="9"/>
      <color rgb="FF80808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6600"/>
      <name val="Arial"/>
      <charset val="1"/>
    </font>
    <font>
      <i/>
      <sz val="9"/>
      <color rgb="FF808080"/>
      <name val="Noto Sans CJK SC"/>
      <family val="2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sz val="11"/>
      <color theme="1"/>
      <name val="Noto Sans CJK SC"/>
      <family val="2"/>
    </font>
    <font>
      <i/>
      <sz val="9"/>
      <color rgb="FF808080"/>
      <name val="Arial"/>
      <family val="2"/>
    </font>
    <font>
      <sz val="10"/>
      <color rgb="FF000000"/>
      <name val="Arial"/>
      <family val="2"/>
    </font>
    <font>
      <sz val="6"/>
      <name val="ＭＳ Ｐゴシック"/>
      <family val="3"/>
      <charset val="128"/>
    </font>
    <font>
      <sz val="10"/>
      <color rgb="FF0066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13" fillId="0" borderId="0" xfId="0" applyFont="1"/>
    <xf numFmtId="176" fontId="17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3"/>
  <sheetViews>
    <sheetView topLeftCell="A3" zoomScaleNormal="100" workbookViewId="0">
      <selection activeCell="C19" sqref="C19"/>
    </sheetView>
  </sheetViews>
  <sheetFormatPr defaultColWidth="8.54296875" defaultRowHeight="13"/>
  <cols>
    <col min="1" max="1" width="3" customWidth="1"/>
    <col min="2" max="2" width="30" customWidth="1"/>
    <col min="3" max="5" width="22" customWidth="1"/>
  </cols>
  <sheetData>
    <row r="1" spans="2:5" ht="13.5" customHeight="1">
      <c r="B1" s="2" t="s">
        <v>0</v>
      </c>
      <c r="C1" s="2"/>
      <c r="D1" s="2"/>
      <c r="E1" s="2"/>
    </row>
    <row r="2" spans="2:5" ht="13.5" customHeight="1"/>
    <row r="3" spans="2:5" ht="18" customHeight="1">
      <c r="B3" s="1" t="s">
        <v>1</v>
      </c>
      <c r="C3" s="1"/>
      <c r="D3" s="1"/>
    </row>
    <row r="4" spans="2:5" ht="13.5" customHeight="1">
      <c r="B4" s="5" t="s">
        <v>2</v>
      </c>
    </row>
    <row r="5" spans="2:5" ht="13.5" customHeight="1"/>
    <row r="6" spans="2:5" ht="13.5" customHeight="1">
      <c r="B6" s="6" t="s">
        <v>3</v>
      </c>
      <c r="C6" t="s">
        <v>4</v>
      </c>
    </row>
    <row r="7" spans="2:5" ht="13.5" customHeight="1">
      <c r="B7" s="6" t="s">
        <v>5</v>
      </c>
      <c r="C7" t="s">
        <v>6</v>
      </c>
    </row>
    <row r="8" spans="2:5" ht="13.5" customHeight="1">
      <c r="B8" s="6" t="s">
        <v>7</v>
      </c>
      <c r="C8" t="s">
        <v>8</v>
      </c>
    </row>
    <row r="9" spans="2:5" ht="13.5" customHeight="1">
      <c r="B9" s="6" t="s">
        <v>9</v>
      </c>
      <c r="C9" s="7">
        <v>1840</v>
      </c>
    </row>
    <row r="10" spans="2:5" ht="13.5" customHeight="1">
      <c r="B10" s="6" t="s">
        <v>10</v>
      </c>
      <c r="C10" s="7">
        <f>ROUND(AVERAGE(C16:C19),0)</f>
        <v>420</v>
      </c>
    </row>
    <row r="11" spans="2:5" ht="13.5" customHeight="1">
      <c r="B11" s="6" t="s">
        <v>11</v>
      </c>
      <c r="C11" s="8" t="str">
        <f>IF(C12&gt;0.15,"BUY",IF(C12&gt;0.05,"HOLD","SELL"))</f>
        <v>SELL</v>
      </c>
    </row>
    <row r="12" spans="2:5" ht="13.5" customHeight="1">
      <c r="B12" s="6" t="s">
        <v>12</v>
      </c>
      <c r="C12" s="9">
        <f>(C10-C9)/C9</f>
        <v>-0.77173913043478259</v>
      </c>
    </row>
    <row r="13" spans="2:5" ht="13.5" customHeight="1"/>
    <row r="14" spans="2:5" ht="13.5" customHeight="1">
      <c r="B14" s="10" t="s">
        <v>13</v>
      </c>
      <c r="C14" s="11"/>
      <c r="D14" s="11"/>
    </row>
    <row r="15" spans="2:5" ht="13.5" customHeight="1">
      <c r="B15" s="12" t="s">
        <v>14</v>
      </c>
      <c r="C15" s="12" t="s">
        <v>15</v>
      </c>
      <c r="D15" s="12" t="s">
        <v>16</v>
      </c>
    </row>
    <row r="16" spans="2:5" ht="13.5" customHeight="1">
      <c r="B16" t="s">
        <v>17</v>
      </c>
      <c r="C16" s="13">
        <f>IF('DCF Model'!C53&lt;'DCF Model'!C16,"INVALID (EV &lt; net debt)",'DCF Model'!C55)</f>
        <v>327</v>
      </c>
      <c r="D16" s="9">
        <f>IF(ISNUMBER(C16),(C16-C9)/C9,"N/A")</f>
        <v>-0.82228260869565217</v>
      </c>
    </row>
    <row r="17" spans="2:4" ht="13.5" customHeight="1">
      <c r="B17" t="s">
        <v>18</v>
      </c>
      <c r="C17" s="13">
        <f>'DCF Model'!C64</f>
        <v>513</v>
      </c>
      <c r="D17" s="9">
        <f>(C17-C9)/C9</f>
        <v>-0.72119565217391302</v>
      </c>
    </row>
    <row r="18" spans="2:4" ht="13.5" customHeight="1">
      <c r="B18" t="s">
        <v>19</v>
      </c>
      <c r="C18" s="45" t="s">
        <v>276</v>
      </c>
      <c r="D18" s="9" t="str">
        <f>IF(ISNUMBER(C18),(C18-C9)/C9,"N/A")</f>
        <v>N/A</v>
      </c>
    </row>
    <row r="19" spans="2:4" ht="13.5" customHeight="1">
      <c r="B19" t="s">
        <v>20</v>
      </c>
      <c r="C19" s="13" t="s">
        <v>21</v>
      </c>
      <c r="D19" s="9" t="str">
        <f>IF(ISNUMBER(C19),(C19-C9)/C9,"N/A")</f>
        <v>N/A</v>
      </c>
    </row>
    <row r="20" spans="2:4" ht="13.5" customHeight="1"/>
    <row r="21" spans="2:4" ht="13.5" customHeight="1">
      <c r="B21" s="6" t="s">
        <v>22</v>
      </c>
      <c r="C21" s="8" t="str">
        <f>MIN(C16:C19)&amp;" - "&amp;MAX(C16:C19)</f>
        <v>327 - 513</v>
      </c>
    </row>
    <row r="22" spans="2:4" ht="13.5" customHeight="1"/>
    <row r="23" spans="2:4" ht="13.5" customHeight="1">
      <c r="B23" s="10" t="s">
        <v>23</v>
      </c>
      <c r="C23" s="11"/>
      <c r="D23" s="11"/>
    </row>
    <row r="24" spans="2:4" ht="13.5" customHeight="1">
      <c r="B24" t="s">
        <v>24</v>
      </c>
    </row>
    <row r="25" spans="2:4" ht="13.5" customHeight="1">
      <c r="B25" t="s">
        <v>25</v>
      </c>
    </row>
    <row r="26" spans="2:4" ht="13.5" customHeight="1">
      <c r="B26" t="str">
        <f>"At "&amp;TEXT(C9,"#,##0")&amp;" the stock trades at "&amp;TEXT('Comps Analysis'!L5,"0.0""x""")&amp;" PER and "&amp;TEXT('Comps Analysis'!M5,"0.00""x""")&amp;" PBR; our target of "&amp;TEXT(C10,"#,##0")&amp;" implies "&amp;TEXT(C12,"+0.0%;-0.0%")&amp;" with WACC of "&amp;TEXT('DCF Model'!C26,"0.00%")&amp;"."</f>
        <v>At 1,840 the stock trades at 21.0x PER and 3.18x PBR; our target of 420 implies -77.2% with WACC of 12.53%.</v>
      </c>
    </row>
    <row r="27" spans="2:4" ht="13.5" customHeight="1"/>
    <row r="28" spans="2:4" ht="13.5" customHeight="1">
      <c r="B28" s="10" t="s">
        <v>26</v>
      </c>
      <c r="C28" s="11"/>
      <c r="D28" s="11"/>
    </row>
    <row r="29" spans="2:4" ht="13.5" customHeight="1">
      <c r="B29" t="s">
        <v>27</v>
      </c>
    </row>
    <row r="30" spans="2:4" ht="13.5" customHeight="1">
      <c r="B30" t="s">
        <v>28</v>
      </c>
    </row>
    <row r="31" spans="2:4" ht="13.5" customHeight="1">
      <c r="B31" t="s">
        <v>29</v>
      </c>
    </row>
    <row r="33" spans="2:2">
      <c r="B33" t="s">
        <v>30</v>
      </c>
    </row>
  </sheetData>
  <mergeCells count="2">
    <mergeCell ref="B1:E1"/>
    <mergeCell ref="B3:D3"/>
  </mergeCells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1:E30"/>
  <sheetViews>
    <sheetView zoomScaleNormal="100" workbookViewId="0"/>
  </sheetViews>
  <sheetFormatPr defaultColWidth="8.54296875" defaultRowHeight="13"/>
  <cols>
    <col min="1" max="1" width="3" customWidth="1"/>
    <col min="2" max="2" width="32" customWidth="1"/>
    <col min="3" max="5" width="18" customWidth="1"/>
  </cols>
  <sheetData>
    <row r="1" spans="2:5" ht="13.5" customHeight="1"/>
    <row r="2" spans="2:5" ht="18" customHeight="1">
      <c r="B2" s="4" t="s">
        <v>31</v>
      </c>
    </row>
    <row r="3" spans="2:5" ht="13.5" customHeight="1"/>
    <row r="4" spans="2:5" ht="13.5" customHeight="1">
      <c r="C4" s="12" t="s">
        <v>32</v>
      </c>
      <c r="D4" s="12" t="s">
        <v>33</v>
      </c>
      <c r="E4" s="12" t="s">
        <v>34</v>
      </c>
    </row>
    <row r="5" spans="2:5" ht="13.5" customHeight="1">
      <c r="B5" s="5" t="s">
        <v>35</v>
      </c>
    </row>
    <row r="6" spans="2:5" ht="13.5" customHeight="1">
      <c r="B6" s="6" t="s">
        <v>36</v>
      </c>
      <c r="C6" s="7">
        <v>2229</v>
      </c>
      <c r="D6" s="7">
        <v>2943</v>
      </c>
      <c r="E6" s="7">
        <v>33605</v>
      </c>
    </row>
    <row r="7" spans="2:5" ht="13.5" customHeight="1">
      <c r="B7" s="6" t="s">
        <v>37</v>
      </c>
      <c r="C7" s="7">
        <v>1528</v>
      </c>
      <c r="D7" s="7">
        <v>1690</v>
      </c>
      <c r="E7" s="7">
        <v>27208</v>
      </c>
    </row>
    <row r="8" spans="2:5" ht="13.5" customHeight="1">
      <c r="B8" s="6" t="s">
        <v>38</v>
      </c>
      <c r="C8" s="7">
        <f>C6-C7</f>
        <v>701</v>
      </c>
      <c r="D8" s="7">
        <f>D6-D7</f>
        <v>1253</v>
      </c>
      <c r="E8" s="7">
        <f>E6-E7</f>
        <v>6397</v>
      </c>
    </row>
    <row r="9" spans="2:5" ht="13.5" customHeight="1">
      <c r="B9" t="s">
        <v>39</v>
      </c>
      <c r="C9" s="9">
        <f>C8/C6</f>
        <v>0.31449080305069538</v>
      </c>
      <c r="D9" s="9">
        <f>D8/D6</f>
        <v>0.42575603126061839</v>
      </c>
      <c r="E9" s="9">
        <f>E8/E6</f>
        <v>0.19035857759262015</v>
      </c>
    </row>
    <row r="10" spans="2:5" ht="13.5" customHeight="1">
      <c r="B10" s="6" t="s">
        <v>40</v>
      </c>
      <c r="C10" s="7">
        <v>917</v>
      </c>
      <c r="D10" s="7">
        <v>1748</v>
      </c>
      <c r="E10" s="7">
        <v>2852</v>
      </c>
    </row>
    <row r="11" spans="2:5" ht="13.5" customHeight="1">
      <c r="B11" s="6" t="s">
        <v>41</v>
      </c>
      <c r="C11" s="7">
        <v>-216</v>
      </c>
      <c r="D11" s="7">
        <v>-496</v>
      </c>
      <c r="E11" s="7">
        <v>3545</v>
      </c>
    </row>
    <row r="12" spans="2:5" ht="13.5" customHeight="1">
      <c r="B12" s="6" t="s">
        <v>42</v>
      </c>
      <c r="C12" s="7">
        <v>-1262</v>
      </c>
      <c r="D12" s="7">
        <v>-655</v>
      </c>
      <c r="E12" s="7">
        <v>2802</v>
      </c>
    </row>
    <row r="13" spans="2:5" ht="13.5" customHeight="1">
      <c r="B13" t="s">
        <v>43</v>
      </c>
      <c r="C13" s="9">
        <f>C11/C6</f>
        <v>-9.6904441453566623E-2</v>
      </c>
      <c r="D13" s="9">
        <f>D11/D6</f>
        <v>-0.16853550798504927</v>
      </c>
      <c r="E13" s="9">
        <f>E11/E6</f>
        <v>0.10549025442642464</v>
      </c>
    </row>
    <row r="14" spans="2:5" ht="13.5" customHeight="1">
      <c r="B14" t="s">
        <v>44</v>
      </c>
      <c r="C14" s="9">
        <f>C12/C6</f>
        <v>-0.56617317182593097</v>
      </c>
      <c r="D14" s="9">
        <f>D12/D6</f>
        <v>-0.22256201155283725</v>
      </c>
      <c r="E14" s="9">
        <f>E12/E6</f>
        <v>8.3380449337896151E-2</v>
      </c>
    </row>
    <row r="15" spans="2:5" ht="13.5" customHeight="1">
      <c r="B15" t="s">
        <v>45</v>
      </c>
      <c r="C15" t="s">
        <v>46</v>
      </c>
      <c r="D15" s="9">
        <f>(D6-C6)/C6</f>
        <v>0.32032301480484521</v>
      </c>
      <c r="E15" s="9">
        <f>(E6-D6)/D6</f>
        <v>10.418620455317702</v>
      </c>
    </row>
    <row r="16" spans="2:5" ht="13.5" customHeight="1">
      <c r="B16" t="s">
        <v>47</v>
      </c>
      <c r="C16" t="s">
        <v>46</v>
      </c>
      <c r="D16" s="9">
        <f>(D11-C11)/C11</f>
        <v>1.2962962962962963</v>
      </c>
      <c r="E16" s="9">
        <f>(E11-D11)/D11</f>
        <v>-8.1471774193548381</v>
      </c>
    </row>
    <row r="17" spans="2:5" ht="13.5" customHeight="1"/>
    <row r="18" spans="2:5" ht="13.5" customHeight="1">
      <c r="B18" s="5" t="s">
        <v>48</v>
      </c>
    </row>
    <row r="19" spans="2:5" ht="13.5" customHeight="1">
      <c r="B19" s="6" t="s">
        <v>49</v>
      </c>
      <c r="C19" s="7">
        <v>334</v>
      </c>
      <c r="D19" s="7">
        <v>-83</v>
      </c>
      <c r="E19" s="7">
        <v>-4914</v>
      </c>
    </row>
    <row r="20" spans="2:5" ht="13.5" customHeight="1">
      <c r="B20" s="6" t="s">
        <v>50</v>
      </c>
      <c r="C20" s="7">
        <v>537</v>
      </c>
      <c r="D20" s="7">
        <v>94</v>
      </c>
      <c r="E20" s="7">
        <v>4629</v>
      </c>
    </row>
    <row r="21" spans="2:5" ht="13.5" customHeight="1">
      <c r="B21" s="6" t="s">
        <v>51</v>
      </c>
      <c r="C21" s="7">
        <f>C19-C20</f>
        <v>-203</v>
      </c>
      <c r="D21" s="7">
        <f>D19-D20</f>
        <v>-177</v>
      </c>
      <c r="E21" s="7">
        <f>E19-E20</f>
        <v>-9543</v>
      </c>
    </row>
    <row r="22" spans="2:5" ht="13.5" customHeight="1">
      <c r="B22" t="s">
        <v>52</v>
      </c>
      <c r="C22" s="9">
        <f>C21/C6</f>
        <v>-9.1072229699416779E-2</v>
      </c>
      <c r="D22" s="9">
        <f>D21/D6</f>
        <v>-6.0142711518858305E-2</v>
      </c>
      <c r="E22" s="9">
        <f>E21/E6</f>
        <v>-0.28397559886921592</v>
      </c>
    </row>
    <row r="23" spans="2:5" ht="13.5" customHeight="1">
      <c r="B23" t="s">
        <v>53</v>
      </c>
      <c r="C23" s="9">
        <f>C20/C6</f>
        <v>0.24091520861372812</v>
      </c>
      <c r="D23" s="9">
        <f>D20/D6</f>
        <v>3.1940197077811754E-2</v>
      </c>
      <c r="E23" s="9">
        <f>E20/E6</f>
        <v>0.13774735902395477</v>
      </c>
    </row>
    <row r="24" spans="2:5" ht="13.5" customHeight="1"/>
    <row r="25" spans="2:5" ht="13.5" customHeight="1">
      <c r="B25" s="5" t="s">
        <v>54</v>
      </c>
    </row>
    <row r="26" spans="2:5" ht="13.5" customHeight="1">
      <c r="B26" s="6" t="s">
        <v>55</v>
      </c>
      <c r="C26" s="7">
        <v>1659</v>
      </c>
      <c r="D26" s="7">
        <v>526</v>
      </c>
      <c r="E26" s="7">
        <v>418</v>
      </c>
    </row>
    <row r="27" spans="2:5" ht="13.5" customHeight="1">
      <c r="B27" s="6" t="s">
        <v>56</v>
      </c>
      <c r="C27" s="7">
        <v>1238</v>
      </c>
      <c r="D27" s="7">
        <v>1370</v>
      </c>
      <c r="E27" s="7">
        <v>545</v>
      </c>
    </row>
    <row r="28" spans="2:5" ht="13.5" customHeight="1">
      <c r="B28" s="6" t="s">
        <v>57</v>
      </c>
      <c r="C28" s="7">
        <f>C27-C26</f>
        <v>-421</v>
      </c>
      <c r="D28" s="7">
        <f>D27-D26</f>
        <v>844</v>
      </c>
      <c r="E28" s="7">
        <f>E27-E26</f>
        <v>127</v>
      </c>
    </row>
    <row r="29" spans="2:5" ht="13.5" customHeight="1"/>
    <row r="30" spans="2:5" ht="13.5" customHeight="1">
      <c r="B30" s="3" t="s">
        <v>58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1:G87"/>
  <sheetViews>
    <sheetView tabSelected="1" topLeftCell="A47" zoomScaleNormal="100" workbookViewId="0">
      <selection activeCell="D28" sqref="D28"/>
    </sheetView>
  </sheetViews>
  <sheetFormatPr defaultColWidth="8.54296875" defaultRowHeight="13"/>
  <cols>
    <col min="1" max="1" width="3" customWidth="1"/>
    <col min="2" max="2" width="32" customWidth="1"/>
    <col min="3" max="7" width="16" customWidth="1"/>
  </cols>
  <sheetData>
    <row r="1" spans="2:7" ht="13.5" customHeight="1"/>
    <row r="2" spans="2:7" ht="18" customHeight="1">
      <c r="B2" s="4" t="s">
        <v>59</v>
      </c>
    </row>
    <row r="3" spans="2:7" ht="13.5" customHeight="1"/>
    <row r="4" spans="2:7" ht="13.5" customHeight="1">
      <c r="B4" s="10" t="s">
        <v>60</v>
      </c>
      <c r="C4" s="11"/>
      <c r="D4" s="11"/>
      <c r="E4" s="11"/>
      <c r="F4" s="11"/>
      <c r="G4" s="11"/>
    </row>
    <row r="5" spans="2:7" ht="13.5" customHeight="1">
      <c r="B5" s="6" t="s">
        <v>53</v>
      </c>
      <c r="C5" s="9">
        <v>0.06</v>
      </c>
    </row>
    <row r="6" spans="2:7" ht="13.5" customHeight="1">
      <c r="B6" s="6" t="s">
        <v>61</v>
      </c>
      <c r="C6" s="9">
        <v>0.30599999999999999</v>
      </c>
    </row>
    <row r="7" spans="2:7" ht="13.5" customHeight="1">
      <c r="B7" s="6" t="s">
        <v>62</v>
      </c>
      <c r="C7" s="9">
        <v>1.6E-2</v>
      </c>
    </row>
    <row r="8" spans="2:7" ht="13.5" customHeight="1">
      <c r="B8" s="6" t="s">
        <v>63</v>
      </c>
      <c r="C8" s="14">
        <v>1.35</v>
      </c>
    </row>
    <row r="9" spans="2:7" ht="13.5" customHeight="1">
      <c r="B9" s="6" t="s">
        <v>64</v>
      </c>
      <c r="C9" s="9">
        <v>5.5E-2</v>
      </c>
    </row>
    <row r="10" spans="2:7" ht="13.5" customHeight="1">
      <c r="B10" s="6" t="s">
        <v>65</v>
      </c>
      <c r="C10" s="9">
        <v>3.5000000000000003E-2</v>
      </c>
    </row>
    <row r="11" spans="2:7" ht="13.5" customHeight="1">
      <c r="B11" s="6" t="s">
        <v>66</v>
      </c>
      <c r="C11" s="9">
        <v>1.7350000000000001E-2</v>
      </c>
    </row>
    <row r="12" spans="2:7" ht="13.5" customHeight="1">
      <c r="B12" s="6" t="s">
        <v>67</v>
      </c>
      <c r="C12" s="15">
        <v>0</v>
      </c>
    </row>
    <row r="13" spans="2:7" ht="13.5" customHeight="1">
      <c r="B13" s="6" t="s">
        <v>68</v>
      </c>
      <c r="C13" s="9">
        <v>1.4999999999999999E-2</v>
      </c>
    </row>
    <row r="14" spans="2:7" ht="13.5" customHeight="1">
      <c r="B14" s="6" t="s">
        <v>69</v>
      </c>
      <c r="C14" s="16">
        <v>8</v>
      </c>
    </row>
    <row r="15" spans="2:7" ht="13.5" customHeight="1">
      <c r="B15" s="6" t="s">
        <v>70</v>
      </c>
      <c r="C15" s="17">
        <v>47465390</v>
      </c>
    </row>
    <row r="16" spans="2:7" ht="13.5" customHeight="1">
      <c r="B16" s="6" t="s">
        <v>71</v>
      </c>
      <c r="C16" s="7">
        <v>-216</v>
      </c>
    </row>
    <row r="17" spans="2:7" ht="13.5" customHeight="1">
      <c r="B17" s="6" t="s">
        <v>72</v>
      </c>
      <c r="C17" s="7">
        <v>33605</v>
      </c>
    </row>
    <row r="18" spans="2:7" ht="13.5" customHeight="1">
      <c r="B18" s="6" t="s">
        <v>73</v>
      </c>
      <c r="C18" s="9">
        <v>5.8000000000000003E-2</v>
      </c>
    </row>
    <row r="19" spans="2:7" ht="13.5" customHeight="1">
      <c r="B19" s="6" t="s">
        <v>74</v>
      </c>
      <c r="C19" s="14">
        <v>1</v>
      </c>
    </row>
    <row r="20" spans="2:7" ht="13.5" customHeight="1">
      <c r="B20" s="6" t="s">
        <v>75</v>
      </c>
      <c r="C20" s="7">
        <v>39265</v>
      </c>
    </row>
    <row r="21" spans="2:7" ht="13.5" customHeight="1"/>
    <row r="22" spans="2:7" ht="13.5" customHeight="1">
      <c r="B22" s="10" t="s">
        <v>76</v>
      </c>
      <c r="C22" s="11"/>
      <c r="D22" s="11"/>
      <c r="E22" s="11"/>
      <c r="F22" s="11"/>
      <c r="G22" s="11"/>
    </row>
    <row r="23" spans="2:7" ht="13.5" customHeight="1">
      <c r="B23" s="6" t="s">
        <v>77</v>
      </c>
      <c r="C23" s="18">
        <f>C7+C8*C9+C10</f>
        <v>0.12525000000000003</v>
      </c>
    </row>
    <row r="24" spans="2:7" ht="13.5" customHeight="1">
      <c r="B24" s="6" t="s">
        <v>78</v>
      </c>
      <c r="C24" s="18">
        <f>1/(1+C12)</f>
        <v>1</v>
      </c>
    </row>
    <row r="25" spans="2:7" ht="13.5" customHeight="1">
      <c r="B25" s="6" t="s">
        <v>79</v>
      </c>
      <c r="C25" s="18">
        <f>C12/(1+C12)</f>
        <v>0</v>
      </c>
    </row>
    <row r="26" spans="2:7" ht="13.5" customHeight="1">
      <c r="B26" s="6" t="s">
        <v>80</v>
      </c>
      <c r="C26" s="18">
        <f>C23*C24+C11*C25</f>
        <v>0.12525000000000003</v>
      </c>
    </row>
    <row r="27" spans="2:7" ht="13.5" customHeight="1">
      <c r="B27" s="6" t="s">
        <v>81</v>
      </c>
      <c r="C27" s="19" t="s">
        <v>82</v>
      </c>
      <c r="D27" s="8">
        <v>4</v>
      </c>
    </row>
    <row r="28" spans="2:7" ht="13.5" customHeight="1">
      <c r="B28" s="10" t="s">
        <v>83</v>
      </c>
      <c r="C28" s="11"/>
      <c r="D28" s="11"/>
      <c r="E28" s="11"/>
      <c r="F28" s="11"/>
      <c r="G28" s="11"/>
    </row>
    <row r="29" spans="2:7" ht="13.5" customHeight="1">
      <c r="C29" s="12" t="s">
        <v>84</v>
      </c>
      <c r="D29" s="12" t="s">
        <v>85</v>
      </c>
      <c r="E29" s="12" t="s">
        <v>86</v>
      </c>
      <c r="F29" s="12" t="s">
        <v>87</v>
      </c>
      <c r="G29" s="12" t="s">
        <v>88</v>
      </c>
    </row>
    <row r="30" spans="2:7" ht="13.5" customHeight="1">
      <c r="B30" s="6" t="s">
        <v>45</v>
      </c>
      <c r="C30" s="20">
        <f>CHOOSE($D$27,C69,C70,C71,C72,C73)</f>
        <v>-0.55000000000000004</v>
      </c>
      <c r="D30" s="20">
        <f>CHOOSE($D$27,D69,D70,D71,D72,D73)</f>
        <v>0.33</v>
      </c>
      <c r="E30" s="20">
        <f>CHOOSE($D$27,E69,E70,E71,E72,E73)</f>
        <v>0.1</v>
      </c>
      <c r="F30" s="20">
        <f>CHOOSE($D$27,F69,F70,F71,F72,F73)</f>
        <v>0.05</v>
      </c>
      <c r="G30" s="20">
        <f>CHOOSE($D$27,G69,G70,G71,G72,G73)</f>
        <v>0.03</v>
      </c>
    </row>
    <row r="31" spans="2:7" ht="13.5" customHeight="1">
      <c r="B31" s="6" t="s">
        <v>89</v>
      </c>
      <c r="C31" s="20">
        <f>CHOOSE($D$27,C76,C77,C78,C79,C80)</f>
        <v>0.81</v>
      </c>
      <c r="D31" s="20">
        <f>CHOOSE($D$27,D76,D77,D78,D79,D80)</f>
        <v>0.82499999999999996</v>
      </c>
      <c r="E31" s="20">
        <f>CHOOSE($D$27,E76,E77,E78,E79,E80)</f>
        <v>0.8</v>
      </c>
      <c r="F31" s="20">
        <f>CHOOSE($D$27,F76,F77,F78,F79,F80)</f>
        <v>0.80500000000000005</v>
      </c>
      <c r="G31" s="20">
        <f>CHOOSE($D$27,G76,G77,G78,G79,G80)</f>
        <v>0.81</v>
      </c>
    </row>
    <row r="32" spans="2:7" ht="13.5" customHeight="1">
      <c r="B32" s="6" t="s">
        <v>90</v>
      </c>
      <c r="C32" s="20">
        <f>CHOOSE($D$27,C83,C84,C85,C86,C87)</f>
        <v>0.09</v>
      </c>
      <c r="D32" s="20">
        <f>CHOOSE($D$27,D83,D84,D85,D86,D87)</f>
        <v>9.5000000000000001E-2</v>
      </c>
      <c r="E32" s="20">
        <f>CHOOSE($D$27,E83,E84,E85,E86,E87)</f>
        <v>0.1</v>
      </c>
      <c r="F32" s="20">
        <f>CHOOSE($D$27,F83,F84,F85,F86,F87)</f>
        <v>9.5000000000000001E-2</v>
      </c>
      <c r="G32" s="20">
        <f>CHOOSE($D$27,G83,G84,G85,G86,G87)</f>
        <v>0.09</v>
      </c>
    </row>
    <row r="33" spans="2:7" ht="13.5" customHeight="1">
      <c r="B33" s="6" t="s">
        <v>36</v>
      </c>
      <c r="C33" s="7">
        <f>C17*(1+C30)</f>
        <v>15122.249999999998</v>
      </c>
      <c r="D33" s="7">
        <f>C33*(1+D30)</f>
        <v>20112.592499999999</v>
      </c>
      <c r="E33" s="7">
        <f>D33*(1+E30)</f>
        <v>22123.851750000002</v>
      </c>
      <c r="F33" s="7">
        <f>E33*(1+F30)</f>
        <v>23230.044337500003</v>
      </c>
      <c r="G33" s="7">
        <f>F33*(1+G30)</f>
        <v>23926.945667625005</v>
      </c>
    </row>
    <row r="34" spans="2:7" ht="13.5" customHeight="1">
      <c r="B34" s="6" t="s">
        <v>37</v>
      </c>
      <c r="C34" s="7">
        <f>C33*C31</f>
        <v>12249.022499999999</v>
      </c>
      <c r="D34" s="7">
        <f>D33*D31</f>
        <v>16592.888812499998</v>
      </c>
      <c r="E34" s="7">
        <f>E33*E31</f>
        <v>17699.081400000003</v>
      </c>
      <c r="F34" s="7">
        <f>F33*F31</f>
        <v>18700.185691687504</v>
      </c>
      <c r="G34" s="7">
        <f>G33*G31</f>
        <v>19380.825990776255</v>
      </c>
    </row>
    <row r="35" spans="2:7" ht="13.5" customHeight="1">
      <c r="B35" s="6" t="s">
        <v>38</v>
      </c>
      <c r="C35" s="21">
        <f>C33-C34</f>
        <v>2873.2274999999991</v>
      </c>
      <c r="D35" s="21">
        <f>D33-D34</f>
        <v>3519.7036875000013</v>
      </c>
      <c r="E35" s="21">
        <f>E33-E34</f>
        <v>4424.7703499999989</v>
      </c>
      <c r="F35" s="21">
        <f>F33-F34</f>
        <v>4529.8586458124992</v>
      </c>
      <c r="G35" s="21">
        <f>G33-G34</f>
        <v>4546.1196768487498</v>
      </c>
    </row>
    <row r="36" spans="2:7" ht="13.5" customHeight="1">
      <c r="B36" s="6" t="s">
        <v>39</v>
      </c>
      <c r="C36" s="9">
        <f>C35/C33</f>
        <v>0.18999999999999995</v>
      </c>
      <c r="D36" s="9">
        <f>D35/D33</f>
        <v>0.17500000000000007</v>
      </c>
      <c r="E36" s="9">
        <f>E35/E33</f>
        <v>0.19999999999999993</v>
      </c>
      <c r="F36" s="9">
        <f>F35/F33</f>
        <v>0.19499999999999995</v>
      </c>
      <c r="G36" s="9">
        <f>G35/G33</f>
        <v>0.18999999999999995</v>
      </c>
    </row>
    <row r="37" spans="2:7" ht="13.5" customHeight="1">
      <c r="B37" s="6" t="s">
        <v>91</v>
      </c>
      <c r="C37" s="7">
        <f>C33*C32</f>
        <v>1361.0024999999998</v>
      </c>
      <c r="D37" s="7">
        <f>D33*D32</f>
        <v>1910.6962874999999</v>
      </c>
      <c r="E37" s="7">
        <f>E33*E32</f>
        <v>2212.3851750000003</v>
      </c>
      <c r="F37" s="7">
        <f>F33*F32</f>
        <v>2206.8542120625002</v>
      </c>
      <c r="G37" s="7">
        <f>G33*G32</f>
        <v>2153.4251100862502</v>
      </c>
    </row>
    <row r="38" spans="2:7" ht="13.5" customHeight="1">
      <c r="B38" s="6" t="s">
        <v>92</v>
      </c>
      <c r="C38" s="9">
        <f>(C35-C37)/C33</f>
        <v>9.9999999999999964E-2</v>
      </c>
      <c r="D38" s="9">
        <f>(D35-D37)/D33</f>
        <v>8.0000000000000071E-2</v>
      </c>
      <c r="E38" s="9">
        <f>(E35-E37)/E33</f>
        <v>9.9999999999999922E-2</v>
      </c>
      <c r="F38" s="9">
        <f>(F35-F37)/F33</f>
        <v>9.9999999999999936E-2</v>
      </c>
      <c r="G38" s="9">
        <f>(G35-G37)/G33</f>
        <v>9.9999999999999964E-2</v>
      </c>
    </row>
    <row r="39" spans="2:7" ht="13.5" customHeight="1">
      <c r="B39" s="6" t="s">
        <v>93</v>
      </c>
      <c r="C39" s="21">
        <f>C35-C37</f>
        <v>1512.2249999999992</v>
      </c>
      <c r="D39" s="21">
        <f>D35-D37</f>
        <v>1609.0074000000013</v>
      </c>
      <c r="E39" s="21">
        <f>E35-E37</f>
        <v>2212.3851749999985</v>
      </c>
      <c r="F39" s="21">
        <f>F35-F37</f>
        <v>2323.004433749999</v>
      </c>
      <c r="G39" s="21">
        <f>G35-G37</f>
        <v>2392.6945667624996</v>
      </c>
    </row>
    <row r="40" spans="2:7" ht="13.5" customHeight="1">
      <c r="B40" s="6" t="s">
        <v>94</v>
      </c>
      <c r="C40" s="7">
        <f>MAX(0,C39*C6)</f>
        <v>462.74084999999974</v>
      </c>
      <c r="D40" s="7">
        <f>MAX(0,D39*C6)</f>
        <v>492.35626440000038</v>
      </c>
      <c r="E40" s="7">
        <f>MAX(0,E39*C6)</f>
        <v>676.98986354999954</v>
      </c>
      <c r="F40" s="7">
        <f>MAX(0,F39*C6)</f>
        <v>710.83935672749965</v>
      </c>
      <c r="G40" s="7">
        <f>MAX(0,G39*C6)</f>
        <v>732.16453742932481</v>
      </c>
    </row>
    <row r="41" spans="2:7" ht="13.5" customHeight="1">
      <c r="B41" s="6" t="s">
        <v>95</v>
      </c>
      <c r="C41" s="21">
        <f>C39-C40</f>
        <v>1049.4841499999995</v>
      </c>
      <c r="D41" s="21">
        <f>D39-D40</f>
        <v>1116.651135600001</v>
      </c>
      <c r="E41" s="21">
        <f>E39-E40</f>
        <v>1535.3953114499991</v>
      </c>
      <c r="F41" s="21">
        <f>F39-F40</f>
        <v>1612.1650770224992</v>
      </c>
      <c r="G41" s="21">
        <f>G39-G40</f>
        <v>1660.5300293331748</v>
      </c>
    </row>
    <row r="42" spans="2:7" ht="13.5" customHeight="1">
      <c r="B42" s="6" t="s">
        <v>96</v>
      </c>
      <c r="C42" s="7">
        <f>C33*C18</f>
        <v>877.09049999999991</v>
      </c>
      <c r="D42" s="7">
        <f>D33*C18</f>
        <v>1166.5303650000001</v>
      </c>
      <c r="E42" s="7">
        <f>E33*C18</f>
        <v>1283.1834015000002</v>
      </c>
      <c r="F42" s="7">
        <f>F33*C18</f>
        <v>1347.3425715750002</v>
      </c>
      <c r="G42" s="7">
        <f>G33*C18</f>
        <v>1387.7628487222503</v>
      </c>
    </row>
    <row r="43" spans="2:7" ht="13.5" customHeight="1">
      <c r="B43" s="6" t="s">
        <v>97</v>
      </c>
      <c r="C43" s="7">
        <f>C33*C5</f>
        <v>907.33499999999981</v>
      </c>
      <c r="D43" s="7">
        <f>D33*C5</f>
        <v>1206.7555499999999</v>
      </c>
      <c r="E43" s="7">
        <f>E33*C5</f>
        <v>1327.4311050000001</v>
      </c>
      <c r="F43" s="7">
        <f>F33*C5</f>
        <v>1393.8026602500001</v>
      </c>
      <c r="G43" s="7">
        <f>G33*C5</f>
        <v>1435.6167400575002</v>
      </c>
    </row>
    <row r="44" spans="2:7" ht="13.5" customHeight="1">
      <c r="B44" s="6" t="s">
        <v>98</v>
      </c>
      <c r="C44" s="7">
        <f>'NWC Schedule'!D19</f>
        <v>-5093.9626232876726</v>
      </c>
      <c r="D44" s="7">
        <f>'NWC Schedule'!E19</f>
        <v>1543.7745708904113</v>
      </c>
      <c r="E44" s="7">
        <f>'NWC Schedule'!F19</f>
        <v>725.70641979452284</v>
      </c>
      <c r="F44" s="7">
        <f>'NWC Schedule'!G19</f>
        <v>132.03090431352666</v>
      </c>
      <c r="G44" s="7">
        <f>'NWC Schedule'!H19</f>
        <v>55.30023431466816</v>
      </c>
    </row>
    <row r="45" spans="2:7" ht="13.5" customHeight="1">
      <c r="B45" s="6" t="s">
        <v>99</v>
      </c>
      <c r="C45" s="22">
        <f>C41+C42-C43-C44</f>
        <v>6113.2022732876721</v>
      </c>
      <c r="D45" s="22">
        <f>D41+D42-D43-D44</f>
        <v>-467.34862029041005</v>
      </c>
      <c r="E45" s="22">
        <f>E41+E42-E43-E44</f>
        <v>765.44118815547654</v>
      </c>
      <c r="F45" s="22">
        <f>F41+F42-F43-F44</f>
        <v>1433.6740840339728</v>
      </c>
      <c r="G45" s="22">
        <f>G41+G42-G43-G44</f>
        <v>1557.3759036832564</v>
      </c>
    </row>
    <row r="46" spans="2:7" ht="13.5" customHeight="1">
      <c r="B46" s="6" t="s">
        <v>100</v>
      </c>
      <c r="C46" s="23">
        <f>1/(1+C26)^(C19+0)</f>
        <v>0.88869140191068641</v>
      </c>
      <c r="D46" s="23">
        <f>1/(1+C26)^(C19+1)</f>
        <v>0.78977240782998126</v>
      </c>
      <c r="E46" s="23">
        <f>1/(1+C26)^(C19+2)</f>
        <v>0.70186394830480447</v>
      </c>
      <c r="F46" s="23">
        <f>1/(1+C26)^(C19+3)</f>
        <v>0.6237404561695663</v>
      </c>
      <c r="G46" s="23">
        <f>1/(1+C26)^(C19+4)</f>
        <v>0.55431278042174292</v>
      </c>
    </row>
    <row r="47" spans="2:7" ht="13.5" customHeight="1">
      <c r="B47" s="6" t="s">
        <v>101</v>
      </c>
      <c r="C47" s="21">
        <f>C45*C46</f>
        <v>5432.7502984116163</v>
      </c>
      <c r="D47" s="21">
        <f>D45*D46</f>
        <v>-369.09904514277679</v>
      </c>
      <c r="E47" s="21">
        <f>E45*E46</f>
        <v>537.23557451392355</v>
      </c>
      <c r="F47" s="21">
        <f>F45*F46</f>
        <v>894.24052717383529</v>
      </c>
      <c r="G47" s="21">
        <f>G45*G46</f>
        <v>863.27336733249035</v>
      </c>
    </row>
    <row r="48" spans="2:7" ht="13.5" customHeight="1"/>
    <row r="49" spans="2:7" ht="13.5" customHeight="1">
      <c r="B49" s="24" t="s">
        <v>102</v>
      </c>
      <c r="C49" s="25"/>
      <c r="D49" s="25"/>
      <c r="E49" s="25"/>
      <c r="F49" s="25"/>
      <c r="G49" s="25"/>
    </row>
    <row r="50" spans="2:7" ht="13.5" customHeight="1">
      <c r="B50" s="6" t="s">
        <v>103</v>
      </c>
      <c r="C50" s="7">
        <f>SUM(C47:G47)</f>
        <v>7358.4007222890887</v>
      </c>
    </row>
    <row r="51" spans="2:7" ht="13.5" customHeight="1">
      <c r="B51" s="6" t="s">
        <v>104</v>
      </c>
      <c r="C51" s="7">
        <f>G45*(1+C13)/(C26-C13)</f>
        <v>14337.74641486172</v>
      </c>
    </row>
    <row r="52" spans="2:7" ht="13.5" customHeight="1">
      <c r="B52" s="6" t="s">
        <v>105</v>
      </c>
      <c r="C52" s="7">
        <f>C51*G46</f>
        <v>7947.5960802038762</v>
      </c>
    </row>
    <row r="53" spans="2:7" ht="13.5" customHeight="1">
      <c r="B53" s="6" t="s">
        <v>106</v>
      </c>
      <c r="C53" s="7">
        <f>C50+C52</f>
        <v>15305.996802492966</v>
      </c>
    </row>
    <row r="54" spans="2:7" ht="13.5" customHeight="1">
      <c r="B54" s="6" t="s">
        <v>107</v>
      </c>
      <c r="C54" s="7">
        <f>C53-C16</f>
        <v>15521.996802492966</v>
      </c>
    </row>
    <row r="55" spans="2:7" ht="13.5" customHeight="1">
      <c r="B55" s="6" t="s">
        <v>108</v>
      </c>
      <c r="C55" s="26">
        <f>ROUND(C54*1000000/C15,0)</f>
        <v>327</v>
      </c>
    </row>
    <row r="56" spans="2:7" ht="13.5" customHeight="1"/>
    <row r="57" spans="2:7" ht="13.5" customHeight="1">
      <c r="B57" s="24" t="s">
        <v>109</v>
      </c>
      <c r="C57" s="25"/>
      <c r="D57" s="25"/>
      <c r="E57" s="25"/>
      <c r="F57" s="25"/>
      <c r="G57" s="25"/>
    </row>
    <row r="58" spans="2:7" ht="13.5" customHeight="1">
      <c r="B58" s="6" t="s">
        <v>103</v>
      </c>
      <c r="C58" s="7">
        <f>C50</f>
        <v>7358.4007222890887</v>
      </c>
    </row>
    <row r="59" spans="2:7" ht="13.5" customHeight="1">
      <c r="B59" s="6" t="s">
        <v>110</v>
      </c>
      <c r="C59" s="7">
        <f>G39+G42</f>
        <v>3780.4574154847496</v>
      </c>
    </row>
    <row r="60" spans="2:7" ht="13.5" customHeight="1">
      <c r="B60" s="6" t="s">
        <v>111</v>
      </c>
      <c r="C60" s="7">
        <f>C59*C14</f>
        <v>30243.659323877997</v>
      </c>
    </row>
    <row r="61" spans="2:7" ht="13.5" customHeight="1">
      <c r="B61" s="6" t="s">
        <v>105</v>
      </c>
      <c r="C61" s="7">
        <f>C60*G46</f>
        <v>16764.446889946783</v>
      </c>
    </row>
    <row r="62" spans="2:7" ht="13.5" customHeight="1">
      <c r="B62" s="6" t="s">
        <v>106</v>
      </c>
      <c r="C62" s="7">
        <f>C58+C61</f>
        <v>24122.84761223587</v>
      </c>
    </row>
    <row r="63" spans="2:7" ht="13.5" customHeight="1">
      <c r="B63" s="6" t="s">
        <v>107</v>
      </c>
      <c r="C63" s="7">
        <f>C62-C16</f>
        <v>24338.84761223587</v>
      </c>
    </row>
    <row r="64" spans="2:7" ht="13.5" customHeight="1">
      <c r="B64" s="6" t="s">
        <v>112</v>
      </c>
      <c r="C64" s="26">
        <f>ROUND(C63*1000000/C15,0)</f>
        <v>513</v>
      </c>
    </row>
    <row r="65" spans="2:7" ht="13.5" customHeight="1"/>
    <row r="66" spans="2:7" ht="13.5" customHeight="1">
      <c r="B66" s="24" t="s">
        <v>113</v>
      </c>
      <c r="C66" s="25"/>
      <c r="D66" s="25"/>
      <c r="E66" s="25"/>
      <c r="F66" s="25"/>
      <c r="G66" s="25"/>
    </row>
    <row r="67" spans="2:7" ht="13.5" customHeight="1">
      <c r="C67" s="27" t="s">
        <v>114</v>
      </c>
      <c r="D67" s="27" t="s">
        <v>115</v>
      </c>
      <c r="E67" s="27" t="s">
        <v>116</v>
      </c>
      <c r="F67" s="27" t="s">
        <v>117</v>
      </c>
      <c r="G67" s="27" t="s">
        <v>118</v>
      </c>
    </row>
    <row r="68" spans="2:7" ht="13.5" customHeight="1">
      <c r="B68" s="5" t="s">
        <v>45</v>
      </c>
    </row>
    <row r="69" spans="2:7" ht="13.5" customHeight="1">
      <c r="B69" s="6" t="s">
        <v>82</v>
      </c>
      <c r="C69" s="28">
        <v>-0.2</v>
      </c>
      <c r="D69" s="28">
        <v>1</v>
      </c>
      <c r="E69" s="28">
        <v>0.27</v>
      </c>
      <c r="F69" s="28">
        <v>0.1</v>
      </c>
      <c r="G69" s="28">
        <v>0.05</v>
      </c>
    </row>
    <row r="70" spans="2:7" ht="13.5" customHeight="1">
      <c r="B70" s="6" t="s">
        <v>119</v>
      </c>
      <c r="C70" s="28">
        <v>0.79</v>
      </c>
      <c r="D70" s="28">
        <v>0.5</v>
      </c>
      <c r="E70" s="28">
        <v>0.2</v>
      </c>
      <c r="F70" s="28">
        <v>0.1</v>
      </c>
      <c r="G70" s="28">
        <v>0.05</v>
      </c>
    </row>
    <row r="71" spans="2:7" ht="13.5" customHeight="1">
      <c r="B71" s="6" t="s">
        <v>120</v>
      </c>
      <c r="C71" s="28">
        <v>3.83</v>
      </c>
      <c r="D71" s="28">
        <v>0.1</v>
      </c>
      <c r="E71" s="28">
        <v>0.05</v>
      </c>
      <c r="F71" s="28">
        <v>0.03</v>
      </c>
      <c r="G71" s="28">
        <v>0.03</v>
      </c>
    </row>
    <row r="72" spans="2:7" ht="13.5" customHeight="1">
      <c r="B72" s="6" t="s">
        <v>121</v>
      </c>
      <c r="C72" s="28">
        <v>-0.55000000000000004</v>
      </c>
      <c r="D72" s="28">
        <v>0.33</v>
      </c>
      <c r="E72" s="28">
        <v>0.1</v>
      </c>
      <c r="F72" s="28">
        <v>0.05</v>
      </c>
      <c r="G72" s="28">
        <v>0.03</v>
      </c>
    </row>
    <row r="73" spans="2:7" ht="13.5" customHeight="1">
      <c r="B73" s="6" t="s">
        <v>122</v>
      </c>
      <c r="C73" s="28">
        <v>-0.7</v>
      </c>
      <c r="D73" s="28">
        <v>-0.2</v>
      </c>
      <c r="E73" s="28">
        <v>0</v>
      </c>
      <c r="F73" s="28">
        <v>0.03</v>
      </c>
      <c r="G73" s="28">
        <v>0.03</v>
      </c>
    </row>
    <row r="74" spans="2:7" ht="13.5" customHeight="1"/>
    <row r="75" spans="2:7" ht="13.5" customHeight="1">
      <c r="B75" s="5" t="s">
        <v>89</v>
      </c>
    </row>
    <row r="76" spans="2:7" ht="13.5" customHeight="1">
      <c r="B76" s="6" t="s">
        <v>82</v>
      </c>
      <c r="C76" s="28">
        <v>0.72</v>
      </c>
      <c r="D76" s="28">
        <v>0.75</v>
      </c>
      <c r="E76" s="28">
        <v>0.73499999999999999</v>
      </c>
      <c r="F76" s="28">
        <v>0.74</v>
      </c>
      <c r="G76" s="28">
        <v>0.76</v>
      </c>
    </row>
    <row r="77" spans="2:7" ht="13.5" customHeight="1">
      <c r="B77" s="6" t="s">
        <v>119</v>
      </c>
      <c r="C77" s="28">
        <v>0.76</v>
      </c>
      <c r="D77" s="28">
        <v>0.745</v>
      </c>
      <c r="E77" s="28">
        <v>0.75</v>
      </c>
      <c r="F77" s="28">
        <v>0.76</v>
      </c>
      <c r="G77" s="28">
        <v>0.77</v>
      </c>
    </row>
    <row r="78" spans="2:7" ht="13.5" customHeight="1">
      <c r="B78" s="6" t="s">
        <v>120</v>
      </c>
      <c r="C78" s="28">
        <v>0.79700000000000004</v>
      </c>
      <c r="D78" s="28">
        <v>0.79200000000000004</v>
      </c>
      <c r="E78" s="28">
        <v>0.79500000000000004</v>
      </c>
      <c r="F78" s="28">
        <v>0.80500000000000005</v>
      </c>
      <c r="G78" s="28">
        <v>0.81499999999999995</v>
      </c>
    </row>
    <row r="79" spans="2:7" ht="13.5" customHeight="1">
      <c r="B79" s="6" t="s">
        <v>121</v>
      </c>
      <c r="C79" s="28">
        <v>0.81</v>
      </c>
      <c r="D79" s="28">
        <v>0.82499999999999996</v>
      </c>
      <c r="E79" s="28">
        <v>0.8</v>
      </c>
      <c r="F79" s="28">
        <v>0.80500000000000005</v>
      </c>
      <c r="G79" s="28">
        <v>0.81</v>
      </c>
    </row>
    <row r="80" spans="2:7" ht="13.5" customHeight="1">
      <c r="B80" s="6" t="s">
        <v>122</v>
      </c>
      <c r="C80" s="28">
        <v>1</v>
      </c>
      <c r="D80" s="28">
        <v>1.04</v>
      </c>
      <c r="E80" s="28">
        <v>0.93500000000000005</v>
      </c>
      <c r="F80" s="28">
        <v>0.89</v>
      </c>
      <c r="G80" s="28">
        <v>0.875</v>
      </c>
    </row>
    <row r="81" spans="2:7" ht="13.5" customHeight="1"/>
    <row r="82" spans="2:7" ht="13.5" customHeight="1">
      <c r="B82" s="5" t="s">
        <v>90</v>
      </c>
    </row>
    <row r="83" spans="2:7" ht="13.5" customHeight="1">
      <c r="B83" s="6" t="s">
        <v>82</v>
      </c>
      <c r="C83" s="28">
        <v>0.08</v>
      </c>
      <c r="D83" s="28">
        <v>7.0000000000000007E-2</v>
      </c>
      <c r="E83" s="28">
        <v>6.5000000000000002E-2</v>
      </c>
      <c r="F83" s="28">
        <v>0.06</v>
      </c>
      <c r="G83" s="28">
        <v>0.06</v>
      </c>
    </row>
    <row r="84" spans="2:7" ht="13.5" customHeight="1">
      <c r="B84" s="6" t="s">
        <v>119</v>
      </c>
      <c r="C84" s="28">
        <v>0.06</v>
      </c>
      <c r="D84" s="28">
        <v>5.5E-2</v>
      </c>
      <c r="E84" s="28">
        <v>0.05</v>
      </c>
      <c r="F84" s="28">
        <v>0.05</v>
      </c>
      <c r="G84" s="28">
        <v>0.05</v>
      </c>
    </row>
    <row r="85" spans="2:7" ht="13.5" customHeight="1">
      <c r="B85" s="6" t="s">
        <v>120</v>
      </c>
      <c r="C85" s="28">
        <v>0.05</v>
      </c>
      <c r="D85" s="28">
        <v>4.8000000000000001E-2</v>
      </c>
      <c r="E85" s="28">
        <v>4.4999999999999998E-2</v>
      </c>
      <c r="F85" s="28">
        <v>4.4999999999999998E-2</v>
      </c>
      <c r="G85" s="28">
        <v>4.4999999999999998E-2</v>
      </c>
    </row>
    <row r="86" spans="2:7" ht="13.5" customHeight="1">
      <c r="B86" s="6" t="s">
        <v>121</v>
      </c>
      <c r="C86" s="28">
        <v>0.09</v>
      </c>
      <c r="D86" s="28">
        <v>9.5000000000000001E-2</v>
      </c>
      <c r="E86" s="28">
        <v>0.1</v>
      </c>
      <c r="F86" s="28">
        <v>9.5000000000000001E-2</v>
      </c>
      <c r="G86" s="28">
        <v>0.09</v>
      </c>
    </row>
    <row r="87" spans="2:7" ht="13.5" customHeight="1">
      <c r="B87" s="6" t="s">
        <v>122</v>
      </c>
      <c r="C87" s="28">
        <v>0.1</v>
      </c>
      <c r="D87" s="28">
        <v>0.11</v>
      </c>
      <c r="E87" s="28">
        <v>0.115</v>
      </c>
      <c r="F87" s="28">
        <v>0.11</v>
      </c>
      <c r="G87" s="28">
        <v>0.105</v>
      </c>
    </row>
  </sheetData>
  <phoneticPr fontId="16"/>
  <dataValidations count="1">
    <dataValidation type="list" sqref="C27" xr:uid="{00000000-0002-0000-0200-000000000000}">
      <formula1>"Base,Upside,Management,Downside 1,Downside 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1:H43"/>
  <sheetViews>
    <sheetView zoomScaleNormal="100" workbookViewId="0"/>
  </sheetViews>
  <sheetFormatPr defaultColWidth="8.54296875" defaultRowHeight="13"/>
  <cols>
    <col min="1" max="1" width="3" customWidth="1"/>
    <col min="2" max="2" width="28" customWidth="1"/>
    <col min="3" max="8" width="16" customWidth="1"/>
  </cols>
  <sheetData>
    <row r="1" spans="2:8" ht="13.5" customHeight="1"/>
    <row r="2" spans="2:8" ht="18" customHeight="1">
      <c r="B2" s="4" t="s">
        <v>123</v>
      </c>
    </row>
    <row r="3" spans="2:8" ht="13.5" customHeight="1"/>
    <row r="4" spans="2:8" ht="13.5" customHeight="1">
      <c r="B4" s="10" t="s">
        <v>124</v>
      </c>
      <c r="C4" s="29" t="s">
        <v>125</v>
      </c>
      <c r="D4" s="29" t="s">
        <v>84</v>
      </c>
      <c r="E4" s="29" t="s">
        <v>85</v>
      </c>
      <c r="F4" s="29" t="s">
        <v>86</v>
      </c>
      <c r="G4" s="29" t="s">
        <v>87</v>
      </c>
      <c r="H4" s="29" t="s">
        <v>88</v>
      </c>
    </row>
    <row r="5" spans="2:8" ht="13.5" customHeight="1">
      <c r="B5" s="30" t="s">
        <v>126</v>
      </c>
      <c r="C5" s="31">
        <f>C12/C9*365</f>
        <v>121.46391905966374</v>
      </c>
      <c r="D5" s="31">
        <f>CHOOSE('DCF Model'!$D$27,D25,D26,D27,D28,D29)</f>
        <v>121</v>
      </c>
      <c r="E5" s="31">
        <f>CHOOSE('DCF Model'!$D$27,E25,E26,E27,E28,E29)</f>
        <v>124</v>
      </c>
      <c r="F5" s="31">
        <f>CHOOSE('DCF Model'!$D$27,F25,F26,F27,F28,F29)</f>
        <v>126</v>
      </c>
      <c r="G5" s="31">
        <f>CHOOSE('DCF Model'!$D$27,G25,G26,G27,G28,G29)</f>
        <v>124</v>
      </c>
      <c r="H5" s="31">
        <f>CHOOSE('DCF Model'!$D$27,H25,H26,H27,H28,H29)</f>
        <v>122</v>
      </c>
    </row>
    <row r="6" spans="2:8" ht="13.5" customHeight="1">
      <c r="B6" s="30" t="s">
        <v>127</v>
      </c>
      <c r="C6" s="31">
        <f>C13/C10*365</f>
        <v>1.1939503087327257</v>
      </c>
      <c r="D6" s="31">
        <f>CHOOSE('DCF Model'!$D$27,D32,D33,D34,D35,D36)</f>
        <v>1</v>
      </c>
      <c r="E6" s="31">
        <f>CHOOSE('DCF Model'!$D$27,E32,E33,E34,E35,E36)</f>
        <v>1</v>
      </c>
      <c r="F6" s="31">
        <f>CHOOSE('DCF Model'!$D$27,F32,F33,F34,F35,F36)</f>
        <v>1</v>
      </c>
      <c r="G6" s="31">
        <f>CHOOSE('DCF Model'!$D$27,G32,G33,G34,G35,G36)</f>
        <v>1</v>
      </c>
      <c r="H6" s="31">
        <f>CHOOSE('DCF Model'!$D$27,H32,H33,H34,H35,H36)</f>
        <v>1</v>
      </c>
    </row>
    <row r="7" spans="2:8" ht="13.5" customHeight="1">
      <c r="B7" s="30" t="s">
        <v>128</v>
      </c>
      <c r="C7" s="31">
        <f>C15/C10*365</f>
        <v>27.782821229050278</v>
      </c>
      <c r="D7" s="31">
        <f>CHOOSE('DCF Model'!$D$27,D39,D40,D41,D42,D43)</f>
        <v>28</v>
      </c>
      <c r="E7" s="31">
        <f>CHOOSE('DCF Model'!$D$27,E39,E40,E41,E42,E43)</f>
        <v>27</v>
      </c>
      <c r="F7" s="31">
        <f>CHOOSE('DCF Model'!$D$27,F39,F40,F41,F42,F43)</f>
        <v>27</v>
      </c>
      <c r="G7" s="31">
        <f>CHOOSE('DCF Model'!$D$27,G39,G40,G41,G42,G43)</f>
        <v>28</v>
      </c>
      <c r="H7" s="31">
        <f>CHOOSE('DCF Model'!$D$27,H39,H40,H41,H42,H43)</f>
        <v>28</v>
      </c>
    </row>
    <row r="8" spans="2:8" ht="13.5" customHeight="1">
      <c r="B8" s="10" t="s">
        <v>129</v>
      </c>
      <c r="C8" s="11"/>
      <c r="D8" s="11"/>
      <c r="E8" s="11"/>
      <c r="F8" s="11"/>
      <c r="G8" s="11"/>
      <c r="H8" s="11"/>
    </row>
    <row r="9" spans="2:8" ht="13.5" customHeight="1">
      <c r="B9" s="30" t="s">
        <v>36</v>
      </c>
      <c r="C9" s="32">
        <v>33605</v>
      </c>
      <c r="D9" s="32">
        <f>'DCF Model'!C33</f>
        <v>15122.249999999998</v>
      </c>
      <c r="E9" s="32">
        <f>'DCF Model'!D33</f>
        <v>20112.592499999999</v>
      </c>
      <c r="F9" s="32">
        <f>'DCF Model'!E33</f>
        <v>22123.851750000002</v>
      </c>
      <c r="G9" s="32">
        <f>'DCF Model'!F33</f>
        <v>23230.044337500003</v>
      </c>
      <c r="H9" s="32">
        <f>'DCF Model'!G33</f>
        <v>23926.945667625005</v>
      </c>
    </row>
    <row r="10" spans="2:8" ht="13.5" customHeight="1">
      <c r="B10" s="30" t="s">
        <v>37</v>
      </c>
      <c r="C10" s="32">
        <v>27208</v>
      </c>
      <c r="D10" s="32">
        <f>'DCF Model'!C34</f>
        <v>12249.022499999999</v>
      </c>
      <c r="E10" s="32">
        <f>'DCF Model'!D34</f>
        <v>16592.888812499998</v>
      </c>
      <c r="F10" s="32">
        <f>'DCF Model'!E34</f>
        <v>17699.081400000003</v>
      </c>
      <c r="G10" s="32">
        <f>'DCF Model'!F34</f>
        <v>18700.185691687504</v>
      </c>
      <c r="H10" s="32">
        <f>'DCF Model'!G34</f>
        <v>19380.825990776255</v>
      </c>
    </row>
    <row r="11" spans="2:8" ht="13.5" customHeight="1">
      <c r="B11" s="10" t="s">
        <v>130</v>
      </c>
      <c r="C11" s="11"/>
      <c r="D11" s="11"/>
      <c r="E11" s="11"/>
      <c r="F11" s="11"/>
      <c r="G11" s="11"/>
      <c r="H11" s="11"/>
    </row>
    <row r="12" spans="2:8" ht="13.5" customHeight="1">
      <c r="B12" s="30" t="s">
        <v>131</v>
      </c>
      <c r="C12" s="32">
        <v>11183</v>
      </c>
      <c r="D12" s="32">
        <f t="shared" ref="D12:H13" si="0">D9*D5/365</f>
        <v>5013.1294520547935</v>
      </c>
      <c r="E12" s="32">
        <f t="shared" si="0"/>
        <v>6832.7711506849309</v>
      </c>
      <c r="F12" s="32">
        <f t="shared" si="0"/>
        <v>7637.274850684933</v>
      </c>
      <c r="G12" s="32">
        <f t="shared" si="0"/>
        <v>7891.8506790410966</v>
      </c>
      <c r="H12" s="32">
        <f t="shared" si="0"/>
        <v>7997.4996478089051</v>
      </c>
    </row>
    <row r="13" spans="2:8" ht="13.5" customHeight="1">
      <c r="B13" s="30" t="s">
        <v>132</v>
      </c>
      <c r="C13" s="32">
        <v>89</v>
      </c>
      <c r="D13" s="32">
        <f t="shared" si="0"/>
        <v>33.558965753424658</v>
      </c>
      <c r="E13" s="32">
        <f t="shared" si="0"/>
        <v>45.45996934931506</v>
      </c>
      <c r="F13" s="32">
        <f t="shared" si="0"/>
        <v>48.490633972602744</v>
      </c>
      <c r="G13" s="32">
        <f t="shared" si="0"/>
        <v>51.233385456678093</v>
      </c>
      <c r="H13" s="32">
        <f t="shared" si="0"/>
        <v>53.098153399387002</v>
      </c>
    </row>
    <row r="14" spans="2:8" ht="13.5" customHeight="1">
      <c r="B14" s="30" t="s">
        <v>133</v>
      </c>
      <c r="C14" s="32">
        <f t="shared" ref="C14:H14" si="1">C12+C13</f>
        <v>11272</v>
      </c>
      <c r="D14" s="32">
        <f t="shared" si="1"/>
        <v>5046.6884178082182</v>
      </c>
      <c r="E14" s="32">
        <f t="shared" si="1"/>
        <v>6878.2311200342456</v>
      </c>
      <c r="F14" s="32">
        <f t="shared" si="1"/>
        <v>7685.765484657536</v>
      </c>
      <c r="G14" s="32">
        <f t="shared" si="1"/>
        <v>7943.0840644977743</v>
      </c>
      <c r="H14" s="32">
        <f t="shared" si="1"/>
        <v>8050.5978012082924</v>
      </c>
    </row>
    <row r="15" spans="2:8" ht="13.5" customHeight="1">
      <c r="B15" s="30" t="s">
        <v>134</v>
      </c>
      <c r="C15" s="32">
        <v>2071</v>
      </c>
      <c r="D15" s="32">
        <f>D10*D7/365</f>
        <v>939.65104109589038</v>
      </c>
      <c r="E15" s="32">
        <f>E10*E7/365</f>
        <v>1227.4191724315067</v>
      </c>
      <c r="F15" s="32">
        <f>F10*F7/365</f>
        <v>1309.2471172602743</v>
      </c>
      <c r="G15" s="32">
        <f>G10*G7/365</f>
        <v>1434.5347927869866</v>
      </c>
      <c r="H15" s="32">
        <f>H10*H7/365</f>
        <v>1486.748295182836</v>
      </c>
    </row>
    <row r="16" spans="2:8" ht="13.5" customHeight="1">
      <c r="B16" s="30" t="s">
        <v>135</v>
      </c>
      <c r="C16" s="32">
        <f t="shared" ref="C16:H16" si="2">C15</f>
        <v>2071</v>
      </c>
      <c r="D16" s="32">
        <f t="shared" si="2"/>
        <v>939.65104109589038</v>
      </c>
      <c r="E16" s="32">
        <f t="shared" si="2"/>
        <v>1227.4191724315067</v>
      </c>
      <c r="F16" s="32">
        <f t="shared" si="2"/>
        <v>1309.2471172602743</v>
      </c>
      <c r="G16" s="32">
        <f t="shared" si="2"/>
        <v>1434.5347927869866</v>
      </c>
      <c r="H16" s="32">
        <f t="shared" si="2"/>
        <v>1486.748295182836</v>
      </c>
    </row>
    <row r="17" spans="2:8" ht="13.5" customHeight="1">
      <c r="B17" s="24" t="s">
        <v>136</v>
      </c>
      <c r="C17" s="25"/>
      <c r="D17" s="25"/>
      <c r="E17" s="25"/>
      <c r="F17" s="25"/>
      <c r="G17" s="25"/>
      <c r="H17" s="25"/>
    </row>
    <row r="18" spans="2:8" ht="13.5" customHeight="1">
      <c r="B18" s="30" t="s">
        <v>137</v>
      </c>
      <c r="C18" s="22">
        <f t="shared" ref="C18:H18" si="3">C14-C16</f>
        <v>9201</v>
      </c>
      <c r="D18" s="22">
        <f t="shared" si="3"/>
        <v>4107.0373767123274</v>
      </c>
      <c r="E18" s="22">
        <f t="shared" si="3"/>
        <v>5650.8119476027387</v>
      </c>
      <c r="F18" s="22">
        <f t="shared" si="3"/>
        <v>6376.5183673972615</v>
      </c>
      <c r="G18" s="22">
        <f t="shared" si="3"/>
        <v>6508.5492717107882</v>
      </c>
      <c r="H18" s="22">
        <f t="shared" si="3"/>
        <v>6563.8495060254563</v>
      </c>
    </row>
    <row r="19" spans="2:8" ht="13.5" customHeight="1">
      <c r="B19" s="30" t="s">
        <v>98</v>
      </c>
      <c r="C19" s="33" t="s">
        <v>46</v>
      </c>
      <c r="D19" s="26">
        <f>D18-C18</f>
        <v>-5093.9626232876726</v>
      </c>
      <c r="E19" s="26">
        <f>E18-D18</f>
        <v>1543.7745708904113</v>
      </c>
      <c r="F19" s="26">
        <f>F18-E18</f>
        <v>725.70641979452284</v>
      </c>
      <c r="G19" s="26">
        <f>G18-F18</f>
        <v>132.03090431352666</v>
      </c>
      <c r="H19" s="26">
        <f>H18-G18</f>
        <v>55.30023431466816</v>
      </c>
    </row>
    <row r="20" spans="2:8" ht="13.5" customHeight="1"/>
    <row r="21" spans="2:8" ht="13.5" customHeight="1"/>
    <row r="22" spans="2:8" ht="13.5" customHeight="1">
      <c r="B22" s="24" t="s">
        <v>138</v>
      </c>
      <c r="C22" s="25"/>
      <c r="D22" s="25"/>
      <c r="E22" s="25"/>
      <c r="F22" s="25"/>
      <c r="G22" s="25"/>
      <c r="H22" s="25"/>
    </row>
    <row r="23" spans="2:8" ht="13.5" customHeight="1">
      <c r="D23" s="27" t="s">
        <v>84</v>
      </c>
      <c r="E23" s="27" t="s">
        <v>85</v>
      </c>
      <c r="F23" s="27" t="s">
        <v>86</v>
      </c>
      <c r="G23" s="27" t="s">
        <v>87</v>
      </c>
      <c r="H23" s="27" t="s">
        <v>88</v>
      </c>
    </row>
    <row r="24" spans="2:8" ht="13.5" customHeight="1">
      <c r="B24" s="5" t="s">
        <v>139</v>
      </c>
    </row>
    <row r="25" spans="2:8" ht="13.5" customHeight="1">
      <c r="B25" s="6" t="s">
        <v>82</v>
      </c>
      <c r="D25" s="34">
        <v>121</v>
      </c>
      <c r="E25" s="34">
        <v>121</v>
      </c>
      <c r="F25" s="34">
        <v>121</v>
      </c>
      <c r="G25" s="34">
        <v>121</v>
      </c>
      <c r="H25" s="34">
        <v>121</v>
      </c>
    </row>
    <row r="26" spans="2:8" ht="13.5" customHeight="1">
      <c r="B26" s="6" t="s">
        <v>119</v>
      </c>
      <c r="D26" s="34">
        <v>115</v>
      </c>
      <c r="E26" s="34">
        <v>110</v>
      </c>
      <c r="F26" s="34">
        <v>105</v>
      </c>
      <c r="G26" s="34">
        <v>100</v>
      </c>
      <c r="H26" s="34">
        <v>100</v>
      </c>
    </row>
    <row r="27" spans="2:8" ht="13.5" customHeight="1">
      <c r="B27" s="6" t="s">
        <v>120</v>
      </c>
      <c r="D27" s="34">
        <v>121</v>
      </c>
      <c r="E27" s="34">
        <v>121</v>
      </c>
      <c r="F27" s="34">
        <v>121</v>
      </c>
      <c r="G27" s="34">
        <v>121</v>
      </c>
      <c r="H27" s="34">
        <v>121</v>
      </c>
    </row>
    <row r="28" spans="2:8" ht="13.5" customHeight="1">
      <c r="B28" s="6" t="s">
        <v>121</v>
      </c>
      <c r="D28" s="34">
        <v>121</v>
      </c>
      <c r="E28" s="34">
        <v>124</v>
      </c>
      <c r="F28" s="34">
        <v>126</v>
      </c>
      <c r="G28" s="34">
        <v>124</v>
      </c>
      <c r="H28" s="34">
        <v>122</v>
      </c>
    </row>
    <row r="29" spans="2:8" ht="13.5" customHeight="1">
      <c r="B29" s="6" t="s">
        <v>122</v>
      </c>
      <c r="D29" s="34">
        <v>124</v>
      </c>
      <c r="E29" s="34">
        <v>128</v>
      </c>
      <c r="F29" s="34">
        <v>130</v>
      </c>
      <c r="G29" s="34">
        <v>128</v>
      </c>
      <c r="H29" s="34">
        <v>126</v>
      </c>
    </row>
    <row r="30" spans="2:8" ht="13.5" customHeight="1"/>
    <row r="31" spans="2:8" ht="13.5" customHeight="1">
      <c r="B31" s="5" t="s">
        <v>140</v>
      </c>
    </row>
    <row r="32" spans="2:8" ht="13.5" customHeight="1">
      <c r="B32" s="6" t="s">
        <v>82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</row>
    <row r="33" spans="2:8" ht="13.5" customHeight="1">
      <c r="B33" s="6" t="s">
        <v>119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</row>
    <row r="34" spans="2:8" ht="13.5" customHeight="1">
      <c r="B34" s="6" t="s">
        <v>120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</row>
    <row r="35" spans="2:8" ht="13.5" customHeight="1">
      <c r="B35" s="6" t="s">
        <v>121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</row>
    <row r="36" spans="2:8" ht="13.5" customHeight="1">
      <c r="B36" s="6" t="s">
        <v>122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</row>
    <row r="37" spans="2:8" ht="13.5" customHeight="1"/>
    <row r="38" spans="2:8" ht="13.5" customHeight="1">
      <c r="B38" s="5" t="s">
        <v>141</v>
      </c>
    </row>
    <row r="39" spans="2:8" ht="13.5" customHeight="1">
      <c r="B39" s="6" t="s">
        <v>82</v>
      </c>
      <c r="D39" s="34">
        <v>28</v>
      </c>
      <c r="E39" s="34">
        <v>28</v>
      </c>
      <c r="F39" s="34">
        <v>28</v>
      </c>
      <c r="G39" s="34">
        <v>28</v>
      </c>
      <c r="H39" s="34">
        <v>28</v>
      </c>
    </row>
    <row r="40" spans="2:8" ht="13.5" customHeight="1">
      <c r="B40" s="6" t="s">
        <v>119</v>
      </c>
      <c r="D40" s="34">
        <v>28</v>
      </c>
      <c r="E40" s="34">
        <v>29</v>
      </c>
      <c r="F40" s="34">
        <v>30</v>
      </c>
      <c r="G40" s="34">
        <v>30</v>
      </c>
      <c r="H40" s="34">
        <v>30</v>
      </c>
    </row>
    <row r="41" spans="2:8" ht="13.5" customHeight="1">
      <c r="B41" s="6" t="s">
        <v>120</v>
      </c>
      <c r="D41" s="34">
        <v>28</v>
      </c>
      <c r="E41" s="34">
        <v>28</v>
      </c>
      <c r="F41" s="34">
        <v>28</v>
      </c>
      <c r="G41" s="34">
        <v>28</v>
      </c>
      <c r="H41" s="34">
        <v>28</v>
      </c>
    </row>
    <row r="42" spans="2:8" ht="13.5" customHeight="1">
      <c r="B42" s="6" t="s">
        <v>121</v>
      </c>
      <c r="D42" s="34">
        <v>28</v>
      </c>
      <c r="E42" s="34">
        <v>27</v>
      </c>
      <c r="F42" s="34">
        <v>27</v>
      </c>
      <c r="G42" s="34">
        <v>28</v>
      </c>
      <c r="H42" s="34">
        <v>28</v>
      </c>
    </row>
    <row r="43" spans="2:8" ht="13.5" customHeight="1">
      <c r="B43" s="6" t="s">
        <v>122</v>
      </c>
      <c r="D43" s="34">
        <v>27</v>
      </c>
      <c r="E43" s="34">
        <v>26</v>
      </c>
      <c r="F43" s="34">
        <v>26</v>
      </c>
      <c r="G43" s="34">
        <v>27</v>
      </c>
      <c r="H43" s="34">
        <v>27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1:Q28"/>
  <sheetViews>
    <sheetView topLeftCell="A9" zoomScaleNormal="100" workbookViewId="0"/>
  </sheetViews>
  <sheetFormatPr defaultColWidth="8.54296875" defaultRowHeight="13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1" spans="2:17" ht="13.5" customHeight="1"/>
    <row r="2" spans="2:17" ht="18" customHeight="1">
      <c r="B2" s="4" t="s">
        <v>142</v>
      </c>
    </row>
    <row r="3" spans="2:17" ht="13.5" customHeight="1">
      <c r="B3" s="3" t="s">
        <v>143</v>
      </c>
    </row>
    <row r="4" spans="2:17" ht="27.75" customHeight="1">
      <c r="B4" s="12" t="s">
        <v>3</v>
      </c>
      <c r="C4" s="12" t="s">
        <v>5</v>
      </c>
      <c r="D4" s="12" t="s">
        <v>144</v>
      </c>
      <c r="E4" s="12" t="s">
        <v>145</v>
      </c>
      <c r="F4" s="12" t="s">
        <v>146</v>
      </c>
      <c r="G4" s="12" t="s">
        <v>147</v>
      </c>
      <c r="H4" s="12" t="s">
        <v>148</v>
      </c>
      <c r="I4" s="12" t="s">
        <v>149</v>
      </c>
      <c r="J4" s="12" t="s">
        <v>150</v>
      </c>
      <c r="K4" s="12" t="s">
        <v>151</v>
      </c>
      <c r="L4" s="12" t="s">
        <v>152</v>
      </c>
      <c r="M4" s="12" t="s">
        <v>153</v>
      </c>
      <c r="N4" s="12" t="s">
        <v>154</v>
      </c>
      <c r="O4" s="12" t="s">
        <v>155</v>
      </c>
      <c r="P4" s="12" t="s">
        <v>156</v>
      </c>
      <c r="Q4" s="12" t="s">
        <v>157</v>
      </c>
    </row>
    <row r="5" spans="2:17" ht="13.5" customHeight="1">
      <c r="B5" s="6" t="s">
        <v>4</v>
      </c>
      <c r="C5" t="s">
        <v>158</v>
      </c>
      <c r="D5" s="35">
        <f>'Executive Summary'!C9*C23/1000000</f>
        <v>58911.37384</v>
      </c>
      <c r="E5" s="35">
        <f>D5+C24</f>
        <v>58695.37384</v>
      </c>
      <c r="F5" s="35">
        <v>33605</v>
      </c>
      <c r="G5" s="35">
        <v>4000</v>
      </c>
      <c r="H5" s="35">
        <v>3545</v>
      </c>
      <c r="I5" s="35">
        <v>2802</v>
      </c>
      <c r="J5" s="36">
        <f>IFERROR(E5/G5,"")</f>
        <v>14.673843460000001</v>
      </c>
      <c r="K5" s="36">
        <f>IFERROR(E5/F5,"")</f>
        <v>1.7466262115756583</v>
      </c>
      <c r="L5" s="36">
        <f>IFERROR(D5/I5,"")</f>
        <v>21.02475868665239</v>
      </c>
      <c r="M5" s="36">
        <f>IFERROR(D5/P5,"")</f>
        <v>3.179071493173601</v>
      </c>
      <c r="N5" s="37">
        <f>IFERROR(H5/F5,"")</f>
        <v>0.10549025442642464</v>
      </c>
      <c r="O5" s="37">
        <f>IFERROR(I5/P5,"")</f>
        <v>0.15120608709729641</v>
      </c>
      <c r="P5" s="35">
        <v>18531</v>
      </c>
    </row>
    <row r="6" spans="2:17" ht="13.5" customHeight="1">
      <c r="B6" s="6" t="s">
        <v>159</v>
      </c>
      <c r="C6" t="s">
        <v>160</v>
      </c>
      <c r="D6" s="35">
        <v>142888</v>
      </c>
      <c r="E6" s="35">
        <v>163324</v>
      </c>
      <c r="F6" s="35">
        <v>35302</v>
      </c>
      <c r="G6" s="35">
        <v>7335</v>
      </c>
      <c r="H6" s="35">
        <v>-404</v>
      </c>
      <c r="I6" s="35">
        <v>216</v>
      </c>
      <c r="J6" s="36">
        <f>IFERROR(E6/G6,"")</f>
        <v>22.266394001363327</v>
      </c>
      <c r="K6" s="36">
        <f>IFERROR(E6/F6,"")</f>
        <v>4.6264800861141016</v>
      </c>
      <c r="L6" s="36">
        <f>IFERROR(D6/I6,"")</f>
        <v>661.51851851851848</v>
      </c>
      <c r="M6" s="36">
        <f>IFERROR(D6/P6,"")</f>
        <v>4.7469519285073583</v>
      </c>
      <c r="N6" s="37">
        <f>IFERROR(H6/F6,"")</f>
        <v>-1.1444110815251261E-2</v>
      </c>
      <c r="O6" s="37">
        <f>IFERROR(I6/P6,"")</f>
        <v>7.1758413341749443E-3</v>
      </c>
      <c r="P6" s="35">
        <v>30101</v>
      </c>
    </row>
    <row r="7" spans="2:17" ht="13.5" customHeight="1">
      <c r="B7" s="6" t="s">
        <v>161</v>
      </c>
      <c r="C7" t="s">
        <v>162</v>
      </c>
      <c r="D7" s="35">
        <v>183461</v>
      </c>
      <c r="E7" s="35">
        <v>178442</v>
      </c>
      <c r="F7" s="35">
        <v>78548</v>
      </c>
      <c r="G7" s="35">
        <v>12989</v>
      </c>
      <c r="H7" s="35">
        <v>8225</v>
      </c>
      <c r="I7" s="35">
        <v>5563</v>
      </c>
      <c r="J7" s="36">
        <f>IFERROR(E7/G7,"")</f>
        <v>13.737932096389253</v>
      </c>
      <c r="K7" s="36">
        <f>IFERROR(E7/F7,"")</f>
        <v>2.2717573967510312</v>
      </c>
      <c r="L7" s="36">
        <f>IFERROR(D7/I7,"")</f>
        <v>32.978788423512491</v>
      </c>
      <c r="M7" s="36">
        <f>IFERROR(D7/P7,"")</f>
        <v>13.207184507954791</v>
      </c>
      <c r="N7" s="37">
        <f>IFERROR(H7/F7,"")</f>
        <v>0.10471304170698172</v>
      </c>
      <c r="O7" s="37">
        <f>IFERROR(I7/P7,"")</f>
        <v>0.40047512778057737</v>
      </c>
      <c r="P7" s="35">
        <v>13891</v>
      </c>
    </row>
    <row r="8" spans="2:17" ht="13.5" customHeight="1">
      <c r="B8" s="6" t="s">
        <v>163</v>
      </c>
      <c r="C8" t="s">
        <v>164</v>
      </c>
      <c r="D8" s="35">
        <v>599553</v>
      </c>
      <c r="E8" s="35">
        <v>596728</v>
      </c>
      <c r="F8" s="35">
        <v>345395</v>
      </c>
      <c r="G8" s="35">
        <v>67509</v>
      </c>
      <c r="H8" s="35">
        <v>34835</v>
      </c>
      <c r="I8" s="35">
        <v>24188</v>
      </c>
      <c r="J8" s="36">
        <f>IFERROR(E8/G8,"")</f>
        <v>8.8392362499814841</v>
      </c>
      <c r="K8" s="36">
        <f>IFERROR(E8/F8,"")</f>
        <v>1.7276683217765167</v>
      </c>
      <c r="L8" s="36">
        <f>IFERROR(D8/I8,"")</f>
        <v>24.787208533156939</v>
      </c>
      <c r="M8" s="36">
        <f>IFERROR(D8/P8,"")</f>
        <v>3.7944711310258405</v>
      </c>
      <c r="N8" s="37">
        <f>IFERROR(H8/F8,"")</f>
        <v>0.10085554220530117</v>
      </c>
      <c r="O8" s="37">
        <f>IFERROR(I8/P8,"")</f>
        <v>0.15308182548874416</v>
      </c>
      <c r="P8" s="35">
        <v>158007</v>
      </c>
    </row>
    <row r="9" spans="2:17" ht="13.5" customHeight="1">
      <c r="B9" s="6" t="s">
        <v>165</v>
      </c>
      <c r="C9" t="s">
        <v>166</v>
      </c>
      <c r="D9" s="35">
        <v>14966</v>
      </c>
      <c r="E9" s="35">
        <v>10354</v>
      </c>
      <c r="F9" s="35">
        <v>15290</v>
      </c>
      <c r="G9" s="35">
        <v>1750</v>
      </c>
      <c r="H9" s="35">
        <v>811</v>
      </c>
      <c r="I9" s="35">
        <v>300</v>
      </c>
      <c r="J9" s="36">
        <f>IFERROR(E9/G9,"")</f>
        <v>5.9165714285714284</v>
      </c>
      <c r="K9" s="36">
        <f>IFERROR(E9/F9,"")</f>
        <v>0.67717462393721384</v>
      </c>
      <c r="L9" s="36">
        <f>IFERROR(D9/I9,"")</f>
        <v>49.886666666666663</v>
      </c>
      <c r="M9" s="36">
        <f>IFERROR(D9/P9,"")</f>
        <v>1.7043616900125271</v>
      </c>
      <c r="N9" s="37">
        <f>IFERROR(H9/F9,"")</f>
        <v>5.3041203400915629E-2</v>
      </c>
      <c r="O9" s="37">
        <f>IFERROR(I9/P9,"")</f>
        <v>3.4164673727365903E-2</v>
      </c>
      <c r="P9" s="35">
        <v>8781</v>
      </c>
    </row>
    <row r="10" spans="2:17" ht="13.5" customHeight="1"/>
    <row r="11" spans="2:17" ht="13.5" customHeight="1"/>
    <row r="12" spans="2:17" ht="13.5" customHeight="1"/>
    <row r="13" spans="2:17" ht="13.5" customHeight="1"/>
    <row r="14" spans="2:17" ht="13.5" customHeight="1">
      <c r="B14" s="5" t="s">
        <v>167</v>
      </c>
    </row>
    <row r="15" spans="2:17" ht="13.5" customHeight="1">
      <c r="B15" s="6" t="s">
        <v>168</v>
      </c>
      <c r="D15" s="36">
        <f t="shared" ref="D15:I15" si="0">PERCENTILE(J6:J9,0.25)</f>
        <v>8.1085700446289692</v>
      </c>
      <c r="E15" s="36">
        <f t="shared" si="0"/>
        <v>1.465044897316691</v>
      </c>
      <c r="F15" s="36">
        <f t="shared" si="0"/>
        <v>30.930893450923602</v>
      </c>
      <c r="G15" s="36">
        <f t="shared" si="0"/>
        <v>3.2719437707725123</v>
      </c>
      <c r="H15" s="37">
        <f t="shared" si="0"/>
        <v>3.691987484687391E-2</v>
      </c>
      <c r="I15" s="37">
        <f t="shared" si="0"/>
        <v>2.7417465629068164E-2</v>
      </c>
    </row>
    <row r="16" spans="2:17" ht="13.5" customHeight="1">
      <c r="B16" s="6" t="s">
        <v>169</v>
      </c>
      <c r="D16" s="36">
        <f t="shared" ref="D16:I16" si="1">MEDIAN(J6:J9)</f>
        <v>11.288584173185368</v>
      </c>
      <c r="E16" s="36">
        <f t="shared" si="1"/>
        <v>1.9997128592637741</v>
      </c>
      <c r="F16" s="36">
        <f t="shared" si="1"/>
        <v>41.432727545089577</v>
      </c>
      <c r="G16" s="36">
        <f t="shared" si="1"/>
        <v>4.270711529766599</v>
      </c>
      <c r="H16" s="37">
        <f t="shared" si="1"/>
        <v>7.69483728031084E-2</v>
      </c>
      <c r="I16" s="37">
        <f t="shared" si="1"/>
        <v>9.3623249608055042E-2</v>
      </c>
    </row>
    <row r="17" spans="2:9" ht="13.5" customHeight="1">
      <c r="B17" s="6" t="s">
        <v>170</v>
      </c>
      <c r="D17" s="36">
        <f t="shared" ref="D17:I17" si="2">PERCENTILE(J6:J9,0.75)</f>
        <v>15.870047572632771</v>
      </c>
      <c r="E17" s="36">
        <f t="shared" si="2"/>
        <v>2.8604380690917988</v>
      </c>
      <c r="F17" s="36">
        <f t="shared" si="2"/>
        <v>202.79462962962961</v>
      </c>
      <c r="G17" s="36">
        <f t="shared" si="2"/>
        <v>6.8620100733692162</v>
      </c>
      <c r="H17" s="37">
        <f t="shared" si="2"/>
        <v>0.1018199170807213</v>
      </c>
      <c r="I17" s="37">
        <f t="shared" si="2"/>
        <v>0.21493015106170246</v>
      </c>
    </row>
    <row r="18" spans="2:9" ht="13.5" customHeight="1"/>
    <row r="19" spans="2:9" ht="13.5" customHeight="1">
      <c r="B19" s="24" t="s">
        <v>171</v>
      </c>
      <c r="C19" s="25"/>
      <c r="D19" s="25"/>
      <c r="E19" s="25"/>
      <c r="F19" s="25"/>
      <c r="G19" s="25"/>
      <c r="H19" s="25"/>
      <c r="I19" s="25"/>
    </row>
    <row r="20" spans="2:9" ht="13.5" customHeight="1">
      <c r="B20" s="5" t="s">
        <v>172</v>
      </c>
    </row>
    <row r="21" spans="2:9" ht="13.5" customHeight="1">
      <c r="B21" s="6" t="s">
        <v>173</v>
      </c>
      <c r="C21" s="7">
        <v>4000</v>
      </c>
    </row>
    <row r="22" spans="2:9" ht="13.5" customHeight="1">
      <c r="B22" s="6" t="s">
        <v>174</v>
      </c>
      <c r="C22" s="7">
        <v>2802</v>
      </c>
    </row>
    <row r="23" spans="2:9" ht="13.5" customHeight="1">
      <c r="B23" s="6" t="s">
        <v>175</v>
      </c>
      <c r="C23" s="17">
        <v>32017051</v>
      </c>
    </row>
    <row r="24" spans="2:9" ht="13.5" customHeight="1">
      <c r="B24" s="6" t="s">
        <v>71</v>
      </c>
      <c r="C24" s="7">
        <v>-216</v>
      </c>
    </row>
    <row r="25" spans="2:9" ht="13.5" customHeight="1"/>
    <row r="26" spans="2:9" ht="13.5" customHeight="1">
      <c r="B26" s="5" t="s">
        <v>176</v>
      </c>
    </row>
    <row r="27" spans="2:9" ht="13.5" customHeight="1">
      <c r="B27" s="6" t="s">
        <v>177</v>
      </c>
      <c r="C27" s="26">
        <f>ROUND((C21*D16-C24)*1000000/C23,0)</f>
        <v>1417</v>
      </c>
    </row>
    <row r="28" spans="2:9" ht="13.5" customHeight="1">
      <c r="B28" s="6" t="s">
        <v>178</v>
      </c>
      <c r="C28" s="26">
        <f>ROUND(C22*F16*1000000/C23,0)</f>
        <v>3626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1:I26"/>
  <sheetViews>
    <sheetView zoomScaleNormal="100" workbookViewId="0"/>
  </sheetViews>
  <sheetFormatPr defaultColWidth="8.54296875" defaultRowHeight="13"/>
  <cols>
    <col min="1" max="1" width="3" customWidth="1"/>
    <col min="2" max="2" width="24" customWidth="1"/>
    <col min="3" max="9" width="14" customWidth="1"/>
  </cols>
  <sheetData>
    <row r="1" spans="2:9" ht="13.5" customHeight="1"/>
    <row r="2" spans="2:9" ht="18" customHeight="1">
      <c r="B2" s="4" t="s">
        <v>179</v>
      </c>
    </row>
    <row r="3" spans="2:9" ht="13.5" customHeight="1">
      <c r="B3" s="6" t="s">
        <v>180</v>
      </c>
      <c r="C3" s="18">
        <f>'DCF Model'!C26</f>
        <v>0.12525000000000003</v>
      </c>
      <c r="E3" s="6" t="s">
        <v>181</v>
      </c>
      <c r="F3" s="18">
        <f>'DCF Model'!C13</f>
        <v>1.4999999999999999E-2</v>
      </c>
      <c r="H3" s="6" t="s">
        <v>182</v>
      </c>
      <c r="I3" s="16">
        <f>'DCF Model'!C14</f>
        <v>8</v>
      </c>
    </row>
    <row r="4" spans="2:9" ht="13.5" customHeight="1"/>
    <row r="5" spans="2:9" ht="13.5" customHeight="1">
      <c r="B5" s="5" t="s">
        <v>183</v>
      </c>
    </row>
    <row r="6" spans="2:9" ht="13.5" customHeight="1">
      <c r="B6" s="38" t="s">
        <v>184</v>
      </c>
      <c r="C6" s="39">
        <f>$F$3-0.0075</f>
        <v>7.4999999999999997E-3</v>
      </c>
      <c r="D6" s="39">
        <f>$F$3-0.005</f>
        <v>9.9999999999999985E-3</v>
      </c>
      <c r="E6" s="39">
        <f>$F$3-0.0025</f>
        <v>1.2499999999999999E-2</v>
      </c>
      <c r="F6" s="39">
        <f>$F$3</f>
        <v>1.4999999999999999E-2</v>
      </c>
      <c r="G6" s="39">
        <f>$F$3+0.0025</f>
        <v>1.7499999999999998E-2</v>
      </c>
      <c r="H6" s="39">
        <f>$F$3+0.005</f>
        <v>0.02</v>
      </c>
      <c r="I6" s="39">
        <f>$F$3+0.0075</f>
        <v>2.2499999999999999E-2</v>
      </c>
    </row>
    <row r="7" spans="2:9" ht="13.5" customHeight="1">
      <c r="B7" s="37">
        <f>$C$3-0.015</f>
        <v>0.11025000000000003</v>
      </c>
      <c r="C7" s="35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354</v>
      </c>
      <c r="D7" s="35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360</v>
      </c>
      <c r="E7" s="35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365</v>
      </c>
      <c r="F7" s="35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371</v>
      </c>
      <c r="G7" s="35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377</v>
      </c>
      <c r="H7" s="35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383</v>
      </c>
      <c r="I7" s="35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390</v>
      </c>
    </row>
    <row r="8" spans="2:9" ht="13.5" customHeight="1">
      <c r="B8" s="37">
        <f>$C$3-0.01</f>
        <v>0.11525000000000003</v>
      </c>
      <c r="C8" s="35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340</v>
      </c>
      <c r="D8" s="35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345</v>
      </c>
      <c r="E8" s="35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350</v>
      </c>
      <c r="F8" s="35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355</v>
      </c>
      <c r="G8" s="35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360</v>
      </c>
      <c r="H8" s="35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366</v>
      </c>
      <c r="I8" s="35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372</v>
      </c>
    </row>
    <row r="9" spans="2:9" ht="13.5" customHeight="1">
      <c r="B9" s="37">
        <f>$C$3-0.005</f>
        <v>0.12025000000000002</v>
      </c>
      <c r="C9" s="35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327</v>
      </c>
      <c r="D9" s="35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331</v>
      </c>
      <c r="E9" s="35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336</v>
      </c>
      <c r="F9" s="35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340</v>
      </c>
      <c r="G9" s="35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345</v>
      </c>
      <c r="H9" s="35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350</v>
      </c>
      <c r="I9" s="35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355</v>
      </c>
    </row>
    <row r="10" spans="2:9" ht="13.5" customHeight="1">
      <c r="B10" s="37">
        <f>$C$3</f>
        <v>0.12525000000000003</v>
      </c>
      <c r="C10" s="35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315</v>
      </c>
      <c r="D10" s="35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319</v>
      </c>
      <c r="E10" s="35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323</v>
      </c>
      <c r="F10" s="35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327</v>
      </c>
      <c r="G10" s="35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331</v>
      </c>
      <c r="H10" s="35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336</v>
      </c>
      <c r="I10" s="35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341</v>
      </c>
    </row>
    <row r="11" spans="2:9" ht="13.5" customHeight="1">
      <c r="B11" s="37">
        <f>$C$3+0.005</f>
        <v>0.13025000000000003</v>
      </c>
      <c r="C11" s="35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304</v>
      </c>
      <c r="D11" s="35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308</v>
      </c>
      <c r="E11" s="35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311</v>
      </c>
      <c r="F11" s="35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315</v>
      </c>
      <c r="G11" s="35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319</v>
      </c>
      <c r="H11" s="35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323</v>
      </c>
      <c r="I11" s="35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327</v>
      </c>
    </row>
    <row r="12" spans="2:9" ht="13.5" customHeight="1">
      <c r="B12" s="37">
        <f>$C$3+0.01</f>
        <v>0.13525000000000004</v>
      </c>
      <c r="C12" s="35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294</v>
      </c>
      <c r="D12" s="35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297</v>
      </c>
      <c r="E12" s="35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300</v>
      </c>
      <c r="F12" s="35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304</v>
      </c>
      <c r="G12" s="35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307</v>
      </c>
      <c r="H12" s="35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311</v>
      </c>
      <c r="I12" s="35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315</v>
      </c>
    </row>
    <row r="13" spans="2:9" ht="13.5" customHeight="1">
      <c r="B13" s="37">
        <f>$C$3+0.015</f>
        <v>0.14025000000000004</v>
      </c>
      <c r="C13" s="35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285</v>
      </c>
      <c r="D13" s="35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288</v>
      </c>
      <c r="E13" s="35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291</v>
      </c>
      <c r="F13" s="35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294</v>
      </c>
      <c r="G13" s="35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297</v>
      </c>
      <c r="H13" s="35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300</v>
      </c>
      <c r="I13" s="35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304</v>
      </c>
    </row>
    <row r="14" spans="2:9" ht="13.5" customHeight="1"/>
    <row r="15" spans="2:9" ht="13.5" customHeight="1"/>
    <row r="16" spans="2:9" ht="13.5" customHeight="1">
      <c r="B16" s="5" t="s">
        <v>185</v>
      </c>
    </row>
    <row r="17" spans="2:9" ht="13.5" customHeight="1">
      <c r="B17" s="38" t="s">
        <v>186</v>
      </c>
      <c r="C17" s="40">
        <f>$I$3-3</f>
        <v>5</v>
      </c>
      <c r="D17" s="40">
        <f>$I$3-2</f>
        <v>6</v>
      </c>
      <c r="E17" s="40">
        <f>$I$3-1</f>
        <v>7</v>
      </c>
      <c r="F17" s="40">
        <f>$I$3</f>
        <v>8</v>
      </c>
      <c r="G17" s="40">
        <f>$I$3+1</f>
        <v>9</v>
      </c>
      <c r="H17" s="40">
        <f>$I$3+2</f>
        <v>10</v>
      </c>
      <c r="I17" s="40">
        <f>$I$3+3</f>
        <v>11</v>
      </c>
    </row>
    <row r="18" spans="2:9" ht="13.5" customHeight="1">
      <c r="B18" s="37">
        <f>$C$3-0.015</f>
        <v>0.11025000000000003</v>
      </c>
      <c r="C18" s="35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400</v>
      </c>
      <c r="D18" s="35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447</v>
      </c>
      <c r="E18" s="35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494</v>
      </c>
      <c r="F18" s="35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541</v>
      </c>
      <c r="G18" s="35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589</v>
      </c>
      <c r="H18" s="35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636</v>
      </c>
      <c r="I18" s="35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683</v>
      </c>
    </row>
    <row r="19" spans="2:9" ht="13.5" customHeight="1">
      <c r="B19" s="37">
        <f>$C$3-0.01</f>
        <v>0.11525000000000003</v>
      </c>
      <c r="C19" s="35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393</v>
      </c>
      <c r="D19" s="35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439</v>
      </c>
      <c r="E19" s="35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485</v>
      </c>
      <c r="F19" s="35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532</v>
      </c>
      <c r="G19" s="35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578</v>
      </c>
      <c r="H19" s="35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624</v>
      </c>
      <c r="I19" s="35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670</v>
      </c>
    </row>
    <row r="20" spans="2:9" ht="13.5" customHeight="1">
      <c r="B20" s="37">
        <f>$C$3-0.005</f>
        <v>0.12025000000000002</v>
      </c>
      <c r="C20" s="35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387</v>
      </c>
      <c r="D20" s="35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432</v>
      </c>
      <c r="E20" s="35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477</v>
      </c>
      <c r="F20" s="35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522</v>
      </c>
      <c r="G20" s="35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567</v>
      </c>
      <c r="H20" s="35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612</v>
      </c>
      <c r="I20" s="35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657</v>
      </c>
    </row>
    <row r="21" spans="2:9" ht="13.5" customHeight="1">
      <c r="B21" s="37">
        <f>$C$3</f>
        <v>0.12525000000000003</v>
      </c>
      <c r="C21" s="35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380</v>
      </c>
      <c r="D21" s="35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424</v>
      </c>
      <c r="E21" s="35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469</v>
      </c>
      <c r="F21" s="35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513</v>
      </c>
      <c r="G21" s="35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557</v>
      </c>
      <c r="H21" s="35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601</v>
      </c>
      <c r="I21" s="35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645</v>
      </c>
    </row>
    <row r="22" spans="2:9" ht="13.5" customHeight="1">
      <c r="B22" s="37">
        <f>$C$3+0.005</f>
        <v>0.13025000000000003</v>
      </c>
      <c r="C22" s="35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374</v>
      </c>
      <c r="D22" s="35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417</v>
      </c>
      <c r="E22" s="35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461</v>
      </c>
      <c r="F22" s="35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504</v>
      </c>
      <c r="G22" s="35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547</v>
      </c>
      <c r="H22" s="35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590</v>
      </c>
      <c r="I22" s="35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633</v>
      </c>
    </row>
    <row r="23" spans="2:9" ht="13.5" customHeight="1">
      <c r="B23" s="37">
        <f>$C$3+0.01</f>
        <v>0.13525000000000004</v>
      </c>
      <c r="C23" s="35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368</v>
      </c>
      <c r="D23" s="35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410</v>
      </c>
      <c r="E23" s="35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453</v>
      </c>
      <c r="F23" s="35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495</v>
      </c>
      <c r="G23" s="35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537</v>
      </c>
      <c r="H23" s="35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579</v>
      </c>
      <c r="I23" s="35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622</v>
      </c>
    </row>
    <row r="24" spans="2:9" ht="13.5" customHeight="1">
      <c r="B24" s="37">
        <f>$C$3+0.015</f>
        <v>0.14025000000000004</v>
      </c>
      <c r="C24" s="35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362</v>
      </c>
      <c r="D24" s="35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404</v>
      </c>
      <c r="E24" s="35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445</v>
      </c>
      <c r="F24" s="35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486</v>
      </c>
      <c r="G24" s="35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528</v>
      </c>
      <c r="H24" s="35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569</v>
      </c>
      <c r="I24" s="35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610</v>
      </c>
    </row>
    <row r="25" spans="2:9" ht="13.5" customHeight="1"/>
    <row r="26" spans="2:9" ht="13.5" customHeight="1">
      <c r="B26" s="2" t="s">
        <v>187</v>
      </c>
      <c r="C26" s="2"/>
      <c r="D26" s="2"/>
      <c r="E26" s="2"/>
      <c r="F26" s="2"/>
      <c r="G26" s="2"/>
      <c r="H26" s="2"/>
      <c r="I26" s="2"/>
    </row>
  </sheetData>
  <mergeCells count="1">
    <mergeCell ref="B26:I26"/>
  </mergeCells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1:G40"/>
  <sheetViews>
    <sheetView zoomScaleNormal="100" workbookViewId="0"/>
  </sheetViews>
  <sheetFormatPr defaultColWidth="8.54296875" defaultRowHeight="13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1" spans="2:7" ht="13.5" customHeight="1"/>
    <row r="2" spans="2:7" ht="18" customHeight="1">
      <c r="B2" s="4" t="s">
        <v>188</v>
      </c>
    </row>
    <row r="3" spans="2:7" ht="13.5" customHeight="1"/>
    <row r="4" spans="2:7" ht="13.5" customHeight="1">
      <c r="B4" s="41" t="s">
        <v>189</v>
      </c>
      <c r="C4" s="41" t="s">
        <v>190</v>
      </c>
      <c r="D4" s="41" t="s">
        <v>191</v>
      </c>
      <c r="E4" s="41" t="s">
        <v>192</v>
      </c>
      <c r="F4" s="41" t="s">
        <v>193</v>
      </c>
      <c r="G4" s="41" t="s">
        <v>194</v>
      </c>
    </row>
    <row r="5" spans="2:7" ht="13.5" customHeight="1">
      <c r="B5" t="s">
        <v>195</v>
      </c>
      <c r="C5" t="s">
        <v>196</v>
      </c>
      <c r="D5" t="s">
        <v>197</v>
      </c>
      <c r="E5" s="42" t="s">
        <v>198</v>
      </c>
      <c r="F5" t="s">
        <v>196</v>
      </c>
      <c r="G5" t="s">
        <v>199</v>
      </c>
    </row>
    <row r="6" spans="2:7" ht="13.5" customHeight="1">
      <c r="B6" s="8" t="s">
        <v>195</v>
      </c>
      <c r="C6" s="8" t="s">
        <v>200</v>
      </c>
      <c r="D6" s="43" t="s">
        <v>201</v>
      </c>
      <c r="E6" s="43" t="s">
        <v>202</v>
      </c>
      <c r="F6" s="8" t="s">
        <v>196</v>
      </c>
      <c r="G6" s="43" t="s">
        <v>203</v>
      </c>
    </row>
    <row r="7" spans="2:7" ht="13.5" customHeight="1">
      <c r="B7" s="8" t="s">
        <v>195</v>
      </c>
      <c r="C7" s="8" t="s">
        <v>204</v>
      </c>
      <c r="D7" s="8" t="s">
        <v>205</v>
      </c>
      <c r="E7" s="8" t="s">
        <v>206</v>
      </c>
      <c r="F7" s="8" t="s">
        <v>196</v>
      </c>
      <c r="G7" s="43" t="s">
        <v>207</v>
      </c>
    </row>
    <row r="8" spans="2:7" ht="13.5" customHeight="1">
      <c r="B8" s="8" t="s">
        <v>195</v>
      </c>
      <c r="C8" s="8" t="s">
        <v>208</v>
      </c>
      <c r="D8" s="43" t="s">
        <v>209</v>
      </c>
      <c r="E8" s="8" t="s">
        <v>210</v>
      </c>
      <c r="F8" s="8" t="s">
        <v>196</v>
      </c>
      <c r="G8" s="43" t="s">
        <v>207</v>
      </c>
    </row>
    <row r="9" spans="2:7" ht="13.5" customHeight="1">
      <c r="B9" t="s">
        <v>211</v>
      </c>
      <c r="C9" t="s">
        <v>212</v>
      </c>
      <c r="D9" s="44" t="s">
        <v>213</v>
      </c>
      <c r="E9" s="44" t="s">
        <v>214</v>
      </c>
      <c r="F9" t="s">
        <v>215</v>
      </c>
      <c r="G9" s="44" t="s">
        <v>216</v>
      </c>
    </row>
    <row r="10" spans="2:7" ht="13.5" customHeight="1">
      <c r="B10" t="s">
        <v>211</v>
      </c>
      <c r="C10" t="s">
        <v>217</v>
      </c>
      <c r="D10" s="44" t="s">
        <v>218</v>
      </c>
      <c r="E10" s="44" t="s">
        <v>219</v>
      </c>
      <c r="F10" t="s">
        <v>220</v>
      </c>
      <c r="G10" s="44" t="s">
        <v>216</v>
      </c>
    </row>
    <row r="11" spans="2:7" ht="13.5" customHeight="1">
      <c r="B11" t="s">
        <v>211</v>
      </c>
      <c r="C11" t="s">
        <v>221</v>
      </c>
      <c r="D11" t="s">
        <v>222</v>
      </c>
      <c r="E11" t="s">
        <v>223</v>
      </c>
      <c r="F11" t="s">
        <v>224</v>
      </c>
      <c r="G11" s="44" t="s">
        <v>216</v>
      </c>
    </row>
    <row r="12" spans="2:7" ht="13.5" customHeight="1">
      <c r="B12" s="10" t="s">
        <v>225</v>
      </c>
    </row>
    <row r="13" spans="2:7" ht="13.5" customHeight="1">
      <c r="B13" s="12" t="s">
        <v>226</v>
      </c>
      <c r="C13" s="12" t="s">
        <v>227</v>
      </c>
    </row>
    <row r="14" spans="2:7" ht="13.5" customHeight="1">
      <c r="B14" s="6" t="s">
        <v>228</v>
      </c>
      <c r="C14" t="s">
        <v>229</v>
      </c>
    </row>
    <row r="15" spans="2:7" ht="13.5" customHeight="1">
      <c r="B15" s="6" t="s">
        <v>230</v>
      </c>
      <c r="C15" t="s">
        <v>231</v>
      </c>
    </row>
    <row r="16" spans="2:7" ht="13.5" customHeight="1">
      <c r="B16" s="6" t="s">
        <v>232</v>
      </c>
      <c r="C16" t="s">
        <v>233</v>
      </c>
    </row>
    <row r="17" spans="2:3" ht="13.5" customHeight="1">
      <c r="B17" s="6" t="s">
        <v>234</v>
      </c>
      <c r="C17" t="s">
        <v>4</v>
      </c>
    </row>
    <row r="18" spans="2:3" ht="13.5" customHeight="1">
      <c r="B18" s="6" t="s">
        <v>235</v>
      </c>
      <c r="C18" t="s">
        <v>195</v>
      </c>
    </row>
    <row r="19" spans="2:3" ht="13.5" customHeight="1">
      <c r="B19" s="6" t="s">
        <v>236</v>
      </c>
      <c r="C19" t="s">
        <v>237</v>
      </c>
    </row>
    <row r="20" spans="2:3" ht="13.5" customHeight="1">
      <c r="B20" s="6" t="s">
        <v>238</v>
      </c>
      <c r="C20" t="s">
        <v>239</v>
      </c>
    </row>
    <row r="21" spans="2:3" ht="13.5" customHeight="1">
      <c r="B21" s="6" t="s">
        <v>240</v>
      </c>
      <c r="C21" t="s">
        <v>241</v>
      </c>
    </row>
    <row r="22" spans="2:3" ht="13.5" customHeight="1">
      <c r="B22" s="6" t="s">
        <v>242</v>
      </c>
      <c r="C22" t="s">
        <v>243</v>
      </c>
    </row>
    <row r="23" spans="2:3" ht="13.5" customHeight="1">
      <c r="B23" s="6" t="s">
        <v>244</v>
      </c>
      <c r="C23" t="s">
        <v>245</v>
      </c>
    </row>
    <row r="24" spans="2:3" ht="13.5" customHeight="1">
      <c r="B24" s="6" t="s">
        <v>246</v>
      </c>
      <c r="C24" t="s">
        <v>241</v>
      </c>
    </row>
    <row r="25" spans="2:3" ht="13.5" customHeight="1">
      <c r="B25" s="6" t="s">
        <v>247</v>
      </c>
      <c r="C25" t="s">
        <v>237</v>
      </c>
    </row>
    <row r="26" spans="2:3" ht="13.5" customHeight="1">
      <c r="B26" s="6" t="s">
        <v>248</v>
      </c>
      <c r="C26" t="s">
        <v>249</v>
      </c>
    </row>
    <row r="27" spans="2:3" ht="13.5" customHeight="1">
      <c r="B27" s="6" t="s">
        <v>250</v>
      </c>
      <c r="C27" t="s">
        <v>251</v>
      </c>
    </row>
    <row r="28" spans="2:3" ht="13.5" customHeight="1">
      <c r="B28" s="6" t="s">
        <v>252</v>
      </c>
      <c r="C28" t="s">
        <v>229</v>
      </c>
    </row>
    <row r="29" spans="2:3" ht="13.5" customHeight="1">
      <c r="B29" s="6" t="s">
        <v>253</v>
      </c>
      <c r="C29" t="s">
        <v>254</v>
      </c>
    </row>
    <row r="30" spans="2:3" ht="13.5" customHeight="1">
      <c r="B30" s="6" t="s">
        <v>255</v>
      </c>
      <c r="C30" t="s">
        <v>256</v>
      </c>
    </row>
    <row r="31" spans="2:3" ht="13.5" customHeight="1">
      <c r="B31" s="6" t="s">
        <v>257</v>
      </c>
      <c r="C31" t="s">
        <v>258</v>
      </c>
    </row>
    <row r="32" spans="2:3" ht="13.5" customHeight="1">
      <c r="B32" s="6" t="s">
        <v>259</v>
      </c>
      <c r="C32" t="s">
        <v>260</v>
      </c>
    </row>
    <row r="33" spans="2:3" ht="13.5" customHeight="1">
      <c r="B33" s="6" t="s">
        <v>261</v>
      </c>
      <c r="C33" t="s">
        <v>262</v>
      </c>
    </row>
    <row r="34" spans="2:3" ht="13.5" customHeight="1">
      <c r="B34" s="6" t="s">
        <v>263</v>
      </c>
      <c r="C34" t="s">
        <v>264</v>
      </c>
    </row>
    <row r="35" spans="2:3" ht="13.5" customHeight="1">
      <c r="B35" s="6" t="s">
        <v>265</v>
      </c>
      <c r="C35" t="s">
        <v>266</v>
      </c>
    </row>
    <row r="36" spans="2:3" ht="13.5" customHeight="1">
      <c r="B36" s="6" t="s">
        <v>267</v>
      </c>
      <c r="C36" t="s">
        <v>268</v>
      </c>
    </row>
    <row r="37" spans="2:3" ht="13.5" customHeight="1">
      <c r="B37" s="6" t="s">
        <v>269</v>
      </c>
      <c r="C37" t="s">
        <v>270</v>
      </c>
    </row>
    <row r="38" spans="2:3" ht="13.5" customHeight="1">
      <c r="B38" s="6" t="s">
        <v>271</v>
      </c>
      <c r="C38" t="s">
        <v>272</v>
      </c>
    </row>
    <row r="39" spans="2:3" ht="13.5" customHeight="1">
      <c r="B39" s="6" t="s">
        <v>273</v>
      </c>
      <c r="C39" t="s">
        <v>274</v>
      </c>
    </row>
    <row r="40" spans="2:3" ht="13.5" customHeight="1">
      <c r="B40" s="6" t="s">
        <v>275</v>
      </c>
      <c r="C40" t="s">
        <v>158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良亮 佐藤</cp:lastModifiedBy>
  <cp:revision>0</cp:revision>
  <dcterms:created xsi:type="dcterms:W3CDTF">2026-08-22T06:39:02Z</dcterms:created>
  <dcterms:modified xsi:type="dcterms:W3CDTF">2026-08-23T04:22:18Z</dcterms:modified>
  <dc:language>en-US</dc:language>
</cp:coreProperties>
</file>