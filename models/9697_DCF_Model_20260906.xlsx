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DF514094-879D-407F-B9D6-EED1284348EF}"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9" i="6"/>
  <c r="N9" i="6"/>
  <c r="M9" i="6"/>
  <c r="L9" i="6"/>
  <c r="K9" i="6"/>
  <c r="J9" i="6"/>
  <c r="O8" i="6"/>
  <c r="N8" i="6"/>
  <c r="M8" i="6"/>
  <c r="L8" i="6"/>
  <c r="K8" i="6"/>
  <c r="J8" i="6"/>
  <c r="O7" i="6"/>
  <c r="N7" i="6"/>
  <c r="M7" i="6"/>
  <c r="L7" i="6"/>
  <c r="K7" i="6"/>
  <c r="J7" i="6"/>
  <c r="O6" i="6"/>
  <c r="N6" i="6"/>
  <c r="H15" i="6" s="1"/>
  <c r="M6" i="6"/>
  <c r="G15" i="6" s="1"/>
  <c r="L6" i="6"/>
  <c r="K6" i="6"/>
  <c r="J6" i="6"/>
  <c r="O5" i="6"/>
  <c r="N5" i="6"/>
  <c r="D5" i="6"/>
  <c r="L5" i="6" s="1"/>
  <c r="C16" i="5"/>
  <c r="C14" i="5"/>
  <c r="C18" i="5" s="1"/>
  <c r="C7" i="5"/>
  <c r="C6" i="5"/>
  <c r="C5" i="5"/>
  <c r="C13" i="4"/>
  <c r="C12" i="4"/>
  <c r="C9" i="4"/>
  <c r="C7" i="4"/>
  <c r="C6" i="4"/>
  <c r="D27" i="3"/>
  <c r="E7" i="5" s="1"/>
  <c r="C25" i="3"/>
  <c r="C24" i="3"/>
  <c r="C23" i="3"/>
  <c r="C26" i="3" s="1"/>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I17" i="6" l="1"/>
  <c r="D17" i="6"/>
  <c r="I16" i="6"/>
  <c r="E15" i="6"/>
  <c r="F15" i="6"/>
  <c r="C3" i="7"/>
  <c r="G36" i="4"/>
  <c r="C11" i="4"/>
  <c r="G46" i="3"/>
  <c r="F36" i="4"/>
  <c r="F46" i="3"/>
  <c r="E46" i="3"/>
  <c r="E36" i="4"/>
  <c r="D36" i="4"/>
  <c r="D46" i="3"/>
  <c r="H36" i="4"/>
  <c r="C46" i="3"/>
  <c r="E30" i="3"/>
  <c r="C32" i="3"/>
  <c r="D6" i="5"/>
  <c r="F7" i="5"/>
  <c r="M5" i="6"/>
  <c r="I15" i="6"/>
  <c r="E17" i="6"/>
  <c r="I6" i="7"/>
  <c r="F30" i="3"/>
  <c r="D32" i="3"/>
  <c r="E6" i="5"/>
  <c r="G7" i="5"/>
  <c r="D16" i="6"/>
  <c r="F17" i="6"/>
  <c r="C17" i="7"/>
  <c r="C30" i="3"/>
  <c r="C33" i="3" s="1"/>
  <c r="H5" i="5"/>
  <c r="G30" i="3"/>
  <c r="E32" i="3"/>
  <c r="C8" i="4"/>
  <c r="C10" i="4" s="1"/>
  <c r="D5" i="5"/>
  <c r="F6" i="5"/>
  <c r="H7" i="5"/>
  <c r="E16" i="6"/>
  <c r="G17" i="6"/>
  <c r="C6" i="7"/>
  <c r="D17" i="7"/>
  <c r="E5" i="5"/>
  <c r="G6" i="5"/>
  <c r="D15" i="6"/>
  <c r="F16" i="6"/>
  <c r="C28" i="6" s="1"/>
  <c r="C19" i="1" s="1"/>
  <c r="D19" i="1" s="1"/>
  <c r="H17" i="6"/>
  <c r="D6" i="7"/>
  <c r="E17" i="7"/>
  <c r="C31" i="3"/>
  <c r="F32" i="3"/>
  <c r="D31" i="3"/>
  <c r="G32" i="3"/>
  <c r="F5" i="5"/>
  <c r="H6" i="5"/>
  <c r="E5" i="6"/>
  <c r="G16" i="6"/>
  <c r="E6" i="7"/>
  <c r="F17" i="7"/>
  <c r="E31" i="3"/>
  <c r="G5" i="5"/>
  <c r="H16" i="6"/>
  <c r="F6" i="7"/>
  <c r="G17" i="7"/>
  <c r="G6" i="7"/>
  <c r="H17" i="7"/>
  <c r="F31" i="3"/>
  <c r="D7" i="5"/>
  <c r="D30" i="3"/>
  <c r="G31" i="3"/>
  <c r="K5" i="6" l="1"/>
  <c r="J5" i="6"/>
  <c r="F45" i="4"/>
  <c r="F43" i="4"/>
  <c r="F46" i="4"/>
  <c r="F40" i="4"/>
  <c r="F50" i="4" s="1"/>
  <c r="F55" i="4" s="1"/>
  <c r="F44" i="4"/>
  <c r="F38" i="4"/>
  <c r="F39" i="4"/>
  <c r="F41" i="4"/>
  <c r="D9" i="5"/>
  <c r="D12" i="5" s="1"/>
  <c r="C42" i="3"/>
  <c r="C34" i="3"/>
  <c r="D10" i="5" s="1"/>
  <c r="D33" i="3"/>
  <c r="C37" i="3"/>
  <c r="H43" i="4"/>
  <c r="H48" i="4" s="1"/>
  <c r="H53" i="4" s="1"/>
  <c r="H40" i="4"/>
  <c r="H44" i="4"/>
  <c r="H38" i="4"/>
  <c r="H41" i="4"/>
  <c r="H46" i="4"/>
  <c r="H45" i="4"/>
  <c r="H50" i="4" s="1"/>
  <c r="H55" i="4" s="1"/>
  <c r="H39" i="4"/>
  <c r="H49" i="4" s="1"/>
  <c r="H54" i="4" s="1"/>
  <c r="G39" i="4"/>
  <c r="G46" i="4"/>
  <c r="G40" i="4"/>
  <c r="G44" i="4"/>
  <c r="G38" i="4"/>
  <c r="G43" i="4"/>
  <c r="G41" i="4"/>
  <c r="G45" i="4"/>
  <c r="G50" i="4" s="1"/>
  <c r="G55" i="4" s="1"/>
  <c r="C27" i="6"/>
  <c r="C18" i="1" s="1"/>
  <c r="D18" i="1" s="1"/>
  <c r="C74" i="4"/>
  <c r="B13" i="7"/>
  <c r="B12" i="7"/>
  <c r="B11" i="7"/>
  <c r="B10" i="7"/>
  <c r="B9" i="7"/>
  <c r="B8" i="7"/>
  <c r="B7" i="7"/>
  <c r="B24" i="7"/>
  <c r="B23" i="7"/>
  <c r="B22" i="7"/>
  <c r="B21" i="7"/>
  <c r="B20" i="7"/>
  <c r="B19" i="7"/>
  <c r="B18" i="7"/>
  <c r="D38" i="4"/>
  <c r="D41" i="4"/>
  <c r="D45" i="4"/>
  <c r="D39" i="4"/>
  <c r="D43" i="4"/>
  <c r="D46" i="4"/>
  <c r="D51" i="4" s="1"/>
  <c r="D56" i="4" s="1"/>
  <c r="D40" i="4"/>
  <c r="D50" i="4" s="1"/>
  <c r="D55" i="4" s="1"/>
  <c r="D44" i="4"/>
  <c r="F49" i="4"/>
  <c r="C24" i="4"/>
  <c r="C25" i="4" s="1"/>
  <c r="C71" i="4"/>
  <c r="C70" i="4"/>
  <c r="H51" i="4"/>
  <c r="H56" i="4" s="1"/>
  <c r="G51" i="4"/>
  <c r="G56" i="4" s="1"/>
  <c r="F48" i="4"/>
  <c r="F53" i="4" s="1"/>
  <c r="F51" i="4"/>
  <c r="F56" i="4" s="1"/>
  <c r="E41" i="4"/>
  <c r="E39" i="4"/>
  <c r="E43" i="4"/>
  <c r="E46" i="4"/>
  <c r="E40" i="4"/>
  <c r="E44" i="4"/>
  <c r="E45" i="4"/>
  <c r="E38" i="4"/>
  <c r="E50" i="4" l="1"/>
  <c r="E55" i="4" s="1"/>
  <c r="G48" i="4"/>
  <c r="G53" i="4" s="1"/>
  <c r="D48" i="4"/>
  <c r="D53" i="4" s="1"/>
  <c r="E49" i="4"/>
  <c r="E54" i="4" s="1"/>
  <c r="G49" i="4"/>
  <c r="G54" i="4" s="1"/>
  <c r="D49" i="4"/>
  <c r="D54" i="4" s="1"/>
  <c r="E51" i="4"/>
  <c r="E56" i="4" s="1"/>
  <c r="E48" i="4"/>
  <c r="E53" i="4" s="1"/>
  <c r="E33" i="3"/>
  <c r="E9" i="5"/>
  <c r="E12" i="5" s="1"/>
  <c r="D42" i="3"/>
  <c r="D34" i="3"/>
  <c r="E10" i="5" s="1"/>
  <c r="D37" i="3"/>
  <c r="D15" i="5"/>
  <c r="D16" i="5" s="1"/>
  <c r="D13" i="5"/>
  <c r="D14" i="5" s="1"/>
  <c r="D18" i="5" s="1"/>
  <c r="D19" i="5" s="1"/>
  <c r="C44" i="3" s="1"/>
  <c r="C27" i="4"/>
  <c r="C29" i="4"/>
  <c r="C26" i="4"/>
  <c r="C35" i="3"/>
  <c r="C60" i="4"/>
  <c r="F54" i="4"/>
  <c r="B78" i="4"/>
  <c r="C66" i="4" l="1"/>
  <c r="D66" i="4" s="1"/>
  <c r="C65" i="4"/>
  <c r="D65" i="4" s="1"/>
  <c r="C64" i="4"/>
  <c r="D64" i="4" s="1"/>
  <c r="C67" i="4"/>
  <c r="D67" i="4" s="1"/>
  <c r="C63" i="4"/>
  <c r="D63" i="4" s="1"/>
  <c r="E15" i="5"/>
  <c r="E16" i="5" s="1"/>
  <c r="E13" i="5"/>
  <c r="E14" i="5" s="1"/>
  <c r="E18" i="5" s="1"/>
  <c r="E19" i="5" s="1"/>
  <c r="D44" i="3" s="1"/>
  <c r="C36" i="3"/>
  <c r="C39" i="3"/>
  <c r="C38" i="3"/>
  <c r="D35" i="3"/>
  <c r="F9" i="5"/>
  <c r="F12" i="5" s="1"/>
  <c r="E42" i="3"/>
  <c r="E34" i="3"/>
  <c r="F10" i="5" s="1"/>
  <c r="E37" i="3"/>
  <c r="F33" i="3"/>
  <c r="F15" i="5" l="1"/>
  <c r="F16" i="5" s="1"/>
  <c r="F13" i="5"/>
  <c r="F14" i="5" s="1"/>
  <c r="F18" i="5" s="1"/>
  <c r="F19" i="5" s="1"/>
  <c r="E44" i="3" s="1"/>
  <c r="F42" i="3"/>
  <c r="F34" i="3"/>
  <c r="G10" i="5" s="1"/>
  <c r="F37" i="3"/>
  <c r="F35" i="3"/>
  <c r="G33" i="3"/>
  <c r="G9" i="5"/>
  <c r="G12" i="5" s="1"/>
  <c r="D38" i="3"/>
  <c r="D36" i="3"/>
  <c r="D39" i="3"/>
  <c r="E35" i="3"/>
  <c r="C40" i="3"/>
  <c r="C41" i="3" s="1"/>
  <c r="C45" i="3" s="1"/>
  <c r="C47" i="3" l="1"/>
  <c r="G13" i="5"/>
  <c r="G15" i="5"/>
  <c r="G16" i="5" s="1"/>
  <c r="G14" i="5"/>
  <c r="G18" i="5" s="1"/>
  <c r="G19" i="5" s="1"/>
  <c r="F44" i="3" s="1"/>
  <c r="H9" i="5"/>
  <c r="H12" i="5" s="1"/>
  <c r="G34" i="3"/>
  <c r="H10" i="5" s="1"/>
  <c r="G37" i="3"/>
  <c r="G42" i="3"/>
  <c r="C16" i="4"/>
  <c r="C28" i="4" s="1"/>
  <c r="F36" i="3"/>
  <c r="F39" i="3"/>
  <c r="F38" i="3"/>
  <c r="E39" i="3"/>
  <c r="E36" i="3"/>
  <c r="E38" i="3"/>
  <c r="D40" i="3"/>
  <c r="D41" i="3" s="1"/>
  <c r="D45" i="3" s="1"/>
  <c r="D47" i="3" l="1"/>
  <c r="H13" i="5"/>
  <c r="H15" i="5"/>
  <c r="H16" i="5" s="1"/>
  <c r="E40" i="3"/>
  <c r="E41" i="3" s="1"/>
  <c r="E45" i="3" s="1"/>
  <c r="H14" i="5"/>
  <c r="H18" i="5" s="1"/>
  <c r="H19" i="5" s="1"/>
  <c r="G44" i="3" s="1"/>
  <c r="F40" i="3"/>
  <c r="F41" i="3" s="1"/>
  <c r="F45" i="3" s="1"/>
  <c r="F47" i="3" s="1"/>
  <c r="C72" i="4"/>
  <c r="C73" i="4"/>
  <c r="G35" i="3"/>
  <c r="E47" i="3" l="1"/>
  <c r="G39" i="3"/>
  <c r="G38" i="3"/>
  <c r="G36" i="3"/>
  <c r="G40" i="3" l="1"/>
  <c r="G41" i="3" s="1"/>
  <c r="G45" i="3" s="1"/>
  <c r="C59" i="3"/>
  <c r="C60" i="3" s="1"/>
  <c r="C61" i="3" s="1"/>
  <c r="C51" i="3" l="1"/>
  <c r="C52" i="3" s="1"/>
  <c r="G47" i="3"/>
  <c r="C50" i="3" s="1"/>
  <c r="E7" i="7"/>
  <c r="H11" i="7"/>
  <c r="E23" i="7"/>
  <c r="C11" i="7"/>
  <c r="H22" i="7"/>
  <c r="F9" i="7"/>
  <c r="I18" i="7"/>
  <c r="C24" i="7"/>
  <c r="D24" i="7"/>
  <c r="G8" i="7"/>
  <c r="C12" i="7"/>
  <c r="I19" i="7"/>
  <c r="G20" i="7"/>
  <c r="H9" i="7"/>
  <c r="G22" i="7"/>
  <c r="C7" i="7"/>
  <c r="G7" i="7"/>
  <c r="H24" i="7"/>
  <c r="E12" i="7"/>
  <c r="H10" i="7"/>
  <c r="H8" i="7"/>
  <c r="C20" i="7"/>
  <c r="C10" i="7"/>
  <c r="E11" i="7"/>
  <c r="I21" i="7"/>
  <c r="C22" i="7"/>
  <c r="G19" i="7"/>
  <c r="I8" i="7"/>
  <c r="G18" i="7"/>
  <c r="C19" i="7"/>
  <c r="I24" i="7"/>
  <c r="I11" i="7"/>
  <c r="E21" i="7"/>
  <c r="I10" i="7"/>
  <c r="I12" i="7"/>
  <c r="D7" i="7"/>
  <c r="D13" i="7"/>
  <c r="I9" i="7"/>
  <c r="D9" i="7"/>
  <c r="F8" i="7"/>
  <c r="H13" i="7"/>
  <c r="E20" i="7"/>
  <c r="D12" i="7"/>
  <c r="F13" i="7"/>
  <c r="F24" i="7"/>
  <c r="D20" i="7"/>
  <c r="E10" i="7"/>
  <c r="I23" i="7"/>
  <c r="F11" i="7"/>
  <c r="G12" i="7"/>
  <c r="G24" i="7"/>
  <c r="D10" i="7"/>
  <c r="C13" i="7"/>
  <c r="F10" i="7"/>
  <c r="H18" i="7"/>
  <c r="E8" i="7"/>
  <c r="H12" i="7"/>
  <c r="H23" i="7"/>
  <c r="D23" i="7"/>
  <c r="D11" i="7"/>
  <c r="D21" i="7"/>
  <c r="H21" i="7"/>
  <c r="E9" i="7"/>
  <c r="F20" i="7"/>
  <c r="E22" i="7"/>
  <c r="H19" i="7"/>
  <c r="F19" i="7"/>
  <c r="G13" i="7"/>
  <c r="D22" i="7"/>
  <c r="F23" i="7"/>
  <c r="F21" i="7"/>
  <c r="F12" i="7"/>
  <c r="F22" i="7"/>
  <c r="C9" i="7"/>
  <c r="C23" i="7"/>
  <c r="G9" i="7"/>
  <c r="H7" i="7"/>
  <c r="F18" i="7"/>
  <c r="E13" i="7"/>
  <c r="G21" i="7"/>
  <c r="D18" i="7"/>
  <c r="G11" i="7"/>
  <c r="D19" i="7"/>
  <c r="I22" i="7"/>
  <c r="I20" i="7"/>
  <c r="I13" i="7"/>
  <c r="D8" i="7"/>
  <c r="C8" i="7"/>
  <c r="G10" i="7"/>
  <c r="C21" i="7"/>
  <c r="G23" i="7"/>
  <c r="E18" i="7"/>
  <c r="I7" i="7"/>
  <c r="F7" i="7"/>
  <c r="H20" i="7"/>
  <c r="E24" i="7"/>
  <c r="E19" i="7"/>
  <c r="C18" i="7"/>
  <c r="C58" i="3" l="1"/>
  <c r="C62" i="3" s="1"/>
  <c r="C53" i="3"/>
  <c r="C54" i="3" l="1"/>
  <c r="C55" i="3" s="1"/>
  <c r="C16" i="1"/>
  <c r="C17" i="4"/>
  <c r="C63" i="3"/>
  <c r="C64" i="3" s="1"/>
  <c r="C17" i="1" s="1"/>
  <c r="D17" i="1" s="1"/>
  <c r="C19" i="4" l="1"/>
  <c r="C20" i="4" s="1"/>
  <c r="B79" i="4"/>
  <c r="D16" i="1"/>
  <c r="C21" i="1"/>
  <c r="C10" i="1"/>
  <c r="C12" i="1" s="1"/>
  <c r="C11" i="1" s="1"/>
</calcChain>
</file>

<file path=xl/sharedStrings.xml><?xml version="1.0" encoding="utf-8"?>
<sst xmlns="http://schemas.openxmlformats.org/spreadsheetml/2006/main" count="443" uniqueCount="359">
  <si>
    <t>DISCLAIMER: This is a sample analysis for demonstration purposes only. It does not constitute investment advice.</t>
  </si>
  <si>
    <t>カプコン (9697.T)</t>
  </si>
  <si>
    <t>Equity Research Report</t>
  </si>
  <si>
    <t>Company</t>
  </si>
  <si>
    <t>カプコン</t>
  </si>
  <si>
    <t>Ticker</t>
  </si>
  <si>
    <t>9697.T (TSE Prime)</t>
  </si>
  <si>
    <t>Sector</t>
  </si>
  <si>
    <t>情報・通信業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</si>
  <si>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</si>
  <si>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</si>
  <si>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</si>
  <si>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</si>
  <si>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</si>
  <si>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</si>
  <si>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</si>
  <si>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</si>
  <si>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</si>
  <si>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</si>
  <si>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</si>
  <si>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</si>
  <si>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</si>
  <si>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</si>
  <si>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</si>
  <si>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</si>
  <si>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</si>
  <si>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</si>
  <si>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</si>
  <si>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</si>
  <si>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</si>
  <si>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</si>
  <si>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カプコン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</si>
  <si>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</si>
  <si>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</si>
  <si>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</si>
  <si>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</si>
  <si>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</si>
  <si>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</si>
  <si>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</si>
  <si>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</si>
  <si>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</si>
  <si>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</si>
  <si>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</si>
  <si>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</si>
  <si>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</si>
  <si>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</si>
  <si>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</si>
  <si>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</si>
  <si>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</si>
  <si>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</si>
  <si>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</si>
  <si>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</si>
  <si>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</si>
  <si>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</si>
  <si>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</si>
  <si>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</si>
  <si>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</si>
  <si>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</si>
  <si>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</si>
  <si>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3/4 — blank cells are years with no year-key match in the source data (verify against 決算短信 or set hist_ocf / hist_cash / hist_debt in overrides).</t>
  </si>
  <si>
    <t>DCF Valuation Model - カプコン</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</si>
  <si>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</si>
  <si>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</si>
  <si>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</si>
  <si>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</si>
  <si>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</si>
  <si>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</si>
  <si>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</si>
  <si>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</si>
  <si>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</si>
  <si>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</si>
  <si>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</si>
  <si>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</si>
  <si>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</si>
  <si>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</si>
  <si>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</si>
  <si>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</si>
  <si>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</si>
  <si>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</si>
  <si>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</si>
  <si>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</si>
  <si>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</si>
  <si>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</si>
  <si>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</si>
  <si>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</si>
  <si>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</si>
  <si>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</si>
  <si>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</si>
  <si>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</si>
  <si>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</si>
  <si>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</si>
  <si>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</si>
  <si>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</si>
  <si>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</si>
  <si>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</si>
  <si>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</si>
  <si>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</si>
  <si>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</si>
  <si>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</si>
  <si>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</si>
  <si>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</si>
  <si>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</si>
  <si>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</si>
  <si>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</si>
  <si>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</si>
  <si>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</si>
  <si>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</si>
  <si>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</si>
  <si>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</si>
  <si>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</si>
  <si>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</si>
  <si>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</si>
  <si>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</si>
  <si>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</si>
  <si>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</si>
  <si>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</si>
  <si>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</si>
  <si>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</si>
  <si>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</si>
  <si>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</si>
  <si>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</si>
  <si>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</si>
  <si>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</si>
  <si>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</si>
  <si>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</si>
  <si>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カプコン (9697.T)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</si>
  <si>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</si>
  <si>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</si>
  <si>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</si>
  <si>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</si>
  <si>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</si>
  <si>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</si>
  <si>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</si>
  <si>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</si>
  <si>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</si>
  <si>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</si>
  <si>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</si>
  <si>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</si>
  <si>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</si>
  <si>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</si>
  <si>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</si>
  <si>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</si>
  <si>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</si>
  <si>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</si>
  <si>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</si>
  <si>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</si>
  <si>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</si>
  <si>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</si>
  <si>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</si>
  <si>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</si>
  <si>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</si>
  <si>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</si>
  <si>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</si>
  <si>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</si>
  <si>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</si>
  <si>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</si>
  <si>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</si>
  <si>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</si>
  <si>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</si>
  <si>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</si>
  <si>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</si>
  <si>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</si>
  <si>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</si>
  <si>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</si>
  <si>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</si>
  <si>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</si>
  <si>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</si>
  <si>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</si>
  <si>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</si>
  <si>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</si>
  <si>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</si>
  <si>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</si>
  <si>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</si>
  <si>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</si>
  <si>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</si>
  <si>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</si>
  <si>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</si>
  <si>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カプコン</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</si>
  <si>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</si>
  <si>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</si>
  <si>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</si>
  <si>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</si>
  <si>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</si>
  <si>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</si>
  <si>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</si>
  <si>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</si>
  <si>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</si>
  <si>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</si>
  <si>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</si>
  <si>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</si>
  <si>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</si>
  <si>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</si>
  <si>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</si>
  <si>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</si>
  <si>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</si>
  <si>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</si>
  <si>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</si>
  <si>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</si>
  <si>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</si>
  <si>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</si>
  <si>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</si>
  <si>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</si>
  <si>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</si>
  <si>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</si>
  <si>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</si>
  <si>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</si>
  <si>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</si>
  <si>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</si>
  <si>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</si>
  <si>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</si>
  <si>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</si>
  <si>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</si>
  <si>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Capcom Co., Ltd.</t>
  </si>
  <si>
    <t>9697.T</t>
  </si>
  <si>
    <t>Nintendo Co., Ltd.</t>
  </si>
  <si>
    <t>7974.T</t>
  </si>
  <si>
    <t>Square Enix Holdings Co., Ltd.</t>
  </si>
  <si>
    <t>9684.T</t>
  </si>
  <si>
    <t>Konami Group Corporation</t>
  </si>
  <si>
    <t>9766.T</t>
  </si>
  <si>
    <t>Toho Co., Ltd.</t>
  </si>
  <si>
    <t>9602.T</t>
  </si>
  <si>
    <t>Statistics</t>
  </si>
  <si>
    <t>25th Percentile</t>
  </si>
  <si>
    <t>Median (50th)</t>
  </si>
  <si>
    <t>75th Percentile</t>
  </si>
  <si>
    <t>Implied Valuation for カプコン</t>
  </si>
  <si>
    <t>カプコン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</si>
  <si>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</si>
  <si>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</si>
  <si>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</si>
  <si>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</si>
  <si>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</si>
  <si>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</si>
  <si>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</si>
  <si>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</si>
  <si>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</si>
  <si>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</si>
  <si>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</si>
  <si>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</si>
  <si>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</si>
  <si>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</si>
  <si>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</si>
  <si>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カプコン</t>
  </si>
  <si>
    <t>日付</t>
  </si>
  <si>
    <t>セル</t>
  </si>
  <si>
    <t>変更内容</t>
  </si>
  <si>
    <t>理由</t>
  </si>
  <si>
    <t>元の値</t>
  </si>
  <si>
    <t>状態</t>
  </si>
  <si>
    <t>2026-09-06</t>
  </si>
  <si>
    <t>-</t>
  </si>
  <si>
    <t>Generated by pipeline on 2026-09-06 19:35, template rev 63983ab</t>
  </si>
  <si>
    <t>初期生成（手修正なし）</t>
  </si>
  <si>
    <t>generated</t>
  </si>
  <si>
    <t>DCF Model!C11</t>
  </si>
  <si>
    <t>After-tax Cost of Debt = 0.51% (実績ベース)</t>
  </si>
  <si>
    <t>実績Kd = 支払利息58 ÷ 平均有利子負債8,506(期首11,916/期末5,097、debt_beginning/debt_ending) = 税引前0.68% × (1−25.0%) = 0.51%。【マージナルコスト注記】これは既存借入の実績平均コストであり、新規調達の限界コストではない。テンプレ既定(税引前2.8%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</si>
  <si>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</si>
  <si>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</si>
  <si>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</si>
  <si>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0.548（採用値）</t>
  </si>
  <si>
    <t>実測β(raw) = 0.326 → Blume調整 0.67×raw + 0.33×1.00 = 0.548 → 採用 0.548。クランプ域 [0.3, 2.0] の内側。置換なし。回帰βは平均回帰するため Blume 調整を既定とする（2026-09-05 バッチで85件中57件が旧下限 0.60 に張り付き、両裾の歪みが実証された）。</t>
  </si>
  <si>
    <t>実測 0.326</t>
  </si>
  <si>
    <t>確定</t>
  </si>
  <si>
    <t>Pipeline Metadata (do not edit — read by scripts/validate_output.py)</t>
  </si>
  <si>
    <t>key</t>
  </si>
  <si>
    <t>value</t>
  </si>
  <si>
    <t>auto_log_entries</t>
  </si>
  <si>
    <t>2</t>
  </si>
  <si>
    <t>beta_adopted_c8</t>
  </si>
  <si>
    <t>0.5485</t>
  </si>
  <si>
    <t>beta_basis</t>
  </si>
  <si>
    <t>Blume: 0.67 x 0.326 + 0.33 x 1.00 = 0.548</t>
  </si>
  <si>
    <t>beta_blume_adjusted</t>
  </si>
  <si>
    <t>beta_clamped</t>
  </si>
  <si>
    <t>no</t>
  </si>
  <si>
    <t>beta_raw</t>
  </si>
  <si>
    <t>0.3261</t>
  </si>
  <si>
    <t>capex_pct_basis</t>
  </si>
  <si>
    <t>explicit_override</t>
  </si>
  <si>
    <t>capex_pct_c5</t>
  </si>
  <si>
    <t>0.02793</t>
  </si>
  <si>
    <t>capex_pct_hist3yr</t>
  </si>
  <si>
    <t>0.045263</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</si>
  <si>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</si>
  <si>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</si>
  <si>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</si>
  <si>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</si>
  <si>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</si>
  <si>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</si>
  <si>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</si>
  <si>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</si>
  <si>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</si>
  <si>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</si>
  <si>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</si>
  <si>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</si>
  <si>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</si>
  <si>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</si>
  <si>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</si>
  <si>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</si>
  <si>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</si>
  <si>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</si>
  <si>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</si>
  <si>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</si>
  <si>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80496.0</t>
  </si>
  <si>
    <t>core_net_income</t>
  </si>
  <si>
    <t>54587.0</t>
  </si>
  <si>
    <t>cost_of_debt_actual</t>
  </si>
  <si>
    <t>interest 58 (expense 58 + fees 0) / avg debt 8,506 (debt_beginning/debt_ending) = 0.006818 pre-tax -&gt; 0.005100 after-tax</t>
  </si>
  <si>
    <t>cost_of_debt_at_c11</t>
  </si>
  <si>
    <t>0.0051</t>
  </si>
  <si>
    <t>cost_of_debt_avg_debt</t>
  </si>
  <si>
    <t>8506.5</t>
  </si>
  <si>
    <t>cost_of_debt_basis</t>
  </si>
  <si>
    <t>actual</t>
  </si>
  <si>
    <t>cost_of_debt_interest</t>
  </si>
  <si>
    <t>58.0</t>
  </si>
  <si>
    <t>cost_of_debt_pretax</t>
  </si>
  <si>
    <t>0.006818315405866102</t>
  </si>
  <si>
    <t>da_pct_basis</t>
  </si>
  <si>
    <t>da_pct_c18</t>
  </si>
  <si>
    <t>0.0266</t>
  </si>
  <si>
    <t>da_pct_hist3yr</t>
  </si>
  <si>
    <t>0.027292</t>
  </si>
  <si>
    <t>fs_year_coverage</t>
  </si>
  <si>
    <t>OCF 4/4, Cash 4/4, Debt 3/4</t>
  </si>
  <si>
    <t>fs_year_map</t>
  </si>
  <si>
    <t>FY2023&lt;-FY2023[ocf+cash+debt]; FY2024&lt;-FY2024[ocf+cash+debt]; FY2025&lt;-FY2025[ocf+cash+debt]; FY2026&lt;-FY2026[ocf+cash]</t>
  </si>
  <si>
    <t>fs_year_sources</t>
  </si>
  <si>
    <t>overrides: none | EDINET year-key match: hist_ocf, hist_cash, hist_debt, hist_capex, hist_depreciation</t>
  </si>
  <si>
    <t>fx_sensitivity</t>
  </si>
  <si>
    <t>not enabled</t>
  </si>
  <si>
    <t>generated_at</t>
  </si>
  <si>
    <t>2026-09-06 19:35:07</t>
  </si>
  <si>
    <t>guidance_note</t>
  </si>
  <si>
    <t>TDnet 決算短信 via screener guidance table: FY2027 disclosed 2026-07-28 (net_income=58,000mn, operating_income=83,000mn, revenue=210,000mn)</t>
  </si>
  <si>
    <t>guidance_source</t>
  </si>
  <si>
    <t>tdnet_screener_db</t>
  </si>
  <si>
    <t>latest_operating_income</t>
  </si>
  <si>
    <t>75296.0</t>
  </si>
  <si>
    <t>ltm_revenue_c20</t>
  </si>
  <si>
    <t>195365.0</t>
  </si>
  <si>
    <t>ltm_revenue_source</t>
  </si>
  <si>
    <t>latest FY (no LTM)</t>
  </si>
  <si>
    <t>market_data_source</t>
  </si>
  <si>
    <t>yfinance; from overrides: beta, current_price, shares_outstanding</t>
  </si>
  <si>
    <t>narrative_tokens_used</t>
  </si>
  <si>
    <t>net_debt_source</t>
  </si>
  <si>
    <t>UNAVAILABLE (no net_debt, and total_debt/cash incomplete)</t>
  </si>
  <si>
    <t>reverse_dcf_sheet</t>
  </si>
  <si>
    <t>op0=75,296(FY2026) peak=75,296(FY2026) peak_opm=0.3854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</si>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</sst>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4248</v>
      </c>
    </row>
    <row r="10" spans="2:5" ht="14" x14ac:dyDescent="0.3">
      <c r="B10" s="4" t="s">
        <v>10</v>
      </c>
      <c r="C10" s="5">
        <f>IF(COUNT(C16:C17)=0,"N/A",ROUND(AVERAGE(C16:C17),0))</f>
        <v>3052</v>
      </c>
    </row>
    <row r="11" spans="2:5" ht="14" x14ac:dyDescent="0.3">
      <c r="B11" s="4" t="s">
        <v>11</v>
      </c>
      <c r="C11" s="6" t="str">
        <f>IF(NOT(ISNUMBER(C12)),"N/A",IF(C12&gt;0.15,"BUY",IF(C12&gt;0.05,"HOLD","SELL")))</f>
        <v>SELL</v>
      </c>
    </row>
    <row r="12" spans="2:5" ht="14" x14ac:dyDescent="0.3">
      <c r="B12" s="4" t="s">
        <v>12</v>
      </c>
      <c r="C12" s="7">
        <f>IF(ISNUMBER(C10),(C10-C9)/C9,"N/A")</f>
        <v>-0.2815442561205273</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2607</v>
      </c>
      <c r="D16" s="7">
        <f>IF(ISNUMBER(C16),(C16-C9)/C9,"N/A")</f>
        <v>-0.38629943502824859</v>
      </c>
    </row>
    <row r="17" spans="2:5" ht="13.5" x14ac:dyDescent="0.25">
      <c r="B17" t="s">
        <v>18</v>
      </c>
      <c r="C17" s="11">
        <f>IF('DCF Model'!C62&lt;'DCF Model'!C16,"INVALID (EV &lt; net debt)",'DCF Model'!C64)</f>
        <v>3497</v>
      </c>
      <c r="D17" s="7">
        <f>IF(ISNUMBER(C17),(C17-C9)/C9,"N/A")</f>
        <v>-0.17678907721280604</v>
      </c>
    </row>
    <row r="18" spans="2:5" ht="13.5" x14ac:dyDescent="0.25">
      <c r="B18" t="s">
        <v>19</v>
      </c>
      <c r="C18" s="11">
        <f>'Comps Analysis'!C27</f>
        <v>3318</v>
      </c>
      <c r="D18" s="7">
        <f>IF(ISNUMBER(C18),(C18-C9)/C9,"N/A")</f>
        <v>-0.21892655367231639</v>
      </c>
    </row>
    <row r="19" spans="2:5" ht="13.5" x14ac:dyDescent="0.25">
      <c r="B19" t="s">
        <v>20</v>
      </c>
      <c r="C19" s="11">
        <f>'Comps Analysis'!C28</f>
        <v>3580</v>
      </c>
      <c r="D19" s="7">
        <f>IF(ISNUMBER(C19),(C19-C9)/C9,"N/A")</f>
        <v>-0.15725047080979285</v>
      </c>
    </row>
    <row r="20" spans="2:5" ht="14" x14ac:dyDescent="0.3">
      <c r="B20" s="45" t="s">
        <v>21</v>
      </c>
      <c r="C20" s="44"/>
      <c r="D20" s="44"/>
      <c r="E20" s="44"/>
    </row>
    <row r="21" spans="2:5" ht="14" x14ac:dyDescent="0.3">
      <c r="B21" s="4" t="s">
        <v>22</v>
      </c>
      <c r="C21" s="6" t="str">
        <f>IF(COUNT(C16:C17)=0,"N/A",MIN(C16:C17)&amp;" - "&amp;MAX(C16:C17))</f>
        <v>2607 - 3497</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125930</v>
      </c>
      <c r="D6" s="5">
        <v>152410</v>
      </c>
      <c r="E6" s="5">
        <v>169604</v>
      </c>
      <c r="F6" s="5">
        <v>195365</v>
      </c>
    </row>
    <row r="7" spans="2:6" ht="14" x14ac:dyDescent="0.3">
      <c r="B7" s="4" t="s">
        <v>38</v>
      </c>
      <c r="C7" s="5">
        <v>52110</v>
      </c>
      <c r="D7" s="5">
        <v>67755</v>
      </c>
      <c r="E7" s="5">
        <v>70846</v>
      </c>
      <c r="F7" s="5">
        <v>85147</v>
      </c>
    </row>
    <row r="8" spans="2:6" ht="14" x14ac:dyDescent="0.3">
      <c r="B8" s="4" t="s">
        <v>39</v>
      </c>
      <c r="C8" s="5">
        <f>C6-C7</f>
        <v>73820</v>
      </c>
      <c r="D8" s="5">
        <f>D6-D7</f>
        <v>84655</v>
      </c>
      <c r="E8" s="5">
        <f>E6-E7</f>
        <v>98758</v>
      </c>
      <c r="F8" s="5">
        <f>F6-F7</f>
        <v>110218</v>
      </c>
    </row>
    <row r="9" spans="2:6" ht="13.5" x14ac:dyDescent="0.25">
      <c r="B9" t="s">
        <v>40</v>
      </c>
      <c r="C9" s="7">
        <f>C8/C6</f>
        <v>0.58619868180735324</v>
      </c>
      <c r="D9" s="7">
        <f>D8/D6</f>
        <v>0.55544255626271244</v>
      </c>
      <c r="E9" s="7">
        <f>E8/E6</f>
        <v>0.58228579514634093</v>
      </c>
      <c r="F9" s="7">
        <f>F8/F6</f>
        <v>0.56416451257901878</v>
      </c>
    </row>
    <row r="10" spans="2:6" ht="14" x14ac:dyDescent="0.3">
      <c r="B10" s="4" t="s">
        <v>41</v>
      </c>
      <c r="C10" s="5">
        <v>23007</v>
      </c>
      <c r="D10" s="5">
        <v>27573</v>
      </c>
      <c r="E10" s="5">
        <v>32981</v>
      </c>
      <c r="F10" s="5">
        <v>34922</v>
      </c>
    </row>
    <row r="11" spans="2:6" ht="14" x14ac:dyDescent="0.3">
      <c r="B11" s="4" t="s">
        <v>42</v>
      </c>
      <c r="C11" s="5">
        <v>50813</v>
      </c>
      <c r="D11" s="5">
        <v>57082</v>
      </c>
      <c r="E11" s="5">
        <v>65777</v>
      </c>
      <c r="F11" s="5">
        <v>75296</v>
      </c>
    </row>
    <row r="12" spans="2:6" ht="14" x14ac:dyDescent="0.3">
      <c r="B12" s="4" t="s">
        <v>43</v>
      </c>
      <c r="C12" s="5">
        <v>36737</v>
      </c>
      <c r="D12" s="5">
        <v>43374</v>
      </c>
      <c r="E12" s="5">
        <v>48453</v>
      </c>
      <c r="F12" s="5">
        <v>54587</v>
      </c>
    </row>
    <row r="13" spans="2:6" ht="13.5" x14ac:dyDescent="0.25">
      <c r="B13" t="s">
        <v>44</v>
      </c>
      <c r="C13" s="7">
        <f>C11/C6</f>
        <v>0.40350194552529184</v>
      </c>
      <c r="D13" s="7">
        <f>D11/D6</f>
        <v>0.3745292303654616</v>
      </c>
      <c r="E13" s="7">
        <f>E11/E6</f>
        <v>0.38782693804391405</v>
      </c>
      <c r="F13" s="7">
        <f>F11/F6</f>
        <v>0.38541192127556112</v>
      </c>
    </row>
    <row r="14" spans="2:6" ht="13.5" x14ac:dyDescent="0.25">
      <c r="B14" t="s">
        <v>45</v>
      </c>
      <c r="C14" s="7">
        <f>C12/C6</f>
        <v>0.29172556182005877</v>
      </c>
      <c r="D14" s="7">
        <f>D12/D6</f>
        <v>0.28458762548389216</v>
      </c>
      <c r="E14" s="7">
        <f>E12/E6</f>
        <v>0.28568312068111601</v>
      </c>
      <c r="F14" s="7">
        <f>F12/F6</f>
        <v>0.27941033450208586</v>
      </c>
    </row>
    <row r="15" spans="2:6" ht="13.5" x14ac:dyDescent="0.25">
      <c r="B15" t="s">
        <v>46</v>
      </c>
      <c r="C15" t="s">
        <v>47</v>
      </c>
      <c r="D15" s="7">
        <f>(D6-C6)/C6</f>
        <v>0.21027554990867942</v>
      </c>
      <c r="E15" s="7">
        <f>(E6-D6)/D6</f>
        <v>0.11281411980841152</v>
      </c>
      <c r="F15" s="7">
        <f>(F6-E6)/E6</f>
        <v>0.15188910638900027</v>
      </c>
    </row>
    <row r="16" spans="2:6" ht="13.5" x14ac:dyDescent="0.25">
      <c r="B16" t="s">
        <v>48</v>
      </c>
      <c r="C16" t="s">
        <v>47</v>
      </c>
      <c r="D16" s="7">
        <f>(D11-C11)/C11</f>
        <v>0.12337393973983035</v>
      </c>
      <c r="E16" s="7">
        <f>(E11-D11)/D11</f>
        <v>0.15232472583301215</v>
      </c>
      <c r="F16" s="7">
        <f>(F11-E11)/E11</f>
        <v>0.14471623819876248</v>
      </c>
    </row>
    <row r="18" spans="2:6" ht="14" x14ac:dyDescent="0.3">
      <c r="B18" s="3" t="s">
        <v>49</v>
      </c>
    </row>
    <row r="19" spans="2:6" ht="14" x14ac:dyDescent="0.3">
      <c r="B19" s="4" t="s">
        <v>50</v>
      </c>
      <c r="C19" s="5">
        <v>21789</v>
      </c>
      <c r="D19" s="5">
        <v>36921</v>
      </c>
      <c r="E19" s="5">
        <v>67618</v>
      </c>
      <c r="F19" s="5">
        <v>31380</v>
      </c>
    </row>
    <row r="20" spans="2:6" ht="14" x14ac:dyDescent="0.3">
      <c r="B20" s="4" t="s">
        <v>51</v>
      </c>
      <c r="C20" s="5">
        <v>7103</v>
      </c>
      <c r="D20" s="5">
        <v>4838</v>
      </c>
      <c r="E20" s="5">
        <v>5846</v>
      </c>
      <c r="F20" s="5">
        <v>13593</v>
      </c>
    </row>
    <row r="21" spans="2:6" ht="14" x14ac:dyDescent="0.3">
      <c r="B21" s="4" t="s">
        <v>52</v>
      </c>
      <c r="C21" s="5">
        <f>C19-C20</f>
        <v>14686</v>
      </c>
      <c r="D21" s="5">
        <f>D19-D20</f>
        <v>32083</v>
      </c>
      <c r="E21" s="5">
        <f>E19-E20</f>
        <v>61772</v>
      </c>
      <c r="F21" s="5">
        <f>F19-F20</f>
        <v>17787</v>
      </c>
    </row>
    <row r="22" spans="2:6" ht="13.5" x14ac:dyDescent="0.25">
      <c r="B22" t="s">
        <v>53</v>
      </c>
      <c r="C22" s="7">
        <f>C21/C6</f>
        <v>0.11662034463590884</v>
      </c>
      <c r="D22" s="7">
        <f>D21/D6</f>
        <v>0.21050456006823698</v>
      </c>
      <c r="E22" s="7">
        <f>E21/E6</f>
        <v>0.36421310818141084</v>
      </c>
      <c r="F22" s="7">
        <f>F21/F6</f>
        <v>9.1044967112840075E-2</v>
      </c>
    </row>
    <row r="23" spans="2:6" ht="13.5" x14ac:dyDescent="0.25">
      <c r="B23" t="s">
        <v>54</v>
      </c>
      <c r="C23" s="7">
        <f>C20/C6</f>
        <v>5.6404351623918048E-2</v>
      </c>
      <c r="D23" s="7">
        <f>D20/D6</f>
        <v>3.1743323928876056E-2</v>
      </c>
      <c r="E23" s="7">
        <f>E20/E6</f>
        <v>3.4468526685691378E-2</v>
      </c>
      <c r="F23" s="7">
        <f>F20/F6</f>
        <v>6.957745757940266E-2</v>
      </c>
    </row>
    <row r="25" spans="2:6" ht="14" x14ac:dyDescent="0.3">
      <c r="B25" s="3" t="s">
        <v>55</v>
      </c>
    </row>
    <row r="26" spans="2:6" ht="14" x14ac:dyDescent="0.3">
      <c r="B26" s="4" t="s">
        <v>56</v>
      </c>
      <c r="C26" s="5">
        <v>89470</v>
      </c>
      <c r="D26" s="5">
        <v>109091</v>
      </c>
      <c r="E26" s="5">
        <v>166783</v>
      </c>
      <c r="F26" s="5">
        <v>148002</v>
      </c>
    </row>
    <row r="27" spans="2:6" ht="14" x14ac:dyDescent="0.3">
      <c r="B27" s="4" t="s">
        <v>57</v>
      </c>
      <c r="C27" s="5">
        <v>7843</v>
      </c>
      <c r="D27" s="5">
        <v>7217</v>
      </c>
      <c r="E27" s="5">
        <v>6591</v>
      </c>
      <c r="F27" s="5"/>
    </row>
    <row r="28" spans="2:6" ht="14" x14ac:dyDescent="0.3">
      <c r="B28" s="4" t="s">
        <v>58</v>
      </c>
      <c r="C28" s="5">
        <f>C27-C26</f>
        <v>-81627</v>
      </c>
      <c r="D28" s="5">
        <f>D27-D26</f>
        <v>-101874</v>
      </c>
      <c r="E28" s="5">
        <f>E27-E26</f>
        <v>-160192</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2.793E-2</v>
      </c>
    </row>
    <row r="6" spans="2:7" ht="14" x14ac:dyDescent="0.3">
      <c r="B6" s="4" t="s">
        <v>63</v>
      </c>
      <c r="C6" s="7">
        <v>0.25</v>
      </c>
    </row>
    <row r="7" spans="2:7" ht="14" x14ac:dyDescent="0.3">
      <c r="B7" s="4" t="s">
        <v>64</v>
      </c>
      <c r="C7" s="7">
        <v>2.9700000000000001E-2</v>
      </c>
    </row>
    <row r="8" spans="2:7" ht="14" x14ac:dyDescent="0.3">
      <c r="B8" s="4" t="s">
        <v>65</v>
      </c>
      <c r="C8" s="12">
        <v>0.54849999999999999</v>
      </c>
    </row>
    <row r="9" spans="2:7" ht="14" x14ac:dyDescent="0.3">
      <c r="B9" s="4" t="s">
        <v>66</v>
      </c>
      <c r="C9" s="7">
        <v>6.5000000000000002E-2</v>
      </c>
    </row>
    <row r="10" spans="2:7" ht="14" x14ac:dyDescent="0.3">
      <c r="B10" s="4" t="s">
        <v>67</v>
      </c>
      <c r="C10" s="7">
        <v>0.01</v>
      </c>
    </row>
    <row r="11" spans="2:7" ht="14" x14ac:dyDescent="0.3">
      <c r="B11" s="4" t="s">
        <v>68</v>
      </c>
      <c r="C11" s="7">
        <v>5.1000000000000004E-3</v>
      </c>
    </row>
    <row r="12" spans="2:7" ht="14" x14ac:dyDescent="0.3">
      <c r="B12" s="4" t="s">
        <v>69</v>
      </c>
      <c r="C12" s="13">
        <v>0</v>
      </c>
    </row>
    <row r="13" spans="2:7" ht="14" x14ac:dyDescent="0.3">
      <c r="B13" s="4" t="s">
        <v>70</v>
      </c>
      <c r="C13" s="7">
        <v>0.01</v>
      </c>
    </row>
    <row r="14" spans="2:7" ht="14" x14ac:dyDescent="0.3">
      <c r="B14" s="4" t="s">
        <v>71</v>
      </c>
      <c r="C14" s="14">
        <v>15.5</v>
      </c>
    </row>
    <row r="15" spans="2:7" ht="14" x14ac:dyDescent="0.3">
      <c r="B15" s="4" t="s">
        <v>72</v>
      </c>
      <c r="C15" s="15">
        <v>418308843</v>
      </c>
    </row>
    <row r="16" spans="2:7" ht="14" x14ac:dyDescent="0.3">
      <c r="B16" s="4" t="s">
        <v>73</v>
      </c>
      <c r="C16" s="5">
        <v>-142905</v>
      </c>
    </row>
    <row r="17" spans="2:7" ht="14" x14ac:dyDescent="0.3">
      <c r="B17" s="4" t="s">
        <v>74</v>
      </c>
      <c r="C17" s="5">
        <v>195365</v>
      </c>
    </row>
    <row r="18" spans="2:7" ht="14" x14ac:dyDescent="0.3">
      <c r="B18" s="4" t="s">
        <v>75</v>
      </c>
      <c r="C18" s="7">
        <v>2.6599999999999999E-2</v>
      </c>
    </row>
    <row r="19" spans="2:7" ht="14" x14ac:dyDescent="0.3">
      <c r="B19" s="4" t="s">
        <v>76</v>
      </c>
      <c r="C19" s="12">
        <v>1</v>
      </c>
    </row>
    <row r="20" spans="2:7" ht="14" x14ac:dyDescent="0.3">
      <c r="B20" s="4" t="s">
        <v>77</v>
      </c>
      <c r="C20" s="5">
        <v>195365</v>
      </c>
    </row>
    <row r="22" spans="2:7" ht="14" x14ac:dyDescent="0.3">
      <c r="B22" s="8" t="s">
        <v>78</v>
      </c>
      <c r="C22" s="9"/>
      <c r="D22" s="9"/>
      <c r="E22" s="9"/>
      <c r="F22" s="9"/>
      <c r="G22" s="9"/>
    </row>
    <row r="23" spans="2:7" ht="14" x14ac:dyDescent="0.3">
      <c r="B23" s="4" t="s">
        <v>79</v>
      </c>
      <c r="C23" s="16">
        <f>C7+C8*C9+C10</f>
        <v>7.5352500000000003E-2</v>
      </c>
    </row>
    <row r="24" spans="2:7" ht="14" x14ac:dyDescent="0.3">
      <c r="B24" s="4" t="s">
        <v>80</v>
      </c>
      <c r="C24" s="16">
        <f>1/(1+C12)</f>
        <v>1</v>
      </c>
    </row>
    <row r="25" spans="2:7" ht="14" x14ac:dyDescent="0.3">
      <c r="B25" s="4" t="s">
        <v>81</v>
      </c>
      <c r="C25" s="16">
        <f>C12/(1+C12)</f>
        <v>0</v>
      </c>
    </row>
    <row r="26" spans="2:7" ht="14" x14ac:dyDescent="0.3">
      <c r="B26" s="4" t="s">
        <v>82</v>
      </c>
      <c r="C26" s="16">
        <f>C23*C24+C11*C25</f>
        <v>7.5352500000000003E-2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0.06</v>
      </c>
      <c r="D30" s="18">
        <f>CHOOSE($D$27,D69,D70,D71,D72,D73)</f>
        <v>0.05</v>
      </c>
      <c r="E30" s="18">
        <f>CHOOSE($D$27,E69,E70,E71,E72,E73)</f>
        <v>4.4999999999999998E-2</v>
      </c>
      <c r="F30" s="18">
        <f>CHOOSE($D$27,F69,F70,F71,F72,F73)</f>
        <v>0.04</v>
      </c>
      <c r="G30" s="18">
        <f>CHOOSE($D$27,G69,G70,G71,G72,G73)</f>
        <v>3.5000000000000003E-2</v>
      </c>
    </row>
    <row r="31" spans="2:7" ht="14" x14ac:dyDescent="0.3">
      <c r="B31" s="4" t="s">
        <v>91</v>
      </c>
      <c r="C31" s="18">
        <f>CHOOSE($D$27,C76,C77,C78,C79,C80)</f>
        <v>0.42</v>
      </c>
      <c r="D31" s="18">
        <f>CHOOSE($D$27,D76,D77,D78,D79,D80)</f>
        <v>0.42</v>
      </c>
      <c r="E31" s="18">
        <f>CHOOSE($D$27,E76,E77,E78,E79,E80)</f>
        <v>0.42</v>
      </c>
      <c r="F31" s="18">
        <f>CHOOSE($D$27,F76,F77,F78,F79,F80)</f>
        <v>0.42</v>
      </c>
      <c r="G31" s="18">
        <f>CHOOSE($D$27,G76,G77,G78,G79,G80)</f>
        <v>0.42</v>
      </c>
    </row>
    <row r="32" spans="2:7" ht="14" x14ac:dyDescent="0.3">
      <c r="B32" s="4" t="s">
        <v>92</v>
      </c>
      <c r="C32" s="18">
        <f>CHOOSE($D$27,C83,C84,C85,C86,C87)</f>
        <v>0.19400000000000001</v>
      </c>
      <c r="D32" s="18">
        <f>CHOOSE($D$27,D83,D84,D85,D86,D87)</f>
        <v>0.1938</v>
      </c>
      <c r="E32" s="18">
        <f>CHOOSE($D$27,E83,E84,E85,E86,E87)</f>
        <v>0.19359999999999999</v>
      </c>
      <c r="F32" s="18">
        <f>CHOOSE($D$27,F83,F84,F85,F86,F87)</f>
        <v>0.19350000000000001</v>
      </c>
      <c r="G32" s="18">
        <f>CHOOSE($D$27,G83,G84,G85,G86,G87)</f>
        <v>0.19339999999999999</v>
      </c>
    </row>
    <row r="33" spans="2:7" ht="14" x14ac:dyDescent="0.3">
      <c r="B33" s="4" t="s">
        <v>37</v>
      </c>
      <c r="C33" s="5">
        <f>C17*(1+C30)</f>
        <v>207086.90000000002</v>
      </c>
      <c r="D33" s="5">
        <f>C33*(1+D30)</f>
        <v>217441.24500000002</v>
      </c>
      <c r="E33" s="5">
        <f>D33*(1+E30)</f>
        <v>227226.10102500001</v>
      </c>
      <c r="F33" s="5">
        <f>E33*(1+F30)</f>
        <v>236315.14506600003</v>
      </c>
      <c r="G33" s="5">
        <f>F33*(1+G30)</f>
        <v>244586.17514331001</v>
      </c>
    </row>
    <row r="34" spans="2:7" ht="14" x14ac:dyDescent="0.3">
      <c r="B34" s="4" t="s">
        <v>38</v>
      </c>
      <c r="C34" s="5">
        <f>C33*C31</f>
        <v>86976.498000000007</v>
      </c>
      <c r="D34" s="5">
        <f>D33*D31</f>
        <v>91325.322900000014</v>
      </c>
      <c r="E34" s="5">
        <f>E33*E31</f>
        <v>95434.962430500003</v>
      </c>
      <c r="F34" s="5">
        <f>F33*F31</f>
        <v>99252.360927720001</v>
      </c>
      <c r="G34" s="5">
        <f>G33*G31</f>
        <v>102726.19356019021</v>
      </c>
    </row>
    <row r="35" spans="2:7" ht="14" x14ac:dyDescent="0.3">
      <c r="B35" s="4" t="s">
        <v>39</v>
      </c>
      <c r="C35" s="19">
        <f>C33-C34</f>
        <v>120110.40200000002</v>
      </c>
      <c r="D35" s="19">
        <f>D33-D34</f>
        <v>126115.92210000001</v>
      </c>
      <c r="E35" s="19">
        <f>E33-E34</f>
        <v>131791.13859450002</v>
      </c>
      <c r="F35" s="19">
        <f>F33-F34</f>
        <v>137062.78413828003</v>
      </c>
      <c r="G35" s="19">
        <f>G33-G34</f>
        <v>141859.98158311981</v>
      </c>
    </row>
    <row r="36" spans="2:7" ht="14" x14ac:dyDescent="0.3">
      <c r="B36" s="4" t="s">
        <v>40</v>
      </c>
      <c r="C36" s="7">
        <f>C35/C33</f>
        <v>0.57999999999999996</v>
      </c>
      <c r="D36" s="7">
        <f>D35/D33</f>
        <v>0.57999999999999996</v>
      </c>
      <c r="E36" s="7">
        <f>E35/E33</f>
        <v>0.58000000000000007</v>
      </c>
      <c r="F36" s="7">
        <f>F35/F33</f>
        <v>0.58000000000000007</v>
      </c>
      <c r="G36" s="7">
        <f>G35/G33</f>
        <v>0.57999999999999996</v>
      </c>
    </row>
    <row r="37" spans="2:7" ht="14" x14ac:dyDescent="0.3">
      <c r="B37" s="4" t="s">
        <v>93</v>
      </c>
      <c r="C37" s="5">
        <f>C33*C32</f>
        <v>40174.858600000007</v>
      </c>
      <c r="D37" s="5">
        <f>D33*D32</f>
        <v>42140.113281000005</v>
      </c>
      <c r="E37" s="5">
        <f>E33*E32</f>
        <v>43990.97315844</v>
      </c>
      <c r="F37" s="5">
        <f>F33*F32</f>
        <v>45726.980570271007</v>
      </c>
      <c r="G37" s="5">
        <f>G33*G32</f>
        <v>47302.966272716156</v>
      </c>
    </row>
    <row r="38" spans="2:7" ht="14" x14ac:dyDescent="0.3">
      <c r="B38" s="4" t="s">
        <v>94</v>
      </c>
      <c r="C38" s="7">
        <f>(C35-C37)/C33</f>
        <v>0.38600000000000001</v>
      </c>
      <c r="D38" s="7">
        <f>(D35-D37)/D33</f>
        <v>0.38619999999999993</v>
      </c>
      <c r="E38" s="7">
        <f>(E35-E37)/E33</f>
        <v>0.38640000000000008</v>
      </c>
      <c r="F38" s="7">
        <f>(F35-F37)/F33</f>
        <v>0.38650000000000007</v>
      </c>
      <c r="G38" s="7">
        <f>(G35-G37)/G33</f>
        <v>0.3866</v>
      </c>
    </row>
    <row r="39" spans="2:7" ht="14" x14ac:dyDescent="0.3">
      <c r="B39" s="4" t="s">
        <v>95</v>
      </c>
      <c r="C39" s="19">
        <f>C35-C37</f>
        <v>79935.54340000001</v>
      </c>
      <c r="D39" s="19">
        <f>D35-D37</f>
        <v>83975.808818999998</v>
      </c>
      <c r="E39" s="19">
        <f>E35-E37</f>
        <v>87800.165436060022</v>
      </c>
      <c r="F39" s="19">
        <f>F35-F37</f>
        <v>91335.803568009025</v>
      </c>
      <c r="G39" s="19">
        <f>G35-G37</f>
        <v>94557.015310403658</v>
      </c>
    </row>
    <row r="40" spans="2:7" ht="14" x14ac:dyDescent="0.3">
      <c r="B40" s="4" t="s">
        <v>96</v>
      </c>
      <c r="C40" s="5">
        <f>MAX(0,C39*C6)</f>
        <v>19983.885850000002</v>
      </c>
      <c r="D40" s="5">
        <f>MAX(0,D39*C6)</f>
        <v>20993.95220475</v>
      </c>
      <c r="E40" s="5">
        <f>MAX(0,E39*C6)</f>
        <v>21950.041359015006</v>
      </c>
      <c r="F40" s="5">
        <f>MAX(0,F39*C6)</f>
        <v>22833.950892002256</v>
      </c>
      <c r="G40" s="5">
        <f>MAX(0,G39*C6)</f>
        <v>23639.253827600915</v>
      </c>
    </row>
    <row r="41" spans="2:7" ht="14" x14ac:dyDescent="0.3">
      <c r="B41" s="4" t="s">
        <v>97</v>
      </c>
      <c r="C41" s="19">
        <f>C39-C40</f>
        <v>59951.657550000004</v>
      </c>
      <c r="D41" s="19">
        <f>D39-D40</f>
        <v>62981.856614249999</v>
      </c>
      <c r="E41" s="19">
        <f>E39-E40</f>
        <v>65850.124077045009</v>
      </c>
      <c r="F41" s="19">
        <f>F39-F40</f>
        <v>68501.852676006762</v>
      </c>
      <c r="G41" s="19">
        <f>G39-G40</f>
        <v>70917.761482802744</v>
      </c>
    </row>
    <row r="42" spans="2:7" ht="14" x14ac:dyDescent="0.3">
      <c r="B42" s="4" t="s">
        <v>98</v>
      </c>
      <c r="C42" s="5">
        <f>C33*C18</f>
        <v>5508.5115400000004</v>
      </c>
      <c r="D42" s="5">
        <f>D33*C18</f>
        <v>5783.9371170000004</v>
      </c>
      <c r="E42" s="5">
        <f>E33*C18</f>
        <v>6044.2142872650002</v>
      </c>
      <c r="F42" s="5">
        <f>F33*C18</f>
        <v>6285.9828587556003</v>
      </c>
      <c r="G42" s="5">
        <f>G33*C18</f>
        <v>6505.9922588120462</v>
      </c>
    </row>
    <row r="43" spans="2:7" ht="14" x14ac:dyDescent="0.3">
      <c r="B43" s="4" t="s">
        <v>99</v>
      </c>
      <c r="C43" s="5">
        <v>11600</v>
      </c>
      <c r="D43" s="5">
        <v>10400</v>
      </c>
      <c r="E43" s="5">
        <v>9200</v>
      </c>
      <c r="F43" s="5">
        <v>8000</v>
      </c>
      <c r="G43" s="5">
        <v>6800</v>
      </c>
    </row>
    <row r="44" spans="2:7" ht="14" x14ac:dyDescent="0.3">
      <c r="B44" s="4" t="s">
        <v>100</v>
      </c>
      <c r="C44" s="5">
        <f>'NWC Schedule'!D19</f>
        <v>6352.2802904109558</v>
      </c>
      <c r="D44" s="5">
        <f>'NWC Schedule'!E19</f>
        <v>4843.5640145205543</v>
      </c>
      <c r="E44" s="5">
        <f>'NWC Schedule'!F19</f>
        <v>4577.167993721916</v>
      </c>
      <c r="F44" s="5">
        <f>'NWC Schedule'!G19</f>
        <v>4251.6804919461429</v>
      </c>
      <c r="G44" s="5">
        <f>'NWC Schedule'!H19</f>
        <v>3869.0292476709874</v>
      </c>
    </row>
    <row r="45" spans="2:7" ht="14" x14ac:dyDescent="0.3">
      <c r="B45" s="4" t="s">
        <v>101</v>
      </c>
      <c r="C45" s="20">
        <f>C41+C42-C43-C44</f>
        <v>47507.888799589047</v>
      </c>
      <c r="D45" s="20">
        <f>D41+D42-D43-D44</f>
        <v>53522.229716729445</v>
      </c>
      <c r="E45" s="20">
        <f>E41+E42-E43-E44</f>
        <v>58117.170370588094</v>
      </c>
      <c r="F45" s="20">
        <f>F41+F42-F43-F44</f>
        <v>62536.155042816215</v>
      </c>
      <c r="G45" s="20">
        <f>G41+G42-G43-G44</f>
        <v>66754.724493943795</v>
      </c>
    </row>
    <row r="46" spans="2:7" ht="14" x14ac:dyDescent="0.3">
      <c r="B46" s="4" t="s">
        <v>102</v>
      </c>
      <c r="C46" s="21">
        <f>1/(1+C26)^(C19+0)</f>
        <v>0.92992762838232124</v>
      </c>
      <c r="D46" s="21">
        <f>1/(1+C26)^(C19+1)</f>
        <v>0.86476539402876851</v>
      </c>
      <c r="E46" s="21">
        <f>1/(1+C26)^(C19+2)</f>
        <v>0.80416923197627621</v>
      </c>
      <c r="F46" s="21">
        <f>1/(1+C26)^(C19+3)</f>
        <v>0.74781918670973135</v>
      </c>
      <c r="G46" s="21">
        <f>1/(1+C26)^(C19+4)</f>
        <v>0.69541772275577673</v>
      </c>
    </row>
    <row r="47" spans="2:7" ht="14" x14ac:dyDescent="0.3">
      <c r="B47" s="4" t="s">
        <v>103</v>
      </c>
      <c r="C47" s="19">
        <f>C45*C46</f>
        <v>44178.898360852887</v>
      </c>
      <c r="D47" s="19">
        <f>D45*D46</f>
        <v>46284.1720702858</v>
      </c>
      <c r="E47" s="19">
        <f>E45*E46</f>
        <v>46736.040261550224</v>
      </c>
      <c r="F47" s="19">
        <f>F45*F46</f>
        <v>46765.736604072488</v>
      </c>
      <c r="G47" s="19">
        <f>G45*G46</f>
        <v>46422.418490767668</v>
      </c>
    </row>
    <row r="49" spans="2:7" ht="14" x14ac:dyDescent="0.3">
      <c r="B49" s="22" t="s">
        <v>104</v>
      </c>
      <c r="C49" s="23"/>
      <c r="D49" s="23"/>
      <c r="E49" s="23"/>
      <c r="F49" s="23"/>
      <c r="G49" s="23"/>
    </row>
    <row r="50" spans="2:7" ht="14" x14ac:dyDescent="0.3">
      <c r="B50" s="4" t="s">
        <v>105</v>
      </c>
      <c r="C50" s="5">
        <f>SUM(C47:G47)</f>
        <v>230387.26578752906</v>
      </c>
    </row>
    <row r="51" spans="2:7" ht="14" x14ac:dyDescent="0.3">
      <c r="B51" s="4" t="s">
        <v>106</v>
      </c>
      <c r="C51" s="5">
        <f>G45*(1+C13)/(C26-C13)</f>
        <v>1031670.8884722579</v>
      </c>
    </row>
    <row r="52" spans="2:7" ht="14" x14ac:dyDescent="0.3">
      <c r="B52" s="4" t="s">
        <v>107</v>
      </c>
      <c r="C52" s="5">
        <f>C51*G46</f>
        <v>717442.21989480651</v>
      </c>
    </row>
    <row r="53" spans="2:7" ht="14" x14ac:dyDescent="0.3">
      <c r="B53" s="4" t="s">
        <v>108</v>
      </c>
      <c r="C53" s="5">
        <f>C50+C52</f>
        <v>947829.48568233557</v>
      </c>
    </row>
    <row r="54" spans="2:7" ht="14" x14ac:dyDescent="0.3">
      <c r="B54" s="4" t="s">
        <v>109</v>
      </c>
      <c r="C54" s="5">
        <f>C53-C16</f>
        <v>1090734.4856823357</v>
      </c>
    </row>
    <row r="55" spans="2:7" ht="14" x14ac:dyDescent="0.3">
      <c r="B55" s="4" t="s">
        <v>110</v>
      </c>
      <c r="C55" s="24">
        <f>ROUND(C54*1000000/C15,0)</f>
        <v>2607</v>
      </c>
    </row>
    <row r="57" spans="2:7" ht="14" x14ac:dyDescent="0.3">
      <c r="B57" s="22" t="s">
        <v>111</v>
      </c>
      <c r="C57" s="23"/>
      <c r="D57" s="23"/>
      <c r="E57" s="23"/>
      <c r="F57" s="23"/>
      <c r="G57" s="23"/>
    </row>
    <row r="58" spans="2:7" ht="14" x14ac:dyDescent="0.3">
      <c r="B58" s="4" t="s">
        <v>105</v>
      </c>
      <c r="C58" s="5">
        <f>C50</f>
        <v>230387.26578752906</v>
      </c>
    </row>
    <row r="59" spans="2:7" ht="14" x14ac:dyDescent="0.3">
      <c r="B59" s="4" t="s">
        <v>112</v>
      </c>
      <c r="C59" s="5">
        <f>G39+G42</f>
        <v>101063.0075692157</v>
      </c>
    </row>
    <row r="60" spans="2:7" ht="14" x14ac:dyDescent="0.3">
      <c r="B60" s="4" t="s">
        <v>113</v>
      </c>
      <c r="C60" s="5">
        <f>C59*C14</f>
        <v>1566476.6173228433</v>
      </c>
    </row>
    <row r="61" spans="2:7" ht="14" x14ac:dyDescent="0.3">
      <c r="B61" s="4" t="s">
        <v>107</v>
      </c>
      <c r="C61" s="5">
        <f>C60*G46</f>
        <v>1089355.6019688239</v>
      </c>
    </row>
    <row r="62" spans="2:7" ht="14" x14ac:dyDescent="0.3">
      <c r="B62" s="4" t="s">
        <v>108</v>
      </c>
      <c r="C62" s="5">
        <f>C58+C61</f>
        <v>1319742.867756353</v>
      </c>
    </row>
    <row r="63" spans="2:7" ht="14" x14ac:dyDescent="0.3">
      <c r="B63" s="4" t="s">
        <v>109</v>
      </c>
      <c r="C63" s="5">
        <f>C62-C16</f>
        <v>1462647.867756353</v>
      </c>
    </row>
    <row r="64" spans="2:7" ht="14" x14ac:dyDescent="0.3">
      <c r="B64" s="4" t="s">
        <v>114</v>
      </c>
      <c r="C64" s="24">
        <f>ROUND(C63*1000000/C15,0)</f>
        <v>3497</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0.06</v>
      </c>
      <c r="D69" s="26">
        <v>0.05</v>
      </c>
      <c r="E69" s="26">
        <v>4.4999999999999998E-2</v>
      </c>
      <c r="F69" s="26">
        <v>0.04</v>
      </c>
      <c r="G69" s="26">
        <v>3.5000000000000003E-2</v>
      </c>
    </row>
    <row r="70" spans="2:7" ht="14" x14ac:dyDescent="0.3">
      <c r="B70" s="4" t="s">
        <v>121</v>
      </c>
      <c r="C70" s="26">
        <v>0.09</v>
      </c>
      <c r="D70" s="26">
        <v>7.4999999999999997E-2</v>
      </c>
      <c r="E70" s="26">
        <v>0.06</v>
      </c>
      <c r="F70" s="26">
        <v>0.05</v>
      </c>
      <c r="G70" s="26">
        <v>4.4999999999999998E-2</v>
      </c>
    </row>
    <row r="71" spans="2:7" ht="14" x14ac:dyDescent="0.3">
      <c r="B71" s="4" t="s">
        <v>122</v>
      </c>
      <c r="C71" s="26">
        <v>0.06</v>
      </c>
      <c r="D71" s="26">
        <v>0.05</v>
      </c>
      <c r="E71" s="26">
        <v>4.4999999999999998E-2</v>
      </c>
      <c r="F71" s="26">
        <v>0.04</v>
      </c>
      <c r="G71" s="26">
        <v>3.5000000000000003E-2</v>
      </c>
    </row>
    <row r="72" spans="2:7" ht="14" x14ac:dyDescent="0.3">
      <c r="B72" s="4" t="s">
        <v>123</v>
      </c>
      <c r="C72" s="26">
        <v>0.03</v>
      </c>
      <c r="D72" s="26">
        <v>0.03</v>
      </c>
      <c r="E72" s="26">
        <v>0.03</v>
      </c>
      <c r="F72" s="26">
        <v>2.5000000000000001E-2</v>
      </c>
      <c r="G72" s="26">
        <v>2.5000000000000001E-2</v>
      </c>
    </row>
    <row r="73" spans="2:7" ht="14" x14ac:dyDescent="0.3">
      <c r="B73" s="4" t="s">
        <v>124</v>
      </c>
      <c r="C73" s="26">
        <v>-0.05</v>
      </c>
      <c r="D73" s="26">
        <v>0</v>
      </c>
      <c r="E73" s="26">
        <v>0.02</v>
      </c>
      <c r="F73" s="26">
        <v>2.5000000000000001E-2</v>
      </c>
      <c r="G73" s="26">
        <v>2.5000000000000001E-2</v>
      </c>
    </row>
    <row r="75" spans="2:7" ht="14" x14ac:dyDescent="0.3">
      <c r="B75" s="3" t="s">
        <v>91</v>
      </c>
    </row>
    <row r="76" spans="2:7" ht="14" x14ac:dyDescent="0.3">
      <c r="B76" s="4" t="s">
        <v>84</v>
      </c>
      <c r="C76" s="26">
        <v>0.42</v>
      </c>
      <c r="D76" s="26">
        <v>0.42</v>
      </c>
      <c r="E76" s="26">
        <v>0.42</v>
      </c>
      <c r="F76" s="26">
        <v>0.42</v>
      </c>
      <c r="G76" s="26">
        <v>0.42</v>
      </c>
    </row>
    <row r="77" spans="2:7" ht="14" x14ac:dyDescent="0.3">
      <c r="B77" s="4" t="s">
        <v>121</v>
      </c>
      <c r="C77" s="26">
        <v>0.41</v>
      </c>
      <c r="D77" s="26">
        <v>0.41</v>
      </c>
      <c r="E77" s="26">
        <v>0.41</v>
      </c>
      <c r="F77" s="26">
        <v>0.41</v>
      </c>
      <c r="G77" s="26">
        <v>0.41</v>
      </c>
    </row>
    <row r="78" spans="2:7" ht="14" x14ac:dyDescent="0.3">
      <c r="B78" s="4" t="s">
        <v>122</v>
      </c>
      <c r="C78" s="26">
        <v>0.42</v>
      </c>
      <c r="D78" s="26">
        <v>0.42</v>
      </c>
      <c r="E78" s="26">
        <v>0.42</v>
      </c>
      <c r="F78" s="26">
        <v>0.42</v>
      </c>
      <c r="G78" s="26">
        <v>0.42</v>
      </c>
    </row>
    <row r="79" spans="2:7" ht="14" x14ac:dyDescent="0.3">
      <c r="B79" s="4" t="s">
        <v>123</v>
      </c>
      <c r="C79" s="26">
        <v>0.432</v>
      </c>
      <c r="D79" s="26">
        <v>0.432</v>
      </c>
      <c r="E79" s="26">
        <v>0.432</v>
      </c>
      <c r="F79" s="26">
        <v>0.432</v>
      </c>
      <c r="G79" s="26">
        <v>0.432</v>
      </c>
    </row>
    <row r="80" spans="2:7" ht="14" x14ac:dyDescent="0.3">
      <c r="B80" s="4" t="s">
        <v>124</v>
      </c>
      <c r="C80" s="26">
        <v>0.45500000000000002</v>
      </c>
      <c r="D80" s="26">
        <v>0.45500000000000002</v>
      </c>
      <c r="E80" s="26">
        <v>0.45500000000000002</v>
      </c>
      <c r="F80" s="26">
        <v>0.45500000000000002</v>
      </c>
      <c r="G80" s="26">
        <v>0.45500000000000002</v>
      </c>
    </row>
    <row r="82" spans="2:7" ht="14" x14ac:dyDescent="0.3">
      <c r="B82" s="3" t="s">
        <v>92</v>
      </c>
    </row>
    <row r="83" spans="2:7" ht="14" x14ac:dyDescent="0.3">
      <c r="B83" s="4" t="s">
        <v>84</v>
      </c>
      <c r="C83" s="26">
        <v>0.19400000000000001</v>
      </c>
      <c r="D83" s="26">
        <v>0.1938</v>
      </c>
      <c r="E83" s="26">
        <v>0.19359999999999999</v>
      </c>
      <c r="F83" s="26">
        <v>0.19350000000000001</v>
      </c>
      <c r="G83" s="26">
        <v>0.19339999999999999</v>
      </c>
    </row>
    <row r="84" spans="2:7" ht="14" x14ac:dyDescent="0.3">
      <c r="B84" s="4" t="s">
        <v>121</v>
      </c>
      <c r="C84" s="26">
        <v>0.19800000000000001</v>
      </c>
      <c r="D84" s="26">
        <v>0.19400000000000001</v>
      </c>
      <c r="E84" s="26">
        <v>0.191</v>
      </c>
      <c r="F84" s="26">
        <v>0.1885</v>
      </c>
      <c r="G84" s="26">
        <v>0.1865</v>
      </c>
    </row>
    <row r="85" spans="2:7" ht="14" x14ac:dyDescent="0.3">
      <c r="B85" s="4" t="s">
        <v>122</v>
      </c>
      <c r="C85" s="26">
        <v>0.19400000000000001</v>
      </c>
      <c r="D85" s="26">
        <v>0.1938</v>
      </c>
      <c r="E85" s="26">
        <v>0.19359999999999999</v>
      </c>
      <c r="F85" s="26">
        <v>0.19350000000000001</v>
      </c>
      <c r="G85" s="26">
        <v>0.19339999999999999</v>
      </c>
    </row>
    <row r="86" spans="2:7" ht="14" x14ac:dyDescent="0.3">
      <c r="B86" s="4" t="s">
        <v>123</v>
      </c>
      <c r="C86" s="26">
        <v>0.1835</v>
      </c>
      <c r="D86" s="26">
        <v>0.1842</v>
      </c>
      <c r="E86" s="26">
        <v>0.1847</v>
      </c>
      <c r="F86" s="26">
        <v>0.18509999999999999</v>
      </c>
      <c r="G86" s="26">
        <v>0.18529999999999999</v>
      </c>
    </row>
    <row r="87" spans="2:7" ht="14" x14ac:dyDescent="0.3">
      <c r="B87" s="4" t="s">
        <v>124</v>
      </c>
      <c r="C87" s="26">
        <v>0.20499999999999999</v>
      </c>
      <c r="D87" s="26">
        <v>0.23499999999999999</v>
      </c>
      <c r="E87" s="26">
        <v>0.245</v>
      </c>
      <c r="F87" s="26">
        <v>0.245</v>
      </c>
      <c r="G87" s="26">
        <v>0.24</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4248</v>
      </c>
    </row>
    <row r="7" spans="2:9" ht="14" x14ac:dyDescent="0.3">
      <c r="B7" s="4" t="s">
        <v>72</v>
      </c>
      <c r="C7" s="15">
        <f>'DCF Model'!C15</f>
        <v>418308843</v>
      </c>
    </row>
    <row r="8" spans="2:9" ht="14" x14ac:dyDescent="0.3">
      <c r="B8" s="4" t="s">
        <v>129</v>
      </c>
      <c r="C8" s="5">
        <f>C6*C7/1000000</f>
        <v>1776975.9650640001</v>
      </c>
    </row>
    <row r="9" spans="2:9" ht="14" x14ac:dyDescent="0.3">
      <c r="B9" s="4" t="s">
        <v>73</v>
      </c>
      <c r="C9" s="5">
        <f>'DCF Model'!C16</f>
        <v>-142905</v>
      </c>
    </row>
    <row r="10" spans="2:9" ht="14" x14ac:dyDescent="0.3">
      <c r="B10" s="4" t="s">
        <v>130</v>
      </c>
      <c r="C10" s="5">
        <f>C8+C9</f>
        <v>1634070.9650640001</v>
      </c>
    </row>
    <row r="11" spans="2:9" ht="14" x14ac:dyDescent="0.3">
      <c r="B11" s="4" t="s">
        <v>131</v>
      </c>
      <c r="C11" s="16">
        <f>'DCF Model'!C26</f>
        <v>7.5352500000000003E-2</v>
      </c>
    </row>
    <row r="12" spans="2:9" ht="14" x14ac:dyDescent="0.3">
      <c r="B12" s="4" t="s">
        <v>132</v>
      </c>
      <c r="C12" s="16">
        <f>'DCF Model'!C13</f>
        <v>0.01</v>
      </c>
    </row>
    <row r="13" spans="2:9" ht="14" x14ac:dyDescent="0.3">
      <c r="B13" s="4" t="s">
        <v>133</v>
      </c>
      <c r="C13" s="16">
        <f>'DCF Model'!C6</f>
        <v>0.25</v>
      </c>
    </row>
    <row r="14" spans="2:9" ht="14" x14ac:dyDescent="0.3">
      <c r="B14" s="4" t="s">
        <v>134</v>
      </c>
      <c r="C14" s="27">
        <v>75296</v>
      </c>
    </row>
    <row r="15" spans="2:9" ht="14" x14ac:dyDescent="0.3">
      <c r="B15" s="4" t="s">
        <v>135</v>
      </c>
      <c r="C15" s="27">
        <v>75296</v>
      </c>
    </row>
    <row r="16" spans="2:9" ht="14" x14ac:dyDescent="0.3">
      <c r="B16" s="4" t="s">
        <v>136</v>
      </c>
      <c r="C16" s="5">
        <f>'DCF Model'!G33</f>
        <v>244586.17514331001</v>
      </c>
    </row>
    <row r="17" spans="2:9" ht="14" x14ac:dyDescent="0.3">
      <c r="B17" s="4" t="s">
        <v>137</v>
      </c>
      <c r="C17" s="5">
        <f>'DCF Model'!C53</f>
        <v>947829.48568233557</v>
      </c>
    </row>
    <row r="18" spans="2:9" ht="14" x14ac:dyDescent="0.3">
      <c r="B18" s="4" t="s">
        <v>138</v>
      </c>
      <c r="C18" s="26">
        <v>0.38541192127556112</v>
      </c>
    </row>
    <row r="19" spans="2:9" ht="14" x14ac:dyDescent="0.3">
      <c r="B19" s="4" t="s">
        <v>139</v>
      </c>
      <c r="C19" s="5">
        <f>C10-C17</f>
        <v>686241.47938166454</v>
      </c>
    </row>
    <row r="20" spans="2:9" ht="14" x14ac:dyDescent="0.3">
      <c r="B20" s="4" t="s">
        <v>140</v>
      </c>
      <c r="C20" s="15">
        <f>IFERROR(ROUND(C19*1000000/C7,0),"N/A")</f>
        <v>1641</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106790.62274434508</v>
      </c>
    </row>
    <row r="25" spans="2:9" ht="14" x14ac:dyDescent="0.3">
      <c r="B25" s="4" t="s">
        <v>144</v>
      </c>
      <c r="C25" s="5">
        <f>IFERROR(C24/(1-C13),"N/A")</f>
        <v>142387.4969924601</v>
      </c>
    </row>
    <row r="26" spans="2:9" ht="13.5" x14ac:dyDescent="0.25">
      <c r="B26" s="6" t="s">
        <v>145</v>
      </c>
      <c r="C26" s="14">
        <f>IFERROR(C25/C15,"N/A")</f>
        <v>1.8910366685143978</v>
      </c>
    </row>
    <row r="27" spans="2:9" ht="13.5" x14ac:dyDescent="0.25">
      <c r="B27" s="6" t="s">
        <v>146</v>
      </c>
      <c r="C27" s="14">
        <f>IFERROR(C25/C14,"N/A")</f>
        <v>1.8910366685143978</v>
      </c>
    </row>
    <row r="28" spans="2:9" ht="13.5" x14ac:dyDescent="0.25">
      <c r="B28" s="6" t="s">
        <v>147</v>
      </c>
      <c r="C28" s="7">
        <f>IFERROR(C25/C16,"N/A")</f>
        <v>0.58215676707414554</v>
      </c>
    </row>
    <row r="29" spans="2:9" ht="13.5" x14ac:dyDescent="0.25">
      <c r="B29" s="6" t="s">
        <v>148</v>
      </c>
      <c r="C29" s="5">
        <f>IFERROR(C25/C18,"N/A")</f>
        <v>369442.37874431536</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5.5352499999999999E-2</v>
      </c>
      <c r="E36" s="29">
        <f>'DCF Model'!C26-0.01</f>
        <v>6.5352500000000008E-2</v>
      </c>
      <c r="F36" s="29">
        <f>'DCF Model'!C26</f>
        <v>7.5352500000000003E-2</v>
      </c>
      <c r="G36" s="29">
        <f>'DCF Model'!C26+0.01</f>
        <v>8.5352499999999998E-2</v>
      </c>
      <c r="H36" s="29">
        <f>'DCF Model'!C26+0.02</f>
        <v>9.5352500000000007E-2</v>
      </c>
    </row>
    <row r="37" spans="2:9" ht="14" x14ac:dyDescent="0.3">
      <c r="B37" s="3" t="s">
        <v>154</v>
      </c>
    </row>
    <row r="38" spans="2:9" ht="14" x14ac:dyDescent="0.3">
      <c r="B38" s="4" t="s">
        <v>155</v>
      </c>
      <c r="C38" s="30">
        <v>3</v>
      </c>
      <c r="D38" s="13">
        <f t="shared" ref="D38:H41" si="0">IFERROR((1-(1+D$36)^(-$C38))/D$36-(1+D$36)/(D$36^2*$C38)*(1-($C38+1)/(1+D$36)^$C38+$C38/(1+D$36)^($C38+1)),"N/A")</f>
        <v>0.93098457620705011</v>
      </c>
      <c r="E38" s="13">
        <f t="shared" si="0"/>
        <v>0.91946294898774439</v>
      </c>
      <c r="F38" s="13">
        <f t="shared" si="0"/>
        <v>0.90820688359779123</v>
      </c>
      <c r="G38" s="13">
        <f t="shared" si="0"/>
        <v>0.89720763544134252</v>
      </c>
      <c r="H38" s="13">
        <f t="shared" si="0"/>
        <v>0.88645683006954368</v>
      </c>
    </row>
    <row r="39" spans="2:9" ht="14" x14ac:dyDescent="0.3">
      <c r="B39" s="4" t="s">
        <v>156</v>
      </c>
      <c r="C39" s="30">
        <v>5</v>
      </c>
      <c r="D39" s="13">
        <f t="shared" si="0"/>
        <v>1.7982839591424113</v>
      </c>
      <c r="E39" s="13">
        <f t="shared" si="0"/>
        <v>1.7656407351238204</v>
      </c>
      <c r="F39" s="13">
        <f t="shared" si="0"/>
        <v>1.7340328692555591</v>
      </c>
      <c r="G39" s="13">
        <f t="shared" si="0"/>
        <v>1.7034155615590771</v>
      </c>
      <c r="H39" s="13">
        <f t="shared" si="0"/>
        <v>1.6737464186957731</v>
      </c>
    </row>
    <row r="40" spans="2:9" ht="14" x14ac:dyDescent="0.3">
      <c r="B40" s="4" t="s">
        <v>157</v>
      </c>
      <c r="C40" s="30">
        <v>7</v>
      </c>
      <c r="D40" s="13">
        <f t="shared" si="0"/>
        <v>2.6067904352616935</v>
      </c>
      <c r="E40" s="13">
        <f t="shared" si="0"/>
        <v>2.5450908942632506</v>
      </c>
      <c r="F40" s="13">
        <f t="shared" si="0"/>
        <v>2.485864403948697</v>
      </c>
      <c r="G40" s="13">
        <f t="shared" si="0"/>
        <v>2.428979141261002</v>
      </c>
      <c r="H40" s="13">
        <f t="shared" si="0"/>
        <v>2.3743118263008429</v>
      </c>
    </row>
    <row r="41" spans="2:9" ht="14" x14ac:dyDescent="0.3">
      <c r="B41" s="4" t="s">
        <v>158</v>
      </c>
      <c r="C41" s="30">
        <v>10</v>
      </c>
      <c r="D41" s="13">
        <f t="shared" si="0"/>
        <v>3.7190381358777529</v>
      </c>
      <c r="E41" s="13">
        <f t="shared" si="0"/>
        <v>3.6019732104722615</v>
      </c>
      <c r="F41" s="13">
        <f t="shared" si="0"/>
        <v>3.4910046111149113</v>
      </c>
      <c r="G41" s="13">
        <f t="shared" si="0"/>
        <v>3.3857190632295433</v>
      </c>
      <c r="H41" s="13">
        <f t="shared" si="0"/>
        <v>3.2857367191685825</v>
      </c>
    </row>
    <row r="42" spans="2:9" ht="14" x14ac:dyDescent="0.3">
      <c r="B42" s="3" t="s">
        <v>159</v>
      </c>
    </row>
    <row r="43" spans="2:9" ht="14" x14ac:dyDescent="0.3">
      <c r="B43" s="4" t="s">
        <v>155</v>
      </c>
      <c r="C43" s="30">
        <v>3</v>
      </c>
      <c r="D43" s="13">
        <f t="shared" ref="D43:H46" si="1">IFERROR((1+D$36)/(D$36^2*$C43)*(1-($C43+1)/(1+D$36)^$C43+$C43/(1+D$36)^($C43+1))+(1+$C$12)/((D$36-$C$12)*(1+D$36)^$C43),"N/A")</f>
        <v>20.711614392154896</v>
      </c>
      <c r="E43" s="13">
        <f t="shared" si="1"/>
        <v>16.817814971091956</v>
      </c>
      <c r="F43" s="13">
        <f t="shared" si="1"/>
        <v>14.11880921794215</v>
      </c>
      <c r="G43" s="13">
        <f t="shared" si="1"/>
        <v>12.138821261292282</v>
      </c>
      <c r="H43" s="13">
        <f t="shared" si="1"/>
        <v>10.625048705757481</v>
      </c>
    </row>
    <row r="44" spans="2:9" ht="14" x14ac:dyDescent="0.3">
      <c r="B44" s="4" t="s">
        <v>156</v>
      </c>
      <c r="C44" s="30">
        <v>5</v>
      </c>
      <c r="D44" s="13">
        <f t="shared" si="1"/>
        <v>19.478976955744788</v>
      </c>
      <c r="E44" s="13">
        <f t="shared" si="1"/>
        <v>15.681980452846171</v>
      </c>
      <c r="F44" s="13">
        <f t="shared" si="1"/>
        <v>13.055503653280365</v>
      </c>
      <c r="G44" s="13">
        <f t="shared" si="1"/>
        <v>11.133179625540203</v>
      </c>
      <c r="H44" s="13">
        <f t="shared" si="1"/>
        <v>9.6672195198465563</v>
      </c>
    </row>
    <row r="45" spans="2:9" ht="14" x14ac:dyDescent="0.3">
      <c r="B45" s="4" t="s">
        <v>157</v>
      </c>
      <c r="C45" s="30">
        <v>7</v>
      </c>
      <c r="D45" s="13">
        <f t="shared" si="1"/>
        <v>18.342450857494999</v>
      </c>
      <c r="E45" s="13">
        <f t="shared" si="1"/>
        <v>14.647320716535061</v>
      </c>
      <c r="F45" s="13">
        <f t="shared" si="1"/>
        <v>12.098307996876033</v>
      </c>
      <c r="G45" s="13">
        <f t="shared" si="1"/>
        <v>10.238316050681053</v>
      </c>
      <c r="H45" s="13">
        <f t="shared" si="1"/>
        <v>8.8245137475161464</v>
      </c>
    </row>
    <row r="46" spans="2:9" ht="14" x14ac:dyDescent="0.3">
      <c r="B46" s="4" t="s">
        <v>158</v>
      </c>
      <c r="C46" s="30">
        <v>10</v>
      </c>
      <c r="D46" s="13">
        <f t="shared" si="1"/>
        <v>16.799914641623328</v>
      </c>
      <c r="E46" s="13">
        <f t="shared" si="1"/>
        <v>13.263385995051225</v>
      </c>
      <c r="F46" s="13">
        <f t="shared" si="1"/>
        <v>10.836000361853278</v>
      </c>
      <c r="G46" s="13">
        <f t="shared" si="1"/>
        <v>9.0743580229245975</v>
      </c>
      <c r="H46" s="13">
        <f t="shared" si="1"/>
        <v>7.7430008228067813</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101810.5992211128</v>
      </c>
      <c r="E48" s="5">
        <f t="shared" si="2"/>
        <v>125434.21414559957</v>
      </c>
      <c r="F48" s="5">
        <f t="shared" si="2"/>
        <v>149472.72880228161</v>
      </c>
      <c r="G48" s="5">
        <f t="shared" si="2"/>
        <v>173921.75856200492</v>
      </c>
      <c r="H48" s="5">
        <f t="shared" si="2"/>
        <v>198776.93663000615</v>
      </c>
    </row>
    <row r="49" spans="2:9" ht="14" x14ac:dyDescent="0.3">
      <c r="B49" s="4" t="s">
        <v>156</v>
      </c>
      <c r="C49" s="30">
        <v>5</v>
      </c>
      <c r="D49" s="5">
        <f t="shared" si="2"/>
        <v>104900.66816172196</v>
      </c>
      <c r="E49" s="5">
        <f t="shared" si="2"/>
        <v>130456.45657521626</v>
      </c>
      <c r="F49" s="5">
        <f t="shared" si="2"/>
        <v>156883.68692799512</v>
      </c>
      <c r="G49" s="5">
        <f t="shared" si="2"/>
        <v>184179.27111540281</v>
      </c>
      <c r="H49" s="5">
        <f t="shared" si="2"/>
        <v>212339.73969409411</v>
      </c>
    </row>
    <row r="50" spans="2:9" ht="14" x14ac:dyDescent="0.3">
      <c r="B50" s="4" t="s">
        <v>157</v>
      </c>
      <c r="C50" s="30">
        <v>7</v>
      </c>
      <c r="D50" s="5">
        <f t="shared" si="2"/>
        <v>108081.54316676086</v>
      </c>
      <c r="E50" s="5">
        <f t="shared" si="2"/>
        <v>135664.81960993237</v>
      </c>
      <c r="F50" s="5">
        <f t="shared" si="2"/>
        <v>164616.8737898338</v>
      </c>
      <c r="G50" s="5">
        <f t="shared" si="2"/>
        <v>194941.12737405155</v>
      </c>
      <c r="H50" s="5">
        <f t="shared" si="2"/>
        <v>226639.69491143822</v>
      </c>
    </row>
    <row r="51" spans="2:9" ht="14" x14ac:dyDescent="0.3">
      <c r="B51" s="4" t="s">
        <v>158</v>
      </c>
      <c r="C51" s="30">
        <v>10</v>
      </c>
      <c r="D51" s="5">
        <f t="shared" si="2"/>
        <v>113020.37133978435</v>
      </c>
      <c r="E51" s="5">
        <f t="shared" si="2"/>
        <v>143820.52310081423</v>
      </c>
      <c r="F51" s="5">
        <f t="shared" si="2"/>
        <v>176809.01989429386</v>
      </c>
      <c r="G51" s="5">
        <f t="shared" si="2"/>
        <v>212007.30446240783</v>
      </c>
      <c r="H51" s="5">
        <f t="shared" si="2"/>
        <v>249432.81021703148</v>
      </c>
    </row>
    <row r="52" spans="2:9" ht="14" x14ac:dyDescent="0.3">
      <c r="B52" s="22" t="s">
        <v>161</v>
      </c>
      <c r="C52" s="23"/>
      <c r="D52" s="23"/>
      <c r="E52" s="23"/>
      <c r="F52" s="23"/>
      <c r="G52" s="23"/>
      <c r="H52" s="23"/>
      <c r="I52" s="23"/>
    </row>
    <row r="53" spans="2:9" ht="14" x14ac:dyDescent="0.3">
      <c r="B53" s="4" t="s">
        <v>155</v>
      </c>
      <c r="C53" s="30">
        <v>3</v>
      </c>
      <c r="D53" s="14">
        <f t="shared" ref="D53:H56" si="3">IFERROR(D48/$C$15,"N/A")</f>
        <v>1.3521382174499681</v>
      </c>
      <c r="E53" s="14">
        <f t="shared" si="3"/>
        <v>1.6658815095835047</v>
      </c>
      <c r="F53" s="14">
        <f t="shared" si="3"/>
        <v>1.9851350510290269</v>
      </c>
      <c r="G53" s="14">
        <f t="shared" si="3"/>
        <v>2.3098406098863808</v>
      </c>
      <c r="H53" s="14">
        <f t="shared" si="3"/>
        <v>2.6399401911124913</v>
      </c>
    </row>
    <row r="54" spans="2:9" ht="14" x14ac:dyDescent="0.3">
      <c r="B54" s="4" t="s">
        <v>156</v>
      </c>
      <c r="C54" s="30">
        <v>5</v>
      </c>
      <c r="D54" s="14">
        <f t="shared" si="3"/>
        <v>1.3931771695936299</v>
      </c>
      <c r="E54" s="14">
        <f t="shared" si="3"/>
        <v>1.7325814993521071</v>
      </c>
      <c r="F54" s="14">
        <f t="shared" si="3"/>
        <v>2.0835593780279846</v>
      </c>
      <c r="G54" s="14">
        <f t="shared" si="3"/>
        <v>2.4460697927566248</v>
      </c>
      <c r="H54" s="14">
        <f t="shared" si="3"/>
        <v>2.8200666661455336</v>
      </c>
    </row>
    <row r="55" spans="2:9" ht="14" x14ac:dyDescent="0.3">
      <c r="B55" s="4" t="s">
        <v>157</v>
      </c>
      <c r="C55" s="30">
        <v>7</v>
      </c>
      <c r="D55" s="14">
        <f t="shared" si="3"/>
        <v>1.435422109630802</v>
      </c>
      <c r="E55" s="14">
        <f t="shared" si="3"/>
        <v>1.801753341610874</v>
      </c>
      <c r="F55" s="14">
        <f t="shared" si="3"/>
        <v>2.186263198441269</v>
      </c>
      <c r="G55" s="14">
        <f t="shared" si="3"/>
        <v>2.5889971230085469</v>
      </c>
      <c r="H55" s="14">
        <f t="shared" si="3"/>
        <v>3.0099831984625771</v>
      </c>
    </row>
    <row r="56" spans="2:9" ht="14" x14ac:dyDescent="0.3">
      <c r="B56" s="4" t="s">
        <v>158</v>
      </c>
      <c r="C56" s="30">
        <v>10</v>
      </c>
      <c r="D56" s="14">
        <f t="shared" si="3"/>
        <v>1.5010142814994734</v>
      </c>
      <c r="E56" s="14">
        <f t="shared" si="3"/>
        <v>1.9100685707184211</v>
      </c>
      <c r="F56" s="14">
        <f t="shared" si="3"/>
        <v>2.3481860908188197</v>
      </c>
      <c r="G56" s="14">
        <f t="shared" si="3"/>
        <v>2.8156516211008267</v>
      </c>
      <c r="H56" s="14">
        <f t="shared" si="3"/>
        <v>3.3126966932776174</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156883.68692799512</v>
      </c>
    </row>
    <row r="62" spans="2:9" ht="14" x14ac:dyDescent="0.3">
      <c r="B62" s="28" t="s">
        <v>165</v>
      </c>
      <c r="C62" s="28" t="s">
        <v>166</v>
      </c>
      <c r="D62" s="28" t="s">
        <v>167</v>
      </c>
    </row>
    <row r="63" spans="2:9" ht="14" x14ac:dyDescent="0.3">
      <c r="B63" s="31">
        <v>0.19270000000000001</v>
      </c>
      <c r="C63" s="5">
        <f>IFERROR($C$60/B63,"N/A")</f>
        <v>814134.3379761033</v>
      </c>
      <c r="D63" s="14">
        <f>IFERROR(C63/'DCF Model'!C17,"N/A")</f>
        <v>4.1672476542681816</v>
      </c>
    </row>
    <row r="64" spans="2:9" ht="14" x14ac:dyDescent="0.3">
      <c r="B64" s="31">
        <v>0.28910000000000002</v>
      </c>
      <c r="C64" s="5">
        <f>IFERROR($C$60/B64,"N/A")</f>
        <v>542662.35533723666</v>
      </c>
      <c r="D64" s="14">
        <f>IFERROR(C64/'DCF Model'!C17,"N/A")</f>
        <v>2.7776846177014134</v>
      </c>
    </row>
    <row r="65" spans="2:9" ht="14" x14ac:dyDescent="0.3">
      <c r="B65" s="4" t="s">
        <v>168</v>
      </c>
      <c r="C65" s="5">
        <f>IFERROR($C$60/$C$18,"N/A")</f>
        <v>407054.5778884372</v>
      </c>
      <c r="D65" s="14">
        <f>IFERROR(C65/'DCF Model'!C17,"N/A")</f>
        <v>2.0835593780279846</v>
      </c>
    </row>
    <row r="66" spans="2:9" ht="14" x14ac:dyDescent="0.3">
      <c r="B66" s="31">
        <v>0.48180000000000001</v>
      </c>
      <c r="C66" s="5">
        <f>IFERROR($C$60/B66,"N/A")</f>
        <v>325619.93965959968</v>
      </c>
      <c r="D66" s="14">
        <f>IFERROR(C66/'DCF Model'!C17,"N/A")</f>
        <v>1.6667260750881667</v>
      </c>
    </row>
    <row r="67" spans="2:9" ht="14" x14ac:dyDescent="0.3">
      <c r="B67" s="31">
        <v>0.57809999999999995</v>
      </c>
      <c r="C67" s="5">
        <f>IFERROR($C$60/B67,"N/A")</f>
        <v>271378.11265870114</v>
      </c>
      <c r="D67" s="14">
        <f>IFERROR(C67/'DCF Model'!C17,"N/A")</f>
        <v>1.3890825514227274</v>
      </c>
    </row>
    <row r="69" spans="2:9" ht="14" x14ac:dyDescent="0.3">
      <c r="B69" s="8" t="s">
        <v>169</v>
      </c>
      <c r="C69" s="9"/>
      <c r="D69" s="9"/>
      <c r="E69" s="9"/>
      <c r="F69" s="9"/>
      <c r="G69" s="9"/>
      <c r="H69" s="9"/>
      <c r="I69" s="9"/>
    </row>
    <row r="70" spans="2:9" ht="13.5" x14ac:dyDescent="0.25">
      <c r="B70" s="6" t="s">
        <v>170</v>
      </c>
      <c r="C70" s="14">
        <f>IFERROR(C10/'Comps Analysis'!G5,"N/A")</f>
        <v>20.300026896541443</v>
      </c>
    </row>
    <row r="71" spans="2:9" ht="13.5" x14ac:dyDescent="0.25">
      <c r="B71" s="6" t="s">
        <v>171</v>
      </c>
      <c r="C71" s="14">
        <f>IFERROR(C10/'Comps Analysis'!F5,"N/A")</f>
        <v>8.36419504549945</v>
      </c>
    </row>
    <row r="72" spans="2:9" ht="14" x14ac:dyDescent="0.3">
      <c r="B72" s="4" t="s">
        <v>172</v>
      </c>
      <c r="C72" s="14">
        <f>IFERROR(C10/(C25+'DCF Model'!G42),"N/A")</f>
        <v>10.974764398907649</v>
      </c>
    </row>
    <row r="73" spans="2:9" ht="14" x14ac:dyDescent="0.3">
      <c r="B73" s="4" t="s">
        <v>173</v>
      </c>
      <c r="C73" s="14">
        <f>IFERROR(C10/(C60+'DCF Model'!G42),"N/A")</f>
        <v>10.001065998763174</v>
      </c>
    </row>
    <row r="74" spans="2:9" ht="14" x14ac:dyDescent="0.3">
      <c r="B74" s="4" t="s">
        <v>174</v>
      </c>
      <c r="C74" s="14">
        <f>IFERROR('Comps Analysis'!D16,"N/A")</f>
        <v>15.465039655547294</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4,248 yen the market is paying for a steady-state operating profit of 156,884 mn JPY - 2.08x the FY2026 cycle peak of 75,296 mn - reached in 5 years and sustained for ever, against 75,296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142,387 mn, or 1.89x the peak. The base case supports an EV of only 947,829 mn, leaving 1,641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62.182555729020038</v>
      </c>
      <c r="D5" s="34">
        <f>CHOOSE('DCF Model'!$D$27,D25,D26,D27,D28,D29)</f>
        <v>67</v>
      </c>
      <c r="E5" s="34">
        <f>CHOOSE('DCF Model'!$D$27,E25,E26,E27,E28,E29)</f>
        <v>67</v>
      </c>
      <c r="F5" s="34">
        <f>CHOOSE('DCF Model'!$D$27,F25,F26,F27,F28,F29)</f>
        <v>67</v>
      </c>
      <c r="G5" s="34">
        <f>CHOOSE('DCF Model'!$D$27,G25,G26,G27,G28,G29)</f>
        <v>67</v>
      </c>
      <c r="H5" s="34">
        <f>CHOOSE('DCF Model'!$D$27,H25,H26,H27,H28,H29)</f>
        <v>67</v>
      </c>
    </row>
    <row r="6" spans="2:8" ht="14" x14ac:dyDescent="0.3">
      <c r="B6" s="33" t="s">
        <v>181</v>
      </c>
      <c r="C6" s="34">
        <f>C13/C10*365</f>
        <v>262.85212632271248</v>
      </c>
      <c r="D6" s="34">
        <f>CHOOSE('DCF Model'!$D$27,D32,D33,D34,D35,D36)</f>
        <v>265</v>
      </c>
      <c r="E6" s="34">
        <f>CHOOSE('DCF Model'!$D$27,E32,E33,E34,E35,E36)</f>
        <v>265</v>
      </c>
      <c r="F6" s="34">
        <f>CHOOSE('DCF Model'!$D$27,F32,F33,F34,F35,F36)</f>
        <v>265</v>
      </c>
      <c r="G6" s="34">
        <f>CHOOSE('DCF Model'!$D$27,G32,G33,G34,G35,G36)</f>
        <v>265</v>
      </c>
      <c r="H6" s="34">
        <f>CHOOSE('DCF Model'!$D$27,H32,H33,H34,H35,H36)</f>
        <v>265</v>
      </c>
    </row>
    <row r="7" spans="2:8" ht="14" x14ac:dyDescent="0.3">
      <c r="B7" s="33" t="s">
        <v>182</v>
      </c>
      <c r="C7" s="34">
        <f>C15/C10*365</f>
        <v>17.498326423714282</v>
      </c>
      <c r="D7" s="34">
        <f>CHOOSE('DCF Model'!$D$27,D39,D40,D41,D42,D43)</f>
        <v>18</v>
      </c>
      <c r="E7" s="34">
        <f>CHOOSE('DCF Model'!$D$27,E39,E40,E41,E42,E43)</f>
        <v>18</v>
      </c>
      <c r="F7" s="34">
        <f>CHOOSE('DCF Model'!$D$27,F39,F40,F41,F42,F43)</f>
        <v>18</v>
      </c>
      <c r="G7" s="34">
        <f>CHOOSE('DCF Model'!$D$27,G39,G40,G41,G42,G43)</f>
        <v>18</v>
      </c>
      <c r="H7" s="34">
        <f>CHOOSE('DCF Model'!$D$27,H39,H40,H41,H42,H43)</f>
        <v>18</v>
      </c>
    </row>
    <row r="8" spans="2:8" ht="14" x14ac:dyDescent="0.3">
      <c r="B8" s="8" t="s">
        <v>183</v>
      </c>
      <c r="C8" s="9"/>
      <c r="D8" s="9"/>
      <c r="E8" s="9"/>
      <c r="F8" s="9"/>
      <c r="G8" s="9"/>
      <c r="H8" s="9"/>
    </row>
    <row r="9" spans="2:8" ht="14" x14ac:dyDescent="0.3">
      <c r="B9" s="33" t="s">
        <v>37</v>
      </c>
      <c r="C9" s="35">
        <v>195365</v>
      </c>
      <c r="D9" s="35">
        <f>'DCF Model'!C33</f>
        <v>207086.90000000002</v>
      </c>
      <c r="E9" s="35">
        <f>'DCF Model'!D33</f>
        <v>217441.24500000002</v>
      </c>
      <c r="F9" s="35">
        <f>'DCF Model'!E33</f>
        <v>227226.10102500001</v>
      </c>
      <c r="G9" s="35">
        <f>'DCF Model'!F33</f>
        <v>236315.14506600003</v>
      </c>
      <c r="H9" s="35">
        <f>'DCF Model'!G33</f>
        <v>244586.17514331001</v>
      </c>
    </row>
    <row r="10" spans="2:8" ht="14" x14ac:dyDescent="0.3">
      <c r="B10" s="33" t="s">
        <v>38</v>
      </c>
      <c r="C10" s="35">
        <v>85147</v>
      </c>
      <c r="D10" s="35">
        <f>'DCF Model'!C34</f>
        <v>86976.498000000007</v>
      </c>
      <c r="E10" s="35">
        <f>'DCF Model'!D34</f>
        <v>91325.322900000014</v>
      </c>
      <c r="F10" s="35">
        <f>'DCF Model'!E34</f>
        <v>95434.962430500003</v>
      </c>
      <c r="G10" s="35">
        <f>'DCF Model'!F34</f>
        <v>99252.360927720001</v>
      </c>
      <c r="H10" s="35">
        <f>'DCF Model'!G34</f>
        <v>102726.19356019021</v>
      </c>
    </row>
    <row r="11" spans="2:8" ht="14" x14ac:dyDescent="0.3">
      <c r="B11" s="8" t="s">
        <v>184</v>
      </c>
      <c r="C11" s="9"/>
      <c r="D11" s="9"/>
      <c r="E11" s="9"/>
      <c r="F11" s="9"/>
      <c r="G11" s="9"/>
      <c r="H11" s="9"/>
    </row>
    <row r="12" spans="2:8" ht="14" x14ac:dyDescent="0.3">
      <c r="B12" s="33" t="s">
        <v>185</v>
      </c>
      <c r="C12" s="35">
        <v>33283</v>
      </c>
      <c r="D12" s="35">
        <f t="shared" ref="D12:H13" si="0">D9*D5/365</f>
        <v>38013.211780821919</v>
      </c>
      <c r="E12" s="35">
        <f t="shared" si="0"/>
        <v>39913.872369863013</v>
      </c>
      <c r="F12" s="35">
        <f t="shared" si="0"/>
        <v>41709.996626506851</v>
      </c>
      <c r="G12" s="35">
        <f t="shared" si="0"/>
        <v>43378.396491567124</v>
      </c>
      <c r="H12" s="35">
        <f t="shared" si="0"/>
        <v>44896.640368771979</v>
      </c>
    </row>
    <row r="13" spans="2:8" ht="14" x14ac:dyDescent="0.3">
      <c r="B13" s="33" t="s">
        <v>186</v>
      </c>
      <c r="C13" s="35">
        <v>61318</v>
      </c>
      <c r="D13" s="35">
        <f t="shared" si="0"/>
        <v>63147.32046575343</v>
      </c>
      <c r="E13" s="35">
        <f t="shared" si="0"/>
        <v>66304.686489041109</v>
      </c>
      <c r="F13" s="35">
        <f t="shared" si="0"/>
        <v>69288.397381047951</v>
      </c>
      <c r="G13" s="35">
        <f t="shared" si="0"/>
        <v>72059.93327628987</v>
      </c>
      <c r="H13" s="35">
        <f t="shared" si="0"/>
        <v>74582.030940960016</v>
      </c>
    </row>
    <row r="14" spans="2:8" ht="14" x14ac:dyDescent="0.3">
      <c r="B14" s="33" t="s">
        <v>187</v>
      </c>
      <c r="C14" s="35">
        <f t="shared" ref="C14:H14" si="1">C12+C13</f>
        <v>94601</v>
      </c>
      <c r="D14" s="35">
        <f t="shared" si="1"/>
        <v>101160.53224657534</v>
      </c>
      <c r="E14" s="35">
        <f t="shared" si="1"/>
        <v>106218.55885890411</v>
      </c>
      <c r="F14" s="35">
        <f t="shared" si="1"/>
        <v>110998.3940075548</v>
      </c>
      <c r="G14" s="35">
        <f t="shared" si="1"/>
        <v>115438.32976785699</v>
      </c>
      <c r="H14" s="35">
        <f t="shared" si="1"/>
        <v>119478.67130973199</v>
      </c>
    </row>
    <row r="15" spans="2:8" ht="14" x14ac:dyDescent="0.3">
      <c r="B15" s="33" t="s">
        <v>188</v>
      </c>
      <c r="C15" s="35">
        <v>4082</v>
      </c>
      <c r="D15" s="35">
        <f>D10*D7/365</f>
        <v>4289.251956164384</v>
      </c>
      <c r="E15" s="35">
        <f>E10*E7/365</f>
        <v>4503.7145539726034</v>
      </c>
      <c r="F15" s="35">
        <f>F10*F7/365</f>
        <v>4706.3817089013701</v>
      </c>
      <c r="G15" s="35">
        <f>G10*G7/365</f>
        <v>4894.6369772574244</v>
      </c>
      <c r="H15" s="35">
        <f>H10*H7/365</f>
        <v>5065.9492714614353</v>
      </c>
    </row>
    <row r="16" spans="2:8" ht="14" x14ac:dyDescent="0.3">
      <c r="B16" s="33" t="s">
        <v>189</v>
      </c>
      <c r="C16" s="35">
        <f t="shared" ref="C16:H16" si="2">C15</f>
        <v>4082</v>
      </c>
      <c r="D16" s="35">
        <f t="shared" si="2"/>
        <v>4289.251956164384</v>
      </c>
      <c r="E16" s="35">
        <f t="shared" si="2"/>
        <v>4503.7145539726034</v>
      </c>
      <c r="F16" s="35">
        <f t="shared" si="2"/>
        <v>4706.3817089013701</v>
      </c>
      <c r="G16" s="35">
        <f t="shared" si="2"/>
        <v>4894.6369772574244</v>
      </c>
      <c r="H16" s="35">
        <f t="shared" si="2"/>
        <v>5065.9492714614353</v>
      </c>
    </row>
    <row r="17" spans="2:8" ht="14" x14ac:dyDescent="0.3">
      <c r="B17" s="22" t="s">
        <v>190</v>
      </c>
      <c r="C17" s="23"/>
      <c r="D17" s="23"/>
      <c r="E17" s="23"/>
      <c r="F17" s="23"/>
      <c r="G17" s="23"/>
      <c r="H17" s="23"/>
    </row>
    <row r="18" spans="2:8" ht="14" x14ac:dyDescent="0.3">
      <c r="B18" s="33" t="s">
        <v>191</v>
      </c>
      <c r="C18" s="20">
        <f t="shared" ref="C18:H18" si="3">C14-C16</f>
        <v>90519</v>
      </c>
      <c r="D18" s="20">
        <f t="shared" si="3"/>
        <v>96871.280290410956</v>
      </c>
      <c r="E18" s="20">
        <f t="shared" si="3"/>
        <v>101714.84430493151</v>
      </c>
      <c r="F18" s="20">
        <f t="shared" si="3"/>
        <v>106292.01229865343</v>
      </c>
      <c r="G18" s="20">
        <f t="shared" si="3"/>
        <v>110543.69279059957</v>
      </c>
      <c r="H18" s="20">
        <f t="shared" si="3"/>
        <v>114412.72203827056</v>
      </c>
    </row>
    <row r="19" spans="2:8" ht="14" x14ac:dyDescent="0.3">
      <c r="B19" s="33" t="s">
        <v>100</v>
      </c>
      <c r="C19" s="36" t="s">
        <v>47</v>
      </c>
      <c r="D19" s="24">
        <f>D18-C18</f>
        <v>6352.2802904109558</v>
      </c>
      <c r="E19" s="24">
        <f>E18-D18</f>
        <v>4843.5640145205543</v>
      </c>
      <c r="F19" s="24">
        <f>F18-E18</f>
        <v>4577.167993721916</v>
      </c>
      <c r="G19" s="24">
        <f>G18-F18</f>
        <v>4251.6804919461429</v>
      </c>
      <c r="H19" s="24">
        <f>H18-G18</f>
        <v>3869.0292476709874</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67</v>
      </c>
      <c r="E25" s="30">
        <v>67</v>
      </c>
      <c r="F25" s="30">
        <v>67</v>
      </c>
      <c r="G25" s="30">
        <v>67</v>
      </c>
      <c r="H25" s="30">
        <v>67</v>
      </c>
    </row>
    <row r="26" spans="2:8" ht="14" x14ac:dyDescent="0.3">
      <c r="B26" s="4" t="s">
        <v>121</v>
      </c>
      <c r="D26" s="30">
        <v>64</v>
      </c>
      <c r="E26" s="30">
        <v>64</v>
      </c>
      <c r="F26" s="30">
        <v>64</v>
      </c>
      <c r="G26" s="30">
        <v>64</v>
      </c>
      <c r="H26" s="30">
        <v>64</v>
      </c>
    </row>
    <row r="27" spans="2:8" ht="14" x14ac:dyDescent="0.3">
      <c r="B27" s="4" t="s">
        <v>122</v>
      </c>
      <c r="D27" s="30">
        <v>67</v>
      </c>
      <c r="E27" s="30">
        <v>67</v>
      </c>
      <c r="F27" s="30">
        <v>67</v>
      </c>
      <c r="G27" s="30">
        <v>67</v>
      </c>
      <c r="H27" s="30">
        <v>67</v>
      </c>
    </row>
    <row r="28" spans="2:8" ht="14" x14ac:dyDescent="0.3">
      <c r="B28" s="4" t="s">
        <v>123</v>
      </c>
      <c r="D28" s="30">
        <v>71</v>
      </c>
      <c r="E28" s="30">
        <v>71</v>
      </c>
      <c r="F28" s="30">
        <v>71</v>
      </c>
      <c r="G28" s="30">
        <v>71</v>
      </c>
      <c r="H28" s="30">
        <v>71</v>
      </c>
    </row>
    <row r="29" spans="2:8" ht="14" x14ac:dyDescent="0.3">
      <c r="B29" s="4" t="s">
        <v>124</v>
      </c>
      <c r="D29" s="30">
        <v>75</v>
      </c>
      <c r="E29" s="30">
        <v>75</v>
      </c>
      <c r="F29" s="30">
        <v>75</v>
      </c>
      <c r="G29" s="30">
        <v>75</v>
      </c>
      <c r="H29" s="30">
        <v>75</v>
      </c>
    </row>
    <row r="31" spans="2:8" ht="14" x14ac:dyDescent="0.3">
      <c r="B31" s="3" t="s">
        <v>194</v>
      </c>
    </row>
    <row r="32" spans="2:8" ht="14" x14ac:dyDescent="0.3">
      <c r="B32" s="4" t="s">
        <v>84</v>
      </c>
      <c r="D32" s="30">
        <v>265</v>
      </c>
      <c r="E32" s="30">
        <v>265</v>
      </c>
      <c r="F32" s="30">
        <v>265</v>
      </c>
      <c r="G32" s="30">
        <v>265</v>
      </c>
      <c r="H32" s="30">
        <v>265</v>
      </c>
    </row>
    <row r="33" spans="2:8" ht="14" x14ac:dyDescent="0.3">
      <c r="B33" s="4" t="s">
        <v>121</v>
      </c>
      <c r="D33" s="30">
        <v>259</v>
      </c>
      <c r="E33" s="30">
        <v>259</v>
      </c>
      <c r="F33" s="30">
        <v>259</v>
      </c>
      <c r="G33" s="30">
        <v>259</v>
      </c>
      <c r="H33" s="30">
        <v>259</v>
      </c>
    </row>
    <row r="34" spans="2:8" ht="14" x14ac:dyDescent="0.3">
      <c r="B34" s="4" t="s">
        <v>122</v>
      </c>
      <c r="D34" s="30">
        <v>265</v>
      </c>
      <c r="E34" s="30">
        <v>265</v>
      </c>
      <c r="F34" s="30">
        <v>265</v>
      </c>
      <c r="G34" s="30">
        <v>265</v>
      </c>
      <c r="H34" s="30">
        <v>265</v>
      </c>
    </row>
    <row r="35" spans="2:8" ht="14" x14ac:dyDescent="0.3">
      <c r="B35" s="4" t="s">
        <v>123</v>
      </c>
      <c r="D35" s="30">
        <v>272</v>
      </c>
      <c r="E35" s="30">
        <v>272</v>
      </c>
      <c r="F35" s="30">
        <v>272</v>
      </c>
      <c r="G35" s="30">
        <v>272</v>
      </c>
      <c r="H35" s="30">
        <v>272</v>
      </c>
    </row>
    <row r="36" spans="2:8" ht="14" x14ac:dyDescent="0.3">
      <c r="B36" s="4" t="s">
        <v>124</v>
      </c>
      <c r="D36" s="30">
        <v>279</v>
      </c>
      <c r="E36" s="30">
        <v>279</v>
      </c>
      <c r="F36" s="30">
        <v>279</v>
      </c>
      <c r="G36" s="30">
        <v>279</v>
      </c>
      <c r="H36" s="30">
        <v>279</v>
      </c>
    </row>
    <row r="38" spans="2:8" ht="14" x14ac:dyDescent="0.3">
      <c r="B38" s="3" t="s">
        <v>195</v>
      </c>
    </row>
    <row r="39" spans="2:8" ht="14" x14ac:dyDescent="0.3">
      <c r="B39" s="4" t="s">
        <v>84</v>
      </c>
      <c r="D39" s="30">
        <v>18</v>
      </c>
      <c r="E39" s="30">
        <v>18</v>
      </c>
      <c r="F39" s="30">
        <v>18</v>
      </c>
      <c r="G39" s="30">
        <v>18</v>
      </c>
      <c r="H39" s="30">
        <v>18</v>
      </c>
    </row>
    <row r="40" spans="2:8" ht="14" x14ac:dyDescent="0.3">
      <c r="B40" s="4" t="s">
        <v>121</v>
      </c>
      <c r="D40" s="30">
        <v>20</v>
      </c>
      <c r="E40" s="30">
        <v>20</v>
      </c>
      <c r="F40" s="30">
        <v>20</v>
      </c>
      <c r="G40" s="30">
        <v>20</v>
      </c>
      <c r="H40" s="30">
        <v>20</v>
      </c>
    </row>
    <row r="41" spans="2:8" ht="14" x14ac:dyDescent="0.3">
      <c r="B41" s="4" t="s">
        <v>122</v>
      </c>
      <c r="D41" s="30">
        <v>18</v>
      </c>
      <c r="E41" s="30">
        <v>18</v>
      </c>
      <c r="F41" s="30">
        <v>18</v>
      </c>
      <c r="G41" s="30">
        <v>18</v>
      </c>
      <c r="H41" s="30">
        <v>18</v>
      </c>
    </row>
    <row r="42" spans="2:8" ht="14" x14ac:dyDescent="0.3">
      <c r="B42" s="4" t="s">
        <v>123</v>
      </c>
      <c r="D42" s="30">
        <v>15</v>
      </c>
      <c r="E42" s="30">
        <v>15</v>
      </c>
      <c r="F42" s="30">
        <v>15</v>
      </c>
      <c r="G42" s="30">
        <v>15</v>
      </c>
      <c r="H42" s="30">
        <v>15</v>
      </c>
    </row>
    <row r="43" spans="2:8" ht="14" x14ac:dyDescent="0.3">
      <c r="B43" s="4" t="s">
        <v>124</v>
      </c>
      <c r="D43" s="30">
        <v>12</v>
      </c>
      <c r="E43" s="30">
        <v>12</v>
      </c>
      <c r="F43" s="30">
        <v>12</v>
      </c>
      <c r="G43" s="30">
        <v>12</v>
      </c>
      <c r="H43" s="30">
        <v>12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1776975.9650640001</v>
      </c>
      <c r="E5" s="37">
        <f>D5+C24</f>
        <v>1634070.9650640001</v>
      </c>
      <c r="F5" s="37">
        <v>195365</v>
      </c>
      <c r="G5" s="37">
        <v>80496</v>
      </c>
      <c r="H5" s="37">
        <v>75296</v>
      </c>
      <c r="I5" s="37">
        <v>54587</v>
      </c>
      <c r="J5" s="38">
        <f>IFERROR(E5/G5,"")</f>
        <v>20.300026896541443</v>
      </c>
      <c r="K5" s="38">
        <f>IFERROR(E5/F5,"")</f>
        <v>8.36419504549945</v>
      </c>
      <c r="L5" s="38">
        <f>IFERROR(D5/I5,"")</f>
        <v>32.553098083133349</v>
      </c>
      <c r="M5" s="38">
        <f>IFERROR(D5/P5,"")</f>
        <v>6.6379378597833396</v>
      </c>
      <c r="N5" s="39">
        <f>IFERROR(H5/F5,"")</f>
        <v>0.38541192127556112</v>
      </c>
      <c r="O5" s="39">
        <f>IFERROR(I5/P5,"")</f>
        <v>0.20391109450877848</v>
      </c>
      <c r="P5" s="37">
        <v>267700</v>
      </c>
    </row>
    <row r="6" spans="2:17" ht="14" x14ac:dyDescent="0.3">
      <c r="B6" s="4" t="s">
        <v>214</v>
      </c>
      <c r="C6" t="s">
        <v>215</v>
      </c>
      <c r="D6" s="37">
        <v>10190246</v>
      </c>
      <c r="E6" s="37">
        <v>8398444</v>
      </c>
      <c r="F6" s="37">
        <v>2313051</v>
      </c>
      <c r="G6" s="37">
        <v>375971</v>
      </c>
      <c r="H6" s="37">
        <v>360117</v>
      </c>
      <c r="I6" s="37">
        <v>424056</v>
      </c>
      <c r="J6" s="38">
        <f>IFERROR(E6/G6,"")</f>
        <v>22.338010112482081</v>
      </c>
      <c r="K6" s="38">
        <f>IFERROR(E6/F6,"")</f>
        <v>3.6308944333696056</v>
      </c>
      <c r="L6" s="38">
        <f>IFERROR(D6/I6,"")</f>
        <v>24.030425226856831</v>
      </c>
      <c r="M6" s="38">
        <f>IFERROR(D6/P6,"")</f>
        <v>3.4496163367719208</v>
      </c>
      <c r="N6" s="39">
        <f>IFERROR(H6/F6,"")</f>
        <v>0.15568917416866296</v>
      </c>
      <c r="O6" s="39">
        <f>IFERROR(I6/P6,"")</f>
        <v>0.14355203056983645</v>
      </c>
      <c r="P6" s="37">
        <v>2954023</v>
      </c>
    </row>
    <row r="7" spans="2:17" ht="14" x14ac:dyDescent="0.3">
      <c r="B7" s="4" t="s">
        <v>216</v>
      </c>
      <c r="C7" t="s">
        <v>217</v>
      </c>
      <c r="D7" s="37">
        <v>1042352</v>
      </c>
      <c r="E7" s="37">
        <v>766298</v>
      </c>
      <c r="F7" s="37">
        <v>297661</v>
      </c>
      <c r="G7" s="37">
        <v>63428</v>
      </c>
      <c r="H7" s="37">
        <v>54742</v>
      </c>
      <c r="I7" s="37">
        <v>29616</v>
      </c>
      <c r="J7" s="38">
        <f>IFERROR(E7/G7,"")</f>
        <v>12.081383616068614</v>
      </c>
      <c r="K7" s="38">
        <f>IFERROR(E7/F7,"")</f>
        <v>2.5743983928025505</v>
      </c>
      <c r="L7" s="38">
        <f>IFERROR(D7/I7,"")</f>
        <v>35.195569962182603</v>
      </c>
      <c r="M7" s="38">
        <f>IFERROR(D7/P7,"")</f>
        <v>2.9877434962565497</v>
      </c>
      <c r="N7" s="39">
        <f>IFERROR(H7/F7,"")</f>
        <v>0.18390719644158959</v>
      </c>
      <c r="O7" s="39">
        <f>IFERROR(I7/P7,"")</f>
        <v>8.4889760258659241E-2</v>
      </c>
      <c r="P7" s="37">
        <v>348876</v>
      </c>
    </row>
    <row r="8" spans="2:17" ht="14" x14ac:dyDescent="0.3">
      <c r="B8" s="4" t="s">
        <v>218</v>
      </c>
      <c r="C8" t="s">
        <v>219</v>
      </c>
      <c r="D8" s="37">
        <v>2914464</v>
      </c>
      <c r="E8" s="37">
        <v>2626836</v>
      </c>
      <c r="F8" s="37">
        <v>493677</v>
      </c>
      <c r="G8" s="37">
        <v>170081</v>
      </c>
      <c r="H8" s="37">
        <v>135891</v>
      </c>
      <c r="I8" s="37">
        <v>100013</v>
      </c>
      <c r="J8" s="38">
        <f>IFERROR(E8/G8,"")</f>
        <v>15.444617564572175</v>
      </c>
      <c r="K8" s="38">
        <f>IFERROR(E8/F8,"")</f>
        <v>5.3209608711769034</v>
      </c>
      <c r="L8" s="38">
        <f>IFERROR(D8/I8,"")</f>
        <v>29.140851689280392</v>
      </c>
      <c r="M8" s="38">
        <f>IFERROR(D8/P8,"")</f>
        <v>5.1625739322666186</v>
      </c>
      <c r="N8" s="39">
        <f>IFERROR(H8/F8,"")</f>
        <v>0.27526297558930229</v>
      </c>
      <c r="O8" s="39">
        <f>IFERROR(I8/P8,"")</f>
        <v>0.17715933588055344</v>
      </c>
      <c r="P8" s="37">
        <v>564537</v>
      </c>
    </row>
    <row r="9" spans="2:17" ht="14" x14ac:dyDescent="0.3">
      <c r="B9" s="4" t="s">
        <v>220</v>
      </c>
      <c r="C9" t="s">
        <v>221</v>
      </c>
      <c r="D9" s="37">
        <v>1331794</v>
      </c>
      <c r="E9" s="37">
        <v>1282444</v>
      </c>
      <c r="F9" s="37">
        <v>360663</v>
      </c>
      <c r="G9" s="37">
        <v>82816</v>
      </c>
      <c r="H9" s="37">
        <v>67893</v>
      </c>
      <c r="I9" s="37">
        <v>51768</v>
      </c>
      <c r="J9" s="38">
        <f>IFERROR(E9/G9,"")</f>
        <v>15.485461746522411</v>
      </c>
      <c r="K9" s="38">
        <f>IFERROR(E9/F9,"")</f>
        <v>3.555795853747127</v>
      </c>
      <c r="L9" s="38">
        <f>IFERROR(D9/I9,"")</f>
        <v>25.72620151444908</v>
      </c>
      <c r="M9" s="38">
        <f>IFERROR(D9/P9,"")</f>
        <v>2.5841712491704922</v>
      </c>
      <c r="N9" s="39">
        <f>IFERROR(H9/F9,"")</f>
        <v>0.18824498215785929</v>
      </c>
      <c r="O9" s="39">
        <f>IFERROR(I9/P9,"")</f>
        <v>0.10044900129228548</v>
      </c>
      <c r="P9" s="37">
        <v>515366</v>
      </c>
    </row>
    <row r="14" spans="2:17" ht="14" x14ac:dyDescent="0.3">
      <c r="B14" s="3" t="s">
        <v>222</v>
      </c>
    </row>
    <row r="15" spans="2:17" ht="14" x14ac:dyDescent="0.3">
      <c r="B15" s="4" t="s">
        <v>223</v>
      </c>
      <c r="D15" s="38">
        <f t="shared" ref="D15:I15" si="0">PERCENTILE(J6:J9,0.25)</f>
        <v>14.603809077446284</v>
      </c>
      <c r="E15" s="38">
        <f t="shared" si="0"/>
        <v>3.310446488510983</v>
      </c>
      <c r="F15" s="38">
        <f t="shared" si="0"/>
        <v>25.302257442551017</v>
      </c>
      <c r="G15" s="38">
        <f t="shared" si="0"/>
        <v>2.8868504344850354</v>
      </c>
      <c r="H15" s="39">
        <f t="shared" si="0"/>
        <v>0.17685269087335792</v>
      </c>
      <c r="I15" s="39">
        <f t="shared" si="0"/>
        <v>9.6559191033878916E-2</v>
      </c>
    </row>
    <row r="16" spans="2:17" ht="14" x14ac:dyDescent="0.3">
      <c r="B16" s="4" t="s">
        <v>224</v>
      </c>
      <c r="D16" s="38">
        <f t="shared" ref="D16:I16" si="1">MEDIAN(J6:J9)</f>
        <v>15.465039655547294</v>
      </c>
      <c r="E16" s="38">
        <f t="shared" si="1"/>
        <v>3.5933451435583663</v>
      </c>
      <c r="F16" s="38">
        <f t="shared" si="1"/>
        <v>27.433526601864735</v>
      </c>
      <c r="G16" s="38">
        <f t="shared" si="1"/>
        <v>3.218679916514235</v>
      </c>
      <c r="H16" s="39">
        <f t="shared" si="1"/>
        <v>0.18607608929972444</v>
      </c>
      <c r="I16" s="39">
        <f t="shared" si="1"/>
        <v>0.12200051593106097</v>
      </c>
    </row>
    <row r="17" spans="2:9" ht="14" x14ac:dyDescent="0.3">
      <c r="B17" s="4" t="s">
        <v>225</v>
      </c>
      <c r="D17" s="38">
        <f t="shared" ref="D17:I17" si="2">PERCENTILE(J6:J9,0.75)</f>
        <v>17.19859883801233</v>
      </c>
      <c r="E17" s="38">
        <f t="shared" si="2"/>
        <v>4.0534110428214305</v>
      </c>
      <c r="F17" s="38">
        <f t="shared" si="2"/>
        <v>30.654531257505944</v>
      </c>
      <c r="G17" s="38">
        <f t="shared" si="2"/>
        <v>3.8778557356455954</v>
      </c>
      <c r="H17" s="39">
        <f t="shared" si="2"/>
        <v>0.20999948051572004</v>
      </c>
      <c r="I17" s="39">
        <f t="shared" si="2"/>
        <v>0.1519538568975157</v>
      </c>
    </row>
    <row r="19" spans="2:9" ht="14" x14ac:dyDescent="0.3">
      <c r="B19" s="22" t="s">
        <v>226</v>
      </c>
      <c r="C19" s="23"/>
      <c r="D19" s="23"/>
      <c r="E19" s="23"/>
      <c r="F19" s="23"/>
      <c r="G19" s="23"/>
      <c r="H19" s="23"/>
      <c r="I19" s="23"/>
    </row>
    <row r="20" spans="2:9" ht="14" x14ac:dyDescent="0.3">
      <c r="B20" s="3" t="s">
        <v>227</v>
      </c>
    </row>
    <row r="21" spans="2:9" ht="14" x14ac:dyDescent="0.3">
      <c r="B21" s="4" t="s">
        <v>228</v>
      </c>
      <c r="C21" s="5">
        <v>80496</v>
      </c>
    </row>
    <row r="22" spans="2:9" ht="14" x14ac:dyDescent="0.3">
      <c r="B22" s="4" t="s">
        <v>229</v>
      </c>
      <c r="C22" s="5">
        <v>54587</v>
      </c>
    </row>
    <row r="23" spans="2:9" ht="14" x14ac:dyDescent="0.3">
      <c r="B23" s="4" t="s">
        <v>230</v>
      </c>
      <c r="C23" s="15">
        <v>418308843</v>
      </c>
    </row>
    <row r="24" spans="2:9" ht="14" x14ac:dyDescent="0.3">
      <c r="B24" s="4" t="s">
        <v>73</v>
      </c>
      <c r="C24" s="5">
        <v>-142905</v>
      </c>
    </row>
    <row r="26" spans="2:9" ht="14" x14ac:dyDescent="0.3">
      <c r="B26" s="3" t="s">
        <v>231</v>
      </c>
    </row>
    <row r="27" spans="2:9" ht="14" x14ac:dyDescent="0.3">
      <c r="B27" s="4" t="s">
        <v>232</v>
      </c>
      <c r="C27" s="24">
        <f>ROUND((C21*D16-C24)*1000000/C23,0)</f>
        <v>3318</v>
      </c>
    </row>
    <row r="28" spans="2:9" ht="14" x14ac:dyDescent="0.3">
      <c r="B28" s="4" t="s">
        <v>233</v>
      </c>
      <c r="C28" s="24">
        <f>ROUND(C22*F16*1000000/C23,0)</f>
        <v>3580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234</v>
      </c>
    </row>
    <row r="3" spans="2:9" ht="14" x14ac:dyDescent="0.3">
      <c r="B3" s="4" t="s">
        <v>235</v>
      </c>
      <c r="C3" s="16">
        <f>'DCF Model'!C26</f>
        <v>7.5352500000000003E-2</v>
      </c>
      <c r="E3" s="4" t="s">
        <v>236</v>
      </c>
      <c r="F3" s="16">
        <f>'DCF Model'!C13</f>
        <v>0.01</v>
      </c>
      <c r="H3" s="4" t="s">
        <v>237</v>
      </c>
      <c r="I3" s="14">
        <f>'DCF Model'!C14</f>
        <v>15.5</v>
      </c>
    </row>
    <row r="5" spans="2:9" ht="14" x14ac:dyDescent="0.3">
      <c r="B5" s="3" t="s">
        <v>238</v>
      </c>
    </row>
    <row r="6" spans="2:9" ht="14" x14ac:dyDescent="0.3">
      <c r="B6" s="40" t="s">
        <v>239</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6.0352500000000003E-2</v>
      </c>
      <c r="C7" s="37">
        <f>IFERROR(ROUND(('DCF Model'!C45/(1+$B7)^('DCF Model'!C19+0)+'DCF Model'!D45/(1+$B7)^('DCF Model'!C19+1)+'DCF Model'!E45/(1+$B7)^('DCF Model'!C19+2)+'DCF Model'!F45/(1+$B7)^('DCF Model'!C19+3)+'DCF Model'!G45/(1+$B7)^('DCF Model'!C19+4)+'DCF Model'!G45*(1+C$6)/($B7-C$6)/(1+$B7)^('DCF Model'!C19+4)-'DCF Model'!C16)*1000000/'DCF Model'!C15,0),"")</f>
        <v>2979</v>
      </c>
      <c r="D7" s="37">
        <f>IFERROR(ROUND(('DCF Model'!C45/(1+$B7)^('DCF Model'!C19+0)+'DCF Model'!D45/(1+$B7)^('DCF Model'!C19+1)+'DCF Model'!E45/(1+$B7)^('DCF Model'!C19+2)+'DCF Model'!F45/(1+$B7)^('DCF Model'!C19+3)+'DCF Model'!G45/(1+$B7)^('DCF Model'!C19+4)+'DCF Model'!G45*(1+D$6)/($B7-D$6)/(1+$B7)^('DCF Model'!C19+4)-'DCF Model'!C16)*1000000/'DCF Model'!C15,0),"")</f>
        <v>3078</v>
      </c>
      <c r="E7" s="37">
        <f>IFERROR(ROUND(('DCF Model'!C45/(1+$B7)^('DCF Model'!C19+0)+'DCF Model'!D45/(1+$B7)^('DCF Model'!C19+1)+'DCF Model'!E45/(1+$B7)^('DCF Model'!C19+2)+'DCF Model'!F45/(1+$B7)^('DCF Model'!C19+3)+'DCF Model'!G45/(1+$B7)^('DCF Model'!C19+4)+'DCF Model'!G45*(1+E$6)/($B7-E$6)/(1+$B7)^('DCF Model'!C19+4)-'DCF Model'!C16)*1000000/'DCF Model'!C15,0),"")</f>
        <v>3186</v>
      </c>
      <c r="F7" s="37">
        <f>IFERROR(ROUND(('DCF Model'!C45/(1+$B7)^('DCF Model'!C19+0)+'DCF Model'!D45/(1+$B7)^('DCF Model'!C19+1)+'DCF Model'!E45/(1+$B7)^('DCF Model'!C19+2)+'DCF Model'!F45/(1+$B7)^('DCF Model'!C19+3)+'DCF Model'!G45/(1+$B7)^('DCF Model'!C19+4)+'DCF Model'!G45*(1+F$6)/($B7-F$6)/(1+$B7)^('DCF Model'!C19+4)-'DCF Model'!C16)*1000000/'DCF Model'!C15,0),"")</f>
        <v>3304</v>
      </c>
      <c r="G7" s="37">
        <f>IFERROR(ROUND(('DCF Model'!C45/(1+$B7)^('DCF Model'!C19+0)+'DCF Model'!D45/(1+$B7)^('DCF Model'!C19+1)+'DCF Model'!E45/(1+$B7)^('DCF Model'!C19+2)+'DCF Model'!F45/(1+$B7)^('DCF Model'!C19+3)+'DCF Model'!G45/(1+$B7)^('DCF Model'!C19+4)+'DCF Model'!G45*(1+G$6)/($B7-G$6)/(1+$B7)^('DCF Model'!C19+4)-'DCF Model'!C16)*1000000/'DCF Model'!C15,0),"")</f>
        <v>3435</v>
      </c>
      <c r="H7" s="37">
        <f>IFERROR(ROUND(('DCF Model'!C45/(1+$B7)^('DCF Model'!C19+0)+'DCF Model'!D45/(1+$B7)^('DCF Model'!C19+1)+'DCF Model'!E45/(1+$B7)^('DCF Model'!C19+2)+'DCF Model'!F45/(1+$B7)^('DCF Model'!C19+3)+'DCF Model'!G45/(1+$B7)^('DCF Model'!C19+4)+'DCF Model'!G45*(1+H$6)/($B7-H$6)/(1+$B7)^('DCF Model'!C19+4)-'DCF Model'!C16)*1000000/'DCF Model'!C15,0),"")</f>
        <v>3581</v>
      </c>
      <c r="I7" s="37">
        <f>IFERROR(ROUND(('DCF Model'!C45/(1+$B7)^('DCF Model'!C19+0)+'DCF Model'!D45/(1+$B7)^('DCF Model'!C19+1)+'DCF Model'!E45/(1+$B7)^('DCF Model'!C19+2)+'DCF Model'!F45/(1+$B7)^('DCF Model'!C19+3)+'DCF Model'!G45/(1+$B7)^('DCF Model'!C19+4)+'DCF Model'!G45*(1+I$6)/($B7-I$6)/(1+$B7)^('DCF Model'!C19+4)-'DCF Model'!C16)*1000000/'DCF Model'!C15,0),"")</f>
        <v>3743</v>
      </c>
    </row>
    <row r="8" spans="2:9" ht="13.5" x14ac:dyDescent="0.25">
      <c r="B8" s="39">
        <f>$C$3-0.01</f>
        <v>6.5352500000000008E-2</v>
      </c>
      <c r="C8" s="37">
        <f>IFERROR(ROUND(('DCF Model'!C45/(1+$B8)^('DCF Model'!C19+0)+'DCF Model'!D45/(1+$B8)^('DCF Model'!C19+1)+'DCF Model'!E45/(1+$B8)^('DCF Model'!C19+2)+'DCF Model'!F45/(1+$B8)^('DCF Model'!C19+3)+'DCF Model'!G45/(1+$B8)^('DCF Model'!C19+4)+'DCF Model'!G45*(1+C$6)/($B8-C$6)/(1+$B8)^('DCF Model'!C19+4)-'DCF Model'!C16)*1000000/'DCF Model'!C15,0),"")</f>
        <v>2763</v>
      </c>
      <c r="D8" s="37">
        <f>IFERROR(ROUND(('DCF Model'!C45/(1+$B8)^('DCF Model'!C19+0)+'DCF Model'!D45/(1+$B8)^('DCF Model'!C19+1)+'DCF Model'!E45/(1+$B8)^('DCF Model'!C19+2)+'DCF Model'!F45/(1+$B8)^('DCF Model'!C19+3)+'DCF Model'!G45/(1+$B8)^('DCF Model'!C19+4)+'DCF Model'!G45*(1+D$6)/($B8-D$6)/(1+$B8)^('DCF Model'!C19+4)-'DCF Model'!C16)*1000000/'DCF Model'!C15,0),"")</f>
        <v>2845</v>
      </c>
      <c r="E8" s="37">
        <f>IFERROR(ROUND(('DCF Model'!C45/(1+$B8)^('DCF Model'!C19+0)+'DCF Model'!D45/(1+$B8)^('DCF Model'!C19+1)+'DCF Model'!E45/(1+$B8)^('DCF Model'!C19+2)+'DCF Model'!F45/(1+$B8)^('DCF Model'!C19+3)+'DCF Model'!G45/(1+$B8)^('DCF Model'!C19+4)+'DCF Model'!G45*(1+E$6)/($B8-E$6)/(1+$B8)^('DCF Model'!C19+4)-'DCF Model'!C16)*1000000/'DCF Model'!C15,0),"")</f>
        <v>2933</v>
      </c>
      <c r="F8" s="37">
        <f>IFERROR(ROUND(('DCF Model'!C45/(1+$B8)^('DCF Model'!C19+0)+'DCF Model'!D45/(1+$B8)^('DCF Model'!C19+1)+'DCF Model'!E45/(1+$B8)^('DCF Model'!C19+2)+'DCF Model'!F45/(1+$B8)^('DCF Model'!C19+3)+'DCF Model'!G45/(1+$B8)^('DCF Model'!C19+4)+'DCF Model'!G45*(1+F$6)/($B8-F$6)/(1+$B8)^('DCF Model'!C19+4)-'DCF Model'!C16)*1000000/'DCF Model'!C15,0),"")</f>
        <v>3030</v>
      </c>
      <c r="G8" s="37">
        <f>IFERROR(ROUND(('DCF Model'!C45/(1+$B8)^('DCF Model'!C19+0)+'DCF Model'!D45/(1+$B8)^('DCF Model'!C19+1)+'DCF Model'!E45/(1+$B8)^('DCF Model'!C19+2)+'DCF Model'!F45/(1+$B8)^('DCF Model'!C19+3)+'DCF Model'!G45/(1+$B8)^('DCF Model'!C19+4)+'DCF Model'!G45*(1+G$6)/($B8-G$6)/(1+$B8)^('DCF Model'!C19+4)-'DCF Model'!C16)*1000000/'DCF Model'!C15,0),"")</f>
        <v>3136</v>
      </c>
      <c r="H8" s="37">
        <f>IFERROR(ROUND(('DCF Model'!C45/(1+$B8)^('DCF Model'!C19+0)+'DCF Model'!D45/(1+$B8)^('DCF Model'!C19+1)+'DCF Model'!E45/(1+$B8)^('DCF Model'!C19+2)+'DCF Model'!F45/(1+$B8)^('DCF Model'!C19+3)+'DCF Model'!G45/(1+$B8)^('DCF Model'!C19+4)+'DCF Model'!G45*(1+H$6)/($B8-H$6)/(1+$B8)^('DCF Model'!C19+4)-'DCF Model'!C16)*1000000/'DCF Model'!C15,0),"")</f>
        <v>3252</v>
      </c>
      <c r="I8" s="37">
        <f>IFERROR(ROUND(('DCF Model'!C45/(1+$B8)^('DCF Model'!C19+0)+'DCF Model'!D45/(1+$B8)^('DCF Model'!C19+1)+'DCF Model'!E45/(1+$B8)^('DCF Model'!C19+2)+'DCF Model'!F45/(1+$B8)^('DCF Model'!C19+3)+'DCF Model'!G45/(1+$B8)^('DCF Model'!C19+4)+'DCF Model'!G45*(1+I$6)/($B8-I$6)/(1+$B8)^('DCF Model'!C19+4)-'DCF Model'!C16)*1000000/'DCF Model'!C15,0),"")</f>
        <v>3381</v>
      </c>
    </row>
    <row r="9" spans="2:9" ht="13.5" x14ac:dyDescent="0.25">
      <c r="B9" s="39">
        <f>$C$3-0.005</f>
        <v>7.0352499999999998E-2</v>
      </c>
      <c r="C9" s="37">
        <f>IFERROR(ROUND(('DCF Model'!C45/(1+$B9)^('DCF Model'!C19+0)+'DCF Model'!D45/(1+$B9)^('DCF Model'!C19+1)+'DCF Model'!E45/(1+$B9)^('DCF Model'!C19+2)+'DCF Model'!F45/(1+$B9)^('DCF Model'!C19+3)+'DCF Model'!G45/(1+$B9)^('DCF Model'!C19+4)+'DCF Model'!G45*(1+C$6)/($B9-C$6)/(1+$B9)^('DCF Model'!C19+4)-'DCF Model'!C16)*1000000/'DCF Model'!C15,0),"")</f>
        <v>2579</v>
      </c>
      <c r="D9" s="37">
        <f>IFERROR(ROUND(('DCF Model'!C45/(1+$B9)^('DCF Model'!C19+0)+'DCF Model'!D45/(1+$B9)^('DCF Model'!C19+1)+'DCF Model'!E45/(1+$B9)^('DCF Model'!C19+2)+'DCF Model'!F45/(1+$B9)^('DCF Model'!C19+3)+'DCF Model'!G45/(1+$B9)^('DCF Model'!C19+4)+'DCF Model'!G45*(1+D$6)/($B9-D$6)/(1+$B9)^('DCF Model'!C19+4)-'DCF Model'!C16)*1000000/'DCF Model'!C15,0),"")</f>
        <v>2647</v>
      </c>
      <c r="E9" s="37">
        <f>IFERROR(ROUND(('DCF Model'!C45/(1+$B9)^('DCF Model'!C19+0)+'DCF Model'!D45/(1+$B9)^('DCF Model'!C19+1)+'DCF Model'!E45/(1+$B9)^('DCF Model'!C19+2)+'DCF Model'!F45/(1+$B9)^('DCF Model'!C19+3)+'DCF Model'!G45/(1+$B9)^('DCF Model'!C19+4)+'DCF Model'!G45*(1+E$6)/($B9-E$6)/(1+$B9)^('DCF Model'!C19+4)-'DCF Model'!C16)*1000000/'DCF Model'!C15,0),"")</f>
        <v>2721</v>
      </c>
      <c r="F9" s="37">
        <f>IFERROR(ROUND(('DCF Model'!C45/(1+$B9)^('DCF Model'!C19+0)+'DCF Model'!D45/(1+$B9)^('DCF Model'!C19+1)+'DCF Model'!E45/(1+$B9)^('DCF Model'!C19+2)+'DCF Model'!F45/(1+$B9)^('DCF Model'!C19+3)+'DCF Model'!G45/(1+$B9)^('DCF Model'!C19+4)+'DCF Model'!G45*(1+F$6)/($B9-F$6)/(1+$B9)^('DCF Model'!C19+4)-'DCF Model'!C16)*1000000/'DCF Model'!C15,0),"")</f>
        <v>2801</v>
      </c>
      <c r="G9" s="37">
        <f>IFERROR(ROUND(('DCF Model'!C45/(1+$B9)^('DCF Model'!C19+0)+'DCF Model'!D45/(1+$B9)^('DCF Model'!C19+1)+'DCF Model'!E45/(1+$B9)^('DCF Model'!C19+2)+'DCF Model'!F45/(1+$B9)^('DCF Model'!C19+3)+'DCF Model'!G45/(1+$B9)^('DCF Model'!C19+4)+'DCF Model'!G45*(1+G$6)/($B9-G$6)/(1+$B9)^('DCF Model'!C19+4)-'DCF Model'!C16)*1000000/'DCF Model'!C15,0),"")</f>
        <v>2888</v>
      </c>
      <c r="H9" s="37">
        <f>IFERROR(ROUND(('DCF Model'!C45/(1+$B9)^('DCF Model'!C19+0)+'DCF Model'!D45/(1+$B9)^('DCF Model'!C19+1)+'DCF Model'!E45/(1+$B9)^('DCF Model'!C19+2)+'DCF Model'!F45/(1+$B9)^('DCF Model'!C19+3)+'DCF Model'!G45/(1+$B9)^('DCF Model'!C19+4)+'DCF Model'!G45*(1+H$6)/($B9-H$6)/(1+$B9)^('DCF Model'!C19+4)-'DCF Model'!C16)*1000000/'DCF Model'!C15,0),"")</f>
        <v>2983</v>
      </c>
      <c r="I9" s="37">
        <f>IFERROR(ROUND(('DCF Model'!C45/(1+$B9)^('DCF Model'!C19+0)+'DCF Model'!D45/(1+$B9)^('DCF Model'!C19+1)+'DCF Model'!E45/(1+$B9)^('DCF Model'!C19+2)+'DCF Model'!F45/(1+$B9)^('DCF Model'!C19+3)+'DCF Model'!G45/(1+$B9)^('DCF Model'!C19+4)+'DCF Model'!G45*(1+I$6)/($B9-I$6)/(1+$B9)^('DCF Model'!C19+4)-'DCF Model'!C16)*1000000/'DCF Model'!C15,0),"")</f>
        <v>3087</v>
      </c>
    </row>
    <row r="10" spans="2:9" ht="13.5" x14ac:dyDescent="0.25">
      <c r="B10" s="39">
        <f>$C$3</f>
        <v>7.5352500000000003E-2</v>
      </c>
      <c r="C10" s="37">
        <f>IFERROR(ROUND(('DCF Model'!C45/(1+$B10)^('DCF Model'!C19+0)+'DCF Model'!D45/(1+$B10)^('DCF Model'!C19+1)+'DCF Model'!E45/(1+$B10)^('DCF Model'!C19+2)+'DCF Model'!F45/(1+$B10)^('DCF Model'!C19+3)+'DCF Model'!G45/(1+$B10)^('DCF Model'!C19+4)+'DCF Model'!G45*(1+C$6)/($B10-C$6)/(1+$B10)^('DCF Model'!C19+4)-'DCF Model'!C16)*1000000/'DCF Model'!C15,0),"")</f>
        <v>2419</v>
      </c>
      <c r="D10" s="37">
        <f>IFERROR(ROUND(('DCF Model'!C45/(1+$B10)^('DCF Model'!C19+0)+'DCF Model'!D45/(1+$B10)^('DCF Model'!C19+1)+'DCF Model'!E45/(1+$B10)^('DCF Model'!C19+2)+'DCF Model'!F45/(1+$B10)^('DCF Model'!C19+3)+'DCF Model'!G45/(1+$B10)^('DCF Model'!C19+4)+'DCF Model'!G45*(1+D$6)/($B10-D$6)/(1+$B10)^('DCF Model'!C19+4)-'DCF Model'!C16)*1000000/'DCF Model'!C15,0),"")</f>
        <v>2478</v>
      </c>
      <c r="E10" s="37">
        <f>IFERROR(ROUND(('DCF Model'!C45/(1+$B10)^('DCF Model'!C19+0)+'DCF Model'!D45/(1+$B10)^('DCF Model'!C19+1)+'DCF Model'!E45/(1+$B10)^('DCF Model'!C19+2)+'DCF Model'!F45/(1+$B10)^('DCF Model'!C19+3)+'DCF Model'!G45/(1+$B10)^('DCF Model'!C19+4)+'DCF Model'!G45*(1+E$6)/($B10-E$6)/(1+$B10)^('DCF Model'!C19+4)-'DCF Model'!C16)*1000000/'DCF Model'!C15,0),"")</f>
        <v>2540</v>
      </c>
      <c r="F10" s="37">
        <f>IFERROR(ROUND(('DCF Model'!C45/(1+$B10)^('DCF Model'!C19+0)+'DCF Model'!D45/(1+$B10)^('DCF Model'!C19+1)+'DCF Model'!E45/(1+$B10)^('DCF Model'!C19+2)+'DCF Model'!F45/(1+$B10)^('DCF Model'!C19+3)+'DCF Model'!G45/(1+$B10)^('DCF Model'!C19+4)+'DCF Model'!G45*(1+F$6)/($B10-F$6)/(1+$B10)^('DCF Model'!C19+4)-'DCF Model'!C16)*1000000/'DCF Model'!C15,0),"")</f>
        <v>2607</v>
      </c>
      <c r="G10" s="37">
        <f>IFERROR(ROUND(('DCF Model'!C45/(1+$B10)^('DCF Model'!C19+0)+'DCF Model'!D45/(1+$B10)^('DCF Model'!C19+1)+'DCF Model'!E45/(1+$B10)^('DCF Model'!C19+2)+'DCF Model'!F45/(1+$B10)^('DCF Model'!C19+3)+'DCF Model'!G45/(1+$B10)^('DCF Model'!C19+4)+'DCF Model'!G45*(1+G$6)/($B10-G$6)/(1+$B10)^('DCF Model'!C19+4)-'DCF Model'!C16)*1000000/'DCF Model'!C15,0),"")</f>
        <v>2680</v>
      </c>
      <c r="H10" s="37">
        <f>IFERROR(ROUND(('DCF Model'!C45/(1+$B10)^('DCF Model'!C19+0)+'DCF Model'!D45/(1+$B10)^('DCF Model'!C19+1)+'DCF Model'!E45/(1+$B10)^('DCF Model'!C19+2)+'DCF Model'!F45/(1+$B10)^('DCF Model'!C19+3)+'DCF Model'!G45/(1+$B10)^('DCF Model'!C19+4)+'DCF Model'!G45*(1+H$6)/($B10-H$6)/(1+$B10)^('DCF Model'!C19+4)-'DCF Model'!C16)*1000000/'DCF Model'!C15,0),"")</f>
        <v>2759</v>
      </c>
      <c r="I10" s="37">
        <f>IFERROR(ROUND(('DCF Model'!C45/(1+$B10)^('DCF Model'!C19+0)+'DCF Model'!D45/(1+$B10)^('DCF Model'!C19+1)+'DCF Model'!E45/(1+$B10)^('DCF Model'!C19+2)+'DCF Model'!F45/(1+$B10)^('DCF Model'!C19+3)+'DCF Model'!G45/(1+$B10)^('DCF Model'!C19+4)+'DCF Model'!G45*(1+I$6)/($B10-I$6)/(1+$B10)^('DCF Model'!C19+4)-'DCF Model'!C16)*1000000/'DCF Model'!C15,0),"")</f>
        <v>2844</v>
      </c>
    </row>
    <row r="11" spans="2:9" ht="13.5" x14ac:dyDescent="0.25">
      <c r="B11" s="39">
        <f>$C$3+0.005</f>
        <v>8.0352500000000007E-2</v>
      </c>
      <c r="C11" s="37">
        <f>IFERROR(ROUND(('DCF Model'!C45/(1+$B11)^('DCF Model'!C19+0)+'DCF Model'!D45/(1+$B11)^('DCF Model'!C19+1)+'DCF Model'!E45/(1+$B11)^('DCF Model'!C19+2)+'DCF Model'!F45/(1+$B11)^('DCF Model'!C19+3)+'DCF Model'!G45/(1+$B11)^('DCF Model'!C19+4)+'DCF Model'!G45*(1+C$6)/($B11-C$6)/(1+$B11)^('DCF Model'!C19+4)-'DCF Model'!C16)*1000000/'DCF Model'!C15,0),"")</f>
        <v>2281</v>
      </c>
      <c r="D11" s="37">
        <f>IFERROR(ROUND(('DCF Model'!C45/(1+$B11)^('DCF Model'!C19+0)+'DCF Model'!D45/(1+$B11)^('DCF Model'!C19+1)+'DCF Model'!E45/(1+$B11)^('DCF Model'!C19+2)+'DCF Model'!F45/(1+$B11)^('DCF Model'!C19+3)+'DCF Model'!G45/(1+$B11)^('DCF Model'!C19+4)+'DCF Model'!G45*(1+D$6)/($B11-D$6)/(1+$B11)^('DCF Model'!C19+4)-'DCF Model'!C16)*1000000/'DCF Model'!C15,0),"")</f>
        <v>2331</v>
      </c>
      <c r="E11" s="37">
        <f>IFERROR(ROUND(('DCF Model'!C45/(1+$B11)^('DCF Model'!C19+0)+'DCF Model'!D45/(1+$B11)^('DCF Model'!C19+1)+'DCF Model'!E45/(1+$B11)^('DCF Model'!C19+2)+'DCF Model'!F45/(1+$B11)^('DCF Model'!C19+3)+'DCF Model'!G45/(1+$B11)^('DCF Model'!C19+4)+'DCF Model'!G45*(1+E$6)/($B11-E$6)/(1+$B11)^('DCF Model'!C19+4)-'DCF Model'!C16)*1000000/'DCF Model'!C15,0),"")</f>
        <v>2384</v>
      </c>
      <c r="F11" s="37">
        <f>IFERROR(ROUND(('DCF Model'!C45/(1+$B11)^('DCF Model'!C19+0)+'DCF Model'!D45/(1+$B11)^('DCF Model'!C19+1)+'DCF Model'!E45/(1+$B11)^('DCF Model'!C19+2)+'DCF Model'!F45/(1+$B11)^('DCF Model'!C19+3)+'DCF Model'!G45/(1+$B11)^('DCF Model'!C19+4)+'DCF Model'!G45*(1+F$6)/($B11-F$6)/(1+$B11)^('DCF Model'!C19+4)-'DCF Model'!C16)*1000000/'DCF Model'!C15,0),"")</f>
        <v>2441</v>
      </c>
      <c r="G11" s="37">
        <f>IFERROR(ROUND(('DCF Model'!C45/(1+$B11)^('DCF Model'!C19+0)+'DCF Model'!D45/(1+$B11)^('DCF Model'!C19+1)+'DCF Model'!E45/(1+$B11)^('DCF Model'!C19+2)+'DCF Model'!F45/(1+$B11)^('DCF Model'!C19+3)+'DCF Model'!G45/(1+$B11)^('DCF Model'!C19+4)+'DCF Model'!G45*(1+G$6)/($B11-G$6)/(1+$B11)^('DCF Model'!C19+4)-'DCF Model'!C16)*1000000/'DCF Model'!C15,0),"")</f>
        <v>2503</v>
      </c>
      <c r="H11" s="37">
        <f>IFERROR(ROUND(('DCF Model'!C45/(1+$B11)^('DCF Model'!C19+0)+'DCF Model'!D45/(1+$B11)^('DCF Model'!C19+1)+'DCF Model'!E45/(1+$B11)^('DCF Model'!C19+2)+'DCF Model'!F45/(1+$B11)^('DCF Model'!C19+3)+'DCF Model'!G45/(1+$B11)^('DCF Model'!C19+4)+'DCF Model'!G45*(1+H$6)/($B11-H$6)/(1+$B11)^('DCF Model'!C19+4)-'DCF Model'!C16)*1000000/'DCF Model'!C15,0),"")</f>
        <v>2569</v>
      </c>
      <c r="I11" s="37">
        <f>IFERROR(ROUND(('DCF Model'!C45/(1+$B11)^('DCF Model'!C19+0)+'DCF Model'!D45/(1+$B11)^('DCF Model'!C19+1)+'DCF Model'!E45/(1+$B11)^('DCF Model'!C19+2)+'DCF Model'!F45/(1+$B11)^('DCF Model'!C19+3)+'DCF Model'!G45/(1+$B11)^('DCF Model'!C19+4)+'DCF Model'!G45*(1+I$6)/($B11-I$6)/(1+$B11)^('DCF Model'!C19+4)-'DCF Model'!C16)*1000000/'DCF Model'!C15,0),"")</f>
        <v>2640</v>
      </c>
    </row>
    <row r="12" spans="2:9" ht="13.5" x14ac:dyDescent="0.25">
      <c r="B12" s="39">
        <f>$C$3+0.01</f>
        <v>8.5352499999999998E-2</v>
      </c>
      <c r="C12" s="37">
        <f>IFERROR(ROUND(('DCF Model'!C45/(1+$B12)^('DCF Model'!C19+0)+'DCF Model'!D45/(1+$B12)^('DCF Model'!C19+1)+'DCF Model'!E45/(1+$B12)^('DCF Model'!C19+2)+'DCF Model'!F45/(1+$B12)^('DCF Model'!C19+3)+'DCF Model'!G45/(1+$B12)^('DCF Model'!C19+4)+'DCF Model'!G45*(1+C$6)/($B12-C$6)/(1+$B12)^('DCF Model'!C19+4)-'DCF Model'!C16)*1000000/'DCF Model'!C15,0),"")</f>
        <v>2159</v>
      </c>
      <c r="D12" s="37">
        <f>IFERROR(ROUND(('DCF Model'!C45/(1+$B12)^('DCF Model'!C19+0)+'DCF Model'!D45/(1+$B12)^('DCF Model'!C19+1)+'DCF Model'!E45/(1+$B12)^('DCF Model'!C19+2)+'DCF Model'!F45/(1+$B12)^('DCF Model'!C19+3)+'DCF Model'!G45/(1+$B12)^('DCF Model'!C19+4)+'DCF Model'!G45*(1+D$6)/($B12-D$6)/(1+$B12)^('DCF Model'!C19+4)-'DCF Model'!C16)*1000000/'DCF Model'!C15,0),"")</f>
        <v>2202</v>
      </c>
      <c r="E12" s="37">
        <f>IFERROR(ROUND(('DCF Model'!C45/(1+$B12)^('DCF Model'!C19+0)+'DCF Model'!D45/(1+$B12)^('DCF Model'!C19+1)+'DCF Model'!E45/(1+$B12)^('DCF Model'!C19+2)+'DCF Model'!F45/(1+$B12)^('DCF Model'!C19+3)+'DCF Model'!G45/(1+$B12)^('DCF Model'!C19+4)+'DCF Model'!G45*(1+E$6)/($B12-E$6)/(1+$B12)^('DCF Model'!C19+4)-'DCF Model'!C16)*1000000/'DCF Model'!C15,0),"")</f>
        <v>2248</v>
      </c>
      <c r="F12" s="37">
        <f>IFERROR(ROUND(('DCF Model'!C45/(1+$B12)^('DCF Model'!C19+0)+'DCF Model'!D45/(1+$B12)^('DCF Model'!C19+1)+'DCF Model'!E45/(1+$B12)^('DCF Model'!C19+2)+'DCF Model'!F45/(1+$B12)^('DCF Model'!C19+3)+'DCF Model'!G45/(1+$B12)^('DCF Model'!C19+4)+'DCF Model'!G45*(1+F$6)/($B12-F$6)/(1+$B12)^('DCF Model'!C19+4)-'DCF Model'!C16)*1000000/'DCF Model'!C15,0),"")</f>
        <v>2297</v>
      </c>
      <c r="G12" s="37">
        <f>IFERROR(ROUND(('DCF Model'!C45/(1+$B12)^('DCF Model'!C19+0)+'DCF Model'!D45/(1+$B12)^('DCF Model'!C19+1)+'DCF Model'!E45/(1+$B12)^('DCF Model'!C19+2)+'DCF Model'!F45/(1+$B12)^('DCF Model'!C19+3)+'DCF Model'!G45/(1+$B12)^('DCF Model'!C19+4)+'DCF Model'!G45*(1+G$6)/($B12-G$6)/(1+$B12)^('DCF Model'!C19+4)-'DCF Model'!C16)*1000000/'DCF Model'!C15,0),"")</f>
        <v>2350</v>
      </c>
      <c r="H12" s="37">
        <f>IFERROR(ROUND(('DCF Model'!C45/(1+$B12)^('DCF Model'!C19+0)+'DCF Model'!D45/(1+$B12)^('DCF Model'!C19+1)+'DCF Model'!E45/(1+$B12)^('DCF Model'!C19+2)+'DCF Model'!F45/(1+$B12)^('DCF Model'!C19+3)+'DCF Model'!G45/(1+$B12)^('DCF Model'!C19+4)+'DCF Model'!G45*(1+H$6)/($B12-H$6)/(1+$B12)^('DCF Model'!C19+4)-'DCF Model'!C16)*1000000/'DCF Model'!C15,0),"")</f>
        <v>2406</v>
      </c>
      <c r="I12" s="37">
        <f>IFERROR(ROUND(('DCF Model'!C45/(1+$B12)^('DCF Model'!C19+0)+'DCF Model'!D45/(1+$B12)^('DCF Model'!C19+1)+'DCF Model'!E45/(1+$B12)^('DCF Model'!C19+2)+'DCF Model'!F45/(1+$B12)^('DCF Model'!C19+3)+'DCF Model'!G45/(1+$B12)^('DCF Model'!C19+4)+'DCF Model'!G45*(1+I$6)/($B12-I$6)/(1+$B12)^('DCF Model'!C19+4)-'DCF Model'!C16)*1000000/'DCF Model'!C15,0),"")</f>
        <v>2466</v>
      </c>
    </row>
    <row r="13" spans="2:9" ht="13.5" x14ac:dyDescent="0.25">
      <c r="B13" s="39">
        <f>$C$3+0.015</f>
        <v>9.0352500000000002E-2</v>
      </c>
      <c r="C13" s="37">
        <f>IFERROR(ROUND(('DCF Model'!C45/(1+$B13)^('DCF Model'!C19+0)+'DCF Model'!D45/(1+$B13)^('DCF Model'!C19+1)+'DCF Model'!E45/(1+$B13)^('DCF Model'!C19+2)+'DCF Model'!F45/(1+$B13)^('DCF Model'!C19+3)+'DCF Model'!G45/(1+$B13)^('DCF Model'!C19+4)+'DCF Model'!G45*(1+C$6)/($B13-C$6)/(1+$B13)^('DCF Model'!C19+4)-'DCF Model'!C16)*1000000/'DCF Model'!C15,0),"")</f>
        <v>2052</v>
      </c>
      <c r="D13" s="37">
        <f>IFERROR(ROUND(('DCF Model'!C45/(1+$B13)^('DCF Model'!C19+0)+'DCF Model'!D45/(1+$B13)^('DCF Model'!C19+1)+'DCF Model'!E45/(1+$B13)^('DCF Model'!C19+2)+'DCF Model'!F45/(1+$B13)^('DCF Model'!C19+3)+'DCF Model'!G45/(1+$B13)^('DCF Model'!C19+4)+'DCF Model'!G45*(1+D$6)/($B13-D$6)/(1+$B13)^('DCF Model'!C19+4)-'DCF Model'!C16)*1000000/'DCF Model'!C15,0),"")</f>
        <v>2089</v>
      </c>
      <c r="E13" s="37">
        <f>IFERROR(ROUND(('DCF Model'!C45/(1+$B13)^('DCF Model'!C19+0)+'DCF Model'!D45/(1+$B13)^('DCF Model'!C19+1)+'DCF Model'!E45/(1+$B13)^('DCF Model'!C19+2)+'DCF Model'!F45/(1+$B13)^('DCF Model'!C19+3)+'DCF Model'!G45/(1+$B13)^('DCF Model'!C19+4)+'DCF Model'!G45*(1+E$6)/($B13-E$6)/(1+$B13)^('DCF Model'!C19+4)-'DCF Model'!C16)*1000000/'DCF Model'!C15,0),"")</f>
        <v>2129</v>
      </c>
      <c r="F13" s="37">
        <f>IFERROR(ROUND(('DCF Model'!C45/(1+$B13)^('DCF Model'!C19+0)+'DCF Model'!D45/(1+$B13)^('DCF Model'!C19+1)+'DCF Model'!E45/(1+$B13)^('DCF Model'!C19+2)+'DCF Model'!F45/(1+$B13)^('DCF Model'!C19+3)+'DCF Model'!G45/(1+$B13)^('DCF Model'!C19+4)+'DCF Model'!G45*(1+F$6)/($B13-F$6)/(1+$B13)^('DCF Model'!C19+4)-'DCF Model'!C16)*1000000/'DCF Model'!C15,0),"")</f>
        <v>2171</v>
      </c>
      <c r="G13" s="37">
        <f>IFERROR(ROUND(('DCF Model'!C45/(1+$B13)^('DCF Model'!C19+0)+'DCF Model'!D45/(1+$B13)^('DCF Model'!C19+1)+'DCF Model'!E45/(1+$B13)^('DCF Model'!C19+2)+'DCF Model'!F45/(1+$B13)^('DCF Model'!C19+3)+'DCF Model'!G45/(1+$B13)^('DCF Model'!C19+4)+'DCF Model'!G45*(1+G$6)/($B13-G$6)/(1+$B13)^('DCF Model'!C19+4)-'DCF Model'!C16)*1000000/'DCF Model'!C15,0),"")</f>
        <v>2217</v>
      </c>
      <c r="H13" s="37">
        <f>IFERROR(ROUND(('DCF Model'!C45/(1+$B13)^('DCF Model'!C19+0)+'DCF Model'!D45/(1+$B13)^('DCF Model'!C19+1)+'DCF Model'!E45/(1+$B13)^('DCF Model'!C19+2)+'DCF Model'!F45/(1+$B13)^('DCF Model'!C19+3)+'DCF Model'!G45/(1+$B13)^('DCF Model'!C19+4)+'DCF Model'!G45*(1+H$6)/($B13-H$6)/(1+$B13)^('DCF Model'!C19+4)-'DCF Model'!C16)*1000000/'DCF Model'!C15,0),"")</f>
        <v>2265</v>
      </c>
      <c r="I13" s="37">
        <f>IFERROR(ROUND(('DCF Model'!C45/(1+$B13)^('DCF Model'!C19+0)+'DCF Model'!D45/(1+$B13)^('DCF Model'!C19+1)+'DCF Model'!E45/(1+$B13)^('DCF Model'!C19+2)+'DCF Model'!F45/(1+$B13)^('DCF Model'!C19+3)+'DCF Model'!G45/(1+$B13)^('DCF Model'!C19+4)+'DCF Model'!G45*(1+I$6)/($B13-I$6)/(1+$B13)^('DCF Model'!C19+4)-'DCF Model'!C16)*1000000/'DCF Model'!C15,0),"")</f>
        <v>2316</v>
      </c>
    </row>
    <row r="16" spans="2:9" ht="14" x14ac:dyDescent="0.3">
      <c r="B16" s="3" t="s">
        <v>240</v>
      </c>
    </row>
    <row r="17" spans="2:9" ht="14" x14ac:dyDescent="0.3">
      <c r="B17" s="40" t="s">
        <v>241</v>
      </c>
      <c r="C17" s="42">
        <f>$I$3-3</f>
        <v>12.5</v>
      </c>
      <c r="D17" s="42">
        <f>$I$3-2</f>
        <v>13.5</v>
      </c>
      <c r="E17" s="42">
        <f>$I$3-1</f>
        <v>14.5</v>
      </c>
      <c r="F17" s="42">
        <f>$I$3</f>
        <v>15.5</v>
      </c>
      <c r="G17" s="42">
        <f>$I$3+1</f>
        <v>16.5</v>
      </c>
      <c r="H17" s="42">
        <f>$I$3+2</f>
        <v>17.5</v>
      </c>
      <c r="I17" s="42">
        <f>$I$3+3</f>
        <v>18.5</v>
      </c>
    </row>
    <row r="18" spans="2:9" ht="13.5" x14ac:dyDescent="0.25">
      <c r="B18" s="39">
        <f>$C$3-0.015</f>
        <v>6.0352500000000003E-2</v>
      </c>
      <c r="C18" s="37">
        <f>IFERROR(ROUND(('DCF Model'!C45/(1+$B18)^('DCF Model'!C19+0)+'DCF Model'!D45/(1+$B18)^('DCF Model'!C19+1)+'DCF Model'!E45/(1+$B18)^('DCF Model'!C19+2)+'DCF Model'!F45/(1+$B18)^('DCF Model'!C19+3)+'DCF Model'!G45/(1+$B18)^('DCF Model'!C19+4)+('DCF Model'!G39+'DCF Model'!G42)*C$17/(1+$B18)^('DCF Model'!C19+4)-'DCF Model'!C16)*1000000/'DCF Model'!C15,0),"")</f>
        <v>3169</v>
      </c>
      <c r="D18" s="37">
        <f>IFERROR(ROUND(('DCF Model'!C45/(1+$B18)^('DCF Model'!C19+0)+'DCF Model'!D45/(1+$B18)^('DCF Model'!C19+1)+'DCF Model'!E45/(1+$B18)^('DCF Model'!C19+2)+'DCF Model'!F45/(1+$B18)^('DCF Model'!C19+3)+'DCF Model'!G45/(1+$B18)^('DCF Model'!C19+4)+('DCF Model'!G39+'DCF Model'!G42)*D$17/(1+$B18)^('DCF Model'!C19+4)-'DCF Model'!C16)*1000000/'DCF Model'!C15,0),"")</f>
        <v>3350</v>
      </c>
      <c r="E18" s="37">
        <f>IFERROR(ROUND(('DCF Model'!C45/(1+$B18)^('DCF Model'!C19+0)+'DCF Model'!D45/(1+$B18)^('DCF Model'!C19+1)+'DCF Model'!E45/(1+$B18)^('DCF Model'!C19+2)+'DCF Model'!F45/(1+$B18)^('DCF Model'!C19+3)+'DCF Model'!G45/(1+$B18)^('DCF Model'!C19+4)+('DCF Model'!G39+'DCF Model'!G42)*E$17/(1+$B18)^('DCF Model'!C19+4)-'DCF Model'!C16)*1000000/'DCF Model'!C15,0),"")</f>
        <v>3530</v>
      </c>
      <c r="F18" s="37">
        <f>IFERROR(ROUND(('DCF Model'!C45/(1+$B18)^('DCF Model'!C19+0)+'DCF Model'!D45/(1+$B18)^('DCF Model'!C19+1)+'DCF Model'!E45/(1+$B18)^('DCF Model'!C19+2)+'DCF Model'!F45/(1+$B18)^('DCF Model'!C19+3)+'DCF Model'!G45/(1+$B18)^('DCF Model'!C19+4)+('DCF Model'!G39+'DCF Model'!G42)*F$17/(1+$B18)^('DCF Model'!C19+4)-'DCF Model'!C16)*1000000/'DCF Model'!C15,0),"")</f>
        <v>3710</v>
      </c>
      <c r="G18" s="37">
        <f>IFERROR(ROUND(('DCF Model'!C45/(1+$B18)^('DCF Model'!C19+0)+'DCF Model'!D45/(1+$B18)^('DCF Model'!C19+1)+'DCF Model'!E45/(1+$B18)^('DCF Model'!C19+2)+'DCF Model'!F45/(1+$B18)^('DCF Model'!C19+3)+'DCF Model'!G45/(1+$B18)^('DCF Model'!C19+4)+('DCF Model'!G39+'DCF Model'!G42)*G$17/(1+$B18)^('DCF Model'!C19+4)-'DCF Model'!C16)*1000000/'DCF Model'!C15,0),"")</f>
        <v>3890</v>
      </c>
      <c r="H18" s="37">
        <f>IFERROR(ROUND(('DCF Model'!C45/(1+$B18)^('DCF Model'!C19+0)+'DCF Model'!D45/(1+$B18)^('DCF Model'!C19+1)+'DCF Model'!E45/(1+$B18)^('DCF Model'!C19+2)+'DCF Model'!F45/(1+$B18)^('DCF Model'!C19+3)+'DCF Model'!G45/(1+$B18)^('DCF Model'!C19+4)+('DCF Model'!G39+'DCF Model'!G42)*H$17/(1+$B18)^('DCF Model'!C19+4)-'DCF Model'!C16)*1000000/'DCF Model'!C15,0),"")</f>
        <v>4071</v>
      </c>
      <c r="I18" s="37">
        <f>IFERROR(ROUND(('DCF Model'!C45/(1+$B18)^('DCF Model'!C19+0)+'DCF Model'!D45/(1+$B18)^('DCF Model'!C19+1)+'DCF Model'!E45/(1+$B18)^('DCF Model'!C19+2)+'DCF Model'!F45/(1+$B18)^('DCF Model'!C19+3)+'DCF Model'!G45/(1+$B18)^('DCF Model'!C19+4)+('DCF Model'!G39+'DCF Model'!G42)*I$17/(1+$B18)^('DCF Model'!C19+4)-'DCF Model'!C16)*1000000/'DCF Model'!C15,0),"")</f>
        <v>4251</v>
      </c>
    </row>
    <row r="19" spans="2:9" ht="13.5" x14ac:dyDescent="0.25">
      <c r="B19" s="39">
        <f>$C$3-0.01</f>
        <v>6.5352500000000008E-2</v>
      </c>
      <c r="C19" s="37">
        <f>IFERROR(ROUND(('DCF Model'!C45/(1+$B19)^('DCF Model'!C19+0)+'DCF Model'!D45/(1+$B19)^('DCF Model'!C19+1)+'DCF Model'!E45/(1+$B19)^('DCF Model'!C19+2)+'DCF Model'!F45/(1+$B19)^('DCF Model'!C19+3)+'DCF Model'!G45/(1+$B19)^('DCF Model'!C19+4)+('DCF Model'!G39+'DCF Model'!G42)*C$17/(1+$B19)^('DCF Model'!C19+4)-'DCF Model'!C16)*1000000/'DCF Model'!C15,0),"")</f>
        <v>3109</v>
      </c>
      <c r="D19" s="37">
        <f>IFERROR(ROUND(('DCF Model'!C45/(1+$B19)^('DCF Model'!C19+0)+'DCF Model'!D45/(1+$B19)^('DCF Model'!C19+1)+'DCF Model'!E45/(1+$B19)^('DCF Model'!C19+2)+'DCF Model'!F45/(1+$B19)^('DCF Model'!C19+3)+'DCF Model'!G45/(1+$B19)^('DCF Model'!C19+4)+('DCF Model'!G39+'DCF Model'!G42)*D$17/(1+$B19)^('DCF Model'!C19+4)-'DCF Model'!C16)*1000000/'DCF Model'!C15,0),"")</f>
        <v>3285</v>
      </c>
      <c r="E19" s="37">
        <f>IFERROR(ROUND(('DCF Model'!C45/(1+$B19)^('DCF Model'!C19+0)+'DCF Model'!D45/(1+$B19)^('DCF Model'!C19+1)+'DCF Model'!E45/(1+$B19)^('DCF Model'!C19+2)+'DCF Model'!F45/(1+$B19)^('DCF Model'!C19+3)+'DCF Model'!G45/(1+$B19)^('DCF Model'!C19+4)+('DCF Model'!G39+'DCF Model'!G42)*E$17/(1+$B19)^('DCF Model'!C19+4)-'DCF Model'!C16)*1000000/'DCF Model'!C15,0),"")</f>
        <v>3461</v>
      </c>
      <c r="F19" s="37">
        <f>IFERROR(ROUND(('DCF Model'!C45/(1+$B19)^('DCF Model'!C19+0)+'DCF Model'!D45/(1+$B19)^('DCF Model'!C19+1)+'DCF Model'!E45/(1+$B19)^('DCF Model'!C19+2)+'DCF Model'!F45/(1+$B19)^('DCF Model'!C19+3)+'DCF Model'!G45/(1+$B19)^('DCF Model'!C19+4)+('DCF Model'!G39+'DCF Model'!G42)*F$17/(1+$B19)^('DCF Model'!C19+4)-'DCF Model'!C16)*1000000/'DCF Model'!C15,0),"")</f>
        <v>3637</v>
      </c>
      <c r="G19" s="37">
        <f>IFERROR(ROUND(('DCF Model'!C45/(1+$B19)^('DCF Model'!C19+0)+'DCF Model'!D45/(1+$B19)^('DCF Model'!C19+1)+'DCF Model'!E45/(1+$B19)^('DCF Model'!C19+2)+'DCF Model'!F45/(1+$B19)^('DCF Model'!C19+3)+'DCF Model'!G45/(1+$B19)^('DCF Model'!C19+4)+('DCF Model'!G39+'DCF Model'!G42)*G$17/(1+$B19)^('DCF Model'!C19+4)-'DCF Model'!C16)*1000000/'DCF Model'!C15,0),"")</f>
        <v>3813</v>
      </c>
      <c r="H19" s="37">
        <f>IFERROR(ROUND(('DCF Model'!C45/(1+$B19)^('DCF Model'!C19+0)+'DCF Model'!D45/(1+$B19)^('DCF Model'!C19+1)+'DCF Model'!E45/(1+$B19)^('DCF Model'!C19+2)+'DCF Model'!F45/(1+$B19)^('DCF Model'!C19+3)+'DCF Model'!G45/(1+$B19)^('DCF Model'!C19+4)+('DCF Model'!G39+'DCF Model'!G42)*H$17/(1+$B19)^('DCF Model'!C19+4)-'DCF Model'!C16)*1000000/'DCF Model'!C15,0),"")</f>
        <v>3989</v>
      </c>
      <c r="I19" s="37">
        <f>IFERROR(ROUND(('DCF Model'!C45/(1+$B19)^('DCF Model'!C19+0)+'DCF Model'!D45/(1+$B19)^('DCF Model'!C19+1)+'DCF Model'!E45/(1+$B19)^('DCF Model'!C19+2)+'DCF Model'!F45/(1+$B19)^('DCF Model'!C19+3)+'DCF Model'!G45/(1+$B19)^('DCF Model'!C19+4)+('DCF Model'!G39+'DCF Model'!G42)*I$17/(1+$B19)^('DCF Model'!C19+4)-'DCF Model'!C16)*1000000/'DCF Model'!C15,0),"")</f>
        <v>4165</v>
      </c>
    </row>
    <row r="20" spans="2:9" ht="13.5" x14ac:dyDescent="0.25">
      <c r="B20" s="39">
        <f>$C$3-0.005</f>
        <v>7.0352499999999998E-2</v>
      </c>
      <c r="C20" s="37">
        <f>IFERROR(ROUND(('DCF Model'!C45/(1+$B20)^('DCF Model'!C19+0)+'DCF Model'!D45/(1+$B20)^('DCF Model'!C19+1)+'DCF Model'!E45/(1+$B20)^('DCF Model'!C19+2)+'DCF Model'!F45/(1+$B20)^('DCF Model'!C19+3)+'DCF Model'!G45/(1+$B20)^('DCF Model'!C19+4)+('DCF Model'!G39+'DCF Model'!G42)*C$17/(1+$B20)^('DCF Model'!C19+4)-'DCF Model'!C16)*1000000/'DCF Model'!C15,0),"")</f>
        <v>3050</v>
      </c>
      <c r="D20" s="37">
        <f>IFERROR(ROUND(('DCF Model'!C45/(1+$B20)^('DCF Model'!C19+0)+'DCF Model'!D45/(1+$B20)^('DCF Model'!C19+1)+'DCF Model'!E45/(1+$B20)^('DCF Model'!C19+2)+'DCF Model'!F45/(1+$B20)^('DCF Model'!C19+3)+'DCF Model'!G45/(1+$B20)^('DCF Model'!C19+4)+('DCF Model'!G39+'DCF Model'!G42)*D$17/(1+$B20)^('DCF Model'!C19+4)-'DCF Model'!C16)*1000000/'DCF Model'!C15,0),"")</f>
        <v>3222</v>
      </c>
      <c r="E20" s="37">
        <f>IFERROR(ROUND(('DCF Model'!C45/(1+$B20)^('DCF Model'!C19+0)+'DCF Model'!D45/(1+$B20)^('DCF Model'!C19+1)+'DCF Model'!E45/(1+$B20)^('DCF Model'!C19+2)+'DCF Model'!F45/(1+$B20)^('DCF Model'!C19+3)+'DCF Model'!G45/(1+$B20)^('DCF Model'!C19+4)+('DCF Model'!G39+'DCF Model'!G42)*E$17/(1+$B20)^('DCF Model'!C19+4)-'DCF Model'!C16)*1000000/'DCF Model'!C15,0),"")</f>
        <v>3394</v>
      </c>
      <c r="F20" s="37">
        <f>IFERROR(ROUND(('DCF Model'!C45/(1+$B20)^('DCF Model'!C19+0)+'DCF Model'!D45/(1+$B20)^('DCF Model'!C19+1)+'DCF Model'!E45/(1+$B20)^('DCF Model'!C19+2)+'DCF Model'!F45/(1+$B20)^('DCF Model'!C19+3)+'DCF Model'!G45/(1+$B20)^('DCF Model'!C19+4)+('DCF Model'!G39+'DCF Model'!G42)*F$17/(1+$B20)^('DCF Model'!C19+4)-'DCF Model'!C16)*1000000/'DCF Model'!C15,0),"")</f>
        <v>3566</v>
      </c>
      <c r="G20" s="37">
        <f>IFERROR(ROUND(('DCF Model'!C45/(1+$B20)^('DCF Model'!C19+0)+'DCF Model'!D45/(1+$B20)^('DCF Model'!C19+1)+'DCF Model'!E45/(1+$B20)^('DCF Model'!C19+2)+'DCF Model'!F45/(1+$B20)^('DCF Model'!C19+3)+'DCF Model'!G45/(1+$B20)^('DCF Model'!C19+4)+('DCF Model'!G39+'DCF Model'!G42)*G$17/(1+$B20)^('DCF Model'!C19+4)-'DCF Model'!C16)*1000000/'DCF Model'!C15,0),"")</f>
        <v>3738</v>
      </c>
      <c r="H20" s="37">
        <f>IFERROR(ROUND(('DCF Model'!C45/(1+$B20)^('DCF Model'!C19+0)+'DCF Model'!D45/(1+$B20)^('DCF Model'!C19+1)+'DCF Model'!E45/(1+$B20)^('DCF Model'!C19+2)+'DCF Model'!F45/(1+$B20)^('DCF Model'!C19+3)+'DCF Model'!G45/(1+$B20)^('DCF Model'!C19+4)+('DCF Model'!G39+'DCF Model'!G42)*H$17/(1+$B20)^('DCF Model'!C19+4)-'DCF Model'!C16)*1000000/'DCF Model'!C15,0),"")</f>
        <v>3910</v>
      </c>
      <c r="I20" s="37">
        <f>IFERROR(ROUND(('DCF Model'!C45/(1+$B20)^('DCF Model'!C19+0)+'DCF Model'!D45/(1+$B20)^('DCF Model'!C19+1)+'DCF Model'!E45/(1+$B20)^('DCF Model'!C19+2)+'DCF Model'!F45/(1+$B20)^('DCF Model'!C19+3)+'DCF Model'!G45/(1+$B20)^('DCF Model'!C19+4)+('DCF Model'!G39+'DCF Model'!G42)*I$17/(1+$B20)^('DCF Model'!C19+4)-'DCF Model'!C16)*1000000/'DCF Model'!C15,0),"")</f>
        <v>4082</v>
      </c>
    </row>
    <row r="21" spans="2:9" ht="13.5" x14ac:dyDescent="0.25">
      <c r="B21" s="39">
        <f>$C$3</f>
        <v>7.5352500000000003E-2</v>
      </c>
      <c r="C21" s="37">
        <f>IFERROR(ROUND(('DCF Model'!C45/(1+$B21)^('DCF Model'!C19+0)+'DCF Model'!D45/(1+$B21)^('DCF Model'!C19+1)+'DCF Model'!E45/(1+$B21)^('DCF Model'!C19+2)+'DCF Model'!F45/(1+$B21)^('DCF Model'!C19+3)+'DCF Model'!G45/(1+$B21)^('DCF Model'!C19+4)+('DCF Model'!G39+'DCF Model'!G42)*C$17/(1+$B21)^('DCF Model'!C19+4)-'DCF Model'!C16)*1000000/'DCF Model'!C15,0),"")</f>
        <v>2993</v>
      </c>
      <c r="D21" s="37">
        <f>IFERROR(ROUND(('DCF Model'!C45/(1+$B21)^('DCF Model'!C19+0)+'DCF Model'!D45/(1+$B21)^('DCF Model'!C19+1)+'DCF Model'!E45/(1+$B21)^('DCF Model'!C19+2)+'DCF Model'!F45/(1+$B21)^('DCF Model'!C19+3)+'DCF Model'!G45/(1+$B21)^('DCF Model'!C19+4)+('DCF Model'!G39+'DCF Model'!G42)*D$17/(1+$B21)^('DCF Model'!C19+4)-'DCF Model'!C16)*1000000/'DCF Model'!C15,0),"")</f>
        <v>3161</v>
      </c>
      <c r="E21" s="37">
        <f>IFERROR(ROUND(('DCF Model'!C45/(1+$B21)^('DCF Model'!C19+0)+'DCF Model'!D45/(1+$B21)^('DCF Model'!C19+1)+'DCF Model'!E45/(1+$B21)^('DCF Model'!C19+2)+'DCF Model'!F45/(1+$B21)^('DCF Model'!C19+3)+'DCF Model'!G45/(1+$B21)^('DCF Model'!C19+4)+('DCF Model'!G39+'DCF Model'!G42)*E$17/(1+$B21)^('DCF Model'!C19+4)-'DCF Model'!C16)*1000000/'DCF Model'!C15,0),"")</f>
        <v>3329</v>
      </c>
      <c r="F21" s="37">
        <f>IFERROR(ROUND(('DCF Model'!C45/(1+$B21)^('DCF Model'!C19+0)+'DCF Model'!D45/(1+$B21)^('DCF Model'!C19+1)+'DCF Model'!E45/(1+$B21)^('DCF Model'!C19+2)+'DCF Model'!F45/(1+$B21)^('DCF Model'!C19+3)+'DCF Model'!G45/(1+$B21)^('DCF Model'!C19+4)+('DCF Model'!G39+'DCF Model'!G42)*F$17/(1+$B21)^('DCF Model'!C19+4)-'DCF Model'!C16)*1000000/'DCF Model'!C15,0),"")</f>
        <v>3497</v>
      </c>
      <c r="G21" s="37">
        <f>IFERROR(ROUND(('DCF Model'!C45/(1+$B21)^('DCF Model'!C19+0)+'DCF Model'!D45/(1+$B21)^('DCF Model'!C19+1)+'DCF Model'!E45/(1+$B21)^('DCF Model'!C19+2)+'DCF Model'!F45/(1+$B21)^('DCF Model'!C19+3)+'DCF Model'!G45/(1+$B21)^('DCF Model'!C19+4)+('DCF Model'!G39+'DCF Model'!G42)*G$17/(1+$B21)^('DCF Model'!C19+4)-'DCF Model'!C16)*1000000/'DCF Model'!C15,0),"")</f>
        <v>3665</v>
      </c>
      <c r="H21" s="37">
        <f>IFERROR(ROUND(('DCF Model'!C45/(1+$B21)^('DCF Model'!C19+0)+'DCF Model'!D45/(1+$B21)^('DCF Model'!C19+1)+'DCF Model'!E45/(1+$B21)^('DCF Model'!C19+2)+'DCF Model'!F45/(1+$B21)^('DCF Model'!C19+3)+'DCF Model'!G45/(1+$B21)^('DCF Model'!C19+4)+('DCF Model'!G39+'DCF Model'!G42)*H$17/(1+$B21)^('DCF Model'!C19+4)-'DCF Model'!C16)*1000000/'DCF Model'!C15,0),"")</f>
        <v>3833</v>
      </c>
      <c r="I21" s="37">
        <f>IFERROR(ROUND(('DCF Model'!C45/(1+$B21)^('DCF Model'!C19+0)+'DCF Model'!D45/(1+$B21)^('DCF Model'!C19+1)+'DCF Model'!E45/(1+$B21)^('DCF Model'!C19+2)+'DCF Model'!F45/(1+$B21)^('DCF Model'!C19+3)+'DCF Model'!G45/(1+$B21)^('DCF Model'!C19+4)+('DCF Model'!G39+'DCF Model'!G42)*I$17/(1+$B21)^('DCF Model'!C19+4)-'DCF Model'!C16)*1000000/'DCF Model'!C15,0),"")</f>
        <v>4001</v>
      </c>
    </row>
    <row r="22" spans="2:9" ht="13.5" x14ac:dyDescent="0.25">
      <c r="B22" s="39">
        <f>$C$3+0.005</f>
        <v>8.0352500000000007E-2</v>
      </c>
      <c r="C22" s="37">
        <f>IFERROR(ROUND(('DCF Model'!C45/(1+$B22)^('DCF Model'!C19+0)+'DCF Model'!D45/(1+$B22)^('DCF Model'!C19+1)+'DCF Model'!E45/(1+$B22)^('DCF Model'!C19+2)+'DCF Model'!F45/(1+$B22)^('DCF Model'!C19+3)+'DCF Model'!G45/(1+$B22)^('DCF Model'!C19+4)+('DCF Model'!G39+'DCF Model'!G42)*C$17/(1+$B22)^('DCF Model'!C19+4)-'DCF Model'!C16)*1000000/'DCF Model'!C15,0),"")</f>
        <v>2937</v>
      </c>
      <c r="D22" s="37">
        <f>IFERROR(ROUND(('DCF Model'!C45/(1+$B22)^('DCF Model'!C19+0)+'DCF Model'!D45/(1+$B22)^('DCF Model'!C19+1)+'DCF Model'!E45/(1+$B22)^('DCF Model'!C19+2)+'DCF Model'!F45/(1+$B22)^('DCF Model'!C19+3)+'DCF Model'!G45/(1+$B22)^('DCF Model'!C19+4)+('DCF Model'!G39+'DCF Model'!G42)*D$17/(1+$B22)^('DCF Model'!C19+4)-'DCF Model'!C16)*1000000/'DCF Model'!C15,0),"")</f>
        <v>3101</v>
      </c>
      <c r="E22" s="37">
        <f>IFERROR(ROUND(('DCF Model'!C45/(1+$B22)^('DCF Model'!C19+0)+'DCF Model'!D45/(1+$B22)^('DCF Model'!C19+1)+'DCF Model'!E45/(1+$B22)^('DCF Model'!C19+2)+'DCF Model'!F45/(1+$B22)^('DCF Model'!C19+3)+'DCF Model'!G45/(1+$B22)^('DCF Model'!C19+4)+('DCF Model'!G39+'DCF Model'!G42)*E$17/(1+$B22)^('DCF Model'!C19+4)-'DCF Model'!C16)*1000000/'DCF Model'!C15,0),"")</f>
        <v>3265</v>
      </c>
      <c r="F22" s="37">
        <f>IFERROR(ROUND(('DCF Model'!C45/(1+$B22)^('DCF Model'!C19+0)+'DCF Model'!D45/(1+$B22)^('DCF Model'!C19+1)+'DCF Model'!E45/(1+$B22)^('DCF Model'!C19+2)+'DCF Model'!F45/(1+$B22)^('DCF Model'!C19+3)+'DCF Model'!G45/(1+$B22)^('DCF Model'!C19+4)+('DCF Model'!G39+'DCF Model'!G42)*F$17/(1+$B22)^('DCF Model'!C19+4)-'DCF Model'!C16)*1000000/'DCF Model'!C15,0),"")</f>
        <v>3429</v>
      </c>
      <c r="G22" s="37">
        <f>IFERROR(ROUND(('DCF Model'!C45/(1+$B22)^('DCF Model'!C19+0)+'DCF Model'!D45/(1+$B22)^('DCF Model'!C19+1)+'DCF Model'!E45/(1+$B22)^('DCF Model'!C19+2)+'DCF Model'!F45/(1+$B22)^('DCF Model'!C19+3)+'DCF Model'!G45/(1+$B22)^('DCF Model'!C19+4)+('DCF Model'!G39+'DCF Model'!G42)*G$17/(1+$B22)^('DCF Model'!C19+4)-'DCF Model'!C16)*1000000/'DCF Model'!C15,0),"")</f>
        <v>3593</v>
      </c>
      <c r="H22" s="37">
        <f>IFERROR(ROUND(('DCF Model'!C45/(1+$B22)^('DCF Model'!C19+0)+'DCF Model'!D45/(1+$B22)^('DCF Model'!C19+1)+'DCF Model'!E45/(1+$B22)^('DCF Model'!C19+2)+'DCF Model'!F45/(1+$B22)^('DCF Model'!C19+3)+'DCF Model'!G45/(1+$B22)^('DCF Model'!C19+4)+('DCF Model'!G39+'DCF Model'!G42)*H$17/(1+$B22)^('DCF Model'!C19+4)-'DCF Model'!C16)*1000000/'DCF Model'!C15,0),"")</f>
        <v>3758</v>
      </c>
      <c r="I22" s="37">
        <f>IFERROR(ROUND(('DCF Model'!C45/(1+$B22)^('DCF Model'!C19+0)+'DCF Model'!D45/(1+$B22)^('DCF Model'!C19+1)+'DCF Model'!E45/(1+$B22)^('DCF Model'!C19+2)+'DCF Model'!F45/(1+$B22)^('DCF Model'!C19+3)+'DCF Model'!G45/(1+$B22)^('DCF Model'!C19+4)+('DCF Model'!G39+'DCF Model'!G42)*I$17/(1+$B22)^('DCF Model'!C19+4)-'DCF Model'!C16)*1000000/'DCF Model'!C15,0),"")</f>
        <v>3922</v>
      </c>
    </row>
    <row r="23" spans="2:9" ht="13.5" x14ac:dyDescent="0.25">
      <c r="B23" s="39">
        <f>$C$3+0.01</f>
        <v>8.5352499999999998E-2</v>
      </c>
      <c r="C23" s="37">
        <f>IFERROR(ROUND(('DCF Model'!C45/(1+$B23)^('DCF Model'!C19+0)+'DCF Model'!D45/(1+$B23)^('DCF Model'!C19+1)+'DCF Model'!E45/(1+$B23)^('DCF Model'!C19+2)+'DCF Model'!F45/(1+$B23)^('DCF Model'!C19+3)+'DCF Model'!G45/(1+$B23)^('DCF Model'!C19+4)+('DCF Model'!G39+'DCF Model'!G42)*C$17/(1+$B23)^('DCF Model'!C19+4)-'DCF Model'!C16)*1000000/'DCF Model'!C15,0),"")</f>
        <v>2882</v>
      </c>
      <c r="D23" s="37">
        <f>IFERROR(ROUND(('DCF Model'!C45/(1+$B23)^('DCF Model'!C19+0)+'DCF Model'!D45/(1+$B23)^('DCF Model'!C19+1)+'DCF Model'!E45/(1+$B23)^('DCF Model'!C19+2)+'DCF Model'!F45/(1+$B23)^('DCF Model'!C19+3)+'DCF Model'!G45/(1+$B23)^('DCF Model'!C19+4)+('DCF Model'!G39+'DCF Model'!G42)*D$17/(1+$B23)^('DCF Model'!C19+4)-'DCF Model'!C16)*1000000/'DCF Model'!C15,0),"")</f>
        <v>3043</v>
      </c>
      <c r="E23" s="37">
        <f>IFERROR(ROUND(('DCF Model'!C45/(1+$B23)^('DCF Model'!C19+0)+'DCF Model'!D45/(1+$B23)^('DCF Model'!C19+1)+'DCF Model'!E45/(1+$B23)^('DCF Model'!C19+2)+'DCF Model'!F45/(1+$B23)^('DCF Model'!C19+3)+'DCF Model'!G45/(1+$B23)^('DCF Model'!C19+4)+('DCF Model'!G39+'DCF Model'!G42)*E$17/(1+$B23)^('DCF Model'!C19+4)-'DCF Model'!C16)*1000000/'DCF Model'!C15,0),"")</f>
        <v>3203</v>
      </c>
      <c r="F23" s="37">
        <f>IFERROR(ROUND(('DCF Model'!C45/(1+$B23)^('DCF Model'!C19+0)+'DCF Model'!D45/(1+$B23)^('DCF Model'!C19+1)+'DCF Model'!E45/(1+$B23)^('DCF Model'!C19+2)+'DCF Model'!F45/(1+$B23)^('DCF Model'!C19+3)+'DCF Model'!G45/(1+$B23)^('DCF Model'!C19+4)+('DCF Model'!G39+'DCF Model'!G42)*F$17/(1+$B23)^('DCF Model'!C19+4)-'DCF Model'!C16)*1000000/'DCF Model'!C15,0),"")</f>
        <v>3364</v>
      </c>
      <c r="G23" s="37">
        <f>IFERROR(ROUND(('DCF Model'!C45/(1+$B23)^('DCF Model'!C19+0)+'DCF Model'!D45/(1+$B23)^('DCF Model'!C19+1)+'DCF Model'!E45/(1+$B23)^('DCF Model'!C19+2)+'DCF Model'!F45/(1+$B23)^('DCF Model'!C19+3)+'DCF Model'!G45/(1+$B23)^('DCF Model'!C19+4)+('DCF Model'!G39+'DCF Model'!G42)*G$17/(1+$B23)^('DCF Model'!C19+4)-'DCF Model'!C16)*1000000/'DCF Model'!C15,0),"")</f>
        <v>3524</v>
      </c>
      <c r="H23" s="37">
        <f>IFERROR(ROUND(('DCF Model'!C45/(1+$B23)^('DCF Model'!C19+0)+'DCF Model'!D45/(1+$B23)^('DCF Model'!C19+1)+'DCF Model'!E45/(1+$B23)^('DCF Model'!C19+2)+'DCF Model'!F45/(1+$B23)^('DCF Model'!C19+3)+'DCF Model'!G45/(1+$B23)^('DCF Model'!C19+4)+('DCF Model'!G39+'DCF Model'!G42)*H$17/(1+$B23)^('DCF Model'!C19+4)-'DCF Model'!C16)*1000000/'DCF Model'!C15,0),"")</f>
        <v>3684</v>
      </c>
      <c r="I23" s="37">
        <f>IFERROR(ROUND(('DCF Model'!C45/(1+$B23)^('DCF Model'!C19+0)+'DCF Model'!D45/(1+$B23)^('DCF Model'!C19+1)+'DCF Model'!E45/(1+$B23)^('DCF Model'!C19+2)+'DCF Model'!F45/(1+$B23)^('DCF Model'!C19+3)+'DCF Model'!G45/(1+$B23)^('DCF Model'!C19+4)+('DCF Model'!G39+'DCF Model'!G42)*I$17/(1+$B23)^('DCF Model'!C19+4)-'DCF Model'!C16)*1000000/'DCF Model'!C15,0),"")</f>
        <v>3845</v>
      </c>
    </row>
    <row r="24" spans="2:9" ht="13.5" x14ac:dyDescent="0.25">
      <c r="B24" s="39">
        <f>$C$3+0.015</f>
        <v>9.0352500000000002E-2</v>
      </c>
      <c r="C24" s="37">
        <f>IFERROR(ROUND(('DCF Model'!C45/(1+$B24)^('DCF Model'!C19+0)+'DCF Model'!D45/(1+$B24)^('DCF Model'!C19+1)+'DCF Model'!E45/(1+$B24)^('DCF Model'!C19+2)+'DCF Model'!F45/(1+$B24)^('DCF Model'!C19+3)+'DCF Model'!G45/(1+$B24)^('DCF Model'!C19+4)+('DCF Model'!G39+'DCF Model'!G42)*C$17/(1+$B24)^('DCF Model'!C19+4)-'DCF Model'!C16)*1000000/'DCF Model'!C15,0),"")</f>
        <v>2830</v>
      </c>
      <c r="D24" s="37">
        <f>IFERROR(ROUND(('DCF Model'!C45/(1+$B24)^('DCF Model'!C19+0)+'DCF Model'!D45/(1+$B24)^('DCF Model'!C19+1)+'DCF Model'!E45/(1+$B24)^('DCF Model'!C19+2)+'DCF Model'!F45/(1+$B24)^('DCF Model'!C19+3)+'DCF Model'!G45/(1+$B24)^('DCF Model'!C19+4)+('DCF Model'!G39+'DCF Model'!G42)*D$17/(1+$B24)^('DCF Model'!C19+4)-'DCF Model'!C16)*1000000/'DCF Model'!C15,0),"")</f>
        <v>2986</v>
      </c>
      <c r="E24" s="37">
        <f>IFERROR(ROUND(('DCF Model'!C45/(1+$B24)^('DCF Model'!C19+0)+'DCF Model'!D45/(1+$B24)^('DCF Model'!C19+1)+'DCF Model'!E45/(1+$B24)^('DCF Model'!C19+2)+'DCF Model'!F45/(1+$B24)^('DCF Model'!C19+3)+'DCF Model'!G45/(1+$B24)^('DCF Model'!C19+4)+('DCF Model'!G39+'DCF Model'!G42)*E$17/(1+$B24)^('DCF Model'!C19+4)-'DCF Model'!C16)*1000000/'DCF Model'!C15,0),"")</f>
        <v>3143</v>
      </c>
      <c r="F24" s="37">
        <f>IFERROR(ROUND(('DCF Model'!C45/(1+$B24)^('DCF Model'!C19+0)+'DCF Model'!D45/(1+$B24)^('DCF Model'!C19+1)+'DCF Model'!E45/(1+$B24)^('DCF Model'!C19+2)+'DCF Model'!F45/(1+$B24)^('DCF Model'!C19+3)+'DCF Model'!G45/(1+$B24)^('DCF Model'!C19+4)+('DCF Model'!G39+'DCF Model'!G42)*F$17/(1+$B24)^('DCF Model'!C19+4)-'DCF Model'!C16)*1000000/'DCF Model'!C15,0),"")</f>
        <v>3300</v>
      </c>
      <c r="G24" s="37">
        <f>IFERROR(ROUND(('DCF Model'!C45/(1+$B24)^('DCF Model'!C19+0)+'DCF Model'!D45/(1+$B24)^('DCF Model'!C19+1)+'DCF Model'!E45/(1+$B24)^('DCF Model'!C19+2)+'DCF Model'!F45/(1+$B24)^('DCF Model'!C19+3)+'DCF Model'!G45/(1+$B24)^('DCF Model'!C19+4)+('DCF Model'!G39+'DCF Model'!G42)*G$17/(1+$B24)^('DCF Model'!C19+4)-'DCF Model'!C16)*1000000/'DCF Model'!C15,0),"")</f>
        <v>3457</v>
      </c>
      <c r="H24" s="37">
        <f>IFERROR(ROUND(('DCF Model'!C45/(1+$B24)^('DCF Model'!C19+0)+'DCF Model'!D45/(1+$B24)^('DCF Model'!C19+1)+'DCF Model'!E45/(1+$B24)^('DCF Model'!C19+2)+'DCF Model'!F45/(1+$B24)^('DCF Model'!C19+3)+'DCF Model'!G45/(1+$B24)^('DCF Model'!C19+4)+('DCF Model'!G39+'DCF Model'!G42)*H$17/(1+$B24)^('DCF Model'!C19+4)-'DCF Model'!C16)*1000000/'DCF Model'!C15,0),"")</f>
        <v>3613</v>
      </c>
      <c r="I24" s="37">
        <f>IFERROR(ROUND(('DCF Model'!C45/(1+$B24)^('DCF Model'!C19+0)+'DCF Model'!D45/(1+$B24)^('DCF Model'!C19+1)+'DCF Model'!E45/(1+$B24)^('DCF Model'!C19+2)+'DCF Model'!F45/(1+$B24)^('DCF Model'!C19+3)+'DCF Model'!G45/(1+$B24)^('DCF Model'!C19+4)+('DCF Model'!G39+'DCF Model'!G42)*I$17/(1+$B24)^('DCF Model'!C19+4)-'DCF Model'!C16)*1000000/'DCF Model'!C15,0),"")</f>
        <v>3770</v>
      </c>
    </row>
    <row r="26" spans="2:9" ht="14" x14ac:dyDescent="0.3">
      <c r="B26" s="45" t="s">
        <v>242</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243</v>
      </c>
    </row>
    <row r="4" spans="2:7" ht="14" x14ac:dyDescent="0.3">
      <c r="B4" s="10" t="s">
        <v>244</v>
      </c>
      <c r="C4" s="10" t="s">
        <v>245</v>
      </c>
      <c r="D4" s="10" t="s">
        <v>246</v>
      </c>
      <c r="E4" s="10" t="s">
        <v>247</v>
      </c>
      <c r="F4" s="10" t="s">
        <v>248</v>
      </c>
      <c r="G4" s="10" t="s">
        <v>249</v>
      </c>
    </row>
    <row r="5" spans="2:7" x14ac:dyDescent="0.2">
      <c r="B5" t="s">
        <v>250</v>
      </c>
      <c r="C5" t="s">
        <v>251</v>
      </c>
      <c r="D5" t="s">
        <v>252</v>
      </c>
      <c r="E5" t="s">
        <v>253</v>
      </c>
      <c r="F5" t="s">
        <v>251</v>
      </c>
      <c r="G5" t="s">
        <v>254</v>
      </c>
    </row>
    <row r="6" spans="2:7" ht="30" customHeight="1" x14ac:dyDescent="0.3">
      <c r="B6" t="s">
        <v>250</v>
      </c>
      <c r="C6" s="4" t="s">
        <v>255</v>
      </c>
      <c r="D6" t="s">
        <v>256</v>
      </c>
      <c r="E6" t="s">
        <v>257</v>
      </c>
      <c r="F6" t="s">
        <v>258</v>
      </c>
      <c r="G6" t="s">
        <v>259</v>
      </c>
    </row>
    <row r="7" spans="2:7" ht="30" customHeight="1" x14ac:dyDescent="0.3">
      <c r="B7" t="s">
        <v>250</v>
      </c>
      <c r="C7" s="4" t="s">
        <v>260</v>
      </c>
      <c r="D7" t="s">
        <v>261</v>
      </c>
      <c r="E7" t="s">
        <v>262</v>
      </c>
      <c r="F7" t="s">
        <v>263</v>
      </c>
      <c r="G7" t="s">
        <v>264</v>
      </c>
    </row>
    <row r="12" spans="2:7" ht="14" x14ac:dyDescent="0.3">
      <c r="B12" s="8" t="s">
        <v>265</v>
      </c>
    </row>
    <row r="13" spans="2:7" ht="14" x14ac:dyDescent="0.3">
      <c r="B13" s="10" t="s">
        <v>266</v>
      </c>
      <c r="C13" s="10" t="s">
        <v>267</v>
      </c>
    </row>
    <row r="14" spans="2:7" ht="14" x14ac:dyDescent="0.3">
      <c r="B14" s="4" t="s">
        <v>268</v>
      </c>
      <c r="C14" t="s">
        <v>269</v>
      </c>
    </row>
    <row r="15" spans="2:7" ht="14" x14ac:dyDescent="0.3">
      <c r="B15" s="4" t="s">
        <v>270</v>
      </c>
      <c r="C15" t="s">
        <v>271</v>
      </c>
    </row>
    <row r="16" spans="2:7" ht="14" x14ac:dyDescent="0.3">
      <c r="B16" s="4" t="s">
        <v>272</v>
      </c>
      <c r="C16" t="s">
        <v>273</v>
      </c>
    </row>
    <row r="17" spans="2:3" ht="14" x14ac:dyDescent="0.3">
      <c r="B17" s="4" t="s">
        <v>274</v>
      </c>
      <c r="C17" t="s">
        <v>271</v>
      </c>
    </row>
    <row r="18" spans="2:3" ht="14" x14ac:dyDescent="0.3">
      <c r="B18" s="4" t="s">
        <v>275</v>
      </c>
      <c r="C18" t="s">
        <v>276</v>
      </c>
    </row>
    <row r="19" spans="2:3" ht="14" x14ac:dyDescent="0.3">
      <c r="B19" s="4" t="s">
        <v>277</v>
      </c>
      <c r="C19" t="s">
        <v>278</v>
      </c>
    </row>
    <row r="20" spans="2:3" ht="14" x14ac:dyDescent="0.3">
      <c r="B20" s="4" t="s">
        <v>279</v>
      </c>
      <c r="C20" t="s">
        <v>280</v>
      </c>
    </row>
    <row r="21" spans="2:3" ht="14" x14ac:dyDescent="0.3">
      <c r="B21" s="4" t="s">
        <v>281</v>
      </c>
      <c r="C21" t="s">
        <v>282</v>
      </c>
    </row>
    <row r="22" spans="2:3" ht="14" x14ac:dyDescent="0.3">
      <c r="B22" s="4" t="s">
        <v>283</v>
      </c>
      <c r="C22" t="s">
        <v>284</v>
      </c>
    </row>
    <row r="23" spans="2:3" ht="14" x14ac:dyDescent="0.3">
      <c r="B23" s="4" t="s">
        <v>285</v>
      </c>
      <c r="C23" t="s">
        <v>4</v>
      </c>
    </row>
    <row r="24" spans="2:3" ht="14" x14ac:dyDescent="0.3">
      <c r="B24" s="4" t="s">
        <v>286</v>
      </c>
      <c r="C24" t="s">
        <v>250</v>
      </c>
    </row>
    <row r="25" spans="2:3" ht="14" x14ac:dyDescent="0.3">
      <c r="B25" s="4" t="s">
        <v>287</v>
      </c>
      <c r="C25" t="s">
        <v>288</v>
      </c>
    </row>
    <row r="26" spans="2:3" ht="14" x14ac:dyDescent="0.3">
      <c r="B26" s="4" t="s">
        <v>289</v>
      </c>
      <c r="C26" t="s">
        <v>276</v>
      </c>
    </row>
    <row r="27" spans="2:3" ht="14" x14ac:dyDescent="0.3">
      <c r="B27" s="4" t="s">
        <v>290</v>
      </c>
      <c r="C27" t="s">
        <v>276</v>
      </c>
    </row>
    <row r="28" spans="2:3" ht="14" x14ac:dyDescent="0.3">
      <c r="B28" s="4" t="s">
        <v>291</v>
      </c>
      <c r="C28" t="s">
        <v>292</v>
      </c>
    </row>
    <row r="29" spans="2:3" ht="14" x14ac:dyDescent="0.3">
      <c r="B29" s="4" t="s">
        <v>293</v>
      </c>
      <c r="C29" t="s">
        <v>294</v>
      </c>
    </row>
    <row r="30" spans="2:3" ht="14" x14ac:dyDescent="0.3">
      <c r="B30" s="4" t="s">
        <v>295</v>
      </c>
      <c r="C30" t="s">
        <v>296</v>
      </c>
    </row>
    <row r="31" spans="2:3" ht="14" x14ac:dyDescent="0.3">
      <c r="B31" s="4" t="s">
        <v>297</v>
      </c>
      <c r="C31" t="s">
        <v>292</v>
      </c>
    </row>
    <row r="32" spans="2:3" ht="14" x14ac:dyDescent="0.3">
      <c r="B32" s="4" t="s">
        <v>298</v>
      </c>
      <c r="C32" t="s">
        <v>276</v>
      </c>
    </row>
    <row r="33" spans="2:3" ht="14" x14ac:dyDescent="0.3">
      <c r="B33" s="4" t="s">
        <v>299</v>
      </c>
      <c r="C33" t="s">
        <v>288</v>
      </c>
    </row>
    <row r="34" spans="2:3" ht="14" x14ac:dyDescent="0.3">
      <c r="B34" s="4" t="s">
        <v>300</v>
      </c>
      <c r="C34" t="s">
        <v>301</v>
      </c>
    </row>
    <row r="35" spans="2:3" ht="14" x14ac:dyDescent="0.3">
      <c r="B35" s="4" t="s">
        <v>302</v>
      </c>
      <c r="C35" t="s">
        <v>303</v>
      </c>
    </row>
    <row r="36" spans="2:3" ht="14" x14ac:dyDescent="0.3">
      <c r="B36" s="4" t="s">
        <v>304</v>
      </c>
      <c r="C36" t="s">
        <v>305</v>
      </c>
    </row>
    <row r="37" spans="2:3" ht="14" x14ac:dyDescent="0.3">
      <c r="B37" s="4" t="s">
        <v>306</v>
      </c>
      <c r="C37" t="s">
        <v>307</v>
      </c>
    </row>
    <row r="38" spans="2:3" ht="14" x14ac:dyDescent="0.3">
      <c r="B38" s="4" t="s">
        <v>308</v>
      </c>
      <c r="C38" t="s">
        <v>309</v>
      </c>
    </row>
    <row r="39" spans="2:3" ht="14" x14ac:dyDescent="0.3">
      <c r="B39" s="4" t="s">
        <v>310</v>
      </c>
      <c r="C39" t="s">
        <v>311</v>
      </c>
    </row>
    <row r="40" spans="2:3" ht="14" x14ac:dyDescent="0.3">
      <c r="B40" s="4" t="s">
        <v>312</v>
      </c>
      <c r="C40" t="s">
        <v>313</v>
      </c>
    </row>
    <row r="41" spans="2:3" ht="14" x14ac:dyDescent="0.3">
      <c r="B41" s="4" t="s">
        <v>314</v>
      </c>
      <c r="C41" t="s">
        <v>315</v>
      </c>
    </row>
    <row r="42" spans="2:3" ht="14" x14ac:dyDescent="0.3">
      <c r="B42" s="4" t="s">
        <v>316</v>
      </c>
      <c r="C42" t="s">
        <v>317</v>
      </c>
    </row>
    <row r="43" spans="2:3" ht="14" x14ac:dyDescent="0.3">
      <c r="B43" s="4" t="s">
        <v>318</v>
      </c>
      <c r="C43" t="s">
        <v>319</v>
      </c>
    </row>
    <row r="44" spans="2:3" ht="14" x14ac:dyDescent="0.3">
      <c r="B44" s="4" t="s">
        <v>320</v>
      </c>
      <c r="C44" t="s">
        <v>280</v>
      </c>
    </row>
    <row r="45" spans="2:3" ht="14" x14ac:dyDescent="0.3">
      <c r="B45" s="4" t="s">
        <v>321</v>
      </c>
      <c r="C45" t="s">
        <v>322</v>
      </c>
    </row>
    <row r="46" spans="2:3" ht="14" x14ac:dyDescent="0.3">
      <c r="B46" s="4" t="s">
        <v>323</v>
      </c>
      <c r="C46" t="s">
        <v>324</v>
      </c>
    </row>
    <row r="47" spans="2:3" ht="14" x14ac:dyDescent="0.3">
      <c r="B47" s="4" t="s">
        <v>325</v>
      </c>
      <c r="C47" t="s">
        <v>326</v>
      </c>
    </row>
    <row r="48" spans="2:3" ht="14" x14ac:dyDescent="0.3">
      <c r="B48" s="4" t="s">
        <v>327</v>
      </c>
      <c r="C48" t="s">
        <v>328</v>
      </c>
    </row>
    <row r="49" spans="2:3" ht="14" x14ac:dyDescent="0.3">
      <c r="B49" s="4" t="s">
        <v>329</v>
      </c>
      <c r="C49" t="s">
        <v>330</v>
      </c>
    </row>
    <row r="50" spans="2:3" ht="14" x14ac:dyDescent="0.3">
      <c r="B50" s="4" t="s">
        <v>331</v>
      </c>
      <c r="C50" t="s">
        <v>332</v>
      </c>
    </row>
    <row r="51" spans="2:3" ht="14" x14ac:dyDescent="0.3">
      <c r="B51" s="4" t="s">
        <v>333</v>
      </c>
      <c r="C51" t="s">
        <v>334</v>
      </c>
    </row>
    <row r="52" spans="2:3" ht="14" x14ac:dyDescent="0.3">
      <c r="B52" s="4" t="s">
        <v>335</v>
      </c>
      <c r="C52" t="s">
        <v>336</v>
      </c>
    </row>
    <row r="53" spans="2:3" ht="14" x14ac:dyDescent="0.3">
      <c r="B53" s="4" t="s">
        <v>337</v>
      </c>
      <c r="C53" t="s">
        <v>338</v>
      </c>
    </row>
    <row r="54" spans="2:3" ht="14" x14ac:dyDescent="0.3">
      <c r="B54" s="4" t="s">
        <v>339</v>
      </c>
      <c r="C54" t="s">
        <v>340</v>
      </c>
    </row>
    <row r="55" spans="2:3" ht="14" x14ac:dyDescent="0.3">
      <c r="B55" s="4" t="s">
        <v>341</v>
      </c>
      <c r="C55" t="s">
        <v>342</v>
      </c>
    </row>
    <row r="56" spans="2:3" ht="14" x14ac:dyDescent="0.3">
      <c r="B56" s="4" t="s">
        <v>343</v>
      </c>
      <c r="C56" t="s">
        <v>344</v>
      </c>
    </row>
    <row r="57" spans="2:3" ht="14" x14ac:dyDescent="0.3">
      <c r="B57" s="4" t="s">
        <v>345</v>
      </c>
      <c r="C57" t="s">
        <v>346</v>
      </c>
    </row>
    <row r="58" spans="2:3" ht="14" x14ac:dyDescent="0.3">
      <c r="B58" s="4" t="s">
        <v>347</v>
      </c>
      <c r="C58" t="s">
        <v>288</v>
      </c>
    </row>
    <row r="59" spans="2:3" ht="14" x14ac:dyDescent="0.3">
      <c r="B59" s="4" t="s">
        <v>348</v>
      </c>
      <c r="C59" t="s">
        <v>349</v>
      </c>
    </row>
    <row r="60" spans="2:3" ht="14" x14ac:dyDescent="0.3">
      <c r="B60" s="4" t="s">
        <v>350</v>
      </c>
      <c r="C60" t="s">
        <v>351</v>
      </c>
    </row>
    <row r="61" spans="2:3" ht="14" x14ac:dyDescent="0.3">
      <c r="B61" s="4" t="s">
        <v>352</v>
      </c>
      <c r="C61" t="s">
        <v>353</v>
      </c>
    </row>
    <row r="62" spans="2:3" ht="14" x14ac:dyDescent="0.3">
      <c r="B62" s="4" t="s">
        <v>354</v>
      </c>
      <c r="C62" t="s">
        <v>355</v>
      </c>
    </row>
    <row r="63" spans="2:3" ht="14" x14ac:dyDescent="0.3">
      <c r="B63" s="4" t="s">
        <v>356</v>
      </c>
      <c r="C63" t="s">
        <v>357</v>
      </c>
    </row>
    <row r="64" spans="2:3" ht="14" x14ac:dyDescent="0.3">
      <c r="B64" s="4" t="s">
        <v>358</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2026-09-06T10:35:07Z</dcterms:created>
  <dcterms:modified xsi:type="dcterms:W3CDTF">2026-09-06T10:35:10Z</dcterms:modified>
</cp:coreProperties>
</file>