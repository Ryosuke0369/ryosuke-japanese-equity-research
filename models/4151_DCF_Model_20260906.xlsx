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9EA9AEE7-5ABD-46ED-9544-51C56BB5B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J6" i="6"/>
  <c r="D17" i="6" s="1"/>
  <c r="O5" i="6"/>
  <c r="N5" i="6"/>
  <c r="E5" i="6"/>
  <c r="J5" i="6" s="1"/>
  <c r="D5" i="6"/>
  <c r="M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G5" i="5" s="1"/>
  <c r="C25" i="3"/>
  <c r="C26" i="3" s="1"/>
  <c r="C24" i="3"/>
  <c r="C23" i="3"/>
  <c r="F23" i="2"/>
  <c r="E23" i="2"/>
  <c r="D23" i="2"/>
  <c r="C23" i="2"/>
  <c r="F22" i="2"/>
  <c r="E22" i="2"/>
  <c r="F21" i="2"/>
  <c r="E21" i="2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C9" i="2"/>
  <c r="F8" i="2"/>
  <c r="F9" i="2" s="1"/>
  <c r="E8" i="2"/>
  <c r="E9" i="2" s="1"/>
  <c r="D8" i="2"/>
  <c r="D9" i="2" s="1"/>
  <c r="C8" i="2"/>
  <c r="I16" i="6" l="1"/>
  <c r="F15" i="6"/>
  <c r="G16" i="6"/>
  <c r="G15" i="6"/>
  <c r="H15" i="6"/>
  <c r="E15" i="6"/>
  <c r="I17" i="6"/>
  <c r="C71" i="4"/>
  <c r="C70" i="4"/>
  <c r="C24" i="4"/>
  <c r="C25" i="4" s="1"/>
  <c r="C3" i="7"/>
  <c r="G36" i="4"/>
  <c r="C11" i="4"/>
  <c r="G46" i="3"/>
  <c r="E36" i="4"/>
  <c r="D36" i="4"/>
  <c r="D46" i="3"/>
  <c r="B25" i="1"/>
  <c r="C46" i="3"/>
  <c r="E46" i="3"/>
  <c r="F36" i="4"/>
  <c r="F46" i="3"/>
  <c r="H36" i="4"/>
  <c r="B31" i="1"/>
  <c r="C31" i="3"/>
  <c r="H6" i="5"/>
  <c r="C30" i="3"/>
  <c r="C33" i="3" s="1"/>
  <c r="F31" i="3"/>
  <c r="H5" i="5"/>
  <c r="D7" i="5"/>
  <c r="K5" i="6"/>
  <c r="I15" i="6"/>
  <c r="E17" i="6"/>
  <c r="I6" i="7"/>
  <c r="D31" i="3"/>
  <c r="D30" i="3"/>
  <c r="G31" i="3"/>
  <c r="E7" i="5"/>
  <c r="L5" i="6"/>
  <c r="D16" i="6"/>
  <c r="F17" i="6"/>
  <c r="C17" i="7"/>
  <c r="G32" i="3"/>
  <c r="E30" i="3"/>
  <c r="C32" i="3"/>
  <c r="D6" i="5"/>
  <c r="F7" i="5"/>
  <c r="E16" i="6"/>
  <c r="G17" i="6"/>
  <c r="C6" i="7"/>
  <c r="D17" i="7"/>
  <c r="F32" i="3"/>
  <c r="F30" i="3"/>
  <c r="D32" i="3"/>
  <c r="E6" i="5"/>
  <c r="G7" i="5"/>
  <c r="D15" i="6"/>
  <c r="F16" i="6"/>
  <c r="C28" i="6" s="1"/>
  <c r="C19" i="1" s="1"/>
  <c r="D19" i="1" s="1"/>
  <c r="H17" i="6"/>
  <c r="D6" i="7"/>
  <c r="E17" i="7"/>
  <c r="G30" i="3"/>
  <c r="E32" i="3"/>
  <c r="D5" i="5"/>
  <c r="F6" i="5"/>
  <c r="H7" i="5"/>
  <c r="E6" i="7"/>
  <c r="F17" i="7"/>
  <c r="E5" i="5"/>
  <c r="G6" i="5"/>
  <c r="H16" i="6"/>
  <c r="F6" i="7"/>
  <c r="G17" i="7"/>
  <c r="F5" i="5"/>
  <c r="G6" i="7"/>
  <c r="H17" i="7"/>
  <c r="E31" i="3"/>
  <c r="D45" i="4" l="1"/>
  <c r="D43" i="4"/>
  <c r="D46" i="4"/>
  <c r="D40" i="4"/>
  <c r="D50" i="4" s="1"/>
  <c r="D55" i="4" s="1"/>
  <c r="D44" i="4"/>
  <c r="D38" i="4"/>
  <c r="D48" i="4" s="1"/>
  <c r="D53" i="4" s="1"/>
  <c r="D41" i="4"/>
  <c r="D51" i="4" s="1"/>
  <c r="D56" i="4" s="1"/>
  <c r="D39" i="4"/>
  <c r="D49" i="4" s="1"/>
  <c r="D54" i="4" s="1"/>
  <c r="H40" i="4"/>
  <c r="H38" i="4"/>
  <c r="H41" i="4"/>
  <c r="H45" i="4"/>
  <c r="H39" i="4"/>
  <c r="H44" i="4"/>
  <c r="H43" i="4"/>
  <c r="H46" i="4"/>
  <c r="E39" i="4"/>
  <c r="E43" i="4"/>
  <c r="E46" i="4"/>
  <c r="E40" i="4"/>
  <c r="E44" i="4"/>
  <c r="E38" i="4"/>
  <c r="E48" i="4" s="1"/>
  <c r="E53" i="4" s="1"/>
  <c r="E41" i="4"/>
  <c r="E51" i="4" s="1"/>
  <c r="E56" i="4" s="1"/>
  <c r="E45" i="4"/>
  <c r="C27" i="6"/>
  <c r="C18" i="1" s="1"/>
  <c r="D18" i="1" s="1"/>
  <c r="C74" i="4"/>
  <c r="B24" i="1"/>
  <c r="B30" i="1"/>
  <c r="G46" i="4"/>
  <c r="G44" i="4"/>
  <c r="G38" i="4"/>
  <c r="G41" i="4"/>
  <c r="G51" i="4" s="1"/>
  <c r="G56" i="4" s="1"/>
  <c r="G45" i="4"/>
  <c r="G39" i="4"/>
  <c r="G40" i="4"/>
  <c r="G43" i="4"/>
  <c r="D9" i="5"/>
  <c r="D12" i="5" s="1"/>
  <c r="C42" i="3"/>
  <c r="C34" i="3"/>
  <c r="D10" i="5" s="1"/>
  <c r="C37" i="3"/>
  <c r="D33" i="3"/>
  <c r="C29" i="4"/>
  <c r="C27" i="4"/>
  <c r="C26" i="4"/>
  <c r="F43" i="4"/>
  <c r="F40" i="4"/>
  <c r="F50" i="4" s="1"/>
  <c r="F55" i="4" s="1"/>
  <c r="F44" i="4"/>
  <c r="F38" i="4"/>
  <c r="F41" i="4"/>
  <c r="F45" i="4"/>
  <c r="F39" i="4"/>
  <c r="F46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H49" i="4" l="1"/>
  <c r="H54" i="4" s="1"/>
  <c r="F49" i="4"/>
  <c r="F54" i="4" s="1"/>
  <c r="B78" i="4" s="1"/>
  <c r="E50" i="4"/>
  <c r="E55" i="4" s="1"/>
  <c r="F51" i="4"/>
  <c r="F56" i="4" s="1"/>
  <c r="C35" i="3"/>
  <c r="C36" i="3" s="1"/>
  <c r="E49" i="4"/>
  <c r="E54" i="4" s="1"/>
  <c r="D15" i="5"/>
  <c r="D16" i="5" s="1"/>
  <c r="D13" i="5"/>
  <c r="D14" i="5" s="1"/>
  <c r="D18" i="5" s="1"/>
  <c r="D19" i="5" s="1"/>
  <c r="C44" i="3" s="1"/>
  <c r="C60" i="4"/>
  <c r="G48" i="4"/>
  <c r="G53" i="4" s="1"/>
  <c r="F48" i="4"/>
  <c r="F53" i="4" s="1"/>
  <c r="G50" i="4"/>
  <c r="G55" i="4" s="1"/>
  <c r="H51" i="4"/>
  <c r="H56" i="4" s="1"/>
  <c r="D42" i="3"/>
  <c r="D37" i="3"/>
  <c r="E9" i="5"/>
  <c r="E12" i="5" s="1"/>
  <c r="D34" i="3"/>
  <c r="E10" i="5" s="1"/>
  <c r="E33" i="3"/>
  <c r="G49" i="4"/>
  <c r="G54" i="4" s="1"/>
  <c r="H48" i="4"/>
  <c r="H53" i="4" s="1"/>
  <c r="H50" i="4"/>
  <c r="H55" i="4" s="1"/>
  <c r="C39" i="3"/>
  <c r="C38" i="3"/>
  <c r="E13" i="5" l="1"/>
  <c r="E15" i="5"/>
  <c r="E16" i="5" s="1"/>
  <c r="F9" i="5"/>
  <c r="F12" i="5" s="1"/>
  <c r="E34" i="3"/>
  <c r="F10" i="5" s="1"/>
  <c r="E37" i="3"/>
  <c r="E35" i="3"/>
  <c r="F33" i="3"/>
  <c r="E42" i="3"/>
  <c r="E14" i="5"/>
  <c r="D35" i="3"/>
  <c r="C40" i="3"/>
  <c r="C41" i="3" s="1"/>
  <c r="C45" i="3" s="1"/>
  <c r="C64" i="4"/>
  <c r="D64" i="4" s="1"/>
  <c r="C67" i="4"/>
  <c r="D67" i="4" s="1"/>
  <c r="C63" i="4"/>
  <c r="D63" i="4" s="1"/>
  <c r="C65" i="4"/>
  <c r="D65" i="4" s="1"/>
  <c r="C66" i="4"/>
  <c r="D66" i="4" s="1"/>
  <c r="C47" i="3" l="1"/>
  <c r="F42" i="3"/>
  <c r="F34" i="3"/>
  <c r="G10" i="5" s="1"/>
  <c r="G33" i="3"/>
  <c r="F37" i="3"/>
  <c r="G9" i="5"/>
  <c r="G12" i="5" s="1"/>
  <c r="E39" i="3"/>
  <c r="E38" i="3"/>
  <c r="E36" i="3"/>
  <c r="F15" i="5"/>
  <c r="F16" i="5" s="1"/>
  <c r="F13" i="5"/>
  <c r="F14" i="5" s="1"/>
  <c r="F18" i="5" s="1"/>
  <c r="D36" i="3"/>
  <c r="D38" i="3"/>
  <c r="D39" i="3"/>
  <c r="E18" i="5"/>
  <c r="E19" i="5" s="1"/>
  <c r="D44" i="3" s="1"/>
  <c r="F19" i="5" l="1"/>
  <c r="E44" i="3" s="1"/>
  <c r="F35" i="3"/>
  <c r="G37" i="3"/>
  <c r="C16" i="4"/>
  <c r="C28" i="4" s="1"/>
  <c r="H9" i="5"/>
  <c r="H12" i="5" s="1"/>
  <c r="G42" i="3"/>
  <c r="G34" i="3"/>
  <c r="H10" i="5" s="1"/>
  <c r="G13" i="5"/>
  <c r="G14" i="5" s="1"/>
  <c r="G18" i="5" s="1"/>
  <c r="G19" i="5" s="1"/>
  <c r="F44" i="3" s="1"/>
  <c r="G15" i="5"/>
  <c r="G16" i="5" s="1"/>
  <c r="D40" i="3"/>
  <c r="D41" i="3"/>
  <c r="D45" i="3" s="1"/>
  <c r="E40" i="3"/>
  <c r="E41" i="3"/>
  <c r="E45" i="3" s="1"/>
  <c r="E47" i="3" s="1"/>
  <c r="H15" i="5" l="1"/>
  <c r="H16" i="5" s="1"/>
  <c r="H13" i="5"/>
  <c r="H14" i="5" s="1"/>
  <c r="H18" i="5" s="1"/>
  <c r="H19" i="5" s="1"/>
  <c r="G44" i="3" s="1"/>
  <c r="C72" i="4"/>
  <c r="C73" i="4"/>
  <c r="D47" i="3"/>
  <c r="G35" i="3"/>
  <c r="F38" i="3"/>
  <c r="F36" i="3"/>
  <c r="F39" i="3"/>
  <c r="F40" i="3" l="1"/>
  <c r="F41" i="3" s="1"/>
  <c r="F45" i="3" s="1"/>
  <c r="G38" i="3"/>
  <c r="G36" i="3"/>
  <c r="G39" i="3"/>
  <c r="F47" i="3" l="1"/>
  <c r="G40" i="3"/>
  <c r="G41" i="3" s="1"/>
  <c r="G45" i="3" s="1"/>
  <c r="C59" i="3"/>
  <c r="C60" i="3" s="1"/>
  <c r="C61" i="3" s="1"/>
  <c r="G47" i="3" l="1"/>
  <c r="C51" i="3"/>
  <c r="C52" i="3" s="1"/>
  <c r="E11" i="7"/>
  <c r="D21" i="7"/>
  <c r="F20" i="7"/>
  <c r="I12" i="7"/>
  <c r="C19" i="7"/>
  <c r="E18" i="7"/>
  <c r="H13" i="7"/>
  <c r="C18" i="7"/>
  <c r="H24" i="7"/>
  <c r="E20" i="7"/>
  <c r="E21" i="7"/>
  <c r="E12" i="7"/>
  <c r="I19" i="7"/>
  <c r="F7" i="7"/>
  <c r="I11" i="7"/>
  <c r="G8" i="7"/>
  <c r="H22" i="7"/>
  <c r="H18" i="7"/>
  <c r="I22" i="7"/>
  <c r="G20" i="7"/>
  <c r="F12" i="7"/>
  <c r="H20" i="7"/>
  <c r="G7" i="7"/>
  <c r="F23" i="7"/>
  <c r="H19" i="7"/>
  <c r="I24" i="7"/>
  <c r="H7" i="7"/>
  <c r="C11" i="7"/>
  <c r="H8" i="7"/>
  <c r="F24" i="7"/>
  <c r="D18" i="7"/>
  <c r="G9" i="7"/>
  <c r="I9" i="7"/>
  <c r="C10" i="7"/>
  <c r="G13" i="7"/>
  <c r="D10" i="7"/>
  <c r="I8" i="7"/>
  <c r="F11" i="7"/>
  <c r="C8" i="7"/>
  <c r="I10" i="7"/>
  <c r="C13" i="7"/>
  <c r="F9" i="7"/>
  <c r="E13" i="7"/>
  <c r="G22" i="7"/>
  <c r="E19" i="7"/>
  <c r="D13" i="7"/>
  <c r="I21" i="7"/>
  <c r="E23" i="7"/>
  <c r="I23" i="7"/>
  <c r="C23" i="7"/>
  <c r="C21" i="7"/>
  <c r="H21" i="7"/>
  <c r="F19" i="7"/>
  <c r="H9" i="7"/>
  <c r="H23" i="7"/>
  <c r="F18" i="7"/>
  <c r="E10" i="7"/>
  <c r="I13" i="7"/>
  <c r="E24" i="7"/>
  <c r="D12" i="7"/>
  <c r="G18" i="7"/>
  <c r="D11" i="7"/>
  <c r="F10" i="7"/>
  <c r="D19" i="7"/>
  <c r="C9" i="7"/>
  <c r="E8" i="7"/>
  <c r="C22" i="7"/>
  <c r="C12" i="7"/>
  <c r="C7" i="7"/>
  <c r="E9" i="7"/>
  <c r="D8" i="7"/>
  <c r="I20" i="7"/>
  <c r="H11" i="7"/>
  <c r="H12" i="7"/>
  <c r="E7" i="7"/>
  <c r="G10" i="7"/>
  <c r="G24" i="7"/>
  <c r="H10" i="7"/>
  <c r="F8" i="7"/>
  <c r="F22" i="7"/>
  <c r="F13" i="7"/>
  <c r="G19" i="7"/>
  <c r="I18" i="7"/>
  <c r="G12" i="7"/>
  <c r="G11" i="7"/>
  <c r="D23" i="7"/>
  <c r="E22" i="7"/>
  <c r="C20" i="7"/>
  <c r="G23" i="7"/>
  <c r="D20" i="7"/>
  <c r="D9" i="7"/>
  <c r="F21" i="7"/>
  <c r="D7" i="7"/>
  <c r="I7" i="7"/>
  <c r="D24" i="7"/>
  <c r="D22" i="7"/>
  <c r="G21" i="7"/>
  <c r="C24" i="7"/>
  <c r="C50" i="3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D16" i="1" l="1"/>
  <c r="C10" i="1"/>
  <c r="C21" i="1"/>
  <c r="C19" i="4"/>
  <c r="C20" i="4" s="1"/>
  <c r="B79" i="4" s="1"/>
  <c r="C12" i="1" l="1"/>
  <c r="C11" i="1" s="1"/>
  <c r="B29" i="1"/>
  <c r="B26" i="1" l="1"/>
</calcChain>
</file>

<file path=xl/sharedStrings.xml><?xml version="1.0" encoding="utf-8"?>
<sst xmlns="http://schemas.openxmlformats.org/spreadsheetml/2006/main" count="425" uniqueCount="343">
  <si>
    <t>DISCLAIMER: This is a sample analysis for demonstration purposes only. It does not constitute investment advice.</t>
  </si>
  <si>
    <t>協和キリン (4151.T)</t>
  </si>
  <si>
    <t>Equity Research Report</t>
  </si>
  <si>
    <t>Company</t>
  </si>
  <si>
    <t>協和キリン</t>
  </si>
  <si>
    <t>Ticker</t>
  </si>
  <si>
    <t>4151.T (TSE Prime)</t>
  </si>
  <si>
    <t>Sector</t>
  </si>
  <si>
    <t>医薬品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</si>
  <si>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</si>
  <si>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</si>
  <si>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</si>
  <si>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</si>
  <si>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</si>
  <si>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</si>
  <si>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</si>
  <si>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</si>
  <si>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</si>
  <si>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</si>
  <si>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</si>
  <si>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</si>
  <si>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</si>
  <si>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</si>
  <si>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</si>
  <si>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Key Risks</t>
  </si>
  <si>
    <t>協和キリン - Historical Financials (JPY mn)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</si>
  <si>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</si>
  <si>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</si>
  <si>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</si>
  <si>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</si>
  <si>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</si>
  <si>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</si>
  <si>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</si>
  <si>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</si>
  <si>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</si>
  <si>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</si>
  <si>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</si>
  <si>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</si>
  <si>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</si>
  <si>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</si>
  <si>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</si>
  <si>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</si>
  <si>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</si>
  <si>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</si>
  <si>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</si>
  <si>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</si>
  <si>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</si>
  <si>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</si>
  <si>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</si>
  <si>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</si>
  <si>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</si>
  <si>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</si>
  <si>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</si>
  <si>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0/4 — blank cells are years with no year-key match in the source data (verify against 決算短信 or set hist_ocf / hist_cash / hist_debt in overrides).</t>
  </si>
  <si>
    <t>DCF Valuation Model - 協和キリン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</si>
  <si>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</si>
  <si>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</si>
  <si>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</si>
  <si>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</si>
  <si>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</si>
  <si>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</si>
  <si>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</si>
  <si>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</si>
  <si>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</si>
  <si>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</si>
  <si>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</si>
  <si>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</si>
  <si>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</si>
  <si>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</si>
  <si>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</si>
  <si>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</si>
  <si>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</si>
  <si>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</si>
  <si>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</si>
  <si>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</si>
  <si>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</si>
  <si>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</si>
  <si>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</si>
  <si>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</si>
  <si>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</si>
  <si>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</si>
  <si>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</si>
  <si>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</si>
  <si>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</si>
  <si>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</si>
  <si>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</si>
  <si>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</si>
  <si>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</si>
  <si>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</si>
  <si>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</si>
  <si>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</si>
  <si>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</si>
  <si>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</si>
  <si>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</si>
  <si>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</si>
  <si>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</si>
  <si>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</si>
  <si>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</si>
  <si>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</si>
  <si>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</si>
  <si>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</si>
  <si>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</si>
  <si>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</si>
  <si>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</si>
  <si>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</si>
  <si>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</si>
  <si>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</si>
  <si>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</si>
  <si>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</si>
  <si>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</si>
  <si>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</si>
  <si>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</si>
  <si>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</si>
  <si>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</si>
  <si>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</si>
  <si>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</si>
  <si>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</si>
  <si>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</si>
  <si>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</si>
  <si>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協和キリン (4151.T)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</si>
  <si>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</si>
  <si>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</si>
  <si>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</si>
  <si>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</si>
  <si>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</si>
  <si>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</si>
  <si>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</si>
  <si>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</si>
  <si>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(FY2025 actual)</t>
  </si>
  <si>
    <t>Cycle-peak Operating Profit (FY2025 actual)</t>
  </si>
  <si>
    <t>Terminal-year Revenue, active scenario (JPY mn)</t>
  </si>
  <si>
    <t>Base-case DCF Enterprise Value, PGM (JPY mn)</t>
  </si>
  <si>
    <t>Cycle-peak Operating Margin (FY2025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</si>
  <si>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</si>
  <si>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</si>
  <si>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</si>
  <si>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</si>
  <si>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</si>
  <si>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</si>
  <si>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FY2025 peak</t>
  </si>
  <si>
    <t>... as a multiple of FY2025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</si>
  <si>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</si>
  <si>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</si>
  <si>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</si>
  <si>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</si>
  <si>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</si>
  <si>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</si>
  <si>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</si>
  <si>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</si>
  <si>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</si>
  <si>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</si>
  <si>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</si>
  <si>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</si>
  <si>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</si>
  <si>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</si>
  <si>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FY2025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</si>
  <si>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</si>
  <si>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</si>
  <si>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</si>
  <si>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</si>
  <si>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</si>
  <si>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</si>
  <si>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(FY2025)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</si>
  <si>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</si>
  <si>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</si>
  <si>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</si>
  <si>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</si>
  <si>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</si>
  <si>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</si>
  <si>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</si>
  <si>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</si>
  <si>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協和キリン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</si>
  <si>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</si>
  <si>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</si>
  <si>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</si>
  <si>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</si>
  <si>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</si>
  <si>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</si>
  <si>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</si>
  <si>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</si>
  <si>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</si>
  <si>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</si>
  <si>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</si>
  <si>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</si>
  <si>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</si>
  <si>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</si>
  <si>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</si>
  <si>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</si>
  <si>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</si>
  <si>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</si>
  <si>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</si>
  <si>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</si>
  <si>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</si>
  <si>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</si>
  <si>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</si>
  <si>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</si>
  <si>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</si>
  <si>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</si>
  <si>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</si>
  <si>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</si>
  <si>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</si>
  <si>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</si>
  <si>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</si>
  <si>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</si>
  <si>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</si>
  <si>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</si>
  <si>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Kyowa Kirin Co., Ltd.</t>
  </si>
  <si>
    <t>4151.T</t>
  </si>
  <si>
    <t>Shionogi &amp; Co., Ltd.</t>
  </si>
  <si>
    <t>4507.T</t>
  </si>
  <si>
    <t>Eisai Co., Ltd.</t>
  </si>
  <si>
    <t>4523.T</t>
  </si>
  <si>
    <t>Astellas Pharma Inc.</t>
  </si>
  <si>
    <t>4503.T</t>
  </si>
  <si>
    <t>Daiichi Sankyo Company, Limited</t>
  </si>
  <si>
    <t>4568.T</t>
  </si>
  <si>
    <t>Otsuka Holdings Co., Ltd.</t>
  </si>
  <si>
    <t>4578.T</t>
  </si>
  <si>
    <t>Statistics</t>
  </si>
  <si>
    <t>25th Percentile</t>
  </si>
  <si>
    <t>Median (50th)</t>
  </si>
  <si>
    <t>75th Percentile</t>
  </si>
  <si>
    <t>Implied Valuation for 協和キリン</t>
  </si>
  <si>
    <t>協和キリン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</si>
  <si>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</si>
  <si>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</si>
  <si>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</si>
  <si>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</si>
  <si>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</si>
  <si>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</si>
  <si>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</si>
  <si>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</si>
  <si>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</si>
  <si>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</si>
  <si>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</si>
  <si>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</si>
  <si>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</si>
  <si>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</si>
  <si>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</si>
  <si>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協和キリン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</si>
  <si>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</si>
  <si>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</si>
  <si>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</si>
  <si>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</si>
  <si>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</si>
  <si>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</si>
  <si>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</si>
  <si>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</si>
  <si>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18:58, template rev 63983ab</t>
  </si>
  <si>
    <t>初期生成（手修正なし）</t>
  </si>
  <si>
    <t>generated</t>
  </si>
  <si>
    <t>DCF Model!C8</t>
  </si>
  <si>
    <t>Beta = 0.646（採用値）</t>
  </si>
  <si>
    <t>実測β(raw) = 0.471 → Blume調整 0.67×raw + 0.33×1.00 = 0.646 → 採用 0.646。クランプ域 [0.3, 2.0] の内側。置換なし。回帰βは平均回帰するため Blume 調整を既定とする（2026-09-05 バッチで85件中57件が旧下限 0.60 に張り付き、両裾の歪みが実証された）。</t>
  </si>
  <si>
    <t>実測 0.471</t>
  </si>
  <si>
    <t>確定</t>
  </si>
  <si>
    <t>Pipeline Metadata (do not edit — read by scripts/validate_output.py)</t>
  </si>
  <si>
    <t>key</t>
  </si>
  <si>
    <t>value</t>
  </si>
  <si>
    <t>auto_log_entries</t>
  </si>
  <si>
    <t>1</t>
  </si>
  <si>
    <t>beta_adopted_c8</t>
  </si>
  <si>
    <t>0.6458</t>
  </si>
  <si>
    <t>beta_basis</t>
  </si>
  <si>
    <t>Blume: 0.67 x 0.471 + 0.33 x 1.00 = 0.646</t>
  </si>
  <si>
    <t>beta_blume_adjusted</t>
  </si>
  <si>
    <t>beta_clamped</t>
  </si>
  <si>
    <t>no</t>
  </si>
  <si>
    <t>beta_raw</t>
  </si>
  <si>
    <t>0.4714</t>
  </si>
  <si>
    <t>capex_pct_basis</t>
  </si>
  <si>
    <t>explicit_override</t>
  </si>
  <si>
    <t>capex_pct_c5</t>
  </si>
  <si>
    <t>0.0556</t>
  </si>
  <si>
    <t>capex_pct_hist3yr</t>
  </si>
  <si>
    <t>0.151605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</si>
  <si>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</si>
  <si>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</si>
  <si>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</si>
  <si>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</si>
  <si>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</si>
  <si>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</si>
  <si>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</si>
  <si>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</si>
  <si>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</si>
  <si>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</si>
  <si>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</si>
  <si>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</si>
  <si>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</si>
  <si>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</si>
  <si>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</si>
  <si>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</si>
  <si>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</si>
  <si>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</si>
  <si>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</si>
  <si>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</si>
  <si>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128419</t>
  </si>
  <si>
    <t>core_net_income</t>
  </si>
  <si>
    <t>67040.0</t>
  </si>
  <si>
    <t>cost_of_debt_at_c11</t>
  </si>
  <si>
    <t>0.01</t>
  </si>
  <si>
    <t>cost_of_debt_basis</t>
  </si>
  <si>
    <t>assumption</t>
  </si>
  <si>
    <t>da_pct_basis</t>
  </si>
  <si>
    <t>da_pct_c18</t>
  </si>
  <si>
    <t>0.053</t>
  </si>
  <si>
    <t>da_pct_hist3yr</t>
  </si>
  <si>
    <t>0.05011</t>
  </si>
  <si>
    <t>fs_year_coverage</t>
  </si>
  <si>
    <t>OCF 4/4, Cash 4/4, Debt 0/4</t>
  </si>
  <si>
    <t>fs_year_map</t>
  </si>
  <si>
    <t>FY2022&lt;-FY2022[ocf+cash]; FY2023&lt;-FY2023[ocf+cash]; FY2024&lt;-FY2024[ocf+cash]; FY2025&lt;-FY2025[ocf+cash]</t>
  </si>
  <si>
    <t>fs_year_sources</t>
  </si>
  <si>
    <t>overrides: hist_capex, hist_depreciation | EDINET year-key match: hist_ocf, hist_cash, hist_debt</t>
  </si>
  <si>
    <t>fx_sensitivity</t>
  </si>
  <si>
    <t>not enabled</t>
  </si>
  <si>
    <t>generated_at</t>
  </si>
  <si>
    <t>2026-09-06 18:58:59</t>
  </si>
  <si>
    <t>guidance_note</t>
  </si>
  <si>
    <t>TDnet 決算短信 via screener guidance table: FY2026 disclosed 2026-08-03 (revenue=520,000mn)</t>
  </si>
  <si>
    <t>guidance_source</t>
  </si>
  <si>
    <t>tdnet_screener_db</t>
  </si>
  <si>
    <t>latest_operating_income</t>
  </si>
  <si>
    <t>102275</t>
  </si>
  <si>
    <t>ltm_revenue_c20</t>
  </si>
  <si>
    <t>529801.0</t>
  </si>
  <si>
    <t>ltm_revenue_source</t>
  </si>
  <si>
    <t>LTM row</t>
  </si>
  <si>
    <t>market_data_source</t>
  </si>
  <si>
    <t>yfinance; from overrides: beta</t>
  </si>
  <si>
    <t>narrative_tokens_used</t>
  </si>
  <si>
    <t>pb,per,price,target_price,upside_pct,wacc</t>
  </si>
  <si>
    <t>net_debt_source</t>
  </si>
  <si>
    <t>UNAVAILABLE (no net_debt, and total_debt/cash incomplete)</t>
  </si>
  <si>
    <t>reverse_dcf_sheet</t>
  </si>
  <si>
    <t>op0=102,275(FY2025) peak=102,275(FY2025) peak_opm=0.2059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</si>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</sst>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2403.5</v>
      </c>
    </row>
    <row r="10" spans="2:5" ht="14" x14ac:dyDescent="0.3">
      <c r="B10" s="4" t="s">
        <v>10</v>
      </c>
      <c r="C10" s="5">
        <f>IF(COUNT(C16:C17)=0,"N/A",ROUND(AVERAGE(C16:C17),0))</f>
        <v>2880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0.19825254836696485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2423</v>
      </c>
      <c r="D16" s="7">
        <f>IF(ISNUMBER(C16),(C16-C9)/C9,"N/A")</f>
        <v>8.1131682962346571E-3</v>
      </c>
    </row>
    <row r="17" spans="2:5" ht="13.5" x14ac:dyDescent="0.25">
      <c r="B17" t="s">
        <v>18</v>
      </c>
      <c r="C17" s="11">
        <f>IF('DCF Model'!C62&lt;'DCF Model'!C16,"INVALID (EV &lt; net debt)",'DCF Model'!C64)</f>
        <v>3337</v>
      </c>
      <c r="D17" s="7">
        <f>IF(ISNUMBER(C17),(C17-C9)/C9,"N/A")</f>
        <v>0.38839192843769504</v>
      </c>
    </row>
    <row r="18" spans="2:5" ht="13.5" x14ac:dyDescent="0.25">
      <c r="B18" t="s">
        <v>19</v>
      </c>
      <c r="C18" s="11">
        <f>'Comps Analysis'!C27</f>
        <v>3519</v>
      </c>
      <c r="D18" s="7">
        <f>IF(ISNUMBER(C18),(C18-C9)/C9,"N/A")</f>
        <v>0.46411483253588515</v>
      </c>
    </row>
    <row r="19" spans="2:5" ht="13.5" x14ac:dyDescent="0.25">
      <c r="B19" t="s">
        <v>20</v>
      </c>
      <c r="C19" s="11">
        <f>'Comps Analysis'!C28</f>
        <v>2228</v>
      </c>
      <c r="D19" s="7">
        <f>IF(ISNUMBER(C19),(C19-C9)/C9,"N/A")</f>
        <v>-7.3018514666111922E-2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2423 - 3337</v>
      </c>
    </row>
    <row r="23" spans="2:5" ht="14" x14ac:dyDescent="0.3">
      <c r="B23" s="8" t="s">
        <v>23</v>
      </c>
      <c r="C23" s="9"/>
      <c r="D23" s="9"/>
    </row>
    <row r="24" spans="2:5" x14ac:dyDescent="0.2">
      <c r="B24" t="str">
        <f>"Kyowa Kirin has built a global rare-disease franchise around Crysvita and Poteligeo, and the operating margin has held inside a three-point band for four years; the shares trade at "&amp;TEXT('Comps Analysis'!L5,"0.0""x""")&amp;" earnings and "&amp;TEXT('Comps Analysis'!M5,"0.00""x""")&amp;" book."</f>
        <v>Kyowa Kirin has built a global rare-disease franchise around Crysvita and Poteligeo, and the operating margin has held inside a three-point band for four years; the shares trade at 18.8x earnings and 1.41x book.</v>
      </c>
    </row>
    <row r="25" spans="2:5" x14ac:dyDescent="0.2">
      <c r="B25" t="str">
        <f>"The balance sheet holds net cash with no interest-bearing debt, so enterprise value sits below market capitalisation and the "&amp;TEXT('DCF Model'!C26,"0.00%")&amp;" discount rate is the cost of equity with no leverage assumed."</f>
        <v>The balance sheet holds net cash with no interest-bearing debt, so enterprise value sits below market capitalisation and the 8.17% discount rate is the cost of equity with no leverage assumed.</v>
      </c>
    </row>
    <row r="26" spans="2:5" x14ac:dyDescent="0.2">
      <c r="B26" t="str">
        <f>"At "&amp;TEXT(C9,"#,##0")&amp;" the shares are valued well below the Japanese pharmaceutical peer median on EV/EBITDA; a base case that merely holds the current margin supports "&amp;TEXT(C10,"#,##0")&amp;", or "&amp;TEXT(C12,"+0.0%;-0.0%")&amp;" from here."</f>
        <v>At 2,404 the shares are valued well below the Japanese pharmaceutical peer median on EV/EBITDA; a base case that merely holds the current margin supports 2,880, or +19.8% from here.</v>
      </c>
    </row>
    <row r="28" spans="2:5" ht="14" x14ac:dyDescent="0.3">
      <c r="B28" s="8" t="s">
        <v>24</v>
      </c>
      <c r="C28" s="9"/>
      <c r="D28" s="9"/>
    </row>
    <row r="29" spans="2:5" x14ac:dyDescent="0.2">
      <c r="B29" t="str">
        <f>"Revenue growth stalled to almost nothing in the latest year, so the base case growth path behind "&amp;TEXT(C10,"#,##0")&amp;" depends on a pipeline that has not yet shown up in reported sales."</f>
        <v>Revenue growth stalled to almost nothing in the latest year, so the base case growth path behind 2,880 depends on a pipeline that has not yet shown up in reported sales.</v>
      </c>
    </row>
    <row r="30" spans="2:5" x14ac:dyDescent="0.2">
      <c r="B30" t="str">
        <f>"Capital expenditure ran at more than three times depreciation in the last two years; if the production build-out does not taper, the free cash flow implied by "&amp;TEXT(C9,"#,##0")&amp;" and "&amp;TEXT('Comps Analysis'!L5,"0.0""x""")&amp;" does not appear."</f>
        <v>Capital expenditure ran at more than three times depreciation in the last two years; if the production build-out does not taper, the free cash flow implied by 2,404 and 18.8x does not appear.</v>
      </c>
    </row>
    <row r="31" spans="2:5" x14ac:dyDescent="0.2">
      <c r="B31" t="str">
        <f>"A rare-disease portfolio concentrates revenue in a small number of products, and a single reimbursement or competitive setback moves earnings more than the "&amp;TEXT('DCF Model'!C26,"0.00%")&amp;" single-path discounting represents."</f>
        <v>A rare-disease portfolio concentrates revenue in a small number of products, and a single reimbursement or competitive setback moves earnings more than the 8.17% single-path discounting represents.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25</v>
      </c>
    </row>
    <row r="4" spans="2:6" ht="14" x14ac:dyDescent="0.3">
      <c r="C4" s="10" t="s">
        <v>26</v>
      </c>
      <c r="D4" s="10" t="s">
        <v>27</v>
      </c>
      <c r="E4" s="10" t="s">
        <v>28</v>
      </c>
      <c r="F4" s="10" t="s">
        <v>29</v>
      </c>
    </row>
    <row r="5" spans="2:6" ht="14" x14ac:dyDescent="0.3">
      <c r="B5" s="3" t="s">
        <v>30</v>
      </c>
    </row>
    <row r="6" spans="2:6" ht="14" x14ac:dyDescent="0.3">
      <c r="B6" s="4" t="s">
        <v>31</v>
      </c>
      <c r="C6" s="5">
        <v>398371</v>
      </c>
      <c r="D6" s="5">
        <v>442233</v>
      </c>
      <c r="E6" s="5">
        <v>495558</v>
      </c>
      <c r="F6" s="5">
        <v>496826</v>
      </c>
    </row>
    <row r="7" spans="2:6" ht="14" x14ac:dyDescent="0.3">
      <c r="B7" s="4" t="s">
        <v>32</v>
      </c>
      <c r="C7" s="5">
        <v>86915</v>
      </c>
      <c r="D7" s="5">
        <v>111207</v>
      </c>
      <c r="E7" s="5">
        <v>132611</v>
      </c>
      <c r="F7" s="5">
        <v>127934</v>
      </c>
    </row>
    <row r="8" spans="2:6" ht="14" x14ac:dyDescent="0.3">
      <c r="B8" s="4" t="s">
        <v>33</v>
      </c>
      <c r="C8" s="5">
        <f>C6-C7</f>
        <v>311456</v>
      </c>
      <c r="D8" s="5">
        <f>D6-D7</f>
        <v>331026</v>
      </c>
      <c r="E8" s="5">
        <f>E6-E7</f>
        <v>362947</v>
      </c>
      <c r="F8" s="5">
        <f>F6-F7</f>
        <v>368892</v>
      </c>
    </row>
    <row r="9" spans="2:6" ht="13.5" x14ac:dyDescent="0.25">
      <c r="B9" t="s">
        <v>34</v>
      </c>
      <c r="C9" s="7">
        <f>C8/C6</f>
        <v>0.78182397815102</v>
      </c>
      <c r="D9" s="7">
        <f>D8/D6</f>
        <v>0.74853301314013199</v>
      </c>
      <c r="E9" s="7">
        <f>E8/E6</f>
        <v>0.73240064735106691</v>
      </c>
      <c r="F9" s="7">
        <f>F8/F6</f>
        <v>0.74249737332587262</v>
      </c>
    </row>
    <row r="10" spans="2:6" ht="14" x14ac:dyDescent="0.3">
      <c r="B10" s="4" t="s">
        <v>35</v>
      </c>
      <c r="C10" s="5">
        <v>229082</v>
      </c>
      <c r="D10" s="5">
        <v>235184</v>
      </c>
      <c r="E10" s="5">
        <v>271081</v>
      </c>
      <c r="F10" s="5">
        <v>266617</v>
      </c>
    </row>
    <row r="11" spans="2:6" ht="14" x14ac:dyDescent="0.3">
      <c r="B11" s="4" t="s">
        <v>36</v>
      </c>
      <c r="C11" s="5">
        <v>82374</v>
      </c>
      <c r="D11" s="5">
        <v>95842</v>
      </c>
      <c r="E11" s="5">
        <v>91866</v>
      </c>
      <c r="F11" s="5">
        <v>102275</v>
      </c>
    </row>
    <row r="12" spans="2:6" ht="14" x14ac:dyDescent="0.3">
      <c r="B12" s="4" t="s">
        <v>37</v>
      </c>
      <c r="C12" s="5">
        <v>53573</v>
      </c>
      <c r="D12" s="5">
        <v>81188</v>
      </c>
      <c r="E12" s="5">
        <v>59870</v>
      </c>
      <c r="F12" s="5">
        <v>67040</v>
      </c>
    </row>
    <row r="13" spans="2:6" ht="13.5" x14ac:dyDescent="0.25">
      <c r="B13" t="s">
        <v>38</v>
      </c>
      <c r="C13" s="7">
        <f>C11/C6</f>
        <v>0.2067770997386858</v>
      </c>
      <c r="D13" s="7">
        <f>D11/D6</f>
        <v>0.21672285876449746</v>
      </c>
      <c r="E13" s="7">
        <f>E11/E6</f>
        <v>0.18537890620270484</v>
      </c>
      <c r="F13" s="7">
        <f>F11/F6</f>
        <v>0.20585677883202569</v>
      </c>
    </row>
    <row r="14" spans="2:6" ht="13.5" x14ac:dyDescent="0.25">
      <c r="B14" t="s">
        <v>39</v>
      </c>
      <c r="C14" s="7">
        <f>C12/C6</f>
        <v>0.13448017049433819</v>
      </c>
      <c r="D14" s="7">
        <f>D12/D6</f>
        <v>0.18358648042999956</v>
      </c>
      <c r="E14" s="7">
        <f>E12/E6</f>
        <v>0.12081330540521998</v>
      </c>
      <c r="F14" s="7">
        <f>F12/F6</f>
        <v>0.13493657739329262</v>
      </c>
    </row>
    <row r="15" spans="2:6" ht="13.5" x14ac:dyDescent="0.25">
      <c r="B15" t="s">
        <v>40</v>
      </c>
      <c r="C15" t="s">
        <v>41</v>
      </c>
      <c r="D15" s="7">
        <f>(D6-C6)/C6</f>
        <v>0.11010339608053799</v>
      </c>
      <c r="E15" s="7">
        <f>(E6-D6)/D6</f>
        <v>0.12058123206544966</v>
      </c>
      <c r="F15" s="7">
        <f>(F6-E6)/E6</f>
        <v>2.5587317730719713E-3</v>
      </c>
    </row>
    <row r="16" spans="2:6" ht="13.5" x14ac:dyDescent="0.25">
      <c r="B16" t="s">
        <v>42</v>
      </c>
      <c r="C16" t="s">
        <v>41</v>
      </c>
      <c r="D16" s="7">
        <f>(D11-C11)/C11</f>
        <v>0.16349819117682765</v>
      </c>
      <c r="E16" s="7">
        <f>(E11-D11)/D11</f>
        <v>-4.1484943970284426E-2</v>
      </c>
      <c r="F16" s="7">
        <f>(F11-E11)/E11</f>
        <v>0.1133063374915638</v>
      </c>
    </row>
    <row r="18" spans="2:6" ht="14" x14ac:dyDescent="0.3">
      <c r="B18" s="3" t="s">
        <v>43</v>
      </c>
    </row>
    <row r="19" spans="2:6" ht="14" x14ac:dyDescent="0.3">
      <c r="B19" s="4" t="s">
        <v>44</v>
      </c>
      <c r="C19" s="5">
        <v>48672</v>
      </c>
      <c r="D19" s="5">
        <v>115551</v>
      </c>
      <c r="E19" s="5">
        <v>67884</v>
      </c>
      <c r="F19" s="5">
        <v>96619</v>
      </c>
    </row>
    <row r="20" spans="2:6" ht="14" x14ac:dyDescent="0.3">
      <c r="B20" s="4" t="s">
        <v>45</v>
      </c>
      <c r="C20" s="5">
        <v>28666</v>
      </c>
      <c r="D20" s="5">
        <v>32852</v>
      </c>
      <c r="E20" s="5">
        <v>105268</v>
      </c>
      <c r="F20" s="5">
        <v>83519</v>
      </c>
    </row>
    <row r="21" spans="2:6" ht="14" x14ac:dyDescent="0.3">
      <c r="B21" s="4" t="s">
        <v>46</v>
      </c>
      <c r="C21" s="5">
        <f>C19-C20</f>
        <v>20006</v>
      </c>
      <c r="D21" s="5">
        <f>D19-D20</f>
        <v>82699</v>
      </c>
      <c r="E21" s="5">
        <f>E19-E20</f>
        <v>-37384</v>
      </c>
      <c r="F21" s="5">
        <f>F19-F20</f>
        <v>13100</v>
      </c>
    </row>
    <row r="22" spans="2:6" ht="13.5" x14ac:dyDescent="0.25">
      <c r="B22" t="s">
        <v>47</v>
      </c>
      <c r="C22" s="7">
        <f>C21/C6</f>
        <v>5.0219518991091221E-2</v>
      </c>
      <c r="D22" s="7">
        <f>D21/D6</f>
        <v>0.1870032313282817</v>
      </c>
      <c r="E22" s="7">
        <f>E21/E6</f>
        <v>-7.5438192905774901E-2</v>
      </c>
      <c r="F22" s="7">
        <f>F21/F6</f>
        <v>2.636738012905927E-2</v>
      </c>
    </row>
    <row r="23" spans="2:6" ht="13.5" x14ac:dyDescent="0.25">
      <c r="B23" t="s">
        <v>48</v>
      </c>
      <c r="C23" s="7">
        <f>C20/C6</f>
        <v>7.1958049155184486E-2</v>
      </c>
      <c r="D23" s="7">
        <f>D20/D6</f>
        <v>7.428663170771968E-2</v>
      </c>
      <c r="E23" s="7">
        <f>E20/E6</f>
        <v>0.21242316741935355</v>
      </c>
      <c r="F23" s="7">
        <f>F20/F6</f>
        <v>0.16810513137396191</v>
      </c>
    </row>
    <row r="25" spans="2:6" ht="14" x14ac:dyDescent="0.3">
      <c r="B25" s="3" t="s">
        <v>49</v>
      </c>
    </row>
    <row r="26" spans="2:6" ht="14" x14ac:dyDescent="0.3">
      <c r="B26" s="4" t="s">
        <v>50</v>
      </c>
      <c r="C26" s="5">
        <v>339194</v>
      </c>
      <c r="D26" s="5">
        <v>403083</v>
      </c>
      <c r="E26" s="5">
        <v>244681</v>
      </c>
      <c r="F26" s="5">
        <v>218769</v>
      </c>
    </row>
    <row r="27" spans="2:6" ht="14" x14ac:dyDescent="0.3">
      <c r="B27" s="4" t="s">
        <v>51</v>
      </c>
      <c r="C27" s="5"/>
      <c r="D27" s="5"/>
      <c r="E27" s="5"/>
      <c r="F27" s="5"/>
    </row>
    <row r="28" spans="2:6" ht="14" x14ac:dyDescent="0.3">
      <c r="B28" s="4" t="s">
        <v>52</v>
      </c>
    </row>
    <row r="30" spans="2:6" ht="14" x14ac:dyDescent="0.3">
      <c r="B30" s="1" t="s">
        <v>53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54</v>
      </c>
    </row>
    <row r="4" spans="2:7" ht="14" x14ac:dyDescent="0.3">
      <c r="B4" s="8" t="s">
        <v>55</v>
      </c>
      <c r="C4" s="9"/>
      <c r="D4" s="9"/>
      <c r="E4" s="9"/>
      <c r="F4" s="9"/>
      <c r="G4" s="9"/>
    </row>
    <row r="5" spans="2:7" ht="14" x14ac:dyDescent="0.3">
      <c r="B5" s="4" t="s">
        <v>56</v>
      </c>
      <c r="C5" s="7">
        <v>5.5599999999999997E-2</v>
      </c>
    </row>
    <row r="6" spans="2:7" ht="14" x14ac:dyDescent="0.3">
      <c r="B6" s="4" t="s">
        <v>57</v>
      </c>
      <c r="C6" s="7">
        <v>0.25</v>
      </c>
    </row>
    <row r="7" spans="2:7" ht="14" x14ac:dyDescent="0.3">
      <c r="B7" s="4" t="s">
        <v>58</v>
      </c>
      <c r="C7" s="7">
        <v>2.9700000000000001E-2</v>
      </c>
    </row>
    <row r="8" spans="2:7" ht="14" x14ac:dyDescent="0.3">
      <c r="B8" s="4" t="s">
        <v>59</v>
      </c>
      <c r="C8" s="12">
        <v>0.64580000000000004</v>
      </c>
    </row>
    <row r="9" spans="2:7" ht="14" x14ac:dyDescent="0.3">
      <c r="B9" s="4" t="s">
        <v>60</v>
      </c>
      <c r="C9" s="7">
        <v>6.5000000000000002E-2</v>
      </c>
    </row>
    <row r="10" spans="2:7" ht="14" x14ac:dyDescent="0.3">
      <c r="B10" s="4" t="s">
        <v>61</v>
      </c>
      <c r="C10" s="7">
        <v>0.01</v>
      </c>
    </row>
    <row r="11" spans="2:7" ht="14" x14ac:dyDescent="0.3">
      <c r="B11" s="4" t="s">
        <v>62</v>
      </c>
      <c r="C11" s="7">
        <v>0.01</v>
      </c>
    </row>
    <row r="12" spans="2:7" ht="14" x14ac:dyDescent="0.3">
      <c r="B12" s="4" t="s">
        <v>63</v>
      </c>
      <c r="C12" s="13">
        <v>0</v>
      </c>
    </row>
    <row r="13" spans="2:7" ht="14" x14ac:dyDescent="0.3">
      <c r="B13" s="4" t="s">
        <v>64</v>
      </c>
      <c r="C13" s="7">
        <v>0.01</v>
      </c>
    </row>
    <row r="14" spans="2:7" ht="14" x14ac:dyDescent="0.3">
      <c r="B14" s="4" t="s">
        <v>65</v>
      </c>
      <c r="C14" s="14">
        <v>12.6</v>
      </c>
    </row>
    <row r="15" spans="2:7" ht="14" x14ac:dyDescent="0.3">
      <c r="B15" s="4" t="s">
        <v>66</v>
      </c>
      <c r="C15" s="15">
        <v>523586484</v>
      </c>
    </row>
    <row r="16" spans="2:7" ht="14" x14ac:dyDescent="0.3">
      <c r="B16" s="4" t="s">
        <v>67</v>
      </c>
      <c r="C16" s="5">
        <v>-218769</v>
      </c>
    </row>
    <row r="17" spans="2:7" ht="14" x14ac:dyDescent="0.3">
      <c r="B17" s="4" t="s">
        <v>68</v>
      </c>
      <c r="C17" s="5">
        <v>496826</v>
      </c>
    </row>
    <row r="18" spans="2:7" ht="14" x14ac:dyDescent="0.3">
      <c r="B18" s="4" t="s">
        <v>69</v>
      </c>
      <c r="C18" s="7">
        <v>5.2999999999999999E-2</v>
      </c>
    </row>
    <row r="19" spans="2:7" ht="14" x14ac:dyDescent="0.3">
      <c r="B19" s="4" t="s">
        <v>70</v>
      </c>
      <c r="C19" s="12">
        <v>0.5</v>
      </c>
    </row>
    <row r="20" spans="2:7" ht="14" x14ac:dyDescent="0.3">
      <c r="B20" s="4" t="s">
        <v>71</v>
      </c>
      <c r="C20" s="5">
        <v>529801</v>
      </c>
    </row>
    <row r="22" spans="2:7" ht="14" x14ac:dyDescent="0.3">
      <c r="B22" s="8" t="s">
        <v>72</v>
      </c>
      <c r="C22" s="9"/>
      <c r="D22" s="9"/>
      <c r="E22" s="9"/>
      <c r="F22" s="9"/>
      <c r="G22" s="9"/>
    </row>
    <row r="23" spans="2:7" ht="14" x14ac:dyDescent="0.3">
      <c r="B23" s="4" t="s">
        <v>73</v>
      </c>
      <c r="C23" s="16">
        <f>C7+C8*C9+C10</f>
        <v>8.1677E-2</v>
      </c>
    </row>
    <row r="24" spans="2:7" ht="14" x14ac:dyDescent="0.3">
      <c r="B24" s="4" t="s">
        <v>74</v>
      </c>
      <c r="C24" s="16">
        <f>1/(1+C12)</f>
        <v>1</v>
      </c>
    </row>
    <row r="25" spans="2:7" ht="14" x14ac:dyDescent="0.3">
      <c r="B25" s="4" t="s">
        <v>75</v>
      </c>
      <c r="C25" s="16">
        <f>C12/(1+C12)</f>
        <v>0</v>
      </c>
    </row>
    <row r="26" spans="2:7" ht="14" x14ac:dyDescent="0.3">
      <c r="B26" s="4" t="s">
        <v>76</v>
      </c>
      <c r="C26" s="16">
        <f>C23*C24+C11*C25</f>
        <v>8.1677E-2</v>
      </c>
    </row>
    <row r="27" spans="2:7" ht="14" x14ac:dyDescent="0.3">
      <c r="B27" s="4" t="s">
        <v>77</v>
      </c>
      <c r="C27" s="17" t="s">
        <v>78</v>
      </c>
      <c r="D27" s="6">
        <f>MATCH(C27,B69:B73,0)</f>
        <v>1</v>
      </c>
    </row>
    <row r="28" spans="2:7" ht="14" x14ac:dyDescent="0.3">
      <c r="B28" s="8" t="s">
        <v>79</v>
      </c>
      <c r="C28" s="9"/>
      <c r="D28" s="9"/>
      <c r="E28" s="9"/>
      <c r="F28" s="9"/>
      <c r="G28" s="9"/>
    </row>
    <row r="29" spans="2:7" ht="14" x14ac:dyDescent="0.3">
      <c r="C29" s="10" t="s">
        <v>80</v>
      </c>
      <c r="D29" s="10" t="s">
        <v>81</v>
      </c>
      <c r="E29" s="10" t="s">
        <v>82</v>
      </c>
      <c r="F29" s="10" t="s">
        <v>83</v>
      </c>
      <c r="G29" s="10" t="s">
        <v>84</v>
      </c>
    </row>
    <row r="30" spans="2:7" ht="14" x14ac:dyDescent="0.3">
      <c r="B30" s="4" t="s">
        <v>40</v>
      </c>
      <c r="C30" s="18">
        <f>CHOOSE($D$27,C69,C70,C71,C72,C73)</f>
        <v>0.02</v>
      </c>
      <c r="D30" s="18">
        <f>CHOOSE($D$27,D69,D70,D71,D72,D73)</f>
        <v>0.03</v>
      </c>
      <c r="E30" s="18">
        <f>CHOOSE($D$27,E69,E70,E71,E72,E73)</f>
        <v>0.03</v>
      </c>
      <c r="F30" s="18">
        <f>CHOOSE($D$27,F69,F70,F71,F72,F73)</f>
        <v>2.5000000000000001E-2</v>
      </c>
      <c r="G30" s="18">
        <f>CHOOSE($D$27,G69,G70,G71,G72,G73)</f>
        <v>2.5000000000000001E-2</v>
      </c>
    </row>
    <row r="31" spans="2:7" ht="14" x14ac:dyDescent="0.3">
      <c r="B31" s="4" t="s">
        <v>85</v>
      </c>
      <c r="C31" s="18">
        <f>CHOOSE($D$27,C76,C77,C78,C79,C80)</f>
        <v>0.25800000000000001</v>
      </c>
      <c r="D31" s="18">
        <f>CHOOSE($D$27,D76,D77,D78,D79,D80)</f>
        <v>0.25800000000000001</v>
      </c>
      <c r="E31" s="18">
        <f>CHOOSE($D$27,E76,E77,E78,E79,E80)</f>
        <v>0.25800000000000001</v>
      </c>
      <c r="F31" s="18">
        <f>CHOOSE($D$27,F76,F77,F78,F79,F80)</f>
        <v>0.25800000000000001</v>
      </c>
      <c r="G31" s="18">
        <f>CHOOSE($D$27,G76,G77,G78,G79,G80)</f>
        <v>0.25800000000000001</v>
      </c>
    </row>
    <row r="32" spans="2:7" ht="14" x14ac:dyDescent="0.3">
      <c r="B32" s="4" t="s">
        <v>86</v>
      </c>
      <c r="C32" s="18">
        <f>CHOOSE($D$27,C83,C84,C85,C86,C87)</f>
        <v>0.53600000000000003</v>
      </c>
      <c r="D32" s="18">
        <f>CHOOSE($D$27,D83,D84,D85,D86,D87)</f>
        <v>0.53600000000000003</v>
      </c>
      <c r="E32" s="18">
        <f>CHOOSE($D$27,E83,E84,E85,E86,E87)</f>
        <v>0.53600000000000003</v>
      </c>
      <c r="F32" s="18">
        <f>CHOOSE($D$27,F83,F84,F85,F86,F87)</f>
        <v>0.53569999999999995</v>
      </c>
      <c r="G32" s="18">
        <f>CHOOSE($D$27,G83,G84,G85,G86,G87)</f>
        <v>0.53569999999999995</v>
      </c>
    </row>
    <row r="33" spans="2:7" ht="14" x14ac:dyDescent="0.3">
      <c r="B33" s="4" t="s">
        <v>31</v>
      </c>
      <c r="C33" s="5">
        <f>C17*(1+C30)</f>
        <v>506762.52</v>
      </c>
      <c r="D33" s="5">
        <f>C33*(1+D30)</f>
        <v>521965.39560000005</v>
      </c>
      <c r="E33" s="5">
        <f>D33*(1+E30)</f>
        <v>537624.35746800003</v>
      </c>
      <c r="F33" s="5">
        <f>E33*(1+F30)</f>
        <v>551064.96640469995</v>
      </c>
      <c r="G33" s="5">
        <f>F33*(1+G30)</f>
        <v>564841.59056481742</v>
      </c>
    </row>
    <row r="34" spans="2:7" ht="14" x14ac:dyDescent="0.3">
      <c r="B34" s="4" t="s">
        <v>32</v>
      </c>
      <c r="C34" s="5">
        <f>C33*C31</f>
        <v>130744.73016000001</v>
      </c>
      <c r="D34" s="5">
        <f>D33*D31</f>
        <v>134667.07206480001</v>
      </c>
      <c r="E34" s="5">
        <f>E33*E31</f>
        <v>138707.08422674402</v>
      </c>
      <c r="F34" s="5">
        <f>F33*F31</f>
        <v>142174.7613324126</v>
      </c>
      <c r="G34" s="5">
        <f>G33*G31</f>
        <v>145729.1303657229</v>
      </c>
    </row>
    <row r="35" spans="2:7" ht="14" x14ac:dyDescent="0.3">
      <c r="B35" s="4" t="s">
        <v>33</v>
      </c>
      <c r="C35" s="19">
        <f>C33-C34</f>
        <v>376017.78983999998</v>
      </c>
      <c r="D35" s="19">
        <f>D33-D34</f>
        <v>387298.32353520003</v>
      </c>
      <c r="E35" s="19">
        <f>E33-E34</f>
        <v>398917.27324125601</v>
      </c>
      <c r="F35" s="19">
        <f>F33-F34</f>
        <v>408890.20507228735</v>
      </c>
      <c r="G35" s="19">
        <f>G33-G34</f>
        <v>419112.46019909449</v>
      </c>
    </row>
    <row r="36" spans="2:7" ht="14" x14ac:dyDescent="0.3">
      <c r="B36" s="4" t="s">
        <v>34</v>
      </c>
      <c r="C36" s="7">
        <f>C35/C33</f>
        <v>0.74199999999999999</v>
      </c>
      <c r="D36" s="7">
        <f>D35/D33</f>
        <v>0.74199999999999999</v>
      </c>
      <c r="E36" s="7">
        <f>E35/E33</f>
        <v>0.74199999999999999</v>
      </c>
      <c r="F36" s="7">
        <f>F35/F33</f>
        <v>0.74199999999999999</v>
      </c>
      <c r="G36" s="7">
        <f>G35/G33</f>
        <v>0.74199999999999999</v>
      </c>
    </row>
    <row r="37" spans="2:7" ht="14" x14ac:dyDescent="0.3">
      <c r="B37" s="4" t="s">
        <v>87</v>
      </c>
      <c r="C37" s="5">
        <f>C33*C32</f>
        <v>271624.71072000003</v>
      </c>
      <c r="D37" s="5">
        <f>D33*D32</f>
        <v>279773.45204160002</v>
      </c>
      <c r="E37" s="5">
        <f>E33*E32</f>
        <v>288166.65560284804</v>
      </c>
      <c r="F37" s="5">
        <f>F33*F32</f>
        <v>295205.50250299776</v>
      </c>
      <c r="G37" s="5">
        <f>G33*G32</f>
        <v>302585.64006557269</v>
      </c>
    </row>
    <row r="38" spans="2:7" ht="14" x14ac:dyDescent="0.3">
      <c r="B38" s="4" t="s">
        <v>88</v>
      </c>
      <c r="C38" s="7">
        <f>(C35-C37)/C33</f>
        <v>0.20599999999999991</v>
      </c>
      <c r="D38" s="7">
        <f>(D35-D37)/D33</f>
        <v>0.20600000000000002</v>
      </c>
      <c r="E38" s="7">
        <f>(E35-E37)/E33</f>
        <v>0.20599999999999993</v>
      </c>
      <c r="F38" s="7">
        <f>(F35-F37)/F33</f>
        <v>0.20629999999999998</v>
      </c>
      <c r="G38" s="7">
        <f>(G35-G37)/G33</f>
        <v>0.20629999999999996</v>
      </c>
    </row>
    <row r="39" spans="2:7" ht="14" x14ac:dyDescent="0.3">
      <c r="B39" s="4" t="s">
        <v>89</v>
      </c>
      <c r="C39" s="19">
        <f>C35-C37</f>
        <v>104393.07911999995</v>
      </c>
      <c r="D39" s="19">
        <f>D35-D37</f>
        <v>107524.87149360002</v>
      </c>
      <c r="E39" s="19">
        <f>E35-E37</f>
        <v>110750.61763840797</v>
      </c>
      <c r="F39" s="19">
        <f>F35-F37</f>
        <v>113684.7025692896</v>
      </c>
      <c r="G39" s="19">
        <f>G35-G37</f>
        <v>116526.8201335218</v>
      </c>
    </row>
    <row r="40" spans="2:7" ht="14" x14ac:dyDescent="0.3">
      <c r="B40" s="4" t="s">
        <v>90</v>
      </c>
      <c r="C40" s="5">
        <f>MAX(0,C39*C6)</f>
        <v>26098.269779999988</v>
      </c>
      <c r="D40" s="5">
        <f>MAX(0,D39*C6)</f>
        <v>26881.217873400004</v>
      </c>
      <c r="E40" s="5">
        <f>MAX(0,E39*C6)</f>
        <v>27687.654409601993</v>
      </c>
      <c r="F40" s="5">
        <f>MAX(0,F39*C6)</f>
        <v>28421.1756423224</v>
      </c>
      <c r="G40" s="5">
        <f>MAX(0,G39*C6)</f>
        <v>29131.705033380451</v>
      </c>
    </row>
    <row r="41" spans="2:7" ht="14" x14ac:dyDescent="0.3">
      <c r="B41" s="4" t="s">
        <v>91</v>
      </c>
      <c r="C41" s="19">
        <f>C39-C40</f>
        <v>78294.809339999963</v>
      </c>
      <c r="D41" s="19">
        <f>D39-D40</f>
        <v>80643.653620200013</v>
      </c>
      <c r="E41" s="19">
        <f>E39-E40</f>
        <v>83062.96322880598</v>
      </c>
      <c r="F41" s="19">
        <f>F39-F40</f>
        <v>85263.526926967199</v>
      </c>
      <c r="G41" s="19">
        <f>G39-G40</f>
        <v>87395.115100141353</v>
      </c>
    </row>
    <row r="42" spans="2:7" ht="14" x14ac:dyDescent="0.3">
      <c r="B42" s="4" t="s">
        <v>92</v>
      </c>
      <c r="C42" s="5">
        <f>C33*C18</f>
        <v>26858.413560000001</v>
      </c>
      <c r="D42" s="5">
        <f>D33*C18</f>
        <v>27664.165966800003</v>
      </c>
      <c r="E42" s="5">
        <f>E33*C18</f>
        <v>28494.090945804001</v>
      </c>
      <c r="F42" s="5">
        <f>F33*C18</f>
        <v>29206.443219449098</v>
      </c>
      <c r="G42" s="5">
        <f>G33*C18</f>
        <v>29936.604299935323</v>
      </c>
    </row>
    <row r="43" spans="2:7" ht="14" x14ac:dyDescent="0.3">
      <c r="B43" s="4" t="s">
        <v>93</v>
      </c>
      <c r="C43" s="5">
        <v>75000</v>
      </c>
      <c r="D43" s="5">
        <v>60000</v>
      </c>
      <c r="E43" s="5">
        <v>48000</v>
      </c>
      <c r="F43" s="5">
        <v>38000</v>
      </c>
      <c r="G43" s="5">
        <v>31400</v>
      </c>
    </row>
    <row r="44" spans="2:7" ht="14" x14ac:dyDescent="0.3">
      <c r="B44" s="4" t="s">
        <v>94</v>
      </c>
      <c r="C44" s="5">
        <f>'NWC Schedule'!D19</f>
        <v>-1059.1039307397295</v>
      </c>
      <c r="D44" s="5">
        <f>'NWC Schedule'!E19</f>
        <v>3676.3468820778216</v>
      </c>
      <c r="E44" s="5">
        <f>'NWC Schedule'!F19</f>
        <v>3786.637288540107</v>
      </c>
      <c r="F44" s="5">
        <f>'NWC Schedule'!G19</f>
        <v>3250.1970059969753</v>
      </c>
      <c r="G44" s="5">
        <f>'NWC Schedule'!H19</f>
        <v>3331.4519311469048</v>
      </c>
    </row>
    <row r="45" spans="2:7" ht="14" x14ac:dyDescent="0.3">
      <c r="B45" s="4" t="s">
        <v>95</v>
      </c>
      <c r="C45" s="20">
        <f>C41+C42-C43-C44</f>
        <v>31212.326830739694</v>
      </c>
      <c r="D45" s="20">
        <f>D41+D42-D43-D44</f>
        <v>44631.472704922198</v>
      </c>
      <c r="E45" s="20">
        <f>E41+E42-E43-E44</f>
        <v>59770.41688606987</v>
      </c>
      <c r="F45" s="20">
        <f>F41+F42-F43-F44</f>
        <v>73219.773140419318</v>
      </c>
      <c r="G45" s="20">
        <f>G41+G42-G43-G44</f>
        <v>82600.267468929771</v>
      </c>
    </row>
    <row r="46" spans="2:7" ht="14" x14ac:dyDescent="0.3">
      <c r="B46" s="4" t="s">
        <v>96</v>
      </c>
      <c r="C46" s="21">
        <f>1/(1+C26)^(C19+0)</f>
        <v>0.96150423700599652</v>
      </c>
      <c r="D46" s="21">
        <f>1/(1+C26)^(C19+1)</f>
        <v>0.88890143453729398</v>
      </c>
      <c r="E46" s="21">
        <f>1/(1+C26)^(C19+2)</f>
        <v>0.82178084080302516</v>
      </c>
      <c r="F46" s="21">
        <f>1/(1+C26)^(C19+3)</f>
        <v>0.75972849640236895</v>
      </c>
      <c r="G46" s="21">
        <f>1/(1+C26)^(C19+4)</f>
        <v>0.70236169984419472</v>
      </c>
    </row>
    <row r="47" spans="2:7" ht="14" x14ac:dyDescent="0.3">
      <c r="B47" s="4" t="s">
        <v>97</v>
      </c>
      <c r="C47" s="19">
        <f>C45*C46</f>
        <v>30010.784494572163</v>
      </c>
      <c r="D47" s="19">
        <f>D45*D46</f>
        <v>39672.980112917423</v>
      </c>
      <c r="E47" s="19">
        <f>E45*E46</f>
        <v>49118.183443781832</v>
      </c>
      <c r="F47" s="19">
        <f>F45*F46</f>
        <v>55627.14815489333</v>
      </c>
      <c r="G47" s="19">
        <f>G45*G46</f>
        <v>58015.264267062652</v>
      </c>
    </row>
    <row r="49" spans="2:7" ht="14" x14ac:dyDescent="0.3">
      <c r="B49" s="22" t="s">
        <v>98</v>
      </c>
      <c r="C49" s="23"/>
      <c r="D49" s="23"/>
      <c r="E49" s="23"/>
      <c r="F49" s="23"/>
      <c r="G49" s="23"/>
    </row>
    <row r="50" spans="2:7" ht="14" x14ac:dyDescent="0.3">
      <c r="B50" s="4" t="s">
        <v>99</v>
      </c>
      <c r="C50" s="5">
        <f>SUM(C47:G47)</f>
        <v>232444.3604732274</v>
      </c>
    </row>
    <row r="51" spans="2:7" ht="14" x14ac:dyDescent="0.3">
      <c r="B51" s="4" t="s">
        <v>100</v>
      </c>
      <c r="C51" s="5">
        <f>G45*(1+C13)/(C26-C13)</f>
        <v>1163919.669400492</v>
      </c>
    </row>
    <row r="52" spans="2:7" ht="14" x14ac:dyDescent="0.3">
      <c r="B52" s="4" t="s">
        <v>101</v>
      </c>
      <c r="C52" s="5">
        <f>C51*G46</f>
        <v>817492.59748222271</v>
      </c>
    </row>
    <row r="53" spans="2:7" ht="14" x14ac:dyDescent="0.3">
      <c r="B53" s="4" t="s">
        <v>102</v>
      </c>
      <c r="C53" s="5">
        <f>C50+C52</f>
        <v>1049936.9579554501</v>
      </c>
    </row>
    <row r="54" spans="2:7" ht="14" x14ac:dyDescent="0.3">
      <c r="B54" s="4" t="s">
        <v>103</v>
      </c>
      <c r="C54" s="5">
        <f>C53-C16</f>
        <v>1268705.9579554501</v>
      </c>
    </row>
    <row r="55" spans="2:7" ht="14" x14ac:dyDescent="0.3">
      <c r="B55" s="4" t="s">
        <v>104</v>
      </c>
      <c r="C55" s="24">
        <f>ROUND(C54*1000000/C15,0)</f>
        <v>2423</v>
      </c>
    </row>
    <row r="57" spans="2:7" ht="14" x14ac:dyDescent="0.3">
      <c r="B57" s="22" t="s">
        <v>105</v>
      </c>
      <c r="C57" s="23"/>
      <c r="D57" s="23"/>
      <c r="E57" s="23"/>
      <c r="F57" s="23"/>
      <c r="G57" s="23"/>
    </row>
    <row r="58" spans="2:7" ht="14" x14ac:dyDescent="0.3">
      <c r="B58" s="4" t="s">
        <v>99</v>
      </c>
      <c r="C58" s="5">
        <f>C50</f>
        <v>232444.3604732274</v>
      </c>
    </row>
    <row r="59" spans="2:7" ht="14" x14ac:dyDescent="0.3">
      <c r="B59" s="4" t="s">
        <v>106</v>
      </c>
      <c r="C59" s="5">
        <f>G39+G42</f>
        <v>146463.42443345714</v>
      </c>
    </row>
    <row r="60" spans="2:7" ht="14" x14ac:dyDescent="0.3">
      <c r="B60" s="4" t="s">
        <v>107</v>
      </c>
      <c r="C60" s="5">
        <f>C59*C14</f>
        <v>1845439.1478615599</v>
      </c>
    </row>
    <row r="61" spans="2:7" ht="14" x14ac:dyDescent="0.3">
      <c r="B61" s="4" t="s">
        <v>101</v>
      </c>
      <c r="C61" s="5">
        <f>C60*G46</f>
        <v>1296165.7768510673</v>
      </c>
    </row>
    <row r="62" spans="2:7" ht="14" x14ac:dyDescent="0.3">
      <c r="B62" s="4" t="s">
        <v>102</v>
      </c>
      <c r="C62" s="5">
        <f>C58+C61</f>
        <v>1528610.1373242948</v>
      </c>
    </row>
    <row r="63" spans="2:7" ht="14" x14ac:dyDescent="0.3">
      <c r="B63" s="4" t="s">
        <v>103</v>
      </c>
      <c r="C63" s="5">
        <f>C62-C16</f>
        <v>1747379.1373242948</v>
      </c>
    </row>
    <row r="64" spans="2:7" ht="14" x14ac:dyDescent="0.3">
      <c r="B64" s="4" t="s">
        <v>108</v>
      </c>
      <c r="C64" s="24">
        <f>ROUND(C63*1000000/C15,0)</f>
        <v>3337</v>
      </c>
    </row>
    <row r="66" spans="2:7" ht="14" x14ac:dyDescent="0.3">
      <c r="B66" s="22" t="s">
        <v>109</v>
      </c>
      <c r="C66" s="23"/>
      <c r="D66" s="23"/>
      <c r="E66" s="23"/>
      <c r="F66" s="23"/>
      <c r="G66" s="23"/>
    </row>
    <row r="67" spans="2:7" ht="14" x14ac:dyDescent="0.3">
      <c r="C67" s="25" t="s">
        <v>110</v>
      </c>
      <c r="D67" s="25" t="s">
        <v>111</v>
      </c>
      <c r="E67" s="25" t="s">
        <v>112</v>
      </c>
      <c r="F67" s="25" t="s">
        <v>113</v>
      </c>
      <c r="G67" s="25" t="s">
        <v>114</v>
      </c>
    </row>
    <row r="68" spans="2:7" ht="14" x14ac:dyDescent="0.3">
      <c r="B68" s="3" t="s">
        <v>40</v>
      </c>
    </row>
    <row r="69" spans="2:7" ht="14" x14ac:dyDescent="0.3">
      <c r="B69" s="4" t="s">
        <v>78</v>
      </c>
      <c r="C69" s="26">
        <v>0.02</v>
      </c>
      <c r="D69" s="26">
        <v>0.03</v>
      </c>
      <c r="E69" s="26">
        <v>0.03</v>
      </c>
      <c r="F69" s="26">
        <v>2.5000000000000001E-2</v>
      </c>
      <c r="G69" s="26">
        <v>2.5000000000000001E-2</v>
      </c>
    </row>
    <row r="70" spans="2:7" ht="14" x14ac:dyDescent="0.3">
      <c r="B70" s="4" t="s">
        <v>115</v>
      </c>
      <c r="C70" s="26">
        <v>3.5000000000000003E-2</v>
      </c>
      <c r="D70" s="26">
        <v>4.4999999999999998E-2</v>
      </c>
      <c r="E70" s="26">
        <v>0.04</v>
      </c>
      <c r="F70" s="26">
        <v>3.5000000000000003E-2</v>
      </c>
      <c r="G70" s="26">
        <v>3.5000000000000003E-2</v>
      </c>
    </row>
    <row r="71" spans="2:7" ht="14" x14ac:dyDescent="0.3">
      <c r="B71" s="4" t="s">
        <v>116</v>
      </c>
      <c r="C71" s="26">
        <v>0.02</v>
      </c>
      <c r="D71" s="26">
        <v>0.03</v>
      </c>
      <c r="E71" s="26">
        <v>0.03</v>
      </c>
      <c r="F71" s="26">
        <v>2.5000000000000001E-2</v>
      </c>
      <c r="G71" s="26">
        <v>2.5000000000000001E-2</v>
      </c>
    </row>
    <row r="72" spans="2:7" ht="14" x14ac:dyDescent="0.3">
      <c r="B72" s="4" t="s">
        <v>117</v>
      </c>
      <c r="C72" s="26">
        <v>5.0000000000000001E-3</v>
      </c>
      <c r="D72" s="26">
        <v>5.0000000000000001E-3</v>
      </c>
      <c r="E72" s="26">
        <v>5.0000000000000001E-3</v>
      </c>
      <c r="F72" s="26">
        <v>5.0000000000000001E-3</v>
      </c>
      <c r="G72" s="26">
        <v>5.0000000000000001E-3</v>
      </c>
    </row>
    <row r="73" spans="2:7" ht="14" x14ac:dyDescent="0.3">
      <c r="B73" s="4" t="s">
        <v>118</v>
      </c>
      <c r="C73" s="26">
        <v>-0.05</v>
      </c>
      <c r="D73" s="26">
        <v>-0.01</v>
      </c>
      <c r="E73" s="26">
        <v>5.0000000000000001E-3</v>
      </c>
      <c r="F73" s="26">
        <v>0.01</v>
      </c>
      <c r="G73" s="26">
        <v>1.4999999999999999E-2</v>
      </c>
    </row>
    <row r="75" spans="2:7" ht="14" x14ac:dyDescent="0.3">
      <c r="B75" s="3" t="s">
        <v>85</v>
      </c>
    </row>
    <row r="76" spans="2:7" ht="14" x14ac:dyDescent="0.3">
      <c r="B76" s="4" t="s">
        <v>78</v>
      </c>
      <c r="C76" s="26">
        <v>0.25800000000000001</v>
      </c>
      <c r="D76" s="26">
        <v>0.25800000000000001</v>
      </c>
      <c r="E76" s="26">
        <v>0.25800000000000001</v>
      </c>
      <c r="F76" s="26">
        <v>0.25800000000000001</v>
      </c>
      <c r="G76" s="26">
        <v>0.25800000000000001</v>
      </c>
    </row>
    <row r="77" spans="2:7" ht="14" x14ac:dyDescent="0.3">
      <c r="B77" s="4" t="s">
        <v>115</v>
      </c>
      <c r="C77" s="26">
        <v>0.254</v>
      </c>
      <c r="D77" s="26">
        <v>0.254</v>
      </c>
      <c r="E77" s="26">
        <v>0.254</v>
      </c>
      <c r="F77" s="26">
        <v>0.254</v>
      </c>
      <c r="G77" s="26">
        <v>0.254</v>
      </c>
    </row>
    <row r="78" spans="2:7" ht="14" x14ac:dyDescent="0.3">
      <c r="B78" s="4" t="s">
        <v>116</v>
      </c>
      <c r="C78" s="26">
        <v>0.25800000000000001</v>
      </c>
      <c r="D78" s="26">
        <v>0.25800000000000001</v>
      </c>
      <c r="E78" s="26">
        <v>0.25800000000000001</v>
      </c>
      <c r="F78" s="26">
        <v>0.25800000000000001</v>
      </c>
      <c r="G78" s="26">
        <v>0.25800000000000001</v>
      </c>
    </row>
    <row r="79" spans="2:7" ht="14" x14ac:dyDescent="0.3">
      <c r="B79" s="4" t="s">
        <v>117</v>
      </c>
      <c r="C79" s="26">
        <v>0.26200000000000001</v>
      </c>
      <c r="D79" s="26">
        <v>0.26200000000000001</v>
      </c>
      <c r="E79" s="26">
        <v>0.26200000000000001</v>
      </c>
      <c r="F79" s="26">
        <v>0.26200000000000001</v>
      </c>
      <c r="G79" s="26">
        <v>0.26200000000000001</v>
      </c>
    </row>
    <row r="80" spans="2:7" ht="14" x14ac:dyDescent="0.3">
      <c r="B80" s="4" t="s">
        <v>118</v>
      </c>
      <c r="C80" s="26">
        <v>0.27</v>
      </c>
      <c r="D80" s="26">
        <v>0.27</v>
      </c>
      <c r="E80" s="26">
        <v>0.27</v>
      </c>
      <c r="F80" s="26">
        <v>0.27</v>
      </c>
      <c r="G80" s="26">
        <v>0.27</v>
      </c>
    </row>
    <row r="82" spans="2:7" ht="14" x14ac:dyDescent="0.3">
      <c r="B82" s="3" t="s">
        <v>86</v>
      </c>
    </row>
    <row r="83" spans="2:7" ht="14" x14ac:dyDescent="0.3">
      <c r="B83" s="4" t="s">
        <v>78</v>
      </c>
      <c r="C83" s="26">
        <v>0.53600000000000003</v>
      </c>
      <c r="D83" s="26">
        <v>0.53600000000000003</v>
      </c>
      <c r="E83" s="26">
        <v>0.53600000000000003</v>
      </c>
      <c r="F83" s="26">
        <v>0.53569999999999995</v>
      </c>
      <c r="G83" s="26">
        <v>0.53569999999999995</v>
      </c>
    </row>
    <row r="84" spans="2:7" ht="14" x14ac:dyDescent="0.3">
      <c r="B84" s="4" t="s">
        <v>115</v>
      </c>
      <c r="C84" s="26">
        <v>0.53600000000000003</v>
      </c>
      <c r="D84" s="26">
        <v>0.53400000000000003</v>
      </c>
      <c r="E84" s="26">
        <v>0.53200000000000003</v>
      </c>
      <c r="F84" s="26">
        <v>0.53049999999999997</v>
      </c>
      <c r="G84" s="26">
        <v>0.53010000000000002</v>
      </c>
    </row>
    <row r="85" spans="2:7" ht="14" x14ac:dyDescent="0.3">
      <c r="B85" s="4" t="s">
        <v>116</v>
      </c>
      <c r="C85" s="26">
        <v>0.53600000000000003</v>
      </c>
      <c r="D85" s="26">
        <v>0.53600000000000003</v>
      </c>
      <c r="E85" s="26">
        <v>0.53600000000000003</v>
      </c>
      <c r="F85" s="26">
        <v>0.53569999999999995</v>
      </c>
      <c r="G85" s="26">
        <v>0.53569999999999995</v>
      </c>
    </row>
    <row r="86" spans="2:7" ht="14" x14ac:dyDescent="0.3">
      <c r="B86" s="4" t="s">
        <v>117</v>
      </c>
      <c r="C86" s="26">
        <v>0.53500000000000003</v>
      </c>
      <c r="D86" s="26">
        <v>0.53600000000000003</v>
      </c>
      <c r="E86" s="26">
        <v>0.53700000000000003</v>
      </c>
      <c r="F86" s="26">
        <v>0.5373</v>
      </c>
      <c r="G86" s="26">
        <v>0.5373</v>
      </c>
    </row>
    <row r="87" spans="2:7" ht="14" x14ac:dyDescent="0.3">
      <c r="B87" s="4" t="s">
        <v>118</v>
      </c>
      <c r="C87" s="26">
        <v>0.56000000000000005</v>
      </c>
      <c r="D87" s="26">
        <v>0.56999999999999995</v>
      </c>
      <c r="E87" s="26">
        <v>0.56499999999999995</v>
      </c>
      <c r="F87" s="26">
        <v>0.56000000000000005</v>
      </c>
      <c r="G87" s="26">
        <v>0.55500000000000005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119</v>
      </c>
    </row>
    <row r="3" spans="2:9" ht="14" x14ac:dyDescent="0.3">
      <c r="B3" s="1" t="s">
        <v>120</v>
      </c>
    </row>
    <row r="5" spans="2:9" ht="14" x14ac:dyDescent="0.3">
      <c r="B5" s="8" t="s">
        <v>121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122</v>
      </c>
      <c r="C6" s="15">
        <f>'Executive Summary'!C9</f>
        <v>2403.5</v>
      </c>
    </row>
    <row r="7" spans="2:9" ht="14" x14ac:dyDescent="0.3">
      <c r="B7" s="4" t="s">
        <v>66</v>
      </c>
      <c r="C7" s="15">
        <f>'DCF Model'!C15</f>
        <v>523586484</v>
      </c>
    </row>
    <row r="8" spans="2:9" ht="14" x14ac:dyDescent="0.3">
      <c r="B8" s="4" t="s">
        <v>123</v>
      </c>
      <c r="C8" s="5">
        <f>C6*C7/1000000</f>
        <v>1258440.114294</v>
      </c>
    </row>
    <row r="9" spans="2:9" ht="14" x14ac:dyDescent="0.3">
      <c r="B9" s="4" t="s">
        <v>67</v>
      </c>
      <c r="C9" s="5">
        <f>'DCF Model'!C16</f>
        <v>-218769</v>
      </c>
    </row>
    <row r="10" spans="2:9" ht="14" x14ac:dyDescent="0.3">
      <c r="B10" s="4" t="s">
        <v>124</v>
      </c>
      <c r="C10" s="5">
        <f>C8+C9</f>
        <v>1039671.114294</v>
      </c>
    </row>
    <row r="11" spans="2:9" ht="14" x14ac:dyDescent="0.3">
      <c r="B11" s="4" t="s">
        <v>125</v>
      </c>
      <c r="C11" s="16">
        <f>'DCF Model'!C26</f>
        <v>8.1677E-2</v>
      </c>
    </row>
    <row r="12" spans="2:9" ht="14" x14ac:dyDescent="0.3">
      <c r="B12" s="4" t="s">
        <v>126</v>
      </c>
      <c r="C12" s="16">
        <f>'DCF Model'!C13</f>
        <v>0.01</v>
      </c>
    </row>
    <row r="13" spans="2:9" ht="14" x14ac:dyDescent="0.3">
      <c r="B13" s="4" t="s">
        <v>127</v>
      </c>
      <c r="C13" s="16">
        <f>'DCF Model'!C6</f>
        <v>0.25</v>
      </c>
    </row>
    <row r="14" spans="2:9" ht="14" x14ac:dyDescent="0.3">
      <c r="B14" s="4" t="s">
        <v>128</v>
      </c>
      <c r="C14" s="27">
        <v>102275</v>
      </c>
    </row>
    <row r="15" spans="2:9" ht="14" x14ac:dyDescent="0.3">
      <c r="B15" s="4" t="s">
        <v>129</v>
      </c>
      <c r="C15" s="27">
        <v>102275</v>
      </c>
    </row>
    <row r="16" spans="2:9" ht="14" x14ac:dyDescent="0.3">
      <c r="B16" s="4" t="s">
        <v>130</v>
      </c>
      <c r="C16" s="5">
        <f>'DCF Model'!G33</f>
        <v>564841.59056481742</v>
      </c>
    </row>
    <row r="17" spans="2:9" ht="14" x14ac:dyDescent="0.3">
      <c r="B17" s="4" t="s">
        <v>131</v>
      </c>
      <c r="C17" s="5">
        <f>'DCF Model'!C53</f>
        <v>1049936.9579554501</v>
      </c>
    </row>
    <row r="18" spans="2:9" ht="14" x14ac:dyDescent="0.3">
      <c r="B18" s="4" t="s">
        <v>132</v>
      </c>
      <c r="C18" s="26">
        <v>0.20585677883202569</v>
      </c>
    </row>
    <row r="19" spans="2:9" ht="14" x14ac:dyDescent="0.3">
      <c r="B19" s="4" t="s">
        <v>133</v>
      </c>
      <c r="C19" s="5">
        <f>C10-C17</f>
        <v>-10265.843661450082</v>
      </c>
    </row>
    <row r="20" spans="2:9" ht="14" x14ac:dyDescent="0.3">
      <c r="B20" s="4" t="s">
        <v>134</v>
      </c>
      <c r="C20" s="15">
        <f>IFERROR(ROUND(C19*1000000/C7,0),"N/A")</f>
        <v>-20</v>
      </c>
    </row>
    <row r="22" spans="2:9" ht="14" x14ac:dyDescent="0.3">
      <c r="B22" s="8" t="s">
        <v>135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136</v>
      </c>
    </row>
    <row r="24" spans="2:9" ht="14" x14ac:dyDescent="0.3">
      <c r="B24" s="4" t="s">
        <v>137</v>
      </c>
      <c r="C24" s="5">
        <f>C10*(C11-C12)</f>
        <v>74520.506459251046</v>
      </c>
    </row>
    <row r="25" spans="2:9" ht="14" x14ac:dyDescent="0.3">
      <c r="B25" s="4" t="s">
        <v>138</v>
      </c>
      <c r="C25" s="5">
        <f>IFERROR(C24/(1-C13),"N/A")</f>
        <v>99360.6752790014</v>
      </c>
    </row>
    <row r="26" spans="2:9" ht="13.5" x14ac:dyDescent="0.25">
      <c r="B26" s="6" t="s">
        <v>139</v>
      </c>
      <c r="C26" s="14">
        <f>IFERROR(C25/C15,"N/A")</f>
        <v>0.97150501372770859</v>
      </c>
    </row>
    <row r="27" spans="2:9" ht="13.5" x14ac:dyDescent="0.25">
      <c r="B27" s="6" t="s">
        <v>140</v>
      </c>
      <c r="C27" s="14">
        <f>IFERROR(C25/C14,"N/A")</f>
        <v>0.97150501372770859</v>
      </c>
    </row>
    <row r="28" spans="2:9" ht="13.5" x14ac:dyDescent="0.25">
      <c r="B28" s="6" t="s">
        <v>141</v>
      </c>
      <c r="C28" s="7">
        <f>IFERROR(C25/C16,"N/A")</f>
        <v>0.17590892196809546</v>
      </c>
    </row>
    <row r="29" spans="2:9" ht="13.5" x14ac:dyDescent="0.25">
      <c r="B29" s="6" t="s">
        <v>142</v>
      </c>
      <c r="C29" s="5">
        <f>IFERROR(C25/C18,"N/A")</f>
        <v>482668.94995028258</v>
      </c>
    </row>
    <row r="32" spans="2:9" ht="14" x14ac:dyDescent="0.3">
      <c r="B32" s="8" t="s">
        <v>143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144</v>
      </c>
    </row>
    <row r="34" spans="2:9" ht="14" x14ac:dyDescent="0.3">
      <c r="B34" s="1" t="s">
        <v>145</v>
      </c>
    </row>
    <row r="36" spans="2:9" ht="14" x14ac:dyDescent="0.3">
      <c r="B36" s="28" t="s">
        <v>146</v>
      </c>
      <c r="C36" s="28" t="s">
        <v>147</v>
      </c>
      <c r="D36" s="29">
        <f>'DCF Model'!C26-0.02</f>
        <v>6.1676999999999996E-2</v>
      </c>
      <c r="E36" s="29">
        <f>'DCF Model'!C26-0.01</f>
        <v>7.1677000000000005E-2</v>
      </c>
      <c r="F36" s="29">
        <f>'DCF Model'!C26</f>
        <v>8.1677E-2</v>
      </c>
      <c r="G36" s="29">
        <f>'DCF Model'!C26+0.01</f>
        <v>9.1676999999999995E-2</v>
      </c>
      <c r="H36" s="29">
        <f>'DCF Model'!C26+0.02</f>
        <v>0.101677</v>
      </c>
    </row>
    <row r="37" spans="2:9" ht="14" x14ac:dyDescent="0.3">
      <c r="B37" s="3" t="s">
        <v>148</v>
      </c>
    </row>
    <row r="38" spans="2:9" ht="14" x14ac:dyDescent="0.3">
      <c r="B38" s="4" t="s">
        <v>149</v>
      </c>
      <c r="C38" s="30">
        <v>3</v>
      </c>
      <c r="D38" s="13">
        <f t="shared" ref="D38:H41" si="0">IFERROR((1-(1+D$36)^(-$C38))/D$36-(1+D$36)/(D$36^2*$C38)*(1-($C38+1)/(1+D$36)^$C38+$C38/(1+D$36)^($C38+1)),"N/A")</f>
        <v>0.92366638187852534</v>
      </c>
      <c r="E38" s="13">
        <f t="shared" si="0"/>
        <v>0.91231374584283498</v>
      </c>
      <c r="F38" s="13">
        <f t="shared" si="0"/>
        <v>0.90122109704977227</v>
      </c>
      <c r="G38" s="13">
        <f t="shared" si="0"/>
        <v>0.89037992727698789</v>
      </c>
      <c r="H38" s="13">
        <f t="shared" si="0"/>
        <v>0.87978208628171362</v>
      </c>
    </row>
    <row r="39" spans="2:9" ht="14" x14ac:dyDescent="0.3">
      <c r="B39" s="4" t="s">
        <v>150</v>
      </c>
      <c r="C39" s="30">
        <v>5</v>
      </c>
      <c r="D39" s="13">
        <f t="shared" si="0"/>
        <v>1.777515961481424</v>
      </c>
      <c r="E39" s="13">
        <f t="shared" si="0"/>
        <v>1.7455328893094779</v>
      </c>
      <c r="F39" s="13">
        <f t="shared" si="0"/>
        <v>1.7145565533593947</v>
      </c>
      <c r="G39" s="13">
        <f t="shared" si="0"/>
        <v>1.6845436941045211</v>
      </c>
      <c r="H39" s="13">
        <f t="shared" si="0"/>
        <v>1.6554533607111783</v>
      </c>
    </row>
    <row r="40" spans="2:9" ht="14" x14ac:dyDescent="0.3">
      <c r="B40" s="4" t="s">
        <v>151</v>
      </c>
      <c r="C40" s="30">
        <v>7</v>
      </c>
      <c r="D40" s="13">
        <f t="shared" si="0"/>
        <v>2.5674738548422251</v>
      </c>
      <c r="E40" s="13">
        <f t="shared" si="0"/>
        <v>2.5073541903863585</v>
      </c>
      <c r="F40" s="13">
        <f t="shared" si="0"/>
        <v>2.4496231762695695</v>
      </c>
      <c r="G40" s="13">
        <f t="shared" si="0"/>
        <v>2.3941544703474289</v>
      </c>
      <c r="H40" s="13">
        <f t="shared" si="0"/>
        <v>2.3408298603850768</v>
      </c>
    </row>
    <row r="41" spans="2:9" ht="14" x14ac:dyDescent="0.3">
      <c r="B41" s="4" t="s">
        <v>152</v>
      </c>
      <c r="C41" s="30">
        <v>10</v>
      </c>
      <c r="D41" s="13">
        <f t="shared" si="0"/>
        <v>3.6442688417142799</v>
      </c>
      <c r="E41" s="13">
        <f t="shared" si="0"/>
        <v>3.5311094472109938</v>
      </c>
      <c r="F41" s="13">
        <f t="shared" si="0"/>
        <v>3.4237809436807307</v>
      </c>
      <c r="G41" s="13">
        <f t="shared" si="0"/>
        <v>3.3218915743893351</v>
      </c>
      <c r="H41" s="13">
        <f t="shared" si="0"/>
        <v>3.2250810174660915</v>
      </c>
    </row>
    <row r="42" spans="2:9" ht="14" x14ac:dyDescent="0.3">
      <c r="B42" s="3" t="s">
        <v>153</v>
      </c>
    </row>
    <row r="43" spans="2:9" ht="14" x14ac:dyDescent="0.3">
      <c r="B43" s="4" t="s">
        <v>149</v>
      </c>
      <c r="C43" s="30">
        <v>3</v>
      </c>
      <c r="D43" s="13">
        <f t="shared" ref="D43:H46" si="1">IFERROR((1+D$36)/(D$36^2*$C43)*(1-($C43+1)/(1+D$36)^$C43+$C43/(1+D$36)^($C43+1))+(1+$C$12)/((D$36-$C$12)*(1+D$36)^$C43),"N/A")</f>
        <v>18.073354906955075</v>
      </c>
      <c r="E43" s="13">
        <f t="shared" si="1"/>
        <v>15.008722578408074</v>
      </c>
      <c r="F43" s="13">
        <f t="shared" si="1"/>
        <v>12.802034773959225</v>
      </c>
      <c r="G43" s="13">
        <f t="shared" si="1"/>
        <v>11.138083664894481</v>
      </c>
      <c r="H43" s="13">
        <f t="shared" si="1"/>
        <v>9.8391944083200507</v>
      </c>
    </row>
    <row r="44" spans="2:9" ht="14" x14ac:dyDescent="0.3">
      <c r="B44" s="4" t="s">
        <v>150</v>
      </c>
      <c r="C44" s="30">
        <v>5</v>
      </c>
      <c r="D44" s="13">
        <f t="shared" si="1"/>
        <v>16.905487939631541</v>
      </c>
      <c r="E44" s="13">
        <f t="shared" si="1"/>
        <v>13.92085373853156</v>
      </c>
      <c r="F44" s="13">
        <f t="shared" si="1"/>
        <v>11.776549265528628</v>
      </c>
      <c r="G44" s="13">
        <f t="shared" si="1"/>
        <v>10.163610567342655</v>
      </c>
      <c r="H44" s="13">
        <f t="shared" si="1"/>
        <v>8.9078948789547301</v>
      </c>
    </row>
    <row r="45" spans="2:9" ht="14" x14ac:dyDescent="0.3">
      <c r="B45" s="4" t="s">
        <v>151</v>
      </c>
      <c r="C45" s="30">
        <v>7</v>
      </c>
      <c r="D45" s="13">
        <f t="shared" si="1"/>
        <v>15.836937894023954</v>
      </c>
      <c r="E45" s="13">
        <f t="shared" si="1"/>
        <v>12.937307090825481</v>
      </c>
      <c r="F45" s="13">
        <f t="shared" si="1"/>
        <v>10.860161706632503</v>
      </c>
      <c r="G45" s="13">
        <f t="shared" si="1"/>
        <v>9.3027029430793977</v>
      </c>
      <c r="H45" s="13">
        <f t="shared" si="1"/>
        <v>8.0942912609431303</v>
      </c>
    </row>
    <row r="46" spans="2:9" ht="14" x14ac:dyDescent="0.3">
      <c r="B46" s="4" t="s">
        <v>152</v>
      </c>
      <c r="C46" s="30">
        <v>10</v>
      </c>
      <c r="D46" s="13">
        <f t="shared" si="1"/>
        <v>14.400059523613454</v>
      </c>
      <c r="E46" s="13">
        <f t="shared" si="1"/>
        <v>11.633537555476787</v>
      </c>
      <c r="F46" s="13">
        <f t="shared" si="1"/>
        <v>9.6622078060395573</v>
      </c>
      <c r="G46" s="13">
        <f t="shared" si="1"/>
        <v>8.1924160689683934</v>
      </c>
      <c r="H46" s="13">
        <f t="shared" si="1"/>
        <v>7.0587595997147705</v>
      </c>
    </row>
    <row r="47" spans="2:9" ht="14" x14ac:dyDescent="0.3">
      <c r="B47" s="22" t="s">
        <v>154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149</v>
      </c>
      <c r="C48" s="30">
        <v>3</v>
      </c>
      <c r="D48" s="5">
        <f t="shared" ref="D48:H51" si="2">IFERROR(($C$10/(1-$C$13)-$C$14*D38)/D43,"N/A")</f>
        <v>71473.181367576224</v>
      </c>
      <c r="E48" s="5">
        <f t="shared" si="2"/>
        <v>86144.65736717348</v>
      </c>
      <c r="F48" s="5">
        <f t="shared" si="2"/>
        <v>101082.03793692931</v>
      </c>
      <c r="G48" s="5">
        <f t="shared" si="2"/>
        <v>116282.52976873434</v>
      </c>
      <c r="H48" s="5">
        <f t="shared" si="2"/>
        <v>131743.35069763701</v>
      </c>
    </row>
    <row r="49" spans="2:9" ht="14" x14ac:dyDescent="0.3">
      <c r="B49" s="4" t="s">
        <v>150</v>
      </c>
      <c r="C49" s="30">
        <v>5</v>
      </c>
      <c r="D49" s="5">
        <f t="shared" si="2"/>
        <v>71245.072116962401</v>
      </c>
      <c r="E49" s="5">
        <f t="shared" si="2"/>
        <v>86755.007905518549</v>
      </c>
      <c r="F49" s="5">
        <f t="shared" si="2"/>
        <v>102820.60165464047</v>
      </c>
      <c r="G49" s="5">
        <f t="shared" si="2"/>
        <v>119439.98031349732</v>
      </c>
      <c r="H49" s="5">
        <f t="shared" si="2"/>
        <v>136611.02611350748</v>
      </c>
    </row>
    <row r="50" spans="2:9" ht="14" x14ac:dyDescent="0.3">
      <c r="B50" s="4" t="s">
        <v>151</v>
      </c>
      <c r="C50" s="30">
        <v>7</v>
      </c>
      <c r="D50" s="5">
        <f t="shared" si="2"/>
        <v>70950.569573933564</v>
      </c>
      <c r="E50" s="5">
        <f t="shared" si="2"/>
        <v>87327.949675974465</v>
      </c>
      <c r="F50" s="5">
        <f t="shared" si="2"/>
        <v>104574.22022965283</v>
      </c>
      <c r="G50" s="5">
        <f t="shared" si="2"/>
        <v>122691.86825817311</v>
      </c>
      <c r="H50" s="5">
        <f t="shared" si="2"/>
        <v>141682.54408570557</v>
      </c>
    </row>
    <row r="51" spans="2:9" ht="14" x14ac:dyDescent="0.3">
      <c r="B51" s="4" t="s">
        <v>152</v>
      </c>
      <c r="C51" s="30">
        <v>10</v>
      </c>
      <c r="D51" s="5">
        <f t="shared" si="2"/>
        <v>70382.386610534551</v>
      </c>
      <c r="E51" s="5">
        <f t="shared" si="2"/>
        <v>88114.550607687765</v>
      </c>
      <c r="F51" s="5">
        <f t="shared" si="2"/>
        <v>107228.17985030734</v>
      </c>
      <c r="G51" s="5">
        <f t="shared" si="2"/>
        <v>127737.85935814976</v>
      </c>
      <c r="H51" s="5">
        <f t="shared" si="2"/>
        <v>149655.61249222053</v>
      </c>
    </row>
    <row r="52" spans="2:9" ht="14" x14ac:dyDescent="0.3">
      <c r="B52" s="22" t="s">
        <v>155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149</v>
      </c>
      <c r="C53" s="30">
        <v>3</v>
      </c>
      <c r="D53" s="14">
        <f t="shared" ref="D53:H56" si="3">IFERROR(D48/$C$15,"N/A")</f>
        <v>0.69883335485285969</v>
      </c>
      <c r="E53" s="14">
        <f t="shared" si="3"/>
        <v>0.84228459904349529</v>
      </c>
      <c r="F53" s="14">
        <f t="shared" si="3"/>
        <v>0.98833574125572532</v>
      </c>
      <c r="G53" s="14">
        <f t="shared" si="3"/>
        <v>1.1369594697505192</v>
      </c>
      <c r="H53" s="14">
        <f t="shared" si="3"/>
        <v>1.2881285817417454</v>
      </c>
    </row>
    <row r="54" spans="2:9" ht="14" x14ac:dyDescent="0.3">
      <c r="B54" s="4" t="s">
        <v>150</v>
      </c>
      <c r="C54" s="30">
        <v>5</v>
      </c>
      <c r="D54" s="14">
        <f t="shared" si="3"/>
        <v>0.69660300285468002</v>
      </c>
      <c r="E54" s="14">
        <f t="shared" si="3"/>
        <v>0.84825233835755121</v>
      </c>
      <c r="F54" s="14">
        <f t="shared" si="3"/>
        <v>1.0053346531864138</v>
      </c>
      <c r="G54" s="14">
        <f t="shared" si="3"/>
        <v>1.1678316334734522</v>
      </c>
      <c r="H54" s="14">
        <f t="shared" si="3"/>
        <v>1.3357225726082373</v>
      </c>
    </row>
    <row r="55" spans="2:9" ht="14" x14ac:dyDescent="0.3">
      <c r="B55" s="4" t="s">
        <v>151</v>
      </c>
      <c r="C55" s="30">
        <v>7</v>
      </c>
      <c r="D55" s="14">
        <f t="shared" si="3"/>
        <v>0.69372348642320769</v>
      </c>
      <c r="E55" s="14">
        <f t="shared" si="3"/>
        <v>0.85385431118039079</v>
      </c>
      <c r="F55" s="14">
        <f t="shared" si="3"/>
        <v>1.0224807648951633</v>
      </c>
      <c r="G55" s="14">
        <f t="shared" si="3"/>
        <v>1.1996271645873684</v>
      </c>
      <c r="H55" s="14">
        <f t="shared" si="3"/>
        <v>1.3853096464014232</v>
      </c>
    </row>
    <row r="56" spans="2:9" ht="14" x14ac:dyDescent="0.3">
      <c r="B56" s="4" t="s">
        <v>152</v>
      </c>
      <c r="C56" s="30">
        <v>10</v>
      </c>
      <c r="D56" s="14">
        <f t="shared" si="3"/>
        <v>0.68816804312426838</v>
      </c>
      <c r="E56" s="14">
        <f t="shared" si="3"/>
        <v>0.86154534937851635</v>
      </c>
      <c r="F56" s="14">
        <f t="shared" si="3"/>
        <v>1.0484300156471018</v>
      </c>
      <c r="G56" s="14">
        <f t="shared" si="3"/>
        <v>1.2489646478430678</v>
      </c>
      <c r="H56" s="14">
        <f t="shared" si="3"/>
        <v>1.4632668051060429</v>
      </c>
    </row>
    <row r="58" spans="2:9" ht="14" x14ac:dyDescent="0.3">
      <c r="B58" s="8" t="s">
        <v>156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157</v>
      </c>
    </row>
    <row r="60" spans="2:9" ht="14" x14ac:dyDescent="0.3">
      <c r="B60" s="4" t="s">
        <v>158</v>
      </c>
      <c r="C60" s="5">
        <f>F49</f>
        <v>102820.60165464047</v>
      </c>
    </row>
    <row r="62" spans="2:9" ht="14" x14ac:dyDescent="0.3">
      <c r="B62" s="28" t="s">
        <v>159</v>
      </c>
      <c r="C62" s="28" t="s">
        <v>160</v>
      </c>
      <c r="D62" s="28" t="s">
        <v>161</v>
      </c>
    </row>
    <row r="63" spans="2:9" ht="14" x14ac:dyDescent="0.3">
      <c r="B63" s="31">
        <v>0.10290000000000001</v>
      </c>
      <c r="C63" s="5">
        <f>IFERROR($C$60/B63,"N/A")</f>
        <v>999228.39314519404</v>
      </c>
      <c r="D63" s="14">
        <f>IFERROR(C63/'DCF Model'!C17,"N/A")</f>
        <v>2.0112240364739247</v>
      </c>
    </row>
    <row r="64" spans="2:9" ht="14" x14ac:dyDescent="0.3">
      <c r="B64" s="31">
        <v>0.15440000000000001</v>
      </c>
      <c r="C64" s="5">
        <f>IFERROR($C$60/B64,"N/A")</f>
        <v>665936.53921399266</v>
      </c>
      <c r="D64" s="14">
        <f>IFERROR(C64/'DCF Model'!C17,"N/A")</f>
        <v>1.3403818222355366</v>
      </c>
    </row>
    <row r="65" spans="2:9" ht="14" x14ac:dyDescent="0.3">
      <c r="B65" s="4" t="s">
        <v>162</v>
      </c>
      <c r="C65" s="5">
        <f>IFERROR($C$60/$C$18,"N/A")</f>
        <v>499476.39440399327</v>
      </c>
      <c r="D65" s="14">
        <f>IFERROR(C65/'DCF Model'!C17,"N/A")</f>
        <v>1.0053346531864138</v>
      </c>
    </row>
    <row r="66" spans="2:9" ht="14" x14ac:dyDescent="0.3">
      <c r="B66" s="31">
        <v>0.25729999999999997</v>
      </c>
      <c r="C66" s="5">
        <f>IFERROR($C$60/B66,"N/A")</f>
        <v>399613.68695934897</v>
      </c>
      <c r="D66" s="14">
        <f>IFERROR(C66/'DCF Model'!C17,"N/A")</f>
        <v>0.80433328159023276</v>
      </c>
    </row>
    <row r="67" spans="2:9" ht="14" x14ac:dyDescent="0.3">
      <c r="B67" s="31">
        <v>0.30880000000000002</v>
      </c>
      <c r="C67" s="5">
        <f>IFERROR($C$60/B67,"N/A")</f>
        <v>332968.26960699633</v>
      </c>
      <c r="D67" s="14">
        <f>IFERROR(C67/'DCF Model'!C17,"N/A")</f>
        <v>0.6701909111177683</v>
      </c>
    </row>
    <row r="69" spans="2:9" ht="14" x14ac:dyDescent="0.3">
      <c r="B69" s="8" t="s">
        <v>163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164</v>
      </c>
      <c r="C70" s="14">
        <f>IFERROR(C10/'Comps Analysis'!G5,"N/A")</f>
        <v>8.095929062630919</v>
      </c>
    </row>
    <row r="71" spans="2:9" ht="13.5" x14ac:dyDescent="0.25">
      <c r="B71" s="6" t="s">
        <v>165</v>
      </c>
      <c r="C71" s="14">
        <f>IFERROR(C10/'Comps Analysis'!F5,"N/A")</f>
        <v>2.0926262198314904</v>
      </c>
    </row>
    <row r="72" spans="2:9" ht="14" x14ac:dyDescent="0.3">
      <c r="B72" s="4" t="s">
        <v>166</v>
      </c>
      <c r="C72" s="14">
        <f>IFERROR(C10/(C25+'DCF Model'!G42),"N/A")</f>
        <v>8.0409357233171708</v>
      </c>
    </row>
    <row r="73" spans="2:9" ht="14" x14ac:dyDescent="0.3">
      <c r="B73" s="4" t="s">
        <v>167</v>
      </c>
      <c r="C73" s="14">
        <f>IFERROR(C10/(C60+'DCF Model'!G42),"N/A")</f>
        <v>7.8313723674610465</v>
      </c>
    </row>
    <row r="74" spans="2:9" ht="14" x14ac:dyDescent="0.3">
      <c r="B74" s="4" t="s">
        <v>168</v>
      </c>
      <c r="C74" s="14">
        <f>IFERROR('Comps Analysis'!D16,"N/A")</f>
        <v>12.644081097406721</v>
      </c>
    </row>
    <row r="75" spans="2:9" ht="14" x14ac:dyDescent="0.3">
      <c r="B75" s="1" t="s">
        <v>169</v>
      </c>
    </row>
    <row r="77" spans="2:9" ht="14" x14ac:dyDescent="0.3">
      <c r="B77" s="22" t="s">
        <v>170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FY2025 cycle peak of "&amp;TEXT(C15,"#,##0")&amp;" mn - reached in 5 years and sustained for ever, against "&amp;TEXT(C14,"#,##0")&amp;" mn actually earned in FY2025."</f>
        <v>At 2,404 yen the market is paying for a steady-state operating profit of 102,821 mn JPY - 1.01x the FY2025 cycle peak of 102,275 mn - reached in 5 years and sustained for ever, against 102,275 mn actually earned in FY2025.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99,361 mn, or 0.97x the peak. The base case supports an EV of only 1,049,937 mn, leaving -20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171</v>
      </c>
    </row>
    <row r="4" spans="2:8" ht="14" x14ac:dyDescent="0.3">
      <c r="B4" s="8" t="s">
        <v>172</v>
      </c>
      <c r="C4" s="32" t="s">
        <v>173</v>
      </c>
      <c r="D4" s="32" t="s">
        <v>80</v>
      </c>
      <c r="E4" s="32" t="s">
        <v>81</v>
      </c>
      <c r="F4" s="32" t="s">
        <v>82</v>
      </c>
      <c r="G4" s="32" t="s">
        <v>83</v>
      </c>
      <c r="H4" s="32" t="s">
        <v>84</v>
      </c>
    </row>
    <row r="5" spans="2:8" ht="14" x14ac:dyDescent="0.3">
      <c r="B5" s="33" t="s">
        <v>174</v>
      </c>
      <c r="C5" s="34">
        <f>C12/C9*365</f>
        <v>133.12472575911889</v>
      </c>
      <c r="D5" s="34">
        <f>CHOOSE('DCF Model'!$D$27,D25,D26,D27,D28,D29)</f>
        <v>112</v>
      </c>
      <c r="E5" s="34">
        <f>CHOOSE('DCF Model'!$D$27,E25,E26,E27,E28,E29)</f>
        <v>112</v>
      </c>
      <c r="F5" s="34">
        <f>CHOOSE('DCF Model'!$D$27,F25,F26,F27,F28,F29)</f>
        <v>112</v>
      </c>
      <c r="G5" s="34">
        <f>CHOOSE('DCF Model'!$D$27,G25,G26,G27,G28,G29)</f>
        <v>112</v>
      </c>
      <c r="H5" s="34">
        <f>CHOOSE('DCF Model'!$D$27,H25,H26,H27,H28,H29)</f>
        <v>112</v>
      </c>
    </row>
    <row r="6" spans="2:8" ht="14" x14ac:dyDescent="0.3">
      <c r="B6" s="33" t="s">
        <v>175</v>
      </c>
      <c r="C6" s="34">
        <f>C13/C10*365</f>
        <v>192.4085856769897</v>
      </c>
      <c r="D6" s="34">
        <f>CHOOSE('DCF Model'!$D$27,D32,D33,D34,D35,D36)</f>
        <v>231</v>
      </c>
      <c r="E6" s="34">
        <f>CHOOSE('DCF Model'!$D$27,E32,E33,E34,E35,E36)</f>
        <v>231</v>
      </c>
      <c r="F6" s="34">
        <f>CHOOSE('DCF Model'!$D$27,F32,F33,F34,F35,F36)</f>
        <v>231</v>
      </c>
      <c r="G6" s="34">
        <f>CHOOSE('DCF Model'!$D$27,G32,G33,G34,G35,G36)</f>
        <v>231</v>
      </c>
      <c r="H6" s="34">
        <f>CHOOSE('DCF Model'!$D$27,H32,H33,H34,H35,H36)</f>
        <v>231</v>
      </c>
    </row>
    <row r="7" spans="2:8" ht="14" x14ac:dyDescent="0.3">
      <c r="B7" s="33" t="s">
        <v>176</v>
      </c>
      <c r="C7" s="34">
        <f>C15/C10*365</f>
        <v>356.74617380836997</v>
      </c>
      <c r="D7" s="34">
        <f>CHOOSE('DCF Model'!$D$27,D39,D40,D41,D42,D43)</f>
        <v>323</v>
      </c>
      <c r="E7" s="34">
        <f>CHOOSE('DCF Model'!$D$27,E39,E40,E41,E42,E43)</f>
        <v>323</v>
      </c>
      <c r="F7" s="34">
        <f>CHOOSE('DCF Model'!$D$27,F39,F40,F41,F42,F43)</f>
        <v>323</v>
      </c>
      <c r="G7" s="34">
        <f>CHOOSE('DCF Model'!$D$27,G39,G40,G41,G42,G43)</f>
        <v>323</v>
      </c>
      <c r="H7" s="34">
        <f>CHOOSE('DCF Model'!$D$27,H39,H40,H41,H42,H43)</f>
        <v>323</v>
      </c>
    </row>
    <row r="8" spans="2:8" ht="14" x14ac:dyDescent="0.3">
      <c r="B8" s="8" t="s">
        <v>177</v>
      </c>
      <c r="C8" s="9"/>
      <c r="D8" s="9"/>
      <c r="E8" s="9"/>
      <c r="F8" s="9"/>
      <c r="G8" s="9"/>
      <c r="H8" s="9"/>
    </row>
    <row r="9" spans="2:8" ht="14" x14ac:dyDescent="0.3">
      <c r="B9" s="33" t="s">
        <v>31</v>
      </c>
      <c r="C9" s="35">
        <v>496826</v>
      </c>
      <c r="D9" s="35">
        <f>'DCF Model'!C33</f>
        <v>506762.52</v>
      </c>
      <c r="E9" s="35">
        <f>'DCF Model'!D33</f>
        <v>521965.39560000005</v>
      </c>
      <c r="F9" s="35">
        <f>'DCF Model'!E33</f>
        <v>537624.35746800003</v>
      </c>
      <c r="G9" s="35">
        <f>'DCF Model'!F33</f>
        <v>551064.96640469995</v>
      </c>
      <c r="H9" s="35">
        <f>'DCF Model'!G33</f>
        <v>564841.59056481742</v>
      </c>
    </row>
    <row r="10" spans="2:8" ht="14" x14ac:dyDescent="0.3">
      <c r="B10" s="33" t="s">
        <v>32</v>
      </c>
      <c r="C10" s="35">
        <v>127934</v>
      </c>
      <c r="D10" s="35">
        <f>'DCF Model'!C34</f>
        <v>130744.73016000001</v>
      </c>
      <c r="E10" s="35">
        <f>'DCF Model'!D34</f>
        <v>134667.07206480001</v>
      </c>
      <c r="F10" s="35">
        <f>'DCF Model'!E34</f>
        <v>138707.08422674402</v>
      </c>
      <c r="G10" s="35">
        <f>'DCF Model'!F34</f>
        <v>142174.7613324126</v>
      </c>
      <c r="H10" s="35">
        <f>'DCF Model'!G34</f>
        <v>145729.1303657229</v>
      </c>
    </row>
    <row r="11" spans="2:8" ht="14" x14ac:dyDescent="0.3">
      <c r="B11" s="8" t="s">
        <v>178</v>
      </c>
      <c r="C11" s="9"/>
      <c r="D11" s="9"/>
      <c r="E11" s="9"/>
      <c r="F11" s="9"/>
      <c r="G11" s="9"/>
      <c r="H11" s="9"/>
    </row>
    <row r="12" spans="2:8" ht="14" x14ac:dyDescent="0.3">
      <c r="B12" s="33" t="s">
        <v>179</v>
      </c>
      <c r="C12" s="35">
        <v>181205</v>
      </c>
      <c r="D12" s="35">
        <f t="shared" ref="D12:H13" si="0">D9*D5/365</f>
        <v>155499.73216438357</v>
      </c>
      <c r="E12" s="35">
        <f t="shared" si="0"/>
        <v>160164.72412931509</v>
      </c>
      <c r="F12" s="35">
        <f t="shared" si="0"/>
        <v>164969.66585319451</v>
      </c>
      <c r="G12" s="35">
        <f t="shared" si="0"/>
        <v>169093.90749952439</v>
      </c>
      <c r="H12" s="35">
        <f t="shared" si="0"/>
        <v>173321.25518701249</v>
      </c>
    </row>
    <row r="13" spans="2:8" ht="14" x14ac:dyDescent="0.3">
      <c r="B13" s="33" t="s">
        <v>180</v>
      </c>
      <c r="C13" s="35">
        <v>67440</v>
      </c>
      <c r="D13" s="35">
        <f t="shared" si="0"/>
        <v>82745.294977972604</v>
      </c>
      <c r="E13" s="35">
        <f t="shared" si="0"/>
        <v>85227.653827311791</v>
      </c>
      <c r="F13" s="35">
        <f t="shared" si="0"/>
        <v>87784.483442131139</v>
      </c>
      <c r="G13" s="35">
        <f t="shared" si="0"/>
        <v>89979.095528184407</v>
      </c>
      <c r="H13" s="35">
        <f t="shared" si="0"/>
        <v>92228.572916389021</v>
      </c>
    </row>
    <row r="14" spans="2:8" ht="14" x14ac:dyDescent="0.3">
      <c r="B14" s="33" t="s">
        <v>181</v>
      </c>
      <c r="C14" s="35">
        <f t="shared" ref="C14:H14" si="1">C12+C13</f>
        <v>248645</v>
      </c>
      <c r="D14" s="35">
        <f t="shared" si="1"/>
        <v>238245.02714235618</v>
      </c>
      <c r="E14" s="35">
        <f t="shared" si="1"/>
        <v>245392.37795662688</v>
      </c>
      <c r="F14" s="35">
        <f t="shared" si="1"/>
        <v>252754.14929532565</v>
      </c>
      <c r="G14" s="35">
        <f t="shared" si="1"/>
        <v>259073.00302770879</v>
      </c>
      <c r="H14" s="35">
        <f t="shared" si="1"/>
        <v>265549.82810340152</v>
      </c>
    </row>
    <row r="15" spans="2:8" ht="14" x14ac:dyDescent="0.3">
      <c r="B15" s="33" t="s">
        <v>182</v>
      </c>
      <c r="C15" s="35">
        <v>125041</v>
      </c>
      <c r="D15" s="35">
        <f>D10*D7/365</f>
        <v>115700.13107309591</v>
      </c>
      <c r="E15" s="35">
        <f>E10*E7/365</f>
        <v>119171.13500528879</v>
      </c>
      <c r="F15" s="35">
        <f>F10*F7/365</f>
        <v>122746.26905544745</v>
      </c>
      <c r="G15" s="35">
        <f>G10*G7/365</f>
        <v>125814.92578183362</v>
      </c>
      <c r="H15" s="35">
        <f>H10*H7/365</f>
        <v>128960.29892637944</v>
      </c>
    </row>
    <row r="16" spans="2:8" ht="14" x14ac:dyDescent="0.3">
      <c r="B16" s="33" t="s">
        <v>183</v>
      </c>
      <c r="C16" s="35">
        <f t="shared" ref="C16:H16" si="2">C15</f>
        <v>125041</v>
      </c>
      <c r="D16" s="35">
        <f t="shared" si="2"/>
        <v>115700.13107309591</v>
      </c>
      <c r="E16" s="35">
        <f t="shared" si="2"/>
        <v>119171.13500528879</v>
      </c>
      <c r="F16" s="35">
        <f t="shared" si="2"/>
        <v>122746.26905544745</v>
      </c>
      <c r="G16" s="35">
        <f t="shared" si="2"/>
        <v>125814.92578183362</v>
      </c>
      <c r="H16" s="35">
        <f t="shared" si="2"/>
        <v>128960.29892637944</v>
      </c>
    </row>
    <row r="17" spans="2:8" ht="14" x14ac:dyDescent="0.3">
      <c r="B17" s="22" t="s">
        <v>184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185</v>
      </c>
      <c r="C18" s="20">
        <f t="shared" ref="C18:H18" si="3">C14-C16</f>
        <v>123604</v>
      </c>
      <c r="D18" s="20">
        <f t="shared" si="3"/>
        <v>122544.89606926027</v>
      </c>
      <c r="E18" s="20">
        <f t="shared" si="3"/>
        <v>126221.24295133809</v>
      </c>
      <c r="F18" s="20">
        <f t="shared" si="3"/>
        <v>130007.8802398782</v>
      </c>
      <c r="G18" s="20">
        <f t="shared" si="3"/>
        <v>133258.07724587517</v>
      </c>
      <c r="H18" s="20">
        <f t="shared" si="3"/>
        <v>136589.52917702208</v>
      </c>
    </row>
    <row r="19" spans="2:8" ht="14" x14ac:dyDescent="0.3">
      <c r="B19" s="33" t="s">
        <v>94</v>
      </c>
      <c r="C19" s="36" t="s">
        <v>41</v>
      </c>
      <c r="D19" s="24">
        <f>D18-C18</f>
        <v>-1059.1039307397295</v>
      </c>
      <c r="E19" s="24">
        <f>E18-D18</f>
        <v>3676.3468820778216</v>
      </c>
      <c r="F19" s="24">
        <f>F18-E18</f>
        <v>3786.637288540107</v>
      </c>
      <c r="G19" s="24">
        <f>G18-F18</f>
        <v>3250.1970059969753</v>
      </c>
      <c r="H19" s="24">
        <f>H18-G18</f>
        <v>3331.4519311469048</v>
      </c>
    </row>
    <row r="22" spans="2:8" ht="14" x14ac:dyDescent="0.3">
      <c r="B22" s="22" t="s">
        <v>186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80</v>
      </c>
      <c r="E23" s="25" t="s">
        <v>81</v>
      </c>
      <c r="F23" s="25" t="s">
        <v>82</v>
      </c>
      <c r="G23" s="25" t="s">
        <v>83</v>
      </c>
      <c r="H23" s="25" t="s">
        <v>84</v>
      </c>
    </row>
    <row r="24" spans="2:8" ht="14" x14ac:dyDescent="0.3">
      <c r="B24" s="3" t="s">
        <v>187</v>
      </c>
    </row>
    <row r="25" spans="2:8" ht="14" x14ac:dyDescent="0.3">
      <c r="B25" s="4" t="s">
        <v>78</v>
      </c>
      <c r="D25" s="30">
        <v>112</v>
      </c>
      <c r="E25" s="30">
        <v>112</v>
      </c>
      <c r="F25" s="30">
        <v>112</v>
      </c>
      <c r="G25" s="30">
        <v>112</v>
      </c>
      <c r="H25" s="30">
        <v>112</v>
      </c>
    </row>
    <row r="26" spans="2:8" ht="14" x14ac:dyDescent="0.3">
      <c r="B26" s="4" t="s">
        <v>115</v>
      </c>
      <c r="D26" s="30">
        <v>108</v>
      </c>
      <c r="E26" s="30">
        <v>108</v>
      </c>
      <c r="F26" s="30">
        <v>108</v>
      </c>
      <c r="G26" s="30">
        <v>108</v>
      </c>
      <c r="H26" s="30">
        <v>108</v>
      </c>
    </row>
    <row r="27" spans="2:8" ht="14" x14ac:dyDescent="0.3">
      <c r="B27" s="4" t="s">
        <v>116</v>
      </c>
      <c r="D27" s="30">
        <v>112</v>
      </c>
      <c r="E27" s="30">
        <v>112</v>
      </c>
      <c r="F27" s="30">
        <v>112</v>
      </c>
      <c r="G27" s="30">
        <v>112</v>
      </c>
      <c r="H27" s="30">
        <v>112</v>
      </c>
    </row>
    <row r="28" spans="2:8" ht="14" x14ac:dyDescent="0.3">
      <c r="B28" s="4" t="s">
        <v>117</v>
      </c>
      <c r="D28" s="30">
        <v>117</v>
      </c>
      <c r="E28" s="30">
        <v>117</v>
      </c>
      <c r="F28" s="30">
        <v>117</v>
      </c>
      <c r="G28" s="30">
        <v>117</v>
      </c>
      <c r="H28" s="30">
        <v>117</v>
      </c>
    </row>
    <row r="29" spans="2:8" ht="14" x14ac:dyDescent="0.3">
      <c r="B29" s="4" t="s">
        <v>118</v>
      </c>
      <c r="D29" s="30">
        <v>122</v>
      </c>
      <c r="E29" s="30">
        <v>122</v>
      </c>
      <c r="F29" s="30">
        <v>122</v>
      </c>
      <c r="G29" s="30">
        <v>122</v>
      </c>
      <c r="H29" s="30">
        <v>122</v>
      </c>
    </row>
    <row r="31" spans="2:8" ht="14" x14ac:dyDescent="0.3">
      <c r="B31" s="3" t="s">
        <v>188</v>
      </c>
    </row>
    <row r="32" spans="2:8" ht="14" x14ac:dyDescent="0.3">
      <c r="B32" s="4" t="s">
        <v>78</v>
      </c>
      <c r="D32" s="30">
        <v>231</v>
      </c>
      <c r="E32" s="30">
        <v>231</v>
      </c>
      <c r="F32" s="30">
        <v>231</v>
      </c>
      <c r="G32" s="30">
        <v>231</v>
      </c>
      <c r="H32" s="30">
        <v>231</v>
      </c>
    </row>
    <row r="33" spans="2:8" ht="14" x14ac:dyDescent="0.3">
      <c r="B33" s="4" t="s">
        <v>115</v>
      </c>
      <c r="D33" s="30">
        <v>222</v>
      </c>
      <c r="E33" s="30">
        <v>222</v>
      </c>
      <c r="F33" s="30">
        <v>222</v>
      </c>
      <c r="G33" s="30">
        <v>222</v>
      </c>
      <c r="H33" s="30">
        <v>222</v>
      </c>
    </row>
    <row r="34" spans="2:8" ht="14" x14ac:dyDescent="0.3">
      <c r="B34" s="4" t="s">
        <v>116</v>
      </c>
      <c r="D34" s="30">
        <v>231</v>
      </c>
      <c r="E34" s="30">
        <v>231</v>
      </c>
      <c r="F34" s="30">
        <v>231</v>
      </c>
      <c r="G34" s="30">
        <v>231</v>
      </c>
      <c r="H34" s="30">
        <v>231</v>
      </c>
    </row>
    <row r="35" spans="2:8" ht="14" x14ac:dyDescent="0.3">
      <c r="B35" s="4" t="s">
        <v>117</v>
      </c>
      <c r="D35" s="30">
        <v>241</v>
      </c>
      <c r="E35" s="30">
        <v>241</v>
      </c>
      <c r="F35" s="30">
        <v>241</v>
      </c>
      <c r="G35" s="30">
        <v>241</v>
      </c>
      <c r="H35" s="30">
        <v>241</v>
      </c>
    </row>
    <row r="36" spans="2:8" ht="14" x14ac:dyDescent="0.3">
      <c r="B36" s="4" t="s">
        <v>118</v>
      </c>
      <c r="D36" s="30">
        <v>252</v>
      </c>
      <c r="E36" s="30">
        <v>252</v>
      </c>
      <c r="F36" s="30">
        <v>252</v>
      </c>
      <c r="G36" s="30">
        <v>252</v>
      </c>
      <c r="H36" s="30">
        <v>252</v>
      </c>
    </row>
    <row r="38" spans="2:8" ht="14" x14ac:dyDescent="0.3">
      <c r="B38" s="3" t="s">
        <v>189</v>
      </c>
    </row>
    <row r="39" spans="2:8" ht="14" x14ac:dyDescent="0.3">
      <c r="B39" s="4" t="s">
        <v>78</v>
      </c>
      <c r="D39" s="30">
        <v>323</v>
      </c>
      <c r="E39" s="30">
        <v>323</v>
      </c>
      <c r="F39" s="30">
        <v>323</v>
      </c>
      <c r="G39" s="30">
        <v>323</v>
      </c>
      <c r="H39" s="30">
        <v>323</v>
      </c>
    </row>
    <row r="40" spans="2:8" ht="14" x14ac:dyDescent="0.3">
      <c r="B40" s="4" t="s">
        <v>115</v>
      </c>
      <c r="D40" s="30">
        <v>330</v>
      </c>
      <c r="E40" s="30">
        <v>330</v>
      </c>
      <c r="F40" s="30">
        <v>330</v>
      </c>
      <c r="G40" s="30">
        <v>330</v>
      </c>
      <c r="H40" s="30">
        <v>330</v>
      </c>
    </row>
    <row r="41" spans="2:8" ht="14" x14ac:dyDescent="0.3">
      <c r="B41" s="4" t="s">
        <v>116</v>
      </c>
      <c r="D41" s="30">
        <v>323</v>
      </c>
      <c r="E41" s="30">
        <v>323</v>
      </c>
      <c r="F41" s="30">
        <v>323</v>
      </c>
      <c r="G41" s="30">
        <v>323</v>
      </c>
      <c r="H41" s="30">
        <v>323</v>
      </c>
    </row>
    <row r="42" spans="2:8" ht="14" x14ac:dyDescent="0.3">
      <c r="B42" s="4" t="s">
        <v>117</v>
      </c>
      <c r="D42" s="30">
        <v>313</v>
      </c>
      <c r="E42" s="30">
        <v>313</v>
      </c>
      <c r="F42" s="30">
        <v>313</v>
      </c>
      <c r="G42" s="30">
        <v>313</v>
      </c>
      <c r="H42" s="30">
        <v>313</v>
      </c>
    </row>
    <row r="43" spans="2:8" ht="14" x14ac:dyDescent="0.3">
      <c r="B43" s="4" t="s">
        <v>118</v>
      </c>
      <c r="D43" s="30">
        <v>303</v>
      </c>
      <c r="E43" s="30">
        <v>303</v>
      </c>
      <c r="F43" s="30">
        <v>303</v>
      </c>
      <c r="G43" s="30">
        <v>303</v>
      </c>
      <c r="H43" s="30">
        <v>303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190</v>
      </c>
    </row>
    <row r="3" spans="2:17" ht="14" x14ac:dyDescent="0.3">
      <c r="B3" s="1" t="s">
        <v>191</v>
      </c>
    </row>
    <row r="4" spans="2:17" ht="28" x14ac:dyDescent="0.3">
      <c r="B4" s="10" t="s">
        <v>3</v>
      </c>
      <c r="C4" s="10" t="s">
        <v>5</v>
      </c>
      <c r="D4" s="10" t="s">
        <v>192</v>
      </c>
      <c r="E4" s="10" t="s">
        <v>193</v>
      </c>
      <c r="F4" s="10" t="s">
        <v>194</v>
      </c>
      <c r="G4" s="10" t="s">
        <v>195</v>
      </c>
      <c r="H4" s="10" t="s">
        <v>196</v>
      </c>
      <c r="I4" s="10" t="s">
        <v>197</v>
      </c>
      <c r="J4" s="10" t="s">
        <v>198</v>
      </c>
      <c r="K4" s="10" t="s">
        <v>199</v>
      </c>
      <c r="L4" s="10" t="s">
        <v>200</v>
      </c>
      <c r="M4" s="10" t="s">
        <v>201</v>
      </c>
      <c r="N4" s="10" t="s">
        <v>202</v>
      </c>
      <c r="O4" s="10" t="s">
        <v>203</v>
      </c>
      <c r="P4" s="10" t="s">
        <v>204</v>
      </c>
      <c r="Q4" s="10" t="s">
        <v>205</v>
      </c>
    </row>
    <row r="5" spans="2:17" ht="14" x14ac:dyDescent="0.3">
      <c r="B5" s="4" t="s">
        <v>206</v>
      </c>
      <c r="C5" t="s">
        <v>207</v>
      </c>
      <c r="D5" s="37">
        <f>'Executive Summary'!C9*C23/1000000</f>
        <v>1258440.114294</v>
      </c>
      <c r="E5" s="37">
        <f>D5+C24</f>
        <v>1039671.114294</v>
      </c>
      <c r="F5" s="37">
        <v>496826</v>
      </c>
      <c r="G5" s="37">
        <v>128419</v>
      </c>
      <c r="H5" s="37">
        <v>102275</v>
      </c>
      <c r="I5" s="37">
        <v>67040</v>
      </c>
      <c r="J5" s="38">
        <f t="shared" ref="J5:J10" si="0">IFERROR(E5/G5,"")</f>
        <v>8.095929062630919</v>
      </c>
      <c r="K5" s="38">
        <f t="shared" ref="K5:K10" si="1">IFERROR(E5/F5,"")</f>
        <v>2.0926262198314904</v>
      </c>
      <c r="L5" s="38">
        <f t="shared" ref="L5:L10" si="2">IFERROR(D5/I5,"")</f>
        <v>18.771481418466585</v>
      </c>
      <c r="M5" s="38">
        <f t="shared" ref="M5:M10" si="3">IFERROR(D5/P5,"")</f>
        <v>1.4087037230212283</v>
      </c>
      <c r="N5" s="39">
        <f t="shared" ref="N5:N10" si="4">IFERROR(H5/F5,"")</f>
        <v>0.20585677883202569</v>
      </c>
      <c r="O5" s="39">
        <f t="shared" ref="O5:O10" si="5">IFERROR(I5/P5,"")</f>
        <v>7.5044888126698697E-2</v>
      </c>
      <c r="P5" s="37">
        <v>893332</v>
      </c>
    </row>
    <row r="6" spans="2:17" ht="14" x14ac:dyDescent="0.3">
      <c r="B6" s="4" t="s">
        <v>208</v>
      </c>
      <c r="C6" t="s">
        <v>209</v>
      </c>
      <c r="D6" s="37">
        <v>2476073</v>
      </c>
      <c r="E6" s="37">
        <v>2449070</v>
      </c>
      <c r="F6" s="37">
        <v>499677</v>
      </c>
      <c r="G6" s="37">
        <v>193693</v>
      </c>
      <c r="H6" s="37">
        <v>166725</v>
      </c>
      <c r="I6" s="37">
        <v>205159</v>
      </c>
      <c r="J6" s="38">
        <f t="shared" si="0"/>
        <v>12.644081097406721</v>
      </c>
      <c r="K6" s="38">
        <f t="shared" si="1"/>
        <v>4.9013062438335169</v>
      </c>
      <c r="L6" s="38">
        <f t="shared" si="2"/>
        <v>12.069044009768033</v>
      </c>
      <c r="M6" s="38">
        <f t="shared" si="3"/>
        <v>1.4692920487890269</v>
      </c>
      <c r="N6" s="39">
        <f t="shared" si="4"/>
        <v>0.3336655479439718</v>
      </c>
      <c r="O6" s="39">
        <f t="shared" si="5"/>
        <v>0.12174054942544422</v>
      </c>
      <c r="P6" s="37">
        <v>1685215</v>
      </c>
    </row>
    <row r="7" spans="2:17" ht="14" x14ac:dyDescent="0.3">
      <c r="B7" s="4" t="s">
        <v>210</v>
      </c>
      <c r="C7" t="s">
        <v>211</v>
      </c>
      <c r="D7" s="37">
        <v>1324816</v>
      </c>
      <c r="E7" s="37">
        <v>1265474</v>
      </c>
      <c r="F7" s="37">
        <v>825378</v>
      </c>
      <c r="G7" s="37">
        <v>83689</v>
      </c>
      <c r="H7" s="37">
        <v>44139</v>
      </c>
      <c r="I7" s="37">
        <v>38558</v>
      </c>
      <c r="J7" s="38">
        <f t="shared" si="0"/>
        <v>15.121150927839979</v>
      </c>
      <c r="K7" s="38">
        <f t="shared" si="1"/>
        <v>1.5332053919537472</v>
      </c>
      <c r="L7" s="38">
        <f t="shared" si="2"/>
        <v>34.359043518854712</v>
      </c>
      <c r="M7" s="38">
        <f t="shared" si="3"/>
        <v>1.4736682862583872</v>
      </c>
      <c r="N7" s="39">
        <f t="shared" si="4"/>
        <v>5.3477315848011457E-2</v>
      </c>
      <c r="O7" s="39">
        <f t="shared" si="5"/>
        <v>4.289025931265239E-2</v>
      </c>
      <c r="P7" s="37">
        <v>898992</v>
      </c>
    </row>
    <row r="8" spans="2:17" ht="14" x14ac:dyDescent="0.3">
      <c r="B8" s="4" t="s">
        <v>212</v>
      </c>
      <c r="C8" t="s">
        <v>213</v>
      </c>
      <c r="D8" s="37">
        <v>4223444</v>
      </c>
      <c r="E8" s="37">
        <v>4507791</v>
      </c>
      <c r="F8" s="37">
        <v>2139245</v>
      </c>
      <c r="G8" s="37">
        <v>574653</v>
      </c>
      <c r="H8" s="37">
        <v>380059</v>
      </c>
      <c r="I8" s="37">
        <v>291535</v>
      </c>
      <c r="J8" s="38">
        <f t="shared" si="0"/>
        <v>7.8443704287630966</v>
      </c>
      <c r="K8" s="38">
        <f t="shared" si="1"/>
        <v>2.1071878162622792</v>
      </c>
      <c r="L8" s="38">
        <f t="shared" si="2"/>
        <v>14.486919237827362</v>
      </c>
      <c r="M8" s="38">
        <f t="shared" si="3"/>
        <v>2.3090991796807514</v>
      </c>
      <c r="N8" s="39">
        <f t="shared" si="4"/>
        <v>0.17766034278448706</v>
      </c>
      <c r="O8" s="39">
        <f t="shared" si="5"/>
        <v>0.15939201025235042</v>
      </c>
      <c r="P8" s="37">
        <v>1829044</v>
      </c>
    </row>
    <row r="9" spans="2:17" ht="14" x14ac:dyDescent="0.3">
      <c r="B9" s="4" t="s">
        <v>214</v>
      </c>
      <c r="C9" t="s">
        <v>215</v>
      </c>
      <c r="D9" s="37">
        <v>5084111</v>
      </c>
      <c r="E9" s="37">
        <v>4934785</v>
      </c>
      <c r="F9" s="37">
        <v>2123045</v>
      </c>
      <c r="G9" s="37">
        <v>306549</v>
      </c>
      <c r="H9" s="37">
        <v>229089</v>
      </c>
      <c r="I9" s="37">
        <v>259874</v>
      </c>
      <c r="J9" s="38">
        <f t="shared" si="0"/>
        <v>16.097866898929698</v>
      </c>
      <c r="K9" s="38">
        <f t="shared" si="1"/>
        <v>2.3243902036932802</v>
      </c>
      <c r="L9" s="38">
        <f t="shared" si="2"/>
        <v>19.563753973079262</v>
      </c>
      <c r="M9" s="38">
        <f t="shared" si="3"/>
        <v>3.0550265326025627</v>
      </c>
      <c r="N9" s="39">
        <f t="shared" si="4"/>
        <v>0.10790586162799187</v>
      </c>
      <c r="O9" s="39">
        <f t="shared" si="5"/>
        <v>0.1561574806556266</v>
      </c>
      <c r="P9" s="37">
        <v>1664179</v>
      </c>
    </row>
    <row r="10" spans="2:17" ht="14" x14ac:dyDescent="0.3">
      <c r="B10" s="4" t="s">
        <v>216</v>
      </c>
      <c r="C10" t="s">
        <v>217</v>
      </c>
      <c r="D10" s="37">
        <v>6320483</v>
      </c>
      <c r="E10" s="37">
        <v>6013813</v>
      </c>
      <c r="F10" s="37">
        <v>2468892</v>
      </c>
      <c r="G10" s="37">
        <v>588273</v>
      </c>
      <c r="H10" s="37">
        <v>472106</v>
      </c>
      <c r="I10" s="37">
        <v>363150</v>
      </c>
      <c r="J10" s="38">
        <f t="shared" si="0"/>
        <v>10.222826816801042</v>
      </c>
      <c r="K10" s="38">
        <f t="shared" si="1"/>
        <v>2.4358347793261106</v>
      </c>
      <c r="L10" s="38">
        <f t="shared" si="2"/>
        <v>17.404606911744459</v>
      </c>
      <c r="M10" s="38">
        <f t="shared" si="3"/>
        <v>2.0835996972418149</v>
      </c>
      <c r="N10" s="39">
        <f t="shared" si="4"/>
        <v>0.191221811241642</v>
      </c>
      <c r="O10" s="39">
        <f t="shared" si="5"/>
        <v>0.119715412580552</v>
      </c>
      <c r="P10" s="37">
        <v>3033444</v>
      </c>
    </row>
    <row r="14" spans="2:17" ht="14" x14ac:dyDescent="0.3">
      <c r="B14" s="3" t="s">
        <v>218</v>
      </c>
    </row>
    <row r="15" spans="2:17" ht="14" x14ac:dyDescent="0.3">
      <c r="B15" s="4" t="s">
        <v>219</v>
      </c>
      <c r="D15" s="38">
        <f t="shared" ref="D15:I15" si="6">PERCENTILE(J6:J10,0.25)</f>
        <v>10.222826816801042</v>
      </c>
      <c r="E15" s="38">
        <f t="shared" si="6"/>
        <v>2.1071878162622792</v>
      </c>
      <c r="F15" s="38">
        <f t="shared" si="6"/>
        <v>14.486919237827362</v>
      </c>
      <c r="G15" s="38">
        <f t="shared" si="6"/>
        <v>1.4736682862583872</v>
      </c>
      <c r="H15" s="39">
        <f t="shared" si="6"/>
        <v>0.10790586162799187</v>
      </c>
      <c r="I15" s="39">
        <f t="shared" si="6"/>
        <v>0.119715412580552</v>
      </c>
    </row>
    <row r="16" spans="2:17" ht="14" x14ac:dyDescent="0.3">
      <c r="B16" s="4" t="s">
        <v>220</v>
      </c>
      <c r="D16" s="38">
        <f t="shared" ref="D16:I16" si="7">MEDIAN(J6:J10)</f>
        <v>12.644081097406721</v>
      </c>
      <c r="E16" s="38">
        <f t="shared" si="7"/>
        <v>2.3243902036932802</v>
      </c>
      <c r="F16" s="38">
        <f t="shared" si="7"/>
        <v>17.404606911744459</v>
      </c>
      <c r="G16" s="38">
        <f t="shared" si="7"/>
        <v>2.0835996972418149</v>
      </c>
      <c r="H16" s="39">
        <f t="shared" si="7"/>
        <v>0.17766034278448706</v>
      </c>
      <c r="I16" s="39">
        <f t="shared" si="7"/>
        <v>0.12174054942544422</v>
      </c>
    </row>
    <row r="17" spans="2:9" ht="14" x14ac:dyDescent="0.3">
      <c r="B17" s="4" t="s">
        <v>221</v>
      </c>
      <c r="D17" s="38">
        <f t="shared" ref="D17:I17" si="8">PERCENTILE(J6:J10,0.75)</f>
        <v>15.121150927839979</v>
      </c>
      <c r="E17" s="38">
        <f t="shared" si="8"/>
        <v>2.4358347793261106</v>
      </c>
      <c r="F17" s="38">
        <f t="shared" si="8"/>
        <v>19.563753973079262</v>
      </c>
      <c r="G17" s="38">
        <f t="shared" si="8"/>
        <v>2.3090991796807514</v>
      </c>
      <c r="H17" s="39">
        <f t="shared" si="8"/>
        <v>0.191221811241642</v>
      </c>
      <c r="I17" s="39">
        <f t="shared" si="8"/>
        <v>0.1561574806556266</v>
      </c>
    </row>
    <row r="19" spans="2:9" ht="14" x14ac:dyDescent="0.3">
      <c r="B19" s="22" t="s">
        <v>222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223</v>
      </c>
    </row>
    <row r="21" spans="2:9" ht="14" x14ac:dyDescent="0.3">
      <c r="B21" s="4" t="s">
        <v>224</v>
      </c>
      <c r="C21" s="5">
        <v>128419</v>
      </c>
    </row>
    <row r="22" spans="2:9" ht="14" x14ac:dyDescent="0.3">
      <c r="B22" s="4" t="s">
        <v>225</v>
      </c>
      <c r="C22" s="5">
        <v>67040</v>
      </c>
    </row>
    <row r="23" spans="2:9" ht="14" x14ac:dyDescent="0.3">
      <c r="B23" s="4" t="s">
        <v>226</v>
      </c>
      <c r="C23" s="15">
        <v>523586484</v>
      </c>
    </row>
    <row r="24" spans="2:9" ht="14" x14ac:dyDescent="0.3">
      <c r="B24" s="4" t="s">
        <v>67</v>
      </c>
      <c r="C24" s="5">
        <v>-218769</v>
      </c>
    </row>
    <row r="26" spans="2:9" ht="14" x14ac:dyDescent="0.3">
      <c r="B26" s="3" t="s">
        <v>227</v>
      </c>
    </row>
    <row r="27" spans="2:9" ht="14" x14ac:dyDescent="0.3">
      <c r="B27" s="4" t="s">
        <v>228</v>
      </c>
      <c r="C27" s="24">
        <f>ROUND((C21*D16-C24)*1000000/C23,0)</f>
        <v>3519</v>
      </c>
    </row>
    <row r="28" spans="2:9" ht="14" x14ac:dyDescent="0.3">
      <c r="B28" s="4" t="s">
        <v>229</v>
      </c>
      <c r="C28" s="24">
        <f>ROUND(C22*F16*1000000/C23,0)</f>
        <v>2228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230</v>
      </c>
    </row>
    <row r="3" spans="2:9" ht="14" x14ac:dyDescent="0.3">
      <c r="B3" s="4" t="s">
        <v>231</v>
      </c>
      <c r="C3" s="16">
        <f>'DCF Model'!C26</f>
        <v>8.1677E-2</v>
      </c>
      <c r="E3" s="4" t="s">
        <v>232</v>
      </c>
      <c r="F3" s="16">
        <f>'DCF Model'!C13</f>
        <v>0.01</v>
      </c>
      <c r="H3" s="4" t="s">
        <v>233</v>
      </c>
      <c r="I3" s="14">
        <f>'DCF Model'!C14</f>
        <v>12.6</v>
      </c>
    </row>
    <row r="5" spans="2:9" ht="14" x14ac:dyDescent="0.3">
      <c r="B5" s="3" t="s">
        <v>234</v>
      </c>
    </row>
    <row r="6" spans="2:9" ht="14" x14ac:dyDescent="0.3">
      <c r="B6" s="40" t="s">
        <v>235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6.6677E-2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2723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2802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2888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2982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3085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3197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3321</v>
      </c>
    </row>
    <row r="8" spans="2:9" ht="13.5" x14ac:dyDescent="0.25">
      <c r="B8" s="39">
        <f>$C$3-0.01</f>
        <v>7.1677000000000005E-2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2548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2615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2687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2765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2850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2943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3043</v>
      </c>
    </row>
    <row r="9" spans="2:9" ht="13.5" x14ac:dyDescent="0.25">
      <c r="B9" s="39">
        <f>$C$3-0.005</f>
        <v>7.6676999999999995E-2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2397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2454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2515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2581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2653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2729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2813</v>
      </c>
    </row>
    <row r="10" spans="2:9" ht="13.5" x14ac:dyDescent="0.25">
      <c r="B10" s="39">
        <f>$C$3</f>
        <v>8.1677E-2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2265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2314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2367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2423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2484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2548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2619</v>
      </c>
    </row>
    <row r="11" spans="2:9" ht="13.5" x14ac:dyDescent="0.25">
      <c r="B11" s="39">
        <f>$C$3+0.005</f>
        <v>8.6677000000000004E-2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2149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2191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2237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2286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2337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2393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2452</v>
      </c>
    </row>
    <row r="12" spans="2:9" ht="13.5" x14ac:dyDescent="0.25">
      <c r="B12" s="39">
        <f>$C$3+0.01</f>
        <v>9.1676999999999995E-2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2046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2083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2123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2165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2210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2258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2309</v>
      </c>
    </row>
    <row r="13" spans="2:9" ht="13.5" x14ac:dyDescent="0.25">
      <c r="B13" s="39">
        <f>$C$3+0.015</f>
        <v>9.6676999999999999E-2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1954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1987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2022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2059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2098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2139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2183</v>
      </c>
    </row>
    <row r="16" spans="2:9" ht="14" x14ac:dyDescent="0.3">
      <c r="B16" s="3" t="s">
        <v>236</v>
      </c>
    </row>
    <row r="17" spans="2:9" ht="14" x14ac:dyDescent="0.3">
      <c r="B17" s="40" t="s">
        <v>237</v>
      </c>
      <c r="C17" s="42">
        <f>$I$3-3</f>
        <v>9.6</v>
      </c>
      <c r="D17" s="42">
        <f>$I$3-2</f>
        <v>10.6</v>
      </c>
      <c r="E17" s="42">
        <f>$I$3-1</f>
        <v>11.6</v>
      </c>
      <c r="F17" s="42">
        <f>$I$3</f>
        <v>12.6</v>
      </c>
      <c r="G17" s="42">
        <f>$I$3+1</f>
        <v>13.6</v>
      </c>
      <c r="H17" s="42">
        <f>$I$3+2</f>
        <v>14.6</v>
      </c>
      <c r="I17" s="42">
        <f>$I$3+3</f>
        <v>15.6</v>
      </c>
    </row>
    <row r="18" spans="2:9" ht="13.5" x14ac:dyDescent="0.25">
      <c r="B18" s="39">
        <f>$C$3-0.015</f>
        <v>6.6677E-2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2888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3097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3307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3516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3725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3934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4143</v>
      </c>
    </row>
    <row r="19" spans="2:9" ht="13.5" x14ac:dyDescent="0.25">
      <c r="B19" s="39">
        <f>$C$3-0.01</f>
        <v>7.1677000000000005E-2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2840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3045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3250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3455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3660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3864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4069</v>
      </c>
    </row>
    <row r="20" spans="2:9" ht="13.5" x14ac:dyDescent="0.25">
      <c r="B20" s="39">
        <f>$C$3-0.005</f>
        <v>7.6676999999999995E-2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2793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2994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3195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3395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3596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3797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3997</v>
      </c>
    </row>
    <row r="21" spans="2:9" ht="13.5" x14ac:dyDescent="0.25">
      <c r="B21" s="39">
        <f>$C$3</f>
        <v>8.1677E-2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2748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2944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3141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3337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3534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3730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3927</v>
      </c>
    </row>
    <row r="22" spans="2:9" ht="13.5" x14ac:dyDescent="0.25">
      <c r="B22" s="39">
        <f>$C$3+0.005</f>
        <v>8.6677000000000004E-2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2703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2896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3088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3281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3473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3666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3858</v>
      </c>
    </row>
    <row r="23" spans="2:9" ht="13.5" x14ac:dyDescent="0.25">
      <c r="B23" s="39">
        <f>$C$3+0.01</f>
        <v>9.1676999999999995E-2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2660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2849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3037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3226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3414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3603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3791</v>
      </c>
    </row>
    <row r="24" spans="2:9" ht="13.5" x14ac:dyDescent="0.25">
      <c r="B24" s="39">
        <f>$C$3+0.015</f>
        <v>9.6676999999999999E-2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2618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2802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2987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3172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3356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3541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3726</v>
      </c>
    </row>
    <row r="26" spans="2:9" ht="14" x14ac:dyDescent="0.3">
      <c r="B26" s="45" t="s">
        <v>238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239</v>
      </c>
    </row>
    <row r="4" spans="2:7" ht="14" x14ac:dyDescent="0.3">
      <c r="B4" s="10" t="s">
        <v>240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245</v>
      </c>
    </row>
    <row r="5" spans="2:7" x14ac:dyDescent="0.2">
      <c r="B5" t="s">
        <v>246</v>
      </c>
      <c r="C5" t="s">
        <v>247</v>
      </c>
      <c r="D5" t="s">
        <v>248</v>
      </c>
      <c r="E5" t="s">
        <v>249</v>
      </c>
      <c r="F5" t="s">
        <v>247</v>
      </c>
      <c r="G5" t="s">
        <v>250</v>
      </c>
    </row>
    <row r="6" spans="2:7" ht="30" customHeight="1" x14ac:dyDescent="0.3">
      <c r="B6" t="s">
        <v>246</v>
      </c>
      <c r="C6" s="4" t="s">
        <v>251</v>
      </c>
      <c r="D6" t="s">
        <v>252</v>
      </c>
      <c r="E6" t="s">
        <v>253</v>
      </c>
      <c r="F6" t="s">
        <v>254</v>
      </c>
      <c r="G6" t="s">
        <v>255</v>
      </c>
    </row>
    <row r="12" spans="2:7" ht="14" x14ac:dyDescent="0.3">
      <c r="B12" s="8" t="s">
        <v>256</v>
      </c>
    </row>
    <row r="13" spans="2:7" ht="14" x14ac:dyDescent="0.3">
      <c r="B13" s="10" t="s">
        <v>257</v>
      </c>
      <c r="C13" s="10" t="s">
        <v>258</v>
      </c>
    </row>
    <row r="14" spans="2:7" ht="14" x14ac:dyDescent="0.3">
      <c r="B14" s="4" t="s">
        <v>259</v>
      </c>
      <c r="C14" t="s">
        <v>260</v>
      </c>
    </row>
    <row r="15" spans="2:7" ht="14" x14ac:dyDescent="0.3">
      <c r="B15" s="4" t="s">
        <v>261</v>
      </c>
      <c r="C15" t="s">
        <v>262</v>
      </c>
    </row>
    <row r="16" spans="2:7" ht="14" x14ac:dyDescent="0.3">
      <c r="B16" s="4" t="s">
        <v>263</v>
      </c>
      <c r="C16" t="s">
        <v>264</v>
      </c>
    </row>
    <row r="17" spans="2:3" ht="14" x14ac:dyDescent="0.3">
      <c r="B17" s="4" t="s">
        <v>265</v>
      </c>
      <c r="C17" t="s">
        <v>262</v>
      </c>
    </row>
    <row r="18" spans="2:3" ht="14" x14ac:dyDescent="0.3">
      <c r="B18" s="4" t="s">
        <v>266</v>
      </c>
      <c r="C18" t="s">
        <v>267</v>
      </c>
    </row>
    <row r="19" spans="2:3" ht="14" x14ac:dyDescent="0.3">
      <c r="B19" s="4" t="s">
        <v>268</v>
      </c>
      <c r="C19" t="s">
        <v>269</v>
      </c>
    </row>
    <row r="20" spans="2:3" ht="14" x14ac:dyDescent="0.3">
      <c r="B20" s="4" t="s">
        <v>270</v>
      </c>
      <c r="C20" t="s">
        <v>271</v>
      </c>
    </row>
    <row r="21" spans="2:3" ht="14" x14ac:dyDescent="0.3">
      <c r="B21" s="4" t="s">
        <v>272</v>
      </c>
      <c r="C21" t="s">
        <v>273</v>
      </c>
    </row>
    <row r="22" spans="2:3" ht="14" x14ac:dyDescent="0.3">
      <c r="B22" s="4" t="s">
        <v>274</v>
      </c>
      <c r="C22" t="s">
        <v>275</v>
      </c>
    </row>
    <row r="23" spans="2:3" ht="14" x14ac:dyDescent="0.3">
      <c r="B23" s="4" t="s">
        <v>276</v>
      </c>
      <c r="C23" t="s">
        <v>4</v>
      </c>
    </row>
    <row r="24" spans="2:3" ht="14" x14ac:dyDescent="0.3">
      <c r="B24" s="4" t="s">
        <v>277</v>
      </c>
      <c r="C24" t="s">
        <v>246</v>
      </c>
    </row>
    <row r="25" spans="2:3" ht="14" x14ac:dyDescent="0.3">
      <c r="B25" s="4" t="s">
        <v>278</v>
      </c>
      <c r="C25" t="s">
        <v>279</v>
      </c>
    </row>
    <row r="26" spans="2:3" ht="14" x14ac:dyDescent="0.3">
      <c r="B26" s="4" t="s">
        <v>280</v>
      </c>
      <c r="C26" t="s">
        <v>267</v>
      </c>
    </row>
    <row r="27" spans="2:3" ht="14" x14ac:dyDescent="0.3">
      <c r="B27" s="4" t="s">
        <v>281</v>
      </c>
      <c r="C27" t="s">
        <v>267</v>
      </c>
    </row>
    <row r="28" spans="2:3" ht="14" x14ac:dyDescent="0.3">
      <c r="B28" s="4" t="s">
        <v>282</v>
      </c>
      <c r="C28" t="s">
        <v>283</v>
      </c>
    </row>
    <row r="29" spans="2:3" ht="14" x14ac:dyDescent="0.3">
      <c r="B29" s="4" t="s">
        <v>284</v>
      </c>
      <c r="C29" t="s">
        <v>285</v>
      </c>
    </row>
    <row r="30" spans="2:3" ht="14" x14ac:dyDescent="0.3">
      <c r="B30" s="4" t="s">
        <v>286</v>
      </c>
      <c r="C30" t="s">
        <v>287</v>
      </c>
    </row>
    <row r="31" spans="2:3" ht="14" x14ac:dyDescent="0.3">
      <c r="B31" s="4" t="s">
        <v>288</v>
      </c>
      <c r="C31" t="s">
        <v>283</v>
      </c>
    </row>
    <row r="32" spans="2:3" ht="14" x14ac:dyDescent="0.3">
      <c r="B32" s="4" t="s">
        <v>289</v>
      </c>
      <c r="C32" t="s">
        <v>267</v>
      </c>
    </row>
    <row r="33" spans="2:3" ht="14" x14ac:dyDescent="0.3">
      <c r="B33" s="4" t="s">
        <v>290</v>
      </c>
      <c r="C33" t="s">
        <v>279</v>
      </c>
    </row>
    <row r="34" spans="2:3" ht="14" x14ac:dyDescent="0.3">
      <c r="B34" s="4" t="s">
        <v>291</v>
      </c>
      <c r="C34" t="s">
        <v>292</v>
      </c>
    </row>
    <row r="35" spans="2:3" ht="14" x14ac:dyDescent="0.3">
      <c r="B35" s="4" t="s">
        <v>293</v>
      </c>
      <c r="C35" t="s">
        <v>294</v>
      </c>
    </row>
    <row r="36" spans="2:3" ht="14" x14ac:dyDescent="0.3">
      <c r="B36" s="4" t="s">
        <v>295</v>
      </c>
      <c r="C36" t="s">
        <v>296</v>
      </c>
    </row>
    <row r="37" spans="2:3" ht="14" x14ac:dyDescent="0.3">
      <c r="B37" s="4" t="s">
        <v>297</v>
      </c>
      <c r="C37" t="s">
        <v>298</v>
      </c>
    </row>
    <row r="38" spans="2:3" ht="14" x14ac:dyDescent="0.3">
      <c r="B38" s="4" t="s">
        <v>299</v>
      </c>
      <c r="C38" t="s">
        <v>300</v>
      </c>
    </row>
    <row r="39" spans="2:3" ht="14" x14ac:dyDescent="0.3">
      <c r="B39" s="4" t="s">
        <v>301</v>
      </c>
      <c r="C39" t="s">
        <v>302</v>
      </c>
    </row>
    <row r="40" spans="2:3" ht="14" x14ac:dyDescent="0.3">
      <c r="B40" s="4" t="s">
        <v>303</v>
      </c>
      <c r="C40" t="s">
        <v>271</v>
      </c>
    </row>
    <row r="41" spans="2:3" ht="14" x14ac:dyDescent="0.3">
      <c r="B41" s="4" t="s">
        <v>304</v>
      </c>
      <c r="C41" t="s">
        <v>305</v>
      </c>
    </row>
    <row r="42" spans="2:3" ht="14" x14ac:dyDescent="0.3">
      <c r="B42" s="4" t="s">
        <v>306</v>
      </c>
      <c r="C42" t="s">
        <v>307</v>
      </c>
    </row>
    <row r="43" spans="2:3" ht="14" x14ac:dyDescent="0.3">
      <c r="B43" s="4" t="s">
        <v>308</v>
      </c>
      <c r="C43" t="s">
        <v>309</v>
      </c>
    </row>
    <row r="44" spans="2:3" ht="14" x14ac:dyDescent="0.3">
      <c r="B44" s="4" t="s">
        <v>310</v>
      </c>
      <c r="C44" t="s">
        <v>311</v>
      </c>
    </row>
    <row r="45" spans="2:3" ht="14" x14ac:dyDescent="0.3">
      <c r="B45" s="4" t="s">
        <v>312</v>
      </c>
      <c r="C45" t="s">
        <v>313</v>
      </c>
    </row>
    <row r="46" spans="2:3" ht="14" x14ac:dyDescent="0.3">
      <c r="B46" s="4" t="s">
        <v>314</v>
      </c>
      <c r="C46" t="s">
        <v>315</v>
      </c>
    </row>
    <row r="47" spans="2:3" ht="14" x14ac:dyDescent="0.3">
      <c r="B47" s="4" t="s">
        <v>316</v>
      </c>
      <c r="C47" t="s">
        <v>317</v>
      </c>
    </row>
    <row r="48" spans="2:3" ht="14" x14ac:dyDescent="0.3">
      <c r="B48" s="4" t="s">
        <v>318</v>
      </c>
      <c r="C48" t="s">
        <v>319</v>
      </c>
    </row>
    <row r="49" spans="2:3" ht="14" x14ac:dyDescent="0.3">
      <c r="B49" s="4" t="s">
        <v>320</v>
      </c>
      <c r="C49" t="s">
        <v>321</v>
      </c>
    </row>
    <row r="50" spans="2:3" ht="14" x14ac:dyDescent="0.3">
      <c r="B50" s="4" t="s">
        <v>322</v>
      </c>
      <c r="C50" t="s">
        <v>323</v>
      </c>
    </row>
    <row r="51" spans="2:3" ht="14" x14ac:dyDescent="0.3">
      <c r="B51" s="4" t="s">
        <v>324</v>
      </c>
      <c r="C51" t="s">
        <v>325</v>
      </c>
    </row>
    <row r="52" spans="2:3" ht="14" x14ac:dyDescent="0.3">
      <c r="B52" s="4" t="s">
        <v>326</v>
      </c>
      <c r="C52" t="s">
        <v>327</v>
      </c>
    </row>
    <row r="53" spans="2:3" ht="14" x14ac:dyDescent="0.3">
      <c r="B53" s="4" t="s">
        <v>328</v>
      </c>
      <c r="C53" t="s">
        <v>329</v>
      </c>
    </row>
    <row r="54" spans="2:3" ht="14" x14ac:dyDescent="0.3">
      <c r="B54" s="4" t="s">
        <v>330</v>
      </c>
      <c r="C54" t="s">
        <v>331</v>
      </c>
    </row>
    <row r="55" spans="2:3" ht="14" x14ac:dyDescent="0.3">
      <c r="B55" s="4" t="s">
        <v>332</v>
      </c>
      <c r="C55" t="s">
        <v>333</v>
      </c>
    </row>
    <row r="56" spans="2:3" ht="14" x14ac:dyDescent="0.3">
      <c r="B56" s="4" t="s">
        <v>334</v>
      </c>
      <c r="C56" t="s">
        <v>335</v>
      </c>
    </row>
    <row r="57" spans="2:3" ht="14" x14ac:dyDescent="0.3">
      <c r="B57" s="4" t="s">
        <v>336</v>
      </c>
      <c r="C57" t="s">
        <v>337</v>
      </c>
    </row>
    <row r="58" spans="2:3" ht="14" x14ac:dyDescent="0.3">
      <c r="B58" s="4" t="s">
        <v>338</v>
      </c>
      <c r="C58" t="s">
        <v>339</v>
      </c>
    </row>
    <row r="59" spans="2:3" ht="14" x14ac:dyDescent="0.3">
      <c r="B59" s="4" t="s">
        <v>340</v>
      </c>
      <c r="C59" t="s">
        <v>341</v>
      </c>
    </row>
    <row r="60" spans="2:3" ht="14" x14ac:dyDescent="0.3">
      <c r="B60" s="4" t="s">
        <v>342</v>
      </c>
      <c r="C60" t="s">
        <v>207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2026-09-06T09:58:59Z</dcterms:created>
  <dcterms:modified xsi:type="dcterms:W3CDTF">2026-09-06T09:59:02Z</dcterms:modified>
</cp:coreProperties>
</file>