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A93A69A0-9785-4A2E-BA75-C74531A0CD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7" i="5"/>
  <c r="G17" i="5"/>
  <c r="I16" i="5"/>
  <c r="G16" i="5"/>
  <c r="I15" i="5"/>
  <c r="G15" i="5"/>
  <c r="N8" i="5"/>
  <c r="L8" i="5"/>
  <c r="K8" i="5"/>
  <c r="J8" i="5"/>
  <c r="N7" i="5"/>
  <c r="L7" i="5"/>
  <c r="K7" i="5"/>
  <c r="J7" i="5"/>
  <c r="N6" i="5"/>
  <c r="L6" i="5"/>
  <c r="K6" i="5"/>
  <c r="J6" i="5"/>
  <c r="N5" i="5"/>
  <c r="L5" i="5"/>
  <c r="K5" i="5"/>
  <c r="J5" i="5"/>
  <c r="C16" i="4"/>
  <c r="C14" i="4"/>
  <c r="C7" i="4"/>
  <c r="C6" i="4"/>
  <c r="C5" i="4"/>
  <c r="E7" i="4"/>
  <c r="C25" i="3"/>
  <c r="C24" i="3"/>
  <c r="C23" i="3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C18" i="4" l="1"/>
  <c r="E15" i="5"/>
  <c r="H15" i="5"/>
  <c r="F15" i="5"/>
  <c r="H16" i="5"/>
  <c r="E17" i="5"/>
  <c r="C26" i="3"/>
  <c r="D46" i="3" s="1"/>
  <c r="D17" i="5"/>
  <c r="G30" i="3"/>
  <c r="E32" i="3"/>
  <c r="D6" i="4"/>
  <c r="F7" i="4"/>
  <c r="I6" i="6"/>
  <c r="C31" i="3"/>
  <c r="F32" i="3"/>
  <c r="E6" i="4"/>
  <c r="G7" i="4"/>
  <c r="D16" i="5"/>
  <c r="C27" i="5" s="1"/>
  <c r="C18" i="1" s="1"/>
  <c r="D18" i="1" s="1"/>
  <c r="F17" i="5"/>
  <c r="C17" i="6"/>
  <c r="D31" i="3"/>
  <c r="G32" i="3"/>
  <c r="D5" i="4"/>
  <c r="F6" i="4"/>
  <c r="H7" i="4"/>
  <c r="E16" i="5"/>
  <c r="C6" i="6"/>
  <c r="D17" i="6"/>
  <c r="E31" i="3"/>
  <c r="E5" i="4"/>
  <c r="G6" i="4"/>
  <c r="D15" i="5"/>
  <c r="F16" i="5"/>
  <c r="C28" i="5" s="1"/>
  <c r="C19" i="1" s="1"/>
  <c r="D19" i="1" s="1"/>
  <c r="H17" i="5"/>
  <c r="D6" i="6"/>
  <c r="E17" i="6"/>
  <c r="F5" i="4"/>
  <c r="H6" i="4"/>
  <c r="E6" i="6"/>
  <c r="F17" i="6"/>
  <c r="C30" i="3"/>
  <c r="C33" i="3" s="1"/>
  <c r="D30" i="3"/>
  <c r="G5" i="4"/>
  <c r="F6" i="6"/>
  <c r="G17" i="6"/>
  <c r="F31" i="3"/>
  <c r="G31" i="3"/>
  <c r="E30" i="3"/>
  <c r="C32" i="3"/>
  <c r="H5" i="4"/>
  <c r="D7" i="4"/>
  <c r="G6" i="6"/>
  <c r="H17" i="6"/>
  <c r="F30" i="3"/>
  <c r="D32" i="3"/>
  <c r="C3" i="6" l="1"/>
  <c r="B13" i="6" s="1"/>
  <c r="E46" i="3"/>
  <c r="F46" i="3"/>
  <c r="G46" i="3"/>
  <c r="C46" i="3"/>
  <c r="C37" i="3"/>
  <c r="D33" i="3"/>
  <c r="D9" i="4"/>
  <c r="D12" i="4" s="1"/>
  <c r="C34" i="3"/>
  <c r="D10" i="4" s="1"/>
  <c r="B24" i="6" l="1"/>
  <c r="B7" i="6"/>
  <c r="B18" i="6"/>
  <c r="B8" i="6"/>
  <c r="B19" i="6"/>
  <c r="B9" i="6"/>
  <c r="B20" i="6"/>
  <c r="B10" i="6"/>
  <c r="B21" i="6"/>
  <c r="B11" i="6"/>
  <c r="B22" i="6"/>
  <c r="B12" i="6"/>
  <c r="B23" i="6"/>
  <c r="E33" i="3"/>
  <c r="E9" i="4"/>
  <c r="E12" i="4" s="1"/>
  <c r="D34" i="3"/>
  <c r="E10" i="4" s="1"/>
  <c r="D37" i="3"/>
  <c r="D15" i="4"/>
  <c r="D16" i="4" s="1"/>
  <c r="D13" i="4"/>
  <c r="D14" i="4" s="1"/>
  <c r="C35" i="3"/>
  <c r="D18" i="4" l="1"/>
  <c r="D19" i="4" s="1"/>
  <c r="C44" i="3" s="1"/>
  <c r="E15" i="4"/>
  <c r="E16" i="4" s="1"/>
  <c r="E13" i="4"/>
  <c r="E14" i="4" s="1"/>
  <c r="F33" i="3"/>
  <c r="F9" i="4"/>
  <c r="F12" i="4" s="1"/>
  <c r="E34" i="3"/>
  <c r="F10" i="4" s="1"/>
  <c r="E37" i="3"/>
  <c r="D35" i="3"/>
  <c r="C38" i="3"/>
  <c r="C36" i="3"/>
  <c r="C39" i="3"/>
  <c r="E18" i="4" l="1"/>
  <c r="E19" i="4" s="1"/>
  <c r="D44" i="3" s="1"/>
  <c r="F15" i="4"/>
  <c r="F16" i="4" s="1"/>
  <c r="F13" i="4"/>
  <c r="F14" i="4" s="1"/>
  <c r="G33" i="3"/>
  <c r="G9" i="4"/>
  <c r="G12" i="4" s="1"/>
  <c r="F34" i="3"/>
  <c r="G10" i="4" s="1"/>
  <c r="F37" i="3"/>
  <c r="C40" i="3"/>
  <c r="C41" i="3" s="1"/>
  <c r="C45" i="3" s="1"/>
  <c r="E35" i="3"/>
  <c r="D38" i="3"/>
  <c r="D36" i="3"/>
  <c r="D39" i="3"/>
  <c r="F35" i="3" l="1"/>
  <c r="F38" i="3" s="1"/>
  <c r="F18" i="4"/>
  <c r="F19" i="4" s="1"/>
  <c r="E44" i="3" s="1"/>
  <c r="C47" i="3"/>
  <c r="D40" i="3"/>
  <c r="D41" i="3" s="1"/>
  <c r="D45" i="3" s="1"/>
  <c r="D47" i="3" s="1"/>
  <c r="H9" i="4"/>
  <c r="H12" i="4" s="1"/>
  <c r="G34" i="3"/>
  <c r="H10" i="4" s="1"/>
  <c r="G37" i="3"/>
  <c r="E38" i="3"/>
  <c r="E36" i="3"/>
  <c r="E39" i="3"/>
  <c r="G13" i="4"/>
  <c r="G14" i="4" s="1"/>
  <c r="G15" i="4"/>
  <c r="G16" i="4" s="1"/>
  <c r="F39" i="3" l="1"/>
  <c r="F40" i="3" s="1"/>
  <c r="F41" i="3" s="1"/>
  <c r="F36" i="3"/>
  <c r="G18" i="4"/>
  <c r="G19" i="4" s="1"/>
  <c r="F44" i="3" s="1"/>
  <c r="G35" i="3"/>
  <c r="G38" i="3" s="1"/>
  <c r="E40" i="3"/>
  <c r="E41" i="3" s="1"/>
  <c r="E45" i="3" s="1"/>
  <c r="H13" i="4"/>
  <c r="H14" i="4" s="1"/>
  <c r="H15" i="4"/>
  <c r="H16" i="4" s="1"/>
  <c r="F45" i="3" l="1"/>
  <c r="F47" i="3" s="1"/>
  <c r="G39" i="3"/>
  <c r="C59" i="3" s="1"/>
  <c r="C60" i="3" s="1"/>
  <c r="C61" i="3" s="1"/>
  <c r="G36" i="3"/>
  <c r="H18" i="4"/>
  <c r="H19" i="4" s="1"/>
  <c r="G44" i="3" s="1"/>
  <c r="E47" i="3"/>
  <c r="G40" i="3" l="1"/>
  <c r="G41" i="3" s="1"/>
  <c r="G45" i="3" s="1"/>
  <c r="G47" i="3" s="1"/>
  <c r="C50" i="3" s="1"/>
  <c r="C8" i="6" l="1"/>
  <c r="D9" i="6"/>
  <c r="E13" i="6"/>
  <c r="F7" i="6"/>
  <c r="E18" i="6"/>
  <c r="H10" i="6"/>
  <c r="C20" i="6"/>
  <c r="G9" i="6"/>
  <c r="E20" i="6"/>
  <c r="D20" i="6"/>
  <c r="D23" i="6"/>
  <c r="G13" i="6"/>
  <c r="D22" i="6"/>
  <c r="F9" i="6"/>
  <c r="I20" i="6"/>
  <c r="G22" i="6"/>
  <c r="C24" i="6"/>
  <c r="C9" i="6"/>
  <c r="G19" i="6"/>
  <c r="I13" i="6"/>
  <c r="E19" i="6"/>
  <c r="F8" i="6"/>
  <c r="C21" i="6"/>
  <c r="I8" i="6"/>
  <c r="H24" i="6"/>
  <c r="H11" i="6"/>
  <c r="F20" i="6"/>
  <c r="G10" i="6"/>
  <c r="I12" i="6"/>
  <c r="F11" i="6"/>
  <c r="G7" i="6"/>
  <c r="E7" i="6"/>
  <c r="F22" i="6"/>
  <c r="C22" i="6"/>
  <c r="E24" i="6"/>
  <c r="G12" i="6"/>
  <c r="E8" i="6"/>
  <c r="I22" i="6"/>
  <c r="E11" i="6"/>
  <c r="G18" i="6"/>
  <c r="I21" i="6"/>
  <c r="H19" i="6"/>
  <c r="E22" i="6"/>
  <c r="I9" i="6"/>
  <c r="F23" i="6"/>
  <c r="F24" i="6"/>
  <c r="H8" i="6"/>
  <c r="H7" i="6"/>
  <c r="D12" i="6"/>
  <c r="I10" i="6"/>
  <c r="G23" i="6"/>
  <c r="C51" i="3"/>
  <c r="C52" i="3" s="1"/>
  <c r="C18" i="6"/>
  <c r="I24" i="6"/>
  <c r="D24" i="6"/>
  <c r="C19" i="6"/>
  <c r="E9" i="6"/>
  <c r="H13" i="6"/>
  <c r="I7" i="6"/>
  <c r="G24" i="6"/>
  <c r="G11" i="6"/>
  <c r="I18" i="6"/>
  <c r="C10" i="6"/>
  <c r="F18" i="6"/>
  <c r="C13" i="6"/>
  <c r="D21" i="6"/>
  <c r="H23" i="6"/>
  <c r="F21" i="6"/>
  <c r="C11" i="6"/>
  <c r="D8" i="6"/>
  <c r="H18" i="6"/>
  <c r="H20" i="6"/>
  <c r="D13" i="6"/>
  <c r="I23" i="6"/>
  <c r="F12" i="6"/>
  <c r="G21" i="6"/>
  <c r="H22" i="6"/>
  <c r="G8" i="6"/>
  <c r="E21" i="6"/>
  <c r="F19" i="6"/>
  <c r="D10" i="6"/>
  <c r="E23" i="6"/>
  <c r="I11" i="6"/>
  <c r="D19" i="6"/>
  <c r="C12" i="6"/>
  <c r="D18" i="6"/>
  <c r="E10" i="6"/>
  <c r="D11" i="6"/>
  <c r="H9" i="6"/>
  <c r="H12" i="6"/>
  <c r="F13" i="6"/>
  <c r="F10" i="6"/>
  <c r="E12" i="6"/>
  <c r="C23" i="6"/>
  <c r="H21" i="6"/>
  <c r="G20" i="6"/>
  <c r="D7" i="6"/>
  <c r="C7" i="6"/>
  <c r="I19" i="6"/>
  <c r="C53" i="3"/>
  <c r="C54" i="3" s="1"/>
  <c r="C55" i="3" s="1"/>
  <c r="C16" i="1" s="1"/>
  <c r="C58" i="3"/>
  <c r="C62" i="3" s="1"/>
  <c r="C63" i="3" s="1"/>
  <c r="C64" i="3" s="1"/>
  <c r="C17" i="1" s="1"/>
  <c r="D17" i="1" s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<sst xmlns="http://schemas.openxmlformats.org/spreadsheetml/2006/main" count="239" uniqueCount="182">
  <si>
    <t>DISCLAIMER: This is a sample analysis for demonstration purposes only. It does not constitute investment advice.</t>
  </si>
  <si>
    <t>キオクシアホールディングス株式会社 (285A)</t>
  </si>
  <si>
    <t>Equity Research Report</t>
  </si>
  <si>
    <t>Company</t>
  </si>
  <si>
    <t>キオクシアホールディングス株式会社</t>
  </si>
  <si>
    <t>Ticker</t>
  </si>
  <si>
    <t>285A (TSE)</t>
  </si>
  <si>
    <t>Sector</t>
  </si>
  <si>
    <t>Semiconductors / NAND Flash Memory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</si>
  <si>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</si>
  <si>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</si>
  <si>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</si>
  <si>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</si>
  <si>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</si>
  <si>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</si>
  <si>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</si>
  <si>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</si>
  <si>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</si>
  <si>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</si>
  <si>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</si>
  <si>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</si>
  <si>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</si>
  <si>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</si>
  <si>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Cycle position is the entire investment question — FY2026/3 operating margin of 37.2% is not sustainable. The stock trades at 19.1x peak EBITDA against a 4-6x mid-cycle norm, implying the market either expects structural change or has priced in a very different normalization path than a standard DCF.</t>
  </si>
  <si>
    <t>2. Potential AI-driven structural shift — enterprise SSD demand for AI datacenters may flatten the traditional smartphone/PC-led NAND cycle. If durable, mid-cycle margins reset materially higher.</t>
  </si>
  <si>
    <t>3. Balance sheet materially repaired — preferred shares fully redeemed (322,996), cash of 470,707, equity attributable to owners nearly doubled to 1,398,929 from 737,565, net debt down to 782,482 from 831,589.</t>
  </si>
  <si>
    <t>Key Risks</t>
  </si>
  <si>
    <t>1. Extreme cyclicality — operating profit swung from △252,698 (FY2024/3) to +870,369 (FY2026/3), a 1,123,067 range in three years. Applying any multiple to peak earnings is hazardous.</t>
  </si>
  <si>
    <t>2. Chinese supply expansion — CXMT/YMTC 3D NAND ramp could impose structural price deflation independent of the demand cycle.</t>
  </si>
  <si>
    <t>3. Working capital deterioration plus non-deferrable capex — receivables rose 2.77x (238,594 to 660,559) against 1.37x revenue growth; DSO doubled from 51 to 103 days. Capex at 12-14% of revenue cannot pause during a downturn without ceding technology generations.</t>
  </si>
  <si>
    <t>キオクシアホールディングス株式会社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</si>
  <si>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</si>
  <si>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</si>
  <si>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</si>
  <si>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</si>
  <si>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</si>
  <si>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</si>
  <si>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</si>
  <si>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</si>
  <si>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</si>
  <si>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</si>
  <si>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</si>
  <si>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</si>
  <si>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</si>
  <si>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</si>
  <si>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</si>
  <si>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</si>
  <si>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</si>
  <si>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</si>
  <si>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</si>
  <si>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</si>
  <si>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</si>
  <si>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</si>
  <si>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</si>
  <si>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</si>
  <si>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</si>
  <si>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</si>
  <si>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キオクシアホールディングス株式会社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</si>
  <si>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</si>
  <si>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</si>
  <si>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</si>
  <si>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</si>
  <si>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</si>
  <si>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</si>
  <si>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</si>
  <si>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</si>
  <si>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</si>
  <si>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</si>
  <si>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</si>
  <si>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</si>
  <si>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</si>
  <si>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</si>
  <si>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</si>
  <si>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</si>
  <si>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</si>
  <si>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</si>
  <si>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</si>
  <si>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</si>
  <si>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</si>
  <si>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</si>
  <si>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</si>
  <si>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</si>
  <si>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</si>
  <si>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</si>
  <si>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</si>
  <si>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</si>
  <si>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</si>
  <si>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</si>
  <si>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</si>
  <si>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</si>
  <si>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</si>
  <si>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</si>
  <si>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</si>
  <si>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</si>
  <si>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</si>
  <si>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</si>
  <si>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</si>
  <si>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</si>
  <si>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</si>
  <si>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</si>
  <si>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</si>
  <si>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</si>
  <si>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</si>
  <si>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</si>
  <si>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</si>
  <si>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</si>
  <si>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</si>
  <si>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</si>
  <si>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</si>
  <si>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</si>
  <si>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</si>
  <si>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</si>
  <si>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</si>
  <si>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</si>
  <si>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</si>
  <si>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</si>
  <si>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</si>
  <si>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</si>
  <si>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</si>
  <si>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</si>
  <si>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</si>
  <si>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キオクシアホールディングス株式会社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</si>
  <si>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</si>
  <si>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</si>
  <si>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</si>
  <si>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</si>
  <si>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</si>
  <si>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</si>
  <si>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</si>
  <si>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</si>
  <si>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</si>
  <si>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</si>
  <si>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</si>
  <si>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</si>
  <si>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</si>
  <si>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</si>
  <si>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</si>
  <si>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</si>
  <si>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</si>
  <si>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</si>
  <si>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</si>
  <si>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</si>
  <si>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</si>
  <si>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</si>
  <si>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</si>
  <si>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</si>
  <si>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</si>
  <si>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</si>
  <si>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</si>
  <si>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</si>
  <si>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</si>
  <si>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</si>
  <si>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</si>
  <si>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Kioxia Holdings</t>
  </si>
  <si>
    <t>285A.T</t>
  </si>
  <si>
    <t>SanDisk</t>
  </si>
  <si>
    <t>SNDK</t>
  </si>
  <si>
    <t>Micron Technology</t>
  </si>
  <si>
    <t>MU</t>
  </si>
  <si>
    <t>SK Hynix</t>
  </si>
  <si>
    <t>000660.KS</t>
  </si>
  <si>
    <t>Statistics</t>
  </si>
  <si>
    <t>25th Percentile</t>
  </si>
  <si>
    <t>Median (50th)</t>
  </si>
  <si>
    <t>75th Percentile</t>
  </si>
  <si>
    <t>Implied Valuation for キオクシアホールディングス株式会社</t>
  </si>
  <si>
    <t>キオクシアホールディングス株式会社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</si>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</sst>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4" workbookViewId="0">
      <selection activeCell="C10" sqref="C10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0" t="s">
        <v>0</v>
      </c>
      <c r="C1" s="39"/>
      <c r="D1" s="39"/>
      <c r="E1" s="39"/>
    </row>
    <row r="3" spans="2:5" ht="18" x14ac:dyDescent="0.4">
      <c r="B3" s="38" t="s">
        <v>1</v>
      </c>
      <c r="C3" s="39"/>
      <c r="D3" s="39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42500</v>
      </c>
    </row>
    <row r="10" spans="2:5" ht="14" x14ac:dyDescent="0.3">
      <c r="B10" s="3" t="s">
        <v>10</v>
      </c>
      <c r="C10" s="4">
        <f>ROUND(AVERAGE(C16:C19),0)</f>
        <v>36780</v>
      </c>
    </row>
    <row r="11" spans="2:5" ht="14" x14ac:dyDescent="0.3">
      <c r="B11" s="3" t="s">
        <v>11</v>
      </c>
      <c r="C11" s="5" t="str">
        <f>IF(C12&gt;0.15,"BUY",IF(C12&gt;0.05,"HOLD","SELL"))</f>
        <v>SELL</v>
      </c>
    </row>
    <row r="12" spans="2:5" ht="14" x14ac:dyDescent="0.3">
      <c r="B12" s="3" t="s">
        <v>12</v>
      </c>
      <c r="C12" s="6">
        <f>(C10-C9)/C9</f>
        <v>-0.13458823529411765</v>
      </c>
    </row>
    <row r="14" spans="2:5" ht="14" x14ac:dyDescent="0.3">
      <c r="B14" s="7" t="s">
        <v>13</v>
      </c>
      <c r="C14" s="8"/>
      <c r="D14" s="8"/>
    </row>
    <row r="15" spans="2:5" ht="14" x14ac:dyDescent="0.3">
      <c r="B15" s="9" t="s">
        <v>14</v>
      </c>
      <c r="C15" s="9" t="s">
        <v>15</v>
      </c>
      <c r="D15" s="9" t="s">
        <v>16</v>
      </c>
    </row>
    <row r="16" spans="2:5" ht="13.5" x14ac:dyDescent="0.25">
      <c r="B16" t="s">
        <v>17</v>
      </c>
      <c r="C16" s="10">
        <f>'DCF Model'!C55</f>
        <v>27815</v>
      </c>
      <c r="D16" s="6">
        <f>(C16-C9)/C9</f>
        <v>-0.34552941176470586</v>
      </c>
    </row>
    <row r="17" spans="2:4" ht="13.5" x14ac:dyDescent="0.25">
      <c r="B17" t="s">
        <v>18</v>
      </c>
      <c r="C17" s="10">
        <f>'DCF Model'!C64</f>
        <v>52924</v>
      </c>
      <c r="D17" s="6">
        <f>(C17-C9)/C9</f>
        <v>0.24527058823529413</v>
      </c>
    </row>
    <row r="18" spans="2:4" ht="13.5" x14ac:dyDescent="0.25">
      <c r="B18" t="s">
        <v>19</v>
      </c>
      <c r="C18" s="10">
        <f>'Comps Analysis'!C27</f>
        <v>37415</v>
      </c>
      <c r="D18" s="6">
        <f>IF(ISNUMBER(C18),(C18-C9)/C9,"N/A")</f>
        <v>-0.11964705882352941</v>
      </c>
    </row>
    <row r="19" spans="2:4" ht="13.5" x14ac:dyDescent="0.25">
      <c r="B19" t="s">
        <v>20</v>
      </c>
      <c r="C19" s="10">
        <f>'Comps Analysis'!C28</f>
        <v>28964</v>
      </c>
      <c r="D19" s="6">
        <f>IF(ISNUMBER(C19),(C19-C9)/C9,"N/A")</f>
        <v>-0.31849411764705882</v>
      </c>
    </row>
    <row r="21" spans="2:4" ht="14" x14ac:dyDescent="0.3">
      <c r="B21" s="3" t="s">
        <v>21</v>
      </c>
      <c r="C21" s="5" t="str">
        <f>MIN(C16:C19)&amp;" - "&amp;MAX(C16:C19)</f>
        <v>27815 - 52924</v>
      </c>
    </row>
    <row r="23" spans="2:4" ht="14" x14ac:dyDescent="0.3">
      <c r="B23" s="7" t="s">
        <v>22</v>
      </c>
      <c r="C23" s="8"/>
      <c r="D23" s="8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7" t="s">
        <v>26</v>
      </c>
      <c r="C28" s="8"/>
      <c r="D28" s="8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28"/>
  <sheetViews>
    <sheetView topLeftCell="A12"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x14ac:dyDescent="0.4">
      <c r="B2" s="1" t="s">
        <v>30</v>
      </c>
    </row>
    <row r="4" spans="2:5" ht="14" x14ac:dyDescent="0.3">
      <c r="C4" s="9" t="s">
        <v>31</v>
      </c>
      <c r="D4" s="9" t="s">
        <v>32</v>
      </c>
      <c r="E4" s="9" t="s">
        <v>33</v>
      </c>
    </row>
    <row r="5" spans="2:5" ht="14" x14ac:dyDescent="0.3">
      <c r="B5" s="2" t="s">
        <v>34</v>
      </c>
    </row>
    <row r="6" spans="2:5" ht="14" x14ac:dyDescent="0.3">
      <c r="B6" s="3" t="s">
        <v>35</v>
      </c>
      <c r="C6" s="4">
        <v>1076584</v>
      </c>
      <c r="D6" s="4">
        <v>1706460</v>
      </c>
      <c r="E6" s="4">
        <v>2337628</v>
      </c>
    </row>
    <row r="7" spans="2:5" ht="14" x14ac:dyDescent="0.3">
      <c r="B7" s="3" t="s">
        <v>36</v>
      </c>
      <c r="C7" s="4">
        <v>1205927</v>
      </c>
      <c r="D7" s="4">
        <v>1137027</v>
      </c>
      <c r="E7" s="4">
        <v>1324724</v>
      </c>
    </row>
    <row r="8" spans="2:5" ht="14" x14ac:dyDescent="0.3">
      <c r="B8" s="3" t="s">
        <v>37</v>
      </c>
      <c r="C8" s="4">
        <f>C6-C7</f>
        <v>-129343</v>
      </c>
      <c r="D8" s="4">
        <f>D6-D7</f>
        <v>569433</v>
      </c>
      <c r="E8" s="4">
        <f>E6-E7</f>
        <v>1012904</v>
      </c>
    </row>
    <row r="9" spans="2:5" ht="13.5" x14ac:dyDescent="0.25">
      <c r="B9" t="s">
        <v>38</v>
      </c>
      <c r="C9" s="6">
        <f>C8/C6</f>
        <v>-0.12014204186575315</v>
      </c>
      <c r="D9" s="6">
        <f>D8/D6</f>
        <v>0.33369255652051616</v>
      </c>
      <c r="E9" s="6">
        <f>E8/E6</f>
        <v>0.43330418697927986</v>
      </c>
    </row>
    <row r="10" spans="2:5" ht="14" x14ac:dyDescent="0.3">
      <c r="B10" s="3" t="s">
        <v>39</v>
      </c>
      <c r="C10" s="4">
        <v>128774</v>
      </c>
      <c r="D10" s="4">
        <v>127851</v>
      </c>
      <c r="E10" s="4">
        <v>146581</v>
      </c>
    </row>
    <row r="11" spans="2:5" ht="14" x14ac:dyDescent="0.3">
      <c r="B11" s="3" t="s">
        <v>40</v>
      </c>
      <c r="C11" s="4">
        <v>-252698</v>
      </c>
      <c r="D11" s="4">
        <v>451748</v>
      </c>
      <c r="E11" s="4">
        <v>870369</v>
      </c>
    </row>
    <row r="12" spans="2:5" ht="14" x14ac:dyDescent="0.3">
      <c r="B12" s="3" t="s">
        <v>41</v>
      </c>
      <c r="C12" s="4">
        <v>-243721</v>
      </c>
      <c r="D12" s="4">
        <v>272321</v>
      </c>
      <c r="E12" s="4">
        <v>554496</v>
      </c>
    </row>
    <row r="13" spans="2:5" ht="13.5" x14ac:dyDescent="0.25">
      <c r="B13" t="s">
        <v>42</v>
      </c>
      <c r="C13" s="6">
        <f>C11/C6</f>
        <v>-0.23472204677015449</v>
      </c>
      <c r="D13" s="6">
        <f>D11/D6</f>
        <v>0.26472815067449573</v>
      </c>
      <c r="E13" s="6">
        <f>E11/E6</f>
        <v>0.37232998578045778</v>
      </c>
    </row>
    <row r="14" spans="2:5" ht="13.5" x14ac:dyDescent="0.25">
      <c r="B14" t="s">
        <v>43</v>
      </c>
      <c r="C14" s="6">
        <f>C12/C6</f>
        <v>-0.22638363564756675</v>
      </c>
      <c r="D14" s="6">
        <f>D12/D6</f>
        <v>0.15958241037000576</v>
      </c>
      <c r="E14" s="6">
        <f>E12/E6</f>
        <v>0.23720455093795934</v>
      </c>
    </row>
    <row r="15" spans="2:5" ht="13.5" x14ac:dyDescent="0.25">
      <c r="B15" t="s">
        <v>44</v>
      </c>
      <c r="C15" t="s">
        <v>45</v>
      </c>
      <c r="D15" s="6">
        <f>(D6-C6)/C6</f>
        <v>0.5850690703187118</v>
      </c>
      <c r="E15" s="6">
        <f>(E6-D6)/D6</f>
        <v>0.36986978891975197</v>
      </c>
    </row>
    <row r="16" spans="2:5" ht="13.5" x14ac:dyDescent="0.25">
      <c r="B16" t="s">
        <v>46</v>
      </c>
      <c r="C16" t="s">
        <v>45</v>
      </c>
      <c r="D16" s="6">
        <f>(D11-C11)/C11</f>
        <v>-2.7876991507649449</v>
      </c>
      <c r="E16" s="6">
        <f>(E11-D11)/D11</f>
        <v>0.92666929349991589</v>
      </c>
    </row>
    <row r="18" spans="2:5" ht="14" x14ac:dyDescent="0.3">
      <c r="B18" s="2" t="s">
        <v>47</v>
      </c>
    </row>
    <row r="19" spans="2:5" ht="14" x14ac:dyDescent="0.3">
      <c r="B19" s="3" t="s">
        <v>48</v>
      </c>
      <c r="C19" s="4">
        <v>0</v>
      </c>
      <c r="D19" s="4">
        <v>0</v>
      </c>
      <c r="E19" s="4">
        <v>195111</v>
      </c>
    </row>
    <row r="20" spans="2:5" ht="14" x14ac:dyDescent="0.3">
      <c r="B20" s="3" t="s">
        <v>49</v>
      </c>
      <c r="C20" s="4">
        <v>305097</v>
      </c>
      <c r="D20" s="4">
        <v>225603</v>
      </c>
      <c r="E20" s="4">
        <v>283674</v>
      </c>
    </row>
    <row r="21" spans="2:5" ht="14" x14ac:dyDescent="0.3">
      <c r="B21" s="3" t="s">
        <v>50</v>
      </c>
      <c r="C21" s="4">
        <f>C19-C20</f>
        <v>-305097</v>
      </c>
      <c r="D21" s="4">
        <f>D19-D20</f>
        <v>-225603</v>
      </c>
      <c r="E21" s="4">
        <f>E19-E20</f>
        <v>-88563</v>
      </c>
    </row>
    <row r="22" spans="2:5" ht="13.5" x14ac:dyDescent="0.25">
      <c r="B22" t="s">
        <v>51</v>
      </c>
      <c r="C22" s="6">
        <f>C21/C6</f>
        <v>-0.28339358563753503</v>
      </c>
      <c r="D22" s="6">
        <f>D21/D6</f>
        <v>-0.13220526704405611</v>
      </c>
      <c r="E22" s="6">
        <f>E21/E6</f>
        <v>-3.7885839834225117E-2</v>
      </c>
    </row>
    <row r="23" spans="2:5" ht="13.5" x14ac:dyDescent="0.25">
      <c r="B23" t="s">
        <v>52</v>
      </c>
      <c r="C23" s="6">
        <f>C20/C6</f>
        <v>0.28339358563753503</v>
      </c>
      <c r="D23" s="6">
        <f>D20/D6</f>
        <v>0.13220526704405611</v>
      </c>
      <c r="E23" s="6">
        <f>E20/E6</f>
        <v>0.12135121584785945</v>
      </c>
    </row>
    <row r="25" spans="2:5" ht="14" x14ac:dyDescent="0.3">
      <c r="B25" s="2" t="s">
        <v>53</v>
      </c>
    </row>
    <row r="26" spans="2:5" ht="14" x14ac:dyDescent="0.3">
      <c r="B26" s="3" t="s">
        <v>54</v>
      </c>
      <c r="C26" s="4">
        <v>0</v>
      </c>
      <c r="D26" s="4">
        <v>261351</v>
      </c>
      <c r="E26" s="4">
        <v>187593</v>
      </c>
    </row>
    <row r="27" spans="2:5" ht="14" x14ac:dyDescent="0.3">
      <c r="B27" s="3" t="s">
        <v>55</v>
      </c>
      <c r="C27" s="4">
        <v>0</v>
      </c>
      <c r="D27" s="4">
        <v>0</v>
      </c>
      <c r="E27" s="4">
        <v>0</v>
      </c>
    </row>
    <row r="28" spans="2:5" ht="14" x14ac:dyDescent="0.3">
      <c r="B28" s="3" t="s">
        <v>56</v>
      </c>
      <c r="C28" s="4">
        <f>C27-C26</f>
        <v>0</v>
      </c>
      <c r="D28" s="4">
        <f>D27-D26</f>
        <v>-261351</v>
      </c>
      <c r="E28" s="4">
        <f>E27-E26</f>
        <v>-187593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44" workbookViewId="0">
      <selection activeCell="H65" sqref="H65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57</v>
      </c>
    </row>
    <row r="4" spans="2:7" ht="14" x14ac:dyDescent="0.3">
      <c r="B4" s="7" t="s">
        <v>58</v>
      </c>
      <c r="C4" s="8"/>
      <c r="D4" s="8"/>
      <c r="E4" s="8"/>
      <c r="F4" s="8"/>
      <c r="G4" s="8"/>
    </row>
    <row r="5" spans="2:7" ht="14" x14ac:dyDescent="0.3">
      <c r="B5" s="3" t="s">
        <v>52</v>
      </c>
      <c r="C5" s="6">
        <v>0.119779537206091</v>
      </c>
    </row>
    <row r="6" spans="2:7" ht="14" x14ac:dyDescent="0.3">
      <c r="B6" s="3" t="s">
        <v>59</v>
      </c>
      <c r="C6" s="6">
        <v>0.3</v>
      </c>
    </row>
    <row r="7" spans="2:7" ht="14" x14ac:dyDescent="0.3">
      <c r="B7" s="3" t="s">
        <v>60</v>
      </c>
      <c r="C7" s="6">
        <v>2.3E-2</v>
      </c>
    </row>
    <row r="8" spans="2:7" ht="14" x14ac:dyDescent="0.3">
      <c r="B8" s="3" t="s">
        <v>61</v>
      </c>
      <c r="C8" s="11">
        <v>1.5</v>
      </c>
    </row>
    <row r="9" spans="2:7" ht="14" x14ac:dyDescent="0.3">
      <c r="B9" s="3" t="s">
        <v>62</v>
      </c>
      <c r="C9" s="6">
        <v>0.06</v>
      </c>
    </row>
    <row r="10" spans="2:7" ht="14" x14ac:dyDescent="0.3">
      <c r="B10" s="3" t="s">
        <v>63</v>
      </c>
      <c r="C10" s="6">
        <v>0</v>
      </c>
    </row>
    <row r="11" spans="2:7" ht="14" x14ac:dyDescent="0.3">
      <c r="B11" s="3" t="s">
        <v>64</v>
      </c>
      <c r="C11" s="6">
        <v>2.24E-2</v>
      </c>
    </row>
    <row r="12" spans="2:7" ht="14" x14ac:dyDescent="0.3">
      <c r="B12" s="3" t="s">
        <v>65</v>
      </c>
      <c r="C12" s="12">
        <v>3.5900000000000001E-2</v>
      </c>
    </row>
    <row r="13" spans="2:7" ht="14" x14ac:dyDescent="0.3">
      <c r="B13" s="3" t="s">
        <v>66</v>
      </c>
      <c r="C13" s="6">
        <v>0.02</v>
      </c>
    </row>
    <row r="14" spans="2:7" ht="14" x14ac:dyDescent="0.3">
      <c r="B14" s="3" t="s">
        <v>67</v>
      </c>
      <c r="C14" s="13">
        <v>14</v>
      </c>
    </row>
    <row r="15" spans="2:7" ht="14" x14ac:dyDescent="0.3">
      <c r="B15" s="3" t="s">
        <v>68</v>
      </c>
      <c r="C15" s="14">
        <v>547242648</v>
      </c>
    </row>
    <row r="16" spans="2:7" ht="14" x14ac:dyDescent="0.3">
      <c r="B16" s="3" t="s">
        <v>69</v>
      </c>
      <c r="C16" s="4">
        <v>782482</v>
      </c>
    </row>
    <row r="17" spans="2:7" ht="14" x14ac:dyDescent="0.3">
      <c r="B17" s="3" t="s">
        <v>70</v>
      </c>
      <c r="C17" s="4">
        <v>2337628</v>
      </c>
    </row>
    <row r="18" spans="2:7" ht="14" x14ac:dyDescent="0.3">
      <c r="B18" s="3" t="s">
        <v>71</v>
      </c>
      <c r="C18" s="6">
        <v>0.13517976341830271</v>
      </c>
    </row>
    <row r="19" spans="2:7" ht="14" x14ac:dyDescent="0.3">
      <c r="B19" s="3" t="s">
        <v>72</v>
      </c>
      <c r="C19" s="11">
        <v>1</v>
      </c>
    </row>
    <row r="20" spans="2:7" ht="14" x14ac:dyDescent="0.3">
      <c r="B20" s="3" t="s">
        <v>73</v>
      </c>
      <c r="C20" s="4">
        <v>2219365</v>
      </c>
    </row>
    <row r="22" spans="2:7" ht="14" x14ac:dyDescent="0.3">
      <c r="B22" s="7" t="s">
        <v>74</v>
      </c>
      <c r="C22" s="8"/>
      <c r="D22" s="8"/>
      <c r="E22" s="8"/>
      <c r="F22" s="8"/>
      <c r="G22" s="8"/>
    </row>
    <row r="23" spans="2:7" ht="14" x14ac:dyDescent="0.3">
      <c r="B23" s="3" t="s">
        <v>75</v>
      </c>
      <c r="C23" s="15">
        <f>C7+C8*C9+C10</f>
        <v>0.11299999999999999</v>
      </c>
    </row>
    <row r="24" spans="2:7" ht="14" x14ac:dyDescent="0.3">
      <c r="B24" s="3" t="s">
        <v>76</v>
      </c>
      <c r="C24" s="15">
        <f>1/(1+C12)</f>
        <v>0.96534414518775935</v>
      </c>
    </row>
    <row r="25" spans="2:7" ht="14" x14ac:dyDescent="0.3">
      <c r="B25" s="3" t="s">
        <v>77</v>
      </c>
      <c r="C25" s="15">
        <f>C12/(1+C12)</f>
        <v>3.4655854812240566E-2</v>
      </c>
    </row>
    <row r="26" spans="2:7" ht="14" x14ac:dyDescent="0.3">
      <c r="B26" s="3" t="s">
        <v>78</v>
      </c>
      <c r="C26" s="15">
        <f>C23*C24+C11*C25</f>
        <v>0.10986017955401099</v>
      </c>
    </row>
    <row r="27" spans="2:7" ht="14" x14ac:dyDescent="0.3">
      <c r="B27" s="3" t="s">
        <v>79</v>
      </c>
      <c r="C27" s="16" t="s">
        <v>80</v>
      </c>
      <c r="D27" s="5">
        <v>1</v>
      </c>
    </row>
    <row r="28" spans="2:7" ht="14" x14ac:dyDescent="0.3">
      <c r="B28" s="7" t="s">
        <v>81</v>
      </c>
      <c r="C28" s="8"/>
      <c r="D28" s="8"/>
      <c r="E28" s="8"/>
      <c r="F28" s="8"/>
      <c r="G28" s="8"/>
    </row>
    <row r="29" spans="2:7" ht="14" x14ac:dyDescent="0.3">
      <c r="C29" s="9" t="s">
        <v>82</v>
      </c>
      <c r="D29" s="9" t="s">
        <v>83</v>
      </c>
      <c r="E29" s="9" t="s">
        <v>84</v>
      </c>
      <c r="F29" s="9" t="s">
        <v>85</v>
      </c>
      <c r="G29" s="9" t="s">
        <v>86</v>
      </c>
    </row>
    <row r="30" spans="2:7" ht="14" x14ac:dyDescent="0.3">
      <c r="B30" s="3" t="s">
        <v>44</v>
      </c>
      <c r="C30" s="17">
        <f>CHOOSE($D$27,C69,C70,C71,C72,C73)</f>
        <v>0.6</v>
      </c>
      <c r="D30" s="17">
        <f>CHOOSE($D$27,D69,D70,D71,D72,D73)</f>
        <v>0.3</v>
      </c>
      <c r="E30" s="17">
        <f>CHOOSE($D$27,E69,E70,E71,E72,E73)</f>
        <v>0.2</v>
      </c>
      <c r="F30" s="17">
        <f>CHOOSE($D$27,F69,F70,F71,F72,F73)</f>
        <v>0.15</v>
      </c>
      <c r="G30" s="17">
        <f>CHOOSE($D$27,G69,G70,G71,G72,G73)</f>
        <v>0.15</v>
      </c>
    </row>
    <row r="31" spans="2:7" ht="14" x14ac:dyDescent="0.3">
      <c r="B31" s="3" t="s">
        <v>87</v>
      </c>
      <c r="C31" s="17">
        <f>CHOOSE($D$27,C76,C77,C78,C79,C80)</f>
        <v>0.6</v>
      </c>
      <c r="D31" s="17">
        <f>CHOOSE($D$27,D76,D77,D78,D79,D80)</f>
        <v>0.68</v>
      </c>
      <c r="E31" s="17">
        <f>CHOOSE($D$27,E76,E77,E78,E79,E80)</f>
        <v>0.64</v>
      </c>
      <c r="F31" s="17">
        <f>CHOOSE($D$27,F76,F77,F78,F79,F80)</f>
        <v>0.56999999999999995</v>
      </c>
      <c r="G31" s="17">
        <f>CHOOSE($D$27,G76,G77,G78,G79,G80)</f>
        <v>0.57999999999999996</v>
      </c>
    </row>
    <row r="32" spans="2:7" ht="14" x14ac:dyDescent="0.3">
      <c r="B32" s="3" t="s">
        <v>88</v>
      </c>
      <c r="C32" s="17">
        <f>CHOOSE($D$27,C83,C84,C85,C86,C87)</f>
        <v>6.5000000000000002E-2</v>
      </c>
      <c r="D32" s="17">
        <f>CHOOSE($D$27,D83,D84,D85,D86,D87)</f>
        <v>7.4999999999999997E-2</v>
      </c>
      <c r="E32" s="17">
        <f>CHOOSE($D$27,E83,E84,E85,E86,E87)</f>
        <v>7.0000000000000007E-2</v>
      </c>
      <c r="F32" s="17">
        <f>CHOOSE($D$27,F83,F84,F85,F86,F87)</f>
        <v>0.06</v>
      </c>
      <c r="G32" s="17">
        <f>CHOOSE($D$27,G83,G84,G85,G86,G87)</f>
        <v>6.2E-2</v>
      </c>
    </row>
    <row r="33" spans="2:7" ht="14" x14ac:dyDescent="0.3">
      <c r="B33" s="3" t="s">
        <v>35</v>
      </c>
      <c r="C33" s="4">
        <f>C17*(1+C30)</f>
        <v>3740204.8000000003</v>
      </c>
      <c r="D33" s="4">
        <f>C33*(1+D30)</f>
        <v>4862266.24</v>
      </c>
      <c r="E33" s="4">
        <f>D33*(1+E30)</f>
        <v>5834719.4879999999</v>
      </c>
      <c r="F33" s="4">
        <f>E33*(1+F30)</f>
        <v>6709927.411199999</v>
      </c>
      <c r="G33" s="4">
        <f>F33*(1+G30)</f>
        <v>7716416.5228799982</v>
      </c>
    </row>
    <row r="34" spans="2:7" ht="14" x14ac:dyDescent="0.3">
      <c r="B34" s="3" t="s">
        <v>36</v>
      </c>
      <c r="C34" s="4">
        <f>C33*C31</f>
        <v>2244122.88</v>
      </c>
      <c r="D34" s="4">
        <f>D33*D31</f>
        <v>3306341.0432000002</v>
      </c>
      <c r="E34" s="4">
        <f>E33*E31</f>
        <v>3734220.4723200002</v>
      </c>
      <c r="F34" s="4">
        <f>F33*F31</f>
        <v>3824658.624383999</v>
      </c>
      <c r="G34" s="4">
        <f>G33*G31</f>
        <v>4475521.5832703989</v>
      </c>
    </row>
    <row r="35" spans="2:7" ht="14" x14ac:dyDescent="0.3">
      <c r="B35" s="3" t="s">
        <v>37</v>
      </c>
      <c r="C35" s="18">
        <f>C33-C34</f>
        <v>1496081.9200000004</v>
      </c>
      <c r="D35" s="18">
        <f>D33-D34</f>
        <v>1555925.1968</v>
      </c>
      <c r="E35" s="18">
        <f>E33-E34</f>
        <v>2100499.0156799997</v>
      </c>
      <c r="F35" s="18">
        <f>F33-F34</f>
        <v>2885268.786816</v>
      </c>
      <c r="G35" s="18">
        <f>G33-G34</f>
        <v>3240894.9396095993</v>
      </c>
    </row>
    <row r="36" spans="2:7" ht="14" x14ac:dyDescent="0.3">
      <c r="B36" s="3" t="s">
        <v>38</v>
      </c>
      <c r="C36" s="6">
        <f>C35/C33</f>
        <v>0.40000000000000008</v>
      </c>
      <c r="D36" s="6">
        <f>D35/D33</f>
        <v>0.32</v>
      </c>
      <c r="E36" s="6">
        <f>E35/E33</f>
        <v>0.35999999999999993</v>
      </c>
      <c r="F36" s="6">
        <f>F35/F33</f>
        <v>0.43000000000000005</v>
      </c>
      <c r="G36" s="6">
        <f>G35/G33</f>
        <v>0.42</v>
      </c>
    </row>
    <row r="37" spans="2:7" ht="14" x14ac:dyDescent="0.3">
      <c r="B37" s="3" t="s">
        <v>89</v>
      </c>
      <c r="C37" s="4">
        <f>C33*C32</f>
        <v>243113.31200000003</v>
      </c>
      <c r="D37" s="4">
        <f>D33*D32</f>
        <v>364669.96799999999</v>
      </c>
      <c r="E37" s="4">
        <f>E33*E32</f>
        <v>408430.36416000006</v>
      </c>
      <c r="F37" s="4">
        <f>F33*F32</f>
        <v>402595.64467199991</v>
      </c>
      <c r="G37" s="4">
        <f>G33*G32</f>
        <v>478417.8244185599</v>
      </c>
    </row>
    <row r="38" spans="2:7" ht="14" x14ac:dyDescent="0.3">
      <c r="B38" s="3" t="s">
        <v>90</v>
      </c>
      <c r="C38" s="6">
        <f>(C35-C37)/C33</f>
        <v>0.33500000000000008</v>
      </c>
      <c r="D38" s="6">
        <f>(D35-D37)/D33</f>
        <v>0.24500000000000002</v>
      </c>
      <c r="E38" s="6">
        <f>(E35-E37)/E33</f>
        <v>0.28999999999999992</v>
      </c>
      <c r="F38" s="6">
        <f>(F35-F37)/F33</f>
        <v>0.37000000000000005</v>
      </c>
      <c r="G38" s="6">
        <f>(G35-G37)/G33</f>
        <v>0.35800000000000004</v>
      </c>
    </row>
    <row r="39" spans="2:7" ht="14" x14ac:dyDescent="0.3">
      <c r="B39" s="3" t="s">
        <v>91</v>
      </c>
      <c r="C39" s="18">
        <f>C35-C37</f>
        <v>1252968.6080000005</v>
      </c>
      <c r="D39" s="18">
        <f>D35-D37</f>
        <v>1191255.2288000002</v>
      </c>
      <c r="E39" s="18">
        <f>E35-E37</f>
        <v>1692068.6515199996</v>
      </c>
      <c r="F39" s="18">
        <f>F35-F37</f>
        <v>2482673.1421440002</v>
      </c>
      <c r="G39" s="18">
        <f>G35-G37</f>
        <v>2762477.1151910396</v>
      </c>
    </row>
    <row r="40" spans="2:7" ht="14" x14ac:dyDescent="0.3">
      <c r="B40" s="3" t="s">
        <v>92</v>
      </c>
      <c r="C40" s="4">
        <f>MAX(0,C39*C6)</f>
        <v>375890.58240000013</v>
      </c>
      <c r="D40" s="4">
        <f>MAX(0,D39*C6)</f>
        <v>357376.56864000001</v>
      </c>
      <c r="E40" s="4">
        <f>MAX(0,E39*C6)</f>
        <v>507620.59545599984</v>
      </c>
      <c r="F40" s="4">
        <f>MAX(0,F39*C6)</f>
        <v>744801.94264320005</v>
      </c>
      <c r="G40" s="4">
        <f>MAX(0,G39*C6)</f>
        <v>828743.13455731189</v>
      </c>
    </row>
    <row r="41" spans="2:7" ht="14" x14ac:dyDescent="0.3">
      <c r="B41" s="3" t="s">
        <v>93</v>
      </c>
      <c r="C41" s="18">
        <f>C39-C40</f>
        <v>877078.02560000028</v>
      </c>
      <c r="D41" s="18">
        <f>D39-D40</f>
        <v>833878.6601600002</v>
      </c>
      <c r="E41" s="18">
        <f>E39-E40</f>
        <v>1184448.0560639999</v>
      </c>
      <c r="F41" s="18">
        <f>F39-F40</f>
        <v>1737871.1995008001</v>
      </c>
      <c r="G41" s="18">
        <f>G39-G40</f>
        <v>1933733.9806337277</v>
      </c>
    </row>
    <row r="42" spans="2:7" ht="14" x14ac:dyDescent="0.3">
      <c r="B42" s="3" t="s">
        <v>94</v>
      </c>
      <c r="C42" s="4">
        <v>315000</v>
      </c>
      <c r="D42" s="4">
        <v>315000</v>
      </c>
      <c r="E42" s="4">
        <v>310000</v>
      </c>
      <c r="F42" s="4">
        <v>315000</v>
      </c>
      <c r="G42" s="4">
        <v>325000</v>
      </c>
    </row>
    <row r="43" spans="2:7" ht="14" x14ac:dyDescent="0.3">
      <c r="B43" s="3" t="s">
        <v>95</v>
      </c>
      <c r="C43" s="4">
        <v>290000</v>
      </c>
      <c r="D43" s="4">
        <v>240000</v>
      </c>
      <c r="E43" s="4">
        <v>250000</v>
      </c>
      <c r="F43" s="4">
        <v>300000</v>
      </c>
      <c r="G43" s="4">
        <v>320000</v>
      </c>
    </row>
    <row r="44" spans="2:7" ht="14" x14ac:dyDescent="0.3">
      <c r="B44" s="3" t="s">
        <v>96</v>
      </c>
      <c r="C44" s="4">
        <f>'NWC Schedule'!D19</f>
        <v>269786.96000000008</v>
      </c>
      <c r="D44" s="4">
        <f>'NWC Schedule'!E19</f>
        <v>258514.75806684897</v>
      </c>
      <c r="E44" s="4">
        <f>'NWC Schedule'!F19</f>
        <v>118825.79413917894</v>
      </c>
      <c r="F44" s="4">
        <f>'NWC Schedule'!G19</f>
        <v>76155.078468031948</v>
      </c>
      <c r="G44" s="4">
        <f>'NWC Schedule'!H19</f>
        <v>169237.23766440363</v>
      </c>
    </row>
    <row r="45" spans="2:7" ht="14" x14ac:dyDescent="0.3">
      <c r="B45" s="3" t="s">
        <v>97</v>
      </c>
      <c r="C45" s="19">
        <f>C41+C42-C43-C44</f>
        <v>632291.06560000021</v>
      </c>
      <c r="D45" s="19">
        <f>D41+D42-D43-D44</f>
        <v>650363.90209315124</v>
      </c>
      <c r="E45" s="19">
        <f>E41+E42-E43-E44</f>
        <v>1125622.261924821</v>
      </c>
      <c r="F45" s="19">
        <f>F41+F42-F43-F44</f>
        <v>1676716.1210327682</v>
      </c>
      <c r="G45" s="19">
        <f>G41+G42-G43-G44</f>
        <v>1769496.7429693241</v>
      </c>
    </row>
    <row r="46" spans="2:7" ht="14" x14ac:dyDescent="0.3">
      <c r="B46" s="3" t="s">
        <v>98</v>
      </c>
      <c r="C46" s="20">
        <f>1/(1+C26)^(C19+0)</f>
        <v>0.9010143966079065</v>
      </c>
      <c r="D46" s="20">
        <f>1/(1+C26)^(C19+1)</f>
        <v>0.81182694289470969</v>
      </c>
      <c r="E46" s="20">
        <f>1/(1+C26)^(C19+2)</f>
        <v>0.7314677631023182</v>
      </c>
      <c r="F46" s="20">
        <f>1/(1+C26)^(C19+3)</f>
        <v>0.65906298520977025</v>
      </c>
      <c r="G46" s="20">
        <f>1/(1+C26)^(C19+4)</f>
        <v>0.59382523794538677</v>
      </c>
    </row>
    <row r="47" spans="2:7" ht="14" x14ac:dyDescent="0.3">
      <c r="B47" s="3" t="s">
        <v>99</v>
      </c>
      <c r="C47" s="18">
        <f>C45*C46</f>
        <v>569703.35295215435</v>
      </c>
      <c r="D47" s="18">
        <f>D45*D46</f>
        <v>527982.9384053573</v>
      </c>
      <c r="E47" s="18">
        <f>E45*E46</f>
        <v>823356.39802832052</v>
      </c>
      <c r="F47" s="18">
        <f>F45*F46</f>
        <v>1105061.5320772026</v>
      </c>
      <c r="G47" s="18">
        <f>G45*G46</f>
        <v>1050771.8244373458</v>
      </c>
    </row>
    <row r="49" spans="2:7" ht="14" x14ac:dyDescent="0.3">
      <c r="B49" s="21" t="s">
        <v>100</v>
      </c>
      <c r="C49" s="22"/>
      <c r="D49" s="22"/>
      <c r="E49" s="22"/>
      <c r="F49" s="22"/>
      <c r="G49" s="22"/>
    </row>
    <row r="50" spans="2:7" ht="14" x14ac:dyDescent="0.3">
      <c r="B50" s="3" t="s">
        <v>101</v>
      </c>
      <c r="C50" s="4">
        <f>SUM(C47:G47)</f>
        <v>4076876.0459003807</v>
      </c>
    </row>
    <row r="51" spans="2:7" ht="14" x14ac:dyDescent="0.3">
      <c r="B51" s="3" t="s">
        <v>102</v>
      </c>
      <c r="C51" s="4">
        <f>G45*(1+C13)/(C26-C13)</f>
        <v>20085500.460678168</v>
      </c>
    </row>
    <row r="52" spans="2:7" ht="14" x14ac:dyDescent="0.3">
      <c r="B52" s="3" t="s">
        <v>103</v>
      </c>
      <c r="C52" s="4">
        <f>C51*G46</f>
        <v>11927277.090314388</v>
      </c>
    </row>
    <row r="53" spans="2:7" ht="14" x14ac:dyDescent="0.3">
      <c r="B53" s="3" t="s">
        <v>104</v>
      </c>
      <c r="C53" s="4">
        <f>C50+C52</f>
        <v>16004153.136214769</v>
      </c>
    </row>
    <row r="54" spans="2:7" ht="14" x14ac:dyDescent="0.3">
      <c r="B54" s="3" t="s">
        <v>105</v>
      </c>
      <c r="C54" s="4">
        <f>C53-C16</f>
        <v>15221671.136214769</v>
      </c>
    </row>
    <row r="55" spans="2:7" ht="14" x14ac:dyDescent="0.3">
      <c r="B55" s="3" t="s">
        <v>106</v>
      </c>
      <c r="C55" s="23">
        <f>ROUND(C54*1000000/C15,0)</f>
        <v>27815</v>
      </c>
    </row>
    <row r="57" spans="2:7" ht="14" x14ac:dyDescent="0.3">
      <c r="B57" s="21" t="s">
        <v>107</v>
      </c>
      <c r="C57" s="22"/>
      <c r="D57" s="22"/>
      <c r="E57" s="22"/>
      <c r="F57" s="22"/>
      <c r="G57" s="22"/>
    </row>
    <row r="58" spans="2:7" ht="14" x14ac:dyDescent="0.3">
      <c r="B58" s="3" t="s">
        <v>101</v>
      </c>
      <c r="C58" s="4">
        <f>C50</f>
        <v>4076876.0459003807</v>
      </c>
    </row>
    <row r="59" spans="2:7" ht="14" x14ac:dyDescent="0.3">
      <c r="B59" s="3" t="s">
        <v>108</v>
      </c>
      <c r="C59" s="4">
        <f>G39+G42</f>
        <v>3087477.1151910396</v>
      </c>
    </row>
    <row r="60" spans="2:7" ht="14" x14ac:dyDescent="0.3">
      <c r="B60" s="3" t="s">
        <v>109</v>
      </c>
      <c r="C60" s="4">
        <f>C59*C14</f>
        <v>43224679.612674557</v>
      </c>
    </row>
    <row r="61" spans="2:7" ht="14" x14ac:dyDescent="0.3">
      <c r="B61" s="3" t="s">
        <v>103</v>
      </c>
      <c r="C61" s="4">
        <f>C60*G46</f>
        <v>25667905.656109579</v>
      </c>
    </row>
    <row r="62" spans="2:7" ht="14" x14ac:dyDescent="0.3">
      <c r="B62" s="3" t="s">
        <v>104</v>
      </c>
      <c r="C62" s="4">
        <f>C58+C61</f>
        <v>29744781.702009961</v>
      </c>
    </row>
    <row r="63" spans="2:7" ht="14" x14ac:dyDescent="0.3">
      <c r="B63" s="3" t="s">
        <v>105</v>
      </c>
      <c r="C63" s="4">
        <f>C62-C16</f>
        <v>28962299.702009961</v>
      </c>
    </row>
    <row r="64" spans="2:7" ht="14" x14ac:dyDescent="0.3">
      <c r="B64" s="3" t="s">
        <v>110</v>
      </c>
      <c r="C64" s="23">
        <f>ROUND(C63*1000000/C15,0)</f>
        <v>52924</v>
      </c>
    </row>
    <row r="66" spans="2:7" ht="14" x14ac:dyDescent="0.3">
      <c r="B66" s="21" t="s">
        <v>111</v>
      </c>
      <c r="C66" s="22"/>
      <c r="D66" s="22"/>
      <c r="E66" s="22"/>
      <c r="F66" s="22"/>
      <c r="G66" s="22"/>
    </row>
    <row r="67" spans="2:7" ht="14" x14ac:dyDescent="0.3">
      <c r="C67" s="24" t="s">
        <v>112</v>
      </c>
      <c r="D67" s="24" t="s">
        <v>113</v>
      </c>
      <c r="E67" s="24" t="s">
        <v>114</v>
      </c>
      <c r="F67" s="24" t="s">
        <v>115</v>
      </c>
      <c r="G67" s="24" t="s">
        <v>116</v>
      </c>
    </row>
    <row r="68" spans="2:7" ht="14" x14ac:dyDescent="0.3">
      <c r="B68" s="2" t="s">
        <v>44</v>
      </c>
    </row>
    <row r="69" spans="2:7" ht="14" x14ac:dyDescent="0.3">
      <c r="B69" s="3" t="s">
        <v>80</v>
      </c>
      <c r="C69" s="25">
        <v>0.6</v>
      </c>
      <c r="D69" s="25">
        <v>0.3</v>
      </c>
      <c r="E69" s="25">
        <v>0.2</v>
      </c>
      <c r="F69" s="25">
        <v>0.15</v>
      </c>
      <c r="G69" s="25">
        <v>0.15</v>
      </c>
    </row>
    <row r="70" spans="2:7" ht="14" x14ac:dyDescent="0.3">
      <c r="B70" s="3" t="s">
        <v>117</v>
      </c>
      <c r="C70" s="25">
        <v>0.9</v>
      </c>
      <c r="D70" s="25">
        <v>0.45</v>
      </c>
      <c r="E70" s="25">
        <v>0.5</v>
      </c>
      <c r="F70" s="25">
        <v>0.35389999999999999</v>
      </c>
      <c r="G70" s="25">
        <v>0.3</v>
      </c>
    </row>
    <row r="71" spans="2:7" ht="14" x14ac:dyDescent="0.3">
      <c r="B71" s="3" t="s">
        <v>118</v>
      </c>
      <c r="C71" s="25">
        <v>0.6</v>
      </c>
      <c r="D71" s="25">
        <v>0.35389999999999999</v>
      </c>
      <c r="E71" s="25">
        <v>0.35389999999999999</v>
      </c>
      <c r="F71" s="25">
        <v>0.35389999999999999</v>
      </c>
      <c r="G71" s="25">
        <v>0.35389999999999999</v>
      </c>
    </row>
    <row r="72" spans="2:7" ht="14" x14ac:dyDescent="0.3">
      <c r="B72" s="3" t="s">
        <v>119</v>
      </c>
      <c r="C72" s="25">
        <v>-0.3</v>
      </c>
      <c r="D72" s="25">
        <v>-0.25</v>
      </c>
      <c r="E72" s="25">
        <v>0.05</v>
      </c>
      <c r="F72" s="25">
        <v>0.15</v>
      </c>
      <c r="G72" s="25">
        <v>0.1</v>
      </c>
    </row>
    <row r="73" spans="2:7" ht="14" x14ac:dyDescent="0.3">
      <c r="B73" s="3" t="s">
        <v>120</v>
      </c>
      <c r="C73" s="25">
        <v>-0.35</v>
      </c>
      <c r="D73" s="25">
        <v>-0.3</v>
      </c>
      <c r="E73" s="25">
        <v>-0.05</v>
      </c>
      <c r="F73" s="25">
        <v>0.05</v>
      </c>
      <c r="G73" s="25">
        <v>0.05</v>
      </c>
    </row>
    <row r="75" spans="2:7" ht="14" x14ac:dyDescent="0.3">
      <c r="B75" s="2" t="s">
        <v>87</v>
      </c>
    </row>
    <row r="76" spans="2:7" ht="14" x14ac:dyDescent="0.3">
      <c r="B76" s="3" t="s">
        <v>80</v>
      </c>
      <c r="C76" s="25">
        <v>0.6</v>
      </c>
      <c r="D76" s="25">
        <v>0.68</v>
      </c>
      <c r="E76" s="25">
        <v>0.64</v>
      </c>
      <c r="F76" s="25">
        <v>0.56999999999999995</v>
      </c>
      <c r="G76" s="25">
        <v>0.57999999999999996</v>
      </c>
    </row>
    <row r="77" spans="2:7" ht="14" x14ac:dyDescent="0.3">
      <c r="B77" s="3" t="s">
        <v>117</v>
      </c>
      <c r="C77" s="25">
        <v>0.56999999999999995</v>
      </c>
      <c r="D77" s="25">
        <v>0.6</v>
      </c>
      <c r="E77" s="25">
        <v>0.57999999999999996</v>
      </c>
      <c r="F77" s="25">
        <v>0.56000000000000005</v>
      </c>
      <c r="G77" s="25">
        <v>0.55000000000000004</v>
      </c>
    </row>
    <row r="78" spans="2:7" ht="14" x14ac:dyDescent="0.3">
      <c r="B78" s="3" t="s">
        <v>118</v>
      </c>
      <c r="C78" s="25">
        <v>0.61</v>
      </c>
      <c r="D78" s="25">
        <v>0.66</v>
      </c>
      <c r="E78" s="25">
        <v>0.63</v>
      </c>
      <c r="F78" s="25">
        <v>0.59</v>
      </c>
      <c r="G78" s="25">
        <v>0.59</v>
      </c>
    </row>
    <row r="79" spans="2:7" ht="14" x14ac:dyDescent="0.3">
      <c r="B79" s="3" t="s">
        <v>119</v>
      </c>
      <c r="C79" s="25">
        <v>0.72</v>
      </c>
      <c r="D79" s="25">
        <v>0.85</v>
      </c>
      <c r="E79" s="25">
        <v>0.78</v>
      </c>
      <c r="F79" s="25">
        <v>0.7</v>
      </c>
      <c r="G79" s="25">
        <v>0.68</v>
      </c>
    </row>
    <row r="80" spans="2:7" ht="14" x14ac:dyDescent="0.3">
      <c r="B80" s="3" t="s">
        <v>120</v>
      </c>
      <c r="C80" s="25">
        <v>0.78</v>
      </c>
      <c r="D80" s="25">
        <v>0.95</v>
      </c>
      <c r="E80" s="25">
        <v>0.92</v>
      </c>
      <c r="F80" s="25">
        <v>0.85</v>
      </c>
      <c r="G80" s="25">
        <v>0.82</v>
      </c>
    </row>
    <row r="82" spans="2:7" ht="14" x14ac:dyDescent="0.3">
      <c r="B82" s="2" t="s">
        <v>88</v>
      </c>
    </row>
    <row r="83" spans="2:7" ht="14" x14ac:dyDescent="0.3">
      <c r="B83" s="3" t="s">
        <v>80</v>
      </c>
      <c r="C83" s="25">
        <v>6.5000000000000002E-2</v>
      </c>
      <c r="D83" s="25">
        <v>7.4999999999999997E-2</v>
      </c>
      <c r="E83" s="25">
        <v>7.0000000000000007E-2</v>
      </c>
      <c r="F83" s="25">
        <v>0.06</v>
      </c>
      <c r="G83" s="25">
        <v>6.2E-2</v>
      </c>
    </row>
    <row r="84" spans="2:7" ht="14" x14ac:dyDescent="0.3">
      <c r="B84" s="3" t="s">
        <v>117</v>
      </c>
      <c r="C84" s="25">
        <v>0.06</v>
      </c>
      <c r="D84" s="25">
        <v>6.5000000000000002E-2</v>
      </c>
      <c r="E84" s="25">
        <v>6.2E-2</v>
      </c>
      <c r="F84" s="25">
        <v>5.8000000000000003E-2</v>
      </c>
      <c r="G84" s="25">
        <v>5.8000000000000003E-2</v>
      </c>
    </row>
    <row r="85" spans="2:7" ht="14" x14ac:dyDescent="0.3">
      <c r="B85" s="3" t="s">
        <v>118</v>
      </c>
      <c r="C85" s="25">
        <v>6.3E-2</v>
      </c>
      <c r="D85" s="25">
        <v>7.0000000000000007E-2</v>
      </c>
      <c r="E85" s="25">
        <v>6.7000000000000004E-2</v>
      </c>
      <c r="F85" s="25">
        <v>6.2E-2</v>
      </c>
      <c r="G85" s="25">
        <v>6.2E-2</v>
      </c>
    </row>
    <row r="86" spans="2:7" ht="14" x14ac:dyDescent="0.3">
      <c r="B86" s="3" t="s">
        <v>119</v>
      </c>
      <c r="C86" s="25">
        <v>0.08</v>
      </c>
      <c r="D86" s="25">
        <v>9.5000000000000001E-2</v>
      </c>
      <c r="E86" s="25">
        <v>8.7999999999999995E-2</v>
      </c>
      <c r="F86" s="25">
        <v>7.8E-2</v>
      </c>
      <c r="G86" s="25">
        <v>7.4999999999999997E-2</v>
      </c>
    </row>
    <row r="87" spans="2:7" ht="14" x14ac:dyDescent="0.3">
      <c r="B87" s="3" t="s">
        <v>120</v>
      </c>
      <c r="C87" s="25">
        <v>8.5000000000000006E-2</v>
      </c>
      <c r="D87" s="25">
        <v>0.105</v>
      </c>
      <c r="E87" s="25">
        <v>0.1</v>
      </c>
      <c r="F87" s="25">
        <v>9.1999999999999998E-2</v>
      </c>
      <c r="G87" s="25">
        <v>8.7999999999999995E-2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topLeftCell="A10"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121</v>
      </c>
    </row>
    <row r="4" spans="2:8" ht="14" x14ac:dyDescent="0.3">
      <c r="B4" s="7" t="s">
        <v>122</v>
      </c>
      <c r="C4" s="26" t="s">
        <v>123</v>
      </c>
      <c r="D4" s="26" t="s">
        <v>82</v>
      </c>
      <c r="E4" s="26" t="s">
        <v>83</v>
      </c>
      <c r="F4" s="26" t="s">
        <v>84</v>
      </c>
      <c r="G4" s="26" t="s">
        <v>85</v>
      </c>
      <c r="H4" s="26" t="s">
        <v>86</v>
      </c>
    </row>
    <row r="5" spans="2:8" ht="14" x14ac:dyDescent="0.3">
      <c r="B5" s="27" t="s">
        <v>124</v>
      </c>
      <c r="C5" s="28">
        <f>C12/C9*365</f>
        <v>103.14046332436128</v>
      </c>
      <c r="D5" s="28">
        <f>CHOOSE('DCF Model'!$D$27,D25,D26,D27,D28,D29)</f>
        <v>100</v>
      </c>
      <c r="E5" s="28">
        <f>CHOOSE('DCF Model'!$D$27,E25,E26,E27,E28,E29)</f>
        <v>98</v>
      </c>
      <c r="F5" s="28">
        <f>CHOOSE('DCF Model'!$D$27,F25,F26,F27,F28,F29)</f>
        <v>96</v>
      </c>
      <c r="G5" s="28">
        <f>CHOOSE('DCF Model'!$D$27,G25,G26,G27,G28,G29)</f>
        <v>95</v>
      </c>
      <c r="H5" s="28">
        <f>CHOOSE('DCF Model'!$D$27,H25,H26,H27,H28,H29)</f>
        <v>95</v>
      </c>
    </row>
    <row r="6" spans="2:8" ht="14" x14ac:dyDescent="0.3">
      <c r="B6" s="27" t="s">
        <v>125</v>
      </c>
      <c r="C6" s="28">
        <f>C13/C10*365</f>
        <v>113.68660943713557</v>
      </c>
      <c r="D6" s="28">
        <f>CHOOSE('DCF Model'!$D$27,D32,D33,D34,D35,D36)</f>
        <v>115</v>
      </c>
      <c r="E6" s="28">
        <f>CHOOSE('DCF Model'!$D$27,E32,E33,E34,E35,E36)</f>
        <v>125</v>
      </c>
      <c r="F6" s="28">
        <f>CHOOSE('DCF Model'!$D$27,F32,F33,F34,F35,F36)</f>
        <v>118</v>
      </c>
      <c r="G6" s="28">
        <f>CHOOSE('DCF Model'!$D$27,G32,G33,G34,G35,G36)</f>
        <v>108</v>
      </c>
      <c r="H6" s="28">
        <f>CHOOSE('DCF Model'!$D$27,H32,H33,H34,H35,H36)</f>
        <v>108</v>
      </c>
    </row>
    <row r="7" spans="2:8" ht="14" x14ac:dyDescent="0.3">
      <c r="B7" s="27" t="s">
        <v>126</v>
      </c>
      <c r="C7" s="28">
        <f>C15/C10*365</f>
        <v>163.91694043438483</v>
      </c>
      <c r="D7" s="28">
        <f>CHOOSE('DCF Model'!$D$27,D39,D40,D41,D42,D43)</f>
        <v>160</v>
      </c>
      <c r="E7" s="28">
        <f>CHOOSE('DCF Model'!$D$27,E39,E40,E41,E42,E43)</f>
        <v>158</v>
      </c>
      <c r="F7" s="28">
        <f>CHOOSE('DCF Model'!$D$27,F39,F40,F41,F42,F43)</f>
        <v>158</v>
      </c>
      <c r="G7" s="28">
        <f>CHOOSE('DCF Model'!$D$27,G39,G40,G41,G42,G43)</f>
        <v>160</v>
      </c>
      <c r="H7" s="28">
        <f>CHOOSE('DCF Model'!$D$27,H39,H40,H41,H42,H43)</f>
        <v>160</v>
      </c>
    </row>
    <row r="8" spans="2:8" ht="14" x14ac:dyDescent="0.3">
      <c r="B8" s="7" t="s">
        <v>127</v>
      </c>
      <c r="C8" s="8"/>
      <c r="D8" s="8"/>
      <c r="E8" s="8"/>
      <c r="F8" s="8"/>
      <c r="G8" s="8"/>
      <c r="H8" s="8"/>
    </row>
    <row r="9" spans="2:8" ht="14" x14ac:dyDescent="0.3">
      <c r="B9" s="27" t="s">
        <v>35</v>
      </c>
      <c r="C9" s="29">
        <v>2337628</v>
      </c>
      <c r="D9" s="29">
        <f>'DCF Model'!C33</f>
        <v>3740204.8000000003</v>
      </c>
      <c r="E9" s="29">
        <f>'DCF Model'!D33</f>
        <v>4862266.24</v>
      </c>
      <c r="F9" s="29">
        <f>'DCF Model'!E33</f>
        <v>5834719.4879999999</v>
      </c>
      <c r="G9" s="29">
        <f>'DCF Model'!F33</f>
        <v>6709927.411199999</v>
      </c>
      <c r="H9" s="29">
        <f>'DCF Model'!G33</f>
        <v>7716416.5228799982</v>
      </c>
    </row>
    <row r="10" spans="2:8" ht="14" x14ac:dyDescent="0.3">
      <c r="B10" s="27" t="s">
        <v>36</v>
      </c>
      <c r="C10" s="29">
        <v>1324724</v>
      </c>
      <c r="D10" s="29">
        <f>'DCF Model'!C34</f>
        <v>2244122.88</v>
      </c>
      <c r="E10" s="29">
        <f>'DCF Model'!D34</f>
        <v>3306341.0432000002</v>
      </c>
      <c r="F10" s="29">
        <f>'DCF Model'!E34</f>
        <v>3734220.4723200002</v>
      </c>
      <c r="G10" s="29">
        <f>'DCF Model'!F34</f>
        <v>3824658.624383999</v>
      </c>
      <c r="H10" s="29">
        <f>'DCF Model'!G34</f>
        <v>4475521.5832703989</v>
      </c>
    </row>
    <row r="11" spans="2:8" ht="14" x14ac:dyDescent="0.3">
      <c r="B11" s="7" t="s">
        <v>128</v>
      </c>
      <c r="C11" s="8"/>
      <c r="D11" s="8"/>
      <c r="E11" s="8"/>
      <c r="F11" s="8"/>
      <c r="G11" s="8"/>
      <c r="H11" s="8"/>
    </row>
    <row r="12" spans="2:8" ht="14" x14ac:dyDescent="0.3">
      <c r="B12" s="27" t="s">
        <v>129</v>
      </c>
      <c r="C12" s="29">
        <v>660559</v>
      </c>
      <c r="D12" s="29">
        <f t="shared" ref="D12:H13" si="0">D9*D5/365</f>
        <v>1024713.6438356164</v>
      </c>
      <c r="E12" s="29">
        <f t="shared" si="0"/>
        <v>1305485.1822465754</v>
      </c>
      <c r="F12" s="29">
        <f t="shared" si="0"/>
        <v>1534611.1530082193</v>
      </c>
      <c r="G12" s="29">
        <f t="shared" si="0"/>
        <v>1746419.4631890408</v>
      </c>
      <c r="H12" s="29">
        <f t="shared" si="0"/>
        <v>2008382.3826673969</v>
      </c>
    </row>
    <row r="13" spans="2:8" ht="14" x14ac:dyDescent="0.3">
      <c r="B13" s="27" t="s">
        <v>130</v>
      </c>
      <c r="C13" s="29">
        <v>412612</v>
      </c>
      <c r="D13" s="29">
        <f t="shared" si="0"/>
        <v>707052.41424657532</v>
      </c>
      <c r="E13" s="29">
        <f t="shared" si="0"/>
        <v>1132308.5764383562</v>
      </c>
      <c r="F13" s="29">
        <f t="shared" si="0"/>
        <v>1207227.4403664658</v>
      </c>
      <c r="G13" s="29">
        <f t="shared" si="0"/>
        <v>1131679.8121464984</v>
      </c>
      <c r="H13" s="29">
        <f t="shared" si="0"/>
        <v>1324263.9205293236</v>
      </c>
    </row>
    <row r="14" spans="2:8" ht="14" x14ac:dyDescent="0.3">
      <c r="B14" s="27" t="s">
        <v>131</v>
      </c>
      <c r="C14" s="29">
        <f t="shared" ref="C14:H14" si="1">C12+C13</f>
        <v>1073171</v>
      </c>
      <c r="D14" s="29">
        <f t="shared" si="1"/>
        <v>1731766.0580821917</v>
      </c>
      <c r="E14" s="29">
        <f t="shared" si="1"/>
        <v>2437793.7586849313</v>
      </c>
      <c r="F14" s="29">
        <f t="shared" si="1"/>
        <v>2741838.5933746854</v>
      </c>
      <c r="G14" s="29">
        <f t="shared" si="1"/>
        <v>2878099.2753355391</v>
      </c>
      <c r="H14" s="29">
        <f t="shared" si="1"/>
        <v>3332646.3031967208</v>
      </c>
    </row>
    <row r="15" spans="2:8" ht="14" x14ac:dyDescent="0.3">
      <c r="B15" s="27" t="s">
        <v>132</v>
      </c>
      <c r="C15" s="29">
        <v>594917</v>
      </c>
      <c r="D15" s="29">
        <f>D10*D7/365</f>
        <v>983725.09808219166</v>
      </c>
      <c r="E15" s="29">
        <f>E10*E7/365</f>
        <v>1431238.0406180823</v>
      </c>
      <c r="F15" s="29">
        <f>F10*F7/365</f>
        <v>1616457.0811686574</v>
      </c>
      <c r="G15" s="29">
        <f>G10*G7/365</f>
        <v>1676562.6846614792</v>
      </c>
      <c r="H15" s="29">
        <f>H10*H7/365</f>
        <v>1961872.4748582572</v>
      </c>
    </row>
    <row r="16" spans="2:8" ht="14" x14ac:dyDescent="0.3">
      <c r="B16" s="27" t="s">
        <v>133</v>
      </c>
      <c r="C16" s="29">
        <f t="shared" ref="C16:H16" si="2">C15</f>
        <v>594917</v>
      </c>
      <c r="D16" s="29">
        <f t="shared" si="2"/>
        <v>983725.09808219166</v>
      </c>
      <c r="E16" s="29">
        <f t="shared" si="2"/>
        <v>1431238.0406180823</v>
      </c>
      <c r="F16" s="29">
        <f t="shared" si="2"/>
        <v>1616457.0811686574</v>
      </c>
      <c r="G16" s="29">
        <f t="shared" si="2"/>
        <v>1676562.6846614792</v>
      </c>
      <c r="H16" s="29">
        <f t="shared" si="2"/>
        <v>1961872.4748582572</v>
      </c>
    </row>
    <row r="17" spans="2:8" ht="14" x14ac:dyDescent="0.3">
      <c r="B17" s="21" t="s">
        <v>134</v>
      </c>
      <c r="C17" s="22"/>
      <c r="D17" s="22"/>
      <c r="E17" s="22"/>
      <c r="F17" s="22"/>
      <c r="G17" s="22"/>
      <c r="H17" s="22"/>
    </row>
    <row r="18" spans="2:8" ht="14" x14ac:dyDescent="0.3">
      <c r="B18" s="27" t="s">
        <v>135</v>
      </c>
      <c r="C18" s="19">
        <f t="shared" ref="C18:H18" si="3">C14-C16</f>
        <v>478254</v>
      </c>
      <c r="D18" s="19">
        <f t="shared" si="3"/>
        <v>748040.96000000008</v>
      </c>
      <c r="E18" s="19">
        <f t="shared" si="3"/>
        <v>1006555.718066849</v>
      </c>
      <c r="F18" s="19">
        <f t="shared" si="3"/>
        <v>1125381.512206028</v>
      </c>
      <c r="G18" s="19">
        <f t="shared" si="3"/>
        <v>1201536.5906740599</v>
      </c>
      <c r="H18" s="19">
        <f t="shared" si="3"/>
        <v>1370773.8283384636</v>
      </c>
    </row>
    <row r="19" spans="2:8" ht="14" x14ac:dyDescent="0.3">
      <c r="B19" s="27" t="s">
        <v>96</v>
      </c>
      <c r="C19" s="30" t="s">
        <v>45</v>
      </c>
      <c r="D19" s="23">
        <f>D18-C18</f>
        <v>269786.96000000008</v>
      </c>
      <c r="E19" s="23">
        <f>E18-D18</f>
        <v>258514.75806684897</v>
      </c>
      <c r="F19" s="23">
        <f>F18-E18</f>
        <v>118825.79413917894</v>
      </c>
      <c r="G19" s="23">
        <f>G18-F18</f>
        <v>76155.078468031948</v>
      </c>
      <c r="H19" s="23">
        <f>H18-G18</f>
        <v>169237.23766440363</v>
      </c>
    </row>
    <row r="22" spans="2:8" ht="14" x14ac:dyDescent="0.3">
      <c r="B22" s="21" t="s">
        <v>136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82</v>
      </c>
      <c r="E23" s="24" t="s">
        <v>83</v>
      </c>
      <c r="F23" s="24" t="s">
        <v>84</v>
      </c>
      <c r="G23" s="24" t="s">
        <v>85</v>
      </c>
      <c r="H23" s="24" t="s">
        <v>86</v>
      </c>
    </row>
    <row r="24" spans="2:8" ht="14" x14ac:dyDescent="0.3">
      <c r="B24" s="2" t="s">
        <v>137</v>
      </c>
    </row>
    <row r="25" spans="2:8" ht="14" x14ac:dyDescent="0.3">
      <c r="B25" s="3" t="s">
        <v>80</v>
      </c>
      <c r="D25" s="31">
        <v>100</v>
      </c>
      <c r="E25" s="31">
        <v>98</v>
      </c>
      <c r="F25" s="31">
        <v>96</v>
      </c>
      <c r="G25" s="31">
        <v>95</v>
      </c>
      <c r="H25" s="31">
        <v>95</v>
      </c>
    </row>
    <row r="26" spans="2:8" ht="14" x14ac:dyDescent="0.3">
      <c r="B26" s="3" t="s">
        <v>117</v>
      </c>
      <c r="D26" s="31">
        <v>98</v>
      </c>
      <c r="E26" s="31">
        <v>95</v>
      </c>
      <c r="F26" s="31">
        <v>93</v>
      </c>
      <c r="G26" s="31">
        <v>92</v>
      </c>
      <c r="H26" s="31">
        <v>90</v>
      </c>
    </row>
    <row r="27" spans="2:8" ht="14" x14ac:dyDescent="0.3">
      <c r="B27" s="3" t="s">
        <v>118</v>
      </c>
      <c r="D27" s="31">
        <v>100</v>
      </c>
      <c r="E27" s="31">
        <v>98</v>
      </c>
      <c r="F27" s="31">
        <v>96</v>
      </c>
      <c r="G27" s="31">
        <v>95</v>
      </c>
      <c r="H27" s="31">
        <v>95</v>
      </c>
    </row>
    <row r="28" spans="2:8" ht="14" x14ac:dyDescent="0.3">
      <c r="B28" s="3" t="s">
        <v>119</v>
      </c>
      <c r="D28" s="31">
        <v>105</v>
      </c>
      <c r="E28" s="31">
        <v>110</v>
      </c>
      <c r="F28" s="31">
        <v>108</v>
      </c>
      <c r="G28" s="31">
        <v>105</v>
      </c>
      <c r="H28" s="31">
        <v>103</v>
      </c>
    </row>
    <row r="29" spans="2:8" ht="14" x14ac:dyDescent="0.3">
      <c r="B29" s="3" t="s">
        <v>120</v>
      </c>
      <c r="D29" s="31">
        <v>110</v>
      </c>
      <c r="E29" s="31">
        <v>118</v>
      </c>
      <c r="F29" s="31">
        <v>118</v>
      </c>
      <c r="G29" s="31">
        <v>115</v>
      </c>
      <c r="H29" s="31">
        <v>115</v>
      </c>
    </row>
    <row r="31" spans="2:8" ht="14" x14ac:dyDescent="0.3">
      <c r="B31" s="2" t="s">
        <v>138</v>
      </c>
    </row>
    <row r="32" spans="2:8" ht="14" x14ac:dyDescent="0.3">
      <c r="B32" s="3" t="s">
        <v>80</v>
      </c>
      <c r="D32" s="31">
        <v>115</v>
      </c>
      <c r="E32" s="31">
        <v>125</v>
      </c>
      <c r="F32" s="31">
        <v>118</v>
      </c>
      <c r="G32" s="31">
        <v>108</v>
      </c>
      <c r="H32" s="31">
        <v>108</v>
      </c>
    </row>
    <row r="33" spans="2:8" ht="14" x14ac:dyDescent="0.3">
      <c r="B33" s="3" t="s">
        <v>117</v>
      </c>
      <c r="D33" s="31">
        <v>110</v>
      </c>
      <c r="E33" s="31">
        <v>112</v>
      </c>
      <c r="F33" s="31">
        <v>105</v>
      </c>
      <c r="G33" s="31">
        <v>100</v>
      </c>
      <c r="H33" s="31">
        <v>98</v>
      </c>
    </row>
    <row r="34" spans="2:8" ht="14" x14ac:dyDescent="0.3">
      <c r="B34" s="3" t="s">
        <v>118</v>
      </c>
      <c r="D34" s="31">
        <v>115</v>
      </c>
      <c r="E34" s="31">
        <v>122</v>
      </c>
      <c r="F34" s="31">
        <v>116</v>
      </c>
      <c r="G34" s="31">
        <v>108</v>
      </c>
      <c r="H34" s="31">
        <v>108</v>
      </c>
    </row>
    <row r="35" spans="2:8" ht="14" x14ac:dyDescent="0.3">
      <c r="B35" s="3" t="s">
        <v>119</v>
      </c>
      <c r="D35" s="31">
        <v>130</v>
      </c>
      <c r="E35" s="31">
        <v>150</v>
      </c>
      <c r="F35" s="31">
        <v>140</v>
      </c>
      <c r="G35" s="31">
        <v>125</v>
      </c>
      <c r="H35" s="31">
        <v>120</v>
      </c>
    </row>
    <row r="36" spans="2:8" ht="14" x14ac:dyDescent="0.3">
      <c r="B36" s="3" t="s">
        <v>120</v>
      </c>
      <c r="D36" s="31">
        <v>145</v>
      </c>
      <c r="E36" s="31">
        <v>175</v>
      </c>
      <c r="F36" s="31">
        <v>170</v>
      </c>
      <c r="G36" s="31">
        <v>160</v>
      </c>
      <c r="H36" s="31">
        <v>155</v>
      </c>
    </row>
    <row r="38" spans="2:8" ht="14" x14ac:dyDescent="0.3">
      <c r="B38" s="2" t="s">
        <v>139</v>
      </c>
    </row>
    <row r="39" spans="2:8" ht="14" x14ac:dyDescent="0.3">
      <c r="B39" s="3" t="s">
        <v>80</v>
      </c>
      <c r="D39" s="31">
        <v>160</v>
      </c>
      <c r="E39" s="31">
        <v>158</v>
      </c>
      <c r="F39" s="31">
        <v>158</v>
      </c>
      <c r="G39" s="31">
        <v>160</v>
      </c>
      <c r="H39" s="31">
        <v>160</v>
      </c>
    </row>
    <row r="40" spans="2:8" ht="14" x14ac:dyDescent="0.3">
      <c r="B40" s="3" t="s">
        <v>117</v>
      </c>
      <c r="D40" s="31">
        <v>162</v>
      </c>
      <c r="E40" s="31">
        <v>162</v>
      </c>
      <c r="F40" s="31">
        <v>165</v>
      </c>
      <c r="G40" s="31">
        <v>165</v>
      </c>
      <c r="H40" s="31">
        <v>165</v>
      </c>
    </row>
    <row r="41" spans="2:8" ht="14" x14ac:dyDescent="0.3">
      <c r="B41" s="3" t="s">
        <v>118</v>
      </c>
      <c r="D41" s="31">
        <v>160</v>
      </c>
      <c r="E41" s="31">
        <v>160</v>
      </c>
      <c r="F41" s="31">
        <v>160</v>
      </c>
      <c r="G41" s="31">
        <v>160</v>
      </c>
      <c r="H41" s="31">
        <v>160</v>
      </c>
    </row>
    <row r="42" spans="2:8" ht="14" x14ac:dyDescent="0.3">
      <c r="B42" s="3" t="s">
        <v>119</v>
      </c>
      <c r="D42" s="31">
        <v>155</v>
      </c>
      <c r="E42" s="31">
        <v>148</v>
      </c>
      <c r="F42" s="31">
        <v>150</v>
      </c>
      <c r="G42" s="31">
        <v>155</v>
      </c>
      <c r="H42" s="31">
        <v>155</v>
      </c>
    </row>
    <row r="43" spans="2:8" ht="14" x14ac:dyDescent="0.3">
      <c r="B43" s="3" t="s">
        <v>120</v>
      </c>
      <c r="D43" s="31">
        <v>150</v>
      </c>
      <c r="E43" s="31">
        <v>140</v>
      </c>
      <c r="F43" s="31">
        <v>142</v>
      </c>
      <c r="G43" s="31">
        <v>145</v>
      </c>
      <c r="H43" s="31">
        <v>148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140</v>
      </c>
    </row>
    <row r="4" spans="2:15" ht="28" x14ac:dyDescent="0.3">
      <c r="B4" s="9" t="s">
        <v>3</v>
      </c>
      <c r="C4" s="9" t="s">
        <v>5</v>
      </c>
      <c r="D4" s="9" t="s">
        <v>141</v>
      </c>
      <c r="E4" s="9" t="s">
        <v>142</v>
      </c>
      <c r="F4" s="9" t="s">
        <v>143</v>
      </c>
      <c r="G4" s="9" t="s">
        <v>144</v>
      </c>
      <c r="H4" s="9" t="s">
        <v>145</v>
      </c>
      <c r="I4" s="9" t="s">
        <v>146</v>
      </c>
      <c r="J4" s="9" t="s">
        <v>147</v>
      </c>
      <c r="K4" s="9" t="s">
        <v>148</v>
      </c>
      <c r="L4" s="9" t="s">
        <v>149</v>
      </c>
      <c r="M4" s="9" t="s">
        <v>150</v>
      </c>
      <c r="N4" s="9" t="s">
        <v>151</v>
      </c>
      <c r="O4" s="9" t="s">
        <v>152</v>
      </c>
    </row>
    <row r="5" spans="2:15" ht="14" x14ac:dyDescent="0.3">
      <c r="B5" s="3" t="s">
        <v>153</v>
      </c>
      <c r="C5" t="s">
        <v>154</v>
      </c>
      <c r="D5" s="32">
        <v>21780257</v>
      </c>
      <c r="E5" s="32">
        <v>22562739</v>
      </c>
      <c r="F5" s="32">
        <v>2337628</v>
      </c>
      <c r="G5" s="32">
        <v>1183195</v>
      </c>
      <c r="H5" s="32">
        <v>870369</v>
      </c>
      <c r="I5" s="32">
        <v>554490</v>
      </c>
      <c r="J5" s="33">
        <f>E5/G5</f>
        <v>19.069332612122263</v>
      </c>
      <c r="K5" s="33">
        <f>E5/F5</f>
        <v>9.6519801268636414</v>
      </c>
      <c r="L5" s="33">
        <f>D5/I5</f>
        <v>39.279801258814409</v>
      </c>
      <c r="M5" s="33">
        <v>15.569236894795949</v>
      </c>
      <c r="N5" s="34">
        <f>H5/F5</f>
        <v>0.37232998578045778</v>
      </c>
      <c r="O5" s="34">
        <v>0.39636750685703143</v>
      </c>
    </row>
    <row r="6" spans="2:15" ht="14" x14ac:dyDescent="0.3">
      <c r="B6" s="3" t="s">
        <v>155</v>
      </c>
      <c r="C6" t="s">
        <v>156</v>
      </c>
      <c r="D6" s="32">
        <v>24590922</v>
      </c>
      <c r="E6" s="32">
        <v>23980399</v>
      </c>
      <c r="F6" s="32">
        <v>2155057</v>
      </c>
      <c r="G6" s="32">
        <v>901972</v>
      </c>
      <c r="H6" s="32">
        <v>877780</v>
      </c>
      <c r="I6" s="32">
        <v>736714</v>
      </c>
      <c r="J6" s="33">
        <f>E6/G6</f>
        <v>26.586633509687662</v>
      </c>
      <c r="K6" s="33">
        <f>E6/F6</f>
        <v>11.127501035935476</v>
      </c>
      <c r="L6" s="33">
        <f>D6/I6</f>
        <v>33.3791973547401</v>
      </c>
      <c r="M6" s="33">
        <v>10.919650548759581</v>
      </c>
      <c r="N6" s="34">
        <f>H6/F6</f>
        <v>0.40731173235789125</v>
      </c>
      <c r="O6" s="34">
        <v>0.32713939861136032</v>
      </c>
    </row>
    <row r="7" spans="2:15" ht="14" x14ac:dyDescent="0.3">
      <c r="B7" s="3" t="s">
        <v>157</v>
      </c>
      <c r="C7" t="s">
        <v>158</v>
      </c>
      <c r="D7" s="32">
        <v>136426985</v>
      </c>
      <c r="E7" s="32">
        <v>133383523</v>
      </c>
      <c r="F7" s="32">
        <v>14756188</v>
      </c>
      <c r="G7" s="32">
        <v>15345788</v>
      </c>
      <c r="H7" s="32">
        <v>9683861</v>
      </c>
      <c r="I7" s="32">
        <v>8249663</v>
      </c>
      <c r="J7" s="33">
        <f>E7/G7</f>
        <v>8.6918653509353838</v>
      </c>
      <c r="K7" s="33">
        <f>E7/F7</f>
        <v>9.0391585550414515</v>
      </c>
      <c r="L7" s="33">
        <f>D7/I7</f>
        <v>16.537279765246168</v>
      </c>
      <c r="M7" s="33">
        <v>8.2862078631126845</v>
      </c>
      <c r="N7" s="34">
        <f>H7/F7</f>
        <v>0.65625763239123813</v>
      </c>
      <c r="O7" s="34">
        <v>0.50106232589270938</v>
      </c>
    </row>
    <row r="8" spans="2:15" ht="14" x14ac:dyDescent="0.3">
      <c r="B8" s="3" t="s">
        <v>159</v>
      </c>
      <c r="C8" t="s">
        <v>160</v>
      </c>
      <c r="D8" s="32">
        <v>115787065</v>
      </c>
      <c r="E8" s="32">
        <v>116902152</v>
      </c>
      <c r="F8" s="32">
        <v>11015461</v>
      </c>
      <c r="G8" s="32">
        <v>6932262</v>
      </c>
      <c r="H8" s="32">
        <v>5352725</v>
      </c>
      <c r="I8" s="32">
        <v>4866618</v>
      </c>
      <c r="J8" s="33">
        <f>E8/G8</f>
        <v>16.863493041665187</v>
      </c>
      <c r="K8" s="33">
        <f>E8/F8</f>
        <v>10.612551939496676</v>
      </c>
      <c r="L8" s="33">
        <f>D8/I8</f>
        <v>23.7921005922388</v>
      </c>
      <c r="M8" s="33">
        <v>8.4624802383031685</v>
      </c>
      <c r="N8" s="34">
        <f>H8/F8</f>
        <v>0.48592836922576366</v>
      </c>
      <c r="O8" s="34">
        <v>0.35568445104270058</v>
      </c>
    </row>
    <row r="14" spans="2:15" ht="14" x14ac:dyDescent="0.3">
      <c r="B14" s="2" t="s">
        <v>161</v>
      </c>
    </row>
    <row r="15" spans="2:15" ht="14" x14ac:dyDescent="0.3">
      <c r="B15" s="3" t="s">
        <v>162</v>
      </c>
      <c r="D15" s="33">
        <f t="shared" ref="D15:I15" si="0">PERCENTILE(J5:J8,0.25)</f>
        <v>14.820586118982735</v>
      </c>
      <c r="E15" s="33">
        <f t="shared" si="0"/>
        <v>9.4987747339080943</v>
      </c>
      <c r="F15" s="33">
        <f t="shared" si="0"/>
        <v>21.978395385490643</v>
      </c>
      <c r="G15" s="33">
        <f t="shared" si="0"/>
        <v>8.4184121445055471</v>
      </c>
      <c r="H15" s="34">
        <f t="shared" si="0"/>
        <v>0.39856629571353286</v>
      </c>
      <c r="I15" s="34">
        <f t="shared" si="0"/>
        <v>0.34854818793486553</v>
      </c>
    </row>
    <row r="16" spans="2:15" ht="14" x14ac:dyDescent="0.3">
      <c r="B16" s="3" t="s">
        <v>163</v>
      </c>
      <c r="D16" s="33">
        <f t="shared" ref="D16:I16" si="1">MEDIAN(J5:J8)</f>
        <v>17.966412826893723</v>
      </c>
      <c r="E16" s="33">
        <f t="shared" si="1"/>
        <v>10.132266033180159</v>
      </c>
      <c r="F16" s="33">
        <f t="shared" si="1"/>
        <v>28.585648973489448</v>
      </c>
      <c r="G16" s="33">
        <f t="shared" si="1"/>
        <v>9.6910653935313746</v>
      </c>
      <c r="H16" s="34">
        <f t="shared" si="1"/>
        <v>0.44662005079182743</v>
      </c>
      <c r="I16" s="34">
        <f t="shared" si="1"/>
        <v>0.376025978949866</v>
      </c>
    </row>
    <row r="17" spans="2:9" ht="14" x14ac:dyDescent="0.3">
      <c r="B17" s="3" t="s">
        <v>164</v>
      </c>
      <c r="D17" s="33">
        <f t="shared" ref="D17:I17" si="2">PERCENTILE(J5:J8,0.75)</f>
        <v>20.948657836513611</v>
      </c>
      <c r="E17" s="33">
        <f t="shared" si="2"/>
        <v>10.741289213606375</v>
      </c>
      <c r="F17" s="33">
        <f t="shared" si="2"/>
        <v>34.854348330758675</v>
      </c>
      <c r="G17" s="33">
        <f t="shared" si="2"/>
        <v>12.082047135268674</v>
      </c>
      <c r="H17" s="34">
        <f t="shared" si="2"/>
        <v>0.52851068501713228</v>
      </c>
      <c r="I17" s="34">
        <f t="shared" si="2"/>
        <v>0.42254121161595093</v>
      </c>
    </row>
    <row r="19" spans="2:9" ht="14" x14ac:dyDescent="0.3">
      <c r="B19" s="21" t="s">
        <v>165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166</v>
      </c>
    </row>
    <row r="21" spans="2:9" ht="14" x14ac:dyDescent="0.3">
      <c r="B21" s="3" t="s">
        <v>167</v>
      </c>
      <c r="C21" s="4">
        <v>1183195</v>
      </c>
    </row>
    <row r="22" spans="2:9" ht="14" x14ac:dyDescent="0.3">
      <c r="B22" s="3" t="s">
        <v>168</v>
      </c>
      <c r="C22" s="4">
        <v>554490</v>
      </c>
    </row>
    <row r="23" spans="2:9" ht="14" x14ac:dyDescent="0.3">
      <c r="B23" s="3" t="s">
        <v>169</v>
      </c>
      <c r="C23" s="14">
        <v>547242648</v>
      </c>
    </row>
    <row r="24" spans="2:9" ht="14" x14ac:dyDescent="0.3">
      <c r="B24" s="3" t="s">
        <v>69</v>
      </c>
      <c r="C24" s="4">
        <v>782482</v>
      </c>
    </row>
    <row r="26" spans="2:9" ht="14" x14ac:dyDescent="0.3">
      <c r="B26" s="2" t="s">
        <v>170</v>
      </c>
    </row>
    <row r="27" spans="2:9" ht="14" x14ac:dyDescent="0.3">
      <c r="B27" s="3" t="s">
        <v>171</v>
      </c>
      <c r="C27" s="23">
        <f>ROUND((C21*D16-C24)*1000000/C23,0)</f>
        <v>37415</v>
      </c>
    </row>
    <row r="28" spans="2:9" ht="14" x14ac:dyDescent="0.3">
      <c r="B28" s="3" t="s">
        <v>172</v>
      </c>
      <c r="C28" s="23">
        <f>ROUND(C22*F16*1000000/C23,0)</f>
        <v>28964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173</v>
      </c>
    </row>
    <row r="3" spans="2:9" ht="14" x14ac:dyDescent="0.3">
      <c r="B3" s="3" t="s">
        <v>174</v>
      </c>
      <c r="C3" s="15">
        <f>'DCF Model'!C26</f>
        <v>0.10986017955401099</v>
      </c>
      <c r="E3" s="3" t="s">
        <v>175</v>
      </c>
      <c r="F3" s="15">
        <f>'DCF Model'!C13</f>
        <v>0.02</v>
      </c>
      <c r="H3" s="3" t="s">
        <v>176</v>
      </c>
      <c r="I3" s="13">
        <f>'DCF Model'!C14</f>
        <v>14</v>
      </c>
    </row>
    <row r="5" spans="2:9" ht="14" x14ac:dyDescent="0.3">
      <c r="B5" s="2" t="s">
        <v>177</v>
      </c>
    </row>
    <row r="6" spans="2:9" ht="14" x14ac:dyDescent="0.3">
      <c r="B6" s="35" t="s">
        <v>178</v>
      </c>
      <c r="C6" s="36">
        <f>$F$3-0.0075</f>
        <v>1.2500000000000001E-2</v>
      </c>
      <c r="D6" s="36">
        <f>$F$3-0.005</f>
        <v>1.4999999999999999E-2</v>
      </c>
      <c r="E6" s="36">
        <f>$F$3-0.0025</f>
        <v>1.7500000000000002E-2</v>
      </c>
      <c r="F6" s="36">
        <f>$F$3</f>
        <v>0.02</v>
      </c>
      <c r="G6" s="36">
        <f>$F$3+0.0025</f>
        <v>2.2499999999999999E-2</v>
      </c>
      <c r="H6" s="36">
        <f>$F$3+0.005</f>
        <v>2.5000000000000001E-2</v>
      </c>
      <c r="I6" s="36">
        <f>$F$3+0.0075</f>
        <v>2.75E-2</v>
      </c>
    </row>
    <row r="7" spans="2:9" ht="13.5" x14ac:dyDescent="0.25">
      <c r="B7" s="34">
        <f>$C$3-0.015</f>
        <v>9.4860179554010993E-2</v>
      </c>
      <c r="C7" s="32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31639</v>
      </c>
      <c r="D7" s="32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32494</v>
      </c>
      <c r="E7" s="32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33405</v>
      </c>
      <c r="F7" s="32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34376</v>
      </c>
      <c r="G7" s="32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35415</v>
      </c>
      <c r="H7" s="32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36527</v>
      </c>
      <c r="I7" s="32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37723</v>
      </c>
    </row>
    <row r="8" spans="2:9" ht="13.5" x14ac:dyDescent="0.25">
      <c r="B8" s="34">
        <f>$C$3-0.01</f>
        <v>9.9860179554010997E-2</v>
      </c>
      <c r="C8" s="32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29536</v>
      </c>
      <c r="D8" s="32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30281</v>
      </c>
      <c r="E8" s="32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31072</v>
      </c>
      <c r="F8" s="32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31912</v>
      </c>
      <c r="G8" s="32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32806</v>
      </c>
      <c r="H8" s="32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33760</v>
      </c>
      <c r="I8" s="32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34779</v>
      </c>
    </row>
    <row r="9" spans="2:9" ht="13.5" x14ac:dyDescent="0.25">
      <c r="B9" s="34">
        <f>$C$3-0.005</f>
        <v>0.10486017955401099</v>
      </c>
      <c r="C9" s="32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27665</v>
      </c>
      <c r="D9" s="32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28318</v>
      </c>
      <c r="E9" s="32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29009</v>
      </c>
      <c r="F9" s="32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29741</v>
      </c>
      <c r="G9" s="32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30517</v>
      </c>
      <c r="H9" s="32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31342</v>
      </c>
      <c r="I9" s="32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32220</v>
      </c>
    </row>
    <row r="10" spans="2:9" ht="13.5" x14ac:dyDescent="0.25">
      <c r="B10" s="34">
        <f>$C$3</f>
        <v>0.10986017955401099</v>
      </c>
      <c r="C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25988</v>
      </c>
      <c r="D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26565</v>
      </c>
      <c r="E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27173</v>
      </c>
      <c r="F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27815</v>
      </c>
      <c r="G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28494</v>
      </c>
      <c r="H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29213</v>
      </c>
      <c r="I10" s="32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29975</v>
      </c>
    </row>
    <row r="11" spans="2:9" ht="13.5" x14ac:dyDescent="0.25">
      <c r="B11" s="34">
        <f>$C$3+0.005</f>
        <v>0.114860179554011</v>
      </c>
      <c r="C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24479</v>
      </c>
      <c r="D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24991</v>
      </c>
      <c r="E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25529</v>
      </c>
      <c r="F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26095</v>
      </c>
      <c r="G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26693</v>
      </c>
      <c r="H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27323</v>
      </c>
      <c r="I11" s="32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27990</v>
      </c>
    </row>
    <row r="12" spans="2:9" ht="13.5" x14ac:dyDescent="0.25">
      <c r="B12" s="34">
        <f>$C$3+0.01</f>
        <v>0.11986017955401099</v>
      </c>
      <c r="C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23112</v>
      </c>
      <c r="D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23569</v>
      </c>
      <c r="E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24048</v>
      </c>
      <c r="F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24551</v>
      </c>
      <c r="G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25079</v>
      </c>
      <c r="H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25636</v>
      </c>
      <c r="I12" s="32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26223</v>
      </c>
    </row>
    <row r="13" spans="2:9" ht="13.5" x14ac:dyDescent="0.25">
      <c r="B13" s="34">
        <f>$C$3+0.015</f>
        <v>0.12486017955401099</v>
      </c>
      <c r="C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21870</v>
      </c>
      <c r="D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22279</v>
      </c>
      <c r="E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22707</v>
      </c>
      <c r="F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23156</v>
      </c>
      <c r="G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23626</v>
      </c>
      <c r="H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24120</v>
      </c>
      <c r="I13" s="32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24640</v>
      </c>
    </row>
    <row r="16" spans="2:9" ht="14" x14ac:dyDescent="0.3">
      <c r="B16" s="2" t="s">
        <v>179</v>
      </c>
    </row>
    <row r="17" spans="2:9" ht="14" x14ac:dyDescent="0.3">
      <c r="B17" s="35" t="s">
        <v>180</v>
      </c>
      <c r="C17" s="37">
        <f>$I$3-3</f>
        <v>11</v>
      </c>
      <c r="D17" s="37">
        <f>$I$3-2</f>
        <v>12</v>
      </c>
      <c r="E17" s="37">
        <f>$I$3-1</f>
        <v>13</v>
      </c>
      <c r="F17" s="37">
        <f>$I$3</f>
        <v>14</v>
      </c>
      <c r="G17" s="37">
        <f>$I$3+1</f>
        <v>15</v>
      </c>
      <c r="H17" s="37">
        <f>$I$3+2</f>
        <v>16</v>
      </c>
      <c r="I17" s="37">
        <f>$I$3+3</f>
        <v>17</v>
      </c>
    </row>
    <row r="18" spans="2:9" ht="13.5" x14ac:dyDescent="0.25">
      <c r="B18" s="34">
        <f>$C$3-0.015</f>
        <v>9.4860179554010993E-2</v>
      </c>
      <c r="C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45820</v>
      </c>
      <c r="D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49406</v>
      </c>
      <c r="E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52992</v>
      </c>
      <c r="F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56578</v>
      </c>
      <c r="G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60164</v>
      </c>
      <c r="H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63750</v>
      </c>
      <c r="I18" s="32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67337</v>
      </c>
    </row>
    <row r="19" spans="2:9" ht="13.5" x14ac:dyDescent="0.25">
      <c r="B19" s="34">
        <f>$C$3-0.01</f>
        <v>9.9860179554010997E-2</v>
      </c>
      <c r="C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44811</v>
      </c>
      <c r="D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48317</v>
      </c>
      <c r="E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51822</v>
      </c>
      <c r="F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55327</v>
      </c>
      <c r="G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58833</v>
      </c>
      <c r="H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62338</v>
      </c>
      <c r="I19" s="32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65843</v>
      </c>
    </row>
    <row r="20" spans="2:9" ht="13.5" x14ac:dyDescent="0.25">
      <c r="B20" s="34">
        <f>$C$3-0.005</f>
        <v>0.10486017955401099</v>
      </c>
      <c r="C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43829</v>
      </c>
      <c r="D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47256</v>
      </c>
      <c r="E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50683</v>
      </c>
      <c r="F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54110</v>
      </c>
      <c r="G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57536</v>
      </c>
      <c r="H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60963</v>
      </c>
      <c r="I20" s="32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64390</v>
      </c>
    </row>
    <row r="21" spans="2:9" ht="13.5" x14ac:dyDescent="0.25">
      <c r="B21" s="34">
        <f>$C$3</f>
        <v>0.10986017955401099</v>
      </c>
      <c r="C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42873</v>
      </c>
      <c r="D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46223</v>
      </c>
      <c r="E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49574</v>
      </c>
      <c r="F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52924</v>
      </c>
      <c r="G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56274</v>
      </c>
      <c r="H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59625</v>
      </c>
      <c r="I21" s="32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62975</v>
      </c>
    </row>
    <row r="22" spans="2:9" ht="13.5" x14ac:dyDescent="0.25">
      <c r="B22" s="34">
        <f>$C$3+0.005</f>
        <v>0.114860179554011</v>
      </c>
      <c r="C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41942</v>
      </c>
      <c r="D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45218</v>
      </c>
      <c r="E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48494</v>
      </c>
      <c r="F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51770</v>
      </c>
      <c r="G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55045</v>
      </c>
      <c r="H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58321</v>
      </c>
      <c r="I22" s="32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61597</v>
      </c>
    </row>
    <row r="23" spans="2:9" ht="13.5" x14ac:dyDescent="0.25">
      <c r="B23" s="34">
        <f>$C$3+0.01</f>
        <v>0.11986017955401099</v>
      </c>
      <c r="C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41035</v>
      </c>
      <c r="D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44238</v>
      </c>
      <c r="E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47442</v>
      </c>
      <c r="F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50645</v>
      </c>
      <c r="G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53849</v>
      </c>
      <c r="H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57052</v>
      </c>
      <c r="I23" s="32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60255</v>
      </c>
    </row>
    <row r="24" spans="2:9" ht="13.5" x14ac:dyDescent="0.25">
      <c r="B24" s="34">
        <f>$C$3+0.015</f>
        <v>0.12486017955401099</v>
      </c>
      <c r="C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40152</v>
      </c>
      <c r="D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43284</v>
      </c>
      <c r="E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46417</v>
      </c>
      <c r="F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49550</v>
      </c>
      <c r="G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52683</v>
      </c>
      <c r="H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55816</v>
      </c>
      <c r="I24" s="32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58948</v>
      </c>
    </row>
    <row r="26" spans="2:9" ht="14" x14ac:dyDescent="0.3">
      <c r="B26" s="40" t="s">
        <v>181</v>
      </c>
      <c r="C26" s="39"/>
      <c r="D26" s="39"/>
      <c r="E26" s="39"/>
      <c r="F26" s="39"/>
      <c r="G26" s="39"/>
      <c r="H26" s="39"/>
      <c r="I26" s="39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2026-07-30T01:27:06Z</dcterms:created>
  <dcterms:modified xsi:type="dcterms:W3CDTF">2026-07-30T01:34:45Z</dcterms:modified>
</cp:coreProperties>
</file>