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2FC8C756-D7F0-43AB-93C5-18CA318D38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</sheets>
  <calcPr calcId="181029"/>
</workbook>
</file>

<file path=xl/calcChain.xml><?xml version="1.0" encoding="utf-8"?>
<calcChain xmlns="http://schemas.openxmlformats.org/spreadsheetml/2006/main">
  <c r="C6" i="6" l="1"/>
  <c r="I3" i="6"/>
  <c r="I17" i="6" s="1"/>
  <c r="F3" i="6"/>
  <c r="H6" i="6" s="1"/>
  <c r="D16" i="5"/>
  <c r="O12" i="5"/>
  <c r="N12" i="5"/>
  <c r="M12" i="5"/>
  <c r="L12" i="5"/>
  <c r="K12" i="5"/>
  <c r="J12" i="5"/>
  <c r="O11" i="5"/>
  <c r="N11" i="5"/>
  <c r="M11" i="5"/>
  <c r="L11" i="5"/>
  <c r="K11" i="5"/>
  <c r="J11" i="5"/>
  <c r="O10" i="5"/>
  <c r="N10" i="5"/>
  <c r="M10" i="5"/>
  <c r="K10" i="5"/>
  <c r="J10" i="5"/>
  <c r="O9" i="5"/>
  <c r="N9" i="5"/>
  <c r="M9" i="5"/>
  <c r="L9" i="5"/>
  <c r="K9" i="5"/>
  <c r="J9" i="5"/>
  <c r="D17" i="5" s="1"/>
  <c r="C28" i="5" s="1"/>
  <c r="O8" i="5"/>
  <c r="N8" i="5"/>
  <c r="M8" i="5"/>
  <c r="L8" i="5"/>
  <c r="K8" i="5"/>
  <c r="J8" i="5"/>
  <c r="O7" i="5"/>
  <c r="N7" i="5"/>
  <c r="M7" i="5"/>
  <c r="L7" i="5"/>
  <c r="K7" i="5"/>
  <c r="J7" i="5"/>
  <c r="O6" i="5"/>
  <c r="N6" i="5"/>
  <c r="M6" i="5"/>
  <c r="G17" i="5" s="1"/>
  <c r="L6" i="5"/>
  <c r="F17" i="5" s="1"/>
  <c r="C29" i="5" s="1"/>
  <c r="K6" i="5"/>
  <c r="J6" i="5"/>
  <c r="O5" i="5"/>
  <c r="N5" i="5"/>
  <c r="D5" i="5"/>
  <c r="M5" i="5" s="1"/>
  <c r="C16" i="4"/>
  <c r="C14" i="4"/>
  <c r="C18" i="4" s="1"/>
  <c r="C7" i="4"/>
  <c r="C6" i="4"/>
  <c r="C5" i="4"/>
  <c r="D27" i="3"/>
  <c r="F7" i="4" s="1"/>
  <c r="C25" i="3"/>
  <c r="C24" i="3"/>
  <c r="C23" i="3"/>
  <c r="C26" i="3" s="1"/>
  <c r="E28" i="2"/>
  <c r="D28" i="2"/>
  <c r="C28" i="2"/>
  <c r="E23" i="2"/>
  <c r="D23" i="2"/>
  <c r="C23" i="2"/>
  <c r="E21" i="2"/>
  <c r="E22" i="2" s="1"/>
  <c r="D21" i="2"/>
  <c r="D22" i="2" s="1"/>
  <c r="C21" i="2"/>
  <c r="C22" i="2" s="1"/>
  <c r="E16" i="2"/>
  <c r="D16" i="2"/>
  <c r="E15" i="2"/>
  <c r="D15" i="2"/>
  <c r="E14" i="2"/>
  <c r="D14" i="2"/>
  <c r="C14" i="2"/>
  <c r="E13" i="2"/>
  <c r="D13" i="2"/>
  <c r="C13" i="2"/>
  <c r="E8" i="2"/>
  <c r="E9" i="2" s="1"/>
  <c r="D8" i="2"/>
  <c r="D9" i="2" s="1"/>
  <c r="C8" i="2"/>
  <c r="C9" i="2" s="1"/>
  <c r="D19" i="1"/>
  <c r="D18" i="1"/>
  <c r="E16" i="5" l="1"/>
  <c r="H17" i="5"/>
  <c r="I17" i="5"/>
  <c r="H16" i="5"/>
  <c r="E5" i="5"/>
  <c r="K5" i="5" s="1"/>
  <c r="I18" i="5"/>
  <c r="F16" i="5"/>
  <c r="G16" i="5"/>
  <c r="D18" i="5"/>
  <c r="D17" i="6"/>
  <c r="C3" i="6"/>
  <c r="G46" i="3"/>
  <c r="F46" i="3"/>
  <c r="D46" i="3"/>
  <c r="C46" i="3"/>
  <c r="E46" i="3"/>
  <c r="E31" i="3"/>
  <c r="E6" i="4"/>
  <c r="G7" i="4"/>
  <c r="I16" i="5"/>
  <c r="E18" i="5"/>
  <c r="I6" i="6"/>
  <c r="F18" i="5"/>
  <c r="C17" i="6"/>
  <c r="C32" i="3"/>
  <c r="D32" i="3"/>
  <c r="C30" i="3"/>
  <c r="C33" i="3" s="1"/>
  <c r="F31" i="3"/>
  <c r="D5" i="4"/>
  <c r="F6" i="4"/>
  <c r="H7" i="4"/>
  <c r="D30" i="3"/>
  <c r="G31" i="3"/>
  <c r="E5" i="4"/>
  <c r="G6" i="4"/>
  <c r="E17" i="5"/>
  <c r="G18" i="5"/>
  <c r="H18" i="5"/>
  <c r="D6" i="6"/>
  <c r="E17" i="6"/>
  <c r="E6" i="6"/>
  <c r="F17" i="6"/>
  <c r="F5" i="4"/>
  <c r="J5" i="5"/>
  <c r="E32" i="3"/>
  <c r="F6" i="6"/>
  <c r="G17" i="6"/>
  <c r="E30" i="3"/>
  <c r="F30" i="3"/>
  <c r="G5" i="4"/>
  <c r="C31" i="3"/>
  <c r="F32" i="3"/>
  <c r="E7" i="4"/>
  <c r="G6" i="6"/>
  <c r="H17" i="6"/>
  <c r="H6" i="4"/>
  <c r="G30" i="3"/>
  <c r="H5" i="4"/>
  <c r="D7" i="4"/>
  <c r="L5" i="5"/>
  <c r="D31" i="3"/>
  <c r="G32" i="3"/>
  <c r="D6" i="4"/>
  <c r="C37" i="3" l="1"/>
  <c r="C42" i="3"/>
  <c r="C34" i="3"/>
  <c r="D10" i="4" s="1"/>
  <c r="D9" i="4"/>
  <c r="D12" i="4" s="1"/>
  <c r="C43" i="3"/>
  <c r="C35" i="3"/>
  <c r="D33" i="3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C36" i="3" l="1"/>
  <c r="C39" i="3"/>
  <c r="C38" i="3"/>
  <c r="D42" i="3"/>
  <c r="D34" i="3"/>
  <c r="E10" i="4" s="1"/>
  <c r="D37" i="3"/>
  <c r="E33" i="3"/>
  <c r="E9" i="4"/>
  <c r="E12" i="4" s="1"/>
  <c r="D43" i="3"/>
  <c r="D15" i="4"/>
  <c r="D16" i="4" s="1"/>
  <c r="D13" i="4"/>
  <c r="D14" i="4" s="1"/>
  <c r="D18" i="4" s="1"/>
  <c r="D19" i="4" s="1"/>
  <c r="C44" i="3" s="1"/>
  <c r="D35" i="3" l="1"/>
  <c r="E15" i="4"/>
  <c r="E16" i="4" s="1"/>
  <c r="E13" i="4"/>
  <c r="E14" i="4" s="1"/>
  <c r="E18" i="4" s="1"/>
  <c r="E19" i="4" s="1"/>
  <c r="D44" i="3" s="1"/>
  <c r="C40" i="3"/>
  <c r="C41" i="3" s="1"/>
  <c r="C45" i="3" s="1"/>
  <c r="E42" i="3"/>
  <c r="E34" i="3"/>
  <c r="F10" i="4" s="1"/>
  <c r="E37" i="3"/>
  <c r="F9" i="4"/>
  <c r="F12" i="4" s="1"/>
  <c r="E43" i="3"/>
  <c r="F33" i="3"/>
  <c r="C47" i="3" l="1"/>
  <c r="E35" i="3"/>
  <c r="F37" i="3"/>
  <c r="F43" i="3"/>
  <c r="F35" i="3"/>
  <c r="G9" i="4"/>
  <c r="G12" i="4" s="1"/>
  <c r="G33" i="3"/>
  <c r="F42" i="3"/>
  <c r="F34" i="3"/>
  <c r="G10" i="4" s="1"/>
  <c r="F13" i="4"/>
  <c r="F14" i="4" s="1"/>
  <c r="F15" i="4"/>
  <c r="F16" i="4" s="1"/>
  <c r="D39" i="3"/>
  <c r="D38" i="3"/>
  <c r="D36" i="3"/>
  <c r="F18" i="4" l="1"/>
  <c r="F19" i="4" s="1"/>
  <c r="E44" i="3" s="1"/>
  <c r="D40" i="3"/>
  <c r="D41" i="3"/>
  <c r="D45" i="3" s="1"/>
  <c r="F38" i="3"/>
  <c r="F36" i="3"/>
  <c r="F39" i="3"/>
  <c r="E38" i="3"/>
  <c r="E36" i="3"/>
  <c r="E39" i="3"/>
  <c r="H9" i="4"/>
  <c r="H12" i="4" s="1"/>
  <c r="G43" i="3"/>
  <c r="G42" i="3"/>
  <c r="G34" i="3"/>
  <c r="H10" i="4" s="1"/>
  <c r="G37" i="3"/>
  <c r="G15" i="4"/>
  <c r="G16" i="4" s="1"/>
  <c r="G13" i="4"/>
  <c r="G14" i="4" s="1"/>
  <c r="G18" i="4" s="1"/>
  <c r="G19" i="4" s="1"/>
  <c r="F44" i="3" s="1"/>
  <c r="H13" i="4" l="1"/>
  <c r="H15" i="4"/>
  <c r="H16" i="4" s="1"/>
  <c r="H14" i="4"/>
  <c r="H18" i="4" s="1"/>
  <c r="H19" i="4" s="1"/>
  <c r="G44" i="3" s="1"/>
  <c r="E40" i="3"/>
  <c r="E41" i="3"/>
  <c r="E45" i="3" s="1"/>
  <c r="E47" i="3" s="1"/>
  <c r="F40" i="3"/>
  <c r="F41" i="3" s="1"/>
  <c r="F45" i="3" s="1"/>
  <c r="G35" i="3"/>
  <c r="D47" i="3"/>
  <c r="F47" i="3" l="1"/>
  <c r="G38" i="3"/>
  <c r="G39" i="3"/>
  <c r="G36" i="3"/>
  <c r="G40" i="3" l="1"/>
  <c r="G41" i="3"/>
  <c r="G45" i="3" s="1"/>
  <c r="C59" i="3"/>
  <c r="C60" i="3" s="1"/>
  <c r="C61" i="3" s="1"/>
  <c r="C51" i="3" l="1"/>
  <c r="C52" i="3" s="1"/>
  <c r="G47" i="3"/>
  <c r="C50" i="3" s="1"/>
  <c r="E7" i="6"/>
  <c r="E18" i="6"/>
  <c r="H10" i="6"/>
  <c r="G8" i="6"/>
  <c r="G21" i="6"/>
  <c r="F8" i="6"/>
  <c r="C11" i="6"/>
  <c r="E11" i="6"/>
  <c r="H13" i="6"/>
  <c r="C13" i="6"/>
  <c r="E13" i="6"/>
  <c r="E9" i="6"/>
  <c r="C21" i="6"/>
  <c r="I8" i="6"/>
  <c r="G11" i="6"/>
  <c r="D12" i="6"/>
  <c r="H19" i="6"/>
  <c r="I12" i="6"/>
  <c r="D10" i="6"/>
  <c r="E21" i="6"/>
  <c r="F23" i="6"/>
  <c r="H8" i="6"/>
  <c r="H23" i="6"/>
  <c r="F11" i="6"/>
  <c r="E23" i="6"/>
  <c r="D11" i="6"/>
  <c r="G20" i="6"/>
  <c r="F13" i="6"/>
  <c r="I23" i="6"/>
  <c r="H7" i="6"/>
  <c r="I9" i="6"/>
  <c r="H24" i="6"/>
  <c r="C8" i="6"/>
  <c r="F20" i="6"/>
  <c r="F21" i="6"/>
  <c r="H11" i="6"/>
  <c r="I10" i="6"/>
  <c r="F10" i="6"/>
  <c r="D13" i="6"/>
  <c r="F12" i="6"/>
  <c r="C10" i="6"/>
  <c r="I11" i="6"/>
  <c r="F9" i="6"/>
  <c r="E19" i="6"/>
  <c r="C23" i="6"/>
  <c r="H21" i="6"/>
  <c r="C12" i="6"/>
  <c r="C24" i="6"/>
  <c r="C9" i="6"/>
  <c r="C18" i="6"/>
  <c r="H20" i="6"/>
  <c r="G7" i="6"/>
  <c r="D7" i="6"/>
  <c r="E24" i="6"/>
  <c r="G24" i="6"/>
  <c r="I13" i="6"/>
  <c r="D18" i="6"/>
  <c r="G23" i="6"/>
  <c r="G19" i="6"/>
  <c r="C22" i="6"/>
  <c r="H18" i="6"/>
  <c r="G9" i="6"/>
  <c r="C19" i="6"/>
  <c r="C7" i="6"/>
  <c r="G12" i="6"/>
  <c r="D21" i="6"/>
  <c r="I22" i="6"/>
  <c r="D19" i="6"/>
  <c r="F7" i="6"/>
  <c r="I19" i="6"/>
  <c r="D9" i="6"/>
  <c r="D23" i="6"/>
  <c r="D20" i="6"/>
  <c r="I24" i="6"/>
  <c r="G13" i="6"/>
  <c r="I7" i="6"/>
  <c r="H22" i="6"/>
  <c r="F18" i="6"/>
  <c r="G10" i="6"/>
  <c r="I21" i="6"/>
  <c r="E12" i="6"/>
  <c r="H12" i="6"/>
  <c r="D22" i="6"/>
  <c r="G18" i="6"/>
  <c r="F24" i="6"/>
  <c r="G22" i="6"/>
  <c r="I20" i="6"/>
  <c r="F22" i="6"/>
  <c r="I18" i="6"/>
  <c r="H9" i="6"/>
  <c r="E20" i="6"/>
  <c r="E22" i="6"/>
  <c r="D24" i="6"/>
  <c r="F19" i="6"/>
  <c r="E10" i="6"/>
  <c r="D8" i="6"/>
  <c r="E8" i="6"/>
  <c r="C20" i="6"/>
  <c r="C53" i="3" l="1"/>
  <c r="C58" i="3"/>
  <c r="C62" i="3" s="1"/>
  <c r="C63" i="3" s="1"/>
  <c r="C64" i="3" s="1"/>
  <c r="C17" i="1" s="1"/>
  <c r="D17" i="1" s="1"/>
  <c r="C54" i="3" l="1"/>
  <c r="C55" i="3" s="1"/>
  <c r="C16" i="1"/>
  <c r="C10" i="1" l="1"/>
  <c r="C21" i="1"/>
  <c r="D16" i="1"/>
  <c r="C12" i="1" l="1"/>
  <c r="C11" i="1" s="1"/>
  <c r="B26" i="1"/>
</calcChain>
</file>

<file path=xl/sharedStrings.xml><?xml version="1.0" encoding="utf-8"?>
<sst xmlns="http://schemas.openxmlformats.org/spreadsheetml/2006/main" count="360" uniqueCount="281">
  <si>
    <t>DISCLAIMER: This is a sample analysis for demonstration purposes only. It does not constitute investment advice.</t>
  </si>
  <si>
    <t>Technisco (2962.T)</t>
  </si>
  <si>
    <t>Equity Research Report</t>
  </si>
  <si>
    <t>Company</t>
  </si>
  <si>
    <t>Technisco</t>
  </si>
  <si>
    <t>Ticker</t>
  </si>
  <si>
    <t>2962.T (TSE)</t>
  </si>
  <si>
    <t>Sector</t>
  </si>
  <si>
    <t>Precision Machining / Heat Sinks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</si>
  <si>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</si>
  <si>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</si>
  <si>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</si>
  <si>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</si>
  <si>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</si>
  <si>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</si>
  <si>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</si>
  <si>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</si>
  <si>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</si>
  <si>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</si>
  <si>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</si>
  <si>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N/A - EBITDA base not meaningful</t>
  </si>
  <si>
    <t>Comps - PER Median</t>
  </si>
  <si>
    <t>N/A - net income base not meaningful</t>
  </si>
  <si>
    <t>Integrated Valuation Range</t>
  </si>
  <si>
    <t>Target Price (Mid) = average of the numeric rows above only. PGM excluded (EV 1,644 &lt; net debt 2,182). Comps EV/EBITDA excluded (FY6/26 EBITDA 186 reflects two loss years and post-impairment D&amp;A). Comps PER excluded (FY6/26 net income 6mn). Target therefore rests on the DCF Exit Multiple leg alone.</t>
  </si>
  <si>
    <t>Key Investment Thesis</t>
  </si>
  <si>
    <t>Data-center demand for laser-diode heat sinks underpins FY6/27 guidance of +57.5% sales and a return to operating profit after two loss-making years.</t>
  </si>
  <si>
    <t>The FY6/25 impairment halved depreciation, lifting gross margin from 4% to 40%; incremental sales now drop through to profit quickly.</t>
  </si>
  <si>
    <t>Key Risks</t>
  </si>
  <si>
    <t>Guidance rests on a single major customer's data-center orders; any slip in that program removes most of the projected growth.</t>
  </si>
  <si>
    <t>Interest-bearing debt is 2.4x equity with JPY2.3bn of short-term borrowings, so the balance sheet depends on continued bank support.</t>
  </si>
  <si>
    <t>Inventory days exceed 200; a 57% sales increase will tie up working capital before profits convert to cash.</t>
  </si>
  <si>
    <t>Technisco - Historical Financials (JPY mn)</t>
  </si>
  <si>
    <t>FY2024/6</t>
  </si>
  <si>
    <t>FY2025/6</t>
  </si>
  <si>
    <t>FY2026/6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</si>
  <si>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</si>
  <si>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</si>
  <si>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</si>
  <si>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</si>
  <si>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</si>
  <si>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</si>
  <si>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</si>
  <si>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</si>
  <si>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</si>
  <si>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</si>
  <si>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</si>
  <si>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</si>
  <si>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</si>
  <si>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</si>
  <si>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</si>
  <si>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</si>
  <si>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</si>
  <si>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</si>
  <si>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</si>
  <si>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</si>
  <si>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</si>
  <si>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</si>
  <si>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</si>
  <si>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Note: OCF / Cash / Debt coverage OCF 3/3, Cash 3/3, Debt 3/3 — blank cells are years with no year-key match in the source data (verify against 決算短信 or set hist_ocf / hist_cash / hist_debt in overrides).</t>
  </si>
  <si>
    <t>DCF Valuation Model - Technisco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</si>
  <si>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</si>
  <si>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</si>
  <si>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</si>
  <si>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</si>
  <si>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</si>
  <si>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</si>
  <si>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</si>
  <si>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</si>
  <si>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</si>
  <si>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</si>
  <si>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</si>
  <si>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</si>
  <si>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</si>
  <si>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</si>
  <si>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</si>
  <si>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 (override)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</si>
  <si>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</si>
  <si>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</si>
  <si>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</si>
  <si>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</si>
  <si>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</si>
  <si>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</si>
  <si>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</si>
  <si>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</si>
  <si>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</si>
  <si>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</si>
  <si>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</si>
  <si>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</si>
  <si>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</si>
  <si>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</si>
  <si>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</si>
  <si>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</si>
  <si>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</si>
  <si>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</si>
  <si>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</si>
  <si>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</si>
  <si>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</si>
  <si>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</si>
  <si>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</si>
  <si>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</si>
  <si>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</si>
  <si>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</si>
  <si>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</si>
  <si>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</si>
  <si>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</si>
  <si>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</si>
  <si>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</si>
  <si>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</si>
  <si>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</si>
  <si>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</si>
  <si>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</si>
  <si>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</si>
  <si>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</si>
  <si>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</si>
  <si>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</si>
  <si>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</si>
  <si>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</si>
  <si>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</si>
  <si>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</si>
  <si>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</si>
  <si>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</si>
  <si>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</si>
  <si>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</si>
  <si>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Technisco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</si>
  <si>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</si>
  <si>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</si>
  <si>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</si>
  <si>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</si>
  <si>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</si>
  <si>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</si>
  <si>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</si>
  <si>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</si>
  <si>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</si>
  <si>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</si>
  <si>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</si>
  <si>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</si>
  <si>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</si>
  <si>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</si>
  <si>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</si>
  <si>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</si>
  <si>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</si>
  <si>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</si>
  <si>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</si>
  <si>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2026-08-23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</si>
  <si>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</si>
  <si>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</si>
  <si>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</si>
  <si>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</si>
  <si>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</si>
  <si>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</si>
  <si>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</si>
  <si>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</si>
  <si>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</si>
  <si>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</si>
  <si>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</si>
  <si>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</si>
  <si>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</si>
  <si>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</si>
  <si>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2962.T</t>
  </si>
  <si>
    <t>Seiko Giken</t>
  </si>
  <si>
    <t>6834.T</t>
  </si>
  <si>
    <t>Furukawa Electric</t>
  </si>
  <si>
    <t>5801.T</t>
  </si>
  <si>
    <t>Nihon Dempa Kogyo</t>
  </si>
  <si>
    <t>6779.T</t>
  </si>
  <si>
    <t>Sumida</t>
  </si>
  <si>
    <t>6817.T</t>
  </si>
  <si>
    <t>Tamura</t>
  </si>
  <si>
    <t>6768.T</t>
  </si>
  <si>
    <t>N/A</t>
  </si>
  <si>
    <t>Nippon Ceramic</t>
  </si>
  <si>
    <t>6929.T</t>
  </si>
  <si>
    <t>Helios Techno Holding</t>
  </si>
  <si>
    <t>6927.T</t>
  </si>
  <si>
    <t>Statistics</t>
  </si>
  <si>
    <t>25th Percentile</t>
  </si>
  <si>
    <t>Median (50th)</t>
  </si>
  <si>
    <t>75th Percentile</t>
  </si>
  <si>
    <t>Implied Valuation for Technisco</t>
  </si>
  <si>
    <t>Technisco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</si>
  <si>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</si>
  <si>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</si>
  <si>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</si>
  <si>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</si>
  <si>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</si>
  <si>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</si>
  <si>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</si>
  <si>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</si>
  <si>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</si>
  <si>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</si>
  <si>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</si>
  <si>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</si>
  <si>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</si>
  <si>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</si>
  <si>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</si>
  <si>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Technisco</t>
  </si>
  <si>
    <t>日付</t>
  </si>
  <si>
    <t>セル</t>
  </si>
  <si>
    <t>変更内容</t>
  </si>
  <si>
    <t>理由</t>
  </si>
  <si>
    <t>元の値</t>
  </si>
  <si>
    <t>状態</t>
  </si>
  <si>
    <t>2026-08-23</t>
  </si>
  <si>
    <t>-</t>
  </si>
  <si>
    <t>Generated by pipeline on 2026-08-23 13:19, template rev e5effd6</t>
  </si>
  <si>
    <t>初期生成（手修正なし）</t>
  </si>
  <si>
    <t>generated</t>
  </si>
  <si>
    <t>'Executive Summary'!C18</t>
  </si>
  <si>
    <t>Comps EV/EBITDA 行を数値リンクからテキスト 'N/A - EBITDA base not meaningful' に変更</t>
  </si>
  <si>
    <t>自社EBITDA 186 は2期連続営業赤字＋減損後D&amp;Aの産物で倍率評価の基準にならない(peer median 8.30x を掛けても EV 1,544 &lt; net debt 2,182 で株主価値は負)。プロンプト §4 の『自社が営業赤字のため自社EV/EBITDAはN/A』指示、および手順書 §8-6『無意味と判断した指標をTarget Price計算に残さない』に対応</t>
  </si>
  <si>
    <t>formula: 'Comps Analysis'!C28 =&gt; -69</t>
  </si>
  <si>
    <t>resolved</t>
  </si>
  <si>
    <t>'Executive Summary'!C19</t>
  </si>
  <si>
    <t>Comps PER 行を数値リンクからテキスト 'N/A - net income base not meaningful' に変更</t>
  </si>
  <si>
    <t>FY2026/6 純利益 6百万円はターンアラウンド初年度の実質ゼロ利益であり、peer median PER 20.84x を掛けた 14円 は評価ではなく算術上の産物。同上の理由でTarget平均から除外</t>
  </si>
  <si>
    <t>formula: 'Comps Analysis'!C29 =&gt; 14</t>
  </si>
  <si>
    <t>'Executive Summary'!B22</t>
  </si>
  <si>
    <t>Target Price の構成注記を追加(どの手法を平均に入れ、どれを除外したか)</t>
  </si>
  <si>
    <t>手順書 §6-4 の要件。除外の根拠をシート上に残す</t>
  </si>
  <si>
    <t>(空欄)</t>
  </si>
  <si>
    <t>(モデル全体・未解決)</t>
  </si>
  <si>
    <t>Target Price は DCF Exit Multiple 1本(318円)のみで構成される</t>
  </si>
  <si>
    <t>PGM は EV &lt; net debt で INVALID、Comps 2本は基準年利益がゼロ近傍のため除外。手法分散が効かない状態であり、単独手法への依存は既知の弱点として残る。Exit倍率8.0x の妥当性が Target をほぼ決定する</t>
  </si>
  <si>
    <t>未解決</t>
  </si>
  <si>
    <t>(前提・未解決)</t>
  </si>
  <si>
    <t>PGM逆算Exit倍率 2.92x vs 仮定Exit倍率 8.00x(2.74倍乖離、validate WARN #11)</t>
  </si>
  <si>
    <t>PGM は Y1-Y2 の負のFCF(ΔNWC 720/538)を永久成長に引きずるため終価が小さく出る。Exit法は Y5 EBITDA 1,119 に8.0xを当てる。ターンアラウンド初期でFCFが負のため両手法の世界観が構造的に食い違う。どちらを採るかは在庫214日の解消速度の見立て次第</t>
  </si>
  <si>
    <t>stub_fraction = 0.50(テンプレ既定)を使用</t>
  </si>
  <si>
    <t>6月期決算を8月に評価しているため FY2027/6 の残存期間は約10.3か月(stub 約0.86)が実態。既定0.50はY1 FCF(-609)の割引を浅くし、負のFCFの現在価値を大きくするため保守側に働く。プロンプト未指定のため既定のまま採用</t>
  </si>
  <si>
    <t>Pipeline Metadata (do not edit — read by scripts/validate_output.py)</t>
  </si>
  <si>
    <t>key</t>
  </si>
  <si>
    <t>value</t>
  </si>
  <si>
    <t>capex_pct_basis</t>
  </si>
  <si>
    <t>assumption</t>
  </si>
  <si>
    <t>capex_pct_c5</t>
  </si>
  <si>
    <t>0.064</t>
  </si>
  <si>
    <t>capex_pct_hist3yr</t>
  </si>
  <si>
    <t>0.065734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</si>
  <si>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</si>
  <si>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</si>
  <si>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</si>
  <si>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</si>
  <si>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</si>
  <si>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</si>
  <si>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</si>
  <si>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6,7,8,9,10,11,12</t>
  </si>
  <si>
    <t>comps_impl_mult_row</t>
  </si>
  <si>
    <t>28</t>
  </si>
  <si>
    <t>comps_impl_per_row</t>
  </si>
  <si>
    <t>29</t>
  </si>
  <si>
    <t>comps_peer_rows</t>
  </si>
  <si>
    <t>comps_stale_excluded</t>
  </si>
  <si>
    <t>comps_stat_median_row</t>
  </si>
  <si>
    <t>17</t>
  </si>
  <si>
    <t>comps_subject_row</t>
  </si>
  <si>
    <t>5</t>
  </si>
  <si>
    <t>da_pct_basis</t>
  </si>
  <si>
    <t>da_pct_c18</t>
  </si>
  <si>
    <t>0.065</t>
  </si>
  <si>
    <t>da_pct_hist3yr</t>
  </si>
  <si>
    <t>0.114423</t>
  </si>
  <si>
    <t>fs_year_coverage</t>
  </si>
  <si>
    <t>OCF 3/3, Cash 3/3, Debt 3/3</t>
  </si>
  <si>
    <t>fs_year_map</t>
  </si>
  <si>
    <t>FY2024/6&lt;-FY2024[ocf+cash+debt]; FY2025/6&lt;-FY2025[ocf+cash+debt]; FY2026/6&lt;-FY2026[ocf+cash+debt]</t>
  </si>
  <si>
    <t>fs_year_sources</t>
  </si>
  <si>
    <t>overrides: hist_ocf, hist_cash, hist_debt, hist_capex, hist_depreciation | EDINET year-key match: none</t>
  </si>
  <si>
    <t>generated_at</t>
  </si>
  <si>
    <t>2026-08-23 13:19:08</t>
  </si>
  <si>
    <t>ltm_revenue_c20</t>
  </si>
  <si>
    <t>3746</t>
  </si>
  <si>
    <t>ltm_revenue_source</t>
  </si>
  <si>
    <t>override</t>
  </si>
  <si>
    <t>narrative_tokens_used</t>
  </si>
  <si>
    <t>pb,price,target_price,upside_pct,wacc</t>
  </si>
  <si>
    <t>scenario_index_range</t>
  </si>
  <si>
    <t>B69:B73</t>
  </si>
  <si>
    <t>template_rev</t>
  </si>
  <si>
    <t>e5effd6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</si>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</sst>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176" fontId="8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3" t="s">
        <v>0</v>
      </c>
      <c r="C1" s="42"/>
      <c r="D1" s="42"/>
      <c r="E1" s="42"/>
    </row>
    <row r="3" spans="2:5" ht="18" x14ac:dyDescent="0.4">
      <c r="B3" s="41" t="s">
        <v>1</v>
      </c>
      <c r="C3" s="42"/>
      <c r="D3" s="42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1549</v>
      </c>
    </row>
    <row r="10" spans="2:5" ht="14" x14ac:dyDescent="0.3">
      <c r="B10" s="4" t="s">
        <v>10</v>
      </c>
      <c r="C10" s="5">
        <f>ROUND(AVERAGE(C16:C19),0)</f>
        <v>318</v>
      </c>
    </row>
    <row r="11" spans="2:5" ht="14" x14ac:dyDescent="0.3">
      <c r="B11" s="4" t="s">
        <v>11</v>
      </c>
      <c r="C11" s="6" t="str">
        <f>IF(C12&gt;0.15,"BUY",IF(C12&gt;0.05,"HOLD","SELL"))</f>
        <v>SELL</v>
      </c>
    </row>
    <row r="12" spans="2:5" ht="14" x14ac:dyDescent="0.3">
      <c r="B12" s="4" t="s">
        <v>12</v>
      </c>
      <c r="C12" s="7">
        <f>(C10-C9)/C9</f>
        <v>-0.79470626210458362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 t="str">
        <f>IF('DCF Model'!C53&lt;'DCF Model'!C16,"INVALID (EV &lt; net debt)",'DCF Model'!C55)</f>
        <v>INVALID (EV &lt; net debt)</v>
      </c>
      <c r="D16" s="7" t="str">
        <f>IF(ISNUMBER(C16),(C16-C9)/C9,"N/A")</f>
        <v>N/A</v>
      </c>
    </row>
    <row r="17" spans="2:4" ht="13.5" x14ac:dyDescent="0.25">
      <c r="B17" t="s">
        <v>18</v>
      </c>
      <c r="C17" s="11">
        <f>'DCF Model'!C64</f>
        <v>318</v>
      </c>
      <c r="D17" s="7">
        <f>(C17-C9)/C9</f>
        <v>-0.79470626210458362</v>
      </c>
    </row>
    <row r="18" spans="2:4" ht="14" x14ac:dyDescent="0.3">
      <c r="B18" t="s">
        <v>19</v>
      </c>
      <c r="C18" s="40" t="s">
        <v>20</v>
      </c>
      <c r="D18" s="7" t="str">
        <f>IF(ISNUMBER(C18),(C18-C9)/C9,"N/A")</f>
        <v>N/A</v>
      </c>
    </row>
    <row r="19" spans="2:4" ht="14" x14ac:dyDescent="0.3">
      <c r="B19" t="s">
        <v>21</v>
      </c>
      <c r="C19" s="40" t="s">
        <v>22</v>
      </c>
      <c r="D19" s="7" t="str">
        <f>IF(ISNUMBER(C19),(C19-C9)/C9,"N/A")</f>
        <v>N/A</v>
      </c>
    </row>
    <row r="21" spans="2:4" ht="14" x14ac:dyDescent="0.3">
      <c r="B21" s="4" t="s">
        <v>23</v>
      </c>
      <c r="C21" s="6" t="str">
        <f>MIN(C16:C19)&amp;" - "&amp;MAX(C16:C19)</f>
        <v>318 - 318</v>
      </c>
    </row>
    <row r="22" spans="2:4" ht="14" x14ac:dyDescent="0.3">
      <c r="B22" s="1" t="s">
        <v>24</v>
      </c>
    </row>
    <row r="23" spans="2:4" ht="14" x14ac:dyDescent="0.3">
      <c r="B23" s="8" t="s">
        <v>25</v>
      </c>
      <c r="C23" s="9"/>
      <c r="D23" s="9"/>
    </row>
    <row r="24" spans="2:4" x14ac:dyDescent="0.2">
      <c r="B24" t="s">
        <v>26</v>
      </c>
    </row>
    <row r="25" spans="2:4" x14ac:dyDescent="0.2">
      <c r="B25" t="s">
        <v>27</v>
      </c>
    </row>
    <row r="26" spans="2:4" x14ac:dyDescent="0.2">
      <c r="B26" t="str">
        <f>"At "&amp;TEXT(C9,"#,##0")&amp;" the stock trades at "&amp;TEXT('Comps Analysis'!M5,"0.00""x""")&amp;" PBR; our target of "&amp;TEXT(C10,"#,##0")&amp;" implies "&amp;TEXT(C12,"+0.0%;-0.0%")&amp;" with WACC of "&amp;TEXT('DCF Model'!C26,"0.00%")&amp;"."</f>
        <v>At 1,549 the stock trades at 8.07x PBR; our target of 318 implies -79.5% with WACC of 11.62%.</v>
      </c>
    </row>
    <row r="28" spans="2:4" ht="14" x14ac:dyDescent="0.3">
      <c r="B28" s="8" t="s">
        <v>28</v>
      </c>
      <c r="C28" s="9"/>
      <c r="D28" s="9"/>
    </row>
    <row r="29" spans="2:4" x14ac:dyDescent="0.2">
      <c r="B29" t="s">
        <v>29</v>
      </c>
    </row>
    <row r="30" spans="2:4" x14ac:dyDescent="0.2">
      <c r="B30" t="s">
        <v>30</v>
      </c>
    </row>
    <row r="31" spans="2:4" x14ac:dyDescent="0.2">
      <c r="B31" t="s">
        <v>31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30"/>
  <sheetViews>
    <sheetView workbookViewId="0"/>
  </sheetViews>
  <sheetFormatPr defaultRowHeight="13" x14ac:dyDescent="0.2"/>
  <cols>
    <col min="1" max="1" width="3" customWidth="1"/>
    <col min="2" max="2" width="32" customWidth="1"/>
    <col min="3" max="5" width="18" customWidth="1"/>
  </cols>
  <sheetData>
    <row r="2" spans="2:5" ht="18" x14ac:dyDescent="0.4">
      <c r="B2" s="2" t="s">
        <v>32</v>
      </c>
    </row>
    <row r="4" spans="2:5" ht="14" x14ac:dyDescent="0.3">
      <c r="C4" s="10" t="s">
        <v>33</v>
      </c>
      <c r="D4" s="10" t="s">
        <v>34</v>
      </c>
      <c r="E4" s="10" t="s">
        <v>35</v>
      </c>
    </row>
    <row r="5" spans="2:5" ht="14" x14ac:dyDescent="0.3">
      <c r="B5" s="3" t="s">
        <v>36</v>
      </c>
    </row>
    <row r="6" spans="2:5" ht="14" x14ac:dyDescent="0.3">
      <c r="B6" s="4" t="s">
        <v>37</v>
      </c>
      <c r="C6" s="5">
        <v>4683</v>
      </c>
      <c r="D6" s="5">
        <v>3362</v>
      </c>
      <c r="E6" s="5">
        <v>3746</v>
      </c>
    </row>
    <row r="7" spans="2:5" ht="14" x14ac:dyDescent="0.3">
      <c r="B7" s="4" t="s">
        <v>38</v>
      </c>
      <c r="C7" s="5">
        <v>3507</v>
      </c>
      <c r="D7" s="5">
        <v>3232</v>
      </c>
      <c r="E7" s="5">
        <v>2248</v>
      </c>
    </row>
    <row r="8" spans="2:5" ht="14" x14ac:dyDescent="0.3">
      <c r="B8" s="4" t="s">
        <v>39</v>
      </c>
      <c r="C8" s="5">
        <f>C6-C7</f>
        <v>1176</v>
      </c>
      <c r="D8" s="5">
        <f>D6-D7</f>
        <v>130</v>
      </c>
      <c r="E8" s="5">
        <f>E6-E7</f>
        <v>1498</v>
      </c>
    </row>
    <row r="9" spans="2:5" ht="13.5" x14ac:dyDescent="0.25">
      <c r="B9" t="s">
        <v>40</v>
      </c>
      <c r="C9" s="7">
        <f>C8/C6</f>
        <v>0.25112107623318386</v>
      </c>
      <c r="D9" s="7">
        <f>D8/D6</f>
        <v>3.8667459845330161E-2</v>
      </c>
      <c r="E9" s="7">
        <f>E8/E6</f>
        <v>0.39989321943406297</v>
      </c>
    </row>
    <row r="10" spans="2:5" ht="14" x14ac:dyDescent="0.3">
      <c r="B10" s="4" t="s">
        <v>41</v>
      </c>
      <c r="C10" s="5">
        <v>1653</v>
      </c>
      <c r="D10" s="5">
        <v>1574</v>
      </c>
      <c r="E10" s="5">
        <v>1573</v>
      </c>
    </row>
    <row r="11" spans="2:5" ht="14" x14ac:dyDescent="0.3">
      <c r="B11" s="4" t="s">
        <v>42</v>
      </c>
      <c r="C11" s="5">
        <v>-477</v>
      </c>
      <c r="D11" s="5">
        <v>-1443</v>
      </c>
      <c r="E11" s="5">
        <v>-75</v>
      </c>
    </row>
    <row r="12" spans="2:5" ht="14" x14ac:dyDescent="0.3">
      <c r="B12" s="4" t="s">
        <v>43</v>
      </c>
      <c r="C12" s="5">
        <v>-604</v>
      </c>
      <c r="D12" s="5">
        <v>-2977</v>
      </c>
      <c r="E12" s="5">
        <v>6</v>
      </c>
    </row>
    <row r="13" spans="2:5" ht="13.5" x14ac:dyDescent="0.25">
      <c r="B13" t="s">
        <v>44</v>
      </c>
      <c r="C13" s="7">
        <f>C11/C6</f>
        <v>-0.10185778347213324</v>
      </c>
      <c r="D13" s="7">
        <f>D11/D6</f>
        <v>-0.42920880428316477</v>
      </c>
      <c r="E13" s="7">
        <f>E11/E6</f>
        <v>-2.0021356113187401E-2</v>
      </c>
    </row>
    <row r="14" spans="2:5" ht="13.5" x14ac:dyDescent="0.25">
      <c r="B14" t="s">
        <v>45</v>
      </c>
      <c r="C14" s="7">
        <f>C12/C6</f>
        <v>-0.12897715139867605</v>
      </c>
      <c r="D14" s="7">
        <f>D12/D6</f>
        <v>-0.8854848304580607</v>
      </c>
      <c r="E14" s="7">
        <f>E12/E6</f>
        <v>1.6017084890549919E-3</v>
      </c>
    </row>
    <row r="15" spans="2:5" ht="13.5" x14ac:dyDescent="0.25">
      <c r="B15" t="s">
        <v>46</v>
      </c>
      <c r="C15" t="s">
        <v>47</v>
      </c>
      <c r="D15" s="7">
        <f>(D6-C6)/C6</f>
        <v>-0.28208413410207134</v>
      </c>
      <c r="E15" s="7">
        <f>(E6-D6)/D6</f>
        <v>0.11421772754312909</v>
      </c>
    </row>
    <row r="16" spans="2:5" ht="13.5" x14ac:dyDescent="0.25">
      <c r="B16" t="s">
        <v>48</v>
      </c>
      <c r="C16" t="s">
        <v>47</v>
      </c>
      <c r="D16" s="7">
        <f>(D11-C11)/C11</f>
        <v>2.0251572327044025</v>
      </c>
      <c r="E16" s="7">
        <f>(E11-D11)/D11</f>
        <v>-0.94802494802494808</v>
      </c>
    </row>
    <row r="18" spans="2:5" ht="14" x14ac:dyDescent="0.3">
      <c r="B18" s="3" t="s">
        <v>49</v>
      </c>
    </row>
    <row r="19" spans="2:5" ht="14" x14ac:dyDescent="0.3">
      <c r="B19" s="4" t="s">
        <v>50</v>
      </c>
      <c r="C19" s="5">
        <v>-387</v>
      </c>
      <c r="D19" s="5">
        <v>-257</v>
      </c>
      <c r="E19" s="5">
        <v>97</v>
      </c>
    </row>
    <row r="20" spans="2:5" ht="14" x14ac:dyDescent="0.3">
      <c r="B20" s="4" t="s">
        <v>51</v>
      </c>
      <c r="C20" s="5">
        <v>431</v>
      </c>
      <c r="D20" s="5">
        <v>166</v>
      </c>
      <c r="E20" s="5">
        <v>209</v>
      </c>
    </row>
    <row r="21" spans="2:5" ht="14" x14ac:dyDescent="0.3">
      <c r="B21" s="4" t="s">
        <v>52</v>
      </c>
      <c r="C21" s="5">
        <f>C19-C20</f>
        <v>-818</v>
      </c>
      <c r="D21" s="5">
        <f>D19-D20</f>
        <v>-423</v>
      </c>
      <c r="E21" s="5">
        <f>E19-E20</f>
        <v>-112</v>
      </c>
    </row>
    <row r="22" spans="2:5" ht="13.5" x14ac:dyDescent="0.25">
      <c r="B22" t="s">
        <v>53</v>
      </c>
      <c r="C22" s="7">
        <f>C21/C6</f>
        <v>-0.17467435404655135</v>
      </c>
      <c r="D22" s="7">
        <f>D21/D6</f>
        <v>-0.12581796549672813</v>
      </c>
      <c r="E22" s="7">
        <f>E21/E6</f>
        <v>-2.989855846235985E-2</v>
      </c>
    </row>
    <row r="23" spans="2:5" ht="13.5" x14ac:dyDescent="0.25">
      <c r="B23" t="s">
        <v>54</v>
      </c>
      <c r="C23" s="7">
        <f>C20/C6</f>
        <v>9.2035020286141356E-2</v>
      </c>
      <c r="D23" s="7">
        <f>D20/D6</f>
        <v>4.9375371802498513E-2</v>
      </c>
      <c r="E23" s="7">
        <f>E20/E6</f>
        <v>5.5792845702082219E-2</v>
      </c>
    </row>
    <row r="25" spans="2:5" ht="14" x14ac:dyDescent="0.3">
      <c r="B25" s="3" t="s">
        <v>55</v>
      </c>
    </row>
    <row r="26" spans="2:5" ht="14" x14ac:dyDescent="0.3">
      <c r="B26" s="4" t="s">
        <v>56</v>
      </c>
      <c r="C26" s="5">
        <v>2180</v>
      </c>
      <c r="D26" s="5">
        <v>1913</v>
      </c>
      <c r="E26" s="5">
        <v>2088</v>
      </c>
    </row>
    <row r="27" spans="2:5" ht="14" x14ac:dyDescent="0.3">
      <c r="B27" s="4" t="s">
        <v>57</v>
      </c>
      <c r="C27" s="5">
        <v>3969</v>
      </c>
      <c r="D27" s="5">
        <v>4231</v>
      </c>
      <c r="E27" s="5">
        <v>4270</v>
      </c>
    </row>
    <row r="28" spans="2:5" ht="14" x14ac:dyDescent="0.3">
      <c r="B28" s="4" t="s">
        <v>58</v>
      </c>
      <c r="C28" s="5">
        <f>C27-C26</f>
        <v>1789</v>
      </c>
      <c r="D28" s="5">
        <f>D27-D26</f>
        <v>2318</v>
      </c>
      <c r="E28" s="5">
        <f>E27-E26</f>
        <v>2182</v>
      </c>
    </row>
    <row r="30" spans="2:5" ht="14" x14ac:dyDescent="0.3">
      <c r="B30" s="1" t="s">
        <v>59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54</v>
      </c>
      <c r="C5" s="7">
        <v>6.4000000000000001E-2</v>
      </c>
    </row>
    <row r="6" spans="2:7" ht="14" x14ac:dyDescent="0.3">
      <c r="B6" s="4" t="s">
        <v>62</v>
      </c>
      <c r="C6" s="7">
        <v>0.30599999999999999</v>
      </c>
    </row>
    <row r="7" spans="2:7" ht="14" x14ac:dyDescent="0.3">
      <c r="B7" s="4" t="s">
        <v>63</v>
      </c>
      <c r="C7" s="7">
        <v>1.6E-2</v>
      </c>
    </row>
    <row r="8" spans="2:7" ht="14" x14ac:dyDescent="0.3">
      <c r="B8" s="4" t="s">
        <v>64</v>
      </c>
      <c r="C8" s="12">
        <v>1.39</v>
      </c>
    </row>
    <row r="9" spans="2:7" ht="14" x14ac:dyDescent="0.3">
      <c r="B9" s="4" t="s">
        <v>65</v>
      </c>
      <c r="C9" s="7">
        <v>5.5E-2</v>
      </c>
    </row>
    <row r="10" spans="2:7" ht="14" x14ac:dyDescent="0.3">
      <c r="B10" s="4" t="s">
        <v>66</v>
      </c>
      <c r="C10" s="7">
        <v>0.04</v>
      </c>
    </row>
    <row r="11" spans="2:7" ht="14" x14ac:dyDescent="0.3">
      <c r="B11" s="4" t="s">
        <v>67</v>
      </c>
      <c r="C11" s="7">
        <v>1.04E-2</v>
      </c>
    </row>
    <row r="12" spans="2:7" ht="14" x14ac:dyDescent="0.3">
      <c r="B12" s="4" t="s">
        <v>68</v>
      </c>
      <c r="C12" s="13">
        <v>0.1532</v>
      </c>
    </row>
    <row r="13" spans="2:7" ht="14" x14ac:dyDescent="0.3">
      <c r="B13" s="4" t="s">
        <v>69</v>
      </c>
      <c r="C13" s="7">
        <v>0.01</v>
      </c>
    </row>
    <row r="14" spans="2:7" ht="14" x14ac:dyDescent="0.3">
      <c r="B14" s="4" t="s">
        <v>70</v>
      </c>
      <c r="C14" s="14">
        <v>8</v>
      </c>
    </row>
    <row r="15" spans="2:7" ht="14" x14ac:dyDescent="0.3">
      <c r="B15" s="4" t="s">
        <v>71</v>
      </c>
      <c r="C15" s="15">
        <v>9193374</v>
      </c>
    </row>
    <row r="16" spans="2:7" ht="14" x14ac:dyDescent="0.3">
      <c r="B16" s="4" t="s">
        <v>72</v>
      </c>
      <c r="C16" s="5">
        <v>2182</v>
      </c>
    </row>
    <row r="17" spans="2:7" ht="14" x14ac:dyDescent="0.3">
      <c r="B17" s="4" t="s">
        <v>73</v>
      </c>
      <c r="C17" s="5">
        <v>3746</v>
      </c>
    </row>
    <row r="18" spans="2:7" ht="14" x14ac:dyDescent="0.3">
      <c r="B18" s="4" t="s">
        <v>74</v>
      </c>
      <c r="C18" s="7">
        <v>6.5000000000000002E-2</v>
      </c>
    </row>
    <row r="19" spans="2:7" ht="14" x14ac:dyDescent="0.3">
      <c r="B19" s="4" t="s">
        <v>75</v>
      </c>
      <c r="C19" s="12">
        <v>0.5</v>
      </c>
    </row>
    <row r="20" spans="2:7" ht="14" x14ac:dyDescent="0.3">
      <c r="B20" s="4" t="s">
        <v>76</v>
      </c>
      <c r="C20" s="5">
        <v>3746</v>
      </c>
    </row>
    <row r="22" spans="2:7" ht="14" x14ac:dyDescent="0.3">
      <c r="B22" s="8" t="s">
        <v>77</v>
      </c>
      <c r="C22" s="9"/>
      <c r="D22" s="9"/>
      <c r="E22" s="9"/>
      <c r="F22" s="9"/>
      <c r="G22" s="9"/>
    </row>
    <row r="23" spans="2:7" ht="14" x14ac:dyDescent="0.3">
      <c r="B23" s="4" t="s">
        <v>78</v>
      </c>
      <c r="C23" s="16">
        <f>C7+C8*C9+C10</f>
        <v>0.13244999999999998</v>
      </c>
    </row>
    <row r="24" spans="2:7" ht="14" x14ac:dyDescent="0.3">
      <c r="B24" s="4" t="s">
        <v>79</v>
      </c>
      <c r="C24" s="16">
        <f>1/(1+C12)</f>
        <v>0.8671522719389525</v>
      </c>
    </row>
    <row r="25" spans="2:7" ht="14" x14ac:dyDescent="0.3">
      <c r="B25" s="4" t="s">
        <v>80</v>
      </c>
      <c r="C25" s="16">
        <f>C12/(1+C12)</f>
        <v>0.13284772806104753</v>
      </c>
    </row>
    <row r="26" spans="2:7" ht="14" x14ac:dyDescent="0.3">
      <c r="B26" s="4" t="s">
        <v>81</v>
      </c>
      <c r="C26" s="16">
        <f>C23*C24+C11*C25</f>
        <v>0.11623593479014914</v>
      </c>
    </row>
    <row r="27" spans="2:7" ht="14" x14ac:dyDescent="0.3">
      <c r="B27" s="4" t="s">
        <v>82</v>
      </c>
      <c r="C27" s="17" t="s">
        <v>83</v>
      </c>
      <c r="D27" s="6">
        <f>MATCH(C27,B69:B73,0)</f>
        <v>1</v>
      </c>
    </row>
    <row r="28" spans="2:7" ht="14" x14ac:dyDescent="0.3">
      <c r="B28" s="8" t="s">
        <v>84</v>
      </c>
      <c r="C28" s="9"/>
      <c r="D28" s="9"/>
      <c r="E28" s="9"/>
      <c r="F28" s="9"/>
      <c r="G28" s="9"/>
    </row>
    <row r="29" spans="2:7" ht="14" x14ac:dyDescent="0.3">
      <c r="C29" s="10" t="s">
        <v>85</v>
      </c>
      <c r="D29" s="10" t="s">
        <v>86</v>
      </c>
      <c r="E29" s="10" t="s">
        <v>87</v>
      </c>
      <c r="F29" s="10" t="s">
        <v>88</v>
      </c>
      <c r="G29" s="10" t="s">
        <v>89</v>
      </c>
    </row>
    <row r="30" spans="2:7" ht="14" x14ac:dyDescent="0.3">
      <c r="B30" s="4" t="s">
        <v>46</v>
      </c>
      <c r="C30" s="18">
        <f>CHOOSE($D$27,C69,C70,C71,C72,C73)</f>
        <v>0.35</v>
      </c>
      <c r="D30" s="18">
        <f>CHOOSE($D$27,D69,D70,D71,D72,D73)</f>
        <v>0.2</v>
      </c>
      <c r="E30" s="18">
        <f>CHOOSE($D$27,E69,E70,E71,E72,E73)</f>
        <v>0.1</v>
      </c>
      <c r="F30" s="18">
        <f>CHOOSE($D$27,F69,F70,F71,F72,F73)</f>
        <v>0.05</v>
      </c>
      <c r="G30" s="18">
        <f>CHOOSE($D$27,G69,G70,G71,G72,G73)</f>
        <v>0.03</v>
      </c>
    </row>
    <row r="31" spans="2:7" ht="14" x14ac:dyDescent="0.3">
      <c r="B31" s="4" t="s">
        <v>90</v>
      </c>
      <c r="C31" s="18">
        <f>CHOOSE($D$27,C76,C77,C78,C79,C80)</f>
        <v>0.6542</v>
      </c>
      <c r="D31" s="18">
        <f>CHOOSE($D$27,D76,D77,D78,D79,D80)</f>
        <v>0.67290000000000005</v>
      </c>
      <c r="E31" s="18">
        <f>CHOOSE($D$27,E76,E77,E78,E79,E80)</f>
        <v>0.67359999999999998</v>
      </c>
      <c r="F31" s="18">
        <f>CHOOSE($D$27,F76,F77,F78,F79,F80)</f>
        <v>0.67169999999999996</v>
      </c>
      <c r="G31" s="18">
        <f>CHOOSE($D$27,G76,G77,G78,G79,G80)</f>
        <v>0.67520000000000002</v>
      </c>
    </row>
    <row r="32" spans="2:7" ht="14" x14ac:dyDescent="0.3">
      <c r="B32" s="4" t="s">
        <v>91</v>
      </c>
      <c r="C32" s="18">
        <f>CHOOSE($D$27,C83,C84,C85,C86,C87)</f>
        <v>0.31580000000000003</v>
      </c>
      <c r="D32" s="18">
        <f>CHOOSE($D$27,D83,D84,D85,D86,D87)</f>
        <v>0.2671</v>
      </c>
      <c r="E32" s="18">
        <f>CHOOSE($D$27,E83,E84,E85,E86,E87)</f>
        <v>0.24640000000000001</v>
      </c>
      <c r="F32" s="18">
        <f>CHOOSE($D$27,F83,F84,F85,F86,F87)</f>
        <v>0.23830000000000001</v>
      </c>
      <c r="G32" s="18">
        <f>CHOOSE($D$27,G83,G84,G85,G86,G87)</f>
        <v>0.23480000000000001</v>
      </c>
    </row>
    <row r="33" spans="2:7" ht="14" x14ac:dyDescent="0.3">
      <c r="B33" s="4" t="s">
        <v>37</v>
      </c>
      <c r="C33" s="5">
        <f>C17*(1+C30)</f>
        <v>5057.1000000000004</v>
      </c>
      <c r="D33" s="5">
        <f>C33*(1+D30)</f>
        <v>6068.52</v>
      </c>
      <c r="E33" s="5">
        <f>D33*(1+E30)</f>
        <v>6675.3720000000012</v>
      </c>
      <c r="F33" s="5">
        <f>E33*(1+F30)</f>
        <v>7009.1406000000015</v>
      </c>
      <c r="G33" s="5">
        <f>F33*(1+G30)</f>
        <v>7219.414818000002</v>
      </c>
    </row>
    <row r="34" spans="2:7" ht="14" x14ac:dyDescent="0.3">
      <c r="B34" s="4" t="s">
        <v>38</v>
      </c>
      <c r="C34" s="5">
        <f>C33*C31</f>
        <v>3308.3548200000005</v>
      </c>
      <c r="D34" s="5">
        <f>D33*D31</f>
        <v>4083.5071080000007</v>
      </c>
      <c r="E34" s="5">
        <f>E33*E31</f>
        <v>4496.5305792000008</v>
      </c>
      <c r="F34" s="5">
        <f>F33*F31</f>
        <v>4708.0397410200012</v>
      </c>
      <c r="G34" s="5">
        <f>G33*G31</f>
        <v>4874.5488851136015</v>
      </c>
    </row>
    <row r="35" spans="2:7" ht="14" x14ac:dyDescent="0.3">
      <c r="B35" s="4" t="s">
        <v>39</v>
      </c>
      <c r="C35" s="19">
        <f>C33-C34</f>
        <v>1748.7451799999999</v>
      </c>
      <c r="D35" s="19">
        <f>D33-D34</f>
        <v>1985.0128919999997</v>
      </c>
      <c r="E35" s="19">
        <f>E33-E34</f>
        <v>2178.8414208000004</v>
      </c>
      <c r="F35" s="19">
        <f>F33-F34</f>
        <v>2301.1008589800003</v>
      </c>
      <c r="G35" s="19">
        <f>G33-G34</f>
        <v>2344.8659328864005</v>
      </c>
    </row>
    <row r="36" spans="2:7" ht="14" x14ac:dyDescent="0.3">
      <c r="B36" s="4" t="s">
        <v>40</v>
      </c>
      <c r="C36" s="7">
        <f>C35/C33</f>
        <v>0.34579999999999994</v>
      </c>
      <c r="D36" s="7">
        <f>D35/D33</f>
        <v>0.32709999999999995</v>
      </c>
      <c r="E36" s="7">
        <f>E35/E33</f>
        <v>0.32640000000000002</v>
      </c>
      <c r="F36" s="7">
        <f>F35/F33</f>
        <v>0.32829999999999998</v>
      </c>
      <c r="G36" s="7">
        <f>G35/G33</f>
        <v>0.32479999999999998</v>
      </c>
    </row>
    <row r="37" spans="2:7" ht="14" x14ac:dyDescent="0.3">
      <c r="B37" s="4" t="s">
        <v>92</v>
      </c>
      <c r="C37" s="5">
        <f>C33*C32</f>
        <v>1597.0321800000002</v>
      </c>
      <c r="D37" s="5">
        <f>D33*D32</f>
        <v>1620.9016920000001</v>
      </c>
      <c r="E37" s="5">
        <f>E33*E32</f>
        <v>1644.8116608000003</v>
      </c>
      <c r="F37" s="5">
        <f>F33*F32</f>
        <v>1670.2782049800005</v>
      </c>
      <c r="G37" s="5">
        <f>G33*G32</f>
        <v>1695.1185992664005</v>
      </c>
    </row>
    <row r="38" spans="2:7" ht="14" x14ac:dyDescent="0.3">
      <c r="B38" s="4" t="s">
        <v>93</v>
      </c>
      <c r="C38" s="7">
        <f>(C35-C37)/C33</f>
        <v>2.9999999999999947E-2</v>
      </c>
      <c r="D38" s="7">
        <f>(D35-D37)/D33</f>
        <v>5.9999999999999928E-2</v>
      </c>
      <c r="E38" s="7">
        <f>(E35-E37)/E33</f>
        <v>0.08</v>
      </c>
      <c r="F38" s="7">
        <f>(F35-F37)/F33</f>
        <v>8.9999999999999955E-2</v>
      </c>
      <c r="G38" s="7">
        <f>(G35-G37)/G33</f>
        <v>8.9999999999999983E-2</v>
      </c>
    </row>
    <row r="39" spans="2:7" ht="14" x14ac:dyDescent="0.3">
      <c r="B39" s="4" t="s">
        <v>94</v>
      </c>
      <c r="C39" s="19">
        <f>C35-C37</f>
        <v>151.71299999999974</v>
      </c>
      <c r="D39" s="19">
        <f>D35-D37</f>
        <v>364.1111999999996</v>
      </c>
      <c r="E39" s="19">
        <f>E35-E37</f>
        <v>534.02976000000012</v>
      </c>
      <c r="F39" s="19">
        <f>F35-F37</f>
        <v>630.82265399999983</v>
      </c>
      <c r="G39" s="19">
        <f>G35-G37</f>
        <v>649.74733362000006</v>
      </c>
    </row>
    <row r="40" spans="2:7" ht="14" x14ac:dyDescent="0.3">
      <c r="B40" s="4" t="s">
        <v>95</v>
      </c>
      <c r="C40" s="5">
        <f>MAX(0,C39*C6)</f>
        <v>46.42417799999992</v>
      </c>
      <c r="D40" s="5">
        <f>MAX(0,D39*C6)</f>
        <v>111.41802719999987</v>
      </c>
      <c r="E40" s="5">
        <f>MAX(0,E39*C6)</f>
        <v>163.41310656000005</v>
      </c>
      <c r="F40" s="5">
        <f>MAX(0,F39*C6)</f>
        <v>193.03173212399994</v>
      </c>
      <c r="G40" s="5">
        <f>MAX(0,G39*C6)</f>
        <v>198.82268408772001</v>
      </c>
    </row>
    <row r="41" spans="2:7" ht="14" x14ac:dyDescent="0.3">
      <c r="B41" s="4" t="s">
        <v>96</v>
      </c>
      <c r="C41" s="19">
        <f>C39-C40</f>
        <v>105.28882199999981</v>
      </c>
      <c r="D41" s="19">
        <f>D39-D40</f>
        <v>252.69317279999973</v>
      </c>
      <c r="E41" s="19">
        <f>E39-E40</f>
        <v>370.61665344000005</v>
      </c>
      <c r="F41" s="19">
        <f>F39-F40</f>
        <v>437.79092187599986</v>
      </c>
      <c r="G41" s="19">
        <f>G39-G40</f>
        <v>450.92464953228006</v>
      </c>
    </row>
    <row r="42" spans="2:7" ht="14" x14ac:dyDescent="0.3">
      <c r="B42" s="4" t="s">
        <v>97</v>
      </c>
      <c r="C42" s="5">
        <f>C33*C18</f>
        <v>328.71150000000006</v>
      </c>
      <c r="D42" s="5">
        <f>D33*C18</f>
        <v>394.45380000000006</v>
      </c>
      <c r="E42" s="5">
        <f>E33*C18</f>
        <v>433.89918000000011</v>
      </c>
      <c r="F42" s="5">
        <f>F33*C18</f>
        <v>455.5941390000001</v>
      </c>
      <c r="G42" s="5">
        <f>G33*C18</f>
        <v>469.26196317000017</v>
      </c>
    </row>
    <row r="43" spans="2:7" ht="14" x14ac:dyDescent="0.3">
      <c r="B43" s="4" t="s">
        <v>98</v>
      </c>
      <c r="C43" s="5">
        <f>C33*C5</f>
        <v>323.65440000000001</v>
      </c>
      <c r="D43" s="5">
        <f>D33*C5</f>
        <v>388.38528000000002</v>
      </c>
      <c r="E43" s="5">
        <f>E33*C5</f>
        <v>427.22380800000008</v>
      </c>
      <c r="F43" s="5">
        <f>F33*C5</f>
        <v>448.58499840000013</v>
      </c>
      <c r="G43" s="5">
        <f>G33*C5</f>
        <v>462.04254835200015</v>
      </c>
    </row>
    <row r="44" spans="2:7" ht="14" x14ac:dyDescent="0.3">
      <c r="B44" s="4" t="s">
        <v>99</v>
      </c>
      <c r="C44" s="5">
        <f>'NWC Schedule'!D19</f>
        <v>719.60197095890453</v>
      </c>
      <c r="D44" s="5">
        <f>'NWC Schedule'!E19</f>
        <v>538.37470947945212</v>
      </c>
      <c r="E44" s="5">
        <f>'NWC Schedule'!F19</f>
        <v>298.77402220274007</v>
      </c>
      <c r="F44" s="5">
        <f>'NWC Schedule'!G19</f>
        <v>157.03492577917814</v>
      </c>
      <c r="G44" s="5">
        <f>'NWC Schedule'!H19</f>
        <v>114.42220396688299</v>
      </c>
    </row>
    <row r="45" spans="2:7" ht="14" x14ac:dyDescent="0.3">
      <c r="B45" s="4" t="s">
        <v>100</v>
      </c>
      <c r="C45" s="20">
        <f>C41+C42-C43-C44</f>
        <v>-609.25604895890467</v>
      </c>
      <c r="D45" s="20">
        <f>D41+D42-D43-D44</f>
        <v>-279.61301667945241</v>
      </c>
      <c r="E45" s="20">
        <f>E41+E42-E43-E44</f>
        <v>78.518003237260018</v>
      </c>
      <c r="F45" s="20">
        <f>F41+F42-F43-F44</f>
        <v>287.76513669682163</v>
      </c>
      <c r="G45" s="20">
        <f>G41+G42-G43-G44</f>
        <v>343.72186038339703</v>
      </c>
    </row>
    <row r="46" spans="2:7" ht="14" x14ac:dyDescent="0.3">
      <c r="B46" s="4" t="s">
        <v>101</v>
      </c>
      <c r="C46" s="21">
        <f>1/(1+C26)^(C19+0)</f>
        <v>0.94650301174332152</v>
      </c>
      <c r="D46" s="21">
        <f>1/(1+C26)^(C19+1)</f>
        <v>0.84794171397220142</v>
      </c>
      <c r="E46" s="21">
        <f>1/(1+C26)^(C19+2)</f>
        <v>0.75964380606651349</v>
      </c>
      <c r="F46" s="21">
        <f>1/(1+C26)^(C19+3)</f>
        <v>0.68054054021233912</v>
      </c>
      <c r="G46" s="21">
        <f>1/(1+C26)^(C19+4)</f>
        <v>0.60967445949523191</v>
      </c>
    </row>
    <row r="47" spans="2:7" ht="14" x14ac:dyDescent="0.3">
      <c r="B47" s="4" t="s">
        <v>102</v>
      </c>
      <c r="C47" s="19">
        <f>C45*C46</f>
        <v>-576.66268526243982</v>
      </c>
      <c r="D47" s="19">
        <f>D45*D46</f>
        <v>-237.09554061211261</v>
      </c>
      <c r="E47" s="19">
        <f>E45*E46</f>
        <v>59.645714823895027</v>
      </c>
      <c r="F47" s="19">
        <f>F45*F46</f>
        <v>195.83584158193261</v>
      </c>
      <c r="G47" s="19">
        <f>G45*G46</f>
        <v>209.55843944594315</v>
      </c>
    </row>
    <row r="49" spans="2:7" ht="14" x14ac:dyDescent="0.3">
      <c r="B49" s="22" t="s">
        <v>103</v>
      </c>
      <c r="C49" s="23"/>
      <c r="D49" s="23"/>
      <c r="E49" s="23"/>
      <c r="F49" s="23"/>
      <c r="G49" s="23"/>
    </row>
    <row r="50" spans="2:7" ht="14" x14ac:dyDescent="0.3">
      <c r="B50" s="4" t="s">
        <v>104</v>
      </c>
      <c r="C50" s="5">
        <f>SUM(C47:G47)</f>
        <v>-348.71823002278165</v>
      </c>
    </row>
    <row r="51" spans="2:7" ht="14" x14ac:dyDescent="0.3">
      <c r="B51" s="4" t="s">
        <v>105</v>
      </c>
      <c r="C51" s="5">
        <f>G45*(1+C13)/(C26-C13)</f>
        <v>3267.8121548323943</v>
      </c>
    </row>
    <row r="52" spans="2:7" ht="14" x14ac:dyDescent="0.3">
      <c r="B52" s="4" t="s">
        <v>106</v>
      </c>
      <c r="C52" s="5">
        <f>C51*G46</f>
        <v>1992.301609229389</v>
      </c>
    </row>
    <row r="53" spans="2:7" ht="14" x14ac:dyDescent="0.3">
      <c r="B53" s="4" t="s">
        <v>107</v>
      </c>
      <c r="C53" s="5">
        <f>C50+C52</f>
        <v>1643.5833792066073</v>
      </c>
    </row>
    <row r="54" spans="2:7" ht="14" x14ac:dyDescent="0.3">
      <c r="B54" s="4" t="s">
        <v>108</v>
      </c>
      <c r="C54" s="5">
        <f>C53-C16</f>
        <v>-538.41662079339267</v>
      </c>
    </row>
    <row r="55" spans="2:7" ht="14" x14ac:dyDescent="0.3">
      <c r="B55" s="4" t="s">
        <v>109</v>
      </c>
      <c r="C55" s="24">
        <f>ROUND(C54*1000000/C15,0)</f>
        <v>-59</v>
      </c>
    </row>
    <row r="57" spans="2:7" ht="14" x14ac:dyDescent="0.3">
      <c r="B57" s="22" t="s">
        <v>110</v>
      </c>
      <c r="C57" s="23"/>
      <c r="D57" s="23"/>
      <c r="E57" s="23"/>
      <c r="F57" s="23"/>
      <c r="G57" s="23"/>
    </row>
    <row r="58" spans="2:7" ht="14" x14ac:dyDescent="0.3">
      <c r="B58" s="4" t="s">
        <v>104</v>
      </c>
      <c r="C58" s="5">
        <f>C50</f>
        <v>-348.71823002278165</v>
      </c>
    </row>
    <row r="59" spans="2:7" ht="14" x14ac:dyDescent="0.3">
      <c r="B59" s="4" t="s">
        <v>111</v>
      </c>
      <c r="C59" s="5">
        <f>G39+G42</f>
        <v>1119.0092967900002</v>
      </c>
    </row>
    <row r="60" spans="2:7" ht="14" x14ac:dyDescent="0.3">
      <c r="B60" s="4" t="s">
        <v>112</v>
      </c>
      <c r="C60" s="5">
        <f>C59*C14</f>
        <v>8952.0743743200019</v>
      </c>
    </row>
    <row r="61" spans="2:7" ht="14" x14ac:dyDescent="0.3">
      <c r="B61" s="4" t="s">
        <v>106</v>
      </c>
      <c r="C61" s="5">
        <f>C60*G46</f>
        <v>5457.8511055246636</v>
      </c>
    </row>
    <row r="62" spans="2:7" ht="14" x14ac:dyDescent="0.3">
      <c r="B62" s="4" t="s">
        <v>107</v>
      </c>
      <c r="C62" s="5">
        <f>C58+C61</f>
        <v>5109.1328755018822</v>
      </c>
    </row>
    <row r="63" spans="2:7" ht="14" x14ac:dyDescent="0.3">
      <c r="B63" s="4" t="s">
        <v>108</v>
      </c>
      <c r="C63" s="5">
        <f>C62-C16</f>
        <v>2927.1328755018822</v>
      </c>
    </row>
    <row r="64" spans="2:7" ht="14" x14ac:dyDescent="0.3">
      <c r="B64" s="4" t="s">
        <v>113</v>
      </c>
      <c r="C64" s="24">
        <f>ROUND(C63*1000000/C15,0)</f>
        <v>318</v>
      </c>
    </row>
    <row r="66" spans="2:7" ht="14" x14ac:dyDescent="0.3">
      <c r="B66" s="22" t="s">
        <v>114</v>
      </c>
      <c r="C66" s="23"/>
      <c r="D66" s="23"/>
      <c r="E66" s="23"/>
      <c r="F66" s="23"/>
      <c r="G66" s="23"/>
    </row>
    <row r="67" spans="2:7" ht="14" x14ac:dyDescent="0.3">
      <c r="C67" s="25" t="s">
        <v>115</v>
      </c>
      <c r="D67" s="25" t="s">
        <v>116</v>
      </c>
      <c r="E67" s="25" t="s">
        <v>117</v>
      </c>
      <c r="F67" s="25" t="s">
        <v>118</v>
      </c>
      <c r="G67" s="25" t="s">
        <v>119</v>
      </c>
    </row>
    <row r="68" spans="2:7" ht="14" x14ac:dyDescent="0.3">
      <c r="B68" s="3" t="s">
        <v>46</v>
      </c>
    </row>
    <row r="69" spans="2:7" ht="14" x14ac:dyDescent="0.3">
      <c r="B69" s="4" t="s">
        <v>83</v>
      </c>
      <c r="C69" s="26">
        <v>0.35</v>
      </c>
      <c r="D69" s="26">
        <v>0.2</v>
      </c>
      <c r="E69" s="26">
        <v>0.1</v>
      </c>
      <c r="F69" s="26">
        <v>0.05</v>
      </c>
      <c r="G69" s="26">
        <v>0.03</v>
      </c>
    </row>
    <row r="70" spans="2:7" ht="14" x14ac:dyDescent="0.3">
      <c r="B70" s="4" t="s">
        <v>120</v>
      </c>
      <c r="C70" s="26">
        <v>0.57499999999999996</v>
      </c>
      <c r="D70" s="26">
        <v>0.3</v>
      </c>
      <c r="E70" s="26">
        <v>0.15</v>
      </c>
      <c r="F70" s="26">
        <v>0.08</v>
      </c>
      <c r="G70" s="26">
        <v>0.04</v>
      </c>
    </row>
    <row r="71" spans="2:7" ht="14" x14ac:dyDescent="0.3">
      <c r="B71" s="4" t="s">
        <v>121</v>
      </c>
      <c r="C71" s="26">
        <v>0.57499999999999996</v>
      </c>
      <c r="D71" s="26">
        <v>0.2</v>
      </c>
      <c r="E71" s="26">
        <v>0.1</v>
      </c>
      <c r="F71" s="26">
        <v>0.05</v>
      </c>
      <c r="G71" s="26">
        <v>0.03</v>
      </c>
    </row>
    <row r="72" spans="2:7" ht="14" x14ac:dyDescent="0.3">
      <c r="B72" s="4" t="s">
        <v>122</v>
      </c>
      <c r="C72" s="26">
        <v>0.1</v>
      </c>
      <c r="D72" s="26">
        <v>0.05</v>
      </c>
      <c r="E72" s="26">
        <v>0.03</v>
      </c>
      <c r="F72" s="26">
        <v>0.03</v>
      </c>
      <c r="G72" s="26">
        <v>0.03</v>
      </c>
    </row>
    <row r="73" spans="2:7" ht="14" x14ac:dyDescent="0.3">
      <c r="B73" s="4" t="s">
        <v>123</v>
      </c>
      <c r="C73" s="26">
        <v>-0.05</v>
      </c>
      <c r="D73" s="26">
        <v>-0.05</v>
      </c>
      <c r="E73" s="26">
        <v>0</v>
      </c>
      <c r="F73" s="26">
        <v>0.03</v>
      </c>
      <c r="G73" s="26">
        <v>0.03</v>
      </c>
    </row>
    <row r="75" spans="2:7" ht="14" x14ac:dyDescent="0.3">
      <c r="B75" s="3" t="s">
        <v>90</v>
      </c>
    </row>
    <row r="76" spans="2:7" ht="14" x14ac:dyDescent="0.3">
      <c r="B76" s="4" t="s">
        <v>83</v>
      </c>
      <c r="C76" s="26">
        <v>0.6542</v>
      </c>
      <c r="D76" s="26">
        <v>0.67290000000000005</v>
      </c>
      <c r="E76" s="26">
        <v>0.67359999999999998</v>
      </c>
      <c r="F76" s="26">
        <v>0.67169999999999996</v>
      </c>
      <c r="G76" s="26">
        <v>0.67520000000000002</v>
      </c>
    </row>
    <row r="77" spans="2:7" ht="14" x14ac:dyDescent="0.3">
      <c r="B77" s="4" t="s">
        <v>120</v>
      </c>
      <c r="C77" s="26">
        <v>0.67930000000000001</v>
      </c>
      <c r="D77" s="26">
        <v>0.68869999999999998</v>
      </c>
      <c r="E77" s="26">
        <v>0.6835</v>
      </c>
      <c r="F77" s="26">
        <v>0.68469999999999998</v>
      </c>
      <c r="G77" s="26">
        <v>0.68889999999999996</v>
      </c>
    </row>
    <row r="78" spans="2:7" ht="14" x14ac:dyDescent="0.3">
      <c r="B78" s="4" t="s">
        <v>121</v>
      </c>
      <c r="C78" s="26">
        <v>0.68730000000000002</v>
      </c>
      <c r="D78" s="26">
        <v>0.70099999999999996</v>
      </c>
      <c r="E78" s="26">
        <v>0.69879999999999998</v>
      </c>
      <c r="F78" s="26">
        <v>0.69579999999999997</v>
      </c>
      <c r="G78" s="26">
        <v>0.69879999999999998</v>
      </c>
    </row>
    <row r="79" spans="2:7" ht="14" x14ac:dyDescent="0.3">
      <c r="B79" s="4" t="s">
        <v>122</v>
      </c>
      <c r="C79" s="26">
        <v>0.64239999999999997</v>
      </c>
      <c r="D79" s="26">
        <v>0.62529999999999997</v>
      </c>
      <c r="E79" s="26">
        <v>0.6109</v>
      </c>
      <c r="F79" s="26">
        <v>0.60619999999999996</v>
      </c>
      <c r="G79" s="26">
        <v>0.61150000000000004</v>
      </c>
    </row>
    <row r="80" spans="2:7" ht="14" x14ac:dyDescent="0.3">
      <c r="B80" s="4" t="s">
        <v>123</v>
      </c>
      <c r="C80" s="26">
        <v>0.6512</v>
      </c>
      <c r="D80" s="26">
        <v>0.60050000000000003</v>
      </c>
      <c r="E80" s="26">
        <v>0.54339999999999999</v>
      </c>
      <c r="F80" s="26">
        <v>0.52039999999999997</v>
      </c>
      <c r="G80" s="26">
        <v>0.51739999999999997</v>
      </c>
    </row>
    <row r="82" spans="2:7" ht="14" x14ac:dyDescent="0.3">
      <c r="B82" s="3" t="s">
        <v>91</v>
      </c>
    </row>
    <row r="83" spans="2:7" ht="14" x14ac:dyDescent="0.3">
      <c r="B83" s="4" t="s">
        <v>83</v>
      </c>
      <c r="C83" s="26">
        <v>0.31580000000000003</v>
      </c>
      <c r="D83" s="26">
        <v>0.2671</v>
      </c>
      <c r="E83" s="26">
        <v>0.24640000000000001</v>
      </c>
      <c r="F83" s="26">
        <v>0.23830000000000001</v>
      </c>
      <c r="G83" s="26">
        <v>0.23480000000000001</v>
      </c>
    </row>
    <row r="84" spans="2:7" ht="14" x14ac:dyDescent="0.3">
      <c r="B84" s="4" t="s">
        <v>120</v>
      </c>
      <c r="C84" s="26">
        <v>0.2707</v>
      </c>
      <c r="D84" s="26">
        <v>0.21129999999999999</v>
      </c>
      <c r="E84" s="26">
        <v>0.1865</v>
      </c>
      <c r="F84" s="26">
        <v>0.17530000000000001</v>
      </c>
      <c r="G84" s="26">
        <v>0.1711</v>
      </c>
    </row>
    <row r="85" spans="2:7" ht="14" x14ac:dyDescent="0.3">
      <c r="B85" s="4" t="s">
        <v>121</v>
      </c>
      <c r="C85" s="26">
        <v>0.2707</v>
      </c>
      <c r="D85" s="26">
        <v>0.22900000000000001</v>
      </c>
      <c r="E85" s="26">
        <v>0.2112</v>
      </c>
      <c r="F85" s="26">
        <v>0.20419999999999999</v>
      </c>
      <c r="G85" s="26">
        <v>0.20119999999999999</v>
      </c>
    </row>
    <row r="86" spans="2:7" ht="14" x14ac:dyDescent="0.3">
      <c r="B86" s="4" t="s">
        <v>122</v>
      </c>
      <c r="C86" s="26">
        <v>0.3876</v>
      </c>
      <c r="D86" s="26">
        <v>0.37469999999999998</v>
      </c>
      <c r="E86" s="26">
        <v>0.36909999999999998</v>
      </c>
      <c r="F86" s="26">
        <v>0.36380000000000001</v>
      </c>
      <c r="G86" s="26">
        <v>0.35849999999999999</v>
      </c>
    </row>
    <row r="87" spans="2:7" ht="14" x14ac:dyDescent="0.3">
      <c r="B87" s="4" t="s">
        <v>123</v>
      </c>
      <c r="C87" s="26">
        <v>0.44879999999999998</v>
      </c>
      <c r="D87" s="26">
        <v>0.47949999999999998</v>
      </c>
      <c r="E87" s="26">
        <v>0.48659999999999998</v>
      </c>
      <c r="F87" s="26">
        <v>0.47960000000000003</v>
      </c>
      <c r="G87" s="26">
        <v>0.47260000000000002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124</v>
      </c>
    </row>
    <row r="4" spans="2:8" ht="14" x14ac:dyDescent="0.3">
      <c r="B4" s="8" t="s">
        <v>125</v>
      </c>
      <c r="C4" s="27" t="s">
        <v>126</v>
      </c>
      <c r="D4" s="27" t="s">
        <v>85</v>
      </c>
      <c r="E4" s="27" t="s">
        <v>86</v>
      </c>
      <c r="F4" s="27" t="s">
        <v>87</v>
      </c>
      <c r="G4" s="27" t="s">
        <v>88</v>
      </c>
      <c r="H4" s="27" t="s">
        <v>89</v>
      </c>
    </row>
    <row r="5" spans="2:8" ht="14" x14ac:dyDescent="0.3">
      <c r="B5" s="28" t="s">
        <v>127</v>
      </c>
      <c r="C5" s="29">
        <f>C12/C9*365</f>
        <v>64.406033101975439</v>
      </c>
      <c r="D5" s="29">
        <f>CHOOSE('DCF Model'!$D$27,D25,D26,D27,D28,D29)</f>
        <v>64</v>
      </c>
      <c r="E5" s="29">
        <f>CHOOSE('DCF Model'!$D$27,E25,E26,E27,E28,E29)</f>
        <v>64</v>
      </c>
      <c r="F5" s="29">
        <f>CHOOSE('DCF Model'!$D$27,F25,F26,F27,F28,F29)</f>
        <v>64</v>
      </c>
      <c r="G5" s="29">
        <f>CHOOSE('DCF Model'!$D$27,G25,G26,G27,G28,G29)</f>
        <v>64</v>
      </c>
      <c r="H5" s="29">
        <f>CHOOSE('DCF Model'!$D$27,H25,H26,H27,H28,H29)</f>
        <v>64</v>
      </c>
    </row>
    <row r="6" spans="2:8" ht="14" x14ac:dyDescent="0.3">
      <c r="B6" s="28" t="s">
        <v>128</v>
      </c>
      <c r="C6" s="29">
        <f>C13/C10*365</f>
        <v>214.16147686832741</v>
      </c>
      <c r="D6" s="29">
        <f>CHOOSE('DCF Model'!$D$27,D32,D33,D34,D35,D36)</f>
        <v>214</v>
      </c>
      <c r="E6" s="29">
        <f>CHOOSE('DCF Model'!$D$27,E32,E33,E34,E35,E36)</f>
        <v>214</v>
      </c>
      <c r="F6" s="29">
        <f>CHOOSE('DCF Model'!$D$27,F32,F33,F34,F35,F36)</f>
        <v>214</v>
      </c>
      <c r="G6" s="29">
        <f>CHOOSE('DCF Model'!$D$27,G32,G33,G34,G35,G36)</f>
        <v>214</v>
      </c>
      <c r="H6" s="29">
        <f>CHOOSE('DCF Model'!$D$27,H32,H33,H34,H35,H36)</f>
        <v>214</v>
      </c>
    </row>
    <row r="7" spans="2:8" ht="14" x14ac:dyDescent="0.3">
      <c r="B7" s="28" t="s">
        <v>129</v>
      </c>
      <c r="C7" s="29">
        <f>C15/C10*365</f>
        <v>44.163701067615655</v>
      </c>
      <c r="D7" s="29">
        <f>CHOOSE('DCF Model'!$D$27,D39,D40,D41,D42,D43)</f>
        <v>44</v>
      </c>
      <c r="E7" s="29">
        <f>CHOOSE('DCF Model'!$D$27,E39,E40,E41,E42,E43)</f>
        <v>44</v>
      </c>
      <c r="F7" s="29">
        <f>CHOOSE('DCF Model'!$D$27,F39,F40,F41,F42,F43)</f>
        <v>44</v>
      </c>
      <c r="G7" s="29">
        <f>CHOOSE('DCF Model'!$D$27,G39,G40,G41,G42,G43)</f>
        <v>44</v>
      </c>
      <c r="H7" s="29">
        <f>CHOOSE('DCF Model'!$D$27,H39,H40,H41,H42,H43)</f>
        <v>44</v>
      </c>
    </row>
    <row r="8" spans="2:8" ht="14" x14ac:dyDescent="0.3">
      <c r="B8" s="8" t="s">
        <v>130</v>
      </c>
      <c r="C8" s="9"/>
      <c r="D8" s="9"/>
      <c r="E8" s="9"/>
      <c r="F8" s="9"/>
      <c r="G8" s="9"/>
      <c r="H8" s="9"/>
    </row>
    <row r="9" spans="2:8" ht="14" x14ac:dyDescent="0.3">
      <c r="B9" s="28" t="s">
        <v>37</v>
      </c>
      <c r="C9" s="30">
        <v>3746</v>
      </c>
      <c r="D9" s="30">
        <f>'DCF Model'!C33</f>
        <v>5057.1000000000004</v>
      </c>
      <c r="E9" s="30">
        <f>'DCF Model'!D33</f>
        <v>6068.52</v>
      </c>
      <c r="F9" s="30">
        <f>'DCF Model'!E33</f>
        <v>6675.3720000000012</v>
      </c>
      <c r="G9" s="30">
        <f>'DCF Model'!F33</f>
        <v>7009.1406000000015</v>
      </c>
      <c r="H9" s="30">
        <f>'DCF Model'!G33</f>
        <v>7219.414818000002</v>
      </c>
    </row>
    <row r="10" spans="2:8" ht="14" x14ac:dyDescent="0.3">
      <c r="B10" s="28" t="s">
        <v>38</v>
      </c>
      <c r="C10" s="30">
        <v>2248</v>
      </c>
      <c r="D10" s="30">
        <f>'DCF Model'!C34</f>
        <v>3308.3548200000005</v>
      </c>
      <c r="E10" s="30">
        <f>'DCF Model'!D34</f>
        <v>4083.5071080000007</v>
      </c>
      <c r="F10" s="30">
        <f>'DCF Model'!E34</f>
        <v>4496.5305792000008</v>
      </c>
      <c r="G10" s="30">
        <f>'DCF Model'!F34</f>
        <v>4708.0397410200012</v>
      </c>
      <c r="H10" s="30">
        <f>'DCF Model'!G34</f>
        <v>4874.5488851136015</v>
      </c>
    </row>
    <row r="11" spans="2:8" ht="14" x14ac:dyDescent="0.3">
      <c r="B11" s="8" t="s">
        <v>131</v>
      </c>
      <c r="C11" s="9"/>
      <c r="D11" s="9"/>
      <c r="E11" s="9"/>
      <c r="F11" s="9"/>
      <c r="G11" s="9"/>
      <c r="H11" s="9"/>
    </row>
    <row r="12" spans="2:8" ht="14" x14ac:dyDescent="0.3">
      <c r="B12" s="28" t="s">
        <v>132</v>
      </c>
      <c r="C12" s="30">
        <v>661</v>
      </c>
      <c r="D12" s="30">
        <f t="shared" ref="D12:H13" si="0">D9*D5/365</f>
        <v>886.72438356164389</v>
      </c>
      <c r="E12" s="30">
        <f t="shared" si="0"/>
        <v>1064.0692602739728</v>
      </c>
      <c r="F12" s="30">
        <f t="shared" si="0"/>
        <v>1170.47618630137</v>
      </c>
      <c r="G12" s="30">
        <f t="shared" si="0"/>
        <v>1228.9999956164386</v>
      </c>
      <c r="H12" s="30">
        <f t="shared" si="0"/>
        <v>1265.8699954849319</v>
      </c>
    </row>
    <row r="13" spans="2:8" ht="14" x14ac:dyDescent="0.3">
      <c r="B13" s="28" t="s">
        <v>133</v>
      </c>
      <c r="C13" s="30">
        <v>1319</v>
      </c>
      <c r="D13" s="30">
        <f t="shared" si="0"/>
        <v>1939.6929629589044</v>
      </c>
      <c r="E13" s="30">
        <f t="shared" si="0"/>
        <v>2394.1658112657537</v>
      </c>
      <c r="F13" s="30">
        <f t="shared" si="0"/>
        <v>2636.3220382158911</v>
      </c>
      <c r="G13" s="30">
        <f t="shared" si="0"/>
        <v>2760.330149529535</v>
      </c>
      <c r="H13" s="30">
        <f t="shared" si="0"/>
        <v>2857.954688806331</v>
      </c>
    </row>
    <row r="14" spans="2:8" ht="14" x14ac:dyDescent="0.3">
      <c r="B14" s="28" t="s">
        <v>134</v>
      </c>
      <c r="C14" s="30">
        <f t="shared" ref="C14:H14" si="1">C12+C13</f>
        <v>1980</v>
      </c>
      <c r="D14" s="30">
        <f t="shared" si="1"/>
        <v>2826.4173465205486</v>
      </c>
      <c r="E14" s="30">
        <f t="shared" si="1"/>
        <v>3458.2350715397265</v>
      </c>
      <c r="F14" s="30">
        <f t="shared" si="1"/>
        <v>3806.7982245172611</v>
      </c>
      <c r="G14" s="30">
        <f t="shared" si="1"/>
        <v>3989.3301451459738</v>
      </c>
      <c r="H14" s="30">
        <f t="shared" si="1"/>
        <v>4123.8246842912631</v>
      </c>
    </row>
    <row r="15" spans="2:8" ht="14" x14ac:dyDescent="0.3">
      <c r="B15" s="28" t="s">
        <v>135</v>
      </c>
      <c r="C15" s="30">
        <v>272</v>
      </c>
      <c r="D15" s="30">
        <f>D10*D7/365</f>
        <v>398.81537556164392</v>
      </c>
      <c r="E15" s="30">
        <f>E10*E7/365</f>
        <v>492.25839110136991</v>
      </c>
      <c r="F15" s="30">
        <f>F10*F7/365</f>
        <v>542.04752187616441</v>
      </c>
      <c r="G15" s="30">
        <f>G10*G7/365</f>
        <v>567.54451672569883</v>
      </c>
      <c r="H15" s="30">
        <f>H10*H7/365</f>
        <v>587.61685190410537</v>
      </c>
    </row>
    <row r="16" spans="2:8" ht="14" x14ac:dyDescent="0.3">
      <c r="B16" s="28" t="s">
        <v>136</v>
      </c>
      <c r="C16" s="30">
        <f t="shared" ref="C16:H16" si="2">C15</f>
        <v>272</v>
      </c>
      <c r="D16" s="30">
        <f t="shared" si="2"/>
        <v>398.81537556164392</v>
      </c>
      <c r="E16" s="30">
        <f t="shared" si="2"/>
        <v>492.25839110136991</v>
      </c>
      <c r="F16" s="30">
        <f t="shared" si="2"/>
        <v>542.04752187616441</v>
      </c>
      <c r="G16" s="30">
        <f t="shared" si="2"/>
        <v>567.54451672569883</v>
      </c>
      <c r="H16" s="30">
        <f t="shared" si="2"/>
        <v>587.61685190410537</v>
      </c>
    </row>
    <row r="17" spans="2:8" ht="14" x14ac:dyDescent="0.3">
      <c r="B17" s="22" t="s">
        <v>137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138</v>
      </c>
      <c r="C18" s="20">
        <f t="shared" ref="C18:H18" si="3">C14-C16</f>
        <v>1708</v>
      </c>
      <c r="D18" s="20">
        <f t="shared" si="3"/>
        <v>2427.6019709589045</v>
      </c>
      <c r="E18" s="20">
        <f t="shared" si="3"/>
        <v>2965.9766804383567</v>
      </c>
      <c r="F18" s="20">
        <f t="shared" si="3"/>
        <v>3264.7507026410967</v>
      </c>
      <c r="G18" s="20">
        <f t="shared" si="3"/>
        <v>3421.7856284202749</v>
      </c>
      <c r="H18" s="20">
        <f t="shared" si="3"/>
        <v>3536.2078323871579</v>
      </c>
    </row>
    <row r="19" spans="2:8" ht="14" x14ac:dyDescent="0.3">
      <c r="B19" s="28" t="s">
        <v>99</v>
      </c>
      <c r="C19" s="31" t="s">
        <v>47</v>
      </c>
      <c r="D19" s="24">
        <f>D18-C18</f>
        <v>719.60197095890453</v>
      </c>
      <c r="E19" s="24">
        <f>E18-D18</f>
        <v>538.37470947945212</v>
      </c>
      <c r="F19" s="24">
        <f>F18-E18</f>
        <v>298.77402220274007</v>
      </c>
      <c r="G19" s="24">
        <f>G18-F18</f>
        <v>157.03492577917814</v>
      </c>
      <c r="H19" s="24">
        <f>H18-G18</f>
        <v>114.42220396688299</v>
      </c>
    </row>
    <row r="22" spans="2:8" ht="14" x14ac:dyDescent="0.3">
      <c r="B22" s="22" t="s">
        <v>139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85</v>
      </c>
      <c r="E23" s="25" t="s">
        <v>86</v>
      </c>
      <c r="F23" s="25" t="s">
        <v>87</v>
      </c>
      <c r="G23" s="25" t="s">
        <v>88</v>
      </c>
      <c r="H23" s="25" t="s">
        <v>89</v>
      </c>
    </row>
    <row r="24" spans="2:8" ht="14" x14ac:dyDescent="0.3">
      <c r="B24" s="3" t="s">
        <v>140</v>
      </c>
    </row>
    <row r="25" spans="2:8" ht="14" x14ac:dyDescent="0.3">
      <c r="B25" s="4" t="s">
        <v>83</v>
      </c>
      <c r="D25" s="32">
        <v>64</v>
      </c>
      <c r="E25" s="32">
        <v>64</v>
      </c>
      <c r="F25" s="32">
        <v>64</v>
      </c>
      <c r="G25" s="32">
        <v>64</v>
      </c>
      <c r="H25" s="32">
        <v>64</v>
      </c>
    </row>
    <row r="26" spans="2:8" ht="14" x14ac:dyDescent="0.3">
      <c r="B26" s="4" t="s">
        <v>120</v>
      </c>
      <c r="D26" s="32">
        <v>59</v>
      </c>
      <c r="E26" s="32">
        <v>59</v>
      </c>
      <c r="F26" s="32">
        <v>59</v>
      </c>
      <c r="G26" s="32">
        <v>59</v>
      </c>
      <c r="H26" s="32">
        <v>59</v>
      </c>
    </row>
    <row r="27" spans="2:8" ht="14" x14ac:dyDescent="0.3">
      <c r="B27" s="4" t="s">
        <v>121</v>
      </c>
      <c r="D27" s="32">
        <v>64</v>
      </c>
      <c r="E27" s="32">
        <v>64</v>
      </c>
      <c r="F27" s="32">
        <v>64</v>
      </c>
      <c r="G27" s="32">
        <v>64</v>
      </c>
      <c r="H27" s="32">
        <v>64</v>
      </c>
    </row>
    <row r="28" spans="2:8" ht="14" x14ac:dyDescent="0.3">
      <c r="B28" s="4" t="s">
        <v>122</v>
      </c>
      <c r="D28" s="32">
        <v>69</v>
      </c>
      <c r="E28" s="32">
        <v>69</v>
      </c>
      <c r="F28" s="32">
        <v>69</v>
      </c>
      <c r="G28" s="32">
        <v>69</v>
      </c>
      <c r="H28" s="32">
        <v>69</v>
      </c>
    </row>
    <row r="29" spans="2:8" ht="14" x14ac:dyDescent="0.3">
      <c r="B29" s="4" t="s">
        <v>123</v>
      </c>
      <c r="D29" s="32">
        <v>74</v>
      </c>
      <c r="E29" s="32">
        <v>74</v>
      </c>
      <c r="F29" s="32">
        <v>74</v>
      </c>
      <c r="G29" s="32">
        <v>74</v>
      </c>
      <c r="H29" s="32">
        <v>74</v>
      </c>
    </row>
    <row r="31" spans="2:8" ht="14" x14ac:dyDescent="0.3">
      <c r="B31" s="3" t="s">
        <v>141</v>
      </c>
    </row>
    <row r="32" spans="2:8" ht="14" x14ac:dyDescent="0.3">
      <c r="B32" s="4" t="s">
        <v>83</v>
      </c>
      <c r="D32" s="32">
        <v>214</v>
      </c>
      <c r="E32" s="32">
        <v>214</v>
      </c>
      <c r="F32" s="32">
        <v>214</v>
      </c>
      <c r="G32" s="32">
        <v>214</v>
      </c>
      <c r="H32" s="32">
        <v>214</v>
      </c>
    </row>
    <row r="33" spans="2:8" ht="14" x14ac:dyDescent="0.3">
      <c r="B33" s="4" t="s">
        <v>120</v>
      </c>
      <c r="D33" s="32">
        <v>212</v>
      </c>
      <c r="E33" s="32">
        <v>212</v>
      </c>
      <c r="F33" s="32">
        <v>212</v>
      </c>
      <c r="G33" s="32">
        <v>212</v>
      </c>
      <c r="H33" s="32">
        <v>212</v>
      </c>
    </row>
    <row r="34" spans="2:8" ht="14" x14ac:dyDescent="0.3">
      <c r="B34" s="4" t="s">
        <v>121</v>
      </c>
      <c r="D34" s="32">
        <v>214</v>
      </c>
      <c r="E34" s="32">
        <v>214</v>
      </c>
      <c r="F34" s="32">
        <v>214</v>
      </c>
      <c r="G34" s="32">
        <v>214</v>
      </c>
      <c r="H34" s="32">
        <v>214</v>
      </c>
    </row>
    <row r="35" spans="2:8" ht="14" x14ac:dyDescent="0.3">
      <c r="B35" s="4" t="s">
        <v>122</v>
      </c>
      <c r="D35" s="32">
        <v>217</v>
      </c>
      <c r="E35" s="32">
        <v>217</v>
      </c>
      <c r="F35" s="32">
        <v>217</v>
      </c>
      <c r="G35" s="32">
        <v>217</v>
      </c>
      <c r="H35" s="32">
        <v>217</v>
      </c>
    </row>
    <row r="36" spans="2:8" ht="14" x14ac:dyDescent="0.3">
      <c r="B36" s="4" t="s">
        <v>123</v>
      </c>
      <c r="D36" s="32">
        <v>219</v>
      </c>
      <c r="E36" s="32">
        <v>219</v>
      </c>
      <c r="F36" s="32">
        <v>219</v>
      </c>
      <c r="G36" s="32">
        <v>219</v>
      </c>
      <c r="H36" s="32">
        <v>219</v>
      </c>
    </row>
    <row r="38" spans="2:8" ht="14" x14ac:dyDescent="0.3">
      <c r="B38" s="3" t="s">
        <v>142</v>
      </c>
    </row>
    <row r="39" spans="2:8" ht="14" x14ac:dyDescent="0.3">
      <c r="B39" s="4" t="s">
        <v>83</v>
      </c>
      <c r="D39" s="32">
        <v>44</v>
      </c>
      <c r="E39" s="32">
        <v>44</v>
      </c>
      <c r="F39" s="32">
        <v>44</v>
      </c>
      <c r="G39" s="32">
        <v>44</v>
      </c>
      <c r="H39" s="32">
        <v>44</v>
      </c>
    </row>
    <row r="40" spans="2:8" ht="14" x14ac:dyDescent="0.3">
      <c r="B40" s="4" t="s">
        <v>120</v>
      </c>
      <c r="D40" s="32">
        <v>47</v>
      </c>
      <c r="E40" s="32">
        <v>47</v>
      </c>
      <c r="F40" s="32">
        <v>47</v>
      </c>
      <c r="G40" s="32">
        <v>47</v>
      </c>
      <c r="H40" s="32">
        <v>47</v>
      </c>
    </row>
    <row r="41" spans="2:8" ht="14" x14ac:dyDescent="0.3">
      <c r="B41" s="4" t="s">
        <v>121</v>
      </c>
      <c r="D41" s="32">
        <v>44</v>
      </c>
      <c r="E41" s="32">
        <v>44</v>
      </c>
      <c r="F41" s="32">
        <v>44</v>
      </c>
      <c r="G41" s="32">
        <v>44</v>
      </c>
      <c r="H41" s="32">
        <v>44</v>
      </c>
    </row>
    <row r="42" spans="2:8" ht="14" x14ac:dyDescent="0.3">
      <c r="B42" s="4" t="s">
        <v>122</v>
      </c>
      <c r="D42" s="32">
        <v>41</v>
      </c>
      <c r="E42" s="32">
        <v>41</v>
      </c>
      <c r="F42" s="32">
        <v>41</v>
      </c>
      <c r="G42" s="32">
        <v>41</v>
      </c>
      <c r="H42" s="32">
        <v>41</v>
      </c>
    </row>
    <row r="43" spans="2:8" ht="14" x14ac:dyDescent="0.3">
      <c r="B43" s="4" t="s">
        <v>123</v>
      </c>
      <c r="D43" s="32">
        <v>39</v>
      </c>
      <c r="E43" s="32">
        <v>39</v>
      </c>
      <c r="F43" s="32">
        <v>39</v>
      </c>
      <c r="G43" s="32">
        <v>39</v>
      </c>
      <c r="H43" s="32">
        <v>39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Q29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143</v>
      </c>
    </row>
    <row r="3" spans="2:17" ht="14" x14ac:dyDescent="0.3">
      <c r="B3" s="1" t="s">
        <v>144</v>
      </c>
    </row>
    <row r="4" spans="2:17" ht="28" x14ac:dyDescent="0.3">
      <c r="B4" s="10" t="s">
        <v>3</v>
      </c>
      <c r="C4" s="10" t="s">
        <v>5</v>
      </c>
      <c r="D4" s="10" t="s">
        <v>145</v>
      </c>
      <c r="E4" s="10" t="s">
        <v>146</v>
      </c>
      <c r="F4" s="10" t="s">
        <v>147</v>
      </c>
      <c r="G4" s="10" t="s">
        <v>148</v>
      </c>
      <c r="H4" s="10" t="s">
        <v>149</v>
      </c>
      <c r="I4" s="10" t="s">
        <v>150</v>
      </c>
      <c r="J4" s="10" t="s">
        <v>151</v>
      </c>
      <c r="K4" s="10" t="s">
        <v>152</v>
      </c>
      <c r="L4" s="10" t="s">
        <v>153</v>
      </c>
      <c r="M4" s="10" t="s">
        <v>154</v>
      </c>
      <c r="N4" s="10" t="s">
        <v>155</v>
      </c>
      <c r="O4" s="10" t="s">
        <v>156</v>
      </c>
      <c r="P4" s="10" t="s">
        <v>157</v>
      </c>
      <c r="Q4" s="10" t="s">
        <v>158</v>
      </c>
    </row>
    <row r="5" spans="2:17" ht="14" x14ac:dyDescent="0.3">
      <c r="B5" s="4" t="s">
        <v>4</v>
      </c>
      <c r="C5" t="s">
        <v>159</v>
      </c>
      <c r="D5" s="33">
        <f>'Executive Summary'!C9*C24/1000000</f>
        <v>14240.536325999999</v>
      </c>
      <c r="E5" s="33">
        <f>D5+C25</f>
        <v>16422.536326000001</v>
      </c>
      <c r="F5" s="33">
        <v>3746</v>
      </c>
      <c r="G5" s="33">
        <v>186</v>
      </c>
      <c r="H5" s="33">
        <v>-75</v>
      </c>
      <c r="I5" s="33">
        <v>6</v>
      </c>
      <c r="J5" s="34">
        <f t="shared" ref="J5:J12" si="0">IFERROR(E5/G5,"")</f>
        <v>88.293206053763441</v>
      </c>
      <c r="K5" s="34">
        <f t="shared" ref="K5:K12" si="1">IFERROR(E5/F5,"")</f>
        <v>4.38401930752803</v>
      </c>
      <c r="L5" s="34">
        <f>IFERROR(D5/I5,"")</f>
        <v>2373.4227209999999</v>
      </c>
      <c r="M5" s="34">
        <f t="shared" ref="M5:M12" si="2">IFERROR(D5/P5,"")</f>
        <v>8.0728663979591833</v>
      </c>
      <c r="N5" s="35">
        <f t="shared" ref="N5:N12" si="3">IFERROR(H5/F5,"")</f>
        <v>-2.0021356113187401E-2</v>
      </c>
      <c r="O5" s="35">
        <f t="shared" ref="O5:O12" si="4">IFERROR(I5/P5,"")</f>
        <v>3.4013605442176869E-3</v>
      </c>
      <c r="P5" s="33">
        <v>1764</v>
      </c>
    </row>
    <row r="6" spans="2:17" ht="14" x14ac:dyDescent="0.3">
      <c r="B6" s="4" t="s">
        <v>160</v>
      </c>
      <c r="C6" t="s">
        <v>161</v>
      </c>
      <c r="D6" s="33">
        <v>221694</v>
      </c>
      <c r="E6" s="33">
        <v>203672</v>
      </c>
      <c r="F6" s="33">
        <v>30088</v>
      </c>
      <c r="G6" s="33">
        <v>8676</v>
      </c>
      <c r="H6" s="33">
        <v>7733</v>
      </c>
      <c r="I6" s="33">
        <v>6211</v>
      </c>
      <c r="J6" s="34">
        <f t="shared" si="0"/>
        <v>23.475334255417241</v>
      </c>
      <c r="K6" s="34">
        <f t="shared" si="1"/>
        <v>6.7692103164052115</v>
      </c>
      <c r="L6" s="34">
        <f>IFERROR(D6/I6,"")</f>
        <v>35.693769119304463</v>
      </c>
      <c r="M6" s="34">
        <f t="shared" si="2"/>
        <v>6.5510475458763038</v>
      </c>
      <c r="N6" s="35">
        <f t="shared" si="3"/>
        <v>0.25701276256314809</v>
      </c>
      <c r="O6" s="35">
        <f t="shared" si="4"/>
        <v>0.18353476552111345</v>
      </c>
      <c r="P6" s="33">
        <v>33841</v>
      </c>
    </row>
    <row r="7" spans="2:17" ht="14" x14ac:dyDescent="0.3">
      <c r="B7" s="4" t="s">
        <v>162</v>
      </c>
      <c r="C7" t="s">
        <v>163</v>
      </c>
      <c r="D7" s="33">
        <v>2685949</v>
      </c>
      <c r="E7" s="33">
        <v>2944340</v>
      </c>
      <c r="F7" s="33">
        <v>1307560</v>
      </c>
      <c r="G7" s="33">
        <v>107075</v>
      </c>
      <c r="H7" s="33">
        <v>63857</v>
      </c>
      <c r="I7" s="33">
        <v>72514</v>
      </c>
      <c r="J7" s="34">
        <f t="shared" si="0"/>
        <v>27.49792201727761</v>
      </c>
      <c r="K7" s="34">
        <f t="shared" si="1"/>
        <v>2.2517819449967877</v>
      </c>
      <c r="L7" s="34">
        <f>IFERROR(D7/I7,"")</f>
        <v>37.040419781007806</v>
      </c>
      <c r="M7" s="34">
        <f t="shared" si="2"/>
        <v>6.4403833611478776</v>
      </c>
      <c r="N7" s="35">
        <f t="shared" si="3"/>
        <v>4.88367646608951E-2</v>
      </c>
      <c r="O7" s="35">
        <f t="shared" si="4"/>
        <v>0.17387447008497822</v>
      </c>
      <c r="P7" s="33">
        <v>417048</v>
      </c>
    </row>
    <row r="8" spans="2:17" ht="14" x14ac:dyDescent="0.3">
      <c r="B8" s="4" t="s">
        <v>164</v>
      </c>
      <c r="C8" t="s">
        <v>165</v>
      </c>
      <c r="D8" s="33">
        <v>62644</v>
      </c>
      <c r="E8" s="33">
        <v>80576</v>
      </c>
      <c r="F8" s="33">
        <v>54629</v>
      </c>
      <c r="G8" s="33">
        <v>7267</v>
      </c>
      <c r="H8" s="33">
        <v>3356</v>
      </c>
      <c r="I8" s="33">
        <v>2065</v>
      </c>
      <c r="J8" s="34">
        <f t="shared" si="0"/>
        <v>11.087931746250172</v>
      </c>
      <c r="K8" s="34">
        <f t="shared" si="1"/>
        <v>1.4749675081000932</v>
      </c>
      <c r="L8" s="34">
        <f>IFERROR(D8/I8,"")</f>
        <v>30.336077481840192</v>
      </c>
      <c r="M8" s="34">
        <f t="shared" si="2"/>
        <v>1.9627772903872667</v>
      </c>
      <c r="N8" s="35">
        <f t="shared" si="3"/>
        <v>6.1432572443207822E-2</v>
      </c>
      <c r="O8" s="35">
        <f t="shared" si="4"/>
        <v>6.4701090362200772E-2</v>
      </c>
      <c r="P8" s="33">
        <v>31916</v>
      </c>
    </row>
    <row r="9" spans="2:17" ht="14" x14ac:dyDescent="0.3">
      <c r="B9" s="4" t="s">
        <v>166</v>
      </c>
      <c r="C9" t="s">
        <v>167</v>
      </c>
      <c r="D9" s="33">
        <v>41044</v>
      </c>
      <c r="E9" s="33">
        <v>98938</v>
      </c>
      <c r="F9" s="33">
        <v>147194</v>
      </c>
      <c r="G9" s="33">
        <v>19321</v>
      </c>
      <c r="H9" s="33">
        <v>7440</v>
      </c>
      <c r="I9" s="33">
        <v>3618</v>
      </c>
      <c r="J9" s="34">
        <f t="shared" si="0"/>
        <v>5.1207494436105794</v>
      </c>
      <c r="K9" s="34">
        <f t="shared" si="1"/>
        <v>0.67216055002241937</v>
      </c>
      <c r="L9" s="34">
        <f>IFERROR(D9/I9,"")</f>
        <v>11.344389165284687</v>
      </c>
      <c r="M9" s="34">
        <f t="shared" si="2"/>
        <v>0.66191459166559152</v>
      </c>
      <c r="N9" s="35">
        <f t="shared" si="3"/>
        <v>5.0545538540973135E-2</v>
      </c>
      <c r="O9" s="35">
        <f t="shared" si="4"/>
        <v>5.8347310024512967E-2</v>
      </c>
      <c r="P9" s="33">
        <v>62008</v>
      </c>
    </row>
    <row r="10" spans="2:17" ht="14" x14ac:dyDescent="0.3">
      <c r="B10" s="4" t="s">
        <v>168</v>
      </c>
      <c r="C10" t="s">
        <v>169</v>
      </c>
      <c r="D10" s="33">
        <v>60876</v>
      </c>
      <c r="E10" s="33">
        <v>80405</v>
      </c>
      <c r="F10" s="33">
        <v>123559</v>
      </c>
      <c r="G10" s="33">
        <v>9683</v>
      </c>
      <c r="H10" s="33">
        <v>5288</v>
      </c>
      <c r="I10" s="33">
        <v>-1385</v>
      </c>
      <c r="J10" s="34">
        <f t="shared" si="0"/>
        <v>8.3037281834142309</v>
      </c>
      <c r="K10" s="34">
        <f t="shared" si="1"/>
        <v>0.65074175090442621</v>
      </c>
      <c r="L10" s="36" t="s">
        <v>170</v>
      </c>
      <c r="M10" s="34">
        <f t="shared" si="2"/>
        <v>0.96903901561579731</v>
      </c>
      <c r="N10" s="35">
        <f t="shared" si="3"/>
        <v>4.2797368058983966E-2</v>
      </c>
      <c r="O10" s="35">
        <f t="shared" si="4"/>
        <v>-2.2046767800576239E-2</v>
      </c>
      <c r="P10" s="33">
        <v>62821</v>
      </c>
    </row>
    <row r="11" spans="2:17" ht="14" x14ac:dyDescent="0.3">
      <c r="B11" s="4" t="s">
        <v>171</v>
      </c>
      <c r="C11" t="s">
        <v>172</v>
      </c>
      <c r="D11" s="33">
        <v>77008</v>
      </c>
      <c r="E11" s="33">
        <v>47082</v>
      </c>
      <c r="F11" s="33">
        <v>27325</v>
      </c>
      <c r="G11" s="33">
        <v>7547</v>
      </c>
      <c r="H11" s="33">
        <v>6230</v>
      </c>
      <c r="I11" s="33">
        <v>7004</v>
      </c>
      <c r="J11" s="34">
        <f t="shared" si="0"/>
        <v>6.2385053663707435</v>
      </c>
      <c r="K11" s="34">
        <f t="shared" si="1"/>
        <v>1.7230375114364136</v>
      </c>
      <c r="L11" s="34">
        <f>IFERROR(D11/I11,"")</f>
        <v>10.994860079954313</v>
      </c>
      <c r="M11" s="34">
        <f t="shared" si="2"/>
        <v>1.618087073457724</v>
      </c>
      <c r="N11" s="35">
        <f t="shared" si="3"/>
        <v>0.22799634034766697</v>
      </c>
      <c r="O11" s="35">
        <f t="shared" si="4"/>
        <v>0.14716759119179695</v>
      </c>
      <c r="P11" s="33">
        <v>47592</v>
      </c>
    </row>
    <row r="12" spans="2:17" ht="14" x14ac:dyDescent="0.3">
      <c r="B12" s="4" t="s">
        <v>173</v>
      </c>
      <c r="C12" t="s">
        <v>174</v>
      </c>
      <c r="D12" s="33">
        <v>17498</v>
      </c>
      <c r="E12" s="33">
        <v>5231</v>
      </c>
      <c r="F12" s="33">
        <v>14189</v>
      </c>
      <c r="G12" s="33">
        <v>2032</v>
      </c>
      <c r="H12" s="33">
        <v>1849</v>
      </c>
      <c r="I12" s="33">
        <v>1637</v>
      </c>
      <c r="J12" s="34">
        <f t="shared" si="0"/>
        <v>2.5743110236220472</v>
      </c>
      <c r="K12" s="34">
        <f t="shared" si="1"/>
        <v>0.36866586792585804</v>
      </c>
      <c r="L12" s="34">
        <f>IFERROR(D12/I12,"")</f>
        <v>10.689065363469762</v>
      </c>
      <c r="M12" s="34">
        <f t="shared" si="2"/>
        <v>1.0130261101140507</v>
      </c>
      <c r="N12" s="35">
        <f t="shared" si="3"/>
        <v>0.13031221368665868</v>
      </c>
      <c r="O12" s="35">
        <f t="shared" si="4"/>
        <v>9.4772187807560929E-2</v>
      </c>
      <c r="P12" s="33">
        <v>17273</v>
      </c>
    </row>
    <row r="15" spans="2:17" ht="14" x14ac:dyDescent="0.3">
      <c r="B15" s="3" t="s">
        <v>175</v>
      </c>
    </row>
    <row r="16" spans="2:17" ht="14" x14ac:dyDescent="0.3">
      <c r="B16" s="4" t="s">
        <v>176</v>
      </c>
      <c r="D16" s="34">
        <f t="shared" ref="D16:I16" si="5">PERCENTILE(J6:J12,0.25)</f>
        <v>5.6796274049906614</v>
      </c>
      <c r="E16" s="34">
        <f t="shared" si="5"/>
        <v>0.66145115046342284</v>
      </c>
      <c r="F16" s="34">
        <f t="shared" si="5"/>
        <v>11.082242351286906</v>
      </c>
      <c r="G16" s="34">
        <f t="shared" si="5"/>
        <v>0.99103256286492403</v>
      </c>
      <c r="H16" s="35">
        <f t="shared" si="5"/>
        <v>4.9691151600934118E-2</v>
      </c>
      <c r="I16" s="35">
        <f t="shared" si="5"/>
        <v>6.1524200193356873E-2</v>
      </c>
    </row>
    <row r="17" spans="2:9" ht="14" x14ac:dyDescent="0.3">
      <c r="B17" s="4" t="s">
        <v>177</v>
      </c>
      <c r="D17" s="34">
        <f t="shared" ref="D17:I17" si="6">MEDIAN(J6:J12)</f>
        <v>8.3037281834142309</v>
      </c>
      <c r="E17" s="34">
        <f t="shared" si="6"/>
        <v>1.4749675081000932</v>
      </c>
      <c r="F17" s="34">
        <f t="shared" si="6"/>
        <v>20.840233323562437</v>
      </c>
      <c r="G17" s="34">
        <f t="shared" si="6"/>
        <v>1.618087073457724</v>
      </c>
      <c r="H17" s="35">
        <f t="shared" si="6"/>
        <v>6.1432572443207822E-2</v>
      </c>
      <c r="I17" s="35">
        <f t="shared" si="6"/>
        <v>9.4772187807560929E-2</v>
      </c>
    </row>
    <row r="18" spans="2:9" ht="14" x14ac:dyDescent="0.3">
      <c r="B18" s="4" t="s">
        <v>178</v>
      </c>
      <c r="D18" s="34">
        <f t="shared" ref="D18:I18" si="7">PERCENTILE(J6:J12,0.75)</f>
        <v>17.281633000833708</v>
      </c>
      <c r="E18" s="34">
        <f t="shared" si="7"/>
        <v>1.9874097282166008</v>
      </c>
      <c r="F18" s="34">
        <f t="shared" si="7"/>
        <v>34.354346209938399</v>
      </c>
      <c r="G18" s="34">
        <f t="shared" si="7"/>
        <v>4.2015803257675728</v>
      </c>
      <c r="H18" s="35">
        <f t="shared" si="7"/>
        <v>0.17915427701716283</v>
      </c>
      <c r="I18" s="35">
        <f t="shared" si="7"/>
        <v>0.16052103063838757</v>
      </c>
    </row>
    <row r="20" spans="2:9" ht="14" x14ac:dyDescent="0.3">
      <c r="B20" s="22" t="s">
        <v>179</v>
      </c>
      <c r="C20" s="23"/>
      <c r="D20" s="23"/>
      <c r="E20" s="23"/>
      <c r="F20" s="23"/>
      <c r="G20" s="23"/>
      <c r="H20" s="23"/>
      <c r="I20" s="23"/>
    </row>
    <row r="21" spans="2:9" ht="14" x14ac:dyDescent="0.3">
      <c r="B21" s="3" t="s">
        <v>180</v>
      </c>
    </row>
    <row r="22" spans="2:9" ht="14" x14ac:dyDescent="0.3">
      <c r="B22" s="4" t="s">
        <v>181</v>
      </c>
      <c r="C22" s="5">
        <v>186</v>
      </c>
    </row>
    <row r="23" spans="2:9" ht="14" x14ac:dyDescent="0.3">
      <c r="B23" s="4" t="s">
        <v>182</v>
      </c>
      <c r="C23" s="5">
        <v>6</v>
      </c>
    </row>
    <row r="24" spans="2:9" ht="14" x14ac:dyDescent="0.3">
      <c r="B24" s="4" t="s">
        <v>183</v>
      </c>
      <c r="C24" s="15">
        <v>9193374</v>
      </c>
    </row>
    <row r="25" spans="2:9" ht="14" x14ac:dyDescent="0.3">
      <c r="B25" s="4" t="s">
        <v>72</v>
      </c>
      <c r="C25" s="5">
        <v>2182</v>
      </c>
    </row>
    <row r="27" spans="2:9" ht="14" x14ac:dyDescent="0.3">
      <c r="B27" s="3" t="s">
        <v>184</v>
      </c>
    </row>
    <row r="28" spans="2:9" ht="14" x14ac:dyDescent="0.3">
      <c r="B28" s="4" t="s">
        <v>185</v>
      </c>
      <c r="C28" s="24">
        <f>ROUND((C22*D17-C25)*1000000/C24,0)</f>
        <v>-69</v>
      </c>
    </row>
    <row r="29" spans="2:9" ht="14" x14ac:dyDescent="0.3">
      <c r="B29" s="4" t="s">
        <v>186</v>
      </c>
      <c r="C29" s="24">
        <f>ROUND(C23*F17*1000000/C24,0)</f>
        <v>14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187</v>
      </c>
    </row>
    <row r="3" spans="2:9" ht="14" x14ac:dyDescent="0.3">
      <c r="B3" s="4" t="s">
        <v>188</v>
      </c>
      <c r="C3" s="16">
        <f>'DCF Model'!C26</f>
        <v>0.11623593479014914</v>
      </c>
      <c r="E3" s="4" t="s">
        <v>189</v>
      </c>
      <c r="F3" s="16">
        <f>'DCF Model'!C13</f>
        <v>0.01</v>
      </c>
      <c r="H3" s="4" t="s">
        <v>190</v>
      </c>
      <c r="I3" s="14">
        <f>'DCF Model'!C14</f>
        <v>8</v>
      </c>
    </row>
    <row r="5" spans="2:9" ht="14" x14ac:dyDescent="0.3">
      <c r="B5" s="3" t="s">
        <v>191</v>
      </c>
    </row>
    <row r="6" spans="2:9" ht="14" x14ac:dyDescent="0.3">
      <c r="B6" s="37" t="s">
        <v>192</v>
      </c>
      <c r="C6" s="38">
        <f>$F$3-0.0075</f>
        <v>2.5000000000000005E-3</v>
      </c>
      <c r="D6" s="38">
        <f>$F$3-0.005</f>
        <v>5.0000000000000001E-3</v>
      </c>
      <c r="E6" s="38">
        <f>$F$3-0.0025</f>
        <v>7.4999999999999997E-3</v>
      </c>
      <c r="F6" s="38">
        <f>$F$3</f>
        <v>0.01</v>
      </c>
      <c r="G6" s="38">
        <f>$F$3+0.0025</f>
        <v>1.2500000000000001E-2</v>
      </c>
      <c r="H6" s="38">
        <f>$F$3+0.005</f>
        <v>1.4999999999999999E-2</v>
      </c>
      <c r="I6" s="38">
        <f>$F$3+0.0075</f>
        <v>1.7500000000000002E-2</v>
      </c>
    </row>
    <row r="7" spans="2:9" ht="13.5" x14ac:dyDescent="0.25">
      <c r="B7" s="35">
        <f>$C$3-0.015</f>
        <v>0.10123593479014914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-28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-21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-13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-5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12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21</v>
      </c>
    </row>
    <row r="8" spans="2:9" ht="13.5" x14ac:dyDescent="0.25">
      <c r="B8" s="35">
        <f>$C$3-0.01</f>
        <v>0.10623593479014914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-45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-38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-32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-25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-18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-10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-2</v>
      </c>
    </row>
    <row r="9" spans="2:9" ht="13.5" x14ac:dyDescent="0.25">
      <c r="B9" s="35">
        <f>$C$3-0.005</f>
        <v>0.11123593479014914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-60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-55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-49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-43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-36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-29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-22</v>
      </c>
    </row>
    <row r="10" spans="2:9" ht="13.5" x14ac:dyDescent="0.25">
      <c r="B10" s="35">
        <f>$C$3</f>
        <v>0.11623593479014914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-74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-69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-64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-59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-53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-47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-40</v>
      </c>
    </row>
    <row r="11" spans="2:9" ht="13.5" x14ac:dyDescent="0.25">
      <c r="B11" s="35">
        <f>$C$3+0.005</f>
        <v>0.12123593479014914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-87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-83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-78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-73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-68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-62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-57</v>
      </c>
    </row>
    <row r="12" spans="2:9" ht="13.5" x14ac:dyDescent="0.25">
      <c r="B12" s="35">
        <f>$C$3+0.01</f>
        <v>0.12623593479014913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-99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-95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-91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-86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-81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-77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-71</v>
      </c>
    </row>
    <row r="13" spans="2:9" ht="13.5" x14ac:dyDescent="0.25">
      <c r="B13" s="35">
        <f>$C$3+0.015</f>
        <v>0.13123593479014914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-110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-106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-102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-98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-94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-89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-85</v>
      </c>
    </row>
    <row r="16" spans="2:9" ht="14" x14ac:dyDescent="0.3">
      <c r="B16" s="3" t="s">
        <v>193</v>
      </c>
    </row>
    <row r="17" spans="2:9" ht="14" x14ac:dyDescent="0.3">
      <c r="B17" s="37" t="s">
        <v>194</v>
      </c>
      <c r="C17" s="39">
        <f>$I$3-3</f>
        <v>5</v>
      </c>
      <c r="D17" s="39">
        <f>$I$3-2</f>
        <v>6</v>
      </c>
      <c r="E17" s="39">
        <f>$I$3-1</f>
        <v>7</v>
      </c>
      <c r="F17" s="39">
        <f>$I$3</f>
        <v>8</v>
      </c>
      <c r="G17" s="39">
        <f>$I$3+1</f>
        <v>9</v>
      </c>
      <c r="H17" s="39">
        <f>$I$3+2</f>
        <v>10</v>
      </c>
      <c r="I17" s="39">
        <f>$I$3+3</f>
        <v>11</v>
      </c>
    </row>
    <row r="18" spans="2:9" ht="13.5" x14ac:dyDescent="0.25">
      <c r="B18" s="35">
        <f>$C$3-0.015</f>
        <v>0.10123593479014914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121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200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279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357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436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515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594</v>
      </c>
    </row>
    <row r="19" spans="2:9" ht="13.5" x14ac:dyDescent="0.25">
      <c r="B19" s="35">
        <f>$C$3-0.01</f>
        <v>0.10623593479014914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112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190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267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344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421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499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576</v>
      </c>
    </row>
    <row r="20" spans="2:9" ht="13.5" x14ac:dyDescent="0.25">
      <c r="B20" s="35">
        <f>$C$3-0.005</f>
        <v>0.11123593479014914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104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180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255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331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407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483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558</v>
      </c>
    </row>
    <row r="21" spans="2:9" ht="13.5" x14ac:dyDescent="0.25">
      <c r="B21" s="35">
        <f>$C$3</f>
        <v>0.11623593479014914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96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170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244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318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393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467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541</v>
      </c>
    </row>
    <row r="22" spans="2:9" ht="13.5" x14ac:dyDescent="0.25">
      <c r="B22" s="35">
        <f>$C$3+0.005</f>
        <v>0.12123593479014914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88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161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233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306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379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451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524</v>
      </c>
    </row>
    <row r="23" spans="2:9" ht="13.5" x14ac:dyDescent="0.25">
      <c r="B23" s="35">
        <f>$C$3+0.01</f>
        <v>0.12623593479014913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80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151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223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294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365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437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508</v>
      </c>
    </row>
    <row r="24" spans="2:9" ht="13.5" x14ac:dyDescent="0.25">
      <c r="B24" s="35">
        <f>$C$3+0.015</f>
        <v>0.13123593479014914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73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142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212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282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352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422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492</v>
      </c>
    </row>
    <row r="26" spans="2:9" ht="14" x14ac:dyDescent="0.3">
      <c r="B26" s="43" t="s">
        <v>195</v>
      </c>
      <c r="C26" s="42"/>
      <c r="D26" s="42"/>
      <c r="E26" s="42"/>
      <c r="F26" s="42"/>
      <c r="G26" s="42"/>
      <c r="H26" s="42"/>
      <c r="I26" s="42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2:G4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196</v>
      </c>
    </row>
    <row r="4" spans="2:7" ht="14" x14ac:dyDescent="0.3">
      <c r="B4" s="10" t="s">
        <v>197</v>
      </c>
      <c r="C4" s="10" t="s">
        <v>198</v>
      </c>
      <c r="D4" s="10" t="s">
        <v>199</v>
      </c>
      <c r="E4" s="10" t="s">
        <v>200</v>
      </c>
      <c r="F4" s="10" t="s">
        <v>201</v>
      </c>
      <c r="G4" s="10" t="s">
        <v>202</v>
      </c>
    </row>
    <row r="5" spans="2:7" x14ac:dyDescent="0.2">
      <c r="B5" t="s">
        <v>203</v>
      </c>
      <c r="C5" t="s">
        <v>204</v>
      </c>
      <c r="D5" t="s">
        <v>205</v>
      </c>
      <c r="E5" t="s">
        <v>206</v>
      </c>
      <c r="F5" t="s">
        <v>204</v>
      </c>
      <c r="G5" t="s">
        <v>207</v>
      </c>
    </row>
    <row r="6" spans="2:7" x14ac:dyDescent="0.2">
      <c r="B6" t="s">
        <v>203</v>
      </c>
      <c r="C6" t="s">
        <v>208</v>
      </c>
      <c r="D6" t="s">
        <v>209</v>
      </c>
      <c r="E6" t="s">
        <v>210</v>
      </c>
      <c r="F6" t="s">
        <v>211</v>
      </c>
      <c r="G6" t="s">
        <v>212</v>
      </c>
    </row>
    <row r="7" spans="2:7" x14ac:dyDescent="0.2">
      <c r="B7" t="s">
        <v>203</v>
      </c>
      <c r="C7" t="s">
        <v>213</v>
      </c>
      <c r="D7" t="s">
        <v>214</v>
      </c>
      <c r="E7" t="s">
        <v>215</v>
      </c>
      <c r="F7" t="s">
        <v>216</v>
      </c>
      <c r="G7" t="s">
        <v>212</v>
      </c>
    </row>
    <row r="8" spans="2:7" x14ac:dyDescent="0.2">
      <c r="B8" t="s">
        <v>203</v>
      </c>
      <c r="C8" t="s">
        <v>217</v>
      </c>
      <c r="D8" t="s">
        <v>218</v>
      </c>
      <c r="E8" t="s">
        <v>219</v>
      </c>
      <c r="F8" t="s">
        <v>220</v>
      </c>
      <c r="G8" t="s">
        <v>212</v>
      </c>
    </row>
    <row r="9" spans="2:7" x14ac:dyDescent="0.2">
      <c r="B9" t="s">
        <v>203</v>
      </c>
      <c r="C9" t="s">
        <v>221</v>
      </c>
      <c r="D9" t="s">
        <v>222</v>
      </c>
      <c r="E9" t="s">
        <v>223</v>
      </c>
      <c r="F9" t="s">
        <v>204</v>
      </c>
      <c r="G9" t="s">
        <v>224</v>
      </c>
    </row>
    <row r="10" spans="2:7" x14ac:dyDescent="0.2">
      <c r="B10" t="s">
        <v>203</v>
      </c>
      <c r="C10" t="s">
        <v>225</v>
      </c>
      <c r="D10" t="s">
        <v>226</v>
      </c>
      <c r="E10" t="s">
        <v>227</v>
      </c>
      <c r="F10" t="s">
        <v>204</v>
      </c>
      <c r="G10" t="s">
        <v>224</v>
      </c>
    </row>
    <row r="11" spans="2:7" x14ac:dyDescent="0.2">
      <c r="B11" t="s">
        <v>203</v>
      </c>
      <c r="C11" t="s">
        <v>225</v>
      </c>
      <c r="D11" t="s">
        <v>228</v>
      </c>
      <c r="E11" t="s">
        <v>229</v>
      </c>
      <c r="F11" t="s">
        <v>204</v>
      </c>
      <c r="G11" t="s">
        <v>224</v>
      </c>
    </row>
    <row r="12" spans="2:7" ht="14" x14ac:dyDescent="0.3">
      <c r="B12" s="8" t="s">
        <v>230</v>
      </c>
    </row>
    <row r="13" spans="2:7" ht="14" x14ac:dyDescent="0.3">
      <c r="B13" s="10" t="s">
        <v>231</v>
      </c>
      <c r="C13" s="10" t="s">
        <v>232</v>
      </c>
    </row>
    <row r="14" spans="2:7" ht="14" x14ac:dyDescent="0.3">
      <c r="B14" s="4" t="s">
        <v>233</v>
      </c>
      <c r="C14" t="s">
        <v>234</v>
      </c>
    </row>
    <row r="15" spans="2:7" ht="14" x14ac:dyDescent="0.3">
      <c r="B15" s="4" t="s">
        <v>235</v>
      </c>
      <c r="C15" t="s">
        <v>236</v>
      </c>
    </row>
    <row r="16" spans="2:7" ht="14" x14ac:dyDescent="0.3">
      <c r="B16" s="4" t="s">
        <v>237</v>
      </c>
      <c r="C16" t="s">
        <v>238</v>
      </c>
    </row>
    <row r="17" spans="2:3" ht="14" x14ac:dyDescent="0.3">
      <c r="B17" s="4" t="s">
        <v>239</v>
      </c>
      <c r="C17" t="s">
        <v>4</v>
      </c>
    </row>
    <row r="18" spans="2:3" ht="14" x14ac:dyDescent="0.3">
      <c r="B18" s="4" t="s">
        <v>240</v>
      </c>
      <c r="C18" t="s">
        <v>203</v>
      </c>
    </row>
    <row r="19" spans="2:3" ht="14" x14ac:dyDescent="0.3">
      <c r="B19" s="4" t="s">
        <v>241</v>
      </c>
      <c r="C19" t="s">
        <v>242</v>
      </c>
    </row>
    <row r="20" spans="2:3" ht="14" x14ac:dyDescent="0.3">
      <c r="B20" s="4" t="s">
        <v>243</v>
      </c>
      <c r="C20" t="s">
        <v>244</v>
      </c>
    </row>
    <row r="21" spans="2:3" ht="14" x14ac:dyDescent="0.3">
      <c r="B21" s="4" t="s">
        <v>245</v>
      </c>
      <c r="C21" t="s">
        <v>246</v>
      </c>
    </row>
    <row r="22" spans="2:3" ht="14" x14ac:dyDescent="0.3">
      <c r="B22" s="4" t="s">
        <v>247</v>
      </c>
      <c r="C22" t="s">
        <v>248</v>
      </c>
    </row>
    <row r="23" spans="2:3" ht="14" x14ac:dyDescent="0.3">
      <c r="B23" s="4" t="s">
        <v>249</v>
      </c>
      <c r="C23" t="s">
        <v>250</v>
      </c>
    </row>
    <row r="24" spans="2:3" ht="14" x14ac:dyDescent="0.3">
      <c r="B24" s="4" t="s">
        <v>251</v>
      </c>
      <c r="C24" t="s">
        <v>246</v>
      </c>
    </row>
    <row r="25" spans="2:3" ht="14" x14ac:dyDescent="0.3">
      <c r="B25" s="4" t="s">
        <v>252</v>
      </c>
      <c r="C25" t="s">
        <v>242</v>
      </c>
    </row>
    <row r="26" spans="2:3" ht="14" x14ac:dyDescent="0.3">
      <c r="B26" s="4" t="s">
        <v>253</v>
      </c>
      <c r="C26" t="s">
        <v>254</v>
      </c>
    </row>
    <row r="27" spans="2:3" ht="14" x14ac:dyDescent="0.3">
      <c r="B27" s="4" t="s">
        <v>255</v>
      </c>
      <c r="C27" t="s">
        <v>256</v>
      </c>
    </row>
    <row r="28" spans="2:3" ht="14" x14ac:dyDescent="0.3">
      <c r="B28" s="4" t="s">
        <v>257</v>
      </c>
      <c r="C28" t="s">
        <v>234</v>
      </c>
    </row>
    <row r="29" spans="2:3" ht="14" x14ac:dyDescent="0.3">
      <c r="B29" s="4" t="s">
        <v>258</v>
      </c>
      <c r="C29" t="s">
        <v>259</v>
      </c>
    </row>
    <row r="30" spans="2:3" ht="14" x14ac:dyDescent="0.3">
      <c r="B30" s="4" t="s">
        <v>260</v>
      </c>
      <c r="C30" t="s">
        <v>261</v>
      </c>
    </row>
    <row r="31" spans="2:3" ht="14" x14ac:dyDescent="0.3">
      <c r="B31" s="4" t="s">
        <v>262</v>
      </c>
      <c r="C31" t="s">
        <v>263</v>
      </c>
    </row>
    <row r="32" spans="2:3" ht="14" x14ac:dyDescent="0.3">
      <c r="B32" s="4" t="s">
        <v>264</v>
      </c>
      <c r="C32" t="s">
        <v>265</v>
      </c>
    </row>
    <row r="33" spans="2:3" ht="14" x14ac:dyDescent="0.3">
      <c r="B33" s="4" t="s">
        <v>266</v>
      </c>
      <c r="C33" t="s">
        <v>267</v>
      </c>
    </row>
    <row r="34" spans="2:3" ht="14" x14ac:dyDescent="0.3">
      <c r="B34" s="4" t="s">
        <v>268</v>
      </c>
      <c r="C34" t="s">
        <v>269</v>
      </c>
    </row>
    <row r="35" spans="2:3" ht="14" x14ac:dyDescent="0.3">
      <c r="B35" s="4" t="s">
        <v>270</v>
      </c>
      <c r="C35" t="s">
        <v>271</v>
      </c>
    </row>
    <row r="36" spans="2:3" ht="14" x14ac:dyDescent="0.3">
      <c r="B36" s="4" t="s">
        <v>272</v>
      </c>
      <c r="C36" t="s">
        <v>273</v>
      </c>
    </row>
    <row r="37" spans="2:3" ht="14" x14ac:dyDescent="0.3">
      <c r="B37" s="4" t="s">
        <v>274</v>
      </c>
      <c r="C37" t="s">
        <v>275</v>
      </c>
    </row>
    <row r="38" spans="2:3" ht="14" x14ac:dyDescent="0.3">
      <c r="B38" s="4" t="s">
        <v>276</v>
      </c>
      <c r="C38" t="s">
        <v>277</v>
      </c>
    </row>
    <row r="39" spans="2:3" ht="14" x14ac:dyDescent="0.3">
      <c r="B39" s="4" t="s">
        <v>278</v>
      </c>
      <c r="C39" t="s">
        <v>279</v>
      </c>
    </row>
    <row r="40" spans="2:3" ht="14" x14ac:dyDescent="0.3">
      <c r="B40" s="4" t="s">
        <v>280</v>
      </c>
      <c r="C40" t="s">
        <v>159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2026-08-23T04:19:08Z</dcterms:created>
  <dcterms:modified xsi:type="dcterms:W3CDTF">2026-08-23T04:19:30Z</dcterms:modified>
</cp:coreProperties>
</file>