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628A7F2-1323-4918-852B-7A3DFE47FB1E}"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K10" i="6"/>
  <c r="J10" i="6"/>
  <c r="O9" i="6"/>
  <c r="N9" i="6"/>
  <c r="M9" i="6"/>
  <c r="L9" i="6"/>
  <c r="K9" i="6"/>
  <c r="J9" i="6"/>
  <c r="O8" i="6"/>
  <c r="N8" i="6"/>
  <c r="M8" i="6"/>
  <c r="L8" i="6"/>
  <c r="K8" i="6"/>
  <c r="J8" i="6"/>
  <c r="O7" i="6"/>
  <c r="N7" i="6"/>
  <c r="M7" i="6"/>
  <c r="L7" i="6"/>
  <c r="K7" i="6"/>
  <c r="J7" i="6"/>
  <c r="O6" i="6"/>
  <c r="N6" i="6"/>
  <c r="M6" i="6"/>
  <c r="L6" i="6"/>
  <c r="K6" i="6"/>
  <c r="J6" i="6"/>
  <c r="O5" i="6"/>
  <c r="N5" i="6"/>
  <c r="D5" i="6"/>
  <c r="E5" i="6" s="1"/>
  <c r="J5" i="6" s="1"/>
  <c r="C16" i="5"/>
  <c r="C14" i="5"/>
  <c r="C18" i="5" s="1"/>
  <c r="C7" i="5"/>
  <c r="C6" i="5"/>
  <c r="C5" i="5"/>
  <c r="C13" i="4"/>
  <c r="C12" i="4"/>
  <c r="C9" i="4"/>
  <c r="C7" i="4"/>
  <c r="C6" i="4"/>
  <c r="C8" i="4" s="1"/>
  <c r="C10" i="4" s="1"/>
  <c r="D27" i="3"/>
  <c r="H6" i="5" s="1"/>
  <c r="C25" i="3"/>
  <c r="C24" i="3"/>
  <c r="C23" i="3"/>
  <c r="C26" i="3" s="1"/>
  <c r="H36" i="4" s="1"/>
  <c r="H46" i="4" s="1"/>
  <c r="F16" i="2"/>
  <c r="E16" i="2"/>
  <c r="D16" i="2"/>
  <c r="F15" i="2"/>
  <c r="E15" i="2"/>
  <c r="D15" i="2"/>
  <c r="F14" i="2"/>
  <c r="E14" i="2"/>
  <c r="D14" i="2"/>
  <c r="C14" i="2"/>
  <c r="F13" i="2"/>
  <c r="E13" i="2"/>
  <c r="D13" i="2"/>
  <c r="C13" i="2"/>
  <c r="D9" i="2"/>
  <c r="F8" i="2"/>
  <c r="F9" i="2" s="1"/>
  <c r="E8" i="2"/>
  <c r="E9" i="2" s="1"/>
  <c r="D8" i="2"/>
  <c r="C8" i="2"/>
  <c r="C9" i="2" s="1"/>
  <c r="E16" i="6" l="1"/>
  <c r="C32" i="3"/>
  <c r="H5" i="5"/>
  <c r="L5" i="6"/>
  <c r="F16" i="6"/>
  <c r="C28" i="6" s="1"/>
  <c r="C19" i="1" s="1"/>
  <c r="D19" i="1" s="1"/>
  <c r="F31" i="3"/>
  <c r="G31" i="3"/>
  <c r="K5" i="6"/>
  <c r="D30" i="3"/>
  <c r="M5" i="6"/>
  <c r="E15" i="6"/>
  <c r="E7" i="5"/>
  <c r="E17" i="6"/>
  <c r="C30" i="3"/>
  <c r="C33" i="3" s="1"/>
  <c r="E30" i="3"/>
  <c r="D7" i="5"/>
  <c r="H43" i="4"/>
  <c r="D17" i="6"/>
  <c r="H15" i="6"/>
  <c r="H16" i="6"/>
  <c r="H17" i="6"/>
  <c r="C3" i="7"/>
  <c r="F36" i="4"/>
  <c r="F46" i="3"/>
  <c r="E36" i="4"/>
  <c r="E46" i="3"/>
  <c r="D36" i="4"/>
  <c r="D46" i="3"/>
  <c r="C46" i="3"/>
  <c r="G36" i="4"/>
  <c r="C11" i="4"/>
  <c r="G46" i="3"/>
  <c r="F15" i="6"/>
  <c r="C24" i="4"/>
  <c r="C25" i="4" s="1"/>
  <c r="C71" i="4"/>
  <c r="C70" i="4"/>
  <c r="H49" i="4"/>
  <c r="H54" i="4" s="1"/>
  <c r="G15" i="6"/>
  <c r="G16" i="6"/>
  <c r="G17" i="6"/>
  <c r="H44" i="4"/>
  <c r="H38" i="4"/>
  <c r="H48" i="4" s="1"/>
  <c r="H53" i="4" s="1"/>
  <c r="H41" i="4"/>
  <c r="H51" i="4" s="1"/>
  <c r="H56" i="4" s="1"/>
  <c r="H45" i="4"/>
  <c r="H39" i="4"/>
  <c r="H40" i="4"/>
  <c r="H50" i="4" s="1"/>
  <c r="H55" i="4" s="1"/>
  <c r="D15" i="6"/>
  <c r="D16" i="6"/>
  <c r="D9" i="5"/>
  <c r="C42" i="3"/>
  <c r="C37" i="3"/>
  <c r="I16" i="6"/>
  <c r="E31" i="3"/>
  <c r="G5" i="5"/>
  <c r="I15" i="6"/>
  <c r="I6" i="7"/>
  <c r="F17" i="6"/>
  <c r="C17" i="7"/>
  <c r="C6" i="7"/>
  <c r="D17" i="7"/>
  <c r="D6" i="7"/>
  <c r="E17" i="7"/>
  <c r="D6" i="5"/>
  <c r="F30" i="3"/>
  <c r="D32" i="3"/>
  <c r="E6" i="5"/>
  <c r="G7" i="5"/>
  <c r="I17" i="6"/>
  <c r="E6" i="7"/>
  <c r="F17" i="7"/>
  <c r="F7" i="5"/>
  <c r="G30" i="3"/>
  <c r="E32" i="3"/>
  <c r="D5" i="5"/>
  <c r="F6" i="5"/>
  <c r="H7" i="5"/>
  <c r="F6" i="7"/>
  <c r="G17" i="7"/>
  <c r="C31" i="3"/>
  <c r="C34" i="3" s="1"/>
  <c r="F32" i="3"/>
  <c r="G6" i="7"/>
  <c r="H17" i="7"/>
  <c r="E5" i="5"/>
  <c r="G6" i="5"/>
  <c r="D31" i="3"/>
  <c r="G32" i="3"/>
  <c r="F5" i="5"/>
  <c r="D33" i="3" l="1"/>
  <c r="D12" i="5"/>
  <c r="D10" i="5"/>
  <c r="C35" i="3"/>
  <c r="C27" i="6"/>
  <c r="C18" i="1" s="1"/>
  <c r="D18" i="1" s="1"/>
  <c r="C74" i="4"/>
  <c r="D39" i="4"/>
  <c r="D49" i="4" s="1"/>
  <c r="D54" i="4" s="1"/>
  <c r="D43" i="4"/>
  <c r="D46" i="4"/>
  <c r="D40" i="4"/>
  <c r="D44" i="4"/>
  <c r="D45" i="4"/>
  <c r="D38" i="4"/>
  <c r="D41" i="4"/>
  <c r="C29" i="4"/>
  <c r="C27" i="4"/>
  <c r="C26" i="4"/>
  <c r="E43" i="4"/>
  <c r="E46" i="4"/>
  <c r="E40" i="4"/>
  <c r="E44" i="4"/>
  <c r="E39" i="4"/>
  <c r="E49" i="4" s="1"/>
  <c r="E54" i="4" s="1"/>
  <c r="E38" i="4"/>
  <c r="E45" i="4"/>
  <c r="E41" i="4"/>
  <c r="F46" i="4"/>
  <c r="F40" i="4"/>
  <c r="F50" i="4" s="1"/>
  <c r="F55" i="4" s="1"/>
  <c r="F44" i="4"/>
  <c r="F38" i="4"/>
  <c r="F41" i="4"/>
  <c r="F43" i="4"/>
  <c r="F45" i="4"/>
  <c r="F39" i="4"/>
  <c r="F49" i="4" s="1"/>
  <c r="G40" i="4"/>
  <c r="G44" i="4"/>
  <c r="G38" i="4"/>
  <c r="G41" i="4"/>
  <c r="G45" i="4"/>
  <c r="G46" i="4"/>
  <c r="G43" i="4"/>
  <c r="G39" i="4"/>
  <c r="B13" i="7"/>
  <c r="B12" i="7"/>
  <c r="B11" i="7"/>
  <c r="B10" i="7"/>
  <c r="B9" i="7"/>
  <c r="B8" i="7"/>
  <c r="B7" i="7"/>
  <c r="B24" i="7"/>
  <c r="B23" i="7"/>
  <c r="B22" i="7"/>
  <c r="B21" i="7"/>
  <c r="B20" i="7"/>
  <c r="B19" i="7"/>
  <c r="B18" i="7"/>
  <c r="E48" i="4" l="1"/>
  <c r="E53" i="4" s="1"/>
  <c r="E33" i="3"/>
  <c r="E9" i="5"/>
  <c r="E12" i="5" s="1"/>
  <c r="D42" i="3"/>
  <c r="G51" i="4"/>
  <c r="G56" i="4" s="1"/>
  <c r="F48" i="4"/>
  <c r="F53" i="4" s="1"/>
  <c r="D37" i="3"/>
  <c r="F51" i="4"/>
  <c r="F56" i="4" s="1"/>
  <c r="E50" i="4"/>
  <c r="E55" i="4" s="1"/>
  <c r="D34" i="3"/>
  <c r="E10" i="5" s="1"/>
  <c r="D48" i="4"/>
  <c r="D53" i="4" s="1"/>
  <c r="G50" i="4"/>
  <c r="G55" i="4" s="1"/>
  <c r="F54" i="4"/>
  <c r="B78" i="4" s="1"/>
  <c r="C60" i="4"/>
  <c r="E51" i="4"/>
  <c r="E56" i="4" s="1"/>
  <c r="D50" i="4"/>
  <c r="D55" i="4" s="1"/>
  <c r="E13" i="5"/>
  <c r="E14" i="5" s="1"/>
  <c r="E15" i="5"/>
  <c r="E16" i="5" s="1"/>
  <c r="G49" i="4"/>
  <c r="G54" i="4" s="1"/>
  <c r="C36" i="3"/>
  <c r="C39" i="3"/>
  <c r="C38" i="3"/>
  <c r="G48" i="4"/>
  <c r="G53" i="4" s="1"/>
  <c r="D51" i="4"/>
  <c r="D56" i="4" s="1"/>
  <c r="D13" i="5"/>
  <c r="D14" i="5" s="1"/>
  <c r="D15" i="5"/>
  <c r="D16" i="5" s="1"/>
  <c r="E18" i="5" l="1"/>
  <c r="D18" i="5"/>
  <c r="D19" i="5" s="1"/>
  <c r="C44" i="3" s="1"/>
  <c r="D35" i="3"/>
  <c r="F33" i="3"/>
  <c r="E37" i="3"/>
  <c r="F9" i="5"/>
  <c r="F12" i="5" s="1"/>
  <c r="E42" i="3"/>
  <c r="E35" i="3"/>
  <c r="E34" i="3"/>
  <c r="F10" i="5" s="1"/>
  <c r="C40" i="3"/>
  <c r="C41" i="3" s="1"/>
  <c r="C45" i="3" s="1"/>
  <c r="C65" i="4"/>
  <c r="D65" i="4" s="1"/>
  <c r="C64" i="4"/>
  <c r="D64" i="4" s="1"/>
  <c r="C63" i="4"/>
  <c r="D63" i="4" s="1"/>
  <c r="C67" i="4"/>
  <c r="D67" i="4" s="1"/>
  <c r="C66" i="4"/>
  <c r="D66" i="4" s="1"/>
  <c r="E38" i="3" l="1"/>
  <c r="E36" i="3"/>
  <c r="E39" i="3"/>
  <c r="F37" i="3"/>
  <c r="G33" i="3"/>
  <c r="F42" i="3"/>
  <c r="F34" i="3"/>
  <c r="G10" i="5" s="1"/>
  <c r="G9" i="5"/>
  <c r="G12" i="5" s="1"/>
  <c r="D38" i="3"/>
  <c r="D39" i="3"/>
  <c r="D40" i="3" s="1"/>
  <c r="D41" i="3" s="1"/>
  <c r="D36" i="3"/>
  <c r="F15" i="5"/>
  <c r="F16" i="5" s="1"/>
  <c r="F13" i="5"/>
  <c r="F14" i="5" s="1"/>
  <c r="F18" i="5" s="1"/>
  <c r="F19" i="5" s="1"/>
  <c r="E44" i="3" s="1"/>
  <c r="E19" i="5"/>
  <c r="D44" i="3" s="1"/>
  <c r="C47" i="3"/>
  <c r="H9" i="5" l="1"/>
  <c r="H12" i="5" s="1"/>
  <c r="G42" i="3"/>
  <c r="G34" i="3"/>
  <c r="H10" i="5" s="1"/>
  <c r="G37" i="3"/>
  <c r="C16" i="4"/>
  <c r="C28" i="4" s="1"/>
  <c r="G15" i="5"/>
  <c r="G16" i="5" s="1"/>
  <c r="G13" i="5"/>
  <c r="G14" i="5" s="1"/>
  <c r="G18" i="5" s="1"/>
  <c r="G19" i="5" s="1"/>
  <c r="F44" i="3" s="1"/>
  <c r="D45" i="3"/>
  <c r="D47" i="3" s="1"/>
  <c r="E40" i="3"/>
  <c r="E41" i="3" s="1"/>
  <c r="E45" i="3" s="1"/>
  <c r="F35" i="3"/>
  <c r="E47" i="3" l="1"/>
  <c r="G35" i="3"/>
  <c r="F36" i="3"/>
  <c r="F38" i="3"/>
  <c r="F39" i="3"/>
  <c r="H15" i="5"/>
  <c r="H16" i="5" s="1"/>
  <c r="H13" i="5"/>
  <c r="H14" i="5" s="1"/>
  <c r="C72" i="4"/>
  <c r="C73" i="4"/>
  <c r="F41" i="3" l="1"/>
  <c r="F45" i="3" s="1"/>
  <c r="F40" i="3"/>
  <c r="G38" i="3"/>
  <c r="G36" i="3"/>
  <c r="G39" i="3"/>
  <c r="H18" i="5"/>
  <c r="H19" i="5" s="1"/>
  <c r="G44" i="3" s="1"/>
  <c r="F47" i="3" l="1"/>
  <c r="E24" i="7"/>
  <c r="H24" i="7"/>
  <c r="E12" i="7"/>
  <c r="E8" i="7"/>
  <c r="G40" i="3"/>
  <c r="C59" i="3"/>
  <c r="C60" i="3" s="1"/>
  <c r="C61" i="3" s="1"/>
  <c r="G41" i="3"/>
  <c r="G45" i="3" s="1"/>
  <c r="F10" i="7" s="1"/>
  <c r="D21" i="7" l="1"/>
  <c r="I10" i="7"/>
  <c r="F11" i="7"/>
  <c r="C19" i="7"/>
  <c r="I18" i="7"/>
  <c r="C13" i="7"/>
  <c r="C20" i="7"/>
  <c r="E23" i="7"/>
  <c r="G10" i="7"/>
  <c r="G23" i="7"/>
  <c r="D24" i="7"/>
  <c r="C7" i="7"/>
  <c r="H9" i="7"/>
  <c r="I11" i="7"/>
  <c r="C24" i="7"/>
  <c r="F21" i="7"/>
  <c r="D23" i="7"/>
  <c r="H23" i="7"/>
  <c r="D7" i="7"/>
  <c r="G24" i="7"/>
  <c r="C11" i="7"/>
  <c r="E19" i="7"/>
  <c r="G18" i="7"/>
  <c r="C51" i="3"/>
  <c r="C52" i="3" s="1"/>
  <c r="G47" i="3"/>
  <c r="F7" i="7"/>
  <c r="H12" i="7"/>
  <c r="D22" i="7"/>
  <c r="F22" i="7"/>
  <c r="G22" i="7"/>
  <c r="H21" i="7"/>
  <c r="I23" i="7"/>
  <c r="C22" i="7"/>
  <c r="E7" i="7"/>
  <c r="H11" i="7"/>
  <c r="H7" i="7"/>
  <c r="E11" i="7"/>
  <c r="F13" i="7"/>
  <c r="D11" i="7"/>
  <c r="C12" i="7"/>
  <c r="H22" i="7"/>
  <c r="G21" i="7"/>
  <c r="I9" i="7"/>
  <c r="I7" i="7"/>
  <c r="I21" i="7"/>
  <c r="C9" i="7"/>
  <c r="D9" i="7"/>
  <c r="E10" i="7"/>
  <c r="G12" i="7"/>
  <c r="G11" i="7"/>
  <c r="C18" i="7"/>
  <c r="I19" i="7"/>
  <c r="D12" i="7"/>
  <c r="C10" i="7"/>
  <c r="E22" i="7"/>
  <c r="I13" i="7"/>
  <c r="E9" i="7"/>
  <c r="F8" i="7"/>
  <c r="D10" i="7"/>
  <c r="E18" i="7"/>
  <c r="F19" i="7"/>
  <c r="C21" i="7"/>
  <c r="I12" i="7"/>
  <c r="I8" i="7"/>
  <c r="I24" i="7"/>
  <c r="G7" i="7"/>
  <c r="F9" i="7"/>
  <c r="D8" i="7"/>
  <c r="G9" i="7"/>
  <c r="H13" i="7"/>
  <c r="D18" i="7"/>
  <c r="I22" i="7"/>
  <c r="D13" i="7"/>
  <c r="D20" i="7"/>
  <c r="G8" i="7"/>
  <c r="G19" i="7"/>
  <c r="I20" i="7"/>
  <c r="C8" i="7"/>
  <c r="E20" i="7"/>
  <c r="D19" i="7"/>
  <c r="E21" i="7"/>
  <c r="H18" i="7"/>
  <c r="G13" i="7"/>
  <c r="H10" i="7"/>
  <c r="H8" i="7"/>
  <c r="F20" i="7"/>
  <c r="F18" i="7"/>
  <c r="H20" i="7"/>
  <c r="F12" i="7"/>
  <c r="G20" i="7"/>
  <c r="C23" i="7"/>
  <c r="E13" i="7"/>
  <c r="H19" i="7"/>
  <c r="F23" i="7"/>
  <c r="F24" i="7"/>
  <c r="C50" i="3"/>
  <c r="C53" i="3" l="1"/>
  <c r="C58" i="3"/>
  <c r="C62" i="3" s="1"/>
  <c r="C63" i="3" s="1"/>
  <c r="C64" i="3" s="1"/>
  <c r="C17" i="1" s="1"/>
  <c r="D17" i="1" s="1"/>
  <c r="C54" i="3" l="1"/>
  <c r="C55" i="3" s="1"/>
  <c r="C16" i="1" s="1"/>
  <c r="C17" i="4"/>
  <c r="C19" i="4" s="1"/>
  <c r="C20" i="4" s="1"/>
  <c r="B79" i="4" s="1"/>
  <c r="D16" i="1" l="1"/>
  <c r="C10" i="1"/>
  <c r="C12" i="1" s="1"/>
  <c r="C11" i="1" s="1"/>
  <c r="C21" i="1"/>
</calcChain>
</file>

<file path=xl/sharedStrings.xml><?xml version="1.0" encoding="utf-8"?>
<sst xmlns="http://schemas.openxmlformats.org/spreadsheetml/2006/main" count="446" uniqueCount="360">
  <si>
    <t>DISCLAIMER: This is a sample analysis for demonstration purposes only. It does not constitute investment advice.</t>
  </si>
  <si>
    <t>ファーストリテイリング (9983.T)</t>
  </si>
  <si>
    <t>Equity Research Report</t>
  </si>
  <si>
    <t>Company</t>
  </si>
  <si>
    <t>ファーストリテイリング</t>
  </si>
  <si>
    <t>Ticker</t>
  </si>
  <si>
    <t>9983.T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</si>
  <si>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</si>
  <si>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</si>
  <si>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</si>
  <si>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</si>
  <si>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</si>
  <si>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</si>
  <si>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</si>
  <si>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</si>
  <si>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</si>
  <si>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</si>
  <si>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</si>
  <si>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</si>
  <si>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</si>
  <si>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</si>
  <si>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</si>
  <si>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</si>
  <si>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</si>
  <si>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</si>
  <si>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</si>
  <si>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</si>
  <si>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</si>
  <si>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</si>
  <si>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</si>
  <si>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</si>
  <si>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ファーストリテイリング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</si>
  <si>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</si>
  <si>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</si>
  <si>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</si>
  <si>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</si>
  <si>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</si>
  <si>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</si>
  <si>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</si>
  <si>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</si>
  <si>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</si>
  <si>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</si>
  <si>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</si>
  <si>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</si>
  <si>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</si>
  <si>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</si>
  <si>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</si>
  <si>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</si>
  <si>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</si>
  <si>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</si>
  <si>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</si>
  <si>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</si>
  <si>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</si>
  <si>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</si>
  <si>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</si>
  <si>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</si>
  <si>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</si>
  <si>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</si>
  <si>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</si>
  <si>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</si>
  <si>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ファーストリテイリング</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</si>
  <si>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</si>
  <si>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</si>
  <si>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</si>
  <si>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</si>
  <si>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</si>
  <si>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</si>
  <si>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</si>
  <si>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</si>
  <si>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</si>
  <si>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</si>
  <si>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</si>
  <si>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</si>
  <si>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</si>
  <si>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</si>
  <si>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</si>
  <si>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</si>
  <si>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</si>
  <si>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</si>
  <si>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</si>
  <si>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</si>
  <si>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</si>
  <si>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</si>
  <si>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</si>
  <si>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</si>
  <si>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</si>
  <si>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</si>
  <si>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</si>
  <si>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</si>
  <si>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</si>
  <si>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</si>
  <si>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</si>
  <si>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</si>
  <si>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</si>
  <si>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</si>
  <si>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</si>
  <si>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</si>
  <si>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</si>
  <si>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</si>
  <si>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</si>
  <si>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</si>
  <si>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</si>
  <si>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</si>
  <si>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</si>
  <si>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</si>
  <si>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</si>
  <si>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</si>
  <si>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</si>
  <si>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</si>
  <si>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</si>
  <si>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</si>
  <si>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</si>
  <si>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</si>
  <si>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</si>
  <si>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</si>
  <si>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</si>
  <si>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</si>
  <si>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</si>
  <si>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</si>
  <si>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</si>
  <si>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</si>
  <si>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</si>
  <si>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</si>
  <si>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</si>
  <si>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</si>
  <si>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ファーストリテイリング (9983.T)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</si>
  <si>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</si>
  <si>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</si>
  <si>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</si>
  <si>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</si>
  <si>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</si>
  <si>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</si>
  <si>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</si>
  <si>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</si>
  <si>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</si>
  <si>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</si>
  <si>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</si>
  <si>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</si>
  <si>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</si>
  <si>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</si>
  <si>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</si>
  <si>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</si>
  <si>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</si>
  <si>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</si>
  <si>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</si>
  <si>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</si>
  <si>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</si>
  <si>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</si>
  <si>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</si>
  <si>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</si>
  <si>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</si>
  <si>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</si>
  <si>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</si>
  <si>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</si>
  <si>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</si>
  <si>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</si>
  <si>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</si>
  <si>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</si>
  <si>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</si>
  <si>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</si>
  <si>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</si>
  <si>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</si>
  <si>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</si>
  <si>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</si>
  <si>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</si>
  <si>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</si>
  <si>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</si>
  <si>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</si>
  <si>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</si>
  <si>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</si>
  <si>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</si>
  <si>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</si>
  <si>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</si>
  <si>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</si>
  <si>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</si>
  <si>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</si>
  <si>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</si>
  <si>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ファーストリテイリング</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</si>
  <si>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</si>
  <si>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</si>
  <si>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</si>
  <si>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</si>
  <si>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</si>
  <si>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</si>
  <si>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</si>
  <si>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</si>
  <si>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</si>
  <si>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</si>
  <si>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</si>
  <si>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</si>
  <si>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</si>
  <si>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</si>
  <si>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</si>
  <si>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</si>
  <si>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</si>
  <si>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</si>
  <si>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</si>
  <si>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</si>
  <si>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</si>
  <si>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</si>
  <si>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</si>
  <si>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</si>
  <si>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</si>
  <si>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</si>
  <si>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</si>
  <si>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</si>
  <si>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</si>
  <si>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</si>
  <si>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</si>
  <si>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</si>
  <si>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</si>
  <si>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</si>
  <si>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Fast Retailing Co., Ltd.</t>
  </si>
  <si>
    <t>9983.T</t>
  </si>
  <si>
    <t>Ryohin Keikaku Co., Ltd.</t>
  </si>
  <si>
    <t>7453.T</t>
  </si>
  <si>
    <t>ABC-Mart,Inc.</t>
  </si>
  <si>
    <t>2670.T</t>
  </si>
  <si>
    <t>Nitori Holdings Co., Ltd.</t>
  </si>
  <si>
    <t>9843.T</t>
  </si>
  <si>
    <t>J. Front Retailing Co., Ltd.</t>
  </si>
  <si>
    <t>3086.T</t>
  </si>
  <si>
    <t>Takashimaya Company, Limited</t>
  </si>
  <si>
    <t>8233.T</t>
  </si>
  <si>
    <t>N/A</t>
  </si>
  <si>
    <t>Statistics</t>
  </si>
  <si>
    <t>25th Percentile</t>
  </si>
  <si>
    <t>Median (50th)</t>
  </si>
  <si>
    <t>75th Percentile</t>
  </si>
  <si>
    <t>Implied Valuation for ファーストリテイリング</t>
  </si>
  <si>
    <t>ファーストリテイリング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</si>
  <si>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</si>
  <si>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</si>
  <si>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</si>
  <si>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</si>
  <si>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</si>
  <si>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</si>
  <si>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</si>
  <si>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</si>
  <si>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</si>
  <si>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</si>
  <si>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</si>
  <si>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</si>
  <si>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</si>
  <si>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</si>
  <si>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</si>
  <si>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ファーストリテイリング</t>
  </si>
  <si>
    <t>日付</t>
  </si>
  <si>
    <t>セル</t>
  </si>
  <si>
    <t>変更内容</t>
  </si>
  <si>
    <t>理由</t>
  </si>
  <si>
    <t>元の値</t>
  </si>
  <si>
    <t>状態</t>
  </si>
  <si>
    <t>2026-09-06</t>
  </si>
  <si>
    <t>-</t>
  </si>
  <si>
    <t>Generated by pipeline on 2026-09-06 19:39, template rev 63983ab</t>
  </si>
  <si>
    <t>初期生成（手修正なし）</t>
  </si>
  <si>
    <t>generated</t>
  </si>
  <si>
    <t>DCF Model!C11</t>
  </si>
  <si>
    <t>After-tax Cost of Debt = 1.94% (実績ベース)</t>
  </si>
  <si>
    <t>実績Kd = 支払利息12,834 ÷ 平均有利子負債495,781(期首478,062/期末513,500、debt_beginning/debt_ending) = 税引前2.59% × (1−25.0%) = 1.94%。【マージナルコスト注記】これは既存借入の実績平均コストであり、新規調達の限界コストではない。テンプレ既定(税引前2.8%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</si>
  <si>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</si>
  <si>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</si>
  <si>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</si>
  <si>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1.042（採用値）</t>
  </si>
  <si>
    <t>実測β(raw) = 1.063 → Blume調整 0.67×raw + 0.33×1.00 = 1.042 → 採用 1.042。クランプ域 [0.3, 2.0] の内側。置換なし。回帰βは平均回帰するため Blume 調整を既定とする（2026-09-05 バッチで85件中57件が旧下限 0.60 に張り付き、両裾の歪みが実証された）。</t>
  </si>
  <si>
    <t>実測 1.063</t>
  </si>
  <si>
    <t>確定</t>
  </si>
  <si>
    <t>Pipeline Metadata (do not edit — read by scripts/validate_output.py)</t>
  </si>
  <si>
    <t>key</t>
  </si>
  <si>
    <t>value</t>
  </si>
  <si>
    <t>auto_log_entries</t>
  </si>
  <si>
    <t>2</t>
  </si>
  <si>
    <t>beta_adopted_c8</t>
  </si>
  <si>
    <t>1.0423</t>
  </si>
  <si>
    <t>beta_basis</t>
  </si>
  <si>
    <t>Blume: 0.67 x 1.063 + 0.33 x 1.00 = 1.042</t>
  </si>
  <si>
    <t>beta_blume_adjusted</t>
  </si>
  <si>
    <t>beta_clamped</t>
  </si>
  <si>
    <t>no</t>
  </si>
  <si>
    <t>beta_raw</t>
  </si>
  <si>
    <t>1.0632</t>
  </si>
  <si>
    <t>capex_pct_basis</t>
  </si>
  <si>
    <t>explicit_override</t>
  </si>
  <si>
    <t>capex_pct_c5</t>
  </si>
  <si>
    <t>0.066885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</si>
  <si>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</si>
  <si>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</si>
  <si>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</si>
  <si>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</si>
  <si>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</si>
  <si>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</si>
  <si>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</si>
  <si>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</si>
  <si>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</si>
  <si>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</si>
  <si>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</si>
  <si>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</si>
  <si>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</si>
  <si>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</si>
  <si>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</si>
  <si>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</si>
  <si>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</si>
  <si>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</si>
  <si>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</si>
  <si>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</si>
  <si>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</si>
  <si>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779053.0</t>
  </si>
  <si>
    <t>core_net_income</t>
  </si>
  <si>
    <t>433009.0</t>
  </si>
  <si>
    <t>cost_of_debt_actual</t>
  </si>
  <si>
    <t>interest 12,834 (expense 12,834 + fees 0) / avg debt 495,781 (debt_beginning/debt_ending) = 0.025886 pre-tax -&gt; 0.019400 after-tax</t>
  </si>
  <si>
    <t>cost_of_debt_at_c11</t>
  </si>
  <si>
    <t>0.0194</t>
  </si>
  <si>
    <t>cost_of_debt_avg_debt</t>
  </si>
  <si>
    <t>495781.0</t>
  </si>
  <si>
    <t>cost_of_debt_basis</t>
  </si>
  <si>
    <t>actual</t>
  </si>
  <si>
    <t>cost_of_debt_interest</t>
  </si>
  <si>
    <t>12834.0</t>
  </si>
  <si>
    <t>cost_of_debt_pretax</t>
  </si>
  <si>
    <t>0.025886429693755913</t>
  </si>
  <si>
    <t>da_pct_basis</t>
  </si>
  <si>
    <t>da_pct_c18</t>
  </si>
  <si>
    <t>0.0637</t>
  </si>
  <si>
    <t>da_pct_hist3yr</t>
  </si>
  <si>
    <t>0.064757</t>
  </si>
  <si>
    <t>fs_year_coverage</t>
  </si>
  <si>
    <t>OCF 4/4, Cash 4/4, Debt 0/4</t>
  </si>
  <si>
    <t>fs_year_map</t>
  </si>
  <si>
    <t>FY2022&lt;-FY2022[ocf+cash]; FY2023&lt;-FY2023[ocf+cash]; FY2024&lt;-FY2024[ocf+cash]; FY2025&lt;-FY2025[ocf+cash]</t>
  </si>
  <si>
    <t>fs_year_sources</t>
  </si>
  <si>
    <t>overrides: none | EDINET year-key match: hist_ocf, hist_cash, hist_debt, hist_capex, hist_depreciation</t>
  </si>
  <si>
    <t>fx_sensitivity</t>
  </si>
  <si>
    <t>not enabled</t>
  </si>
  <si>
    <t>generated_at</t>
  </si>
  <si>
    <t>2026-09-06 19:39:20</t>
  </si>
  <si>
    <t>guidance_note</t>
  </si>
  <si>
    <t>screener DB: no guidance row for code=9983 in the TDnet archive | EDINET XBRL: 6 cached EDINET XBRL file(s) for this ticker carry no ForecastMember context | EDINET tanshin: skipped (--tanshin-fallback not given; EDINET does not host 決算短信)</t>
  </si>
  <si>
    <t>guidance_source</t>
  </si>
  <si>
    <t>latest_operating_income</t>
  </si>
  <si>
    <t>562561.0</t>
  </si>
  <si>
    <t>ltm_revenue_c20</t>
  </si>
  <si>
    <t>3665568.0</t>
  </si>
  <si>
    <t>ltm_revenue_source</t>
  </si>
  <si>
    <t>LTM row</t>
  </si>
  <si>
    <t>market_data_source</t>
  </si>
  <si>
    <t>yfinance; from overrides: beta, current_price, shares_outstanding</t>
  </si>
  <si>
    <t>narrative_tokens_used</t>
  </si>
  <si>
    <t>net_debt_source</t>
  </si>
  <si>
    <t>UNAVAILABLE (no net_debt, and total_debt/cash incomplete)</t>
  </si>
  <si>
    <t>reverse_dcf_sheet</t>
  </si>
  <si>
    <t>op0=562,561(FY2025) peak=562,561(FY2025) peak_opm=0.1654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</si>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</sst>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69100</v>
      </c>
    </row>
    <row r="10" spans="2:5" ht="14" x14ac:dyDescent="0.3">
      <c r="B10" s="4" t="s">
        <v>10</v>
      </c>
      <c r="C10" s="5">
        <f>IF(COUNT(C16:C17)=0,"N/A",ROUND(AVERAGE(C16:C17),0))</f>
        <v>24617</v>
      </c>
    </row>
    <row r="11" spans="2:5" ht="14" x14ac:dyDescent="0.3">
      <c r="B11" s="4" t="s">
        <v>11</v>
      </c>
      <c r="C11" s="6" t="str">
        <f>IF(NOT(ISNUMBER(C12)),"N/A",IF(C12&gt;0.15,"BUY",IF(C12&gt;0.05,"HOLD","SELL")))</f>
        <v>SELL</v>
      </c>
    </row>
    <row r="12" spans="2:5" ht="14" x14ac:dyDescent="0.3">
      <c r="B12" s="4" t="s">
        <v>12</v>
      </c>
      <c r="C12" s="7">
        <f>IF(ISNUMBER(C10),(C10-C9)/C9,"N/A")</f>
        <v>-0.64374819102749636</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19042</v>
      </c>
      <c r="D16" s="7">
        <f>IF(ISNUMBER(C16),(C16-C9)/C9,"N/A")</f>
        <v>-0.72442836468885674</v>
      </c>
    </row>
    <row r="17" spans="2:5" ht="13.5" x14ac:dyDescent="0.25">
      <c r="B17" t="s">
        <v>18</v>
      </c>
      <c r="C17" s="11">
        <f>IF('DCF Model'!C62&lt;'DCF Model'!C16,"INVALID (EV &lt; net debt)",'DCF Model'!C64)</f>
        <v>30191</v>
      </c>
      <c r="D17" s="7">
        <f>IF(ISNUMBER(C17),(C17-C9)/C9,"N/A")</f>
        <v>-0.56308248914616499</v>
      </c>
    </row>
    <row r="18" spans="2:5" ht="13.5" x14ac:dyDescent="0.25">
      <c r="B18" t="s">
        <v>19</v>
      </c>
      <c r="C18" s="11">
        <f>'Comps Analysis'!C27</f>
        <v>27934</v>
      </c>
      <c r="D18" s="7">
        <f>IF(ISNUMBER(C18),(C18-C9)/C9,"N/A")</f>
        <v>-0.59574529667149057</v>
      </c>
    </row>
    <row r="19" spans="2:5" ht="13.5" x14ac:dyDescent="0.25">
      <c r="B19" t="s">
        <v>20</v>
      </c>
      <c r="C19" s="11">
        <f>'Comps Analysis'!C28</f>
        <v>31511</v>
      </c>
      <c r="D19" s="7">
        <f>IF(ISNUMBER(C19),(C19-C9)/C9,"N/A")</f>
        <v>-0.54397973950795953</v>
      </c>
    </row>
    <row r="20" spans="2:5" ht="14" x14ac:dyDescent="0.3">
      <c r="B20" s="46" t="s">
        <v>21</v>
      </c>
      <c r="C20" s="45"/>
      <c r="D20" s="45"/>
      <c r="E20" s="45"/>
    </row>
    <row r="21" spans="2:5" ht="14" x14ac:dyDescent="0.3">
      <c r="B21" s="4" t="s">
        <v>22</v>
      </c>
      <c r="C21" s="6" t="str">
        <f>IF(COUNT(C16:C17)=0,"N/A",MIN(C16:C17)&amp;" - "&amp;MAX(C16:C17))</f>
        <v>19042 - 30191</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2301122</v>
      </c>
      <c r="D6" s="5">
        <v>2766557</v>
      </c>
      <c r="E6" s="5">
        <v>3103836</v>
      </c>
      <c r="F6" s="5">
        <v>3400539</v>
      </c>
    </row>
    <row r="7" spans="2:6" ht="14" x14ac:dyDescent="0.3">
      <c r="B7" s="4" t="s">
        <v>38</v>
      </c>
      <c r="C7" s="5">
        <v>1094263</v>
      </c>
      <c r="D7" s="5">
        <v>1330196</v>
      </c>
      <c r="E7" s="5">
        <v>1430764</v>
      </c>
      <c r="F7" s="5">
        <v>1571681</v>
      </c>
    </row>
    <row r="8" spans="2:6" ht="14" x14ac:dyDescent="0.3">
      <c r="B8" s="4" t="s">
        <v>39</v>
      </c>
      <c r="C8" s="5">
        <f>C6-C7</f>
        <v>1206859</v>
      </c>
      <c r="D8" s="5">
        <f>D6-D7</f>
        <v>1436361</v>
      </c>
      <c r="E8" s="5">
        <f>E6-E7</f>
        <v>1673072</v>
      </c>
      <c r="F8" s="5">
        <f>F6-F7</f>
        <v>1828858</v>
      </c>
    </row>
    <row r="9" spans="2:6" ht="13.5" x14ac:dyDescent="0.25">
      <c r="B9" t="s">
        <v>40</v>
      </c>
      <c r="C9" s="7">
        <f>C8/C6</f>
        <v>0.52446545641647857</v>
      </c>
      <c r="D9" s="7">
        <f>D8/D6</f>
        <v>0.51918720633625115</v>
      </c>
      <c r="E9" s="7">
        <f>E8/E6</f>
        <v>0.53903363450903974</v>
      </c>
      <c r="F9" s="7">
        <f>F8/F6</f>
        <v>0.53781415240348662</v>
      </c>
    </row>
    <row r="10" spans="2:6" ht="14" x14ac:dyDescent="0.3">
      <c r="B10" s="4" t="s">
        <v>41</v>
      </c>
      <c r="C10" s="5">
        <v>910594</v>
      </c>
      <c r="D10" s="5">
        <v>1056410</v>
      </c>
      <c r="E10" s="5">
        <v>1173586</v>
      </c>
      <c r="F10" s="5">
        <v>1266297</v>
      </c>
    </row>
    <row r="11" spans="2:6" ht="14" x14ac:dyDescent="0.3">
      <c r="B11" s="4" t="s">
        <v>42</v>
      </c>
      <c r="C11" s="5">
        <v>296265</v>
      </c>
      <c r="D11" s="5">
        <v>379951</v>
      </c>
      <c r="E11" s="5">
        <v>499486</v>
      </c>
      <c r="F11" s="5">
        <v>562561</v>
      </c>
    </row>
    <row r="12" spans="2:6" ht="14" x14ac:dyDescent="0.3">
      <c r="B12" s="4" t="s">
        <v>43</v>
      </c>
      <c r="C12" s="5">
        <v>273335</v>
      </c>
      <c r="D12" s="5">
        <v>296229</v>
      </c>
      <c r="E12" s="5">
        <v>371999</v>
      </c>
      <c r="F12" s="5">
        <v>433009</v>
      </c>
    </row>
    <row r="13" spans="2:6" ht="13.5" x14ac:dyDescent="0.25">
      <c r="B13" t="s">
        <v>44</v>
      </c>
      <c r="C13" s="7">
        <f>C11/C6</f>
        <v>0.12874806290148894</v>
      </c>
      <c r="D13" s="7">
        <f>D11/D6</f>
        <v>0.13733713059228492</v>
      </c>
      <c r="E13" s="7">
        <f>E11/E6</f>
        <v>0.16092538394425479</v>
      </c>
      <c r="F13" s="7">
        <f>F11/F6</f>
        <v>0.16543289166805616</v>
      </c>
    </row>
    <row r="14" spans="2:6" ht="13.5" x14ac:dyDescent="0.25">
      <c r="B14" t="s">
        <v>45</v>
      </c>
      <c r="C14" s="7">
        <f>C12/C6</f>
        <v>0.11878335872674287</v>
      </c>
      <c r="D14" s="7">
        <f>D12/D6</f>
        <v>0.10707496718845844</v>
      </c>
      <c r="E14" s="7">
        <f>E12/E6</f>
        <v>0.11985137101315919</v>
      </c>
      <c r="F14" s="7">
        <f>F12/F6</f>
        <v>0.12733540182894534</v>
      </c>
    </row>
    <row r="15" spans="2:6" ht="13.5" x14ac:dyDescent="0.25">
      <c r="B15" t="s">
        <v>46</v>
      </c>
      <c r="C15" t="s">
        <v>47</v>
      </c>
      <c r="D15" s="7">
        <f>(D6-C6)/C6</f>
        <v>0.2022643736403372</v>
      </c>
      <c r="E15" s="7">
        <f>(E6-D6)/D6</f>
        <v>0.12191290474044092</v>
      </c>
      <c r="F15" s="7">
        <f>(F6-E6)/E6</f>
        <v>9.5592357328157795E-2</v>
      </c>
    </row>
    <row r="16" spans="2:6" ht="13.5" x14ac:dyDescent="0.25">
      <c r="B16" t="s">
        <v>48</v>
      </c>
      <c r="C16" t="s">
        <v>47</v>
      </c>
      <c r="D16" s="7">
        <f>(D11-C11)/C11</f>
        <v>0.28247008590282346</v>
      </c>
      <c r="E16" s="7">
        <f>(E11-D11)/D11</f>
        <v>0.31460635713552537</v>
      </c>
      <c r="F16" s="7">
        <f>(F11-E11)/E11</f>
        <v>0.12627981565048871</v>
      </c>
    </row>
    <row r="18" spans="2:6" ht="14" x14ac:dyDescent="0.3">
      <c r="B18" s="3" t="s">
        <v>49</v>
      </c>
    </row>
    <row r="19" spans="2:6" ht="14" x14ac:dyDescent="0.3">
      <c r="B19" s="4" t="s">
        <v>50</v>
      </c>
      <c r="C19" s="5">
        <v>430817</v>
      </c>
      <c r="D19" s="5">
        <v>463216</v>
      </c>
      <c r="E19" s="5">
        <v>651521</v>
      </c>
      <c r="F19" s="5">
        <v>580618</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1358292</v>
      </c>
      <c r="D26" s="5">
        <v>903280</v>
      </c>
      <c r="E26" s="5">
        <v>1193560</v>
      </c>
      <c r="F26" s="5">
        <v>893239</v>
      </c>
    </row>
    <row r="27" spans="2:6" ht="14" x14ac:dyDescent="0.3">
      <c r="B27" s="4" t="s">
        <v>57</v>
      </c>
      <c r="C27" s="5"/>
      <c r="D27" s="5"/>
      <c r="E27" s="5"/>
      <c r="F27" s="5"/>
    </row>
    <row r="28" spans="2:6" ht="14" x14ac:dyDescent="0.3">
      <c r="B28" s="4" t="s">
        <v>58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6.6885E-2</v>
      </c>
    </row>
    <row r="6" spans="2:7" ht="14" x14ac:dyDescent="0.3">
      <c r="B6" s="4" t="s">
        <v>63</v>
      </c>
      <c r="C6" s="7">
        <v>0.25</v>
      </c>
    </row>
    <row r="7" spans="2:7" ht="14" x14ac:dyDescent="0.3">
      <c r="B7" s="4" t="s">
        <v>64</v>
      </c>
      <c r="C7" s="7">
        <v>2.9700000000000001E-2</v>
      </c>
    </row>
    <row r="8" spans="2:7" ht="14" x14ac:dyDescent="0.3">
      <c r="B8" s="4" t="s">
        <v>65</v>
      </c>
      <c r="C8" s="12">
        <v>1.0423</v>
      </c>
    </row>
    <row r="9" spans="2:7" ht="14" x14ac:dyDescent="0.3">
      <c r="B9" s="4" t="s">
        <v>66</v>
      </c>
      <c r="C9" s="7">
        <v>6.5000000000000002E-2</v>
      </c>
    </row>
    <row r="10" spans="2:7" ht="14" x14ac:dyDescent="0.3">
      <c r="B10" s="4" t="s">
        <v>67</v>
      </c>
      <c r="C10" s="7">
        <v>0.01</v>
      </c>
    </row>
    <row r="11" spans="2:7" ht="14" x14ac:dyDescent="0.3">
      <c r="B11" s="4" t="s">
        <v>68</v>
      </c>
      <c r="C11" s="7">
        <v>1.9400000000000001E-2</v>
      </c>
    </row>
    <row r="12" spans="2:7" ht="14" x14ac:dyDescent="0.3">
      <c r="B12" s="4" t="s">
        <v>69</v>
      </c>
      <c r="C12" s="13">
        <v>0</v>
      </c>
    </row>
    <row r="13" spans="2:7" ht="14" x14ac:dyDescent="0.3">
      <c r="B13" s="4" t="s">
        <v>70</v>
      </c>
      <c r="C13" s="7">
        <v>0.01</v>
      </c>
    </row>
    <row r="14" spans="2:7" ht="14" x14ac:dyDescent="0.3">
      <c r="B14" s="4" t="s">
        <v>71</v>
      </c>
      <c r="C14" s="14">
        <v>10.5</v>
      </c>
    </row>
    <row r="15" spans="2:7" ht="14" x14ac:dyDescent="0.3">
      <c r="B15" s="4" t="s">
        <v>72</v>
      </c>
      <c r="C15" s="15">
        <v>306851024</v>
      </c>
    </row>
    <row r="16" spans="2:7" ht="14" x14ac:dyDescent="0.3">
      <c r="B16" s="4" t="s">
        <v>73</v>
      </c>
      <c r="C16" s="5">
        <v>-379739</v>
      </c>
    </row>
    <row r="17" spans="2:7" ht="14" x14ac:dyDescent="0.3">
      <c r="B17" s="4" t="s">
        <v>74</v>
      </c>
      <c r="C17" s="5">
        <v>3400539</v>
      </c>
    </row>
    <row r="18" spans="2:7" ht="14" x14ac:dyDescent="0.3">
      <c r="B18" s="4" t="s">
        <v>75</v>
      </c>
      <c r="C18" s="7">
        <v>6.3700000000000007E-2</v>
      </c>
    </row>
    <row r="19" spans="2:7" ht="14" x14ac:dyDescent="0.3">
      <c r="B19" s="4" t="s">
        <v>76</v>
      </c>
      <c r="C19" s="12">
        <v>0.5</v>
      </c>
    </row>
    <row r="20" spans="2:7" ht="14" x14ac:dyDescent="0.3">
      <c r="B20" s="4" t="s">
        <v>77</v>
      </c>
      <c r="C20" s="5">
        <v>3665568</v>
      </c>
    </row>
    <row r="22" spans="2:7" ht="14" x14ac:dyDescent="0.3">
      <c r="B22" s="8" t="s">
        <v>78</v>
      </c>
      <c r="C22" s="9"/>
      <c r="D22" s="9"/>
      <c r="E22" s="9"/>
      <c r="F22" s="9"/>
      <c r="G22" s="9"/>
    </row>
    <row r="23" spans="2:7" ht="14" x14ac:dyDescent="0.3">
      <c r="B23" s="4" t="s">
        <v>79</v>
      </c>
      <c r="C23" s="16">
        <f>C7+C8*C9+C10</f>
        <v>0.1074495</v>
      </c>
    </row>
    <row r="24" spans="2:7" ht="14" x14ac:dyDescent="0.3">
      <c r="B24" s="4" t="s">
        <v>80</v>
      </c>
      <c r="C24" s="16">
        <f>1/(1+C12)</f>
        <v>1</v>
      </c>
    </row>
    <row r="25" spans="2:7" ht="14" x14ac:dyDescent="0.3">
      <c r="B25" s="4" t="s">
        <v>81</v>
      </c>
      <c r="C25" s="16">
        <f>C12/(1+C12)</f>
        <v>0</v>
      </c>
    </row>
    <row r="26" spans="2:7" ht="14" x14ac:dyDescent="0.3">
      <c r="B26" s="4" t="s">
        <v>82</v>
      </c>
      <c r="C26" s="16">
        <f>C23*C24+C11*C25</f>
        <v>0.1074495</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0.08</v>
      </c>
      <c r="D30" s="18">
        <f>CHOOSE($D$27,D69,D70,D71,D72,D73)</f>
        <v>7.0000000000000007E-2</v>
      </c>
      <c r="E30" s="18">
        <f>CHOOSE($D$27,E69,E70,E71,E72,E73)</f>
        <v>0.06</v>
      </c>
      <c r="F30" s="18">
        <f>CHOOSE($D$27,F69,F70,F71,F72,F73)</f>
        <v>0.05</v>
      </c>
      <c r="G30" s="18">
        <f>CHOOSE($D$27,G69,G70,G71,G72,G73)</f>
        <v>4.4999999999999998E-2</v>
      </c>
    </row>
    <row r="31" spans="2:7" ht="14" x14ac:dyDescent="0.3">
      <c r="B31" s="4" t="s">
        <v>91</v>
      </c>
      <c r="C31" s="18">
        <f>CHOOSE($D$27,C76,C77,C78,C79,C80)</f>
        <v>0.52</v>
      </c>
      <c r="D31" s="18">
        <f>CHOOSE($D$27,D76,D77,D78,D79,D80)</f>
        <v>0.52</v>
      </c>
      <c r="E31" s="18">
        <f>CHOOSE($D$27,E76,E77,E78,E79,E80)</f>
        <v>0.52</v>
      </c>
      <c r="F31" s="18">
        <f>CHOOSE($D$27,F76,F77,F78,F79,F80)</f>
        <v>0.52</v>
      </c>
      <c r="G31" s="18">
        <f>CHOOSE($D$27,G76,G77,G78,G79,G80)</f>
        <v>0.52</v>
      </c>
    </row>
    <row r="32" spans="2:7" ht="14" x14ac:dyDescent="0.3">
      <c r="B32" s="4" t="s">
        <v>92</v>
      </c>
      <c r="C32" s="18">
        <f>CHOOSE($D$27,C83,C84,C85,C86,C87)</f>
        <v>0.31459999999999999</v>
      </c>
      <c r="D32" s="18">
        <f>CHOOSE($D$27,D83,D84,D85,D86,D87)</f>
        <v>0.31459999999999999</v>
      </c>
      <c r="E32" s="18">
        <f>CHOOSE($D$27,E83,E84,E85,E86,E87)</f>
        <v>0.31459999999999999</v>
      </c>
      <c r="F32" s="18">
        <f>CHOOSE($D$27,F83,F84,F85,F86,F87)</f>
        <v>0.31459999999999999</v>
      </c>
      <c r="G32" s="18">
        <f>CHOOSE($D$27,G83,G84,G85,G86,G87)</f>
        <v>0.31459999999999999</v>
      </c>
    </row>
    <row r="33" spans="2:7" ht="14" x14ac:dyDescent="0.3">
      <c r="B33" s="4" t="s">
        <v>37</v>
      </c>
      <c r="C33" s="5">
        <f>C17*(1+C30)</f>
        <v>3672582.12</v>
      </c>
      <c r="D33" s="5">
        <f>C33*(1+D30)</f>
        <v>3929662.8684000005</v>
      </c>
      <c r="E33" s="5">
        <f>D33*(1+E30)</f>
        <v>4165442.6405040007</v>
      </c>
      <c r="F33" s="5">
        <f>E33*(1+F30)</f>
        <v>4373714.7725292007</v>
      </c>
      <c r="G33" s="5">
        <f>F33*(1+G30)</f>
        <v>4570531.9372930145</v>
      </c>
    </row>
    <row r="34" spans="2:7" ht="14" x14ac:dyDescent="0.3">
      <c r="B34" s="4" t="s">
        <v>38</v>
      </c>
      <c r="C34" s="5">
        <f>C33*C31</f>
        <v>1909742.7024000001</v>
      </c>
      <c r="D34" s="5">
        <f>D33*D31</f>
        <v>2043424.6915680002</v>
      </c>
      <c r="E34" s="5">
        <f>E33*E31</f>
        <v>2166030.1730620805</v>
      </c>
      <c r="F34" s="5">
        <f>F33*F31</f>
        <v>2274331.6817151844</v>
      </c>
      <c r="G34" s="5">
        <f>G33*G31</f>
        <v>2376676.6073923674</v>
      </c>
    </row>
    <row r="35" spans="2:7" ht="14" x14ac:dyDescent="0.3">
      <c r="B35" s="4" t="s">
        <v>39</v>
      </c>
      <c r="C35" s="19">
        <f>C33-C34</f>
        <v>1762839.4176</v>
      </c>
      <c r="D35" s="19">
        <f>D33-D34</f>
        <v>1886238.1768320003</v>
      </c>
      <c r="E35" s="19">
        <f>E33-E34</f>
        <v>1999412.4674419202</v>
      </c>
      <c r="F35" s="19">
        <f>F33-F34</f>
        <v>2099383.0908140163</v>
      </c>
      <c r="G35" s="19">
        <f>G33-G34</f>
        <v>2193855.329900647</v>
      </c>
    </row>
    <row r="36" spans="2:7" ht="14" x14ac:dyDescent="0.3">
      <c r="B36" s="4" t="s">
        <v>40</v>
      </c>
      <c r="C36" s="7">
        <f>C35/C33</f>
        <v>0.48</v>
      </c>
      <c r="D36" s="7">
        <f>D35/D33</f>
        <v>0.48</v>
      </c>
      <c r="E36" s="7">
        <f>E35/E33</f>
        <v>0.48</v>
      </c>
      <c r="F36" s="7">
        <f>F35/F33</f>
        <v>0.48</v>
      </c>
      <c r="G36" s="7">
        <f>G35/G33</f>
        <v>0.48000000000000004</v>
      </c>
    </row>
    <row r="37" spans="2:7" ht="14" x14ac:dyDescent="0.3">
      <c r="B37" s="4" t="s">
        <v>93</v>
      </c>
      <c r="C37" s="5">
        <f>C33*C32</f>
        <v>1155394.3349520001</v>
      </c>
      <c r="D37" s="5">
        <f>D33*D32</f>
        <v>1236271.9383986401</v>
      </c>
      <c r="E37" s="5">
        <f>E33*E32</f>
        <v>1310448.2547025585</v>
      </c>
      <c r="F37" s="5">
        <f>F33*F32</f>
        <v>1375970.6674376866</v>
      </c>
      <c r="G37" s="5">
        <f>G33*G32</f>
        <v>1437889.3474723822</v>
      </c>
    </row>
    <row r="38" spans="2:7" ht="14" x14ac:dyDescent="0.3">
      <c r="B38" s="4" t="s">
        <v>94</v>
      </c>
      <c r="C38" s="7">
        <f>(C35-C37)/C33</f>
        <v>0.16539999999999999</v>
      </c>
      <c r="D38" s="7">
        <f>(D35-D37)/D33</f>
        <v>0.16540000000000002</v>
      </c>
      <c r="E38" s="7">
        <f>(E35-E37)/E33</f>
        <v>0.16539999999999999</v>
      </c>
      <c r="F38" s="7">
        <f>(F35-F37)/F33</f>
        <v>0.16539999999999999</v>
      </c>
      <c r="G38" s="7">
        <f>(G35-G37)/G33</f>
        <v>0.16540000000000005</v>
      </c>
    </row>
    <row r="39" spans="2:7" ht="14" x14ac:dyDescent="0.3">
      <c r="B39" s="4" t="s">
        <v>95</v>
      </c>
      <c r="C39" s="19">
        <f>C35-C37</f>
        <v>607445.08264799998</v>
      </c>
      <c r="D39" s="19">
        <f>D35-D37</f>
        <v>649966.23843336012</v>
      </c>
      <c r="E39" s="19">
        <f>E35-E37</f>
        <v>688964.21273936168</v>
      </c>
      <c r="F39" s="19">
        <f>F35-F37</f>
        <v>723412.42337632971</v>
      </c>
      <c r="G39" s="19">
        <f>G35-G37</f>
        <v>755965.9824282648</v>
      </c>
    </row>
    <row r="40" spans="2:7" ht="14" x14ac:dyDescent="0.3">
      <c r="B40" s="4" t="s">
        <v>96</v>
      </c>
      <c r="C40" s="5">
        <f>MAX(0,C39*C6)</f>
        <v>151861.270662</v>
      </c>
      <c r="D40" s="5">
        <f>MAX(0,D39*C6)</f>
        <v>162491.55960834003</v>
      </c>
      <c r="E40" s="5">
        <f>MAX(0,E39*C6)</f>
        <v>172241.05318484042</v>
      </c>
      <c r="F40" s="5">
        <f>MAX(0,F39*C6)</f>
        <v>180853.10584408243</v>
      </c>
      <c r="G40" s="5">
        <f>MAX(0,G39*C6)</f>
        <v>188991.4956070662</v>
      </c>
    </row>
    <row r="41" spans="2:7" ht="14" x14ac:dyDescent="0.3">
      <c r="B41" s="4" t="s">
        <v>97</v>
      </c>
      <c r="C41" s="19">
        <f>C39-C40</f>
        <v>455583.81198599999</v>
      </c>
      <c r="D41" s="19">
        <f>D39-D40</f>
        <v>487474.67882502009</v>
      </c>
      <c r="E41" s="19">
        <f>E39-E40</f>
        <v>516723.15955452126</v>
      </c>
      <c r="F41" s="19">
        <f>F39-F40</f>
        <v>542559.31753224728</v>
      </c>
      <c r="G41" s="19">
        <f>G39-G40</f>
        <v>566974.4868211986</v>
      </c>
    </row>
    <row r="42" spans="2:7" ht="14" x14ac:dyDescent="0.3">
      <c r="B42" s="4" t="s">
        <v>98</v>
      </c>
      <c r="C42" s="5">
        <f>C33*C18</f>
        <v>233943.48104400004</v>
      </c>
      <c r="D42" s="5">
        <f>D33*C18</f>
        <v>250319.52471708006</v>
      </c>
      <c r="E42" s="5">
        <f>E33*C18</f>
        <v>265338.6962001049</v>
      </c>
      <c r="F42" s="5">
        <f>F33*C18</f>
        <v>278605.63101011008</v>
      </c>
      <c r="G42" s="5">
        <f>G33*C18</f>
        <v>291142.88440556504</v>
      </c>
    </row>
    <row r="43" spans="2:7" ht="14" x14ac:dyDescent="0.3">
      <c r="B43" s="4" t="s">
        <v>99</v>
      </c>
      <c r="C43" s="5">
        <v>205500</v>
      </c>
      <c r="D43" s="5">
        <v>230600</v>
      </c>
      <c r="E43" s="5">
        <v>255600</v>
      </c>
      <c r="F43" s="5">
        <v>280700</v>
      </c>
      <c r="G43" s="5">
        <v>305700</v>
      </c>
    </row>
    <row r="44" spans="2:7" ht="14" x14ac:dyDescent="0.3">
      <c r="B44" s="4" t="s">
        <v>100</v>
      </c>
      <c r="C44" s="5">
        <f>'NWC Schedule'!D19</f>
        <v>45600.01362849318</v>
      </c>
      <c r="D44" s="5">
        <f>'NWC Schedule'!E19</f>
        <v>18397.120953994454</v>
      </c>
      <c r="E44" s="5">
        <f>'NWC Schedule'!F19</f>
        <v>16872.788074949523</v>
      </c>
      <c r="F44" s="5">
        <f>'NWC Schedule'!G19</f>
        <v>14904.296132871765</v>
      </c>
      <c r="G44" s="5">
        <f>'NWC Schedule'!H19</f>
        <v>14084.559845563723</v>
      </c>
    </row>
    <row r="45" spans="2:7" ht="14" x14ac:dyDescent="0.3">
      <c r="B45" s="4" t="s">
        <v>101</v>
      </c>
      <c r="C45" s="20">
        <f>C41+C42-C43-C44</f>
        <v>438427.27940150688</v>
      </c>
      <c r="D45" s="20">
        <f>D41+D42-D43-D44</f>
        <v>488797.0825881057</v>
      </c>
      <c r="E45" s="20">
        <f>E41+E42-E43-E44</f>
        <v>509589.06767967669</v>
      </c>
      <c r="F45" s="20">
        <f>F41+F42-F43-F44</f>
        <v>525560.65240948566</v>
      </c>
      <c r="G45" s="20">
        <f>G41+G42-G43-G44</f>
        <v>538332.81138119986</v>
      </c>
    </row>
    <row r="46" spans="2:7" ht="14" x14ac:dyDescent="0.3">
      <c r="B46" s="4" t="s">
        <v>102</v>
      </c>
      <c r="C46" s="21">
        <f>1/(1+C26)^(C19+0)</f>
        <v>0.95025034138790465</v>
      </c>
      <c r="D46" s="21">
        <f>1/(1+C26)^(C19+1)</f>
        <v>0.85805297793525093</v>
      </c>
      <c r="E46" s="21">
        <f>1/(1+C26)^(C19+2)</f>
        <v>0.77480099809088443</v>
      </c>
      <c r="F46" s="21">
        <f>1/(1+C26)^(C19+3)</f>
        <v>0.69962648237313263</v>
      </c>
      <c r="G46" s="21">
        <f>1/(1+C26)^(C19+4)</f>
        <v>0.63174572057067402</v>
      </c>
    </row>
    <row r="47" spans="2:7" ht="14" x14ac:dyDescent="0.3">
      <c r="B47" s="4" t="s">
        <v>103</v>
      </c>
      <c r="C47" s="19">
        <f>C45*C46</f>
        <v>416615.67192505219</v>
      </c>
      <c r="D47" s="19">
        <f>D45*D46</f>
        <v>419413.79232078686</v>
      </c>
      <c r="E47" s="19">
        <f>E45*E46</f>
        <v>394830.11825441674</v>
      </c>
      <c r="F47" s="19">
        <f>F45*F46</f>
        <v>367696.15051897708</v>
      </c>
      <c r="G47" s="19">
        <f>G45*G46</f>
        <v>340089.44983285287</v>
      </c>
    </row>
    <row r="49" spans="2:7" ht="14" x14ac:dyDescent="0.3">
      <c r="B49" s="22" t="s">
        <v>104</v>
      </c>
      <c r="C49" s="23"/>
      <c r="D49" s="23"/>
      <c r="E49" s="23"/>
      <c r="F49" s="23"/>
      <c r="G49" s="23"/>
    </row>
    <row r="50" spans="2:7" ht="14" x14ac:dyDescent="0.3">
      <c r="B50" s="4" t="s">
        <v>105</v>
      </c>
      <c r="C50" s="5">
        <f>SUM(C47:G47)</f>
        <v>1938645.1828520857</v>
      </c>
    </row>
    <row r="51" spans="2:7" ht="14" x14ac:dyDescent="0.3">
      <c r="B51" s="4" t="s">
        <v>106</v>
      </c>
      <c r="C51" s="5">
        <f>G45*(1+C13)/(C26-C13)</f>
        <v>5579465.666781377</v>
      </c>
    </row>
    <row r="52" spans="2:7" ht="14" x14ac:dyDescent="0.3">
      <c r="B52" s="4" t="s">
        <v>107</v>
      </c>
      <c r="C52" s="5">
        <f>C51*G46</f>
        <v>3524803.5580601371</v>
      </c>
    </row>
    <row r="53" spans="2:7" ht="14" x14ac:dyDescent="0.3">
      <c r="B53" s="4" t="s">
        <v>108</v>
      </c>
      <c r="C53" s="5">
        <f>C50+C52</f>
        <v>5463448.7409122232</v>
      </c>
    </row>
    <row r="54" spans="2:7" ht="14" x14ac:dyDescent="0.3">
      <c r="B54" s="4" t="s">
        <v>109</v>
      </c>
      <c r="C54" s="5">
        <f>C53-C16</f>
        <v>5843187.7409122232</v>
      </c>
    </row>
    <row r="55" spans="2:7" ht="14" x14ac:dyDescent="0.3">
      <c r="B55" s="4" t="s">
        <v>110</v>
      </c>
      <c r="C55" s="24">
        <f>ROUND(C54*1000000/C15,0)</f>
        <v>19042</v>
      </c>
    </row>
    <row r="57" spans="2:7" ht="14" x14ac:dyDescent="0.3">
      <c r="B57" s="22" t="s">
        <v>111</v>
      </c>
      <c r="C57" s="23"/>
      <c r="D57" s="23"/>
      <c r="E57" s="23"/>
      <c r="F57" s="23"/>
      <c r="G57" s="23"/>
    </row>
    <row r="58" spans="2:7" ht="14" x14ac:dyDescent="0.3">
      <c r="B58" s="4" t="s">
        <v>105</v>
      </c>
      <c r="C58" s="5">
        <f>C50</f>
        <v>1938645.1828520857</v>
      </c>
    </row>
    <row r="59" spans="2:7" ht="14" x14ac:dyDescent="0.3">
      <c r="B59" s="4" t="s">
        <v>112</v>
      </c>
      <c r="C59" s="5">
        <f>G39+G42</f>
        <v>1047108.8668338298</v>
      </c>
    </row>
    <row r="60" spans="2:7" ht="14" x14ac:dyDescent="0.3">
      <c r="B60" s="4" t="s">
        <v>113</v>
      </c>
      <c r="C60" s="5">
        <f>C59*C14</f>
        <v>10994643.101755213</v>
      </c>
    </row>
    <row r="61" spans="2:7" ht="14" x14ac:dyDescent="0.3">
      <c r="B61" s="4" t="s">
        <v>107</v>
      </c>
      <c r="C61" s="5">
        <f>C60*G46</f>
        <v>6945818.7287357375</v>
      </c>
    </row>
    <row r="62" spans="2:7" ht="14" x14ac:dyDescent="0.3">
      <c r="B62" s="4" t="s">
        <v>108</v>
      </c>
      <c r="C62" s="5">
        <f>C58+C61</f>
        <v>8884463.9115878232</v>
      </c>
    </row>
    <row r="63" spans="2:7" ht="14" x14ac:dyDescent="0.3">
      <c r="B63" s="4" t="s">
        <v>109</v>
      </c>
      <c r="C63" s="5">
        <f>C62-C16</f>
        <v>9264202.9115878232</v>
      </c>
    </row>
    <row r="64" spans="2:7" ht="14" x14ac:dyDescent="0.3">
      <c r="B64" s="4" t="s">
        <v>114</v>
      </c>
      <c r="C64" s="24">
        <f>ROUND(C63*1000000/C15,0)</f>
        <v>30191</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0.08</v>
      </c>
      <c r="D69" s="26">
        <v>7.0000000000000007E-2</v>
      </c>
      <c r="E69" s="26">
        <v>0.06</v>
      </c>
      <c r="F69" s="26">
        <v>0.05</v>
      </c>
      <c r="G69" s="26">
        <v>4.4999999999999998E-2</v>
      </c>
    </row>
    <row r="70" spans="2:7" ht="14" x14ac:dyDescent="0.3">
      <c r="B70" s="4" t="s">
        <v>121</v>
      </c>
      <c r="C70" s="26">
        <v>0.11</v>
      </c>
      <c r="D70" s="26">
        <v>9.5000000000000001E-2</v>
      </c>
      <c r="E70" s="26">
        <v>0.08</v>
      </c>
      <c r="F70" s="26">
        <v>7.0000000000000007E-2</v>
      </c>
      <c r="G70" s="26">
        <v>0.06</v>
      </c>
    </row>
    <row r="71" spans="2:7" ht="14" x14ac:dyDescent="0.3">
      <c r="B71" s="4" t="s">
        <v>122</v>
      </c>
      <c r="C71" s="26">
        <v>0.08</v>
      </c>
      <c r="D71" s="26">
        <v>7.0000000000000007E-2</v>
      </c>
      <c r="E71" s="26">
        <v>0.06</v>
      </c>
      <c r="F71" s="26">
        <v>0.05</v>
      </c>
      <c r="G71" s="26">
        <v>4.4999999999999998E-2</v>
      </c>
    </row>
    <row r="72" spans="2:7" ht="14" x14ac:dyDescent="0.3">
      <c r="B72" s="4" t="s">
        <v>123</v>
      </c>
      <c r="C72" s="26">
        <v>0.04</v>
      </c>
      <c r="D72" s="26">
        <v>0.04</v>
      </c>
      <c r="E72" s="26">
        <v>3.5000000000000003E-2</v>
      </c>
      <c r="F72" s="26">
        <v>0.03</v>
      </c>
      <c r="G72" s="26">
        <v>0.03</v>
      </c>
    </row>
    <row r="73" spans="2:7" ht="14" x14ac:dyDescent="0.3">
      <c r="B73" s="4" t="s">
        <v>124</v>
      </c>
      <c r="C73" s="26">
        <v>-0.03</v>
      </c>
      <c r="D73" s="26">
        <v>0.01</v>
      </c>
      <c r="E73" s="26">
        <v>0.02</v>
      </c>
      <c r="F73" s="26">
        <v>2.5000000000000001E-2</v>
      </c>
      <c r="G73" s="26">
        <v>2.5000000000000001E-2</v>
      </c>
    </row>
    <row r="75" spans="2:7" ht="14" x14ac:dyDescent="0.3">
      <c r="B75" s="3" t="s">
        <v>91</v>
      </c>
    </row>
    <row r="76" spans="2:7" ht="14" x14ac:dyDescent="0.3">
      <c r="B76" s="4" t="s">
        <v>84</v>
      </c>
      <c r="C76" s="26">
        <v>0.52</v>
      </c>
      <c r="D76" s="26">
        <v>0.52</v>
      </c>
      <c r="E76" s="26">
        <v>0.52</v>
      </c>
      <c r="F76" s="26">
        <v>0.52</v>
      </c>
      <c r="G76" s="26">
        <v>0.52</v>
      </c>
    </row>
    <row r="77" spans="2:7" ht="14" x14ac:dyDescent="0.3">
      <c r="B77" s="4" t="s">
        <v>121</v>
      </c>
      <c r="C77" s="26">
        <v>0.51</v>
      </c>
      <c r="D77" s="26">
        <v>0.51</v>
      </c>
      <c r="E77" s="26">
        <v>0.51</v>
      </c>
      <c r="F77" s="26">
        <v>0.51</v>
      </c>
      <c r="G77" s="26">
        <v>0.51</v>
      </c>
    </row>
    <row r="78" spans="2:7" ht="14" x14ac:dyDescent="0.3">
      <c r="B78" s="4" t="s">
        <v>122</v>
      </c>
      <c r="C78" s="26">
        <v>0.52</v>
      </c>
      <c r="D78" s="26">
        <v>0.52</v>
      </c>
      <c r="E78" s="26">
        <v>0.52</v>
      </c>
      <c r="F78" s="26">
        <v>0.52</v>
      </c>
      <c r="G78" s="26">
        <v>0.52</v>
      </c>
    </row>
    <row r="79" spans="2:7" ht="14" x14ac:dyDescent="0.3">
      <c r="B79" s="4" t="s">
        <v>123</v>
      </c>
      <c r="C79" s="26">
        <v>0.53200000000000003</v>
      </c>
      <c r="D79" s="26">
        <v>0.53200000000000003</v>
      </c>
      <c r="E79" s="26">
        <v>0.53200000000000003</v>
      </c>
      <c r="F79" s="26">
        <v>0.53200000000000003</v>
      </c>
      <c r="G79" s="26">
        <v>0.53200000000000003</v>
      </c>
    </row>
    <row r="80" spans="2:7" ht="14" x14ac:dyDescent="0.3">
      <c r="B80" s="4" t="s">
        <v>124</v>
      </c>
      <c r="C80" s="26">
        <v>0.55000000000000004</v>
      </c>
      <c r="D80" s="26">
        <v>0.55000000000000004</v>
      </c>
      <c r="E80" s="26">
        <v>0.55000000000000004</v>
      </c>
      <c r="F80" s="26">
        <v>0.55000000000000004</v>
      </c>
      <c r="G80" s="26">
        <v>0.55000000000000004</v>
      </c>
    </row>
    <row r="82" spans="2:7" ht="14" x14ac:dyDescent="0.3">
      <c r="B82" s="3" t="s">
        <v>92</v>
      </c>
    </row>
    <row r="83" spans="2:7" ht="14" x14ac:dyDescent="0.3">
      <c r="B83" s="4" t="s">
        <v>84</v>
      </c>
      <c r="C83" s="26">
        <v>0.31459999999999999</v>
      </c>
      <c r="D83" s="26">
        <v>0.31459999999999999</v>
      </c>
      <c r="E83" s="26">
        <v>0.31459999999999999</v>
      </c>
      <c r="F83" s="26">
        <v>0.31459999999999999</v>
      </c>
      <c r="G83" s="26">
        <v>0.31459999999999999</v>
      </c>
    </row>
    <row r="84" spans="2:7" ht="14" x14ac:dyDescent="0.3">
      <c r="B84" s="4" t="s">
        <v>121</v>
      </c>
      <c r="C84" s="26">
        <v>0.32100000000000001</v>
      </c>
      <c r="D84" s="26">
        <v>0.3175</v>
      </c>
      <c r="E84" s="26">
        <v>0.3145</v>
      </c>
      <c r="F84" s="26">
        <v>0.3125</v>
      </c>
      <c r="G84" s="26">
        <v>0.311</v>
      </c>
    </row>
    <row r="85" spans="2:7" ht="14" x14ac:dyDescent="0.3">
      <c r="B85" s="4" t="s">
        <v>122</v>
      </c>
      <c r="C85" s="26">
        <v>0.31459999999999999</v>
      </c>
      <c r="D85" s="26">
        <v>0.31459999999999999</v>
      </c>
      <c r="E85" s="26">
        <v>0.31459999999999999</v>
      </c>
      <c r="F85" s="26">
        <v>0.31459999999999999</v>
      </c>
      <c r="G85" s="26">
        <v>0.31459999999999999</v>
      </c>
    </row>
    <row r="86" spans="2:7" ht="14" x14ac:dyDescent="0.3">
      <c r="B86" s="4" t="s">
        <v>123</v>
      </c>
      <c r="C86" s="26">
        <v>0.313</v>
      </c>
      <c r="D86" s="26">
        <v>0.32</v>
      </c>
      <c r="E86" s="26">
        <v>0.32600000000000001</v>
      </c>
      <c r="F86" s="26">
        <v>0.33</v>
      </c>
      <c r="G86" s="26">
        <v>0.33279999999999998</v>
      </c>
    </row>
    <row r="87" spans="2:7" ht="14" x14ac:dyDescent="0.3">
      <c r="B87" s="4" t="s">
        <v>124</v>
      </c>
      <c r="C87" s="26">
        <v>0.32500000000000001</v>
      </c>
      <c r="D87" s="26">
        <v>0.34</v>
      </c>
      <c r="E87" s="26">
        <v>0.34499999999999997</v>
      </c>
      <c r="F87" s="26">
        <v>0.34499999999999997</v>
      </c>
      <c r="G87" s="26">
        <v>0.34200000000000003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69100</v>
      </c>
    </row>
    <row r="7" spans="2:9" ht="14" x14ac:dyDescent="0.3">
      <c r="B7" s="4" t="s">
        <v>72</v>
      </c>
      <c r="C7" s="15">
        <f>'DCF Model'!C15</f>
        <v>306851024</v>
      </c>
    </row>
    <row r="8" spans="2:9" ht="14" x14ac:dyDescent="0.3">
      <c r="B8" s="4" t="s">
        <v>129</v>
      </c>
      <c r="C8" s="5">
        <f>C6*C7/1000000</f>
        <v>21203405.758400001</v>
      </c>
    </row>
    <row r="9" spans="2:9" ht="14" x14ac:dyDescent="0.3">
      <c r="B9" s="4" t="s">
        <v>73</v>
      </c>
      <c r="C9" s="5">
        <f>'DCF Model'!C16</f>
        <v>-379739</v>
      </c>
    </row>
    <row r="10" spans="2:9" ht="14" x14ac:dyDescent="0.3">
      <c r="B10" s="4" t="s">
        <v>130</v>
      </c>
      <c r="C10" s="5">
        <f>C8+C9</f>
        <v>20823666.758400001</v>
      </c>
    </row>
    <row r="11" spans="2:9" ht="14" x14ac:dyDescent="0.3">
      <c r="B11" s="4" t="s">
        <v>131</v>
      </c>
      <c r="C11" s="16">
        <f>'DCF Model'!C26</f>
        <v>0.1074495</v>
      </c>
    </row>
    <row r="12" spans="2:9" ht="14" x14ac:dyDescent="0.3">
      <c r="B12" s="4" t="s">
        <v>132</v>
      </c>
      <c r="C12" s="16">
        <f>'DCF Model'!C13</f>
        <v>0.01</v>
      </c>
    </row>
    <row r="13" spans="2:9" ht="14" x14ac:dyDescent="0.3">
      <c r="B13" s="4" t="s">
        <v>133</v>
      </c>
      <c r="C13" s="16">
        <f>'DCF Model'!C6</f>
        <v>0.25</v>
      </c>
    </row>
    <row r="14" spans="2:9" ht="14" x14ac:dyDescent="0.3">
      <c r="B14" s="4" t="s">
        <v>134</v>
      </c>
      <c r="C14" s="27">
        <v>562561</v>
      </c>
    </row>
    <row r="15" spans="2:9" ht="14" x14ac:dyDescent="0.3">
      <c r="B15" s="4" t="s">
        <v>135</v>
      </c>
      <c r="C15" s="27">
        <v>562561</v>
      </c>
    </row>
    <row r="16" spans="2:9" ht="14" x14ac:dyDescent="0.3">
      <c r="B16" s="4" t="s">
        <v>136</v>
      </c>
      <c r="C16" s="5">
        <f>'DCF Model'!G33</f>
        <v>4570531.9372930145</v>
      </c>
    </row>
    <row r="17" spans="2:9" ht="14" x14ac:dyDescent="0.3">
      <c r="B17" s="4" t="s">
        <v>137</v>
      </c>
      <c r="C17" s="5">
        <f>'DCF Model'!C53</f>
        <v>5463448.7409122232</v>
      </c>
    </row>
    <row r="18" spans="2:9" ht="14" x14ac:dyDescent="0.3">
      <c r="B18" s="4" t="s">
        <v>138</v>
      </c>
      <c r="C18" s="26">
        <v>0.16543289166805619</v>
      </c>
    </row>
    <row r="19" spans="2:9" ht="14" x14ac:dyDescent="0.3">
      <c r="B19" s="4" t="s">
        <v>139</v>
      </c>
      <c r="C19" s="5">
        <f>C10-C17</f>
        <v>15360218.017487777</v>
      </c>
    </row>
    <row r="20" spans="2:9" ht="14" x14ac:dyDescent="0.3">
      <c r="B20" s="4" t="s">
        <v>140</v>
      </c>
      <c r="C20" s="15">
        <f>IFERROR(ROUND(C19*1000000/C7,0),"N/A")</f>
        <v>50058</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2029255.9137727011</v>
      </c>
    </row>
    <row r="25" spans="2:9" ht="14" x14ac:dyDescent="0.3">
      <c r="B25" s="4" t="s">
        <v>144</v>
      </c>
      <c r="C25" s="5">
        <f>IFERROR(C24/(1-C13),"N/A")</f>
        <v>2705674.5516969347</v>
      </c>
    </row>
    <row r="26" spans="2:9" ht="13.5" x14ac:dyDescent="0.25">
      <c r="B26" s="6" t="s">
        <v>145</v>
      </c>
      <c r="C26" s="14">
        <f>IFERROR(C25/C15,"N/A")</f>
        <v>4.8095665211362588</v>
      </c>
    </row>
    <row r="27" spans="2:9" ht="13.5" x14ac:dyDescent="0.25">
      <c r="B27" s="6" t="s">
        <v>146</v>
      </c>
      <c r="C27" s="14">
        <f>IFERROR(C25/C14,"N/A")</f>
        <v>4.8095665211362588</v>
      </c>
    </row>
    <row r="28" spans="2:9" ht="13.5" x14ac:dyDescent="0.25">
      <c r="B28" s="6" t="s">
        <v>147</v>
      </c>
      <c r="C28" s="7">
        <f>IFERROR(C25/C16,"N/A")</f>
        <v>0.59198241885591607</v>
      </c>
    </row>
    <row r="29" spans="2:9" ht="13.5" x14ac:dyDescent="0.25">
      <c r="B29" s="6" t="s">
        <v>148</v>
      </c>
      <c r="C29" s="5">
        <f>IFERROR(C25/C18,"N/A")</f>
        <v>16355118.528218167</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8.7449499999999999E-2</v>
      </c>
      <c r="E36" s="29">
        <f>'DCF Model'!C26-0.01</f>
        <v>9.7449500000000008E-2</v>
      </c>
      <c r="F36" s="29">
        <f>'DCF Model'!C26</f>
        <v>0.1074495</v>
      </c>
      <c r="G36" s="29">
        <f>'DCF Model'!C26+0.01</f>
        <v>0.1174495</v>
      </c>
      <c r="H36" s="29">
        <f>'DCF Model'!C26+0.02</f>
        <v>0.12744949999999999</v>
      </c>
    </row>
    <row r="37" spans="2:9" ht="14" x14ac:dyDescent="0.3">
      <c r="B37" s="3" t="s">
        <v>154</v>
      </c>
    </row>
    <row r="38" spans="2:9" ht="14" x14ac:dyDescent="0.3">
      <c r="B38" s="4" t="s">
        <v>155</v>
      </c>
      <c r="C38" s="30">
        <v>3</v>
      </c>
      <c r="D38" s="13">
        <f t="shared" ref="D38:H41" si="0">IFERROR((1-(1+D$36)^(-$C38))/D$36-(1+D$36)/(D$36^2*$C38)*(1-($C38+1)/(1+D$36)^$C38+$C38/(1+D$36)^($C38+1)),"N/A")</f>
        <v>0.89493287806524191</v>
      </c>
      <c r="E38" s="13">
        <f t="shared" si="0"/>
        <v>0.88423314209581516</v>
      </c>
      <c r="F38" s="13">
        <f t="shared" si="0"/>
        <v>0.87377218594251227</v>
      </c>
      <c r="G38" s="13">
        <f t="shared" si="0"/>
        <v>0.86354238724767374</v>
      </c>
      <c r="H38" s="13">
        <f t="shared" si="0"/>
        <v>0.85353643669573032</v>
      </c>
    </row>
    <row r="39" spans="2:9" ht="14" x14ac:dyDescent="0.3">
      <c r="B39" s="4" t="s">
        <v>156</v>
      </c>
      <c r="C39" s="30">
        <v>5</v>
      </c>
      <c r="D39" s="13">
        <f t="shared" si="0"/>
        <v>1.6971167484820175</v>
      </c>
      <c r="E39" s="13">
        <f t="shared" si="0"/>
        <v>1.6676412719904854</v>
      </c>
      <c r="F39" s="13">
        <f t="shared" si="0"/>
        <v>1.6390656760946283</v>
      </c>
      <c r="G39" s="13">
        <f t="shared" si="0"/>
        <v>1.6113523595447168</v>
      </c>
      <c r="H39" s="13">
        <f t="shared" si="0"/>
        <v>1.5844656755603996</v>
      </c>
    </row>
    <row r="40" spans="2:9" ht="14" x14ac:dyDescent="0.3">
      <c r="B40" s="4" t="s">
        <v>157</v>
      </c>
      <c r="C40" s="30">
        <v>7</v>
      </c>
      <c r="D40" s="13">
        <f t="shared" si="0"/>
        <v>2.4173355889024744</v>
      </c>
      <c r="E40" s="13">
        <f t="shared" si="0"/>
        <v>2.3631184903956348</v>
      </c>
      <c r="F40" s="13">
        <f t="shared" si="0"/>
        <v>2.3109807109938045</v>
      </c>
      <c r="G40" s="13">
        <f t="shared" si="0"/>
        <v>2.2608156464433735</v>
      </c>
      <c r="H40" s="13">
        <f t="shared" si="0"/>
        <v>2.2125233585401292</v>
      </c>
    </row>
    <row r="41" spans="2:9" ht="14" x14ac:dyDescent="0.3">
      <c r="B41" s="4" t="s">
        <v>158</v>
      </c>
      <c r="C41" s="30">
        <v>10</v>
      </c>
      <c r="D41" s="13">
        <f t="shared" si="0"/>
        <v>3.3643254391957402</v>
      </c>
      <c r="E41" s="13">
        <f t="shared" si="0"/>
        <v>3.265409885696537</v>
      </c>
      <c r="F41" s="13">
        <f t="shared" si="0"/>
        <v>3.1713783189379186</v>
      </c>
      <c r="G41" s="13">
        <f t="shared" si="0"/>
        <v>3.0819142547582494</v>
      </c>
      <c r="H41" s="13">
        <f t="shared" si="0"/>
        <v>2.9967257992337202</v>
      </c>
    </row>
    <row r="42" spans="2:9" ht="14" x14ac:dyDescent="0.3">
      <c r="B42" s="3" t="s">
        <v>159</v>
      </c>
    </row>
    <row r="43" spans="2:9" ht="14" x14ac:dyDescent="0.3">
      <c r="B43" s="4" t="s">
        <v>155</v>
      </c>
      <c r="C43" s="30">
        <v>3</v>
      </c>
      <c r="D43" s="13">
        <f t="shared" ref="D43:H46" si="1">IFERROR((1+D$36)/(D$36^2*$C43)*(1-($C43+1)/(1+D$36)^$C43+$C43/(1+D$36)^($C43+1))+(1+$C$12)/((D$36-$C$12)*(1+D$36)^$C43),"N/A")</f>
        <v>11.788788036616079</v>
      </c>
      <c r="E43" s="13">
        <f t="shared" si="1"/>
        <v>10.351794992169332</v>
      </c>
      <c r="F43" s="13">
        <f t="shared" si="1"/>
        <v>9.2116217004786893</v>
      </c>
      <c r="G43" s="13">
        <f t="shared" si="1"/>
        <v>8.285338516324062</v>
      </c>
      <c r="H43" s="13">
        <f t="shared" si="1"/>
        <v>7.5182615170006208</v>
      </c>
    </row>
    <row r="44" spans="2:9" ht="14" x14ac:dyDescent="0.3">
      <c r="B44" s="4" t="s">
        <v>156</v>
      </c>
      <c r="C44" s="30">
        <v>5</v>
      </c>
      <c r="D44" s="13">
        <f t="shared" si="1"/>
        <v>10.793868997776112</v>
      </c>
      <c r="E44" s="13">
        <f t="shared" si="1"/>
        <v>9.4030399829822908</v>
      </c>
      <c r="F44" s="13">
        <f t="shared" si="1"/>
        <v>8.3025537202919768</v>
      </c>
      <c r="G44" s="13">
        <f t="shared" si="1"/>
        <v>7.4111431052793852</v>
      </c>
      <c r="H44" s="13">
        <f t="shared" si="1"/>
        <v>6.6752286433244556</v>
      </c>
    </row>
    <row r="45" spans="2:9" ht="14" x14ac:dyDescent="0.3">
      <c r="B45" s="4" t="s">
        <v>157</v>
      </c>
      <c r="C45" s="30">
        <v>7</v>
      </c>
      <c r="D45" s="13">
        <f t="shared" si="1"/>
        <v>9.9106669831053615</v>
      </c>
      <c r="E45" s="13">
        <f t="shared" si="1"/>
        <v>8.5702765555804596</v>
      </c>
      <c r="F45" s="13">
        <f t="shared" si="1"/>
        <v>7.513409978885722</v>
      </c>
      <c r="G45" s="13">
        <f t="shared" si="1"/>
        <v>6.6604656690461033</v>
      </c>
      <c r="H45" s="13">
        <f t="shared" si="1"/>
        <v>5.9589797104801576</v>
      </c>
    </row>
    <row r="46" spans="2:9" ht="14" x14ac:dyDescent="0.3">
      <c r="B46" s="4" t="s">
        <v>158</v>
      </c>
      <c r="C46" s="30">
        <v>10</v>
      </c>
      <c r="D46" s="13">
        <f t="shared" si="1"/>
        <v>8.7651377303469271</v>
      </c>
      <c r="E46" s="13">
        <f t="shared" si="1"/>
        <v>7.5044773757013949</v>
      </c>
      <c r="F46" s="13">
        <f t="shared" si="1"/>
        <v>6.5164733526260399</v>
      </c>
      <c r="G46" s="13">
        <f t="shared" si="1"/>
        <v>5.7240543986689225</v>
      </c>
      <c r="H46" s="13">
        <f t="shared" si="1"/>
        <v>5.0764726432879073</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2312488.3229479133</v>
      </c>
      <c r="E48" s="5">
        <f t="shared" si="2"/>
        <v>2634079.785310281</v>
      </c>
      <c r="F48" s="5">
        <f t="shared" si="2"/>
        <v>2960753.2466391572</v>
      </c>
      <c r="G48" s="5">
        <f t="shared" si="2"/>
        <v>3292453.7348161866</v>
      </c>
      <c r="H48" s="5">
        <f t="shared" si="2"/>
        <v>3629126.57908196</v>
      </c>
    </row>
    <row r="49" spans="2:9" ht="14" x14ac:dyDescent="0.3">
      <c r="B49" s="4" t="s">
        <v>156</v>
      </c>
      <c r="C49" s="30">
        <v>5</v>
      </c>
      <c r="D49" s="5">
        <f t="shared" si="2"/>
        <v>2483832.0088543757</v>
      </c>
      <c r="E49" s="5">
        <f t="shared" si="2"/>
        <v>2852985.7490916811</v>
      </c>
      <c r="F49" s="5">
        <f t="shared" si="2"/>
        <v>3233079.3018279378</v>
      </c>
      <c r="G49" s="5">
        <f t="shared" si="2"/>
        <v>3624056.995651504</v>
      </c>
      <c r="H49" s="5">
        <f t="shared" si="2"/>
        <v>4025859.1656131311</v>
      </c>
    </row>
    <row r="50" spans="2:9" ht="14" x14ac:dyDescent="0.3">
      <c r="B50" s="4" t="s">
        <v>157</v>
      </c>
      <c r="C50" s="30">
        <v>7</v>
      </c>
      <c r="D50" s="5">
        <f t="shared" si="2"/>
        <v>2664300.0244064117</v>
      </c>
      <c r="E50" s="5">
        <f t="shared" si="2"/>
        <v>3084555.1527635716</v>
      </c>
      <c r="F50" s="5">
        <f t="shared" si="2"/>
        <v>3522344.9094105586</v>
      </c>
      <c r="G50" s="5">
        <f t="shared" si="2"/>
        <v>3977656.1605061833</v>
      </c>
      <c r="H50" s="5">
        <f t="shared" si="2"/>
        <v>4450461.4794131229</v>
      </c>
    </row>
    <row r="51" spans="2:9" ht="14" x14ac:dyDescent="0.3">
      <c r="B51" s="4" t="s">
        <v>158</v>
      </c>
      <c r="C51" s="30">
        <v>10</v>
      </c>
      <c r="D51" s="5">
        <f t="shared" si="2"/>
        <v>2951722.0976716555</v>
      </c>
      <c r="E51" s="5">
        <f t="shared" si="2"/>
        <v>3454990.3294324153</v>
      </c>
      <c r="F51" s="5">
        <f t="shared" si="2"/>
        <v>3986941.0717762085</v>
      </c>
      <c r="G51" s="5">
        <f t="shared" si="2"/>
        <v>4547672.4071983397</v>
      </c>
      <c r="H51" s="5">
        <f t="shared" si="2"/>
        <v>5137237.956623069</v>
      </c>
    </row>
    <row r="52" spans="2:9" ht="14" x14ac:dyDescent="0.3">
      <c r="B52" s="22" t="s">
        <v>161</v>
      </c>
      <c r="C52" s="23"/>
      <c r="D52" s="23"/>
      <c r="E52" s="23"/>
      <c r="F52" s="23"/>
      <c r="G52" s="23"/>
      <c r="H52" s="23"/>
      <c r="I52" s="23"/>
    </row>
    <row r="53" spans="2:9" ht="14" x14ac:dyDescent="0.3">
      <c r="B53" s="4" t="s">
        <v>155</v>
      </c>
      <c r="C53" s="30">
        <v>3</v>
      </c>
      <c r="D53" s="14">
        <f t="shared" ref="D53:H56" si="3">IFERROR(D48/$C$15,"N/A")</f>
        <v>4.1106445753401202</v>
      </c>
      <c r="E53" s="14">
        <f t="shared" si="3"/>
        <v>4.6823007377160542</v>
      </c>
      <c r="F53" s="14">
        <f t="shared" si="3"/>
        <v>5.2629905852683656</v>
      </c>
      <c r="G53" s="14">
        <f t="shared" si="3"/>
        <v>5.852616400383579</v>
      </c>
      <c r="H53" s="14">
        <f t="shared" si="3"/>
        <v>6.4510810011393609</v>
      </c>
    </row>
    <row r="54" spans="2:9" ht="14" x14ac:dyDescent="0.3">
      <c r="B54" s="4" t="s">
        <v>156</v>
      </c>
      <c r="C54" s="30">
        <v>5</v>
      </c>
      <c r="D54" s="14">
        <f t="shared" si="3"/>
        <v>4.415222542718702</v>
      </c>
      <c r="E54" s="14">
        <f t="shared" si="3"/>
        <v>5.0714246972180455</v>
      </c>
      <c r="F54" s="14">
        <f t="shared" si="3"/>
        <v>5.7470732984119728</v>
      </c>
      <c r="G54" s="14">
        <f t="shared" si="3"/>
        <v>6.4420693856337428</v>
      </c>
      <c r="H54" s="14">
        <f t="shared" si="3"/>
        <v>7.1563068993640355</v>
      </c>
    </row>
    <row r="55" spans="2:9" ht="14" x14ac:dyDescent="0.3">
      <c r="B55" s="4" t="s">
        <v>157</v>
      </c>
      <c r="C55" s="30">
        <v>7</v>
      </c>
      <c r="D55" s="14">
        <f t="shared" si="3"/>
        <v>4.7360197816884062</v>
      </c>
      <c r="E55" s="14">
        <f t="shared" si="3"/>
        <v>5.4830589976261628</v>
      </c>
      <c r="F55" s="14">
        <f t="shared" si="3"/>
        <v>6.2612675059425706</v>
      </c>
      <c r="G55" s="14">
        <f t="shared" si="3"/>
        <v>7.0706219601184284</v>
      </c>
      <c r="H55" s="14">
        <f t="shared" si="3"/>
        <v>7.9110736069743952</v>
      </c>
    </row>
    <row r="56" spans="2:9" ht="14" x14ac:dyDescent="0.3">
      <c r="B56" s="4" t="s">
        <v>158</v>
      </c>
      <c r="C56" s="30">
        <v>10</v>
      </c>
      <c r="D56" s="14">
        <f t="shared" si="3"/>
        <v>5.2469369502536711</v>
      </c>
      <c r="E56" s="14">
        <f t="shared" si="3"/>
        <v>6.1415390143156303</v>
      </c>
      <c r="F56" s="14">
        <f t="shared" si="3"/>
        <v>7.0871266791978265</v>
      </c>
      <c r="G56" s="14">
        <f t="shared" si="3"/>
        <v>8.0838742948735156</v>
      </c>
      <c r="H56" s="14">
        <f t="shared" si="3"/>
        <v>9.1318771770938074</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3233079.3018279378</v>
      </c>
    </row>
    <row r="62" spans="2:9" ht="14" x14ac:dyDescent="0.3">
      <c r="B62" s="28" t="s">
        <v>165</v>
      </c>
      <c r="C62" s="28" t="s">
        <v>166</v>
      </c>
      <c r="D62" s="28" t="s">
        <v>167</v>
      </c>
    </row>
    <row r="63" spans="2:9" ht="14" x14ac:dyDescent="0.3">
      <c r="B63" s="31">
        <v>8.2699999999999996E-2</v>
      </c>
      <c r="C63" s="5">
        <f>IFERROR($C$60/B63,"N/A")</f>
        <v>39094066.527544595</v>
      </c>
      <c r="D63" s="14">
        <f>IFERROR(C63/'DCF Model'!C17,"N/A")</f>
        <v>11.496432338386532</v>
      </c>
    </row>
    <row r="64" spans="2:9" ht="14" x14ac:dyDescent="0.3">
      <c r="B64" s="31">
        <v>0.1241</v>
      </c>
      <c r="C64" s="5">
        <f>IFERROR($C$60/B64,"N/A")</f>
        <v>26052210.328992248</v>
      </c>
      <c r="D64" s="14">
        <f>IFERROR(C64/'DCF Model'!C17,"N/A")</f>
        <v>7.6612002770714431</v>
      </c>
    </row>
    <row r="65" spans="2:9" ht="14" x14ac:dyDescent="0.3">
      <c r="B65" s="4" t="s">
        <v>168</v>
      </c>
      <c r="C65" s="5">
        <f>IFERROR($C$60/$C$18,"N/A")</f>
        <v>19543146.887108546</v>
      </c>
      <c r="D65" s="14">
        <f>IFERROR(C65/'DCF Model'!C17,"N/A")</f>
        <v>5.747073298411971</v>
      </c>
    </row>
    <row r="66" spans="2:9" ht="14" x14ac:dyDescent="0.3">
      <c r="B66" s="31">
        <v>0.20680000000000001</v>
      </c>
      <c r="C66" s="5">
        <f>IFERROR($C$60/B66,"N/A")</f>
        <v>15633845.753520008</v>
      </c>
      <c r="D66" s="14">
        <f>IFERROR(C66/'DCF Model'!C17,"N/A")</f>
        <v>4.59746109470293</v>
      </c>
    </row>
    <row r="67" spans="2:9" ht="14" x14ac:dyDescent="0.3">
      <c r="B67" s="31">
        <v>0.24809999999999999</v>
      </c>
      <c r="C67" s="5">
        <f>IFERROR($C$60/B67,"N/A")</f>
        <v>13031355.509181531</v>
      </c>
      <c r="D67" s="14">
        <f>IFERROR(C67/'DCF Model'!C17,"N/A")</f>
        <v>3.8321441127955103</v>
      </c>
    </row>
    <row r="69" spans="2:9" ht="14" x14ac:dyDescent="0.3">
      <c r="B69" s="8" t="s">
        <v>169</v>
      </c>
      <c r="C69" s="9"/>
      <c r="D69" s="9"/>
      <c r="E69" s="9"/>
      <c r="F69" s="9"/>
      <c r="G69" s="9"/>
      <c r="H69" s="9"/>
      <c r="I69" s="9"/>
    </row>
    <row r="70" spans="2:9" ht="13.5" x14ac:dyDescent="0.25">
      <c r="B70" s="6" t="s">
        <v>170</v>
      </c>
      <c r="C70" s="14">
        <f>IFERROR(C10/'Comps Analysis'!G5,"N/A")</f>
        <v>26.729460971718229</v>
      </c>
    </row>
    <row r="71" spans="2:9" ht="13.5" x14ac:dyDescent="0.25">
      <c r="B71" s="6" t="s">
        <v>171</v>
      </c>
      <c r="C71" s="14">
        <f>IFERROR(C10/'Comps Analysis'!F5,"N/A")</f>
        <v>6.1236370935313493</v>
      </c>
    </row>
    <row r="72" spans="2:9" ht="14" x14ac:dyDescent="0.3">
      <c r="B72" s="4" t="s">
        <v>172</v>
      </c>
      <c r="C72" s="14">
        <f>IFERROR(C10/(C25+'DCF Model'!G42),"N/A")</f>
        <v>6.9485937006166605</v>
      </c>
    </row>
    <row r="73" spans="2:9" ht="14" x14ac:dyDescent="0.3">
      <c r="B73" s="4" t="s">
        <v>173</v>
      </c>
      <c r="C73" s="14">
        <f>IFERROR(C10/(C60+'DCF Model'!G42),"N/A")</f>
        <v>5.9087269922261072</v>
      </c>
    </row>
    <row r="74" spans="2:9" ht="14" x14ac:dyDescent="0.3">
      <c r="B74" s="4" t="s">
        <v>174</v>
      </c>
      <c r="C74" s="14">
        <f>IFERROR('Comps Analysis'!D16,"N/A")</f>
        <v>10.515165155509829</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69,100 yen the market is paying for a steady-state operating profit of 3,233,079 mn JPY - 5.75x the FY2025 cycle peak of 562,561 mn - reached in 5 years and sustained for ever, against 562,561 mn actually earned in FY2025.</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2,705,675 mn, or 4.81x the peak. The base case supports an EV of only 5,463,449 mn, leaving 50,058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10.347934548023122</v>
      </c>
      <c r="D5" s="34">
        <f>CHOOSE('DCF Model'!$D$27,D25,D26,D27,D28,D29)</f>
        <v>10</v>
      </c>
      <c r="E5" s="34">
        <f>CHOOSE('DCF Model'!$D$27,E25,E26,E27,E28,E29)</f>
        <v>10</v>
      </c>
      <c r="F5" s="34">
        <f>CHOOSE('DCF Model'!$D$27,F25,F26,F27,F28,F29)</f>
        <v>10</v>
      </c>
      <c r="G5" s="34">
        <f>CHOOSE('DCF Model'!$D$27,G25,G26,G27,G28,G29)</f>
        <v>10</v>
      </c>
      <c r="H5" s="34">
        <f>CHOOSE('DCF Model'!$D$27,H25,H26,H27,H28,H29)</f>
        <v>10</v>
      </c>
    </row>
    <row r="6" spans="2:8" ht="14" x14ac:dyDescent="0.3">
      <c r="B6" s="33" t="s">
        <v>181</v>
      </c>
      <c r="C6" s="34">
        <f>C13/C10*365</f>
        <v>118.6625466618226</v>
      </c>
      <c r="D6" s="34">
        <f>CHOOSE('DCF Model'!$D$27,D32,D33,D34,D35,D36)</f>
        <v>131</v>
      </c>
      <c r="E6" s="34">
        <f>CHOOSE('DCF Model'!$D$27,E32,E33,E34,E35,E36)</f>
        <v>131</v>
      </c>
      <c r="F6" s="34">
        <f>CHOOSE('DCF Model'!$D$27,F32,F33,F34,F35,F36)</f>
        <v>131</v>
      </c>
      <c r="G6" s="34">
        <f>CHOOSE('DCF Model'!$D$27,G32,G33,G34,G35,G36)</f>
        <v>131</v>
      </c>
      <c r="H6" s="34">
        <f>CHOOSE('DCF Model'!$D$27,H32,H33,H34,H35,H36)</f>
        <v>131</v>
      </c>
    </row>
    <row r="7" spans="2:8" ht="14" x14ac:dyDescent="0.3">
      <c r="B7" s="33" t="s">
        <v>182</v>
      </c>
      <c r="C7" s="34">
        <f>C15/C10*365</f>
        <v>90.606417587283929</v>
      </c>
      <c r="D7" s="34">
        <f>CHOOSE('DCF Model'!$D$27,D39,D40,D41,D42,D43)</f>
        <v>100</v>
      </c>
      <c r="E7" s="34">
        <f>CHOOSE('DCF Model'!$D$27,E39,E40,E41,E42,E43)</f>
        <v>100</v>
      </c>
      <c r="F7" s="34">
        <f>CHOOSE('DCF Model'!$D$27,F39,F40,F41,F42,F43)</f>
        <v>100</v>
      </c>
      <c r="G7" s="34">
        <f>CHOOSE('DCF Model'!$D$27,G39,G40,G41,G42,G43)</f>
        <v>100</v>
      </c>
      <c r="H7" s="34">
        <f>CHOOSE('DCF Model'!$D$27,H39,H40,H41,H42,H43)</f>
        <v>100</v>
      </c>
    </row>
    <row r="8" spans="2:8" ht="14" x14ac:dyDescent="0.3">
      <c r="B8" s="8" t="s">
        <v>183</v>
      </c>
      <c r="C8" s="9"/>
      <c r="D8" s="9"/>
      <c r="E8" s="9"/>
      <c r="F8" s="9"/>
      <c r="G8" s="9"/>
      <c r="H8" s="9"/>
    </row>
    <row r="9" spans="2:8" ht="14" x14ac:dyDescent="0.3">
      <c r="B9" s="33" t="s">
        <v>37</v>
      </c>
      <c r="C9" s="35">
        <v>3400539</v>
      </c>
      <c r="D9" s="35">
        <f>'DCF Model'!C33</f>
        <v>3672582.12</v>
      </c>
      <c r="E9" s="35">
        <f>'DCF Model'!D33</f>
        <v>3929662.8684000005</v>
      </c>
      <c r="F9" s="35">
        <f>'DCF Model'!E33</f>
        <v>4165442.6405040007</v>
      </c>
      <c r="G9" s="35">
        <f>'DCF Model'!F33</f>
        <v>4373714.7725292007</v>
      </c>
      <c r="H9" s="35">
        <f>'DCF Model'!G33</f>
        <v>4570531.9372930145</v>
      </c>
    </row>
    <row r="10" spans="2:8" ht="14" x14ac:dyDescent="0.3">
      <c r="B10" s="33" t="s">
        <v>38</v>
      </c>
      <c r="C10" s="35">
        <v>1571681</v>
      </c>
      <c r="D10" s="35">
        <f>'DCF Model'!C34</f>
        <v>1909742.7024000001</v>
      </c>
      <c r="E10" s="35">
        <f>'DCF Model'!D34</f>
        <v>2043424.6915680002</v>
      </c>
      <c r="F10" s="35">
        <f>'DCF Model'!E34</f>
        <v>2166030.1730620805</v>
      </c>
      <c r="G10" s="35">
        <f>'DCF Model'!F34</f>
        <v>2274331.6817151844</v>
      </c>
      <c r="H10" s="35">
        <f>'DCF Model'!G34</f>
        <v>2376676.6073923674</v>
      </c>
    </row>
    <row r="11" spans="2:8" ht="14" x14ac:dyDescent="0.3">
      <c r="B11" s="8" t="s">
        <v>184</v>
      </c>
      <c r="C11" s="9"/>
      <c r="D11" s="9"/>
      <c r="E11" s="9"/>
      <c r="F11" s="9"/>
      <c r="G11" s="9"/>
      <c r="H11" s="9"/>
    </row>
    <row r="12" spans="2:8" ht="14" x14ac:dyDescent="0.3">
      <c r="B12" s="33" t="s">
        <v>185</v>
      </c>
      <c r="C12" s="35">
        <v>96407</v>
      </c>
      <c r="D12" s="35">
        <f t="shared" ref="D12:H13" si="0">D9*D5/365</f>
        <v>100618.68821917809</v>
      </c>
      <c r="E12" s="35">
        <f t="shared" si="0"/>
        <v>107661.99639452057</v>
      </c>
      <c r="F12" s="35">
        <f t="shared" si="0"/>
        <v>114121.71617819181</v>
      </c>
      <c r="G12" s="35">
        <f t="shared" si="0"/>
        <v>119827.80198710138</v>
      </c>
      <c r="H12" s="35">
        <f t="shared" si="0"/>
        <v>125220.05307652096</v>
      </c>
    </row>
    <row r="13" spans="2:8" ht="14" x14ac:dyDescent="0.3">
      <c r="B13" s="33" t="s">
        <v>186</v>
      </c>
      <c r="C13" s="35">
        <v>510958</v>
      </c>
      <c r="D13" s="35">
        <f t="shared" si="0"/>
        <v>685414.50414904114</v>
      </c>
      <c r="E13" s="35">
        <f t="shared" si="0"/>
        <v>733393.51943947398</v>
      </c>
      <c r="F13" s="35">
        <f t="shared" si="0"/>
        <v>777397.13060584269</v>
      </c>
      <c r="G13" s="35">
        <f t="shared" si="0"/>
        <v>816266.98713613476</v>
      </c>
      <c r="H13" s="35">
        <f t="shared" si="0"/>
        <v>852999.00155726064</v>
      </c>
    </row>
    <row r="14" spans="2:8" ht="14" x14ac:dyDescent="0.3">
      <c r="B14" s="33" t="s">
        <v>187</v>
      </c>
      <c r="C14" s="35">
        <f t="shared" ref="C14:H14" si="1">C12+C13</f>
        <v>607365</v>
      </c>
      <c r="D14" s="35">
        <f t="shared" si="1"/>
        <v>786033.19236821926</v>
      </c>
      <c r="E14" s="35">
        <f t="shared" si="1"/>
        <v>841055.51583399461</v>
      </c>
      <c r="F14" s="35">
        <f t="shared" si="1"/>
        <v>891518.84678403451</v>
      </c>
      <c r="G14" s="35">
        <f t="shared" si="1"/>
        <v>936094.7891232362</v>
      </c>
      <c r="H14" s="35">
        <f t="shared" si="1"/>
        <v>978219.05463378155</v>
      </c>
    </row>
    <row r="15" spans="2:8" ht="14" x14ac:dyDescent="0.3">
      <c r="B15" s="33" t="s">
        <v>188</v>
      </c>
      <c r="C15" s="35">
        <v>390149</v>
      </c>
      <c r="D15" s="35">
        <f>D10*D7/365</f>
        <v>523217.17873972608</v>
      </c>
      <c r="E15" s="35">
        <f>E10*E7/365</f>
        <v>559842.38125150697</v>
      </c>
      <c r="F15" s="35">
        <f>F10*F7/365</f>
        <v>593432.92412659735</v>
      </c>
      <c r="G15" s="35">
        <f>G10*G7/365</f>
        <v>623104.57033292728</v>
      </c>
      <c r="H15" s="35">
        <f>H10*H7/365</f>
        <v>651144.2759979089</v>
      </c>
    </row>
    <row r="16" spans="2:8" ht="14" x14ac:dyDescent="0.3">
      <c r="B16" s="33" t="s">
        <v>189</v>
      </c>
      <c r="C16" s="35">
        <f t="shared" ref="C16:H16" si="2">C15</f>
        <v>390149</v>
      </c>
      <c r="D16" s="35">
        <f t="shared" si="2"/>
        <v>523217.17873972608</v>
      </c>
      <c r="E16" s="35">
        <f t="shared" si="2"/>
        <v>559842.38125150697</v>
      </c>
      <c r="F16" s="35">
        <f t="shared" si="2"/>
        <v>593432.92412659735</v>
      </c>
      <c r="G16" s="35">
        <f t="shared" si="2"/>
        <v>623104.57033292728</v>
      </c>
      <c r="H16" s="35">
        <f t="shared" si="2"/>
        <v>651144.2759979089</v>
      </c>
    </row>
    <row r="17" spans="2:8" ht="14" x14ac:dyDescent="0.3">
      <c r="B17" s="22" t="s">
        <v>190</v>
      </c>
      <c r="C17" s="23"/>
      <c r="D17" s="23"/>
      <c r="E17" s="23"/>
      <c r="F17" s="23"/>
      <c r="G17" s="23"/>
      <c r="H17" s="23"/>
    </row>
    <row r="18" spans="2:8" ht="14" x14ac:dyDescent="0.3">
      <c r="B18" s="33" t="s">
        <v>191</v>
      </c>
      <c r="C18" s="20">
        <f t="shared" ref="C18:H18" si="3">C14-C16</f>
        <v>217216</v>
      </c>
      <c r="D18" s="20">
        <f t="shared" si="3"/>
        <v>262816.01362849318</v>
      </c>
      <c r="E18" s="20">
        <f t="shared" si="3"/>
        <v>281213.13458248763</v>
      </c>
      <c r="F18" s="20">
        <f t="shared" si="3"/>
        <v>298085.92265743716</v>
      </c>
      <c r="G18" s="20">
        <f t="shared" si="3"/>
        <v>312990.21879030892</v>
      </c>
      <c r="H18" s="20">
        <f t="shared" si="3"/>
        <v>327074.77863587264</v>
      </c>
    </row>
    <row r="19" spans="2:8" ht="14" x14ac:dyDescent="0.3">
      <c r="B19" s="33" t="s">
        <v>100</v>
      </c>
      <c r="C19" s="36" t="s">
        <v>47</v>
      </c>
      <c r="D19" s="24">
        <f>D18-C18</f>
        <v>45600.01362849318</v>
      </c>
      <c r="E19" s="24">
        <f>E18-D18</f>
        <v>18397.120953994454</v>
      </c>
      <c r="F19" s="24">
        <f>F18-E18</f>
        <v>16872.788074949523</v>
      </c>
      <c r="G19" s="24">
        <f>G18-F18</f>
        <v>14904.296132871765</v>
      </c>
      <c r="H19" s="24">
        <f>H18-G18</f>
        <v>14084.559845563723</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10</v>
      </c>
      <c r="E25" s="30">
        <v>10</v>
      </c>
      <c r="F25" s="30">
        <v>10</v>
      </c>
      <c r="G25" s="30">
        <v>10</v>
      </c>
      <c r="H25" s="30">
        <v>10</v>
      </c>
    </row>
    <row r="26" spans="2:8" ht="14" x14ac:dyDescent="0.3">
      <c r="B26" s="4" t="s">
        <v>121</v>
      </c>
      <c r="D26" s="30">
        <v>7</v>
      </c>
      <c r="E26" s="30">
        <v>7</v>
      </c>
      <c r="F26" s="30">
        <v>7</v>
      </c>
      <c r="G26" s="30">
        <v>7</v>
      </c>
      <c r="H26" s="30">
        <v>7</v>
      </c>
    </row>
    <row r="27" spans="2:8" ht="14" x14ac:dyDescent="0.3">
      <c r="B27" s="4" t="s">
        <v>122</v>
      </c>
      <c r="D27" s="30">
        <v>10</v>
      </c>
      <c r="E27" s="30">
        <v>10</v>
      </c>
      <c r="F27" s="30">
        <v>10</v>
      </c>
      <c r="G27" s="30">
        <v>10</v>
      </c>
      <c r="H27" s="30">
        <v>10</v>
      </c>
    </row>
    <row r="28" spans="2:8" ht="14" x14ac:dyDescent="0.3">
      <c r="B28" s="4" t="s">
        <v>123</v>
      </c>
      <c r="D28" s="30">
        <v>14</v>
      </c>
      <c r="E28" s="30">
        <v>14</v>
      </c>
      <c r="F28" s="30">
        <v>14</v>
      </c>
      <c r="G28" s="30">
        <v>14</v>
      </c>
      <c r="H28" s="30">
        <v>14</v>
      </c>
    </row>
    <row r="29" spans="2:8" ht="14" x14ac:dyDescent="0.3">
      <c r="B29" s="4" t="s">
        <v>124</v>
      </c>
      <c r="D29" s="30">
        <v>18</v>
      </c>
      <c r="E29" s="30">
        <v>18</v>
      </c>
      <c r="F29" s="30">
        <v>18</v>
      </c>
      <c r="G29" s="30">
        <v>18</v>
      </c>
      <c r="H29" s="30">
        <v>18</v>
      </c>
    </row>
    <row r="31" spans="2:8" ht="14" x14ac:dyDescent="0.3">
      <c r="B31" s="3" t="s">
        <v>194</v>
      </c>
    </row>
    <row r="32" spans="2:8" ht="14" x14ac:dyDescent="0.3">
      <c r="B32" s="4" t="s">
        <v>84</v>
      </c>
      <c r="D32" s="30">
        <v>131</v>
      </c>
      <c r="E32" s="30">
        <v>131</v>
      </c>
      <c r="F32" s="30">
        <v>131</v>
      </c>
      <c r="G32" s="30">
        <v>131</v>
      </c>
      <c r="H32" s="30">
        <v>131</v>
      </c>
    </row>
    <row r="33" spans="2:8" ht="14" x14ac:dyDescent="0.3">
      <c r="B33" s="4" t="s">
        <v>121</v>
      </c>
      <c r="D33" s="30">
        <v>125</v>
      </c>
      <c r="E33" s="30">
        <v>125</v>
      </c>
      <c r="F33" s="30">
        <v>125</v>
      </c>
      <c r="G33" s="30">
        <v>125</v>
      </c>
      <c r="H33" s="30">
        <v>125</v>
      </c>
    </row>
    <row r="34" spans="2:8" ht="14" x14ac:dyDescent="0.3">
      <c r="B34" s="4" t="s">
        <v>122</v>
      </c>
      <c r="D34" s="30">
        <v>131</v>
      </c>
      <c r="E34" s="30">
        <v>131</v>
      </c>
      <c r="F34" s="30">
        <v>131</v>
      </c>
      <c r="G34" s="30">
        <v>131</v>
      </c>
      <c r="H34" s="30">
        <v>131</v>
      </c>
    </row>
    <row r="35" spans="2:8" ht="14" x14ac:dyDescent="0.3">
      <c r="B35" s="4" t="s">
        <v>123</v>
      </c>
      <c r="D35" s="30">
        <v>138</v>
      </c>
      <c r="E35" s="30">
        <v>138</v>
      </c>
      <c r="F35" s="30">
        <v>138</v>
      </c>
      <c r="G35" s="30">
        <v>138</v>
      </c>
      <c r="H35" s="30">
        <v>138</v>
      </c>
    </row>
    <row r="36" spans="2:8" ht="14" x14ac:dyDescent="0.3">
      <c r="B36" s="4" t="s">
        <v>124</v>
      </c>
      <c r="D36" s="30">
        <v>145</v>
      </c>
      <c r="E36" s="30">
        <v>145</v>
      </c>
      <c r="F36" s="30">
        <v>145</v>
      </c>
      <c r="G36" s="30">
        <v>145</v>
      </c>
      <c r="H36" s="30">
        <v>145</v>
      </c>
    </row>
    <row r="38" spans="2:8" ht="14" x14ac:dyDescent="0.3">
      <c r="B38" s="3" t="s">
        <v>195</v>
      </c>
    </row>
    <row r="39" spans="2:8" ht="14" x14ac:dyDescent="0.3">
      <c r="B39" s="4" t="s">
        <v>84</v>
      </c>
      <c r="D39" s="30">
        <v>100</v>
      </c>
      <c r="E39" s="30">
        <v>100</v>
      </c>
      <c r="F39" s="30">
        <v>100</v>
      </c>
      <c r="G39" s="30">
        <v>100</v>
      </c>
      <c r="H39" s="30">
        <v>100</v>
      </c>
    </row>
    <row r="40" spans="2:8" ht="14" x14ac:dyDescent="0.3">
      <c r="B40" s="4" t="s">
        <v>121</v>
      </c>
      <c r="D40" s="30">
        <v>102</v>
      </c>
      <c r="E40" s="30">
        <v>102</v>
      </c>
      <c r="F40" s="30">
        <v>102</v>
      </c>
      <c r="G40" s="30">
        <v>102</v>
      </c>
      <c r="H40" s="30">
        <v>102</v>
      </c>
    </row>
    <row r="41" spans="2:8" ht="14" x14ac:dyDescent="0.3">
      <c r="B41" s="4" t="s">
        <v>122</v>
      </c>
      <c r="D41" s="30">
        <v>100</v>
      </c>
      <c r="E41" s="30">
        <v>100</v>
      </c>
      <c r="F41" s="30">
        <v>100</v>
      </c>
      <c r="G41" s="30">
        <v>100</v>
      </c>
      <c r="H41" s="30">
        <v>100</v>
      </c>
    </row>
    <row r="42" spans="2:8" ht="14" x14ac:dyDescent="0.3">
      <c r="B42" s="4" t="s">
        <v>123</v>
      </c>
      <c r="D42" s="30">
        <v>97</v>
      </c>
      <c r="E42" s="30">
        <v>97</v>
      </c>
      <c r="F42" s="30">
        <v>97</v>
      </c>
      <c r="G42" s="30">
        <v>97</v>
      </c>
      <c r="H42" s="30">
        <v>97</v>
      </c>
    </row>
    <row r="43" spans="2:8" ht="14" x14ac:dyDescent="0.3">
      <c r="B43" s="4" t="s">
        <v>124</v>
      </c>
      <c r="D43" s="30">
        <v>94</v>
      </c>
      <c r="E43" s="30">
        <v>94</v>
      </c>
      <c r="F43" s="30">
        <v>94</v>
      </c>
      <c r="G43" s="30">
        <v>94</v>
      </c>
      <c r="H43" s="30">
        <v>94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21203405.758400001</v>
      </c>
      <c r="E5" s="37">
        <f>D5+C24</f>
        <v>20823666.758400001</v>
      </c>
      <c r="F5" s="37">
        <v>3400539</v>
      </c>
      <c r="G5" s="37">
        <v>779053</v>
      </c>
      <c r="H5" s="37">
        <v>562561</v>
      </c>
      <c r="I5" s="37">
        <v>433009</v>
      </c>
      <c r="J5" s="38">
        <f t="shared" ref="J5:J10" si="0">IFERROR(E5/G5,"")</f>
        <v>26.729460971718229</v>
      </c>
      <c r="K5" s="38">
        <f t="shared" ref="K5:K10" si="1">IFERROR(E5/F5,"")</f>
        <v>6.1236370935313493</v>
      </c>
      <c r="L5" s="38">
        <f>IFERROR(D5/I5,"")</f>
        <v>48.967586720830283</v>
      </c>
      <c r="M5" s="38">
        <f t="shared" ref="M5:M10" si="2">IFERROR(D5/P5,"")</f>
        <v>9.3279071927289205</v>
      </c>
      <c r="N5" s="39">
        <f t="shared" ref="N5:N10" si="3">IFERROR(H5/F5,"")</f>
        <v>0.16543289166805616</v>
      </c>
      <c r="O5" s="39">
        <f t="shared" ref="O5:O10" si="4">IFERROR(I5/P5,"")</f>
        <v>0.1904914621565561</v>
      </c>
      <c r="P5" s="37">
        <v>2273115</v>
      </c>
    </row>
    <row r="6" spans="2:17" ht="14" x14ac:dyDescent="0.3">
      <c r="B6" s="4" t="s">
        <v>214</v>
      </c>
      <c r="C6" t="s">
        <v>215</v>
      </c>
      <c r="D6" s="37">
        <v>2249650</v>
      </c>
      <c r="E6" s="37">
        <v>2216850</v>
      </c>
      <c r="F6" s="37">
        <v>784629</v>
      </c>
      <c r="G6" s="37">
        <v>106144</v>
      </c>
      <c r="H6" s="37">
        <v>73840</v>
      </c>
      <c r="I6" s="37">
        <v>50846</v>
      </c>
      <c r="J6" s="38">
        <f t="shared" si="0"/>
        <v>20.885306753090141</v>
      </c>
      <c r="K6" s="38">
        <f t="shared" si="1"/>
        <v>2.8253480307253493</v>
      </c>
      <c r="L6" s="38">
        <f>IFERROR(D6/I6,"")</f>
        <v>44.244385005703499</v>
      </c>
      <c r="M6" s="38">
        <f t="shared" si="2"/>
        <v>6.7741974338359068</v>
      </c>
      <c r="N6" s="39">
        <f t="shared" si="3"/>
        <v>9.4108170868015331E-2</v>
      </c>
      <c r="O6" s="39">
        <f t="shared" si="4"/>
        <v>0.15310863588594692</v>
      </c>
      <c r="P6" s="37">
        <v>332091</v>
      </c>
    </row>
    <row r="7" spans="2:17" ht="14" x14ac:dyDescent="0.3">
      <c r="B7" s="4" t="s">
        <v>216</v>
      </c>
      <c r="C7" t="s">
        <v>217</v>
      </c>
      <c r="D7" s="37">
        <v>675746</v>
      </c>
      <c r="E7" s="37">
        <v>476999</v>
      </c>
      <c r="F7" s="37">
        <v>378624</v>
      </c>
      <c r="G7" s="37">
        <v>69696</v>
      </c>
      <c r="H7" s="37">
        <v>63295</v>
      </c>
      <c r="I7" s="37">
        <v>46346</v>
      </c>
      <c r="J7" s="38">
        <f t="shared" si="0"/>
        <v>6.843993916437098</v>
      </c>
      <c r="K7" s="38">
        <f t="shared" si="1"/>
        <v>1.2598224095672752</v>
      </c>
      <c r="L7" s="38">
        <f>IFERROR(D7/I7,"")</f>
        <v>14.580460018124542</v>
      </c>
      <c r="M7" s="38">
        <f t="shared" si="2"/>
        <v>1.6975258555505592</v>
      </c>
      <c r="N7" s="39">
        <f t="shared" si="3"/>
        <v>0.16717112491548344</v>
      </c>
      <c r="O7" s="39">
        <f t="shared" si="4"/>
        <v>0.11642471180198806</v>
      </c>
      <c r="P7" s="37">
        <v>398077</v>
      </c>
    </row>
    <row r="8" spans="2:17" ht="14" x14ac:dyDescent="0.3">
      <c r="B8" s="4" t="s">
        <v>218</v>
      </c>
      <c r="C8" t="s">
        <v>219</v>
      </c>
      <c r="D8" s="37">
        <v>1838697</v>
      </c>
      <c r="E8" s="37">
        <v>1853687</v>
      </c>
      <c r="F8" s="37">
        <v>912248</v>
      </c>
      <c r="G8" s="37">
        <v>190777</v>
      </c>
      <c r="H8" s="37">
        <v>121268</v>
      </c>
      <c r="I8" s="37">
        <v>89270</v>
      </c>
      <c r="J8" s="38">
        <f t="shared" si="0"/>
        <v>9.7165119485053228</v>
      </c>
      <c r="K8" s="38">
        <f t="shared" si="1"/>
        <v>2.0319989739632205</v>
      </c>
      <c r="L8" s="38">
        <f>IFERROR(D8/I8,"")</f>
        <v>20.597031477540046</v>
      </c>
      <c r="M8" s="38">
        <f t="shared" si="2"/>
        <v>1.8599807598347895</v>
      </c>
      <c r="N8" s="39">
        <f t="shared" si="3"/>
        <v>0.13293314975752207</v>
      </c>
      <c r="O8" s="39">
        <f t="shared" si="4"/>
        <v>9.0303341132580109E-2</v>
      </c>
      <c r="P8" s="37">
        <v>988557</v>
      </c>
    </row>
    <row r="9" spans="2:17" ht="14" x14ac:dyDescent="0.3">
      <c r="B9" s="4" t="s">
        <v>220</v>
      </c>
      <c r="C9" t="s">
        <v>221</v>
      </c>
      <c r="D9" s="37">
        <v>680552</v>
      </c>
      <c r="E9" s="37">
        <v>981128</v>
      </c>
      <c r="F9" s="37">
        <v>445094</v>
      </c>
      <c r="G9" s="37">
        <v>93306</v>
      </c>
      <c r="H9" s="37">
        <v>49016</v>
      </c>
      <c r="I9" s="37">
        <v>28282</v>
      </c>
      <c r="J9" s="38">
        <f t="shared" si="0"/>
        <v>10.515165155509829</v>
      </c>
      <c r="K9" s="38">
        <f t="shared" si="1"/>
        <v>2.2043163915936859</v>
      </c>
      <c r="L9" s="38">
        <f>IFERROR(D9/I9,"")</f>
        <v>24.063078990170425</v>
      </c>
      <c r="M9" s="38">
        <f t="shared" si="2"/>
        <v>1.6375720067567243</v>
      </c>
      <c r="N9" s="39">
        <f t="shared" si="3"/>
        <v>0.11012505223615686</v>
      </c>
      <c r="O9" s="39">
        <f t="shared" si="4"/>
        <v>6.8053303046782129E-2</v>
      </c>
      <c r="P9" s="37">
        <v>415586</v>
      </c>
    </row>
    <row r="10" spans="2:17" ht="14" x14ac:dyDescent="0.3">
      <c r="B10" s="4" t="s">
        <v>222</v>
      </c>
      <c r="C10" t="s">
        <v>223</v>
      </c>
      <c r="D10" s="37">
        <v>652543</v>
      </c>
      <c r="E10" s="37">
        <v>987826</v>
      </c>
      <c r="F10" s="37">
        <v>492370</v>
      </c>
      <c r="G10" s="37">
        <v>87695</v>
      </c>
      <c r="H10" s="37">
        <v>53527</v>
      </c>
      <c r="I10" s="37">
        <v>-8194</v>
      </c>
      <c r="J10" s="38">
        <f t="shared" si="0"/>
        <v>11.264336621244084</v>
      </c>
      <c r="K10" s="38">
        <f t="shared" si="1"/>
        <v>2.0062676442512744</v>
      </c>
      <c r="L10" s="40" t="s">
        <v>224</v>
      </c>
      <c r="M10" s="38">
        <f t="shared" si="2"/>
        <v>1.4507822591582238</v>
      </c>
      <c r="N10" s="39">
        <f t="shared" si="3"/>
        <v>0.10871295976602961</v>
      </c>
      <c r="O10" s="39">
        <f t="shared" si="4"/>
        <v>-1.8217511844495285E-2</v>
      </c>
      <c r="P10" s="37">
        <v>449787</v>
      </c>
    </row>
    <row r="14" spans="2:17" ht="14" x14ac:dyDescent="0.3">
      <c r="B14" s="3" t="s">
        <v>225</v>
      </c>
    </row>
    <row r="15" spans="2:17" ht="14" x14ac:dyDescent="0.3">
      <c r="B15" s="4" t="s">
        <v>226</v>
      </c>
      <c r="D15" s="38">
        <f t="shared" ref="D15:I15" si="5">PERCENTILE(J6:J10,0.25)</f>
        <v>9.7165119485053228</v>
      </c>
      <c r="E15" s="38">
        <f t="shared" si="5"/>
        <v>2.0062676442512744</v>
      </c>
      <c r="F15" s="38">
        <f t="shared" si="5"/>
        <v>19.092888612686171</v>
      </c>
      <c r="G15" s="38">
        <f t="shared" si="5"/>
        <v>1.6375720067567243</v>
      </c>
      <c r="H15" s="39">
        <f t="shared" si="5"/>
        <v>0.10871295976602961</v>
      </c>
      <c r="I15" s="39">
        <f t="shared" si="5"/>
        <v>6.8053303046782129E-2</v>
      </c>
    </row>
    <row r="16" spans="2:17" ht="14" x14ac:dyDescent="0.3">
      <c r="B16" s="4" t="s">
        <v>227</v>
      </c>
      <c r="D16" s="38">
        <f t="shared" ref="D16:I16" si="6">MEDIAN(J6:J10)</f>
        <v>10.515165155509829</v>
      </c>
      <c r="E16" s="38">
        <f t="shared" si="6"/>
        <v>2.0319989739632205</v>
      </c>
      <c r="F16" s="38">
        <f t="shared" si="6"/>
        <v>22.330055233855234</v>
      </c>
      <c r="G16" s="38">
        <f t="shared" si="6"/>
        <v>1.6975258555505592</v>
      </c>
      <c r="H16" s="39">
        <f t="shared" si="6"/>
        <v>0.11012505223615686</v>
      </c>
      <c r="I16" s="39">
        <f t="shared" si="6"/>
        <v>9.0303341132580109E-2</v>
      </c>
    </row>
    <row r="17" spans="2:9" ht="14" x14ac:dyDescent="0.3">
      <c r="B17" s="4" t="s">
        <v>228</v>
      </c>
      <c r="D17" s="38">
        <f t="shared" ref="D17:I17" si="7">PERCENTILE(J6:J10,0.75)</f>
        <v>11.264336621244084</v>
      </c>
      <c r="E17" s="38">
        <f t="shared" si="7"/>
        <v>2.2043163915936859</v>
      </c>
      <c r="F17" s="38">
        <f t="shared" si="7"/>
        <v>29.108405494053692</v>
      </c>
      <c r="G17" s="38">
        <f t="shared" si="7"/>
        <v>1.8599807598347895</v>
      </c>
      <c r="H17" s="39">
        <f t="shared" si="7"/>
        <v>0.13293314975752207</v>
      </c>
      <c r="I17" s="39">
        <f t="shared" si="7"/>
        <v>0.11642471180198806</v>
      </c>
    </row>
    <row r="19" spans="2:9" ht="14" x14ac:dyDescent="0.3">
      <c r="B19" s="22" t="s">
        <v>229</v>
      </c>
      <c r="C19" s="23"/>
      <c r="D19" s="23"/>
      <c r="E19" s="23"/>
      <c r="F19" s="23"/>
      <c r="G19" s="23"/>
      <c r="H19" s="23"/>
      <c r="I19" s="23"/>
    </row>
    <row r="20" spans="2:9" ht="14" x14ac:dyDescent="0.3">
      <c r="B20" s="3" t="s">
        <v>230</v>
      </c>
    </row>
    <row r="21" spans="2:9" ht="14" x14ac:dyDescent="0.3">
      <c r="B21" s="4" t="s">
        <v>231</v>
      </c>
      <c r="C21" s="5">
        <v>779053</v>
      </c>
    </row>
    <row r="22" spans="2:9" ht="14" x14ac:dyDescent="0.3">
      <c r="B22" s="4" t="s">
        <v>232</v>
      </c>
      <c r="C22" s="5">
        <v>433009</v>
      </c>
    </row>
    <row r="23" spans="2:9" ht="14" x14ac:dyDescent="0.3">
      <c r="B23" s="4" t="s">
        <v>233</v>
      </c>
      <c r="C23" s="15">
        <v>306851024</v>
      </c>
    </row>
    <row r="24" spans="2:9" ht="14" x14ac:dyDescent="0.3">
      <c r="B24" s="4" t="s">
        <v>73</v>
      </c>
      <c r="C24" s="5">
        <v>-379739</v>
      </c>
    </row>
    <row r="26" spans="2:9" ht="14" x14ac:dyDescent="0.3">
      <c r="B26" s="3" t="s">
        <v>234</v>
      </c>
    </row>
    <row r="27" spans="2:9" ht="14" x14ac:dyDescent="0.3">
      <c r="B27" s="4" t="s">
        <v>235</v>
      </c>
      <c r="C27" s="24">
        <f>ROUND((C21*D16-C24)*1000000/C23,0)</f>
        <v>27934</v>
      </c>
    </row>
    <row r="28" spans="2:9" ht="14" x14ac:dyDescent="0.3">
      <c r="B28" s="4" t="s">
        <v>236</v>
      </c>
      <c r="C28" s="24">
        <f>ROUND(C22*F16*1000000/C23,0)</f>
        <v>31511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237</v>
      </c>
    </row>
    <row r="3" spans="2:9" ht="14" x14ac:dyDescent="0.3">
      <c r="B3" s="4" t="s">
        <v>238</v>
      </c>
      <c r="C3" s="16">
        <f>'DCF Model'!C26</f>
        <v>0.1074495</v>
      </c>
      <c r="E3" s="4" t="s">
        <v>239</v>
      </c>
      <c r="F3" s="16">
        <f>'DCF Model'!C13</f>
        <v>0.01</v>
      </c>
      <c r="H3" s="4" t="s">
        <v>240</v>
      </c>
      <c r="I3" s="14">
        <f>'DCF Model'!C14</f>
        <v>10.5</v>
      </c>
    </row>
    <row r="5" spans="2:9" ht="14" x14ac:dyDescent="0.3">
      <c r="B5" s="3" t="s">
        <v>241</v>
      </c>
    </row>
    <row r="6" spans="2:9" ht="14"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9.2449500000000004E-2</v>
      </c>
      <c r="C7" s="37">
        <f>IFERROR(ROUND(('DCF Model'!C45/(1+$B7)^('DCF Model'!C19+0)+'DCF Model'!D45/(1+$B7)^('DCF Model'!C19+1)+'DCF Model'!E45/(1+$B7)^('DCF Model'!C19+2)+'DCF Model'!F45/(1+$B7)^('DCF Model'!C19+3)+'DCF Model'!G45/(1+$B7)^('DCF Model'!C19+4)+'DCF Model'!G45*(1+C$6)/($B7-C$6)/(1+$B7)^('DCF Model'!C19+4)-'DCF Model'!C16)*1000000/'DCF Model'!C15,0),"")</f>
        <v>20900</v>
      </c>
      <c r="D7" s="37">
        <f>IFERROR(ROUND(('DCF Model'!C45/(1+$B7)^('DCF Model'!C19+0)+'DCF Model'!D45/(1+$B7)^('DCF Model'!C19+1)+'DCF Model'!E45/(1+$B7)^('DCF Model'!C19+2)+'DCF Model'!F45/(1+$B7)^('DCF Model'!C19+3)+'DCF Model'!G45/(1+$B7)^('DCF Model'!C19+4)+'DCF Model'!G45*(1+D$6)/($B7-D$6)/(1+$B7)^('DCF Model'!C19+4)-'DCF Model'!C16)*1000000/'DCF Model'!C15,0),"")</f>
        <v>21310</v>
      </c>
      <c r="E7" s="37">
        <f>IFERROR(ROUND(('DCF Model'!C45/(1+$B7)^('DCF Model'!C19+0)+'DCF Model'!D45/(1+$B7)^('DCF Model'!C19+1)+'DCF Model'!E45/(1+$B7)^('DCF Model'!C19+2)+'DCF Model'!F45/(1+$B7)^('DCF Model'!C19+3)+'DCF Model'!G45/(1+$B7)^('DCF Model'!C19+4)+'DCF Model'!G45*(1+E$6)/($B7-E$6)/(1+$B7)^('DCF Model'!C19+4)-'DCF Model'!C16)*1000000/'DCF Model'!C15,0),"")</f>
        <v>21743</v>
      </c>
      <c r="F7" s="37">
        <f>IFERROR(ROUND(('DCF Model'!C45/(1+$B7)^('DCF Model'!C19+0)+'DCF Model'!D45/(1+$B7)^('DCF Model'!C19+1)+'DCF Model'!E45/(1+$B7)^('DCF Model'!C19+2)+'DCF Model'!F45/(1+$B7)^('DCF Model'!C19+3)+'DCF Model'!G45/(1+$B7)^('DCF Model'!C19+4)+'DCF Model'!G45*(1+F$6)/($B7-F$6)/(1+$B7)^('DCF Model'!C19+4)-'DCF Model'!C16)*1000000/'DCF Model'!C15,0),"")</f>
        <v>22202</v>
      </c>
      <c r="G7" s="37">
        <f>IFERROR(ROUND(('DCF Model'!C45/(1+$B7)^('DCF Model'!C19+0)+'DCF Model'!D45/(1+$B7)^('DCF Model'!C19+1)+'DCF Model'!E45/(1+$B7)^('DCF Model'!C19+2)+'DCF Model'!F45/(1+$B7)^('DCF Model'!C19+3)+'DCF Model'!G45/(1+$B7)^('DCF Model'!C19+4)+'DCF Model'!G45*(1+G$6)/($B7-G$6)/(1+$B7)^('DCF Model'!C19+4)-'DCF Model'!C16)*1000000/'DCF Model'!C15,0),"")</f>
        <v>22691</v>
      </c>
      <c r="H7" s="37">
        <f>IFERROR(ROUND(('DCF Model'!C45/(1+$B7)^('DCF Model'!C19+0)+'DCF Model'!D45/(1+$B7)^('DCF Model'!C19+1)+'DCF Model'!E45/(1+$B7)^('DCF Model'!C19+2)+'DCF Model'!F45/(1+$B7)^('DCF Model'!C19+3)+'DCF Model'!G45/(1+$B7)^('DCF Model'!C19+4)+'DCF Model'!G45*(1+H$6)/($B7-H$6)/(1+$B7)^('DCF Model'!C19+4)-'DCF Model'!C16)*1000000/'DCF Model'!C15,0),"")</f>
        <v>23210</v>
      </c>
      <c r="I7" s="37">
        <f>IFERROR(ROUND(('DCF Model'!C45/(1+$B7)^('DCF Model'!C19+0)+'DCF Model'!D45/(1+$B7)^('DCF Model'!C19+1)+'DCF Model'!E45/(1+$B7)^('DCF Model'!C19+2)+'DCF Model'!F45/(1+$B7)^('DCF Model'!C19+3)+'DCF Model'!G45/(1+$B7)^('DCF Model'!C19+4)+'DCF Model'!G45*(1+I$6)/($B7-I$6)/(1+$B7)^('DCF Model'!C19+4)-'DCF Model'!C16)*1000000/'DCF Model'!C15,0),"")</f>
        <v>23765</v>
      </c>
    </row>
    <row r="8" spans="2:9" ht="13.5" x14ac:dyDescent="0.25">
      <c r="B8" s="39">
        <f>$C$3-0.01</f>
        <v>9.7449500000000008E-2</v>
      </c>
      <c r="C8" s="37">
        <f>IFERROR(ROUND(('DCF Model'!C45/(1+$B8)^('DCF Model'!C19+0)+'DCF Model'!D45/(1+$B8)^('DCF Model'!C19+1)+'DCF Model'!E45/(1+$B8)^('DCF Model'!C19+2)+'DCF Model'!F45/(1+$B8)^('DCF Model'!C19+3)+'DCF Model'!G45/(1+$B8)^('DCF Model'!C19+4)+'DCF Model'!G45*(1+C$6)/($B8-C$6)/(1+$B8)^('DCF Model'!C19+4)-'DCF Model'!C16)*1000000/'DCF Model'!C15,0),"")</f>
        <v>19884</v>
      </c>
      <c r="D8" s="37">
        <f>IFERROR(ROUND(('DCF Model'!C45/(1+$B8)^('DCF Model'!C19+0)+'DCF Model'!D45/(1+$B8)^('DCF Model'!C19+1)+'DCF Model'!E45/(1+$B8)^('DCF Model'!C19+2)+'DCF Model'!F45/(1+$B8)^('DCF Model'!C19+3)+'DCF Model'!G45/(1+$B8)^('DCF Model'!C19+4)+'DCF Model'!G45*(1+D$6)/($B8-D$6)/(1+$B8)^('DCF Model'!C19+4)-'DCF Model'!C16)*1000000/'DCF Model'!C15,0),"")</f>
        <v>20245</v>
      </c>
      <c r="E8" s="37">
        <f>IFERROR(ROUND(('DCF Model'!C45/(1+$B8)^('DCF Model'!C19+0)+'DCF Model'!D45/(1+$B8)^('DCF Model'!C19+1)+'DCF Model'!E45/(1+$B8)^('DCF Model'!C19+2)+'DCF Model'!F45/(1+$B8)^('DCF Model'!C19+3)+'DCF Model'!G45/(1+$B8)^('DCF Model'!C19+4)+'DCF Model'!G45*(1+E$6)/($B8-E$6)/(1+$B8)^('DCF Model'!C19+4)-'DCF Model'!C16)*1000000/'DCF Model'!C15,0),"")</f>
        <v>20626</v>
      </c>
      <c r="F8" s="37">
        <f>IFERROR(ROUND(('DCF Model'!C45/(1+$B8)^('DCF Model'!C19+0)+'DCF Model'!D45/(1+$B8)^('DCF Model'!C19+1)+'DCF Model'!E45/(1+$B8)^('DCF Model'!C19+2)+'DCF Model'!F45/(1+$B8)^('DCF Model'!C19+3)+'DCF Model'!G45/(1+$B8)^('DCF Model'!C19+4)+'DCF Model'!G45*(1+F$6)/($B8-F$6)/(1+$B8)^('DCF Model'!C19+4)-'DCF Model'!C16)*1000000/'DCF Model'!C15,0),"")</f>
        <v>21029</v>
      </c>
      <c r="G8" s="37">
        <f>IFERROR(ROUND(('DCF Model'!C45/(1+$B8)^('DCF Model'!C19+0)+'DCF Model'!D45/(1+$B8)^('DCF Model'!C19+1)+'DCF Model'!E45/(1+$B8)^('DCF Model'!C19+2)+'DCF Model'!F45/(1+$B8)^('DCF Model'!C19+3)+'DCF Model'!G45/(1+$B8)^('DCF Model'!C19+4)+'DCF Model'!G45*(1+G$6)/($B8-G$6)/(1+$B8)^('DCF Model'!C19+4)-'DCF Model'!C16)*1000000/'DCF Model'!C15,0),"")</f>
        <v>21455</v>
      </c>
      <c r="H8" s="37">
        <f>IFERROR(ROUND(('DCF Model'!C45/(1+$B8)^('DCF Model'!C19+0)+'DCF Model'!D45/(1+$B8)^('DCF Model'!C19+1)+'DCF Model'!E45/(1+$B8)^('DCF Model'!C19+2)+'DCF Model'!F45/(1+$B8)^('DCF Model'!C19+3)+'DCF Model'!G45/(1+$B8)^('DCF Model'!C19+4)+'DCF Model'!G45*(1+H$6)/($B8-H$6)/(1+$B8)^('DCF Model'!C19+4)-'DCF Model'!C16)*1000000/'DCF Model'!C15,0),"")</f>
        <v>21907</v>
      </c>
      <c r="I8" s="37">
        <f>IFERROR(ROUND(('DCF Model'!C45/(1+$B8)^('DCF Model'!C19+0)+'DCF Model'!D45/(1+$B8)^('DCF Model'!C19+1)+'DCF Model'!E45/(1+$B8)^('DCF Model'!C19+2)+'DCF Model'!F45/(1+$B8)^('DCF Model'!C19+3)+'DCF Model'!G45/(1+$B8)^('DCF Model'!C19+4)+'DCF Model'!G45*(1+I$6)/($B8-I$6)/(1+$B8)^('DCF Model'!C19+4)-'DCF Model'!C16)*1000000/'DCF Model'!C15,0),"")</f>
        <v>22388</v>
      </c>
    </row>
    <row r="9" spans="2:9" ht="13.5" x14ac:dyDescent="0.25">
      <c r="B9" s="39">
        <f>$C$3-0.005</f>
        <v>0.1024495</v>
      </c>
      <c r="C9" s="37">
        <f>IFERROR(ROUND(('DCF Model'!C45/(1+$B9)^('DCF Model'!C19+0)+'DCF Model'!D45/(1+$B9)^('DCF Model'!C19+1)+'DCF Model'!E45/(1+$B9)^('DCF Model'!C19+2)+'DCF Model'!F45/(1+$B9)^('DCF Model'!C19+3)+'DCF Model'!G45/(1+$B9)^('DCF Model'!C19+4)+'DCF Model'!G45*(1+C$6)/($B9-C$6)/(1+$B9)^('DCF Model'!C19+4)-'DCF Model'!C16)*1000000/'DCF Model'!C15,0),"")</f>
        <v>18970</v>
      </c>
      <c r="D9" s="37">
        <f>IFERROR(ROUND(('DCF Model'!C45/(1+$B9)^('DCF Model'!C19+0)+'DCF Model'!D45/(1+$B9)^('DCF Model'!C19+1)+'DCF Model'!E45/(1+$B9)^('DCF Model'!C19+2)+'DCF Model'!F45/(1+$B9)^('DCF Model'!C19+3)+'DCF Model'!G45/(1+$B9)^('DCF Model'!C19+4)+'DCF Model'!G45*(1+D$6)/($B9-D$6)/(1+$B9)^('DCF Model'!C19+4)-'DCF Model'!C16)*1000000/'DCF Model'!C15,0),"")</f>
        <v>19290</v>
      </c>
      <c r="E9" s="37">
        <f>IFERROR(ROUND(('DCF Model'!C45/(1+$B9)^('DCF Model'!C19+0)+'DCF Model'!D45/(1+$B9)^('DCF Model'!C19+1)+'DCF Model'!E45/(1+$B9)^('DCF Model'!C19+2)+'DCF Model'!F45/(1+$B9)^('DCF Model'!C19+3)+'DCF Model'!G45/(1+$B9)^('DCF Model'!C19+4)+'DCF Model'!G45*(1+E$6)/($B9-E$6)/(1+$B9)^('DCF Model'!C19+4)-'DCF Model'!C16)*1000000/'DCF Model'!C15,0),"")</f>
        <v>19627</v>
      </c>
      <c r="F9" s="37">
        <f>IFERROR(ROUND(('DCF Model'!C45/(1+$B9)^('DCF Model'!C19+0)+'DCF Model'!D45/(1+$B9)^('DCF Model'!C19+1)+'DCF Model'!E45/(1+$B9)^('DCF Model'!C19+2)+'DCF Model'!F45/(1+$B9)^('DCF Model'!C19+3)+'DCF Model'!G45/(1+$B9)^('DCF Model'!C19+4)+'DCF Model'!G45*(1+F$6)/($B9-F$6)/(1+$B9)^('DCF Model'!C19+4)-'DCF Model'!C16)*1000000/'DCF Model'!C15,0),"")</f>
        <v>19982</v>
      </c>
      <c r="G9" s="37">
        <f>IFERROR(ROUND(('DCF Model'!C45/(1+$B9)^('DCF Model'!C19+0)+'DCF Model'!D45/(1+$B9)^('DCF Model'!C19+1)+'DCF Model'!E45/(1+$B9)^('DCF Model'!C19+2)+'DCF Model'!F45/(1+$B9)^('DCF Model'!C19+3)+'DCF Model'!G45/(1+$B9)^('DCF Model'!C19+4)+'DCF Model'!G45*(1+G$6)/($B9-G$6)/(1+$B9)^('DCF Model'!C19+4)-'DCF Model'!C16)*1000000/'DCF Model'!C15,0),"")</f>
        <v>20357</v>
      </c>
      <c r="H9" s="37">
        <f>IFERROR(ROUND(('DCF Model'!C45/(1+$B9)^('DCF Model'!C19+0)+'DCF Model'!D45/(1+$B9)^('DCF Model'!C19+1)+'DCF Model'!E45/(1+$B9)^('DCF Model'!C19+2)+'DCF Model'!F45/(1+$B9)^('DCF Model'!C19+3)+'DCF Model'!G45/(1+$B9)^('DCF Model'!C19+4)+'DCF Model'!G45*(1+H$6)/($B9-H$6)/(1+$B9)^('DCF Model'!C19+4)-'DCF Model'!C16)*1000000/'DCF Model'!C15,0),"")</f>
        <v>20753</v>
      </c>
      <c r="I9" s="37">
        <f>IFERROR(ROUND(('DCF Model'!C45/(1+$B9)^('DCF Model'!C19+0)+'DCF Model'!D45/(1+$B9)^('DCF Model'!C19+1)+'DCF Model'!E45/(1+$B9)^('DCF Model'!C19+2)+'DCF Model'!F45/(1+$B9)^('DCF Model'!C19+3)+'DCF Model'!G45/(1+$B9)^('DCF Model'!C19+4)+'DCF Model'!G45*(1+I$6)/($B9-I$6)/(1+$B9)^('DCF Model'!C19+4)-'DCF Model'!C16)*1000000/'DCF Model'!C15,0),"")</f>
        <v>21173</v>
      </c>
    </row>
    <row r="10" spans="2:9" ht="13.5" x14ac:dyDescent="0.25">
      <c r="B10" s="39">
        <f>$C$3</f>
        <v>0.1074495</v>
      </c>
      <c r="C10" s="37">
        <f>IFERROR(ROUND(('DCF Model'!C45/(1+$B10)^('DCF Model'!C19+0)+'DCF Model'!D45/(1+$B10)^('DCF Model'!C19+1)+'DCF Model'!E45/(1+$B10)^('DCF Model'!C19+2)+'DCF Model'!F45/(1+$B10)^('DCF Model'!C19+3)+'DCF Model'!G45/(1+$B10)^('DCF Model'!C19+4)+'DCF Model'!G45*(1+C$6)/($B10-C$6)/(1+$B10)^('DCF Model'!C19+4)-'DCF Model'!C16)*1000000/'DCF Model'!C15,0),"")</f>
        <v>18142</v>
      </c>
      <c r="D10" s="37">
        <f>IFERROR(ROUND(('DCF Model'!C45/(1+$B10)^('DCF Model'!C19+0)+'DCF Model'!D45/(1+$B10)^('DCF Model'!C19+1)+'DCF Model'!E45/(1+$B10)^('DCF Model'!C19+2)+'DCF Model'!F45/(1+$B10)^('DCF Model'!C19+3)+'DCF Model'!G45/(1+$B10)^('DCF Model'!C19+4)+'DCF Model'!G45*(1+D$6)/($B10-D$6)/(1+$B10)^('DCF Model'!C19+4)-'DCF Model'!C16)*1000000/'DCF Model'!C15,0),"")</f>
        <v>18428</v>
      </c>
      <c r="E10" s="37">
        <f>IFERROR(ROUND(('DCF Model'!C45/(1+$B10)^('DCF Model'!C19+0)+'DCF Model'!D45/(1+$B10)^('DCF Model'!C19+1)+'DCF Model'!E45/(1+$B10)^('DCF Model'!C19+2)+'DCF Model'!F45/(1+$B10)^('DCF Model'!C19+3)+'DCF Model'!G45/(1+$B10)^('DCF Model'!C19+4)+'DCF Model'!G45*(1+E$6)/($B10-E$6)/(1+$B10)^('DCF Model'!C19+4)-'DCF Model'!C16)*1000000/'DCF Model'!C15,0),"")</f>
        <v>18727</v>
      </c>
      <c r="F10" s="37">
        <f>IFERROR(ROUND(('DCF Model'!C45/(1+$B10)^('DCF Model'!C19+0)+'DCF Model'!D45/(1+$B10)^('DCF Model'!C19+1)+'DCF Model'!E45/(1+$B10)^('DCF Model'!C19+2)+'DCF Model'!F45/(1+$B10)^('DCF Model'!C19+3)+'DCF Model'!G45/(1+$B10)^('DCF Model'!C19+4)+'DCF Model'!G45*(1+F$6)/($B10-F$6)/(1+$B10)^('DCF Model'!C19+4)-'DCF Model'!C16)*1000000/'DCF Model'!C15,0),"")</f>
        <v>19042</v>
      </c>
      <c r="G10" s="37">
        <f>IFERROR(ROUND(('DCF Model'!C45/(1+$B10)^('DCF Model'!C19+0)+'DCF Model'!D45/(1+$B10)^('DCF Model'!C19+1)+'DCF Model'!E45/(1+$B10)^('DCF Model'!C19+2)+'DCF Model'!F45/(1+$B10)^('DCF Model'!C19+3)+'DCF Model'!G45/(1+$B10)^('DCF Model'!C19+4)+'DCF Model'!G45*(1+G$6)/($B10-G$6)/(1+$B10)^('DCF Model'!C19+4)-'DCF Model'!C16)*1000000/'DCF Model'!C15,0),"")</f>
        <v>19374</v>
      </c>
      <c r="H10" s="37">
        <f>IFERROR(ROUND(('DCF Model'!C45/(1+$B10)^('DCF Model'!C19+0)+'DCF Model'!D45/(1+$B10)^('DCF Model'!C19+1)+'DCF Model'!E45/(1+$B10)^('DCF Model'!C19+2)+'DCF Model'!F45/(1+$B10)^('DCF Model'!C19+3)+'DCF Model'!G45/(1+$B10)^('DCF Model'!C19+4)+'DCF Model'!G45*(1+H$6)/($B10-H$6)/(1+$B10)^('DCF Model'!C19+4)-'DCF Model'!C16)*1000000/'DCF Model'!C15,0),"")</f>
        <v>19724</v>
      </c>
      <c r="I10" s="37">
        <f>IFERROR(ROUND(('DCF Model'!C45/(1+$B10)^('DCF Model'!C19+0)+'DCF Model'!D45/(1+$B10)^('DCF Model'!C19+1)+'DCF Model'!E45/(1+$B10)^('DCF Model'!C19+2)+'DCF Model'!F45/(1+$B10)^('DCF Model'!C19+3)+'DCF Model'!G45/(1+$B10)^('DCF Model'!C19+4)+'DCF Model'!G45*(1+I$6)/($B10-I$6)/(1+$B10)^('DCF Model'!C19+4)-'DCF Model'!C16)*1000000/'DCF Model'!C15,0),"")</f>
        <v>20093</v>
      </c>
    </row>
    <row r="11" spans="2:9" ht="13.5" x14ac:dyDescent="0.25">
      <c r="B11" s="39">
        <f>$C$3+0.005</f>
        <v>0.11244950000000001</v>
      </c>
      <c r="C11" s="37">
        <f>IFERROR(ROUND(('DCF Model'!C45/(1+$B11)^('DCF Model'!C19+0)+'DCF Model'!D45/(1+$B11)^('DCF Model'!C19+1)+'DCF Model'!E45/(1+$B11)^('DCF Model'!C19+2)+'DCF Model'!F45/(1+$B11)^('DCF Model'!C19+3)+'DCF Model'!G45/(1+$B11)^('DCF Model'!C19+4)+'DCF Model'!G45*(1+C$6)/($B11-C$6)/(1+$B11)^('DCF Model'!C19+4)-'DCF Model'!C16)*1000000/'DCF Model'!C15,0),"")</f>
        <v>17390</v>
      </c>
      <c r="D11" s="37">
        <f>IFERROR(ROUND(('DCF Model'!C45/(1+$B11)^('DCF Model'!C19+0)+'DCF Model'!D45/(1+$B11)^('DCF Model'!C19+1)+'DCF Model'!E45/(1+$B11)^('DCF Model'!C19+2)+'DCF Model'!F45/(1+$B11)^('DCF Model'!C19+3)+'DCF Model'!G45/(1+$B11)^('DCF Model'!C19+4)+'DCF Model'!G45*(1+D$6)/($B11-D$6)/(1+$B11)^('DCF Model'!C19+4)-'DCF Model'!C16)*1000000/'DCF Model'!C15,0),"")</f>
        <v>17646</v>
      </c>
      <c r="E11" s="37">
        <f>IFERROR(ROUND(('DCF Model'!C45/(1+$B11)^('DCF Model'!C19+0)+'DCF Model'!D45/(1+$B11)^('DCF Model'!C19+1)+'DCF Model'!E45/(1+$B11)^('DCF Model'!C19+2)+'DCF Model'!F45/(1+$B11)^('DCF Model'!C19+3)+'DCF Model'!G45/(1+$B11)^('DCF Model'!C19+4)+'DCF Model'!G45*(1+E$6)/($B11-E$6)/(1+$B11)^('DCF Model'!C19+4)-'DCF Model'!C16)*1000000/'DCF Model'!C15,0),"")</f>
        <v>17914</v>
      </c>
      <c r="F11" s="37">
        <f>IFERROR(ROUND(('DCF Model'!C45/(1+$B11)^('DCF Model'!C19+0)+'DCF Model'!D45/(1+$B11)^('DCF Model'!C19+1)+'DCF Model'!E45/(1+$B11)^('DCF Model'!C19+2)+'DCF Model'!F45/(1+$B11)^('DCF Model'!C19+3)+'DCF Model'!G45/(1+$B11)^('DCF Model'!C19+4)+'DCF Model'!G45*(1+F$6)/($B11-F$6)/(1+$B11)^('DCF Model'!C19+4)-'DCF Model'!C16)*1000000/'DCF Model'!C15,0),"")</f>
        <v>18195</v>
      </c>
      <c r="G11" s="37">
        <f>IFERROR(ROUND(('DCF Model'!C45/(1+$B11)^('DCF Model'!C19+0)+'DCF Model'!D45/(1+$B11)^('DCF Model'!C19+1)+'DCF Model'!E45/(1+$B11)^('DCF Model'!C19+2)+'DCF Model'!F45/(1+$B11)^('DCF Model'!C19+3)+'DCF Model'!G45/(1+$B11)^('DCF Model'!C19+4)+'DCF Model'!G45*(1+G$6)/($B11-G$6)/(1+$B11)^('DCF Model'!C19+4)-'DCF Model'!C16)*1000000/'DCF Model'!C15,0),"")</f>
        <v>18490</v>
      </c>
      <c r="H11" s="37">
        <f>IFERROR(ROUND(('DCF Model'!C45/(1+$B11)^('DCF Model'!C19+0)+'DCF Model'!D45/(1+$B11)^('DCF Model'!C19+1)+'DCF Model'!E45/(1+$B11)^('DCF Model'!C19+2)+'DCF Model'!F45/(1+$B11)^('DCF Model'!C19+3)+'DCF Model'!G45/(1+$B11)^('DCF Model'!C19+4)+'DCF Model'!G45*(1+H$6)/($B11-H$6)/(1+$B11)^('DCF Model'!C19+4)-'DCF Model'!C16)*1000000/'DCF Model'!C15,0),"")</f>
        <v>18800</v>
      </c>
      <c r="I11" s="37">
        <f>IFERROR(ROUND(('DCF Model'!C45/(1+$B11)^('DCF Model'!C19+0)+'DCF Model'!D45/(1+$B11)^('DCF Model'!C19+1)+'DCF Model'!E45/(1+$B11)^('DCF Model'!C19+2)+'DCF Model'!F45/(1+$B11)^('DCF Model'!C19+3)+'DCF Model'!G45/(1+$B11)^('DCF Model'!C19+4)+'DCF Model'!G45*(1+I$6)/($B11-I$6)/(1+$B11)^('DCF Model'!C19+4)-'DCF Model'!C16)*1000000/'DCF Model'!C15,0),"")</f>
        <v>19126</v>
      </c>
    </row>
    <row r="12" spans="2:9" ht="13.5" x14ac:dyDescent="0.25">
      <c r="B12" s="39">
        <f>$C$3+0.01</f>
        <v>0.1174495</v>
      </c>
      <c r="C12" s="37">
        <f>IFERROR(ROUND(('DCF Model'!C45/(1+$B12)^('DCF Model'!C19+0)+'DCF Model'!D45/(1+$B12)^('DCF Model'!C19+1)+'DCF Model'!E45/(1+$B12)^('DCF Model'!C19+2)+'DCF Model'!F45/(1+$B12)^('DCF Model'!C19+3)+'DCF Model'!G45/(1+$B12)^('DCF Model'!C19+4)+'DCF Model'!G45*(1+C$6)/($B12-C$6)/(1+$B12)^('DCF Model'!C19+4)-'DCF Model'!C16)*1000000/'DCF Model'!C15,0),"")</f>
        <v>16704</v>
      </c>
      <c r="D12" s="37">
        <f>IFERROR(ROUND(('DCF Model'!C45/(1+$B12)^('DCF Model'!C19+0)+'DCF Model'!D45/(1+$B12)^('DCF Model'!C19+1)+'DCF Model'!E45/(1+$B12)^('DCF Model'!C19+2)+'DCF Model'!F45/(1+$B12)^('DCF Model'!C19+3)+'DCF Model'!G45/(1+$B12)^('DCF Model'!C19+4)+'DCF Model'!G45*(1+D$6)/($B12-D$6)/(1+$B12)^('DCF Model'!C19+4)-'DCF Model'!C16)*1000000/'DCF Model'!C15,0),"")</f>
        <v>16934</v>
      </c>
      <c r="E12" s="37">
        <f>IFERROR(ROUND(('DCF Model'!C45/(1+$B12)^('DCF Model'!C19+0)+'DCF Model'!D45/(1+$B12)^('DCF Model'!C19+1)+'DCF Model'!E45/(1+$B12)^('DCF Model'!C19+2)+'DCF Model'!F45/(1+$B12)^('DCF Model'!C19+3)+'DCF Model'!G45/(1+$B12)^('DCF Model'!C19+4)+'DCF Model'!G45*(1+E$6)/($B12-E$6)/(1+$B12)^('DCF Model'!C19+4)-'DCF Model'!C16)*1000000/'DCF Model'!C15,0),"")</f>
        <v>17175</v>
      </c>
      <c r="F12" s="37">
        <f>IFERROR(ROUND(('DCF Model'!C45/(1+$B12)^('DCF Model'!C19+0)+'DCF Model'!D45/(1+$B12)^('DCF Model'!C19+1)+'DCF Model'!E45/(1+$B12)^('DCF Model'!C19+2)+'DCF Model'!F45/(1+$B12)^('DCF Model'!C19+3)+'DCF Model'!G45/(1+$B12)^('DCF Model'!C19+4)+'DCF Model'!G45*(1+F$6)/($B12-F$6)/(1+$B12)^('DCF Model'!C19+4)-'DCF Model'!C16)*1000000/'DCF Model'!C15,0),"")</f>
        <v>17426</v>
      </c>
      <c r="G12" s="37">
        <f>IFERROR(ROUND(('DCF Model'!C45/(1+$B12)^('DCF Model'!C19+0)+'DCF Model'!D45/(1+$B12)^('DCF Model'!C19+1)+'DCF Model'!E45/(1+$B12)^('DCF Model'!C19+2)+'DCF Model'!F45/(1+$B12)^('DCF Model'!C19+3)+'DCF Model'!G45/(1+$B12)^('DCF Model'!C19+4)+'DCF Model'!G45*(1+G$6)/($B12-G$6)/(1+$B12)^('DCF Model'!C19+4)-'DCF Model'!C16)*1000000/'DCF Model'!C15,0),"")</f>
        <v>17690</v>
      </c>
      <c r="H12" s="37">
        <f>IFERROR(ROUND(('DCF Model'!C45/(1+$B12)^('DCF Model'!C19+0)+'DCF Model'!D45/(1+$B12)^('DCF Model'!C19+1)+'DCF Model'!E45/(1+$B12)^('DCF Model'!C19+2)+'DCF Model'!F45/(1+$B12)^('DCF Model'!C19+3)+'DCF Model'!G45/(1+$B12)^('DCF Model'!C19+4)+'DCF Model'!G45*(1+H$6)/($B12-H$6)/(1+$B12)^('DCF Model'!C19+4)-'DCF Model'!C16)*1000000/'DCF Model'!C15,0),"")</f>
        <v>17967</v>
      </c>
      <c r="I12" s="37">
        <f>IFERROR(ROUND(('DCF Model'!C45/(1+$B12)^('DCF Model'!C19+0)+'DCF Model'!D45/(1+$B12)^('DCF Model'!C19+1)+'DCF Model'!E45/(1+$B12)^('DCF Model'!C19+2)+'DCF Model'!F45/(1+$B12)^('DCF Model'!C19+3)+'DCF Model'!G45/(1+$B12)^('DCF Model'!C19+4)+'DCF Model'!G45*(1+I$6)/($B12-I$6)/(1+$B12)^('DCF Model'!C19+4)-'DCF Model'!C16)*1000000/'DCF Model'!C15,0),"")</f>
        <v>18257</v>
      </c>
    </row>
    <row r="13" spans="2:9" ht="13.5" x14ac:dyDescent="0.25">
      <c r="B13" s="39">
        <f>$C$3+0.015</f>
        <v>0.1224495</v>
      </c>
      <c r="C13" s="37">
        <f>IFERROR(ROUND(('DCF Model'!C45/(1+$B13)^('DCF Model'!C19+0)+'DCF Model'!D45/(1+$B13)^('DCF Model'!C19+1)+'DCF Model'!E45/(1+$B13)^('DCF Model'!C19+2)+'DCF Model'!F45/(1+$B13)^('DCF Model'!C19+3)+'DCF Model'!G45/(1+$B13)^('DCF Model'!C19+4)+'DCF Model'!G45*(1+C$6)/($B13-C$6)/(1+$B13)^('DCF Model'!C19+4)-'DCF Model'!C16)*1000000/'DCF Model'!C15,0),"")</f>
        <v>16075</v>
      </c>
      <c r="D13" s="37">
        <f>IFERROR(ROUND(('DCF Model'!C45/(1+$B13)^('DCF Model'!C19+0)+'DCF Model'!D45/(1+$B13)^('DCF Model'!C19+1)+'DCF Model'!E45/(1+$B13)^('DCF Model'!C19+2)+'DCF Model'!F45/(1+$B13)^('DCF Model'!C19+3)+'DCF Model'!G45/(1+$B13)^('DCF Model'!C19+4)+'DCF Model'!G45*(1+D$6)/($B13-D$6)/(1+$B13)^('DCF Model'!C19+4)-'DCF Model'!C16)*1000000/'DCF Model'!C15,0),"")</f>
        <v>16283</v>
      </c>
      <c r="E13" s="37">
        <f>IFERROR(ROUND(('DCF Model'!C45/(1+$B13)^('DCF Model'!C19+0)+'DCF Model'!D45/(1+$B13)^('DCF Model'!C19+1)+'DCF Model'!E45/(1+$B13)^('DCF Model'!C19+2)+'DCF Model'!F45/(1+$B13)^('DCF Model'!C19+3)+'DCF Model'!G45/(1+$B13)^('DCF Model'!C19+4)+'DCF Model'!G45*(1+E$6)/($B13-E$6)/(1+$B13)^('DCF Model'!C19+4)-'DCF Model'!C16)*1000000/'DCF Model'!C15,0),"")</f>
        <v>16500</v>
      </c>
      <c r="F13" s="37">
        <f>IFERROR(ROUND(('DCF Model'!C45/(1+$B13)^('DCF Model'!C19+0)+'DCF Model'!D45/(1+$B13)^('DCF Model'!C19+1)+'DCF Model'!E45/(1+$B13)^('DCF Model'!C19+2)+'DCF Model'!F45/(1+$B13)^('DCF Model'!C19+3)+'DCF Model'!G45/(1+$B13)^('DCF Model'!C19+4)+'DCF Model'!G45*(1+F$6)/($B13-F$6)/(1+$B13)^('DCF Model'!C19+4)-'DCF Model'!C16)*1000000/'DCF Model'!C15,0),"")</f>
        <v>16726</v>
      </c>
      <c r="G13" s="37">
        <f>IFERROR(ROUND(('DCF Model'!C45/(1+$B13)^('DCF Model'!C19+0)+'DCF Model'!D45/(1+$B13)^('DCF Model'!C19+1)+'DCF Model'!E45/(1+$B13)^('DCF Model'!C19+2)+'DCF Model'!F45/(1+$B13)^('DCF Model'!C19+3)+'DCF Model'!G45/(1+$B13)^('DCF Model'!C19+4)+'DCF Model'!G45*(1+G$6)/($B13-G$6)/(1+$B13)^('DCF Model'!C19+4)-'DCF Model'!C16)*1000000/'DCF Model'!C15,0),"")</f>
        <v>16963</v>
      </c>
      <c r="H13" s="37">
        <f>IFERROR(ROUND(('DCF Model'!C45/(1+$B13)^('DCF Model'!C19+0)+'DCF Model'!D45/(1+$B13)^('DCF Model'!C19+1)+'DCF Model'!E45/(1+$B13)^('DCF Model'!C19+2)+'DCF Model'!F45/(1+$B13)^('DCF Model'!C19+3)+'DCF Model'!G45/(1+$B13)^('DCF Model'!C19+4)+'DCF Model'!G45*(1+H$6)/($B13-H$6)/(1+$B13)^('DCF Model'!C19+4)-'DCF Model'!C16)*1000000/'DCF Model'!C15,0),"")</f>
        <v>17211</v>
      </c>
      <c r="I13" s="37">
        <f>IFERROR(ROUND(('DCF Model'!C45/(1+$B13)^('DCF Model'!C19+0)+'DCF Model'!D45/(1+$B13)^('DCF Model'!C19+1)+'DCF Model'!E45/(1+$B13)^('DCF Model'!C19+2)+'DCF Model'!F45/(1+$B13)^('DCF Model'!C19+3)+'DCF Model'!G45/(1+$B13)^('DCF Model'!C19+4)+'DCF Model'!G45*(1+I$6)/($B13-I$6)/(1+$B13)^('DCF Model'!C19+4)-'DCF Model'!C16)*1000000/'DCF Model'!C15,0),"")</f>
        <v>17470</v>
      </c>
    </row>
    <row r="16" spans="2:9" ht="14" x14ac:dyDescent="0.3">
      <c r="B16" s="3" t="s">
        <v>243</v>
      </c>
    </row>
    <row r="17" spans="2:9" ht="14" x14ac:dyDescent="0.3">
      <c r="B17" s="41" t="s">
        <v>244</v>
      </c>
      <c r="C17" s="43">
        <f>$I$3-3</f>
        <v>7.5</v>
      </c>
      <c r="D17" s="43">
        <f>$I$3-2</f>
        <v>8.5</v>
      </c>
      <c r="E17" s="43">
        <f>$I$3-1</f>
        <v>9.5</v>
      </c>
      <c r="F17" s="43">
        <f>$I$3</f>
        <v>10.5</v>
      </c>
      <c r="G17" s="43">
        <f>$I$3+1</f>
        <v>11.5</v>
      </c>
      <c r="H17" s="43">
        <f>$I$3+2</f>
        <v>12.5</v>
      </c>
      <c r="I17" s="43">
        <f>$I$3+3</f>
        <v>13.5</v>
      </c>
    </row>
    <row r="18" spans="2:9" ht="13.5" x14ac:dyDescent="0.25">
      <c r="B18" s="39">
        <f>$C$3-0.015</f>
        <v>9.2449500000000004E-2</v>
      </c>
      <c r="C18" s="37">
        <f>IFERROR(ROUND(('DCF Model'!C45/(1+$B18)^('DCF Model'!C19+0)+'DCF Model'!D45/(1+$B18)^('DCF Model'!C19+1)+'DCF Model'!E45/(1+$B18)^('DCF Model'!C19+2)+'DCF Model'!F45/(1+$B18)^('DCF Model'!C19+3)+'DCF Model'!G45/(1+$B18)^('DCF Model'!C19+4)+('DCF Model'!G39+'DCF Model'!G42)*C$17/(1+$B18)^('DCF Model'!C19+4)-'DCF Model'!C16)*1000000/'DCF Model'!C15,0),"")</f>
        <v>24958</v>
      </c>
      <c r="D18" s="37">
        <f>IFERROR(ROUND(('DCF Model'!C45/(1+$B18)^('DCF Model'!C19+0)+'DCF Model'!D45/(1+$B18)^('DCF Model'!C19+1)+'DCF Model'!E45/(1+$B18)^('DCF Model'!C19+2)+'DCF Model'!F45/(1+$B18)^('DCF Model'!C19+3)+'DCF Model'!G45/(1+$B18)^('DCF Model'!C19+4)+('DCF Model'!G39+'DCF Model'!G42)*D$17/(1+$B18)^('DCF Model'!C19+4)-'DCF Model'!C16)*1000000/'DCF Model'!C15,0),"")</f>
        <v>27250</v>
      </c>
      <c r="E18" s="37">
        <f>IFERROR(ROUND(('DCF Model'!C45/(1+$B18)^('DCF Model'!C19+0)+'DCF Model'!D45/(1+$B18)^('DCF Model'!C19+1)+'DCF Model'!E45/(1+$B18)^('DCF Model'!C19+2)+'DCF Model'!F45/(1+$B18)^('DCF Model'!C19+3)+'DCF Model'!G45/(1+$B18)^('DCF Model'!C19+4)+('DCF Model'!G39+'DCF Model'!G42)*E$17/(1+$B18)^('DCF Model'!C19+4)-'DCF Model'!C16)*1000000/'DCF Model'!C15,0),"")</f>
        <v>29542</v>
      </c>
      <c r="F18" s="37">
        <f>IFERROR(ROUND(('DCF Model'!C45/(1+$B18)^('DCF Model'!C19+0)+'DCF Model'!D45/(1+$B18)^('DCF Model'!C19+1)+'DCF Model'!E45/(1+$B18)^('DCF Model'!C19+2)+'DCF Model'!F45/(1+$B18)^('DCF Model'!C19+3)+'DCF Model'!G45/(1+$B18)^('DCF Model'!C19+4)+('DCF Model'!G39+'DCF Model'!G42)*F$17/(1+$B18)^('DCF Model'!C19+4)-'DCF Model'!C16)*1000000/'DCF Model'!C15,0),"")</f>
        <v>31835</v>
      </c>
      <c r="G18" s="37">
        <f>IFERROR(ROUND(('DCF Model'!C45/(1+$B18)^('DCF Model'!C19+0)+'DCF Model'!D45/(1+$B18)^('DCF Model'!C19+1)+'DCF Model'!E45/(1+$B18)^('DCF Model'!C19+2)+'DCF Model'!F45/(1+$B18)^('DCF Model'!C19+3)+'DCF Model'!G45/(1+$B18)^('DCF Model'!C19+4)+('DCF Model'!G39+'DCF Model'!G42)*G$17/(1+$B18)^('DCF Model'!C19+4)-'DCF Model'!C16)*1000000/'DCF Model'!C15,0),"")</f>
        <v>34127</v>
      </c>
      <c r="H18" s="37">
        <f>IFERROR(ROUND(('DCF Model'!C45/(1+$B18)^('DCF Model'!C19+0)+'DCF Model'!D45/(1+$B18)^('DCF Model'!C19+1)+'DCF Model'!E45/(1+$B18)^('DCF Model'!C19+2)+'DCF Model'!F45/(1+$B18)^('DCF Model'!C19+3)+'DCF Model'!G45/(1+$B18)^('DCF Model'!C19+4)+('DCF Model'!G39+'DCF Model'!G42)*H$17/(1+$B18)^('DCF Model'!C19+4)-'DCF Model'!C16)*1000000/'DCF Model'!C15,0),"")</f>
        <v>36419</v>
      </c>
      <c r="I18" s="37">
        <f>IFERROR(ROUND(('DCF Model'!C45/(1+$B18)^('DCF Model'!C19+0)+'DCF Model'!D45/(1+$B18)^('DCF Model'!C19+1)+'DCF Model'!E45/(1+$B18)^('DCF Model'!C19+2)+'DCF Model'!F45/(1+$B18)^('DCF Model'!C19+3)+'DCF Model'!G45/(1+$B18)^('DCF Model'!C19+4)+('DCF Model'!G39+'DCF Model'!G42)*I$17/(1+$B18)^('DCF Model'!C19+4)-'DCF Model'!C16)*1000000/'DCF Model'!C15,0),"")</f>
        <v>38711</v>
      </c>
    </row>
    <row r="19" spans="2:9" ht="13.5" x14ac:dyDescent="0.25">
      <c r="B19" s="39">
        <f>$C$3-0.01</f>
        <v>9.7449500000000008E-2</v>
      </c>
      <c r="C19" s="37">
        <f>IFERROR(ROUND(('DCF Model'!C45/(1+$B19)^('DCF Model'!C19+0)+'DCF Model'!D45/(1+$B19)^('DCF Model'!C19+1)+'DCF Model'!E45/(1+$B19)^('DCF Model'!C19+2)+'DCF Model'!F45/(1+$B19)^('DCF Model'!C19+3)+'DCF Model'!G45/(1+$B19)^('DCF Model'!C19+4)+('DCF Model'!G39+'DCF Model'!G42)*C$17/(1+$B19)^('DCF Model'!C19+4)-'DCF Model'!C16)*1000000/'DCF Model'!C15,0),"")</f>
        <v>24537</v>
      </c>
      <c r="D19" s="37">
        <f>IFERROR(ROUND(('DCF Model'!C45/(1+$B19)^('DCF Model'!C19+0)+'DCF Model'!D45/(1+$B19)^('DCF Model'!C19+1)+'DCF Model'!E45/(1+$B19)^('DCF Model'!C19+2)+'DCF Model'!F45/(1+$B19)^('DCF Model'!C19+3)+'DCF Model'!G45/(1+$B19)^('DCF Model'!C19+4)+('DCF Model'!G39+'DCF Model'!G42)*D$17/(1+$B19)^('DCF Model'!C19+4)-'DCF Model'!C16)*1000000/'DCF Model'!C15,0),"")</f>
        <v>26782</v>
      </c>
      <c r="E19" s="37">
        <f>IFERROR(ROUND(('DCF Model'!C45/(1+$B19)^('DCF Model'!C19+0)+'DCF Model'!D45/(1+$B19)^('DCF Model'!C19+1)+'DCF Model'!E45/(1+$B19)^('DCF Model'!C19+2)+'DCF Model'!F45/(1+$B19)^('DCF Model'!C19+3)+'DCF Model'!G45/(1+$B19)^('DCF Model'!C19+4)+('DCF Model'!G39+'DCF Model'!G42)*E$17/(1+$B19)^('DCF Model'!C19+4)-'DCF Model'!C16)*1000000/'DCF Model'!C15,0),"")</f>
        <v>29028</v>
      </c>
      <c r="F19" s="37">
        <f>IFERROR(ROUND(('DCF Model'!C45/(1+$B19)^('DCF Model'!C19+0)+'DCF Model'!D45/(1+$B19)^('DCF Model'!C19+1)+'DCF Model'!E45/(1+$B19)^('DCF Model'!C19+2)+'DCF Model'!F45/(1+$B19)^('DCF Model'!C19+3)+'DCF Model'!G45/(1+$B19)^('DCF Model'!C19+4)+('DCF Model'!G39+'DCF Model'!G42)*F$17/(1+$B19)^('DCF Model'!C19+4)-'DCF Model'!C16)*1000000/'DCF Model'!C15,0),"")</f>
        <v>31274</v>
      </c>
      <c r="G19" s="37">
        <f>IFERROR(ROUND(('DCF Model'!C45/(1+$B19)^('DCF Model'!C19+0)+'DCF Model'!D45/(1+$B19)^('DCF Model'!C19+1)+'DCF Model'!E45/(1+$B19)^('DCF Model'!C19+2)+'DCF Model'!F45/(1+$B19)^('DCF Model'!C19+3)+'DCF Model'!G45/(1+$B19)^('DCF Model'!C19+4)+('DCF Model'!G39+'DCF Model'!G42)*G$17/(1+$B19)^('DCF Model'!C19+4)-'DCF Model'!C16)*1000000/'DCF Model'!C15,0),"")</f>
        <v>33519</v>
      </c>
      <c r="H19" s="37">
        <f>IFERROR(ROUND(('DCF Model'!C45/(1+$B19)^('DCF Model'!C19+0)+'DCF Model'!D45/(1+$B19)^('DCF Model'!C19+1)+'DCF Model'!E45/(1+$B19)^('DCF Model'!C19+2)+'DCF Model'!F45/(1+$B19)^('DCF Model'!C19+3)+'DCF Model'!G45/(1+$B19)^('DCF Model'!C19+4)+('DCF Model'!G39+'DCF Model'!G42)*H$17/(1+$B19)^('DCF Model'!C19+4)-'DCF Model'!C16)*1000000/'DCF Model'!C15,0),"")</f>
        <v>35765</v>
      </c>
      <c r="I19" s="37">
        <f>IFERROR(ROUND(('DCF Model'!C45/(1+$B19)^('DCF Model'!C19+0)+'DCF Model'!D45/(1+$B19)^('DCF Model'!C19+1)+'DCF Model'!E45/(1+$B19)^('DCF Model'!C19+2)+'DCF Model'!F45/(1+$B19)^('DCF Model'!C19+3)+'DCF Model'!G45/(1+$B19)^('DCF Model'!C19+4)+('DCF Model'!G39+'DCF Model'!G42)*I$17/(1+$B19)^('DCF Model'!C19+4)-'DCF Model'!C16)*1000000/'DCF Model'!C15,0),"")</f>
        <v>38010</v>
      </c>
    </row>
    <row r="20" spans="2:9" ht="13.5" x14ac:dyDescent="0.25">
      <c r="B20" s="39">
        <f>$C$3-0.005</f>
        <v>0.1024495</v>
      </c>
      <c r="C20" s="37">
        <f>IFERROR(ROUND(('DCF Model'!C45/(1+$B20)^('DCF Model'!C19+0)+'DCF Model'!D45/(1+$B20)^('DCF Model'!C19+1)+'DCF Model'!E45/(1+$B20)^('DCF Model'!C19+2)+'DCF Model'!F45/(1+$B20)^('DCF Model'!C19+3)+'DCF Model'!G45/(1+$B20)^('DCF Model'!C19+4)+('DCF Model'!G39+'DCF Model'!G42)*C$17/(1+$B20)^('DCF Model'!C19+4)-'DCF Model'!C16)*1000000/'DCF Model'!C15,0),"")</f>
        <v>24125</v>
      </c>
      <c r="D20" s="37">
        <f>IFERROR(ROUND(('DCF Model'!C45/(1+$B20)^('DCF Model'!C19+0)+'DCF Model'!D45/(1+$B20)^('DCF Model'!C19+1)+'DCF Model'!E45/(1+$B20)^('DCF Model'!C19+2)+'DCF Model'!F45/(1+$B20)^('DCF Model'!C19+3)+'DCF Model'!G45/(1+$B20)^('DCF Model'!C19+4)+('DCF Model'!G39+'DCF Model'!G42)*D$17/(1+$B20)^('DCF Model'!C19+4)-'DCF Model'!C16)*1000000/'DCF Model'!C15,0),"")</f>
        <v>26326</v>
      </c>
      <c r="E20" s="37">
        <f>IFERROR(ROUND(('DCF Model'!C45/(1+$B20)^('DCF Model'!C19+0)+'DCF Model'!D45/(1+$B20)^('DCF Model'!C19+1)+'DCF Model'!E45/(1+$B20)^('DCF Model'!C19+2)+'DCF Model'!F45/(1+$B20)^('DCF Model'!C19+3)+'DCF Model'!G45/(1+$B20)^('DCF Model'!C19+4)+('DCF Model'!G39+'DCF Model'!G42)*E$17/(1+$B20)^('DCF Model'!C19+4)-'DCF Model'!C16)*1000000/'DCF Model'!C15,0),"")</f>
        <v>28526</v>
      </c>
      <c r="F20" s="37">
        <f>IFERROR(ROUND(('DCF Model'!C45/(1+$B20)^('DCF Model'!C19+0)+'DCF Model'!D45/(1+$B20)^('DCF Model'!C19+1)+'DCF Model'!E45/(1+$B20)^('DCF Model'!C19+2)+'DCF Model'!F45/(1+$B20)^('DCF Model'!C19+3)+'DCF Model'!G45/(1+$B20)^('DCF Model'!C19+4)+('DCF Model'!G39+'DCF Model'!G42)*F$17/(1+$B20)^('DCF Model'!C19+4)-'DCF Model'!C16)*1000000/'DCF Model'!C15,0),"")</f>
        <v>30726</v>
      </c>
      <c r="G20" s="37">
        <f>IFERROR(ROUND(('DCF Model'!C45/(1+$B20)^('DCF Model'!C19+0)+'DCF Model'!D45/(1+$B20)^('DCF Model'!C19+1)+'DCF Model'!E45/(1+$B20)^('DCF Model'!C19+2)+'DCF Model'!F45/(1+$B20)^('DCF Model'!C19+3)+'DCF Model'!G45/(1+$B20)^('DCF Model'!C19+4)+('DCF Model'!G39+'DCF Model'!G42)*G$17/(1+$B20)^('DCF Model'!C19+4)-'DCF Model'!C16)*1000000/'DCF Model'!C15,0),"")</f>
        <v>32926</v>
      </c>
      <c r="H20" s="37">
        <f>IFERROR(ROUND(('DCF Model'!C45/(1+$B20)^('DCF Model'!C19+0)+'DCF Model'!D45/(1+$B20)^('DCF Model'!C19+1)+'DCF Model'!E45/(1+$B20)^('DCF Model'!C19+2)+'DCF Model'!F45/(1+$B20)^('DCF Model'!C19+3)+'DCF Model'!G45/(1+$B20)^('DCF Model'!C19+4)+('DCF Model'!G39+'DCF Model'!G42)*H$17/(1+$B20)^('DCF Model'!C19+4)-'DCF Model'!C16)*1000000/'DCF Model'!C15,0),"")</f>
        <v>35126</v>
      </c>
      <c r="I20" s="37">
        <f>IFERROR(ROUND(('DCF Model'!C45/(1+$B20)^('DCF Model'!C19+0)+'DCF Model'!D45/(1+$B20)^('DCF Model'!C19+1)+'DCF Model'!E45/(1+$B20)^('DCF Model'!C19+2)+'DCF Model'!F45/(1+$B20)^('DCF Model'!C19+3)+'DCF Model'!G45/(1+$B20)^('DCF Model'!C19+4)+('DCF Model'!G39+'DCF Model'!G42)*I$17/(1+$B20)^('DCF Model'!C19+4)-'DCF Model'!C16)*1000000/'DCF Model'!C15,0),"")</f>
        <v>37326</v>
      </c>
    </row>
    <row r="21" spans="2:9" ht="13.5" x14ac:dyDescent="0.25">
      <c r="B21" s="39">
        <f>$C$3</f>
        <v>0.1074495</v>
      </c>
      <c r="C21" s="37">
        <f>IFERROR(ROUND(('DCF Model'!C45/(1+$B21)^('DCF Model'!C19+0)+'DCF Model'!D45/(1+$B21)^('DCF Model'!C19+1)+'DCF Model'!E45/(1+$B21)^('DCF Model'!C19+2)+'DCF Model'!F45/(1+$B21)^('DCF Model'!C19+3)+'DCF Model'!G45/(1+$B21)^('DCF Model'!C19+4)+('DCF Model'!G39+'DCF Model'!G42)*C$17/(1+$B21)^('DCF Model'!C19+4)-'DCF Model'!C16)*1000000/'DCF Model'!C15,0),"")</f>
        <v>23724</v>
      </c>
      <c r="D21" s="37">
        <f>IFERROR(ROUND(('DCF Model'!C45/(1+$B21)^('DCF Model'!C19+0)+'DCF Model'!D45/(1+$B21)^('DCF Model'!C19+1)+'DCF Model'!E45/(1+$B21)^('DCF Model'!C19+2)+'DCF Model'!F45/(1+$B21)^('DCF Model'!C19+3)+'DCF Model'!G45/(1+$B21)^('DCF Model'!C19+4)+('DCF Model'!G39+'DCF Model'!G42)*D$17/(1+$B21)^('DCF Model'!C19+4)-'DCF Model'!C16)*1000000/'DCF Model'!C15,0),"")</f>
        <v>25880</v>
      </c>
      <c r="E21" s="37">
        <f>IFERROR(ROUND(('DCF Model'!C45/(1+$B21)^('DCF Model'!C19+0)+'DCF Model'!D45/(1+$B21)^('DCF Model'!C19+1)+'DCF Model'!E45/(1+$B21)^('DCF Model'!C19+2)+'DCF Model'!F45/(1+$B21)^('DCF Model'!C19+3)+'DCF Model'!G45/(1+$B21)^('DCF Model'!C19+4)+('DCF Model'!G39+'DCF Model'!G42)*E$17/(1+$B21)^('DCF Model'!C19+4)-'DCF Model'!C16)*1000000/'DCF Model'!C15,0),"")</f>
        <v>28035</v>
      </c>
      <c r="F21" s="37">
        <f>IFERROR(ROUND(('DCF Model'!C45/(1+$B21)^('DCF Model'!C19+0)+'DCF Model'!D45/(1+$B21)^('DCF Model'!C19+1)+'DCF Model'!E45/(1+$B21)^('DCF Model'!C19+2)+'DCF Model'!F45/(1+$B21)^('DCF Model'!C19+3)+'DCF Model'!G45/(1+$B21)^('DCF Model'!C19+4)+('DCF Model'!G39+'DCF Model'!G42)*F$17/(1+$B21)^('DCF Model'!C19+4)-'DCF Model'!C16)*1000000/'DCF Model'!C15,0),"")</f>
        <v>30191</v>
      </c>
      <c r="G21" s="37">
        <f>IFERROR(ROUND(('DCF Model'!C45/(1+$B21)^('DCF Model'!C19+0)+'DCF Model'!D45/(1+$B21)^('DCF Model'!C19+1)+'DCF Model'!E45/(1+$B21)^('DCF Model'!C19+2)+'DCF Model'!F45/(1+$B21)^('DCF Model'!C19+3)+'DCF Model'!G45/(1+$B21)^('DCF Model'!C19+4)+('DCF Model'!G39+'DCF Model'!G42)*G$17/(1+$B21)^('DCF Model'!C19+4)-'DCF Model'!C16)*1000000/'DCF Model'!C15,0),"")</f>
        <v>32347</v>
      </c>
      <c r="H21" s="37">
        <f>IFERROR(ROUND(('DCF Model'!C45/(1+$B21)^('DCF Model'!C19+0)+'DCF Model'!D45/(1+$B21)^('DCF Model'!C19+1)+'DCF Model'!E45/(1+$B21)^('DCF Model'!C19+2)+'DCF Model'!F45/(1+$B21)^('DCF Model'!C19+3)+'DCF Model'!G45/(1+$B21)^('DCF Model'!C19+4)+('DCF Model'!G39+'DCF Model'!G42)*H$17/(1+$B21)^('DCF Model'!C19+4)-'DCF Model'!C16)*1000000/'DCF Model'!C15,0),"")</f>
        <v>34503</v>
      </c>
      <c r="I21" s="37">
        <f>IFERROR(ROUND(('DCF Model'!C45/(1+$B21)^('DCF Model'!C19+0)+'DCF Model'!D45/(1+$B21)^('DCF Model'!C19+1)+'DCF Model'!E45/(1+$B21)^('DCF Model'!C19+2)+'DCF Model'!F45/(1+$B21)^('DCF Model'!C19+3)+'DCF Model'!G45/(1+$B21)^('DCF Model'!C19+4)+('DCF Model'!G39+'DCF Model'!G42)*I$17/(1+$B21)^('DCF Model'!C19+4)-'DCF Model'!C16)*1000000/'DCF Model'!C15,0),"")</f>
        <v>36659</v>
      </c>
    </row>
    <row r="22" spans="2:9" ht="13.5" x14ac:dyDescent="0.25">
      <c r="B22" s="39">
        <f>$C$3+0.005</f>
        <v>0.11244950000000001</v>
      </c>
      <c r="C22" s="37">
        <f>IFERROR(ROUND(('DCF Model'!C45/(1+$B22)^('DCF Model'!C19+0)+'DCF Model'!D45/(1+$B22)^('DCF Model'!C19+1)+'DCF Model'!E45/(1+$B22)^('DCF Model'!C19+2)+'DCF Model'!F45/(1+$B22)^('DCF Model'!C19+3)+'DCF Model'!G45/(1+$B22)^('DCF Model'!C19+4)+('DCF Model'!G39+'DCF Model'!G42)*C$17/(1+$B22)^('DCF Model'!C19+4)-'DCF Model'!C16)*1000000/'DCF Model'!C15,0),"")</f>
        <v>23332</v>
      </c>
      <c r="D22" s="37">
        <f>IFERROR(ROUND(('DCF Model'!C45/(1+$B22)^('DCF Model'!C19+0)+'DCF Model'!D45/(1+$B22)^('DCF Model'!C19+1)+'DCF Model'!E45/(1+$B22)^('DCF Model'!C19+2)+'DCF Model'!F45/(1+$B22)^('DCF Model'!C19+3)+'DCF Model'!G45/(1+$B22)^('DCF Model'!C19+4)+('DCF Model'!G39+'DCF Model'!G42)*D$17/(1+$B22)^('DCF Model'!C19+4)-'DCF Model'!C16)*1000000/'DCF Model'!C15,0),"")</f>
        <v>25444</v>
      </c>
      <c r="E22" s="37">
        <f>IFERROR(ROUND(('DCF Model'!C45/(1+$B22)^('DCF Model'!C19+0)+'DCF Model'!D45/(1+$B22)^('DCF Model'!C19+1)+'DCF Model'!E45/(1+$B22)^('DCF Model'!C19+2)+'DCF Model'!F45/(1+$B22)^('DCF Model'!C19+3)+'DCF Model'!G45/(1+$B22)^('DCF Model'!C19+4)+('DCF Model'!G39+'DCF Model'!G42)*E$17/(1+$B22)^('DCF Model'!C19+4)-'DCF Model'!C16)*1000000/'DCF Model'!C15,0),"")</f>
        <v>27557</v>
      </c>
      <c r="F22" s="37">
        <f>IFERROR(ROUND(('DCF Model'!C45/(1+$B22)^('DCF Model'!C19+0)+'DCF Model'!D45/(1+$B22)^('DCF Model'!C19+1)+'DCF Model'!E45/(1+$B22)^('DCF Model'!C19+2)+'DCF Model'!F45/(1+$B22)^('DCF Model'!C19+3)+'DCF Model'!G45/(1+$B22)^('DCF Model'!C19+4)+('DCF Model'!G39+'DCF Model'!G42)*F$17/(1+$B22)^('DCF Model'!C19+4)-'DCF Model'!C16)*1000000/'DCF Model'!C15,0),"")</f>
        <v>29669</v>
      </c>
      <c r="G22" s="37">
        <f>IFERROR(ROUND(('DCF Model'!C45/(1+$B22)^('DCF Model'!C19+0)+'DCF Model'!D45/(1+$B22)^('DCF Model'!C19+1)+'DCF Model'!E45/(1+$B22)^('DCF Model'!C19+2)+'DCF Model'!F45/(1+$B22)^('DCF Model'!C19+3)+'DCF Model'!G45/(1+$B22)^('DCF Model'!C19+4)+('DCF Model'!G39+'DCF Model'!G42)*G$17/(1+$B22)^('DCF Model'!C19+4)-'DCF Model'!C16)*1000000/'DCF Model'!C15,0),"")</f>
        <v>31782</v>
      </c>
      <c r="H22" s="37">
        <f>IFERROR(ROUND(('DCF Model'!C45/(1+$B22)^('DCF Model'!C19+0)+'DCF Model'!D45/(1+$B22)^('DCF Model'!C19+1)+'DCF Model'!E45/(1+$B22)^('DCF Model'!C19+2)+'DCF Model'!F45/(1+$B22)^('DCF Model'!C19+3)+'DCF Model'!G45/(1+$B22)^('DCF Model'!C19+4)+('DCF Model'!G39+'DCF Model'!G42)*H$17/(1+$B22)^('DCF Model'!C19+4)-'DCF Model'!C16)*1000000/'DCF Model'!C15,0),"")</f>
        <v>33894</v>
      </c>
      <c r="I22" s="37">
        <f>IFERROR(ROUND(('DCF Model'!C45/(1+$B22)^('DCF Model'!C19+0)+'DCF Model'!D45/(1+$B22)^('DCF Model'!C19+1)+'DCF Model'!E45/(1+$B22)^('DCF Model'!C19+2)+'DCF Model'!F45/(1+$B22)^('DCF Model'!C19+3)+'DCF Model'!G45/(1+$B22)^('DCF Model'!C19+4)+('DCF Model'!G39+'DCF Model'!G42)*I$17/(1+$B22)^('DCF Model'!C19+4)-'DCF Model'!C16)*1000000/'DCF Model'!C15,0),"")</f>
        <v>36007</v>
      </c>
    </row>
    <row r="23" spans="2:9" ht="13.5" x14ac:dyDescent="0.25">
      <c r="B23" s="39">
        <f>$C$3+0.01</f>
        <v>0.1174495</v>
      </c>
      <c r="C23" s="37">
        <f>IFERROR(ROUND(('DCF Model'!C45/(1+$B23)^('DCF Model'!C19+0)+'DCF Model'!D45/(1+$B23)^('DCF Model'!C19+1)+'DCF Model'!E45/(1+$B23)^('DCF Model'!C19+2)+'DCF Model'!F45/(1+$B23)^('DCF Model'!C19+3)+'DCF Model'!G45/(1+$B23)^('DCF Model'!C19+4)+('DCF Model'!G39+'DCF Model'!G42)*C$17/(1+$B23)^('DCF Model'!C19+4)-'DCF Model'!C16)*1000000/'DCF Model'!C15,0),"")</f>
        <v>22949</v>
      </c>
      <c r="D23" s="37">
        <f>IFERROR(ROUND(('DCF Model'!C45/(1+$B23)^('DCF Model'!C19+0)+'DCF Model'!D45/(1+$B23)^('DCF Model'!C19+1)+'DCF Model'!E45/(1+$B23)^('DCF Model'!C19+2)+'DCF Model'!F45/(1+$B23)^('DCF Model'!C19+3)+'DCF Model'!G45/(1+$B23)^('DCF Model'!C19+4)+('DCF Model'!G39+'DCF Model'!G42)*D$17/(1+$B23)^('DCF Model'!C19+4)-'DCF Model'!C16)*1000000/'DCF Model'!C15,0),"")</f>
        <v>25019</v>
      </c>
      <c r="E23" s="37">
        <f>IFERROR(ROUND(('DCF Model'!C45/(1+$B23)^('DCF Model'!C19+0)+'DCF Model'!D45/(1+$B23)^('DCF Model'!C19+1)+'DCF Model'!E45/(1+$B23)^('DCF Model'!C19+2)+'DCF Model'!F45/(1+$B23)^('DCF Model'!C19+3)+'DCF Model'!G45/(1+$B23)^('DCF Model'!C19+4)+('DCF Model'!G39+'DCF Model'!G42)*E$17/(1+$B23)^('DCF Model'!C19+4)-'DCF Model'!C16)*1000000/'DCF Model'!C15,0),"")</f>
        <v>27089</v>
      </c>
      <c r="F23" s="37">
        <f>IFERROR(ROUND(('DCF Model'!C45/(1+$B23)^('DCF Model'!C19+0)+'DCF Model'!D45/(1+$B23)^('DCF Model'!C19+1)+'DCF Model'!E45/(1+$B23)^('DCF Model'!C19+2)+'DCF Model'!F45/(1+$B23)^('DCF Model'!C19+3)+'DCF Model'!G45/(1+$B23)^('DCF Model'!C19+4)+('DCF Model'!G39+'DCF Model'!G42)*F$17/(1+$B23)^('DCF Model'!C19+4)-'DCF Model'!C16)*1000000/'DCF Model'!C15,0),"")</f>
        <v>29160</v>
      </c>
      <c r="G23" s="37">
        <f>IFERROR(ROUND(('DCF Model'!C45/(1+$B23)^('DCF Model'!C19+0)+'DCF Model'!D45/(1+$B23)^('DCF Model'!C19+1)+'DCF Model'!E45/(1+$B23)^('DCF Model'!C19+2)+'DCF Model'!F45/(1+$B23)^('DCF Model'!C19+3)+'DCF Model'!G45/(1+$B23)^('DCF Model'!C19+4)+('DCF Model'!G39+'DCF Model'!G42)*G$17/(1+$B23)^('DCF Model'!C19+4)-'DCF Model'!C16)*1000000/'DCF Model'!C15,0),"")</f>
        <v>31230</v>
      </c>
      <c r="H23" s="37">
        <f>IFERROR(ROUND(('DCF Model'!C45/(1+$B23)^('DCF Model'!C19+0)+'DCF Model'!D45/(1+$B23)^('DCF Model'!C19+1)+'DCF Model'!E45/(1+$B23)^('DCF Model'!C19+2)+'DCF Model'!F45/(1+$B23)^('DCF Model'!C19+3)+'DCF Model'!G45/(1+$B23)^('DCF Model'!C19+4)+('DCF Model'!G39+'DCF Model'!G42)*H$17/(1+$B23)^('DCF Model'!C19+4)-'DCF Model'!C16)*1000000/'DCF Model'!C15,0),"")</f>
        <v>33300</v>
      </c>
      <c r="I23" s="37">
        <f>IFERROR(ROUND(('DCF Model'!C45/(1+$B23)^('DCF Model'!C19+0)+'DCF Model'!D45/(1+$B23)^('DCF Model'!C19+1)+'DCF Model'!E45/(1+$B23)^('DCF Model'!C19+2)+'DCF Model'!F45/(1+$B23)^('DCF Model'!C19+3)+'DCF Model'!G45/(1+$B23)^('DCF Model'!C19+4)+('DCF Model'!G39+'DCF Model'!G42)*I$17/(1+$B23)^('DCF Model'!C19+4)-'DCF Model'!C16)*1000000/'DCF Model'!C15,0),"")</f>
        <v>35371</v>
      </c>
    </row>
    <row r="24" spans="2:9" ht="13.5" x14ac:dyDescent="0.25">
      <c r="B24" s="39">
        <f>$C$3+0.015</f>
        <v>0.1224495</v>
      </c>
      <c r="C24" s="37">
        <f>IFERROR(ROUND(('DCF Model'!C45/(1+$B24)^('DCF Model'!C19+0)+'DCF Model'!D45/(1+$B24)^('DCF Model'!C19+1)+'DCF Model'!E45/(1+$B24)^('DCF Model'!C19+2)+'DCF Model'!F45/(1+$B24)^('DCF Model'!C19+3)+'DCF Model'!G45/(1+$B24)^('DCF Model'!C19+4)+('DCF Model'!G39+'DCF Model'!G42)*C$17/(1+$B24)^('DCF Model'!C19+4)-'DCF Model'!C16)*1000000/'DCF Model'!C15,0),"")</f>
        <v>22575</v>
      </c>
      <c r="D24" s="37">
        <f>IFERROR(ROUND(('DCF Model'!C45/(1+$B24)^('DCF Model'!C19+0)+'DCF Model'!D45/(1+$B24)^('DCF Model'!C19+1)+'DCF Model'!E45/(1+$B24)^('DCF Model'!C19+2)+'DCF Model'!F45/(1+$B24)^('DCF Model'!C19+3)+'DCF Model'!G45/(1+$B24)^('DCF Model'!C19+4)+('DCF Model'!G39+'DCF Model'!G42)*D$17/(1+$B24)^('DCF Model'!C19+4)-'DCF Model'!C16)*1000000/'DCF Model'!C15,0),"")</f>
        <v>24604</v>
      </c>
      <c r="E24" s="37">
        <f>IFERROR(ROUND(('DCF Model'!C45/(1+$B24)^('DCF Model'!C19+0)+'DCF Model'!D45/(1+$B24)^('DCF Model'!C19+1)+'DCF Model'!E45/(1+$B24)^('DCF Model'!C19+2)+'DCF Model'!F45/(1+$B24)^('DCF Model'!C19+3)+'DCF Model'!G45/(1+$B24)^('DCF Model'!C19+4)+('DCF Model'!G39+'DCF Model'!G42)*E$17/(1+$B24)^('DCF Model'!C19+4)-'DCF Model'!C16)*1000000/'DCF Model'!C15,0),"")</f>
        <v>26633</v>
      </c>
      <c r="F24" s="37">
        <f>IFERROR(ROUND(('DCF Model'!C45/(1+$B24)^('DCF Model'!C19+0)+'DCF Model'!D45/(1+$B24)^('DCF Model'!C19+1)+'DCF Model'!E45/(1+$B24)^('DCF Model'!C19+2)+'DCF Model'!F45/(1+$B24)^('DCF Model'!C19+3)+'DCF Model'!G45/(1+$B24)^('DCF Model'!C19+4)+('DCF Model'!G39+'DCF Model'!G42)*F$17/(1+$B24)^('DCF Model'!C19+4)-'DCF Model'!C16)*1000000/'DCF Model'!C15,0),"")</f>
        <v>28662</v>
      </c>
      <c r="G24" s="37">
        <f>IFERROR(ROUND(('DCF Model'!C45/(1+$B24)^('DCF Model'!C19+0)+'DCF Model'!D45/(1+$B24)^('DCF Model'!C19+1)+'DCF Model'!E45/(1+$B24)^('DCF Model'!C19+2)+'DCF Model'!F45/(1+$B24)^('DCF Model'!C19+3)+'DCF Model'!G45/(1+$B24)^('DCF Model'!C19+4)+('DCF Model'!G39+'DCF Model'!G42)*G$17/(1+$B24)^('DCF Model'!C19+4)-'DCF Model'!C16)*1000000/'DCF Model'!C15,0),"")</f>
        <v>30691</v>
      </c>
      <c r="H24" s="37">
        <f>IFERROR(ROUND(('DCF Model'!C45/(1+$B24)^('DCF Model'!C19+0)+'DCF Model'!D45/(1+$B24)^('DCF Model'!C19+1)+'DCF Model'!E45/(1+$B24)^('DCF Model'!C19+2)+'DCF Model'!F45/(1+$B24)^('DCF Model'!C19+3)+'DCF Model'!G45/(1+$B24)^('DCF Model'!C19+4)+('DCF Model'!G39+'DCF Model'!G42)*H$17/(1+$B24)^('DCF Model'!C19+4)-'DCF Model'!C16)*1000000/'DCF Model'!C15,0),"")</f>
        <v>32721</v>
      </c>
      <c r="I24" s="37">
        <f>IFERROR(ROUND(('DCF Model'!C45/(1+$B24)^('DCF Model'!C19+0)+'DCF Model'!D45/(1+$B24)^('DCF Model'!C19+1)+'DCF Model'!E45/(1+$B24)^('DCF Model'!C19+2)+'DCF Model'!F45/(1+$B24)^('DCF Model'!C19+3)+'DCF Model'!G45/(1+$B24)^('DCF Model'!C19+4)+('DCF Model'!G39+'DCF Model'!G42)*I$17/(1+$B24)^('DCF Model'!C19+4)-'DCF Model'!C16)*1000000/'DCF Model'!C15,0),"")</f>
        <v>34750</v>
      </c>
    </row>
    <row r="26" spans="2:9" ht="14" x14ac:dyDescent="0.3">
      <c r="B26" s="46" t="s">
        <v>245</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246</v>
      </c>
    </row>
    <row r="4" spans="2:7" ht="14"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t="s">
        <v>253</v>
      </c>
      <c r="C6" s="4" t="s">
        <v>258</v>
      </c>
      <c r="D6" t="s">
        <v>259</v>
      </c>
      <c r="E6" t="s">
        <v>260</v>
      </c>
      <c r="F6" t="s">
        <v>261</v>
      </c>
      <c r="G6" t="s">
        <v>262</v>
      </c>
    </row>
    <row r="7" spans="2:7" ht="30" customHeight="1" x14ac:dyDescent="0.3">
      <c r="B7" t="s">
        <v>253</v>
      </c>
      <c r="C7" s="4" t="s">
        <v>263</v>
      </c>
      <c r="D7" t="s">
        <v>264</v>
      </c>
      <c r="E7" t="s">
        <v>265</v>
      </c>
      <c r="F7" t="s">
        <v>266</v>
      </c>
      <c r="G7" t="s">
        <v>267</v>
      </c>
    </row>
    <row r="12" spans="2:7" ht="14" x14ac:dyDescent="0.3">
      <c r="B12" s="8" t="s">
        <v>268</v>
      </c>
    </row>
    <row r="13" spans="2:7" ht="14" x14ac:dyDescent="0.3">
      <c r="B13" s="10" t="s">
        <v>269</v>
      </c>
      <c r="C13" s="10" t="s">
        <v>270</v>
      </c>
    </row>
    <row r="14" spans="2:7" ht="14" x14ac:dyDescent="0.3">
      <c r="B14" s="4" t="s">
        <v>271</v>
      </c>
      <c r="C14" t="s">
        <v>272</v>
      </c>
    </row>
    <row r="15" spans="2:7" ht="14" x14ac:dyDescent="0.3">
      <c r="B15" s="4" t="s">
        <v>273</v>
      </c>
      <c r="C15" t="s">
        <v>274</v>
      </c>
    </row>
    <row r="16" spans="2:7" ht="14" x14ac:dyDescent="0.3">
      <c r="B16" s="4" t="s">
        <v>275</v>
      </c>
      <c r="C16" t="s">
        <v>276</v>
      </c>
    </row>
    <row r="17" spans="2:3" ht="14" x14ac:dyDescent="0.3">
      <c r="B17" s="4" t="s">
        <v>277</v>
      </c>
      <c r="C17" t="s">
        <v>274</v>
      </c>
    </row>
    <row r="18" spans="2:3" ht="14" x14ac:dyDescent="0.3">
      <c r="B18" s="4" t="s">
        <v>278</v>
      </c>
      <c r="C18" t="s">
        <v>279</v>
      </c>
    </row>
    <row r="19" spans="2:3" ht="14" x14ac:dyDescent="0.3">
      <c r="B19" s="4" t="s">
        <v>280</v>
      </c>
      <c r="C19" t="s">
        <v>281</v>
      </c>
    </row>
    <row r="20" spans="2:3" ht="14" x14ac:dyDescent="0.3">
      <c r="B20" s="4" t="s">
        <v>282</v>
      </c>
      <c r="C20" t="s">
        <v>283</v>
      </c>
    </row>
    <row r="21" spans="2:3" ht="14" x14ac:dyDescent="0.3">
      <c r="B21" s="4" t="s">
        <v>284</v>
      </c>
      <c r="C21" t="s">
        <v>285</v>
      </c>
    </row>
    <row r="22" spans="2:3" ht="14" x14ac:dyDescent="0.3">
      <c r="B22" s="4" t="s">
        <v>286</v>
      </c>
      <c r="C22" t="s">
        <v>47</v>
      </c>
    </row>
    <row r="23" spans="2:3" ht="14" x14ac:dyDescent="0.3">
      <c r="B23" s="4" t="s">
        <v>287</v>
      </c>
      <c r="C23" t="s">
        <v>4</v>
      </c>
    </row>
    <row r="24" spans="2:3" ht="14" x14ac:dyDescent="0.3">
      <c r="B24" s="4" t="s">
        <v>288</v>
      </c>
      <c r="C24" t="s">
        <v>253</v>
      </c>
    </row>
    <row r="25" spans="2:3" ht="14" x14ac:dyDescent="0.3">
      <c r="B25" s="4" t="s">
        <v>289</v>
      </c>
      <c r="C25" t="s">
        <v>290</v>
      </c>
    </row>
    <row r="26" spans="2:3" ht="14" x14ac:dyDescent="0.3">
      <c r="B26" s="4" t="s">
        <v>291</v>
      </c>
      <c r="C26" t="s">
        <v>279</v>
      </c>
    </row>
    <row r="27" spans="2:3" ht="14" x14ac:dyDescent="0.3">
      <c r="B27" s="4" t="s">
        <v>292</v>
      </c>
      <c r="C27" t="s">
        <v>279</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279</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283</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290</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290</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2026-09-06T10:39:20Z</dcterms:created>
  <dcterms:modified xsi:type="dcterms:W3CDTF">2026-09-06T10:39:23Z</dcterms:modified>
</cp:coreProperties>
</file>