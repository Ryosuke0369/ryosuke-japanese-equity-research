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yosuke0923\ryosuke-japanese-equity-research\output\"/>
    </mc:Choice>
  </mc:AlternateContent>
  <xr:revisionPtr revIDLastSave="0" documentId="13_ncr:1_{559D7E76-5B0B-4490-AAC1-E427F8AD2B8A}" xr6:coauthVersionLast="47" xr6:coauthVersionMax="47" xr10:uidLastSave="{00000000-0000-0000-0000-000000000000}"/>
  <bookViews>
    <workbookView xWindow="-110" yWindow="-110" windowWidth="19420" windowHeight="10300" firstSheet="3" activeTab="3" xr2:uid="{00000000-000D-0000-FFFF-FFFF00000000}"/>
  </bookViews>
  <sheets>
    <sheet name="Executive Summary" sheetId="1" r:id="rId1"/>
    <sheet name="Financial Statements" sheetId="2" r:id="rId2"/>
    <sheet name="DCF Model" sheetId="3" r:id="rId3"/>
    <sheet name="NWC Schedule" sheetId="4" r:id="rId4"/>
    <sheet name="Comps Analysis" sheetId="5" r:id="rId5"/>
    <sheet name="Sensitivity Analysis" sheetId="6" r:id="rId6"/>
    <sheet name="Segment Analysis" sheetId="7" r:id="rId7"/>
    <sheet name="Driver Analysis" sheetId="8" r:id="rId8"/>
  </sheets>
  <calcPr calcId="181029"/>
</workbook>
</file>

<file path=xl/calcChain.xml><?xml version="1.0" encoding="utf-8"?>
<calcChain xmlns="http://schemas.openxmlformats.org/spreadsheetml/2006/main">
  <c r="J32" i="8" l="1"/>
  <c r="I32" i="8"/>
  <c r="H32" i="8"/>
  <c r="G32" i="8"/>
  <c r="F32" i="8"/>
  <c r="E32" i="8"/>
  <c r="D32" i="8"/>
  <c r="J28" i="8"/>
  <c r="I28" i="8"/>
  <c r="H28" i="8"/>
  <c r="G28" i="8"/>
  <c r="F28" i="8"/>
  <c r="E28" i="8"/>
  <c r="D28" i="8"/>
  <c r="J24" i="8"/>
  <c r="I24" i="8"/>
  <c r="H24" i="8"/>
  <c r="G24" i="8"/>
  <c r="F24" i="8"/>
  <c r="E24" i="8"/>
  <c r="D24" i="8"/>
  <c r="C24" i="8"/>
  <c r="F23" i="8"/>
  <c r="G20" i="8" s="1"/>
  <c r="G23" i="8" s="1"/>
  <c r="H20" i="8" s="1"/>
  <c r="H23" i="8" s="1"/>
  <c r="I20" i="8" s="1"/>
  <c r="I23" i="8" s="1"/>
  <c r="J20" i="8" s="1"/>
  <c r="J23" i="8" s="1"/>
  <c r="J17" i="8"/>
  <c r="I17" i="8"/>
  <c r="H17" i="8"/>
  <c r="G17" i="8"/>
  <c r="F17" i="8"/>
  <c r="E17" i="8"/>
  <c r="D17" i="8"/>
  <c r="C17" i="8"/>
  <c r="G16" i="8"/>
  <c r="F16" i="8"/>
  <c r="H13" i="8"/>
  <c r="H16" i="8" s="1"/>
  <c r="I13" i="8" s="1"/>
  <c r="I16" i="8" s="1"/>
  <c r="J13" i="8" s="1"/>
  <c r="J16" i="8" s="1"/>
  <c r="G13" i="8"/>
  <c r="J10" i="8"/>
  <c r="I10" i="8"/>
  <c r="H10" i="8"/>
  <c r="G10" i="8"/>
  <c r="F10" i="8"/>
  <c r="E10" i="8"/>
  <c r="D10" i="8"/>
  <c r="C10" i="8"/>
  <c r="F9" i="8"/>
  <c r="G6" i="8"/>
  <c r="G9" i="8" s="1"/>
  <c r="H6" i="8" s="1"/>
  <c r="H9" i="8" s="1"/>
  <c r="I6" i="8" s="1"/>
  <c r="I9" i="8" s="1"/>
  <c r="J6" i="8" s="1"/>
  <c r="J9" i="8" s="1"/>
  <c r="E32" i="7"/>
  <c r="E33" i="7" s="1"/>
  <c r="D32" i="7"/>
  <c r="D33" i="7" s="1"/>
  <c r="C32" i="7"/>
  <c r="C33" i="7" s="1"/>
  <c r="E31" i="7"/>
  <c r="D31" i="7"/>
  <c r="C31" i="7"/>
  <c r="F21" i="7"/>
  <c r="F22" i="7" s="1"/>
  <c r="J13" i="7"/>
  <c r="I8" i="7"/>
  <c r="G17" i="6"/>
  <c r="F17" i="6"/>
  <c r="E17" i="6"/>
  <c r="D17" i="6"/>
  <c r="F6" i="6"/>
  <c r="E6" i="6"/>
  <c r="D6" i="6"/>
  <c r="C6" i="6"/>
  <c r="I3" i="6"/>
  <c r="C17" i="6" s="1"/>
  <c r="F3" i="6"/>
  <c r="I6" i="6" s="1"/>
  <c r="I17" i="5"/>
  <c r="H17" i="5"/>
  <c r="G17" i="5"/>
  <c r="I16" i="5"/>
  <c r="H16" i="5"/>
  <c r="G16" i="5"/>
  <c r="I15" i="5"/>
  <c r="G15" i="5"/>
  <c r="N8" i="5"/>
  <c r="L8" i="5"/>
  <c r="K8" i="5"/>
  <c r="J8" i="5"/>
  <c r="N7" i="5"/>
  <c r="L7" i="5"/>
  <c r="K7" i="5"/>
  <c r="J7" i="5"/>
  <c r="N6" i="5"/>
  <c r="L6" i="5"/>
  <c r="K6" i="5"/>
  <c r="J6" i="5"/>
  <c r="N5" i="5"/>
  <c r="H15" i="5" s="1"/>
  <c r="L5" i="5"/>
  <c r="F15" i="5" s="1"/>
  <c r="K5" i="5"/>
  <c r="E16" i="5" s="1"/>
  <c r="J5" i="5"/>
  <c r="D16" i="5" s="1"/>
  <c r="C27" i="5" s="1"/>
  <c r="C18" i="1" s="1"/>
  <c r="D18" i="1" s="1"/>
  <c r="H5" i="4"/>
  <c r="C5" i="4"/>
  <c r="G32" i="3"/>
  <c r="F32" i="3"/>
  <c r="E32" i="3"/>
  <c r="D32" i="3"/>
  <c r="D27" i="3"/>
  <c r="J28" i="7" s="1"/>
  <c r="C26" i="3"/>
  <c r="F46" i="3" s="1"/>
  <c r="C25" i="3"/>
  <c r="C24" i="3"/>
  <c r="C23" i="3"/>
  <c r="H28" i="2"/>
  <c r="G28" i="2"/>
  <c r="F28" i="2"/>
  <c r="E28" i="2"/>
  <c r="D28" i="2"/>
  <c r="C28" i="2"/>
  <c r="H23" i="2"/>
  <c r="G23" i="2"/>
  <c r="F23" i="2"/>
  <c r="E23" i="2"/>
  <c r="D23" i="2"/>
  <c r="C23" i="2"/>
  <c r="H22" i="2"/>
  <c r="G22" i="2"/>
  <c r="H21" i="2"/>
  <c r="G21" i="2"/>
  <c r="F21" i="2"/>
  <c r="F22" i="2" s="1"/>
  <c r="E21" i="2"/>
  <c r="E22" i="2" s="1"/>
  <c r="D21" i="2"/>
  <c r="D22" i="2" s="1"/>
  <c r="C21" i="2"/>
  <c r="C22" i="2" s="1"/>
  <c r="H16" i="2"/>
  <c r="G16" i="2"/>
  <c r="F16" i="2"/>
  <c r="E16" i="2"/>
  <c r="D16" i="2"/>
  <c r="H15" i="2"/>
  <c r="G15" i="2"/>
  <c r="F15" i="2"/>
  <c r="E15" i="2"/>
  <c r="D15" i="2"/>
  <c r="H14" i="2"/>
  <c r="G14" i="2"/>
  <c r="F14" i="2"/>
  <c r="E14" i="2"/>
  <c r="D14" i="2"/>
  <c r="C14" i="2"/>
  <c r="H13" i="2"/>
  <c r="G13" i="2"/>
  <c r="F13" i="2"/>
  <c r="E13" i="2"/>
  <c r="D13" i="2"/>
  <c r="C13" i="2"/>
  <c r="H8" i="2"/>
  <c r="H9" i="2" s="1"/>
  <c r="G8" i="2"/>
  <c r="G9" i="2" s="1"/>
  <c r="F8" i="2"/>
  <c r="F9" i="2" s="1"/>
  <c r="E8" i="2"/>
  <c r="E9" i="2" s="1"/>
  <c r="D8" i="2"/>
  <c r="D9" i="2" s="1"/>
  <c r="C8" i="2"/>
  <c r="C9" i="2" s="1"/>
  <c r="G46" i="3" l="1"/>
  <c r="D15" i="5"/>
  <c r="F16" i="5"/>
  <c r="C28" i="5" s="1"/>
  <c r="C19" i="1" s="1"/>
  <c r="D19" i="1" s="1"/>
  <c r="G8" i="7"/>
  <c r="H13" i="7"/>
  <c r="I18" i="7"/>
  <c r="J23" i="7"/>
  <c r="E15" i="5"/>
  <c r="H8" i="7"/>
  <c r="I13" i="7"/>
  <c r="J18" i="7"/>
  <c r="F26" i="7"/>
  <c r="G6" i="6"/>
  <c r="H17" i="6"/>
  <c r="J8" i="7"/>
  <c r="F16" i="7"/>
  <c r="G21" i="7"/>
  <c r="F28" i="7"/>
  <c r="C46" i="3"/>
  <c r="D5" i="4"/>
  <c r="D17" i="5"/>
  <c r="C3" i="6"/>
  <c r="H6" i="6"/>
  <c r="I17" i="6"/>
  <c r="F11" i="7"/>
  <c r="F23" i="7"/>
  <c r="G28" i="7"/>
  <c r="E5" i="4"/>
  <c r="E17" i="5"/>
  <c r="F6" i="7"/>
  <c r="F18" i="7"/>
  <c r="G23" i="7"/>
  <c r="H28" i="7"/>
  <c r="D46" i="3"/>
  <c r="C32" i="3"/>
  <c r="E46" i="3"/>
  <c r="F5" i="4"/>
  <c r="F17" i="5"/>
  <c r="F13" i="7"/>
  <c r="G18" i="7"/>
  <c r="H23" i="7"/>
  <c r="I28" i="7"/>
  <c r="G5" i="4"/>
  <c r="F8" i="7"/>
  <c r="G13" i="7"/>
  <c r="H18" i="7"/>
  <c r="I23" i="7"/>
  <c r="G16" i="7" l="1"/>
  <c r="F17" i="7"/>
  <c r="G6" i="7"/>
  <c r="F7" i="7"/>
  <c r="F31" i="7"/>
  <c r="B13" i="6"/>
  <c r="B12" i="6"/>
  <c r="B11" i="6"/>
  <c r="B10" i="6"/>
  <c r="B9" i="6"/>
  <c r="B8" i="6"/>
  <c r="B7" i="6"/>
  <c r="B24" i="6"/>
  <c r="B23" i="6"/>
  <c r="B22" i="6"/>
  <c r="B21" i="6"/>
  <c r="B20" i="6"/>
  <c r="B19" i="6"/>
  <c r="B18" i="6"/>
  <c r="F27" i="7"/>
  <c r="G26" i="7"/>
  <c r="G11" i="7"/>
  <c r="F12" i="7"/>
  <c r="H21" i="7"/>
  <c r="G22" i="7"/>
  <c r="I21" i="7" l="1"/>
  <c r="H22" i="7"/>
  <c r="F37" i="7"/>
  <c r="C33" i="3"/>
  <c r="F32" i="7"/>
  <c r="H11" i="7"/>
  <c r="G12" i="7"/>
  <c r="G27" i="7"/>
  <c r="H26" i="7"/>
  <c r="H6" i="7"/>
  <c r="G31" i="7"/>
  <c r="G7" i="7"/>
  <c r="G32" i="7" s="1"/>
  <c r="H16" i="7"/>
  <c r="G17" i="7"/>
  <c r="D39" i="3" l="1"/>
  <c r="G33" i="7"/>
  <c r="J21" i="7"/>
  <c r="J22" i="7" s="1"/>
  <c r="I22" i="7"/>
  <c r="C37" i="3"/>
  <c r="C34" i="3" s="1"/>
  <c r="C43" i="3"/>
  <c r="C30" i="3"/>
  <c r="D9" i="4"/>
  <c r="D18" i="4" s="1"/>
  <c r="D19" i="4" s="1"/>
  <c r="C44" i="3" s="1"/>
  <c r="F36" i="7"/>
  <c r="F38" i="7" s="1"/>
  <c r="C42" i="3"/>
  <c r="G37" i="7"/>
  <c r="D33" i="3"/>
  <c r="H31" i="7"/>
  <c r="H7" i="7"/>
  <c r="I6" i="7"/>
  <c r="I26" i="7"/>
  <c r="H27" i="7"/>
  <c r="I11" i="7"/>
  <c r="H12" i="7"/>
  <c r="H17" i="7"/>
  <c r="I16" i="7"/>
  <c r="F33" i="7"/>
  <c r="C39" i="3"/>
  <c r="C31" i="3" l="1"/>
  <c r="C35" i="3"/>
  <c r="D40" i="3"/>
  <c r="D41" i="3" s="1"/>
  <c r="D45" i="3" s="1"/>
  <c r="D47" i="3" s="1"/>
  <c r="J16" i="7"/>
  <c r="J17" i="7" s="1"/>
  <c r="I17" i="7"/>
  <c r="H37" i="7"/>
  <c r="E33" i="3"/>
  <c r="D43" i="3"/>
  <c r="D30" i="3"/>
  <c r="E9" i="4"/>
  <c r="E18" i="4" s="1"/>
  <c r="E19" i="4" s="1"/>
  <c r="D44" i="3" s="1"/>
  <c r="G36" i="7"/>
  <c r="D42" i="3"/>
  <c r="D37" i="3"/>
  <c r="D34" i="3" s="1"/>
  <c r="J26" i="7"/>
  <c r="J27" i="7" s="1"/>
  <c r="I27" i="7"/>
  <c r="C40" i="3"/>
  <c r="C41" i="3" s="1"/>
  <c r="C45" i="3" s="1"/>
  <c r="I31" i="7"/>
  <c r="I7" i="7"/>
  <c r="I32" i="7" s="1"/>
  <c r="J6" i="7"/>
  <c r="H32" i="7"/>
  <c r="G38" i="7"/>
  <c r="I12" i="7"/>
  <c r="J11" i="7"/>
  <c r="J12" i="7" s="1"/>
  <c r="C47" i="3" l="1"/>
  <c r="D31" i="3"/>
  <c r="D35" i="3"/>
  <c r="J31" i="7"/>
  <c r="J7" i="7"/>
  <c r="J32" i="7" s="1"/>
  <c r="I33" i="7"/>
  <c r="F39" i="3"/>
  <c r="F33" i="3"/>
  <c r="I37" i="7"/>
  <c r="H33" i="7"/>
  <c r="E39" i="3"/>
  <c r="E43" i="3"/>
  <c r="E30" i="3"/>
  <c r="H36" i="7"/>
  <c r="H38" i="7" s="1"/>
  <c r="E42" i="3"/>
  <c r="F9" i="4"/>
  <c r="F18" i="4" s="1"/>
  <c r="F19" i="4" s="1"/>
  <c r="E44" i="3" s="1"/>
  <c r="E37" i="3"/>
  <c r="E34" i="3" s="1"/>
  <c r="C38" i="3"/>
  <c r="C36" i="3"/>
  <c r="E31" i="3" l="1"/>
  <c r="E35" i="3"/>
  <c r="F40" i="3"/>
  <c r="F41" i="3" s="1"/>
  <c r="F45" i="3" s="1"/>
  <c r="F47" i="3" s="1"/>
  <c r="J33" i="7"/>
  <c r="G39" i="3"/>
  <c r="E40" i="3"/>
  <c r="E41" i="3" s="1"/>
  <c r="E45" i="3" s="1"/>
  <c r="G33" i="3"/>
  <c r="J37" i="7"/>
  <c r="D38" i="3"/>
  <c r="D36" i="3"/>
  <c r="I38" i="7"/>
  <c r="F30" i="3"/>
  <c r="F37" i="3"/>
  <c r="F34" i="3" s="1"/>
  <c r="G9" i="4"/>
  <c r="G18" i="4" s="1"/>
  <c r="G19" i="4" s="1"/>
  <c r="F44" i="3" s="1"/>
  <c r="I36" i="7"/>
  <c r="F42" i="3"/>
  <c r="F43" i="3"/>
  <c r="E47" i="3" l="1"/>
  <c r="F31" i="3"/>
  <c r="F35" i="3"/>
  <c r="H9" i="4"/>
  <c r="H18" i="4" s="1"/>
  <c r="H19" i="4" s="1"/>
  <c r="G44" i="3" s="1"/>
  <c r="J36" i="7"/>
  <c r="J38" i="7" s="1"/>
  <c r="G42" i="3"/>
  <c r="C59" i="3" s="1"/>
  <c r="C60" i="3" s="1"/>
  <c r="C61" i="3" s="1"/>
  <c r="G37" i="3"/>
  <c r="G34" i="3" s="1"/>
  <c r="G43" i="3"/>
  <c r="G30" i="3"/>
  <c r="G40" i="3"/>
  <c r="G41" i="3" s="1"/>
  <c r="G45" i="3" s="1"/>
  <c r="E38" i="3"/>
  <c r="E36" i="3"/>
  <c r="G31" i="3" l="1"/>
  <c r="G35" i="3"/>
  <c r="C51" i="3"/>
  <c r="C52" i="3" s="1"/>
  <c r="G47" i="3"/>
  <c r="D9" i="6"/>
  <c r="E8" i="6"/>
  <c r="C23" i="6"/>
  <c r="E7" i="6"/>
  <c r="G22" i="6"/>
  <c r="F22" i="6"/>
  <c r="F13" i="6"/>
  <c r="D12" i="6"/>
  <c r="G23" i="6"/>
  <c r="E12" i="6"/>
  <c r="H11" i="6"/>
  <c r="I7" i="6"/>
  <c r="I21" i="6"/>
  <c r="F7" i="6"/>
  <c r="E23" i="6"/>
  <c r="H23" i="6"/>
  <c r="I18" i="6"/>
  <c r="F24" i="6"/>
  <c r="D24" i="6"/>
  <c r="I12" i="6"/>
  <c r="D22" i="6"/>
  <c r="G21" i="6"/>
  <c r="E18" i="6"/>
  <c r="G8" i="6"/>
  <c r="I8" i="6"/>
  <c r="C20" i="6"/>
  <c r="G13" i="6"/>
  <c r="C21" i="6"/>
  <c r="C12" i="6"/>
  <c r="E9" i="6"/>
  <c r="C10" i="6"/>
  <c r="I10" i="6"/>
  <c r="D20" i="6"/>
  <c r="F18" i="6"/>
  <c r="F21" i="6"/>
  <c r="H13" i="6"/>
  <c r="E11" i="6"/>
  <c r="F11" i="6"/>
  <c r="D11" i="6"/>
  <c r="F23" i="6"/>
  <c r="H8" i="6"/>
  <c r="E13" i="6"/>
  <c r="F8" i="6"/>
  <c r="C9" i="6"/>
  <c r="D18" i="6"/>
  <c r="F12" i="6"/>
  <c r="I11" i="6"/>
  <c r="C24" i="6"/>
  <c r="I19" i="6"/>
  <c r="C8" i="6"/>
  <c r="C11" i="6"/>
  <c r="I20" i="6"/>
  <c r="G20" i="6"/>
  <c r="H24" i="6"/>
  <c r="I24" i="6"/>
  <c r="C13" i="6"/>
  <c r="E22" i="6"/>
  <c r="C7" i="6"/>
  <c r="G12" i="6"/>
  <c r="F19" i="6"/>
  <c r="E24" i="6"/>
  <c r="C18" i="6"/>
  <c r="E19" i="6"/>
  <c r="G24" i="6"/>
  <c r="H7" i="6"/>
  <c r="C22" i="6"/>
  <c r="G11" i="6"/>
  <c r="D7" i="6"/>
  <c r="H19" i="6"/>
  <c r="F9" i="6"/>
  <c r="H12" i="6"/>
  <c r="G18" i="6"/>
  <c r="D10" i="6"/>
  <c r="F20" i="6"/>
  <c r="D13" i="6"/>
  <c r="I13" i="6"/>
  <c r="D23" i="6"/>
  <c r="G10" i="6"/>
  <c r="H21" i="6"/>
  <c r="G19" i="6"/>
  <c r="H22" i="6"/>
  <c r="D19" i="6"/>
  <c r="G7" i="6"/>
  <c r="E20" i="6"/>
  <c r="F10" i="6"/>
  <c r="C19" i="6"/>
  <c r="I22" i="6"/>
  <c r="E10" i="6"/>
  <c r="I23" i="6"/>
  <c r="H10" i="6"/>
  <c r="H9" i="6"/>
  <c r="D21" i="6"/>
  <c r="G9" i="6"/>
  <c r="I9" i="6"/>
  <c r="H20" i="6"/>
  <c r="H18" i="6"/>
  <c r="D8" i="6"/>
  <c r="E21" i="6"/>
  <c r="F38" i="3"/>
  <c r="F36" i="3"/>
  <c r="C50" i="3"/>
  <c r="G36" i="3" l="1"/>
  <c r="G38" i="3"/>
  <c r="C58" i="3"/>
  <c r="C62" i="3" s="1"/>
  <c r="C63" i="3" s="1"/>
  <c r="C64" i="3" s="1"/>
  <c r="C17" i="1" s="1"/>
  <c r="D17" i="1" s="1"/>
  <c r="C53" i="3"/>
  <c r="C54" i="3" s="1"/>
  <c r="C55" i="3" s="1"/>
  <c r="C16" i="1" s="1"/>
  <c r="C10" i="1" l="1"/>
  <c r="C12" i="1" s="1"/>
  <c r="C11" i="1" s="1"/>
  <c r="D16" i="1"/>
  <c r="C21" i="1"/>
</calcChain>
</file>

<file path=xl/sharedStrings.xml><?xml version="1.0" encoding="utf-8"?>
<sst xmlns="http://schemas.openxmlformats.org/spreadsheetml/2006/main" count="452" uniqueCount="215">
  <si>
    <t>DISCLAIMER: This is a sample analysis for demonstration purposes only. It does not constitute investment advice.</t>
  </si>
  <si>
    <t>TechnoSmart Corporation (6246.T)</t>
  </si>
  <si>
    <t>Equity Research Report</t>
  </si>
  <si>
    <t>Company</t>
  </si>
  <si>
    <t>TechnoSmart Corporation</t>
  </si>
  <si>
    <t>Ticker</t>
  </si>
  <si>
    <t>6246.T (TSE Standard)</t>
  </si>
  <si>
    <t>Sector</t>
  </si>
  <si>
    <t>Machinery</t>
  </si>
  <si>
    <t>Current Price</t>
  </si>
  <si>
    <t>Target Price (Mid)</t>
  </si>
  <si>
    <t>Recommendation</t>
  </si>
  <si>
    <t>Upside / Downside</t>
  </si>
  <si>
    <t>Valuation Summary</t>
  </si>
  <si>
    <t>Methodology</t>
  </si>
  <si>
    <t>Implied Value (JPY)</t>
  </si>
  <si>
    <t>vs Current Price</t>
  </si>
  <si>
    <t>DCF - Perpetuity Growth</t>
  </si>
  <si>
    <t>DCF - Exit Multiple</t>
  </si>
  <si>
    <t>Comps - EV/EBITDA Median</t>
  </si>
  <si>
    <t>Comps - PER Median</t>
  </si>
  <si>
    <t>Integrated Valuation Range</t>
  </si>
  <si>
    <t>Key Investment Thesis</t>
  </si>
  <si>
    <t>1. LiB electrode coating equipment with ~20% global market share (duopoly with Hirano Tecseed)</t>
  </si>
  <si>
    <t>2. Dual revenue pillars (optical display + battery) provide counter-cyclical stability, sustaining ~15% OPM</t>
  </si>
  <si>
    <t>3. Structural tailwind: electricity demand acceleration (AI/DC + EV + grid storage) drives battery capex cycle</t>
  </si>
  <si>
    <t>4. Effissimo Capital (activist) as major shareholder - catalyst for capital efficiency improvement and enhanced returns</t>
  </si>
  <si>
    <t>Key Risks</t>
  </si>
  <si>
    <t>1. EV market capex delay directly reduces battery coating equipment orders</t>
  </si>
  <si>
    <t>2. Order-driven business model creates significant quarterly earnings volatility</t>
  </si>
  <si>
    <t>3. Competitive pressure from Hirano Tecseed (6245) in core LiB coating market</t>
  </si>
  <si>
    <t>4. Low daily trading volume (JPY 5-10mn) creates liquidity risk for institutional investors</t>
  </si>
  <si>
    <t>TechnoSmart Corporation - Historical Financials (JPY mn)</t>
  </si>
  <si>
    <t>FY2020</t>
  </si>
  <si>
    <t>FY2021</t>
  </si>
  <si>
    <t>FY2022</t>
  </si>
  <si>
    <t>FY2023</t>
  </si>
  <si>
    <t>FY2024</t>
  </si>
  <si>
    <t>FY2025</t>
  </si>
  <si>
    <t>Income Statement</t>
  </si>
  <si>
    <t>Revenue</t>
  </si>
  <si>
    <t>COGS</t>
  </si>
  <si>
    <t>Gross Profit</t>
  </si>
  <si>
    <t>Gross Margin</t>
  </si>
  <si>
    <t>SGA</t>
  </si>
  <si>
    <t>Operating Income</t>
  </si>
  <si>
    <t>Net Income</t>
  </si>
  <si>
    <t>Operating Margin</t>
  </si>
  <si>
    <t>Net Margin</t>
  </si>
  <si>
    <t>Revenue Growth (YoY)</t>
  </si>
  <si>
    <t>n/a</t>
  </si>
  <si>
    <t>Operating Income Growth (YoY)</t>
  </si>
  <si>
    <t>Cash Flow Statement</t>
  </si>
  <si>
    <t>Operating Cash Flow</t>
  </si>
  <si>
    <t>Capex</t>
  </si>
  <si>
    <t>Free Cash Flow</t>
  </si>
  <si>
    <t>FCF Margin</t>
  </si>
  <si>
    <t>Capex / Revenue</t>
  </si>
  <si>
    <t>Balance Sheet Highlights</t>
  </si>
  <si>
    <t>Cash &amp; Deposits</t>
  </si>
  <si>
    <t>Short-term Debt</t>
  </si>
  <si>
    <t>Net Debt (Cash)</t>
  </si>
  <si>
    <t>DCF Valuation Model - TechnoSmart Corporation</t>
  </si>
  <si>
    <t>Assumptions</t>
  </si>
  <si>
    <t>Effective Tax Rate</t>
  </si>
  <si>
    <t>Risk-Free Rate</t>
  </si>
  <si>
    <t>Beta</t>
  </si>
  <si>
    <t>Equity Risk Premium</t>
  </si>
  <si>
    <t>Size Premium</t>
  </si>
  <si>
    <t>After-tax Cost of Debt</t>
  </si>
  <si>
    <t>D/E Ratio</t>
  </si>
  <si>
    <t>Terminal Growth Rate</t>
  </si>
  <si>
    <t>Exit Multiple (EV/EBITDA)</t>
  </si>
  <si>
    <t>Fully Diluted Shares</t>
  </si>
  <si>
    <t>Net Debt (JPY mn)</t>
  </si>
  <si>
    <t>Base Year Revenue (JPY mn)</t>
  </si>
  <si>
    <t>D&amp;A / Revenue</t>
  </si>
  <si>
    <t>Stub Fraction (yr remaining)</t>
  </si>
  <si>
    <t>LTM Revenue (JPY mn)</t>
  </si>
  <si>
    <t>WACC Calculation</t>
  </si>
  <si>
    <t>Cost of Equity (Ke)</t>
  </si>
  <si>
    <t>Weight of Equity</t>
  </si>
  <si>
    <t>Weight of Debt</t>
  </si>
  <si>
    <t>WACC</t>
  </si>
  <si>
    <t>Active Scenario</t>
  </si>
  <si>
    <t>Base</t>
  </si>
  <si>
    <t>Projected Free Cash Flow</t>
  </si>
  <si>
    <t>FY2026(E)</t>
  </si>
  <si>
    <t>FY2027(E)</t>
  </si>
  <si>
    <t>FY2028(E)</t>
  </si>
  <si>
    <t>FY2029(E)</t>
  </si>
  <si>
    <t>FY2030(E)</t>
  </si>
  <si>
    <t>COGS % of Revenue</t>
  </si>
  <si>
    <t>SGA % of Revenue</t>
  </si>
  <si>
    <t>SGA Expense</t>
  </si>
  <si>
    <t>Implied Operating Margin</t>
  </si>
  <si>
    <t>Operating Income (EBIT)</t>
  </si>
  <si>
    <t>Less: Tax</t>
  </si>
  <si>
    <t>NOPAT</t>
  </si>
  <si>
    <t>Plus: D&amp;A</t>
  </si>
  <si>
    <t>Less: Capex</t>
  </si>
  <si>
    <t>Change in NWC</t>
  </si>
  <si>
    <t>Unlevered Free Cash Flow</t>
  </si>
  <si>
    <t>Discount Factor</t>
  </si>
  <si>
    <t>PV of FCF</t>
  </si>
  <si>
    <t>Valuation - Perpetuity Growth Method</t>
  </si>
  <si>
    <t>Sum of PV of FCFs</t>
  </si>
  <si>
    <t>Terminal Value (PGM)</t>
  </si>
  <si>
    <t>PV of Terminal Value</t>
  </si>
  <si>
    <t>Enterprise Value</t>
  </si>
  <si>
    <t>Equity Value</t>
  </si>
  <si>
    <t>Implied Share Price (PGM)</t>
  </si>
  <si>
    <t>Valuation - Exit Multiple Method</t>
  </si>
  <si>
    <t>Year 5 EBITDA</t>
  </si>
  <si>
    <t>Terminal Value (Exit Multiple)</t>
  </si>
  <si>
    <t>Implied Share Price (Exit Multiple)</t>
  </si>
  <si>
    <t>All scenario inputs are in Segment Analysis sheet.</t>
  </si>
  <si>
    <t>NWC Schedule - TechnoSmart Corporation</t>
  </si>
  <si>
    <t>Working Capital Drivers (% of Revenue)</t>
  </si>
  <si>
    <t>Base Year</t>
  </si>
  <si>
    <t>NWC % of Revenue</t>
  </si>
  <si>
    <t>—</t>
  </si>
  <si>
    <t>P&amp;L Reference (JPY mn)</t>
  </si>
  <si>
    <t>Working Capital Items (JPY mn)</t>
  </si>
  <si>
    <t>Net Working Capital (JPY mn)</t>
  </si>
  <si>
    <t>Net Working Capital</t>
  </si>
  <si>
    <t>NWC inputs are in Segment Analysis sheet.</t>
  </si>
  <si>
    <t>Comparable Company Analysis</t>
  </si>
  <si>
    <t>Mkt Cap
(JPY mn)</t>
  </si>
  <si>
    <t>EV
(JPY mn)</t>
  </si>
  <si>
    <t>Revenue
(JPY mn)</t>
  </si>
  <si>
    <t>EBITDA
(JPY mn)</t>
  </si>
  <si>
    <t>Op Income
(JPY mn)</t>
  </si>
  <si>
    <t>Net Income
(JPY mn)</t>
  </si>
  <si>
    <t>EV/EBITDA</t>
  </si>
  <si>
    <t>EV/Revenue</t>
  </si>
  <si>
    <t>PER</t>
  </si>
  <si>
    <t>PBR</t>
  </si>
  <si>
    <t>Op Margin</t>
  </si>
  <si>
    <t>ROE</t>
  </si>
  <si>
    <t>Hirano Techseed</t>
  </si>
  <si>
    <t>6245.T</t>
  </si>
  <si>
    <t>Takatori</t>
  </si>
  <si>
    <t>6338.T</t>
  </si>
  <si>
    <t>Stech</t>
  </si>
  <si>
    <t>6161.T</t>
  </si>
  <si>
    <t>Keiwa</t>
  </si>
  <si>
    <t>4251.T</t>
  </si>
  <si>
    <t>Statistics</t>
  </si>
  <si>
    <t>25th Percentile</t>
  </si>
  <si>
    <t>Median (50th)</t>
  </si>
  <si>
    <t>75th Percentile</t>
  </si>
  <si>
    <t>Implied Valuation for TechnoSmart Corporation</t>
  </si>
  <si>
    <t>TechnoSmart Corporation Financials</t>
  </si>
  <si>
    <t>EBITDA (JPY mn)</t>
  </si>
  <si>
    <t>Net Income (JPY mn)</t>
  </si>
  <si>
    <t>Shares Outstanding</t>
  </si>
  <si>
    <t>Implied Share Price (Median Multiples)</t>
  </si>
  <si>
    <t>Via EV/EBITDA (Median)</t>
  </si>
  <si>
    <t>Via PER (Median)</t>
  </si>
  <si>
    <t>Sensitivity Analysis</t>
  </si>
  <si>
    <t>Current WACC:</t>
  </si>
  <si>
    <t>Terminal g:</t>
  </si>
  <si>
    <t>Exit Multiple:</t>
  </si>
  <si>
    <t>Table 1: WACC vs Terminal Growth Rate (PGM - Implied Share Price, JPY)</t>
  </si>
  <si>
    <t>WACC \ Terminal g</t>
  </si>
  <si>
    <t>Table 2: WACC vs Exit Multiple (Exit Multiple - Implied Share Price, JPY)</t>
  </si>
  <si>
    <t>WACC \ Exit Multiple</t>
  </si>
  <si>
    <t>All values dynamically linked to DCF Model. Headers auto-center on current WACC / Terminal g / Exit Multiple.</t>
  </si>
  <si>
    <t>Segment Analysis - TechnoSmart Corporation</t>
  </si>
  <si>
    <t>FY2026</t>
  </si>
  <si>
    <t>Display Components (ディスプレイ部品関連)</t>
  </si>
  <si>
    <t>Operating Profit</t>
  </si>
  <si>
    <t>OP Margin</t>
  </si>
  <si>
    <t>Functional Film (MLCC) (機能性フィルム関連)</t>
  </si>
  <si>
    <t>Energy (LiB) (エネルギー関連)</t>
  </si>
  <si>
    <t>Electronic Components (電子部品関連)</t>
  </si>
  <si>
    <t>Other (その他・化工)</t>
  </si>
  <si>
    <t>Consolidated Total</t>
  </si>
  <si>
    <t>Total Revenue</t>
  </si>
  <si>
    <t>Total Operating Profit</t>
  </si>
  <si>
    <t>Total OP Margin</t>
  </si>
  <si>
    <t>Reconciliation vs DCF Model</t>
  </si>
  <si>
    <t>DCF Model Revenue</t>
  </si>
  <si>
    <t>Segment Total Revenue</t>
  </si>
  <si>
    <t>Difference</t>
  </si>
  <si>
    <t>Segment Scenario Input Matrix</t>
  </si>
  <si>
    <t>Display Components - Revenue Growth (YoY)</t>
  </si>
  <si>
    <t>Upside</t>
  </si>
  <si>
    <t>Management</t>
  </si>
  <si>
    <t>Downside 1</t>
  </si>
  <si>
    <t>Downside 2</t>
  </si>
  <si>
    <t>Display Components - OP Margin</t>
  </si>
  <si>
    <t>Functional Film (MLCC) - Revenue Growth (YoY)</t>
  </si>
  <si>
    <t>Functional Film (MLCC) - OP Margin</t>
  </si>
  <si>
    <t>Energy (LiB) - Revenue Growth (YoY)</t>
  </si>
  <si>
    <t>Energy (LiB) - OP Margin</t>
  </si>
  <si>
    <t>Electronic Components - Revenue Growth (YoY)</t>
  </si>
  <si>
    <t>Electronic Components - OP Margin</t>
  </si>
  <si>
    <t>Other - Revenue Growth (YoY)</t>
  </si>
  <si>
    <t>Other - OP Margin</t>
  </si>
  <si>
    <t>Consolidated Inputs (連結レベル)</t>
  </si>
  <si>
    <t>Driver Analysis - TechnoSmart Corporation</t>
  </si>
  <si>
    <t>Display Components (ディスプレイ部品関連) [backlog]</t>
  </si>
  <si>
    <t>Beginning Backlog</t>
  </si>
  <si>
    <t>+ New Orders</t>
  </si>
  <si>
    <t>- Revenue (Recognized)</t>
  </si>
  <si>
    <t>Ending Backlog</t>
  </si>
  <si>
    <t>Book-to-Bill</t>
  </si>
  <si>
    <t>Functional Film (MLCC) (機能性フィルム関連) [backlog]</t>
  </si>
  <si>
    <t>Energy (LiB) (エネルギー関連) [backlog]</t>
  </si>
  <si>
    <t>Electronic Components (電子部品関連) [manual]</t>
  </si>
  <si>
    <t>Revenue (Direct Input)</t>
  </si>
  <si>
    <t>YoY Growth</t>
  </si>
  <si>
    <t>Other (その他・化工) [manual]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</si>
</sst>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;\(#,##0\)"/>
    <numFmt numFmtId="177" formatCode="0.0%;\(0.0%\)"/>
    <numFmt numFmtId="178" formatCode="0.000"/>
    <numFmt numFmtId="179" formatCode="0.00&quot;x&quot;"/>
    <numFmt numFmtId="180" formatCode="0.00%;\(0.00%\)"/>
    <numFmt numFmtId="181" formatCode="0.0000"/>
  </numFmts>
  <fonts count="10" x14ac:knownFonts="1">
    <font>
      <sz val="11"/>
      <color theme="1"/>
      <name val="ＭＳ Ｐゴシック"/>
      <family val="2"/>
      <scheme val="minor"/>
    </font>
    <font>
      <i/>
      <sz val="9"/>
      <color rgb="FF808080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b/>
      <sz val="11"/>
      <color rgb="FFFFFFFF"/>
      <name val="Arial"/>
      <family val="2"/>
    </font>
    <font>
      <sz val="10"/>
      <color rgb="FF006600"/>
      <name val="Arial"/>
      <family val="2"/>
    </font>
    <font>
      <i/>
      <sz val="10"/>
      <color rgb="FF808080"/>
      <name val="Arial"/>
      <family val="2"/>
    </font>
    <font>
      <sz val="6"/>
      <name val="ＭＳ Ｐゴシック"/>
      <family val="3"/>
      <charset val="128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000080"/>
        <bgColor rgb="FF000080"/>
      </patternFill>
    </fill>
    <fill>
      <patternFill patternType="solid">
        <fgColor rgb="FFF2F2F2"/>
        <bgColor rgb="FFF2F2F2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E6CCE6"/>
        <bgColor rgb="FFE6CCE6"/>
      </patternFill>
    </fill>
    <fill>
      <patternFill patternType="solid">
        <fgColor rgb="FFD9E2F3"/>
        <bgColor rgb="FFD9E2F3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hair">
        <color rgb="FFB0B0B0"/>
      </left>
      <right style="hair">
        <color rgb="FFB0B0B0"/>
      </right>
      <top style="hair">
        <color rgb="FFB0B0B0"/>
      </top>
      <bottom style="hair">
        <color rgb="FFB0B0B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76" fontId="5" fillId="0" borderId="0" xfId="0" applyNumberFormat="1" applyFont="1"/>
    <xf numFmtId="0" fontId="5" fillId="0" borderId="0" xfId="0" applyFont="1"/>
    <xf numFmtId="177" fontId="5" fillId="0" borderId="0" xfId="0" applyNumberFormat="1" applyFont="1"/>
    <xf numFmtId="0" fontId="3" fillId="2" borderId="0" xfId="0" applyFont="1" applyFill="1"/>
    <xf numFmtId="0" fontId="0" fillId="2" borderId="0" xfId="0" applyFill="1"/>
    <xf numFmtId="0" fontId="6" fillId="3" borderId="1" xfId="0" applyFont="1" applyFill="1" applyBorder="1" applyAlignment="1">
      <alignment horizontal="center" wrapText="1"/>
    </xf>
    <xf numFmtId="176" fontId="7" fillId="0" borderId="0" xfId="0" applyNumberFormat="1" applyFont="1"/>
    <xf numFmtId="2" fontId="5" fillId="0" borderId="0" xfId="0" applyNumberFormat="1" applyFont="1"/>
    <xf numFmtId="178" fontId="5" fillId="0" borderId="0" xfId="0" applyNumberFormat="1" applyFont="1"/>
    <xf numFmtId="179" fontId="5" fillId="0" borderId="0" xfId="0" applyNumberFormat="1" applyFont="1"/>
    <xf numFmtId="3" fontId="5" fillId="0" borderId="0" xfId="0" applyNumberFormat="1" applyFont="1"/>
    <xf numFmtId="180" fontId="5" fillId="0" borderId="0" xfId="0" applyNumberFormat="1" applyFont="1"/>
    <xf numFmtId="0" fontId="5" fillId="0" borderId="2" xfId="0" applyFont="1" applyBorder="1"/>
    <xf numFmtId="177" fontId="5" fillId="2" borderId="0" xfId="0" applyNumberFormat="1" applyFont="1" applyFill="1"/>
    <xf numFmtId="176" fontId="5" fillId="0" borderId="3" xfId="0" applyNumberFormat="1" applyFont="1" applyBorder="1"/>
    <xf numFmtId="176" fontId="5" fillId="4" borderId="3" xfId="0" applyNumberFormat="1" applyFont="1" applyFill="1" applyBorder="1"/>
    <xf numFmtId="181" fontId="5" fillId="0" borderId="0" xfId="0" applyNumberFormat="1" applyFont="1"/>
    <xf numFmtId="0" fontId="3" fillId="5" borderId="0" xfId="0" applyFont="1" applyFill="1"/>
    <xf numFmtId="0" fontId="0" fillId="5" borderId="0" xfId="0" applyFill="1"/>
    <xf numFmtId="176" fontId="5" fillId="0" borderId="4" xfId="0" applyNumberFormat="1" applyFont="1" applyBorder="1"/>
    <xf numFmtId="0" fontId="6" fillId="2" borderId="1" xfId="0" applyFont="1" applyFill="1" applyBorder="1" applyAlignment="1">
      <alignment horizontal="center" wrapText="1"/>
    </xf>
    <xf numFmtId="0" fontId="4" fillId="0" borderId="5" xfId="0" applyFont="1" applyBorder="1"/>
    <xf numFmtId="177" fontId="5" fillId="0" borderId="5" xfId="0" applyNumberFormat="1" applyFont="1" applyBorder="1"/>
    <xf numFmtId="0" fontId="1" fillId="0" borderId="5" xfId="0" applyFont="1" applyBorder="1"/>
    <xf numFmtId="176" fontId="5" fillId="0" borderId="5" xfId="0" applyNumberFormat="1" applyFont="1" applyBorder="1"/>
    <xf numFmtId="0" fontId="5" fillId="0" borderId="5" xfId="0" applyFont="1" applyBorder="1"/>
    <xf numFmtId="176" fontId="5" fillId="0" borderId="6" xfId="0" applyNumberFormat="1" applyFont="1" applyBorder="1"/>
    <xf numFmtId="179" fontId="5" fillId="0" borderId="6" xfId="0" applyNumberFormat="1" applyFont="1" applyBorder="1"/>
    <xf numFmtId="177" fontId="5" fillId="0" borderId="6" xfId="0" applyNumberFormat="1" applyFont="1" applyBorder="1"/>
    <xf numFmtId="0" fontId="6" fillId="3" borderId="6" xfId="0" applyFont="1" applyFill="1" applyBorder="1" applyAlignment="1">
      <alignment horizontal="center" wrapText="1"/>
    </xf>
    <xf numFmtId="177" fontId="6" fillId="3" borderId="6" xfId="0" applyNumberFormat="1" applyFont="1" applyFill="1" applyBorder="1" applyAlignment="1">
      <alignment horizontal="center"/>
    </xf>
    <xf numFmtId="179" fontId="6" fillId="3" borderId="6" xfId="0" applyNumberFormat="1" applyFont="1" applyFill="1" applyBorder="1" applyAlignment="1">
      <alignment horizontal="center"/>
    </xf>
    <xf numFmtId="0" fontId="8" fillId="0" borderId="0" xfId="0" applyFont="1"/>
    <xf numFmtId="0" fontId="3" fillId="6" borderId="0" xfId="0" applyFont="1" applyFill="1"/>
    <xf numFmtId="0" fontId="0" fillId="6" borderId="0" xfId="0" applyFill="1"/>
    <xf numFmtId="176" fontId="7" fillId="0" borderId="5" xfId="0" applyNumberFormat="1" applyFont="1" applyBorder="1"/>
    <xf numFmtId="0" fontId="3" fillId="7" borderId="0" xfId="0" applyFont="1" applyFill="1"/>
    <xf numFmtId="0" fontId="0" fillId="7" borderId="0" xfId="0" applyFill="1"/>
    <xf numFmtId="0" fontId="6" fillId="3" borderId="0" xfId="0" applyFont="1" applyFill="1" applyAlignment="1">
      <alignment horizontal="center"/>
    </xf>
    <xf numFmtId="177" fontId="5" fillId="0" borderId="2" xfId="0" applyNumberFormat="1" applyFont="1" applyBorder="1"/>
    <xf numFmtId="0" fontId="3" fillId="8" borderId="0" xfId="0" applyFont="1" applyFill="1"/>
    <xf numFmtId="0" fontId="0" fillId="8" borderId="0" xfId="0" applyFill="1"/>
    <xf numFmtId="176" fontId="5" fillId="0" borderId="2" xfId="0" applyNumberFormat="1" applyFont="1" applyBorder="1"/>
    <xf numFmtId="179" fontId="5" fillId="0" borderId="5" xfId="0" applyNumberFormat="1" applyFont="1" applyBorder="1"/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3366"/>
  </sheetPr>
  <dimension ref="B1:E32"/>
  <sheetViews>
    <sheetView topLeftCell="A10" workbookViewId="0"/>
  </sheetViews>
  <sheetFormatPr defaultRowHeight="13" x14ac:dyDescent="0.2"/>
  <cols>
    <col min="1" max="1" width="3" customWidth="1"/>
    <col min="2" max="2" width="30" customWidth="1"/>
    <col min="3" max="5" width="22" customWidth="1"/>
  </cols>
  <sheetData>
    <row r="1" spans="2:5" ht="14" x14ac:dyDescent="0.3">
      <c r="B1" s="51" t="s">
        <v>0</v>
      </c>
      <c r="C1" s="50"/>
      <c r="D1" s="50"/>
      <c r="E1" s="50"/>
    </row>
    <row r="3" spans="2:5" ht="18" x14ac:dyDescent="0.4">
      <c r="B3" s="49" t="s">
        <v>1</v>
      </c>
      <c r="C3" s="50"/>
      <c r="D3" s="50"/>
    </row>
    <row r="4" spans="2:5" ht="14" x14ac:dyDescent="0.3">
      <c r="B4" s="3" t="s">
        <v>2</v>
      </c>
    </row>
    <row r="6" spans="2:5" ht="14" x14ac:dyDescent="0.3">
      <c r="B6" s="4" t="s">
        <v>3</v>
      </c>
      <c r="C6" t="s">
        <v>4</v>
      </c>
    </row>
    <row r="7" spans="2:5" ht="14" x14ac:dyDescent="0.3">
      <c r="B7" s="4" t="s">
        <v>5</v>
      </c>
      <c r="C7" t="s">
        <v>6</v>
      </c>
    </row>
    <row r="8" spans="2:5" ht="14" x14ac:dyDescent="0.3">
      <c r="B8" s="4" t="s">
        <v>7</v>
      </c>
      <c r="C8" t="s">
        <v>8</v>
      </c>
    </row>
    <row r="9" spans="2:5" ht="14" x14ac:dyDescent="0.3">
      <c r="B9" s="4" t="s">
        <v>9</v>
      </c>
      <c r="C9" s="5">
        <v>1970</v>
      </c>
    </row>
    <row r="10" spans="2:5" ht="14" x14ac:dyDescent="0.3">
      <c r="B10" s="4" t="s">
        <v>10</v>
      </c>
      <c r="C10" s="5">
        <f>ROUND(AVERAGE(C16:C19),0)</f>
        <v>2672</v>
      </c>
    </row>
    <row r="11" spans="2:5" ht="14" x14ac:dyDescent="0.3">
      <c r="B11" s="4" t="s">
        <v>11</v>
      </c>
      <c r="C11" s="6" t="str">
        <f>IF(C12&gt;0.15,"BUY",IF(C12&gt;0.05,"HOLD","SELL"))</f>
        <v>BUY</v>
      </c>
    </row>
    <row r="12" spans="2:5" ht="14" x14ac:dyDescent="0.3">
      <c r="B12" s="4" t="s">
        <v>12</v>
      </c>
      <c r="C12" s="7">
        <f>(C10-C9)/C9</f>
        <v>0.35634517766497464</v>
      </c>
    </row>
    <row r="14" spans="2:5" ht="14" x14ac:dyDescent="0.3">
      <c r="B14" s="8" t="s">
        <v>13</v>
      </c>
      <c r="C14" s="9"/>
      <c r="D14" s="9"/>
    </row>
    <row r="15" spans="2:5" ht="14" x14ac:dyDescent="0.3">
      <c r="B15" s="10" t="s">
        <v>14</v>
      </c>
      <c r="C15" s="10" t="s">
        <v>15</v>
      </c>
      <c r="D15" s="10" t="s">
        <v>16</v>
      </c>
    </row>
    <row r="16" spans="2:5" ht="13.5" x14ac:dyDescent="0.25">
      <c r="B16" t="s">
        <v>17</v>
      </c>
      <c r="C16" s="11">
        <f>'DCF Model'!C55</f>
        <v>2246</v>
      </c>
      <c r="D16" s="7">
        <f>(C16-C9)/C9</f>
        <v>0.1401015228426396</v>
      </c>
    </row>
    <row r="17" spans="2:4" ht="13.5" x14ac:dyDescent="0.25">
      <c r="B17" t="s">
        <v>18</v>
      </c>
      <c r="C17" s="11">
        <f>'DCF Model'!C64</f>
        <v>3063</v>
      </c>
      <c r="D17" s="7">
        <f>(C17-C9)/C9</f>
        <v>0.5548223350253807</v>
      </c>
    </row>
    <row r="18" spans="2:4" ht="13.5" x14ac:dyDescent="0.25">
      <c r="B18" t="s">
        <v>19</v>
      </c>
      <c r="C18" s="11">
        <f>'Comps Analysis'!C27</f>
        <v>2747</v>
      </c>
      <c r="D18" s="7">
        <f>(C18-C9)/C9</f>
        <v>0.39441624365482236</v>
      </c>
    </row>
    <row r="19" spans="2:4" ht="13.5" x14ac:dyDescent="0.25">
      <c r="B19" t="s">
        <v>20</v>
      </c>
      <c r="C19" s="11">
        <f>'Comps Analysis'!C28</f>
        <v>2631</v>
      </c>
      <c r="D19" s="7">
        <f>(C19-C9)/C9</f>
        <v>0.33553299492385785</v>
      </c>
    </row>
    <row r="21" spans="2:4" ht="14" x14ac:dyDescent="0.3">
      <c r="B21" s="4" t="s">
        <v>21</v>
      </c>
      <c r="C21" s="6" t="str">
        <f>MIN(C16:C19)&amp;" - "&amp;MAX(C16:C19)</f>
        <v>2246 - 3063</v>
      </c>
    </row>
    <row r="23" spans="2:4" ht="14" x14ac:dyDescent="0.3">
      <c r="B23" s="8" t="s">
        <v>22</v>
      </c>
      <c r="C23" s="9"/>
      <c r="D23" s="9"/>
    </row>
    <row r="24" spans="2:4" x14ac:dyDescent="0.2">
      <c r="B24" t="s">
        <v>23</v>
      </c>
    </row>
    <row r="25" spans="2:4" x14ac:dyDescent="0.2">
      <c r="B25" t="s">
        <v>24</v>
      </c>
    </row>
    <row r="26" spans="2:4" x14ac:dyDescent="0.2">
      <c r="B26" t="s">
        <v>25</v>
      </c>
    </row>
    <row r="27" spans="2:4" x14ac:dyDescent="0.2">
      <c r="B27" t="s">
        <v>26</v>
      </c>
    </row>
    <row r="28" spans="2:4" ht="14" x14ac:dyDescent="0.3">
      <c r="B28" s="8" t="s">
        <v>27</v>
      </c>
      <c r="C28" s="9"/>
      <c r="D28" s="9"/>
    </row>
    <row r="29" spans="2:4" x14ac:dyDescent="0.2">
      <c r="B29" t="s">
        <v>28</v>
      </c>
    </row>
    <row r="30" spans="2:4" x14ac:dyDescent="0.2">
      <c r="B30" t="s">
        <v>29</v>
      </c>
    </row>
    <row r="31" spans="2:4" x14ac:dyDescent="0.2">
      <c r="B31" t="s">
        <v>30</v>
      </c>
    </row>
    <row r="32" spans="2:4" x14ac:dyDescent="0.2">
      <c r="B32" t="s">
        <v>31</v>
      </c>
    </row>
  </sheetData>
  <mergeCells count="2">
    <mergeCell ref="B3:D3"/>
    <mergeCell ref="B1:E1"/>
  </mergeCells>
  <phoneticPr fontId="9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3366"/>
  </sheetPr>
  <dimension ref="B2:H28"/>
  <sheetViews>
    <sheetView workbookViewId="0"/>
  </sheetViews>
  <sheetFormatPr defaultRowHeight="13" x14ac:dyDescent="0.2"/>
  <cols>
    <col min="1" max="1" width="3" customWidth="1"/>
    <col min="2" max="2" width="32" customWidth="1"/>
    <col min="3" max="8" width="18" customWidth="1"/>
  </cols>
  <sheetData>
    <row r="2" spans="2:8" ht="18" x14ac:dyDescent="0.4">
      <c r="B2" s="2" t="s">
        <v>32</v>
      </c>
    </row>
    <row r="4" spans="2:8" ht="14" x14ac:dyDescent="0.3">
      <c r="C4" s="10" t="s">
        <v>33</v>
      </c>
      <c r="D4" s="10" t="s">
        <v>34</v>
      </c>
      <c r="E4" s="10" t="s">
        <v>35</v>
      </c>
      <c r="F4" s="10" t="s">
        <v>36</v>
      </c>
      <c r="G4" s="10" t="s">
        <v>37</v>
      </c>
      <c r="H4" s="10" t="s">
        <v>38</v>
      </c>
    </row>
    <row r="5" spans="2:8" ht="14" x14ac:dyDescent="0.3">
      <c r="B5" s="3" t="s">
        <v>39</v>
      </c>
    </row>
    <row r="6" spans="2:8" ht="14" x14ac:dyDescent="0.3">
      <c r="B6" s="4" t="s">
        <v>40</v>
      </c>
      <c r="C6" s="5">
        <v>16785.163</v>
      </c>
      <c r="D6" s="5">
        <v>8089.0609999999997</v>
      </c>
      <c r="E6" s="5">
        <v>16939.241999999998</v>
      </c>
      <c r="F6" s="5">
        <v>19677.405999999999</v>
      </c>
      <c r="G6" s="5">
        <v>19242.405999999999</v>
      </c>
      <c r="H6" s="5">
        <v>21578.662</v>
      </c>
    </row>
    <row r="7" spans="2:8" ht="14" x14ac:dyDescent="0.3">
      <c r="B7" s="4" t="s">
        <v>41</v>
      </c>
      <c r="C7" s="5">
        <v>12632.109</v>
      </c>
      <c r="D7" s="5">
        <v>6663.5039999999999</v>
      </c>
      <c r="E7" s="5">
        <v>14472.721</v>
      </c>
      <c r="F7" s="5">
        <v>16502.946</v>
      </c>
      <c r="G7" s="5">
        <v>15603.552</v>
      </c>
      <c r="H7" s="5">
        <v>16762.406999999999</v>
      </c>
    </row>
    <row r="8" spans="2:8" ht="14" x14ac:dyDescent="0.3">
      <c r="B8" s="4" t="s">
        <v>42</v>
      </c>
      <c r="C8" s="5">
        <f t="shared" ref="C8:H8" si="0">C6-C7</f>
        <v>4153.0540000000001</v>
      </c>
      <c r="D8" s="5">
        <f t="shared" si="0"/>
        <v>1425.5569999999998</v>
      </c>
      <c r="E8" s="5">
        <f t="shared" si="0"/>
        <v>2466.5209999999988</v>
      </c>
      <c r="F8" s="5">
        <f t="shared" si="0"/>
        <v>3174.4599999999991</v>
      </c>
      <c r="G8" s="5">
        <f t="shared" si="0"/>
        <v>3638.8539999999994</v>
      </c>
      <c r="H8" s="5">
        <f t="shared" si="0"/>
        <v>4816.255000000001</v>
      </c>
    </row>
    <row r="9" spans="2:8" ht="13.5" x14ac:dyDescent="0.25">
      <c r="B9" t="s">
        <v>43</v>
      </c>
      <c r="C9" s="7">
        <f t="shared" ref="C9:H9" si="1">C8/C6</f>
        <v>0.24742410901818468</v>
      </c>
      <c r="D9" s="7">
        <f t="shared" si="1"/>
        <v>0.17623269252141871</v>
      </c>
      <c r="E9" s="7">
        <f t="shared" si="1"/>
        <v>0.14560988030042898</v>
      </c>
      <c r="F9" s="7">
        <f t="shared" si="1"/>
        <v>0.16132512588295425</v>
      </c>
      <c r="G9" s="7">
        <f t="shared" si="1"/>
        <v>0.18910597770361978</v>
      </c>
      <c r="H9" s="7">
        <f t="shared" si="1"/>
        <v>0.22319525649922137</v>
      </c>
    </row>
    <row r="10" spans="2:8" ht="14" x14ac:dyDescent="0.3">
      <c r="B10" s="4" t="s">
        <v>44</v>
      </c>
      <c r="C10" s="5">
        <v>1049.9090000000001</v>
      </c>
      <c r="D10" s="5">
        <v>585.07500000000005</v>
      </c>
      <c r="E10" s="5">
        <v>823.74300000000005</v>
      </c>
      <c r="F10" s="5">
        <v>941.67399999999998</v>
      </c>
      <c r="G10" s="5">
        <v>1050.605</v>
      </c>
      <c r="H10" s="5">
        <v>1303.7660000000001</v>
      </c>
    </row>
    <row r="11" spans="2:8" ht="14" x14ac:dyDescent="0.3">
      <c r="B11" s="4" t="s">
        <v>45</v>
      </c>
      <c r="C11" s="5">
        <v>3103.143</v>
      </c>
      <c r="D11" s="5">
        <v>840.48099999999999</v>
      </c>
      <c r="E11" s="5">
        <v>1642.777</v>
      </c>
      <c r="F11" s="5">
        <v>2232.7849999999999</v>
      </c>
      <c r="G11" s="5">
        <v>2588.248</v>
      </c>
      <c r="H11" s="5">
        <v>3512.4879999999998</v>
      </c>
    </row>
    <row r="12" spans="2:8" ht="14" x14ac:dyDescent="0.3">
      <c r="B12" s="4" t="s">
        <v>46</v>
      </c>
      <c r="C12" s="5">
        <v>2033.549</v>
      </c>
      <c r="D12" s="5">
        <v>579.87199999999996</v>
      </c>
      <c r="E12" s="5">
        <v>1164.22</v>
      </c>
      <c r="F12" s="5">
        <v>1607.193</v>
      </c>
      <c r="G12" s="5">
        <v>1804.357</v>
      </c>
      <c r="H12" s="5">
        <v>2390.8879999999999</v>
      </c>
    </row>
    <row r="13" spans="2:8" ht="13.5" x14ac:dyDescent="0.25">
      <c r="B13" t="s">
        <v>47</v>
      </c>
      <c r="C13" s="7">
        <f t="shared" ref="C13:H13" si="2">C11/C6</f>
        <v>0.18487416535663073</v>
      </c>
      <c r="D13" s="7">
        <f t="shared" si="2"/>
        <v>0.10390340732997316</v>
      </c>
      <c r="E13" s="7">
        <f t="shared" si="2"/>
        <v>9.698054966095887E-2</v>
      </c>
      <c r="F13" s="7">
        <f t="shared" si="2"/>
        <v>0.11346947864977731</v>
      </c>
      <c r="G13" s="7">
        <f t="shared" si="2"/>
        <v>0.13450750389530292</v>
      </c>
      <c r="H13" s="7">
        <f t="shared" si="2"/>
        <v>0.16277598675951269</v>
      </c>
    </row>
    <row r="14" spans="2:8" ht="13.5" x14ac:dyDescent="0.25">
      <c r="B14" t="s">
        <v>48</v>
      </c>
      <c r="C14" s="7">
        <f t="shared" ref="C14:H14" si="3">C12/C6</f>
        <v>0.12115157892717514</v>
      </c>
      <c r="D14" s="7">
        <f t="shared" si="3"/>
        <v>7.1685947231699701E-2</v>
      </c>
      <c r="E14" s="7">
        <f t="shared" si="3"/>
        <v>6.8729167456253362E-2</v>
      </c>
      <c r="F14" s="7">
        <f t="shared" si="3"/>
        <v>8.1677076744770122E-2</v>
      </c>
      <c r="G14" s="7">
        <f t="shared" si="3"/>
        <v>9.3769822755013069E-2</v>
      </c>
      <c r="H14" s="7">
        <f t="shared" si="3"/>
        <v>0.11079871402592061</v>
      </c>
    </row>
    <row r="15" spans="2:8" ht="13.5" x14ac:dyDescent="0.25">
      <c r="B15" t="s">
        <v>49</v>
      </c>
      <c r="C15" t="s">
        <v>50</v>
      </c>
      <c r="D15" s="7">
        <f>(D6-C6)/C6</f>
        <v>-0.51808266622135279</v>
      </c>
      <c r="E15" s="7">
        <f>(E6-D6)/D6</f>
        <v>1.0940925034438482</v>
      </c>
      <c r="F15" s="7">
        <f>(F6-E6)/E6</f>
        <v>0.16164619408589834</v>
      </c>
      <c r="G15" s="7">
        <f>(G6-F6)/F6</f>
        <v>-2.2106572380526174E-2</v>
      </c>
      <c r="H15" s="7">
        <f>(H6-G6)/G6</f>
        <v>0.12141184423611066</v>
      </c>
    </row>
    <row r="16" spans="2:8" ht="13.5" x14ac:dyDescent="0.25">
      <c r="B16" t="s">
        <v>51</v>
      </c>
      <c r="C16" t="s">
        <v>50</v>
      </c>
      <c r="D16" s="7">
        <f>(D11-C11)/C11</f>
        <v>-0.72915170200019797</v>
      </c>
      <c r="E16" s="7">
        <f>(E11-D11)/D11</f>
        <v>0.95456768207728682</v>
      </c>
      <c r="F16" s="7">
        <f>(F11-E11)/E11</f>
        <v>0.35915282475953814</v>
      </c>
      <c r="G16" s="7">
        <f>(G11-F11)/F11</f>
        <v>0.15920162487655562</v>
      </c>
      <c r="H16" s="7">
        <f>(H11-G11)/G11</f>
        <v>0.3570909742806716</v>
      </c>
    </row>
    <row r="18" spans="2:8" ht="14" x14ac:dyDescent="0.3">
      <c r="B18" s="3" t="s">
        <v>52</v>
      </c>
    </row>
    <row r="19" spans="2:8" ht="14" x14ac:dyDescent="0.3">
      <c r="B19" s="4" t="s">
        <v>53</v>
      </c>
      <c r="C19" s="5">
        <v>1543.5440000000001</v>
      </c>
      <c r="D19" s="5">
        <v>5161.1019999999999</v>
      </c>
      <c r="E19" s="5">
        <v>1372.809</v>
      </c>
      <c r="F19" s="5">
        <v>-459.19900000000001</v>
      </c>
      <c r="G19" s="5">
        <v>1520.8389999999999</v>
      </c>
      <c r="H19" s="5">
        <v>-1532.6590000000001</v>
      </c>
    </row>
    <row r="20" spans="2:8" ht="14" x14ac:dyDescent="0.3">
      <c r="B20" s="4" t="s">
        <v>54</v>
      </c>
      <c r="C20" s="5">
        <v>722.78300000000002</v>
      </c>
      <c r="D20" s="5">
        <v>431.142</v>
      </c>
      <c r="E20" s="5">
        <v>741.71799999999996</v>
      </c>
      <c r="F20" s="5">
        <v>22.898</v>
      </c>
      <c r="G20" s="5">
        <v>282.47800000000001</v>
      </c>
      <c r="H20" s="5">
        <v>906.33399999999995</v>
      </c>
    </row>
    <row r="21" spans="2:8" ht="14" x14ac:dyDescent="0.3">
      <c r="B21" s="4" t="s">
        <v>55</v>
      </c>
      <c r="C21" s="5">
        <f t="shared" ref="C21:H21" si="4">C19-C20</f>
        <v>820.76100000000008</v>
      </c>
      <c r="D21" s="5">
        <f t="shared" si="4"/>
        <v>4729.96</v>
      </c>
      <c r="E21" s="5">
        <f t="shared" si="4"/>
        <v>631.09100000000001</v>
      </c>
      <c r="F21" s="5">
        <f t="shared" si="4"/>
        <v>-482.09700000000004</v>
      </c>
      <c r="G21" s="5">
        <f t="shared" si="4"/>
        <v>1238.3609999999999</v>
      </c>
      <c r="H21" s="5">
        <f t="shared" si="4"/>
        <v>-2438.9929999999999</v>
      </c>
    </row>
    <row r="22" spans="2:8" ht="13.5" x14ac:dyDescent="0.25">
      <c r="B22" t="s">
        <v>56</v>
      </c>
      <c r="C22" s="7">
        <f t="shared" ref="C22:H22" si="5">C21/C6</f>
        <v>4.8898005935360894E-2</v>
      </c>
      <c r="D22" s="7">
        <f t="shared" si="5"/>
        <v>0.58473536050723318</v>
      </c>
      <c r="E22" s="7">
        <f t="shared" si="5"/>
        <v>3.7256153492582496E-2</v>
      </c>
      <c r="F22" s="7">
        <f t="shared" si="5"/>
        <v>-2.4500028103297766E-2</v>
      </c>
      <c r="G22" s="7">
        <f t="shared" si="5"/>
        <v>6.4355829515290341E-2</v>
      </c>
      <c r="H22" s="7">
        <f t="shared" si="5"/>
        <v>-0.11302799960442403</v>
      </c>
    </row>
    <row r="23" spans="2:8" ht="13.5" x14ac:dyDescent="0.25">
      <c r="B23" t="s">
        <v>57</v>
      </c>
      <c r="C23" s="7">
        <f t="shared" ref="C23:H23" si="6">C20/C6</f>
        <v>4.3060826993458451E-2</v>
      </c>
      <c r="D23" s="7">
        <f t="shared" si="6"/>
        <v>5.329938790176017E-2</v>
      </c>
      <c r="E23" s="7">
        <f t="shared" si="6"/>
        <v>4.378696520186677E-2</v>
      </c>
      <c r="F23" s="7">
        <f t="shared" si="6"/>
        <v>1.1636696422282491E-3</v>
      </c>
      <c r="G23" s="7">
        <f t="shared" si="6"/>
        <v>1.467997297219485E-2</v>
      </c>
      <c r="H23" s="7">
        <f t="shared" si="6"/>
        <v>4.2001399345334756E-2</v>
      </c>
    </row>
    <row r="25" spans="2:8" ht="14" x14ac:dyDescent="0.3">
      <c r="B25" s="3" t="s">
        <v>58</v>
      </c>
    </row>
    <row r="26" spans="2:8" ht="14" x14ac:dyDescent="0.3">
      <c r="B26" s="4" t="s">
        <v>59</v>
      </c>
      <c r="C26" s="5">
        <v>6088.51</v>
      </c>
      <c r="D26" s="5">
        <v>10361.183000000001</v>
      </c>
      <c r="E26" s="5">
        <v>10538.638000000001</v>
      </c>
      <c r="F26" s="5">
        <v>9483.0509999999995</v>
      </c>
      <c r="G26" s="5">
        <v>9711.4419999999991</v>
      </c>
      <c r="H26" s="5">
        <v>6896.07</v>
      </c>
    </row>
    <row r="27" spans="2:8" ht="14" x14ac:dyDescent="0.3">
      <c r="B27" s="4" t="s">
        <v>60</v>
      </c>
      <c r="C27" s="5">
        <v>82.4</v>
      </c>
      <c r="D27" s="5">
        <v>3</v>
      </c>
      <c r="E27" s="5">
        <v>0</v>
      </c>
      <c r="F27" s="5">
        <v>0</v>
      </c>
      <c r="G27" s="5">
        <v>0</v>
      </c>
      <c r="H27" s="5">
        <v>2000</v>
      </c>
    </row>
    <row r="28" spans="2:8" ht="14" x14ac:dyDescent="0.3">
      <c r="B28" s="4" t="s">
        <v>61</v>
      </c>
      <c r="C28" s="5">
        <f t="shared" ref="C28:H28" si="7">C27-C26</f>
        <v>-6006.1100000000006</v>
      </c>
      <c r="D28" s="5">
        <f t="shared" si="7"/>
        <v>-10358.183000000001</v>
      </c>
      <c r="E28" s="5">
        <f t="shared" si="7"/>
        <v>-10538.638000000001</v>
      </c>
      <c r="F28" s="5">
        <f t="shared" si="7"/>
        <v>-9483.0509999999995</v>
      </c>
      <c r="G28" s="5">
        <f t="shared" si="7"/>
        <v>-9711.4419999999991</v>
      </c>
      <c r="H28" s="5">
        <f t="shared" si="7"/>
        <v>-4896.07</v>
      </c>
    </row>
  </sheetData>
  <phoneticPr fontId="9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6600"/>
  </sheetPr>
  <dimension ref="B2:G66"/>
  <sheetViews>
    <sheetView topLeftCell="A32" workbookViewId="0">
      <selection activeCell="C9" sqref="C9"/>
    </sheetView>
  </sheetViews>
  <sheetFormatPr defaultRowHeight="13" x14ac:dyDescent="0.2"/>
  <cols>
    <col min="1" max="1" width="3" customWidth="1"/>
    <col min="2" max="2" width="32" customWidth="1"/>
    <col min="3" max="7" width="16" customWidth="1"/>
  </cols>
  <sheetData>
    <row r="2" spans="2:7" ht="18" x14ac:dyDescent="0.4">
      <c r="B2" s="2" t="s">
        <v>62</v>
      </c>
    </row>
    <row r="4" spans="2:7" ht="14" x14ac:dyDescent="0.3">
      <c r="B4" s="8" t="s">
        <v>63</v>
      </c>
      <c r="C4" s="9"/>
      <c r="D4" s="9"/>
      <c r="E4" s="9"/>
      <c r="F4" s="9"/>
      <c r="G4" s="9"/>
    </row>
    <row r="5" spans="2:7" ht="14" x14ac:dyDescent="0.3">
      <c r="B5" s="4" t="s">
        <v>57</v>
      </c>
      <c r="C5" s="7">
        <v>3.3000000000000002E-2</v>
      </c>
    </row>
    <row r="6" spans="2:7" ht="14" x14ac:dyDescent="0.3">
      <c r="B6" s="4" t="s">
        <v>64</v>
      </c>
      <c r="C6" s="7">
        <v>0.3</v>
      </c>
    </row>
    <row r="7" spans="2:7" ht="14" x14ac:dyDescent="0.3">
      <c r="B7" s="4" t="s">
        <v>65</v>
      </c>
      <c r="C7" s="7">
        <v>2.1999999999999999E-2</v>
      </c>
    </row>
    <row r="8" spans="2:7" ht="14" x14ac:dyDescent="0.3">
      <c r="B8" s="4" t="s">
        <v>66</v>
      </c>
      <c r="C8" s="12">
        <v>1</v>
      </c>
    </row>
    <row r="9" spans="2:7" ht="14" x14ac:dyDescent="0.3">
      <c r="B9" s="4" t="s">
        <v>67</v>
      </c>
      <c r="C9" s="7">
        <v>6.5000000000000002E-2</v>
      </c>
    </row>
    <row r="10" spans="2:7" ht="14" x14ac:dyDescent="0.3">
      <c r="B10" s="4" t="s">
        <v>68</v>
      </c>
      <c r="C10" s="7">
        <v>0.04</v>
      </c>
    </row>
    <row r="11" spans="2:7" ht="14" x14ac:dyDescent="0.3">
      <c r="B11" s="4" t="s">
        <v>69</v>
      </c>
      <c r="C11" s="7">
        <v>5.0000000000000001E-3</v>
      </c>
    </row>
    <row r="12" spans="2:7" ht="14" x14ac:dyDescent="0.3">
      <c r="B12" s="4" t="s">
        <v>70</v>
      </c>
      <c r="C12" s="13">
        <v>1.9099999999999999E-2</v>
      </c>
    </row>
    <row r="13" spans="2:7" ht="14" x14ac:dyDescent="0.3">
      <c r="B13" s="4" t="s">
        <v>71</v>
      </c>
      <c r="C13" s="7">
        <v>1.4999999999999999E-2</v>
      </c>
    </row>
    <row r="14" spans="2:7" ht="14" x14ac:dyDescent="0.3">
      <c r="B14" s="4" t="s">
        <v>72</v>
      </c>
      <c r="C14" s="14">
        <v>8</v>
      </c>
    </row>
    <row r="15" spans="2:7" ht="14" x14ac:dyDescent="0.3">
      <c r="B15" s="4" t="s">
        <v>73</v>
      </c>
      <c r="C15" s="15">
        <v>11490655</v>
      </c>
    </row>
    <row r="16" spans="2:7" ht="14" x14ac:dyDescent="0.3">
      <c r="B16" s="4" t="s">
        <v>74</v>
      </c>
      <c r="C16" s="5">
        <v>432.4</v>
      </c>
    </row>
    <row r="17" spans="2:7" ht="14" x14ac:dyDescent="0.3">
      <c r="B17" s="4" t="s">
        <v>75</v>
      </c>
      <c r="C17" s="5">
        <v>21578.662</v>
      </c>
    </row>
    <row r="18" spans="2:7" ht="14" x14ac:dyDescent="0.3">
      <c r="B18" s="4" t="s">
        <v>76</v>
      </c>
      <c r="C18" s="7">
        <v>1.0699999999999999E-2</v>
      </c>
    </row>
    <row r="19" spans="2:7" ht="14" x14ac:dyDescent="0.3">
      <c r="B19" s="4" t="s">
        <v>77</v>
      </c>
      <c r="C19" s="12">
        <v>0.5</v>
      </c>
    </row>
    <row r="20" spans="2:7" ht="14" x14ac:dyDescent="0.3">
      <c r="B20" s="4" t="s">
        <v>78</v>
      </c>
      <c r="C20" s="5">
        <v>26592.9</v>
      </c>
    </row>
    <row r="22" spans="2:7" ht="14" x14ac:dyDescent="0.3">
      <c r="B22" s="8" t="s">
        <v>79</v>
      </c>
      <c r="C22" s="9"/>
      <c r="D22" s="9"/>
      <c r="E22" s="9"/>
      <c r="F22" s="9"/>
      <c r="G22" s="9"/>
    </row>
    <row r="23" spans="2:7" ht="14" x14ac:dyDescent="0.3">
      <c r="B23" s="4" t="s">
        <v>80</v>
      </c>
      <c r="C23" s="16">
        <f>C7+C8*C9+C10</f>
        <v>0.127</v>
      </c>
    </row>
    <row r="24" spans="2:7" ht="14" x14ac:dyDescent="0.3">
      <c r="B24" s="4" t="s">
        <v>81</v>
      </c>
      <c r="C24" s="16">
        <f>1/(1+C12)</f>
        <v>0.98125797272102844</v>
      </c>
    </row>
    <row r="25" spans="2:7" ht="14" x14ac:dyDescent="0.3">
      <c r="B25" s="4" t="s">
        <v>82</v>
      </c>
      <c r="C25" s="16">
        <f>C12/(1+C12)</f>
        <v>1.8742027278971642E-2</v>
      </c>
    </row>
    <row r="26" spans="2:7" ht="14" x14ac:dyDescent="0.3">
      <c r="B26" s="4" t="s">
        <v>83</v>
      </c>
      <c r="C26" s="16">
        <f>C23*C24+C11*C25</f>
        <v>0.12471347267196548</v>
      </c>
    </row>
    <row r="27" spans="2:7" ht="14" x14ac:dyDescent="0.3">
      <c r="B27" s="4" t="s">
        <v>84</v>
      </c>
      <c r="C27" s="17" t="s">
        <v>85</v>
      </c>
      <c r="D27" s="6">
        <f>MATCH(C27,{"Base","Upside","Management","Downside 1","Downside 2"},0)</f>
        <v>1</v>
      </c>
    </row>
    <row r="28" spans="2:7" ht="14" x14ac:dyDescent="0.3">
      <c r="B28" s="8" t="s">
        <v>86</v>
      </c>
      <c r="C28" s="9"/>
      <c r="D28" s="9"/>
      <c r="E28" s="9"/>
      <c r="F28" s="9"/>
      <c r="G28" s="9"/>
    </row>
    <row r="29" spans="2:7" ht="14" x14ac:dyDescent="0.3">
      <c r="C29" s="10" t="s">
        <v>87</v>
      </c>
      <c r="D29" s="10" t="s">
        <v>88</v>
      </c>
      <c r="E29" s="10" t="s">
        <v>89</v>
      </c>
      <c r="F29" s="10" t="s">
        <v>90</v>
      </c>
      <c r="G29" s="10" t="s">
        <v>91</v>
      </c>
    </row>
    <row r="30" spans="2:7" ht="14" x14ac:dyDescent="0.3">
      <c r="B30" s="4" t="s">
        <v>49</v>
      </c>
      <c r="C30" s="18">
        <f>(C33/C17)-1</f>
        <v>4.2684083007556106E-2</v>
      </c>
      <c r="D30" s="18">
        <f>(D33/C33)-1</f>
        <v>0.10223169690402556</v>
      </c>
      <c r="E30" s="18">
        <f>(E33/D33)-1</f>
        <v>8.4665878959363061E-2</v>
      </c>
      <c r="F30" s="18">
        <f>(F33/E33)-1</f>
        <v>7.8040182686938797E-2</v>
      </c>
      <c r="G30" s="18">
        <f>(G33/F33)-1</f>
        <v>5.3432896604530988E-2</v>
      </c>
    </row>
    <row r="31" spans="2:7" ht="14" x14ac:dyDescent="0.3">
      <c r="B31" s="4" t="s">
        <v>92</v>
      </c>
      <c r="C31" s="18">
        <f>IFERROR(C34/C33,0)</f>
        <v>0.79822312024989239</v>
      </c>
      <c r="D31" s="18">
        <f>IFERROR(D34/D33,0)</f>
        <v>0.78822691034069003</v>
      </c>
      <c r="E31" s="18">
        <f>IFERROR(E34/E33,0)</f>
        <v>0.77799372369374264</v>
      </c>
      <c r="F31" s="18">
        <f>IFERROR(F34/F33,0)</f>
        <v>0.76879510847450871</v>
      </c>
      <c r="G31" s="18">
        <f>IFERROR(G34/G33,0)</f>
        <v>0.76782523997178243</v>
      </c>
    </row>
    <row r="32" spans="2:7" ht="14" x14ac:dyDescent="0.3">
      <c r="B32" s="4" t="s">
        <v>93</v>
      </c>
      <c r="C32" s="18">
        <f>CHOOSE($D$27,'Segment Analysis'!F117,'Segment Analysis'!F118,'Segment Analysis'!F119,'Segment Analysis'!F120,'Segment Analysis'!F121)</f>
        <v>0.06</v>
      </c>
      <c r="D32" s="18">
        <f>CHOOSE($D$27,'Segment Analysis'!G117,'Segment Analysis'!G118,'Segment Analysis'!G119,'Segment Analysis'!G120,'Segment Analysis'!G121)</f>
        <v>0.06</v>
      </c>
      <c r="E32" s="18">
        <f>CHOOSE($D$27,'Segment Analysis'!H117,'Segment Analysis'!H118,'Segment Analysis'!H119,'Segment Analysis'!H120,'Segment Analysis'!H121)</f>
        <v>0.06</v>
      </c>
      <c r="F32" s="18">
        <f>CHOOSE($D$27,'Segment Analysis'!I117,'Segment Analysis'!I118,'Segment Analysis'!I119,'Segment Analysis'!I120,'Segment Analysis'!I121)</f>
        <v>0.06</v>
      </c>
      <c r="G32" s="18">
        <f>CHOOSE($D$27,'Segment Analysis'!J117,'Segment Analysis'!J118,'Segment Analysis'!J119,'Segment Analysis'!J120,'Segment Analysis'!J121)</f>
        <v>0.06</v>
      </c>
    </row>
    <row r="33" spans="2:7" ht="14" x14ac:dyDescent="0.3">
      <c r="B33" s="4" t="s">
        <v>40</v>
      </c>
      <c r="C33" s="5">
        <f>'Segment Analysis'!F31</f>
        <v>22499.727399999996</v>
      </c>
      <c r="D33" s="5">
        <f>'Segment Analysis'!G31</f>
        <v>24799.912711979996</v>
      </c>
      <c r="E33" s="5">
        <f>'Segment Analysis'!H31</f>
        <v>26899.619119855266</v>
      </c>
      <c r="F33" s="5">
        <f>'Segment Analysis'!I31</f>
        <v>28998.870310177841</v>
      </c>
      <c r="G33" s="5">
        <f>'Segment Analysis'!J31</f>
        <v>30548.363949109775</v>
      </c>
    </row>
    <row r="34" spans="2:7" ht="14" x14ac:dyDescent="0.3">
      <c r="B34" s="4" t="s">
        <v>41</v>
      </c>
      <c r="C34" s="5">
        <f>C33-C37-C39</f>
        <v>17959.802609999995</v>
      </c>
      <c r="D34" s="5">
        <f>D33-D37-D39</f>
        <v>19547.958573682794</v>
      </c>
      <c r="E34" s="5">
        <f>E33-E37-E39</f>
        <v>20927.734844999595</v>
      </c>
      <c r="F34" s="5">
        <f>F33-F37-F39</f>
        <v>22294.189645751383</v>
      </c>
      <c r="G34" s="5">
        <f>G33-G37-G39</f>
        <v>23455.804879970561</v>
      </c>
    </row>
    <row r="35" spans="2:7" ht="14" x14ac:dyDescent="0.3">
      <c r="B35" s="4" t="s">
        <v>42</v>
      </c>
      <c r="C35" s="19">
        <f>C33-C34</f>
        <v>4539.9247900000009</v>
      </c>
      <c r="D35" s="19">
        <f>D33-D34</f>
        <v>5251.954138297202</v>
      </c>
      <c r="E35" s="19">
        <f>E33-E34</f>
        <v>5971.8842748556708</v>
      </c>
      <c r="F35" s="19">
        <f>F33-F34</f>
        <v>6704.680664426458</v>
      </c>
      <c r="G35" s="19">
        <f>G33-G34</f>
        <v>7092.5590691392135</v>
      </c>
    </row>
    <row r="36" spans="2:7" ht="14" x14ac:dyDescent="0.3">
      <c r="B36" s="4" t="s">
        <v>43</v>
      </c>
      <c r="C36" s="7">
        <f>C35/C33</f>
        <v>0.20177687975010763</v>
      </c>
      <c r="D36" s="7">
        <f>D35/D33</f>
        <v>0.21177308965931002</v>
      </c>
      <c r="E36" s="7">
        <f>E35/E33</f>
        <v>0.22200627630625733</v>
      </c>
      <c r="F36" s="7">
        <f>F35/F33</f>
        <v>0.23120489152549131</v>
      </c>
      <c r="G36" s="7">
        <f>G35/G33</f>
        <v>0.23217476002821752</v>
      </c>
    </row>
    <row r="37" spans="2:7" ht="14" x14ac:dyDescent="0.3">
      <c r="B37" s="4" t="s">
        <v>94</v>
      </c>
      <c r="C37" s="5">
        <f>C33*C32</f>
        <v>1349.9836439999997</v>
      </c>
      <c r="D37" s="5">
        <f>D33*D32</f>
        <v>1487.9947627187996</v>
      </c>
      <c r="E37" s="5">
        <f>E33*E32</f>
        <v>1613.9771471913159</v>
      </c>
      <c r="F37" s="5">
        <f>F33*F32</f>
        <v>1739.9322186106704</v>
      </c>
      <c r="G37" s="5">
        <f>G33*G32</f>
        <v>1832.9018369465864</v>
      </c>
    </row>
    <row r="38" spans="2:7" ht="14" x14ac:dyDescent="0.3">
      <c r="B38" s="4" t="s">
        <v>95</v>
      </c>
      <c r="C38" s="7">
        <f>(C35-C37)/C33</f>
        <v>0.14177687975010761</v>
      </c>
      <c r="D38" s="7">
        <f>(D35-D37)/D33</f>
        <v>0.15177308965931002</v>
      </c>
      <c r="E38" s="7">
        <f>(E35-E37)/E33</f>
        <v>0.16200627630625736</v>
      </c>
      <c r="F38" s="7">
        <f>(F35-F37)/F33</f>
        <v>0.17120489152549132</v>
      </c>
      <c r="G38" s="7">
        <f>(G35-G37)/G33</f>
        <v>0.17217476002821752</v>
      </c>
    </row>
    <row r="39" spans="2:7" ht="14" x14ac:dyDescent="0.3">
      <c r="B39" s="4" t="s">
        <v>96</v>
      </c>
      <c r="C39" s="19">
        <f>'Segment Analysis'!F32</f>
        <v>3189.9411460000001</v>
      </c>
      <c r="D39" s="19">
        <f>'Segment Analysis'!G32</f>
        <v>3763.9593755784008</v>
      </c>
      <c r="E39" s="19">
        <f>'Segment Analysis'!H32</f>
        <v>4357.9071276643563</v>
      </c>
      <c r="F39" s="19">
        <f>'Segment Analysis'!I32</f>
        <v>4964.7484458157887</v>
      </c>
      <c r="G39" s="19">
        <f>'Segment Analysis'!J32</f>
        <v>5259.6572321926278</v>
      </c>
    </row>
    <row r="40" spans="2:7" ht="14" x14ac:dyDescent="0.3">
      <c r="B40" s="4" t="s">
        <v>97</v>
      </c>
      <c r="C40" s="5">
        <f>MAX(0,C39*C6)</f>
        <v>956.98234379999997</v>
      </c>
      <c r="D40" s="5">
        <f>MAX(0,D39*C6)</f>
        <v>1129.1878126735203</v>
      </c>
      <c r="E40" s="5">
        <f>MAX(0,E39*C6)</f>
        <v>1307.3721382993069</v>
      </c>
      <c r="F40" s="5">
        <f>MAX(0,F39*C6)</f>
        <v>1489.4245337447367</v>
      </c>
      <c r="G40" s="5">
        <f>MAX(0,G39*C6)</f>
        <v>1577.8971696577883</v>
      </c>
    </row>
    <row r="41" spans="2:7" ht="14" x14ac:dyDescent="0.3">
      <c r="B41" s="4" t="s">
        <v>98</v>
      </c>
      <c r="C41" s="19">
        <f>C39-C40</f>
        <v>2232.9588022000003</v>
      </c>
      <c r="D41" s="19">
        <f>D39-D40</f>
        <v>2634.7715629048807</v>
      </c>
      <c r="E41" s="19">
        <f>E39-E40</f>
        <v>3050.5349893650491</v>
      </c>
      <c r="F41" s="19">
        <f>F39-F40</f>
        <v>3475.3239120710523</v>
      </c>
      <c r="G41" s="19">
        <f>G39-G40</f>
        <v>3681.7600625348396</v>
      </c>
    </row>
    <row r="42" spans="2:7" ht="14" x14ac:dyDescent="0.3">
      <c r="B42" s="4" t="s">
        <v>99</v>
      </c>
      <c r="C42" s="5">
        <f>C33*C18</f>
        <v>240.74708317999995</v>
      </c>
      <c r="D42" s="5">
        <f>D33*C18</f>
        <v>265.35906601818596</v>
      </c>
      <c r="E42" s="5">
        <f>E33*C18</f>
        <v>287.82592458245131</v>
      </c>
      <c r="F42" s="5">
        <f>F33*C18</f>
        <v>310.2879123189029</v>
      </c>
      <c r="G42" s="5">
        <f>G33*C18</f>
        <v>326.86749425547458</v>
      </c>
    </row>
    <row r="43" spans="2:7" ht="14" x14ac:dyDescent="0.3">
      <c r="B43" s="4" t="s">
        <v>100</v>
      </c>
      <c r="C43" s="5">
        <f>C33*C5</f>
        <v>742.49100419999991</v>
      </c>
      <c r="D43" s="5">
        <f>D33*C5</f>
        <v>818.39711949533989</v>
      </c>
      <c r="E43" s="5">
        <f>E33*C5</f>
        <v>887.68743095522382</v>
      </c>
      <c r="F43" s="5">
        <f>F33*C5</f>
        <v>956.9627202358688</v>
      </c>
      <c r="G43" s="5">
        <f>G33*C5</f>
        <v>1008.0960103206227</v>
      </c>
    </row>
    <row r="44" spans="2:7" ht="14" x14ac:dyDescent="0.3">
      <c r="B44" s="4" t="s">
        <v>101</v>
      </c>
      <c r="C44" s="5">
        <f>'NWC Schedule'!D19</f>
        <v>-43.980917999999974</v>
      </c>
      <c r="D44" s="5">
        <f>'NWC Schedule'!E19</f>
        <v>-161.01297183859992</v>
      </c>
      <c r="E44" s="5">
        <f>'NWC Schedule'!F19</f>
        <v>-146.97944855126889</v>
      </c>
      <c r="F44" s="5">
        <f>'NWC Schedule'!G19</f>
        <v>-146.94758332258039</v>
      </c>
      <c r="G44" s="5">
        <f>'NWC Schedule'!H19</f>
        <v>-108.46455472523508</v>
      </c>
    </row>
    <row r="45" spans="2:7" ht="14" x14ac:dyDescent="0.3">
      <c r="B45" s="4" t="s">
        <v>102</v>
      </c>
      <c r="C45" s="20">
        <f>C41+C42-C43-C44</f>
        <v>1775.1957991800004</v>
      </c>
      <c r="D45" s="20">
        <f>D41+D42-D43-D44</f>
        <v>2242.7464812663266</v>
      </c>
      <c r="E45" s="20">
        <f>E41+E42-E43-E44</f>
        <v>2597.652931543545</v>
      </c>
      <c r="F45" s="20">
        <f>F41+F42-F43-F44</f>
        <v>2975.5966874766664</v>
      </c>
      <c r="G45" s="20">
        <f>G41+G42-G43-G44</f>
        <v>3108.9961011949263</v>
      </c>
    </row>
    <row r="46" spans="2:7" ht="14" x14ac:dyDescent="0.3">
      <c r="B46" s="4" t="s">
        <v>103</v>
      </c>
      <c r="C46" s="21">
        <f>1/(1+C26)^(C19+0)</f>
        <v>0.94292912699017617</v>
      </c>
      <c r="D46" s="21">
        <f>1/(1+C26)^(C19+1)</f>
        <v>0.83837274995032562</v>
      </c>
      <c r="E46" s="21">
        <f>1/(1+C26)^(C19+2)</f>
        <v>0.74541007138343929</v>
      </c>
      <c r="F46" s="21">
        <f>1/(1+C26)^(C19+3)</f>
        <v>0.66275552795911608</v>
      </c>
      <c r="G46" s="21">
        <f>1/(1+C26)^(C19+4)</f>
        <v>0.58926610560164927</v>
      </c>
    </row>
    <row r="47" spans="2:7" ht="14" x14ac:dyDescent="0.3">
      <c r="B47" s="4" t="s">
        <v>104</v>
      </c>
      <c r="C47" s="19">
        <f>C45*C46</f>
        <v>1673.8838251574259</v>
      </c>
      <c r="D47" s="19">
        <f>D45*D46</f>
        <v>1880.2575349406666</v>
      </c>
      <c r="E47" s="19">
        <f>E45*E46</f>
        <v>1936.3166571312743</v>
      </c>
      <c r="F47" s="19">
        <f>F45*F46</f>
        <v>1972.093153601995</v>
      </c>
      <c r="G47" s="19">
        <f>G45*G46</f>
        <v>1832.0260248818454</v>
      </c>
    </row>
    <row r="49" spans="2:7" ht="14" x14ac:dyDescent="0.3">
      <c r="B49" s="22" t="s">
        <v>105</v>
      </c>
      <c r="C49" s="23"/>
      <c r="D49" s="23"/>
      <c r="E49" s="23"/>
      <c r="F49" s="23"/>
      <c r="G49" s="23"/>
    </row>
    <row r="50" spans="2:7" ht="14" x14ac:dyDescent="0.3">
      <c r="B50" s="4" t="s">
        <v>106</v>
      </c>
      <c r="C50" s="5">
        <f>SUM(C47:G47)</f>
        <v>9294.5771957132074</v>
      </c>
    </row>
    <row r="51" spans="2:7" ht="14" x14ac:dyDescent="0.3">
      <c r="B51" s="4" t="s">
        <v>107</v>
      </c>
      <c r="C51" s="5">
        <f>G45*(1+C13)/(C26-C13)</f>
        <v>28762.475253590183</v>
      </c>
    </row>
    <row r="52" spans="2:7" ht="14" x14ac:dyDescent="0.3">
      <c r="B52" s="4" t="s">
        <v>108</v>
      </c>
      <c r="C52" s="5">
        <f>C51*G46</f>
        <v>16948.751780146897</v>
      </c>
    </row>
    <row r="53" spans="2:7" ht="14" x14ac:dyDescent="0.3">
      <c r="B53" s="4" t="s">
        <v>109</v>
      </c>
      <c r="C53" s="5">
        <f>C50+C52</f>
        <v>26243.328975860102</v>
      </c>
    </row>
    <row r="54" spans="2:7" ht="14" x14ac:dyDescent="0.3">
      <c r="B54" s="4" t="s">
        <v>110</v>
      </c>
      <c r="C54" s="5">
        <f>C53-C16</f>
        <v>25810.928975860101</v>
      </c>
    </row>
    <row r="55" spans="2:7" ht="14" x14ac:dyDescent="0.3">
      <c r="B55" s="4" t="s">
        <v>111</v>
      </c>
      <c r="C55" s="24">
        <f>ROUND(C54*1000000/C15,0)</f>
        <v>2246</v>
      </c>
    </row>
    <row r="57" spans="2:7" ht="14" x14ac:dyDescent="0.3">
      <c r="B57" s="22" t="s">
        <v>112</v>
      </c>
      <c r="C57" s="23"/>
      <c r="D57" s="23"/>
      <c r="E57" s="23"/>
      <c r="F57" s="23"/>
      <c r="G57" s="23"/>
    </row>
    <row r="58" spans="2:7" ht="14" x14ac:dyDescent="0.3">
      <c r="B58" s="4" t="s">
        <v>106</v>
      </c>
      <c r="C58" s="5">
        <f>C50</f>
        <v>9294.5771957132074</v>
      </c>
    </row>
    <row r="59" spans="2:7" ht="14" x14ac:dyDescent="0.3">
      <c r="B59" s="4" t="s">
        <v>113</v>
      </c>
      <c r="C59" s="5">
        <f>G39+G42</f>
        <v>5586.5247264481022</v>
      </c>
    </row>
    <row r="60" spans="2:7" ht="14" x14ac:dyDescent="0.3">
      <c r="B60" s="4" t="s">
        <v>114</v>
      </c>
      <c r="C60" s="5">
        <f>C59*C14</f>
        <v>44692.197811584818</v>
      </c>
    </row>
    <row r="61" spans="2:7" ht="14" x14ac:dyDescent="0.3">
      <c r="B61" s="4" t="s">
        <v>108</v>
      </c>
      <c r="C61" s="5">
        <f>C60*G46</f>
        <v>26335.597355211139</v>
      </c>
    </row>
    <row r="62" spans="2:7" ht="14" x14ac:dyDescent="0.3">
      <c r="B62" s="4" t="s">
        <v>109</v>
      </c>
      <c r="C62" s="5">
        <f>C58+C61</f>
        <v>35630.174550924348</v>
      </c>
    </row>
    <row r="63" spans="2:7" ht="14" x14ac:dyDescent="0.3">
      <c r="B63" s="4" t="s">
        <v>110</v>
      </c>
      <c r="C63" s="5">
        <f>C62-C16</f>
        <v>35197.774550924347</v>
      </c>
    </row>
    <row r="64" spans="2:7" ht="14" x14ac:dyDescent="0.3">
      <c r="B64" s="4" t="s">
        <v>115</v>
      </c>
      <c r="C64" s="24">
        <f>ROUND(C63*1000000/C15,0)</f>
        <v>3063</v>
      </c>
    </row>
    <row r="66" spans="2:2" ht="14" x14ac:dyDescent="0.3">
      <c r="B66" s="1" t="s">
        <v>116</v>
      </c>
    </row>
  </sheetData>
  <phoneticPr fontId="9"/>
  <dataValidations count="1">
    <dataValidation type="list" sqref="C27" xr:uid="{00000000-0002-0000-0200-000000000000}">
      <formula1>"Base,Upside,Management,Downside 1,Downside 2"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C6600"/>
  </sheetPr>
  <dimension ref="B2:H22"/>
  <sheetViews>
    <sheetView tabSelected="1" workbookViewId="0"/>
  </sheetViews>
  <sheetFormatPr defaultRowHeight="13" x14ac:dyDescent="0.2"/>
  <cols>
    <col min="1" max="1" width="3" customWidth="1"/>
    <col min="2" max="2" width="28" customWidth="1"/>
    <col min="3" max="8" width="16" customWidth="1"/>
  </cols>
  <sheetData>
    <row r="2" spans="2:8" ht="18" x14ac:dyDescent="0.4">
      <c r="B2" s="2" t="s">
        <v>117</v>
      </c>
    </row>
    <row r="4" spans="2:8" ht="14" x14ac:dyDescent="0.3">
      <c r="B4" s="8" t="s">
        <v>118</v>
      </c>
      <c r="C4" s="25" t="s">
        <v>119</v>
      </c>
      <c r="D4" s="25" t="s">
        <v>87</v>
      </c>
      <c r="E4" s="25" t="s">
        <v>88</v>
      </c>
      <c r="F4" s="25" t="s">
        <v>89</v>
      </c>
      <c r="G4" s="25" t="s">
        <v>90</v>
      </c>
      <c r="H4" s="25" t="s">
        <v>91</v>
      </c>
    </row>
    <row r="5" spans="2:8" ht="14" x14ac:dyDescent="0.3">
      <c r="B5" s="26" t="s">
        <v>120</v>
      </c>
      <c r="C5" s="27">
        <f>C18/C9</f>
        <v>-7.0949718754573385E-2</v>
      </c>
      <c r="D5" s="27">
        <f>CHOOSE('DCF Model'!$D$27,'Segment Analysis'!F124,'Segment Analysis'!F125,'Segment Analysis'!F126,'Segment Analysis'!F127,'Segment Analysis'!F128)</f>
        <v>-7.0000000000000007E-2</v>
      </c>
      <c r="E5" s="27">
        <f>CHOOSE('DCF Model'!$D$27,'Segment Analysis'!G124,'Segment Analysis'!G125,'Segment Analysis'!G126,'Segment Analysis'!G127,'Segment Analysis'!G128)</f>
        <v>-7.0000000000000007E-2</v>
      </c>
      <c r="F5" s="27">
        <f>CHOOSE('DCF Model'!$D$27,'Segment Analysis'!H124,'Segment Analysis'!H125,'Segment Analysis'!H126,'Segment Analysis'!H127,'Segment Analysis'!H128)</f>
        <v>-7.0000000000000007E-2</v>
      </c>
      <c r="G5" s="27">
        <f>CHOOSE('DCF Model'!$D$27,'Segment Analysis'!I124,'Segment Analysis'!I125,'Segment Analysis'!I126,'Segment Analysis'!I127,'Segment Analysis'!I128)</f>
        <v>-7.0000000000000007E-2</v>
      </c>
      <c r="H5" s="27">
        <f>CHOOSE('DCF Model'!$D$27,'Segment Analysis'!J124,'Segment Analysis'!J125,'Segment Analysis'!J126,'Segment Analysis'!J127,'Segment Analysis'!J128)</f>
        <v>-7.0000000000000007E-2</v>
      </c>
    </row>
    <row r="6" spans="2:8" ht="14" x14ac:dyDescent="0.3">
      <c r="B6" s="28" t="s">
        <v>121</v>
      </c>
      <c r="C6" s="28" t="s">
        <v>121</v>
      </c>
      <c r="D6" s="28" t="s">
        <v>121</v>
      </c>
      <c r="E6" s="28" t="s">
        <v>121</v>
      </c>
      <c r="F6" s="28" t="s">
        <v>121</v>
      </c>
      <c r="G6" s="28" t="s">
        <v>121</v>
      </c>
      <c r="H6" s="28" t="s">
        <v>121</v>
      </c>
    </row>
    <row r="7" spans="2:8" ht="14" x14ac:dyDescent="0.3">
      <c r="B7" s="28" t="s">
        <v>121</v>
      </c>
      <c r="C7" s="28" t="s">
        <v>121</v>
      </c>
      <c r="D7" s="28" t="s">
        <v>121</v>
      </c>
      <c r="E7" s="28" t="s">
        <v>121</v>
      </c>
      <c r="F7" s="28" t="s">
        <v>121</v>
      </c>
      <c r="G7" s="28" t="s">
        <v>121</v>
      </c>
      <c r="H7" s="28" t="s">
        <v>121</v>
      </c>
    </row>
    <row r="8" spans="2:8" ht="14" x14ac:dyDescent="0.3">
      <c r="B8" s="8" t="s">
        <v>122</v>
      </c>
      <c r="C8" s="9"/>
      <c r="D8" s="9"/>
      <c r="E8" s="9"/>
      <c r="F8" s="9"/>
      <c r="G8" s="9"/>
      <c r="H8" s="9"/>
    </row>
    <row r="9" spans="2:8" ht="14" x14ac:dyDescent="0.3">
      <c r="B9" s="26" t="s">
        <v>40</v>
      </c>
      <c r="C9" s="29">
        <v>21578.662</v>
      </c>
      <c r="D9" s="29">
        <f>'DCF Model'!C33</f>
        <v>22499.727399999996</v>
      </c>
      <c r="E9" s="29">
        <f>'DCF Model'!D33</f>
        <v>24799.912711979996</v>
      </c>
      <c r="F9" s="29">
        <f>'DCF Model'!E33</f>
        <v>26899.619119855266</v>
      </c>
      <c r="G9" s="29">
        <f>'DCF Model'!F33</f>
        <v>28998.870310177841</v>
      </c>
      <c r="H9" s="29">
        <f>'DCF Model'!G33</f>
        <v>30548.363949109775</v>
      </c>
    </row>
    <row r="10" spans="2:8" ht="14" x14ac:dyDescent="0.3">
      <c r="B10" s="28" t="s">
        <v>121</v>
      </c>
      <c r="C10" s="28" t="s">
        <v>121</v>
      </c>
      <c r="D10" s="28" t="s">
        <v>121</v>
      </c>
      <c r="E10" s="28" t="s">
        <v>121</v>
      </c>
      <c r="F10" s="28" t="s">
        <v>121</v>
      </c>
      <c r="G10" s="28" t="s">
        <v>121</v>
      </c>
      <c r="H10" s="28" t="s">
        <v>121</v>
      </c>
    </row>
    <row r="11" spans="2:8" ht="14" x14ac:dyDescent="0.3">
      <c r="B11" s="8" t="s">
        <v>123</v>
      </c>
      <c r="C11" s="9"/>
      <c r="D11" s="9"/>
      <c r="E11" s="9"/>
      <c r="F11" s="9"/>
      <c r="G11" s="9"/>
      <c r="H11" s="9"/>
    </row>
    <row r="12" spans="2:8" ht="14" x14ac:dyDescent="0.3">
      <c r="B12" s="28" t="s">
        <v>121</v>
      </c>
      <c r="C12" s="28" t="s">
        <v>121</v>
      </c>
      <c r="D12" s="28" t="s">
        <v>121</v>
      </c>
      <c r="E12" s="28" t="s">
        <v>121</v>
      </c>
      <c r="F12" s="28" t="s">
        <v>121</v>
      </c>
      <c r="G12" s="28" t="s">
        <v>121</v>
      </c>
      <c r="H12" s="28" t="s">
        <v>121</v>
      </c>
    </row>
    <row r="13" spans="2:8" ht="14" x14ac:dyDescent="0.3">
      <c r="B13" s="28" t="s">
        <v>121</v>
      </c>
      <c r="C13" s="28" t="s">
        <v>121</v>
      </c>
      <c r="D13" s="28" t="s">
        <v>121</v>
      </c>
      <c r="E13" s="28" t="s">
        <v>121</v>
      </c>
      <c r="F13" s="28" t="s">
        <v>121</v>
      </c>
      <c r="G13" s="28" t="s">
        <v>121</v>
      </c>
      <c r="H13" s="28" t="s">
        <v>121</v>
      </c>
    </row>
    <row r="14" spans="2:8" ht="14" x14ac:dyDescent="0.3">
      <c r="B14" s="28" t="s">
        <v>121</v>
      </c>
      <c r="C14" s="28" t="s">
        <v>121</v>
      </c>
      <c r="D14" s="28" t="s">
        <v>121</v>
      </c>
      <c r="E14" s="28" t="s">
        <v>121</v>
      </c>
      <c r="F14" s="28" t="s">
        <v>121</v>
      </c>
      <c r="G14" s="28" t="s">
        <v>121</v>
      </c>
      <c r="H14" s="28" t="s">
        <v>121</v>
      </c>
    </row>
    <row r="15" spans="2:8" ht="14" x14ac:dyDescent="0.3">
      <c r="B15" s="28" t="s">
        <v>121</v>
      </c>
      <c r="C15" s="28" t="s">
        <v>121</v>
      </c>
      <c r="D15" s="28" t="s">
        <v>121</v>
      </c>
      <c r="E15" s="28" t="s">
        <v>121</v>
      </c>
      <c r="F15" s="28" t="s">
        <v>121</v>
      </c>
      <c r="G15" s="28" t="s">
        <v>121</v>
      </c>
      <c r="H15" s="28" t="s">
        <v>121</v>
      </c>
    </row>
    <row r="16" spans="2:8" ht="14" x14ac:dyDescent="0.3">
      <c r="B16" s="28" t="s">
        <v>121</v>
      </c>
      <c r="C16" s="28" t="s">
        <v>121</v>
      </c>
      <c r="D16" s="28" t="s">
        <v>121</v>
      </c>
      <c r="E16" s="28" t="s">
        <v>121</v>
      </c>
      <c r="F16" s="28" t="s">
        <v>121</v>
      </c>
      <c r="G16" s="28" t="s">
        <v>121</v>
      </c>
      <c r="H16" s="28" t="s">
        <v>121</v>
      </c>
    </row>
    <row r="17" spans="2:8" ht="14" x14ac:dyDescent="0.3">
      <c r="B17" s="22" t="s">
        <v>124</v>
      </c>
      <c r="C17" s="23"/>
      <c r="D17" s="23"/>
      <c r="E17" s="23"/>
      <c r="F17" s="23"/>
      <c r="G17" s="23"/>
      <c r="H17" s="23"/>
    </row>
    <row r="18" spans="2:8" ht="14" x14ac:dyDescent="0.3">
      <c r="B18" s="26" t="s">
        <v>125</v>
      </c>
      <c r="C18" s="20">
        <v>-1531</v>
      </c>
      <c r="D18" s="20">
        <f>D9*D5</f>
        <v>-1574.980918</v>
      </c>
      <c r="E18" s="20">
        <f>E9*E5</f>
        <v>-1735.9938898385999</v>
      </c>
      <c r="F18" s="20">
        <f>F9*F5</f>
        <v>-1882.9733383898688</v>
      </c>
      <c r="G18" s="20">
        <f>G9*G5</f>
        <v>-2029.9209217124492</v>
      </c>
      <c r="H18" s="20">
        <f>H9*H5</f>
        <v>-2138.3854764376842</v>
      </c>
    </row>
    <row r="19" spans="2:8" ht="14" x14ac:dyDescent="0.3">
      <c r="B19" s="26" t="s">
        <v>101</v>
      </c>
      <c r="C19" s="30" t="s">
        <v>50</v>
      </c>
      <c r="D19" s="24">
        <f>D18-C18</f>
        <v>-43.980917999999974</v>
      </c>
      <c r="E19" s="24">
        <f>E18-D18</f>
        <v>-161.01297183859992</v>
      </c>
      <c r="F19" s="24">
        <f>F18-E18</f>
        <v>-146.97944855126889</v>
      </c>
      <c r="G19" s="24">
        <f>G18-F18</f>
        <v>-146.94758332258039</v>
      </c>
      <c r="H19" s="24">
        <f>H18-G18</f>
        <v>-108.46455472523508</v>
      </c>
    </row>
    <row r="22" spans="2:8" ht="14" x14ac:dyDescent="0.3">
      <c r="B22" s="1" t="s">
        <v>126</v>
      </c>
    </row>
  </sheetData>
  <phoneticPr fontId="9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6600"/>
  </sheetPr>
  <dimension ref="B2:O28"/>
  <sheetViews>
    <sheetView workbookViewId="0"/>
  </sheetViews>
  <sheetFormatPr defaultRowHeight="13" x14ac:dyDescent="0.2"/>
  <cols>
    <col min="1" max="1" width="3" customWidth="1"/>
    <col min="2" max="2" width="16" customWidth="1"/>
    <col min="3" max="3" width="10" customWidth="1"/>
    <col min="4" max="15" width="12" customWidth="1"/>
  </cols>
  <sheetData>
    <row r="2" spans="2:15" ht="18" x14ac:dyDescent="0.4">
      <c r="B2" s="2" t="s">
        <v>127</v>
      </c>
    </row>
    <row r="4" spans="2:15" ht="28" x14ac:dyDescent="0.3">
      <c r="B4" s="10" t="s">
        <v>3</v>
      </c>
      <c r="C4" s="10" t="s">
        <v>5</v>
      </c>
      <c r="D4" s="10" t="s">
        <v>128</v>
      </c>
      <c r="E4" s="10" t="s">
        <v>129</v>
      </c>
      <c r="F4" s="10" t="s">
        <v>130</v>
      </c>
      <c r="G4" s="10" t="s">
        <v>131</v>
      </c>
      <c r="H4" s="10" t="s">
        <v>132</v>
      </c>
      <c r="I4" s="10" t="s">
        <v>133</v>
      </c>
      <c r="J4" s="10" t="s">
        <v>134</v>
      </c>
      <c r="K4" s="10" t="s">
        <v>135</v>
      </c>
      <c r="L4" s="10" t="s">
        <v>136</v>
      </c>
      <c r="M4" s="10" t="s">
        <v>137</v>
      </c>
      <c r="N4" s="10" t="s">
        <v>138</v>
      </c>
      <c r="O4" s="10" t="s">
        <v>139</v>
      </c>
    </row>
    <row r="5" spans="2:15" ht="14" x14ac:dyDescent="0.3">
      <c r="B5" s="4" t="s">
        <v>140</v>
      </c>
      <c r="C5" t="s">
        <v>141</v>
      </c>
      <c r="D5" s="31">
        <v>26567.58784</v>
      </c>
      <c r="E5" s="31">
        <v>33404.58784</v>
      </c>
      <c r="F5" s="31">
        <v>31000</v>
      </c>
      <c r="G5" s="31">
        <v>2922</v>
      </c>
      <c r="H5" s="31">
        <v>2100</v>
      </c>
      <c r="I5" s="31">
        <v>1600</v>
      </c>
      <c r="J5" s="32">
        <f>E5/G5</f>
        <v>11.432097138945927</v>
      </c>
      <c r="K5" s="32">
        <f>E5/F5</f>
        <v>1.0775673496774194</v>
      </c>
      <c r="L5" s="32">
        <f>D5/I5</f>
        <v>16.604742399999999</v>
      </c>
      <c r="M5" s="32">
        <v>0.69474092832300416</v>
      </c>
      <c r="N5" s="33">
        <f>H5/F5</f>
        <v>6.7741935483870974E-2</v>
      </c>
      <c r="O5" s="33">
        <v>4.1839910044193407E-2</v>
      </c>
    </row>
    <row r="6" spans="2:15" ht="14" x14ac:dyDescent="0.3">
      <c r="B6" s="4" t="s">
        <v>142</v>
      </c>
      <c r="C6" t="s">
        <v>143</v>
      </c>
      <c r="D6" s="31">
        <v>8058.6567679999998</v>
      </c>
      <c r="E6" s="31">
        <v>12193.656768000001</v>
      </c>
      <c r="F6" s="31">
        <v>7000</v>
      </c>
      <c r="G6" s="31">
        <v>573</v>
      </c>
      <c r="H6" s="31">
        <v>430</v>
      </c>
      <c r="I6" s="31">
        <v>330</v>
      </c>
      <c r="J6" s="32">
        <f>E6/G6</f>
        <v>21.280378303664921</v>
      </c>
      <c r="K6" s="32">
        <f>E6/F6</f>
        <v>1.7419509668571429</v>
      </c>
      <c r="L6" s="32">
        <f>D6/I6</f>
        <v>24.420172024242422</v>
      </c>
      <c r="M6" s="32">
        <v>0.78490861673322299</v>
      </c>
      <c r="N6" s="33">
        <f>H6/F6</f>
        <v>6.142857142857143E-2</v>
      </c>
      <c r="O6" s="33">
        <v>3.2141813577481249E-2</v>
      </c>
    </row>
    <row r="7" spans="2:15" ht="14" x14ac:dyDescent="0.3">
      <c r="B7" s="4" t="s">
        <v>144</v>
      </c>
      <c r="C7" t="s">
        <v>145</v>
      </c>
      <c r="D7" s="31">
        <v>10346.643456</v>
      </c>
      <c r="E7" s="31">
        <v>10381.643456</v>
      </c>
      <c r="F7" s="31">
        <v>8320</v>
      </c>
      <c r="G7" s="31">
        <v>1885</v>
      </c>
      <c r="H7" s="31">
        <v>1698</v>
      </c>
      <c r="I7" s="31">
        <v>1192</v>
      </c>
      <c r="J7" s="32">
        <f>E7/G7</f>
        <v>5.5075031596816979</v>
      </c>
      <c r="K7" s="32">
        <f>E7/F7</f>
        <v>1.2477936846153845</v>
      </c>
      <c r="L7" s="32">
        <f>D7/I7</f>
        <v>8.680070013422819</v>
      </c>
      <c r="M7" s="32">
        <v>0.97877622325229396</v>
      </c>
      <c r="N7" s="33">
        <f>H7/F7</f>
        <v>0.20408653846153846</v>
      </c>
      <c r="O7" s="33">
        <v>0.1127613281619525</v>
      </c>
    </row>
    <row r="8" spans="2:15" ht="14" x14ac:dyDescent="0.3">
      <c r="B8" s="4" t="s">
        <v>146</v>
      </c>
      <c r="C8" t="s">
        <v>147</v>
      </c>
      <c r="D8" s="31">
        <v>23867.400192000001</v>
      </c>
      <c r="E8" s="31">
        <v>25938.400192000001</v>
      </c>
      <c r="F8" s="31">
        <v>22300</v>
      </c>
      <c r="G8" s="31">
        <v>6602</v>
      </c>
      <c r="H8" s="31">
        <v>4500</v>
      </c>
      <c r="I8" s="31">
        <v>3100</v>
      </c>
      <c r="J8" s="32">
        <f>E8/G8</f>
        <v>3.9288700684641018</v>
      </c>
      <c r="K8" s="32">
        <f>E8/F8</f>
        <v>1.1631569592825113</v>
      </c>
      <c r="L8" s="32">
        <f>D8/I8</f>
        <v>7.6991613522580646</v>
      </c>
      <c r="M8" s="32">
        <v>1.0001424820650351</v>
      </c>
      <c r="N8" s="33">
        <f>H8/F8</f>
        <v>0.20179372197309417</v>
      </c>
      <c r="O8" s="33">
        <v>0.1299027824337915</v>
      </c>
    </row>
    <row r="14" spans="2:15" ht="14" x14ac:dyDescent="0.3">
      <c r="B14" s="3" t="s">
        <v>148</v>
      </c>
    </row>
    <row r="15" spans="2:15" ht="14" x14ac:dyDescent="0.3">
      <c r="B15" s="4" t="s">
        <v>149</v>
      </c>
      <c r="D15" s="32">
        <f t="shared" ref="D15:I15" si="0">PERCENTILE(J5:J8,0.25)</f>
        <v>5.1128448868772987</v>
      </c>
      <c r="E15" s="32">
        <f t="shared" si="0"/>
        <v>1.1417595568812384</v>
      </c>
      <c r="F15" s="32">
        <f t="shared" si="0"/>
        <v>8.4348428481316304</v>
      </c>
      <c r="G15" s="32">
        <f t="shared" si="0"/>
        <v>0.76236669463066831</v>
      </c>
      <c r="H15" s="33">
        <f t="shared" si="0"/>
        <v>6.6163594470046092E-2</v>
      </c>
      <c r="I15" s="33">
        <f t="shared" si="0"/>
        <v>3.9415385927515367E-2</v>
      </c>
    </row>
    <row r="16" spans="2:15" ht="14" x14ac:dyDescent="0.3">
      <c r="B16" s="4" t="s">
        <v>150</v>
      </c>
      <c r="D16" s="32">
        <f t="shared" ref="D16:I16" si="1">MEDIAN(J5:J8)</f>
        <v>8.4698001493138122</v>
      </c>
      <c r="E16" s="32">
        <f t="shared" si="1"/>
        <v>1.2054753219489478</v>
      </c>
      <c r="F16" s="32">
        <f t="shared" si="1"/>
        <v>12.64240620671141</v>
      </c>
      <c r="G16" s="32">
        <f t="shared" si="1"/>
        <v>0.88184241999275848</v>
      </c>
      <c r="H16" s="33">
        <f t="shared" si="1"/>
        <v>0.13476782872848259</v>
      </c>
      <c r="I16" s="33">
        <f t="shared" si="1"/>
        <v>7.7300619103072954E-2</v>
      </c>
    </row>
    <row r="17" spans="2:9" ht="14" x14ac:dyDescent="0.3">
      <c r="B17" s="4" t="s">
        <v>151</v>
      </c>
      <c r="D17" s="32">
        <f t="shared" ref="D17:I17" si="2">PERCENTILE(J5:J8,0.75)</f>
        <v>13.894167430125677</v>
      </c>
      <c r="E17" s="32">
        <f t="shared" si="2"/>
        <v>1.3713330051758241</v>
      </c>
      <c r="F17" s="32">
        <f t="shared" si="2"/>
        <v>18.558599806060606</v>
      </c>
      <c r="G17" s="32">
        <f t="shared" si="2"/>
        <v>0.98411778795547922</v>
      </c>
      <c r="H17" s="33">
        <f t="shared" si="2"/>
        <v>0.20236692609520524</v>
      </c>
      <c r="I17" s="33">
        <f t="shared" si="2"/>
        <v>0.11704669172991225</v>
      </c>
    </row>
    <row r="19" spans="2:9" ht="14" x14ac:dyDescent="0.3">
      <c r="B19" s="22" t="s">
        <v>152</v>
      </c>
      <c r="C19" s="23"/>
      <c r="D19" s="23"/>
      <c r="E19" s="23"/>
      <c r="F19" s="23"/>
      <c r="G19" s="23"/>
      <c r="H19" s="23"/>
      <c r="I19" s="23"/>
    </row>
    <row r="20" spans="2:9" ht="14" x14ac:dyDescent="0.3">
      <c r="B20" s="3" t="s">
        <v>153</v>
      </c>
    </row>
    <row r="21" spans="2:9" ht="14" x14ac:dyDescent="0.3">
      <c r="B21" s="4" t="s">
        <v>154</v>
      </c>
      <c r="C21" s="5">
        <v>3777.8560000000002</v>
      </c>
    </row>
    <row r="22" spans="2:9" ht="14" x14ac:dyDescent="0.3">
      <c r="B22" s="4" t="s">
        <v>155</v>
      </c>
      <c r="C22" s="5">
        <v>2390.8879999999999</v>
      </c>
    </row>
    <row r="23" spans="2:9" ht="14" x14ac:dyDescent="0.3">
      <c r="B23" s="4" t="s">
        <v>156</v>
      </c>
      <c r="C23" s="15">
        <v>11490655</v>
      </c>
    </row>
    <row r="24" spans="2:9" ht="14" x14ac:dyDescent="0.3">
      <c r="B24" s="4" t="s">
        <v>74</v>
      </c>
      <c r="C24" s="5">
        <v>432.4</v>
      </c>
    </row>
    <row r="26" spans="2:9" ht="14" x14ac:dyDescent="0.3">
      <c r="B26" s="3" t="s">
        <v>157</v>
      </c>
    </row>
    <row r="27" spans="2:9" ht="14" x14ac:dyDescent="0.3">
      <c r="B27" s="4" t="s">
        <v>158</v>
      </c>
      <c r="C27" s="24">
        <f>ROUND((C21*D16-C24)*1000000/C23,0)</f>
        <v>2747</v>
      </c>
    </row>
    <row r="28" spans="2:9" ht="14" x14ac:dyDescent="0.3">
      <c r="B28" s="4" t="s">
        <v>159</v>
      </c>
      <c r="C28" s="24">
        <f>ROUND(C22*F16*1000000/C23,0)</f>
        <v>2631</v>
      </c>
    </row>
  </sheetData>
  <phoneticPr fontId="9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96600"/>
  </sheetPr>
  <dimension ref="B2:I26"/>
  <sheetViews>
    <sheetView workbookViewId="0"/>
  </sheetViews>
  <sheetFormatPr defaultRowHeight="13" x14ac:dyDescent="0.2"/>
  <cols>
    <col min="1" max="1" width="3" customWidth="1"/>
    <col min="2" max="2" width="24" customWidth="1"/>
    <col min="3" max="9" width="14" customWidth="1"/>
  </cols>
  <sheetData>
    <row r="2" spans="2:9" ht="18" x14ac:dyDescent="0.4">
      <c r="B2" s="2" t="s">
        <v>160</v>
      </c>
    </row>
    <row r="3" spans="2:9" ht="14" x14ac:dyDescent="0.3">
      <c r="B3" s="4" t="s">
        <v>161</v>
      </c>
      <c r="C3" s="16">
        <f>'DCF Model'!C26</f>
        <v>0.12471347267196548</v>
      </c>
      <c r="E3" s="4" t="s">
        <v>162</v>
      </c>
      <c r="F3" s="16">
        <f>'DCF Model'!C13</f>
        <v>1.4999999999999999E-2</v>
      </c>
      <c r="H3" s="4" t="s">
        <v>163</v>
      </c>
      <c r="I3" s="14">
        <f>'DCF Model'!C14</f>
        <v>8</v>
      </c>
    </row>
    <row r="5" spans="2:9" ht="14" x14ac:dyDescent="0.3">
      <c r="B5" s="3" t="s">
        <v>164</v>
      </c>
    </row>
    <row r="6" spans="2:9" ht="14" x14ac:dyDescent="0.3">
      <c r="B6" s="34" t="s">
        <v>165</v>
      </c>
      <c r="C6" s="35">
        <f>$F$3-0.0075</f>
        <v>7.4999999999999997E-3</v>
      </c>
      <c r="D6" s="35">
        <f>$F$3-0.005</f>
        <v>9.9999999999999985E-3</v>
      </c>
      <c r="E6" s="35">
        <f>$F$3-0.0025</f>
        <v>1.2499999999999999E-2</v>
      </c>
      <c r="F6" s="35">
        <f>$F$3</f>
        <v>1.4999999999999999E-2</v>
      </c>
      <c r="G6" s="35">
        <f>$F$3+0.0025</f>
        <v>1.7499999999999998E-2</v>
      </c>
      <c r="H6" s="35">
        <f>$F$3+0.005</f>
        <v>0.02</v>
      </c>
      <c r="I6" s="35">
        <f>$F$3+0.0075</f>
        <v>2.2499999999999999E-2</v>
      </c>
    </row>
    <row r="7" spans="2:9" ht="13.5" x14ac:dyDescent="0.25">
      <c r="B7" s="33">
        <f>$C$3-0.015</f>
        <v>0.10971347267196548</v>
      </c>
      <c r="C7" s="31">
        <f>IFERROR(ROUND(('DCF Model'!C45/(1+$B7)^('DCF Model'!C19+0)+'DCF Model'!D45/(1+$B7)^('DCF Model'!C19+1)+'DCF Model'!E45/(1+$B7)^('DCF Model'!C19+2)+'DCF Model'!F45/(1+$B7)^('DCF Model'!C19+3)+'DCF Model'!G45/(1+$B7)^('DCF Model'!C19+4)+'DCF Model'!G45*(1+C$6)/($B7-C$6)/(1+$B7)^('DCF Model'!C19+4)-'DCF Model'!C16)*1000000/'DCF Model'!C15,0),"")</f>
        <v>2469</v>
      </c>
      <c r="D7" s="31">
        <f>IFERROR(ROUND(('DCF Model'!C45/(1+$B7)^('DCF Model'!C19+0)+'DCF Model'!D45/(1+$B7)^('DCF Model'!C19+1)+'DCF Model'!E45/(1+$B7)^('DCF Model'!C19+2)+'DCF Model'!F45/(1+$B7)^('DCF Model'!C19+3)+'DCF Model'!G45/(1+$B7)^('DCF Model'!C19+4)+'DCF Model'!G45*(1+D$6)/($B7-D$6)/(1+$B7)^('DCF Model'!C19+4)-'DCF Model'!C16)*1000000/'DCF Model'!C15,0),"")</f>
        <v>2515</v>
      </c>
      <c r="E7" s="31">
        <f>IFERROR(ROUND(('DCF Model'!C45/(1+$B7)^('DCF Model'!C19+0)+'DCF Model'!D45/(1+$B7)^('DCF Model'!C19+1)+'DCF Model'!E45/(1+$B7)^('DCF Model'!C19+2)+'DCF Model'!F45/(1+$B7)^('DCF Model'!C19+3)+'DCF Model'!G45/(1+$B7)^('DCF Model'!C19+4)+'DCF Model'!G45*(1+E$6)/($B7-E$6)/(1+$B7)^('DCF Model'!C19+4)-'DCF Model'!C16)*1000000/'DCF Model'!C15,0),"")</f>
        <v>2563</v>
      </c>
      <c r="F7" s="31">
        <f>IFERROR(ROUND(('DCF Model'!C45/(1+$B7)^('DCF Model'!C19+0)+'DCF Model'!D45/(1+$B7)^('DCF Model'!C19+1)+'DCF Model'!E45/(1+$B7)^('DCF Model'!C19+2)+'DCF Model'!F45/(1+$B7)^('DCF Model'!C19+3)+'DCF Model'!G45/(1+$B7)^('DCF Model'!C19+4)+'DCF Model'!G45*(1+F$6)/($B7-F$6)/(1+$B7)^('DCF Model'!C19+4)-'DCF Model'!C16)*1000000/'DCF Model'!C15,0),"")</f>
        <v>2615</v>
      </c>
      <c r="G7" s="31">
        <f>IFERROR(ROUND(('DCF Model'!C45/(1+$B7)^('DCF Model'!C19+0)+'DCF Model'!D45/(1+$B7)^('DCF Model'!C19+1)+'DCF Model'!E45/(1+$B7)^('DCF Model'!C19+2)+'DCF Model'!F45/(1+$B7)^('DCF Model'!C19+3)+'DCF Model'!G45/(1+$B7)^('DCF Model'!C19+4)+'DCF Model'!G45*(1+G$6)/($B7-G$6)/(1+$B7)^('DCF Model'!C19+4)-'DCF Model'!C16)*1000000/'DCF Model'!C15,0),"")</f>
        <v>2668</v>
      </c>
      <c r="H7" s="31">
        <f>IFERROR(ROUND(('DCF Model'!C45/(1+$B7)^('DCF Model'!C19+0)+'DCF Model'!D45/(1+$B7)^('DCF Model'!C19+1)+'DCF Model'!E45/(1+$B7)^('DCF Model'!C19+2)+'DCF Model'!F45/(1+$B7)^('DCF Model'!C19+3)+'DCF Model'!G45/(1+$B7)^('DCF Model'!C19+4)+'DCF Model'!G45*(1+H$6)/($B7-H$6)/(1+$B7)^('DCF Model'!C19+4)-'DCF Model'!C16)*1000000/'DCF Model'!C15,0),"")</f>
        <v>2725</v>
      </c>
      <c r="I7" s="31">
        <f>IFERROR(ROUND(('DCF Model'!C45/(1+$B7)^('DCF Model'!C19+0)+'DCF Model'!D45/(1+$B7)^('DCF Model'!C19+1)+'DCF Model'!E45/(1+$B7)^('DCF Model'!C19+2)+'DCF Model'!F45/(1+$B7)^('DCF Model'!C19+3)+'DCF Model'!G45/(1+$B7)^('DCF Model'!C19+4)+'DCF Model'!G45*(1+I$6)/($B7-I$6)/(1+$B7)^('DCF Model'!C19+4)-'DCF Model'!C16)*1000000/'DCF Model'!C15,0),"")</f>
        <v>2785</v>
      </c>
    </row>
    <row r="8" spans="2:9" ht="13.5" x14ac:dyDescent="0.25">
      <c r="B8" s="33">
        <f>$C$3-0.01</f>
        <v>0.11471347267196548</v>
      </c>
      <c r="C8" s="31">
        <f>IFERROR(ROUND(('DCF Model'!C45/(1+$B8)^('DCF Model'!C19+0)+'DCF Model'!D45/(1+$B8)^('DCF Model'!C19+1)+'DCF Model'!E45/(1+$B8)^('DCF Model'!C19+2)+'DCF Model'!F45/(1+$B8)^('DCF Model'!C19+3)+'DCF Model'!G45/(1+$B8)^('DCF Model'!C19+4)+'DCF Model'!G45*(1+C$6)/($B8-C$6)/(1+$B8)^('DCF Model'!C19+4)-'DCF Model'!C16)*1000000/'DCF Model'!C15,0),"")</f>
        <v>2350</v>
      </c>
      <c r="D8" s="31">
        <f>IFERROR(ROUND(('DCF Model'!C45/(1+$B8)^('DCF Model'!C19+0)+'DCF Model'!D45/(1+$B8)^('DCF Model'!C19+1)+'DCF Model'!E45/(1+$B8)^('DCF Model'!C19+2)+'DCF Model'!F45/(1+$B8)^('DCF Model'!C19+3)+'DCF Model'!G45/(1+$B8)^('DCF Model'!C19+4)+'DCF Model'!G45*(1+D$6)/($B8-D$6)/(1+$B8)^('DCF Model'!C19+4)-'DCF Model'!C16)*1000000/'DCF Model'!C15,0),"")</f>
        <v>2391</v>
      </c>
      <c r="E8" s="31">
        <f>IFERROR(ROUND(('DCF Model'!C45/(1+$B8)^('DCF Model'!C19+0)+'DCF Model'!D45/(1+$B8)^('DCF Model'!C19+1)+'DCF Model'!E45/(1+$B8)^('DCF Model'!C19+2)+'DCF Model'!F45/(1+$B8)^('DCF Model'!C19+3)+'DCF Model'!G45/(1+$B8)^('DCF Model'!C19+4)+'DCF Model'!G45*(1+E$6)/($B8-E$6)/(1+$B8)^('DCF Model'!C19+4)-'DCF Model'!C16)*1000000/'DCF Model'!C15,0),"")</f>
        <v>2434</v>
      </c>
      <c r="F8" s="31">
        <f>IFERROR(ROUND(('DCF Model'!C45/(1+$B8)^('DCF Model'!C19+0)+'DCF Model'!D45/(1+$B8)^('DCF Model'!C19+1)+'DCF Model'!E45/(1+$B8)^('DCF Model'!C19+2)+'DCF Model'!F45/(1+$B8)^('DCF Model'!C19+3)+'DCF Model'!G45/(1+$B8)^('DCF Model'!C19+4)+'DCF Model'!G45*(1+F$6)/($B8-F$6)/(1+$B8)^('DCF Model'!C19+4)-'DCF Model'!C16)*1000000/'DCF Model'!C15,0),"")</f>
        <v>2479</v>
      </c>
      <c r="G8" s="31">
        <f>IFERROR(ROUND(('DCF Model'!C45/(1+$B8)^('DCF Model'!C19+0)+'DCF Model'!D45/(1+$B8)^('DCF Model'!C19+1)+'DCF Model'!E45/(1+$B8)^('DCF Model'!C19+2)+'DCF Model'!F45/(1+$B8)^('DCF Model'!C19+3)+'DCF Model'!G45/(1+$B8)^('DCF Model'!C19+4)+'DCF Model'!G45*(1+G$6)/($B8-G$6)/(1+$B8)^('DCF Model'!C19+4)-'DCF Model'!C16)*1000000/'DCF Model'!C15,0),"")</f>
        <v>2527</v>
      </c>
      <c r="H8" s="31">
        <f>IFERROR(ROUND(('DCF Model'!C45/(1+$B8)^('DCF Model'!C19+0)+'DCF Model'!D45/(1+$B8)^('DCF Model'!C19+1)+'DCF Model'!E45/(1+$B8)^('DCF Model'!C19+2)+'DCF Model'!F45/(1+$B8)^('DCF Model'!C19+3)+'DCF Model'!G45/(1+$B8)^('DCF Model'!C19+4)+'DCF Model'!G45*(1+H$6)/($B8-H$6)/(1+$B8)^('DCF Model'!C19+4)-'DCF Model'!C16)*1000000/'DCF Model'!C15,0),"")</f>
        <v>2577</v>
      </c>
      <c r="I8" s="31">
        <f>IFERROR(ROUND(('DCF Model'!C45/(1+$B8)^('DCF Model'!C19+0)+'DCF Model'!D45/(1+$B8)^('DCF Model'!C19+1)+'DCF Model'!E45/(1+$B8)^('DCF Model'!C19+2)+'DCF Model'!F45/(1+$B8)^('DCF Model'!C19+3)+'DCF Model'!G45/(1+$B8)^('DCF Model'!C19+4)+'DCF Model'!G45*(1+I$6)/($B8-I$6)/(1+$B8)^('DCF Model'!C19+4)-'DCF Model'!C16)*1000000/'DCF Model'!C15,0),"")</f>
        <v>2630</v>
      </c>
    </row>
    <row r="9" spans="2:9" ht="13.5" x14ac:dyDescent="0.25">
      <c r="B9" s="33">
        <f>$C$3-0.005</f>
        <v>0.11971347267196547</v>
      </c>
      <c r="C9" s="31">
        <f>IFERROR(ROUND(('DCF Model'!C45/(1+$B9)^('DCF Model'!C19+0)+'DCF Model'!D45/(1+$B9)^('DCF Model'!C19+1)+'DCF Model'!E45/(1+$B9)^('DCF Model'!C19+2)+'DCF Model'!F45/(1+$B9)^('DCF Model'!C19+3)+'DCF Model'!G45/(1+$B9)^('DCF Model'!C19+4)+'DCF Model'!G45*(1+C$6)/($B9-C$6)/(1+$B9)^('DCF Model'!C19+4)-'DCF Model'!C16)*1000000/'DCF Model'!C15,0),"")</f>
        <v>2241</v>
      </c>
      <c r="D9" s="31">
        <f>IFERROR(ROUND(('DCF Model'!C45/(1+$B9)^('DCF Model'!C19+0)+'DCF Model'!D45/(1+$B9)^('DCF Model'!C19+1)+'DCF Model'!E45/(1+$B9)^('DCF Model'!C19+2)+'DCF Model'!F45/(1+$B9)^('DCF Model'!C19+3)+'DCF Model'!G45/(1+$B9)^('DCF Model'!C19+4)+'DCF Model'!G45*(1+D$6)/($B9-D$6)/(1+$B9)^('DCF Model'!C19+4)-'DCF Model'!C16)*1000000/'DCF Model'!C15,0),"")</f>
        <v>2278</v>
      </c>
      <c r="E9" s="31">
        <f>IFERROR(ROUND(('DCF Model'!C45/(1+$B9)^('DCF Model'!C19+0)+'DCF Model'!D45/(1+$B9)^('DCF Model'!C19+1)+'DCF Model'!E45/(1+$B9)^('DCF Model'!C19+2)+'DCF Model'!F45/(1+$B9)^('DCF Model'!C19+3)+'DCF Model'!G45/(1+$B9)^('DCF Model'!C19+4)+'DCF Model'!G45*(1+E$6)/($B9-E$6)/(1+$B9)^('DCF Model'!C19+4)-'DCF Model'!C16)*1000000/'DCF Model'!C15,0),"")</f>
        <v>2317</v>
      </c>
      <c r="F9" s="31">
        <f>IFERROR(ROUND(('DCF Model'!C45/(1+$B9)^('DCF Model'!C19+0)+'DCF Model'!D45/(1+$B9)^('DCF Model'!C19+1)+'DCF Model'!E45/(1+$B9)^('DCF Model'!C19+2)+'DCF Model'!F45/(1+$B9)^('DCF Model'!C19+3)+'DCF Model'!G45/(1+$B9)^('DCF Model'!C19+4)+'DCF Model'!G45*(1+F$6)/($B9-F$6)/(1+$B9)^('DCF Model'!C19+4)-'DCF Model'!C16)*1000000/'DCF Model'!C15,0),"")</f>
        <v>2357</v>
      </c>
      <c r="G9" s="31">
        <f>IFERROR(ROUND(('DCF Model'!C45/(1+$B9)^('DCF Model'!C19+0)+'DCF Model'!D45/(1+$B9)^('DCF Model'!C19+1)+'DCF Model'!E45/(1+$B9)^('DCF Model'!C19+2)+'DCF Model'!F45/(1+$B9)^('DCF Model'!C19+3)+'DCF Model'!G45/(1+$B9)^('DCF Model'!C19+4)+'DCF Model'!G45*(1+G$6)/($B9-G$6)/(1+$B9)^('DCF Model'!C19+4)-'DCF Model'!C16)*1000000/'DCF Model'!C15,0),"")</f>
        <v>2400</v>
      </c>
      <c r="H9" s="31">
        <f>IFERROR(ROUND(('DCF Model'!C45/(1+$B9)^('DCF Model'!C19+0)+'DCF Model'!D45/(1+$B9)^('DCF Model'!C19+1)+'DCF Model'!E45/(1+$B9)^('DCF Model'!C19+2)+'DCF Model'!F45/(1+$B9)^('DCF Model'!C19+3)+'DCF Model'!G45/(1+$B9)^('DCF Model'!C19+4)+'DCF Model'!G45*(1+H$6)/($B9-H$6)/(1+$B9)^('DCF Model'!C19+4)-'DCF Model'!C16)*1000000/'DCF Model'!C15,0),"")</f>
        <v>2444</v>
      </c>
      <c r="I9" s="31">
        <f>IFERROR(ROUND(('DCF Model'!C45/(1+$B9)^('DCF Model'!C19+0)+'DCF Model'!D45/(1+$B9)^('DCF Model'!C19+1)+'DCF Model'!E45/(1+$B9)^('DCF Model'!C19+2)+'DCF Model'!F45/(1+$B9)^('DCF Model'!C19+3)+'DCF Model'!G45/(1+$B9)^('DCF Model'!C19+4)+'DCF Model'!G45*(1+I$6)/($B9-I$6)/(1+$B9)^('DCF Model'!C19+4)-'DCF Model'!C16)*1000000/'DCF Model'!C15,0),"")</f>
        <v>2491</v>
      </c>
    </row>
    <row r="10" spans="2:9" ht="13.5" x14ac:dyDescent="0.25">
      <c r="B10" s="33">
        <f>$C$3</f>
        <v>0.12471347267196548</v>
      </c>
      <c r="C10" s="31">
        <f>IFERROR(ROUND(('DCF Model'!C45/(1+$B10)^('DCF Model'!C19+0)+'DCF Model'!D45/(1+$B10)^('DCF Model'!C19+1)+'DCF Model'!E45/(1+$B10)^('DCF Model'!C19+2)+'DCF Model'!F45/(1+$B10)^('DCF Model'!C19+3)+'DCF Model'!G45/(1+$B10)^('DCF Model'!C19+4)+'DCF Model'!G45*(1+C$6)/($B10-C$6)/(1+$B10)^('DCF Model'!C19+4)-'DCF Model'!C16)*1000000/'DCF Model'!C15,0),"")</f>
        <v>2142</v>
      </c>
      <c r="D10" s="31">
        <f>IFERROR(ROUND(('DCF Model'!C45/(1+$B10)^('DCF Model'!C19+0)+'DCF Model'!D45/(1+$B10)^('DCF Model'!C19+1)+'DCF Model'!E45/(1+$B10)^('DCF Model'!C19+2)+'DCF Model'!F45/(1+$B10)^('DCF Model'!C19+3)+'DCF Model'!G45/(1+$B10)^('DCF Model'!C19+4)+'DCF Model'!G45*(1+D$6)/($B10-D$6)/(1+$B10)^('DCF Model'!C19+4)-'DCF Model'!C16)*1000000/'DCF Model'!C15,0),"")</f>
        <v>2175</v>
      </c>
      <c r="E10" s="31">
        <f>IFERROR(ROUND(('DCF Model'!C45/(1+$B10)^('DCF Model'!C19+0)+'DCF Model'!D45/(1+$B10)^('DCF Model'!C19+1)+'DCF Model'!E45/(1+$B10)^('DCF Model'!C19+2)+'DCF Model'!F45/(1+$B10)^('DCF Model'!C19+3)+'DCF Model'!G45/(1+$B10)^('DCF Model'!C19+4)+'DCF Model'!G45*(1+E$6)/($B10-E$6)/(1+$B10)^('DCF Model'!C19+4)-'DCF Model'!C16)*1000000/'DCF Model'!C15,0),"")</f>
        <v>2210</v>
      </c>
      <c r="F10" s="31">
        <f>IFERROR(ROUND(('DCF Model'!C45/(1+$B10)^('DCF Model'!C19+0)+'DCF Model'!D45/(1+$B10)^('DCF Model'!C19+1)+'DCF Model'!E45/(1+$B10)^('DCF Model'!C19+2)+'DCF Model'!F45/(1+$B10)^('DCF Model'!C19+3)+'DCF Model'!G45/(1+$B10)^('DCF Model'!C19+4)+'DCF Model'!G45*(1+F$6)/($B10-F$6)/(1+$B10)^('DCF Model'!C19+4)-'DCF Model'!C16)*1000000/'DCF Model'!C15,0),"")</f>
        <v>2246</v>
      </c>
      <c r="G10" s="31">
        <f>IFERROR(ROUND(('DCF Model'!C45/(1+$B10)^('DCF Model'!C19+0)+'DCF Model'!D45/(1+$B10)^('DCF Model'!C19+1)+'DCF Model'!E45/(1+$B10)^('DCF Model'!C19+2)+'DCF Model'!F45/(1+$B10)^('DCF Model'!C19+3)+'DCF Model'!G45/(1+$B10)^('DCF Model'!C19+4)+'DCF Model'!G45*(1+G$6)/($B10-G$6)/(1+$B10)^('DCF Model'!C19+4)-'DCF Model'!C16)*1000000/'DCF Model'!C15,0),"")</f>
        <v>2284</v>
      </c>
      <c r="H10" s="31">
        <f>IFERROR(ROUND(('DCF Model'!C45/(1+$B10)^('DCF Model'!C19+0)+'DCF Model'!D45/(1+$B10)^('DCF Model'!C19+1)+'DCF Model'!E45/(1+$B10)^('DCF Model'!C19+2)+'DCF Model'!F45/(1+$B10)^('DCF Model'!C19+3)+'DCF Model'!G45/(1+$B10)^('DCF Model'!C19+4)+'DCF Model'!G45*(1+H$6)/($B10-H$6)/(1+$B10)^('DCF Model'!C19+4)-'DCF Model'!C16)*1000000/'DCF Model'!C15,0),"")</f>
        <v>2324</v>
      </c>
      <c r="I10" s="31">
        <f>IFERROR(ROUND(('DCF Model'!C45/(1+$B10)^('DCF Model'!C19+0)+'DCF Model'!D45/(1+$B10)^('DCF Model'!C19+1)+'DCF Model'!E45/(1+$B10)^('DCF Model'!C19+2)+'DCF Model'!F45/(1+$B10)^('DCF Model'!C19+3)+'DCF Model'!G45/(1+$B10)^('DCF Model'!C19+4)+'DCF Model'!G45*(1+I$6)/($B10-I$6)/(1+$B10)^('DCF Model'!C19+4)-'DCF Model'!C16)*1000000/'DCF Model'!C15,0),"")</f>
        <v>2366</v>
      </c>
    </row>
    <row r="11" spans="2:9" ht="13.5" x14ac:dyDescent="0.25">
      <c r="B11" s="33">
        <f>$C$3+0.005</f>
        <v>0.12971347267196548</v>
      </c>
      <c r="C11" s="31">
        <f>IFERROR(ROUND(('DCF Model'!C45/(1+$B11)^('DCF Model'!C19+0)+'DCF Model'!D45/(1+$B11)^('DCF Model'!C19+1)+'DCF Model'!E45/(1+$B11)^('DCF Model'!C19+2)+'DCF Model'!F45/(1+$B11)^('DCF Model'!C19+3)+'DCF Model'!G45/(1+$B11)^('DCF Model'!C19+4)+'DCF Model'!G45*(1+C$6)/($B11-C$6)/(1+$B11)^('DCF Model'!C19+4)-'DCF Model'!C16)*1000000/'DCF Model'!C15,0),"")</f>
        <v>2051</v>
      </c>
      <c r="D11" s="31">
        <f>IFERROR(ROUND(('DCF Model'!C45/(1+$B11)^('DCF Model'!C19+0)+'DCF Model'!D45/(1+$B11)^('DCF Model'!C19+1)+'DCF Model'!E45/(1+$B11)^('DCF Model'!C19+2)+'DCF Model'!F45/(1+$B11)^('DCF Model'!C19+3)+'DCF Model'!G45/(1+$B11)^('DCF Model'!C19+4)+'DCF Model'!G45*(1+D$6)/($B11-D$6)/(1+$B11)^('DCF Model'!C19+4)-'DCF Model'!C16)*1000000/'DCF Model'!C15,0),"")</f>
        <v>2081</v>
      </c>
      <c r="E11" s="31">
        <f>IFERROR(ROUND(('DCF Model'!C45/(1+$B11)^('DCF Model'!C19+0)+'DCF Model'!D45/(1+$B11)^('DCF Model'!C19+1)+'DCF Model'!E45/(1+$B11)^('DCF Model'!C19+2)+'DCF Model'!F45/(1+$B11)^('DCF Model'!C19+3)+'DCF Model'!G45/(1+$B11)^('DCF Model'!C19+4)+'DCF Model'!G45*(1+E$6)/($B11-E$6)/(1+$B11)^('DCF Model'!C19+4)-'DCF Model'!C16)*1000000/'DCF Model'!C15,0),"")</f>
        <v>2112</v>
      </c>
      <c r="F11" s="31">
        <f>IFERROR(ROUND(('DCF Model'!C45/(1+$B11)^('DCF Model'!C19+0)+'DCF Model'!D45/(1+$B11)^('DCF Model'!C19+1)+'DCF Model'!E45/(1+$B11)^('DCF Model'!C19+2)+'DCF Model'!F45/(1+$B11)^('DCF Model'!C19+3)+'DCF Model'!G45/(1+$B11)^('DCF Model'!C19+4)+'DCF Model'!G45*(1+F$6)/($B11-F$6)/(1+$B11)^('DCF Model'!C19+4)-'DCF Model'!C16)*1000000/'DCF Model'!C15,0),"")</f>
        <v>2145</v>
      </c>
      <c r="G11" s="31">
        <f>IFERROR(ROUND(('DCF Model'!C45/(1+$B11)^('DCF Model'!C19+0)+'DCF Model'!D45/(1+$B11)^('DCF Model'!C19+1)+'DCF Model'!E45/(1+$B11)^('DCF Model'!C19+2)+'DCF Model'!F45/(1+$B11)^('DCF Model'!C19+3)+'DCF Model'!G45/(1+$B11)^('DCF Model'!C19+4)+'DCF Model'!G45*(1+G$6)/($B11-G$6)/(1+$B11)^('DCF Model'!C19+4)-'DCF Model'!C16)*1000000/'DCF Model'!C15,0),"")</f>
        <v>2179</v>
      </c>
      <c r="H11" s="31">
        <f>IFERROR(ROUND(('DCF Model'!C45/(1+$B11)^('DCF Model'!C19+0)+'DCF Model'!D45/(1+$B11)^('DCF Model'!C19+1)+'DCF Model'!E45/(1+$B11)^('DCF Model'!C19+2)+'DCF Model'!F45/(1+$B11)^('DCF Model'!C19+3)+'DCF Model'!G45/(1+$B11)^('DCF Model'!C19+4)+'DCF Model'!G45*(1+H$6)/($B11-H$6)/(1+$B11)^('DCF Model'!C19+4)-'DCF Model'!C16)*1000000/'DCF Model'!C15,0),"")</f>
        <v>2215</v>
      </c>
      <c r="I11" s="31">
        <f>IFERROR(ROUND(('DCF Model'!C45/(1+$B11)^('DCF Model'!C19+0)+'DCF Model'!D45/(1+$B11)^('DCF Model'!C19+1)+'DCF Model'!E45/(1+$B11)^('DCF Model'!C19+2)+'DCF Model'!F45/(1+$B11)^('DCF Model'!C19+3)+'DCF Model'!G45/(1+$B11)^('DCF Model'!C19+4)+'DCF Model'!G45*(1+I$6)/($B11-I$6)/(1+$B11)^('DCF Model'!C19+4)-'DCF Model'!C16)*1000000/'DCF Model'!C15,0),"")</f>
        <v>2253</v>
      </c>
    </row>
    <row r="12" spans="2:9" ht="13.5" x14ac:dyDescent="0.25">
      <c r="B12" s="33">
        <f>$C$3+0.01</f>
        <v>0.13471347267196548</v>
      </c>
      <c r="C12" s="31">
        <f>IFERROR(ROUND(('DCF Model'!C45/(1+$B12)^('DCF Model'!C19+0)+'DCF Model'!D45/(1+$B12)^('DCF Model'!C19+1)+'DCF Model'!E45/(1+$B12)^('DCF Model'!C19+2)+'DCF Model'!F45/(1+$B12)^('DCF Model'!C19+3)+'DCF Model'!G45/(1+$B12)^('DCF Model'!C19+4)+'DCF Model'!G45*(1+C$6)/($B12-C$6)/(1+$B12)^('DCF Model'!C19+4)-'DCF Model'!C16)*1000000/'DCF Model'!C15,0),"")</f>
        <v>1967</v>
      </c>
      <c r="D12" s="31">
        <f>IFERROR(ROUND(('DCF Model'!C45/(1+$B12)^('DCF Model'!C19+0)+'DCF Model'!D45/(1+$B12)^('DCF Model'!C19+1)+'DCF Model'!E45/(1+$B12)^('DCF Model'!C19+2)+'DCF Model'!F45/(1+$B12)^('DCF Model'!C19+3)+'DCF Model'!G45/(1+$B12)^('DCF Model'!C19+4)+'DCF Model'!G45*(1+D$6)/($B12-D$6)/(1+$B12)^('DCF Model'!C19+4)-'DCF Model'!C16)*1000000/'DCF Model'!C15,0),"")</f>
        <v>1994</v>
      </c>
      <c r="E12" s="31">
        <f>IFERROR(ROUND(('DCF Model'!C45/(1+$B12)^('DCF Model'!C19+0)+'DCF Model'!D45/(1+$B12)^('DCF Model'!C19+1)+'DCF Model'!E45/(1+$B12)^('DCF Model'!C19+2)+'DCF Model'!F45/(1+$B12)^('DCF Model'!C19+3)+'DCF Model'!G45/(1+$B12)^('DCF Model'!C19+4)+'DCF Model'!G45*(1+E$6)/($B12-E$6)/(1+$B12)^('DCF Model'!C19+4)-'DCF Model'!C16)*1000000/'DCF Model'!C15,0),"")</f>
        <v>2023</v>
      </c>
      <c r="F12" s="31">
        <f>IFERROR(ROUND(('DCF Model'!C45/(1+$B12)^('DCF Model'!C19+0)+'DCF Model'!D45/(1+$B12)^('DCF Model'!C19+1)+'DCF Model'!E45/(1+$B12)^('DCF Model'!C19+2)+'DCF Model'!F45/(1+$B12)^('DCF Model'!C19+3)+'DCF Model'!G45/(1+$B12)^('DCF Model'!C19+4)+'DCF Model'!G45*(1+F$6)/($B12-F$6)/(1+$B12)^('DCF Model'!C19+4)-'DCF Model'!C16)*1000000/'DCF Model'!C15,0),"")</f>
        <v>2052</v>
      </c>
      <c r="G12" s="31">
        <f>IFERROR(ROUND(('DCF Model'!C45/(1+$B12)^('DCF Model'!C19+0)+'DCF Model'!D45/(1+$B12)^('DCF Model'!C19+1)+'DCF Model'!E45/(1+$B12)^('DCF Model'!C19+2)+'DCF Model'!F45/(1+$B12)^('DCF Model'!C19+3)+'DCF Model'!G45/(1+$B12)^('DCF Model'!C19+4)+'DCF Model'!G45*(1+G$6)/($B12-G$6)/(1+$B12)^('DCF Model'!C19+4)-'DCF Model'!C16)*1000000/'DCF Model'!C15,0),"")</f>
        <v>2083</v>
      </c>
      <c r="H12" s="31">
        <f>IFERROR(ROUND(('DCF Model'!C45/(1+$B12)^('DCF Model'!C19+0)+'DCF Model'!D45/(1+$B12)^('DCF Model'!C19+1)+'DCF Model'!E45/(1+$B12)^('DCF Model'!C19+2)+'DCF Model'!F45/(1+$B12)^('DCF Model'!C19+3)+'DCF Model'!G45/(1+$B12)^('DCF Model'!C19+4)+'DCF Model'!G45*(1+H$6)/($B12-H$6)/(1+$B12)^('DCF Model'!C19+4)-'DCF Model'!C16)*1000000/'DCF Model'!C15,0),"")</f>
        <v>2116</v>
      </c>
      <c r="I12" s="31">
        <f>IFERROR(ROUND(('DCF Model'!C45/(1+$B12)^('DCF Model'!C19+0)+'DCF Model'!D45/(1+$B12)^('DCF Model'!C19+1)+'DCF Model'!E45/(1+$B12)^('DCF Model'!C19+2)+'DCF Model'!F45/(1+$B12)^('DCF Model'!C19+3)+'DCF Model'!G45/(1+$B12)^('DCF Model'!C19+4)+'DCF Model'!G45*(1+I$6)/($B12-I$6)/(1+$B12)^('DCF Model'!C19+4)-'DCF Model'!C16)*1000000/'DCF Model'!C15,0),"")</f>
        <v>2149</v>
      </c>
    </row>
    <row r="13" spans="2:9" ht="13.5" x14ac:dyDescent="0.25">
      <c r="B13" s="33">
        <f>$C$3+0.015</f>
        <v>0.13971347267196549</v>
      </c>
      <c r="C13" s="31">
        <f>IFERROR(ROUND(('DCF Model'!C45/(1+$B13)^('DCF Model'!C19+0)+'DCF Model'!D45/(1+$B13)^('DCF Model'!C19+1)+'DCF Model'!E45/(1+$B13)^('DCF Model'!C19+2)+'DCF Model'!F45/(1+$B13)^('DCF Model'!C19+3)+'DCF Model'!G45/(1+$B13)^('DCF Model'!C19+4)+'DCF Model'!G45*(1+C$6)/($B13-C$6)/(1+$B13)^('DCF Model'!C19+4)-'DCF Model'!C16)*1000000/'DCF Model'!C15,0),"")</f>
        <v>1889</v>
      </c>
      <c r="D13" s="31">
        <f>IFERROR(ROUND(('DCF Model'!C45/(1+$B13)^('DCF Model'!C19+0)+'DCF Model'!D45/(1+$B13)^('DCF Model'!C19+1)+'DCF Model'!E45/(1+$B13)^('DCF Model'!C19+2)+'DCF Model'!F45/(1+$B13)^('DCF Model'!C19+3)+'DCF Model'!G45/(1+$B13)^('DCF Model'!C19+4)+'DCF Model'!G45*(1+D$6)/($B13-D$6)/(1+$B13)^('DCF Model'!C19+4)-'DCF Model'!C16)*1000000/'DCF Model'!C15,0),"")</f>
        <v>1914</v>
      </c>
      <c r="E13" s="31">
        <f>IFERROR(ROUND(('DCF Model'!C45/(1+$B13)^('DCF Model'!C19+0)+'DCF Model'!D45/(1+$B13)^('DCF Model'!C19+1)+'DCF Model'!E45/(1+$B13)^('DCF Model'!C19+2)+'DCF Model'!F45/(1+$B13)^('DCF Model'!C19+3)+'DCF Model'!G45/(1+$B13)^('DCF Model'!C19+4)+'DCF Model'!G45*(1+E$6)/($B13-E$6)/(1+$B13)^('DCF Model'!C19+4)-'DCF Model'!C16)*1000000/'DCF Model'!C15,0),"")</f>
        <v>1940</v>
      </c>
      <c r="F13" s="31">
        <f>IFERROR(ROUND(('DCF Model'!C45/(1+$B13)^('DCF Model'!C19+0)+'DCF Model'!D45/(1+$B13)^('DCF Model'!C19+1)+'DCF Model'!E45/(1+$B13)^('DCF Model'!C19+2)+'DCF Model'!F45/(1+$B13)^('DCF Model'!C19+3)+'DCF Model'!G45/(1+$B13)^('DCF Model'!C19+4)+'DCF Model'!G45*(1+F$6)/($B13-F$6)/(1+$B13)^('DCF Model'!C19+4)-'DCF Model'!C16)*1000000/'DCF Model'!C15,0),"")</f>
        <v>1967</v>
      </c>
      <c r="G13" s="31">
        <f>IFERROR(ROUND(('DCF Model'!C45/(1+$B13)^('DCF Model'!C19+0)+'DCF Model'!D45/(1+$B13)^('DCF Model'!C19+1)+'DCF Model'!E45/(1+$B13)^('DCF Model'!C19+2)+'DCF Model'!F45/(1+$B13)^('DCF Model'!C19+3)+'DCF Model'!G45/(1+$B13)^('DCF Model'!C19+4)+'DCF Model'!G45*(1+G$6)/($B13-G$6)/(1+$B13)^('DCF Model'!C19+4)-'DCF Model'!C16)*1000000/'DCF Model'!C15,0),"")</f>
        <v>1995</v>
      </c>
      <c r="H13" s="31">
        <f>IFERROR(ROUND(('DCF Model'!C45/(1+$B13)^('DCF Model'!C19+0)+'DCF Model'!D45/(1+$B13)^('DCF Model'!C19+1)+'DCF Model'!E45/(1+$B13)^('DCF Model'!C19+2)+'DCF Model'!F45/(1+$B13)^('DCF Model'!C19+3)+'DCF Model'!G45/(1+$B13)^('DCF Model'!C19+4)+'DCF Model'!G45*(1+H$6)/($B13-H$6)/(1+$B13)^('DCF Model'!C19+4)-'DCF Model'!C16)*1000000/'DCF Model'!C15,0),"")</f>
        <v>2024</v>
      </c>
      <c r="I13" s="31">
        <f>IFERROR(ROUND(('DCF Model'!C45/(1+$B13)^('DCF Model'!C19+0)+'DCF Model'!D45/(1+$B13)^('DCF Model'!C19+1)+'DCF Model'!E45/(1+$B13)^('DCF Model'!C19+2)+'DCF Model'!F45/(1+$B13)^('DCF Model'!C19+3)+'DCF Model'!G45/(1+$B13)^('DCF Model'!C19+4)+'DCF Model'!G45*(1+I$6)/($B13-I$6)/(1+$B13)^('DCF Model'!C19+4)-'DCF Model'!C16)*1000000/'DCF Model'!C15,0),"")</f>
        <v>2055</v>
      </c>
    </row>
    <row r="16" spans="2:9" ht="14" x14ac:dyDescent="0.3">
      <c r="B16" s="3" t="s">
        <v>166</v>
      </c>
    </row>
    <row r="17" spans="2:9" ht="14" x14ac:dyDescent="0.3">
      <c r="B17" s="34" t="s">
        <v>167</v>
      </c>
      <c r="C17" s="36">
        <f>$I$3-3</f>
        <v>5</v>
      </c>
      <c r="D17" s="36">
        <f>$I$3-2</f>
        <v>6</v>
      </c>
      <c r="E17" s="36">
        <f>$I$3-1</f>
        <v>7</v>
      </c>
      <c r="F17" s="36">
        <f>$I$3</f>
        <v>8</v>
      </c>
      <c r="G17" s="36">
        <f>$I$3+1</f>
        <v>9</v>
      </c>
      <c r="H17" s="36">
        <f>$I$3+2</f>
        <v>10</v>
      </c>
      <c r="I17" s="36">
        <f>$I$3+3</f>
        <v>11</v>
      </c>
    </row>
    <row r="18" spans="2:9" ht="13.5" x14ac:dyDescent="0.25">
      <c r="B18" s="33">
        <f>$C$3-0.015</f>
        <v>0.10971347267196548</v>
      </c>
      <c r="C18" s="31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Model'!G42)*C$17/(1+$B18)^('DCF Model'!C19+4)-'DCF Model'!C16)*1000000/'DCF Model'!C15,0),"")</f>
        <v>2321</v>
      </c>
      <c r="D18" s="31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Model'!G42)*D$17/(1+$B18)^('DCF Model'!C19+4)-'DCF Model'!C16)*1000000/'DCF Model'!C15,0),"")</f>
        <v>2625</v>
      </c>
      <c r="E18" s="31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Model'!G42)*E$17/(1+$B18)^('DCF Model'!C19+4)-'DCF Model'!C16)*1000000/'DCF Model'!C15,0),"")</f>
        <v>2930</v>
      </c>
      <c r="F18" s="31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Model'!G42)*F$17/(1+$B18)^('DCF Model'!C19+4)-'DCF Model'!C16)*1000000/'DCF Model'!C15,0),"")</f>
        <v>3234</v>
      </c>
      <c r="G18" s="31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Model'!G42)*G$17/(1+$B18)^('DCF Model'!C19+4)-'DCF Model'!C16)*1000000/'DCF Model'!C15,0),"")</f>
        <v>3538</v>
      </c>
      <c r="H18" s="31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Model'!G42)*H$17/(1+$B18)^('DCF Model'!C19+4)-'DCF Model'!C16)*1000000/'DCF Model'!C15,0),"")</f>
        <v>3843</v>
      </c>
      <c r="I18" s="31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Model'!G42)*I$17/(1+$B18)^('DCF Model'!C19+4)-'DCF Model'!C16)*1000000/'DCF Model'!C15,0),"")</f>
        <v>4147</v>
      </c>
    </row>
    <row r="19" spans="2:9" ht="13.5" x14ac:dyDescent="0.25">
      <c r="B19" s="33">
        <f>$C$3-0.01</f>
        <v>0.11471347267196548</v>
      </c>
      <c r="C19" s="31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Model'!G42)*C$17/(1+$B19)^('DCF Model'!C19+4)-'DCF Model'!C16)*1000000/'DCF Model'!C15,0),"")</f>
        <v>2281</v>
      </c>
      <c r="D19" s="31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Model'!G42)*D$17/(1+$B19)^('DCF Model'!C19+4)-'DCF Model'!C16)*1000000/'DCF Model'!C15,0),"")</f>
        <v>2579</v>
      </c>
      <c r="E19" s="31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Model'!G42)*E$17/(1+$B19)^('DCF Model'!C19+4)-'DCF Model'!C16)*1000000/'DCF Model'!C15,0),"")</f>
        <v>2878</v>
      </c>
      <c r="F19" s="31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Model'!G42)*F$17/(1+$B19)^('DCF Model'!C19+4)-'DCF Model'!C16)*1000000/'DCF Model'!C15,0),"")</f>
        <v>3176</v>
      </c>
      <c r="G19" s="31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Model'!G42)*G$17/(1+$B19)^('DCF Model'!C19+4)-'DCF Model'!C16)*1000000/'DCF Model'!C15,0),"")</f>
        <v>3474</v>
      </c>
      <c r="H19" s="31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Model'!G42)*H$17/(1+$B19)^('DCF Model'!C19+4)-'DCF Model'!C16)*1000000/'DCF Model'!C15,0),"")</f>
        <v>3772</v>
      </c>
      <c r="I19" s="31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Model'!G42)*I$17/(1+$B19)^('DCF Model'!C19+4)-'DCF Model'!C16)*1000000/'DCF Model'!C15,0),"")</f>
        <v>4071</v>
      </c>
    </row>
    <row r="20" spans="2:9" ht="13.5" x14ac:dyDescent="0.25">
      <c r="B20" s="33">
        <f>$C$3-0.005</f>
        <v>0.11971347267196547</v>
      </c>
      <c r="C20" s="31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Model'!G42)*C$17/(1+$B20)^('DCF Model'!C19+4)-'DCF Model'!C16)*1000000/'DCF Model'!C15,0),"")</f>
        <v>2242</v>
      </c>
      <c r="D20" s="31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Model'!G42)*D$17/(1+$B20)^('DCF Model'!C19+4)-'DCF Model'!C16)*1000000/'DCF Model'!C15,0),"")</f>
        <v>2534</v>
      </c>
      <c r="E20" s="31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Model'!G42)*E$17/(1+$B20)^('DCF Model'!C19+4)-'DCF Model'!C16)*1000000/'DCF Model'!C15,0),"")</f>
        <v>2827</v>
      </c>
      <c r="F20" s="31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Model'!G42)*F$17/(1+$B20)^('DCF Model'!C19+4)-'DCF Model'!C16)*1000000/'DCF Model'!C15,0),"")</f>
        <v>3119</v>
      </c>
      <c r="G20" s="31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Model'!G42)*G$17/(1+$B20)^('DCF Model'!C19+4)-'DCF Model'!C16)*1000000/'DCF Model'!C15,0),"")</f>
        <v>3411</v>
      </c>
      <c r="H20" s="31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Model'!G42)*H$17/(1+$B20)^('DCF Model'!C19+4)-'DCF Model'!C16)*1000000/'DCF Model'!C15,0),"")</f>
        <v>3703</v>
      </c>
      <c r="I20" s="31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Model'!G42)*I$17/(1+$B20)^('DCF Model'!C19+4)-'DCF Model'!C16)*1000000/'DCF Model'!C15,0),"")</f>
        <v>3996</v>
      </c>
    </row>
    <row r="21" spans="2:9" ht="13.5" x14ac:dyDescent="0.25">
      <c r="B21" s="33">
        <f>$C$3</f>
        <v>0.12471347267196548</v>
      </c>
      <c r="C21" s="31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Model'!G42)*C$17/(1+$B21)^('DCF Model'!C19+4)-'DCF Model'!C16)*1000000/'DCF Model'!C15,0),"")</f>
        <v>2204</v>
      </c>
      <c r="D21" s="31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Model'!G42)*D$17/(1+$B21)^('DCF Model'!C19+4)-'DCF Model'!C16)*1000000/'DCF Model'!C15,0),"")</f>
        <v>2490</v>
      </c>
      <c r="E21" s="31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Model'!G42)*E$17/(1+$B21)^('DCF Model'!C19+4)-'DCF Model'!C16)*1000000/'DCF Model'!C15,0),"")</f>
        <v>2777</v>
      </c>
      <c r="F21" s="31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Model'!G42)*F$17/(1+$B21)^('DCF Model'!C19+4)-'DCF Model'!C16)*1000000/'DCF Model'!C15,0),"")</f>
        <v>3063</v>
      </c>
      <c r="G21" s="31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Model'!G42)*G$17/(1+$B21)^('DCF Model'!C19+4)-'DCF Model'!C16)*1000000/'DCF Model'!C15,0),"")</f>
        <v>3350</v>
      </c>
      <c r="H21" s="31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Model'!G42)*H$17/(1+$B21)^('DCF Model'!C19+4)-'DCF Model'!C16)*1000000/'DCF Model'!C15,0),"")</f>
        <v>3636</v>
      </c>
      <c r="I21" s="31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Model'!G42)*I$17/(1+$B21)^('DCF Model'!C19+4)-'DCF Model'!C16)*1000000/'DCF Model'!C15,0),"")</f>
        <v>3923</v>
      </c>
    </row>
    <row r="22" spans="2:9" ht="13.5" x14ac:dyDescent="0.25">
      <c r="B22" s="33">
        <f>$C$3+0.005</f>
        <v>0.12971347267196548</v>
      </c>
      <c r="C22" s="31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Model'!G42)*C$17/(1+$B22)^('DCF Model'!C19+4)-'DCF Model'!C16)*1000000/'DCF Model'!C15,0),"")</f>
        <v>2166</v>
      </c>
      <c r="D22" s="31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Model'!G42)*D$17/(1+$B22)^('DCF Model'!C19+4)-'DCF Model'!C16)*1000000/'DCF Model'!C15,0),"")</f>
        <v>2447</v>
      </c>
      <c r="E22" s="31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Model'!G42)*E$17/(1+$B22)^('DCF Model'!C19+4)-'DCF Model'!C16)*1000000/'DCF Model'!C15,0),"")</f>
        <v>2728</v>
      </c>
      <c r="F22" s="31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Model'!G42)*F$17/(1+$B22)^('DCF Model'!C19+4)-'DCF Model'!C16)*1000000/'DCF Model'!C15,0),"")</f>
        <v>3009</v>
      </c>
      <c r="G22" s="31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Model'!G42)*G$17/(1+$B22)^('DCF Model'!C19+4)-'DCF Model'!C16)*1000000/'DCF Model'!C15,0),"")</f>
        <v>3290</v>
      </c>
      <c r="H22" s="31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Model'!G42)*H$17/(1+$B22)^('DCF Model'!C19+4)-'DCF Model'!C16)*1000000/'DCF Model'!C15,0),"")</f>
        <v>3570</v>
      </c>
      <c r="I22" s="31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Model'!G42)*I$17/(1+$B22)^('DCF Model'!C19+4)-'DCF Model'!C16)*1000000/'DCF Model'!C15,0),"")</f>
        <v>3851</v>
      </c>
    </row>
    <row r="23" spans="2:9" ht="13.5" x14ac:dyDescent="0.25">
      <c r="B23" s="33">
        <f>$C$3+0.01</f>
        <v>0.13471347267196548</v>
      </c>
      <c r="C23" s="31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Model'!G42)*C$17/(1+$B23)^('DCF Model'!C19+4)-'DCF Model'!C16)*1000000/'DCF Model'!C15,0),"")</f>
        <v>2130</v>
      </c>
      <c r="D23" s="31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Model'!G42)*D$17/(1+$B23)^('DCF Model'!C19+4)-'DCF Model'!C16)*1000000/'DCF Model'!C15,0),"")</f>
        <v>2405</v>
      </c>
      <c r="E23" s="31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Model'!G42)*E$17/(1+$B23)^('DCF Model'!C19+4)-'DCF Model'!C16)*1000000/'DCF Model'!C15,0),"")</f>
        <v>2680</v>
      </c>
      <c r="F23" s="31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Model'!G42)*F$17/(1+$B23)^('DCF Model'!C19+4)-'DCF Model'!C16)*1000000/'DCF Model'!C15,0),"")</f>
        <v>2956</v>
      </c>
      <c r="G23" s="31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Model'!G42)*G$17/(1+$B23)^('DCF Model'!C19+4)-'DCF Model'!C16)*1000000/'DCF Model'!C15,0),"")</f>
        <v>3231</v>
      </c>
      <c r="H23" s="31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Model'!G42)*H$17/(1+$B23)^('DCF Model'!C19+4)-'DCF Model'!C16)*1000000/'DCF Model'!C15,0),"")</f>
        <v>3506</v>
      </c>
      <c r="I23" s="31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Model'!G42)*I$17/(1+$B23)^('DCF Model'!C19+4)-'DCF Model'!C16)*1000000/'DCF Model'!C15,0),"")</f>
        <v>3782</v>
      </c>
    </row>
    <row r="24" spans="2:9" ht="13.5" x14ac:dyDescent="0.25">
      <c r="B24" s="33">
        <f>$C$3+0.015</f>
        <v>0.13971347267196549</v>
      </c>
      <c r="C24" s="31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Model'!G42)*C$17/(1+$B24)^('DCF Model'!C19+4)-'DCF Model'!C16)*1000000/'DCF Model'!C15,0),"")</f>
        <v>2094</v>
      </c>
      <c r="D24" s="31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Model'!G42)*D$17/(1+$B24)^('DCF Model'!C19+4)-'DCF Model'!C16)*1000000/'DCF Model'!C15,0),"")</f>
        <v>2364</v>
      </c>
      <c r="E24" s="31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Model'!G42)*E$17/(1+$B24)^('DCF Model'!C19+4)-'DCF Model'!C16)*1000000/'DCF Model'!C15,0),"")</f>
        <v>2634</v>
      </c>
      <c r="F24" s="31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Model'!G42)*F$17/(1+$B24)^('DCF Model'!C19+4)-'DCF Model'!C16)*1000000/'DCF Model'!C15,0),"")</f>
        <v>2904</v>
      </c>
      <c r="G24" s="31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Model'!G42)*G$17/(1+$B24)^('DCF Model'!C19+4)-'DCF Model'!C16)*1000000/'DCF Model'!C15,0),"")</f>
        <v>3174</v>
      </c>
      <c r="H24" s="31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Model'!G42)*H$17/(1+$B24)^('DCF Model'!C19+4)-'DCF Model'!C16)*1000000/'DCF Model'!C15,0),"")</f>
        <v>3444</v>
      </c>
      <c r="I24" s="31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Model'!G42)*I$17/(1+$B24)^('DCF Model'!C19+4)-'DCF Model'!C16)*1000000/'DCF Model'!C15,0),"")</f>
        <v>3714</v>
      </c>
    </row>
    <row r="26" spans="2:9" ht="14" x14ac:dyDescent="0.3">
      <c r="B26" s="51" t="s">
        <v>168</v>
      </c>
      <c r="C26" s="50"/>
      <c r="D26" s="50"/>
      <c r="E26" s="50"/>
      <c r="F26" s="50"/>
      <c r="G26" s="50"/>
      <c r="H26" s="50"/>
      <c r="I26" s="50"/>
    </row>
  </sheetData>
  <mergeCells count="1">
    <mergeCell ref="B26:I26"/>
  </mergeCells>
  <phoneticPr fontId="9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8B0000"/>
  </sheetPr>
  <dimension ref="B2:J128"/>
  <sheetViews>
    <sheetView zoomScale="64" workbookViewId="0">
      <pane xSplit="2" ySplit="4" topLeftCell="C8" activePane="bottomRight" state="frozen"/>
      <selection pane="topRight"/>
      <selection pane="bottomLeft"/>
      <selection pane="bottomRight"/>
    </sheetView>
  </sheetViews>
  <sheetFormatPr defaultRowHeight="13" x14ac:dyDescent="0.2"/>
  <cols>
    <col min="1" max="1" width="3" customWidth="1"/>
    <col min="2" max="2" width="34" customWidth="1"/>
    <col min="3" max="10" width="16" customWidth="1"/>
  </cols>
  <sheetData>
    <row r="2" spans="2:10" ht="18" x14ac:dyDescent="0.4">
      <c r="B2" s="2" t="s">
        <v>169</v>
      </c>
    </row>
    <row r="4" spans="2:10" ht="14" x14ac:dyDescent="0.3">
      <c r="C4" s="10" t="s">
        <v>37</v>
      </c>
      <c r="D4" s="10" t="s">
        <v>38</v>
      </c>
      <c r="E4" s="10" t="s">
        <v>170</v>
      </c>
      <c r="F4" s="10" t="s">
        <v>87</v>
      </c>
      <c r="G4" s="10" t="s">
        <v>88</v>
      </c>
      <c r="H4" s="10" t="s">
        <v>89</v>
      </c>
      <c r="I4" s="10" t="s">
        <v>90</v>
      </c>
      <c r="J4" s="10" t="s">
        <v>91</v>
      </c>
    </row>
    <row r="5" spans="2:10" ht="14" x14ac:dyDescent="0.3">
      <c r="B5" s="8" t="s">
        <v>171</v>
      </c>
      <c r="C5" s="9"/>
      <c r="D5" s="9"/>
      <c r="E5" s="9"/>
      <c r="F5" s="9"/>
      <c r="G5" s="9"/>
      <c r="H5" s="9"/>
      <c r="I5" s="9"/>
      <c r="J5" s="9"/>
    </row>
    <row r="6" spans="2:10" ht="14" x14ac:dyDescent="0.3">
      <c r="B6" s="4" t="s">
        <v>40</v>
      </c>
      <c r="C6" s="29">
        <v>7464</v>
      </c>
      <c r="D6" s="29">
        <v>6349</v>
      </c>
      <c r="E6" s="29">
        <v>9843</v>
      </c>
      <c r="F6" s="29">
        <f>E6*(1+CHOOSE('DCF Model'!$D$27,F44,F45,F46,F47,F48))</f>
        <v>10999.5525</v>
      </c>
      <c r="G6" s="29">
        <f>F6*(1+CHOOSE('DCF Model'!$D$27,G44,G45,G46,G47,G48))</f>
        <v>12499.891461000001</v>
      </c>
      <c r="H6" s="29">
        <f>G6*(1+CHOOSE('DCF Model'!$D$27,H44,H45,H46,H47,H48))</f>
        <v>13499.882777880002</v>
      </c>
      <c r="I6" s="29">
        <f>H6*(1+CHOOSE('DCF Model'!$D$27,I44,I45,I46,I47,I48))</f>
        <v>13999.378440661561</v>
      </c>
      <c r="J6" s="29">
        <f>I6*(1+CHOOSE('DCF Model'!$D$27,J44,J45,J46,J47,J48))</f>
        <v>14499.156250993181</v>
      </c>
    </row>
    <row r="7" spans="2:10" ht="14" x14ac:dyDescent="0.3">
      <c r="B7" s="4" t="s">
        <v>172</v>
      </c>
      <c r="C7" s="28" t="s">
        <v>121</v>
      </c>
      <c r="D7" s="28" t="s">
        <v>121</v>
      </c>
      <c r="E7" s="28" t="s">
        <v>121</v>
      </c>
      <c r="F7" s="29">
        <f>F6*CHOOSE('DCF Model'!$D$27,F51,F52,F53,F54,F55)</f>
        <v>1759.9284</v>
      </c>
      <c r="G7" s="29">
        <f>G6*CHOOSE('DCF Model'!$D$27,G51,G52,G53,G54,G55)</f>
        <v>2124.9815483700004</v>
      </c>
      <c r="H7" s="29">
        <f>H6*CHOOSE('DCF Model'!$D$27,H51,H52,H53,H54,H55)</f>
        <v>2429.9789000184005</v>
      </c>
      <c r="I7" s="29">
        <f>I6*CHOOSE('DCF Model'!$D$27,I51,I52,I53,I54,I55)</f>
        <v>2659.8819037256967</v>
      </c>
      <c r="J7" s="29">
        <f>J6*CHOOSE('DCF Model'!$D$27,J51,J52,J53,J54,J55)</f>
        <v>2754.8396876887045</v>
      </c>
    </row>
    <row r="8" spans="2:10" ht="14" x14ac:dyDescent="0.3">
      <c r="B8" s="37" t="s">
        <v>173</v>
      </c>
      <c r="C8" s="28" t="s">
        <v>121</v>
      </c>
      <c r="D8" s="28" t="s">
        <v>121</v>
      </c>
      <c r="E8" s="28" t="s">
        <v>121</v>
      </c>
      <c r="F8" s="27">
        <f>CHOOSE('DCF Model'!$D$27,F51,F52,F53,F54,F55)</f>
        <v>0.16</v>
      </c>
      <c r="G8" s="27">
        <f>CHOOSE('DCF Model'!$D$27,G51,G52,G53,G54,G55)</f>
        <v>0.17</v>
      </c>
      <c r="H8" s="27">
        <f>CHOOSE('DCF Model'!$D$27,H51,H52,H53,H54,H55)</f>
        <v>0.18</v>
      </c>
      <c r="I8" s="27">
        <f>CHOOSE('DCF Model'!$D$27,I51,I52,I53,I54,I55)</f>
        <v>0.19</v>
      </c>
      <c r="J8" s="27">
        <f>CHOOSE('DCF Model'!$D$27,J51,J52,J53,J54,J55)</f>
        <v>0.19</v>
      </c>
    </row>
    <row r="10" spans="2:10" ht="14" x14ac:dyDescent="0.3">
      <c r="B10" s="8" t="s">
        <v>174</v>
      </c>
      <c r="C10" s="9"/>
      <c r="D10" s="9"/>
      <c r="E10" s="9"/>
      <c r="F10" s="9"/>
      <c r="G10" s="9"/>
      <c r="H10" s="9"/>
      <c r="I10" s="9"/>
      <c r="J10" s="9"/>
    </row>
    <row r="11" spans="2:10" ht="14" x14ac:dyDescent="0.3">
      <c r="B11" s="4" t="s">
        <v>40</v>
      </c>
      <c r="C11" s="28" t="s">
        <v>121</v>
      </c>
      <c r="D11" s="29">
        <v>4388</v>
      </c>
      <c r="E11" s="29">
        <v>5164</v>
      </c>
      <c r="F11" s="29">
        <f>E11*(1+CHOOSE('DCF Model'!$D$27,F58,F59,F60,F61,F62))</f>
        <v>6499.9267999999993</v>
      </c>
      <c r="G11" s="29">
        <f>F11*(1+CHOOSE('DCF Model'!$D$27,G58,G59,G60,G61,G62))</f>
        <v>7499.6155418399985</v>
      </c>
      <c r="H11" s="29">
        <f>G11*(1+CHOOSE('DCF Model'!$D$27,H58,H59,H60,H61,H62))</f>
        <v>8499.3142935672695</v>
      </c>
      <c r="I11" s="29">
        <f>H11*(1+CHOOSE('DCF Model'!$D$27,I58,I59,I60,I61,I62))</f>
        <v>9498.8336544907797</v>
      </c>
      <c r="J11" s="29">
        <f>I11*(1+CHOOSE('DCF Model'!$D$27,J58,J59,J60,J61,J62))</f>
        <v>9998.4723047169937</v>
      </c>
    </row>
    <row r="12" spans="2:10" ht="14" x14ac:dyDescent="0.3">
      <c r="B12" s="4" t="s">
        <v>172</v>
      </c>
      <c r="C12" s="28" t="s">
        <v>121</v>
      </c>
      <c r="D12" s="28" t="s">
        <v>121</v>
      </c>
      <c r="E12" s="28" t="s">
        <v>121</v>
      </c>
      <c r="F12" s="29">
        <f>F11*CHOOSE('DCF Model'!$D$27,F65,F66,F67,F68,F69)</f>
        <v>974.98901999999987</v>
      </c>
      <c r="G12" s="29">
        <f>G11*CHOOSE('DCF Model'!$D$27,G65,G66,G67,G68,G69)</f>
        <v>1199.9384866943999</v>
      </c>
      <c r="H12" s="29">
        <f>H11*CHOOSE('DCF Model'!$D$27,H65,H66,H67,H68,H69)</f>
        <v>1444.8834299064358</v>
      </c>
      <c r="I12" s="29">
        <f>I11*CHOOSE('DCF Model'!$D$27,I65,I66,I67,I68,I69)</f>
        <v>1709.7900578083402</v>
      </c>
      <c r="J12" s="29">
        <f>J11*CHOOSE('DCF Model'!$D$27,J65,J66,J67,J68,J69)</f>
        <v>1799.7250148490589</v>
      </c>
    </row>
    <row r="13" spans="2:10" ht="14" x14ac:dyDescent="0.3">
      <c r="B13" s="37" t="s">
        <v>173</v>
      </c>
      <c r="C13" s="28" t="s">
        <v>121</v>
      </c>
      <c r="D13" s="28" t="s">
        <v>121</v>
      </c>
      <c r="E13" s="28" t="s">
        <v>121</v>
      </c>
      <c r="F13" s="27">
        <f>CHOOSE('DCF Model'!$D$27,F65,F66,F67,F68,F69)</f>
        <v>0.15</v>
      </c>
      <c r="G13" s="27">
        <f>CHOOSE('DCF Model'!$D$27,G65,G66,G67,G68,G69)</f>
        <v>0.16</v>
      </c>
      <c r="H13" s="27">
        <f>CHOOSE('DCF Model'!$D$27,H65,H66,H67,H68,H69)</f>
        <v>0.17</v>
      </c>
      <c r="I13" s="27">
        <f>CHOOSE('DCF Model'!$D$27,I65,I66,I67,I68,I69)</f>
        <v>0.18</v>
      </c>
      <c r="J13" s="27">
        <f>CHOOSE('DCF Model'!$D$27,J65,J66,J67,J68,J69)</f>
        <v>0.18</v>
      </c>
    </row>
    <row r="15" spans="2:10" ht="14" x14ac:dyDescent="0.3">
      <c r="B15" s="8" t="s">
        <v>175</v>
      </c>
      <c r="C15" s="9"/>
      <c r="D15" s="9"/>
      <c r="E15" s="9"/>
      <c r="F15" s="9"/>
      <c r="G15" s="9"/>
      <c r="H15" s="9"/>
      <c r="I15" s="9"/>
      <c r="J15" s="9"/>
    </row>
    <row r="16" spans="2:10" ht="14" x14ac:dyDescent="0.3">
      <c r="B16" s="4" t="s">
        <v>40</v>
      </c>
      <c r="C16" s="28" t="s">
        <v>121</v>
      </c>
      <c r="D16" s="29">
        <v>5206</v>
      </c>
      <c r="E16" s="29">
        <v>5193</v>
      </c>
      <c r="F16" s="29">
        <f>E16*(1+CHOOSE('DCF Model'!$D$27,F72,F73,F74,F75,F76))</f>
        <v>3800.2374</v>
      </c>
      <c r="G16" s="29">
        <f>F16*(1+CHOOSE('DCF Model'!$D$27,G72,G73,G74,G75,G76))</f>
        <v>3500.39866914</v>
      </c>
      <c r="H16" s="29">
        <f>G16*(1+CHOOSE('DCF Model'!$D$27,H72,H73,H74,H75,H76))</f>
        <v>3500.39866914</v>
      </c>
      <c r="I16" s="29">
        <f>H16*(1+CHOOSE('DCF Model'!$D$27,I72,I73,I74,I75,I76))</f>
        <v>4000.6056389601063</v>
      </c>
      <c r="J16" s="29">
        <f>I16*(1+CHOOSE('DCF Model'!$D$27,J72,J73,J74,J75,J76))</f>
        <v>4500.6813438301197</v>
      </c>
    </row>
    <row r="17" spans="2:10" ht="14" x14ac:dyDescent="0.3">
      <c r="B17" s="4" t="s">
        <v>172</v>
      </c>
      <c r="C17" s="28" t="s">
        <v>121</v>
      </c>
      <c r="D17" s="28" t="s">
        <v>121</v>
      </c>
      <c r="E17" s="28" t="s">
        <v>121</v>
      </c>
      <c r="F17" s="29">
        <f>F16*CHOOSE('DCF Model'!$D$27,F79,F80,F81,F82,F83)</f>
        <v>380.02374000000003</v>
      </c>
      <c r="G17" s="29">
        <f>G16*CHOOSE('DCF Model'!$D$27,G79,G80,G81,G82,G83)</f>
        <v>350.03986691400002</v>
      </c>
      <c r="H17" s="29">
        <f>H16*CHOOSE('DCF Model'!$D$27,H79,H80,H81,H82,H83)</f>
        <v>385.04385360539999</v>
      </c>
      <c r="I17" s="29">
        <f>I16*CHOOSE('DCF Model'!$D$27,I79,I80,I81,I82,I83)</f>
        <v>480.07267667521273</v>
      </c>
      <c r="J17" s="29">
        <f>J16*CHOOSE('DCF Model'!$D$27,J79,J80,J81,J82,J83)</f>
        <v>585.08857469791553</v>
      </c>
    </row>
    <row r="18" spans="2:10" ht="14" x14ac:dyDescent="0.3">
      <c r="B18" s="37" t="s">
        <v>173</v>
      </c>
      <c r="C18" s="28" t="s">
        <v>121</v>
      </c>
      <c r="D18" s="28" t="s">
        <v>121</v>
      </c>
      <c r="E18" s="28" t="s">
        <v>121</v>
      </c>
      <c r="F18" s="27">
        <f>CHOOSE('DCF Model'!$D$27,F79,F80,F81,F82,F83)</f>
        <v>0.1</v>
      </c>
      <c r="G18" s="27">
        <f>CHOOSE('DCF Model'!$D$27,G79,G80,G81,G82,G83)</f>
        <v>0.1</v>
      </c>
      <c r="H18" s="27">
        <f>CHOOSE('DCF Model'!$D$27,H79,H80,H81,H82,H83)</f>
        <v>0.11</v>
      </c>
      <c r="I18" s="27">
        <f>CHOOSE('DCF Model'!$D$27,I79,I80,I81,I82,I83)</f>
        <v>0.12</v>
      </c>
      <c r="J18" s="27">
        <f>CHOOSE('DCF Model'!$D$27,J79,J80,J81,J82,J83)</f>
        <v>0.13</v>
      </c>
    </row>
    <row r="20" spans="2:10" ht="14" x14ac:dyDescent="0.3">
      <c r="B20" s="8" t="s">
        <v>176</v>
      </c>
      <c r="C20" s="9"/>
      <c r="D20" s="9"/>
      <c r="E20" s="9"/>
      <c r="F20" s="9"/>
      <c r="G20" s="9"/>
      <c r="H20" s="9"/>
      <c r="I20" s="9"/>
      <c r="J20" s="9"/>
    </row>
    <row r="21" spans="2:10" ht="14" x14ac:dyDescent="0.3">
      <c r="B21" s="4" t="s">
        <v>40</v>
      </c>
      <c r="C21" s="28" t="s">
        <v>121</v>
      </c>
      <c r="D21" s="29">
        <v>1999</v>
      </c>
      <c r="E21" s="29">
        <v>389</v>
      </c>
      <c r="F21" s="29">
        <f>E21*(1+CHOOSE('DCF Model'!$D$27,F86,F87,F88,F89,F90))</f>
        <v>499.98169999999993</v>
      </c>
      <c r="G21" s="29">
        <f>F21*(1+CHOOSE('DCF Model'!$D$27,G86,G87,G88,G89,G90))</f>
        <v>599.97803999999985</v>
      </c>
      <c r="H21" s="29">
        <f>G21*(1+CHOOSE('DCF Model'!$D$27,H86,H87,H88,H89,H90))</f>
        <v>699.99437926799988</v>
      </c>
      <c r="I21" s="29">
        <f>H21*(1+CHOOSE('DCF Model'!$D$27,I86,I87,I88,I89,I90))</f>
        <v>800.02357606539704</v>
      </c>
      <c r="J21" s="29">
        <f>I21*(1+CHOOSE('DCF Model'!$D$27,J86,J87,J88,J89,J90))</f>
        <v>850.02504956948439</v>
      </c>
    </row>
    <row r="22" spans="2:10" ht="14" x14ac:dyDescent="0.3">
      <c r="B22" s="4" t="s">
        <v>172</v>
      </c>
      <c r="C22" s="28" t="s">
        <v>121</v>
      </c>
      <c r="D22" s="28" t="s">
        <v>121</v>
      </c>
      <c r="E22" s="28" t="s">
        <v>121</v>
      </c>
      <c r="F22" s="29">
        <f>F21*CHOOSE('DCF Model'!$D$27,F93,F94,F95,F96,F97)</f>
        <v>39.998535999999994</v>
      </c>
      <c r="G22" s="29">
        <f>G21*CHOOSE('DCF Model'!$D$27,G93,G94,G95,G96,G97)</f>
        <v>53.998023599999982</v>
      </c>
      <c r="H22" s="29">
        <f>H21*CHOOSE('DCF Model'!$D$27,H93,H94,H95,H96,H97)</f>
        <v>62.999494134119985</v>
      </c>
      <c r="I22" s="29">
        <f>I21*CHOOSE('DCF Model'!$D$27,I93,I94,I95,I96,I97)</f>
        <v>80.002357606539704</v>
      </c>
      <c r="J22" s="29">
        <f>J21*CHOOSE('DCF Model'!$D$27,J93,J94,J95,J96,J97)</f>
        <v>85.002504956948442</v>
      </c>
    </row>
    <row r="23" spans="2:10" ht="14" x14ac:dyDescent="0.3">
      <c r="B23" s="37" t="s">
        <v>173</v>
      </c>
      <c r="C23" s="28" t="s">
        <v>121</v>
      </c>
      <c r="D23" s="28" t="s">
        <v>121</v>
      </c>
      <c r="E23" s="28" t="s">
        <v>121</v>
      </c>
      <c r="F23" s="27">
        <f>CHOOSE('DCF Model'!$D$27,F93,F94,F95,F96,F97)</f>
        <v>0.08</v>
      </c>
      <c r="G23" s="27">
        <f>CHOOSE('DCF Model'!$D$27,G93,G94,G95,G96,G97)</f>
        <v>0.09</v>
      </c>
      <c r="H23" s="27">
        <f>CHOOSE('DCF Model'!$D$27,H93,H94,H95,H96,H97)</f>
        <v>0.09</v>
      </c>
      <c r="I23" s="27">
        <f>CHOOSE('DCF Model'!$D$27,I93,I94,I95,I96,I97)</f>
        <v>0.1</v>
      </c>
      <c r="J23" s="27">
        <f>CHOOSE('DCF Model'!$D$27,J93,J94,J95,J96,J97)</f>
        <v>0.1</v>
      </c>
    </row>
    <row r="25" spans="2:10" ht="14" x14ac:dyDescent="0.3">
      <c r="B25" s="8" t="s">
        <v>177</v>
      </c>
      <c r="C25" s="9"/>
      <c r="D25" s="9"/>
      <c r="E25" s="9"/>
      <c r="F25" s="9"/>
      <c r="G25" s="9"/>
      <c r="H25" s="9"/>
      <c r="I25" s="9"/>
      <c r="J25" s="9"/>
    </row>
    <row r="26" spans="2:10" ht="14" x14ac:dyDescent="0.3">
      <c r="B26" s="4" t="s">
        <v>40</v>
      </c>
      <c r="C26" s="28" t="s">
        <v>121</v>
      </c>
      <c r="D26" s="29">
        <v>1301</v>
      </c>
      <c r="E26" s="29">
        <v>990</v>
      </c>
      <c r="F26" s="29">
        <f>E26*(1+CHOOSE('DCF Model'!$D$27,F100,F101,F102,F103,F104))</f>
        <v>700.02900000000011</v>
      </c>
      <c r="G26" s="29">
        <f>F26*(1+CHOOSE('DCF Model'!$D$27,G100,G101,G102,G103,G104))</f>
        <v>700.02900000000011</v>
      </c>
      <c r="H26" s="29">
        <f>G26*(1+CHOOSE('DCF Model'!$D$27,H100,H101,H102,H103,H104))</f>
        <v>700.02900000000011</v>
      </c>
      <c r="I26" s="29">
        <f>H26*(1+CHOOSE('DCF Model'!$D$27,I100,I101,I102,I103,I104))</f>
        <v>700.02900000000011</v>
      </c>
      <c r="J26" s="29">
        <f>I26*(1+CHOOSE('DCF Model'!$D$27,J100,J101,J102,J103,J104))</f>
        <v>700.02900000000011</v>
      </c>
    </row>
    <row r="27" spans="2:10" ht="14" x14ac:dyDescent="0.3">
      <c r="B27" s="4" t="s">
        <v>172</v>
      </c>
      <c r="C27" s="28" t="s">
        <v>121</v>
      </c>
      <c r="D27" s="28" t="s">
        <v>121</v>
      </c>
      <c r="E27" s="28" t="s">
        <v>121</v>
      </c>
      <c r="F27" s="29">
        <f>F26*CHOOSE('DCF Model'!$D$27,F107,F108,F109,F110,F111)</f>
        <v>35.001450000000006</v>
      </c>
      <c r="G27" s="29">
        <f>G26*CHOOSE('DCF Model'!$D$27,G107,G108,G109,G110,G111)</f>
        <v>35.001450000000006</v>
      </c>
      <c r="H27" s="29">
        <f>H26*CHOOSE('DCF Model'!$D$27,H107,H108,H109,H110,H111)</f>
        <v>35.001450000000006</v>
      </c>
      <c r="I27" s="29">
        <f>I26*CHOOSE('DCF Model'!$D$27,I107,I108,I109,I110,I111)</f>
        <v>35.001450000000006</v>
      </c>
      <c r="J27" s="29">
        <f>J26*CHOOSE('DCF Model'!$D$27,J107,J108,J109,J110,J111)</f>
        <v>35.001450000000006</v>
      </c>
    </row>
    <row r="28" spans="2:10" ht="14" x14ac:dyDescent="0.3">
      <c r="B28" s="37" t="s">
        <v>173</v>
      </c>
      <c r="C28" s="28" t="s">
        <v>121</v>
      </c>
      <c r="D28" s="28" t="s">
        <v>121</v>
      </c>
      <c r="E28" s="28" t="s">
        <v>121</v>
      </c>
      <c r="F28" s="27">
        <f>CHOOSE('DCF Model'!$D$27,F107,F108,F109,F110,F111)</f>
        <v>0.05</v>
      </c>
      <c r="G28" s="27">
        <f>CHOOSE('DCF Model'!$D$27,G107,G108,G109,G110,G111)</f>
        <v>0.05</v>
      </c>
      <c r="H28" s="27">
        <f>CHOOSE('DCF Model'!$D$27,H107,H108,H109,H110,H111)</f>
        <v>0.05</v>
      </c>
      <c r="I28" s="27">
        <f>CHOOSE('DCF Model'!$D$27,I107,I108,I109,I110,I111)</f>
        <v>0.05</v>
      </c>
      <c r="J28" s="27">
        <f>CHOOSE('DCF Model'!$D$27,J107,J108,J109,J110,J111)</f>
        <v>0.05</v>
      </c>
    </row>
    <row r="30" spans="2:10" ht="14" x14ac:dyDescent="0.3">
      <c r="B30" s="22" t="s">
        <v>178</v>
      </c>
      <c r="C30" s="23"/>
      <c r="D30" s="23"/>
      <c r="E30" s="23"/>
      <c r="F30" s="23"/>
      <c r="G30" s="23"/>
      <c r="H30" s="23"/>
      <c r="I30" s="23"/>
      <c r="J30" s="23"/>
    </row>
    <row r="31" spans="2:10" ht="14" x14ac:dyDescent="0.3">
      <c r="B31" s="4" t="s">
        <v>179</v>
      </c>
      <c r="C31" s="20" t="e">
        <f t="shared" ref="C31:J32" si="0">C6+C11+C16+C21+C26</f>
        <v>#VALUE!</v>
      </c>
      <c r="D31" s="20">
        <f t="shared" si="0"/>
        <v>19243</v>
      </c>
      <c r="E31" s="20">
        <f t="shared" si="0"/>
        <v>21579</v>
      </c>
      <c r="F31" s="20">
        <f t="shared" si="0"/>
        <v>22499.727399999996</v>
      </c>
      <c r="G31" s="20">
        <f t="shared" si="0"/>
        <v>24799.912711979996</v>
      </c>
      <c r="H31" s="20">
        <f t="shared" si="0"/>
        <v>26899.619119855266</v>
      </c>
      <c r="I31" s="20">
        <f t="shared" si="0"/>
        <v>28998.870310177841</v>
      </c>
      <c r="J31" s="20">
        <f t="shared" si="0"/>
        <v>30548.363949109775</v>
      </c>
    </row>
    <row r="32" spans="2:10" ht="14" x14ac:dyDescent="0.3">
      <c r="B32" s="4" t="s">
        <v>180</v>
      </c>
      <c r="C32" s="20" t="e">
        <f t="shared" si="0"/>
        <v>#VALUE!</v>
      </c>
      <c r="D32" s="20" t="e">
        <f t="shared" si="0"/>
        <v>#VALUE!</v>
      </c>
      <c r="E32" s="20" t="e">
        <f t="shared" si="0"/>
        <v>#VALUE!</v>
      </c>
      <c r="F32" s="20">
        <f t="shared" si="0"/>
        <v>3189.9411460000001</v>
      </c>
      <c r="G32" s="20">
        <f t="shared" si="0"/>
        <v>3763.9593755784008</v>
      </c>
      <c r="H32" s="20">
        <f t="shared" si="0"/>
        <v>4357.9071276643563</v>
      </c>
      <c r="I32" s="20">
        <f t="shared" si="0"/>
        <v>4964.7484458157887</v>
      </c>
      <c r="J32" s="20">
        <f t="shared" si="0"/>
        <v>5259.6572321926278</v>
      </c>
    </row>
    <row r="33" spans="2:10" ht="14" x14ac:dyDescent="0.3">
      <c r="B33" s="37" t="s">
        <v>181</v>
      </c>
      <c r="C33" s="27" t="str">
        <f t="shared" ref="C33:J33" si="1">IFERROR(C32/C31,"—")</f>
        <v>—</v>
      </c>
      <c r="D33" s="27" t="str">
        <f t="shared" si="1"/>
        <v>—</v>
      </c>
      <c r="E33" s="27" t="str">
        <f t="shared" si="1"/>
        <v>—</v>
      </c>
      <c r="F33" s="27">
        <f t="shared" si="1"/>
        <v>0.14177687975010758</v>
      </c>
      <c r="G33" s="27">
        <f t="shared" si="1"/>
        <v>0.15177308965930997</v>
      </c>
      <c r="H33" s="27">
        <f t="shared" si="1"/>
        <v>0.16200627630625739</v>
      </c>
      <c r="I33" s="27">
        <f t="shared" si="1"/>
        <v>0.17120489152549134</v>
      </c>
      <c r="J33" s="27">
        <f t="shared" si="1"/>
        <v>0.17217476002821755</v>
      </c>
    </row>
    <row r="35" spans="2:10" ht="14" x14ac:dyDescent="0.3">
      <c r="B35" s="38" t="s">
        <v>182</v>
      </c>
      <c r="C35" s="39"/>
      <c r="D35" s="39"/>
      <c r="E35" s="39"/>
      <c r="F35" s="39"/>
      <c r="G35" s="39"/>
      <c r="H35" s="39"/>
      <c r="I35" s="39"/>
      <c r="J35" s="39"/>
    </row>
    <row r="36" spans="2:10" ht="14" x14ac:dyDescent="0.3">
      <c r="B36" s="4" t="s">
        <v>183</v>
      </c>
      <c r="F36" s="40">
        <f>'DCF Model'!C33</f>
        <v>22499.727399999996</v>
      </c>
      <c r="G36" s="40">
        <f>'DCF Model'!D33</f>
        <v>24799.912711979996</v>
      </c>
      <c r="H36" s="40">
        <f>'DCF Model'!E33</f>
        <v>26899.619119855266</v>
      </c>
      <c r="I36" s="40">
        <f>'DCF Model'!F33</f>
        <v>28998.870310177841</v>
      </c>
      <c r="J36" s="40">
        <f>'DCF Model'!G33</f>
        <v>30548.363949109775</v>
      </c>
    </row>
    <row r="37" spans="2:10" ht="14" x14ac:dyDescent="0.3">
      <c r="B37" s="4" t="s">
        <v>184</v>
      </c>
      <c r="F37" s="29">
        <f>F31</f>
        <v>22499.727399999996</v>
      </c>
      <c r="G37" s="29">
        <f>G31</f>
        <v>24799.912711979996</v>
      </c>
      <c r="H37" s="29">
        <f>H31</f>
        <v>26899.619119855266</v>
      </c>
      <c r="I37" s="29">
        <f>I31</f>
        <v>28998.870310177841</v>
      </c>
      <c r="J37" s="29">
        <f>J31</f>
        <v>30548.363949109775</v>
      </c>
    </row>
    <row r="38" spans="2:10" ht="14" x14ac:dyDescent="0.3">
      <c r="B38" s="4" t="s">
        <v>185</v>
      </c>
      <c r="F38" s="24">
        <f>F37-F36</f>
        <v>0</v>
      </c>
      <c r="G38" s="24">
        <f>G37-G36</f>
        <v>0</v>
      </c>
      <c r="H38" s="24">
        <f>H37-H36</f>
        <v>0</v>
      </c>
      <c r="I38" s="24">
        <f>I37-I36</f>
        <v>0</v>
      </c>
      <c r="J38" s="24">
        <f>J37-J36</f>
        <v>0</v>
      </c>
    </row>
    <row r="41" spans="2:10" ht="14" x14ac:dyDescent="0.3">
      <c r="B41" s="41" t="s">
        <v>186</v>
      </c>
      <c r="C41" s="42"/>
      <c r="D41" s="42"/>
      <c r="E41" s="42"/>
      <c r="F41" s="42"/>
      <c r="G41" s="42"/>
      <c r="H41" s="42"/>
      <c r="I41" s="42"/>
      <c r="J41" s="42"/>
    </row>
    <row r="42" spans="2:10" ht="14" x14ac:dyDescent="0.3">
      <c r="F42" s="43" t="s">
        <v>87</v>
      </c>
      <c r="G42" s="43" t="s">
        <v>88</v>
      </c>
      <c r="H42" s="43" t="s">
        <v>89</v>
      </c>
      <c r="I42" s="43" t="s">
        <v>90</v>
      </c>
      <c r="J42" s="43" t="s">
        <v>91</v>
      </c>
    </row>
    <row r="43" spans="2:10" ht="14" x14ac:dyDescent="0.3">
      <c r="B43" s="3" t="s">
        <v>187</v>
      </c>
    </row>
    <row r="44" spans="2:10" ht="14" x14ac:dyDescent="0.3">
      <c r="B44" s="4" t="s">
        <v>85</v>
      </c>
      <c r="F44" s="44">
        <v>0.11749999999999999</v>
      </c>
      <c r="G44" s="44">
        <v>0.13639999999999999</v>
      </c>
      <c r="H44" s="44">
        <v>0.08</v>
      </c>
      <c r="I44" s="44">
        <v>3.6999999999999998E-2</v>
      </c>
      <c r="J44" s="44">
        <v>3.5700000000000003E-2</v>
      </c>
    </row>
    <row r="45" spans="2:10" ht="14" x14ac:dyDescent="0.3">
      <c r="B45" s="4" t="s">
        <v>188</v>
      </c>
      <c r="F45" s="44">
        <v>0.26989999999999997</v>
      </c>
      <c r="G45" s="44">
        <v>0.2</v>
      </c>
      <c r="H45" s="44">
        <v>0.1333</v>
      </c>
      <c r="I45" s="44">
        <v>8.8200000000000001E-2</v>
      </c>
      <c r="J45" s="44">
        <v>5.4100000000000002E-2</v>
      </c>
    </row>
    <row r="46" spans="2:10" ht="14" x14ac:dyDescent="0.3">
      <c r="B46" s="4" t="s">
        <v>189</v>
      </c>
      <c r="F46" s="44">
        <v>3.6299999999999999E-2</v>
      </c>
      <c r="G46" s="44">
        <v>7.8399999999999997E-2</v>
      </c>
      <c r="H46" s="44">
        <v>6.3600000000000004E-2</v>
      </c>
      <c r="I46" s="44">
        <v>4.2700000000000002E-2</v>
      </c>
      <c r="J46" s="44">
        <v>4.1000000000000002E-2</v>
      </c>
    </row>
    <row r="47" spans="2:10" ht="14" x14ac:dyDescent="0.3">
      <c r="B47" s="4" t="s">
        <v>190</v>
      </c>
      <c r="F47" s="44">
        <v>-0.18720000000000001</v>
      </c>
      <c r="G47" s="44">
        <v>6.25E-2</v>
      </c>
      <c r="H47" s="44">
        <v>5.8799999999999998E-2</v>
      </c>
      <c r="I47" s="44">
        <v>5.5599999999999997E-2</v>
      </c>
      <c r="J47" s="44">
        <v>2.1100000000000001E-2</v>
      </c>
    </row>
    <row r="48" spans="2:10" ht="14" x14ac:dyDescent="0.3">
      <c r="B48" s="4" t="s">
        <v>191</v>
      </c>
      <c r="F48" s="44">
        <v>-0.33960000000000001</v>
      </c>
      <c r="G48" s="44">
        <v>0</v>
      </c>
      <c r="H48" s="44">
        <v>7.6899999999999996E-2</v>
      </c>
      <c r="I48" s="44">
        <v>0</v>
      </c>
      <c r="J48" s="44">
        <v>2.86E-2</v>
      </c>
    </row>
    <row r="50" spans="2:10" ht="14" x14ac:dyDescent="0.3">
      <c r="B50" s="3" t="s">
        <v>192</v>
      </c>
    </row>
    <row r="51" spans="2:10" ht="14" x14ac:dyDescent="0.3">
      <c r="B51" s="4" t="s">
        <v>85</v>
      </c>
      <c r="F51" s="44">
        <v>0.16</v>
      </c>
      <c r="G51" s="44">
        <v>0.17</v>
      </c>
      <c r="H51" s="44">
        <v>0.18</v>
      </c>
      <c r="I51" s="44">
        <v>0.19</v>
      </c>
      <c r="J51" s="44">
        <v>0.19</v>
      </c>
    </row>
    <row r="52" spans="2:10" ht="14" x14ac:dyDescent="0.3">
      <c r="B52" s="4" t="s">
        <v>188</v>
      </c>
      <c r="F52" s="44">
        <v>0.17</v>
      </c>
      <c r="G52" s="44">
        <v>0.18</v>
      </c>
      <c r="H52" s="44">
        <v>0.19</v>
      </c>
      <c r="I52" s="44">
        <v>0.2</v>
      </c>
      <c r="J52" s="44">
        <v>0.2</v>
      </c>
    </row>
    <row r="53" spans="2:10" ht="14" x14ac:dyDescent="0.3">
      <c r="B53" s="4" t="s">
        <v>189</v>
      </c>
      <c r="F53" s="44">
        <v>0.15</v>
      </c>
      <c r="G53" s="44">
        <v>0.16</v>
      </c>
      <c r="H53" s="44">
        <v>0.16</v>
      </c>
      <c r="I53" s="44">
        <v>0.17</v>
      </c>
      <c r="J53" s="44">
        <v>0.17</v>
      </c>
    </row>
    <row r="54" spans="2:10" ht="14" x14ac:dyDescent="0.3">
      <c r="B54" s="4" t="s">
        <v>190</v>
      </c>
      <c r="F54" s="44">
        <v>0.13</v>
      </c>
      <c r="G54" s="44">
        <v>0.13</v>
      </c>
      <c r="H54" s="44">
        <v>0.14000000000000001</v>
      </c>
      <c r="I54" s="44">
        <v>0.14000000000000001</v>
      </c>
      <c r="J54" s="44">
        <v>0.14000000000000001</v>
      </c>
    </row>
    <row r="55" spans="2:10" ht="14" x14ac:dyDescent="0.3">
      <c r="B55" s="4" t="s">
        <v>191</v>
      </c>
      <c r="F55" s="44">
        <v>0.1</v>
      </c>
      <c r="G55" s="44">
        <v>0.1</v>
      </c>
      <c r="H55" s="44">
        <v>0.11</v>
      </c>
      <c r="I55" s="44">
        <v>0.11</v>
      </c>
      <c r="J55" s="44">
        <v>0.11</v>
      </c>
    </row>
    <row r="57" spans="2:10" ht="14" x14ac:dyDescent="0.3">
      <c r="B57" s="3" t="s">
        <v>193</v>
      </c>
    </row>
    <row r="58" spans="2:10" ht="14" x14ac:dyDescent="0.3">
      <c r="B58" s="4" t="s">
        <v>85</v>
      </c>
      <c r="F58" s="44">
        <v>0.25869999999999999</v>
      </c>
      <c r="G58" s="44">
        <v>0.15379999999999999</v>
      </c>
      <c r="H58" s="44">
        <v>0.1333</v>
      </c>
      <c r="I58" s="44">
        <v>0.1176</v>
      </c>
      <c r="J58" s="44">
        <v>5.2600000000000001E-2</v>
      </c>
    </row>
    <row r="59" spans="2:10" ht="14" x14ac:dyDescent="0.3">
      <c r="B59" s="4" t="s">
        <v>188</v>
      </c>
      <c r="F59" s="44">
        <v>0.45240000000000002</v>
      </c>
      <c r="G59" s="44">
        <v>0.2</v>
      </c>
      <c r="H59" s="44">
        <v>0.16669999999999999</v>
      </c>
      <c r="I59" s="44">
        <v>0.1429</v>
      </c>
      <c r="J59" s="44">
        <v>8.3299999999999999E-2</v>
      </c>
    </row>
    <row r="60" spans="2:10" ht="14" x14ac:dyDescent="0.3">
      <c r="B60" s="4" t="s">
        <v>189</v>
      </c>
      <c r="F60" s="44">
        <v>0.16189999999999999</v>
      </c>
      <c r="G60" s="44">
        <v>8.3299999999999999E-2</v>
      </c>
      <c r="H60" s="44">
        <v>7.6899999999999996E-2</v>
      </c>
      <c r="I60" s="44">
        <v>7.1400000000000005E-2</v>
      </c>
      <c r="J60" s="44">
        <v>0.04</v>
      </c>
    </row>
    <row r="61" spans="2:10" ht="14" x14ac:dyDescent="0.3">
      <c r="B61" s="4" t="s">
        <v>190</v>
      </c>
      <c r="F61" s="44">
        <v>-3.1800000000000002E-2</v>
      </c>
      <c r="G61" s="44">
        <v>0</v>
      </c>
      <c r="H61" s="44">
        <v>0.04</v>
      </c>
      <c r="I61" s="44">
        <v>5.7700000000000001E-2</v>
      </c>
      <c r="J61" s="44">
        <v>1.8200000000000001E-2</v>
      </c>
    </row>
    <row r="62" spans="2:10" ht="14" x14ac:dyDescent="0.3">
      <c r="B62" s="4" t="s">
        <v>191</v>
      </c>
      <c r="F62" s="44">
        <v>-0.1867</v>
      </c>
      <c r="G62" s="44">
        <v>-4.7600000000000003E-2</v>
      </c>
      <c r="H62" s="44">
        <v>0</v>
      </c>
      <c r="I62" s="44">
        <v>0.05</v>
      </c>
      <c r="J62" s="44">
        <v>2.3800000000000002E-2</v>
      </c>
    </row>
    <row r="64" spans="2:10" ht="14" x14ac:dyDescent="0.3">
      <c r="B64" s="3" t="s">
        <v>194</v>
      </c>
    </row>
    <row r="65" spans="2:10" ht="14" x14ac:dyDescent="0.3">
      <c r="B65" s="4" t="s">
        <v>85</v>
      </c>
      <c r="F65" s="44">
        <v>0.15</v>
      </c>
      <c r="G65" s="44">
        <v>0.16</v>
      </c>
      <c r="H65" s="44">
        <v>0.17</v>
      </c>
      <c r="I65" s="44">
        <v>0.18</v>
      </c>
      <c r="J65" s="44">
        <v>0.18</v>
      </c>
    </row>
    <row r="66" spans="2:10" ht="14" x14ac:dyDescent="0.3">
      <c r="B66" s="4" t="s">
        <v>188</v>
      </c>
      <c r="F66" s="44">
        <v>0.16</v>
      </c>
      <c r="G66" s="44">
        <v>0.17</v>
      </c>
      <c r="H66" s="44">
        <v>0.18</v>
      </c>
      <c r="I66" s="44">
        <v>0.19</v>
      </c>
      <c r="J66" s="44">
        <v>0.19</v>
      </c>
    </row>
    <row r="67" spans="2:10" ht="14" x14ac:dyDescent="0.3">
      <c r="B67" s="4" t="s">
        <v>189</v>
      </c>
      <c r="F67" s="44">
        <v>0.14000000000000001</v>
      </c>
      <c r="G67" s="44">
        <v>0.15</v>
      </c>
      <c r="H67" s="44">
        <v>0.15</v>
      </c>
      <c r="I67" s="44">
        <v>0.16</v>
      </c>
      <c r="J67" s="44">
        <v>0.16</v>
      </c>
    </row>
    <row r="68" spans="2:10" ht="14" x14ac:dyDescent="0.3">
      <c r="B68" s="4" t="s">
        <v>190</v>
      </c>
      <c r="F68" s="44">
        <v>0.12</v>
      </c>
      <c r="G68" s="44">
        <v>0.12</v>
      </c>
      <c r="H68" s="44">
        <v>0.13</v>
      </c>
      <c r="I68" s="44">
        <v>0.13</v>
      </c>
      <c r="J68" s="44">
        <v>0.13</v>
      </c>
    </row>
    <row r="69" spans="2:10" ht="14" x14ac:dyDescent="0.3">
      <c r="B69" s="4" t="s">
        <v>191</v>
      </c>
      <c r="F69" s="44">
        <v>0.1</v>
      </c>
      <c r="G69" s="44">
        <v>0.1</v>
      </c>
      <c r="H69" s="44">
        <v>0.1</v>
      </c>
      <c r="I69" s="44">
        <v>0.11</v>
      </c>
      <c r="J69" s="44">
        <v>0.11</v>
      </c>
    </row>
    <row r="71" spans="2:10" ht="14" x14ac:dyDescent="0.3">
      <c r="B71" s="3" t="s">
        <v>195</v>
      </c>
    </row>
    <row r="72" spans="2:10" ht="14" x14ac:dyDescent="0.3">
      <c r="B72" s="4" t="s">
        <v>85</v>
      </c>
      <c r="F72" s="44">
        <v>-0.26819999999999999</v>
      </c>
      <c r="G72" s="44">
        <v>-7.8899999999999998E-2</v>
      </c>
      <c r="H72" s="44">
        <v>0</v>
      </c>
      <c r="I72" s="44">
        <v>0.1429</v>
      </c>
      <c r="J72" s="44">
        <v>0.125</v>
      </c>
    </row>
    <row r="73" spans="2:10" ht="14" x14ac:dyDescent="0.3">
      <c r="B73" s="4" t="s">
        <v>188</v>
      </c>
      <c r="F73" s="44">
        <v>-3.7199999999999997E-2</v>
      </c>
      <c r="G73" s="44">
        <v>0.1</v>
      </c>
      <c r="H73" s="44">
        <v>0.18179999999999999</v>
      </c>
      <c r="I73" s="44">
        <v>0.15379999999999999</v>
      </c>
      <c r="J73" s="44">
        <v>0.1333</v>
      </c>
    </row>
    <row r="74" spans="2:10" ht="14" x14ac:dyDescent="0.3">
      <c r="B74" s="4" t="s">
        <v>189</v>
      </c>
      <c r="F74" s="44">
        <v>-0.32600000000000001</v>
      </c>
      <c r="G74" s="44">
        <v>-8.5699999999999998E-2</v>
      </c>
      <c r="H74" s="44">
        <v>0</v>
      </c>
      <c r="I74" s="44">
        <v>9.3799999999999994E-2</v>
      </c>
      <c r="J74" s="44">
        <v>8.5699999999999998E-2</v>
      </c>
    </row>
    <row r="75" spans="2:10" ht="14" x14ac:dyDescent="0.3">
      <c r="B75" s="4" t="s">
        <v>190</v>
      </c>
      <c r="F75" s="44">
        <v>-0.51859999999999995</v>
      </c>
      <c r="G75" s="44">
        <v>-0.2</v>
      </c>
      <c r="H75" s="44">
        <v>0</v>
      </c>
      <c r="I75" s="44">
        <v>0.1</v>
      </c>
      <c r="J75" s="44">
        <v>4.5499999999999999E-2</v>
      </c>
    </row>
    <row r="76" spans="2:10" ht="14" x14ac:dyDescent="0.3">
      <c r="B76" s="4" t="s">
        <v>191</v>
      </c>
      <c r="F76" s="44">
        <v>-0.65339999999999998</v>
      </c>
      <c r="G76" s="44">
        <v>-0.16669999999999999</v>
      </c>
      <c r="H76" s="44">
        <v>0</v>
      </c>
      <c r="I76" s="44">
        <v>0.2</v>
      </c>
      <c r="J76" s="44">
        <v>5.5599999999999997E-2</v>
      </c>
    </row>
    <row r="78" spans="2:10" ht="14" x14ac:dyDescent="0.3">
      <c r="B78" s="3" t="s">
        <v>196</v>
      </c>
    </row>
    <row r="79" spans="2:10" ht="14" x14ac:dyDescent="0.3">
      <c r="B79" s="4" t="s">
        <v>85</v>
      </c>
      <c r="F79" s="44">
        <v>0.1</v>
      </c>
      <c r="G79" s="44">
        <v>0.1</v>
      </c>
      <c r="H79" s="44">
        <v>0.11</v>
      </c>
      <c r="I79" s="44">
        <v>0.12</v>
      </c>
      <c r="J79" s="44">
        <v>0.13</v>
      </c>
    </row>
    <row r="80" spans="2:10" ht="14" x14ac:dyDescent="0.3">
      <c r="B80" s="4" t="s">
        <v>188</v>
      </c>
      <c r="F80" s="44">
        <v>0.12</v>
      </c>
      <c r="G80" s="44">
        <v>0.13</v>
      </c>
      <c r="H80" s="44">
        <v>0.14000000000000001</v>
      </c>
      <c r="I80" s="44">
        <v>0.15</v>
      </c>
      <c r="J80" s="44">
        <v>0.16</v>
      </c>
    </row>
    <row r="81" spans="2:10" ht="14" x14ac:dyDescent="0.3">
      <c r="B81" s="4" t="s">
        <v>189</v>
      </c>
      <c r="F81" s="44">
        <v>0.09</v>
      </c>
      <c r="G81" s="44">
        <v>0.09</v>
      </c>
      <c r="H81" s="44">
        <v>0.1</v>
      </c>
      <c r="I81" s="44">
        <v>0.1</v>
      </c>
      <c r="J81" s="44">
        <v>0.11</v>
      </c>
    </row>
    <row r="82" spans="2:10" ht="14" x14ac:dyDescent="0.3">
      <c r="B82" s="4" t="s">
        <v>190</v>
      </c>
      <c r="F82" s="44">
        <v>0.06</v>
      </c>
      <c r="G82" s="44">
        <v>0.05</v>
      </c>
      <c r="H82" s="44">
        <v>0.05</v>
      </c>
      <c r="I82" s="44">
        <v>0.06</v>
      </c>
      <c r="J82" s="44">
        <v>0.06</v>
      </c>
    </row>
    <row r="83" spans="2:10" ht="14" x14ac:dyDescent="0.3">
      <c r="B83" s="4" t="s">
        <v>191</v>
      </c>
      <c r="F83" s="44">
        <v>0.03</v>
      </c>
      <c r="G83" s="44">
        <v>0.02</v>
      </c>
      <c r="H83" s="44">
        <v>0.02</v>
      </c>
      <c r="I83" s="44">
        <v>0.03</v>
      </c>
      <c r="J83" s="44">
        <v>0.03</v>
      </c>
    </row>
    <row r="85" spans="2:10" ht="14" x14ac:dyDescent="0.3">
      <c r="B85" s="3" t="s">
        <v>197</v>
      </c>
    </row>
    <row r="86" spans="2:10" ht="14" x14ac:dyDescent="0.3">
      <c r="B86" s="4" t="s">
        <v>85</v>
      </c>
      <c r="F86" s="44">
        <v>0.2853</v>
      </c>
      <c r="G86" s="44">
        <v>0.2</v>
      </c>
      <c r="H86" s="44">
        <v>0.16669999999999999</v>
      </c>
      <c r="I86" s="44">
        <v>0.1429</v>
      </c>
      <c r="J86" s="44">
        <v>6.25E-2</v>
      </c>
    </row>
    <row r="87" spans="2:10" ht="14" x14ac:dyDescent="0.3">
      <c r="B87" s="4" t="s">
        <v>188</v>
      </c>
      <c r="F87" s="44">
        <v>0.54239999999999999</v>
      </c>
      <c r="G87" s="44">
        <v>0.25</v>
      </c>
      <c r="H87" s="44">
        <v>0.2</v>
      </c>
      <c r="I87" s="44">
        <v>0.1111</v>
      </c>
      <c r="J87" s="44">
        <v>0.1</v>
      </c>
    </row>
    <row r="88" spans="2:10" ht="14" x14ac:dyDescent="0.3">
      <c r="B88" s="4" t="s">
        <v>189</v>
      </c>
      <c r="F88" s="44">
        <v>0.15679999999999999</v>
      </c>
      <c r="G88" s="44">
        <v>0.22220000000000001</v>
      </c>
      <c r="H88" s="44">
        <v>9.0899999999999995E-2</v>
      </c>
      <c r="I88" s="44">
        <v>8.3299999999999999E-2</v>
      </c>
      <c r="J88" s="44">
        <v>7.6899999999999996E-2</v>
      </c>
    </row>
    <row r="89" spans="2:10" ht="14" x14ac:dyDescent="0.3">
      <c r="B89" s="4" t="s">
        <v>190</v>
      </c>
      <c r="F89" s="44">
        <v>2.8299999999999999E-2</v>
      </c>
      <c r="G89" s="44">
        <v>0</v>
      </c>
      <c r="H89" s="44">
        <v>0.125</v>
      </c>
      <c r="I89" s="44">
        <v>0.1111</v>
      </c>
      <c r="J89" s="44">
        <v>0.04</v>
      </c>
    </row>
    <row r="90" spans="2:10" ht="14" x14ac:dyDescent="0.3">
      <c r="B90" s="4" t="s">
        <v>191</v>
      </c>
      <c r="F90" s="44">
        <v>-0.1003</v>
      </c>
      <c r="G90" s="44">
        <v>0</v>
      </c>
      <c r="H90" s="44">
        <v>0</v>
      </c>
      <c r="I90" s="44">
        <v>0.1429</v>
      </c>
      <c r="J90" s="44">
        <v>2.5000000000000001E-2</v>
      </c>
    </row>
    <row r="92" spans="2:10" ht="14" x14ac:dyDescent="0.3">
      <c r="B92" s="3" t="s">
        <v>198</v>
      </c>
    </row>
    <row r="93" spans="2:10" ht="14" x14ac:dyDescent="0.3">
      <c r="B93" s="4" t="s">
        <v>85</v>
      </c>
      <c r="F93" s="44">
        <v>0.08</v>
      </c>
      <c r="G93" s="44">
        <v>0.09</v>
      </c>
      <c r="H93" s="44">
        <v>0.09</v>
      </c>
      <c r="I93" s="44">
        <v>0.1</v>
      </c>
      <c r="J93" s="44">
        <v>0.1</v>
      </c>
    </row>
    <row r="94" spans="2:10" ht="14" x14ac:dyDescent="0.3">
      <c r="B94" s="4" t="s">
        <v>188</v>
      </c>
      <c r="F94" s="44">
        <v>0.09</v>
      </c>
      <c r="G94" s="44">
        <v>0.1</v>
      </c>
      <c r="H94" s="44">
        <v>0.1</v>
      </c>
      <c r="I94" s="44">
        <v>0.11</v>
      </c>
      <c r="J94" s="44">
        <v>0.11</v>
      </c>
    </row>
    <row r="95" spans="2:10" ht="14" x14ac:dyDescent="0.3">
      <c r="B95" s="4" t="s">
        <v>189</v>
      </c>
      <c r="F95" s="44">
        <v>7.0000000000000007E-2</v>
      </c>
      <c r="G95" s="44">
        <v>0.08</v>
      </c>
      <c r="H95" s="44">
        <v>0.08</v>
      </c>
      <c r="I95" s="44">
        <v>0.09</v>
      </c>
      <c r="J95" s="44">
        <v>0.09</v>
      </c>
    </row>
    <row r="96" spans="2:10" ht="14" x14ac:dyDescent="0.3">
      <c r="B96" s="4" t="s">
        <v>190</v>
      </c>
      <c r="F96" s="44">
        <v>0.06</v>
      </c>
      <c r="G96" s="44">
        <v>0.06</v>
      </c>
      <c r="H96" s="44">
        <v>7.0000000000000007E-2</v>
      </c>
      <c r="I96" s="44">
        <v>7.0000000000000007E-2</v>
      </c>
      <c r="J96" s="44">
        <v>7.0000000000000007E-2</v>
      </c>
    </row>
    <row r="97" spans="2:10" ht="14" x14ac:dyDescent="0.3">
      <c r="B97" s="4" t="s">
        <v>191</v>
      </c>
      <c r="F97" s="44">
        <v>0.04</v>
      </c>
      <c r="G97" s="44">
        <v>0.04</v>
      </c>
      <c r="H97" s="44">
        <v>0.04</v>
      </c>
      <c r="I97" s="44">
        <v>0.05</v>
      </c>
      <c r="J97" s="44">
        <v>0.05</v>
      </c>
    </row>
    <row r="99" spans="2:10" ht="14" x14ac:dyDescent="0.3">
      <c r="B99" s="3" t="s">
        <v>199</v>
      </c>
    </row>
    <row r="100" spans="2:10" ht="14" x14ac:dyDescent="0.3">
      <c r="B100" s="4" t="s">
        <v>85</v>
      </c>
      <c r="F100" s="44">
        <v>-0.29289999999999999</v>
      </c>
      <c r="G100" s="44">
        <v>0</v>
      </c>
      <c r="H100" s="44">
        <v>0</v>
      </c>
      <c r="I100" s="44">
        <v>0</v>
      </c>
      <c r="J100" s="44">
        <v>0</v>
      </c>
    </row>
    <row r="101" spans="2:10" ht="14" x14ac:dyDescent="0.3">
      <c r="B101" s="4" t="s">
        <v>188</v>
      </c>
      <c r="F101" s="44">
        <v>-0.2424</v>
      </c>
      <c r="G101" s="44">
        <v>6.6699999999999995E-2</v>
      </c>
      <c r="H101" s="44">
        <v>6.25E-2</v>
      </c>
      <c r="I101" s="44">
        <v>5.8799999999999998E-2</v>
      </c>
      <c r="J101" s="44">
        <v>5.5599999999999997E-2</v>
      </c>
    </row>
    <row r="102" spans="2:10" ht="14" x14ac:dyDescent="0.3">
      <c r="B102" s="4" t="s">
        <v>189</v>
      </c>
      <c r="F102" s="44">
        <v>-0.34339999999999998</v>
      </c>
      <c r="G102" s="44">
        <v>0</v>
      </c>
      <c r="H102" s="44">
        <v>0</v>
      </c>
      <c r="I102" s="44">
        <v>0</v>
      </c>
      <c r="J102" s="44">
        <v>0</v>
      </c>
    </row>
    <row r="103" spans="2:10" ht="14" x14ac:dyDescent="0.3">
      <c r="B103" s="4" t="s">
        <v>190</v>
      </c>
      <c r="F103" s="44">
        <v>-0.39389999999999997</v>
      </c>
      <c r="G103" s="44">
        <v>-8.3299999999999999E-2</v>
      </c>
      <c r="H103" s="44">
        <v>0</v>
      </c>
      <c r="I103" s="44">
        <v>0</v>
      </c>
      <c r="J103" s="44">
        <v>1.8200000000000001E-2</v>
      </c>
    </row>
    <row r="104" spans="2:10" ht="14" x14ac:dyDescent="0.3">
      <c r="B104" s="4" t="s">
        <v>191</v>
      </c>
      <c r="F104" s="44">
        <v>-0.49490000000000001</v>
      </c>
      <c r="G104" s="44">
        <v>-0.1</v>
      </c>
      <c r="H104" s="44">
        <v>0</v>
      </c>
      <c r="I104" s="44">
        <v>0</v>
      </c>
      <c r="J104" s="44">
        <v>2.2200000000000001E-2</v>
      </c>
    </row>
    <row r="106" spans="2:10" ht="14" x14ac:dyDescent="0.3">
      <c r="B106" s="3" t="s">
        <v>200</v>
      </c>
    </row>
    <row r="107" spans="2:10" ht="14" x14ac:dyDescent="0.3">
      <c r="B107" s="4" t="s">
        <v>85</v>
      </c>
      <c r="F107" s="44">
        <v>0.05</v>
      </c>
      <c r="G107" s="44">
        <v>0.05</v>
      </c>
      <c r="H107" s="44">
        <v>0.05</v>
      </c>
      <c r="I107" s="44">
        <v>0.05</v>
      </c>
      <c r="J107" s="44">
        <v>0.05</v>
      </c>
    </row>
    <row r="108" spans="2:10" ht="14" x14ac:dyDescent="0.3">
      <c r="B108" s="4" t="s">
        <v>188</v>
      </c>
      <c r="F108" s="44">
        <v>0.06</v>
      </c>
      <c r="G108" s="44">
        <v>0.06</v>
      </c>
      <c r="H108" s="44">
        <v>0.06</v>
      </c>
      <c r="I108" s="44">
        <v>7.0000000000000007E-2</v>
      </c>
      <c r="J108" s="44">
        <v>7.0000000000000007E-2</v>
      </c>
    </row>
    <row r="109" spans="2:10" ht="14" x14ac:dyDescent="0.3">
      <c r="B109" s="4" t="s">
        <v>189</v>
      </c>
      <c r="F109" s="44">
        <v>0.04</v>
      </c>
      <c r="G109" s="44">
        <v>0.04</v>
      </c>
      <c r="H109" s="44">
        <v>0.04</v>
      </c>
      <c r="I109" s="44">
        <v>0.04</v>
      </c>
      <c r="J109" s="44">
        <v>0.04</v>
      </c>
    </row>
    <row r="110" spans="2:10" ht="14" x14ac:dyDescent="0.3">
      <c r="B110" s="4" t="s">
        <v>190</v>
      </c>
      <c r="F110" s="44">
        <v>0.03</v>
      </c>
      <c r="G110" s="44">
        <v>0.03</v>
      </c>
      <c r="H110" s="44">
        <v>0.03</v>
      </c>
      <c r="I110" s="44">
        <v>0.03</v>
      </c>
      <c r="J110" s="44">
        <v>0.03</v>
      </c>
    </row>
    <row r="111" spans="2:10" ht="14" x14ac:dyDescent="0.3">
      <c r="B111" s="4" t="s">
        <v>191</v>
      </c>
      <c r="F111" s="44">
        <v>0.02</v>
      </c>
      <c r="G111" s="44">
        <v>0.02</v>
      </c>
      <c r="H111" s="44">
        <v>0.02</v>
      </c>
      <c r="I111" s="44">
        <v>0.02</v>
      </c>
      <c r="J111" s="44">
        <v>0.02</v>
      </c>
    </row>
    <row r="114" spans="2:10" ht="14" x14ac:dyDescent="0.3">
      <c r="B114" s="45" t="s">
        <v>201</v>
      </c>
      <c r="C114" s="46"/>
      <c r="D114" s="46"/>
      <c r="E114" s="46"/>
      <c r="F114" s="46"/>
      <c r="G114" s="46"/>
      <c r="H114" s="46"/>
      <c r="I114" s="46"/>
      <c r="J114" s="46"/>
    </row>
    <row r="115" spans="2:10" ht="14" x14ac:dyDescent="0.3">
      <c r="F115" s="43" t="s">
        <v>87</v>
      </c>
      <c r="G115" s="43" t="s">
        <v>88</v>
      </c>
      <c r="H115" s="43" t="s">
        <v>89</v>
      </c>
      <c r="I115" s="43" t="s">
        <v>90</v>
      </c>
      <c r="J115" s="43" t="s">
        <v>91</v>
      </c>
    </row>
    <row r="116" spans="2:10" ht="14" x14ac:dyDescent="0.3">
      <c r="B116" s="3" t="s">
        <v>93</v>
      </c>
    </row>
    <row r="117" spans="2:10" ht="14" x14ac:dyDescent="0.3">
      <c r="B117" s="4" t="s">
        <v>85</v>
      </c>
      <c r="F117" s="44">
        <v>0.06</v>
      </c>
      <c r="G117" s="44">
        <v>0.06</v>
      </c>
      <c r="H117" s="44">
        <v>0.06</v>
      </c>
      <c r="I117" s="44">
        <v>0.06</v>
      </c>
      <c r="J117" s="44">
        <v>0.06</v>
      </c>
    </row>
    <row r="118" spans="2:10" ht="14" x14ac:dyDescent="0.3">
      <c r="B118" s="4" t="s">
        <v>188</v>
      </c>
      <c r="F118" s="44">
        <v>0.06</v>
      </c>
      <c r="G118" s="44">
        <v>0.06</v>
      </c>
      <c r="H118" s="44">
        <v>0.06</v>
      </c>
      <c r="I118" s="44">
        <v>0.06</v>
      </c>
      <c r="J118" s="44">
        <v>0.06</v>
      </c>
    </row>
    <row r="119" spans="2:10" ht="14" x14ac:dyDescent="0.3">
      <c r="B119" s="4" t="s">
        <v>189</v>
      </c>
      <c r="F119" s="44">
        <v>0.06</v>
      </c>
      <c r="G119" s="44">
        <v>0.06</v>
      </c>
      <c r="H119" s="44">
        <v>0.06</v>
      </c>
      <c r="I119" s="44">
        <v>0.06</v>
      </c>
      <c r="J119" s="44">
        <v>0.06</v>
      </c>
    </row>
    <row r="120" spans="2:10" ht="14" x14ac:dyDescent="0.3">
      <c r="B120" s="4" t="s">
        <v>190</v>
      </c>
      <c r="F120" s="44">
        <v>7.0000000000000007E-2</v>
      </c>
      <c r="G120" s="44">
        <v>7.0000000000000007E-2</v>
      </c>
      <c r="H120" s="44">
        <v>7.0000000000000007E-2</v>
      </c>
      <c r="I120" s="44">
        <v>7.0000000000000007E-2</v>
      </c>
      <c r="J120" s="44">
        <v>7.0000000000000007E-2</v>
      </c>
    </row>
    <row r="121" spans="2:10" ht="14" x14ac:dyDescent="0.3">
      <c r="B121" s="4" t="s">
        <v>191</v>
      </c>
      <c r="F121" s="44">
        <v>0.08</v>
      </c>
      <c r="G121" s="44">
        <v>0.08</v>
      </c>
      <c r="H121" s="44">
        <v>0.08</v>
      </c>
      <c r="I121" s="44">
        <v>0.08</v>
      </c>
      <c r="J121" s="44">
        <v>0.08</v>
      </c>
    </row>
    <row r="123" spans="2:10" ht="14" x14ac:dyDescent="0.3">
      <c r="B123" s="3" t="s">
        <v>120</v>
      </c>
    </row>
    <row r="124" spans="2:10" ht="14" x14ac:dyDescent="0.3">
      <c r="B124" s="4" t="s">
        <v>85</v>
      </c>
      <c r="F124" s="44">
        <v>-7.0000000000000007E-2</v>
      </c>
      <c r="G124" s="44">
        <v>-7.0000000000000007E-2</v>
      </c>
      <c r="H124" s="44">
        <v>-7.0000000000000007E-2</v>
      </c>
      <c r="I124" s="44">
        <v>-7.0000000000000007E-2</v>
      </c>
      <c r="J124" s="44">
        <v>-7.0000000000000007E-2</v>
      </c>
    </row>
    <row r="125" spans="2:10" ht="14" x14ac:dyDescent="0.3">
      <c r="B125" s="4" t="s">
        <v>188</v>
      </c>
      <c r="F125" s="44">
        <v>-7.0000000000000007E-2</v>
      </c>
      <c r="G125" s="44">
        <v>-7.0000000000000007E-2</v>
      </c>
      <c r="H125" s="44">
        <v>-7.0000000000000007E-2</v>
      </c>
      <c r="I125" s="44">
        <v>-7.0000000000000007E-2</v>
      </c>
      <c r="J125" s="44">
        <v>-7.0000000000000007E-2</v>
      </c>
    </row>
    <row r="126" spans="2:10" ht="14" x14ac:dyDescent="0.3">
      <c r="B126" s="4" t="s">
        <v>189</v>
      </c>
      <c r="F126" s="44">
        <v>-7.0000000000000007E-2</v>
      </c>
      <c r="G126" s="44">
        <v>-7.0000000000000007E-2</v>
      </c>
      <c r="H126" s="44">
        <v>-7.0000000000000007E-2</v>
      </c>
      <c r="I126" s="44">
        <v>-7.0000000000000007E-2</v>
      </c>
      <c r="J126" s="44">
        <v>-7.0000000000000007E-2</v>
      </c>
    </row>
    <row r="127" spans="2:10" ht="14" x14ac:dyDescent="0.3">
      <c r="B127" s="4" t="s">
        <v>190</v>
      </c>
      <c r="F127" s="44">
        <v>-7.0000000000000007E-2</v>
      </c>
      <c r="G127" s="44">
        <v>-7.0000000000000007E-2</v>
      </c>
      <c r="H127" s="44">
        <v>-7.0000000000000007E-2</v>
      </c>
      <c r="I127" s="44">
        <v>-7.0000000000000007E-2</v>
      </c>
      <c r="J127" s="44">
        <v>-7.0000000000000007E-2</v>
      </c>
    </row>
    <row r="128" spans="2:10" ht="14" x14ac:dyDescent="0.3">
      <c r="B128" s="4" t="s">
        <v>191</v>
      </c>
      <c r="F128" s="44">
        <v>-7.0000000000000007E-2</v>
      </c>
      <c r="G128" s="44">
        <v>-7.0000000000000007E-2</v>
      </c>
      <c r="H128" s="44">
        <v>-7.0000000000000007E-2</v>
      </c>
      <c r="I128" s="44">
        <v>-7.0000000000000007E-2</v>
      </c>
      <c r="J128" s="44">
        <v>-7.0000000000000007E-2</v>
      </c>
    </row>
  </sheetData>
  <phoneticPr fontId="9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4B0082"/>
  </sheetPr>
  <dimension ref="B2:J32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3" x14ac:dyDescent="0.2"/>
  <cols>
    <col min="1" max="1" width="3" customWidth="1"/>
    <col min="2" max="2" width="34" customWidth="1"/>
    <col min="3" max="10" width="16" customWidth="1"/>
  </cols>
  <sheetData>
    <row r="2" spans="2:10" ht="18" x14ac:dyDescent="0.4">
      <c r="B2" s="2" t="s">
        <v>202</v>
      </c>
    </row>
    <row r="4" spans="2:10" ht="14" x14ac:dyDescent="0.3">
      <c r="C4" s="10" t="s">
        <v>37</v>
      </c>
      <c r="D4" s="10" t="s">
        <v>38</v>
      </c>
      <c r="E4" s="10" t="s">
        <v>170</v>
      </c>
      <c r="F4" s="10" t="s">
        <v>87</v>
      </c>
      <c r="G4" s="10" t="s">
        <v>88</v>
      </c>
      <c r="H4" s="10" t="s">
        <v>89</v>
      </c>
      <c r="I4" s="10" t="s">
        <v>90</v>
      </c>
      <c r="J4" s="10" t="s">
        <v>91</v>
      </c>
    </row>
    <row r="5" spans="2:10" ht="14" x14ac:dyDescent="0.3">
      <c r="B5" s="8" t="s">
        <v>203</v>
      </c>
      <c r="C5" s="9"/>
      <c r="D5" s="9"/>
      <c r="E5" s="9"/>
      <c r="F5" s="9"/>
      <c r="G5" s="9"/>
      <c r="H5" s="9"/>
      <c r="I5" s="9"/>
      <c r="J5" s="9"/>
    </row>
    <row r="6" spans="2:10" ht="14" x14ac:dyDescent="0.3">
      <c r="B6" s="4" t="s">
        <v>204</v>
      </c>
      <c r="C6" s="28" t="s">
        <v>121</v>
      </c>
      <c r="D6" s="28" t="s">
        <v>121</v>
      </c>
      <c r="E6" s="29">
        <v>15343</v>
      </c>
      <c r="F6" s="29">
        <v>12094</v>
      </c>
      <c r="G6" s="29">
        <f>F9</f>
        <v>11094</v>
      </c>
      <c r="H6" s="29">
        <f>G9</f>
        <v>10094</v>
      </c>
      <c r="I6" s="29">
        <f>H9</f>
        <v>9094</v>
      </c>
      <c r="J6" s="29">
        <f>I9</f>
        <v>8094</v>
      </c>
    </row>
    <row r="7" spans="2:10" ht="14" x14ac:dyDescent="0.3">
      <c r="B7" s="4" t="s">
        <v>205</v>
      </c>
      <c r="C7" s="28" t="s">
        <v>121</v>
      </c>
      <c r="D7" s="29">
        <v>14662</v>
      </c>
      <c r="E7" s="29">
        <v>6594</v>
      </c>
      <c r="F7" s="47">
        <v>10000</v>
      </c>
      <c r="G7" s="47">
        <v>11500</v>
      </c>
      <c r="H7" s="47">
        <v>12500</v>
      </c>
      <c r="I7" s="47">
        <v>13000</v>
      </c>
      <c r="J7" s="47">
        <v>13500</v>
      </c>
    </row>
    <row r="8" spans="2:10" ht="14" x14ac:dyDescent="0.3">
      <c r="B8" s="4" t="s">
        <v>206</v>
      </c>
      <c r="C8" s="29">
        <v>7464</v>
      </c>
      <c r="D8" s="29">
        <v>6349</v>
      </c>
      <c r="E8" s="29">
        <v>9843</v>
      </c>
      <c r="F8" s="47">
        <v>11000</v>
      </c>
      <c r="G8" s="47">
        <v>12500</v>
      </c>
      <c r="H8" s="47">
        <v>13500</v>
      </c>
      <c r="I8" s="47">
        <v>14000</v>
      </c>
      <c r="J8" s="47">
        <v>14500</v>
      </c>
    </row>
    <row r="9" spans="2:10" ht="14" x14ac:dyDescent="0.3">
      <c r="B9" s="4" t="s">
        <v>207</v>
      </c>
      <c r="C9" s="28" t="s">
        <v>121</v>
      </c>
      <c r="D9" s="20">
        <v>15343</v>
      </c>
      <c r="E9" s="20">
        <v>12094</v>
      </c>
      <c r="F9" s="20">
        <f>F6+F7-F8</f>
        <v>11094</v>
      </c>
      <c r="G9" s="20">
        <f>G6+G7-G8</f>
        <v>10094</v>
      </c>
      <c r="H9" s="20">
        <f>H6+H7-H8</f>
        <v>9094</v>
      </c>
      <c r="I9" s="20">
        <f>I6+I7-I8</f>
        <v>8094</v>
      </c>
      <c r="J9" s="20">
        <f>J6+J7-J8</f>
        <v>7094</v>
      </c>
    </row>
    <row r="10" spans="2:10" ht="14" x14ac:dyDescent="0.3">
      <c r="B10" s="37" t="s">
        <v>208</v>
      </c>
      <c r="C10" s="48" t="str">
        <f t="shared" ref="C10:J10" si="0">IFERROR(C7/C8,"—")</f>
        <v>—</v>
      </c>
      <c r="D10" s="48">
        <f t="shared" si="0"/>
        <v>2.3093400535517405</v>
      </c>
      <c r="E10" s="48">
        <f t="shared" si="0"/>
        <v>0.66991770801584882</v>
      </c>
      <c r="F10" s="48">
        <f t="shared" si="0"/>
        <v>0.90909090909090906</v>
      </c>
      <c r="G10" s="48">
        <f t="shared" si="0"/>
        <v>0.92</v>
      </c>
      <c r="H10" s="48">
        <f t="shared" si="0"/>
        <v>0.92592592592592593</v>
      </c>
      <c r="I10" s="48">
        <f t="shared" si="0"/>
        <v>0.9285714285714286</v>
      </c>
      <c r="J10" s="48">
        <f t="shared" si="0"/>
        <v>0.93103448275862066</v>
      </c>
    </row>
    <row r="12" spans="2:10" ht="14" x14ac:dyDescent="0.3">
      <c r="B12" s="8" t="s">
        <v>209</v>
      </c>
      <c r="C12" s="9"/>
      <c r="D12" s="9"/>
      <c r="E12" s="9"/>
      <c r="F12" s="9"/>
      <c r="G12" s="9"/>
      <c r="H12" s="9"/>
      <c r="I12" s="9"/>
      <c r="J12" s="9"/>
    </row>
    <row r="13" spans="2:10" ht="14" x14ac:dyDescent="0.3">
      <c r="B13" s="4" t="s">
        <v>204</v>
      </c>
      <c r="C13" s="28" t="s">
        <v>121</v>
      </c>
      <c r="D13" s="28" t="s">
        <v>121</v>
      </c>
      <c r="E13" s="29">
        <v>7093</v>
      </c>
      <c r="F13" s="29">
        <v>5279</v>
      </c>
      <c r="G13" s="29">
        <f>F16</f>
        <v>5779</v>
      </c>
      <c r="H13" s="29">
        <f>G16</f>
        <v>6279</v>
      </c>
      <c r="I13" s="29">
        <f>H16</f>
        <v>6779</v>
      </c>
      <c r="J13" s="29">
        <f>I16</f>
        <v>6779</v>
      </c>
    </row>
    <row r="14" spans="2:10" ht="14" x14ac:dyDescent="0.3">
      <c r="B14" s="4" t="s">
        <v>205</v>
      </c>
      <c r="C14" s="28" t="s">
        <v>121</v>
      </c>
      <c r="D14" s="29">
        <v>1835</v>
      </c>
      <c r="E14" s="29">
        <v>3349</v>
      </c>
      <c r="F14" s="47">
        <v>7000</v>
      </c>
      <c r="G14" s="47">
        <v>8000</v>
      </c>
      <c r="H14" s="47">
        <v>9000</v>
      </c>
      <c r="I14" s="47">
        <v>9500</v>
      </c>
      <c r="J14" s="47">
        <v>10000</v>
      </c>
    </row>
    <row r="15" spans="2:10" ht="14" x14ac:dyDescent="0.3">
      <c r="B15" s="4" t="s">
        <v>206</v>
      </c>
      <c r="C15" s="28" t="s">
        <v>121</v>
      </c>
      <c r="D15" s="29">
        <v>4388</v>
      </c>
      <c r="E15" s="29">
        <v>5164</v>
      </c>
      <c r="F15" s="47">
        <v>6500</v>
      </c>
      <c r="G15" s="47">
        <v>7500</v>
      </c>
      <c r="H15" s="47">
        <v>8500</v>
      </c>
      <c r="I15" s="47">
        <v>9500</v>
      </c>
      <c r="J15" s="47">
        <v>10000</v>
      </c>
    </row>
    <row r="16" spans="2:10" ht="14" x14ac:dyDescent="0.3">
      <c r="B16" s="4" t="s">
        <v>207</v>
      </c>
      <c r="C16" s="28" t="s">
        <v>121</v>
      </c>
      <c r="D16" s="20">
        <v>7093</v>
      </c>
      <c r="E16" s="20">
        <v>5279</v>
      </c>
      <c r="F16" s="20">
        <f>F13+F14-F15</f>
        <v>5779</v>
      </c>
      <c r="G16" s="20">
        <f>G13+G14-G15</f>
        <v>6279</v>
      </c>
      <c r="H16" s="20">
        <f>H13+H14-H15</f>
        <v>6779</v>
      </c>
      <c r="I16" s="20">
        <f>I13+I14-I15</f>
        <v>6779</v>
      </c>
      <c r="J16" s="20">
        <f>J13+J14-J15</f>
        <v>6779</v>
      </c>
    </row>
    <row r="17" spans="2:10" ht="14" x14ac:dyDescent="0.3">
      <c r="B17" s="37" t="s">
        <v>208</v>
      </c>
      <c r="C17" s="48" t="str">
        <f t="shared" ref="C17:J17" si="1">IFERROR(C14/C15,"—")</f>
        <v>—</v>
      </c>
      <c r="D17" s="48">
        <f t="shared" si="1"/>
        <v>0.41818596171376482</v>
      </c>
      <c r="E17" s="48">
        <f t="shared" si="1"/>
        <v>0.6485282726568552</v>
      </c>
      <c r="F17" s="48">
        <f t="shared" si="1"/>
        <v>1.0769230769230769</v>
      </c>
      <c r="G17" s="48">
        <f t="shared" si="1"/>
        <v>1.0666666666666667</v>
      </c>
      <c r="H17" s="48">
        <f t="shared" si="1"/>
        <v>1.0588235294117647</v>
      </c>
      <c r="I17" s="48">
        <f t="shared" si="1"/>
        <v>1</v>
      </c>
      <c r="J17" s="48">
        <f t="shared" si="1"/>
        <v>1</v>
      </c>
    </row>
    <row r="19" spans="2:10" ht="14" x14ac:dyDescent="0.3">
      <c r="B19" s="8" t="s">
        <v>210</v>
      </c>
      <c r="C19" s="9"/>
      <c r="D19" s="9"/>
      <c r="E19" s="9"/>
      <c r="F19" s="9"/>
      <c r="G19" s="9"/>
      <c r="H19" s="9"/>
      <c r="I19" s="9"/>
      <c r="J19" s="9"/>
    </row>
    <row r="20" spans="2:10" ht="14" x14ac:dyDescent="0.3">
      <c r="B20" s="4" t="s">
        <v>204</v>
      </c>
      <c r="C20" s="28" t="s">
        <v>121</v>
      </c>
      <c r="D20" s="28" t="s">
        <v>121</v>
      </c>
      <c r="E20" s="29">
        <v>7883</v>
      </c>
      <c r="F20" s="29">
        <v>5715</v>
      </c>
      <c r="G20" s="29">
        <f>F23</f>
        <v>3415</v>
      </c>
      <c r="H20" s="29">
        <f>G23</f>
        <v>2415</v>
      </c>
      <c r="I20" s="29">
        <f>H23</f>
        <v>2415</v>
      </c>
      <c r="J20" s="29">
        <f>I23</f>
        <v>2915</v>
      </c>
    </row>
    <row r="21" spans="2:10" ht="14" x14ac:dyDescent="0.3">
      <c r="B21" s="4" t="s">
        <v>205</v>
      </c>
      <c r="C21" s="28" t="s">
        <v>121</v>
      </c>
      <c r="D21" s="29">
        <v>5963</v>
      </c>
      <c r="E21" s="29">
        <v>3025</v>
      </c>
      <c r="F21" s="47">
        <v>1500</v>
      </c>
      <c r="G21" s="47">
        <v>2500</v>
      </c>
      <c r="H21" s="47">
        <v>3500</v>
      </c>
      <c r="I21" s="47">
        <v>4500</v>
      </c>
      <c r="J21" s="47">
        <v>5000</v>
      </c>
    </row>
    <row r="22" spans="2:10" ht="14" x14ac:dyDescent="0.3">
      <c r="B22" s="4" t="s">
        <v>206</v>
      </c>
      <c r="C22" s="28" t="s">
        <v>121</v>
      </c>
      <c r="D22" s="29">
        <v>5206</v>
      </c>
      <c r="E22" s="29">
        <v>5193</v>
      </c>
      <c r="F22" s="47">
        <v>3800</v>
      </c>
      <c r="G22" s="47">
        <v>3500</v>
      </c>
      <c r="H22" s="47">
        <v>3500</v>
      </c>
      <c r="I22" s="47">
        <v>4000</v>
      </c>
      <c r="J22" s="47">
        <v>4500</v>
      </c>
    </row>
    <row r="23" spans="2:10" ht="14" x14ac:dyDescent="0.3">
      <c r="B23" s="4" t="s">
        <v>207</v>
      </c>
      <c r="C23" s="28" t="s">
        <v>121</v>
      </c>
      <c r="D23" s="20">
        <v>7883</v>
      </c>
      <c r="E23" s="20">
        <v>5715</v>
      </c>
      <c r="F23" s="20">
        <f>F20+F21-F22</f>
        <v>3415</v>
      </c>
      <c r="G23" s="20">
        <f>G20+G21-G22</f>
        <v>2415</v>
      </c>
      <c r="H23" s="20">
        <f>H20+H21-H22</f>
        <v>2415</v>
      </c>
      <c r="I23" s="20">
        <f>I20+I21-I22</f>
        <v>2915</v>
      </c>
      <c r="J23" s="20">
        <f>J20+J21-J22</f>
        <v>3415</v>
      </c>
    </row>
    <row r="24" spans="2:10" ht="14" x14ac:dyDescent="0.3">
      <c r="B24" s="37" t="s">
        <v>208</v>
      </c>
      <c r="C24" s="48" t="str">
        <f t="shared" ref="C24:J24" si="2">IFERROR(C21/C22,"—")</f>
        <v>—</v>
      </c>
      <c r="D24" s="48">
        <f t="shared" si="2"/>
        <v>1.1454091432961966</v>
      </c>
      <c r="E24" s="48">
        <f t="shared" si="2"/>
        <v>0.58251492393606774</v>
      </c>
      <c r="F24" s="48">
        <f t="shared" si="2"/>
        <v>0.39473684210526316</v>
      </c>
      <c r="G24" s="48">
        <f t="shared" si="2"/>
        <v>0.7142857142857143</v>
      </c>
      <c r="H24" s="48">
        <f t="shared" si="2"/>
        <v>1</v>
      </c>
      <c r="I24" s="48">
        <f t="shared" si="2"/>
        <v>1.125</v>
      </c>
      <c r="J24" s="48">
        <f t="shared" si="2"/>
        <v>1.1111111111111112</v>
      </c>
    </row>
    <row r="26" spans="2:10" ht="14" x14ac:dyDescent="0.3">
      <c r="B26" s="8" t="s">
        <v>211</v>
      </c>
      <c r="C26" s="9"/>
      <c r="D26" s="9"/>
      <c r="E26" s="9"/>
      <c r="F26" s="9"/>
      <c r="G26" s="9"/>
      <c r="H26" s="9"/>
      <c r="I26" s="9"/>
      <c r="J26" s="9"/>
    </row>
    <row r="27" spans="2:10" ht="14" x14ac:dyDescent="0.3">
      <c r="B27" s="4" t="s">
        <v>212</v>
      </c>
      <c r="C27" s="28" t="s">
        <v>121</v>
      </c>
      <c r="D27" s="29">
        <v>1999</v>
      </c>
      <c r="E27" s="29">
        <v>389</v>
      </c>
      <c r="F27" s="47">
        <v>500</v>
      </c>
      <c r="G27" s="47">
        <v>600</v>
      </c>
      <c r="H27" s="47">
        <v>700</v>
      </c>
      <c r="I27" s="47">
        <v>800</v>
      </c>
      <c r="J27" s="47">
        <v>850</v>
      </c>
    </row>
    <row r="28" spans="2:10" ht="14" x14ac:dyDescent="0.3">
      <c r="B28" s="37" t="s">
        <v>213</v>
      </c>
      <c r="C28" s="28" t="s">
        <v>121</v>
      </c>
      <c r="D28" s="27" t="str">
        <f t="shared" ref="D28:J28" si="3">IFERROR((D27-C27)/C27,"—")</f>
        <v>—</v>
      </c>
      <c r="E28" s="27">
        <f t="shared" si="3"/>
        <v>-0.80540270135067538</v>
      </c>
      <c r="F28" s="27">
        <f t="shared" si="3"/>
        <v>0.28534704370179947</v>
      </c>
      <c r="G28" s="27">
        <f t="shared" si="3"/>
        <v>0.2</v>
      </c>
      <c r="H28" s="27">
        <f t="shared" si="3"/>
        <v>0.16666666666666666</v>
      </c>
      <c r="I28" s="27">
        <f t="shared" si="3"/>
        <v>0.14285714285714285</v>
      </c>
      <c r="J28" s="27">
        <f t="shared" si="3"/>
        <v>6.25E-2</v>
      </c>
    </row>
    <row r="30" spans="2:10" ht="14" x14ac:dyDescent="0.3">
      <c r="B30" s="8" t="s">
        <v>214</v>
      </c>
      <c r="C30" s="9"/>
      <c r="D30" s="9"/>
      <c r="E30" s="9"/>
      <c r="F30" s="9"/>
      <c r="G30" s="9"/>
      <c r="H30" s="9"/>
      <c r="I30" s="9"/>
      <c r="J30" s="9"/>
    </row>
    <row r="31" spans="2:10" ht="14" x14ac:dyDescent="0.3">
      <c r="B31" s="4" t="s">
        <v>212</v>
      </c>
      <c r="C31" s="28" t="s">
        <v>121</v>
      </c>
      <c r="D31" s="29">
        <v>1301</v>
      </c>
      <c r="E31" s="29">
        <v>990</v>
      </c>
      <c r="F31" s="47">
        <v>700</v>
      </c>
      <c r="G31" s="47">
        <v>700</v>
      </c>
      <c r="H31" s="47">
        <v>700</v>
      </c>
      <c r="I31" s="47">
        <v>700</v>
      </c>
      <c r="J31" s="47">
        <v>700</v>
      </c>
    </row>
    <row r="32" spans="2:10" ht="14" x14ac:dyDescent="0.3">
      <c r="B32" s="37" t="s">
        <v>213</v>
      </c>
      <c r="C32" s="28" t="s">
        <v>121</v>
      </c>
      <c r="D32" s="27" t="str">
        <f t="shared" ref="D32:J32" si="4">IFERROR((D31-C31)/C31,"—")</f>
        <v>—</v>
      </c>
      <c r="E32" s="27">
        <f t="shared" si="4"/>
        <v>-0.23904688700999233</v>
      </c>
      <c r="F32" s="27">
        <f t="shared" si="4"/>
        <v>-0.29292929292929293</v>
      </c>
      <c r="G32" s="27">
        <f t="shared" si="4"/>
        <v>0</v>
      </c>
      <c r="H32" s="27">
        <f t="shared" si="4"/>
        <v>0</v>
      </c>
      <c r="I32" s="27">
        <f t="shared" si="4"/>
        <v>0</v>
      </c>
      <c r="J32" s="27">
        <f t="shared" si="4"/>
        <v>0</v>
      </c>
    </row>
  </sheetData>
  <phoneticPr fontId="9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Executive Summary</vt:lpstr>
      <vt:lpstr>Financial Statements</vt:lpstr>
      <vt:lpstr>DCF Model</vt:lpstr>
      <vt:lpstr>NWC Schedule</vt:lpstr>
      <vt:lpstr>Comps Analysis</vt:lpstr>
      <vt:lpstr>Sensitivity Analysis</vt:lpstr>
      <vt:lpstr>Segment Analysis</vt:lpstr>
      <vt:lpstr>Driver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良亮 佐藤</cp:lastModifiedBy>
  <dcterms:created xsi:type="dcterms:W3CDTF">2026-03-22T12:09:59Z</dcterms:created>
  <dcterms:modified xsi:type="dcterms:W3CDTF">2026-03-22T12:15:34Z</dcterms:modified>
</cp:coreProperties>
</file>