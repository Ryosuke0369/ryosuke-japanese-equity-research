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152327A-99A5-49B8-8FF5-E7593B0D64A7}"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H16" i="6"/>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E5" i="6" s="1"/>
  <c r="C16" i="5"/>
  <c r="C14" i="5"/>
  <c r="C18" i="5" s="1"/>
  <c r="C7" i="5"/>
  <c r="C6" i="5"/>
  <c r="C5" i="5"/>
  <c r="C13" i="4"/>
  <c r="C12" i="4"/>
  <c r="C9" i="4"/>
  <c r="C7" i="4"/>
  <c r="C6" i="4"/>
  <c r="C8" i="4" s="1"/>
  <c r="C10" i="4" s="1"/>
  <c r="D27" i="3"/>
  <c r="G5" i="5" s="1"/>
  <c r="C26" i="3"/>
  <c r="C3" i="7"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E36" i="4" l="1"/>
  <c r="E39" i="4" s="1"/>
  <c r="F16" i="6"/>
  <c r="C28" i="6" s="1"/>
  <c r="C19" i="1" s="1"/>
  <c r="D19" i="1" s="1"/>
  <c r="B25" i="1"/>
  <c r="G15" i="6"/>
  <c r="E46" i="3"/>
  <c r="B31" i="1"/>
  <c r="H15" i="6"/>
  <c r="I16" i="6"/>
  <c r="F15" i="6"/>
  <c r="E15" i="6"/>
  <c r="B13" i="7"/>
  <c r="B12" i="7"/>
  <c r="B11" i="7"/>
  <c r="B10" i="7"/>
  <c r="B9" i="7"/>
  <c r="B8" i="7"/>
  <c r="B7" i="7"/>
  <c r="B24" i="7"/>
  <c r="B23" i="7"/>
  <c r="B22" i="7"/>
  <c r="B21" i="7"/>
  <c r="B20" i="7"/>
  <c r="B19" i="7"/>
  <c r="B18" i="7"/>
  <c r="C70" i="4"/>
  <c r="C71" i="4"/>
  <c r="J5" i="6"/>
  <c r="K5" i="6"/>
  <c r="C31" i="3"/>
  <c r="F32" i="3"/>
  <c r="H36" i="4"/>
  <c r="E45" i="4"/>
  <c r="H5" i="5"/>
  <c r="D7" i="5"/>
  <c r="I15" i="6"/>
  <c r="E17" i="6"/>
  <c r="I6" i="7"/>
  <c r="E30" i="3"/>
  <c r="G6" i="5"/>
  <c r="D31" i="3"/>
  <c r="G32" i="3"/>
  <c r="E41" i="4"/>
  <c r="E51" i="4" s="1"/>
  <c r="E56" i="4" s="1"/>
  <c r="E7" i="5"/>
  <c r="L5" i="6"/>
  <c r="D16" i="6"/>
  <c r="F17" i="6"/>
  <c r="C17" i="7"/>
  <c r="E31" i="3"/>
  <c r="E38" i="4"/>
  <c r="D6" i="5"/>
  <c r="F7" i="5"/>
  <c r="M5" i="6"/>
  <c r="E16" i="6"/>
  <c r="G17" i="6"/>
  <c r="C6" i="7"/>
  <c r="D17" i="7"/>
  <c r="C30" i="3"/>
  <c r="C33" i="3" s="1"/>
  <c r="F31" i="3"/>
  <c r="C46" i="3"/>
  <c r="E44" i="4"/>
  <c r="E49" i="4" s="1"/>
  <c r="E54" i="4" s="1"/>
  <c r="E6" i="5"/>
  <c r="G7" i="5"/>
  <c r="D15" i="6"/>
  <c r="H17" i="6"/>
  <c r="D6" i="7"/>
  <c r="E17" i="7"/>
  <c r="D30" i="3"/>
  <c r="G31" i="3"/>
  <c r="D46" i="3"/>
  <c r="D36" i="4"/>
  <c r="E40" i="4"/>
  <c r="E50" i="4" s="1"/>
  <c r="E55" i="4" s="1"/>
  <c r="D5" i="5"/>
  <c r="F6" i="5"/>
  <c r="H7" i="5"/>
  <c r="G16" i="6"/>
  <c r="I17" i="6"/>
  <c r="E6" i="7"/>
  <c r="F17" i="7"/>
  <c r="C32" i="3"/>
  <c r="F6" i="7"/>
  <c r="G17" i="7"/>
  <c r="E46" i="4"/>
  <c r="E5" i="5"/>
  <c r="F30" i="3"/>
  <c r="D32" i="3"/>
  <c r="F46" i="3"/>
  <c r="F36" i="4"/>
  <c r="E43" i="4"/>
  <c r="F5" i="5"/>
  <c r="H6" i="5"/>
  <c r="G6" i="7"/>
  <c r="H17" i="7"/>
  <c r="G30" i="3"/>
  <c r="E32" i="3"/>
  <c r="G46" i="3"/>
  <c r="C11" i="4"/>
  <c r="C24" i="4" s="1"/>
  <c r="C25" i="4" s="1"/>
  <c r="G36" i="4"/>
  <c r="E48" i="4" l="1"/>
  <c r="E53" i="4" s="1"/>
  <c r="C29" i="4"/>
  <c r="C27" i="4"/>
  <c r="C26" i="4"/>
  <c r="B24" i="1"/>
  <c r="B29" i="1"/>
  <c r="G46" i="4"/>
  <c r="G40" i="4"/>
  <c r="G38" i="4"/>
  <c r="G41" i="4"/>
  <c r="G45" i="4"/>
  <c r="G39" i="4"/>
  <c r="G44" i="4"/>
  <c r="G43" i="4"/>
  <c r="C42" i="3"/>
  <c r="C34" i="3"/>
  <c r="D10" i="5" s="1"/>
  <c r="C37" i="3"/>
  <c r="D9" i="5"/>
  <c r="D12" i="5" s="1"/>
  <c r="C43" i="3"/>
  <c r="D33" i="3"/>
  <c r="F43" i="4"/>
  <c r="F46" i="4"/>
  <c r="F44" i="4"/>
  <c r="F38" i="4"/>
  <c r="F48" i="4" s="1"/>
  <c r="F53" i="4" s="1"/>
  <c r="F41" i="4"/>
  <c r="F45" i="4"/>
  <c r="F40" i="4"/>
  <c r="F50" i="4" s="1"/>
  <c r="F55" i="4" s="1"/>
  <c r="F39" i="4"/>
  <c r="D45" i="4"/>
  <c r="D39" i="4"/>
  <c r="D43" i="4"/>
  <c r="D46" i="4"/>
  <c r="D40" i="4"/>
  <c r="D44" i="4"/>
  <c r="D38" i="4"/>
  <c r="D41" i="4"/>
  <c r="H40" i="4"/>
  <c r="H44" i="4"/>
  <c r="H38" i="4"/>
  <c r="H41" i="4"/>
  <c r="H51" i="4" s="1"/>
  <c r="H56" i="4" s="1"/>
  <c r="H45" i="4"/>
  <c r="H39" i="4"/>
  <c r="H43" i="4"/>
  <c r="H46" i="4"/>
  <c r="C27" i="6"/>
  <c r="C18" i="1" s="1"/>
  <c r="D18" i="1" s="1"/>
  <c r="C74" i="4"/>
  <c r="G50" i="4" l="1"/>
  <c r="G55" i="4" s="1"/>
  <c r="H48" i="4"/>
  <c r="H53" i="4" s="1"/>
  <c r="D49" i="4"/>
  <c r="D54" i="4" s="1"/>
  <c r="H50" i="4"/>
  <c r="H55" i="4" s="1"/>
  <c r="D51" i="4"/>
  <c r="D56" i="4" s="1"/>
  <c r="C35" i="3"/>
  <c r="F49" i="4"/>
  <c r="D37" i="3"/>
  <c r="E9" i="5"/>
  <c r="E12" i="5" s="1"/>
  <c r="E33" i="3"/>
  <c r="D43" i="3"/>
  <c r="D42" i="3"/>
  <c r="D34" i="3"/>
  <c r="E10" i="5" s="1"/>
  <c r="D48" i="4"/>
  <c r="D53" i="4" s="1"/>
  <c r="G49" i="4"/>
  <c r="G54" i="4" s="1"/>
  <c r="H49" i="4"/>
  <c r="H54" i="4" s="1"/>
  <c r="D50" i="4"/>
  <c r="D55" i="4" s="1"/>
  <c r="F51" i="4"/>
  <c r="F56" i="4" s="1"/>
  <c r="G51" i="4"/>
  <c r="G56" i="4" s="1"/>
  <c r="G48" i="4"/>
  <c r="G53" i="4" s="1"/>
  <c r="D15" i="5"/>
  <c r="D16" i="5" s="1"/>
  <c r="D13" i="5"/>
  <c r="D14" i="5" s="1"/>
  <c r="D18" i="5" s="1"/>
  <c r="D19" i="5" s="1"/>
  <c r="C44" i="3" s="1"/>
  <c r="D35" i="3" l="1"/>
  <c r="D38" i="3"/>
  <c r="D36" i="3"/>
  <c r="D39" i="3"/>
  <c r="F9" i="5"/>
  <c r="F12" i="5" s="1"/>
  <c r="E43" i="3"/>
  <c r="F33" i="3"/>
  <c r="E42" i="3"/>
  <c r="E34" i="3"/>
  <c r="F10" i="5" s="1"/>
  <c r="E37" i="3"/>
  <c r="E13" i="5"/>
  <c r="E15" i="5"/>
  <c r="E16" i="5" s="1"/>
  <c r="E14" i="5"/>
  <c r="E18" i="5" s="1"/>
  <c r="E19" i="5" s="1"/>
  <c r="D44" i="3" s="1"/>
  <c r="F54" i="4"/>
  <c r="C60" i="4"/>
  <c r="B78" i="4"/>
  <c r="C38" i="3"/>
  <c r="C36" i="3"/>
  <c r="C39" i="3"/>
  <c r="F13" i="5" l="1"/>
  <c r="F15" i="5"/>
  <c r="F16" i="5" s="1"/>
  <c r="C65" i="4"/>
  <c r="D65" i="4" s="1"/>
  <c r="C64" i="4"/>
  <c r="D64" i="4" s="1"/>
  <c r="C67" i="4"/>
  <c r="D67" i="4" s="1"/>
  <c r="C63" i="4"/>
  <c r="D63" i="4" s="1"/>
  <c r="C66" i="4"/>
  <c r="D66" i="4" s="1"/>
  <c r="E35" i="3"/>
  <c r="F14" i="5"/>
  <c r="F43" i="3"/>
  <c r="F35" i="3"/>
  <c r="G33" i="3"/>
  <c r="F42" i="3"/>
  <c r="F34" i="3"/>
  <c r="G10" i="5" s="1"/>
  <c r="F37" i="3"/>
  <c r="G9" i="5"/>
  <c r="G12" i="5" s="1"/>
  <c r="C40" i="3"/>
  <c r="C41" i="3" s="1"/>
  <c r="C45" i="3" s="1"/>
  <c r="D40" i="3"/>
  <c r="D41" i="3"/>
  <c r="D45" i="3" s="1"/>
  <c r="D47" i="3" s="1"/>
  <c r="F18" i="5" l="1"/>
  <c r="F19" i="5" s="1"/>
  <c r="E44" i="3" s="1"/>
  <c r="C47" i="3"/>
  <c r="G42" i="3"/>
  <c r="G34" i="3"/>
  <c r="H10" i="5" s="1"/>
  <c r="C16" i="4"/>
  <c r="C28" i="4" s="1"/>
  <c r="G37" i="3"/>
  <c r="H9" i="5"/>
  <c r="H12" i="5" s="1"/>
  <c r="G43" i="3"/>
  <c r="G14" i="5"/>
  <c r="E36" i="3"/>
  <c r="E39" i="3"/>
  <c r="E38" i="3"/>
  <c r="F38" i="3"/>
  <c r="F36" i="3"/>
  <c r="F39" i="3"/>
  <c r="G13" i="5"/>
  <c r="G15" i="5"/>
  <c r="G16" i="5" s="1"/>
  <c r="H15" i="5" l="1"/>
  <c r="H16" i="5" s="1"/>
  <c r="H13" i="5"/>
  <c r="H14" i="5" s="1"/>
  <c r="H18" i="5" s="1"/>
  <c r="H19" i="5" s="1"/>
  <c r="G44" i="3" s="1"/>
  <c r="G18" i="5"/>
  <c r="G19" i="5" s="1"/>
  <c r="F44" i="3" s="1"/>
  <c r="G35" i="3"/>
  <c r="E40" i="3"/>
  <c r="E41" i="3" s="1"/>
  <c r="E45" i="3" s="1"/>
  <c r="C72" i="4"/>
  <c r="C73" i="4"/>
  <c r="F40" i="3"/>
  <c r="F41" i="3" s="1"/>
  <c r="F45" i="3" l="1"/>
  <c r="F47" i="3" s="1"/>
  <c r="E47" i="3"/>
  <c r="G38" i="3"/>
  <c r="G39" i="3"/>
  <c r="G36" i="3"/>
  <c r="C59" i="3" l="1"/>
  <c r="C60" i="3" s="1"/>
  <c r="C61" i="3" s="1"/>
  <c r="G40" i="3"/>
  <c r="G41" i="3" s="1"/>
  <c r="G45" i="3" s="1"/>
  <c r="C51" i="3" l="1"/>
  <c r="C52" i="3" s="1"/>
  <c r="G47" i="3"/>
  <c r="C50" i="3" s="1"/>
  <c r="C21" i="7"/>
  <c r="F24" i="7"/>
  <c r="F10" i="7"/>
  <c r="I11" i="7"/>
  <c r="F9" i="7"/>
  <c r="F19" i="7"/>
  <c r="H8" i="7"/>
  <c r="I13" i="7"/>
  <c r="I9" i="7"/>
  <c r="G13" i="7"/>
  <c r="F21" i="7"/>
  <c r="E7" i="7"/>
  <c r="H12" i="7"/>
  <c r="E19" i="7"/>
  <c r="G21" i="7"/>
  <c r="G24" i="7"/>
  <c r="F20" i="7"/>
  <c r="E9" i="7"/>
  <c r="E18" i="7"/>
  <c r="H22" i="7"/>
  <c r="C10" i="7"/>
  <c r="I19" i="7"/>
  <c r="F7" i="7"/>
  <c r="I12" i="7"/>
  <c r="F12" i="7"/>
  <c r="C23" i="7"/>
  <c r="G10" i="7"/>
  <c r="C20" i="7"/>
  <c r="G23" i="7"/>
  <c r="E13" i="7"/>
  <c r="G7" i="7"/>
  <c r="C22" i="7"/>
  <c r="E8" i="7"/>
  <c r="G20" i="7"/>
  <c r="I8" i="7"/>
  <c r="D7" i="7"/>
  <c r="E23" i="7"/>
  <c r="F23" i="7"/>
  <c r="I22" i="7"/>
  <c r="D10" i="7"/>
  <c r="C13" i="7"/>
  <c r="F8" i="7"/>
  <c r="I21" i="7"/>
  <c r="I23" i="7"/>
  <c r="D11" i="7"/>
  <c r="D9" i="7"/>
  <c r="H10" i="7"/>
  <c r="D20" i="7"/>
  <c r="D24" i="7"/>
  <c r="E10" i="7"/>
  <c r="I18" i="7"/>
  <c r="C12" i="7"/>
  <c r="D13" i="7"/>
  <c r="E24" i="7"/>
  <c r="F13" i="7"/>
  <c r="H21" i="7"/>
  <c r="H7" i="7"/>
  <c r="C18" i="7"/>
  <c r="D8" i="7"/>
  <c r="H23" i="7"/>
  <c r="I24" i="7"/>
  <c r="E11" i="7"/>
  <c r="C19" i="7"/>
  <c r="G18" i="7"/>
  <c r="D18" i="7"/>
  <c r="G11" i="7"/>
  <c r="D19" i="7"/>
  <c r="I7" i="7"/>
  <c r="C24" i="7"/>
  <c r="E12" i="7"/>
  <c r="E22" i="7"/>
  <c r="F18" i="7"/>
  <c r="H19" i="7"/>
  <c r="H11" i="7"/>
  <c r="D21" i="7"/>
  <c r="C7" i="7"/>
  <c r="H20" i="7"/>
  <c r="C8" i="7"/>
  <c r="I10" i="7"/>
  <c r="E20" i="7"/>
  <c r="H24" i="7"/>
  <c r="H13" i="7"/>
  <c r="D23" i="7"/>
  <c r="C9" i="7"/>
  <c r="G8" i="7"/>
  <c r="I20" i="7"/>
  <c r="G12" i="7"/>
  <c r="C11" i="7"/>
  <c r="D12" i="7"/>
  <c r="G9" i="7"/>
  <c r="F11" i="7"/>
  <c r="E21" i="7"/>
  <c r="G22" i="7"/>
  <c r="D22" i="7"/>
  <c r="G19" i="7"/>
  <c r="H18" i="7"/>
  <c r="H9" i="7"/>
  <c r="F22" i="7"/>
  <c r="C58" i="3" l="1"/>
  <c r="C62" i="3" s="1"/>
  <c r="C53" i="3"/>
  <c r="C16" i="1" l="1"/>
  <c r="C17" i="4"/>
  <c r="C54" i="3"/>
  <c r="C55" i="3" s="1"/>
  <c r="C63" i="3"/>
  <c r="C64" i="3" s="1"/>
  <c r="C17" i="1"/>
  <c r="D17" i="1" s="1"/>
  <c r="C19" i="4" l="1"/>
  <c r="C20" i="4" s="1"/>
  <c r="B79" i="4" s="1"/>
  <c r="C10" i="1"/>
  <c r="C21" i="1"/>
  <c r="D16" i="1"/>
  <c r="C12" i="1" l="1"/>
  <c r="C11" i="1" s="1"/>
  <c r="B30" i="1"/>
  <c r="B26" i="1"/>
</calcChain>
</file>

<file path=xl/sharedStrings.xml><?xml version="1.0" encoding="utf-8"?>
<sst xmlns="http://schemas.openxmlformats.org/spreadsheetml/2006/main" count="531" uniqueCount="403">
  <si>
    <t>DISCLAIMER: This is a sample analysis for demonstration purposes only. It does not constitute investment advice.</t>
  </si>
  <si>
    <t>三菱ケミカルグループ (4188.T)</t>
  </si>
  <si>
    <t>Equity Research Report</t>
  </si>
  <si>
    <t>Company</t>
  </si>
  <si>
    <t>三菱ケミカルグループ</t>
  </si>
  <si>
    <t>Ticker</t>
  </si>
  <si>
    <t>4188.T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</si>
  <si>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</si>
  <si>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</si>
  <si>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</si>
  <si>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</si>
  <si>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</si>
  <si>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</si>
  <si>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</si>
  <si>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</si>
  <si>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</si>
  <si>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</si>
  <si>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</si>
  <si>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</si>
  <si>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</si>
  <si>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</si>
  <si>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■本銘柄では Base シナリオの EV(1,357,000百万円)が net_debt(1,363,417百万円)を下回るため PGM(永久成長法)が INVALID となり、Target 688円 は Exit 法の単独値である(2本平均ではない)。</t>
  </si>
  <si>
    <t>DCF Valuation Range (PGM - Exit)</t>
  </si>
  <si>
    <t>Key Investment Thesis</t>
  </si>
  <si>
    <t>Key Risks</t>
  </si>
  <si>
    <t>三菱ケミカルグループ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</si>
  <si>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</si>
  <si>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</si>
  <si>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</si>
  <si>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</si>
  <si>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</si>
  <si>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</si>
  <si>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</si>
  <si>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</si>
  <si>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</si>
  <si>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</si>
  <si>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</si>
  <si>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</si>
  <si>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</si>
  <si>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</si>
  <si>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</si>
  <si>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</si>
  <si>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</si>
  <si>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</si>
  <si>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</si>
  <si>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</si>
  <si>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</si>
  <si>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</si>
  <si>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</si>
  <si>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</si>
  <si>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</si>
  <si>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</si>
  <si>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</si>
  <si>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</si>
  <si>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三菱ケミカルグループ</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</si>
  <si>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</si>
  <si>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</si>
  <si>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</si>
  <si>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</si>
  <si>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</si>
  <si>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</si>
  <si>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</si>
  <si>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</si>
  <si>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</si>
  <si>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</si>
  <si>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</si>
  <si>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</si>
  <si>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</si>
  <si>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</si>
  <si>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</si>
  <si>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</si>
  <si>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</si>
  <si>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</si>
  <si>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</si>
  <si>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</si>
  <si>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</si>
  <si>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</si>
  <si>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</si>
  <si>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</si>
  <si>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</si>
  <si>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</si>
  <si>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</si>
  <si>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</si>
  <si>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</si>
  <si>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</si>
  <si>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</si>
  <si>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</si>
  <si>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</si>
  <si>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</si>
  <si>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</si>
  <si>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</si>
  <si>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</si>
  <si>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</si>
  <si>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</si>
  <si>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</si>
  <si>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</si>
  <si>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</si>
  <si>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</si>
  <si>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</si>
  <si>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</si>
  <si>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</si>
  <si>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</si>
  <si>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</si>
  <si>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</si>
  <si>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</si>
  <si>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</si>
  <si>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</si>
  <si>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</si>
  <si>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</si>
  <si>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</si>
  <si>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</si>
  <si>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</si>
  <si>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</si>
  <si>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</si>
  <si>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</si>
  <si>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</si>
  <si>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</si>
  <si>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</si>
  <si>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三菱ケミカルグループ (4188.T)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</si>
  <si>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</si>
  <si>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</si>
  <si>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</si>
  <si>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</si>
  <si>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</si>
  <si>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</si>
  <si>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</si>
  <si>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</si>
  <si>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</si>
  <si>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(FY2024 actual)</t>
  </si>
  <si>
    <t>Terminal-year Revenue, active scenario (JPY mn)</t>
  </si>
  <si>
    <t>Base-case DCF Enterprise Value, PGM (JPY mn)</t>
  </si>
  <si>
    <t>Cycle-peak Operating Margin (FY2024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</si>
  <si>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</si>
  <si>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</si>
  <si>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</si>
  <si>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</si>
  <si>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</si>
  <si>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</si>
  <si>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</si>
  <si>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</si>
  <si>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</si>
  <si>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</si>
  <si>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</si>
  <si>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</si>
  <si>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</si>
  <si>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</si>
  <si>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</si>
  <si>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</si>
  <si>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</si>
  <si>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</si>
  <si>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</si>
  <si>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</si>
  <si>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</si>
  <si>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</si>
  <si>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</si>
  <si>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</si>
  <si>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</si>
  <si>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</si>
  <si>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</si>
  <si>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</si>
  <si>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</si>
  <si>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</si>
  <si>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</si>
  <si>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</si>
  <si>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</si>
  <si>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</si>
  <si>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</si>
  <si>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</si>
  <si>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</si>
  <si>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</si>
  <si>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三菱ケミカルグループ</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</si>
  <si>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</si>
  <si>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</si>
  <si>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</si>
  <si>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</si>
  <si>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</si>
  <si>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</si>
  <si>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</si>
  <si>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</si>
  <si>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</si>
  <si>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</si>
  <si>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</si>
  <si>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</si>
  <si>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</si>
  <si>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</si>
  <si>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</si>
  <si>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</si>
  <si>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</si>
  <si>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</si>
  <si>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</si>
  <si>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</si>
  <si>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</si>
  <si>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</si>
  <si>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</si>
  <si>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</si>
  <si>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</si>
  <si>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</si>
  <si>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</si>
  <si>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</si>
  <si>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</si>
  <si>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</si>
  <si>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</si>
  <si>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</si>
  <si>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</si>
  <si>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</si>
  <si>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Chemical Group Corporation</t>
  </si>
  <si>
    <t>4188.T</t>
  </si>
  <si>
    <t>Sumitomo Chemical Company, Limited</t>
  </si>
  <si>
    <t>4005.T</t>
  </si>
  <si>
    <t>Mitsui Chemicals, Inc.</t>
  </si>
  <si>
    <t>4183.T</t>
  </si>
  <si>
    <t>Asahi Kasei Corporation</t>
  </si>
  <si>
    <t>3407.T</t>
  </si>
  <si>
    <t>Nippon Sanso Holdings Corporation</t>
  </si>
  <si>
    <t>4091.T</t>
  </si>
  <si>
    <t>Kuraray Co., Ltd.</t>
  </si>
  <si>
    <t>3405.T</t>
  </si>
  <si>
    <t>Statistics</t>
  </si>
  <si>
    <t>25th Percentile</t>
  </si>
  <si>
    <t>Median (50th)</t>
  </si>
  <si>
    <t>75th Percentile</t>
  </si>
  <si>
    <t>Implied Valuation for 三菱ケミカルグループ</t>
  </si>
  <si>
    <t>三菱ケミカルグループ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</si>
  <si>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</si>
  <si>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</si>
  <si>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</si>
  <si>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</si>
  <si>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</si>
  <si>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</si>
  <si>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</si>
  <si>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</si>
  <si>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</si>
  <si>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</si>
  <si>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</si>
  <si>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</si>
  <si>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</si>
  <si>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</si>
  <si>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</si>
  <si>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三菱ケミカルグループ</t>
  </si>
  <si>
    <t>日付</t>
  </si>
  <si>
    <t>セル</t>
  </si>
  <si>
    <t>変更内容</t>
  </si>
  <si>
    <t>理由</t>
  </si>
  <si>
    <t>元の値</t>
  </si>
  <si>
    <t>状態</t>
  </si>
  <si>
    <t>2026-09-05</t>
  </si>
  <si>
    <t>-</t>
  </si>
  <si>
    <t>Generated by pipeline on 2026-09-05 14:48,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</si>
  <si>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</si>
  <si>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</si>
  <si>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</si>
  <si>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</si>
  <si>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</si>
  <si>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</si>
  <si>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</si>
  <si>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</si>
  <si>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</si>
  <si>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</si>
  <si>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</si>
  <si>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</si>
  <si>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</si>
  <si>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</si>
  <si>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1,681,400百万円。■テンプレートの自動規則(&gt;=1兆円 -&gt; 0.0%、&gt;=1,000億円 -&gt; 1.5%)とは異なる値であり、明示指定で上書きしている。</t>
  </si>
  <si>
    <t>テンプレ自動値</t>
  </si>
  <si>
    <t>DCF Model!C8</t>
  </si>
  <si>
    <t>Beta = 0.69</t>
  </si>
  <si>
    <t>yfinance実測 0.686 はテンプレのクランプ域 [0.6, 1.75] の**内側**のため素通し（クランプ・フォールバック1.0への置換は発動していない）。</t>
  </si>
  <si>
    <t>yfinance実測 0.686</t>
  </si>
  <si>
    <t>DCF Model!C6</t>
  </si>
  <si>
    <t>Effective Tax Rate = 25%</t>
  </si>
  <si>
    <t>バッチ共通の既定値(v2 §1-3)。当社の実績税負担率を個別に検証したものではない。</t>
  </si>
  <si>
    <t>テンプレ既定 30%</t>
  </si>
  <si>
    <t>推定</t>
  </si>
  <si>
    <t>DCF Model!C11</t>
  </si>
  <si>
    <t>After-tax Cost of Debt = 1.47%(実績ベース)</t>
  </si>
  <si>
    <t>支払利息 38,587百万円 ÷ 平均有利子負債 ((2,040,987 + 1,890,521)/2 = 1,965,754) = 1.96%(税引前)、× (1 − 25%) = 1.47%(validate チェック17 PASS)。■D/E 0.81 と負債比率が高く、Kd が WACC を Ke 7.95% から 5.33% へ 2.6pt 押し下げている。■マージナルコスト注記: 既存借入の平均コストであり新規調達の限界コストではない。格付けが下がれば借換コストは上昇する。■出所は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</si>
  <si>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</si>
  <si>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</si>
  <si>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</si>
  <si>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</si>
  <si>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</si>
  <si>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</si>
  <si>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</si>
  <si>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6.5x</t>
  </si>
  <si>
    <t>Peer 5社の実測EV/EBITDA中央値 6.54x（4005 6.09 / 4183 8.70 / 3407 6.54 / 4091 9.63 / 3405 5.12）。型Bのため §4-4 の Peer中央値上限は binding しない。 自社の現在倍率 10.03x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</si>
  <si>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</si>
  <si>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</si>
  <si>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型B(シクリカル・石化サイクル)として処理</t>
  </si>
  <si>
    <t>追補1 §B に従い、型判定の前に batch/prescreen.py で EDINET有報XBRL の金融事業専用科目(ForFinancialBusiness / Banking / Deposits / CallLoan / InstallmentReceivable 系)を機械チェックした。検出結果: **CLEAN**（docID S100YFSR。金融事業専用科目は1件も検出されず）。実績OPM 3.69 → 5.78 → 3.39 → **0.87%** と振れ、直近は観測窓の最低。NonOp/OP **−97.8%** は減損の常習を示す。</t>
  </si>
  <si>
    <t>Financial Statements / hist_* 系列</t>
  </si>
  <si>
    <t>hist_years を FY2023-FY2026 の4期に置換し P/L 5系列を yfinance連結財務諸表から供給</t>
  </si>
  <si>
    <t>【リトライ1回目・§3-2 の補完】初回生成は FAIL 1(Financial Statements!D16:F16 = #DIV/0!)。原因は EDINET が hist_years を9期で構築し、うち3期の営業利益を 0 で抽出していたこと。根本原因は scripts/generate_dcf.py:66 の _val(data_dict, key, default=0) が欠損値を None ではなく 0 に落とすこと(バッチ中はパイプラインを変更しない方針のため未修正)。対処: hist_years を FY2023-FY2026 の4期に置換し P/L 5系列を供給(配列長は全て4)。■hist_ocf / hist_cash / hist_debt / hist_capex / hist_depreciation は【供給していない】(Step 4.6 が会計年度キーで再マッピングする)。■hist_sga = 売上 - COGS - 営業利益 で逆算。</t>
  </si>
  <si>
    <t>EDINET自動抽出値(9期、うち3期の営業利益が破損)</t>
  </si>
  <si>
    <t>Executive Summary!C16(PGM)</t>
  </si>
  <si>
    <t>PGM = INVALID (EV &lt; net debt) として Target から自動除外</t>
  </si>
  <si>
    <t>Base シナリオの EV 1,357,000百万円 が net_debt 1,363,417百万円 をわずかに下回り、永久成長法では株式価値が負になる。テンプレのガードが INVALID ラベルを付けて Target 平均から除外した(validate チェック10・14 PASS)。結果として Target 688円 は Exit 法の単独値である。■メモ§2『負債過大な銘柄では EV&lt;ネットデットで株式価値が負になる: 表示は0下限(オプション価値)の注記を付ける』に該当する状態。**これは計算エラーではなく、当社の負債が事業価値をほぼ食い尽くしている実態を正しく表示したもの**。Base の到達OPM 3.33% をわずかに引き上げるだけで PGM は有効化するため、結論は前提に対して極めて敏感である。</t>
  </si>
  <si>
    <t>DCF Model!C5 / C18</t>
  </si>
  <si>
    <t>capex_method / da_method とも revenue_pct(capex 7.66% / D&amp;A 7.30%)</t>
  </si>
  <si>
    <t>実績は capex 6.1-8.2% / D&amp;A 5.8-7.3% で既に近接(直近 292,133 / 271,157 = 1.077倍)。ターミナル比率 1.049x でレンジ[0.90,1.15]内(validate チェック9 PASS)。direct 方式で明示パスを置く必要がない。</t>
  </si>
  <si>
    <t>DCF Model シナリオ5本</t>
  </si>
  <si>
    <t>実績OPM分布からの導出(min 0.87 / p25 2.76 / med 3.54 / p75 4.21 / max 5.78%)</t>
  </si>
  <si>
    <t>型Bのため §4-4 に従い Base 到達OPM = ピークとトラフの中間 = (5.78 + 0.87)/2 = 3.33%(Y1 1.6% -&gt; Y5 3.33%)。Upside は max(実績max 5.78, 直近+1.0pt = 1.87) = 5.78%(サイクルピークの再現)。Downside 1 は min(p25 2.76, 直近 0.87) = 0.87% を下回る 0.00%(営業利益ゼロ)。Downside 2 は営業赤字(-3.0〜0.0%)+売上-12%。SGA% は実績19.9-&gt;22.0%の直近水準22.0%を基準に調整し COGS% = 100% - OPM - SGA% で逆算。既存銘柄からの流用なし。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</si>
  <si>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</si>
  <si>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</si>
  <si>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</si>
  <si>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</si>
  <si>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</si>
  <si>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</si>
  <si>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68 / DIH 91 / DPO 54 日</t>
  </si>
  <si>
    <t>実績4期平均。</t>
  </si>
  <si>
    <t>Comps Analysis</t>
  </si>
  <si>
    <t>Peer 5社 = 4005 住友化学 / 4183 三井化学 / 3407 旭化成 / 4091 日本酸素HD / 3405 クラレ</t>
  </si>
  <si>
    <t>■選定理由: TSE33業種『化学』。■時価総額バンド: v2 §5 の 0.3〜3倍は 0.504〜5.04兆円で、**採用5社すべてがバンド内**（バンド緩和は不要）。■除外: 4063 信越化学（10.5兆円でバンド外）。海外Peer は v2 §5 により不使用。■年度混在の開示: **4183 三井化学の D&amp;A は FY2025/3 の値**（yfinance が FY2026/3 の CF計算書を未収録）。■D&amp;A取得状況: 全6社で減価償却費を取得でき統一。**D&amp;A欠損による除外はゼロ**（validate チェック12 PASS）。</t>
  </si>
  <si>
    <t>Executive Summary!C10 / Target</t>
  </si>
  <si>
    <t>Target Price = 688円 = PGM **INVALID (EV &lt; net debt)**円 と Exit 688円 の2本平均。Comps 2本(EV/EBITDA 429円 / PER 166円)は [参考・Target不算入]</t>
  </si>
  <si>
    <t>メモ§2 の規約どおり。validate チェック14 PASS(C10 が C16:C17 のみを平均)。■**PGM は INVALID（EV &lt; net debt）として Target 計算から自動除外された**（v2 §6 のチェック項目に該当）。Target 688円 = Exit 法の単独値であり、2本平均ではない。Base シナリオの EV 1,357,000百万円 が net_debt 1,363,417百万円 をわずかに下回るため、永久成長法では株式価値が負になる。**これは計算エラーではなく、負債が事業価値をほぼ食い尽くしている状態を正しく表示したもの**（メモ§2「表示は0下限＋注記」）。■Comps の PER 中央値ベース参考値 166円 も分母（純利益 11,829百万円）が歪んでおり [参考] 扱い。</t>
  </si>
  <si>
    <t>Executive Summary!B20(注記)</t>
  </si>
  <si>
    <t>テンプレの汎用注記に、本銘柄固有の除外内容を追記した（batch/annotate_exclusion.py による手修正）</t>
  </si>
  <si>
    <t>手順書v2 §6-4 は『Target Price の構成（どの手法を平均に入れ、どれを INVALID 除外したか）を Executive Summary の注記に残す』と定める。テンプレの既定注記は『EV&lt;ネットデットで株式価値が負になる手法は INVALID として平均から除外』という一般則を述べるのみで、**本銘柄でどの手法が実際に除外されたかを明示していなかった**（PER 除外のケースはテンプレが銘柄固有に明示するが、PGM の INVALID は明示しない）。追補2 §H の承認条件を満たすため、B20 に「Base の EV 1,357,000百万円 &lt; net_debt 1,363,417百万円 のため PGM が INVALID、Target 688円 は Exit 単独値」という一文を追記した。■追記は平文のみ（'=' 始まりはブック破損の原因になる — 手順書§5-5 / tasks/lessons.md）。追記後に recalc → validate を再実行し FAIL 0 を確認済み。■**テンプレ側の修正候補**: PGM/Exit が INVALID 化した場合も PER と同様に銘柄固有の注記を自動生成すべき（batch_report §6 に登録）。</t>
  </si>
  <si>
    <t>テンプレ既定の汎用注記のみ</t>
  </si>
  <si>
    <t>設計判断(手修正・記録済み)</t>
  </si>
  <si>
    <t>全体(納品状態)</t>
  </si>
  <si>
    <t>本ファイルは DRAFT。_FINAL は付けない</t>
  </si>
  <si>
    <t>バッチモードでの機械生成物であり人間の検証を経ていない。FINAL化は手順書v2 §6 に従い検証後に行う。</t>
  </si>
  <si>
    <t>DRAFT</t>
  </si>
  <si>
    <t>全体(未解決)</t>
  </si>
  <si>
    <t>**PGM が INVALID 化しており、結論が前提に対して極めて敏感**</t>
  </si>
  <si>
    <t>Base の EV 1,357,000百万円 は net_debt 1,363,417百万円 をわずか 6,417百万円 下回るだけである。Base の到達OPM を 3.33% から数十bp引き上げれば PGM は有効化し、Target は大きく動く。**この銘柄では Target の絶対値より「負債が事業価値とほぼ同額である」という事実の方が情報量が大きい**。</t>
  </si>
  <si>
    <t>未解決</t>
  </si>
  <si>
    <t>石化とヘルスケアの分離が未完了で、モデルの対象事業が確定していない</t>
  </si>
  <si>
    <t>ポートフォリオ分離が進めば売上構成・資本構成の両方が変わる。本モデルの WACC 5.33%（D/E 0.81 前提）は分離後の会社を表していない可能性が高い。</t>
  </si>
  <si>
    <t>純利益・税前利益が営業利益と大きく乖離（NonOp/OP −97.8%）</t>
  </si>
  <si>
    <t>Comps の PER 中央値ベース参考値 166円 は分母（純利益 11,829百万円）が歪んだ数値。減損の内訳確認が必要で、常習的であれば Downside 側の設計を見直すべきである。</t>
  </si>
  <si>
    <t>Pipeline Metadata (do not edit — read by scripts/validate_output.py)</t>
  </si>
  <si>
    <t>key</t>
  </si>
  <si>
    <t>value</t>
  </si>
  <si>
    <t>auto_log_entries</t>
  </si>
  <si>
    <t>1</t>
  </si>
  <si>
    <t>capex_pct_basis</t>
  </si>
  <si>
    <t>assumption</t>
  </si>
  <si>
    <t>capex_pct_c5</t>
  </si>
  <si>
    <t>0.0766</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</si>
  <si>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</si>
  <si>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</si>
  <si>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</si>
  <si>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</si>
  <si>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</si>
  <si>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</si>
  <si>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</si>
  <si>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</si>
  <si>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</si>
  <si>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</si>
  <si>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</si>
  <si>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</si>
  <si>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</si>
  <si>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</si>
  <si>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</si>
  <si>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</si>
  <si>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</si>
  <si>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</si>
  <si>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</si>
  <si>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</si>
  <si>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38,587 (expense 38,587 + fees 0) / avg debt 1,965,754 (debt_beginning/debt_ending) = 0.019630 pre-tax -&gt; 0.014700 after-tax</t>
  </si>
  <si>
    <t>cost_of_debt_at_c11</t>
  </si>
  <si>
    <t>0.0147</t>
  </si>
  <si>
    <t>cost_of_debt_avg_debt</t>
  </si>
  <si>
    <t>1965754.0</t>
  </si>
  <si>
    <t>cost_of_debt_basis</t>
  </si>
  <si>
    <t>actual</t>
  </si>
  <si>
    <t>cost_of_debt_interest</t>
  </si>
  <si>
    <t>38587.0</t>
  </si>
  <si>
    <t>cost_of_debt_pretax</t>
  </si>
  <si>
    <t>0.019629617948125757</t>
  </si>
  <si>
    <t>da_pct_basis</t>
  </si>
  <si>
    <t>da_pct_c18</t>
  </si>
  <si>
    <t>0.073</t>
  </si>
  <si>
    <t>da_pct_hist3yr</t>
  </si>
  <si>
    <t>0.067186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</si>
  <si>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</si>
  <si>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</si>
  <si>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</si>
  <si>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</si>
  <si>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</si>
  <si>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</si>
  <si>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</si>
  <si>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</si>
  <si>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</si>
  <si>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14:48:11</t>
  </si>
  <si>
    <t>ltm_revenue_c20</t>
  </si>
  <si>
    <t>3703988.0</t>
  </si>
  <si>
    <t>ltm_revenue_source</t>
  </si>
  <si>
    <t>latest FY (no LTM)</t>
  </si>
  <si>
    <t>narrative_tokens_used</t>
  </si>
  <si>
    <t>pb,per,price,target_price,upside_pct,wacc</t>
  </si>
  <si>
    <t>reverse_dcf_sheet</t>
  </si>
  <si>
    <t>op0=32,333(FY2026) peak=253,741(FY2024) peak_opm=0.0578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</si>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</sst>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1237.5</v>
      </c>
    </row>
    <row r="10" spans="2:5" ht="14" customHeight="1" x14ac:dyDescent="0.3">
      <c r="B10" s="4" t="s">
        <v>10</v>
      </c>
      <c r="C10" s="5">
        <f>IF(COUNT(C16:C17)=0,"N/A",ROUND(AVERAGE(C16:C17),0))</f>
        <v>688</v>
      </c>
    </row>
    <row r="11" spans="2:5" ht="14" customHeight="1" x14ac:dyDescent="0.3">
      <c r="B11" s="4" t="s">
        <v>11</v>
      </c>
      <c r="C11" s="6" t="str">
        <f>IF(NOT(ISNUMBER(C12)),"N/A",IF(C12&gt;0.15,"BUY",IF(C12&gt;0.05,"HOLD","SELL")))</f>
        <v>SELL</v>
      </c>
    </row>
    <row r="12" spans="2:5" ht="14" customHeight="1" x14ac:dyDescent="0.3">
      <c r="B12" s="4" t="s">
        <v>12</v>
      </c>
      <c r="C12" s="7">
        <f>IF(ISNUMBER(C10),(C10-C9)/C9,"N/A")</f>
        <v>-0.44404040404040401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t="str">
        <f>IF('DCF Model'!C53&lt;'DCF Model'!C16,"INVALID (EV &lt; net debt)",'DCF Model'!C55)</f>
        <v>INVALID (EV &lt; net debt)</v>
      </c>
      <c r="D16" s="7" t="str">
        <f>IF(ISNUMBER(C16),(C16-C9)/C9,"N/A")</f>
        <v>N/A</v>
      </c>
    </row>
    <row r="17" spans="2:5" ht="13.5" customHeight="1" x14ac:dyDescent="0.25">
      <c r="B17" t="s">
        <v>18</v>
      </c>
      <c r="C17" s="11">
        <f>IF('DCF Model'!C62&lt;'DCF Model'!C16,"INVALID (EV &lt; net debt)",'DCF Model'!C64)</f>
        <v>688</v>
      </c>
      <c r="D17" s="7">
        <f>IF(ISNUMBER(C17),(C17-C9)/C9,"N/A")</f>
        <v>-0.44404040404040401</v>
      </c>
    </row>
    <row r="18" spans="2:5" ht="13.5" customHeight="1" x14ac:dyDescent="0.25">
      <c r="B18" t="s">
        <v>19</v>
      </c>
      <c r="C18" s="11">
        <f>'Comps Analysis'!C27</f>
        <v>429</v>
      </c>
      <c r="D18" s="7">
        <f>IF(ISNUMBER(C18),(C18-C9)/C9,"N/A")</f>
        <v>-0.65333333333333332</v>
      </c>
    </row>
    <row r="19" spans="2:5" ht="13.5" customHeight="1" x14ac:dyDescent="0.25">
      <c r="B19" t="s">
        <v>20</v>
      </c>
      <c r="C19" s="11">
        <f>'Comps Analysis'!C28</f>
        <v>166</v>
      </c>
      <c r="D19" s="7">
        <f>IF(ISNUMBER(C19),(C19-C9)/C9,"N/A")</f>
        <v>-0.86585858585858588</v>
      </c>
    </row>
    <row r="20" spans="2:5" ht="14" customHeight="1" x14ac:dyDescent="0.3">
      <c r="B20" s="46" t="s">
        <v>21</v>
      </c>
      <c r="C20" s="45"/>
      <c r="D20" s="45"/>
      <c r="E20" s="45"/>
    </row>
    <row r="21" spans="2:5" ht="14" customHeight="1" x14ac:dyDescent="0.3">
      <c r="B21" s="4" t="s">
        <v>22</v>
      </c>
      <c r="C21" s="6" t="str">
        <f>IF(COUNT(C16:C17)=0,"N/A",MIN(C16:C17)&amp;" - "&amp;MAX(C16:C17))</f>
        <v>688 - 688</v>
      </c>
    </row>
    <row r="23" spans="2:5" ht="14" customHeight="1" x14ac:dyDescent="0.3">
      <c r="B23" s="8" t="s">
        <v>23</v>
      </c>
      <c r="C23" s="9"/>
      <c r="D23" s="9"/>
    </row>
    <row r="24" spans="2:5" x14ac:dyDescent="0.2">
      <c r="B24" t="str">
        <f>"Mitsubishi Chemical Group is midway through separating its commodity petrochemical and pharmaceutical businesses, and the latest operating margin of under one percent marks the bottom of the observed cycle; the shares trade at "&amp;TEXT('Comps Analysis'!L5,"0.0""x""")&amp;" earnings and "&amp;TEXT('Comps Analysis'!M5,"0.00""x""")&amp;" book."</f>
        <v>Mitsubishi Chemical Group is midway through separating its commodity petrochemical and pharmaceutical businesses, and the latest operating margin of under one percent marks the bottom of the observed cycle; the shares trade at 142.1x earnings and 0.95x book.</v>
      </c>
    </row>
    <row r="25" spans="2:5" x14ac:dyDescent="0.2">
      <c r="B25" t="str">
        <f>"Net debt is close to the market value of the equity, so the "&amp;TEXT('DCF Model'!C26,"0.00%")&amp;" discount rate rests heavily on an actual, filing-derived cost of debt and small changes in the terminal margin move the equity value a long way."</f>
        <v>Net debt is close to the market value of the equity, so the 5.33% discount rate rests heavily on an actual, filing-derived cost of debt and small changes in the terminal margin move the equity value a long way.</v>
      </c>
    </row>
    <row r="26" spans="2:5" x14ac:dyDescent="0.2">
      <c r="B26" t="str">
        <f>"At "&amp;TEXT(C9,"#,##0")&amp;" the market capitalises the trough as permanent; restoring the midpoint between the observed peak and trough supports "&amp;TEXT(C10,"#,##0")&amp;", or "&amp;TEXT(C12,"+0.0%;-0.0%")&amp;" from here."</f>
        <v>At 1,238 the market capitalises the trough as permanent; restoring the midpoint between the observed peak and trough supports 688, or -44.4% from here.</v>
      </c>
    </row>
    <row r="28" spans="2:5" ht="14" customHeight="1" x14ac:dyDescent="0.3">
      <c r="B28" s="8" t="s">
        <v>24</v>
      </c>
      <c r="C28" s="9"/>
      <c r="D28" s="9"/>
    </row>
    <row r="29" spans="2:5" x14ac:dyDescent="0.2">
      <c r="B29" t="str">
        <f>"The group has taken impairments repeatedly, and pre-tax income fell close to zero against a positive operating result in the latest year; the "&amp;TEXT('Comps Analysis'!L5,"0.0""x""")&amp;" the market pays is measured against an earnings base that has not been stable."</f>
        <v>The group has taken impairments repeatedly, and pre-tax income fell close to zero against a positive operating result in the latest year; the 142.1x the market pays is measured against an earnings base that has not been stable.</v>
      </c>
    </row>
    <row r="30" spans="2:5" x14ac:dyDescent="0.2">
      <c r="B30" t="str">
        <f>"A downside case in which operating income turns negative can drive enterprise value below net debt, at which point the perpetuity and exit legs behind "&amp;TEXT(C10,"#,##0")&amp;" are marked invalid rather than merely low."</f>
        <v>A downside case in which operating income turns negative can drive enterprise value below net debt, at which point the perpetuity and exit legs behind 688 are marked invalid rather than merely low.</v>
      </c>
    </row>
    <row r="31" spans="2:5" x14ac:dyDescent="0.2">
      <c r="B31" t="str">
        <f>"The portfolio separation is not complete, so both the revenue base and the "&amp;TEXT('DCF Model'!C26,"0.00%")&amp;" capital structure assumed here may not describe the company that emerges."</f>
        <v>The portfolio separation is not complete, so both the revenue base and the 5.33% capital structure assumed here may not describe the company that emerges.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4634532</v>
      </c>
      <c r="D6" s="5">
        <v>4387218</v>
      </c>
      <c r="E6" s="5">
        <v>3947566</v>
      </c>
      <c r="F6" s="5">
        <v>3703988</v>
      </c>
    </row>
    <row r="7" spans="2:6" ht="14" customHeight="1" x14ac:dyDescent="0.3">
      <c r="B7" s="4" t="s">
        <v>32</v>
      </c>
      <c r="C7" s="5">
        <v>3395045</v>
      </c>
      <c r="D7" s="5">
        <v>3240394</v>
      </c>
      <c r="E7" s="5">
        <v>2908249</v>
      </c>
      <c r="F7" s="5">
        <v>2632886</v>
      </c>
    </row>
    <row r="8" spans="2:6" ht="14" customHeight="1" x14ac:dyDescent="0.3">
      <c r="B8" s="4" t="s">
        <v>33</v>
      </c>
      <c r="C8" s="5">
        <f>C6-C7</f>
        <v>1239487</v>
      </c>
      <c r="D8" s="5">
        <f>D6-D7</f>
        <v>1146824</v>
      </c>
      <c r="E8" s="5">
        <f>E6-E7</f>
        <v>1039317</v>
      </c>
      <c r="F8" s="5">
        <f>F6-F7</f>
        <v>1071102</v>
      </c>
    </row>
    <row r="9" spans="2:6" ht="13.5" customHeight="1" x14ac:dyDescent="0.25">
      <c r="B9" t="s">
        <v>34</v>
      </c>
      <c r="C9" s="7">
        <f>C8/C6</f>
        <v>0.26744599023159188</v>
      </c>
      <c r="D9" s="7">
        <f>D8/D6</f>
        <v>0.26140118863480227</v>
      </c>
      <c r="E9" s="7">
        <f>E8/E6</f>
        <v>0.2632804619352786</v>
      </c>
      <c r="F9" s="7">
        <f>F8/F6</f>
        <v>0.28917534290067892</v>
      </c>
    </row>
    <row r="10" spans="2:6" ht="14" customHeight="1" x14ac:dyDescent="0.3">
      <c r="B10" s="4" t="s">
        <v>35</v>
      </c>
      <c r="C10" s="5">
        <v>1068512</v>
      </c>
      <c r="D10" s="5">
        <v>893083</v>
      </c>
      <c r="E10" s="5">
        <v>905603</v>
      </c>
      <c r="F10" s="5">
        <v>1038769</v>
      </c>
    </row>
    <row r="11" spans="2:6" ht="14" customHeight="1" x14ac:dyDescent="0.3">
      <c r="B11" s="4" t="s">
        <v>36</v>
      </c>
      <c r="C11" s="5">
        <v>170975</v>
      </c>
      <c r="D11" s="5">
        <v>253741</v>
      </c>
      <c r="E11" s="5">
        <v>133714</v>
      </c>
      <c r="F11" s="5">
        <v>32333</v>
      </c>
    </row>
    <row r="12" spans="2:6" ht="14" customHeight="1" x14ac:dyDescent="0.3">
      <c r="B12" s="4" t="s">
        <v>37</v>
      </c>
      <c r="C12" s="5">
        <v>96461</v>
      </c>
      <c r="D12" s="5">
        <v>119596</v>
      </c>
      <c r="E12" s="5">
        <v>45020</v>
      </c>
      <c r="F12" s="5">
        <v>11829</v>
      </c>
    </row>
    <row r="13" spans="2:6" ht="13.5" customHeight="1" x14ac:dyDescent="0.25">
      <c r="B13" t="s">
        <v>38</v>
      </c>
      <c r="C13" s="7">
        <f>C11/C6</f>
        <v>3.6891535110772783E-2</v>
      </c>
      <c r="D13" s="7">
        <f>D11/D6</f>
        <v>5.7836423902345405E-2</v>
      </c>
      <c r="E13" s="7">
        <f>E11/E6</f>
        <v>3.3872517900904002E-2</v>
      </c>
      <c r="F13" s="7">
        <f>F11/F6</f>
        <v>8.7292399435419336E-3</v>
      </c>
    </row>
    <row r="14" spans="2:6" ht="13.5" customHeight="1" x14ac:dyDescent="0.25">
      <c r="B14" t="s">
        <v>39</v>
      </c>
      <c r="C14" s="7">
        <f>C12/C6</f>
        <v>2.0813536296653039E-2</v>
      </c>
      <c r="D14" s="7">
        <f>D12/D6</f>
        <v>2.7260099680480886E-2</v>
      </c>
      <c r="E14" s="7">
        <f>E12/E6</f>
        <v>1.1404495833635207E-2</v>
      </c>
      <c r="F14" s="7">
        <f>F12/F6</f>
        <v>3.1935848604261138E-3</v>
      </c>
    </row>
    <row r="15" spans="2:6" ht="13.5" customHeight="1" x14ac:dyDescent="0.25">
      <c r="B15" t="s">
        <v>40</v>
      </c>
      <c r="C15" t="s">
        <v>41</v>
      </c>
      <c r="D15" s="7">
        <f>(D6-C6)/C6</f>
        <v>-5.3363316943328909E-2</v>
      </c>
      <c r="E15" s="7">
        <f>(E6-D6)/D6</f>
        <v>-0.10021202502360266</v>
      </c>
      <c r="F15" s="7">
        <f>(F6-E6)/E6</f>
        <v>-6.1703338208911516E-2</v>
      </c>
    </row>
    <row r="16" spans="2:6" ht="13.5" customHeight="1" x14ac:dyDescent="0.25">
      <c r="B16" t="s">
        <v>42</v>
      </c>
      <c r="C16" t="s">
        <v>41</v>
      </c>
      <c r="D16" s="7">
        <f>(D11-C11)/C11</f>
        <v>0.48408246819710482</v>
      </c>
      <c r="E16" s="7">
        <f>(E11-D11)/D11</f>
        <v>-0.47302958528578354</v>
      </c>
      <c r="F16" s="7">
        <f>(F11-E11)/E11</f>
        <v>-0.75819285938645165</v>
      </c>
    </row>
    <row r="18" spans="2:6" ht="14" customHeight="1" x14ac:dyDescent="0.3">
      <c r="B18" s="3" t="s">
        <v>43</v>
      </c>
    </row>
    <row r="19" spans="2:6" ht="14" customHeight="1" x14ac:dyDescent="0.3">
      <c r="B19" s="4" t="s">
        <v>44</v>
      </c>
      <c r="C19" s="5">
        <v>355189</v>
      </c>
      <c r="D19" s="5">
        <v>465146</v>
      </c>
      <c r="E19" s="5">
        <v>552847</v>
      </c>
      <c r="F19" s="5">
        <v>436287</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297224</v>
      </c>
      <c r="D26" s="5">
        <v>294924</v>
      </c>
      <c r="E26" s="5">
        <v>326144</v>
      </c>
      <c r="F26" s="5">
        <v>527104</v>
      </c>
    </row>
    <row r="27" spans="2:6" ht="14" customHeight="1" x14ac:dyDescent="0.3">
      <c r="B27" s="4" t="s">
        <v>51</v>
      </c>
      <c r="C27" s="5">
        <v>2243768</v>
      </c>
      <c r="D27" s="5">
        <v>2201011</v>
      </c>
      <c r="E27" s="5">
        <v>2040987</v>
      </c>
      <c r="F27" s="5">
        <v>1890521</v>
      </c>
    </row>
    <row r="28" spans="2:6" ht="14" customHeight="1" x14ac:dyDescent="0.3">
      <c r="B28" s="4" t="s">
        <v>52</v>
      </c>
      <c r="C28" s="5">
        <f>C27-C26</f>
        <v>1946544</v>
      </c>
      <c r="D28" s="5">
        <f>D27-D26</f>
        <v>1906087</v>
      </c>
      <c r="E28" s="5">
        <f>E27-E26</f>
        <v>1714843</v>
      </c>
      <c r="F28" s="5">
        <f>F27-F26</f>
        <v>1363417</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7.6600000000000001E-2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0.69</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1.47E-2</v>
      </c>
    </row>
    <row r="12" spans="2:7" ht="14" customHeight="1" x14ac:dyDescent="0.3">
      <c r="B12" s="4" t="s">
        <v>62</v>
      </c>
      <c r="C12" s="13">
        <v>0.81089999999999995</v>
      </c>
    </row>
    <row r="13" spans="2:7" ht="14" customHeight="1" x14ac:dyDescent="0.3">
      <c r="B13" s="4" t="s">
        <v>63</v>
      </c>
      <c r="C13" s="7">
        <v>0.01</v>
      </c>
    </row>
    <row r="14" spans="2:7" ht="14" customHeight="1" x14ac:dyDescent="0.3">
      <c r="B14" s="4" t="s">
        <v>64</v>
      </c>
      <c r="C14" s="14">
        <v>6.5</v>
      </c>
    </row>
    <row r="15" spans="2:7" ht="14" customHeight="1" x14ac:dyDescent="0.3">
      <c r="B15" s="4" t="s">
        <v>65</v>
      </c>
      <c r="C15" s="15">
        <v>1358687815</v>
      </c>
    </row>
    <row r="16" spans="2:7" ht="14" customHeight="1" x14ac:dyDescent="0.3">
      <c r="B16" s="4" t="s">
        <v>66</v>
      </c>
      <c r="C16" s="5">
        <v>1363417</v>
      </c>
    </row>
    <row r="17" spans="2:7" ht="14" customHeight="1" x14ac:dyDescent="0.3">
      <c r="B17" s="4" t="s">
        <v>67</v>
      </c>
      <c r="C17" s="5">
        <v>3703988</v>
      </c>
    </row>
    <row r="18" spans="2:7" ht="14" customHeight="1" x14ac:dyDescent="0.3">
      <c r="B18" s="4" t="s">
        <v>68</v>
      </c>
      <c r="C18" s="7">
        <v>7.2999999999999995E-2</v>
      </c>
    </row>
    <row r="19" spans="2:7" ht="14" customHeight="1" x14ac:dyDescent="0.3">
      <c r="B19" s="4" t="s">
        <v>69</v>
      </c>
      <c r="C19" s="12">
        <v>1</v>
      </c>
    </row>
    <row r="20" spans="2:7" ht="14" customHeight="1" x14ac:dyDescent="0.3">
      <c r="B20" s="4" t="s">
        <v>70</v>
      </c>
      <c r="C20" s="5">
        <v>3703988</v>
      </c>
    </row>
    <row r="22" spans="2:7" ht="14" customHeight="1" x14ac:dyDescent="0.3">
      <c r="B22" s="8" t="s">
        <v>71</v>
      </c>
      <c r="C22" s="9"/>
      <c r="D22" s="9"/>
      <c r="E22" s="9"/>
      <c r="F22" s="9"/>
      <c r="G22" s="9"/>
    </row>
    <row r="23" spans="2:7" ht="14" customHeight="1" x14ac:dyDescent="0.3">
      <c r="B23" s="4" t="s">
        <v>72</v>
      </c>
      <c r="C23" s="16">
        <f>C7+C8*C9+C10</f>
        <v>8.455E-2</v>
      </c>
    </row>
    <row r="24" spans="2:7" ht="14" customHeight="1" x14ac:dyDescent="0.3">
      <c r="B24" s="4" t="s">
        <v>73</v>
      </c>
      <c r="C24" s="16">
        <f>1/(1+C12)</f>
        <v>0.55221160748798936</v>
      </c>
    </row>
    <row r="25" spans="2:7" ht="14" customHeight="1" x14ac:dyDescent="0.3">
      <c r="B25" s="4" t="s">
        <v>74</v>
      </c>
      <c r="C25" s="16">
        <f>C12/(1+C12)</f>
        <v>0.44778839251201058</v>
      </c>
    </row>
    <row r="26" spans="2:7" ht="14" customHeight="1" x14ac:dyDescent="0.3">
      <c r="B26" s="4" t="s">
        <v>75</v>
      </c>
      <c r="C26" s="16">
        <f>C23*C24+C11*C25</f>
        <v>5.3271980783036049E-2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v>
      </c>
      <c r="D30" s="18">
        <f>CHOOSE($D$27,D69,D70,D71,D72,D73)</f>
        <v>0.01</v>
      </c>
      <c r="E30" s="18">
        <f>CHOOSE($D$27,E69,E70,E71,E72,E73)</f>
        <v>1.4999999999999999E-2</v>
      </c>
      <c r="F30" s="18">
        <f>CHOOSE($D$27,F69,F70,F71,F72,F73)</f>
        <v>0.02</v>
      </c>
      <c r="G30" s="18">
        <f>CHOOSE($D$27,G69,G70,G71,G72,G73)</f>
        <v>0.02</v>
      </c>
    </row>
    <row r="31" spans="2:7" ht="14" customHeight="1" x14ac:dyDescent="0.3">
      <c r="B31" s="4" t="s">
        <v>84</v>
      </c>
      <c r="C31" s="18">
        <f>CHOOSE($D$27,C76,C77,C78,C79,C80)</f>
        <v>0.76400000000000001</v>
      </c>
      <c r="D31" s="18">
        <f>CHOOSE($D$27,D76,D77,D78,D79,D80)</f>
        <v>0.75800000000000001</v>
      </c>
      <c r="E31" s="18">
        <f>CHOOSE($D$27,E76,E77,E78,E79,E80)</f>
        <v>0.752</v>
      </c>
      <c r="F31" s="18">
        <f>CHOOSE($D$27,F76,F77,F78,F79,F80)</f>
        <v>0.748</v>
      </c>
      <c r="G31" s="18">
        <f>CHOOSE($D$27,G76,G77,G78,G79,G80)</f>
        <v>0.74670000000000003</v>
      </c>
    </row>
    <row r="32" spans="2:7" ht="14" customHeight="1" x14ac:dyDescent="0.3">
      <c r="B32" s="4" t="s">
        <v>85</v>
      </c>
      <c r="C32" s="18">
        <f>CHOOSE($D$27,C83,C84,C85,C86,C87)</f>
        <v>0.22</v>
      </c>
      <c r="D32" s="18">
        <f>CHOOSE($D$27,D83,D84,D85,D86,D87)</f>
        <v>0.22</v>
      </c>
      <c r="E32" s="18">
        <f>CHOOSE($D$27,E83,E84,E85,E86,E87)</f>
        <v>0.22</v>
      </c>
      <c r="F32" s="18">
        <f>CHOOSE($D$27,F83,F84,F85,F86,F87)</f>
        <v>0.22</v>
      </c>
      <c r="G32" s="18">
        <f>CHOOSE($D$27,G83,G84,G85,G86,G87)</f>
        <v>0.22</v>
      </c>
    </row>
    <row r="33" spans="2:7" ht="14" customHeight="1" x14ac:dyDescent="0.3">
      <c r="B33" s="4" t="s">
        <v>31</v>
      </c>
      <c r="C33" s="5">
        <f>C17*(1+C30)</f>
        <v>3703988</v>
      </c>
      <c r="D33" s="5">
        <f>C33*(1+D30)</f>
        <v>3741027.88</v>
      </c>
      <c r="E33" s="5">
        <f>D33*(1+E30)</f>
        <v>3797143.2981999996</v>
      </c>
      <c r="F33" s="5">
        <f>E33*(1+F30)</f>
        <v>3873086.1641639997</v>
      </c>
      <c r="G33" s="5">
        <f>F33*(1+G30)</f>
        <v>3950547.8874472799</v>
      </c>
    </row>
    <row r="34" spans="2:7" ht="14" customHeight="1" x14ac:dyDescent="0.3">
      <c r="B34" s="4" t="s">
        <v>32</v>
      </c>
      <c r="C34" s="5">
        <f>C33*C31</f>
        <v>2829846.8319999999</v>
      </c>
      <c r="D34" s="5">
        <f>D33*D31</f>
        <v>2835699.1330399998</v>
      </c>
      <c r="E34" s="5">
        <f>E33*E31</f>
        <v>2855451.7602463998</v>
      </c>
      <c r="F34" s="5">
        <f>F33*F31</f>
        <v>2897068.4507946717</v>
      </c>
      <c r="G34" s="5">
        <f>G33*G31</f>
        <v>2949874.1075568842</v>
      </c>
    </row>
    <row r="35" spans="2:7" ht="14" customHeight="1" x14ac:dyDescent="0.3">
      <c r="B35" s="4" t="s">
        <v>33</v>
      </c>
      <c r="C35" s="19">
        <f>C33-C34</f>
        <v>874141.16800000006</v>
      </c>
      <c r="D35" s="19">
        <f>D33-D34</f>
        <v>905328.74696000014</v>
      </c>
      <c r="E35" s="19">
        <f>E33-E34</f>
        <v>941691.53795359982</v>
      </c>
      <c r="F35" s="19">
        <f>F33-F34</f>
        <v>976017.71336932806</v>
      </c>
      <c r="G35" s="19">
        <f>G33-G34</f>
        <v>1000673.7798903957</v>
      </c>
    </row>
    <row r="36" spans="2:7" ht="14" customHeight="1" x14ac:dyDescent="0.3">
      <c r="B36" s="4" t="s">
        <v>34</v>
      </c>
      <c r="C36" s="7">
        <f>C35/C33</f>
        <v>0.23600000000000002</v>
      </c>
      <c r="D36" s="7">
        <f>D35/D33</f>
        <v>0.24200000000000005</v>
      </c>
      <c r="E36" s="7">
        <f>E35/E33</f>
        <v>0.24799999999999997</v>
      </c>
      <c r="F36" s="7">
        <f>F35/F33</f>
        <v>0.25200000000000006</v>
      </c>
      <c r="G36" s="7">
        <f>G35/G33</f>
        <v>0.25329999999999991</v>
      </c>
    </row>
    <row r="37" spans="2:7" ht="14" customHeight="1" x14ac:dyDescent="0.3">
      <c r="B37" s="4" t="s">
        <v>86</v>
      </c>
      <c r="C37" s="5">
        <f>C33*C32</f>
        <v>814877.36</v>
      </c>
      <c r="D37" s="5">
        <f>D33*D32</f>
        <v>823026.13359999994</v>
      </c>
      <c r="E37" s="5">
        <f>E33*E32</f>
        <v>835371.52560399997</v>
      </c>
      <c r="F37" s="5">
        <f>F33*F32</f>
        <v>852078.95611607993</v>
      </c>
      <c r="G37" s="5">
        <f>G33*G32</f>
        <v>869120.53523840162</v>
      </c>
    </row>
    <row r="38" spans="2:7" ht="14" customHeight="1" x14ac:dyDescent="0.3">
      <c r="B38" s="4" t="s">
        <v>87</v>
      </c>
      <c r="C38" s="7">
        <f>(C35-C37)/C33</f>
        <v>1.6000000000000021E-2</v>
      </c>
      <c r="D38" s="7">
        <f>(D35-D37)/D33</f>
        <v>2.2000000000000051E-2</v>
      </c>
      <c r="E38" s="7">
        <f>(E35-E37)/E33</f>
        <v>2.7999999999999966E-2</v>
      </c>
      <c r="F38" s="7">
        <f>(F35-F37)/F33</f>
        <v>3.2000000000000035E-2</v>
      </c>
      <c r="G38" s="7">
        <f>(G35-G37)/G33</f>
        <v>3.3299999999999913E-2</v>
      </c>
    </row>
    <row r="39" spans="2:7" ht="14" customHeight="1" x14ac:dyDescent="0.3">
      <c r="B39" s="4" t="s">
        <v>88</v>
      </c>
      <c r="C39" s="19">
        <f>C35-C37</f>
        <v>59263.808000000077</v>
      </c>
      <c r="D39" s="19">
        <f>D35-D37</f>
        <v>82302.613360000192</v>
      </c>
      <c r="E39" s="19">
        <f>E35-E37</f>
        <v>106320.01234959986</v>
      </c>
      <c r="F39" s="19">
        <f>F35-F37</f>
        <v>123938.75725324813</v>
      </c>
      <c r="G39" s="19">
        <f>G35-G37</f>
        <v>131553.24465199409</v>
      </c>
    </row>
    <row r="40" spans="2:7" ht="14" customHeight="1" x14ac:dyDescent="0.3">
      <c r="B40" s="4" t="s">
        <v>89</v>
      </c>
      <c r="C40" s="5">
        <f>MAX(0,C39*C6)</f>
        <v>14815.952000000019</v>
      </c>
      <c r="D40" s="5">
        <f>MAX(0,D39*C6)</f>
        <v>20575.653340000048</v>
      </c>
      <c r="E40" s="5">
        <f>MAX(0,E39*C6)</f>
        <v>26580.003087399964</v>
      </c>
      <c r="F40" s="5">
        <f>MAX(0,F39*C6)</f>
        <v>30984.689313312032</v>
      </c>
      <c r="G40" s="5">
        <f>MAX(0,G39*C6)</f>
        <v>32888.311162998521</v>
      </c>
    </row>
    <row r="41" spans="2:7" ht="14" customHeight="1" x14ac:dyDescent="0.3">
      <c r="B41" s="4" t="s">
        <v>90</v>
      </c>
      <c r="C41" s="19">
        <f>C39-C40</f>
        <v>44447.856000000058</v>
      </c>
      <c r="D41" s="19">
        <f>D39-D40</f>
        <v>61726.960020000144</v>
      </c>
      <c r="E41" s="19">
        <f>E39-E40</f>
        <v>79740.009262199892</v>
      </c>
      <c r="F41" s="19">
        <f>F39-F40</f>
        <v>92954.067939936096</v>
      </c>
      <c r="G41" s="19">
        <f>G39-G40</f>
        <v>98664.933488995564</v>
      </c>
    </row>
    <row r="42" spans="2:7" ht="14" customHeight="1" x14ac:dyDescent="0.3">
      <c r="B42" s="4" t="s">
        <v>91</v>
      </c>
      <c r="C42" s="5">
        <f>C33*C18</f>
        <v>270391.12400000001</v>
      </c>
      <c r="D42" s="5">
        <f>D33*C18</f>
        <v>273095.03524</v>
      </c>
      <c r="E42" s="5">
        <f>E33*C18</f>
        <v>277191.46076859994</v>
      </c>
      <c r="F42" s="5">
        <f>F33*C18</f>
        <v>282735.28998397198</v>
      </c>
      <c r="G42" s="5">
        <f>G33*C18</f>
        <v>288389.99578365142</v>
      </c>
    </row>
    <row r="43" spans="2:7" ht="14" customHeight="1" x14ac:dyDescent="0.3">
      <c r="B43" s="4" t="s">
        <v>92</v>
      </c>
      <c r="C43" s="5">
        <f>C33*C5</f>
        <v>283725.48080000002</v>
      </c>
      <c r="D43" s="5">
        <f>D33*C5</f>
        <v>286562.73560800002</v>
      </c>
      <c r="E43" s="5">
        <f>E33*C5</f>
        <v>290861.17664212</v>
      </c>
      <c r="F43" s="5">
        <f>F33*C5</f>
        <v>296678.40017496236</v>
      </c>
      <c r="G43" s="5">
        <f>G33*C5</f>
        <v>302611.96817846166</v>
      </c>
    </row>
    <row r="44" spans="2:7" ht="14" customHeight="1" x14ac:dyDescent="0.3">
      <c r="B44" s="4" t="s">
        <v>93</v>
      </c>
      <c r="C44" s="5">
        <f>'NWC Schedule'!D19</f>
        <v>19545.224065753398</v>
      </c>
      <c r="D44" s="5">
        <f>'NWC Schedule'!E19</f>
        <v>7493.8273383012274</v>
      </c>
      <c r="E44" s="5">
        <f>'NWC Schedule'!F19</f>
        <v>12456.700395169435</v>
      </c>
      <c r="F44" s="5">
        <f>'NWC Schedule'!G19</f>
        <v>18366.938180378289</v>
      </c>
      <c r="G44" s="5">
        <f>'NWC Schedule'!H19</f>
        <v>19784.127351958537</v>
      </c>
    </row>
    <row r="45" spans="2:7" ht="14" customHeight="1" x14ac:dyDescent="0.3">
      <c r="B45" s="4" t="s">
        <v>94</v>
      </c>
      <c r="C45" s="20">
        <f>C41+C42-C43-C44</f>
        <v>11568.27513424668</v>
      </c>
      <c r="D45" s="20">
        <f>D41+D42-D43-D44</f>
        <v>40765.432313698868</v>
      </c>
      <c r="E45" s="20">
        <f>E41+E42-E43-E44</f>
        <v>53613.592993510421</v>
      </c>
      <c r="F45" s="20">
        <f>F41+F42-F43-F44</f>
        <v>60644.019568567397</v>
      </c>
      <c r="G45" s="20">
        <f>G41+G42-G43-G44</f>
        <v>64658.833742226823</v>
      </c>
    </row>
    <row r="46" spans="2:7" ht="14" customHeight="1" x14ac:dyDescent="0.3">
      <c r="B46" s="4" t="s">
        <v>95</v>
      </c>
      <c r="C46" s="21">
        <f>1/(1+C26)^(C19+0)</f>
        <v>0.94942238875144869</v>
      </c>
      <c r="D46" s="21">
        <f>1/(1+C26)^(C19+1)</f>
        <v>0.90140287226250693</v>
      </c>
      <c r="E46" s="21">
        <f>1/(1+C26)^(C19+2)</f>
        <v>0.8558120682108864</v>
      </c>
      <c r="F46" s="21">
        <f>1/(1+C26)^(C19+3)</f>
        <v>0.8125271381230974</v>
      </c>
      <c r="G46" s="21">
        <f>1/(1+C26)^(C19+4)</f>
        <v>0.77143145640220945</v>
      </c>
    </row>
    <row r="47" spans="2:7" ht="14" customHeight="1" x14ac:dyDescent="0.3">
      <c r="B47" s="4" t="s">
        <v>96</v>
      </c>
      <c r="C47" s="19">
        <f>C45*C46</f>
        <v>10983.179411690469</v>
      </c>
      <c r="D47" s="19">
        <f>D45*D46</f>
        <v>36746.077776590973</v>
      </c>
      <c r="E47" s="19">
        <f>E45*E46</f>
        <v>45883.159903992841</v>
      </c>
      <c r="F47" s="19">
        <f>F45*F46</f>
        <v>49274.911664329185</v>
      </c>
      <c r="G47" s="19">
        <f>G45*G46</f>
        <v>49879.858283034358</v>
      </c>
    </row>
    <row r="49" spans="2:7" ht="14" customHeight="1" x14ac:dyDescent="0.3">
      <c r="B49" s="22" t="s">
        <v>97</v>
      </c>
      <c r="C49" s="23"/>
      <c r="D49" s="23"/>
      <c r="E49" s="23"/>
      <c r="F49" s="23"/>
      <c r="G49" s="23"/>
    </row>
    <row r="50" spans="2:7" ht="14" customHeight="1" x14ac:dyDescent="0.3">
      <c r="B50" s="4" t="s">
        <v>98</v>
      </c>
      <c r="C50" s="5">
        <f>SUM(C47:G47)</f>
        <v>192767.18703963782</v>
      </c>
    </row>
    <row r="51" spans="2:7" ht="14" customHeight="1" x14ac:dyDescent="0.3">
      <c r="B51" s="4" t="s">
        <v>99</v>
      </c>
      <c r="C51" s="5">
        <f>G45*(1+C13)/(C26-C13)</f>
        <v>1509184.948271442</v>
      </c>
    </row>
    <row r="52" spans="2:7" ht="14" customHeight="1" x14ac:dyDescent="0.3">
      <c r="B52" s="4" t="s">
        <v>100</v>
      </c>
      <c r="C52" s="5">
        <f>C51*G46</f>
        <v>1164232.7426253315</v>
      </c>
    </row>
    <row r="53" spans="2:7" ht="14" customHeight="1" x14ac:dyDescent="0.3">
      <c r="B53" s="4" t="s">
        <v>101</v>
      </c>
      <c r="C53" s="5">
        <f>C50+C52</f>
        <v>1356999.9296649694</v>
      </c>
    </row>
    <row r="54" spans="2:7" ht="14" customHeight="1" x14ac:dyDescent="0.3">
      <c r="B54" s="4" t="s">
        <v>102</v>
      </c>
      <c r="C54" s="5">
        <f>C53-C16</f>
        <v>-6417.0703350305557</v>
      </c>
    </row>
    <row r="55" spans="2:7" ht="14" customHeight="1" x14ac:dyDescent="0.3">
      <c r="B55" s="4" t="s">
        <v>103</v>
      </c>
      <c r="C55" s="24">
        <f>ROUND(C54*1000000/C15,0)</f>
        <v>-5</v>
      </c>
    </row>
    <row r="57" spans="2:7" ht="14" customHeight="1" x14ac:dyDescent="0.3">
      <c r="B57" s="22" t="s">
        <v>104</v>
      </c>
      <c r="C57" s="23"/>
      <c r="D57" s="23"/>
      <c r="E57" s="23"/>
      <c r="F57" s="23"/>
      <c r="G57" s="23"/>
    </row>
    <row r="58" spans="2:7" ht="14" customHeight="1" x14ac:dyDescent="0.3">
      <c r="B58" s="4" t="s">
        <v>98</v>
      </c>
      <c r="C58" s="5">
        <f>C50</f>
        <v>192767.18703963782</v>
      </c>
    </row>
    <row r="59" spans="2:7" ht="14" customHeight="1" x14ac:dyDescent="0.3">
      <c r="B59" s="4" t="s">
        <v>105</v>
      </c>
      <c r="C59" s="5">
        <f>G39+G42</f>
        <v>419943.24043564551</v>
      </c>
    </row>
    <row r="60" spans="2:7" ht="14" customHeight="1" x14ac:dyDescent="0.3">
      <c r="B60" s="4" t="s">
        <v>106</v>
      </c>
      <c r="C60" s="5">
        <f>C59*C14</f>
        <v>2729631.0628316957</v>
      </c>
    </row>
    <row r="61" spans="2:7" ht="14" customHeight="1" x14ac:dyDescent="0.3">
      <c r="B61" s="4" t="s">
        <v>100</v>
      </c>
      <c r="C61" s="5">
        <f>C60*G46</f>
        <v>2105723.266240966</v>
      </c>
    </row>
    <row r="62" spans="2:7" ht="14" customHeight="1" x14ac:dyDescent="0.3">
      <c r="B62" s="4" t="s">
        <v>101</v>
      </c>
      <c r="C62" s="5">
        <f>C58+C61</f>
        <v>2298490.453280604</v>
      </c>
    </row>
    <row r="63" spans="2:7" ht="14" customHeight="1" x14ac:dyDescent="0.3">
      <c r="B63" s="4" t="s">
        <v>102</v>
      </c>
      <c r="C63" s="5">
        <f>C62-C16</f>
        <v>935073.45328060398</v>
      </c>
    </row>
    <row r="64" spans="2:7" ht="14" customHeight="1" x14ac:dyDescent="0.3">
      <c r="B64" s="4" t="s">
        <v>107</v>
      </c>
      <c r="C64" s="24">
        <f>ROUND(C63*1000000/C15,0)</f>
        <v>688</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v>
      </c>
      <c r="D69" s="26">
        <v>0.01</v>
      </c>
      <c r="E69" s="26">
        <v>1.4999999999999999E-2</v>
      </c>
      <c r="F69" s="26">
        <v>0.02</v>
      </c>
      <c r="G69" s="26">
        <v>0.02</v>
      </c>
    </row>
    <row r="70" spans="2:7" ht="14" customHeight="1" x14ac:dyDescent="0.3">
      <c r="B70" s="4" t="s">
        <v>114</v>
      </c>
      <c r="C70" s="26">
        <v>0.02</v>
      </c>
      <c r="D70" s="26">
        <v>2.5000000000000001E-2</v>
      </c>
      <c r="E70" s="26">
        <v>2.5000000000000001E-2</v>
      </c>
      <c r="F70" s="26">
        <v>2.5000000000000001E-2</v>
      </c>
      <c r="G70" s="26">
        <v>2.5000000000000001E-2</v>
      </c>
    </row>
    <row r="71" spans="2:7" ht="14" customHeight="1" x14ac:dyDescent="0.3">
      <c r="B71" s="4" t="s">
        <v>115</v>
      </c>
      <c r="C71" s="26">
        <v>0</v>
      </c>
      <c r="D71" s="26">
        <v>0.01</v>
      </c>
      <c r="E71" s="26">
        <v>1.4999999999999999E-2</v>
      </c>
      <c r="F71" s="26">
        <v>0.02</v>
      </c>
      <c r="G71" s="26">
        <v>0.02</v>
      </c>
    </row>
    <row r="72" spans="2:7" ht="14" customHeight="1" x14ac:dyDescent="0.3">
      <c r="B72" s="4" t="s">
        <v>116</v>
      </c>
      <c r="C72" s="26">
        <v>-0.02</v>
      </c>
      <c r="D72" s="26">
        <v>0</v>
      </c>
      <c r="E72" s="26">
        <v>5.0000000000000001E-3</v>
      </c>
      <c r="F72" s="26">
        <v>5.0000000000000001E-3</v>
      </c>
      <c r="G72" s="26">
        <v>5.0000000000000001E-3</v>
      </c>
    </row>
    <row r="73" spans="2:7" ht="14" customHeight="1" x14ac:dyDescent="0.3">
      <c r="B73" s="4" t="s">
        <v>117</v>
      </c>
      <c r="C73" s="26">
        <v>-0.12</v>
      </c>
      <c r="D73" s="26">
        <v>-0.03</v>
      </c>
      <c r="E73" s="26">
        <v>0</v>
      </c>
      <c r="F73" s="26">
        <v>0.01</v>
      </c>
      <c r="G73" s="26">
        <v>1.4999999999999999E-2</v>
      </c>
    </row>
    <row r="75" spans="2:7" ht="14" customHeight="1" x14ac:dyDescent="0.3">
      <c r="B75" s="3" t="s">
        <v>84</v>
      </c>
    </row>
    <row r="76" spans="2:7" ht="14" customHeight="1" x14ac:dyDescent="0.3">
      <c r="B76" s="4" t="s">
        <v>77</v>
      </c>
      <c r="C76" s="26">
        <v>0.76400000000000001</v>
      </c>
      <c r="D76" s="26">
        <v>0.75800000000000001</v>
      </c>
      <c r="E76" s="26">
        <v>0.752</v>
      </c>
      <c r="F76" s="26">
        <v>0.748</v>
      </c>
      <c r="G76" s="26">
        <v>0.74670000000000003</v>
      </c>
    </row>
    <row r="77" spans="2:7" ht="14" customHeight="1" x14ac:dyDescent="0.3">
      <c r="B77" s="4" t="s">
        <v>114</v>
      </c>
      <c r="C77" s="26">
        <v>0.76</v>
      </c>
      <c r="D77" s="26">
        <v>0.75</v>
      </c>
      <c r="E77" s="26">
        <v>0.74</v>
      </c>
      <c r="F77" s="26">
        <v>0.73199999999999998</v>
      </c>
      <c r="G77" s="26">
        <v>0.72719999999999996</v>
      </c>
    </row>
    <row r="78" spans="2:7" ht="14" customHeight="1" x14ac:dyDescent="0.3">
      <c r="B78" s="4" t="s">
        <v>115</v>
      </c>
      <c r="C78" s="26">
        <v>0.76400000000000001</v>
      </c>
      <c r="D78" s="26">
        <v>0.75800000000000001</v>
      </c>
      <c r="E78" s="26">
        <v>0.752</v>
      </c>
      <c r="F78" s="26">
        <v>0.748</v>
      </c>
      <c r="G78" s="26">
        <v>0.74670000000000003</v>
      </c>
    </row>
    <row r="79" spans="2:7" ht="14" customHeight="1" x14ac:dyDescent="0.3">
      <c r="B79" s="4" t="s">
        <v>116</v>
      </c>
      <c r="C79" s="26">
        <v>0.76900000000000002</v>
      </c>
      <c r="D79" s="26">
        <v>0.77200000000000002</v>
      </c>
      <c r="E79" s="26">
        <v>0.77400000000000002</v>
      </c>
      <c r="F79" s="26">
        <v>0.77400000000000002</v>
      </c>
      <c r="G79" s="26">
        <v>0.77400000000000002</v>
      </c>
    </row>
    <row r="80" spans="2:7" ht="14" customHeight="1" x14ac:dyDescent="0.3">
      <c r="B80" s="4" t="s">
        <v>117</v>
      </c>
      <c r="C80" s="26">
        <v>0.78</v>
      </c>
      <c r="D80" s="26">
        <v>0.79</v>
      </c>
      <c r="E80" s="26">
        <v>0.78</v>
      </c>
      <c r="F80" s="26">
        <v>0.77</v>
      </c>
      <c r="G80" s="26">
        <v>0.76</v>
      </c>
    </row>
    <row r="82" spans="2:7" ht="14" customHeight="1" x14ac:dyDescent="0.3">
      <c r="B82" s="3" t="s">
        <v>85</v>
      </c>
    </row>
    <row r="83" spans="2:7" ht="14" customHeight="1" x14ac:dyDescent="0.3">
      <c r="B83" s="4" t="s">
        <v>77</v>
      </c>
      <c r="C83" s="26">
        <v>0.22</v>
      </c>
      <c r="D83" s="26">
        <v>0.22</v>
      </c>
      <c r="E83" s="26">
        <v>0.22</v>
      </c>
      <c r="F83" s="26">
        <v>0.22</v>
      </c>
      <c r="G83" s="26">
        <v>0.22</v>
      </c>
    </row>
    <row r="84" spans="2:7" ht="14" customHeight="1" x14ac:dyDescent="0.3">
      <c r="B84" s="4" t="s">
        <v>114</v>
      </c>
      <c r="C84" s="26">
        <v>0.215</v>
      </c>
      <c r="D84" s="26">
        <v>0.215</v>
      </c>
      <c r="E84" s="26">
        <v>0.215</v>
      </c>
      <c r="F84" s="26">
        <v>0.215</v>
      </c>
      <c r="G84" s="26">
        <v>0.215</v>
      </c>
    </row>
    <row r="85" spans="2:7" ht="14" customHeight="1" x14ac:dyDescent="0.3">
      <c r="B85" s="4" t="s">
        <v>115</v>
      </c>
      <c r="C85" s="26">
        <v>0.22</v>
      </c>
      <c r="D85" s="26">
        <v>0.22</v>
      </c>
      <c r="E85" s="26">
        <v>0.22</v>
      </c>
      <c r="F85" s="26">
        <v>0.22</v>
      </c>
      <c r="G85" s="26">
        <v>0.22</v>
      </c>
    </row>
    <row r="86" spans="2:7" ht="14" customHeight="1" x14ac:dyDescent="0.3">
      <c r="B86" s="4" t="s">
        <v>116</v>
      </c>
      <c r="C86" s="26">
        <v>0.22600000000000001</v>
      </c>
      <c r="D86" s="26">
        <v>0.22600000000000001</v>
      </c>
      <c r="E86" s="26">
        <v>0.22600000000000001</v>
      </c>
      <c r="F86" s="26">
        <v>0.22600000000000001</v>
      </c>
      <c r="G86" s="26">
        <v>0.22600000000000001</v>
      </c>
    </row>
    <row r="87" spans="2:7" ht="14" customHeight="1" x14ac:dyDescent="0.3">
      <c r="B87" s="4" t="s">
        <v>117</v>
      </c>
      <c r="C87" s="26">
        <v>0.24</v>
      </c>
      <c r="D87" s="26">
        <v>0.24</v>
      </c>
      <c r="E87" s="26">
        <v>0.24</v>
      </c>
      <c r="F87" s="26">
        <v>0.24</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1237.5</v>
      </c>
    </row>
    <row r="7" spans="2:9" ht="14" customHeight="1" x14ac:dyDescent="0.3">
      <c r="B7" s="4" t="s">
        <v>65</v>
      </c>
      <c r="C7" s="15">
        <f>'DCF Model'!C15</f>
        <v>1358687815</v>
      </c>
    </row>
    <row r="8" spans="2:9" ht="14" customHeight="1" x14ac:dyDescent="0.3">
      <c r="B8" s="4" t="s">
        <v>122</v>
      </c>
      <c r="C8" s="5">
        <f>C6*C7/1000000</f>
        <v>1681376.1710625</v>
      </c>
    </row>
    <row r="9" spans="2:9" ht="14" customHeight="1" x14ac:dyDescent="0.3">
      <c r="B9" s="4" t="s">
        <v>66</v>
      </c>
      <c r="C9" s="5">
        <f>'DCF Model'!C16</f>
        <v>1363417</v>
      </c>
    </row>
    <row r="10" spans="2:9" ht="14" customHeight="1" x14ac:dyDescent="0.3">
      <c r="B10" s="4" t="s">
        <v>123</v>
      </c>
      <c r="C10" s="5">
        <f>C8+C9</f>
        <v>3044793.1710625002</v>
      </c>
    </row>
    <row r="11" spans="2:9" ht="14" customHeight="1" x14ac:dyDescent="0.3">
      <c r="B11" s="4" t="s">
        <v>124</v>
      </c>
      <c r="C11" s="16">
        <f>'DCF Model'!C26</f>
        <v>5.3271980783036049E-2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32333</v>
      </c>
    </row>
    <row r="15" spans="2:9" ht="14" customHeight="1" x14ac:dyDescent="0.3">
      <c r="B15" s="4" t="s">
        <v>128</v>
      </c>
      <c r="C15" s="27">
        <v>253741</v>
      </c>
    </row>
    <row r="16" spans="2:9" ht="14" customHeight="1" x14ac:dyDescent="0.3">
      <c r="B16" s="4" t="s">
        <v>129</v>
      </c>
      <c r="C16" s="5">
        <f>'DCF Model'!G33</f>
        <v>3950547.8874472799</v>
      </c>
    </row>
    <row r="17" spans="2:9" ht="14" customHeight="1" x14ac:dyDescent="0.3">
      <c r="B17" s="4" t="s">
        <v>130</v>
      </c>
      <c r="C17" s="5">
        <f>'DCF Model'!C53</f>
        <v>1356999.9296649694</v>
      </c>
    </row>
    <row r="18" spans="2:9" ht="14" customHeight="1" x14ac:dyDescent="0.3">
      <c r="B18" s="4" t="s">
        <v>131</v>
      </c>
      <c r="C18" s="26">
        <v>5.7836423902345398E-2</v>
      </c>
    </row>
    <row r="19" spans="2:9" ht="14" customHeight="1" x14ac:dyDescent="0.3">
      <c r="B19" s="4" t="s">
        <v>132</v>
      </c>
      <c r="C19" s="5">
        <f>C10-C17</f>
        <v>1687793.2413975308</v>
      </c>
    </row>
    <row r="20" spans="2:9" ht="14" customHeight="1" x14ac:dyDescent="0.3">
      <c r="B20" s="4" t="s">
        <v>133</v>
      </c>
      <c r="C20" s="15">
        <f>IFERROR(ROUND(C19*1000000/C7,0),"N/A")</f>
        <v>1242</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131754.2315865359</v>
      </c>
    </row>
    <row r="25" spans="2:9" ht="14" customHeight="1" x14ac:dyDescent="0.3">
      <c r="B25" s="4" t="s">
        <v>137</v>
      </c>
      <c r="C25" s="5">
        <f>IFERROR(C24/(1-C13),"N/A")</f>
        <v>175672.30878204785</v>
      </c>
    </row>
    <row r="26" spans="2:9" ht="13.5" customHeight="1" x14ac:dyDescent="0.25">
      <c r="B26" s="6" t="s">
        <v>138</v>
      </c>
      <c r="C26" s="14">
        <f>IFERROR(C25/C15,"N/A")</f>
        <v>0.69232922067008429</v>
      </c>
    </row>
    <row r="27" spans="2:9" ht="13.5" customHeight="1" x14ac:dyDescent="0.25">
      <c r="B27" s="6" t="s">
        <v>139</v>
      </c>
      <c r="C27" s="14">
        <f>IFERROR(C25/C14,"N/A")</f>
        <v>5.4332202017148994</v>
      </c>
    </row>
    <row r="28" spans="2:9" ht="13.5" customHeight="1" x14ac:dyDescent="0.25">
      <c r="B28" s="6" t="s">
        <v>140</v>
      </c>
      <c r="C28" s="7">
        <f>IFERROR(C25/C16,"N/A")</f>
        <v>4.4467834281984059E-2</v>
      </c>
    </row>
    <row r="29" spans="2:9" ht="13.5" customHeight="1" x14ac:dyDescent="0.25">
      <c r="B29" s="6" t="s">
        <v>141</v>
      </c>
      <c r="C29" s="5">
        <f>IFERROR(C25/C18,"N/A")</f>
        <v>3037399.2188497661</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3.3271980783036045E-2</v>
      </c>
      <c r="E36" s="29">
        <f>'DCF Model'!C26-0.01</f>
        <v>4.3271980783036047E-2</v>
      </c>
      <c r="F36" s="29">
        <f>'DCF Model'!C26</f>
        <v>5.3271980783036049E-2</v>
      </c>
      <c r="G36" s="29">
        <f>'DCF Model'!C26+0.01</f>
        <v>6.3271980783036044E-2</v>
      </c>
      <c r="H36" s="29">
        <f>'DCF Model'!C26+0.02</f>
        <v>7.3271980783036053E-2</v>
      </c>
    </row>
    <row r="37" spans="2:9" ht="14" customHeight="1" x14ac:dyDescent="0.3">
      <c r="B37" s="3" t="s">
        <v>147</v>
      </c>
    </row>
    <row r="38" spans="2:9" ht="14" customHeight="1" x14ac:dyDescent="0.3">
      <c r="B38" s="4" t="s">
        <v>148</v>
      </c>
      <c r="C38" s="30">
        <v>3</v>
      </c>
      <c r="D38" s="13">
        <f t="shared" ref="D38:H41" si="0">IFERROR((1-(1+D$36)^(-$C38))/D$36-(1+D$36)/(D$36^2*$C38)*(1-($C38+1)/(1+D$36)^$C38+$C38/(1+D$36)^($C38+1)),"N/A")</f>
        <v>0.95741148902211171</v>
      </c>
      <c r="E38" s="13">
        <f t="shared" si="0"/>
        <v>0.94527054417640621</v>
      </c>
      <c r="F38" s="13">
        <f t="shared" si="0"/>
        <v>0.93341588325515712</v>
      </c>
      <c r="G38" s="13">
        <f t="shared" si="0"/>
        <v>0.92183787074088386</v>
      </c>
      <c r="H38" s="13">
        <f t="shared" si="0"/>
        <v>0.91052728775120784</v>
      </c>
    </row>
    <row r="39" spans="2:9" ht="14" customHeight="1" x14ac:dyDescent="0.3">
      <c r="B39" s="4" t="s">
        <v>149</v>
      </c>
      <c r="C39" s="30">
        <v>5</v>
      </c>
      <c r="D39" s="13">
        <f t="shared" si="0"/>
        <v>1.8742683740014092</v>
      </c>
      <c r="E39" s="13">
        <f t="shared" si="0"/>
        <v>1.8391673108948057</v>
      </c>
      <c r="F39" s="13">
        <f t="shared" si="0"/>
        <v>1.8052098892676423</v>
      </c>
      <c r="G39" s="13">
        <f t="shared" si="0"/>
        <v>1.7723453923595693</v>
      </c>
      <c r="H39" s="13">
        <f t="shared" si="0"/>
        <v>1.74052589177687</v>
      </c>
    </row>
    <row r="40" spans="2:9" ht="14" customHeight="1" x14ac:dyDescent="0.3">
      <c r="B40" s="4" t="s">
        <v>150</v>
      </c>
      <c r="C40" s="30">
        <v>7</v>
      </c>
      <c r="D40" s="13">
        <f t="shared" si="0"/>
        <v>2.7525011208483581</v>
      </c>
      <c r="E40" s="13">
        <f t="shared" si="0"/>
        <v>2.6848269720325511</v>
      </c>
      <c r="F40" s="13">
        <f t="shared" si="0"/>
        <v>2.619950798561975</v>
      </c>
      <c r="G40" s="13">
        <f t="shared" si="0"/>
        <v>2.5577193269715544</v>
      </c>
      <c r="H40" s="13">
        <f t="shared" si="0"/>
        <v>2.4979894695849341</v>
      </c>
    </row>
    <row r="41" spans="2:9" ht="14" customHeight="1" x14ac:dyDescent="0.3">
      <c r="B41" s="4" t="s">
        <v>151</v>
      </c>
      <c r="C41" s="30">
        <v>10</v>
      </c>
      <c r="D41" s="13">
        <f t="shared" si="0"/>
        <v>4.0014130677473743</v>
      </c>
      <c r="E41" s="13">
        <f t="shared" si="0"/>
        <v>3.869234420084422</v>
      </c>
      <c r="F41" s="13">
        <f t="shared" si="0"/>
        <v>3.7442007535035344</v>
      </c>
      <c r="G41" s="13">
        <f t="shared" si="0"/>
        <v>3.6258121971552888</v>
      </c>
      <c r="H41" s="13">
        <f t="shared" si="0"/>
        <v>3.5136104618394661</v>
      </c>
    </row>
    <row r="42" spans="2:9" ht="14" customHeight="1" x14ac:dyDescent="0.3">
      <c r="B42" s="3" t="s">
        <v>152</v>
      </c>
    </row>
    <row r="43" spans="2:9" ht="14" customHeight="1" x14ac:dyDescent="0.3">
      <c r="B43" s="4" t="s">
        <v>148</v>
      </c>
      <c r="C43" s="30">
        <v>3</v>
      </c>
      <c r="D43" s="13">
        <f t="shared" ref="D43:H46" si="1">IFERROR((1+D$36)/(D$36^2*$C43)*(1-($C43+1)/(1+D$36)^$C43+$C43/(1+D$36)^($C43+1))+(1+$C$12)/((D$36-$C$12)*(1+D$36)^$C43),"N/A")</f>
        <v>41.194378616226999</v>
      </c>
      <c r="E43" s="13">
        <f t="shared" si="1"/>
        <v>28.545823426548555</v>
      </c>
      <c r="F43" s="13">
        <f t="shared" si="1"/>
        <v>21.748507375839921</v>
      </c>
      <c r="G43" s="13">
        <f t="shared" si="1"/>
        <v>17.507170790298179</v>
      </c>
      <c r="H43" s="13">
        <f t="shared" si="1"/>
        <v>14.609794219256235</v>
      </c>
    </row>
    <row r="44" spans="2:9" ht="14" customHeight="1" x14ac:dyDescent="0.3">
      <c r="B44" s="4" t="s">
        <v>149</v>
      </c>
      <c r="C44" s="30">
        <v>5</v>
      </c>
      <c r="D44" s="13">
        <f t="shared" si="1"/>
        <v>39.511036987206175</v>
      </c>
      <c r="E44" s="13">
        <f t="shared" si="1"/>
        <v>27.133535784623426</v>
      </c>
      <c r="F44" s="13">
        <f t="shared" si="1"/>
        <v>20.491166145932375</v>
      </c>
      <c r="G44" s="13">
        <f t="shared" si="1"/>
        <v>16.353637084488792</v>
      </c>
      <c r="H44" s="13">
        <f t="shared" si="1"/>
        <v>13.532847519725829</v>
      </c>
    </row>
    <row r="45" spans="2:9" ht="14" customHeight="1" x14ac:dyDescent="0.3">
      <c r="B45" s="4" t="s">
        <v>150</v>
      </c>
      <c r="C45" s="30">
        <v>7</v>
      </c>
      <c r="D45" s="13">
        <f t="shared" si="1"/>
        <v>37.914887286319384</v>
      </c>
      <c r="E45" s="13">
        <f t="shared" si="1"/>
        <v>25.811596215467667</v>
      </c>
      <c r="F45" s="13">
        <f t="shared" si="1"/>
        <v>19.328891861626204</v>
      </c>
      <c r="G45" s="13">
        <f t="shared" si="1"/>
        <v>15.300228205369114</v>
      </c>
      <c r="H45" s="13">
        <f t="shared" si="1"/>
        <v>12.561003037952871</v>
      </c>
    </row>
    <row r="46" spans="2:9" ht="14" customHeight="1" x14ac:dyDescent="0.3">
      <c r="B46" s="4" t="s">
        <v>151</v>
      </c>
      <c r="C46" s="30">
        <v>10</v>
      </c>
      <c r="D46" s="13">
        <f t="shared" si="1"/>
        <v>35.673486223272647</v>
      </c>
      <c r="E46" s="13">
        <f t="shared" si="1"/>
        <v>23.984320491188015</v>
      </c>
      <c r="F46" s="13">
        <f t="shared" si="1"/>
        <v>17.74652100757228</v>
      </c>
      <c r="G46" s="13">
        <f t="shared" si="1"/>
        <v>13.886981925627115</v>
      </c>
      <c r="H46" s="13">
        <f t="shared" si="1"/>
        <v>11.275636029947018</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97798.980776998476</v>
      </c>
      <c r="E48" s="5">
        <f t="shared" si="2"/>
        <v>141147.12108221147</v>
      </c>
      <c r="F48" s="5">
        <f t="shared" si="2"/>
        <v>185279.11008763767</v>
      </c>
      <c r="G48" s="5">
        <f t="shared" si="2"/>
        <v>230186.73276677571</v>
      </c>
      <c r="H48" s="5">
        <f t="shared" si="2"/>
        <v>275861.80125497002</v>
      </c>
    </row>
    <row r="49" spans="2:9" ht="14" customHeight="1" x14ac:dyDescent="0.3">
      <c r="B49" s="4" t="s">
        <v>149</v>
      </c>
      <c r="C49" s="30">
        <v>5</v>
      </c>
      <c r="D49" s="5">
        <f t="shared" si="2"/>
        <v>101215.35180262865</v>
      </c>
      <c r="E49" s="5">
        <f t="shared" si="2"/>
        <v>147428.57190352309</v>
      </c>
      <c r="F49" s="5">
        <f t="shared" si="2"/>
        <v>195272.26260511958</v>
      </c>
      <c r="G49" s="5">
        <f t="shared" si="2"/>
        <v>244741.82494293046</v>
      </c>
      <c r="H49" s="5">
        <f t="shared" si="2"/>
        <v>295831.88597883651</v>
      </c>
    </row>
    <row r="50" spans="2:9" ht="14" customHeight="1" x14ac:dyDescent="0.3">
      <c r="B50" s="4" t="s">
        <v>150</v>
      </c>
      <c r="C50" s="30">
        <v>7</v>
      </c>
      <c r="D50" s="5">
        <f t="shared" si="2"/>
        <v>104727.40112234697</v>
      </c>
      <c r="E50" s="5">
        <f t="shared" si="2"/>
        <v>153919.79962927767</v>
      </c>
      <c r="F50" s="5">
        <f t="shared" si="2"/>
        <v>205651.38381290514</v>
      </c>
      <c r="G50" s="5">
        <f t="shared" si="2"/>
        <v>259932.42948420567</v>
      </c>
      <c r="H50" s="5">
        <f t="shared" si="2"/>
        <v>316770.6211471241</v>
      </c>
    </row>
    <row r="51" spans="2:9" ht="14" customHeight="1" x14ac:dyDescent="0.3">
      <c r="B51" s="4" t="s">
        <v>151</v>
      </c>
      <c r="C51" s="30">
        <v>10</v>
      </c>
      <c r="D51" s="5">
        <f t="shared" si="2"/>
        <v>110175.56609871733</v>
      </c>
      <c r="E51" s="5">
        <f t="shared" si="2"/>
        <v>164049.68708720963</v>
      </c>
      <c r="F51" s="5">
        <f t="shared" si="2"/>
        <v>221940.00635052423</v>
      </c>
      <c r="G51" s="5">
        <f t="shared" si="2"/>
        <v>283898.32027052733</v>
      </c>
      <c r="H51" s="5">
        <f t="shared" si="2"/>
        <v>349968.6093573934</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0.38542837293538873</v>
      </c>
      <c r="E53" s="14">
        <f t="shared" si="3"/>
        <v>0.55626454172645123</v>
      </c>
      <c r="F53" s="14">
        <f t="shared" si="3"/>
        <v>0.73018987900117704</v>
      </c>
      <c r="G53" s="14">
        <f t="shared" si="3"/>
        <v>0.90717200912259233</v>
      </c>
      <c r="H53" s="14">
        <f t="shared" si="3"/>
        <v>1.0871786634992768</v>
      </c>
    </row>
    <row r="54" spans="2:9" ht="14" customHeight="1" x14ac:dyDescent="0.3">
      <c r="B54" s="4" t="s">
        <v>149</v>
      </c>
      <c r="C54" s="30">
        <v>5</v>
      </c>
      <c r="D54" s="14">
        <f t="shared" si="3"/>
        <v>0.39889238161207158</v>
      </c>
      <c r="E54" s="14">
        <f t="shared" si="3"/>
        <v>0.58101990574453122</v>
      </c>
      <c r="F54" s="14">
        <f t="shared" si="3"/>
        <v>0.76957315768882284</v>
      </c>
      <c r="G54" s="14">
        <f t="shared" si="3"/>
        <v>0.96453401280412099</v>
      </c>
      <c r="H54" s="14">
        <f t="shared" si="3"/>
        <v>1.1658812961990239</v>
      </c>
    </row>
    <row r="55" spans="2:9" ht="14" customHeight="1" x14ac:dyDescent="0.3">
      <c r="B55" s="4" t="s">
        <v>150</v>
      </c>
      <c r="C55" s="30">
        <v>7</v>
      </c>
      <c r="D55" s="14">
        <f t="shared" si="3"/>
        <v>0.41273346097929375</v>
      </c>
      <c r="E55" s="14">
        <f t="shared" si="3"/>
        <v>0.6066020060978623</v>
      </c>
      <c r="F55" s="14">
        <f t="shared" si="3"/>
        <v>0.81047754920531223</v>
      </c>
      <c r="G55" s="14">
        <f t="shared" si="3"/>
        <v>1.0244005875448023</v>
      </c>
      <c r="H55" s="14">
        <f t="shared" si="3"/>
        <v>1.2484014059498627</v>
      </c>
    </row>
    <row r="56" spans="2:9" ht="14" customHeight="1" x14ac:dyDescent="0.3">
      <c r="B56" s="4" t="s">
        <v>151</v>
      </c>
      <c r="C56" s="30">
        <v>10</v>
      </c>
      <c r="D56" s="14">
        <f t="shared" si="3"/>
        <v>0.43420482341725353</v>
      </c>
      <c r="E56" s="14">
        <f t="shared" si="3"/>
        <v>0.64652416080652964</v>
      </c>
      <c r="F56" s="14">
        <f t="shared" si="3"/>
        <v>0.87467144194483437</v>
      </c>
      <c r="G56" s="14">
        <f t="shared" si="3"/>
        <v>1.1188507977446582</v>
      </c>
      <c r="H56" s="14">
        <f t="shared" si="3"/>
        <v>1.379235556561192</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195272.26260511958</v>
      </c>
    </row>
    <row r="62" spans="2:9" ht="14" customHeight="1" x14ac:dyDescent="0.3">
      <c r="B62" s="28" t="s">
        <v>158</v>
      </c>
      <c r="C62" s="28" t="s">
        <v>159</v>
      </c>
      <c r="D62" s="28" t="s">
        <v>160</v>
      </c>
    </row>
    <row r="63" spans="2:9" ht="14" customHeight="1" x14ac:dyDescent="0.3">
      <c r="B63" s="31">
        <v>2.8899999999999999E-2</v>
      </c>
      <c r="C63" s="5">
        <f>IFERROR($C$60/B63,"N/A")</f>
        <v>6756825.6956788786</v>
      </c>
      <c r="D63" s="14">
        <f>IFERROR(C63/'DCF Model'!C17,"N/A")</f>
        <v>1.8242029120177707</v>
      </c>
    </row>
    <row r="64" spans="2:9" ht="14" customHeight="1" x14ac:dyDescent="0.3">
      <c r="B64" s="31">
        <v>4.3400000000000001E-2</v>
      </c>
      <c r="C64" s="5">
        <f>IFERROR($C$60/B64,"N/A")</f>
        <v>4499360.889518884</v>
      </c>
      <c r="D64" s="14">
        <f>IFERROR(C64/'DCF Model'!C17,"N/A")</f>
        <v>1.2147341971731236</v>
      </c>
    </row>
    <row r="65" spans="2:9" ht="14" customHeight="1" x14ac:dyDescent="0.3">
      <c r="B65" s="4" t="s">
        <v>161</v>
      </c>
      <c r="C65" s="5">
        <f>IFERROR($C$60/$C$18,"N/A")</f>
        <v>3376285.2097292421</v>
      </c>
      <c r="D65" s="14">
        <f>IFERROR(C65/'DCF Model'!C17,"N/A")</f>
        <v>0.91152703781147293</v>
      </c>
    </row>
    <row r="66" spans="2:9" ht="14" customHeight="1" x14ac:dyDescent="0.3">
      <c r="B66" s="31">
        <v>7.2300000000000003E-2</v>
      </c>
      <c r="C66" s="5">
        <f>IFERROR($C$60/B66,"N/A")</f>
        <v>2700861.1701952913</v>
      </c>
      <c r="D66" s="14">
        <f>IFERROR(C66/'DCF Model'!C17,"N/A")</f>
        <v>0.72917654436118351</v>
      </c>
    </row>
    <row r="67" spans="2:9" ht="14" customHeight="1" x14ac:dyDescent="0.3">
      <c r="B67" s="31">
        <v>8.6800000000000002E-2</v>
      </c>
      <c r="C67" s="5">
        <f>IFERROR($C$60/B67,"N/A")</f>
        <v>2249680.444759442</v>
      </c>
      <c r="D67" s="14">
        <f>IFERROR(C67/'DCF Model'!C17,"N/A")</f>
        <v>0.60736709858656179</v>
      </c>
    </row>
    <row r="69" spans="2:9" ht="14" customHeight="1" x14ac:dyDescent="0.3">
      <c r="B69" s="8" t="s">
        <v>162</v>
      </c>
      <c r="C69" s="9"/>
      <c r="D69" s="9"/>
      <c r="E69" s="9"/>
      <c r="F69" s="9"/>
      <c r="G69" s="9"/>
      <c r="H69" s="9"/>
      <c r="I69" s="9"/>
    </row>
    <row r="70" spans="2:9" ht="13.5" customHeight="1" x14ac:dyDescent="0.25">
      <c r="B70" s="6" t="s">
        <v>163</v>
      </c>
      <c r="C70" s="14">
        <f>IFERROR(C10/'Comps Analysis'!G5,"N/A")</f>
        <v>10.032598013320044</v>
      </c>
    </row>
    <row r="71" spans="2:9" ht="13.5" customHeight="1" x14ac:dyDescent="0.25">
      <c r="B71" s="6" t="s">
        <v>164</v>
      </c>
      <c r="C71" s="14">
        <f>IFERROR(C10/'Comps Analysis'!F5,"N/A")</f>
        <v>0.82203105708293334</v>
      </c>
    </row>
    <row r="72" spans="2:9" ht="14" customHeight="1" x14ac:dyDescent="0.3">
      <c r="B72" s="4" t="s">
        <v>165</v>
      </c>
      <c r="C72" s="14">
        <f>IFERROR(C10/(C25+'DCF Model'!G42),"N/A")</f>
        <v>6.5611732327882617</v>
      </c>
    </row>
    <row r="73" spans="2:9" ht="14" customHeight="1" x14ac:dyDescent="0.3">
      <c r="B73" s="4" t="s">
        <v>166</v>
      </c>
      <c r="C73" s="14">
        <f>IFERROR(C10/(C60+'DCF Model'!G42),"N/A")</f>
        <v>6.2952879168319873</v>
      </c>
    </row>
    <row r="74" spans="2:9" ht="14" customHeight="1" x14ac:dyDescent="0.3">
      <c r="B74" s="4" t="s">
        <v>167</v>
      </c>
      <c r="C74" s="14">
        <f>IFERROR('Comps Analysis'!D16,"N/A")</f>
        <v>6.5355004397208241</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FY2024 cycle peak of "&amp;TEXT(C15,"#,##0")&amp;" mn - reached in 5 years and sustained for ever, against "&amp;TEXT(C14,"#,##0")&amp;" mn actually earned in FY2026."</f>
        <v>At 1,238 yen the market is paying for a steady-state operating profit of 195,272 mn JPY - 0.77x the FY2024 cycle peak of 253,741 mn - reached in 5 years and sustained for ever, against 32,333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175,672 mn, or 0.69x the peak. The base case supports an EV of only 1,357,000 mn, leaving 1,242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66.211845178764079</v>
      </c>
      <c r="D5" s="34">
        <f>CHOOSE('DCF Model'!$D$27,D25,D26,D27,D28,D29)</f>
        <v>68</v>
      </c>
      <c r="E5" s="34">
        <f>CHOOSE('DCF Model'!$D$27,E25,E26,E27,E28,E29)</f>
        <v>68</v>
      </c>
      <c r="F5" s="34">
        <f>CHOOSE('DCF Model'!$D$27,F25,F26,F27,F28,F29)</f>
        <v>68</v>
      </c>
      <c r="G5" s="34">
        <f>CHOOSE('DCF Model'!$D$27,G25,G26,G27,G28,G29)</f>
        <v>68</v>
      </c>
      <c r="H5" s="34">
        <f>CHOOSE('DCF Model'!$D$27,H25,H26,H27,H28,H29)</f>
        <v>68</v>
      </c>
    </row>
    <row r="6" spans="2:8" ht="14" customHeight="1" x14ac:dyDescent="0.3">
      <c r="B6" s="33" t="s">
        <v>174</v>
      </c>
      <c r="C6" s="34">
        <f>C13/C10*365</f>
        <v>92.761703317196407</v>
      </c>
      <c r="D6" s="34">
        <f>CHOOSE('DCF Model'!$D$27,D32,D33,D34,D35,D36)</f>
        <v>91</v>
      </c>
      <c r="E6" s="34">
        <f>CHOOSE('DCF Model'!$D$27,E32,E33,E34,E35,E36)</f>
        <v>91</v>
      </c>
      <c r="F6" s="34">
        <f>CHOOSE('DCF Model'!$D$27,F32,F33,F34,F35,F36)</f>
        <v>91</v>
      </c>
      <c r="G6" s="34">
        <f>CHOOSE('DCF Model'!$D$27,G32,G33,G34,G35,G36)</f>
        <v>91</v>
      </c>
      <c r="H6" s="34">
        <f>CHOOSE('DCF Model'!$D$27,H32,H33,H34,H35,H36)</f>
        <v>91</v>
      </c>
    </row>
    <row r="7" spans="2:8" ht="14" customHeight="1" x14ac:dyDescent="0.3">
      <c r="B7" s="33" t="s">
        <v>175</v>
      </c>
      <c r="C7" s="34">
        <f>C15/C10*365</f>
        <v>53.187779493681084</v>
      </c>
      <c r="D7" s="34">
        <f>CHOOSE('DCF Model'!$D$27,D39,D40,D41,D42,D43)</f>
        <v>54</v>
      </c>
      <c r="E7" s="34">
        <f>CHOOSE('DCF Model'!$D$27,E39,E40,E41,E42,E43)</f>
        <v>54</v>
      </c>
      <c r="F7" s="34">
        <f>CHOOSE('DCF Model'!$D$27,F39,F40,F41,F42,F43)</f>
        <v>54</v>
      </c>
      <c r="G7" s="34">
        <f>CHOOSE('DCF Model'!$D$27,G39,G40,G41,G42,G43)</f>
        <v>54</v>
      </c>
      <c r="H7" s="34">
        <f>CHOOSE('DCF Model'!$D$27,H39,H40,H41,H42,H43)</f>
        <v>54</v>
      </c>
    </row>
    <row r="8" spans="2:8" ht="14" customHeight="1" x14ac:dyDescent="0.3">
      <c r="B8" s="8" t="s">
        <v>176</v>
      </c>
      <c r="C8" s="9"/>
      <c r="D8" s="9"/>
      <c r="E8" s="9"/>
      <c r="F8" s="9"/>
      <c r="G8" s="9"/>
      <c r="H8" s="9"/>
    </row>
    <row r="9" spans="2:8" ht="14" customHeight="1" x14ac:dyDescent="0.3">
      <c r="B9" s="33" t="s">
        <v>31</v>
      </c>
      <c r="C9" s="35">
        <v>3703988</v>
      </c>
      <c r="D9" s="35">
        <f>'DCF Model'!C33</f>
        <v>3703988</v>
      </c>
      <c r="E9" s="35">
        <f>'DCF Model'!D33</f>
        <v>3741027.88</v>
      </c>
      <c r="F9" s="35">
        <f>'DCF Model'!E33</f>
        <v>3797143.2981999996</v>
      </c>
      <c r="G9" s="35">
        <f>'DCF Model'!F33</f>
        <v>3873086.1641639997</v>
      </c>
      <c r="H9" s="35">
        <f>'DCF Model'!G33</f>
        <v>3950547.8874472799</v>
      </c>
    </row>
    <row r="10" spans="2:8" ht="14" customHeight="1" x14ac:dyDescent="0.3">
      <c r="B10" s="33" t="s">
        <v>32</v>
      </c>
      <c r="C10" s="35">
        <v>2632886</v>
      </c>
      <c r="D10" s="35">
        <f>'DCF Model'!C34</f>
        <v>2829846.8319999999</v>
      </c>
      <c r="E10" s="35">
        <f>'DCF Model'!D34</f>
        <v>2835699.1330399998</v>
      </c>
      <c r="F10" s="35">
        <f>'DCF Model'!E34</f>
        <v>2855451.7602463998</v>
      </c>
      <c r="G10" s="35">
        <f>'DCF Model'!F34</f>
        <v>2897068.4507946717</v>
      </c>
      <c r="H10" s="35">
        <f>'DCF Model'!G34</f>
        <v>2949874.1075568842</v>
      </c>
    </row>
    <row r="11" spans="2:8" ht="14" customHeight="1" x14ac:dyDescent="0.3">
      <c r="B11" s="8" t="s">
        <v>177</v>
      </c>
      <c r="C11" s="9"/>
      <c r="D11" s="9"/>
      <c r="E11" s="9"/>
      <c r="F11" s="9"/>
      <c r="G11" s="9"/>
      <c r="H11" s="9"/>
    </row>
    <row r="12" spans="2:8" ht="14" customHeight="1" x14ac:dyDescent="0.3">
      <c r="B12" s="33" t="s">
        <v>178</v>
      </c>
      <c r="C12" s="35">
        <v>671912</v>
      </c>
      <c r="D12" s="35">
        <f t="shared" ref="D12:H13" si="0">D9*D5/365</f>
        <v>690058.03835616435</v>
      </c>
      <c r="E12" s="35">
        <f t="shared" si="0"/>
        <v>696958.61873972602</v>
      </c>
      <c r="F12" s="35">
        <f t="shared" si="0"/>
        <v>707412.99802082183</v>
      </c>
      <c r="G12" s="35">
        <f t="shared" si="0"/>
        <v>721561.2579812383</v>
      </c>
      <c r="H12" s="35">
        <f t="shared" si="0"/>
        <v>735992.48314086313</v>
      </c>
    </row>
    <row r="13" spans="2:8" ht="14" customHeight="1" x14ac:dyDescent="0.3">
      <c r="B13" s="33" t="s">
        <v>179</v>
      </c>
      <c r="C13" s="35">
        <v>669126</v>
      </c>
      <c r="D13" s="35">
        <f t="shared" si="0"/>
        <v>705523.45674520545</v>
      </c>
      <c r="E13" s="35">
        <f t="shared" si="0"/>
        <v>706982.52357983554</v>
      </c>
      <c r="F13" s="35">
        <f t="shared" si="0"/>
        <v>711907.15118471882</v>
      </c>
      <c r="G13" s="35">
        <f t="shared" si="0"/>
        <v>722282.81923921953</v>
      </c>
      <c r="H13" s="35">
        <f t="shared" si="0"/>
        <v>735448.06517171627</v>
      </c>
    </row>
    <row r="14" spans="2:8" ht="14" customHeight="1" x14ac:dyDescent="0.3">
      <c r="B14" s="33" t="s">
        <v>180</v>
      </c>
      <c r="C14" s="35">
        <f t="shared" ref="C14:H14" si="1">C12+C13</f>
        <v>1341038</v>
      </c>
      <c r="D14" s="35">
        <f t="shared" si="1"/>
        <v>1395581.4951013699</v>
      </c>
      <c r="E14" s="35">
        <f t="shared" si="1"/>
        <v>1403941.1423195614</v>
      </c>
      <c r="F14" s="35">
        <f t="shared" si="1"/>
        <v>1419320.1492055408</v>
      </c>
      <c r="G14" s="35">
        <f t="shared" si="1"/>
        <v>1443844.0772204578</v>
      </c>
      <c r="H14" s="35">
        <f t="shared" si="1"/>
        <v>1471440.5483125793</v>
      </c>
    </row>
    <row r="15" spans="2:8" ht="14" customHeight="1" x14ac:dyDescent="0.3">
      <c r="B15" s="33" t="s">
        <v>181</v>
      </c>
      <c r="C15" s="35">
        <v>383664</v>
      </c>
      <c r="D15" s="35">
        <f>D10*D7/365</f>
        <v>418662.27103561646</v>
      </c>
      <c r="E15" s="35">
        <f>E10*E7/365</f>
        <v>419528.09091550682</v>
      </c>
      <c r="F15" s="35">
        <f>F10*F7/365</f>
        <v>422450.39740631671</v>
      </c>
      <c r="G15" s="35">
        <f>G10*G7/365</f>
        <v>428607.38724085549</v>
      </c>
      <c r="H15" s="35">
        <f>H10*H7/365</f>
        <v>436419.73098101845</v>
      </c>
    </row>
    <row r="16" spans="2:8" ht="14" customHeight="1" x14ac:dyDescent="0.3">
      <c r="B16" s="33" t="s">
        <v>182</v>
      </c>
      <c r="C16" s="35">
        <f t="shared" ref="C16:H16" si="2">C15</f>
        <v>383664</v>
      </c>
      <c r="D16" s="35">
        <f t="shared" si="2"/>
        <v>418662.27103561646</v>
      </c>
      <c r="E16" s="35">
        <f t="shared" si="2"/>
        <v>419528.09091550682</v>
      </c>
      <c r="F16" s="35">
        <f t="shared" si="2"/>
        <v>422450.39740631671</v>
      </c>
      <c r="G16" s="35">
        <f t="shared" si="2"/>
        <v>428607.38724085549</v>
      </c>
      <c r="H16" s="35">
        <f t="shared" si="2"/>
        <v>436419.73098101845</v>
      </c>
    </row>
    <row r="17" spans="2:8" ht="14" customHeight="1" x14ac:dyDescent="0.3">
      <c r="B17" s="22" t="s">
        <v>183</v>
      </c>
      <c r="C17" s="23"/>
      <c r="D17" s="23"/>
      <c r="E17" s="23"/>
      <c r="F17" s="23"/>
      <c r="G17" s="23"/>
      <c r="H17" s="23"/>
    </row>
    <row r="18" spans="2:8" ht="14" customHeight="1" x14ac:dyDescent="0.3">
      <c r="B18" s="33" t="s">
        <v>184</v>
      </c>
      <c r="C18" s="20">
        <f t="shared" ref="C18:H18" si="3">C14-C16</f>
        <v>957374</v>
      </c>
      <c r="D18" s="20">
        <f t="shared" si="3"/>
        <v>976919.2240657534</v>
      </c>
      <c r="E18" s="20">
        <f t="shared" si="3"/>
        <v>984413.05140405463</v>
      </c>
      <c r="F18" s="20">
        <f t="shared" si="3"/>
        <v>996869.75179922406</v>
      </c>
      <c r="G18" s="20">
        <f t="shared" si="3"/>
        <v>1015236.6899796023</v>
      </c>
      <c r="H18" s="20">
        <f t="shared" si="3"/>
        <v>1035020.8173315609</v>
      </c>
    </row>
    <row r="19" spans="2:8" ht="14" customHeight="1" x14ac:dyDescent="0.3">
      <c r="B19" s="33" t="s">
        <v>93</v>
      </c>
      <c r="C19" s="36" t="s">
        <v>41</v>
      </c>
      <c r="D19" s="24">
        <f>D18-C18</f>
        <v>19545.224065753398</v>
      </c>
      <c r="E19" s="24">
        <f>E18-D18</f>
        <v>7493.8273383012274</v>
      </c>
      <c r="F19" s="24">
        <f>F18-E18</f>
        <v>12456.700395169435</v>
      </c>
      <c r="G19" s="24">
        <f>G18-F18</f>
        <v>18366.938180378289</v>
      </c>
      <c r="H19" s="24">
        <f>H18-G18</f>
        <v>19784.127351958537</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68</v>
      </c>
      <c r="E25" s="30">
        <v>68</v>
      </c>
      <c r="F25" s="30">
        <v>68</v>
      </c>
      <c r="G25" s="30">
        <v>68</v>
      </c>
      <c r="H25" s="30">
        <v>68</v>
      </c>
    </row>
    <row r="26" spans="2:8" ht="14" customHeight="1" x14ac:dyDescent="0.3">
      <c r="B26" s="4" t="s">
        <v>114</v>
      </c>
      <c r="D26" s="30">
        <v>65</v>
      </c>
      <c r="E26" s="30">
        <v>65</v>
      </c>
      <c r="F26" s="30">
        <v>65</v>
      </c>
      <c r="G26" s="30">
        <v>65</v>
      </c>
      <c r="H26" s="30">
        <v>65</v>
      </c>
    </row>
    <row r="27" spans="2:8" ht="14" customHeight="1" x14ac:dyDescent="0.3">
      <c r="B27" s="4" t="s">
        <v>115</v>
      </c>
      <c r="D27" s="30">
        <v>68</v>
      </c>
      <c r="E27" s="30">
        <v>68</v>
      </c>
      <c r="F27" s="30">
        <v>68</v>
      </c>
      <c r="G27" s="30">
        <v>68</v>
      </c>
      <c r="H27" s="30">
        <v>68</v>
      </c>
    </row>
    <row r="28" spans="2:8" ht="14" customHeight="1" x14ac:dyDescent="0.3">
      <c r="B28" s="4" t="s">
        <v>116</v>
      </c>
      <c r="D28" s="30">
        <v>72</v>
      </c>
      <c r="E28" s="30">
        <v>72</v>
      </c>
      <c r="F28" s="30">
        <v>72</v>
      </c>
      <c r="G28" s="30">
        <v>72</v>
      </c>
      <c r="H28" s="30">
        <v>72</v>
      </c>
    </row>
    <row r="29" spans="2:8" ht="14" customHeight="1" x14ac:dyDescent="0.3">
      <c r="B29" s="4" t="s">
        <v>117</v>
      </c>
      <c r="D29" s="30">
        <v>76</v>
      </c>
      <c r="E29" s="30">
        <v>76</v>
      </c>
      <c r="F29" s="30">
        <v>76</v>
      </c>
      <c r="G29" s="30">
        <v>76</v>
      </c>
      <c r="H29" s="30">
        <v>76</v>
      </c>
    </row>
    <row r="31" spans="2:8" ht="14" customHeight="1" x14ac:dyDescent="0.3">
      <c r="B31" s="3" t="s">
        <v>187</v>
      </c>
    </row>
    <row r="32" spans="2:8" ht="14" customHeight="1" x14ac:dyDescent="0.3">
      <c r="B32" s="4" t="s">
        <v>77</v>
      </c>
      <c r="D32" s="30">
        <v>91</v>
      </c>
      <c r="E32" s="30">
        <v>91</v>
      </c>
      <c r="F32" s="30">
        <v>91</v>
      </c>
      <c r="G32" s="30">
        <v>91</v>
      </c>
      <c r="H32" s="30">
        <v>91</v>
      </c>
    </row>
    <row r="33" spans="2:8" ht="14" customHeight="1" x14ac:dyDescent="0.3">
      <c r="B33" s="4" t="s">
        <v>114</v>
      </c>
      <c r="D33" s="30">
        <v>86</v>
      </c>
      <c r="E33" s="30">
        <v>86</v>
      </c>
      <c r="F33" s="30">
        <v>86</v>
      </c>
      <c r="G33" s="30">
        <v>86</v>
      </c>
      <c r="H33" s="30">
        <v>86</v>
      </c>
    </row>
    <row r="34" spans="2:8" ht="14" customHeight="1" x14ac:dyDescent="0.3">
      <c r="B34" s="4" t="s">
        <v>115</v>
      </c>
      <c r="D34" s="30">
        <v>91</v>
      </c>
      <c r="E34" s="30">
        <v>91</v>
      </c>
      <c r="F34" s="30">
        <v>91</v>
      </c>
      <c r="G34" s="30">
        <v>91</v>
      </c>
      <c r="H34" s="30">
        <v>91</v>
      </c>
    </row>
    <row r="35" spans="2:8" ht="14" customHeight="1" x14ac:dyDescent="0.3">
      <c r="B35" s="4" t="s">
        <v>116</v>
      </c>
      <c r="D35" s="30">
        <v>97</v>
      </c>
      <c r="E35" s="30">
        <v>97</v>
      </c>
      <c r="F35" s="30">
        <v>97</v>
      </c>
      <c r="G35" s="30">
        <v>97</v>
      </c>
      <c r="H35" s="30">
        <v>97</v>
      </c>
    </row>
    <row r="36" spans="2:8" ht="14" customHeight="1" x14ac:dyDescent="0.3">
      <c r="B36" s="4" t="s">
        <v>117</v>
      </c>
      <c r="D36" s="30">
        <v>103</v>
      </c>
      <c r="E36" s="30">
        <v>103</v>
      </c>
      <c r="F36" s="30">
        <v>103</v>
      </c>
      <c r="G36" s="30">
        <v>103</v>
      </c>
      <c r="H36" s="30">
        <v>103</v>
      </c>
    </row>
    <row r="38" spans="2:8" ht="14" customHeight="1" x14ac:dyDescent="0.3">
      <c r="B38" s="3" t="s">
        <v>188</v>
      </c>
    </row>
    <row r="39" spans="2:8" ht="14" customHeight="1" x14ac:dyDescent="0.3">
      <c r="B39" s="4" t="s">
        <v>77</v>
      </c>
      <c r="D39" s="30">
        <v>54</v>
      </c>
      <c r="E39" s="30">
        <v>54</v>
      </c>
      <c r="F39" s="30">
        <v>54</v>
      </c>
      <c r="G39" s="30">
        <v>54</v>
      </c>
      <c r="H39" s="30">
        <v>54</v>
      </c>
    </row>
    <row r="40" spans="2:8" ht="14" customHeight="1" x14ac:dyDescent="0.3">
      <c r="B40" s="4" t="s">
        <v>114</v>
      </c>
      <c r="D40" s="30">
        <v>56</v>
      </c>
      <c r="E40" s="30">
        <v>56</v>
      </c>
      <c r="F40" s="30">
        <v>56</v>
      </c>
      <c r="G40" s="30">
        <v>56</v>
      </c>
      <c r="H40" s="30">
        <v>56</v>
      </c>
    </row>
    <row r="41" spans="2:8" ht="14" customHeight="1" x14ac:dyDescent="0.3">
      <c r="B41" s="4" t="s">
        <v>115</v>
      </c>
      <c r="D41" s="30">
        <v>54</v>
      </c>
      <c r="E41" s="30">
        <v>54</v>
      </c>
      <c r="F41" s="30">
        <v>54</v>
      </c>
      <c r="G41" s="30">
        <v>54</v>
      </c>
      <c r="H41" s="30">
        <v>54</v>
      </c>
    </row>
    <row r="42" spans="2:8" ht="14" customHeight="1" x14ac:dyDescent="0.3">
      <c r="B42" s="4" t="s">
        <v>116</v>
      </c>
      <c r="D42" s="30">
        <v>51</v>
      </c>
      <c r="E42" s="30">
        <v>51</v>
      </c>
      <c r="F42" s="30">
        <v>51</v>
      </c>
      <c r="G42" s="30">
        <v>51</v>
      </c>
      <c r="H42" s="30">
        <v>51</v>
      </c>
    </row>
    <row r="43" spans="2:8" ht="14" customHeight="1" x14ac:dyDescent="0.3">
      <c r="B43" s="4" t="s">
        <v>117</v>
      </c>
      <c r="D43" s="30">
        <v>48</v>
      </c>
      <c r="E43" s="30">
        <v>48</v>
      </c>
      <c r="F43" s="30">
        <v>48</v>
      </c>
      <c r="G43" s="30">
        <v>48</v>
      </c>
      <c r="H43" s="30">
        <v>48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1681376.1710625</v>
      </c>
      <c r="E5" s="37">
        <f>D5+C24</f>
        <v>3044793.1710625002</v>
      </c>
      <c r="F5" s="37">
        <v>3703988</v>
      </c>
      <c r="G5" s="37">
        <v>303490</v>
      </c>
      <c r="H5" s="37">
        <v>32333</v>
      </c>
      <c r="I5" s="37">
        <v>11829</v>
      </c>
      <c r="J5" s="38">
        <f t="shared" ref="J5:J10" si="0">IFERROR(E5/G5,"")</f>
        <v>10.032598013320044</v>
      </c>
      <c r="K5" s="38">
        <f t="shared" ref="K5:K10" si="1">IFERROR(E5/F5,"")</f>
        <v>0.82203105708293334</v>
      </c>
      <c r="L5" s="38">
        <f t="shared" ref="L5:L10" si="2">IFERROR(D5/I5,"")</f>
        <v>142.14017846500127</v>
      </c>
      <c r="M5" s="38">
        <f t="shared" ref="M5:M10" si="3">IFERROR(D5/P5,"")</f>
        <v>0.95441904497850061</v>
      </c>
      <c r="N5" s="39">
        <f t="shared" ref="N5:N10" si="4">IFERROR(H5/F5,"")</f>
        <v>8.7292399435419336E-3</v>
      </c>
      <c r="O5" s="39">
        <f t="shared" ref="O5:O10" si="5">IFERROR(I5/P5,"")</f>
        <v>6.7146323811145643E-3</v>
      </c>
      <c r="P5" s="37">
        <v>1761675</v>
      </c>
    </row>
    <row r="6" spans="2:17" ht="14" customHeight="1" x14ac:dyDescent="0.3">
      <c r="B6" s="4" t="s">
        <v>207</v>
      </c>
      <c r="C6" t="s">
        <v>208</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customHeight="1" x14ac:dyDescent="0.3">
      <c r="B7" s="4" t="s">
        <v>209</v>
      </c>
      <c r="C7" t="s">
        <v>210</v>
      </c>
      <c r="D7" s="37">
        <v>804059</v>
      </c>
      <c r="E7" s="37">
        <v>1361137</v>
      </c>
      <c r="F7" s="37">
        <v>1668754</v>
      </c>
      <c r="G7" s="37">
        <v>156370</v>
      </c>
      <c r="H7" s="37">
        <v>56602</v>
      </c>
      <c r="I7" s="37">
        <v>34378</v>
      </c>
      <c r="J7" s="38">
        <f t="shared" si="0"/>
        <v>8.7045916735946793</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customHeight="1" x14ac:dyDescent="0.3">
      <c r="B8" s="4" t="s">
        <v>211</v>
      </c>
      <c r="C8" t="s">
        <v>212</v>
      </c>
      <c r="D8" s="37">
        <v>2160016</v>
      </c>
      <c r="E8" s="37">
        <v>2794214</v>
      </c>
      <c r="F8" s="37">
        <v>3074505</v>
      </c>
      <c r="G8" s="37">
        <v>427544</v>
      </c>
      <c r="H8" s="37">
        <v>231200</v>
      </c>
      <c r="I8" s="37">
        <v>158794</v>
      </c>
      <c r="J8" s="38">
        <f t="shared" si="0"/>
        <v>6.5355004397208241</v>
      </c>
      <c r="K8" s="38">
        <f t="shared" si="1"/>
        <v>0.90883377974665835</v>
      </c>
      <c r="L8" s="38">
        <f t="shared" si="2"/>
        <v>13.602629822285477</v>
      </c>
      <c r="M8" s="38">
        <f t="shared" si="3"/>
        <v>1.0342630619035376</v>
      </c>
      <c r="N8" s="39">
        <f t="shared" si="4"/>
        <v>7.5199097090425937E-2</v>
      </c>
      <c r="O8" s="39">
        <f t="shared" si="5"/>
        <v>7.6034051901425884E-2</v>
      </c>
      <c r="P8" s="37">
        <v>2088459</v>
      </c>
    </row>
    <row r="9" spans="2:17" ht="14" customHeight="1" x14ac:dyDescent="0.3">
      <c r="B9" s="4" t="s">
        <v>213</v>
      </c>
      <c r="C9" t="s">
        <v>214</v>
      </c>
      <c r="D9" s="37">
        <v>2368140</v>
      </c>
      <c r="E9" s="37">
        <v>3084852</v>
      </c>
      <c r="F9" s="37">
        <v>1359611</v>
      </c>
      <c r="G9" s="37">
        <v>320233</v>
      </c>
      <c r="H9" s="37">
        <v>193329</v>
      </c>
      <c r="I9" s="37">
        <v>123891</v>
      </c>
      <c r="J9" s="38">
        <f t="shared" si="0"/>
        <v>9.6331483638475728</v>
      </c>
      <c r="K9" s="38">
        <f t="shared" si="1"/>
        <v>2.2689225079820625</v>
      </c>
      <c r="L9" s="38">
        <f t="shared" si="2"/>
        <v>19.11470566869264</v>
      </c>
      <c r="M9" s="38">
        <f t="shared" si="3"/>
        <v>1.9453126732749719</v>
      </c>
      <c r="N9" s="39">
        <f t="shared" si="4"/>
        <v>0.14219434823637056</v>
      </c>
      <c r="O9" s="39">
        <f t="shared" si="5"/>
        <v>0.10177047488945314</v>
      </c>
      <c r="P9" s="37">
        <v>1217357</v>
      </c>
    </row>
    <row r="10" spans="2:17" ht="14" customHeight="1" x14ac:dyDescent="0.3">
      <c r="B10" s="4" t="s">
        <v>215</v>
      </c>
      <c r="C10" t="s">
        <v>216</v>
      </c>
      <c r="D10" s="37">
        <v>553934</v>
      </c>
      <c r="E10" s="37">
        <v>734751</v>
      </c>
      <c r="F10" s="37">
        <v>808447</v>
      </c>
      <c r="G10" s="37">
        <v>143585</v>
      </c>
      <c r="H10" s="37">
        <v>58883</v>
      </c>
      <c r="I10" s="37">
        <v>7468</v>
      </c>
      <c r="J10" s="38">
        <f t="shared" si="0"/>
        <v>5.1171849427168574</v>
      </c>
      <c r="K10" s="38">
        <f t="shared" si="1"/>
        <v>0.90884250915644438</v>
      </c>
      <c r="L10" s="38">
        <f t="shared" si="2"/>
        <v>74.174343867166584</v>
      </c>
      <c r="M10" s="38">
        <f t="shared" si="3"/>
        <v>0.74568956233307482</v>
      </c>
      <c r="N10" s="39">
        <f t="shared" si="4"/>
        <v>7.2834706542296526E-2</v>
      </c>
      <c r="O10" s="39">
        <f t="shared" si="5"/>
        <v>1.005320065477729E-2</v>
      </c>
      <c r="P10" s="37">
        <v>742848</v>
      </c>
    </row>
    <row r="14" spans="2:17" ht="14" customHeight="1" x14ac:dyDescent="0.3">
      <c r="B14" s="3" t="s">
        <v>217</v>
      </c>
    </row>
    <row r="15" spans="2:17" ht="14" customHeight="1" x14ac:dyDescent="0.3">
      <c r="B15" s="4" t="s">
        <v>218</v>
      </c>
      <c r="D15" s="38">
        <f t="shared" ref="D15:I15" si="6">PERCENTILE(J6:J10,0.25)</f>
        <v>6.090896723655737</v>
      </c>
      <c r="E15" s="38">
        <f t="shared" si="6"/>
        <v>0.82680807295636916</v>
      </c>
      <c r="F15" s="38">
        <f t="shared" si="6"/>
        <v>16.11841436001772</v>
      </c>
      <c r="G15" s="38">
        <f t="shared" si="6"/>
        <v>0.92984144128725021</v>
      </c>
      <c r="H15" s="39">
        <f t="shared" si="6"/>
        <v>7.2834706542296526E-2</v>
      </c>
      <c r="I15" s="39">
        <f t="shared" si="6"/>
        <v>3.9755899838908697E-2</v>
      </c>
    </row>
    <row r="16" spans="2:17" ht="14" customHeight="1" x14ac:dyDescent="0.3">
      <c r="B16" s="4" t="s">
        <v>219</v>
      </c>
      <c r="D16" s="38">
        <f t="shared" ref="D16:I16" si="7">MEDIAN(J6:J10)</f>
        <v>6.5355004397208241</v>
      </c>
      <c r="E16" s="38">
        <f t="shared" si="7"/>
        <v>0.90883377974665835</v>
      </c>
      <c r="F16" s="38">
        <f t="shared" si="7"/>
        <v>19.11470566869264</v>
      </c>
      <c r="G16" s="38">
        <f t="shared" si="7"/>
        <v>0.9739501746899798</v>
      </c>
      <c r="H16" s="39">
        <f t="shared" si="7"/>
        <v>7.5199097090425937E-2</v>
      </c>
      <c r="I16" s="39">
        <f t="shared" si="7"/>
        <v>6.0424688988384406E-2</v>
      </c>
    </row>
    <row r="17" spans="2:9" ht="14" customHeight="1" x14ac:dyDescent="0.3">
      <c r="B17" s="4" t="s">
        <v>220</v>
      </c>
      <c r="D17" s="38">
        <f t="shared" ref="D17:I17" si="8">PERCENTILE(J6:J10,0.75)</f>
        <v>8.7045916735946793</v>
      </c>
      <c r="E17" s="38">
        <f t="shared" si="8"/>
        <v>0.90884250915644438</v>
      </c>
      <c r="F17" s="38">
        <f t="shared" si="8"/>
        <v>23.388766071324685</v>
      </c>
      <c r="G17" s="38">
        <f t="shared" si="8"/>
        <v>1.0342630619035376</v>
      </c>
      <c r="H17" s="39">
        <f t="shared" si="8"/>
        <v>8.3750802550123141E-2</v>
      </c>
      <c r="I17" s="39">
        <f t="shared" si="8"/>
        <v>7.6034051901425884E-2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297864</v>
      </c>
    </row>
    <row r="22" spans="2:9" ht="14" customHeight="1" x14ac:dyDescent="0.3">
      <c r="B22" s="4" t="s">
        <v>224</v>
      </c>
      <c r="C22" s="5">
        <v>11829</v>
      </c>
    </row>
    <row r="23" spans="2:9" ht="14" customHeight="1" x14ac:dyDescent="0.3">
      <c r="B23" s="4" t="s">
        <v>225</v>
      </c>
      <c r="C23" s="15">
        <v>1358687815</v>
      </c>
    </row>
    <row r="24" spans="2:9" ht="14" customHeight="1" x14ac:dyDescent="0.3">
      <c r="B24" s="4" t="s">
        <v>66</v>
      </c>
      <c r="C24" s="5">
        <v>1363417</v>
      </c>
    </row>
    <row r="26" spans="2:9" ht="14" customHeight="1" x14ac:dyDescent="0.3">
      <c r="B26" s="3" t="s">
        <v>226</v>
      </c>
    </row>
    <row r="27" spans="2:9" ht="14" customHeight="1" x14ac:dyDescent="0.3">
      <c r="B27" s="4" t="s">
        <v>227</v>
      </c>
      <c r="C27" s="24">
        <f>ROUND((C21*D16-C24)*1000000/C23,0)</f>
        <v>429</v>
      </c>
    </row>
    <row r="28" spans="2:9" ht="14" customHeight="1" x14ac:dyDescent="0.3">
      <c r="B28" s="4" t="s">
        <v>228</v>
      </c>
      <c r="C28" s="24">
        <f>ROUND(C22*F16*1000000/C23,0)</f>
        <v>166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5.3271980783036049E-2</v>
      </c>
      <c r="E3" s="4" t="s">
        <v>231</v>
      </c>
      <c r="F3" s="16">
        <f>'DCF Model'!C13</f>
        <v>0.01</v>
      </c>
      <c r="H3" s="4" t="s">
        <v>232</v>
      </c>
      <c r="I3" s="14">
        <f>'DCF Model'!C14</f>
        <v>6.5</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3.827198078303605E-2</v>
      </c>
      <c r="C7" s="37">
        <f>IFERROR(ROUND(('DCF Model'!C45/(1+$B7)^('DCF Model'!C19+0)+'DCF Model'!D45/(1+$B7)^('DCF Model'!C19+1)+'DCF Model'!E45/(1+$B7)^('DCF Model'!C19+2)+'DCF Model'!F45/(1+$B7)^('DCF Model'!C19+3)+'DCF Model'!G45/(1+$B7)^('DCF Model'!C19+4)+'DCF Model'!G45*(1+C$6)/($B7-C$6)/(1+$B7)^('DCF Model'!C19+4)-'DCF Model'!C16)*1000000/'DCF Model'!C15,0),"")</f>
        <v>251</v>
      </c>
      <c r="D7" s="37">
        <f>IFERROR(ROUND(('DCF Model'!C45/(1+$B7)^('DCF Model'!C19+0)+'DCF Model'!D45/(1+$B7)^('DCF Model'!C19+1)+'DCF Model'!E45/(1+$B7)^('DCF Model'!C19+2)+'DCF Model'!F45/(1+$B7)^('DCF Model'!C19+3)+'DCF Model'!G45/(1+$B7)^('DCF Model'!C19+4)+'DCF Model'!G45*(1+D$6)/($B7-D$6)/(1+$B7)^('DCF Model'!C19+4)-'DCF Model'!C16)*1000000/'DCF Model'!C15,0),"")</f>
        <v>337</v>
      </c>
      <c r="E7" s="37">
        <f>IFERROR(ROUND(('DCF Model'!C45/(1+$B7)^('DCF Model'!C19+0)+'DCF Model'!D45/(1+$B7)^('DCF Model'!C19+1)+'DCF Model'!E45/(1+$B7)^('DCF Model'!C19+2)+'DCF Model'!F45/(1+$B7)^('DCF Model'!C19+3)+'DCF Model'!G45/(1+$B7)^('DCF Model'!C19+4)+'DCF Model'!G45*(1+E$6)/($B7-E$6)/(1+$B7)^('DCF Model'!C19+4)-'DCF Model'!C16)*1000000/'DCF Model'!C15,0),"")</f>
        <v>437</v>
      </c>
      <c r="F7" s="37">
        <f>IFERROR(ROUND(('DCF Model'!C45/(1+$B7)^('DCF Model'!C19+0)+'DCF Model'!D45/(1+$B7)^('DCF Model'!C19+1)+'DCF Model'!E45/(1+$B7)^('DCF Model'!C19+2)+'DCF Model'!F45/(1+$B7)^('DCF Model'!C19+3)+'DCF Model'!G45/(1+$B7)^('DCF Model'!C19+4)+'DCF Model'!G45*(1+F$6)/($B7-F$6)/(1+$B7)^('DCF Model'!C19+4)-'DCF Model'!C16)*1000000/'DCF Model'!C15,0),"")</f>
        <v>555</v>
      </c>
      <c r="G7" s="37">
        <f>IFERROR(ROUND(('DCF Model'!C45/(1+$B7)^('DCF Model'!C19+0)+'DCF Model'!D45/(1+$B7)^('DCF Model'!C19+1)+'DCF Model'!E45/(1+$B7)^('DCF Model'!C19+2)+'DCF Model'!F45/(1+$B7)^('DCF Model'!C19+3)+'DCF Model'!G45/(1+$B7)^('DCF Model'!C19+4)+'DCF Model'!G45*(1+G$6)/($B7-G$6)/(1+$B7)^('DCF Model'!C19+4)-'DCF Model'!C16)*1000000/'DCF Model'!C15,0),"")</f>
        <v>695</v>
      </c>
      <c r="H7" s="37">
        <f>IFERROR(ROUND(('DCF Model'!C45/(1+$B7)^('DCF Model'!C19+0)+'DCF Model'!D45/(1+$B7)^('DCF Model'!C19+1)+'DCF Model'!E45/(1+$B7)^('DCF Model'!C19+2)+'DCF Model'!F45/(1+$B7)^('DCF Model'!C19+3)+'DCF Model'!G45/(1+$B7)^('DCF Model'!C19+4)+'DCF Model'!G45*(1+H$6)/($B7-H$6)/(1+$B7)^('DCF Model'!C19+4)-'DCF Model'!C16)*1000000/'DCF Model'!C15,0),"")</f>
        <v>866</v>
      </c>
      <c r="I7" s="37">
        <f>IFERROR(ROUND(('DCF Model'!C45/(1+$B7)^('DCF Model'!C19+0)+'DCF Model'!D45/(1+$B7)^('DCF Model'!C19+1)+'DCF Model'!E45/(1+$B7)^('DCF Model'!C19+2)+'DCF Model'!F45/(1+$B7)^('DCF Model'!C19+3)+'DCF Model'!G45/(1+$B7)^('DCF Model'!C19+4)+'DCF Model'!G45*(1+I$6)/($B7-I$6)/(1+$B7)^('DCF Model'!C19+4)-'DCF Model'!C16)*1000000/'DCF Model'!C15,0),"")</f>
        <v>1078</v>
      </c>
    </row>
    <row r="8" spans="2:9" ht="13.5" customHeight="1" x14ac:dyDescent="0.25">
      <c r="B8" s="39">
        <f>$C$3-0.01</f>
        <v>4.3271980783036047E-2</v>
      </c>
      <c r="C8" s="37">
        <f>IFERROR(ROUND(('DCF Model'!C45/(1+$B8)^('DCF Model'!C19+0)+'DCF Model'!D45/(1+$B8)^('DCF Model'!C19+1)+'DCF Model'!E45/(1+$B8)^('DCF Model'!C19+2)+'DCF Model'!F45/(1+$B8)^('DCF Model'!C19+3)+'DCF Model'!G45/(1+$B8)^('DCF Model'!C19+4)+'DCF Model'!G45*(1+C$6)/($B8-C$6)/(1+$B8)^('DCF Model'!C19+4)-'DCF Model'!C16)*1000000/'DCF Model'!C15,0),"")</f>
        <v>90</v>
      </c>
      <c r="D8" s="37">
        <f>IFERROR(ROUND(('DCF Model'!C45/(1+$B8)^('DCF Model'!C19+0)+'DCF Model'!D45/(1+$B8)^('DCF Model'!C19+1)+'DCF Model'!E45/(1+$B8)^('DCF Model'!C19+2)+'DCF Model'!F45/(1+$B8)^('DCF Model'!C19+3)+'DCF Model'!G45/(1+$B8)^('DCF Model'!C19+4)+'DCF Model'!G45*(1+D$6)/($B8-D$6)/(1+$B8)^('DCF Model'!C19+4)-'DCF Model'!C16)*1000000/'DCF Model'!C15,0),"")</f>
        <v>154</v>
      </c>
      <c r="E8" s="37">
        <f>IFERROR(ROUND(('DCF Model'!C45/(1+$B8)^('DCF Model'!C19+0)+'DCF Model'!D45/(1+$B8)^('DCF Model'!C19+1)+'DCF Model'!E45/(1+$B8)^('DCF Model'!C19+2)+'DCF Model'!F45/(1+$B8)^('DCF Model'!C19+3)+'DCF Model'!G45/(1+$B8)^('DCF Model'!C19+4)+'DCF Model'!G45*(1+E$6)/($B8-E$6)/(1+$B8)^('DCF Model'!C19+4)-'DCF Model'!C16)*1000000/'DCF Model'!C15,0),"")</f>
        <v>228</v>
      </c>
      <c r="F8" s="37">
        <f>IFERROR(ROUND(('DCF Model'!C45/(1+$B8)^('DCF Model'!C19+0)+'DCF Model'!D45/(1+$B8)^('DCF Model'!C19+1)+'DCF Model'!E45/(1+$B8)^('DCF Model'!C19+2)+'DCF Model'!F45/(1+$B8)^('DCF Model'!C19+3)+'DCF Model'!G45/(1+$B8)^('DCF Model'!C19+4)+'DCF Model'!G45*(1+F$6)/($B8-F$6)/(1+$B8)^('DCF Model'!C19+4)-'DCF Model'!C16)*1000000/'DCF Model'!C15,0),"")</f>
        <v>312</v>
      </c>
      <c r="G8" s="37">
        <f>IFERROR(ROUND(('DCF Model'!C45/(1+$B8)^('DCF Model'!C19+0)+'DCF Model'!D45/(1+$B8)^('DCF Model'!C19+1)+'DCF Model'!E45/(1+$B8)^('DCF Model'!C19+2)+'DCF Model'!F45/(1+$B8)^('DCF Model'!C19+3)+'DCF Model'!G45/(1+$B8)^('DCF Model'!C19+4)+'DCF Model'!G45*(1+G$6)/($B8-G$6)/(1+$B8)^('DCF Model'!C19+4)-'DCF Model'!C16)*1000000/'DCF Model'!C15,0),"")</f>
        <v>410</v>
      </c>
      <c r="H8" s="37">
        <f>IFERROR(ROUND(('DCF Model'!C45/(1+$B8)^('DCF Model'!C19+0)+'DCF Model'!D45/(1+$B8)^('DCF Model'!C19+1)+'DCF Model'!E45/(1+$B8)^('DCF Model'!C19+2)+'DCF Model'!F45/(1+$B8)^('DCF Model'!C19+3)+'DCF Model'!G45/(1+$B8)^('DCF Model'!C19+4)+'DCF Model'!G45*(1+H$6)/($B8-H$6)/(1+$B8)^('DCF Model'!C19+4)-'DCF Model'!C16)*1000000/'DCF Model'!C15,0),"")</f>
        <v>526</v>
      </c>
      <c r="I8" s="37">
        <f>IFERROR(ROUND(('DCF Model'!C45/(1+$B8)^('DCF Model'!C19+0)+'DCF Model'!D45/(1+$B8)^('DCF Model'!C19+1)+'DCF Model'!E45/(1+$B8)^('DCF Model'!C19+2)+'DCF Model'!F45/(1+$B8)^('DCF Model'!C19+3)+'DCF Model'!G45/(1+$B8)^('DCF Model'!C19+4)+'DCF Model'!G45*(1+I$6)/($B8-I$6)/(1+$B8)^('DCF Model'!C19+4)-'DCF Model'!C16)*1000000/'DCF Model'!C15,0),"")</f>
        <v>663</v>
      </c>
    </row>
    <row r="9" spans="2:9" ht="13.5" customHeight="1" x14ac:dyDescent="0.25">
      <c r="B9" s="39">
        <f>$C$3-0.005</f>
        <v>4.8271980783036052E-2</v>
      </c>
      <c r="C9" s="37">
        <f>IFERROR(ROUND(('DCF Model'!C45/(1+$B9)^('DCF Model'!C19+0)+'DCF Model'!D45/(1+$B9)^('DCF Model'!C19+1)+'DCF Model'!E45/(1+$B9)^('DCF Model'!C19+2)+'DCF Model'!F45/(1+$B9)^('DCF Model'!C19+3)+'DCF Model'!G45/(1+$B9)^('DCF Model'!C19+4)+'DCF Model'!G45*(1+C$6)/($B9-C$6)/(1+$B9)^('DCF Model'!C19+4)-'DCF Model'!C16)*1000000/'DCF Model'!C15,0),"")</f>
        <v>-36</v>
      </c>
      <c r="D9" s="37">
        <f>IFERROR(ROUND(('DCF Model'!C45/(1+$B9)^('DCF Model'!C19+0)+'DCF Model'!D45/(1+$B9)^('DCF Model'!C19+1)+'DCF Model'!E45/(1+$B9)^('DCF Model'!C19+2)+'DCF Model'!F45/(1+$B9)^('DCF Model'!C19+3)+'DCF Model'!G45/(1+$B9)^('DCF Model'!C19+4)+'DCF Model'!G45*(1+D$6)/($B9-D$6)/(1+$B9)^('DCF Model'!C19+4)-'DCF Model'!C16)*1000000/'DCF Model'!C15,0),"")</f>
        <v>14</v>
      </c>
      <c r="E9" s="37">
        <f>IFERROR(ROUND(('DCF Model'!C45/(1+$B9)^('DCF Model'!C19+0)+'DCF Model'!D45/(1+$B9)^('DCF Model'!C19+1)+'DCF Model'!E45/(1+$B9)^('DCF Model'!C19+2)+'DCF Model'!F45/(1+$B9)^('DCF Model'!C19+3)+'DCF Model'!G45/(1+$B9)^('DCF Model'!C19+4)+'DCF Model'!G45*(1+E$6)/($B9-E$6)/(1+$B9)^('DCF Model'!C19+4)-'DCF Model'!C16)*1000000/'DCF Model'!C15,0),"")</f>
        <v>70</v>
      </c>
      <c r="F9" s="37">
        <f>IFERROR(ROUND(('DCF Model'!C45/(1+$B9)^('DCF Model'!C19+0)+'DCF Model'!D45/(1+$B9)^('DCF Model'!C19+1)+'DCF Model'!E45/(1+$B9)^('DCF Model'!C19+2)+'DCF Model'!F45/(1+$B9)^('DCF Model'!C19+3)+'DCF Model'!G45/(1+$B9)^('DCF Model'!C19+4)+'DCF Model'!G45*(1+F$6)/($B9-F$6)/(1+$B9)^('DCF Model'!C19+4)-'DCF Model'!C16)*1000000/'DCF Model'!C15,0),"")</f>
        <v>133</v>
      </c>
      <c r="G9" s="37">
        <f>IFERROR(ROUND(('DCF Model'!C45/(1+$B9)^('DCF Model'!C19+0)+'DCF Model'!D45/(1+$B9)^('DCF Model'!C19+1)+'DCF Model'!E45/(1+$B9)^('DCF Model'!C19+2)+'DCF Model'!F45/(1+$B9)^('DCF Model'!C19+3)+'DCF Model'!G45/(1+$B9)^('DCF Model'!C19+4)+'DCF Model'!G45*(1+G$6)/($B9-G$6)/(1+$B9)^('DCF Model'!C19+4)-'DCF Model'!C16)*1000000/'DCF Model'!C15,0),"")</f>
        <v>205</v>
      </c>
      <c r="H9" s="37">
        <f>IFERROR(ROUND(('DCF Model'!C45/(1+$B9)^('DCF Model'!C19+0)+'DCF Model'!D45/(1+$B9)^('DCF Model'!C19+1)+'DCF Model'!E45/(1+$B9)^('DCF Model'!C19+2)+'DCF Model'!F45/(1+$B9)^('DCF Model'!C19+3)+'DCF Model'!G45/(1+$B9)^('DCF Model'!C19+4)+'DCF Model'!G45*(1+H$6)/($B9-H$6)/(1+$B9)^('DCF Model'!C19+4)-'DCF Model'!C16)*1000000/'DCF Model'!C15,0),"")</f>
        <v>288</v>
      </c>
      <c r="I9" s="37">
        <f>IFERROR(ROUND(('DCF Model'!C45/(1+$B9)^('DCF Model'!C19+0)+'DCF Model'!D45/(1+$B9)^('DCF Model'!C19+1)+'DCF Model'!E45/(1+$B9)^('DCF Model'!C19+2)+'DCF Model'!F45/(1+$B9)^('DCF Model'!C19+3)+'DCF Model'!G45/(1+$B9)^('DCF Model'!C19+4)+'DCF Model'!G45*(1+I$6)/($B9-I$6)/(1+$B9)^('DCF Model'!C19+4)-'DCF Model'!C16)*1000000/'DCF Model'!C15,0),"")</f>
        <v>384</v>
      </c>
    </row>
    <row r="10" spans="2:9" ht="13.5" customHeight="1" x14ac:dyDescent="0.25">
      <c r="B10" s="39">
        <f>$C$3</f>
        <v>5.3271980783036049E-2</v>
      </c>
      <c r="C10" s="37">
        <f>IFERROR(ROUND(('DCF Model'!C45/(1+$B10)^('DCF Model'!C19+0)+'DCF Model'!D45/(1+$B10)^('DCF Model'!C19+1)+'DCF Model'!E45/(1+$B10)^('DCF Model'!C19+2)+'DCF Model'!F45/(1+$B10)^('DCF Model'!C19+3)+'DCF Model'!G45/(1+$B10)^('DCF Model'!C19+4)+'DCF Model'!G45*(1+C$6)/($B10-C$6)/(1+$B10)^('DCF Model'!C19+4)-'DCF Model'!C16)*1000000/'DCF Model'!C15,0),"")</f>
        <v>-137</v>
      </c>
      <c r="D10" s="37">
        <f>IFERROR(ROUND(('DCF Model'!C45/(1+$B10)^('DCF Model'!C19+0)+'DCF Model'!D45/(1+$B10)^('DCF Model'!C19+1)+'DCF Model'!E45/(1+$B10)^('DCF Model'!C19+2)+'DCF Model'!F45/(1+$B10)^('DCF Model'!C19+3)+'DCF Model'!G45/(1+$B10)^('DCF Model'!C19+4)+'DCF Model'!G45*(1+D$6)/($B10-D$6)/(1+$B10)^('DCF Model'!C19+4)-'DCF Model'!C16)*1000000/'DCF Model'!C15,0),"")</f>
        <v>-97</v>
      </c>
      <c r="E10" s="37">
        <f>IFERROR(ROUND(('DCF Model'!C45/(1+$B10)^('DCF Model'!C19+0)+'DCF Model'!D45/(1+$B10)^('DCF Model'!C19+1)+'DCF Model'!E45/(1+$B10)^('DCF Model'!C19+2)+'DCF Model'!F45/(1+$B10)^('DCF Model'!C19+3)+'DCF Model'!G45/(1+$B10)^('DCF Model'!C19+4)+'DCF Model'!G45*(1+E$6)/($B10-E$6)/(1+$B10)^('DCF Model'!C19+4)-'DCF Model'!C16)*1000000/'DCF Model'!C15,0),"")</f>
        <v>-54</v>
      </c>
      <c r="F10" s="37">
        <f>IFERROR(ROUND(('DCF Model'!C45/(1+$B10)^('DCF Model'!C19+0)+'DCF Model'!D45/(1+$B10)^('DCF Model'!C19+1)+'DCF Model'!E45/(1+$B10)^('DCF Model'!C19+2)+'DCF Model'!F45/(1+$B10)^('DCF Model'!C19+3)+'DCF Model'!G45/(1+$B10)^('DCF Model'!C19+4)+'DCF Model'!G45*(1+F$6)/($B10-F$6)/(1+$B10)^('DCF Model'!C19+4)-'DCF Model'!C16)*1000000/'DCF Model'!C15,0),"")</f>
        <v>-5</v>
      </c>
      <c r="G10" s="37">
        <f>IFERROR(ROUND(('DCF Model'!C45/(1+$B10)^('DCF Model'!C19+0)+'DCF Model'!D45/(1+$B10)^('DCF Model'!C19+1)+'DCF Model'!E45/(1+$B10)^('DCF Model'!C19+2)+'DCF Model'!F45/(1+$B10)^('DCF Model'!C19+3)+'DCF Model'!G45/(1+$B10)^('DCF Model'!C19+4)+'DCF Model'!G45*(1+G$6)/($B10-G$6)/(1+$B10)^('DCF Model'!C19+4)-'DCF Model'!C16)*1000000/'DCF Model'!C15,0),"")</f>
        <v>50</v>
      </c>
      <c r="H10" s="37">
        <f>IFERROR(ROUND(('DCF Model'!C45/(1+$B10)^('DCF Model'!C19+0)+'DCF Model'!D45/(1+$B10)^('DCF Model'!C19+1)+'DCF Model'!E45/(1+$B10)^('DCF Model'!C19+2)+'DCF Model'!F45/(1+$B10)^('DCF Model'!C19+3)+'DCF Model'!G45/(1+$B10)^('DCF Model'!C19+4)+'DCF Model'!G45*(1+H$6)/($B10-H$6)/(1+$B10)^('DCF Model'!C19+4)-'DCF Model'!C16)*1000000/'DCF Model'!C15,0),"")</f>
        <v>112</v>
      </c>
      <c r="I10" s="37">
        <f>IFERROR(ROUND(('DCF Model'!C45/(1+$B10)^('DCF Model'!C19+0)+'DCF Model'!D45/(1+$B10)^('DCF Model'!C19+1)+'DCF Model'!E45/(1+$B10)^('DCF Model'!C19+2)+'DCF Model'!F45/(1+$B10)^('DCF Model'!C19+3)+'DCF Model'!G45/(1+$B10)^('DCF Model'!C19+4)+'DCF Model'!G45*(1+I$6)/($B10-I$6)/(1+$B10)^('DCF Model'!C19+4)-'DCF Model'!C16)*1000000/'DCF Model'!C15,0),"")</f>
        <v>183</v>
      </c>
    </row>
    <row r="11" spans="2:9" ht="13.5" customHeight="1" x14ac:dyDescent="0.25">
      <c r="B11" s="39">
        <f>$C$3+0.005</f>
        <v>5.8271980783036047E-2</v>
      </c>
      <c r="C11" s="37">
        <f>IFERROR(ROUND(('DCF Model'!C45/(1+$B11)^('DCF Model'!C19+0)+'DCF Model'!D45/(1+$B11)^('DCF Model'!C19+1)+'DCF Model'!E45/(1+$B11)^('DCF Model'!C19+2)+'DCF Model'!F45/(1+$B11)^('DCF Model'!C19+3)+'DCF Model'!G45/(1+$B11)^('DCF Model'!C19+4)+'DCF Model'!G45*(1+C$6)/($B11-C$6)/(1+$B11)^('DCF Model'!C19+4)-'DCF Model'!C16)*1000000/'DCF Model'!C15,0),"")</f>
        <v>-219</v>
      </c>
      <c r="D11" s="37">
        <f>IFERROR(ROUND(('DCF Model'!C45/(1+$B11)^('DCF Model'!C19+0)+'DCF Model'!D45/(1+$B11)^('DCF Model'!C19+1)+'DCF Model'!E45/(1+$B11)^('DCF Model'!C19+2)+'DCF Model'!F45/(1+$B11)^('DCF Model'!C19+3)+'DCF Model'!G45/(1+$B11)^('DCF Model'!C19+4)+'DCF Model'!G45*(1+D$6)/($B11-D$6)/(1+$B11)^('DCF Model'!C19+4)-'DCF Model'!C16)*1000000/'DCF Model'!C15,0),"")</f>
        <v>-188</v>
      </c>
      <c r="E11" s="37">
        <f>IFERROR(ROUND(('DCF Model'!C45/(1+$B11)^('DCF Model'!C19+0)+'DCF Model'!D45/(1+$B11)^('DCF Model'!C19+1)+'DCF Model'!E45/(1+$B11)^('DCF Model'!C19+2)+'DCF Model'!F45/(1+$B11)^('DCF Model'!C19+3)+'DCF Model'!G45/(1+$B11)^('DCF Model'!C19+4)+'DCF Model'!G45*(1+E$6)/($B11-E$6)/(1+$B11)^('DCF Model'!C19+4)-'DCF Model'!C16)*1000000/'DCF Model'!C15,0),"")</f>
        <v>-152</v>
      </c>
      <c r="F11" s="37">
        <f>IFERROR(ROUND(('DCF Model'!C45/(1+$B11)^('DCF Model'!C19+0)+'DCF Model'!D45/(1+$B11)^('DCF Model'!C19+1)+'DCF Model'!E45/(1+$B11)^('DCF Model'!C19+2)+'DCF Model'!F45/(1+$B11)^('DCF Model'!C19+3)+'DCF Model'!G45/(1+$B11)^('DCF Model'!C19+4)+'DCF Model'!G45*(1+F$6)/($B11-F$6)/(1+$B11)^('DCF Model'!C19+4)-'DCF Model'!C16)*1000000/'DCF Model'!C15,0),"")</f>
        <v>-114</v>
      </c>
      <c r="G11" s="37">
        <f>IFERROR(ROUND(('DCF Model'!C45/(1+$B11)^('DCF Model'!C19+0)+'DCF Model'!D45/(1+$B11)^('DCF Model'!C19+1)+'DCF Model'!E45/(1+$B11)^('DCF Model'!C19+2)+'DCF Model'!F45/(1+$B11)^('DCF Model'!C19+3)+'DCF Model'!G45/(1+$B11)^('DCF Model'!C19+4)+'DCF Model'!G45*(1+G$6)/($B11-G$6)/(1+$B11)^('DCF Model'!C19+4)-'DCF Model'!C16)*1000000/'DCF Model'!C15,0),"")</f>
        <v>-71</v>
      </c>
      <c r="H11" s="37">
        <f>IFERROR(ROUND(('DCF Model'!C45/(1+$B11)^('DCF Model'!C19+0)+'DCF Model'!D45/(1+$B11)^('DCF Model'!C19+1)+'DCF Model'!E45/(1+$B11)^('DCF Model'!C19+2)+'DCF Model'!F45/(1+$B11)^('DCF Model'!C19+3)+'DCF Model'!G45/(1+$B11)^('DCF Model'!C19+4)+'DCF Model'!G45*(1+H$6)/($B11-H$6)/(1+$B11)^('DCF Model'!C19+4)-'DCF Model'!C16)*1000000/'DCF Model'!C15,0),"")</f>
        <v>-23</v>
      </c>
      <c r="I11" s="37">
        <f>IFERROR(ROUND(('DCF Model'!C45/(1+$B11)^('DCF Model'!C19+0)+'DCF Model'!D45/(1+$B11)^('DCF Model'!C19+1)+'DCF Model'!E45/(1+$B11)^('DCF Model'!C19+2)+'DCF Model'!F45/(1+$B11)^('DCF Model'!C19+3)+'DCF Model'!G45/(1+$B11)^('DCF Model'!C19+4)+'DCF Model'!G45*(1+I$6)/($B11-I$6)/(1+$B11)^('DCF Model'!C19+4)-'DCF Model'!C16)*1000000/'DCF Model'!C15,0),"")</f>
        <v>31</v>
      </c>
    </row>
    <row r="12" spans="2:9" ht="13.5" customHeight="1" x14ac:dyDescent="0.25">
      <c r="B12" s="39">
        <f>$C$3+0.01</f>
        <v>6.3271980783036044E-2</v>
      </c>
      <c r="C12" s="37">
        <f>IFERROR(ROUND(('DCF Model'!C45/(1+$B12)^('DCF Model'!C19+0)+'DCF Model'!D45/(1+$B12)^('DCF Model'!C19+1)+'DCF Model'!E45/(1+$B12)^('DCF Model'!C19+2)+'DCF Model'!F45/(1+$B12)^('DCF Model'!C19+3)+'DCF Model'!G45/(1+$B12)^('DCF Model'!C19+4)+'DCF Model'!G45*(1+C$6)/($B12-C$6)/(1+$B12)^('DCF Model'!C19+4)-'DCF Model'!C16)*1000000/'DCF Model'!C15,0),"")</f>
        <v>-289</v>
      </c>
      <c r="D12" s="37">
        <f>IFERROR(ROUND(('DCF Model'!C45/(1+$B12)^('DCF Model'!C19+0)+'DCF Model'!D45/(1+$B12)^('DCF Model'!C19+1)+'DCF Model'!E45/(1+$B12)^('DCF Model'!C19+2)+'DCF Model'!F45/(1+$B12)^('DCF Model'!C19+3)+'DCF Model'!G45/(1+$B12)^('DCF Model'!C19+4)+'DCF Model'!G45*(1+D$6)/($B12-D$6)/(1+$B12)^('DCF Model'!C19+4)-'DCF Model'!C16)*1000000/'DCF Model'!C15,0),"")</f>
        <v>-262</v>
      </c>
      <c r="E12" s="37">
        <f>IFERROR(ROUND(('DCF Model'!C45/(1+$B12)^('DCF Model'!C19+0)+'DCF Model'!D45/(1+$B12)^('DCF Model'!C19+1)+'DCF Model'!E45/(1+$B12)^('DCF Model'!C19+2)+'DCF Model'!F45/(1+$B12)^('DCF Model'!C19+3)+'DCF Model'!G45/(1+$B12)^('DCF Model'!C19+4)+'DCF Model'!G45*(1+E$6)/($B12-E$6)/(1+$B12)^('DCF Model'!C19+4)-'DCF Model'!C16)*1000000/'DCF Model'!C15,0),"")</f>
        <v>-234</v>
      </c>
      <c r="F12" s="37">
        <f>IFERROR(ROUND(('DCF Model'!C45/(1+$B12)^('DCF Model'!C19+0)+'DCF Model'!D45/(1+$B12)^('DCF Model'!C19+1)+'DCF Model'!E45/(1+$B12)^('DCF Model'!C19+2)+'DCF Model'!F45/(1+$B12)^('DCF Model'!C19+3)+'DCF Model'!G45/(1+$B12)^('DCF Model'!C19+4)+'DCF Model'!G45*(1+F$6)/($B12-F$6)/(1+$B12)^('DCF Model'!C19+4)-'DCF Model'!C16)*1000000/'DCF Model'!C15,0),"")</f>
        <v>-202</v>
      </c>
      <c r="G12" s="37">
        <f>IFERROR(ROUND(('DCF Model'!C45/(1+$B12)^('DCF Model'!C19+0)+'DCF Model'!D45/(1+$B12)^('DCF Model'!C19+1)+'DCF Model'!E45/(1+$B12)^('DCF Model'!C19+2)+'DCF Model'!F45/(1+$B12)^('DCF Model'!C19+3)+'DCF Model'!G45/(1+$B12)^('DCF Model'!C19+4)+'DCF Model'!G45*(1+G$6)/($B12-G$6)/(1+$B12)^('DCF Model'!C19+4)-'DCF Model'!C16)*1000000/'DCF Model'!C15,0),"")</f>
        <v>-168</v>
      </c>
      <c r="H12" s="37">
        <f>IFERROR(ROUND(('DCF Model'!C45/(1+$B12)^('DCF Model'!C19+0)+'DCF Model'!D45/(1+$B12)^('DCF Model'!C19+1)+'DCF Model'!E45/(1+$B12)^('DCF Model'!C19+2)+'DCF Model'!F45/(1+$B12)^('DCF Model'!C19+3)+'DCF Model'!G45/(1+$B12)^('DCF Model'!C19+4)+'DCF Model'!G45*(1+H$6)/($B12-H$6)/(1+$B12)^('DCF Model'!C19+4)-'DCF Model'!C16)*1000000/'DCF Model'!C15,0),"")</f>
        <v>-130</v>
      </c>
      <c r="I12" s="37">
        <f>IFERROR(ROUND(('DCF Model'!C45/(1+$B12)^('DCF Model'!C19+0)+'DCF Model'!D45/(1+$B12)^('DCF Model'!C19+1)+'DCF Model'!E45/(1+$B12)^('DCF Model'!C19+2)+'DCF Model'!F45/(1+$B12)^('DCF Model'!C19+3)+'DCF Model'!G45/(1+$B12)^('DCF Model'!C19+4)+'DCF Model'!G45*(1+I$6)/($B12-I$6)/(1+$B12)^('DCF Model'!C19+4)-'DCF Model'!C16)*1000000/'DCF Model'!C15,0),"")</f>
        <v>-88</v>
      </c>
    </row>
    <row r="13" spans="2:9" ht="13.5" customHeight="1" x14ac:dyDescent="0.25">
      <c r="B13" s="39">
        <f>$C$3+0.015</f>
        <v>6.8271980783036049E-2</v>
      </c>
      <c r="C13" s="37">
        <f>IFERROR(ROUND(('DCF Model'!C45/(1+$B13)^('DCF Model'!C19+0)+'DCF Model'!D45/(1+$B13)^('DCF Model'!C19+1)+'DCF Model'!E45/(1+$B13)^('DCF Model'!C19+2)+'DCF Model'!F45/(1+$B13)^('DCF Model'!C19+3)+'DCF Model'!G45/(1+$B13)^('DCF Model'!C19+4)+'DCF Model'!G45*(1+C$6)/($B13-C$6)/(1+$B13)^('DCF Model'!C19+4)-'DCF Model'!C16)*1000000/'DCF Model'!C15,0),"")</f>
        <v>-347</v>
      </c>
      <c r="D13" s="37">
        <f>IFERROR(ROUND(('DCF Model'!C45/(1+$B13)^('DCF Model'!C19+0)+'DCF Model'!D45/(1+$B13)^('DCF Model'!C19+1)+'DCF Model'!E45/(1+$B13)^('DCF Model'!C19+2)+'DCF Model'!F45/(1+$B13)^('DCF Model'!C19+3)+'DCF Model'!G45/(1+$B13)^('DCF Model'!C19+4)+'DCF Model'!G45*(1+D$6)/($B13-D$6)/(1+$B13)^('DCF Model'!C19+4)-'DCF Model'!C16)*1000000/'DCF Model'!C15,0),"")</f>
        <v>-325</v>
      </c>
      <c r="E13" s="37">
        <f>IFERROR(ROUND(('DCF Model'!C45/(1+$B13)^('DCF Model'!C19+0)+'DCF Model'!D45/(1+$B13)^('DCF Model'!C19+1)+'DCF Model'!E45/(1+$B13)^('DCF Model'!C19+2)+'DCF Model'!F45/(1+$B13)^('DCF Model'!C19+3)+'DCF Model'!G45/(1+$B13)^('DCF Model'!C19+4)+'DCF Model'!G45*(1+E$6)/($B13-E$6)/(1+$B13)^('DCF Model'!C19+4)-'DCF Model'!C16)*1000000/'DCF Model'!C15,0),"")</f>
        <v>-301</v>
      </c>
      <c r="F13" s="37">
        <f>IFERROR(ROUND(('DCF Model'!C45/(1+$B13)^('DCF Model'!C19+0)+'DCF Model'!D45/(1+$B13)^('DCF Model'!C19+1)+'DCF Model'!E45/(1+$B13)^('DCF Model'!C19+2)+'DCF Model'!F45/(1+$B13)^('DCF Model'!C19+3)+'DCF Model'!G45/(1+$B13)^('DCF Model'!C19+4)+'DCF Model'!G45*(1+F$6)/($B13-F$6)/(1+$B13)^('DCF Model'!C19+4)-'DCF Model'!C16)*1000000/'DCF Model'!C15,0),"")</f>
        <v>-276</v>
      </c>
      <c r="G13" s="37">
        <f>IFERROR(ROUND(('DCF Model'!C45/(1+$B13)^('DCF Model'!C19+0)+'DCF Model'!D45/(1+$B13)^('DCF Model'!C19+1)+'DCF Model'!E45/(1+$B13)^('DCF Model'!C19+2)+'DCF Model'!F45/(1+$B13)^('DCF Model'!C19+3)+'DCF Model'!G45/(1+$B13)^('DCF Model'!C19+4)+'DCF Model'!G45*(1+G$6)/($B13-G$6)/(1+$B13)^('DCF Model'!C19+4)-'DCF Model'!C16)*1000000/'DCF Model'!C15,0),"")</f>
        <v>-247</v>
      </c>
      <c r="H13" s="37">
        <f>IFERROR(ROUND(('DCF Model'!C45/(1+$B13)^('DCF Model'!C19+0)+'DCF Model'!D45/(1+$B13)^('DCF Model'!C19+1)+'DCF Model'!E45/(1+$B13)^('DCF Model'!C19+2)+'DCF Model'!F45/(1+$B13)^('DCF Model'!C19+3)+'DCF Model'!G45/(1+$B13)^('DCF Model'!C19+4)+'DCF Model'!G45*(1+H$6)/($B13-H$6)/(1+$B13)^('DCF Model'!C19+4)-'DCF Model'!C16)*1000000/'DCF Model'!C15,0),"")</f>
        <v>-217</v>
      </c>
      <c r="I13" s="37">
        <f>IFERROR(ROUND(('DCF Model'!C45/(1+$B13)^('DCF Model'!C19+0)+'DCF Model'!D45/(1+$B13)^('DCF Model'!C19+1)+'DCF Model'!E45/(1+$B13)^('DCF Model'!C19+2)+'DCF Model'!F45/(1+$B13)^('DCF Model'!C19+3)+'DCF Model'!G45/(1+$B13)^('DCF Model'!C19+4)+'DCF Model'!G45*(1+I$6)/($B13-I$6)/(1+$B13)^('DCF Model'!C19+4)-'DCF Model'!C16)*1000000/'DCF Model'!C15,0),"")</f>
        <v>-183</v>
      </c>
    </row>
    <row r="16" spans="2:9" ht="14" customHeight="1" x14ac:dyDescent="0.3">
      <c r="B16" s="3" t="s">
        <v>235</v>
      </c>
    </row>
    <row r="17" spans="2:9" ht="14" customHeight="1" x14ac:dyDescent="0.3">
      <c r="B17" s="40" t="s">
        <v>236</v>
      </c>
      <c r="C17" s="42">
        <f>$I$3-3</f>
        <v>3.5</v>
      </c>
      <c r="D17" s="42">
        <f>$I$3-2</f>
        <v>4.5</v>
      </c>
      <c r="E17" s="42">
        <f>$I$3-1</f>
        <v>5.5</v>
      </c>
      <c r="F17" s="42">
        <f>$I$3</f>
        <v>6.5</v>
      </c>
      <c r="G17" s="42">
        <f>$I$3+1</f>
        <v>7.5</v>
      </c>
      <c r="H17" s="42">
        <f>$I$3+2</f>
        <v>8.5</v>
      </c>
      <c r="I17" s="42">
        <f>$I$3+3</f>
        <v>9.5</v>
      </c>
    </row>
    <row r="18" spans="2:9" ht="13.5" customHeight="1" x14ac:dyDescent="0.25">
      <c r="B18" s="39">
        <f>$C$3-0.015</f>
        <v>3.827198078303605E-2</v>
      </c>
      <c r="C18" s="37">
        <f>IFERROR(ROUND(('DCF Model'!C45/(1+$B18)^('DCF Model'!C19+0)+'DCF Model'!D45/(1+$B18)^('DCF Model'!C19+1)+'DCF Model'!E45/(1+$B18)^('DCF Model'!C19+2)+'DCF Model'!F45/(1+$B18)^('DCF Model'!C19+3)+'DCF Model'!G45/(1+$B18)^('DCF Model'!C19+4)+('DCF Model'!G39+'DCF Model'!G42)*C$17/(1+$B18)^('DCF Model'!C19+4)-'DCF Model'!C16)*1000000/'DCF Model'!C15,0),"")</f>
        <v>42</v>
      </c>
      <c r="D18" s="37">
        <f>IFERROR(ROUND(('DCF Model'!C45/(1+$B18)^('DCF Model'!C19+0)+'DCF Model'!D45/(1+$B18)^('DCF Model'!C19+1)+'DCF Model'!E45/(1+$B18)^('DCF Model'!C19+2)+'DCF Model'!F45/(1+$B18)^('DCF Model'!C19+3)+'DCF Model'!G45/(1+$B18)^('DCF Model'!C19+4)+('DCF Model'!G39+'DCF Model'!G42)*D$17/(1+$B18)^('DCF Model'!C19+4)-'DCF Model'!C16)*1000000/'DCF Model'!C15,0),"")</f>
        <v>298</v>
      </c>
      <c r="E18" s="37">
        <f>IFERROR(ROUND(('DCF Model'!C45/(1+$B18)^('DCF Model'!C19+0)+'DCF Model'!D45/(1+$B18)^('DCF Model'!C19+1)+'DCF Model'!E45/(1+$B18)^('DCF Model'!C19+2)+'DCF Model'!F45/(1+$B18)^('DCF Model'!C19+3)+'DCF Model'!G45/(1+$B18)^('DCF Model'!C19+4)+('DCF Model'!G39+'DCF Model'!G42)*E$17/(1+$B18)^('DCF Model'!C19+4)-'DCF Model'!C16)*1000000/'DCF Model'!C15,0),"")</f>
        <v>555</v>
      </c>
      <c r="F18" s="37">
        <f>IFERROR(ROUND(('DCF Model'!C45/(1+$B18)^('DCF Model'!C19+0)+'DCF Model'!D45/(1+$B18)^('DCF Model'!C19+1)+'DCF Model'!E45/(1+$B18)^('DCF Model'!C19+2)+'DCF Model'!F45/(1+$B18)^('DCF Model'!C19+3)+'DCF Model'!G45/(1+$B18)^('DCF Model'!C19+4)+('DCF Model'!G39+'DCF Model'!G42)*F$17/(1+$B18)^('DCF Model'!C19+4)-'DCF Model'!C16)*1000000/'DCF Model'!C15,0),"")</f>
        <v>811</v>
      </c>
      <c r="G18" s="37">
        <f>IFERROR(ROUND(('DCF Model'!C45/(1+$B18)^('DCF Model'!C19+0)+'DCF Model'!D45/(1+$B18)^('DCF Model'!C19+1)+'DCF Model'!E45/(1+$B18)^('DCF Model'!C19+2)+'DCF Model'!F45/(1+$B18)^('DCF Model'!C19+3)+'DCF Model'!G45/(1+$B18)^('DCF Model'!C19+4)+('DCF Model'!G39+'DCF Model'!G42)*G$17/(1+$B18)^('DCF Model'!C19+4)-'DCF Model'!C16)*1000000/'DCF Model'!C15,0),"")</f>
        <v>1067</v>
      </c>
      <c r="H18" s="37">
        <f>IFERROR(ROUND(('DCF Model'!C45/(1+$B18)^('DCF Model'!C19+0)+'DCF Model'!D45/(1+$B18)^('DCF Model'!C19+1)+'DCF Model'!E45/(1+$B18)^('DCF Model'!C19+2)+'DCF Model'!F45/(1+$B18)^('DCF Model'!C19+3)+'DCF Model'!G45/(1+$B18)^('DCF Model'!C19+4)+('DCF Model'!G39+'DCF Model'!G42)*H$17/(1+$B18)^('DCF Model'!C19+4)-'DCF Model'!C16)*1000000/'DCF Model'!C15,0),"")</f>
        <v>1323</v>
      </c>
      <c r="I18" s="37">
        <f>IFERROR(ROUND(('DCF Model'!C45/(1+$B18)^('DCF Model'!C19+0)+'DCF Model'!D45/(1+$B18)^('DCF Model'!C19+1)+'DCF Model'!E45/(1+$B18)^('DCF Model'!C19+2)+'DCF Model'!F45/(1+$B18)^('DCF Model'!C19+3)+'DCF Model'!G45/(1+$B18)^('DCF Model'!C19+4)+('DCF Model'!G39+'DCF Model'!G42)*I$17/(1+$B18)^('DCF Model'!C19+4)-'DCF Model'!C16)*1000000/'DCF Model'!C15,0),"")</f>
        <v>1579</v>
      </c>
    </row>
    <row r="19" spans="2:9" ht="13.5" customHeight="1" x14ac:dyDescent="0.25">
      <c r="B19" s="39">
        <f>$C$3-0.01</f>
        <v>4.3271980783036047E-2</v>
      </c>
      <c r="C19" s="37">
        <f>IFERROR(ROUND(('DCF Model'!C45/(1+$B19)^('DCF Model'!C19+0)+'DCF Model'!D45/(1+$B19)^('DCF Model'!C19+1)+'DCF Model'!E45/(1+$B19)^('DCF Model'!C19+2)+'DCF Model'!F45/(1+$B19)^('DCF Model'!C19+3)+'DCF Model'!G45/(1+$B19)^('DCF Model'!C19+4)+('DCF Model'!G39+'DCF Model'!G42)*C$17/(1+$B19)^('DCF Model'!C19+4)-'DCF Model'!C16)*1000000/'DCF Model'!C15,0),"")</f>
        <v>18</v>
      </c>
      <c r="D19" s="37">
        <f>IFERROR(ROUND(('DCF Model'!C45/(1+$B19)^('DCF Model'!C19+0)+'DCF Model'!D45/(1+$B19)^('DCF Model'!C19+1)+'DCF Model'!E45/(1+$B19)^('DCF Model'!C19+2)+'DCF Model'!F45/(1+$B19)^('DCF Model'!C19+3)+'DCF Model'!G45/(1+$B19)^('DCF Model'!C19+4)+('DCF Model'!G39+'DCF Model'!G42)*D$17/(1+$B19)^('DCF Model'!C19+4)-'DCF Model'!C16)*1000000/'DCF Model'!C15,0),"")</f>
        <v>269</v>
      </c>
      <c r="E19" s="37">
        <f>IFERROR(ROUND(('DCF Model'!C45/(1+$B19)^('DCF Model'!C19+0)+'DCF Model'!D45/(1+$B19)^('DCF Model'!C19+1)+'DCF Model'!E45/(1+$B19)^('DCF Model'!C19+2)+'DCF Model'!F45/(1+$B19)^('DCF Model'!C19+3)+'DCF Model'!G45/(1+$B19)^('DCF Model'!C19+4)+('DCF Model'!G39+'DCF Model'!G42)*E$17/(1+$B19)^('DCF Model'!C19+4)-'DCF Model'!C16)*1000000/'DCF Model'!C15,0),"")</f>
        <v>519</v>
      </c>
      <c r="F19" s="37">
        <f>IFERROR(ROUND(('DCF Model'!C45/(1+$B19)^('DCF Model'!C19+0)+'DCF Model'!D45/(1+$B19)^('DCF Model'!C19+1)+'DCF Model'!E45/(1+$B19)^('DCF Model'!C19+2)+'DCF Model'!F45/(1+$B19)^('DCF Model'!C19+3)+'DCF Model'!G45/(1+$B19)^('DCF Model'!C19+4)+('DCF Model'!G39+'DCF Model'!G42)*F$17/(1+$B19)^('DCF Model'!C19+4)-'DCF Model'!C16)*1000000/'DCF Model'!C15,0),"")</f>
        <v>769</v>
      </c>
      <c r="G19" s="37">
        <f>IFERROR(ROUND(('DCF Model'!C45/(1+$B19)^('DCF Model'!C19+0)+'DCF Model'!D45/(1+$B19)^('DCF Model'!C19+1)+'DCF Model'!E45/(1+$B19)^('DCF Model'!C19+2)+'DCF Model'!F45/(1+$B19)^('DCF Model'!C19+3)+'DCF Model'!G45/(1+$B19)^('DCF Model'!C19+4)+('DCF Model'!G39+'DCF Model'!G42)*G$17/(1+$B19)^('DCF Model'!C19+4)-'DCF Model'!C16)*1000000/'DCF Model'!C15,0),"")</f>
        <v>1019</v>
      </c>
      <c r="H19" s="37">
        <f>IFERROR(ROUND(('DCF Model'!C45/(1+$B19)^('DCF Model'!C19+0)+'DCF Model'!D45/(1+$B19)^('DCF Model'!C19+1)+'DCF Model'!E45/(1+$B19)^('DCF Model'!C19+2)+'DCF Model'!F45/(1+$B19)^('DCF Model'!C19+3)+'DCF Model'!G45/(1+$B19)^('DCF Model'!C19+4)+('DCF Model'!G39+'DCF Model'!G42)*H$17/(1+$B19)^('DCF Model'!C19+4)-'DCF Model'!C16)*1000000/'DCF Model'!C15,0),"")</f>
        <v>1269</v>
      </c>
      <c r="I19" s="37">
        <f>IFERROR(ROUND(('DCF Model'!C45/(1+$B19)^('DCF Model'!C19+0)+'DCF Model'!D45/(1+$B19)^('DCF Model'!C19+1)+'DCF Model'!E45/(1+$B19)^('DCF Model'!C19+2)+'DCF Model'!F45/(1+$B19)^('DCF Model'!C19+3)+'DCF Model'!G45/(1+$B19)^('DCF Model'!C19+4)+('DCF Model'!G39+'DCF Model'!G42)*I$17/(1+$B19)^('DCF Model'!C19+4)-'DCF Model'!C16)*1000000/'DCF Model'!C15,0),"")</f>
        <v>1519</v>
      </c>
    </row>
    <row r="20" spans="2:9" ht="13.5" customHeight="1" x14ac:dyDescent="0.25">
      <c r="B20" s="39">
        <f>$C$3-0.005</f>
        <v>4.8271980783036052E-2</v>
      </c>
      <c r="C20" s="37">
        <f>IFERROR(ROUND(('DCF Model'!C45/(1+$B20)^('DCF Model'!C19+0)+'DCF Model'!D45/(1+$B20)^('DCF Model'!C19+1)+'DCF Model'!E45/(1+$B20)^('DCF Model'!C19+2)+'DCF Model'!F45/(1+$B20)^('DCF Model'!C19+3)+'DCF Model'!G45/(1+$B20)^('DCF Model'!C19+4)+('DCF Model'!G39+'DCF Model'!G42)*C$17/(1+$B20)^('DCF Model'!C19+4)-'DCF Model'!C16)*1000000/'DCF Model'!C15,0),"")</f>
        <v>-5</v>
      </c>
      <c r="D20" s="37">
        <f>IFERROR(ROUND(('DCF Model'!C45/(1+$B20)^('DCF Model'!C19+0)+'DCF Model'!D45/(1+$B20)^('DCF Model'!C19+1)+'DCF Model'!E45/(1+$B20)^('DCF Model'!C19+2)+'DCF Model'!F45/(1+$B20)^('DCF Model'!C19+3)+'DCF Model'!G45/(1+$B20)^('DCF Model'!C19+4)+('DCF Model'!G39+'DCF Model'!G42)*D$17/(1+$B20)^('DCF Model'!C19+4)-'DCF Model'!C16)*1000000/'DCF Model'!C15,0),"")</f>
        <v>240</v>
      </c>
      <c r="E20" s="37">
        <f>IFERROR(ROUND(('DCF Model'!C45/(1+$B20)^('DCF Model'!C19+0)+'DCF Model'!D45/(1+$B20)^('DCF Model'!C19+1)+'DCF Model'!E45/(1+$B20)^('DCF Model'!C19+2)+'DCF Model'!F45/(1+$B20)^('DCF Model'!C19+3)+'DCF Model'!G45/(1+$B20)^('DCF Model'!C19+4)+('DCF Model'!G39+'DCF Model'!G42)*E$17/(1+$B20)^('DCF Model'!C19+4)-'DCF Model'!C16)*1000000/'DCF Model'!C15,0),"")</f>
        <v>484</v>
      </c>
      <c r="F20" s="37">
        <f>IFERROR(ROUND(('DCF Model'!C45/(1+$B20)^('DCF Model'!C19+0)+'DCF Model'!D45/(1+$B20)^('DCF Model'!C19+1)+'DCF Model'!E45/(1+$B20)^('DCF Model'!C19+2)+'DCF Model'!F45/(1+$B20)^('DCF Model'!C19+3)+'DCF Model'!G45/(1+$B20)^('DCF Model'!C19+4)+('DCF Model'!G39+'DCF Model'!G42)*F$17/(1+$B20)^('DCF Model'!C19+4)-'DCF Model'!C16)*1000000/'DCF Model'!C15,0),"")</f>
        <v>728</v>
      </c>
      <c r="G20" s="37">
        <f>IFERROR(ROUND(('DCF Model'!C45/(1+$B20)^('DCF Model'!C19+0)+'DCF Model'!D45/(1+$B20)^('DCF Model'!C19+1)+'DCF Model'!E45/(1+$B20)^('DCF Model'!C19+2)+'DCF Model'!F45/(1+$B20)^('DCF Model'!C19+3)+'DCF Model'!G45/(1+$B20)^('DCF Model'!C19+4)+('DCF Model'!G39+'DCF Model'!G42)*G$17/(1+$B20)^('DCF Model'!C19+4)-'DCF Model'!C16)*1000000/'DCF Model'!C15,0),"")</f>
        <v>972</v>
      </c>
      <c r="H20" s="37">
        <f>IFERROR(ROUND(('DCF Model'!C45/(1+$B20)^('DCF Model'!C19+0)+'DCF Model'!D45/(1+$B20)^('DCF Model'!C19+1)+'DCF Model'!E45/(1+$B20)^('DCF Model'!C19+2)+'DCF Model'!F45/(1+$B20)^('DCF Model'!C19+3)+'DCF Model'!G45/(1+$B20)^('DCF Model'!C19+4)+('DCF Model'!G39+'DCF Model'!G42)*H$17/(1+$B20)^('DCF Model'!C19+4)-'DCF Model'!C16)*1000000/'DCF Model'!C15,0),"")</f>
        <v>1216</v>
      </c>
      <c r="I20" s="37">
        <f>IFERROR(ROUND(('DCF Model'!C45/(1+$B20)^('DCF Model'!C19+0)+'DCF Model'!D45/(1+$B20)^('DCF Model'!C19+1)+'DCF Model'!E45/(1+$B20)^('DCF Model'!C19+2)+'DCF Model'!F45/(1+$B20)^('DCF Model'!C19+3)+'DCF Model'!G45/(1+$B20)^('DCF Model'!C19+4)+('DCF Model'!G39+'DCF Model'!G42)*I$17/(1+$B20)^('DCF Model'!C19+4)-'DCF Model'!C16)*1000000/'DCF Model'!C15,0),"")</f>
        <v>1460</v>
      </c>
    </row>
    <row r="21" spans="2:9" ht="13.5" customHeight="1" x14ac:dyDescent="0.25">
      <c r="B21" s="39">
        <f>$C$3</f>
        <v>5.3271980783036049E-2</v>
      </c>
      <c r="C21" s="37">
        <f>IFERROR(ROUND(('DCF Model'!C45/(1+$B21)^('DCF Model'!C19+0)+'DCF Model'!D45/(1+$B21)^('DCF Model'!C19+1)+'DCF Model'!E45/(1+$B21)^('DCF Model'!C19+2)+'DCF Model'!F45/(1+$B21)^('DCF Model'!C19+3)+'DCF Model'!G45/(1+$B21)^('DCF Model'!C19+4)+('DCF Model'!G39+'DCF Model'!G42)*C$17/(1+$B21)^('DCF Model'!C19+4)-'DCF Model'!C16)*1000000/'DCF Model'!C15,0),"")</f>
        <v>-27</v>
      </c>
      <c r="D21" s="37">
        <f>IFERROR(ROUND(('DCF Model'!C45/(1+$B21)^('DCF Model'!C19+0)+'DCF Model'!D45/(1+$B21)^('DCF Model'!C19+1)+'DCF Model'!E45/(1+$B21)^('DCF Model'!C19+2)+'DCF Model'!F45/(1+$B21)^('DCF Model'!C19+3)+'DCF Model'!G45/(1+$B21)^('DCF Model'!C19+4)+('DCF Model'!G39+'DCF Model'!G42)*D$17/(1+$B21)^('DCF Model'!C19+4)-'DCF Model'!C16)*1000000/'DCF Model'!C15,0),"")</f>
        <v>211</v>
      </c>
      <c r="E21" s="37">
        <f>IFERROR(ROUND(('DCF Model'!C45/(1+$B21)^('DCF Model'!C19+0)+'DCF Model'!D45/(1+$B21)^('DCF Model'!C19+1)+'DCF Model'!E45/(1+$B21)^('DCF Model'!C19+2)+'DCF Model'!F45/(1+$B21)^('DCF Model'!C19+3)+'DCF Model'!G45/(1+$B21)^('DCF Model'!C19+4)+('DCF Model'!G39+'DCF Model'!G42)*E$17/(1+$B21)^('DCF Model'!C19+4)-'DCF Model'!C16)*1000000/'DCF Model'!C15,0),"")</f>
        <v>450</v>
      </c>
      <c r="F21" s="37">
        <f>IFERROR(ROUND(('DCF Model'!C45/(1+$B21)^('DCF Model'!C19+0)+'DCF Model'!D45/(1+$B21)^('DCF Model'!C19+1)+'DCF Model'!E45/(1+$B21)^('DCF Model'!C19+2)+'DCF Model'!F45/(1+$B21)^('DCF Model'!C19+3)+'DCF Model'!G45/(1+$B21)^('DCF Model'!C19+4)+('DCF Model'!G39+'DCF Model'!G42)*F$17/(1+$B21)^('DCF Model'!C19+4)-'DCF Model'!C16)*1000000/'DCF Model'!C15,0),"")</f>
        <v>688</v>
      </c>
      <c r="G21" s="37">
        <f>IFERROR(ROUND(('DCF Model'!C45/(1+$B21)^('DCF Model'!C19+0)+'DCF Model'!D45/(1+$B21)^('DCF Model'!C19+1)+'DCF Model'!E45/(1+$B21)^('DCF Model'!C19+2)+'DCF Model'!F45/(1+$B21)^('DCF Model'!C19+3)+'DCF Model'!G45/(1+$B21)^('DCF Model'!C19+4)+('DCF Model'!G39+'DCF Model'!G42)*G$17/(1+$B21)^('DCF Model'!C19+4)-'DCF Model'!C16)*1000000/'DCF Model'!C15,0),"")</f>
        <v>927</v>
      </c>
      <c r="H21" s="37">
        <f>IFERROR(ROUND(('DCF Model'!C45/(1+$B21)^('DCF Model'!C19+0)+'DCF Model'!D45/(1+$B21)^('DCF Model'!C19+1)+'DCF Model'!E45/(1+$B21)^('DCF Model'!C19+2)+'DCF Model'!F45/(1+$B21)^('DCF Model'!C19+3)+'DCF Model'!G45/(1+$B21)^('DCF Model'!C19+4)+('DCF Model'!G39+'DCF Model'!G42)*H$17/(1+$B21)^('DCF Model'!C19+4)-'DCF Model'!C16)*1000000/'DCF Model'!C15,0),"")</f>
        <v>1165</v>
      </c>
      <c r="I21" s="37">
        <f>IFERROR(ROUND(('DCF Model'!C45/(1+$B21)^('DCF Model'!C19+0)+'DCF Model'!D45/(1+$B21)^('DCF Model'!C19+1)+'DCF Model'!E45/(1+$B21)^('DCF Model'!C19+2)+'DCF Model'!F45/(1+$B21)^('DCF Model'!C19+3)+'DCF Model'!G45/(1+$B21)^('DCF Model'!C19+4)+('DCF Model'!G39+'DCF Model'!G42)*I$17/(1+$B21)^('DCF Model'!C19+4)-'DCF Model'!C16)*1000000/'DCF Model'!C15,0),"")</f>
        <v>1404</v>
      </c>
    </row>
    <row r="22" spans="2:9" ht="13.5" customHeight="1" x14ac:dyDescent="0.25">
      <c r="B22" s="39">
        <f>$C$3+0.005</f>
        <v>5.8271980783036047E-2</v>
      </c>
      <c r="C22" s="37">
        <f>IFERROR(ROUND(('DCF Model'!C45/(1+$B22)^('DCF Model'!C19+0)+'DCF Model'!D45/(1+$B22)^('DCF Model'!C19+1)+'DCF Model'!E45/(1+$B22)^('DCF Model'!C19+2)+'DCF Model'!F45/(1+$B22)^('DCF Model'!C19+3)+'DCF Model'!G45/(1+$B22)^('DCF Model'!C19+4)+('DCF Model'!G39+'DCF Model'!G42)*C$17/(1+$B22)^('DCF Model'!C19+4)-'DCF Model'!C16)*1000000/'DCF Model'!C15,0),"")</f>
        <v>-49</v>
      </c>
      <c r="D22" s="37">
        <f>IFERROR(ROUND(('DCF Model'!C45/(1+$B22)^('DCF Model'!C19+0)+'DCF Model'!D45/(1+$B22)^('DCF Model'!C19+1)+'DCF Model'!E45/(1+$B22)^('DCF Model'!C19+2)+'DCF Model'!F45/(1+$B22)^('DCF Model'!C19+3)+'DCF Model'!G45/(1+$B22)^('DCF Model'!C19+4)+('DCF Model'!G39+'DCF Model'!G42)*D$17/(1+$B22)^('DCF Model'!C19+4)-'DCF Model'!C16)*1000000/'DCF Model'!C15,0),"")</f>
        <v>184</v>
      </c>
      <c r="E22" s="37">
        <f>IFERROR(ROUND(('DCF Model'!C45/(1+$B22)^('DCF Model'!C19+0)+'DCF Model'!D45/(1+$B22)^('DCF Model'!C19+1)+'DCF Model'!E45/(1+$B22)^('DCF Model'!C19+2)+'DCF Model'!F45/(1+$B22)^('DCF Model'!C19+3)+'DCF Model'!G45/(1+$B22)^('DCF Model'!C19+4)+('DCF Model'!G39+'DCF Model'!G42)*E$17/(1+$B22)^('DCF Model'!C19+4)-'DCF Model'!C16)*1000000/'DCF Model'!C15,0),"")</f>
        <v>417</v>
      </c>
      <c r="F22" s="37">
        <f>IFERROR(ROUND(('DCF Model'!C45/(1+$B22)^('DCF Model'!C19+0)+'DCF Model'!D45/(1+$B22)^('DCF Model'!C19+1)+'DCF Model'!E45/(1+$B22)^('DCF Model'!C19+2)+'DCF Model'!F45/(1+$B22)^('DCF Model'!C19+3)+'DCF Model'!G45/(1+$B22)^('DCF Model'!C19+4)+('DCF Model'!G39+'DCF Model'!G42)*F$17/(1+$B22)^('DCF Model'!C19+4)-'DCF Model'!C16)*1000000/'DCF Model'!C15,0),"")</f>
        <v>650</v>
      </c>
      <c r="G22" s="37">
        <f>IFERROR(ROUND(('DCF Model'!C45/(1+$B22)^('DCF Model'!C19+0)+'DCF Model'!D45/(1+$B22)^('DCF Model'!C19+1)+'DCF Model'!E45/(1+$B22)^('DCF Model'!C19+2)+'DCF Model'!F45/(1+$B22)^('DCF Model'!C19+3)+'DCF Model'!G45/(1+$B22)^('DCF Model'!C19+4)+('DCF Model'!G39+'DCF Model'!G42)*G$17/(1+$B22)^('DCF Model'!C19+4)-'DCF Model'!C16)*1000000/'DCF Model'!C15,0),"")</f>
        <v>882</v>
      </c>
      <c r="H22" s="37">
        <f>IFERROR(ROUND(('DCF Model'!C45/(1+$B22)^('DCF Model'!C19+0)+'DCF Model'!D45/(1+$B22)^('DCF Model'!C19+1)+'DCF Model'!E45/(1+$B22)^('DCF Model'!C19+2)+'DCF Model'!F45/(1+$B22)^('DCF Model'!C19+3)+'DCF Model'!G45/(1+$B22)^('DCF Model'!C19+4)+('DCF Model'!G39+'DCF Model'!G42)*H$17/(1+$B22)^('DCF Model'!C19+4)-'DCF Model'!C16)*1000000/'DCF Model'!C15,0),"")</f>
        <v>1115</v>
      </c>
      <c r="I22" s="37">
        <f>IFERROR(ROUND(('DCF Model'!C45/(1+$B22)^('DCF Model'!C19+0)+'DCF Model'!D45/(1+$B22)^('DCF Model'!C19+1)+'DCF Model'!E45/(1+$B22)^('DCF Model'!C19+2)+'DCF Model'!F45/(1+$B22)^('DCF Model'!C19+3)+'DCF Model'!G45/(1+$B22)^('DCF Model'!C19+4)+('DCF Model'!G39+'DCF Model'!G42)*I$17/(1+$B22)^('DCF Model'!C19+4)-'DCF Model'!C16)*1000000/'DCF Model'!C15,0),"")</f>
        <v>1348</v>
      </c>
    </row>
    <row r="23" spans="2:9" ht="13.5" customHeight="1" x14ac:dyDescent="0.25">
      <c r="B23" s="39">
        <f>$C$3+0.01</f>
        <v>6.3271980783036044E-2</v>
      </c>
      <c r="C23" s="37">
        <f>IFERROR(ROUND(('DCF Model'!C45/(1+$B23)^('DCF Model'!C19+0)+'DCF Model'!D45/(1+$B23)^('DCF Model'!C19+1)+'DCF Model'!E45/(1+$B23)^('DCF Model'!C19+2)+'DCF Model'!F45/(1+$B23)^('DCF Model'!C19+3)+'DCF Model'!G45/(1+$B23)^('DCF Model'!C19+4)+('DCF Model'!G39+'DCF Model'!G42)*C$17/(1+$B23)^('DCF Model'!C19+4)-'DCF Model'!C16)*1000000/'DCF Model'!C15,0),"")</f>
        <v>-70</v>
      </c>
      <c r="D23" s="37">
        <f>IFERROR(ROUND(('DCF Model'!C45/(1+$B23)^('DCF Model'!C19+0)+'DCF Model'!D45/(1+$B23)^('DCF Model'!C19+1)+'DCF Model'!E45/(1+$B23)^('DCF Model'!C19+2)+'DCF Model'!F45/(1+$B23)^('DCF Model'!C19+3)+'DCF Model'!G45/(1+$B23)^('DCF Model'!C19+4)+('DCF Model'!G39+'DCF Model'!G42)*D$17/(1+$B23)^('DCF Model'!C19+4)-'DCF Model'!C16)*1000000/'DCF Model'!C15,0),"")</f>
        <v>157</v>
      </c>
      <c r="E23" s="37">
        <f>IFERROR(ROUND(('DCF Model'!C45/(1+$B23)^('DCF Model'!C19+0)+'DCF Model'!D45/(1+$B23)^('DCF Model'!C19+1)+'DCF Model'!E45/(1+$B23)^('DCF Model'!C19+2)+'DCF Model'!F45/(1+$B23)^('DCF Model'!C19+3)+'DCF Model'!G45/(1+$B23)^('DCF Model'!C19+4)+('DCF Model'!G39+'DCF Model'!G42)*E$17/(1+$B23)^('DCF Model'!C19+4)-'DCF Model'!C16)*1000000/'DCF Model'!C15,0),"")</f>
        <v>385</v>
      </c>
      <c r="F23" s="37">
        <f>IFERROR(ROUND(('DCF Model'!C45/(1+$B23)^('DCF Model'!C19+0)+'DCF Model'!D45/(1+$B23)^('DCF Model'!C19+1)+'DCF Model'!E45/(1+$B23)^('DCF Model'!C19+2)+'DCF Model'!F45/(1+$B23)^('DCF Model'!C19+3)+'DCF Model'!G45/(1+$B23)^('DCF Model'!C19+4)+('DCF Model'!G39+'DCF Model'!G42)*F$17/(1+$B23)^('DCF Model'!C19+4)-'DCF Model'!C16)*1000000/'DCF Model'!C15,0),"")</f>
        <v>612</v>
      </c>
      <c r="G23" s="37">
        <f>IFERROR(ROUND(('DCF Model'!C45/(1+$B23)^('DCF Model'!C19+0)+'DCF Model'!D45/(1+$B23)^('DCF Model'!C19+1)+'DCF Model'!E45/(1+$B23)^('DCF Model'!C19+2)+'DCF Model'!F45/(1+$B23)^('DCF Model'!C19+3)+'DCF Model'!G45/(1+$B23)^('DCF Model'!C19+4)+('DCF Model'!G39+'DCF Model'!G42)*G$17/(1+$B23)^('DCF Model'!C19+4)-'DCF Model'!C16)*1000000/'DCF Model'!C15,0),"")</f>
        <v>840</v>
      </c>
      <c r="H23" s="37">
        <f>IFERROR(ROUND(('DCF Model'!C45/(1+$B23)^('DCF Model'!C19+0)+'DCF Model'!D45/(1+$B23)^('DCF Model'!C19+1)+'DCF Model'!E45/(1+$B23)^('DCF Model'!C19+2)+'DCF Model'!F45/(1+$B23)^('DCF Model'!C19+3)+'DCF Model'!G45/(1+$B23)^('DCF Model'!C19+4)+('DCF Model'!G39+'DCF Model'!G42)*H$17/(1+$B23)^('DCF Model'!C19+4)-'DCF Model'!C16)*1000000/'DCF Model'!C15,0),"")</f>
        <v>1067</v>
      </c>
      <c r="I23" s="37">
        <f>IFERROR(ROUND(('DCF Model'!C45/(1+$B23)^('DCF Model'!C19+0)+'DCF Model'!D45/(1+$B23)^('DCF Model'!C19+1)+'DCF Model'!E45/(1+$B23)^('DCF Model'!C19+2)+'DCF Model'!F45/(1+$B23)^('DCF Model'!C19+3)+'DCF Model'!G45/(1+$B23)^('DCF Model'!C19+4)+('DCF Model'!G39+'DCF Model'!G42)*I$17/(1+$B23)^('DCF Model'!C19+4)-'DCF Model'!C16)*1000000/'DCF Model'!C15,0),"")</f>
        <v>1294</v>
      </c>
    </row>
    <row r="24" spans="2:9" ht="13.5" customHeight="1" x14ac:dyDescent="0.25">
      <c r="B24" s="39">
        <f>$C$3+0.015</f>
        <v>6.8271980783036049E-2</v>
      </c>
      <c r="C24" s="37">
        <f>IFERROR(ROUND(('DCF Model'!C45/(1+$B24)^('DCF Model'!C19+0)+'DCF Model'!D45/(1+$B24)^('DCF Model'!C19+1)+'DCF Model'!E45/(1+$B24)^('DCF Model'!C19+2)+'DCF Model'!F45/(1+$B24)^('DCF Model'!C19+3)+'DCF Model'!G45/(1+$B24)^('DCF Model'!C19+4)+('DCF Model'!G39+'DCF Model'!G42)*C$17/(1+$B24)^('DCF Model'!C19+4)-'DCF Model'!C16)*1000000/'DCF Model'!C15,0),"")</f>
        <v>-91</v>
      </c>
      <c r="D24" s="37">
        <f>IFERROR(ROUND(('DCF Model'!C45/(1+$B24)^('DCF Model'!C19+0)+'DCF Model'!D45/(1+$B24)^('DCF Model'!C19+1)+'DCF Model'!E45/(1+$B24)^('DCF Model'!C19+2)+'DCF Model'!F45/(1+$B24)^('DCF Model'!C19+3)+'DCF Model'!G45/(1+$B24)^('DCF Model'!C19+4)+('DCF Model'!G39+'DCF Model'!G42)*D$17/(1+$B24)^('DCF Model'!C19+4)-'DCF Model'!C16)*1000000/'DCF Model'!C15,0),"")</f>
        <v>131</v>
      </c>
      <c r="E24" s="37">
        <f>IFERROR(ROUND(('DCF Model'!C45/(1+$B24)^('DCF Model'!C19+0)+'DCF Model'!D45/(1+$B24)^('DCF Model'!C19+1)+'DCF Model'!E45/(1+$B24)^('DCF Model'!C19+2)+'DCF Model'!F45/(1+$B24)^('DCF Model'!C19+3)+'DCF Model'!G45/(1+$B24)^('DCF Model'!C19+4)+('DCF Model'!G39+'DCF Model'!G42)*E$17/(1+$B24)^('DCF Model'!C19+4)-'DCF Model'!C16)*1000000/'DCF Model'!C15,0),"")</f>
        <v>353</v>
      </c>
      <c r="F24" s="37">
        <f>IFERROR(ROUND(('DCF Model'!C45/(1+$B24)^('DCF Model'!C19+0)+'DCF Model'!D45/(1+$B24)^('DCF Model'!C19+1)+'DCF Model'!E45/(1+$B24)^('DCF Model'!C19+2)+'DCF Model'!F45/(1+$B24)^('DCF Model'!C19+3)+'DCF Model'!G45/(1+$B24)^('DCF Model'!C19+4)+('DCF Model'!G39+'DCF Model'!G42)*F$17/(1+$B24)^('DCF Model'!C19+4)-'DCF Model'!C16)*1000000/'DCF Model'!C15,0),"")</f>
        <v>576</v>
      </c>
      <c r="G24" s="37">
        <f>IFERROR(ROUND(('DCF Model'!C45/(1+$B24)^('DCF Model'!C19+0)+'DCF Model'!D45/(1+$B24)^('DCF Model'!C19+1)+'DCF Model'!E45/(1+$B24)^('DCF Model'!C19+2)+'DCF Model'!F45/(1+$B24)^('DCF Model'!C19+3)+'DCF Model'!G45/(1+$B24)^('DCF Model'!C19+4)+('DCF Model'!G39+'DCF Model'!G42)*G$17/(1+$B24)^('DCF Model'!C19+4)-'DCF Model'!C16)*1000000/'DCF Model'!C15,0),"")</f>
        <v>798</v>
      </c>
      <c r="H24" s="37">
        <f>IFERROR(ROUND(('DCF Model'!C45/(1+$B24)^('DCF Model'!C19+0)+'DCF Model'!D45/(1+$B24)^('DCF Model'!C19+1)+'DCF Model'!E45/(1+$B24)^('DCF Model'!C19+2)+'DCF Model'!F45/(1+$B24)^('DCF Model'!C19+3)+'DCF Model'!G45/(1+$B24)^('DCF Model'!C19+4)+('DCF Model'!G39+'DCF Model'!G42)*H$17/(1+$B24)^('DCF Model'!C19+4)-'DCF Model'!C16)*1000000/'DCF Model'!C15,0),"")</f>
        <v>1020</v>
      </c>
      <c r="I24" s="37">
        <f>IFERROR(ROUND(('DCF Model'!C45/(1+$B24)^('DCF Model'!C19+0)+'DCF Model'!D45/(1+$B24)^('DCF Model'!C19+1)+'DCF Model'!E45/(1+$B24)^('DCF Model'!C19+2)+'DCF Model'!F45/(1+$B24)^('DCF Model'!C19+3)+'DCF Model'!G45/(1+$B24)^('DCF Model'!C19+4)+('DCF Model'!G39+'DCF Model'!G42)*I$17/(1+$B24)^('DCF Model'!C19+4)-'DCF Model'!C16)*1000000/'DCF Model'!C15,0),"")</f>
        <v>1242</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245</v>
      </c>
      <c r="C6" s="4" t="s">
        <v>250</v>
      </c>
      <c r="D6" s="43" t="s">
        <v>251</v>
      </c>
      <c r="E6" s="43" t="s">
        <v>252</v>
      </c>
      <c r="F6" s="43" t="s">
        <v>253</v>
      </c>
      <c r="G6" s="43" t="s">
        <v>254</v>
      </c>
    </row>
    <row r="7" spans="2:7" ht="30" customHeight="1" x14ac:dyDescent="0.3">
      <c r="B7" s="43" t="s">
        <v>245</v>
      </c>
      <c r="C7" s="4" t="s">
        <v>255</v>
      </c>
      <c r="D7" s="43" t="s">
        <v>256</v>
      </c>
      <c r="E7" s="43" t="s">
        <v>257</v>
      </c>
      <c r="F7" s="43" t="s">
        <v>258</v>
      </c>
      <c r="G7" s="43" t="s">
        <v>259</v>
      </c>
    </row>
    <row r="8" spans="2:7" ht="30" customHeight="1" x14ac:dyDescent="0.3">
      <c r="B8" s="43" t="s">
        <v>245</v>
      </c>
      <c r="C8" s="4" t="s">
        <v>260</v>
      </c>
      <c r="D8" s="43" t="s">
        <v>261</v>
      </c>
      <c r="E8" s="43" t="s">
        <v>262</v>
      </c>
      <c r="F8" s="43" t="s">
        <v>263</v>
      </c>
      <c r="G8" s="43" t="s">
        <v>259</v>
      </c>
    </row>
    <row r="9" spans="2:7" ht="30" customHeight="1" x14ac:dyDescent="0.3">
      <c r="B9" s="43" t="s">
        <v>245</v>
      </c>
      <c r="C9" s="4" t="s">
        <v>264</v>
      </c>
      <c r="D9" s="43" t="s">
        <v>265</v>
      </c>
      <c r="E9" s="43" t="s">
        <v>266</v>
      </c>
      <c r="F9" s="43" t="s">
        <v>267</v>
      </c>
      <c r="G9" s="43" t="s">
        <v>254</v>
      </c>
    </row>
    <row r="10" spans="2:7" ht="30" customHeight="1" x14ac:dyDescent="0.3">
      <c r="B10" s="43" t="s">
        <v>245</v>
      </c>
      <c r="C10" s="4" t="s">
        <v>268</v>
      </c>
      <c r="D10" s="43" t="s">
        <v>269</v>
      </c>
      <c r="E10" s="43" t="s">
        <v>270</v>
      </c>
      <c r="F10" s="43" t="s">
        <v>271</v>
      </c>
      <c r="G10" s="43" t="s">
        <v>272</v>
      </c>
    </row>
    <row r="11" spans="2:7" ht="30" customHeight="1" x14ac:dyDescent="0.3">
      <c r="B11" s="43" t="s">
        <v>245</v>
      </c>
      <c r="C11" s="4" t="s">
        <v>273</v>
      </c>
      <c r="D11" s="43" t="s">
        <v>274</v>
      </c>
      <c r="E11" s="43" t="s">
        <v>275</v>
      </c>
      <c r="F11" s="43" t="s">
        <v>276</v>
      </c>
      <c r="G11" s="43" t="s">
        <v>277</v>
      </c>
    </row>
    <row r="12" spans="2:7" ht="30" customHeight="1" x14ac:dyDescent="0.3">
      <c r="B12" s="43" t="s">
        <v>245</v>
      </c>
      <c r="C12" s="4" t="s">
        <v>278</v>
      </c>
      <c r="D12" s="43" t="s">
        <v>279</v>
      </c>
      <c r="E12" s="43" t="s">
        <v>280</v>
      </c>
      <c r="F12" s="43" t="s">
        <v>281</v>
      </c>
      <c r="G12" s="43" t="s">
        <v>259</v>
      </c>
    </row>
    <row r="13" spans="2:7" ht="30" customHeight="1" x14ac:dyDescent="0.3">
      <c r="B13" s="43" t="s">
        <v>245</v>
      </c>
      <c r="C13" s="4" t="s">
        <v>282</v>
      </c>
      <c r="D13" s="43" t="s">
        <v>283</v>
      </c>
      <c r="E13" s="43" t="s">
        <v>284</v>
      </c>
      <c r="F13" s="43" t="s">
        <v>285</v>
      </c>
      <c r="G13" s="43" t="s">
        <v>259</v>
      </c>
    </row>
    <row r="14" spans="2:7" ht="30" customHeight="1" x14ac:dyDescent="0.3">
      <c r="B14" s="43" t="s">
        <v>245</v>
      </c>
      <c r="C14" s="4" t="s">
        <v>286</v>
      </c>
      <c r="D14" s="43" t="s">
        <v>287</v>
      </c>
      <c r="E14" s="43" t="s">
        <v>288</v>
      </c>
      <c r="F14" s="43" t="s">
        <v>246</v>
      </c>
      <c r="G14" s="43" t="s">
        <v>259</v>
      </c>
    </row>
    <row r="15" spans="2:7" ht="30" customHeight="1" x14ac:dyDescent="0.3">
      <c r="B15" s="43" t="s">
        <v>245</v>
      </c>
      <c r="C15" s="4" t="s">
        <v>289</v>
      </c>
      <c r="D15" s="43" t="s">
        <v>290</v>
      </c>
      <c r="E15" s="43" t="s">
        <v>291</v>
      </c>
      <c r="F15" s="43" t="s">
        <v>292</v>
      </c>
      <c r="G15" s="43" t="s">
        <v>259</v>
      </c>
    </row>
    <row r="16" spans="2:7" ht="30" customHeight="1" x14ac:dyDescent="0.3">
      <c r="B16" s="43" t="s">
        <v>245</v>
      </c>
      <c r="C16" s="4" t="s">
        <v>293</v>
      </c>
      <c r="D16" s="43" t="s">
        <v>294</v>
      </c>
      <c r="E16" s="43" t="s">
        <v>295</v>
      </c>
      <c r="F16" s="43" t="s">
        <v>246</v>
      </c>
      <c r="G16" s="43" t="s">
        <v>259</v>
      </c>
    </row>
    <row r="17" spans="2:7" ht="30" customHeight="1" x14ac:dyDescent="0.3">
      <c r="B17" s="43" t="s">
        <v>245</v>
      </c>
      <c r="C17" s="4" t="s">
        <v>296</v>
      </c>
      <c r="D17" s="43" t="s">
        <v>297</v>
      </c>
      <c r="E17" s="43" t="s">
        <v>298</v>
      </c>
      <c r="F17" s="43" t="s">
        <v>263</v>
      </c>
      <c r="G17" s="43" t="s">
        <v>259</v>
      </c>
    </row>
    <row r="18" spans="2:7" ht="30" customHeight="1" x14ac:dyDescent="0.3">
      <c r="B18" s="43" t="s">
        <v>245</v>
      </c>
      <c r="C18" s="4" t="s">
        <v>299</v>
      </c>
      <c r="D18" s="43" t="s">
        <v>300</v>
      </c>
      <c r="E18" s="43" t="s">
        <v>301</v>
      </c>
      <c r="F18" s="43" t="s">
        <v>302</v>
      </c>
      <c r="G18" s="43" t="s">
        <v>259</v>
      </c>
    </row>
    <row r="19" spans="2:7" ht="30" customHeight="1" x14ac:dyDescent="0.3">
      <c r="B19" s="43" t="s">
        <v>245</v>
      </c>
      <c r="C19" s="4" t="s">
        <v>303</v>
      </c>
      <c r="D19" s="43" t="s">
        <v>304</v>
      </c>
      <c r="E19" s="43" t="s">
        <v>305</v>
      </c>
      <c r="F19" s="43" t="s">
        <v>246</v>
      </c>
      <c r="G19" s="43" t="s">
        <v>306</v>
      </c>
    </row>
    <row r="20" spans="2:7" ht="30" customHeight="1" x14ac:dyDescent="0.3">
      <c r="B20" s="43" t="s">
        <v>245</v>
      </c>
      <c r="C20" s="4" t="s">
        <v>307</v>
      </c>
      <c r="D20" s="43" t="s">
        <v>308</v>
      </c>
      <c r="E20" s="43" t="s">
        <v>309</v>
      </c>
      <c r="F20" s="43" t="s">
        <v>263</v>
      </c>
      <c r="G20" s="43" t="s">
        <v>259</v>
      </c>
    </row>
    <row r="21" spans="2:7" ht="30" customHeight="1" x14ac:dyDescent="0.3">
      <c r="B21" s="43" t="s">
        <v>245</v>
      </c>
      <c r="C21" s="4" t="s">
        <v>310</v>
      </c>
      <c r="D21" s="43" t="s">
        <v>311</v>
      </c>
      <c r="E21" s="43" t="s">
        <v>312</v>
      </c>
      <c r="F21" s="43" t="s">
        <v>246</v>
      </c>
      <c r="G21" s="43" t="s">
        <v>259</v>
      </c>
    </row>
    <row r="22" spans="2:7" ht="30" customHeight="1" x14ac:dyDescent="0.3">
      <c r="B22" s="43" t="s">
        <v>245</v>
      </c>
      <c r="C22" s="4" t="s">
        <v>313</v>
      </c>
      <c r="D22" s="43" t="s">
        <v>314</v>
      </c>
      <c r="E22" s="43" t="s">
        <v>315</v>
      </c>
      <c r="F22" s="43" t="s">
        <v>246</v>
      </c>
      <c r="G22" s="43" t="s">
        <v>254</v>
      </c>
    </row>
    <row r="23" spans="2:7" ht="30" customHeight="1" x14ac:dyDescent="0.3">
      <c r="B23" s="43" t="s">
        <v>245</v>
      </c>
      <c r="C23" s="4" t="s">
        <v>316</v>
      </c>
      <c r="D23" s="43" t="s">
        <v>317</v>
      </c>
      <c r="E23" s="43" t="s">
        <v>318</v>
      </c>
      <c r="F23" s="43" t="s">
        <v>319</v>
      </c>
      <c r="G23" s="43" t="s">
        <v>320</v>
      </c>
    </row>
    <row r="24" spans="2:7" ht="30" customHeight="1" x14ac:dyDescent="0.3">
      <c r="B24" s="43" t="s">
        <v>245</v>
      </c>
      <c r="C24" s="4" t="s">
        <v>321</v>
      </c>
      <c r="D24" s="43" t="s">
        <v>322</v>
      </c>
      <c r="E24" s="43" t="s">
        <v>323</v>
      </c>
      <c r="F24" s="43" t="s">
        <v>246</v>
      </c>
      <c r="G24" s="43" t="s">
        <v>324</v>
      </c>
    </row>
    <row r="25" spans="2:7" ht="30" customHeight="1" x14ac:dyDescent="0.3">
      <c r="B25" s="43" t="s">
        <v>245</v>
      </c>
      <c r="C25" s="4" t="s">
        <v>325</v>
      </c>
      <c r="D25" s="43" t="s">
        <v>326</v>
      </c>
      <c r="E25" s="43" t="s">
        <v>327</v>
      </c>
      <c r="F25" s="43" t="s">
        <v>246</v>
      </c>
      <c r="G25" s="43" t="s">
        <v>328</v>
      </c>
    </row>
    <row r="26" spans="2:7" ht="30" customHeight="1" x14ac:dyDescent="0.3">
      <c r="B26" s="43" t="s">
        <v>245</v>
      </c>
      <c r="C26" s="4" t="s">
        <v>325</v>
      </c>
      <c r="D26" s="43" t="s">
        <v>329</v>
      </c>
      <c r="E26" s="43" t="s">
        <v>330</v>
      </c>
      <c r="F26" s="43" t="s">
        <v>246</v>
      </c>
      <c r="G26" s="43" t="s">
        <v>328</v>
      </c>
    </row>
    <row r="27" spans="2:7" ht="30" customHeight="1" x14ac:dyDescent="0.3">
      <c r="B27" s="43" t="s">
        <v>245</v>
      </c>
      <c r="C27" s="4" t="s">
        <v>325</v>
      </c>
      <c r="D27" s="43" t="s">
        <v>331</v>
      </c>
      <c r="E27" s="43" t="s">
        <v>332</v>
      </c>
      <c r="F27" s="43" t="s">
        <v>246</v>
      </c>
      <c r="G27" s="43" t="s">
        <v>328</v>
      </c>
    </row>
    <row r="28" spans="2:7" ht="14" customHeight="1" x14ac:dyDescent="0.2"/>
    <row r="29" spans="2:7" ht="14" customHeight="1" x14ac:dyDescent="0.3">
      <c r="B29" s="8" t="s">
        <v>333</v>
      </c>
    </row>
    <row r="30" spans="2:7" ht="14" customHeight="1" x14ac:dyDescent="0.3">
      <c r="B30" s="10" t="s">
        <v>334</v>
      </c>
      <c r="C30" s="10" t="s">
        <v>335</v>
      </c>
    </row>
    <row r="31" spans="2:7" ht="14" customHeight="1" x14ac:dyDescent="0.3">
      <c r="B31" s="4" t="s">
        <v>336</v>
      </c>
      <c r="C31" t="s">
        <v>337</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41</v>
      </c>
    </row>
    <row r="35" spans="2:3" ht="14" customHeight="1" x14ac:dyDescent="0.3">
      <c r="B35" s="4" t="s">
        <v>343</v>
      </c>
      <c r="C35" t="s">
        <v>4</v>
      </c>
    </row>
    <row r="36" spans="2:3" ht="14" customHeight="1" x14ac:dyDescent="0.3">
      <c r="B36" s="4" t="s">
        <v>344</v>
      </c>
      <c r="C36" t="s">
        <v>245</v>
      </c>
    </row>
    <row r="37" spans="2:3" ht="14" customHeight="1" x14ac:dyDescent="0.3">
      <c r="B37" s="4" t="s">
        <v>345</v>
      </c>
      <c r="C37" t="s">
        <v>346</v>
      </c>
    </row>
    <row r="38" spans="2:3" ht="14" customHeight="1" x14ac:dyDescent="0.3">
      <c r="B38" s="4" t="s">
        <v>347</v>
      </c>
      <c r="C38" t="s">
        <v>348</v>
      </c>
    </row>
    <row r="39" spans="2:3" ht="14" customHeight="1" x14ac:dyDescent="0.3">
      <c r="B39" s="4" t="s">
        <v>349</v>
      </c>
      <c r="C39" t="s">
        <v>350</v>
      </c>
    </row>
    <row r="40" spans="2:3" ht="14" customHeight="1" x14ac:dyDescent="0.3">
      <c r="B40" s="4" t="s">
        <v>351</v>
      </c>
      <c r="C40" t="s">
        <v>352</v>
      </c>
    </row>
    <row r="41" spans="2:3" ht="14" customHeight="1" x14ac:dyDescent="0.3">
      <c r="B41" s="4" t="s">
        <v>353</v>
      </c>
      <c r="C41" t="s">
        <v>354</v>
      </c>
    </row>
    <row r="42" spans="2:3" ht="14" customHeight="1" x14ac:dyDescent="0.3">
      <c r="B42" s="4" t="s">
        <v>355</v>
      </c>
      <c r="C42" t="s">
        <v>350</v>
      </c>
    </row>
    <row r="43" spans="2:3" ht="14" customHeight="1" x14ac:dyDescent="0.3">
      <c r="B43" s="4" t="s">
        <v>356</v>
      </c>
      <c r="C43" t="s">
        <v>346</v>
      </c>
    </row>
    <row r="44" spans="2:3" ht="14" customHeight="1" x14ac:dyDescent="0.3">
      <c r="B44" s="4" t="s">
        <v>357</v>
      </c>
      <c r="C44" t="s">
        <v>358</v>
      </c>
    </row>
    <row r="45" spans="2:3" ht="14" customHeight="1" x14ac:dyDescent="0.3">
      <c r="B45" s="4" t="s">
        <v>359</v>
      </c>
      <c r="C45" t="s">
        <v>360</v>
      </c>
    </row>
    <row r="46" spans="2:3" ht="14" customHeight="1" x14ac:dyDescent="0.3">
      <c r="B46" s="4" t="s">
        <v>361</v>
      </c>
      <c r="C46" t="s">
        <v>362</v>
      </c>
    </row>
    <row r="47" spans="2:3" ht="14" customHeight="1" x14ac:dyDescent="0.3">
      <c r="B47" s="4" t="s">
        <v>363</v>
      </c>
      <c r="C47" t="s">
        <v>364</v>
      </c>
    </row>
    <row r="48" spans="2:3" ht="14" customHeight="1" x14ac:dyDescent="0.3">
      <c r="B48" s="4" t="s">
        <v>365</v>
      </c>
      <c r="C48" t="s">
        <v>366</v>
      </c>
    </row>
    <row r="49" spans="2:3" ht="14" customHeight="1" x14ac:dyDescent="0.3">
      <c r="B49" s="4" t="s">
        <v>367</v>
      </c>
      <c r="C49" t="s">
        <v>368</v>
      </c>
    </row>
    <row r="50" spans="2:3" ht="14" customHeight="1" x14ac:dyDescent="0.3">
      <c r="B50" s="4" t="s">
        <v>369</v>
      </c>
      <c r="C50" t="s">
        <v>370</v>
      </c>
    </row>
    <row r="51" spans="2:3" ht="14" customHeight="1" x14ac:dyDescent="0.3">
      <c r="B51" s="4" t="s">
        <v>371</v>
      </c>
      <c r="C51" t="s">
        <v>372</v>
      </c>
    </row>
    <row r="52" spans="2:3" ht="14" customHeight="1" x14ac:dyDescent="0.3">
      <c r="B52" s="4" t="s">
        <v>373</v>
      </c>
      <c r="C52" t="s">
        <v>339</v>
      </c>
    </row>
    <row r="53" spans="2:3" ht="14" customHeight="1" x14ac:dyDescent="0.3">
      <c r="B53" s="4" t="s">
        <v>374</v>
      </c>
      <c r="C53" t="s">
        <v>375</v>
      </c>
    </row>
    <row r="54" spans="2:3" ht="14" customHeight="1" x14ac:dyDescent="0.3">
      <c r="B54" s="4" t="s">
        <v>376</v>
      </c>
      <c r="C54" t="s">
        <v>377</v>
      </c>
    </row>
    <row r="55" spans="2:3" ht="14" customHeight="1" x14ac:dyDescent="0.3">
      <c r="B55" s="4" t="s">
        <v>378</v>
      </c>
      <c r="C55" t="s">
        <v>379</v>
      </c>
    </row>
    <row r="56" spans="2:3" ht="14" customHeight="1" x14ac:dyDescent="0.3">
      <c r="B56" s="4" t="s">
        <v>380</v>
      </c>
      <c r="C56" t="s">
        <v>381</v>
      </c>
    </row>
    <row r="57" spans="2:3" ht="14" customHeight="1" x14ac:dyDescent="0.3">
      <c r="B57" s="4" t="s">
        <v>382</v>
      </c>
      <c r="C57" t="s">
        <v>383</v>
      </c>
    </row>
    <row r="58" spans="2:3" ht="14" customHeight="1" x14ac:dyDescent="0.3">
      <c r="B58" s="4" t="s">
        <v>384</v>
      </c>
      <c r="C58" t="s">
        <v>385</v>
      </c>
    </row>
    <row r="59" spans="2:3" ht="14" customHeight="1" x14ac:dyDescent="0.3">
      <c r="B59" s="4" t="s">
        <v>386</v>
      </c>
      <c r="C59" t="s">
        <v>387</v>
      </c>
    </row>
    <row r="60" spans="2:3" ht="14" customHeight="1" x14ac:dyDescent="0.3">
      <c r="B60" s="4" t="s">
        <v>388</v>
      </c>
      <c r="C60" t="s">
        <v>389</v>
      </c>
    </row>
    <row r="61" spans="2:3" ht="14" customHeight="1" x14ac:dyDescent="0.3">
      <c r="B61" s="4" t="s">
        <v>390</v>
      </c>
      <c r="C61" t="s">
        <v>391</v>
      </c>
    </row>
    <row r="62" spans="2:3" ht="14" customHeight="1" x14ac:dyDescent="0.3">
      <c r="B62" s="4" t="s">
        <v>392</v>
      </c>
      <c r="C62" t="s">
        <v>393</v>
      </c>
    </row>
    <row r="63" spans="2:3" ht="14" customHeight="1" x14ac:dyDescent="0.3">
      <c r="B63" s="4" t="s">
        <v>394</v>
      </c>
      <c r="C63" t="s">
        <v>395</v>
      </c>
    </row>
    <row r="64" spans="2:3" ht="14" customHeight="1" x14ac:dyDescent="0.3">
      <c r="B64" s="4" t="s">
        <v>396</v>
      </c>
      <c r="C64" t="s">
        <v>397</v>
      </c>
    </row>
    <row r="65" spans="2:3" ht="14" customHeight="1" x14ac:dyDescent="0.3">
      <c r="B65" s="4" t="s">
        <v>398</v>
      </c>
      <c r="C65" t="s">
        <v>399</v>
      </c>
    </row>
    <row r="66" spans="2:3" ht="14" customHeight="1" x14ac:dyDescent="0.3">
      <c r="B66" s="4" t="s">
        <v>400</v>
      </c>
      <c r="C66" t="s">
        <v>401</v>
      </c>
    </row>
    <row r="67" spans="2:3" ht="14" x14ac:dyDescent="0.3">
      <c r="B67" s="4" t="s">
        <v>402</v>
      </c>
      <c r="C67"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2026-09-05T05:48:11Z</dcterms:created>
  <dcterms:modified xsi:type="dcterms:W3CDTF">2026-09-05T07:26:38Z</dcterms:modified>
</cp:coreProperties>
</file>