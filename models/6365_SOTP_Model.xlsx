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/>
      <c r="D13" s="10">
        <f>(C13-$C$12)/$C$12</f>
        <v/>
      </c>
    </row>
    <row r="14">
      <c r="B14" s="6" t="inlineStr">
        <is>
          <t>DCF — Exit Multiple</t>
        </is>
      </c>
      <c r="C14" s="9" t="n"/>
      <c r="D14" s="10">
        <f>(C14-$C$12)/$C$12</f>
        <v/>
      </c>
    </row>
    <row r="15">
      <c r="B15" s="6" t="inlineStr">
        <is>
          <t>Comps — EV/EBITDA</t>
        </is>
      </c>
      <c r="C15" s="9" t="n"/>
      <c r="D15" s="10">
        <f>(C15-$C$12)/$C$12</f>
        <v/>
      </c>
    </row>
    <row r="16">
      <c r="B16" s="6" t="inlineStr">
        <is>
          <t>Comps — PER</t>
        </is>
      </c>
      <c r="C16" s="9" t="n"/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Public Sector (Pumps &amp; Blowers)  (官需部門（ポンプ・送風機）)</t>
        </is>
      </c>
    </row>
    <row r="6">
      <c r="B6" s="2" t="inlineStr">
        <is>
          <t xml:space="preserve">  Revenue</t>
        </is>
      </c>
      <c r="C6" s="13" t="n">
        <v>10000</v>
      </c>
      <c r="D6" s="13" t="n">
        <v>11000</v>
      </c>
      <c r="E6" s="13" t="n">
        <v>11500</v>
      </c>
    </row>
    <row r="7">
      <c r="B7" s="2" t="inlineStr">
        <is>
          <t xml:space="preserve">  Operating Profit</t>
        </is>
      </c>
      <c r="C7" s="13" t="n">
        <v>900</v>
      </c>
      <c r="D7" s="13" t="n">
        <v>1000</v>
      </c>
      <c r="E7" s="13" t="n">
        <v>1100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Private Sector (Industrial Pumps &amp; Blowers)  (民需部門（産業用ポンプ・送風機）)</t>
        </is>
      </c>
    </row>
    <row r="11">
      <c r="B11" s="2" t="inlineStr">
        <is>
          <t xml:space="preserve">  Revenue</t>
        </is>
      </c>
      <c r="C11" s="13" t="n">
        <v>8500</v>
      </c>
      <c r="D11" s="13" t="n">
        <v>9500</v>
      </c>
      <c r="E11" s="13" t="n">
        <v>10000</v>
      </c>
    </row>
    <row r="12">
      <c r="B12" s="2" t="inlineStr">
        <is>
          <t xml:space="preserve">  Operating Profit</t>
        </is>
      </c>
      <c r="C12" s="13" t="n">
        <v>800</v>
      </c>
      <c r="D12" s="13" t="n">
        <v>1000</v>
      </c>
      <c r="E12" s="13" t="n">
        <v>1100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&amp; Desalination (DeROs + Export)  (海外・淡水化部門（DeROs・輸出）)</t>
        </is>
      </c>
    </row>
    <row r="16">
      <c r="B16" s="2" t="inlineStr">
        <is>
          <t xml:space="preserve">  Revenue</t>
        </is>
      </c>
      <c r="C16" s="13" t="n">
        <v>5000</v>
      </c>
      <c r="D16" s="13" t="n">
        <v>6000</v>
      </c>
      <c r="E16" s="13" t="n">
        <v>6500</v>
      </c>
    </row>
    <row r="17">
      <c r="B17" s="2" t="inlineStr">
        <is>
          <t xml:space="preserve">  Operating Profit</t>
        </is>
      </c>
      <c r="C17" s="13" t="n">
        <v>500</v>
      </c>
      <c r="D17" s="13" t="n">
        <v>700</v>
      </c>
      <c r="E17" s="13" t="n">
        <v>800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Public Sector (Pumps &amp; Blowers)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Maezawa Industries</t>
        </is>
      </c>
      <c r="C5" s="20" t="inlineStr">
        <is>
          <t>6489.T</t>
        </is>
      </c>
      <c r="D5" s="21" t="n">
        <v>7.5</v>
      </c>
      <c r="E5" s="22" t="n">
        <v>0.08</v>
      </c>
      <c r="F5" s="23" t="n">
        <v>0.25</v>
      </c>
      <c r="G5" s="24" t="inlineStr">
        <is>
          <t>Water/sewage equipment. Similar public-sector mix</t>
        </is>
      </c>
    </row>
    <row r="6">
      <c r="B6" s="6" t="inlineStr">
        <is>
          <t>Tsurumi Manufacturing</t>
        </is>
      </c>
      <c r="C6" s="20" t="inlineStr">
        <is>
          <t>6351.T</t>
        </is>
      </c>
      <c r="D6" s="21" t="n">
        <v>8</v>
      </c>
      <c r="E6" s="22" t="n">
        <v>0.13</v>
      </c>
      <c r="F6" s="23" t="n">
        <v>0.78</v>
      </c>
      <c r="G6" s="24" t="inlineStr">
        <is>
          <t>Water pump major. Higher margin</t>
        </is>
      </c>
    </row>
    <row r="7">
      <c r="B7" s="25" t="inlineStr">
        <is>
          <t>Kubota (Water seg.)</t>
        </is>
      </c>
      <c r="C7" s="25" t="inlineStr">
        <is>
          <t>6326.T</t>
        </is>
      </c>
      <c r="D7" s="26" t="n">
        <v>10</v>
      </c>
      <c r="E7" s="27" t="n">
        <v>0.1</v>
      </c>
      <c r="F7" s="28" t="n">
        <v>22</v>
      </c>
      <c r="G7" s="29" t="inlineStr">
        <is>
          <t>Water infrastructure. Much larger - EXCLUDED</t>
        </is>
      </c>
    </row>
    <row r="8">
      <c r="B8" s="30" t="inlineStr">
        <is>
          <t>Median</t>
        </is>
      </c>
      <c r="C8" s="31" t="inlineStr"/>
      <c r="D8" s="32">
        <f>MEDIAN(D5,D6)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Median of domestic water infrastructure peers. Stable but low-growth → discount to industrial pump median.</t>
        </is>
      </c>
      <c r="D9" s="35" t="n">
        <v>7</v>
      </c>
      <c r="E9" s="36" t="inlineStr"/>
      <c r="F9" s="36" t="inlineStr"/>
      <c r="G9" s="36" t="inlineStr"/>
    </row>
    <row r="11">
      <c r="B11" s="18" t="inlineStr">
        <is>
          <t>Private Sector (Industrial Pumps &amp; Blowers)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Torishima Pump</t>
        </is>
      </c>
      <c r="C13" s="20" t="inlineStr">
        <is>
          <t>6363.T</t>
        </is>
      </c>
      <c r="D13" s="21" t="n">
        <v>9</v>
      </c>
      <c r="E13" s="22" t="n">
        <v>0.065</v>
      </c>
      <c r="F13" s="23" t="n">
        <v>0.6</v>
      </c>
      <c r="G13" s="24" t="inlineStr">
        <is>
          <t>Anchor comp. Large pump + power plant focus</t>
        </is>
      </c>
    </row>
    <row r="14">
      <c r="B14" s="6" t="inlineStr">
        <is>
          <t>Kaji Technology</t>
        </is>
      </c>
      <c r="C14" s="20" t="inlineStr">
        <is>
          <t>6391.T</t>
        </is>
      </c>
      <c r="D14" s="21" t="n">
        <v>8.5</v>
      </c>
      <c r="E14" s="22" t="n">
        <v>0.1</v>
      </c>
      <c r="F14" s="23" t="n">
        <v>0.05</v>
      </c>
      <c r="G14" s="24" t="inlineStr">
        <is>
          <t>High-pressure gas compressor. Backlog-driven</t>
        </is>
      </c>
    </row>
    <row r="15">
      <c r="B15" s="6" t="inlineStr">
        <is>
          <t>Iwaki Co.</t>
        </is>
      </c>
      <c r="C15" s="20" t="inlineStr">
        <is>
          <t>6237.T</t>
        </is>
      </c>
      <c r="D15" s="21" t="n">
        <v>8</v>
      </c>
      <c r="E15" s="22" t="n">
        <v>0.09</v>
      </c>
      <c r="F15" s="23" t="n">
        <v>0.42</v>
      </c>
      <c r="G15" s="24" t="inlineStr">
        <is>
          <t>Chemical pump specialist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Median of industrial pump / machinery peers. Cyclical but improving margins.</t>
        </is>
      </c>
      <c r="D17" s="35" t="n">
        <v>8.5</v>
      </c>
      <c r="E17" s="36" t="inlineStr"/>
      <c r="F17" s="36" t="inlineStr"/>
      <c r="G17" s="36" t="inlineStr"/>
    </row>
    <row r="19">
      <c r="B19" s="18" t="inlineStr">
        <is>
          <t>Overseas &amp; Desalination (DeROs + Export)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Torishima Pump (Overseas)</t>
        </is>
      </c>
      <c r="C21" s="20" t="inlineStr">
        <is>
          <t>6363.T</t>
        </is>
      </c>
      <c r="D21" s="21" t="n">
        <v>9</v>
      </c>
      <c r="E21" s="22" t="n">
        <v>0.065</v>
      </c>
      <c r="F21" s="23" t="n">
        <v>0.6</v>
      </c>
      <c r="G21" s="24" t="inlineStr">
        <is>
          <t>Desalination pump peer. Overseas revenue ~40%</t>
        </is>
      </c>
    </row>
    <row r="22">
      <c r="B22" s="6" t="inlineStr">
        <is>
          <t>Organo Corp</t>
        </is>
      </c>
      <c r="C22" s="20" t="inlineStr">
        <is>
          <t>6368.T</t>
        </is>
      </c>
      <c r="D22" s="21" t="n">
        <v>14</v>
      </c>
      <c r="E22" s="22" t="n">
        <v>0.11</v>
      </c>
      <c r="F22" s="23" t="n">
        <v>2.5</v>
      </c>
      <c r="G22" s="24" t="inlineStr">
        <is>
          <t>Water treatment equipment. Higher growth premium</t>
        </is>
      </c>
    </row>
    <row r="23">
      <c r="B23" s="25" t="inlineStr">
        <is>
          <t>Metawater</t>
        </is>
      </c>
      <c r="C23" s="25" t="inlineStr">
        <is>
          <t>9551.T</t>
        </is>
      </c>
      <c r="D23" s="26" t="n">
        <v>12</v>
      </c>
      <c r="E23" s="27" t="n">
        <v>0.09</v>
      </c>
      <c r="F23" s="28" t="n">
        <v>0.7</v>
      </c>
      <c r="G23" s="29" t="inlineStr">
        <is>
          <t>Water infrastructure. Reference only</t>
        </is>
      </c>
    </row>
    <row r="24">
      <c r="B24" s="30" t="inlineStr">
        <is>
          <t>Median</t>
        </is>
      </c>
      <c r="C24" s="31" t="inlineStr"/>
      <c r="D24" s="32">
        <f>MEDIAN(D21,D22)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Premium to domestic peers: (1) DeROs world-best energy recovery 99.7%, (2) India factory expansion, (3) Middle East / Africa desalination TAM growth.</t>
        </is>
      </c>
      <c r="D25" s="35" t="n">
        <v>12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Public Sector (Pumps &amp; Blowers)</t>
        </is>
      </c>
      <c r="C5" s="37">
        <f>'Segment Data'!E7</f>
        <v/>
      </c>
      <c r="D5" s="38" t="n">
        <v>0.45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Private Sector (Industrial Pumps &amp; Blowers)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&amp; Desalination (DeROs + Export)</t>
        </is>
      </c>
      <c r="C7" s="37">
        <f>'Segment Data'!E17</f>
        <v/>
      </c>
      <c r="D7" s="38" t="n">
        <v>0.25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650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Public Sector (Pumps &amp; Blowers)</t>
        </is>
      </c>
      <c r="C14" s="47">
        <f>H5/H9</f>
        <v/>
      </c>
    </row>
    <row r="15">
      <c r="B15" s="2" t="inlineStr">
        <is>
          <t xml:space="preserve">  Private Sector (Industrial Pumps &amp; Blowers)</t>
        </is>
      </c>
      <c r="C15" s="47">
        <f>H6/H9</f>
        <v/>
      </c>
    </row>
    <row r="16">
      <c r="B16" s="2" t="inlineStr">
        <is>
          <t xml:space="preserve">  Overseas &amp; Desalination (DeROs + Export)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-4000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7000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&amp; Desalination (DeROs + Export)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Public Sector (Pumps &amp; Blowers)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Private Sector (Industrial Pumps &amp; Blowers)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&amp; Desalination (DeROs + Export)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&amp; Desalination (DeROs + Export) EV/EBITDA →</t>
        </is>
      </c>
      <c r="C15" s="57" t="n">
        <v>8</v>
      </c>
      <c r="D15" s="57" t="n">
        <v>10</v>
      </c>
      <c r="E15" s="57" t="n">
        <v>12</v>
      </c>
      <c r="F15" s="57" t="n">
        <v>14</v>
      </c>
      <c r="G15" s="57" t="n">
        <v>16</v>
      </c>
    </row>
    <row r="16">
      <c r="B16" s="58" t="n">
        <v>0</v>
      </c>
      <c r="C16" s="59">
        <f>(($E$8*8+E6*F6+E7*F7+C9)*(1-$B16)-$C$10-$C$11)*1000/$C$12/$C$13</f>
        <v/>
      </c>
      <c r="D16" s="59">
        <f>(($E$8*10+E6*F6+E7*F7+C9)*(1-$B16)-$C$10-$C$11)*1000/$C$12/$C$13</f>
        <v/>
      </c>
      <c r="E16" s="60">
        <f>(($E$8*12+E6*F6+E7*F7+C9)*(1-$B16)-$C$10-$C$11)*1000/$C$12/$C$13</f>
        <v/>
      </c>
      <c r="F16" s="59">
        <f>(($E$8*14+E6*F6+E7*F7+C9)*(1-$B16)-$C$10-$C$11)*1000/$C$12/$C$13</f>
        <v/>
      </c>
      <c r="G16" s="59">
        <f>(($E$8*16+E6*F6+E7*F7+C9)*(1-$B16)-$C$10-$C$11)*1000/$C$12/$C$13</f>
        <v/>
      </c>
    </row>
    <row r="17">
      <c r="B17" s="58" t="n">
        <v>0.05</v>
      </c>
      <c r="C17" s="59">
        <f>(($E$8*8+E6*F6+E7*F7+C9)*(1-$B17)-$C$10-$C$11)*1000/$C$12/$C$13</f>
        <v/>
      </c>
      <c r="D17" s="59">
        <f>(($E$8*10+E6*F6+E7*F7+C9)*(1-$B17)-$C$10-$C$11)*1000/$C$12/$C$13</f>
        <v/>
      </c>
      <c r="E17" s="59">
        <f>(($E$8*12+E6*F6+E7*F7+C9)*(1-$B17)-$C$10-$C$11)*1000/$C$12/$C$13</f>
        <v/>
      </c>
      <c r="F17" s="59">
        <f>(($E$8*14+E6*F6+E7*F7+C9)*(1-$B17)-$C$10-$C$11)*1000/$C$12/$C$13</f>
        <v/>
      </c>
      <c r="G17" s="59">
        <f>(($E$8*16+E6*F6+E7*F7+C9)*(1-$B17)-$C$10-$C$11)*1000/$C$12/$C$13</f>
        <v/>
      </c>
    </row>
    <row r="18">
      <c r="B18" s="58" t="n">
        <v>0.1</v>
      </c>
      <c r="C18" s="59">
        <f>(($E$8*8+E6*F6+E7*F7+C9)*(1-$B18)-$C$10-$C$11)*1000/$C$12/$C$13</f>
        <v/>
      </c>
      <c r="D18" s="59">
        <f>(($E$8*10+E6*F6+E7*F7+C9)*(1-$B18)-$C$10-$C$11)*1000/$C$12/$C$13</f>
        <v/>
      </c>
      <c r="E18" s="59">
        <f>(($E$8*12+E6*F6+E7*F7+C9)*(1-$B18)-$C$10-$C$11)*1000/$C$12/$C$13</f>
        <v/>
      </c>
      <c r="F18" s="59">
        <f>(($E$8*14+E6*F6+E7*F7+C9)*(1-$B18)-$C$10-$C$11)*1000/$C$12/$C$13</f>
        <v/>
      </c>
      <c r="G18" s="59">
        <f>(($E$8*16+E6*F6+E7*F7+C9)*(1-$B18)-$C$10-$C$11)*1000/$C$12/$C$13</f>
        <v/>
      </c>
    </row>
    <row r="19">
      <c r="B19" s="58" t="n">
        <v>0.15</v>
      </c>
      <c r="C19" s="59">
        <f>(($E$8*8+E6*F6+E7*F7+C9)*(1-$B19)-$C$10-$C$11)*1000/$C$12/$C$13</f>
        <v/>
      </c>
      <c r="D19" s="59">
        <f>(($E$8*10+E6*F6+E7*F7+C9)*(1-$B19)-$C$10-$C$11)*1000/$C$12/$C$13</f>
        <v/>
      </c>
      <c r="E19" s="59">
        <f>(($E$8*12+E6*F6+E7*F7+C9)*(1-$B19)-$C$10-$C$11)*1000/$C$12/$C$13</f>
        <v/>
      </c>
      <c r="F19" s="59">
        <f>(($E$8*14+E6*F6+E7*F7+C9)*(1-$B19)-$C$10-$C$11)*1000/$C$12/$C$13</f>
        <v/>
      </c>
      <c r="G19" s="59">
        <f>(($E$8*16+E6*F6+E7*F7+C9)*(1-$B19)-$C$10-$C$11)*1000/$C$12/$C$13</f>
        <v/>
      </c>
    </row>
    <row r="20">
      <c r="B20" s="58" t="n">
        <v>0.2</v>
      </c>
      <c r="C20" s="59">
        <f>(($E$8*8+E6*F6+E7*F7+C9)*(1-$B20)-$C$10-$C$11)*1000/$C$12/$C$13</f>
        <v/>
      </c>
      <c r="D20" s="59">
        <f>(($E$8*10+E6*F6+E7*F7+C9)*(1-$B20)-$C$10-$C$11)*1000/$C$12/$C$13</f>
        <v/>
      </c>
      <c r="E20" s="59">
        <f>(($E$8*12+E6*F6+E7*F7+C9)*(1-$B20)-$C$10-$C$11)*1000/$C$12/$C$13</f>
        <v/>
      </c>
      <c r="F20" s="59">
        <f>(($E$8*14+E6*F6+E7*F7+C9)*(1-$B20)-$C$10-$C$11)*1000/$C$12/$C$13</f>
        <v/>
      </c>
      <c r="G20" s="59">
        <f>(($E$8*16+E6*F6+E7*F7+C9)*(1-$B20)-$C$10-$C$11)*1000/$C$12/$C$13</f>
        <v/>
      </c>
    </row>
    <row r="23">
      <c r="B23" s="3" t="inlineStr">
        <is>
          <t>Table 2: Public Sector (Pumps &amp; Blowers) × Private Sector (Industrial Pumps &amp; Blowers)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Public Sector (Pumps &amp; Blowers) ↓ / Private Sector (Industrial Pumps &amp; Blowers) →</t>
        </is>
      </c>
      <c r="C25" s="57" t="n">
        <v>6</v>
      </c>
      <c r="D25" s="57" t="n">
        <v>7</v>
      </c>
      <c r="E25" s="57" t="n">
        <v>8</v>
      </c>
      <c r="F25" s="57" t="n">
        <v>9</v>
      </c>
      <c r="G25" s="57" t="n">
        <v>10</v>
      </c>
    </row>
    <row r="26">
      <c r="B26" s="61" t="n">
        <v>5</v>
      </c>
      <c r="C26" s="59">
        <f>(($E$6*$B26+$E$7*C$25+$E$8*$F$8+$C$9)*(1-0.0)-$C$10-$C$11)*1000/$C$12/$C$13</f>
        <v/>
      </c>
      <c r="D26" s="59">
        <f>(($E$6*$B26+$E$7*D$25+$E$8*$F$8+$C$9)*(1-0.0)-$C$10-$C$11)*1000/$C$12/$C$13</f>
        <v/>
      </c>
      <c r="E26" s="59">
        <f>(($E$6*$B26+$E$7*E$25+$E$8*$F$8+$C$9)*(1-0.0)-$C$10-$C$11)*1000/$C$12/$C$13</f>
        <v/>
      </c>
      <c r="F26" s="59">
        <f>(($E$6*$B26+$E$7*F$25+$E$8*$F$8+$C$9)*(1-0.0)-$C$10-$C$11)*1000/$C$12/$C$13</f>
        <v/>
      </c>
      <c r="G26" s="59">
        <f>(($E$6*$B26+$E$7*G$25+$E$8*$F$8+$C$9)*(1-0.0)-$C$10-$C$11)*1000/$C$12/$C$13</f>
        <v/>
      </c>
    </row>
    <row r="27">
      <c r="B27" s="61" t="n">
        <v>6</v>
      </c>
      <c r="C27" s="59">
        <f>(($E$6*$B27+$E$7*C$25+$E$8*$F$8+$C$9)*(1-0.0)-$C$10-$C$11)*1000/$C$12/$C$13</f>
        <v/>
      </c>
      <c r="D27" s="59">
        <f>(($E$6*$B27+$E$7*D$25+$E$8*$F$8+$C$9)*(1-0.0)-$C$10-$C$11)*1000/$C$12/$C$13</f>
        <v/>
      </c>
      <c r="E27" s="59">
        <f>(($E$6*$B27+$E$7*E$25+$E$8*$F$8+$C$9)*(1-0.0)-$C$10-$C$11)*1000/$C$12/$C$13</f>
        <v/>
      </c>
      <c r="F27" s="59">
        <f>(($E$6*$B27+$E$7*F$25+$E$8*$F$8+$C$9)*(1-0.0)-$C$10-$C$11)*1000/$C$12/$C$13</f>
        <v/>
      </c>
      <c r="G27" s="59">
        <f>(($E$6*$B27+$E$7*G$25+$E$8*$F$8+$C$9)*(1-0.0)-$C$10-$C$11)*1000/$C$12/$C$13</f>
        <v/>
      </c>
    </row>
    <row r="28">
      <c r="B28" s="61" t="n">
        <v>7</v>
      </c>
      <c r="C28" s="59">
        <f>(($E$6*$B28+$E$7*C$25+$E$8*$F$8+$C$9)*(1-0.0)-$C$10-$C$11)*1000/$C$12/$C$13</f>
        <v/>
      </c>
      <c r="D28" s="59">
        <f>(($E$6*$B28+$E$7*D$25+$E$8*$F$8+$C$9)*(1-0.0)-$C$10-$C$11)*1000/$C$12/$C$13</f>
        <v/>
      </c>
      <c r="E28" s="59">
        <f>(($E$6*$B28+$E$7*E$25+$E$8*$F$8+$C$9)*(1-0.0)-$C$10-$C$11)*1000/$C$12/$C$13</f>
        <v/>
      </c>
      <c r="F28" s="59">
        <f>(($E$6*$B28+$E$7*F$25+$E$8*$F$8+$C$9)*(1-0.0)-$C$10-$C$11)*1000/$C$12/$C$13</f>
        <v/>
      </c>
      <c r="G28" s="59">
        <f>(($E$6*$B28+$E$7*G$25+$E$8*$F$8+$C$9)*(1-0.0)-$C$10-$C$11)*1000/$C$12/$C$13</f>
        <v/>
      </c>
    </row>
    <row r="29">
      <c r="B29" s="61" t="n">
        <v>8</v>
      </c>
      <c r="C29" s="59">
        <f>(($E$6*$B29+$E$7*C$25+$E$8*$F$8+$C$9)*(1-0.0)-$C$10-$C$11)*1000/$C$12/$C$13</f>
        <v/>
      </c>
      <c r="D29" s="59">
        <f>(($E$6*$B29+$E$7*D$25+$E$8*$F$8+$C$9)*(1-0.0)-$C$10-$C$11)*1000/$C$12/$C$13</f>
        <v/>
      </c>
      <c r="E29" s="59">
        <f>(($E$6*$B29+$E$7*E$25+$E$8*$F$8+$C$9)*(1-0.0)-$C$10-$C$11)*1000/$C$12/$C$13</f>
        <v/>
      </c>
      <c r="F29" s="59">
        <f>(($E$6*$B29+$E$7*F$25+$E$8*$F$8+$C$9)*(1-0.0)-$C$10-$C$11)*1000/$C$12/$C$13</f>
        <v/>
      </c>
      <c r="G29" s="59">
        <f>(($E$6*$B29+$E$7*G$25+$E$8*$F$8+$C$9)*(1-0.0)-$C$10-$C$11)*1000/$C$12/$C$13</f>
        <v/>
      </c>
    </row>
    <row r="30">
      <c r="B30" s="61" t="n">
        <v>9</v>
      </c>
      <c r="C30" s="59">
        <f>(($E$6*$B30+$E$7*C$25+$E$8*$F$8+$C$9)*(1-0.0)-$C$10-$C$11)*1000/$C$12/$C$13</f>
        <v/>
      </c>
      <c r="D30" s="59">
        <f>(($E$6*$B30+$E$7*D$25+$E$8*$F$8+$C$9)*(1-0.0)-$C$10-$C$11)*1000/$C$12/$C$13</f>
        <v/>
      </c>
      <c r="E30" s="59">
        <f>(($E$6*$B30+$E$7*E$25+$E$8*$F$8+$C$9)*(1-0.0)-$C$10-$C$11)*1000/$C$12/$C$13</f>
        <v/>
      </c>
      <c r="F30" s="59">
        <f>(($E$6*$B30+$E$7*F$25+$E$8*$F$8+$C$9)*(1-0.0)-$C$10-$C$11)*1000/$C$12/$C$13</f>
        <v/>
      </c>
      <c r="G30" s="59">
        <f>(($E$6*$B30+$E$7*G$25+$E$8*$F$8+$C$9)*(1-0.0)-$C$10-$C$11)*1000/$C$12/$C$13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650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Public Sector (Pumps &amp; Blowers)</t>
        </is>
      </c>
      <c r="C9" s="38" t="n">
        <v>0.45</v>
      </c>
      <c r="D9" s="39">
        <f>$C$6*C9</f>
        <v/>
      </c>
    </row>
    <row r="10">
      <c r="B10" s="6" t="inlineStr">
        <is>
          <t>Private Sector (Industrial Pumps &amp; Blowers)</t>
        </is>
      </c>
      <c r="C10" s="38" t="n">
        <v>0.3</v>
      </c>
      <c r="D10" s="39">
        <f>$C$6*C10</f>
        <v/>
      </c>
    </row>
    <row r="11">
      <c r="B11" s="6" t="inlineStr">
        <is>
          <t>Overseas &amp; Desalination (DeROs + Export)</t>
        </is>
      </c>
      <c r="C11" s="38" t="n">
        <v>0.25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2026-04-11T04:29:10Z</dcterms:created>
  <dcterms:modified xmlns:dcterms="http://purl.org/dc/terms/" xmlns:xsi="http://www.w3.org/2001/XMLSchema-instance" xsi:type="dcterms:W3CDTF">2026-04-11T04:29:10Z</dcterms:modified>
</cp:coreProperties>
</file>