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ryosuke0923\ryosuke-japanese-equity-research\models\"/>
    </mc:Choice>
  </mc:AlternateContent>
  <xr:revisionPtr revIDLastSave="0" documentId="13_ncr:1_{2534FE10-3E10-4666-9029-4D77051C45B5}" xr6:coauthVersionLast="47" xr6:coauthVersionMax="47" xr10:uidLastSave="{00000000-0000-0000-0000-000000000000}"/>
  <bookViews>
    <workbookView xWindow="-110" yWindow="-110" windowWidth="19420" windowHeight="10300" firstSheet="1" activeTab="5" xr2:uid="{00000000-000D-0000-FFFF-FFFF00000000}"/>
  </bookViews>
  <sheets>
    <sheet name="Cover &amp; Thesis" sheetId="1" r:id="rId1"/>
    <sheet name="Segment Data" sheetId="2" r:id="rId2"/>
    <sheet name="Peer Comps" sheetId="3" r:id="rId3"/>
    <sheet name="SOTP Valuation" sheetId="4" r:id="rId4"/>
    <sheet name="Sensitivity" sheetId="5" r:id="rId5"/>
    <sheet name="D&amp;A Allocation" sheetId="6" r:id="rId6"/>
  </sheets>
  <calcPr calcId="181029"/>
</workbook>
</file>

<file path=xl/calcChain.xml><?xml version="1.0" encoding="utf-8"?>
<calcChain xmlns="http://schemas.openxmlformats.org/spreadsheetml/2006/main">
  <c r="C12" i="6" l="1"/>
  <c r="E12" i="6" s="1"/>
  <c r="D11" i="6"/>
  <c r="D12" i="6" s="1"/>
  <c r="D10" i="6"/>
  <c r="D9" i="6"/>
  <c r="C13" i="5"/>
  <c r="C12" i="5"/>
  <c r="C11" i="5"/>
  <c r="C10" i="5"/>
  <c r="H8" i="4"/>
  <c r="C9" i="5" s="1"/>
  <c r="F8" i="4"/>
  <c r="G7" i="4"/>
  <c r="F8" i="5" s="1"/>
  <c r="E7" i="4"/>
  <c r="D8" i="5" s="1"/>
  <c r="C7" i="4"/>
  <c r="C8" i="5" s="1"/>
  <c r="G6" i="4"/>
  <c r="F7" i="5" s="1"/>
  <c r="E6" i="4"/>
  <c r="F6" i="4" s="1"/>
  <c r="H6" i="4" s="1"/>
  <c r="C6" i="4"/>
  <c r="C7" i="5" s="1"/>
  <c r="G5" i="4"/>
  <c r="F6" i="5" s="1"/>
  <c r="E5" i="4"/>
  <c r="D6" i="5" s="1"/>
  <c r="C5" i="4"/>
  <c r="C6" i="5" s="1"/>
  <c r="D24" i="3"/>
  <c r="D16" i="3"/>
  <c r="D8" i="3"/>
  <c r="D23" i="2"/>
  <c r="E22" i="2"/>
  <c r="D22" i="2"/>
  <c r="C22" i="2"/>
  <c r="C23" i="2" s="1"/>
  <c r="E21" i="2"/>
  <c r="E23" i="2" s="1"/>
  <c r="D21" i="2"/>
  <c r="C21" i="2"/>
  <c r="E18" i="2"/>
  <c r="D18" i="2"/>
  <c r="C18" i="2"/>
  <c r="E13" i="2"/>
  <c r="D13" i="2"/>
  <c r="C13" i="2"/>
  <c r="E8" i="2"/>
  <c r="D8" i="2"/>
  <c r="C8" i="2"/>
  <c r="E8" i="5" l="1"/>
  <c r="E6" i="5"/>
  <c r="F5" i="4"/>
  <c r="H5" i="4" s="1"/>
  <c r="F7" i="4"/>
  <c r="H7" i="4" s="1"/>
  <c r="D7" i="5"/>
  <c r="E7" i="5" s="1"/>
  <c r="H9" i="4" l="1"/>
  <c r="C14" i="4"/>
  <c r="E30" i="5"/>
  <c r="G28" i="5"/>
  <c r="D27" i="5"/>
  <c r="C27" i="5"/>
  <c r="C30" i="5"/>
  <c r="E28" i="5"/>
  <c r="G26" i="5"/>
  <c r="F29" i="5"/>
  <c r="C28" i="5"/>
  <c r="E26" i="5"/>
  <c r="D28" i="5"/>
  <c r="E29" i="5"/>
  <c r="G27" i="5"/>
  <c r="D26" i="5"/>
  <c r="G30" i="5"/>
  <c r="D29" i="5"/>
  <c r="F27" i="5"/>
  <c r="C26" i="5"/>
  <c r="F26" i="5"/>
  <c r="F30" i="5"/>
  <c r="C29" i="5"/>
  <c r="E27" i="5"/>
  <c r="D30" i="5"/>
  <c r="F28" i="5"/>
  <c r="G29" i="5"/>
  <c r="F20" i="5"/>
  <c r="C19" i="5"/>
  <c r="E17" i="5"/>
  <c r="D17" i="5"/>
  <c r="G16" i="5"/>
  <c r="D20" i="5"/>
  <c r="F18" i="5"/>
  <c r="C17" i="5"/>
  <c r="C20" i="5"/>
  <c r="G19" i="5"/>
  <c r="D18" i="5"/>
  <c r="F16" i="5"/>
  <c r="F19" i="5"/>
  <c r="C18" i="5"/>
  <c r="E16" i="5"/>
  <c r="E19" i="5"/>
  <c r="G17" i="5"/>
  <c r="D16" i="5"/>
  <c r="E18" i="5"/>
  <c r="G20" i="5"/>
  <c r="D19" i="5"/>
  <c r="F17" i="5"/>
  <c r="C16" i="5"/>
  <c r="E20" i="5"/>
  <c r="G18" i="5"/>
  <c r="C16" i="4"/>
  <c r="C19" i="4" l="1"/>
  <c r="C21" i="4" s="1"/>
  <c r="C24" i="4" s="1"/>
  <c r="C27" i="4" s="1"/>
  <c r="C12" i="1" s="1"/>
  <c r="C15" i="4"/>
  <c r="D15" i="1" l="1"/>
  <c r="D13" i="1"/>
  <c r="D16" i="1"/>
  <c r="D14" i="1"/>
</calcChain>
</file>

<file path=xl/sharedStrings.xml><?xml version="1.0" encoding="utf-8"?>
<sst xmlns="http://schemas.openxmlformats.org/spreadsheetml/2006/main" count="158" uniqueCount="127">
  <si>
    <t>SOTP Valuation Model</t>
  </si>
  <si>
    <t>Valuation Date: April 2026</t>
  </si>
  <si>
    <t>Investment Thesis</t>
  </si>
  <si>
    <t>DMW's consolidated valuation obscures the high-growth overseas desalination business (DeROs). SOTP separates the stable domestic public-sector pump business from the higher-margin, higher-growth overseas segment to reveal hidden value. DeROs achieves world-best energy recovery efficiency of 99.7%, positioning DMW for Middle East / India desalination TAM expansion.</t>
  </si>
  <si>
    <t>Valuation Cross-Check</t>
  </si>
  <si>
    <t>Method</t>
  </si>
  <si>
    <t>Fair Value (¥)</t>
  </si>
  <si>
    <t>vs SOTP Base</t>
  </si>
  <si>
    <t>SOTP (Base Case)</t>
  </si>
  <si>
    <t>—</t>
  </si>
  <si>
    <t>DCF — Perpetuity Growth</t>
  </si>
  <si>
    <t>DCF — Exit Multiple</t>
  </si>
  <si>
    <t>Comps — EV/EBITDA</t>
  </si>
  <si>
    <t>Comps — PER</t>
  </si>
  <si>
    <t>Segment Financial Data</t>
  </si>
  <si>
    <t>(¥ millions)</t>
  </si>
  <si>
    <t>Segment</t>
  </si>
  <si>
    <t>FY23</t>
  </si>
  <si>
    <t>FY24</t>
  </si>
  <si>
    <t>FY25E</t>
  </si>
  <si>
    <t>Public Sector (Pumps &amp; Blowers)  (官需部門（ポンプ・送風機）)</t>
  </si>
  <si>
    <t xml:space="preserve">  Revenue</t>
  </si>
  <si>
    <t xml:space="preserve">  Operating Profit</t>
  </si>
  <si>
    <t xml:space="preserve">  OPM %</t>
  </si>
  <si>
    <t>Private Sector (Industrial Pumps &amp; Blowers)  (民需部門（産業用ポンプ・送風機）)</t>
  </si>
  <si>
    <t>Overseas &amp; Desalination (DeROs + Export)  (海外・淡水化部門（DeROs・輸出）)</t>
  </si>
  <si>
    <t>Consolidated Total</t>
  </si>
  <si>
    <t xml:space="preserve">  Total Revenue</t>
  </si>
  <si>
    <t xml:space="preserve">  Total Operating Profit</t>
  </si>
  <si>
    <t xml:space="preserve">  Total OPM %</t>
  </si>
  <si>
    <t>Peer Comparable Analysis</t>
  </si>
  <si>
    <t>Public Sector (Pumps &amp; Blowers)</t>
  </si>
  <si>
    <t>Company</t>
  </si>
  <si>
    <t>Ticker</t>
  </si>
  <si>
    <t>EV/EBITDA</t>
  </si>
  <si>
    <t>OPM %</t>
  </si>
  <si>
    <t>Mkt Cap ($B)</t>
  </si>
  <si>
    <t>Note</t>
  </si>
  <si>
    <t>Maezawa Industries</t>
  </si>
  <si>
    <t>6489.T</t>
  </si>
  <si>
    <t>Water/sewage equipment. Similar public-sector mix</t>
  </si>
  <si>
    <t>Tsurumi Manufacturing</t>
  </si>
  <si>
    <t>6351.T</t>
  </si>
  <si>
    <t>Water pump major. Higher margin</t>
  </si>
  <si>
    <t>Kubota (Water seg.)</t>
  </si>
  <si>
    <t>6326.T</t>
  </si>
  <si>
    <t>Water infrastructure. Much larger - EXCLUDED</t>
  </si>
  <si>
    <t>Median</t>
  </si>
  <si>
    <t>Selected Multiple</t>
  </si>
  <si>
    <t>Median of domestic water infrastructure peers. Stable but low-growth → discount to industrial pump median.</t>
  </si>
  <si>
    <t>Private Sector (Industrial Pumps &amp; Blowers)</t>
  </si>
  <si>
    <t>Torishima Pump</t>
  </si>
  <si>
    <t>6363.T</t>
  </si>
  <si>
    <t>Anchor comp. Large pump + power plant focus</t>
  </si>
  <si>
    <t>Kaji Technology</t>
  </si>
  <si>
    <t>6391.T</t>
  </si>
  <si>
    <t>High-pressure gas compressor. Backlog-driven</t>
  </si>
  <si>
    <t>Iwaki Co.</t>
  </si>
  <si>
    <t>6237.T</t>
  </si>
  <si>
    <t>Chemical pump specialist</t>
  </si>
  <si>
    <t>Median of industrial pump / machinery peers. Cyclical but improving margins.</t>
  </si>
  <si>
    <t>Overseas &amp; Desalination (DeROs + Export)</t>
  </si>
  <si>
    <t>Torishima Pump (Overseas)</t>
  </si>
  <si>
    <t>Desalination pump peer. Overseas revenue ~40%</t>
  </si>
  <si>
    <t>Organo Corp</t>
  </si>
  <si>
    <t>6368.T</t>
  </si>
  <si>
    <t>Water treatment equipment. Higher growth premium</t>
  </si>
  <si>
    <t>Metawater</t>
  </si>
  <si>
    <t>9551.T</t>
  </si>
  <si>
    <t>Water infrastructure. Reference only</t>
  </si>
  <si>
    <t>Premium to domestic peers: (1) DeROs world-best energy recovery 99.7%, (2) India factory expansion, (3) Middle East / Africa desalination TAM growth.</t>
  </si>
  <si>
    <t>SOTP Valuation</t>
  </si>
  <si>
    <t>(¥ millions unless noted)</t>
  </si>
  <si>
    <t>OP (FY25E)</t>
  </si>
  <si>
    <t>D&amp;A Alloc %</t>
  </si>
  <si>
    <t>D&amp;A</t>
  </si>
  <si>
    <t>EBITDA</t>
  </si>
  <si>
    <t>Multiple (x)</t>
  </si>
  <si>
    <t>Segment EV</t>
  </si>
  <si>
    <t>Equity Method Investments</t>
  </si>
  <si>
    <t>Total Segment EV</t>
  </si>
  <si>
    <t>← Consolidated D&amp;A (input)</t>
  </si>
  <si>
    <t>EV Composition %</t>
  </si>
  <si>
    <t xml:space="preserve">  Public Sector (Pumps &amp; Blowers)</t>
  </si>
  <si>
    <t xml:space="preserve">  Private Sector (Industrial Pumps &amp; Blowers)</t>
  </si>
  <si>
    <t xml:space="preserve">  Overseas &amp; Desalination (DeROs + Export)</t>
  </si>
  <si>
    <t>Equity Bridge</t>
  </si>
  <si>
    <t>Total Enterprise Value</t>
  </si>
  <si>
    <t>Conglomerate Discount</t>
  </si>
  <si>
    <t>Adjusted EV</t>
  </si>
  <si>
    <t>Less: Net Debt</t>
  </si>
  <si>
    <t>Less: Minority Interest</t>
  </si>
  <si>
    <t>Equity Value</t>
  </si>
  <si>
    <t>Shares Outstanding (thousands)</t>
  </si>
  <si>
    <t>Stock Split Ratio</t>
  </si>
  <si>
    <t>Fair Value Per Share (post-split)</t>
  </si>
  <si>
    <t>Sensitivity Analysis</t>
  </si>
  <si>
    <t>Table 1: Overseas &amp; Desalination (DeROs + Export) Multiple × Conglomerate Discount</t>
  </si>
  <si>
    <t>Fair Value (¥/share, post-split)</t>
  </si>
  <si>
    <t>Base Assumptions (do not edit)</t>
  </si>
  <si>
    <t>Public Sector (Pumps &amp; Blowers) OP</t>
  </si>
  <si>
    <t>Private Sector (Industrial Pumps &amp; Blowers) OP</t>
  </si>
  <si>
    <t>Overseas &amp; Desalination (DeROs + Export) OP</t>
  </si>
  <si>
    <t>Equity Method EV</t>
  </si>
  <si>
    <t>Net Debt</t>
  </si>
  <si>
    <t>Minority Interest</t>
  </si>
  <si>
    <t>Shares (thousands)</t>
  </si>
  <si>
    <t>Split Ratio</t>
  </si>
  <si>
    <t>Overseas &amp; Desalination (DeROs + Export) EV/EBITDA →</t>
  </si>
  <si>
    <t>Table 2: Public Sector (Pumps &amp; Blowers) × Private Sector (Industrial Pumps &amp; Blowers) Multiple Sensitivity</t>
  </si>
  <si>
    <t>Fair Value (¥/share, post-split) — Base discount, base Aero multiple</t>
  </si>
  <si>
    <t>Public Sector (Pumps &amp; Blowers) ↓ / Private Sector (Industrial Pumps &amp; Blowers) →</t>
  </si>
  <si>
    <t>D&amp;A Allocation Methodology</t>
  </si>
  <si>
    <t>IHI does not disclose segment-level D&amp;A.</t>
  </si>
  <si>
    <t>Allocation is estimated based on fixed asset intensity by segment.</t>
  </si>
  <si>
    <t>Consolidated D&amp;A (FY25E)</t>
  </si>
  <si>
    <t>¥M (input)</t>
  </si>
  <si>
    <t>Allocation %</t>
  </si>
  <si>
    <t>D&amp;A (¥M)</t>
  </si>
  <si>
    <t>Check</t>
  </si>
  <si>
    <t>Total</t>
  </si>
  <si>
    <t>Notes:</t>
  </si>
  <si>
    <t>• Aero segment has highest capital intensity (engine test facilities, MRO hangars)</t>
  </si>
  <si>
    <t>• Energy segment includes boiler/turbine manufacturing → moderate fixed assets</t>
  </si>
  <si>
    <t>• Industrial includes turbocharger plants (Niigata, overseas) → moderate</t>
  </si>
  <si>
    <t>• Social Infrastructure: project-based, lower owned fixed assets</t>
  </si>
  <si>
    <t>• Allocation sums to 100% — residual is implicitly in corporate/eliminations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</si>
</sst>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\¥#,##0;\(\¥#,##0\)"/>
    <numFmt numFmtId="177" formatCode="0.0%;\(0.0%\)"/>
    <numFmt numFmtId="178" formatCode="#,##0;\(#,##0\)"/>
    <numFmt numFmtId="179" formatCode="0.00&quot;x&quot;"/>
  </numFmts>
  <fonts count="14" x14ac:knownFonts="1">
    <font>
      <sz val="11"/>
      <color theme="1"/>
      <name val="ＭＳ Ｐゴシック"/>
      <family val="2"/>
      <scheme val="minor"/>
    </font>
    <font>
      <b/>
      <sz val="14"/>
      <name val="Arial"/>
      <family val="2"/>
    </font>
    <font>
      <sz val="10"/>
      <color rgb="FF000000"/>
      <name val="Arial"/>
      <family val="2"/>
    </font>
    <font>
      <b/>
      <sz val="11"/>
      <name val="Arial"/>
      <family val="2"/>
    </font>
    <font>
      <b/>
      <sz val="11"/>
      <color rgb="FFFFFFFF"/>
      <name val="Arial"/>
      <family val="2"/>
    </font>
    <font>
      <sz val="10"/>
      <color rgb="FF006600"/>
      <name val="Arial"/>
      <family val="2"/>
    </font>
    <font>
      <i/>
      <sz val="9"/>
      <color rgb="FF808080"/>
      <name val="Arial"/>
      <family val="2"/>
    </font>
    <font>
      <sz val="10"/>
      <color rgb="FF0000FF"/>
      <name val="Arial"/>
      <family val="2"/>
    </font>
    <font>
      <b/>
      <sz val="10"/>
      <name val="Arial"/>
      <family val="2"/>
    </font>
    <font>
      <sz val="10"/>
      <color rgb="FF808080"/>
      <name val="Arial"/>
      <family val="2"/>
    </font>
    <font>
      <sz val="9"/>
      <color rgb="FF808080"/>
      <name val="Arial"/>
      <family val="2"/>
    </font>
    <font>
      <i/>
      <sz val="10"/>
      <color rgb="FF808080"/>
      <name val="Arial"/>
      <family val="2"/>
    </font>
    <font>
      <b/>
      <sz val="12"/>
      <color rgb="FF000080"/>
      <name val="Arial"/>
      <family val="2"/>
    </font>
    <font>
      <sz val="6"/>
      <name val="ＭＳ Ｐゴシック"/>
      <family val="3"/>
      <charset val="128"/>
      <scheme val="minor"/>
    </font>
  </fonts>
  <fills count="7">
    <fill>
      <patternFill patternType="none"/>
    </fill>
    <fill>
      <patternFill patternType="gray125"/>
    </fill>
    <fill>
      <patternFill patternType="solid">
        <fgColor rgb="FF000080"/>
        <bgColor rgb="FF000080"/>
      </patternFill>
    </fill>
    <fill>
      <patternFill patternType="solid">
        <fgColor rgb="FFF2F2F2"/>
        <bgColor rgb="FFF2F2F2"/>
      </patternFill>
    </fill>
    <fill>
      <patternFill patternType="solid">
        <fgColor rgb="FFDCE6F1"/>
        <bgColor rgb="FFDCE6F1"/>
      </patternFill>
    </fill>
    <fill>
      <patternFill patternType="solid">
        <fgColor rgb="FFFFF2CC"/>
        <bgColor rgb="FFFFF2CC"/>
      </patternFill>
    </fill>
    <fill>
      <patternFill patternType="solid">
        <fgColor rgb="FFD6E4F0"/>
        <bgColor rgb="FFD6E4F0"/>
      </patternFill>
    </fill>
  </fills>
  <borders count="6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double">
        <color auto="1"/>
      </bottom>
      <diagonal/>
    </border>
  </borders>
  <cellStyleXfs count="1">
    <xf numFmtId="0" fontId="0" fillId="0" borderId="0"/>
  </cellStyleXfs>
  <cellXfs count="66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2" borderId="1" xfId="0" applyFont="1" applyFill="1" applyBorder="1" applyAlignment="1">
      <alignment horizontal="center" wrapText="1"/>
    </xf>
    <xf numFmtId="0" fontId="2" fillId="0" borderId="2" xfId="0" applyFont="1" applyBorder="1"/>
    <xf numFmtId="176" fontId="5" fillId="0" borderId="2" xfId="0" applyNumberFormat="1" applyFont="1" applyBorder="1"/>
    <xf numFmtId="0" fontId="6" fillId="0" borderId="2" xfId="0" applyFont="1" applyBorder="1" applyAlignment="1">
      <alignment horizontal="center"/>
    </xf>
    <xf numFmtId="176" fontId="7" fillId="0" borderId="2" xfId="0" applyNumberFormat="1" applyFont="1" applyBorder="1"/>
    <xf numFmtId="177" fontId="2" fillId="0" borderId="2" xfId="0" applyNumberFormat="1" applyFont="1" applyBorder="1" applyAlignment="1">
      <alignment horizontal="center"/>
    </xf>
    <xf numFmtId="0" fontId="6" fillId="0" borderId="0" xfId="0" applyFont="1"/>
    <xf numFmtId="0" fontId="8" fillId="0" borderId="0" xfId="0" applyFont="1"/>
    <xf numFmtId="178" fontId="7" fillId="0" borderId="3" xfId="0" applyNumberFormat="1" applyFont="1" applyBorder="1"/>
    <xf numFmtId="177" fontId="2" fillId="0" borderId="3" xfId="0" applyNumberFormat="1" applyFont="1" applyBorder="1"/>
    <xf numFmtId="0" fontId="8" fillId="3" borderId="0" xfId="0" applyFont="1" applyFill="1"/>
    <xf numFmtId="178" fontId="5" fillId="3" borderId="4" xfId="0" applyNumberFormat="1" applyFont="1" applyFill="1" applyBorder="1"/>
    <xf numFmtId="177" fontId="5" fillId="3" borderId="4" xfId="0" applyNumberFormat="1" applyFont="1" applyFill="1" applyBorder="1"/>
    <xf numFmtId="0" fontId="9" fillId="0" borderId="2" xfId="0" applyFont="1" applyBorder="1"/>
    <xf numFmtId="179" fontId="7" fillId="0" borderId="2" xfId="0" applyNumberFormat="1" applyFont="1" applyBorder="1"/>
    <xf numFmtId="177" fontId="7" fillId="0" borderId="2" xfId="0" applyNumberFormat="1" applyFont="1" applyBorder="1"/>
    <xf numFmtId="3" fontId="7" fillId="0" borderId="2" xfId="0" applyNumberFormat="1" applyFont="1" applyBorder="1"/>
    <xf numFmtId="0" fontId="10" fillId="0" borderId="2" xfId="0" applyFont="1" applyBorder="1"/>
    <xf numFmtId="0" fontId="11" fillId="0" borderId="2" xfId="0" applyFont="1" applyBorder="1"/>
    <xf numFmtId="179" fontId="11" fillId="0" borderId="2" xfId="0" applyNumberFormat="1" applyFont="1" applyBorder="1"/>
    <xf numFmtId="177" fontId="11" fillId="0" borderId="2" xfId="0" applyNumberFormat="1" applyFont="1" applyBorder="1"/>
    <xf numFmtId="3" fontId="11" fillId="0" borderId="2" xfId="0" applyNumberFormat="1" applyFont="1" applyBorder="1"/>
    <xf numFmtId="0" fontId="6" fillId="0" borderId="2" xfId="0" applyFont="1" applyBorder="1"/>
    <xf numFmtId="0" fontId="8" fillId="3" borderId="4" xfId="0" applyFont="1" applyFill="1" applyBorder="1"/>
    <xf numFmtId="0" fontId="0" fillId="3" borderId="4" xfId="0" applyFill="1" applyBorder="1"/>
    <xf numFmtId="179" fontId="8" fillId="3" borderId="4" xfId="0" applyNumberFormat="1" applyFont="1" applyFill="1" applyBorder="1"/>
    <xf numFmtId="0" fontId="8" fillId="5" borderId="4" xfId="0" applyFont="1" applyFill="1" applyBorder="1"/>
    <xf numFmtId="0" fontId="10" fillId="5" borderId="4" xfId="0" applyFont="1" applyFill="1" applyBorder="1"/>
    <xf numFmtId="179" fontId="7" fillId="5" borderId="4" xfId="0" applyNumberFormat="1" applyFont="1" applyFill="1" applyBorder="1"/>
    <xf numFmtId="0" fontId="0" fillId="5" borderId="4" xfId="0" applyFill="1" applyBorder="1"/>
    <xf numFmtId="178" fontId="5" fillId="0" borderId="2" xfId="0" applyNumberFormat="1" applyFont="1" applyBorder="1"/>
    <xf numFmtId="177" fontId="7" fillId="0" borderId="3" xfId="0" applyNumberFormat="1" applyFont="1" applyBorder="1"/>
    <xf numFmtId="178" fontId="2" fillId="0" borderId="2" xfId="0" applyNumberFormat="1" applyFont="1" applyBorder="1"/>
    <xf numFmtId="179" fontId="5" fillId="0" borderId="2" xfId="0" applyNumberFormat="1" applyFont="1" applyBorder="1"/>
    <xf numFmtId="178" fontId="7" fillId="0" borderId="2" xfId="0" applyNumberFormat="1" applyFont="1" applyBorder="1"/>
    <xf numFmtId="0" fontId="0" fillId="0" borderId="2" xfId="0" applyBorder="1"/>
    <xf numFmtId="0" fontId="8" fillId="3" borderId="5" xfId="0" applyFont="1" applyFill="1" applyBorder="1"/>
    <xf numFmtId="0" fontId="0" fillId="3" borderId="5" xfId="0" applyFill="1" applyBorder="1"/>
    <xf numFmtId="178" fontId="8" fillId="3" borderId="5" xfId="0" applyNumberFormat="1" applyFont="1" applyFill="1" applyBorder="1"/>
    <xf numFmtId="178" fontId="7" fillId="0" borderId="0" xfId="0" applyNumberFormat="1" applyFont="1"/>
    <xf numFmtId="177" fontId="2" fillId="0" borderId="0" xfId="0" applyNumberFormat="1" applyFont="1"/>
    <xf numFmtId="177" fontId="7" fillId="0" borderId="3" xfId="0" applyNumberFormat="1" applyFont="1" applyBorder="1" applyAlignment="1">
      <alignment horizontal="center"/>
    </xf>
    <xf numFmtId="178" fontId="8" fillId="3" borderId="4" xfId="0" applyNumberFormat="1" applyFont="1" applyFill="1" applyBorder="1"/>
    <xf numFmtId="3" fontId="7" fillId="0" borderId="3" xfId="0" applyNumberFormat="1" applyFont="1" applyBorder="1"/>
    <xf numFmtId="0" fontId="8" fillId="6" borderId="5" xfId="0" applyFont="1" applyFill="1" applyBorder="1"/>
    <xf numFmtId="176" fontId="12" fillId="6" borderId="5" xfId="0" applyNumberFormat="1" applyFont="1" applyFill="1" applyBorder="1"/>
    <xf numFmtId="178" fontId="5" fillId="0" borderId="0" xfId="0" applyNumberFormat="1" applyFont="1"/>
    <xf numFmtId="178" fontId="2" fillId="0" borderId="0" xfId="0" applyNumberFormat="1" applyFont="1"/>
    <xf numFmtId="179" fontId="5" fillId="0" borderId="0" xfId="0" applyNumberFormat="1" applyFont="1"/>
    <xf numFmtId="3" fontId="5" fillId="0" borderId="0" xfId="0" applyNumberFormat="1" applyFont="1"/>
    <xf numFmtId="179" fontId="4" fillId="2" borderId="0" xfId="0" applyNumberFormat="1" applyFont="1" applyFill="1" applyAlignment="1">
      <alignment horizontal="center"/>
    </xf>
    <xf numFmtId="177" fontId="8" fillId="4" borderId="0" xfId="0" applyNumberFormat="1" applyFont="1" applyFill="1" applyAlignment="1">
      <alignment horizontal="center"/>
    </xf>
    <xf numFmtId="176" fontId="2" fillId="0" borderId="2" xfId="0" applyNumberFormat="1" applyFont="1" applyBorder="1" applyAlignment="1">
      <alignment horizontal="center"/>
    </xf>
    <xf numFmtId="176" fontId="2" fillId="6" borderId="2" xfId="0" applyNumberFormat="1" applyFont="1" applyFill="1" applyBorder="1" applyAlignment="1">
      <alignment horizontal="center"/>
    </xf>
    <xf numFmtId="179" fontId="8" fillId="4" borderId="0" xfId="0" applyNumberFormat="1" applyFont="1" applyFill="1" applyAlignment="1">
      <alignment horizontal="center"/>
    </xf>
    <xf numFmtId="177" fontId="8" fillId="3" borderId="5" xfId="0" applyNumberFormat="1" applyFont="1" applyFill="1" applyBorder="1"/>
    <xf numFmtId="0" fontId="2" fillId="0" borderId="0" xfId="0" applyFont="1" applyAlignment="1">
      <alignment vertical="top" wrapText="1"/>
    </xf>
    <xf numFmtId="0" fontId="0" fillId="0" borderId="0" xfId="0"/>
    <xf numFmtId="0" fontId="8" fillId="0" borderId="0" xfId="0" applyFont="1"/>
    <xf numFmtId="0" fontId="3" fillId="4" borderId="0" xfId="0" applyFont="1" applyFill="1"/>
    <xf numFmtId="0" fontId="0" fillId="4" borderId="0" xfId="0" applyFill="1"/>
    <xf numFmtId="0" fontId="6" fillId="0" borderId="0" xfId="0" applyFont="1"/>
  </cellXfs>
  <cellStyles count="1"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0080"/>
  </sheetPr>
  <dimension ref="B2:F16"/>
  <sheetViews>
    <sheetView topLeftCell="A2" workbookViewId="0">
      <selection activeCell="C16" sqref="C16"/>
    </sheetView>
  </sheetViews>
  <sheetFormatPr defaultRowHeight="13" x14ac:dyDescent="0.2"/>
  <cols>
    <col min="1" max="1" width="3" customWidth="1"/>
    <col min="2" max="2" width="30" customWidth="1"/>
    <col min="3" max="6" width="18" customWidth="1"/>
  </cols>
  <sheetData>
    <row r="2" spans="2:6" ht="18" x14ac:dyDescent="0.4">
      <c r="B2" s="1" t="s">
        <v>0</v>
      </c>
    </row>
    <row r="3" spans="2:6" ht="13.5" x14ac:dyDescent="0.25">
      <c r="B3" s="2" t="s">
        <v>1</v>
      </c>
    </row>
    <row r="5" spans="2:6" ht="14" x14ac:dyDescent="0.3">
      <c r="B5" s="3" t="s">
        <v>2</v>
      </c>
    </row>
    <row r="6" spans="2:6" x14ac:dyDescent="0.2">
      <c r="B6" s="60" t="s">
        <v>3</v>
      </c>
      <c r="C6" s="61"/>
      <c r="D6" s="61"/>
      <c r="E6" s="61"/>
      <c r="F6" s="61"/>
    </row>
    <row r="7" spans="2:6" x14ac:dyDescent="0.2">
      <c r="B7" s="61"/>
      <c r="C7" s="61"/>
      <c r="D7" s="61"/>
      <c r="E7" s="61"/>
      <c r="F7" s="61"/>
    </row>
    <row r="8" spans="2:6" x14ac:dyDescent="0.2">
      <c r="B8" s="61"/>
      <c r="C8" s="61"/>
      <c r="D8" s="61"/>
      <c r="E8" s="61"/>
      <c r="F8" s="61"/>
    </row>
    <row r="10" spans="2:6" ht="14" x14ac:dyDescent="0.3">
      <c r="B10" s="3" t="s">
        <v>4</v>
      </c>
    </row>
    <row r="11" spans="2:6" ht="14" x14ac:dyDescent="0.3">
      <c r="B11" s="4" t="s">
        <v>5</v>
      </c>
      <c r="C11" s="4" t="s">
        <v>6</v>
      </c>
      <c r="D11" s="4" t="s">
        <v>7</v>
      </c>
    </row>
    <row r="12" spans="2:6" ht="14" x14ac:dyDescent="0.3">
      <c r="B12" s="5" t="s">
        <v>8</v>
      </c>
      <c r="C12" s="6">
        <f>'SOTP Valuation'!C27</f>
        <v>9365.5006031363082</v>
      </c>
      <c r="D12" s="7" t="s">
        <v>9</v>
      </c>
    </row>
    <row r="13" spans="2:6" ht="13.5" x14ac:dyDescent="0.25">
      <c r="B13" s="5" t="s">
        <v>10</v>
      </c>
      <c r="C13" s="8">
        <v>5882</v>
      </c>
      <c r="D13" s="9">
        <f>(C13-$C$12)/$C$12</f>
        <v>-0.37195028335909319</v>
      </c>
    </row>
    <row r="14" spans="2:6" ht="13.5" x14ac:dyDescent="0.25">
      <c r="B14" s="5" t="s">
        <v>11</v>
      </c>
      <c r="C14" s="8">
        <v>9662</v>
      </c>
      <c r="D14" s="9">
        <f>(C14-$C$12)/$C$12</f>
        <v>3.1658681092220572E-2</v>
      </c>
    </row>
    <row r="15" spans="2:6" ht="13.5" x14ac:dyDescent="0.25">
      <c r="B15" s="5" t="s">
        <v>12</v>
      </c>
      <c r="C15" s="8">
        <v>9772</v>
      </c>
      <c r="D15" s="9">
        <f>(C15-$C$12)/$C$12</f>
        <v>4.3403915507470442E-2</v>
      </c>
    </row>
    <row r="16" spans="2:6" ht="13.5" x14ac:dyDescent="0.25">
      <c r="B16" s="5" t="s">
        <v>13</v>
      </c>
      <c r="C16" s="8">
        <v>7496</v>
      </c>
      <c r="D16" s="9">
        <f>(C16-$C$12)/$C$12</f>
        <v>-0.19961566202988146</v>
      </c>
    </row>
  </sheetData>
  <mergeCells count="1">
    <mergeCell ref="B6:F8"/>
  </mergeCells>
  <phoneticPr fontId="13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6600"/>
  </sheetPr>
  <dimension ref="B1:E23"/>
  <sheetViews>
    <sheetView workbookViewId="0"/>
  </sheetViews>
  <sheetFormatPr defaultRowHeight="13" x14ac:dyDescent="0.2"/>
  <cols>
    <col min="1" max="1" width="3" customWidth="1"/>
    <col min="2" max="2" width="35" customWidth="1"/>
    <col min="3" max="5" width="16" customWidth="1"/>
  </cols>
  <sheetData>
    <row r="1" spans="2:5" ht="18" x14ac:dyDescent="0.4">
      <c r="B1" s="1" t="s">
        <v>14</v>
      </c>
    </row>
    <row r="2" spans="2:5" ht="14" x14ac:dyDescent="0.3">
      <c r="B2" s="10" t="s">
        <v>15</v>
      </c>
    </row>
    <row r="4" spans="2:5" ht="14" x14ac:dyDescent="0.3">
      <c r="B4" s="4" t="s">
        <v>16</v>
      </c>
      <c r="C4" s="4" t="s">
        <v>17</v>
      </c>
      <c r="D4" s="4" t="s">
        <v>18</v>
      </c>
      <c r="E4" s="4" t="s">
        <v>19</v>
      </c>
    </row>
    <row r="5" spans="2:5" ht="14" x14ac:dyDescent="0.3">
      <c r="B5" s="62" t="s">
        <v>20</v>
      </c>
      <c r="C5" s="61"/>
      <c r="D5" s="61"/>
      <c r="E5" s="61"/>
    </row>
    <row r="6" spans="2:5" ht="13.5" x14ac:dyDescent="0.25">
      <c r="B6" s="2" t="s">
        <v>21</v>
      </c>
      <c r="C6" s="12">
        <v>10000</v>
      </c>
      <c r="D6" s="12">
        <v>11000</v>
      </c>
      <c r="E6" s="12">
        <v>11500</v>
      </c>
    </row>
    <row r="7" spans="2:5" ht="13.5" x14ac:dyDescent="0.25">
      <c r="B7" s="2" t="s">
        <v>22</v>
      </c>
      <c r="C7" s="12">
        <v>900</v>
      </c>
      <c r="D7" s="12">
        <v>1000</v>
      </c>
      <c r="E7" s="12">
        <v>1100</v>
      </c>
    </row>
    <row r="8" spans="2:5" ht="13.5" x14ac:dyDescent="0.25">
      <c r="B8" s="2" t="s">
        <v>23</v>
      </c>
      <c r="C8" s="13">
        <f>IF(C6=0,0,C7/C6)</f>
        <v>0.09</v>
      </c>
      <c r="D8" s="13">
        <f>IF(D6=0,0,D7/D6)</f>
        <v>9.0909090909090912E-2</v>
      </c>
      <c r="E8" s="13">
        <f>IF(E6=0,0,E7/E6)</f>
        <v>9.5652173913043481E-2</v>
      </c>
    </row>
    <row r="10" spans="2:5" ht="14" x14ac:dyDescent="0.3">
      <c r="B10" s="62" t="s">
        <v>24</v>
      </c>
      <c r="C10" s="61"/>
      <c r="D10" s="61"/>
      <c r="E10" s="61"/>
    </row>
    <row r="11" spans="2:5" ht="13.5" x14ac:dyDescent="0.25">
      <c r="B11" s="2" t="s">
        <v>21</v>
      </c>
      <c r="C11" s="12">
        <v>8500</v>
      </c>
      <c r="D11" s="12">
        <v>9500</v>
      </c>
      <c r="E11" s="12">
        <v>10000</v>
      </c>
    </row>
    <row r="12" spans="2:5" ht="13.5" x14ac:dyDescent="0.25">
      <c r="B12" s="2" t="s">
        <v>22</v>
      </c>
      <c r="C12" s="12">
        <v>800</v>
      </c>
      <c r="D12" s="12">
        <v>1000</v>
      </c>
      <c r="E12" s="12">
        <v>1100</v>
      </c>
    </row>
    <row r="13" spans="2:5" ht="13.5" x14ac:dyDescent="0.25">
      <c r="B13" s="2" t="s">
        <v>23</v>
      </c>
      <c r="C13" s="13">
        <f>IF(C11=0,0,C12/C11)</f>
        <v>9.4117647058823528E-2</v>
      </c>
      <c r="D13" s="13">
        <f>IF(D11=0,0,D12/D11)</f>
        <v>0.10526315789473684</v>
      </c>
      <c r="E13" s="13">
        <f>IF(E11=0,0,E12/E11)</f>
        <v>0.11</v>
      </c>
    </row>
    <row r="15" spans="2:5" ht="14" x14ac:dyDescent="0.3">
      <c r="B15" s="62" t="s">
        <v>25</v>
      </c>
      <c r="C15" s="61"/>
      <c r="D15" s="61"/>
      <c r="E15" s="61"/>
    </row>
    <row r="16" spans="2:5" ht="13.5" x14ac:dyDescent="0.25">
      <c r="B16" s="2" t="s">
        <v>21</v>
      </c>
      <c r="C16" s="12">
        <v>5000</v>
      </c>
      <c r="D16" s="12">
        <v>6000</v>
      </c>
      <c r="E16" s="12">
        <v>6500</v>
      </c>
    </row>
    <row r="17" spans="2:5" ht="13.5" x14ac:dyDescent="0.25">
      <c r="B17" s="2" t="s">
        <v>22</v>
      </c>
      <c r="C17" s="12">
        <v>500</v>
      </c>
      <c r="D17" s="12">
        <v>700</v>
      </c>
      <c r="E17" s="12">
        <v>800</v>
      </c>
    </row>
    <row r="18" spans="2:5" ht="13.5" x14ac:dyDescent="0.25">
      <c r="B18" s="2" t="s">
        <v>23</v>
      </c>
      <c r="C18" s="13">
        <f>IF(C16=0,0,C17/C16)</f>
        <v>0.1</v>
      </c>
      <c r="D18" s="13">
        <f>IF(D16=0,0,D17/D16)</f>
        <v>0.11666666666666667</v>
      </c>
      <c r="E18" s="13">
        <f>IF(E16=0,0,E17/E16)</f>
        <v>0.12307692307692308</v>
      </c>
    </row>
    <row r="20" spans="2:5" ht="14" x14ac:dyDescent="0.3">
      <c r="B20" s="14" t="s">
        <v>26</v>
      </c>
    </row>
    <row r="21" spans="2:5" ht="14" x14ac:dyDescent="0.3">
      <c r="B21" s="14" t="s">
        <v>27</v>
      </c>
      <c r="C21" s="15">
        <f t="shared" ref="C21:E22" si="0">C6+C11+C16</f>
        <v>23500</v>
      </c>
      <c r="D21" s="15">
        <f t="shared" si="0"/>
        <v>26500</v>
      </c>
      <c r="E21" s="15">
        <f t="shared" si="0"/>
        <v>28000</v>
      </c>
    </row>
    <row r="22" spans="2:5" ht="14" x14ac:dyDescent="0.3">
      <c r="B22" s="14" t="s">
        <v>28</v>
      </c>
      <c r="C22" s="15">
        <f t="shared" si="0"/>
        <v>2200</v>
      </c>
      <c r="D22" s="15">
        <f t="shared" si="0"/>
        <v>2700</v>
      </c>
      <c r="E22" s="15">
        <f t="shared" si="0"/>
        <v>3000</v>
      </c>
    </row>
    <row r="23" spans="2:5" ht="14" x14ac:dyDescent="0.3">
      <c r="B23" s="14" t="s">
        <v>29</v>
      </c>
      <c r="C23" s="16">
        <f>IF(C21=0,0,C22/C21)</f>
        <v>9.3617021276595741E-2</v>
      </c>
      <c r="D23" s="16">
        <f>IF(D21=0,0,D22/D21)</f>
        <v>0.10188679245283019</v>
      </c>
      <c r="E23" s="16">
        <f>IF(E21=0,0,E22/E21)</f>
        <v>0.10714285714285714</v>
      </c>
    </row>
  </sheetData>
  <mergeCells count="3">
    <mergeCell ref="B15:E15"/>
    <mergeCell ref="B10:E10"/>
    <mergeCell ref="B5:E5"/>
  </mergeCells>
  <phoneticPr fontId="13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800000"/>
  </sheetPr>
  <dimension ref="B1:G25"/>
  <sheetViews>
    <sheetView workbookViewId="0"/>
  </sheetViews>
  <sheetFormatPr defaultRowHeight="13" x14ac:dyDescent="0.2"/>
  <cols>
    <col min="1" max="1" width="3" customWidth="1"/>
    <col min="2" max="2" width="25" customWidth="1"/>
    <col min="3" max="3" width="12" customWidth="1"/>
    <col min="4" max="4" width="14" customWidth="1"/>
    <col min="5" max="5" width="12" customWidth="1"/>
    <col min="6" max="6" width="16" customWidth="1"/>
    <col min="7" max="7" width="30" customWidth="1"/>
  </cols>
  <sheetData>
    <row r="1" spans="2:7" ht="18" x14ac:dyDescent="0.4">
      <c r="B1" s="1" t="s">
        <v>30</v>
      </c>
    </row>
    <row r="3" spans="2:7" ht="14" x14ac:dyDescent="0.3">
      <c r="B3" s="63" t="s">
        <v>31</v>
      </c>
      <c r="C3" s="64"/>
      <c r="D3" s="64"/>
      <c r="E3" s="64"/>
      <c r="F3" s="64"/>
      <c r="G3" s="64"/>
    </row>
    <row r="4" spans="2:7" ht="14" x14ac:dyDescent="0.3">
      <c r="B4" s="4" t="s">
        <v>32</v>
      </c>
      <c r="C4" s="4" t="s">
        <v>33</v>
      </c>
      <c r="D4" s="4" t="s">
        <v>34</v>
      </c>
      <c r="E4" s="4" t="s">
        <v>35</v>
      </c>
      <c r="F4" s="4" t="s">
        <v>36</v>
      </c>
      <c r="G4" s="4" t="s">
        <v>37</v>
      </c>
    </row>
    <row r="5" spans="2:7" ht="13.5" x14ac:dyDescent="0.25">
      <c r="B5" s="5" t="s">
        <v>38</v>
      </c>
      <c r="C5" s="17" t="s">
        <v>39</v>
      </c>
      <c r="D5" s="18">
        <v>7.5</v>
      </c>
      <c r="E5" s="19">
        <v>0.08</v>
      </c>
      <c r="F5" s="20">
        <v>0.25</v>
      </c>
      <c r="G5" s="21" t="s">
        <v>40</v>
      </c>
    </row>
    <row r="6" spans="2:7" ht="13.5" x14ac:dyDescent="0.25">
      <c r="B6" s="5" t="s">
        <v>41</v>
      </c>
      <c r="C6" s="17" t="s">
        <v>42</v>
      </c>
      <c r="D6" s="18">
        <v>8</v>
      </c>
      <c r="E6" s="19">
        <v>0.13</v>
      </c>
      <c r="F6" s="20">
        <v>0.78</v>
      </c>
      <c r="G6" s="21" t="s">
        <v>43</v>
      </c>
    </row>
    <row r="7" spans="2:7" ht="14" x14ac:dyDescent="0.3">
      <c r="B7" s="22" t="s">
        <v>44</v>
      </c>
      <c r="C7" s="22" t="s">
        <v>45</v>
      </c>
      <c r="D7" s="23">
        <v>10</v>
      </c>
      <c r="E7" s="24">
        <v>0.1</v>
      </c>
      <c r="F7" s="25">
        <v>22</v>
      </c>
      <c r="G7" s="26" t="s">
        <v>46</v>
      </c>
    </row>
    <row r="8" spans="2:7" ht="14" x14ac:dyDescent="0.3">
      <c r="B8" s="27" t="s">
        <v>47</v>
      </c>
      <c r="C8" s="28"/>
      <c r="D8" s="29">
        <f>MEDIAN(D5,D6)</f>
        <v>7.75</v>
      </c>
      <c r="E8" s="28"/>
      <c r="F8" s="28"/>
      <c r="G8" s="28"/>
    </row>
    <row r="9" spans="2:7" ht="14" x14ac:dyDescent="0.3">
      <c r="B9" s="30" t="s">
        <v>48</v>
      </c>
      <c r="C9" s="31" t="s">
        <v>49</v>
      </c>
      <c r="D9" s="32">
        <v>7</v>
      </c>
      <c r="E9" s="33"/>
      <c r="F9" s="33"/>
      <c r="G9" s="33"/>
    </row>
    <row r="11" spans="2:7" ht="14" x14ac:dyDescent="0.3">
      <c r="B11" s="63" t="s">
        <v>50</v>
      </c>
      <c r="C11" s="64"/>
      <c r="D11" s="64"/>
      <c r="E11" s="64"/>
      <c r="F11" s="64"/>
      <c r="G11" s="64"/>
    </row>
    <row r="12" spans="2:7" ht="14" x14ac:dyDescent="0.3">
      <c r="B12" s="4" t="s">
        <v>32</v>
      </c>
      <c r="C12" s="4" t="s">
        <v>33</v>
      </c>
      <c r="D12" s="4" t="s">
        <v>34</v>
      </c>
      <c r="E12" s="4" t="s">
        <v>35</v>
      </c>
      <c r="F12" s="4" t="s">
        <v>36</v>
      </c>
      <c r="G12" s="4" t="s">
        <v>37</v>
      </c>
    </row>
    <row r="13" spans="2:7" ht="13.5" x14ac:dyDescent="0.25">
      <c r="B13" s="5" t="s">
        <v>51</v>
      </c>
      <c r="C13" s="17" t="s">
        <v>52</v>
      </c>
      <c r="D13" s="18">
        <v>9</v>
      </c>
      <c r="E13" s="19">
        <v>6.5000000000000002E-2</v>
      </c>
      <c r="F13" s="20">
        <v>0.6</v>
      </c>
      <c r="G13" s="21" t="s">
        <v>53</v>
      </c>
    </row>
    <row r="14" spans="2:7" ht="13.5" x14ac:dyDescent="0.25">
      <c r="B14" s="5" t="s">
        <v>54</v>
      </c>
      <c r="C14" s="17" t="s">
        <v>55</v>
      </c>
      <c r="D14" s="18">
        <v>8.5</v>
      </c>
      <c r="E14" s="19">
        <v>0.1</v>
      </c>
      <c r="F14" s="20">
        <v>0.05</v>
      </c>
      <c r="G14" s="21" t="s">
        <v>56</v>
      </c>
    </row>
    <row r="15" spans="2:7" ht="13.5" x14ac:dyDescent="0.25">
      <c r="B15" s="5" t="s">
        <v>57</v>
      </c>
      <c r="C15" s="17" t="s">
        <v>58</v>
      </c>
      <c r="D15" s="18">
        <v>8</v>
      </c>
      <c r="E15" s="19">
        <v>0.09</v>
      </c>
      <c r="F15" s="20">
        <v>0.42</v>
      </c>
      <c r="G15" s="21" t="s">
        <v>59</v>
      </c>
    </row>
    <row r="16" spans="2:7" ht="14" x14ac:dyDescent="0.3">
      <c r="B16" s="27" t="s">
        <v>47</v>
      </c>
      <c r="C16" s="28"/>
      <c r="D16" s="29">
        <f>MEDIAN(D13,D14,D15)</f>
        <v>8.5</v>
      </c>
      <c r="E16" s="28"/>
      <c r="F16" s="28"/>
      <c r="G16" s="28"/>
    </row>
    <row r="17" spans="2:7" ht="14" x14ac:dyDescent="0.3">
      <c r="B17" s="30" t="s">
        <v>48</v>
      </c>
      <c r="C17" s="31" t="s">
        <v>60</v>
      </c>
      <c r="D17" s="32">
        <v>8.5</v>
      </c>
      <c r="E17" s="33"/>
      <c r="F17" s="33"/>
      <c r="G17" s="33"/>
    </row>
    <row r="19" spans="2:7" ht="14" x14ac:dyDescent="0.3">
      <c r="B19" s="63" t="s">
        <v>61</v>
      </c>
      <c r="C19" s="64"/>
      <c r="D19" s="64"/>
      <c r="E19" s="64"/>
      <c r="F19" s="64"/>
      <c r="G19" s="64"/>
    </row>
    <row r="20" spans="2:7" ht="14" x14ac:dyDescent="0.3">
      <c r="B20" s="4" t="s">
        <v>32</v>
      </c>
      <c r="C20" s="4" t="s">
        <v>33</v>
      </c>
      <c r="D20" s="4" t="s">
        <v>34</v>
      </c>
      <c r="E20" s="4" t="s">
        <v>35</v>
      </c>
      <c r="F20" s="4" t="s">
        <v>36</v>
      </c>
      <c r="G20" s="4" t="s">
        <v>37</v>
      </c>
    </row>
    <row r="21" spans="2:7" ht="13.5" x14ac:dyDescent="0.25">
      <c r="B21" s="5" t="s">
        <v>62</v>
      </c>
      <c r="C21" s="17" t="s">
        <v>52</v>
      </c>
      <c r="D21" s="18">
        <v>9</v>
      </c>
      <c r="E21" s="19">
        <v>6.5000000000000002E-2</v>
      </c>
      <c r="F21" s="20">
        <v>0.6</v>
      </c>
      <c r="G21" s="21" t="s">
        <v>63</v>
      </c>
    </row>
    <row r="22" spans="2:7" ht="13.5" x14ac:dyDescent="0.25">
      <c r="B22" s="5" t="s">
        <v>64</v>
      </c>
      <c r="C22" s="17" t="s">
        <v>65</v>
      </c>
      <c r="D22" s="18">
        <v>14</v>
      </c>
      <c r="E22" s="19">
        <v>0.11</v>
      </c>
      <c r="F22" s="20">
        <v>2.5</v>
      </c>
      <c r="G22" s="21" t="s">
        <v>66</v>
      </c>
    </row>
    <row r="23" spans="2:7" ht="14" x14ac:dyDescent="0.3">
      <c r="B23" s="22" t="s">
        <v>67</v>
      </c>
      <c r="C23" s="22" t="s">
        <v>68</v>
      </c>
      <c r="D23" s="23">
        <v>12</v>
      </c>
      <c r="E23" s="24">
        <v>0.09</v>
      </c>
      <c r="F23" s="25">
        <v>0.7</v>
      </c>
      <c r="G23" s="26" t="s">
        <v>69</v>
      </c>
    </row>
    <row r="24" spans="2:7" ht="14" x14ac:dyDescent="0.3">
      <c r="B24" s="27" t="s">
        <v>47</v>
      </c>
      <c r="C24" s="28"/>
      <c r="D24" s="29">
        <f>MEDIAN(D21,D22)</f>
        <v>11.5</v>
      </c>
      <c r="E24" s="28"/>
      <c r="F24" s="28"/>
      <c r="G24" s="28"/>
    </row>
    <row r="25" spans="2:7" ht="14" x14ac:dyDescent="0.3">
      <c r="B25" s="30" t="s">
        <v>48</v>
      </c>
      <c r="C25" s="31" t="s">
        <v>70</v>
      </c>
      <c r="D25" s="32">
        <v>12</v>
      </c>
      <c r="E25" s="33"/>
      <c r="F25" s="33"/>
      <c r="G25" s="33"/>
    </row>
  </sheetData>
  <mergeCells count="3">
    <mergeCell ref="B3:G3"/>
    <mergeCell ref="B19:G19"/>
    <mergeCell ref="B11:G11"/>
  </mergeCells>
  <phoneticPr fontId="13"/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00FF"/>
  </sheetPr>
  <dimension ref="B1:H27"/>
  <sheetViews>
    <sheetView topLeftCell="A5" workbookViewId="0"/>
  </sheetViews>
  <sheetFormatPr defaultRowHeight="13" x14ac:dyDescent="0.2"/>
  <cols>
    <col min="1" max="1" width="3" customWidth="1"/>
    <col min="2" max="2" width="35" customWidth="1"/>
    <col min="3" max="8" width="18" customWidth="1"/>
  </cols>
  <sheetData>
    <row r="1" spans="2:8" ht="18" x14ac:dyDescent="0.4">
      <c r="B1" s="1" t="s">
        <v>71</v>
      </c>
    </row>
    <row r="2" spans="2:8" ht="14" x14ac:dyDescent="0.3">
      <c r="B2" s="10" t="s">
        <v>72</v>
      </c>
    </row>
    <row r="4" spans="2:8" ht="14" x14ac:dyDescent="0.3">
      <c r="B4" s="4" t="s">
        <v>16</v>
      </c>
      <c r="C4" s="4" t="s">
        <v>73</v>
      </c>
      <c r="D4" s="4" t="s">
        <v>74</v>
      </c>
      <c r="E4" s="4" t="s">
        <v>75</v>
      </c>
      <c r="F4" s="4" t="s">
        <v>76</v>
      </c>
      <c r="G4" s="4" t="s">
        <v>77</v>
      </c>
      <c r="H4" s="4" t="s">
        <v>78</v>
      </c>
    </row>
    <row r="5" spans="2:8" ht="13.5" x14ac:dyDescent="0.25">
      <c r="B5" s="5" t="s">
        <v>31</v>
      </c>
      <c r="C5" s="34">
        <f>'Segment Data'!E7</f>
        <v>1100</v>
      </c>
      <c r="D5" s="35">
        <v>0.45</v>
      </c>
      <c r="E5" s="36">
        <f>B11*D5</f>
        <v>292.5</v>
      </c>
      <c r="F5" s="36">
        <f>C5+E5</f>
        <v>1392.5</v>
      </c>
      <c r="G5" s="37">
        <f>'Peer Comps'!D9</f>
        <v>7</v>
      </c>
      <c r="H5" s="36">
        <f>F5*G5</f>
        <v>9747.5</v>
      </c>
    </row>
    <row r="6" spans="2:8" ht="13.5" x14ac:dyDescent="0.25">
      <c r="B6" s="5" t="s">
        <v>50</v>
      </c>
      <c r="C6" s="34">
        <f>'Segment Data'!E12</f>
        <v>1100</v>
      </c>
      <c r="D6" s="35">
        <v>0.3</v>
      </c>
      <c r="E6" s="36">
        <f>B11*D6</f>
        <v>195</v>
      </c>
      <c r="F6" s="36">
        <f>C6+E6</f>
        <v>1295</v>
      </c>
      <c r="G6" s="37">
        <f>'Peer Comps'!D17</f>
        <v>8.5</v>
      </c>
      <c r="H6" s="36">
        <f>F6*G6</f>
        <v>11007.5</v>
      </c>
    </row>
    <row r="7" spans="2:8" ht="13.5" x14ac:dyDescent="0.25">
      <c r="B7" s="5" t="s">
        <v>61</v>
      </c>
      <c r="C7" s="34">
        <f>'Segment Data'!E17</f>
        <v>800</v>
      </c>
      <c r="D7" s="35">
        <v>0.25</v>
      </c>
      <c r="E7" s="36">
        <f>B11*D7</f>
        <v>162.5</v>
      </c>
      <c r="F7" s="36">
        <f>C7+E7</f>
        <v>962.5</v>
      </c>
      <c r="G7" s="37">
        <f>'Peer Comps'!D25</f>
        <v>12</v>
      </c>
      <c r="H7" s="36">
        <f>F7*G7</f>
        <v>11550</v>
      </c>
    </row>
    <row r="8" spans="2:8" ht="13.5" x14ac:dyDescent="0.25">
      <c r="B8" s="5" t="s">
        <v>79</v>
      </c>
      <c r="C8" s="38">
        <v>0</v>
      </c>
      <c r="D8" s="39"/>
      <c r="E8" s="39"/>
      <c r="F8" s="36">
        <f>C8</f>
        <v>0</v>
      </c>
      <c r="G8" s="18">
        <v>10</v>
      </c>
      <c r="H8" s="36">
        <f>F8*G8</f>
        <v>0</v>
      </c>
    </row>
    <row r="9" spans="2:8" ht="14" x14ac:dyDescent="0.3">
      <c r="B9" s="40" t="s">
        <v>80</v>
      </c>
      <c r="C9" s="41"/>
      <c r="D9" s="41"/>
      <c r="E9" s="41"/>
      <c r="F9" s="41"/>
      <c r="G9" s="41"/>
      <c r="H9" s="42">
        <f>H5+H6+H7+H8</f>
        <v>32305</v>
      </c>
    </row>
    <row r="11" spans="2:8" ht="14" x14ac:dyDescent="0.3">
      <c r="B11" s="43">
        <v>650</v>
      </c>
      <c r="C11" s="10" t="s">
        <v>81</v>
      </c>
    </row>
    <row r="13" spans="2:8" ht="14" x14ac:dyDescent="0.3">
      <c r="B13" s="3" t="s">
        <v>82</v>
      </c>
    </row>
    <row r="14" spans="2:8" ht="13.5" x14ac:dyDescent="0.25">
      <c r="B14" s="2" t="s">
        <v>83</v>
      </c>
      <c r="C14" s="44">
        <f>H5/H9</f>
        <v>0.3017334777898158</v>
      </c>
    </row>
    <row r="15" spans="2:8" ht="13.5" x14ac:dyDescent="0.25">
      <c r="B15" s="2" t="s">
        <v>84</v>
      </c>
      <c r="C15" s="44">
        <f>H6/H9</f>
        <v>0.34073672806067173</v>
      </c>
    </row>
    <row r="16" spans="2:8" ht="13.5" x14ac:dyDescent="0.25">
      <c r="B16" s="2" t="s">
        <v>85</v>
      </c>
      <c r="C16" s="44">
        <f>H7/H9</f>
        <v>0.35752979414951247</v>
      </c>
    </row>
    <row r="18" spans="2:3" ht="14" x14ac:dyDescent="0.3">
      <c r="B18" s="63" t="s">
        <v>86</v>
      </c>
      <c r="C18" s="64"/>
    </row>
    <row r="19" spans="2:3" ht="13.5" x14ac:dyDescent="0.25">
      <c r="B19" s="5" t="s">
        <v>87</v>
      </c>
      <c r="C19" s="34">
        <f>H9</f>
        <v>32305</v>
      </c>
    </row>
    <row r="20" spans="2:3" ht="13.5" x14ac:dyDescent="0.25">
      <c r="B20" s="5" t="s">
        <v>88</v>
      </c>
      <c r="C20" s="45">
        <v>0</v>
      </c>
    </row>
    <row r="21" spans="2:3" ht="13.5" x14ac:dyDescent="0.25">
      <c r="B21" s="5" t="s">
        <v>89</v>
      </c>
      <c r="C21" s="36">
        <f>C19*(1-C20)</f>
        <v>32305</v>
      </c>
    </row>
    <row r="22" spans="2:3" ht="13.5" x14ac:dyDescent="0.25">
      <c r="B22" s="5" t="s">
        <v>90</v>
      </c>
      <c r="C22" s="12">
        <v>-6515</v>
      </c>
    </row>
    <row r="23" spans="2:3" ht="13.5" x14ac:dyDescent="0.25">
      <c r="B23" s="5" t="s">
        <v>91</v>
      </c>
      <c r="C23" s="12">
        <v>0</v>
      </c>
    </row>
    <row r="24" spans="2:3" ht="14" x14ac:dyDescent="0.3">
      <c r="B24" s="27" t="s">
        <v>92</v>
      </c>
      <c r="C24" s="46">
        <f>C21-C22-C23</f>
        <v>38820</v>
      </c>
    </row>
    <row r="25" spans="2:3" ht="13.5" x14ac:dyDescent="0.25">
      <c r="B25" s="5" t="s">
        <v>93</v>
      </c>
      <c r="C25" s="47">
        <v>4145</v>
      </c>
    </row>
    <row r="26" spans="2:3" ht="13.5" x14ac:dyDescent="0.25">
      <c r="B26" s="5" t="s">
        <v>94</v>
      </c>
      <c r="C26" s="47">
        <v>1</v>
      </c>
    </row>
    <row r="27" spans="2:3" ht="15.5" x14ac:dyDescent="0.35">
      <c r="B27" s="48" t="s">
        <v>95</v>
      </c>
      <c r="C27" s="49">
        <f>C24*1000/C25/C26</f>
        <v>9365.5006031363082</v>
      </c>
    </row>
  </sheetData>
  <mergeCells count="1">
    <mergeCell ref="B18:C18"/>
  </mergeCells>
  <phoneticPr fontId="13"/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6600"/>
  </sheetPr>
  <dimension ref="B1:G30"/>
  <sheetViews>
    <sheetView workbookViewId="0"/>
  </sheetViews>
  <sheetFormatPr defaultRowHeight="13" x14ac:dyDescent="0.2"/>
  <cols>
    <col min="1" max="1" width="3" customWidth="1"/>
    <col min="2" max="2" width="38" customWidth="1"/>
    <col min="3" max="7" width="14" customWidth="1"/>
  </cols>
  <sheetData>
    <row r="1" spans="2:7" ht="18" x14ac:dyDescent="0.4">
      <c r="B1" s="1" t="s">
        <v>96</v>
      </c>
    </row>
    <row r="3" spans="2:7" ht="14" x14ac:dyDescent="0.3">
      <c r="B3" s="3" t="s">
        <v>97</v>
      </c>
    </row>
    <row r="4" spans="2:7" ht="14" x14ac:dyDescent="0.3">
      <c r="B4" s="10" t="s">
        <v>98</v>
      </c>
    </row>
    <row r="5" spans="2:7" ht="14" x14ac:dyDescent="0.3">
      <c r="B5" s="10" t="s">
        <v>99</v>
      </c>
    </row>
    <row r="6" spans="2:7" ht="14" x14ac:dyDescent="0.3">
      <c r="B6" s="10" t="s">
        <v>100</v>
      </c>
      <c r="C6" s="50">
        <f>'SOTP Valuation'!C5</f>
        <v>1100</v>
      </c>
      <c r="D6" s="50">
        <f>'SOTP Valuation'!E5</f>
        <v>292.5</v>
      </c>
      <c r="E6" s="51">
        <f>C6+D6</f>
        <v>1392.5</v>
      </c>
      <c r="F6" s="52">
        <f>'SOTP Valuation'!G5</f>
        <v>7</v>
      </c>
    </row>
    <row r="7" spans="2:7" ht="14" x14ac:dyDescent="0.3">
      <c r="B7" s="10" t="s">
        <v>101</v>
      </c>
      <c r="C7" s="50">
        <f>'SOTP Valuation'!C6</f>
        <v>1100</v>
      </c>
      <c r="D7" s="50">
        <f>'SOTP Valuation'!E6</f>
        <v>195</v>
      </c>
      <c r="E7" s="51">
        <f>C7+D7</f>
        <v>1295</v>
      </c>
      <c r="F7" s="52">
        <f>'SOTP Valuation'!G6</f>
        <v>8.5</v>
      </c>
    </row>
    <row r="8" spans="2:7" ht="14" x14ac:dyDescent="0.3">
      <c r="B8" s="10" t="s">
        <v>102</v>
      </c>
      <c r="C8" s="50">
        <f>'SOTP Valuation'!C7</f>
        <v>800</v>
      </c>
      <c r="D8" s="50">
        <f>'SOTP Valuation'!E7</f>
        <v>162.5</v>
      </c>
      <c r="E8" s="51">
        <f>C8+D8</f>
        <v>962.5</v>
      </c>
      <c r="F8" s="52">
        <f>'SOTP Valuation'!G7</f>
        <v>12</v>
      </c>
    </row>
    <row r="9" spans="2:7" ht="14" x14ac:dyDescent="0.3">
      <c r="B9" s="10" t="s">
        <v>103</v>
      </c>
      <c r="C9" s="50">
        <f>'SOTP Valuation'!H8</f>
        <v>0</v>
      </c>
    </row>
    <row r="10" spans="2:7" ht="14" x14ac:dyDescent="0.3">
      <c r="B10" s="10" t="s">
        <v>104</v>
      </c>
      <c r="C10" s="50">
        <f>'SOTP Valuation'!C22</f>
        <v>-6515</v>
      </c>
    </row>
    <row r="11" spans="2:7" ht="14" x14ac:dyDescent="0.3">
      <c r="B11" s="10" t="s">
        <v>105</v>
      </c>
      <c r="C11" s="50">
        <f>'SOTP Valuation'!C23</f>
        <v>0</v>
      </c>
    </row>
    <row r="12" spans="2:7" ht="14" x14ac:dyDescent="0.3">
      <c r="B12" s="10" t="s">
        <v>106</v>
      </c>
      <c r="C12" s="53">
        <f>'SOTP Valuation'!C25</f>
        <v>4145</v>
      </c>
    </row>
    <row r="13" spans="2:7" ht="14" x14ac:dyDescent="0.3">
      <c r="B13" s="10" t="s">
        <v>107</v>
      </c>
      <c r="C13" s="53">
        <f>'SOTP Valuation'!C26</f>
        <v>1</v>
      </c>
    </row>
    <row r="15" spans="2:7" ht="14" x14ac:dyDescent="0.3">
      <c r="B15" s="11" t="s">
        <v>108</v>
      </c>
      <c r="C15" s="54">
        <v>8</v>
      </c>
      <c r="D15" s="54">
        <v>10</v>
      </c>
      <c r="E15" s="54">
        <v>12</v>
      </c>
      <c r="F15" s="54">
        <v>14</v>
      </c>
      <c r="G15" s="54">
        <v>16</v>
      </c>
    </row>
    <row r="16" spans="2:7" ht="14" x14ac:dyDescent="0.3">
      <c r="B16" s="55">
        <v>0</v>
      </c>
      <c r="C16" s="56">
        <f>(($E$8*8+E6*F6+E7*F7+C9)*(1-$B16)-$C$10-$C$11)*1000/$C$12/$C$13</f>
        <v>8436.6706875753916</v>
      </c>
      <c r="D16" s="56">
        <f>(($E$8*10+E6*F6+E7*F7+C9)*(1-$B16)-$C$10-$C$11)*1000/$C$12/$C$13</f>
        <v>8901.0856453558499</v>
      </c>
      <c r="E16" s="57">
        <f>(($E$8*12+E6*F6+E7*F7+C9)*(1-$B16)-$C$10-$C$11)*1000/$C$12/$C$13</f>
        <v>9365.5006031363082</v>
      </c>
      <c r="F16" s="56">
        <f>(($E$8*14+E6*F6+E7*F7+C9)*(1-$B16)-$C$10-$C$11)*1000/$C$12/$C$13</f>
        <v>9829.9155609167665</v>
      </c>
      <c r="G16" s="56">
        <f>(($E$8*16+E6*F6+E7*F7+C9)*(1-$B16)-$C$10-$C$11)*1000/$C$12/$C$13</f>
        <v>10294.330518697225</v>
      </c>
    </row>
    <row r="17" spans="2:7" ht="14" x14ac:dyDescent="0.3">
      <c r="B17" s="55">
        <v>0.05</v>
      </c>
      <c r="C17" s="56">
        <f>(($E$8*8+E6*F6+E7*F7+C9)*(1-$B17)-$C$10-$C$11)*1000/$C$12/$C$13</f>
        <v>8093.4258142340168</v>
      </c>
      <c r="D17" s="56">
        <f>(($E$8*10+E6*F6+E7*F7+C9)*(1-$B17)-$C$10-$C$11)*1000/$C$12/$C$13</f>
        <v>8534.6200241254519</v>
      </c>
      <c r="E17" s="56">
        <f>(($E$8*12+E6*F6+E7*F7+C9)*(1-$B17)-$C$10-$C$11)*1000/$C$12/$C$13</f>
        <v>8975.814234016887</v>
      </c>
      <c r="F17" s="56">
        <f>(($E$8*14+E6*F6+E7*F7+C9)*(1-$B17)-$C$10-$C$11)*1000/$C$12/$C$13</f>
        <v>9417.0084439083239</v>
      </c>
      <c r="G17" s="56">
        <f>(($E$8*16+E6*F6+E7*F7+C9)*(1-$B17)-$C$10-$C$11)*1000/$C$12/$C$13</f>
        <v>9858.202653799759</v>
      </c>
    </row>
    <row r="18" spans="2:7" ht="14" x14ac:dyDescent="0.3">
      <c r="B18" s="55">
        <v>0.1</v>
      </c>
      <c r="C18" s="56">
        <f>(($E$8*8+E6*F6+E7*F7+C9)*(1-$B18)-$C$10-$C$11)*1000/$C$12/$C$13</f>
        <v>7750.180940892642</v>
      </c>
      <c r="D18" s="56">
        <f>(($E$8*10+E6*F6+E7*F7+C9)*(1-$B18)-$C$10-$C$11)*1000/$C$12/$C$13</f>
        <v>8168.1544028950539</v>
      </c>
      <c r="E18" s="56">
        <f>(($E$8*12+E6*F6+E7*F7+C9)*(1-$B18)-$C$10-$C$11)*1000/$C$12/$C$13</f>
        <v>8586.1278648974676</v>
      </c>
      <c r="F18" s="56">
        <f>(($E$8*14+E6*F6+E7*F7+C9)*(1-$B18)-$C$10-$C$11)*1000/$C$12/$C$13</f>
        <v>9004.1013268998795</v>
      </c>
      <c r="G18" s="56">
        <f>(($E$8*16+E6*F6+E7*F7+C9)*(1-$B18)-$C$10-$C$11)*1000/$C$12/$C$13</f>
        <v>9422.0747889022914</v>
      </c>
    </row>
    <row r="19" spans="2:7" ht="14" x14ac:dyDescent="0.3">
      <c r="B19" s="55">
        <v>0.15</v>
      </c>
      <c r="C19" s="56">
        <f>(($E$8*8+E6*F6+E7*F7+C9)*(1-$B19)-$C$10-$C$11)*1000/$C$12/$C$13</f>
        <v>7406.9360675512662</v>
      </c>
      <c r="D19" s="56">
        <f>(($E$8*10+E6*F6+E7*F7+C9)*(1-$B19)-$C$10-$C$11)*1000/$C$12/$C$13</f>
        <v>7801.6887816646558</v>
      </c>
      <c r="E19" s="56">
        <f>(($E$8*12+E6*F6+E7*F7+C9)*(1-$B19)-$C$10-$C$11)*1000/$C$12/$C$13</f>
        <v>8196.4414957780464</v>
      </c>
      <c r="F19" s="56">
        <f>(($E$8*14+E6*F6+E7*F7+C9)*(1-$B19)-$C$10-$C$11)*1000/$C$12/$C$13</f>
        <v>8591.1942098914351</v>
      </c>
      <c r="G19" s="56">
        <f>(($E$8*16+E6*F6+E7*F7+C9)*(1-$B19)-$C$10-$C$11)*1000/$C$12/$C$13</f>
        <v>8985.9469240048256</v>
      </c>
    </row>
    <row r="20" spans="2:7" ht="14" x14ac:dyDescent="0.3">
      <c r="B20" s="55">
        <v>0.2</v>
      </c>
      <c r="C20" s="56">
        <f>(($E$8*8+E6*F6+E7*F7+C9)*(1-$B20)-$C$10-$C$11)*1000/$C$12/$C$13</f>
        <v>7063.6911942098914</v>
      </c>
      <c r="D20" s="56">
        <f>(($E$8*10+E6*F6+E7*F7+C9)*(1-$B20)-$C$10-$C$11)*1000/$C$12/$C$13</f>
        <v>7435.2231604342578</v>
      </c>
      <c r="E20" s="56">
        <f>(($E$8*12+E6*F6+E7*F7+C9)*(1-$B20)-$C$10-$C$11)*1000/$C$12/$C$13</f>
        <v>7806.7551266586252</v>
      </c>
      <c r="F20" s="56">
        <f>(($E$8*14+E6*F6+E7*F7+C9)*(1-$B20)-$C$10-$C$11)*1000/$C$12/$C$13</f>
        <v>8178.2870928829916</v>
      </c>
      <c r="G20" s="56">
        <f>(($E$8*16+E6*F6+E7*F7+C9)*(1-$B20)-$C$10-$C$11)*1000/$C$12/$C$13</f>
        <v>8549.819059107358</v>
      </c>
    </row>
    <row r="23" spans="2:7" ht="14" x14ac:dyDescent="0.3">
      <c r="B23" s="3" t="s">
        <v>109</v>
      </c>
    </row>
    <row r="24" spans="2:7" ht="14" x14ac:dyDescent="0.3">
      <c r="B24" s="10" t="s">
        <v>110</v>
      </c>
    </row>
    <row r="25" spans="2:7" ht="14" x14ac:dyDescent="0.3">
      <c r="B25" s="11" t="s">
        <v>111</v>
      </c>
      <c r="C25" s="54">
        <v>6</v>
      </c>
      <c r="D25" s="54">
        <v>7</v>
      </c>
      <c r="E25" s="54">
        <v>8</v>
      </c>
      <c r="F25" s="54">
        <v>9</v>
      </c>
      <c r="G25" s="54">
        <v>10</v>
      </c>
    </row>
    <row r="26" spans="2:7" ht="14" x14ac:dyDescent="0.3">
      <c r="B26" s="58">
        <v>5</v>
      </c>
      <c r="C26" s="56">
        <f t="shared" ref="C26:G30" si="0">(($E$6*$B26+$E$7*C$25+$E$8*$F$8+$C$9)*(1-0)-$C$10-$C$11)*1000/$C$12/$C$13</f>
        <v>7912.5452352231605</v>
      </c>
      <c r="D26" s="56">
        <f t="shared" si="0"/>
        <v>8224.9698431845591</v>
      </c>
      <c r="E26" s="56">
        <f t="shared" si="0"/>
        <v>8537.3944511459595</v>
      </c>
      <c r="F26" s="56">
        <f t="shared" si="0"/>
        <v>8849.819059107358</v>
      </c>
      <c r="G26" s="56">
        <f t="shared" si="0"/>
        <v>9162.2436670687584</v>
      </c>
    </row>
    <row r="27" spans="2:7" ht="14" x14ac:dyDescent="0.3">
      <c r="B27" s="58">
        <v>6</v>
      </c>
      <c r="C27" s="56">
        <f t="shared" si="0"/>
        <v>8248.4921592279861</v>
      </c>
      <c r="D27" s="56">
        <f t="shared" si="0"/>
        <v>8560.9167671893847</v>
      </c>
      <c r="E27" s="56">
        <f t="shared" si="0"/>
        <v>8873.3413751507833</v>
      </c>
      <c r="F27" s="56">
        <f t="shared" si="0"/>
        <v>9185.7659831121837</v>
      </c>
      <c r="G27" s="56">
        <f t="shared" si="0"/>
        <v>9498.1905910735823</v>
      </c>
    </row>
    <row r="28" spans="2:7" ht="14" x14ac:dyDescent="0.3">
      <c r="B28" s="58">
        <v>7</v>
      </c>
      <c r="C28" s="56">
        <f t="shared" si="0"/>
        <v>8584.4390832328099</v>
      </c>
      <c r="D28" s="56">
        <f t="shared" si="0"/>
        <v>8896.8636911942103</v>
      </c>
      <c r="E28" s="56">
        <f t="shared" si="0"/>
        <v>9209.2882991556089</v>
      </c>
      <c r="F28" s="56">
        <f t="shared" si="0"/>
        <v>9521.7129071170093</v>
      </c>
      <c r="G28" s="56">
        <f t="shared" si="0"/>
        <v>9834.1375150784079</v>
      </c>
    </row>
    <row r="29" spans="2:7" ht="14" x14ac:dyDescent="0.3">
      <c r="B29" s="58">
        <v>8</v>
      </c>
      <c r="C29" s="56">
        <f t="shared" si="0"/>
        <v>8920.3860072376356</v>
      </c>
      <c r="D29" s="56">
        <f t="shared" si="0"/>
        <v>9232.8106151990341</v>
      </c>
      <c r="E29" s="56">
        <f t="shared" si="0"/>
        <v>9545.2352231604345</v>
      </c>
      <c r="F29" s="56">
        <f t="shared" si="0"/>
        <v>9857.6598311218331</v>
      </c>
      <c r="G29" s="56">
        <f t="shared" si="0"/>
        <v>10170.084439083234</v>
      </c>
    </row>
    <row r="30" spans="2:7" ht="14" x14ac:dyDescent="0.3">
      <c r="B30" s="58">
        <v>9</v>
      </c>
      <c r="C30" s="56">
        <f t="shared" si="0"/>
        <v>9256.3329312424612</v>
      </c>
      <c r="D30" s="56">
        <f t="shared" si="0"/>
        <v>9568.7575392038598</v>
      </c>
      <c r="E30" s="56">
        <f t="shared" si="0"/>
        <v>9881.1821471652602</v>
      </c>
      <c r="F30" s="56">
        <f t="shared" si="0"/>
        <v>10193.606755126659</v>
      </c>
      <c r="G30" s="56">
        <f t="shared" si="0"/>
        <v>10506.031363088057</v>
      </c>
    </row>
  </sheetData>
  <phoneticPr fontId="13"/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808080"/>
  </sheetPr>
  <dimension ref="B1:E19"/>
  <sheetViews>
    <sheetView tabSelected="1" workbookViewId="0"/>
  </sheetViews>
  <sheetFormatPr defaultRowHeight="13" x14ac:dyDescent="0.2"/>
  <cols>
    <col min="1" max="1" width="3" customWidth="1"/>
    <col min="2" max="2" width="35" customWidth="1"/>
    <col min="3" max="5" width="18" customWidth="1"/>
  </cols>
  <sheetData>
    <row r="1" spans="2:5" ht="18" x14ac:dyDescent="0.4">
      <c r="B1" s="1" t="s">
        <v>112</v>
      </c>
    </row>
    <row r="3" spans="2:5" ht="13.5" x14ac:dyDescent="0.25">
      <c r="B3" s="2" t="s">
        <v>113</v>
      </c>
    </row>
    <row r="4" spans="2:5" ht="13.5" x14ac:dyDescent="0.25">
      <c r="B4" s="2" t="s">
        <v>114</v>
      </c>
    </row>
    <row r="6" spans="2:5" ht="14" x14ac:dyDescent="0.3">
      <c r="B6" s="11" t="s">
        <v>115</v>
      </c>
      <c r="C6" s="43">
        <v>650</v>
      </c>
      <c r="D6" s="10" t="s">
        <v>116</v>
      </c>
    </row>
    <row r="8" spans="2:5" ht="14" x14ac:dyDescent="0.3">
      <c r="B8" s="4" t="s">
        <v>16</v>
      </c>
      <c r="C8" s="4" t="s">
        <v>117</v>
      </c>
      <c r="D8" s="4" t="s">
        <v>118</v>
      </c>
      <c r="E8" s="4" t="s">
        <v>119</v>
      </c>
    </row>
    <row r="9" spans="2:5" ht="13.5" x14ac:dyDescent="0.25">
      <c r="B9" s="5" t="s">
        <v>31</v>
      </c>
      <c r="C9" s="35">
        <v>0.45</v>
      </c>
      <c r="D9" s="36">
        <f>$C$6*C9</f>
        <v>292.5</v>
      </c>
    </row>
    <row r="10" spans="2:5" ht="13.5" x14ac:dyDescent="0.25">
      <c r="B10" s="5" t="s">
        <v>50</v>
      </c>
      <c r="C10" s="35">
        <v>0.3</v>
      </c>
      <c r="D10" s="36">
        <f>$C$6*C10</f>
        <v>195</v>
      </c>
    </row>
    <row r="11" spans="2:5" ht="13.5" x14ac:dyDescent="0.25">
      <c r="B11" s="5" t="s">
        <v>61</v>
      </c>
      <c r="C11" s="35">
        <v>0.25</v>
      </c>
      <c r="D11" s="36">
        <f>$C$6*C11</f>
        <v>162.5</v>
      </c>
    </row>
    <row r="12" spans="2:5" ht="14" x14ac:dyDescent="0.3">
      <c r="B12" s="40" t="s">
        <v>120</v>
      </c>
      <c r="C12" s="59">
        <f>C9+C10+C11</f>
        <v>1</v>
      </c>
      <c r="D12" s="42">
        <f>D9+D10+D11</f>
        <v>650</v>
      </c>
      <c r="E12" s="40" t="str">
        <f>IF(ABS(C12-1)&lt;0.001,"OK","CHECK")</f>
        <v>OK</v>
      </c>
    </row>
    <row r="14" spans="2:5" ht="14" x14ac:dyDescent="0.3">
      <c r="B14" s="3" t="s">
        <v>121</v>
      </c>
    </row>
    <row r="15" spans="2:5" ht="14" x14ac:dyDescent="0.3">
      <c r="B15" s="65" t="s">
        <v>122</v>
      </c>
      <c r="C15" s="61"/>
      <c r="D15" s="61"/>
      <c r="E15" s="61"/>
    </row>
    <row r="16" spans="2:5" ht="14" x14ac:dyDescent="0.3">
      <c r="B16" s="65" t="s">
        <v>123</v>
      </c>
      <c r="C16" s="61"/>
      <c r="D16" s="61"/>
      <c r="E16" s="61"/>
    </row>
    <row r="17" spans="2:5" ht="14" x14ac:dyDescent="0.3">
      <c r="B17" s="65" t="s">
        <v>124</v>
      </c>
      <c r="C17" s="61"/>
      <c r="D17" s="61"/>
      <c r="E17" s="61"/>
    </row>
    <row r="18" spans="2:5" ht="14" x14ac:dyDescent="0.3">
      <c r="B18" s="65" t="s">
        <v>125</v>
      </c>
      <c r="C18" s="61"/>
      <c r="D18" s="61"/>
      <c r="E18" s="61"/>
    </row>
    <row r="19" spans="2:5" ht="14" x14ac:dyDescent="0.3">
      <c r="B19" s="65" t="s">
        <v>126</v>
      </c>
      <c r="C19" s="61"/>
      <c r="D19" s="61"/>
      <c r="E19" s="61"/>
    </row>
  </sheetData>
  <mergeCells count="5">
    <mergeCell ref="B17:E17"/>
    <mergeCell ref="B18:E18"/>
    <mergeCell ref="B16:E16"/>
    <mergeCell ref="B15:E15"/>
    <mergeCell ref="B19:E19"/>
  </mergeCells>
  <phoneticPr fontId="13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6</vt:i4>
      </vt:variant>
    </vt:vector>
  </HeadingPairs>
  <TitlesOfParts>
    <vt:vector size="6" baseType="lpstr">
      <vt:lpstr>Cover &amp; Thesis</vt:lpstr>
      <vt:lpstr>Segment Data</vt:lpstr>
      <vt:lpstr>Peer Comps</vt:lpstr>
      <vt:lpstr>SOTP Valuation</vt:lpstr>
      <vt:lpstr>Sensitivity</vt:lpstr>
      <vt:lpstr>D&amp;A Allocation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良亮 佐藤</cp:lastModifiedBy>
  <dcterms:created xsi:type="dcterms:W3CDTF">2026-04-13T02:04:17Z</dcterms:created>
  <dcterms:modified xsi:type="dcterms:W3CDTF">2026-04-13T02:39:52Z</dcterms:modified>
</cp:coreProperties>
</file>