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6307943-0FA3-4671-AB61-9A60745D392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H16" i="6" s="1"/>
  <c r="M8" i="6"/>
  <c r="L8" i="6"/>
  <c r="K8" i="6"/>
  <c r="J8" i="6"/>
  <c r="O7" i="6"/>
  <c r="N7" i="6"/>
  <c r="M7" i="6"/>
  <c r="L7" i="6"/>
  <c r="K7" i="6"/>
  <c r="J7" i="6"/>
  <c r="O6" i="6"/>
  <c r="N6" i="6"/>
  <c r="M6" i="6"/>
  <c r="G15" i="6" s="1"/>
  <c r="L6" i="6"/>
  <c r="K6" i="6"/>
  <c r="J6" i="6"/>
  <c r="D17" i="6" s="1"/>
  <c r="O5" i="6"/>
  <c r="N5" i="6"/>
  <c r="D5" i="6"/>
  <c r="L5" i="6" s="1"/>
  <c r="C18" i="5"/>
  <c r="C16" i="5"/>
  <c r="C14" i="5"/>
  <c r="C7" i="5"/>
  <c r="C6" i="5"/>
  <c r="C5" i="5"/>
  <c r="C13" i="4"/>
  <c r="C12" i="4"/>
  <c r="C9" i="4"/>
  <c r="C7" i="4"/>
  <c r="C6" i="4"/>
  <c r="D27" i="3"/>
  <c r="E7" i="5" s="1"/>
  <c r="C25" i="3"/>
  <c r="C24" i="3"/>
  <c r="C23" i="3"/>
  <c r="C26" i="3" s="1"/>
  <c r="J28" i="2"/>
  <c r="I28" i="2"/>
  <c r="H28" i="2"/>
  <c r="G28" i="2"/>
  <c r="F28" i="2"/>
  <c r="J16" i="2"/>
  <c r="I16" i="2"/>
  <c r="H16" i="2"/>
  <c r="G16" i="2"/>
  <c r="J15" i="2"/>
  <c r="I15" i="2"/>
  <c r="H15" i="2"/>
  <c r="G15" i="2"/>
  <c r="F15" i="2"/>
  <c r="E15" i="2"/>
  <c r="D15" i="2"/>
  <c r="J14" i="2"/>
  <c r="I14" i="2"/>
  <c r="H14" i="2"/>
  <c r="G14" i="2"/>
  <c r="F14" i="2"/>
  <c r="E14" i="2"/>
  <c r="D14" i="2"/>
  <c r="C14" i="2"/>
  <c r="J13" i="2"/>
  <c r="I13" i="2"/>
  <c r="H13" i="2"/>
  <c r="G13" i="2"/>
  <c r="F13" i="2"/>
  <c r="J8" i="2"/>
  <c r="J9" i="2" s="1"/>
  <c r="I8" i="2"/>
  <c r="I9" i="2" s="1"/>
  <c r="H8" i="2"/>
  <c r="H9" i="2" s="1"/>
  <c r="G8" i="2"/>
  <c r="G9" i="2" s="1"/>
  <c r="F8" i="2"/>
  <c r="F9" i="2" s="1"/>
  <c r="H15" i="6" l="1"/>
  <c r="M5" i="6"/>
  <c r="E17" i="6"/>
  <c r="I16" i="6"/>
  <c r="E15" i="6"/>
  <c r="F15" i="6"/>
  <c r="C3" i="7"/>
  <c r="G36" i="4"/>
  <c r="G46" i="3"/>
  <c r="H36" i="4"/>
  <c r="F36" i="4"/>
  <c r="F46" i="3"/>
  <c r="E36" i="4"/>
  <c r="D36" i="4"/>
  <c r="D46" i="3"/>
  <c r="C11" i="4"/>
  <c r="E46" i="3"/>
  <c r="C46" i="3"/>
  <c r="E31" i="3"/>
  <c r="D6" i="5"/>
  <c r="F7" i="5"/>
  <c r="I15" i="6"/>
  <c r="I6" i="7"/>
  <c r="C30" i="3"/>
  <c r="C33" i="3" s="1"/>
  <c r="F31" i="3"/>
  <c r="E6" i="5"/>
  <c r="G7" i="5"/>
  <c r="D16" i="6"/>
  <c r="F17" i="6"/>
  <c r="C17" i="7"/>
  <c r="G30" i="3"/>
  <c r="E32" i="3"/>
  <c r="D30" i="3"/>
  <c r="G31" i="3"/>
  <c r="C8" i="4"/>
  <c r="C10" i="4" s="1"/>
  <c r="D5" i="5"/>
  <c r="F6" i="5"/>
  <c r="H7" i="5"/>
  <c r="E16" i="6"/>
  <c r="G17" i="6"/>
  <c r="C6" i="7"/>
  <c r="D17" i="7"/>
  <c r="E5" i="5"/>
  <c r="G6" i="5"/>
  <c r="D15" i="6"/>
  <c r="F16" i="6"/>
  <c r="C28" i="6" s="1"/>
  <c r="C19" i="1" s="1"/>
  <c r="D19" i="1" s="1"/>
  <c r="H17" i="6"/>
  <c r="D6" i="7"/>
  <c r="E17" i="7"/>
  <c r="F30" i="3"/>
  <c r="D32" i="3"/>
  <c r="F5" i="5"/>
  <c r="H6" i="5"/>
  <c r="E5" i="6"/>
  <c r="G16" i="6"/>
  <c r="I17" i="6"/>
  <c r="E6" i="7"/>
  <c r="F17" i="7"/>
  <c r="F6" i="7"/>
  <c r="G17" i="7"/>
  <c r="E30" i="3"/>
  <c r="C32" i="3"/>
  <c r="C31" i="3"/>
  <c r="F32" i="3"/>
  <c r="H5" i="5"/>
  <c r="D7" i="5"/>
  <c r="G6" i="7"/>
  <c r="H17" i="7"/>
  <c r="G5" i="5"/>
  <c r="D31" i="3"/>
  <c r="G32" i="3"/>
  <c r="J5" i="6" l="1"/>
  <c r="K5" i="6"/>
  <c r="C74" i="4"/>
  <c r="C27" i="6"/>
  <c r="C18" i="1" s="1"/>
  <c r="D18" i="1" s="1"/>
  <c r="D38" i="4"/>
  <c r="D41" i="4"/>
  <c r="D45" i="4"/>
  <c r="D39" i="4"/>
  <c r="D43" i="4"/>
  <c r="D48" i="4" s="1"/>
  <c r="D53" i="4" s="1"/>
  <c r="D46" i="4"/>
  <c r="D51" i="4" s="1"/>
  <c r="D56" i="4" s="1"/>
  <c r="D40" i="4"/>
  <c r="D50" i="4" s="1"/>
  <c r="D55" i="4" s="1"/>
  <c r="D44" i="4"/>
  <c r="E41" i="4"/>
  <c r="E45" i="4"/>
  <c r="E43" i="4"/>
  <c r="E46" i="4"/>
  <c r="E51" i="4" s="1"/>
  <c r="E56" i="4" s="1"/>
  <c r="E40" i="4"/>
  <c r="E39" i="4"/>
  <c r="E44" i="4"/>
  <c r="E49" i="4" s="1"/>
  <c r="E54" i="4" s="1"/>
  <c r="E38" i="4"/>
  <c r="E48" i="4" s="1"/>
  <c r="E53" i="4" s="1"/>
  <c r="C24" i="4"/>
  <c r="C25" i="4" s="1"/>
  <c r="C71" i="4"/>
  <c r="C70" i="4"/>
  <c r="E50" i="4"/>
  <c r="E55" i="4" s="1"/>
  <c r="F45" i="4"/>
  <c r="F43" i="4"/>
  <c r="F39" i="4"/>
  <c r="F46" i="4"/>
  <c r="F40" i="4"/>
  <c r="F50" i="4" s="1"/>
  <c r="F55" i="4" s="1"/>
  <c r="F44" i="4"/>
  <c r="F49" i="4" s="1"/>
  <c r="F38" i="4"/>
  <c r="F48" i="4" s="1"/>
  <c r="F53" i="4" s="1"/>
  <c r="F41" i="4"/>
  <c r="C42" i="3"/>
  <c r="C37" i="3"/>
  <c r="D9" i="5"/>
  <c r="D12" i="5" s="1"/>
  <c r="C43" i="3"/>
  <c r="C34" i="3"/>
  <c r="D10" i="5" s="1"/>
  <c r="D33" i="3"/>
  <c r="G39" i="4"/>
  <c r="G46" i="4"/>
  <c r="G43" i="4"/>
  <c r="G40" i="4"/>
  <c r="G44" i="4"/>
  <c r="G38" i="4"/>
  <c r="G48" i="4" s="1"/>
  <c r="G53" i="4" s="1"/>
  <c r="G41" i="4"/>
  <c r="G51" i="4" s="1"/>
  <c r="G56" i="4" s="1"/>
  <c r="G45" i="4"/>
  <c r="G50" i="4" s="1"/>
  <c r="G55" i="4" s="1"/>
  <c r="B13" i="7"/>
  <c r="B12" i="7"/>
  <c r="B11" i="7"/>
  <c r="B10" i="7"/>
  <c r="B9" i="7"/>
  <c r="B8" i="7"/>
  <c r="B7" i="7"/>
  <c r="B24" i="7"/>
  <c r="B23" i="7"/>
  <c r="B22" i="7"/>
  <c r="B21" i="7"/>
  <c r="B20" i="7"/>
  <c r="B19" i="7"/>
  <c r="B18" i="7"/>
  <c r="H43" i="4"/>
  <c r="H48" i="4" s="1"/>
  <c r="H53" i="4" s="1"/>
  <c r="H40" i="4"/>
  <c r="H50" i="4" s="1"/>
  <c r="H55" i="4" s="1"/>
  <c r="H46" i="4"/>
  <c r="H44" i="4"/>
  <c r="H38" i="4"/>
  <c r="H41" i="4"/>
  <c r="H51" i="4" s="1"/>
  <c r="H56" i="4" s="1"/>
  <c r="H45" i="4"/>
  <c r="H39" i="4"/>
  <c r="H49" i="4" s="1"/>
  <c r="H54" i="4" s="1"/>
  <c r="D49" i="4" l="1"/>
  <c r="D54" i="4" s="1"/>
  <c r="G49" i="4"/>
  <c r="G54" i="4" s="1"/>
  <c r="F51" i="4"/>
  <c r="F56" i="4" s="1"/>
  <c r="C35" i="3"/>
  <c r="C39" i="3" s="1"/>
  <c r="C60" i="4"/>
  <c r="F54" i="4"/>
  <c r="B78" i="4"/>
  <c r="C36" i="3"/>
  <c r="C27" i="4"/>
  <c r="C26" i="4"/>
  <c r="C29" i="4"/>
  <c r="D42" i="3"/>
  <c r="D34" i="3"/>
  <c r="E10" i="5" s="1"/>
  <c r="D43" i="3"/>
  <c r="E9" i="5"/>
  <c r="E12" i="5" s="1"/>
  <c r="E33" i="3"/>
  <c r="D37" i="3"/>
  <c r="D15" i="5"/>
  <c r="D16" i="5" s="1"/>
  <c r="D13" i="5"/>
  <c r="D14" i="5"/>
  <c r="D18" i="5" s="1"/>
  <c r="D19" i="5" s="1"/>
  <c r="C44" i="3" s="1"/>
  <c r="C38" i="3" l="1"/>
  <c r="D35" i="3"/>
  <c r="D39" i="3"/>
  <c r="D38" i="3"/>
  <c r="D36" i="3"/>
  <c r="E15" i="5"/>
  <c r="E16" i="5" s="1"/>
  <c r="E13" i="5"/>
  <c r="E14" i="5" s="1"/>
  <c r="C40" i="3"/>
  <c r="C41" i="3" s="1"/>
  <c r="C45" i="3" s="1"/>
  <c r="E42" i="3"/>
  <c r="E34" i="3"/>
  <c r="F10" i="5" s="1"/>
  <c r="F9" i="5"/>
  <c r="F12" i="5" s="1"/>
  <c r="E37" i="3"/>
  <c r="E43" i="3"/>
  <c r="E35" i="3"/>
  <c r="F33" i="3"/>
  <c r="C66" i="4"/>
  <c r="D66" i="4" s="1"/>
  <c r="C65" i="4"/>
  <c r="D65" i="4" s="1"/>
  <c r="C64" i="4"/>
  <c r="D64" i="4" s="1"/>
  <c r="C67" i="4"/>
  <c r="D67" i="4" s="1"/>
  <c r="C63" i="4"/>
  <c r="D63" i="4" s="1"/>
  <c r="E18" i="5" l="1"/>
  <c r="E19" i="5" s="1"/>
  <c r="D44" i="3" s="1"/>
  <c r="C47" i="3"/>
  <c r="E38" i="3"/>
  <c r="E36" i="3"/>
  <c r="E39" i="3"/>
  <c r="F37" i="3"/>
  <c r="G9" i="5"/>
  <c r="G12" i="5" s="1"/>
  <c r="G33" i="3"/>
  <c r="F43" i="3"/>
  <c r="F42" i="3"/>
  <c r="F34" i="3"/>
  <c r="G10" i="5" s="1"/>
  <c r="F15" i="5"/>
  <c r="F16" i="5" s="1"/>
  <c r="F13" i="5"/>
  <c r="F14" i="5" s="1"/>
  <c r="F18" i="5" s="1"/>
  <c r="F19" i="5" s="1"/>
  <c r="E44" i="3" s="1"/>
  <c r="D40" i="3"/>
  <c r="D41" i="3"/>
  <c r="D45" i="3" s="1"/>
  <c r="D47" i="3" s="1"/>
  <c r="G13" i="5" l="1"/>
  <c r="G14" i="5" s="1"/>
  <c r="G15" i="5"/>
  <c r="G16" i="5" s="1"/>
  <c r="E40" i="3"/>
  <c r="E41" i="3" s="1"/>
  <c r="E45" i="3" s="1"/>
  <c r="H9" i="5"/>
  <c r="H12" i="5" s="1"/>
  <c r="G43" i="3"/>
  <c r="G42" i="3"/>
  <c r="G34" i="3"/>
  <c r="H10" i="5" s="1"/>
  <c r="C16" i="4"/>
  <c r="C28" i="4" s="1"/>
  <c r="G37" i="3"/>
  <c r="F35" i="3"/>
  <c r="G18" i="5" l="1"/>
  <c r="G19" i="5" s="1"/>
  <c r="F44" i="3" s="1"/>
  <c r="E47" i="3"/>
  <c r="H13" i="5"/>
  <c r="H14" i="5" s="1"/>
  <c r="H15" i="5"/>
  <c r="H16" i="5" s="1"/>
  <c r="G35" i="3"/>
  <c r="C72" i="4"/>
  <c r="C73" i="4"/>
  <c r="F38" i="3"/>
  <c r="F36" i="3"/>
  <c r="F39" i="3"/>
  <c r="H18" i="5" l="1"/>
  <c r="H19" i="5" s="1"/>
  <c r="G44" i="3" s="1"/>
  <c r="G38" i="3"/>
  <c r="G36" i="3"/>
  <c r="G39" i="3"/>
  <c r="F40" i="3"/>
  <c r="F41" i="3"/>
  <c r="F45" i="3" s="1"/>
  <c r="F47" i="3" l="1"/>
  <c r="G40" i="3"/>
  <c r="G41" i="3" s="1"/>
  <c r="G45" i="3" s="1"/>
  <c r="C59" i="3"/>
  <c r="C60" i="3" s="1"/>
  <c r="C61" i="3" s="1"/>
  <c r="C51" i="3" l="1"/>
  <c r="C52" i="3" s="1"/>
  <c r="G47" i="3"/>
  <c r="H8" i="7"/>
  <c r="E24" i="7"/>
  <c r="I12" i="7"/>
  <c r="I21" i="7"/>
  <c r="D23" i="7"/>
  <c r="G20" i="7"/>
  <c r="C21" i="7"/>
  <c r="F18" i="7"/>
  <c r="F20" i="7"/>
  <c r="H19" i="7"/>
  <c r="G7" i="7"/>
  <c r="E10" i="7"/>
  <c r="E9" i="7"/>
  <c r="I10" i="7"/>
  <c r="F19" i="7"/>
  <c r="C9" i="7"/>
  <c r="F13" i="7"/>
  <c r="D12" i="7"/>
  <c r="E20" i="7"/>
  <c r="C8" i="7"/>
  <c r="G18" i="7"/>
  <c r="D22" i="7"/>
  <c r="D7" i="7"/>
  <c r="D13" i="7"/>
  <c r="C13" i="7"/>
  <c r="C7" i="7"/>
  <c r="I13" i="7"/>
  <c r="C23" i="7"/>
  <c r="G11" i="7"/>
  <c r="D19" i="7"/>
  <c r="C19" i="7"/>
  <c r="C11" i="7"/>
  <c r="F23" i="7"/>
  <c r="G12" i="7"/>
  <c r="G23" i="7"/>
  <c r="G10" i="7"/>
  <c r="E11" i="7"/>
  <c r="H13" i="7"/>
  <c r="D11" i="7"/>
  <c r="C20" i="7"/>
  <c r="G13" i="7"/>
  <c r="G24" i="7"/>
  <c r="H9" i="7"/>
  <c r="G22" i="7"/>
  <c r="E7" i="7"/>
  <c r="E18" i="7"/>
  <c r="D21" i="7"/>
  <c r="I9" i="7"/>
  <c r="I20" i="7"/>
  <c r="F8" i="7"/>
  <c r="F24" i="7"/>
  <c r="H21" i="7"/>
  <c r="I18" i="7"/>
  <c r="H18" i="7"/>
  <c r="H11" i="7"/>
  <c r="C18" i="7"/>
  <c r="I23" i="7"/>
  <c r="I8" i="7"/>
  <c r="H23" i="7"/>
  <c r="H7" i="7"/>
  <c r="F12" i="7"/>
  <c r="D18" i="7"/>
  <c r="G9" i="7"/>
  <c r="E13" i="7"/>
  <c r="H20" i="7"/>
  <c r="H12" i="7"/>
  <c r="D10" i="7"/>
  <c r="G19" i="7"/>
  <c r="C22" i="7"/>
  <c r="E19" i="7"/>
  <c r="D9" i="7"/>
  <c r="E23" i="7"/>
  <c r="F22" i="7"/>
  <c r="I11" i="7"/>
  <c r="I7" i="7"/>
  <c r="H22" i="7"/>
  <c r="H10" i="7"/>
  <c r="D20" i="7"/>
  <c r="I22" i="7"/>
  <c r="F10" i="7"/>
  <c r="D24" i="7"/>
  <c r="I19" i="7"/>
  <c r="F9" i="7"/>
  <c r="I24" i="7"/>
  <c r="E22" i="7"/>
  <c r="F11" i="7"/>
  <c r="H24" i="7"/>
  <c r="G8" i="7"/>
  <c r="E12" i="7"/>
  <c r="C10" i="7"/>
  <c r="F21" i="7"/>
  <c r="D8" i="7"/>
  <c r="G21" i="7"/>
  <c r="C24" i="7"/>
  <c r="C12" i="7"/>
  <c r="E8" i="7"/>
  <c r="E21" i="7"/>
  <c r="F7" i="7"/>
  <c r="C50" i="3"/>
  <c r="C53" i="3" l="1"/>
  <c r="C58" i="3"/>
  <c r="C62" i="3" s="1"/>
  <c r="C63" i="3" l="1"/>
  <c r="C64" i="3" s="1"/>
  <c r="C17" i="1" s="1"/>
  <c r="D17" i="1" s="1"/>
  <c r="C54" i="3"/>
  <c r="C55" i="3" s="1"/>
  <c r="C16" i="1" s="1"/>
  <c r="C17" i="4"/>
  <c r="D16" i="1" l="1"/>
  <c r="C21" i="1"/>
  <c r="C10" i="1"/>
  <c r="C12" i="1" s="1"/>
  <c r="C11" i="1" s="1"/>
  <c r="C19" i="4"/>
  <c r="C20" i="4" s="1"/>
  <c r="B79" i="4" s="1"/>
</calcChain>
</file>

<file path=xl/sharedStrings.xml><?xml version="1.0" encoding="utf-8"?>
<sst xmlns="http://schemas.openxmlformats.org/spreadsheetml/2006/main" count="440" uniqueCount="351">
  <si>
    <t>DISCLAIMER: This is a sample analysis for demonstration purposes only. It does not constitute investment advice.</t>
  </si>
  <si>
    <t>日本たばこ産業 (2914.T)</t>
  </si>
  <si>
    <t>Equity Research Report</t>
  </si>
  <si>
    <t>Company</t>
  </si>
  <si>
    <t>日本たばこ産業</t>
  </si>
  <si>
    <t>Ticker</t>
  </si>
  <si>
    <t>2914.T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</si>
  <si>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</si>
  <si>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</si>
  <si>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</si>
  <si>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</si>
  <si>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</si>
  <si>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</si>
  <si>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</si>
  <si>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</si>
  <si>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</si>
  <si>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</si>
  <si>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</si>
  <si>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</si>
  <si>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</si>
  <si>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</si>
  <si>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</si>
  <si>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</si>
  <si>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</si>
  <si>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</si>
  <si>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</si>
  <si>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</si>
  <si>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</si>
  <si>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</si>
  <si>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</si>
  <si>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</si>
  <si>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日本たばこ産業 - Historical Financials (JPY mn)</t>
  </si>
  <si>
    <t>FY2018</t>
  </si>
  <si>
    <t>FY2019</t>
  </si>
  <si>
    <t>FY2020</t>
  </si>
  <si>
    <t>FY2021</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</si>
  <si>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</si>
  <si>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</si>
  <si>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</si>
  <si>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</si>
  <si>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</si>
  <si>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</si>
  <si>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</si>
  <si>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</si>
  <si>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</si>
  <si>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</si>
  <si>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</si>
  <si>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</si>
  <si>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</si>
  <si>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</si>
  <si>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</si>
  <si>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</si>
  <si>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</si>
  <si>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</si>
  <si>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</si>
  <si>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</si>
  <si>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</si>
  <si>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</si>
  <si>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</si>
  <si>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</si>
  <si>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</si>
  <si>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</si>
  <si>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</si>
  <si>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5/8, Cash 6/8, Debt 5/8 — blank cells are years with no year-key match in the source data (verify against 決算短信 or set hist_ocf / hist_cash / hist_debt in overrides).</t>
  </si>
  <si>
    <t>DCF Valuation Model - 日本たばこ産業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</si>
  <si>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</si>
  <si>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</si>
  <si>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</si>
  <si>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</si>
  <si>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</si>
  <si>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</si>
  <si>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</si>
  <si>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</si>
  <si>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</si>
  <si>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</si>
  <si>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</si>
  <si>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</si>
  <si>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</si>
  <si>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</si>
  <si>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</si>
  <si>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</si>
  <si>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</si>
  <si>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</si>
  <si>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</si>
  <si>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</si>
  <si>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</si>
  <si>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</si>
  <si>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</si>
  <si>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</si>
  <si>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</si>
  <si>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</si>
  <si>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</si>
  <si>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</si>
  <si>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</si>
  <si>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</si>
  <si>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</si>
  <si>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</si>
  <si>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</si>
  <si>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</si>
  <si>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</si>
  <si>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</si>
  <si>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</si>
  <si>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</si>
  <si>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</si>
  <si>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</si>
  <si>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</si>
  <si>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</si>
  <si>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</si>
  <si>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</si>
  <si>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</si>
  <si>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</si>
  <si>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</si>
  <si>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</si>
  <si>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</si>
  <si>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</si>
  <si>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</si>
  <si>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</si>
  <si>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</si>
  <si>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</si>
  <si>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</si>
  <si>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</si>
  <si>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</si>
  <si>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</si>
  <si>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</si>
  <si>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</si>
  <si>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</si>
  <si>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</si>
  <si>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</si>
  <si>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日本たばこ産業 (2914.T)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</si>
  <si>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</si>
  <si>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</si>
  <si>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</si>
  <si>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</si>
  <si>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</si>
  <si>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</si>
  <si>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</si>
  <si>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</si>
  <si>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</si>
  <si>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</si>
  <si>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</si>
  <si>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</si>
  <si>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</si>
  <si>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</si>
  <si>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</si>
  <si>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</si>
  <si>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</si>
  <si>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</si>
  <si>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</si>
  <si>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</si>
  <si>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</si>
  <si>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</si>
  <si>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</si>
  <si>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</si>
  <si>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</si>
  <si>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</si>
  <si>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</si>
  <si>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</si>
  <si>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</si>
  <si>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</si>
  <si>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</si>
  <si>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</si>
  <si>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</si>
  <si>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</si>
  <si>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</si>
  <si>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</si>
  <si>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</si>
  <si>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</si>
  <si>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</si>
  <si>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</si>
  <si>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</si>
  <si>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</si>
  <si>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</si>
  <si>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</si>
  <si>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</si>
  <si>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</si>
  <si>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</si>
  <si>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</si>
  <si>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</si>
  <si>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</si>
  <si>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</si>
  <si>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日本たばこ産業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</si>
  <si>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</si>
  <si>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</si>
  <si>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</si>
  <si>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</si>
  <si>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</si>
  <si>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</si>
  <si>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</si>
  <si>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</si>
  <si>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</si>
  <si>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</si>
  <si>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</si>
  <si>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</si>
  <si>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</si>
  <si>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</si>
  <si>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</si>
  <si>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</si>
  <si>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</si>
  <si>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</si>
  <si>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</si>
  <si>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</si>
  <si>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</si>
  <si>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</si>
  <si>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</si>
  <si>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</si>
  <si>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</si>
  <si>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</si>
  <si>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</si>
  <si>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</si>
  <si>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</si>
  <si>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</si>
  <si>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</si>
  <si>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</si>
  <si>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</si>
  <si>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</si>
  <si>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JAPAN TOBACCO INC</t>
  </si>
  <si>
    <t>2914.T</t>
  </si>
  <si>
    <t>Philip Morris International Inc</t>
  </si>
  <si>
    <t>PM</t>
  </si>
  <si>
    <t>BRITISH AMERICAN TOBACCO PLC OR</t>
  </si>
  <si>
    <t>BATS.L</t>
  </si>
  <si>
    <t>Altria Group  Inc.</t>
  </si>
  <si>
    <t>MO</t>
  </si>
  <si>
    <t>IMPERIAL BRANDS PLC ORD 10P</t>
  </si>
  <si>
    <t>IMB.L</t>
  </si>
  <si>
    <t>Statistics</t>
  </si>
  <si>
    <t>25th Percentile</t>
  </si>
  <si>
    <t>Median (50th)</t>
  </si>
  <si>
    <t>75th Percentile</t>
  </si>
  <si>
    <t>Implied Valuation for 日本たばこ産業</t>
  </si>
  <si>
    <t>日本たばこ産業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</si>
  <si>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</si>
  <si>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</si>
  <si>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</si>
  <si>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</si>
  <si>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</si>
  <si>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</si>
  <si>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</si>
  <si>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</si>
  <si>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</si>
  <si>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</si>
  <si>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</si>
  <si>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</si>
  <si>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</si>
  <si>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</si>
  <si>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</si>
  <si>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日本たばこ産業</t>
  </si>
  <si>
    <t>日付</t>
  </si>
  <si>
    <t>セル</t>
  </si>
  <si>
    <t>変更内容</t>
  </si>
  <si>
    <t>理由</t>
  </si>
  <si>
    <t>元の値</t>
  </si>
  <si>
    <t>状態</t>
  </si>
  <si>
    <t>2026-09-07</t>
  </si>
  <si>
    <t>-</t>
  </si>
  <si>
    <t>Generated by pipeline on 2026-09-07 11:39, template rev a5a93a8</t>
  </si>
  <si>
    <t>初期生成（手修正なし）</t>
  </si>
  <si>
    <t>generated</t>
  </si>
  <si>
    <t>DCF Model!C8</t>
  </si>
  <si>
    <t>Beta = 0.593（採用値）</t>
  </si>
  <si>
    <t>実測β(raw) = 0.392 → Blume調整 0.67×raw + 0.33×1.00 = 0.593 → 採用 0.593。クランプ域 [0.3, 2.0] の内側。置換なし。回帰βは平均回帰するため Blume 調整を既定とする（2026-09-05 バッチで85件中57件が旧下限 0.60 に張り付き、両裾の歪みが実証された）。</t>
  </si>
  <si>
    <t>実測 0.392</t>
  </si>
  <si>
    <t>確定</t>
  </si>
  <si>
    <t>Pipeline Metadata (do not edit — read by scripts/validate_output.py)</t>
  </si>
  <si>
    <t>key</t>
  </si>
  <si>
    <t>value</t>
  </si>
  <si>
    <t>annual_doc_ids</t>
  </si>
  <si>
    <t>2025-03-31=S100XSSA, 2024-03-31=S100VH9B, 2023-03-31=S100T3QS, 2022-03-31=S100QG4E</t>
  </si>
  <si>
    <t>auto_log_entries</t>
  </si>
  <si>
    <t>1</t>
  </si>
  <si>
    <t>beta_adopted_c8</t>
  </si>
  <si>
    <t>0.5925</t>
  </si>
  <si>
    <t>beta_basis</t>
  </si>
  <si>
    <t>Blume: 0.67 x 0.392 + 0.33 x 1.00 = 0.593</t>
  </si>
  <si>
    <t>beta_blume_adjusted</t>
  </si>
  <si>
    <t>beta_clamped</t>
  </si>
  <si>
    <t>no</t>
  </si>
  <si>
    <t>beta_raw</t>
  </si>
  <si>
    <t>0.3918</t>
  </si>
  <si>
    <t>capex_pct_basis</t>
  </si>
  <si>
    <t>explicit_override</t>
  </si>
  <si>
    <t>capex_pct_c5</t>
  </si>
  <si>
    <t>0.0661</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</si>
  <si>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</si>
  <si>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</si>
  <si>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</si>
  <si>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</si>
  <si>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</si>
  <si>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</si>
  <si>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</si>
  <si>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</si>
  <si>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</si>
  <si>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</si>
  <si>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</si>
  <si>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</si>
  <si>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</si>
  <si>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</si>
  <si>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</si>
  <si>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</si>
  <si>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</si>
  <si>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</si>
  <si>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</si>
  <si>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</si>
  <si>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</si>
  <si>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1059308.0</t>
  </si>
  <si>
    <t>core_net_income</t>
  </si>
  <si>
    <t>510175.0</t>
  </si>
  <si>
    <t>cost_of_debt_at_c11</t>
  </si>
  <si>
    <t>0.01</t>
  </si>
  <si>
    <t>cost_of_debt_basis</t>
  </si>
  <si>
    <t>assumption</t>
  </si>
  <si>
    <t>da_pct_basis</t>
  </si>
  <si>
    <t>da_pct_c18</t>
  </si>
  <si>
    <t>da_pct_hist3yr</t>
  </si>
  <si>
    <t>0.058369</t>
  </si>
  <si>
    <t>disclosure_basis_date</t>
  </si>
  <si>
    <t>2026-03-31</t>
  </si>
  <si>
    <t>fs_year_coverage</t>
  </si>
  <si>
    <t>OCF 5/8, Cash 6/8, Debt 5/8</t>
  </si>
  <si>
    <t>fs_year_map</t>
  </si>
  <si>
    <t>FY2018&lt;-FY2018[]; FY2019&lt;-FY2019[]; FY2020&lt;-FY2020[cash]; FY2021&lt;-FY2021[ocf+cash+debt]; 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</si>
  <si>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</si>
  <si>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</si>
  <si>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</si>
  <si>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</si>
  <si>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</si>
  <si>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2026-09-07 11:39:55</t>
  </si>
  <si>
    <t>guidance_note</t>
  </si>
  <si>
    <t>TDnet 決算短信 via screener guidance table: FY2026 disclosed 2026-07-30 (net_income=644,000mn, operating_income=1,008,000mn, revenue=3,885,000mn)</t>
  </si>
  <si>
    <t>guidance_source</t>
  </si>
  <si>
    <t>tdnet_screener_db</t>
  </si>
  <si>
    <t>latest_operating_income</t>
  </si>
  <si>
    <t>867038.0</t>
  </si>
  <si>
    <t>ltm_revenue_c20</t>
  </si>
  <si>
    <t>3467675.0</t>
  </si>
  <si>
    <t>ltm_revenue_source</t>
  </si>
  <si>
    <t>latest FY (no LTM)</t>
  </si>
  <si>
    <t>market_data_source</t>
  </si>
  <si>
    <t>yfinance; from overrides: beta, current_price, shares_outstanding</t>
  </si>
  <si>
    <t>narrative_tokens_used</t>
  </si>
  <si>
    <t>net_debt_source</t>
  </si>
  <si>
    <t>EDINET net_debt</t>
  </si>
  <si>
    <t>reverse_dcf_sheet</t>
  </si>
  <si>
    <t>op0=867,038(FY2025) peak=867,038(FY2025) peak_opm=0.2500 N=3/5/7/10</t>
  </si>
  <si>
    <t>scenario_index_range</t>
  </si>
  <si>
    <t>B69:B73</t>
  </si>
  <si>
    <t>tax_rate_c6</t>
  </si>
  <si>
    <t>0.25</t>
  </si>
  <si>
    <t>template_rev</t>
  </si>
  <si>
    <t>a5a93a8</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</si>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</sst>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6803</v>
      </c>
    </row>
    <row r="10" spans="2:5" ht="14" x14ac:dyDescent="0.3">
      <c r="B10" s="4" t="s">
        <v>10</v>
      </c>
      <c r="C10" s="5">
        <f>IF(COUNT(C16:C17)=0,"N/A",ROUND(AVERAGE(C16:C17),0))</f>
        <v>6223</v>
      </c>
    </row>
    <row r="11" spans="2:5" ht="14" x14ac:dyDescent="0.3">
      <c r="B11" s="4" t="s">
        <v>11</v>
      </c>
      <c r="C11" s="6" t="str">
        <f>IF(NOT(ISNUMBER(C12)),"N/A",IF(C12&gt;0.15,"BUY",IF(C12&gt;0.05,"HOLD","SELL")))</f>
        <v>SELL</v>
      </c>
    </row>
    <row r="12" spans="2:5" ht="14" x14ac:dyDescent="0.3">
      <c r="B12" s="4" t="s">
        <v>12</v>
      </c>
      <c r="C12" s="7">
        <f>IF(ISNUMBER(C10),(C10-C9)/C9,"N/A")</f>
        <v>-8.5256504483316189E-2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5830</v>
      </c>
      <c r="D16" s="7">
        <f>IF(ISNUMBER(C16),(C16-C9)/C9,"N/A")</f>
        <v>-0.14302513596942526</v>
      </c>
    </row>
    <row r="17" spans="2:5" ht="13.5" x14ac:dyDescent="0.25">
      <c r="B17" t="s">
        <v>18</v>
      </c>
      <c r="C17" s="11">
        <f>IF('DCF Model'!C62&lt;'DCF Model'!C16,"INVALID (EV &lt; net debt)",'DCF Model'!C64)</f>
        <v>6615</v>
      </c>
      <c r="D17" s="7">
        <f>IF(ISNUMBER(C17),(C17-C9)/C9,"N/A")</f>
        <v>-2.7634866970454211E-2</v>
      </c>
    </row>
    <row r="18" spans="2:5" ht="13.5" x14ac:dyDescent="0.25">
      <c r="B18" t="s">
        <v>19</v>
      </c>
      <c r="C18" s="11">
        <f>'Comps Analysis'!C27</f>
        <v>5406</v>
      </c>
      <c r="D18" s="7">
        <f>IF(ISNUMBER(C18),(C18-C9)/C9,"N/A")</f>
        <v>-0.20535058062619432</v>
      </c>
    </row>
    <row r="19" spans="2:5" ht="13.5" x14ac:dyDescent="0.25">
      <c r="B19" t="s">
        <v>20</v>
      </c>
      <c r="C19" s="11">
        <f>'Comps Analysis'!C28</f>
        <v>4048</v>
      </c>
      <c r="D19" s="7">
        <f>IF(ISNUMBER(C19),(C19-C9)/C9,"N/A")</f>
        <v>-0.40496839629575188</v>
      </c>
    </row>
    <row r="20" spans="2:5" ht="14" x14ac:dyDescent="0.3">
      <c r="B20" s="45" t="s">
        <v>21</v>
      </c>
      <c r="C20" s="44"/>
      <c r="D20" s="44"/>
      <c r="E20" s="44"/>
    </row>
    <row r="21" spans="2:5" ht="14" x14ac:dyDescent="0.3">
      <c r="B21" s="4" t="s">
        <v>22</v>
      </c>
      <c r="C21" s="6" t="str">
        <f>IF(COUNT(C16:C17)=0,"N/A",MIN(C16:C17)&amp;" - "&amp;MAX(C16:C17))</f>
        <v>5830 - 6615</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J30"/>
  <sheetViews>
    <sheetView workbookViewId="0"/>
  </sheetViews>
  <sheetFormatPr defaultRowHeight="13" x14ac:dyDescent="0.2"/>
  <cols>
    <col min="1" max="1" width="3" customWidth="1"/>
    <col min="2" max="2" width="32" customWidth="1"/>
    <col min="3" max="10" width="18" customWidth="1"/>
  </cols>
  <sheetData>
    <row r="2" spans="2:10" ht="18" x14ac:dyDescent="0.4">
      <c r="B2" s="2" t="s">
        <v>31</v>
      </c>
    </row>
    <row r="4" spans="2:10" ht="14" x14ac:dyDescent="0.3">
      <c r="C4" s="10" t="s">
        <v>32</v>
      </c>
      <c r="D4" s="10" t="s">
        <v>33</v>
      </c>
      <c r="E4" s="10" t="s">
        <v>34</v>
      </c>
      <c r="F4" s="10" t="s">
        <v>35</v>
      </c>
      <c r="G4" s="10" t="s">
        <v>36</v>
      </c>
      <c r="H4" s="10" t="s">
        <v>37</v>
      </c>
      <c r="I4" s="10" t="s">
        <v>38</v>
      </c>
      <c r="J4" s="10" t="s">
        <v>39</v>
      </c>
    </row>
    <row r="5" spans="2:10" ht="14" x14ac:dyDescent="0.3">
      <c r="B5" s="3" t="s">
        <v>40</v>
      </c>
    </row>
    <row r="6" spans="2:10" ht="14" x14ac:dyDescent="0.3">
      <c r="B6" s="4" t="s">
        <v>41</v>
      </c>
      <c r="C6" s="5">
        <v>2215962</v>
      </c>
      <c r="D6" s="5">
        <v>2175626</v>
      </c>
      <c r="E6" s="5">
        <v>2092561</v>
      </c>
      <c r="F6" s="5">
        <v>2324838</v>
      </c>
      <c r="G6" s="5">
        <v>2657832</v>
      </c>
      <c r="H6" s="5">
        <v>2841077</v>
      </c>
      <c r="I6" s="5">
        <v>3056709</v>
      </c>
      <c r="J6" s="5">
        <v>3467675</v>
      </c>
    </row>
    <row r="7" spans="2:10" ht="14" x14ac:dyDescent="0.3">
      <c r="B7" s="4" t="s">
        <v>42</v>
      </c>
      <c r="C7" s="5"/>
      <c r="D7" s="5"/>
      <c r="E7" s="5"/>
      <c r="F7" s="5">
        <v>956861</v>
      </c>
      <c r="G7" s="5">
        <v>1090989</v>
      </c>
      <c r="H7" s="5">
        <v>1225974</v>
      </c>
      <c r="I7" s="5">
        <v>1379284</v>
      </c>
      <c r="J7" s="5">
        <v>1519091</v>
      </c>
    </row>
    <row r="8" spans="2:10" ht="14" x14ac:dyDescent="0.3">
      <c r="B8" s="4" t="s">
        <v>43</v>
      </c>
      <c r="F8" s="5">
        <f>F6-F7</f>
        <v>1367977</v>
      </c>
      <c r="G8" s="5">
        <f>G6-G7</f>
        <v>1566843</v>
      </c>
      <c r="H8" s="5">
        <f>H6-H7</f>
        <v>1615103</v>
      </c>
      <c r="I8" s="5">
        <f>I6-I7</f>
        <v>1677425</v>
      </c>
      <c r="J8" s="5">
        <f>J6-J7</f>
        <v>1948584</v>
      </c>
    </row>
    <row r="9" spans="2:10" ht="13.5" x14ac:dyDescent="0.25">
      <c r="B9" t="s">
        <v>44</v>
      </c>
      <c r="F9" s="7">
        <f>F8/F6</f>
        <v>0.5884182037630149</v>
      </c>
      <c r="G9" s="7">
        <f>G8/G6</f>
        <v>0.58951920211661235</v>
      </c>
      <c r="H9" s="7">
        <f>H8/H6</f>
        <v>0.56848265640107609</v>
      </c>
      <c r="I9" s="7">
        <f>I8/I6</f>
        <v>0.54876829950119554</v>
      </c>
      <c r="J9" s="7">
        <f>J8/J6</f>
        <v>0.56192809303063296</v>
      </c>
    </row>
    <row r="10" spans="2:10" ht="14" x14ac:dyDescent="0.3">
      <c r="B10" s="4" t="s">
        <v>45</v>
      </c>
      <c r="C10" s="5"/>
      <c r="D10" s="5"/>
      <c r="E10" s="5"/>
      <c r="F10" s="5">
        <v>888574</v>
      </c>
      <c r="G10" s="5">
        <v>941538</v>
      </c>
      <c r="H10" s="5">
        <v>981052</v>
      </c>
      <c r="I10" s="5">
        <v>1407224</v>
      </c>
      <c r="J10" s="5">
        <v>1178162</v>
      </c>
    </row>
    <row r="11" spans="2:10" ht="14" x14ac:dyDescent="0.3">
      <c r="B11" s="4" t="s">
        <v>46</v>
      </c>
      <c r="C11" s="5"/>
      <c r="D11" s="5"/>
      <c r="E11" s="5"/>
      <c r="F11" s="5">
        <v>499021</v>
      </c>
      <c r="G11" s="5">
        <v>653575</v>
      </c>
      <c r="H11" s="5">
        <v>672410</v>
      </c>
      <c r="I11" s="5">
        <v>314223</v>
      </c>
      <c r="J11" s="5">
        <v>867038</v>
      </c>
    </row>
    <row r="12" spans="2:10" ht="14" x14ac:dyDescent="0.3">
      <c r="B12" s="4" t="s">
        <v>47</v>
      </c>
      <c r="C12" s="5">
        <v>385677</v>
      </c>
      <c r="D12" s="5">
        <v>348190</v>
      </c>
      <c r="E12" s="5">
        <v>310253</v>
      </c>
      <c r="F12" s="5">
        <v>338490</v>
      </c>
      <c r="G12" s="5">
        <v>442716</v>
      </c>
      <c r="H12" s="5">
        <v>482288</v>
      </c>
      <c r="I12" s="5">
        <v>179240</v>
      </c>
      <c r="J12" s="5">
        <v>510175</v>
      </c>
    </row>
    <row r="13" spans="2:10" ht="13.5" x14ac:dyDescent="0.25">
      <c r="B13" t="s">
        <v>48</v>
      </c>
      <c r="F13" s="7">
        <f>F11/F6</f>
        <v>0.21464764426596605</v>
      </c>
      <c r="G13" s="7">
        <f>G11/G6</f>
        <v>0.24590530928967669</v>
      </c>
      <c r="H13" s="7">
        <f>H11/H6</f>
        <v>0.2366743316003051</v>
      </c>
      <c r="I13" s="7">
        <f>I11/I6</f>
        <v>0.10279781294195817</v>
      </c>
      <c r="J13" s="7">
        <f>J11/J6</f>
        <v>0.25003438903588138</v>
      </c>
    </row>
    <row r="14" spans="2:10" ht="13.5" x14ac:dyDescent="0.25">
      <c r="B14" t="s">
        <v>49</v>
      </c>
      <c r="C14" s="7">
        <f t="shared" ref="C14:J14" si="0">C12/C6</f>
        <v>0.17404495203437603</v>
      </c>
      <c r="D14" s="7">
        <f t="shared" si="0"/>
        <v>0.16004129386208843</v>
      </c>
      <c r="E14" s="7">
        <f t="shared" si="0"/>
        <v>0.14826473397908113</v>
      </c>
      <c r="F14" s="7">
        <f t="shared" si="0"/>
        <v>0.14559724161425441</v>
      </c>
      <c r="G14" s="7">
        <f t="shared" si="0"/>
        <v>0.16657034756147115</v>
      </c>
      <c r="H14" s="7">
        <f t="shared" si="0"/>
        <v>0.16975534278022031</v>
      </c>
      <c r="I14" s="7">
        <f t="shared" si="0"/>
        <v>5.8638228238278488E-2</v>
      </c>
      <c r="J14" s="7">
        <f t="shared" si="0"/>
        <v>0.14712307237558306</v>
      </c>
    </row>
    <row r="15" spans="2:10" ht="13.5" x14ac:dyDescent="0.25">
      <c r="B15" t="s">
        <v>50</v>
      </c>
      <c r="C15" t="s">
        <v>51</v>
      </c>
      <c r="D15" s="7">
        <f t="shared" ref="D15:J15" si="1">(D6-C6)/C6</f>
        <v>-1.8202478201340997E-2</v>
      </c>
      <c r="E15" s="7">
        <f t="shared" si="1"/>
        <v>-3.817981583231677E-2</v>
      </c>
      <c r="F15" s="7">
        <f t="shared" si="1"/>
        <v>0.1110013041435829</v>
      </c>
      <c r="G15" s="7">
        <f t="shared" si="1"/>
        <v>0.14323320592660649</v>
      </c>
      <c r="H15" s="7">
        <f t="shared" si="1"/>
        <v>6.8945290748248955E-2</v>
      </c>
      <c r="I15" s="7">
        <f t="shared" si="1"/>
        <v>7.589797812590085E-2</v>
      </c>
      <c r="J15" s="7">
        <f t="shared" si="1"/>
        <v>0.13444721103644475</v>
      </c>
    </row>
    <row r="16" spans="2:10" ht="13.5" x14ac:dyDescent="0.25">
      <c r="B16" t="s">
        <v>52</v>
      </c>
      <c r="C16" t="s">
        <v>51</v>
      </c>
      <c r="D16" t="s">
        <v>51</v>
      </c>
      <c r="E16" t="s">
        <v>51</v>
      </c>
      <c r="F16" t="s">
        <v>51</v>
      </c>
      <c r="G16" s="7">
        <f>(G11-F11)/F11</f>
        <v>0.30971442083599687</v>
      </c>
      <c r="H16" s="7">
        <f>(H11-G11)/G11</f>
        <v>2.8818421757258156E-2</v>
      </c>
      <c r="I16" s="7">
        <f>(I11-H11)/H11</f>
        <v>-0.53269136390000149</v>
      </c>
      <c r="J16" s="7">
        <f>(J11-I11)/I11</f>
        <v>1.7593078800724327</v>
      </c>
    </row>
    <row r="18" spans="2:10" ht="14" x14ac:dyDescent="0.3">
      <c r="B18" s="3" t="s">
        <v>53</v>
      </c>
    </row>
    <row r="19" spans="2:10" ht="14" x14ac:dyDescent="0.3">
      <c r="B19" s="4" t="s">
        <v>54</v>
      </c>
      <c r="C19" s="5"/>
      <c r="D19" s="5"/>
      <c r="E19" s="5"/>
      <c r="F19" s="5">
        <v>598909</v>
      </c>
      <c r="G19" s="5">
        <v>483799</v>
      </c>
      <c r="H19" s="5">
        <v>566317</v>
      </c>
      <c r="I19" s="5">
        <v>630011</v>
      </c>
      <c r="J19" s="5">
        <v>514056</v>
      </c>
    </row>
    <row r="20" spans="2:10" ht="14" x14ac:dyDescent="0.3">
      <c r="B20" s="4" t="s">
        <v>55</v>
      </c>
      <c r="C20" s="5"/>
      <c r="D20" s="5"/>
      <c r="E20" s="5"/>
      <c r="F20" s="5"/>
      <c r="G20" s="5"/>
      <c r="H20" s="5"/>
      <c r="I20" s="5"/>
      <c r="J20" s="5"/>
    </row>
    <row r="21" spans="2:10" ht="14" x14ac:dyDescent="0.3">
      <c r="B21" s="4" t="s">
        <v>56</v>
      </c>
    </row>
    <row r="22" spans="2:10" x14ac:dyDescent="0.2">
      <c r="B22" t="s">
        <v>57</v>
      </c>
    </row>
    <row r="23" spans="2:10" x14ac:dyDescent="0.2">
      <c r="B23" t="s">
        <v>58</v>
      </c>
    </row>
    <row r="25" spans="2:10" ht="14" x14ac:dyDescent="0.3">
      <c r="B25" s="3" t="s">
        <v>59</v>
      </c>
    </row>
    <row r="26" spans="2:10" ht="14" x14ac:dyDescent="0.3">
      <c r="B26" s="4" t="s">
        <v>60</v>
      </c>
      <c r="C26" s="5"/>
      <c r="D26" s="5"/>
      <c r="E26" s="5">
        <v>538844</v>
      </c>
      <c r="F26" s="5">
        <v>721731</v>
      </c>
      <c r="G26" s="5">
        <v>866885</v>
      </c>
      <c r="H26" s="5">
        <v>1040206</v>
      </c>
      <c r="I26" s="5">
        <v>1084567</v>
      </c>
      <c r="J26" s="5">
        <v>831135</v>
      </c>
    </row>
    <row r="27" spans="2:10" ht="14" x14ac:dyDescent="0.3">
      <c r="B27" s="4" t="s">
        <v>61</v>
      </c>
      <c r="C27" s="5"/>
      <c r="D27" s="5"/>
      <c r="E27" s="5"/>
      <c r="F27" s="5">
        <v>918622</v>
      </c>
      <c r="G27" s="5">
        <v>958311</v>
      </c>
      <c r="H27" s="5">
        <v>1142259</v>
      </c>
      <c r="I27" s="5">
        <v>1726788</v>
      </c>
      <c r="J27" s="5">
        <v>1678688</v>
      </c>
    </row>
    <row r="28" spans="2:10" ht="14" x14ac:dyDescent="0.3">
      <c r="B28" s="4" t="s">
        <v>62</v>
      </c>
      <c r="F28" s="5">
        <f>F27-F26</f>
        <v>196891</v>
      </c>
      <c r="G28" s="5">
        <f>G27-G26</f>
        <v>91426</v>
      </c>
      <c r="H28" s="5">
        <f>H27-H26</f>
        <v>102053</v>
      </c>
      <c r="I28" s="5">
        <f>I27-I26</f>
        <v>642221</v>
      </c>
      <c r="J28" s="5">
        <f>J27-J26</f>
        <v>847553</v>
      </c>
    </row>
    <row r="30" spans="2:10" ht="14" x14ac:dyDescent="0.3">
      <c r="B30" s="1" t="s">
        <v>63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64</v>
      </c>
    </row>
    <row r="4" spans="2:7" ht="14" x14ac:dyDescent="0.3">
      <c r="B4" s="8" t="s">
        <v>65</v>
      </c>
      <c r="C4" s="9"/>
      <c r="D4" s="9"/>
      <c r="E4" s="9"/>
      <c r="F4" s="9"/>
      <c r="G4" s="9"/>
    </row>
    <row r="5" spans="2:7" ht="14" x14ac:dyDescent="0.3">
      <c r="B5" s="4" t="s">
        <v>58</v>
      </c>
      <c r="C5" s="7">
        <v>6.6100000000000006E-2</v>
      </c>
    </row>
    <row r="6" spans="2:7" ht="14" x14ac:dyDescent="0.3">
      <c r="B6" s="4" t="s">
        <v>66</v>
      </c>
      <c r="C6" s="7">
        <v>0.25</v>
      </c>
    </row>
    <row r="7" spans="2:7" ht="14" x14ac:dyDescent="0.3">
      <c r="B7" s="4" t="s">
        <v>67</v>
      </c>
      <c r="C7" s="7">
        <v>2.9700000000000001E-2</v>
      </c>
    </row>
    <row r="8" spans="2:7" ht="14" x14ac:dyDescent="0.3">
      <c r="B8" s="4" t="s">
        <v>68</v>
      </c>
      <c r="C8" s="12">
        <v>0.59250000000000003</v>
      </c>
    </row>
    <row r="9" spans="2:7" ht="14" x14ac:dyDescent="0.3">
      <c r="B9" s="4" t="s">
        <v>69</v>
      </c>
      <c r="C9" s="7">
        <v>6.5000000000000002E-2</v>
      </c>
    </row>
    <row r="10" spans="2:7" ht="14" x14ac:dyDescent="0.3">
      <c r="B10" s="4" t="s">
        <v>70</v>
      </c>
      <c r="C10" s="7">
        <v>0.01</v>
      </c>
    </row>
    <row r="11" spans="2:7" ht="14" x14ac:dyDescent="0.3">
      <c r="B11" s="4" t="s">
        <v>71</v>
      </c>
      <c r="C11" s="7">
        <v>0.01</v>
      </c>
    </row>
    <row r="12" spans="2:7" ht="14" x14ac:dyDescent="0.3">
      <c r="B12" s="4" t="s">
        <v>72</v>
      </c>
      <c r="C12" s="13">
        <v>7.0199999999999999E-2</v>
      </c>
    </row>
    <row r="13" spans="2:7" ht="14" x14ac:dyDescent="0.3">
      <c r="B13" s="4" t="s">
        <v>73</v>
      </c>
      <c r="C13" s="7">
        <v>0.01</v>
      </c>
    </row>
    <row r="14" spans="2:7" ht="14" x14ac:dyDescent="0.3">
      <c r="B14" s="4" t="s">
        <v>74</v>
      </c>
      <c r="C14" s="14">
        <v>9.9</v>
      </c>
    </row>
    <row r="15" spans="2:7" ht="14" x14ac:dyDescent="0.3">
      <c r="B15" s="4" t="s">
        <v>75</v>
      </c>
      <c r="C15" s="15">
        <v>1775357592</v>
      </c>
    </row>
    <row r="16" spans="2:7" ht="14" x14ac:dyDescent="0.3">
      <c r="B16" s="4" t="s">
        <v>76</v>
      </c>
      <c r="C16" s="5">
        <v>847553</v>
      </c>
    </row>
    <row r="17" spans="2:7" ht="14" x14ac:dyDescent="0.3">
      <c r="B17" s="4" t="s">
        <v>77</v>
      </c>
      <c r="C17" s="5">
        <v>3467675</v>
      </c>
    </row>
    <row r="18" spans="2:7" ht="14" x14ac:dyDescent="0.3">
      <c r="B18" s="4" t="s">
        <v>78</v>
      </c>
      <c r="C18" s="7">
        <v>6.6100000000000006E-2</v>
      </c>
    </row>
    <row r="19" spans="2:7" ht="14" x14ac:dyDescent="0.3">
      <c r="B19" s="4" t="s">
        <v>79</v>
      </c>
      <c r="C19" s="12">
        <v>1</v>
      </c>
    </row>
    <row r="20" spans="2:7" ht="14" x14ac:dyDescent="0.3">
      <c r="B20" s="4" t="s">
        <v>80</v>
      </c>
      <c r="C20" s="5">
        <v>3467675</v>
      </c>
    </row>
    <row r="22" spans="2:7" ht="14" x14ac:dyDescent="0.3">
      <c r="B22" s="8" t="s">
        <v>81</v>
      </c>
      <c r="C22" s="9"/>
      <c r="D22" s="9"/>
      <c r="E22" s="9"/>
      <c r="F22" s="9"/>
      <c r="G22" s="9"/>
    </row>
    <row r="23" spans="2:7" ht="14" x14ac:dyDescent="0.3">
      <c r="B23" s="4" t="s">
        <v>82</v>
      </c>
      <c r="C23" s="16">
        <f>C7+C8*C9+C10</f>
        <v>7.8212500000000004E-2</v>
      </c>
    </row>
    <row r="24" spans="2:7" ht="14" x14ac:dyDescent="0.3">
      <c r="B24" s="4" t="s">
        <v>83</v>
      </c>
      <c r="C24" s="16">
        <f>1/(1+C12)</f>
        <v>0.93440478415249484</v>
      </c>
    </row>
    <row r="25" spans="2:7" ht="14" x14ac:dyDescent="0.3">
      <c r="B25" s="4" t="s">
        <v>84</v>
      </c>
      <c r="C25" s="16">
        <f>C12/(1+C12)</f>
        <v>6.5595215847505134E-2</v>
      </c>
    </row>
    <row r="26" spans="2:7" ht="14" x14ac:dyDescent="0.3">
      <c r="B26" s="4" t="s">
        <v>85</v>
      </c>
      <c r="C26" s="16">
        <f>C23*C24+C11*C25</f>
        <v>7.3738086339002057E-2</v>
      </c>
    </row>
    <row r="27" spans="2:7" ht="14" x14ac:dyDescent="0.3">
      <c r="B27" s="4" t="s">
        <v>86</v>
      </c>
      <c r="C27" s="17" t="s">
        <v>87</v>
      </c>
      <c r="D27" s="6">
        <f>MATCH(C27,B69:B73,0)</f>
        <v>1</v>
      </c>
    </row>
    <row r="28" spans="2:7" ht="14" x14ac:dyDescent="0.3">
      <c r="B28" s="8" t="s">
        <v>88</v>
      </c>
      <c r="C28" s="9"/>
      <c r="D28" s="9"/>
      <c r="E28" s="9"/>
      <c r="F28" s="9"/>
      <c r="G28" s="9"/>
    </row>
    <row r="29" spans="2:7" ht="14" x14ac:dyDescent="0.3">
      <c r="C29" s="10" t="s">
        <v>89</v>
      </c>
      <c r="D29" s="10" t="s">
        <v>90</v>
      </c>
      <c r="E29" s="10" t="s">
        <v>91</v>
      </c>
      <c r="F29" s="10" t="s">
        <v>92</v>
      </c>
      <c r="G29" s="10" t="s">
        <v>93</v>
      </c>
    </row>
    <row r="30" spans="2:7" ht="14" x14ac:dyDescent="0.3">
      <c r="B30" s="4" t="s">
        <v>50</v>
      </c>
      <c r="C30" s="18">
        <f>CHOOSE($D$27,C69,C70,C71,C72,C73)</f>
        <v>6.8699999999999997E-2</v>
      </c>
      <c r="D30" s="18">
        <f>CHOOSE($D$27,D69,D70,D71,D72,D73)</f>
        <v>6.8699999999999997E-2</v>
      </c>
      <c r="E30" s="18">
        <f>CHOOSE($D$27,E69,E70,E71,E72,E73)</f>
        <v>6.8699999999999997E-2</v>
      </c>
      <c r="F30" s="18">
        <f>CHOOSE($D$27,F69,F70,F71,F72,F73)</f>
        <v>6.8699999999999997E-2</v>
      </c>
      <c r="G30" s="18">
        <f>CHOOSE($D$27,G69,G70,G71,G72,G73)</f>
        <v>6.8699999999999997E-2</v>
      </c>
    </row>
    <row r="31" spans="2:7" ht="14" x14ac:dyDescent="0.3">
      <c r="B31" s="4" t="s">
        <v>94</v>
      </c>
      <c r="C31" s="18">
        <f>CHOOSE($D$27,C76,C77,C78,C79,C80)</f>
        <v>0.43809999999999999</v>
      </c>
      <c r="D31" s="18">
        <f>CHOOSE($D$27,D76,D77,D78,D79,D80)</f>
        <v>0.43809999999999999</v>
      </c>
      <c r="E31" s="18">
        <f>CHOOSE($D$27,E76,E77,E78,E79,E80)</f>
        <v>0.43809999999999999</v>
      </c>
      <c r="F31" s="18">
        <f>CHOOSE($D$27,F76,F77,F78,F79,F80)</f>
        <v>0.43809999999999999</v>
      </c>
      <c r="G31" s="18">
        <f>CHOOSE($D$27,G76,G77,G78,G79,G80)</f>
        <v>0.43809999999999999</v>
      </c>
    </row>
    <row r="32" spans="2:7" ht="14" x14ac:dyDescent="0.3">
      <c r="B32" s="4" t="s">
        <v>95</v>
      </c>
      <c r="C32" s="18">
        <f>CHOOSE($D$27,C83,C84,C85,C86,C87)</f>
        <v>0.33979999999999999</v>
      </c>
      <c r="D32" s="18">
        <f>CHOOSE($D$27,D83,D84,D85,D86,D87)</f>
        <v>0.33979999999999999</v>
      </c>
      <c r="E32" s="18">
        <f>CHOOSE($D$27,E83,E84,E85,E86,E87)</f>
        <v>0.33979999999999999</v>
      </c>
      <c r="F32" s="18">
        <f>CHOOSE($D$27,F83,F84,F85,F86,F87)</f>
        <v>0.33979999999999999</v>
      </c>
      <c r="G32" s="18">
        <f>CHOOSE($D$27,G83,G84,G85,G86,G87)</f>
        <v>0.33979999999999999</v>
      </c>
    </row>
    <row r="33" spans="2:7" ht="14" x14ac:dyDescent="0.3">
      <c r="B33" s="4" t="s">
        <v>41</v>
      </c>
      <c r="C33" s="5">
        <f>C17*(1+C30)</f>
        <v>3705904.2725</v>
      </c>
      <c r="D33" s="5">
        <f>C33*(1+D30)</f>
        <v>3960499.89602075</v>
      </c>
      <c r="E33" s="5">
        <f>D33*(1+E30)</f>
        <v>4232586.2388773756</v>
      </c>
      <c r="F33" s="5">
        <f>E33*(1+F30)</f>
        <v>4523364.9134882512</v>
      </c>
      <c r="G33" s="5">
        <f>F33*(1+G30)</f>
        <v>4834120.083044894</v>
      </c>
    </row>
    <row r="34" spans="2:7" ht="14" x14ac:dyDescent="0.3">
      <c r="B34" s="4" t="s">
        <v>42</v>
      </c>
      <c r="C34" s="5">
        <f>C33*C31</f>
        <v>1623556.66178225</v>
      </c>
      <c r="D34" s="5">
        <f>D33*D31</f>
        <v>1735095.0044466907</v>
      </c>
      <c r="E34" s="5">
        <f>E33*E31</f>
        <v>1854296.0312521781</v>
      </c>
      <c r="F34" s="5">
        <f>F33*F31</f>
        <v>1981686.1685992028</v>
      </c>
      <c r="G34" s="5">
        <f>G33*G31</f>
        <v>2117828.0083819679</v>
      </c>
    </row>
    <row r="35" spans="2:7" ht="14" x14ac:dyDescent="0.3">
      <c r="B35" s="4" t="s">
        <v>43</v>
      </c>
      <c r="C35" s="19">
        <f>C33-C34</f>
        <v>2082347.6107177499</v>
      </c>
      <c r="D35" s="19">
        <f>D33-D34</f>
        <v>2225404.8915740596</v>
      </c>
      <c r="E35" s="19">
        <f>E33-E34</f>
        <v>2378290.2076251972</v>
      </c>
      <c r="F35" s="19">
        <f>F33-F34</f>
        <v>2541678.7448890484</v>
      </c>
      <c r="G35" s="19">
        <f>G33-G34</f>
        <v>2716292.0746629261</v>
      </c>
    </row>
    <row r="36" spans="2:7" ht="14" x14ac:dyDescent="0.3">
      <c r="B36" s="4" t="s">
        <v>44</v>
      </c>
      <c r="C36" s="7">
        <f>C35/C33</f>
        <v>0.56189999999999996</v>
      </c>
      <c r="D36" s="7">
        <f>D35/D33</f>
        <v>0.56190000000000007</v>
      </c>
      <c r="E36" s="7">
        <f>E35/E33</f>
        <v>0.56189999999999996</v>
      </c>
      <c r="F36" s="7">
        <f>F35/F33</f>
        <v>0.56190000000000007</v>
      </c>
      <c r="G36" s="7">
        <f>G35/G33</f>
        <v>0.56190000000000007</v>
      </c>
    </row>
    <row r="37" spans="2:7" ht="14" x14ac:dyDescent="0.3">
      <c r="B37" s="4" t="s">
        <v>96</v>
      </c>
      <c r="C37" s="5">
        <f>C33*C32</f>
        <v>1259266.2717955001</v>
      </c>
      <c r="D37" s="5">
        <f>D33*D32</f>
        <v>1345777.8646678508</v>
      </c>
      <c r="E37" s="5">
        <f>E33*E32</f>
        <v>1438232.8039705323</v>
      </c>
      <c r="F37" s="5">
        <f>F33*F32</f>
        <v>1537039.3976033076</v>
      </c>
      <c r="G37" s="5">
        <f>G33*G32</f>
        <v>1642634.0042186549</v>
      </c>
    </row>
    <row r="38" spans="2:7" ht="14" x14ac:dyDescent="0.3">
      <c r="B38" s="4" t="s">
        <v>97</v>
      </c>
      <c r="C38" s="7">
        <f>(C35-C37)/C33</f>
        <v>0.22209999999999996</v>
      </c>
      <c r="D38" s="7">
        <f>(D35-D37)/D33</f>
        <v>0.22210000000000008</v>
      </c>
      <c r="E38" s="7">
        <f>(E35-E37)/E33</f>
        <v>0.22209999999999996</v>
      </c>
      <c r="F38" s="7">
        <f>(F35-F37)/F33</f>
        <v>0.22210000000000005</v>
      </c>
      <c r="G38" s="7">
        <f>(G35-G37)/G33</f>
        <v>0.22210000000000005</v>
      </c>
    </row>
    <row r="39" spans="2:7" ht="14" x14ac:dyDescent="0.3">
      <c r="B39" s="4" t="s">
        <v>98</v>
      </c>
      <c r="C39" s="19">
        <f>C35-C37</f>
        <v>823081.33892224985</v>
      </c>
      <c r="D39" s="19">
        <f>D35-D37</f>
        <v>879627.02690620883</v>
      </c>
      <c r="E39" s="19">
        <f>E35-E37</f>
        <v>940057.40365466499</v>
      </c>
      <c r="F39" s="19">
        <f>F35-F37</f>
        <v>1004639.3472857408</v>
      </c>
      <c r="G39" s="19">
        <f>G35-G37</f>
        <v>1073658.0704442712</v>
      </c>
    </row>
    <row r="40" spans="2:7" ht="14" x14ac:dyDescent="0.3">
      <c r="B40" s="4" t="s">
        <v>99</v>
      </c>
      <c r="C40" s="5">
        <f>MAX(0,C39*C6)</f>
        <v>205770.33473056246</v>
      </c>
      <c r="D40" s="5">
        <f>MAX(0,D39*C6)</f>
        <v>219906.75672655221</v>
      </c>
      <c r="E40" s="5">
        <f>MAX(0,E39*C6)</f>
        <v>235014.35091366625</v>
      </c>
      <c r="F40" s="5">
        <f>MAX(0,F39*C6)</f>
        <v>251159.83682143519</v>
      </c>
      <c r="G40" s="5">
        <f>MAX(0,G39*C6)</f>
        <v>268414.5176110678</v>
      </c>
    </row>
    <row r="41" spans="2:7" ht="14" x14ac:dyDescent="0.3">
      <c r="B41" s="4" t="s">
        <v>100</v>
      </c>
      <c r="C41" s="19">
        <f>C39-C40</f>
        <v>617311.00419168733</v>
      </c>
      <c r="D41" s="19">
        <f>D39-D40</f>
        <v>659720.27017965657</v>
      </c>
      <c r="E41" s="19">
        <f>E39-E40</f>
        <v>705043.0527409988</v>
      </c>
      <c r="F41" s="19">
        <f>F39-F40</f>
        <v>753479.51046430552</v>
      </c>
      <c r="G41" s="19">
        <f>G39-G40</f>
        <v>805243.55283320346</v>
      </c>
    </row>
    <row r="42" spans="2:7" ht="14" x14ac:dyDescent="0.3">
      <c r="B42" s="4" t="s">
        <v>101</v>
      </c>
      <c r="C42" s="5">
        <f>C33*C18</f>
        <v>244960.27241225002</v>
      </c>
      <c r="D42" s="5">
        <f>D33*C18</f>
        <v>261789.04312697161</v>
      </c>
      <c r="E42" s="5">
        <f>E33*C18</f>
        <v>279773.95038979454</v>
      </c>
      <c r="F42" s="5">
        <f>F33*C18</f>
        <v>298994.42078157346</v>
      </c>
      <c r="G42" s="5">
        <f>G33*C18</f>
        <v>319535.33748926752</v>
      </c>
    </row>
    <row r="43" spans="2:7" ht="14" x14ac:dyDescent="0.3">
      <c r="B43" s="4" t="s">
        <v>102</v>
      </c>
      <c r="C43" s="5">
        <f>C33*C5</f>
        <v>244960.27241225002</v>
      </c>
      <c r="D43" s="5">
        <f>D33*C5</f>
        <v>261789.04312697161</v>
      </c>
      <c r="E43" s="5">
        <f>E33*C5</f>
        <v>279773.95038979454</v>
      </c>
      <c r="F43" s="5">
        <f>F33*C5</f>
        <v>298994.42078157346</v>
      </c>
      <c r="G43" s="5">
        <f>G33*C5</f>
        <v>319535.33748926752</v>
      </c>
    </row>
    <row r="44" spans="2:7" ht="14" x14ac:dyDescent="0.3">
      <c r="B44" s="4" t="s">
        <v>103</v>
      </c>
      <c r="C44" s="5">
        <f>'NWC Schedule'!D19</f>
        <v>-268801.2158533145</v>
      </c>
      <c r="D44" s="5">
        <f>'NWC Schedule'!E19</f>
        <v>49484.251670877333</v>
      </c>
      <c r="E44" s="5">
        <f>'NWC Schedule'!F19</f>
        <v>52883.819760666694</v>
      </c>
      <c r="F44" s="5">
        <f>'NWC Schedule'!G19</f>
        <v>56516.938178224606</v>
      </c>
      <c r="G44" s="5">
        <f>'NWC Schedule'!H19</f>
        <v>60399.651831067749</v>
      </c>
    </row>
    <row r="45" spans="2:7" ht="14" x14ac:dyDescent="0.3">
      <c r="B45" s="4" t="s">
        <v>104</v>
      </c>
      <c r="C45" s="20">
        <f>C41+C42-C43-C44</f>
        <v>886112.22004500183</v>
      </c>
      <c r="D45" s="20">
        <f>D41+D42-D43-D44</f>
        <v>610236.01850877923</v>
      </c>
      <c r="E45" s="20">
        <f>E41+E42-E43-E44</f>
        <v>652159.2329803321</v>
      </c>
      <c r="F45" s="20">
        <f>F41+F42-F43-F44</f>
        <v>696962.57228608092</v>
      </c>
      <c r="G45" s="20">
        <f>G41+G42-G43-G44</f>
        <v>744843.90100213571</v>
      </c>
    </row>
    <row r="46" spans="2:7" ht="14" x14ac:dyDescent="0.3">
      <c r="B46" s="4" t="s">
        <v>105</v>
      </c>
      <c r="C46" s="21">
        <f>1/(1+C26)^(C19+0)</f>
        <v>0.93132581653090274</v>
      </c>
      <c r="D46" s="21">
        <f>1/(1+C26)^(C19+1)</f>
        <v>0.86736777653695274</v>
      </c>
      <c r="E46" s="21">
        <f>1/(1+C26)^(C19+2)</f>
        <v>0.8078020027158711</v>
      </c>
      <c r="F46" s="21">
        <f>1/(1+C26)^(C19+3)</f>
        <v>0.75232685977465708</v>
      </c>
      <c r="G46" s="21">
        <f>1/(1+C26)^(C19+4)</f>
        <v>0.70066142697776246</v>
      </c>
    </row>
    <row r="47" spans="2:7" ht="14" x14ac:dyDescent="0.3">
      <c r="B47" s="4" t="s">
        <v>106</v>
      </c>
      <c r="C47" s="19">
        <f>C45*C46</f>
        <v>825259.18687142234</v>
      </c>
      <c r="D47" s="19">
        <f>D45*D46</f>
        <v>529299.05853672256</v>
      </c>
      <c r="E47" s="19">
        <f>E45*E46</f>
        <v>526815.53449115867</v>
      </c>
      <c r="F47" s="19">
        <f>F45*F46</f>
        <v>524343.6633884547</v>
      </c>
      <c r="G47" s="19">
        <f>G45*G46</f>
        <v>521883.39055183966</v>
      </c>
    </row>
    <row r="49" spans="2:7" ht="14" x14ac:dyDescent="0.3">
      <c r="B49" s="22" t="s">
        <v>107</v>
      </c>
      <c r="C49" s="23"/>
      <c r="D49" s="23"/>
      <c r="E49" s="23"/>
      <c r="F49" s="23"/>
      <c r="G49" s="23"/>
    </row>
    <row r="50" spans="2:7" ht="14" x14ac:dyDescent="0.3">
      <c r="B50" s="4" t="s">
        <v>108</v>
      </c>
      <c r="C50" s="5">
        <f>SUM(C47:G47)</f>
        <v>2927600.8338395976</v>
      </c>
    </row>
    <row r="51" spans="2:7" ht="14" x14ac:dyDescent="0.3">
      <c r="B51" s="4" t="s">
        <v>109</v>
      </c>
      <c r="C51" s="5">
        <f>G45*(1+C13)/(C26-C13)</f>
        <v>11802869.888671584</v>
      </c>
    </row>
    <row r="52" spans="2:7" ht="14" x14ac:dyDescent="0.3">
      <c r="B52" s="4" t="s">
        <v>110</v>
      </c>
      <c r="C52" s="5">
        <f>C51*G46</f>
        <v>8269815.6586294966</v>
      </c>
    </row>
    <row r="53" spans="2:7" ht="14" x14ac:dyDescent="0.3">
      <c r="B53" s="4" t="s">
        <v>111</v>
      </c>
      <c r="C53" s="5">
        <f>C50+C52</f>
        <v>11197416.492469095</v>
      </c>
    </row>
    <row r="54" spans="2:7" ht="14" x14ac:dyDescent="0.3">
      <c r="B54" s="4" t="s">
        <v>112</v>
      </c>
      <c r="C54" s="5">
        <f>C53-C16</f>
        <v>10349863.492469095</v>
      </c>
    </row>
    <row r="55" spans="2:7" ht="14" x14ac:dyDescent="0.3">
      <c r="B55" s="4" t="s">
        <v>113</v>
      </c>
      <c r="C55" s="24">
        <f>ROUND(C54*1000000/C15,0)</f>
        <v>5830</v>
      </c>
    </row>
    <row r="57" spans="2:7" ht="14" x14ac:dyDescent="0.3">
      <c r="B57" s="22" t="s">
        <v>114</v>
      </c>
      <c r="C57" s="23"/>
      <c r="D57" s="23"/>
      <c r="E57" s="23"/>
      <c r="F57" s="23"/>
      <c r="G57" s="23"/>
    </row>
    <row r="58" spans="2:7" ht="14" x14ac:dyDescent="0.3">
      <c r="B58" s="4" t="s">
        <v>108</v>
      </c>
      <c r="C58" s="5">
        <f>C50</f>
        <v>2927600.8338395976</v>
      </c>
    </row>
    <row r="59" spans="2:7" ht="14" x14ac:dyDescent="0.3">
      <c r="B59" s="4" t="s">
        <v>115</v>
      </c>
      <c r="C59" s="5">
        <f>G39+G42</f>
        <v>1393193.4079335388</v>
      </c>
    </row>
    <row r="60" spans="2:7" ht="14" x14ac:dyDescent="0.3">
      <c r="B60" s="4" t="s">
        <v>116</v>
      </c>
      <c r="C60" s="5">
        <f>C59*C14</f>
        <v>13792614.738542035</v>
      </c>
    </row>
    <row r="61" spans="2:7" ht="14" x14ac:dyDescent="0.3">
      <c r="B61" s="4" t="s">
        <v>110</v>
      </c>
      <c r="C61" s="5">
        <f>C60*G46</f>
        <v>9663953.1244613808</v>
      </c>
    </row>
    <row r="62" spans="2:7" ht="14" x14ac:dyDescent="0.3">
      <c r="B62" s="4" t="s">
        <v>111</v>
      </c>
      <c r="C62" s="5">
        <f>C58+C61</f>
        <v>12591553.958300978</v>
      </c>
    </row>
    <row r="63" spans="2:7" ht="14" x14ac:dyDescent="0.3">
      <c r="B63" s="4" t="s">
        <v>112</v>
      </c>
      <c r="C63" s="5">
        <f>C62-C16</f>
        <v>11744000.958300978</v>
      </c>
    </row>
    <row r="64" spans="2:7" ht="14" x14ac:dyDescent="0.3">
      <c r="B64" s="4" t="s">
        <v>117</v>
      </c>
      <c r="C64" s="24">
        <f>ROUND(C63*1000000/C15,0)</f>
        <v>6615</v>
      </c>
    </row>
    <row r="66" spans="2:7" ht="14" x14ac:dyDescent="0.3">
      <c r="B66" s="22" t="s">
        <v>118</v>
      </c>
      <c r="C66" s="23"/>
      <c r="D66" s="23"/>
      <c r="E66" s="23"/>
      <c r="F66" s="23"/>
      <c r="G66" s="23"/>
    </row>
    <row r="67" spans="2:7" ht="14" x14ac:dyDescent="0.3">
      <c r="C67" s="25" t="s">
        <v>119</v>
      </c>
      <c r="D67" s="25" t="s">
        <v>120</v>
      </c>
      <c r="E67" s="25" t="s">
        <v>121</v>
      </c>
      <c r="F67" s="25" t="s">
        <v>122</v>
      </c>
      <c r="G67" s="25" t="s">
        <v>123</v>
      </c>
    </row>
    <row r="68" spans="2:7" ht="14" x14ac:dyDescent="0.3">
      <c r="B68" s="3" t="s">
        <v>50</v>
      </c>
    </row>
    <row r="69" spans="2:7" ht="14" x14ac:dyDescent="0.3">
      <c r="B69" s="4" t="s">
        <v>87</v>
      </c>
      <c r="C69" s="26">
        <v>6.8699999999999997E-2</v>
      </c>
      <c r="D69" s="26">
        <v>6.8699999999999997E-2</v>
      </c>
      <c r="E69" s="26">
        <v>6.8699999999999997E-2</v>
      </c>
      <c r="F69" s="26">
        <v>6.8699999999999997E-2</v>
      </c>
      <c r="G69" s="26">
        <v>6.8699999999999997E-2</v>
      </c>
    </row>
    <row r="70" spans="2:7" ht="14" x14ac:dyDescent="0.3">
      <c r="B70" s="4" t="s">
        <v>124</v>
      </c>
      <c r="C70" s="26">
        <v>0.1031</v>
      </c>
      <c r="D70" s="26">
        <v>0.1031</v>
      </c>
      <c r="E70" s="26">
        <v>0.1031</v>
      </c>
      <c r="F70" s="26">
        <v>0.1031</v>
      </c>
      <c r="G70" s="26">
        <v>0.1031</v>
      </c>
    </row>
    <row r="71" spans="2:7" ht="14" x14ac:dyDescent="0.3">
      <c r="B71" s="4" t="s">
        <v>125</v>
      </c>
      <c r="C71" s="26">
        <v>0.1203</v>
      </c>
      <c r="D71" s="26">
        <v>0.11</v>
      </c>
      <c r="E71" s="26">
        <v>9.9699999999999997E-2</v>
      </c>
      <c r="F71" s="26">
        <v>8.9300000000000004E-2</v>
      </c>
      <c r="G71" s="26">
        <v>7.9000000000000001E-2</v>
      </c>
    </row>
    <row r="72" spans="2:7" ht="14" x14ac:dyDescent="0.3">
      <c r="B72" s="4" t="s">
        <v>126</v>
      </c>
      <c r="C72" s="26">
        <v>3.4299999999999997E-2</v>
      </c>
      <c r="D72" s="26">
        <v>3.4299999999999997E-2</v>
      </c>
      <c r="E72" s="26">
        <v>3.4299999999999997E-2</v>
      </c>
      <c r="F72" s="26">
        <v>3.4299999999999997E-2</v>
      </c>
      <c r="G72" s="26">
        <v>3.4299999999999997E-2</v>
      </c>
    </row>
    <row r="73" spans="2:7" ht="14" x14ac:dyDescent="0.3">
      <c r="B73" s="4" t="s">
        <v>127</v>
      </c>
      <c r="C73" s="26">
        <v>0</v>
      </c>
      <c r="D73" s="26">
        <v>0</v>
      </c>
      <c r="E73" s="26">
        <v>0</v>
      </c>
      <c r="F73" s="26">
        <v>0</v>
      </c>
      <c r="G73" s="26">
        <v>0</v>
      </c>
    </row>
    <row r="75" spans="2:7" ht="14" x14ac:dyDescent="0.3">
      <c r="B75" s="3" t="s">
        <v>94</v>
      </c>
    </row>
    <row r="76" spans="2:7" ht="14" x14ac:dyDescent="0.3">
      <c r="B76" s="4" t="s">
        <v>87</v>
      </c>
      <c r="C76" s="26">
        <v>0.43809999999999999</v>
      </c>
      <c r="D76" s="26">
        <v>0.43809999999999999</v>
      </c>
      <c r="E76" s="26">
        <v>0.43809999999999999</v>
      </c>
      <c r="F76" s="26">
        <v>0.43809999999999999</v>
      </c>
      <c r="G76" s="26">
        <v>0.43809999999999999</v>
      </c>
    </row>
    <row r="77" spans="2:7" ht="14" x14ac:dyDescent="0.3">
      <c r="B77" s="4" t="s">
        <v>124</v>
      </c>
      <c r="C77" s="26">
        <v>0.41620000000000001</v>
      </c>
      <c r="D77" s="26">
        <v>0.41620000000000001</v>
      </c>
      <c r="E77" s="26">
        <v>0.41620000000000001</v>
      </c>
      <c r="F77" s="26">
        <v>0.41620000000000001</v>
      </c>
      <c r="G77" s="26">
        <v>0.41620000000000001</v>
      </c>
    </row>
    <row r="78" spans="2:7" ht="14" x14ac:dyDescent="0.3">
      <c r="B78" s="4" t="s">
        <v>125</v>
      </c>
      <c r="C78" s="26">
        <v>0.43809999999999999</v>
      </c>
      <c r="D78" s="26">
        <v>0.43809999999999999</v>
      </c>
      <c r="E78" s="26">
        <v>0.43809999999999999</v>
      </c>
      <c r="F78" s="26">
        <v>0.43809999999999999</v>
      </c>
      <c r="G78" s="26">
        <v>0.43809999999999999</v>
      </c>
    </row>
    <row r="79" spans="2:7" ht="14" x14ac:dyDescent="0.3">
      <c r="B79" s="4" t="s">
        <v>126</v>
      </c>
      <c r="C79" s="26">
        <v>0.46</v>
      </c>
      <c r="D79" s="26">
        <v>0.46</v>
      </c>
      <c r="E79" s="26">
        <v>0.46</v>
      </c>
      <c r="F79" s="26">
        <v>0.46</v>
      </c>
      <c r="G79" s="26">
        <v>0.46</v>
      </c>
    </row>
    <row r="80" spans="2:7" ht="14" x14ac:dyDescent="0.3">
      <c r="B80" s="4" t="s">
        <v>127</v>
      </c>
      <c r="C80" s="26">
        <v>0.4819</v>
      </c>
      <c r="D80" s="26">
        <v>0.4819</v>
      </c>
      <c r="E80" s="26">
        <v>0.4819</v>
      </c>
      <c r="F80" s="26">
        <v>0.4819</v>
      </c>
      <c r="G80" s="26">
        <v>0.4819</v>
      </c>
    </row>
    <row r="82" spans="2:7" ht="14" x14ac:dyDescent="0.3">
      <c r="B82" s="3" t="s">
        <v>95</v>
      </c>
    </row>
    <row r="83" spans="2:7" ht="14" x14ac:dyDescent="0.3">
      <c r="B83" s="4" t="s">
        <v>87</v>
      </c>
      <c r="C83" s="26">
        <v>0.33979999999999999</v>
      </c>
      <c r="D83" s="26">
        <v>0.33979999999999999</v>
      </c>
      <c r="E83" s="26">
        <v>0.33979999999999999</v>
      </c>
      <c r="F83" s="26">
        <v>0.33979999999999999</v>
      </c>
      <c r="G83" s="26">
        <v>0.33979999999999999</v>
      </c>
    </row>
    <row r="84" spans="2:7" ht="14" x14ac:dyDescent="0.3">
      <c r="B84" s="4" t="s">
        <v>124</v>
      </c>
      <c r="C84" s="26">
        <v>0.30580000000000002</v>
      </c>
      <c r="D84" s="26">
        <v>0.30580000000000002</v>
      </c>
      <c r="E84" s="26">
        <v>0.30580000000000002</v>
      </c>
      <c r="F84" s="26">
        <v>0.30580000000000002</v>
      </c>
      <c r="G84" s="26">
        <v>0.30580000000000002</v>
      </c>
    </row>
    <row r="85" spans="2:7" ht="14" x14ac:dyDescent="0.3">
      <c r="B85" s="4" t="s">
        <v>125</v>
      </c>
      <c r="C85" s="26">
        <v>0.33979999999999999</v>
      </c>
      <c r="D85" s="26">
        <v>0.33979999999999999</v>
      </c>
      <c r="E85" s="26">
        <v>0.33979999999999999</v>
      </c>
      <c r="F85" s="26">
        <v>0.33979999999999999</v>
      </c>
      <c r="G85" s="26">
        <v>0.33979999999999999</v>
      </c>
    </row>
    <row r="86" spans="2:7" ht="14" x14ac:dyDescent="0.3">
      <c r="B86" s="4" t="s">
        <v>126</v>
      </c>
      <c r="C86" s="26">
        <v>0.37380000000000002</v>
      </c>
      <c r="D86" s="26">
        <v>0.37380000000000002</v>
      </c>
      <c r="E86" s="26">
        <v>0.37380000000000002</v>
      </c>
      <c r="F86" s="26">
        <v>0.37380000000000002</v>
      </c>
      <c r="G86" s="26">
        <v>0.37380000000000002</v>
      </c>
    </row>
    <row r="87" spans="2:7" ht="14" x14ac:dyDescent="0.3">
      <c r="B87" s="4" t="s">
        <v>127</v>
      </c>
      <c r="C87" s="26">
        <v>0.39079999999999998</v>
      </c>
      <c r="D87" s="26">
        <v>0.39079999999999998</v>
      </c>
      <c r="E87" s="26">
        <v>0.39079999999999998</v>
      </c>
      <c r="F87" s="26">
        <v>0.39079999999999998</v>
      </c>
      <c r="G87" s="26">
        <v>0.39079999999999998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128</v>
      </c>
    </row>
    <row r="3" spans="2:9" ht="14" x14ac:dyDescent="0.3">
      <c r="B3" s="1" t="s">
        <v>129</v>
      </c>
    </row>
    <row r="5" spans="2:9" ht="14" x14ac:dyDescent="0.3">
      <c r="B5" s="8" t="s">
        <v>130</v>
      </c>
      <c r="C5" s="9"/>
      <c r="D5" s="9"/>
      <c r="E5" s="9"/>
      <c r="F5" s="9"/>
      <c r="G5" s="9"/>
      <c r="H5" s="9"/>
      <c r="I5" s="9"/>
    </row>
    <row r="6" spans="2:9" ht="14" x14ac:dyDescent="0.3">
      <c r="B6" s="4" t="s">
        <v>131</v>
      </c>
      <c r="C6" s="15">
        <f>'Executive Summary'!C9</f>
        <v>6803</v>
      </c>
    </row>
    <row r="7" spans="2:9" ht="14" x14ac:dyDescent="0.3">
      <c r="B7" s="4" t="s">
        <v>75</v>
      </c>
      <c r="C7" s="15">
        <f>'DCF Model'!C15</f>
        <v>1775357592</v>
      </c>
    </row>
    <row r="8" spans="2:9" ht="14" x14ac:dyDescent="0.3">
      <c r="B8" s="4" t="s">
        <v>132</v>
      </c>
      <c r="C8" s="5">
        <f>C6*C7/1000000</f>
        <v>12077757.698376</v>
      </c>
    </row>
    <row r="9" spans="2:9" ht="14" x14ac:dyDescent="0.3">
      <c r="B9" s="4" t="s">
        <v>76</v>
      </c>
      <c r="C9" s="5">
        <f>'DCF Model'!C16</f>
        <v>847553</v>
      </c>
    </row>
    <row r="10" spans="2:9" ht="14" x14ac:dyDescent="0.3">
      <c r="B10" s="4" t="s">
        <v>133</v>
      </c>
      <c r="C10" s="5">
        <f>C8+C9</f>
        <v>12925310.698376</v>
      </c>
    </row>
    <row r="11" spans="2:9" ht="14" x14ac:dyDescent="0.3">
      <c r="B11" s="4" t="s">
        <v>134</v>
      </c>
      <c r="C11" s="16">
        <f>'DCF Model'!C26</f>
        <v>7.3738086339002057E-2</v>
      </c>
    </row>
    <row r="12" spans="2:9" ht="14" x14ac:dyDescent="0.3">
      <c r="B12" s="4" t="s">
        <v>135</v>
      </c>
      <c r="C12" s="16">
        <f>'DCF Model'!C13</f>
        <v>0.01</v>
      </c>
    </row>
    <row r="13" spans="2:9" ht="14" x14ac:dyDescent="0.3">
      <c r="B13" s="4" t="s">
        <v>136</v>
      </c>
      <c r="C13" s="16">
        <f>'DCF Model'!C6</f>
        <v>0.25</v>
      </c>
    </row>
    <row r="14" spans="2:9" ht="14" x14ac:dyDescent="0.3">
      <c r="B14" s="4" t="s">
        <v>137</v>
      </c>
      <c r="C14" s="27">
        <v>867038</v>
      </c>
    </row>
    <row r="15" spans="2:9" ht="14" x14ac:dyDescent="0.3">
      <c r="B15" s="4" t="s">
        <v>138</v>
      </c>
      <c r="C15" s="27">
        <v>867038</v>
      </c>
    </row>
    <row r="16" spans="2:9" ht="14" x14ac:dyDescent="0.3">
      <c r="B16" s="4" t="s">
        <v>139</v>
      </c>
      <c r="C16" s="5">
        <f>'DCF Model'!G33</f>
        <v>4834120.083044894</v>
      </c>
    </row>
    <row r="17" spans="2:9" ht="14" x14ac:dyDescent="0.3">
      <c r="B17" s="4" t="s">
        <v>140</v>
      </c>
      <c r="C17" s="5">
        <f>'DCF Model'!C53</f>
        <v>11197416.492469095</v>
      </c>
    </row>
    <row r="18" spans="2:9" ht="14" x14ac:dyDescent="0.3">
      <c r="B18" s="4" t="s">
        <v>141</v>
      </c>
      <c r="C18" s="26">
        <v>0.25003438903588138</v>
      </c>
    </row>
    <row r="19" spans="2:9" ht="14" x14ac:dyDescent="0.3">
      <c r="B19" s="4" t="s">
        <v>142</v>
      </c>
      <c r="C19" s="5">
        <f>C10-C17</f>
        <v>1727894.2059069052</v>
      </c>
    </row>
    <row r="20" spans="2:9" ht="14" x14ac:dyDescent="0.3">
      <c r="B20" s="4" t="s">
        <v>143</v>
      </c>
      <c r="C20" s="15">
        <f>IFERROR(ROUND(C19*1000000/C7,0),"N/A")</f>
        <v>973</v>
      </c>
    </row>
    <row r="22" spans="2:9" ht="14" x14ac:dyDescent="0.3">
      <c r="B22" s="8" t="s">
        <v>144</v>
      </c>
      <c r="C22" s="9"/>
      <c r="D22" s="9"/>
      <c r="E22" s="9"/>
      <c r="F22" s="9"/>
      <c r="G22" s="9"/>
      <c r="H22" s="9"/>
      <c r="I22" s="9"/>
    </row>
    <row r="23" spans="2:9" ht="14" x14ac:dyDescent="0.3">
      <c r="B23" s="1" t="s">
        <v>145</v>
      </c>
    </row>
    <row r="24" spans="2:9" ht="14" x14ac:dyDescent="0.3">
      <c r="B24" s="4" t="s">
        <v>146</v>
      </c>
      <c r="C24" s="5">
        <f>C10*(C11-C12)</f>
        <v>823834.56925151648</v>
      </c>
    </row>
    <row r="25" spans="2:9" ht="14" x14ac:dyDescent="0.3">
      <c r="B25" s="4" t="s">
        <v>147</v>
      </c>
      <c r="C25" s="5">
        <f>IFERROR(C24/(1-C13),"N/A")</f>
        <v>1098446.0923353552</v>
      </c>
    </row>
    <row r="26" spans="2:9" ht="13.5" x14ac:dyDescent="0.25">
      <c r="B26" s="6" t="s">
        <v>148</v>
      </c>
      <c r="C26" s="14">
        <f>IFERROR(C25/C15,"N/A")</f>
        <v>1.2668949830749694</v>
      </c>
    </row>
    <row r="27" spans="2:9" ht="13.5" x14ac:dyDescent="0.25">
      <c r="B27" s="6" t="s">
        <v>149</v>
      </c>
      <c r="C27" s="14">
        <f>IFERROR(C25/C14,"N/A")</f>
        <v>1.2668949830749694</v>
      </c>
    </row>
    <row r="28" spans="2:9" ht="13.5" x14ac:dyDescent="0.25">
      <c r="B28" s="6" t="s">
        <v>150</v>
      </c>
      <c r="C28" s="7">
        <f>IFERROR(C25/C16,"N/A")</f>
        <v>0.22722772158433244</v>
      </c>
    </row>
    <row r="29" spans="2:9" ht="13.5" x14ac:dyDescent="0.25">
      <c r="B29" s="6" t="s">
        <v>151</v>
      </c>
      <c r="C29" s="5">
        <f>IFERROR(C25/C18,"N/A")</f>
        <v>4393180.0604344942</v>
      </c>
    </row>
    <row r="32" spans="2:9" ht="14" x14ac:dyDescent="0.3">
      <c r="B32" s="8" t="s">
        <v>152</v>
      </c>
      <c r="C32" s="9"/>
      <c r="D32" s="9"/>
      <c r="E32" s="9"/>
      <c r="F32" s="9"/>
      <c r="G32" s="9"/>
      <c r="H32" s="9"/>
      <c r="I32" s="9"/>
    </row>
    <row r="33" spans="2:9" ht="14" x14ac:dyDescent="0.3">
      <c r="B33" s="1" t="s">
        <v>153</v>
      </c>
    </row>
    <row r="34" spans="2:9" ht="14" x14ac:dyDescent="0.3">
      <c r="B34" s="1" t="s">
        <v>154</v>
      </c>
    </row>
    <row r="36" spans="2:9" ht="14" x14ac:dyDescent="0.3">
      <c r="B36" s="28" t="s">
        <v>155</v>
      </c>
      <c r="C36" s="28" t="s">
        <v>156</v>
      </c>
      <c r="D36" s="29">
        <f>'DCF Model'!C26-0.02</f>
        <v>5.3738086339002053E-2</v>
      </c>
      <c r="E36" s="29">
        <f>'DCF Model'!C26-0.01</f>
        <v>6.3738086339002062E-2</v>
      </c>
      <c r="F36" s="29">
        <f>'DCF Model'!C26</f>
        <v>7.3738086339002057E-2</v>
      </c>
      <c r="G36" s="29">
        <f>'DCF Model'!C26+0.01</f>
        <v>8.3738086339002052E-2</v>
      </c>
      <c r="H36" s="29">
        <f>'DCF Model'!C26+0.02</f>
        <v>9.3738086339002061E-2</v>
      </c>
    </row>
    <row r="37" spans="2:9" ht="14" x14ac:dyDescent="0.3">
      <c r="B37" s="3" t="s">
        <v>157</v>
      </c>
    </row>
    <row r="38" spans="2:9" ht="14" x14ac:dyDescent="0.3">
      <c r="B38" s="4" t="s">
        <v>158</v>
      </c>
      <c r="C38" s="30">
        <v>3</v>
      </c>
      <c r="D38" s="13">
        <f t="shared" ref="D38:H41" si="0">IFERROR((1-(1+D$36)^(-$C38))/D$36-(1+D$36)/(D$36^2*$C38)*(1-($C38+1)/(1+D$36)^$C38+$C38/(1+D$36)^($C38+1)),"N/A")</f>
        <v>0.93287015180941379</v>
      </c>
      <c r="E38" s="13">
        <f t="shared" si="0"/>
        <v>0.92130480602744091</v>
      </c>
      <c r="F38" s="13">
        <f t="shared" si="0"/>
        <v>0.91000646986625955</v>
      </c>
      <c r="G38" s="13">
        <f t="shared" si="0"/>
        <v>0.8989663371076968</v>
      </c>
      <c r="H38" s="13">
        <f t="shared" si="0"/>
        <v>0.88817597486465893</v>
      </c>
    </row>
    <row r="39" spans="2:9" ht="14" x14ac:dyDescent="0.3">
      <c r="B39" s="4" t="s">
        <v>159</v>
      </c>
      <c r="C39" s="30">
        <v>5</v>
      </c>
      <c r="D39" s="13">
        <f t="shared" si="0"/>
        <v>1.8036541548899407</v>
      </c>
      <c r="E39" s="13">
        <f t="shared" si="0"/>
        <v>1.7708394098877438</v>
      </c>
      <c r="F39" s="13">
        <f t="shared" si="0"/>
        <v>1.7390674921881906</v>
      </c>
      <c r="G39" s="13">
        <f t="shared" si="0"/>
        <v>1.7082931981581213</v>
      </c>
      <c r="H39" s="13">
        <f t="shared" si="0"/>
        <v>1.678473756571941</v>
      </c>
    </row>
    <row r="40" spans="2:9" ht="14" x14ac:dyDescent="0.3">
      <c r="B40" s="4" t="s">
        <v>160</v>
      </c>
      <c r="C40" s="30">
        <v>7</v>
      </c>
      <c r="D40" s="13">
        <f t="shared" si="0"/>
        <v>2.6169925388866573</v>
      </c>
      <c r="E40" s="13">
        <f t="shared" si="0"/>
        <v>2.5548807724582412</v>
      </c>
      <c r="F40" s="13">
        <f t="shared" si="0"/>
        <v>2.4952641859435656</v>
      </c>
      <c r="G40" s="13">
        <f t="shared" si="0"/>
        <v>2.4380095128009192</v>
      </c>
      <c r="H40" s="13">
        <f t="shared" si="0"/>
        <v>2.3829921389396538</v>
      </c>
    </row>
    <row r="41" spans="2:9" ht="14" x14ac:dyDescent="0.3">
      <c r="B41" s="4" t="s">
        <v>161</v>
      </c>
      <c r="C41" s="30">
        <v>10</v>
      </c>
      <c r="D41" s="13">
        <f t="shared" si="0"/>
        <v>3.7385386527819615</v>
      </c>
      <c r="E41" s="13">
        <f t="shared" si="0"/>
        <v>3.6204483443246871</v>
      </c>
      <c r="F41" s="13">
        <f t="shared" si="0"/>
        <v>3.5085244427057409</v>
      </c>
      <c r="G41" s="13">
        <f t="shared" si="0"/>
        <v>3.4023479637606453</v>
      </c>
      <c r="H41" s="13">
        <f t="shared" si="0"/>
        <v>3.3015338812587594</v>
      </c>
    </row>
    <row r="42" spans="2:9" ht="14" x14ac:dyDescent="0.3">
      <c r="B42" s="3" t="s">
        <v>162</v>
      </c>
    </row>
    <row r="43" spans="2:9" ht="14" x14ac:dyDescent="0.3">
      <c r="B43" s="4" t="s">
        <v>158</v>
      </c>
      <c r="C43" s="30">
        <v>3</v>
      </c>
      <c r="D43" s="13">
        <f t="shared" ref="D43:H46" si="1">IFERROR((1+D$36)/(D$36^2*$C43)*(1-($C43+1)/(1+D$36)^$C43+$C43/(1+D$36)^($C43+1))+(1+$C$12)/((D$36-$C$12)*(1+D$36)^$C43),"N/A")</f>
        <v>21.507615974983135</v>
      </c>
      <c r="E43" s="13">
        <f t="shared" si="1"/>
        <v>17.348077917517553</v>
      </c>
      <c r="F43" s="13">
        <f t="shared" si="1"/>
        <v>14.496999301319192</v>
      </c>
      <c r="G43" s="13">
        <f t="shared" si="1"/>
        <v>12.421942577001653</v>
      </c>
      <c r="H43" s="13">
        <f t="shared" si="1"/>
        <v>10.844808625583179</v>
      </c>
    </row>
    <row r="44" spans="2:9" ht="14" x14ac:dyDescent="0.3">
      <c r="B44" s="4" t="s">
        <v>159</v>
      </c>
      <c r="C44" s="30">
        <v>5</v>
      </c>
      <c r="D44" s="13">
        <f t="shared" si="1"/>
        <v>20.25598143722987</v>
      </c>
      <c r="E44" s="13">
        <f t="shared" si="1"/>
        <v>16.198603894593148</v>
      </c>
      <c r="F44" s="13">
        <f t="shared" si="1"/>
        <v>13.42316643972479</v>
      </c>
      <c r="G44" s="13">
        <f t="shared" si="1"/>
        <v>11.407757247192695</v>
      </c>
      <c r="H44" s="13">
        <f t="shared" si="1"/>
        <v>9.8797894926894454</v>
      </c>
    </row>
    <row r="45" spans="2:9" ht="14" x14ac:dyDescent="0.3">
      <c r="B45" s="4" t="s">
        <v>160</v>
      </c>
      <c r="C45" s="30">
        <v>7</v>
      </c>
      <c r="D45" s="13">
        <f t="shared" si="1"/>
        <v>19.099646927418291</v>
      </c>
      <c r="E45" s="13">
        <f t="shared" si="1"/>
        <v>15.149490365479906</v>
      </c>
      <c r="F45" s="13">
        <f t="shared" si="1"/>
        <v>12.454662539980788</v>
      </c>
      <c r="G45" s="13">
        <f t="shared" si="1"/>
        <v>10.503617331001864</v>
      </c>
      <c r="H45" s="13">
        <f t="shared" si="1"/>
        <v>9.0292151418882636</v>
      </c>
    </row>
    <row r="46" spans="2:9" ht="14" x14ac:dyDescent="0.3">
      <c r="B46" s="4" t="s">
        <v>161</v>
      </c>
      <c r="C46" s="30">
        <v>10</v>
      </c>
      <c r="D46" s="13">
        <f t="shared" si="1"/>
        <v>17.526456438260936</v>
      </c>
      <c r="E46" s="13">
        <f t="shared" si="1"/>
        <v>13.742954569381933</v>
      </c>
      <c r="F46" s="13">
        <f t="shared" si="1"/>
        <v>11.174551902735203</v>
      </c>
      <c r="G46" s="13">
        <f t="shared" si="1"/>
        <v>9.3250044445982176</v>
      </c>
      <c r="H46" s="13">
        <f t="shared" si="1"/>
        <v>7.9352639480104665</v>
      </c>
    </row>
    <row r="47" spans="2:9" ht="14" x14ac:dyDescent="0.3">
      <c r="B47" s="22" t="s">
        <v>163</v>
      </c>
      <c r="C47" s="23"/>
      <c r="D47" s="23"/>
      <c r="E47" s="23"/>
      <c r="F47" s="23"/>
      <c r="G47" s="23"/>
      <c r="H47" s="23"/>
      <c r="I47" s="23"/>
    </row>
    <row r="48" spans="2:9" ht="14" x14ac:dyDescent="0.3">
      <c r="B48" s="4" t="s">
        <v>158</v>
      </c>
      <c r="C48" s="30">
        <v>3</v>
      </c>
      <c r="D48" s="5">
        <f t="shared" ref="D48:H51" si="2">IFERROR(($C$10/(1-$C$13)-$C$14*D38)/D43,"N/A")</f>
        <v>763678.95661959879</v>
      </c>
      <c r="E48" s="5">
        <f t="shared" si="2"/>
        <v>947363.81745384878</v>
      </c>
      <c r="F48" s="5">
        <f t="shared" si="2"/>
        <v>1134354.5699638911</v>
      </c>
      <c r="G48" s="5">
        <f t="shared" si="2"/>
        <v>1324616.4616237618</v>
      </c>
      <c r="H48" s="5">
        <f t="shared" si="2"/>
        <v>1518114.8737011142</v>
      </c>
    </row>
    <row r="49" spans="2:9" ht="14" x14ac:dyDescent="0.3">
      <c r="B49" s="4" t="s">
        <v>159</v>
      </c>
      <c r="C49" s="30">
        <v>5</v>
      </c>
      <c r="D49" s="5">
        <f t="shared" si="2"/>
        <v>773594.2568493071</v>
      </c>
      <c r="E49" s="5">
        <f t="shared" si="2"/>
        <v>969118.24251744896</v>
      </c>
      <c r="F49" s="5">
        <f t="shared" si="2"/>
        <v>1171549.9519549445</v>
      </c>
      <c r="G49" s="5">
        <f t="shared" si="2"/>
        <v>1380866.7329212811</v>
      </c>
      <c r="H49" s="5">
        <f t="shared" si="2"/>
        <v>1597042.8398863471</v>
      </c>
    </row>
    <row r="50" spans="2:9" ht="14" x14ac:dyDescent="0.3">
      <c r="B50" s="4" t="s">
        <v>160</v>
      </c>
      <c r="C50" s="30">
        <v>7</v>
      </c>
      <c r="D50" s="5">
        <f t="shared" si="2"/>
        <v>783507.44795292628</v>
      </c>
      <c r="E50" s="5">
        <f t="shared" si="2"/>
        <v>991358.027255213</v>
      </c>
      <c r="F50" s="5">
        <f t="shared" si="2"/>
        <v>1210009.3985048088</v>
      </c>
      <c r="G50" s="5">
        <f t="shared" si="2"/>
        <v>1439494.6264129183</v>
      </c>
      <c r="H50" s="5">
        <f t="shared" si="2"/>
        <v>1679836.2450471784</v>
      </c>
    </row>
    <row r="51" spans="2:9" ht="14" x14ac:dyDescent="0.3">
      <c r="B51" s="4" t="s">
        <v>161</v>
      </c>
      <c r="C51" s="30">
        <v>10</v>
      </c>
      <c r="D51" s="5">
        <f t="shared" si="2"/>
        <v>798352.6259682579</v>
      </c>
      <c r="E51" s="5">
        <f t="shared" si="2"/>
        <v>1025593.240166111</v>
      </c>
      <c r="F51" s="5">
        <f t="shared" si="2"/>
        <v>1270003.818104442</v>
      </c>
      <c r="G51" s="5">
        <f t="shared" si="2"/>
        <v>1531772.2054605414</v>
      </c>
      <c r="H51" s="5">
        <f t="shared" si="2"/>
        <v>1811054.0945646786</v>
      </c>
    </row>
    <row r="52" spans="2:9" ht="14" x14ac:dyDescent="0.3">
      <c r="B52" s="22" t="s">
        <v>164</v>
      </c>
      <c r="C52" s="23"/>
      <c r="D52" s="23"/>
      <c r="E52" s="23"/>
      <c r="F52" s="23"/>
      <c r="G52" s="23"/>
      <c r="H52" s="23"/>
      <c r="I52" s="23"/>
    </row>
    <row r="53" spans="2:9" ht="14" x14ac:dyDescent="0.3">
      <c r="B53" s="4" t="s">
        <v>158</v>
      </c>
      <c r="C53" s="30">
        <v>3</v>
      </c>
      <c r="D53" s="14">
        <f t="shared" ref="D53:H56" si="3">IFERROR(D48/$C$15,"N/A")</f>
        <v>0.88079064195525314</v>
      </c>
      <c r="E53" s="14">
        <f t="shared" si="3"/>
        <v>1.0926439411581139</v>
      </c>
      <c r="F53" s="14">
        <f t="shared" si="3"/>
        <v>1.3083100970936581</v>
      </c>
      <c r="G53" s="14">
        <f t="shared" si="3"/>
        <v>1.5277490278670161</v>
      </c>
      <c r="H53" s="14">
        <f t="shared" si="3"/>
        <v>1.7509208058944523</v>
      </c>
    </row>
    <row r="54" spans="2:9" ht="14" x14ac:dyDescent="0.3">
      <c r="B54" s="4" t="s">
        <v>159</v>
      </c>
      <c r="C54" s="30">
        <v>5</v>
      </c>
      <c r="D54" s="14">
        <f t="shared" si="3"/>
        <v>0.8922264731756937</v>
      </c>
      <c r="E54" s="14">
        <f t="shared" si="3"/>
        <v>1.1177344505286377</v>
      </c>
      <c r="F54" s="14">
        <f t="shared" si="3"/>
        <v>1.3512094648157804</v>
      </c>
      <c r="G54" s="14">
        <f t="shared" si="3"/>
        <v>1.592625390030519</v>
      </c>
      <c r="H54" s="14">
        <f t="shared" si="3"/>
        <v>1.841952532514546</v>
      </c>
    </row>
    <row r="55" spans="2:9" ht="14" x14ac:dyDescent="0.3">
      <c r="B55" s="4" t="s">
        <v>160</v>
      </c>
      <c r="C55" s="30">
        <v>7</v>
      </c>
      <c r="D55" s="14">
        <f t="shared" si="3"/>
        <v>0.90365987183136876</v>
      </c>
      <c r="E55" s="14">
        <f t="shared" si="3"/>
        <v>1.1433847504437096</v>
      </c>
      <c r="F55" s="14">
        <f t="shared" si="3"/>
        <v>1.395566743908351</v>
      </c>
      <c r="G55" s="14">
        <f t="shared" si="3"/>
        <v>1.6602439874756565</v>
      </c>
      <c r="H55" s="14">
        <f t="shared" si="3"/>
        <v>1.9374424708573077</v>
      </c>
    </row>
    <row r="56" spans="2:9" ht="14" x14ac:dyDescent="0.3">
      <c r="B56" s="4" t="s">
        <v>161</v>
      </c>
      <c r="C56" s="30">
        <v>10</v>
      </c>
      <c r="D56" s="14">
        <f t="shared" si="3"/>
        <v>0.92078158739093086</v>
      </c>
      <c r="E56" s="14">
        <f t="shared" si="3"/>
        <v>1.1828700012757354</v>
      </c>
      <c r="F56" s="14">
        <f t="shared" si="3"/>
        <v>1.4647614269552685</v>
      </c>
      <c r="G56" s="14">
        <f t="shared" si="3"/>
        <v>1.7666725166146597</v>
      </c>
      <c r="H56" s="14">
        <f t="shared" si="3"/>
        <v>2.0887828383123677</v>
      </c>
    </row>
    <row r="58" spans="2:9" ht="14" x14ac:dyDescent="0.3">
      <c r="B58" s="8" t="s">
        <v>165</v>
      </c>
      <c r="C58" s="9"/>
      <c r="D58" s="9"/>
      <c r="E58" s="9"/>
      <c r="F58" s="9"/>
      <c r="G58" s="9"/>
      <c r="H58" s="9"/>
      <c r="I58" s="9"/>
    </row>
    <row r="59" spans="2:9" ht="14" x14ac:dyDescent="0.3">
      <c r="B59" s="1" t="s">
        <v>166</v>
      </c>
    </row>
    <row r="60" spans="2:9" ht="14" x14ac:dyDescent="0.3">
      <c r="B60" s="4" t="s">
        <v>167</v>
      </c>
      <c r="C60" s="5">
        <f>F49</f>
        <v>1171549.9519549445</v>
      </c>
    </row>
    <row r="62" spans="2:9" ht="14" x14ac:dyDescent="0.3">
      <c r="B62" s="28" t="s">
        <v>168</v>
      </c>
      <c r="C62" s="28" t="s">
        <v>169</v>
      </c>
      <c r="D62" s="28" t="s">
        <v>170</v>
      </c>
    </row>
    <row r="63" spans="2:9" ht="14" x14ac:dyDescent="0.3">
      <c r="B63" s="31">
        <v>0.125</v>
      </c>
      <c r="C63" s="5">
        <f>IFERROR($C$60/B63,"N/A")</f>
        <v>9372399.6156395562</v>
      </c>
      <c r="D63" s="14">
        <f>IFERROR(C63/'DCF Model'!C17,"N/A")</f>
        <v>2.7027906639577113</v>
      </c>
    </row>
    <row r="64" spans="2:9" ht="14" x14ac:dyDescent="0.3">
      <c r="B64" s="31">
        <v>0.1875</v>
      </c>
      <c r="C64" s="5">
        <f>IFERROR($C$60/B64,"N/A")</f>
        <v>6248266.4104263708</v>
      </c>
      <c r="D64" s="14">
        <f>IFERROR(C64/'DCF Model'!C17,"N/A")</f>
        <v>1.8018604426384741</v>
      </c>
    </row>
    <row r="65" spans="2:9" ht="14" x14ac:dyDescent="0.3">
      <c r="B65" s="4" t="s">
        <v>171</v>
      </c>
      <c r="C65" s="5">
        <f>IFERROR($C$60/$C$18,"N/A")</f>
        <v>4685555.2809050614</v>
      </c>
      <c r="D65" s="14">
        <f>IFERROR(C65/'DCF Model'!C17,"N/A")</f>
        <v>1.3512094648157804</v>
      </c>
    </row>
    <row r="66" spans="2:9" ht="14" x14ac:dyDescent="0.3">
      <c r="B66" s="31">
        <v>0.3125</v>
      </c>
      <c r="C66" s="5">
        <f>IFERROR($C$60/B66,"N/A")</f>
        <v>3748959.8462558226</v>
      </c>
      <c r="D66" s="14">
        <f>IFERROR(C66/'DCF Model'!C17,"N/A")</f>
        <v>1.0811162655830846</v>
      </c>
    </row>
    <row r="67" spans="2:9" ht="14" x14ac:dyDescent="0.3">
      <c r="B67" s="31">
        <v>0.37509999999999999</v>
      </c>
      <c r="C67" s="5">
        <f>IFERROR($C$60/B67,"N/A")</f>
        <v>3123300.325126485</v>
      </c>
      <c r="D67" s="14">
        <f>IFERROR(C67/'DCF Model'!C17,"N/A")</f>
        <v>0.90069003730928787</v>
      </c>
    </row>
    <row r="69" spans="2:9" ht="14" x14ac:dyDescent="0.3">
      <c r="B69" s="8" t="s">
        <v>172</v>
      </c>
      <c r="C69" s="9"/>
      <c r="D69" s="9"/>
      <c r="E69" s="9"/>
      <c r="F69" s="9"/>
      <c r="G69" s="9"/>
      <c r="H69" s="9"/>
      <c r="I69" s="9"/>
    </row>
    <row r="70" spans="2:9" ht="13.5" x14ac:dyDescent="0.25">
      <c r="B70" s="6" t="s">
        <v>173</v>
      </c>
      <c r="C70" s="14">
        <f>IFERROR(C10/'Comps Analysis'!G5,"N/A")</f>
        <v>12.314440559958689</v>
      </c>
    </row>
    <row r="71" spans="2:9" ht="13.5" x14ac:dyDescent="0.25">
      <c r="B71" s="6" t="s">
        <v>174</v>
      </c>
      <c r="C71" s="14">
        <f>IFERROR(C10/'Comps Analysis'!F5,"N/A")</f>
        <v>3.7273708459921995</v>
      </c>
    </row>
    <row r="72" spans="2:9" ht="14" x14ac:dyDescent="0.3">
      <c r="B72" s="4" t="s">
        <v>175</v>
      </c>
      <c r="C72" s="14">
        <f>IFERROR(C10/(C25+'DCF Model'!G42),"N/A")</f>
        <v>9.1152891191068797</v>
      </c>
    </row>
    <row r="73" spans="2:9" ht="14" x14ac:dyDescent="0.3">
      <c r="B73" s="4" t="s">
        <v>176</v>
      </c>
      <c r="C73" s="14">
        <f>IFERROR(C10/(C60+'DCF Model'!G42),"N/A")</f>
        <v>8.6683912649918149</v>
      </c>
    </row>
    <row r="74" spans="2:9" ht="14" x14ac:dyDescent="0.3">
      <c r="B74" s="4" t="s">
        <v>177</v>
      </c>
      <c r="C74" s="14">
        <f>IFERROR('Comps Analysis'!D16,"N/A")</f>
        <v>9.8605422572082571</v>
      </c>
    </row>
    <row r="75" spans="2:9" ht="14" x14ac:dyDescent="0.3">
      <c r="B75" s="1" t="s">
        <v>178</v>
      </c>
    </row>
    <row r="77" spans="2:9" ht="14" x14ac:dyDescent="0.3">
      <c r="B77" s="22" t="s">
        <v>179</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6,803 yen the market is paying for a steady-state operating profit of 1,171,550 mn JPY - 1.35x the FY2025 cycle peak of 867,038 mn - reached in 5 years and sustained for ever, against 867,038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1,098,446 mn, or 1.27x the peak. The base case supports an EV of only 11,197,416 mn, leaving 973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180</v>
      </c>
    </row>
    <row r="4" spans="2:8" ht="14" x14ac:dyDescent="0.3">
      <c r="B4" s="8" t="s">
        <v>181</v>
      </c>
      <c r="C4" s="32" t="s">
        <v>182</v>
      </c>
      <c r="D4" s="32" t="s">
        <v>89</v>
      </c>
      <c r="E4" s="32" t="s">
        <v>90</v>
      </c>
      <c r="F4" s="32" t="s">
        <v>91</v>
      </c>
      <c r="G4" s="32" t="s">
        <v>92</v>
      </c>
      <c r="H4" s="32" t="s">
        <v>93</v>
      </c>
    </row>
    <row r="5" spans="2:8" ht="14" x14ac:dyDescent="0.3">
      <c r="B5" s="33" t="s">
        <v>183</v>
      </c>
      <c r="C5" s="34">
        <f>C12/C9*365</f>
        <v>67.436701824709644</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x14ac:dyDescent="0.3">
      <c r="B6" s="33" t="s">
        <v>184</v>
      </c>
      <c r="C6" s="34">
        <f>C13/C10*365</f>
        <v>254.72446351140255</v>
      </c>
      <c r="D6" s="34">
        <f>CHOOSE('DCF Model'!$D$27,D32,D33,D34,D35,D36)</f>
        <v>180</v>
      </c>
      <c r="E6" s="34">
        <f>CHOOSE('DCF Model'!$D$27,E32,E33,E34,E35,E36)</f>
        <v>180</v>
      </c>
      <c r="F6" s="34">
        <f>CHOOSE('DCF Model'!$D$27,F32,F33,F34,F35,F36)</f>
        <v>180</v>
      </c>
      <c r="G6" s="34">
        <f>CHOOSE('DCF Model'!$D$27,G32,G33,G34,G35,G36)</f>
        <v>180</v>
      </c>
      <c r="H6" s="34">
        <f>CHOOSE('DCF Model'!$D$27,H32,H33,H34,H35,H36)</f>
        <v>180</v>
      </c>
    </row>
    <row r="7" spans="2:8" ht="14" x14ac:dyDescent="0.3">
      <c r="B7" s="33" t="s">
        <v>185</v>
      </c>
      <c r="C7" s="34">
        <f>C15/C10*365</f>
        <v>171.00895535553829</v>
      </c>
      <c r="D7" s="34">
        <f>CHOOSE('DCF Model'!$D$27,D39,D40,D41,D42,D43)</f>
        <v>171</v>
      </c>
      <c r="E7" s="34">
        <f>CHOOSE('DCF Model'!$D$27,E39,E40,E41,E42,E43)</f>
        <v>171</v>
      </c>
      <c r="F7" s="34">
        <f>CHOOSE('DCF Model'!$D$27,F39,F40,F41,F42,F43)</f>
        <v>171</v>
      </c>
      <c r="G7" s="34">
        <f>CHOOSE('DCF Model'!$D$27,G39,G40,G41,G42,G43)</f>
        <v>171</v>
      </c>
      <c r="H7" s="34">
        <f>CHOOSE('DCF Model'!$D$27,H39,H40,H41,H42,H43)</f>
        <v>171</v>
      </c>
    </row>
    <row r="8" spans="2:8" ht="14" x14ac:dyDescent="0.3">
      <c r="B8" s="8" t="s">
        <v>186</v>
      </c>
      <c r="C8" s="9"/>
      <c r="D8" s="9"/>
      <c r="E8" s="9"/>
      <c r="F8" s="9"/>
      <c r="G8" s="9"/>
      <c r="H8" s="9"/>
    </row>
    <row r="9" spans="2:8" ht="14" x14ac:dyDescent="0.3">
      <c r="B9" s="33" t="s">
        <v>41</v>
      </c>
      <c r="C9" s="35">
        <v>3467675</v>
      </c>
      <c r="D9" s="35">
        <f>'DCF Model'!C33</f>
        <v>3705904.2725</v>
      </c>
      <c r="E9" s="35">
        <f>'DCF Model'!D33</f>
        <v>3960499.89602075</v>
      </c>
      <c r="F9" s="35">
        <f>'DCF Model'!E33</f>
        <v>4232586.2388773756</v>
      </c>
      <c r="G9" s="35">
        <f>'DCF Model'!F33</f>
        <v>4523364.9134882512</v>
      </c>
      <c r="H9" s="35">
        <f>'DCF Model'!G33</f>
        <v>4834120.083044894</v>
      </c>
    </row>
    <row r="10" spans="2:8" ht="14" x14ac:dyDescent="0.3">
      <c r="B10" s="33" t="s">
        <v>42</v>
      </c>
      <c r="C10" s="35">
        <v>1519091</v>
      </c>
      <c r="D10" s="35">
        <f>'DCF Model'!C34</f>
        <v>1623556.66178225</v>
      </c>
      <c r="E10" s="35">
        <f>'DCF Model'!D34</f>
        <v>1735095.0044466907</v>
      </c>
      <c r="F10" s="35">
        <f>'DCF Model'!E34</f>
        <v>1854296.0312521781</v>
      </c>
      <c r="G10" s="35">
        <f>'DCF Model'!F34</f>
        <v>1981686.1685992028</v>
      </c>
      <c r="H10" s="35">
        <f>'DCF Model'!G34</f>
        <v>2117828.0083819679</v>
      </c>
    </row>
    <row r="11" spans="2:8" ht="14" x14ac:dyDescent="0.3">
      <c r="B11" s="8" t="s">
        <v>187</v>
      </c>
      <c r="C11" s="9"/>
      <c r="D11" s="9"/>
      <c r="E11" s="9"/>
      <c r="F11" s="9"/>
      <c r="G11" s="9"/>
      <c r="H11" s="9"/>
    </row>
    <row r="12" spans="2:8" ht="14" x14ac:dyDescent="0.3">
      <c r="B12" s="33" t="s">
        <v>188</v>
      </c>
      <c r="C12" s="35">
        <v>640681</v>
      </c>
      <c r="D12" s="35">
        <f t="shared" ref="D12:H13" si="0">D9*D5/365</f>
        <v>680261.88015753427</v>
      </c>
      <c r="E12" s="35">
        <f t="shared" si="0"/>
        <v>726995.87132435688</v>
      </c>
      <c r="F12" s="35">
        <f t="shared" si="0"/>
        <v>776940.48768434022</v>
      </c>
      <c r="G12" s="35">
        <f t="shared" si="0"/>
        <v>830316.29918825428</v>
      </c>
      <c r="H12" s="35">
        <f t="shared" si="0"/>
        <v>887359.02894248732</v>
      </c>
    </row>
    <row r="13" spans="2:8" ht="14" x14ac:dyDescent="0.3">
      <c r="B13" s="33" t="s">
        <v>189</v>
      </c>
      <c r="C13" s="35">
        <v>1060136</v>
      </c>
      <c r="D13" s="35">
        <f t="shared" si="0"/>
        <v>800658.07978302741</v>
      </c>
      <c r="E13" s="35">
        <f t="shared" si="0"/>
        <v>855663.28986412135</v>
      </c>
      <c r="F13" s="35">
        <f t="shared" si="0"/>
        <v>914447.3578777865</v>
      </c>
      <c r="G13" s="35">
        <f t="shared" si="0"/>
        <v>977269.89136399049</v>
      </c>
      <c r="H13" s="35">
        <f t="shared" si="0"/>
        <v>1044408.3329006964</v>
      </c>
    </row>
    <row r="14" spans="2:8" ht="14" x14ac:dyDescent="0.3">
      <c r="B14" s="33" t="s">
        <v>190</v>
      </c>
      <c r="C14" s="35">
        <f t="shared" ref="C14:H14" si="1">C12+C13</f>
        <v>1700817</v>
      </c>
      <c r="D14" s="35">
        <f t="shared" si="1"/>
        <v>1480919.9599405616</v>
      </c>
      <c r="E14" s="35">
        <f t="shared" si="1"/>
        <v>1582659.1611884781</v>
      </c>
      <c r="F14" s="35">
        <f t="shared" si="1"/>
        <v>1691387.8455621267</v>
      </c>
      <c r="G14" s="35">
        <f t="shared" si="1"/>
        <v>1807586.1905522449</v>
      </c>
      <c r="H14" s="35">
        <f t="shared" si="1"/>
        <v>1931767.3618431836</v>
      </c>
    </row>
    <row r="15" spans="2:8" ht="14" x14ac:dyDescent="0.3">
      <c r="B15" s="33" t="s">
        <v>191</v>
      </c>
      <c r="C15" s="35">
        <v>711721</v>
      </c>
      <c r="D15" s="35">
        <f>D10*D7/365</f>
        <v>760625.17579387606</v>
      </c>
      <c r="E15" s="35">
        <f>E10*E7/365</f>
        <v>812880.12537091528</v>
      </c>
      <c r="F15" s="35">
        <f>F10*F7/365</f>
        <v>868724.98998389719</v>
      </c>
      <c r="G15" s="35">
        <f>G10*G7/365</f>
        <v>928406.39679579076</v>
      </c>
      <c r="H15" s="35">
        <f>H10*H7/365</f>
        <v>992187.91625566175</v>
      </c>
    </row>
    <row r="16" spans="2:8" ht="14" x14ac:dyDescent="0.3">
      <c r="B16" s="33" t="s">
        <v>192</v>
      </c>
      <c r="C16" s="35">
        <f t="shared" ref="C16:H16" si="2">C15</f>
        <v>711721</v>
      </c>
      <c r="D16" s="35">
        <f t="shared" si="2"/>
        <v>760625.17579387606</v>
      </c>
      <c r="E16" s="35">
        <f t="shared" si="2"/>
        <v>812880.12537091528</v>
      </c>
      <c r="F16" s="35">
        <f t="shared" si="2"/>
        <v>868724.98998389719</v>
      </c>
      <c r="G16" s="35">
        <f t="shared" si="2"/>
        <v>928406.39679579076</v>
      </c>
      <c r="H16" s="35">
        <f t="shared" si="2"/>
        <v>992187.91625566175</v>
      </c>
    </row>
    <row r="17" spans="2:8" ht="14" x14ac:dyDescent="0.3">
      <c r="B17" s="22" t="s">
        <v>193</v>
      </c>
      <c r="C17" s="23"/>
      <c r="D17" s="23"/>
      <c r="E17" s="23"/>
      <c r="F17" s="23"/>
      <c r="G17" s="23"/>
      <c r="H17" s="23"/>
    </row>
    <row r="18" spans="2:8" ht="14" x14ac:dyDescent="0.3">
      <c r="B18" s="33" t="s">
        <v>194</v>
      </c>
      <c r="C18" s="20">
        <f t="shared" ref="C18:H18" si="3">C14-C16</f>
        <v>989096</v>
      </c>
      <c r="D18" s="20">
        <f t="shared" si="3"/>
        <v>720294.7841466855</v>
      </c>
      <c r="E18" s="20">
        <f t="shared" si="3"/>
        <v>769779.03581756284</v>
      </c>
      <c r="F18" s="20">
        <f t="shared" si="3"/>
        <v>822662.85557822953</v>
      </c>
      <c r="G18" s="20">
        <f t="shared" si="3"/>
        <v>879179.79375645414</v>
      </c>
      <c r="H18" s="20">
        <f t="shared" si="3"/>
        <v>939579.44558752188</v>
      </c>
    </row>
    <row r="19" spans="2:8" ht="14" x14ac:dyDescent="0.3">
      <c r="B19" s="33" t="s">
        <v>103</v>
      </c>
      <c r="C19" s="36" t="s">
        <v>51</v>
      </c>
      <c r="D19" s="24">
        <f>D18-C18</f>
        <v>-268801.2158533145</v>
      </c>
      <c r="E19" s="24">
        <f>E18-D18</f>
        <v>49484.251670877333</v>
      </c>
      <c r="F19" s="24">
        <f>F18-E18</f>
        <v>52883.819760666694</v>
      </c>
      <c r="G19" s="24">
        <f>G18-F18</f>
        <v>56516.938178224606</v>
      </c>
      <c r="H19" s="24">
        <f>H18-G18</f>
        <v>60399.651831067749</v>
      </c>
    </row>
    <row r="22" spans="2:8" ht="14" x14ac:dyDescent="0.3">
      <c r="B22" s="22" t="s">
        <v>195</v>
      </c>
      <c r="C22" s="23"/>
      <c r="D22" s="23"/>
      <c r="E22" s="23"/>
      <c r="F22" s="23"/>
      <c r="G22" s="23"/>
      <c r="H22" s="23"/>
    </row>
    <row r="23" spans="2:8" ht="14" x14ac:dyDescent="0.3">
      <c r="D23" s="25" t="s">
        <v>89</v>
      </c>
      <c r="E23" s="25" t="s">
        <v>90</v>
      </c>
      <c r="F23" s="25" t="s">
        <v>91</v>
      </c>
      <c r="G23" s="25" t="s">
        <v>92</v>
      </c>
      <c r="H23" s="25" t="s">
        <v>93</v>
      </c>
    </row>
    <row r="24" spans="2:8" ht="14" x14ac:dyDescent="0.3">
      <c r="B24" s="3" t="s">
        <v>196</v>
      </c>
    </row>
    <row r="25" spans="2:8" ht="14" x14ac:dyDescent="0.3">
      <c r="B25" s="4" t="s">
        <v>87</v>
      </c>
      <c r="D25" s="30">
        <v>67</v>
      </c>
      <c r="E25" s="30">
        <v>67</v>
      </c>
      <c r="F25" s="30">
        <v>67</v>
      </c>
      <c r="G25" s="30">
        <v>67</v>
      </c>
      <c r="H25" s="30">
        <v>67</v>
      </c>
    </row>
    <row r="26" spans="2:8" ht="14" x14ac:dyDescent="0.3">
      <c r="B26" s="4" t="s">
        <v>124</v>
      </c>
      <c r="D26" s="30">
        <v>62</v>
      </c>
      <c r="E26" s="30">
        <v>62</v>
      </c>
      <c r="F26" s="30">
        <v>62</v>
      </c>
      <c r="G26" s="30">
        <v>62</v>
      </c>
      <c r="H26" s="30">
        <v>62</v>
      </c>
    </row>
    <row r="27" spans="2:8" ht="14" x14ac:dyDescent="0.3">
      <c r="B27" s="4" t="s">
        <v>125</v>
      </c>
      <c r="D27" s="30">
        <v>67</v>
      </c>
      <c r="E27" s="30">
        <v>67</v>
      </c>
      <c r="F27" s="30">
        <v>67</v>
      </c>
      <c r="G27" s="30">
        <v>67</v>
      </c>
      <c r="H27" s="30">
        <v>67</v>
      </c>
    </row>
    <row r="28" spans="2:8" ht="14" x14ac:dyDescent="0.3">
      <c r="B28" s="4" t="s">
        <v>126</v>
      </c>
      <c r="D28" s="30">
        <v>72</v>
      </c>
      <c r="E28" s="30">
        <v>72</v>
      </c>
      <c r="F28" s="30">
        <v>72</v>
      </c>
      <c r="G28" s="30">
        <v>72</v>
      </c>
      <c r="H28" s="30">
        <v>72</v>
      </c>
    </row>
    <row r="29" spans="2:8" ht="14" x14ac:dyDescent="0.3">
      <c r="B29" s="4" t="s">
        <v>127</v>
      </c>
      <c r="D29" s="30">
        <v>77</v>
      </c>
      <c r="E29" s="30">
        <v>77</v>
      </c>
      <c r="F29" s="30">
        <v>77</v>
      </c>
      <c r="G29" s="30">
        <v>77</v>
      </c>
      <c r="H29" s="30">
        <v>77</v>
      </c>
    </row>
    <row r="31" spans="2:8" ht="14" x14ac:dyDescent="0.3">
      <c r="B31" s="3" t="s">
        <v>197</v>
      </c>
    </row>
    <row r="32" spans="2:8" ht="14" x14ac:dyDescent="0.3">
      <c r="B32" s="4" t="s">
        <v>87</v>
      </c>
      <c r="D32" s="30">
        <v>180</v>
      </c>
      <c r="E32" s="30">
        <v>180</v>
      </c>
      <c r="F32" s="30">
        <v>180</v>
      </c>
      <c r="G32" s="30">
        <v>180</v>
      </c>
      <c r="H32" s="30">
        <v>180</v>
      </c>
    </row>
    <row r="33" spans="2:8" ht="14" x14ac:dyDescent="0.3">
      <c r="B33" s="4" t="s">
        <v>124</v>
      </c>
      <c r="D33" s="30">
        <v>178</v>
      </c>
      <c r="E33" s="30">
        <v>178</v>
      </c>
      <c r="F33" s="30">
        <v>178</v>
      </c>
      <c r="G33" s="30">
        <v>178</v>
      </c>
      <c r="H33" s="30">
        <v>178</v>
      </c>
    </row>
    <row r="34" spans="2:8" ht="14" x14ac:dyDescent="0.3">
      <c r="B34" s="4" t="s">
        <v>125</v>
      </c>
      <c r="D34" s="30">
        <v>180</v>
      </c>
      <c r="E34" s="30">
        <v>180</v>
      </c>
      <c r="F34" s="30">
        <v>180</v>
      </c>
      <c r="G34" s="30">
        <v>180</v>
      </c>
      <c r="H34" s="30">
        <v>180</v>
      </c>
    </row>
    <row r="35" spans="2:8" ht="14" x14ac:dyDescent="0.3">
      <c r="B35" s="4" t="s">
        <v>126</v>
      </c>
      <c r="D35" s="30">
        <v>183</v>
      </c>
      <c r="E35" s="30">
        <v>183</v>
      </c>
      <c r="F35" s="30">
        <v>183</v>
      </c>
      <c r="G35" s="30">
        <v>183</v>
      </c>
      <c r="H35" s="30">
        <v>183</v>
      </c>
    </row>
    <row r="36" spans="2:8" ht="14" x14ac:dyDescent="0.3">
      <c r="B36" s="4" t="s">
        <v>127</v>
      </c>
      <c r="D36" s="30">
        <v>185</v>
      </c>
      <c r="E36" s="30">
        <v>185</v>
      </c>
      <c r="F36" s="30">
        <v>185</v>
      </c>
      <c r="G36" s="30">
        <v>185</v>
      </c>
      <c r="H36" s="30">
        <v>185</v>
      </c>
    </row>
    <row r="38" spans="2:8" ht="14" x14ac:dyDescent="0.3">
      <c r="B38" s="3" t="s">
        <v>198</v>
      </c>
    </row>
    <row r="39" spans="2:8" ht="14" x14ac:dyDescent="0.3">
      <c r="B39" s="4" t="s">
        <v>87</v>
      </c>
      <c r="D39" s="30">
        <v>171</v>
      </c>
      <c r="E39" s="30">
        <v>171</v>
      </c>
      <c r="F39" s="30">
        <v>171</v>
      </c>
      <c r="G39" s="30">
        <v>171</v>
      </c>
      <c r="H39" s="30">
        <v>171</v>
      </c>
    </row>
    <row r="40" spans="2:8" ht="14" x14ac:dyDescent="0.3">
      <c r="B40" s="4" t="s">
        <v>124</v>
      </c>
      <c r="D40" s="30">
        <v>174</v>
      </c>
      <c r="E40" s="30">
        <v>174</v>
      </c>
      <c r="F40" s="30">
        <v>174</v>
      </c>
      <c r="G40" s="30">
        <v>174</v>
      </c>
      <c r="H40" s="30">
        <v>174</v>
      </c>
    </row>
    <row r="41" spans="2:8" ht="14" x14ac:dyDescent="0.3">
      <c r="B41" s="4" t="s">
        <v>125</v>
      </c>
      <c r="D41" s="30">
        <v>171</v>
      </c>
      <c r="E41" s="30">
        <v>171</v>
      </c>
      <c r="F41" s="30">
        <v>171</v>
      </c>
      <c r="G41" s="30">
        <v>171</v>
      </c>
      <c r="H41" s="30">
        <v>171</v>
      </c>
    </row>
    <row r="42" spans="2:8" ht="14" x14ac:dyDescent="0.3">
      <c r="B42" s="4" t="s">
        <v>126</v>
      </c>
      <c r="D42" s="30">
        <v>168</v>
      </c>
      <c r="E42" s="30">
        <v>168</v>
      </c>
      <c r="F42" s="30">
        <v>168</v>
      </c>
      <c r="G42" s="30">
        <v>168</v>
      </c>
      <c r="H42" s="30">
        <v>168</v>
      </c>
    </row>
    <row r="43" spans="2:8" ht="14" x14ac:dyDescent="0.3">
      <c r="B43" s="4" t="s">
        <v>127</v>
      </c>
      <c r="D43" s="30">
        <v>166</v>
      </c>
      <c r="E43" s="30">
        <v>166</v>
      </c>
      <c r="F43" s="30">
        <v>166</v>
      </c>
      <c r="G43" s="30">
        <v>166</v>
      </c>
      <c r="H43" s="30">
        <v>166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199</v>
      </c>
    </row>
    <row r="3" spans="2:17" ht="14" x14ac:dyDescent="0.3">
      <c r="B3" s="1" t="s">
        <v>200</v>
      </c>
    </row>
    <row r="4" spans="2:17" ht="28" x14ac:dyDescent="0.3">
      <c r="B4" s="10" t="s">
        <v>3</v>
      </c>
      <c r="C4" s="10" t="s">
        <v>5</v>
      </c>
      <c r="D4" s="10" t="s">
        <v>201</v>
      </c>
      <c r="E4" s="10" t="s">
        <v>202</v>
      </c>
      <c r="F4" s="10" t="s">
        <v>203</v>
      </c>
      <c r="G4" s="10" t="s">
        <v>204</v>
      </c>
      <c r="H4" s="10" t="s">
        <v>205</v>
      </c>
      <c r="I4" s="10" t="s">
        <v>206</v>
      </c>
      <c r="J4" s="10" t="s">
        <v>207</v>
      </c>
      <c r="K4" s="10" t="s">
        <v>208</v>
      </c>
      <c r="L4" s="10" t="s">
        <v>209</v>
      </c>
      <c r="M4" s="10" t="s">
        <v>210</v>
      </c>
      <c r="N4" s="10" t="s">
        <v>211</v>
      </c>
      <c r="O4" s="10" t="s">
        <v>212</v>
      </c>
      <c r="P4" s="10" t="s">
        <v>213</v>
      </c>
      <c r="Q4" s="10" t="s">
        <v>214</v>
      </c>
    </row>
    <row r="5" spans="2:17" ht="14" x14ac:dyDescent="0.3">
      <c r="B5" s="4" t="s">
        <v>215</v>
      </c>
      <c r="C5" t="s">
        <v>216</v>
      </c>
      <c r="D5" s="37">
        <f>'Executive Summary'!C9*C23/1000000</f>
        <v>12077757.698376</v>
      </c>
      <c r="E5" s="37">
        <f>D5+C24</f>
        <v>12925310.698376</v>
      </c>
      <c r="F5" s="37">
        <v>3467675</v>
      </c>
      <c r="G5" s="37">
        <v>1049606</v>
      </c>
      <c r="H5" s="37">
        <v>853707</v>
      </c>
      <c r="I5" s="37">
        <v>510175</v>
      </c>
      <c r="J5" s="38">
        <f>IFERROR(E5/G5,"")</f>
        <v>12.314440559958689</v>
      </c>
      <c r="K5" s="38">
        <f>IFERROR(E5/F5,"")</f>
        <v>3.7273708459921995</v>
      </c>
      <c r="L5" s="38">
        <f>IFERROR(D5/I5,"")</f>
        <v>23.673754492823051</v>
      </c>
      <c r="M5" s="38">
        <f>IFERROR(D5/P5,"")</f>
        <v>2.9552130407755643</v>
      </c>
      <c r="N5" s="39">
        <f>IFERROR(H5/F5,"")</f>
        <v>0.24619002645865024</v>
      </c>
      <c r="O5" s="39">
        <f>IFERROR(I5/P5,"")</f>
        <v>0.12483077163241972</v>
      </c>
      <c r="P5" s="37">
        <v>4086933</v>
      </c>
    </row>
    <row r="6" spans="2:17" ht="14" x14ac:dyDescent="0.3">
      <c r="B6" s="4" t="s">
        <v>217</v>
      </c>
      <c r="C6" t="s">
        <v>218</v>
      </c>
      <c r="D6" s="37">
        <v>44284291</v>
      </c>
      <c r="E6" s="37">
        <v>51127572</v>
      </c>
      <c r="F6" s="37">
        <v>6327268</v>
      </c>
      <c r="G6" s="37">
        <v>2635168</v>
      </c>
      <c r="H6" s="37">
        <v>2324471</v>
      </c>
      <c r="I6" s="37">
        <v>1761449</v>
      </c>
      <c r="J6" s="38">
        <f>IFERROR(E6/G6,"")</f>
        <v>19.402016114342615</v>
      </c>
      <c r="K6" s="38">
        <f>IFERROR(E6/F6,"")</f>
        <v>8.080513106130482</v>
      </c>
      <c r="L6" s="38">
        <f>IFERROR(D6/I6,"")</f>
        <v>25.140830645678644</v>
      </c>
      <c r="M6" s="38">
        <f>IFERROR(D6/P6,"")</f>
        <v>-28.466451667645885</v>
      </c>
      <c r="N6" s="39">
        <f>IFERROR(H6/F6,"")</f>
        <v>0.36737356470438742</v>
      </c>
      <c r="O6" s="39">
        <f>IFERROR(I6/P6,"")</f>
        <v>-1.1322796795713219</v>
      </c>
      <c r="P6" s="37">
        <v>-1555666</v>
      </c>
    </row>
    <row r="7" spans="2:17" ht="14" x14ac:dyDescent="0.3">
      <c r="B7" s="4" t="s">
        <v>219</v>
      </c>
      <c r="C7" t="s">
        <v>220</v>
      </c>
      <c r="D7" s="37">
        <v>18708254</v>
      </c>
      <c r="E7" s="37">
        <v>25358202</v>
      </c>
      <c r="F7" s="37">
        <v>5393159</v>
      </c>
      <c r="G7" s="37">
        <v>2933280</v>
      </c>
      <c r="H7" s="37">
        <v>2455245</v>
      </c>
      <c r="I7" s="37">
        <v>1616684</v>
      </c>
      <c r="J7" s="38">
        <f>IFERROR(E7/G7,"")</f>
        <v>8.6449987727049589</v>
      </c>
      <c r="K7" s="38">
        <f>IFERROR(E7/F7,"")</f>
        <v>4.7019199693537681</v>
      </c>
      <c r="L7" s="38">
        <f>IFERROR(D7/I7,"")</f>
        <v>11.571991805448684</v>
      </c>
      <c r="M7" s="38">
        <f>IFERROR(D7/P7,"")</f>
        <v>1.8536531571521426</v>
      </c>
      <c r="N7" s="39">
        <f>IFERROR(H7/F7,"")</f>
        <v>0.4552517365054507</v>
      </c>
      <c r="O7" s="39">
        <f>IFERROR(I7/P7,"")</f>
        <v>0.16018445124367856</v>
      </c>
      <c r="P7" s="37">
        <v>10092640</v>
      </c>
    </row>
    <row r="8" spans="2:17" ht="14" x14ac:dyDescent="0.3">
      <c r="B8" s="4" t="s">
        <v>221</v>
      </c>
      <c r="C8" t="s">
        <v>222</v>
      </c>
      <c r="D8" s="37">
        <v>17902761</v>
      </c>
      <c r="E8" s="37">
        <v>21208201</v>
      </c>
      <c r="F8" s="37">
        <v>3134837</v>
      </c>
      <c r="G8" s="37">
        <v>1914774</v>
      </c>
      <c r="H8" s="37">
        <v>1873368</v>
      </c>
      <c r="I8" s="37">
        <v>1078257</v>
      </c>
      <c r="J8" s="38">
        <f>IFERROR(E8/G8,"")</f>
        <v>11.076085741711555</v>
      </c>
      <c r="K8" s="38">
        <f>IFERROR(E8/F8,"")</f>
        <v>6.7653281494380728</v>
      </c>
      <c r="L8" s="38">
        <f>IFERROR(D8/I8,"")</f>
        <v>16.603426641329477</v>
      </c>
      <c r="M8" s="38">
        <f>IFERROR(D8/P8,"")</f>
        <v>-32.841811267590131</v>
      </c>
      <c r="N8" s="39">
        <f>IFERROR(H8/F8,"")</f>
        <v>0.59759662145113124</v>
      </c>
      <c r="O8" s="39">
        <f>IFERROR(I8/P8,"")</f>
        <v>-1.9780140555949963</v>
      </c>
      <c r="P8" s="37">
        <v>-545121</v>
      </c>
    </row>
    <row r="9" spans="2:17" ht="14" x14ac:dyDescent="0.3">
      <c r="B9" s="4" t="s">
        <v>223</v>
      </c>
      <c r="C9" t="s">
        <v>224</v>
      </c>
      <c r="D9" s="37">
        <v>3962631</v>
      </c>
      <c r="E9" s="37">
        <v>5764633</v>
      </c>
      <c r="F9" s="37">
        <v>6774827</v>
      </c>
      <c r="G9" s="37">
        <v>899211</v>
      </c>
      <c r="H9" s="37">
        <v>734742</v>
      </c>
      <c r="I9" s="37">
        <v>436128</v>
      </c>
      <c r="J9" s="38">
        <f>IFERROR(E9/G9,"")</f>
        <v>6.4107678842896716</v>
      </c>
      <c r="K9" s="38">
        <f>IFERROR(E9/F9,"")</f>
        <v>0.85089006700835312</v>
      </c>
      <c r="L9" s="38">
        <f>IFERROR(D9/I9,"")</f>
        <v>9.0859357803213729</v>
      </c>
      <c r="M9" s="38">
        <f>IFERROR(D9/P9,"")</f>
        <v>3.9006995925687855</v>
      </c>
      <c r="N9" s="39">
        <f>IFERROR(H9/F9,"")</f>
        <v>0.10845177301206363</v>
      </c>
      <c r="O9" s="39">
        <f>IFERROR(I9/P9,"")</f>
        <v>0.42931181629272047</v>
      </c>
      <c r="P9" s="37">
        <v>1015877</v>
      </c>
    </row>
    <row r="14" spans="2:17" ht="14" x14ac:dyDescent="0.3">
      <c r="B14" s="3" t="s">
        <v>225</v>
      </c>
    </row>
    <row r="15" spans="2:17" ht="14" x14ac:dyDescent="0.3">
      <c r="B15" s="4" t="s">
        <v>226</v>
      </c>
      <c r="D15" s="38">
        <f t="shared" ref="D15:I15" si="0">PERCENTILE(J6:J9,0.25)</f>
        <v>8.0864410506011364</v>
      </c>
      <c r="E15" s="38">
        <f t="shared" si="0"/>
        <v>3.7391624937674144</v>
      </c>
      <c r="F15" s="38">
        <f t="shared" si="0"/>
        <v>10.950477799166856</v>
      </c>
      <c r="G15" s="38">
        <f t="shared" si="0"/>
        <v>-29.560291567631946</v>
      </c>
      <c r="H15" s="39">
        <f t="shared" si="0"/>
        <v>0.30264311678130645</v>
      </c>
      <c r="I15" s="39">
        <f t="shared" si="0"/>
        <v>-1.3437132735772406</v>
      </c>
    </row>
    <row r="16" spans="2:17" ht="14" x14ac:dyDescent="0.3">
      <c r="B16" s="4" t="s">
        <v>227</v>
      </c>
      <c r="D16" s="38">
        <f t="shared" ref="D16:I16" si="1">MEDIAN(J6:J9)</f>
        <v>9.8605422572082571</v>
      </c>
      <c r="E16" s="38">
        <f t="shared" si="1"/>
        <v>5.73362405939592</v>
      </c>
      <c r="F16" s="38">
        <f t="shared" si="1"/>
        <v>14.08770922338908</v>
      </c>
      <c r="G16" s="38">
        <f t="shared" si="1"/>
        <v>-13.306399255246872</v>
      </c>
      <c r="H16" s="39">
        <f t="shared" si="1"/>
        <v>0.41131265060491906</v>
      </c>
      <c r="I16" s="39">
        <f t="shared" si="1"/>
        <v>-0.4860476141638217</v>
      </c>
    </row>
    <row r="17" spans="2:9" ht="14" x14ac:dyDescent="0.3">
      <c r="B17" s="4" t="s">
        <v>228</v>
      </c>
      <c r="D17" s="38">
        <f t="shared" ref="D17:I17" si="2">PERCENTILE(J6:J9,0.75)</f>
        <v>13.157568334869321</v>
      </c>
      <c r="E17" s="38">
        <f t="shared" si="2"/>
        <v>7.0941243886111751</v>
      </c>
      <c r="F17" s="38">
        <f t="shared" si="2"/>
        <v>18.73777764241677</v>
      </c>
      <c r="G17" s="38">
        <f t="shared" si="2"/>
        <v>2.3654147660063032</v>
      </c>
      <c r="H17" s="39">
        <f t="shared" si="2"/>
        <v>0.49083795774187083</v>
      </c>
      <c r="I17" s="39">
        <f t="shared" si="2"/>
        <v>0.22746629250593903</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1059308</v>
      </c>
    </row>
    <row r="22" spans="2:9" ht="14" x14ac:dyDescent="0.3">
      <c r="B22" s="4" t="s">
        <v>232</v>
      </c>
      <c r="C22" s="5">
        <v>510175</v>
      </c>
    </row>
    <row r="23" spans="2:9" ht="14" x14ac:dyDescent="0.3">
      <c r="B23" s="4" t="s">
        <v>233</v>
      </c>
      <c r="C23" s="15">
        <v>1775357592</v>
      </c>
    </row>
    <row r="24" spans="2:9" ht="14" x14ac:dyDescent="0.3">
      <c r="B24" s="4" t="s">
        <v>76</v>
      </c>
      <c r="C24" s="5">
        <v>847553</v>
      </c>
    </row>
    <row r="26" spans="2:9" ht="14" x14ac:dyDescent="0.3">
      <c r="B26" s="3" t="s">
        <v>234</v>
      </c>
    </row>
    <row r="27" spans="2:9" ht="14" x14ac:dyDescent="0.3">
      <c r="B27" s="4" t="s">
        <v>235</v>
      </c>
      <c r="C27" s="24">
        <f>ROUND((C21*D16-C24)*1000000/C23,0)</f>
        <v>5406</v>
      </c>
    </row>
    <row r="28" spans="2:9" ht="14" x14ac:dyDescent="0.3">
      <c r="B28" s="4" t="s">
        <v>236</v>
      </c>
      <c r="C28" s="24">
        <f>ROUND(C22*F16*1000000/C23,0)</f>
        <v>4048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7.3738086339002057E-2</v>
      </c>
      <c r="E3" s="4" t="s">
        <v>239</v>
      </c>
      <c r="F3" s="16">
        <f>'DCF Model'!C13</f>
        <v>0.01</v>
      </c>
      <c r="H3" s="4" t="s">
        <v>240</v>
      </c>
      <c r="I3" s="14">
        <f>'DCF Model'!C14</f>
        <v>9.9</v>
      </c>
    </row>
    <row r="5" spans="2:9" ht="14" x14ac:dyDescent="0.3">
      <c r="B5" s="3" t="s">
        <v>241</v>
      </c>
    </row>
    <row r="6" spans="2:9" ht="14" x14ac:dyDescent="0.3">
      <c r="B6" s="40" t="s">
        <v>242</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5.8738086339002057E-2</v>
      </c>
      <c r="C7" s="37">
        <f>IFERROR(ROUND(('DCF Model'!C45/(1+$B7)^('DCF Model'!C19+0)+'DCF Model'!D45/(1+$B7)^('DCF Model'!C19+1)+'DCF Model'!E45/(1+$B7)^('DCF Model'!C19+2)+'DCF Model'!F45/(1+$B7)^('DCF Model'!C19+3)+'DCF Model'!G45/(1+$B7)^('DCF Model'!C19+4)+'DCF Model'!G45*(1+C$6)/($B7-C$6)/(1+$B7)^('DCF Model'!C19+4)-'DCF Model'!C16)*1000000/'DCF Model'!C15,0),"")</f>
        <v>6860</v>
      </c>
      <c r="D7" s="37">
        <f>IFERROR(ROUND(('DCF Model'!C45/(1+$B7)^('DCF Model'!C19+0)+'DCF Model'!D45/(1+$B7)^('DCF Model'!C19+1)+'DCF Model'!E45/(1+$B7)^('DCF Model'!C19+2)+'DCF Model'!F45/(1+$B7)^('DCF Model'!C19+3)+'DCF Model'!G45/(1+$B7)^('DCF Model'!C19+4)+'DCF Model'!G45*(1+D$6)/($B7-D$6)/(1+$B7)^('DCF Model'!C19+4)-'DCF Model'!C16)*1000000/'DCF Model'!C15,0),"")</f>
        <v>7136</v>
      </c>
      <c r="E7" s="37">
        <f>IFERROR(ROUND(('DCF Model'!C45/(1+$B7)^('DCF Model'!C19+0)+'DCF Model'!D45/(1+$B7)^('DCF Model'!C19+1)+'DCF Model'!E45/(1+$B7)^('DCF Model'!C19+2)+'DCF Model'!F45/(1+$B7)^('DCF Model'!C19+3)+'DCF Model'!G45/(1+$B7)^('DCF Model'!C19+4)+'DCF Model'!G45*(1+E$6)/($B7-E$6)/(1+$B7)^('DCF Model'!C19+4)-'DCF Model'!C16)*1000000/'DCF Model'!C15,0),"")</f>
        <v>7439</v>
      </c>
      <c r="F7" s="37">
        <f>IFERROR(ROUND(('DCF Model'!C45/(1+$B7)^('DCF Model'!C19+0)+'DCF Model'!D45/(1+$B7)^('DCF Model'!C19+1)+'DCF Model'!E45/(1+$B7)^('DCF Model'!C19+2)+'DCF Model'!F45/(1+$B7)^('DCF Model'!C19+3)+'DCF Model'!G45/(1+$B7)^('DCF Model'!C19+4)+'DCF Model'!G45*(1+F$6)/($B7-F$6)/(1+$B7)^('DCF Model'!C19+4)-'DCF Model'!C16)*1000000/'DCF Model'!C15,0),"")</f>
        <v>7774</v>
      </c>
      <c r="G7" s="37">
        <f>IFERROR(ROUND(('DCF Model'!C45/(1+$B7)^('DCF Model'!C19+0)+'DCF Model'!D45/(1+$B7)^('DCF Model'!C19+1)+'DCF Model'!E45/(1+$B7)^('DCF Model'!C19+2)+'DCF Model'!F45/(1+$B7)^('DCF Model'!C19+3)+'DCF Model'!G45/(1+$B7)^('DCF Model'!C19+4)+'DCF Model'!G45*(1+G$6)/($B7-G$6)/(1+$B7)^('DCF Model'!C19+4)-'DCF Model'!C16)*1000000/'DCF Model'!C15,0),"")</f>
        <v>8144</v>
      </c>
      <c r="H7" s="37">
        <f>IFERROR(ROUND(('DCF Model'!C45/(1+$B7)^('DCF Model'!C19+0)+'DCF Model'!D45/(1+$B7)^('DCF Model'!C19+1)+'DCF Model'!E45/(1+$B7)^('DCF Model'!C19+2)+'DCF Model'!F45/(1+$B7)^('DCF Model'!C19+3)+'DCF Model'!G45/(1+$B7)^('DCF Model'!C19+4)+'DCF Model'!G45*(1+H$6)/($B7-H$6)/(1+$B7)^('DCF Model'!C19+4)-'DCF Model'!C16)*1000000/'DCF Model'!C15,0),"")</f>
        <v>8557</v>
      </c>
      <c r="I7" s="37">
        <f>IFERROR(ROUND(('DCF Model'!C45/(1+$B7)^('DCF Model'!C19+0)+'DCF Model'!D45/(1+$B7)^('DCF Model'!C19+1)+'DCF Model'!E45/(1+$B7)^('DCF Model'!C19+2)+'DCF Model'!F45/(1+$B7)^('DCF Model'!C19+3)+'DCF Model'!G45/(1+$B7)^('DCF Model'!C19+4)+'DCF Model'!G45*(1+I$6)/($B7-I$6)/(1+$B7)^('DCF Model'!C19+4)-'DCF Model'!C16)*1000000/'DCF Model'!C15,0),"")</f>
        <v>9020</v>
      </c>
    </row>
    <row r="8" spans="2:9" ht="13.5" x14ac:dyDescent="0.25">
      <c r="B8" s="39">
        <f>$C$3-0.01</f>
        <v>6.3738086339002062E-2</v>
      </c>
      <c r="C8" s="37">
        <f>IFERROR(ROUND(('DCF Model'!C45/(1+$B8)^('DCF Model'!C19+0)+'DCF Model'!D45/(1+$B8)^('DCF Model'!C19+1)+'DCF Model'!E45/(1+$B8)^('DCF Model'!C19+2)+'DCF Model'!F45/(1+$B8)^('DCF Model'!C19+3)+'DCF Model'!G45/(1+$B8)^('DCF Model'!C19+4)+'DCF Model'!G45*(1+C$6)/($B8-C$6)/(1+$B8)^('DCF Model'!C19+4)-'DCF Model'!C16)*1000000/'DCF Model'!C15,0),"")</f>
        <v>6258</v>
      </c>
      <c r="D8" s="37">
        <f>IFERROR(ROUND(('DCF Model'!C45/(1+$B8)^('DCF Model'!C19+0)+'DCF Model'!D45/(1+$B8)^('DCF Model'!C19+1)+'DCF Model'!E45/(1+$B8)^('DCF Model'!C19+2)+'DCF Model'!F45/(1+$B8)^('DCF Model'!C19+3)+'DCF Model'!G45/(1+$B8)^('DCF Model'!C19+4)+'DCF Model'!G45*(1+D$6)/($B8-D$6)/(1+$B8)^('DCF Model'!C19+4)-'DCF Model'!C16)*1000000/'DCF Model'!C15,0),"")</f>
        <v>6486</v>
      </c>
      <c r="E8" s="37">
        <f>IFERROR(ROUND(('DCF Model'!C45/(1+$B8)^('DCF Model'!C19+0)+'DCF Model'!D45/(1+$B8)^('DCF Model'!C19+1)+'DCF Model'!E45/(1+$B8)^('DCF Model'!C19+2)+'DCF Model'!F45/(1+$B8)^('DCF Model'!C19+3)+'DCF Model'!G45/(1+$B8)^('DCF Model'!C19+4)+'DCF Model'!G45*(1+E$6)/($B8-E$6)/(1+$B8)^('DCF Model'!C19+4)-'DCF Model'!C16)*1000000/'DCF Model'!C15,0),"")</f>
        <v>6734</v>
      </c>
      <c r="F8" s="37">
        <f>IFERROR(ROUND(('DCF Model'!C45/(1+$B8)^('DCF Model'!C19+0)+'DCF Model'!D45/(1+$B8)^('DCF Model'!C19+1)+'DCF Model'!E45/(1+$B8)^('DCF Model'!C19+2)+'DCF Model'!F45/(1+$B8)^('DCF Model'!C19+3)+'DCF Model'!G45/(1+$B8)^('DCF Model'!C19+4)+'DCF Model'!G45*(1+F$6)/($B8-F$6)/(1+$B8)^('DCF Model'!C19+4)-'DCF Model'!C16)*1000000/'DCF Model'!C15,0),"")</f>
        <v>7005</v>
      </c>
      <c r="G8" s="37">
        <f>IFERROR(ROUND(('DCF Model'!C45/(1+$B8)^('DCF Model'!C19+0)+'DCF Model'!D45/(1+$B8)^('DCF Model'!C19+1)+'DCF Model'!E45/(1+$B8)^('DCF Model'!C19+2)+'DCF Model'!F45/(1+$B8)^('DCF Model'!C19+3)+'DCF Model'!G45/(1+$B8)^('DCF Model'!C19+4)+'DCF Model'!G45*(1+G$6)/($B8-G$6)/(1+$B8)^('DCF Model'!C19+4)-'DCF Model'!C16)*1000000/'DCF Model'!C15,0),"")</f>
        <v>7302</v>
      </c>
      <c r="H8" s="37">
        <f>IFERROR(ROUND(('DCF Model'!C45/(1+$B8)^('DCF Model'!C19+0)+'DCF Model'!D45/(1+$B8)^('DCF Model'!C19+1)+'DCF Model'!E45/(1+$B8)^('DCF Model'!C19+2)+'DCF Model'!F45/(1+$B8)^('DCF Model'!C19+3)+'DCF Model'!G45/(1+$B8)^('DCF Model'!C19+4)+'DCF Model'!G45*(1+H$6)/($B8-H$6)/(1+$B8)^('DCF Model'!C19+4)-'DCF Model'!C16)*1000000/'DCF Model'!C15,0),"")</f>
        <v>7631</v>
      </c>
      <c r="I8" s="37">
        <f>IFERROR(ROUND(('DCF Model'!C45/(1+$B8)^('DCF Model'!C19+0)+'DCF Model'!D45/(1+$B8)^('DCF Model'!C19+1)+'DCF Model'!E45/(1+$B8)^('DCF Model'!C19+2)+'DCF Model'!F45/(1+$B8)^('DCF Model'!C19+3)+'DCF Model'!G45/(1+$B8)^('DCF Model'!C19+4)+'DCF Model'!G45*(1+I$6)/($B8-I$6)/(1+$B8)^('DCF Model'!C19+4)-'DCF Model'!C16)*1000000/'DCF Model'!C15,0),"")</f>
        <v>7994</v>
      </c>
    </row>
    <row r="9" spans="2:9" ht="13.5" x14ac:dyDescent="0.25">
      <c r="B9" s="39">
        <f>$C$3-0.005</f>
        <v>6.8738086339002052E-2</v>
      </c>
      <c r="C9" s="37">
        <f>IFERROR(ROUND(('DCF Model'!C45/(1+$B9)^('DCF Model'!C19+0)+'DCF Model'!D45/(1+$B9)^('DCF Model'!C19+1)+'DCF Model'!E45/(1+$B9)^('DCF Model'!C19+2)+'DCF Model'!F45/(1+$B9)^('DCF Model'!C19+3)+'DCF Model'!G45/(1+$B9)^('DCF Model'!C19+4)+'DCF Model'!G45*(1+C$6)/($B9-C$6)/(1+$B9)^('DCF Model'!C19+4)-'DCF Model'!C16)*1000000/'DCF Model'!C15,0),"")</f>
        <v>5747</v>
      </c>
      <c r="D9" s="37">
        <f>IFERROR(ROUND(('DCF Model'!C45/(1+$B9)^('DCF Model'!C19+0)+'DCF Model'!D45/(1+$B9)^('DCF Model'!C19+1)+'DCF Model'!E45/(1+$B9)^('DCF Model'!C19+2)+'DCF Model'!F45/(1+$B9)^('DCF Model'!C19+3)+'DCF Model'!G45/(1+$B9)^('DCF Model'!C19+4)+'DCF Model'!G45*(1+D$6)/($B9-D$6)/(1+$B9)^('DCF Model'!C19+4)-'DCF Model'!C16)*1000000/'DCF Model'!C15,0),"")</f>
        <v>5938</v>
      </c>
      <c r="E9" s="37">
        <f>IFERROR(ROUND(('DCF Model'!C45/(1+$B9)^('DCF Model'!C19+0)+'DCF Model'!D45/(1+$B9)^('DCF Model'!C19+1)+'DCF Model'!E45/(1+$B9)^('DCF Model'!C19+2)+'DCF Model'!F45/(1+$B9)^('DCF Model'!C19+3)+'DCF Model'!G45/(1+$B9)^('DCF Model'!C19+4)+'DCF Model'!G45*(1+E$6)/($B9-E$6)/(1+$B9)^('DCF Model'!C19+4)-'DCF Model'!C16)*1000000/'DCF Model'!C15,0),"")</f>
        <v>6144</v>
      </c>
      <c r="F9" s="37">
        <f>IFERROR(ROUND(('DCF Model'!C45/(1+$B9)^('DCF Model'!C19+0)+'DCF Model'!D45/(1+$B9)^('DCF Model'!C19+1)+'DCF Model'!E45/(1+$B9)^('DCF Model'!C19+2)+'DCF Model'!F45/(1+$B9)^('DCF Model'!C19+3)+'DCF Model'!G45/(1+$B9)^('DCF Model'!C19+4)+'DCF Model'!G45*(1+F$6)/($B9-F$6)/(1+$B9)^('DCF Model'!C19+4)-'DCF Model'!C16)*1000000/'DCF Model'!C15,0),"")</f>
        <v>6367</v>
      </c>
      <c r="G9" s="37">
        <f>IFERROR(ROUND(('DCF Model'!C45/(1+$B9)^('DCF Model'!C19+0)+'DCF Model'!D45/(1+$B9)^('DCF Model'!C19+1)+'DCF Model'!E45/(1+$B9)^('DCF Model'!C19+2)+'DCF Model'!F45/(1+$B9)^('DCF Model'!C19+3)+'DCF Model'!G45/(1+$B9)^('DCF Model'!C19+4)+'DCF Model'!G45*(1+G$6)/($B9-G$6)/(1+$B9)^('DCF Model'!C19+4)-'DCF Model'!C16)*1000000/'DCF Model'!C15,0),"")</f>
        <v>6611</v>
      </c>
      <c r="H9" s="37">
        <f>IFERROR(ROUND(('DCF Model'!C45/(1+$B9)^('DCF Model'!C19+0)+'DCF Model'!D45/(1+$B9)^('DCF Model'!C19+1)+'DCF Model'!E45/(1+$B9)^('DCF Model'!C19+2)+'DCF Model'!F45/(1+$B9)^('DCF Model'!C19+3)+'DCF Model'!G45/(1+$B9)^('DCF Model'!C19+4)+'DCF Model'!G45*(1+H$6)/($B9-H$6)/(1+$B9)^('DCF Model'!C19+4)-'DCF Model'!C16)*1000000/'DCF Model'!C15,0),"")</f>
        <v>6877</v>
      </c>
      <c r="I9" s="37">
        <f>IFERROR(ROUND(('DCF Model'!C45/(1+$B9)^('DCF Model'!C19+0)+'DCF Model'!D45/(1+$B9)^('DCF Model'!C19+1)+'DCF Model'!E45/(1+$B9)^('DCF Model'!C19+2)+'DCF Model'!F45/(1+$B9)^('DCF Model'!C19+3)+'DCF Model'!G45/(1+$B9)^('DCF Model'!C19+4)+'DCF Model'!G45*(1+I$6)/($B9-I$6)/(1+$B9)^('DCF Model'!C19+4)-'DCF Model'!C16)*1000000/'DCF Model'!C15,0),"")</f>
        <v>7169</v>
      </c>
    </row>
    <row r="10" spans="2:9" ht="13.5" x14ac:dyDescent="0.25">
      <c r="B10" s="39">
        <f>$C$3</f>
        <v>7.3738086339002057E-2</v>
      </c>
      <c r="C10" s="37">
        <f>IFERROR(ROUND(('DCF Model'!C45/(1+$B10)^('DCF Model'!C19+0)+'DCF Model'!D45/(1+$B10)^('DCF Model'!C19+1)+'DCF Model'!E45/(1+$B10)^('DCF Model'!C19+2)+'DCF Model'!F45/(1+$B10)^('DCF Model'!C19+3)+'DCF Model'!G45/(1+$B10)^('DCF Model'!C19+4)+'DCF Model'!G45*(1+C$6)/($B10-C$6)/(1+$B10)^('DCF Model'!C19+4)-'DCF Model'!C16)*1000000/'DCF Model'!C15,0),"")</f>
        <v>5308</v>
      </c>
      <c r="D10" s="37">
        <f>IFERROR(ROUND(('DCF Model'!C45/(1+$B10)^('DCF Model'!C19+0)+'DCF Model'!D45/(1+$B10)^('DCF Model'!C19+1)+'DCF Model'!E45/(1+$B10)^('DCF Model'!C19+2)+'DCF Model'!F45/(1+$B10)^('DCF Model'!C19+3)+'DCF Model'!G45/(1+$B10)^('DCF Model'!C19+4)+'DCF Model'!G45*(1+D$6)/($B10-D$6)/(1+$B10)^('DCF Model'!C19+4)-'DCF Model'!C16)*1000000/'DCF Model'!C15,0),"")</f>
        <v>5470</v>
      </c>
      <c r="E10" s="37">
        <f>IFERROR(ROUND(('DCF Model'!C45/(1+$B10)^('DCF Model'!C19+0)+'DCF Model'!D45/(1+$B10)^('DCF Model'!C19+1)+'DCF Model'!E45/(1+$B10)^('DCF Model'!C19+2)+'DCF Model'!F45/(1+$B10)^('DCF Model'!C19+3)+'DCF Model'!G45/(1+$B10)^('DCF Model'!C19+4)+'DCF Model'!G45*(1+E$6)/($B10-E$6)/(1+$B10)^('DCF Model'!C19+4)-'DCF Model'!C16)*1000000/'DCF Model'!C15,0),"")</f>
        <v>5643</v>
      </c>
      <c r="F10" s="37">
        <f>IFERROR(ROUND(('DCF Model'!C45/(1+$B10)^('DCF Model'!C19+0)+'DCF Model'!D45/(1+$B10)^('DCF Model'!C19+1)+'DCF Model'!E45/(1+$B10)^('DCF Model'!C19+2)+'DCF Model'!F45/(1+$B10)^('DCF Model'!C19+3)+'DCF Model'!G45/(1+$B10)^('DCF Model'!C19+4)+'DCF Model'!G45*(1+F$6)/($B10-F$6)/(1+$B10)^('DCF Model'!C19+4)-'DCF Model'!C16)*1000000/'DCF Model'!C15,0),"")</f>
        <v>5830</v>
      </c>
      <c r="G10" s="37">
        <f>IFERROR(ROUND(('DCF Model'!C45/(1+$B10)^('DCF Model'!C19+0)+'DCF Model'!D45/(1+$B10)^('DCF Model'!C19+1)+'DCF Model'!E45/(1+$B10)^('DCF Model'!C19+2)+'DCF Model'!F45/(1+$B10)^('DCF Model'!C19+3)+'DCF Model'!G45/(1+$B10)^('DCF Model'!C19+4)+'DCF Model'!G45*(1+G$6)/($B10-G$6)/(1+$B10)^('DCF Model'!C19+4)-'DCF Model'!C16)*1000000/'DCF Model'!C15,0),"")</f>
        <v>6032</v>
      </c>
      <c r="H10" s="37">
        <f>IFERROR(ROUND(('DCF Model'!C45/(1+$B10)^('DCF Model'!C19+0)+'DCF Model'!D45/(1+$B10)^('DCF Model'!C19+1)+'DCF Model'!E45/(1+$B10)^('DCF Model'!C19+2)+'DCF Model'!F45/(1+$B10)^('DCF Model'!C19+3)+'DCF Model'!G45/(1+$B10)^('DCF Model'!C19+4)+'DCF Model'!G45*(1+H$6)/($B10-H$6)/(1+$B10)^('DCF Model'!C19+4)-'DCF Model'!C16)*1000000/'DCF Model'!C15,0),"")</f>
        <v>6251</v>
      </c>
      <c r="I10" s="37">
        <f>IFERROR(ROUND(('DCF Model'!C45/(1+$B10)^('DCF Model'!C19+0)+'DCF Model'!D45/(1+$B10)^('DCF Model'!C19+1)+'DCF Model'!E45/(1+$B10)^('DCF Model'!C19+2)+'DCF Model'!F45/(1+$B10)^('DCF Model'!C19+3)+'DCF Model'!G45/(1+$B10)^('DCF Model'!C19+4)+'DCF Model'!G45*(1+I$6)/($B10-I$6)/(1+$B10)^('DCF Model'!C19+4)-'DCF Model'!C16)*1000000/'DCF Model'!C15,0),"")</f>
        <v>6490</v>
      </c>
    </row>
    <row r="11" spans="2:9" ht="13.5" x14ac:dyDescent="0.25">
      <c r="B11" s="39">
        <f>$C$3+0.005</f>
        <v>7.8738086339002061E-2</v>
      </c>
      <c r="C11" s="37">
        <f>IFERROR(ROUND(('DCF Model'!C45/(1+$B11)^('DCF Model'!C19+0)+'DCF Model'!D45/(1+$B11)^('DCF Model'!C19+1)+'DCF Model'!E45/(1+$B11)^('DCF Model'!C19+2)+'DCF Model'!F45/(1+$B11)^('DCF Model'!C19+3)+'DCF Model'!G45/(1+$B11)^('DCF Model'!C19+4)+'DCF Model'!G45*(1+C$6)/($B11-C$6)/(1+$B11)^('DCF Model'!C19+4)-'DCF Model'!C16)*1000000/'DCF Model'!C15,0),"")</f>
        <v>4927</v>
      </c>
      <c r="D11" s="37">
        <f>IFERROR(ROUND(('DCF Model'!C45/(1+$B11)^('DCF Model'!C19+0)+'DCF Model'!D45/(1+$B11)^('DCF Model'!C19+1)+'DCF Model'!E45/(1+$B11)^('DCF Model'!C19+2)+'DCF Model'!F45/(1+$B11)^('DCF Model'!C19+3)+'DCF Model'!G45/(1+$B11)^('DCF Model'!C19+4)+'DCF Model'!G45*(1+D$6)/($B11-D$6)/(1+$B11)^('DCF Model'!C19+4)-'DCF Model'!C16)*1000000/'DCF Model'!C15,0),"")</f>
        <v>5065</v>
      </c>
      <c r="E11" s="37">
        <f>IFERROR(ROUND(('DCF Model'!C45/(1+$B11)^('DCF Model'!C19+0)+'DCF Model'!D45/(1+$B11)^('DCF Model'!C19+1)+'DCF Model'!E45/(1+$B11)^('DCF Model'!C19+2)+'DCF Model'!F45/(1+$B11)^('DCF Model'!C19+3)+'DCF Model'!G45/(1+$B11)^('DCF Model'!C19+4)+'DCF Model'!G45*(1+E$6)/($B11-E$6)/(1+$B11)^('DCF Model'!C19+4)-'DCF Model'!C16)*1000000/'DCF Model'!C15,0),"")</f>
        <v>5212</v>
      </c>
      <c r="F11" s="37">
        <f>IFERROR(ROUND(('DCF Model'!C45/(1+$B11)^('DCF Model'!C19+0)+'DCF Model'!D45/(1+$B11)^('DCF Model'!C19+1)+'DCF Model'!E45/(1+$B11)^('DCF Model'!C19+2)+'DCF Model'!F45/(1+$B11)^('DCF Model'!C19+3)+'DCF Model'!G45/(1+$B11)^('DCF Model'!C19+4)+'DCF Model'!G45*(1+F$6)/($B11-F$6)/(1+$B11)^('DCF Model'!C19+4)-'DCF Model'!C16)*1000000/'DCF Model'!C15,0),"")</f>
        <v>5371</v>
      </c>
      <c r="G11" s="37">
        <f>IFERROR(ROUND(('DCF Model'!C45/(1+$B11)^('DCF Model'!C19+0)+'DCF Model'!D45/(1+$B11)^('DCF Model'!C19+1)+'DCF Model'!E45/(1+$B11)^('DCF Model'!C19+2)+'DCF Model'!F45/(1+$B11)^('DCF Model'!C19+3)+'DCF Model'!G45/(1+$B11)^('DCF Model'!C19+4)+'DCF Model'!G45*(1+G$6)/($B11-G$6)/(1+$B11)^('DCF Model'!C19+4)-'DCF Model'!C16)*1000000/'DCF Model'!C15,0),"")</f>
        <v>5541</v>
      </c>
      <c r="H11" s="37">
        <f>IFERROR(ROUND(('DCF Model'!C45/(1+$B11)^('DCF Model'!C19+0)+'DCF Model'!D45/(1+$B11)^('DCF Model'!C19+1)+'DCF Model'!E45/(1+$B11)^('DCF Model'!C19+2)+'DCF Model'!F45/(1+$B11)^('DCF Model'!C19+3)+'DCF Model'!G45/(1+$B11)^('DCF Model'!C19+4)+'DCF Model'!G45*(1+H$6)/($B11-H$6)/(1+$B11)^('DCF Model'!C19+4)-'DCF Model'!C16)*1000000/'DCF Model'!C15,0),"")</f>
        <v>5724</v>
      </c>
      <c r="I11" s="37">
        <f>IFERROR(ROUND(('DCF Model'!C45/(1+$B11)^('DCF Model'!C19+0)+'DCF Model'!D45/(1+$B11)^('DCF Model'!C19+1)+'DCF Model'!E45/(1+$B11)^('DCF Model'!C19+2)+'DCF Model'!F45/(1+$B11)^('DCF Model'!C19+3)+'DCF Model'!G45/(1+$B11)^('DCF Model'!C19+4)+'DCF Model'!G45*(1+I$6)/($B11-I$6)/(1+$B11)^('DCF Model'!C19+4)-'DCF Model'!C16)*1000000/'DCF Model'!C15,0),"")</f>
        <v>5923</v>
      </c>
    </row>
    <row r="12" spans="2:9" ht="13.5" x14ac:dyDescent="0.25">
      <c r="B12" s="39">
        <f>$C$3+0.01</f>
        <v>8.3738086339002052E-2</v>
      </c>
      <c r="C12" s="37">
        <f>IFERROR(ROUND(('DCF Model'!C45/(1+$B12)^('DCF Model'!C19+0)+'DCF Model'!D45/(1+$B12)^('DCF Model'!C19+1)+'DCF Model'!E45/(1+$B12)^('DCF Model'!C19+2)+'DCF Model'!F45/(1+$B12)^('DCF Model'!C19+3)+'DCF Model'!G45/(1+$B12)^('DCF Model'!C19+4)+'DCF Model'!G45*(1+C$6)/($B12-C$6)/(1+$B12)^('DCF Model'!C19+4)-'DCF Model'!C16)*1000000/'DCF Model'!C15,0),"")</f>
        <v>4593</v>
      </c>
      <c r="D12" s="37">
        <f>IFERROR(ROUND(('DCF Model'!C45/(1+$B12)^('DCF Model'!C19+0)+'DCF Model'!D45/(1+$B12)^('DCF Model'!C19+1)+'DCF Model'!E45/(1+$B12)^('DCF Model'!C19+2)+'DCF Model'!F45/(1+$B12)^('DCF Model'!C19+3)+'DCF Model'!G45/(1+$B12)^('DCF Model'!C19+4)+'DCF Model'!G45*(1+D$6)/($B12-D$6)/(1+$B12)^('DCF Model'!C19+4)-'DCF Model'!C16)*1000000/'DCF Model'!C15,0),"")</f>
        <v>4712</v>
      </c>
      <c r="E12" s="37">
        <f>IFERROR(ROUND(('DCF Model'!C45/(1+$B12)^('DCF Model'!C19+0)+'DCF Model'!D45/(1+$B12)^('DCF Model'!C19+1)+'DCF Model'!E45/(1+$B12)^('DCF Model'!C19+2)+'DCF Model'!F45/(1+$B12)^('DCF Model'!C19+3)+'DCF Model'!G45/(1+$B12)^('DCF Model'!C19+4)+'DCF Model'!G45*(1+E$6)/($B12-E$6)/(1+$B12)^('DCF Model'!C19+4)-'DCF Model'!C16)*1000000/'DCF Model'!C15,0),"")</f>
        <v>4838</v>
      </c>
      <c r="F12" s="37">
        <f>IFERROR(ROUND(('DCF Model'!C45/(1+$B12)^('DCF Model'!C19+0)+'DCF Model'!D45/(1+$B12)^('DCF Model'!C19+1)+'DCF Model'!E45/(1+$B12)^('DCF Model'!C19+2)+'DCF Model'!F45/(1+$B12)^('DCF Model'!C19+3)+'DCF Model'!G45/(1+$B12)^('DCF Model'!C19+4)+'DCF Model'!G45*(1+F$6)/($B12-F$6)/(1+$B12)^('DCF Model'!C19+4)-'DCF Model'!C16)*1000000/'DCF Model'!C15,0),"")</f>
        <v>4974</v>
      </c>
      <c r="G12" s="37">
        <f>IFERROR(ROUND(('DCF Model'!C45/(1+$B12)^('DCF Model'!C19+0)+'DCF Model'!D45/(1+$B12)^('DCF Model'!C19+1)+'DCF Model'!E45/(1+$B12)^('DCF Model'!C19+2)+'DCF Model'!F45/(1+$B12)^('DCF Model'!C19+3)+'DCF Model'!G45/(1+$B12)^('DCF Model'!C19+4)+'DCF Model'!G45*(1+G$6)/($B12-G$6)/(1+$B12)^('DCF Model'!C19+4)-'DCF Model'!C16)*1000000/'DCF Model'!C15,0),"")</f>
        <v>5118</v>
      </c>
      <c r="H12" s="37">
        <f>IFERROR(ROUND(('DCF Model'!C45/(1+$B12)^('DCF Model'!C19+0)+'DCF Model'!D45/(1+$B12)^('DCF Model'!C19+1)+'DCF Model'!E45/(1+$B12)^('DCF Model'!C19+2)+'DCF Model'!F45/(1+$B12)^('DCF Model'!C19+3)+'DCF Model'!G45/(1+$B12)^('DCF Model'!C19+4)+'DCF Model'!G45*(1+H$6)/($B12-H$6)/(1+$B12)^('DCF Model'!C19+4)-'DCF Model'!C16)*1000000/'DCF Model'!C15,0),"")</f>
        <v>5274</v>
      </c>
      <c r="I12" s="37">
        <f>IFERROR(ROUND(('DCF Model'!C45/(1+$B12)^('DCF Model'!C19+0)+'DCF Model'!D45/(1+$B12)^('DCF Model'!C19+1)+'DCF Model'!E45/(1+$B12)^('DCF Model'!C19+2)+'DCF Model'!F45/(1+$B12)^('DCF Model'!C19+3)+'DCF Model'!G45/(1+$B12)^('DCF Model'!C19+4)+'DCF Model'!G45*(1+I$6)/($B12-I$6)/(1+$B12)^('DCF Model'!C19+4)-'DCF Model'!C16)*1000000/'DCF Model'!C15,0),"")</f>
        <v>5441</v>
      </c>
    </row>
    <row r="13" spans="2:9" ht="13.5" x14ac:dyDescent="0.25">
      <c r="B13" s="39">
        <f>$C$3+0.015</f>
        <v>8.8738086339002056E-2</v>
      </c>
      <c r="C13" s="37">
        <f>IFERROR(ROUND(('DCF Model'!C45/(1+$B13)^('DCF Model'!C19+0)+'DCF Model'!D45/(1+$B13)^('DCF Model'!C19+1)+'DCF Model'!E45/(1+$B13)^('DCF Model'!C19+2)+'DCF Model'!F45/(1+$B13)^('DCF Model'!C19+3)+'DCF Model'!G45/(1+$B13)^('DCF Model'!C19+4)+'DCF Model'!G45*(1+C$6)/($B13-C$6)/(1+$B13)^('DCF Model'!C19+4)-'DCF Model'!C16)*1000000/'DCF Model'!C15,0),"")</f>
        <v>4298</v>
      </c>
      <c r="D13" s="37">
        <f>IFERROR(ROUND(('DCF Model'!C45/(1+$B13)^('DCF Model'!C19+0)+'DCF Model'!D45/(1+$B13)^('DCF Model'!C19+1)+'DCF Model'!E45/(1+$B13)^('DCF Model'!C19+2)+'DCF Model'!F45/(1+$B13)^('DCF Model'!C19+3)+'DCF Model'!G45/(1+$B13)^('DCF Model'!C19+4)+'DCF Model'!G45*(1+D$6)/($B13-D$6)/(1+$B13)^('DCF Model'!C19+4)-'DCF Model'!C16)*1000000/'DCF Model'!C15,0),"")</f>
        <v>4401</v>
      </c>
      <c r="E13" s="37">
        <f>IFERROR(ROUND(('DCF Model'!C45/(1+$B13)^('DCF Model'!C19+0)+'DCF Model'!D45/(1+$B13)^('DCF Model'!C19+1)+'DCF Model'!E45/(1+$B13)^('DCF Model'!C19+2)+'DCF Model'!F45/(1+$B13)^('DCF Model'!C19+3)+'DCF Model'!G45/(1+$B13)^('DCF Model'!C19+4)+'DCF Model'!G45*(1+E$6)/($B13-E$6)/(1+$B13)^('DCF Model'!C19+4)-'DCF Model'!C16)*1000000/'DCF Model'!C15,0),"")</f>
        <v>4511</v>
      </c>
      <c r="F13" s="37">
        <f>IFERROR(ROUND(('DCF Model'!C45/(1+$B13)^('DCF Model'!C19+0)+'DCF Model'!D45/(1+$B13)^('DCF Model'!C19+1)+'DCF Model'!E45/(1+$B13)^('DCF Model'!C19+2)+'DCF Model'!F45/(1+$B13)^('DCF Model'!C19+3)+'DCF Model'!G45/(1+$B13)^('DCF Model'!C19+4)+'DCF Model'!G45*(1+F$6)/($B13-F$6)/(1+$B13)^('DCF Model'!C19+4)-'DCF Model'!C16)*1000000/'DCF Model'!C15,0),"")</f>
        <v>4627</v>
      </c>
      <c r="G13" s="37">
        <f>IFERROR(ROUND(('DCF Model'!C45/(1+$B13)^('DCF Model'!C19+0)+'DCF Model'!D45/(1+$B13)^('DCF Model'!C19+1)+'DCF Model'!E45/(1+$B13)^('DCF Model'!C19+2)+'DCF Model'!F45/(1+$B13)^('DCF Model'!C19+3)+'DCF Model'!G45/(1+$B13)^('DCF Model'!C19+4)+'DCF Model'!G45*(1+G$6)/($B13-G$6)/(1+$B13)^('DCF Model'!C19+4)-'DCF Model'!C16)*1000000/'DCF Model'!C15,0),"")</f>
        <v>4752</v>
      </c>
      <c r="H13" s="37">
        <f>IFERROR(ROUND(('DCF Model'!C45/(1+$B13)^('DCF Model'!C19+0)+'DCF Model'!D45/(1+$B13)^('DCF Model'!C19+1)+'DCF Model'!E45/(1+$B13)^('DCF Model'!C19+2)+'DCF Model'!F45/(1+$B13)^('DCF Model'!C19+3)+'DCF Model'!G45/(1+$B13)^('DCF Model'!C19+4)+'DCF Model'!G45*(1+H$6)/($B13-H$6)/(1+$B13)^('DCF Model'!C19+4)-'DCF Model'!C16)*1000000/'DCF Model'!C15,0),"")</f>
        <v>4884</v>
      </c>
      <c r="I13" s="37">
        <f>IFERROR(ROUND(('DCF Model'!C45/(1+$B13)^('DCF Model'!C19+0)+'DCF Model'!D45/(1+$B13)^('DCF Model'!C19+1)+'DCF Model'!E45/(1+$B13)^('DCF Model'!C19+2)+'DCF Model'!F45/(1+$B13)^('DCF Model'!C19+3)+'DCF Model'!G45/(1+$B13)^('DCF Model'!C19+4)+'DCF Model'!G45*(1+I$6)/($B13-I$6)/(1+$B13)^('DCF Model'!C19+4)-'DCF Model'!C16)*1000000/'DCF Model'!C15,0),"")</f>
        <v>5027</v>
      </c>
    </row>
    <row r="16" spans="2:9" ht="14" x14ac:dyDescent="0.3">
      <c r="B16" s="3" t="s">
        <v>243</v>
      </c>
    </row>
    <row r="17" spans="2:9" ht="14" x14ac:dyDescent="0.3">
      <c r="B17" s="40" t="s">
        <v>244</v>
      </c>
      <c r="C17" s="42">
        <f>$I$3-3</f>
        <v>6.9</v>
      </c>
      <c r="D17" s="42">
        <f>$I$3-2</f>
        <v>7.9</v>
      </c>
      <c r="E17" s="42">
        <f>$I$3-1</f>
        <v>8.9</v>
      </c>
      <c r="F17" s="42">
        <f>$I$3</f>
        <v>9.9</v>
      </c>
      <c r="G17" s="42">
        <f>$I$3+1</f>
        <v>10.9</v>
      </c>
      <c r="H17" s="42">
        <f>$I$3+2</f>
        <v>11.9</v>
      </c>
      <c r="I17" s="42">
        <f>$I$3+3</f>
        <v>12.9</v>
      </c>
    </row>
    <row r="18" spans="2:9" ht="13.5" x14ac:dyDescent="0.25">
      <c r="B18" s="39">
        <f>$C$3-0.015</f>
        <v>5.8738086339002057E-2</v>
      </c>
      <c r="C18" s="37">
        <f>IFERROR(ROUND(('DCF Model'!C45/(1+$B18)^('DCF Model'!C19+0)+'DCF Model'!D45/(1+$B18)^('DCF Model'!C19+1)+'DCF Model'!E45/(1+$B18)^('DCF Model'!C19+2)+'DCF Model'!F45/(1+$B18)^('DCF Model'!C19+3)+'DCF Model'!G45/(1+$B18)^('DCF Model'!C19+4)+('DCF Model'!G39+'DCF Model'!G42)*C$17/(1+$B18)^('DCF Model'!C19+4)-'DCF Model'!C16)*1000000/'DCF Model'!C15,0),"")</f>
        <v>5308</v>
      </c>
      <c r="D18" s="37">
        <f>IFERROR(ROUND(('DCF Model'!C45/(1+$B18)^('DCF Model'!C19+0)+'DCF Model'!D45/(1+$B18)^('DCF Model'!C19+1)+'DCF Model'!E45/(1+$B18)^('DCF Model'!C19+2)+'DCF Model'!F45/(1+$B18)^('DCF Model'!C19+3)+'DCF Model'!G45/(1+$B18)^('DCF Model'!C19+4)+('DCF Model'!G39+'DCF Model'!G42)*D$17/(1+$B18)^('DCF Model'!C19+4)-'DCF Model'!C16)*1000000/'DCF Model'!C15,0),"")</f>
        <v>5898</v>
      </c>
      <c r="E18" s="37">
        <f>IFERROR(ROUND(('DCF Model'!C45/(1+$B18)^('DCF Model'!C19+0)+'DCF Model'!D45/(1+$B18)^('DCF Model'!C19+1)+'DCF Model'!E45/(1+$B18)^('DCF Model'!C19+2)+'DCF Model'!F45/(1+$B18)^('DCF Model'!C19+3)+'DCF Model'!G45/(1+$B18)^('DCF Model'!C19+4)+('DCF Model'!G39+'DCF Model'!G42)*E$17/(1+$B18)^('DCF Model'!C19+4)-'DCF Model'!C16)*1000000/'DCF Model'!C15,0),"")</f>
        <v>6488</v>
      </c>
      <c r="F18" s="37">
        <f>IFERROR(ROUND(('DCF Model'!C45/(1+$B18)^('DCF Model'!C19+0)+'DCF Model'!D45/(1+$B18)^('DCF Model'!C19+1)+'DCF Model'!E45/(1+$B18)^('DCF Model'!C19+2)+'DCF Model'!F45/(1+$B18)^('DCF Model'!C19+3)+'DCF Model'!G45/(1+$B18)^('DCF Model'!C19+4)+('DCF Model'!G39+'DCF Model'!G42)*F$17/(1+$B18)^('DCF Model'!C19+4)-'DCF Model'!C16)*1000000/'DCF Model'!C15,0),"")</f>
        <v>7078</v>
      </c>
      <c r="G18" s="37">
        <f>IFERROR(ROUND(('DCF Model'!C45/(1+$B18)^('DCF Model'!C19+0)+'DCF Model'!D45/(1+$B18)^('DCF Model'!C19+1)+'DCF Model'!E45/(1+$B18)^('DCF Model'!C19+2)+'DCF Model'!F45/(1+$B18)^('DCF Model'!C19+3)+'DCF Model'!G45/(1+$B18)^('DCF Model'!C19+4)+('DCF Model'!G39+'DCF Model'!G42)*G$17/(1+$B18)^('DCF Model'!C19+4)-'DCF Model'!C16)*1000000/'DCF Model'!C15,0),"")</f>
        <v>7668</v>
      </c>
      <c r="H18" s="37">
        <f>IFERROR(ROUND(('DCF Model'!C45/(1+$B18)^('DCF Model'!C19+0)+'DCF Model'!D45/(1+$B18)^('DCF Model'!C19+1)+'DCF Model'!E45/(1+$B18)^('DCF Model'!C19+2)+'DCF Model'!F45/(1+$B18)^('DCF Model'!C19+3)+'DCF Model'!G45/(1+$B18)^('DCF Model'!C19+4)+('DCF Model'!G39+'DCF Model'!G42)*H$17/(1+$B18)^('DCF Model'!C19+4)-'DCF Model'!C16)*1000000/'DCF Model'!C15,0),"")</f>
        <v>8258</v>
      </c>
      <c r="I18" s="37">
        <f>IFERROR(ROUND(('DCF Model'!C45/(1+$B18)^('DCF Model'!C19+0)+'DCF Model'!D45/(1+$B18)^('DCF Model'!C19+1)+'DCF Model'!E45/(1+$B18)^('DCF Model'!C19+2)+'DCF Model'!F45/(1+$B18)^('DCF Model'!C19+3)+'DCF Model'!G45/(1+$B18)^('DCF Model'!C19+4)+('DCF Model'!G39+'DCF Model'!G42)*I$17/(1+$B18)^('DCF Model'!C19+4)-'DCF Model'!C16)*1000000/'DCF Model'!C15,0),"")</f>
        <v>8848</v>
      </c>
    </row>
    <row r="19" spans="2:9" ht="13.5" x14ac:dyDescent="0.25">
      <c r="B19" s="39">
        <f>$C$3-0.01</f>
        <v>6.3738086339002062E-2</v>
      </c>
      <c r="C19" s="37">
        <f>IFERROR(ROUND(('DCF Model'!C45/(1+$B19)^('DCF Model'!C19+0)+'DCF Model'!D45/(1+$B19)^('DCF Model'!C19+1)+'DCF Model'!E45/(1+$B19)^('DCF Model'!C19+2)+'DCF Model'!F45/(1+$B19)^('DCF Model'!C19+3)+'DCF Model'!G45/(1+$B19)^('DCF Model'!C19+4)+('DCF Model'!G39+'DCF Model'!G42)*C$17/(1+$B19)^('DCF Model'!C19+4)-'DCF Model'!C16)*1000000/'DCF Model'!C15,0),"")</f>
        <v>5191</v>
      </c>
      <c r="D19" s="37">
        <f>IFERROR(ROUND(('DCF Model'!C45/(1+$B19)^('DCF Model'!C19+0)+'DCF Model'!D45/(1+$B19)^('DCF Model'!C19+1)+'DCF Model'!E45/(1+$B19)^('DCF Model'!C19+2)+'DCF Model'!F45/(1+$B19)^('DCF Model'!C19+3)+'DCF Model'!G45/(1+$B19)^('DCF Model'!C19+4)+('DCF Model'!G39+'DCF Model'!G42)*D$17/(1+$B19)^('DCF Model'!C19+4)-'DCF Model'!C16)*1000000/'DCF Model'!C15,0),"")</f>
        <v>5767</v>
      </c>
      <c r="E19" s="37">
        <f>IFERROR(ROUND(('DCF Model'!C45/(1+$B19)^('DCF Model'!C19+0)+'DCF Model'!D45/(1+$B19)^('DCF Model'!C19+1)+'DCF Model'!E45/(1+$B19)^('DCF Model'!C19+2)+'DCF Model'!F45/(1+$B19)^('DCF Model'!C19+3)+'DCF Model'!G45/(1+$B19)^('DCF Model'!C19+4)+('DCF Model'!G39+'DCF Model'!G42)*E$17/(1+$B19)^('DCF Model'!C19+4)-'DCF Model'!C16)*1000000/'DCF Model'!C15,0),"")</f>
        <v>6343</v>
      </c>
      <c r="F19" s="37">
        <f>IFERROR(ROUND(('DCF Model'!C45/(1+$B19)^('DCF Model'!C19+0)+'DCF Model'!D45/(1+$B19)^('DCF Model'!C19+1)+'DCF Model'!E45/(1+$B19)^('DCF Model'!C19+2)+'DCF Model'!F45/(1+$B19)^('DCF Model'!C19+3)+'DCF Model'!G45/(1+$B19)^('DCF Model'!C19+4)+('DCF Model'!G39+'DCF Model'!G42)*F$17/(1+$B19)^('DCF Model'!C19+4)-'DCF Model'!C16)*1000000/'DCF Model'!C15,0),"")</f>
        <v>6920</v>
      </c>
      <c r="G19" s="37">
        <f>IFERROR(ROUND(('DCF Model'!C45/(1+$B19)^('DCF Model'!C19+0)+'DCF Model'!D45/(1+$B19)^('DCF Model'!C19+1)+'DCF Model'!E45/(1+$B19)^('DCF Model'!C19+2)+'DCF Model'!F45/(1+$B19)^('DCF Model'!C19+3)+'DCF Model'!G45/(1+$B19)^('DCF Model'!C19+4)+('DCF Model'!G39+'DCF Model'!G42)*G$17/(1+$B19)^('DCF Model'!C19+4)-'DCF Model'!C16)*1000000/'DCF Model'!C15,0),"")</f>
        <v>7496</v>
      </c>
      <c r="H19" s="37">
        <f>IFERROR(ROUND(('DCF Model'!C45/(1+$B19)^('DCF Model'!C19+0)+'DCF Model'!D45/(1+$B19)^('DCF Model'!C19+1)+'DCF Model'!E45/(1+$B19)^('DCF Model'!C19+2)+'DCF Model'!F45/(1+$B19)^('DCF Model'!C19+3)+'DCF Model'!G45/(1+$B19)^('DCF Model'!C19+4)+('DCF Model'!G39+'DCF Model'!G42)*H$17/(1+$B19)^('DCF Model'!C19+4)-'DCF Model'!C16)*1000000/'DCF Model'!C15,0),"")</f>
        <v>8072</v>
      </c>
      <c r="I19" s="37">
        <f>IFERROR(ROUND(('DCF Model'!C45/(1+$B19)^('DCF Model'!C19+0)+'DCF Model'!D45/(1+$B19)^('DCF Model'!C19+1)+'DCF Model'!E45/(1+$B19)^('DCF Model'!C19+2)+'DCF Model'!F45/(1+$B19)^('DCF Model'!C19+3)+'DCF Model'!G45/(1+$B19)^('DCF Model'!C19+4)+('DCF Model'!G39+'DCF Model'!G42)*I$17/(1+$B19)^('DCF Model'!C19+4)-'DCF Model'!C16)*1000000/'DCF Model'!C15,0),"")</f>
        <v>8648</v>
      </c>
    </row>
    <row r="20" spans="2:9" ht="13.5" x14ac:dyDescent="0.25">
      <c r="B20" s="39">
        <f>$C$3-0.005</f>
        <v>6.8738086339002052E-2</v>
      </c>
      <c r="C20" s="37">
        <f>IFERROR(ROUND(('DCF Model'!C45/(1+$B20)^('DCF Model'!C19+0)+'DCF Model'!D45/(1+$B20)^('DCF Model'!C19+1)+'DCF Model'!E45/(1+$B20)^('DCF Model'!C19+2)+'DCF Model'!F45/(1+$B20)^('DCF Model'!C19+3)+'DCF Model'!G45/(1+$B20)^('DCF Model'!C19+4)+('DCF Model'!G39+'DCF Model'!G42)*C$17/(1+$B20)^('DCF Model'!C19+4)-'DCF Model'!C16)*1000000/'DCF Model'!C15,0),"")</f>
        <v>5077</v>
      </c>
      <c r="D20" s="37">
        <f>IFERROR(ROUND(('DCF Model'!C45/(1+$B20)^('DCF Model'!C19+0)+'DCF Model'!D45/(1+$B20)^('DCF Model'!C19+1)+'DCF Model'!E45/(1+$B20)^('DCF Model'!C19+2)+'DCF Model'!F45/(1+$B20)^('DCF Model'!C19+3)+'DCF Model'!G45/(1+$B20)^('DCF Model'!C19+4)+('DCF Model'!G39+'DCF Model'!G42)*D$17/(1+$B20)^('DCF Model'!C19+4)-'DCF Model'!C16)*1000000/'DCF Model'!C15,0),"")</f>
        <v>5640</v>
      </c>
      <c r="E20" s="37">
        <f>IFERROR(ROUND(('DCF Model'!C45/(1+$B20)^('DCF Model'!C19+0)+'DCF Model'!D45/(1+$B20)^('DCF Model'!C19+1)+'DCF Model'!E45/(1+$B20)^('DCF Model'!C19+2)+'DCF Model'!F45/(1+$B20)^('DCF Model'!C19+3)+'DCF Model'!G45/(1+$B20)^('DCF Model'!C19+4)+('DCF Model'!G39+'DCF Model'!G42)*E$17/(1+$B20)^('DCF Model'!C19+4)-'DCF Model'!C16)*1000000/'DCF Model'!C15,0),"")</f>
        <v>6202</v>
      </c>
      <c r="F20" s="37">
        <f>IFERROR(ROUND(('DCF Model'!C45/(1+$B20)^('DCF Model'!C19+0)+'DCF Model'!D45/(1+$B20)^('DCF Model'!C19+1)+'DCF Model'!E45/(1+$B20)^('DCF Model'!C19+2)+'DCF Model'!F45/(1+$B20)^('DCF Model'!C19+3)+'DCF Model'!G45/(1+$B20)^('DCF Model'!C19+4)+('DCF Model'!G39+'DCF Model'!G42)*F$17/(1+$B20)^('DCF Model'!C19+4)-'DCF Model'!C16)*1000000/'DCF Model'!C15,0),"")</f>
        <v>6765</v>
      </c>
      <c r="G20" s="37">
        <f>IFERROR(ROUND(('DCF Model'!C45/(1+$B20)^('DCF Model'!C19+0)+'DCF Model'!D45/(1+$B20)^('DCF Model'!C19+1)+'DCF Model'!E45/(1+$B20)^('DCF Model'!C19+2)+'DCF Model'!F45/(1+$B20)^('DCF Model'!C19+3)+'DCF Model'!G45/(1+$B20)^('DCF Model'!C19+4)+('DCF Model'!G39+'DCF Model'!G42)*G$17/(1+$B20)^('DCF Model'!C19+4)-'DCF Model'!C16)*1000000/'DCF Model'!C15,0),"")</f>
        <v>7328</v>
      </c>
      <c r="H20" s="37">
        <f>IFERROR(ROUND(('DCF Model'!C45/(1+$B20)^('DCF Model'!C19+0)+'DCF Model'!D45/(1+$B20)^('DCF Model'!C19+1)+'DCF Model'!E45/(1+$B20)^('DCF Model'!C19+2)+'DCF Model'!F45/(1+$B20)^('DCF Model'!C19+3)+'DCF Model'!G45/(1+$B20)^('DCF Model'!C19+4)+('DCF Model'!G39+'DCF Model'!G42)*H$17/(1+$B20)^('DCF Model'!C19+4)-'DCF Model'!C16)*1000000/'DCF Model'!C15,0),"")</f>
        <v>7891</v>
      </c>
      <c r="I20" s="37">
        <f>IFERROR(ROUND(('DCF Model'!C45/(1+$B20)^('DCF Model'!C19+0)+'DCF Model'!D45/(1+$B20)^('DCF Model'!C19+1)+'DCF Model'!E45/(1+$B20)^('DCF Model'!C19+2)+'DCF Model'!F45/(1+$B20)^('DCF Model'!C19+3)+'DCF Model'!G45/(1+$B20)^('DCF Model'!C19+4)+('DCF Model'!G39+'DCF Model'!G42)*I$17/(1+$B20)^('DCF Model'!C19+4)-'DCF Model'!C16)*1000000/'DCF Model'!C15,0),"")</f>
        <v>8454</v>
      </c>
    </row>
    <row r="21" spans="2:9" ht="13.5" x14ac:dyDescent="0.25">
      <c r="B21" s="39">
        <f>$C$3</f>
        <v>7.3738086339002057E-2</v>
      </c>
      <c r="C21" s="37">
        <f>IFERROR(ROUND(('DCF Model'!C45/(1+$B21)^('DCF Model'!C19+0)+'DCF Model'!D45/(1+$B21)^('DCF Model'!C19+1)+'DCF Model'!E45/(1+$B21)^('DCF Model'!C19+2)+'DCF Model'!F45/(1+$B21)^('DCF Model'!C19+3)+'DCF Model'!G45/(1+$B21)^('DCF Model'!C19+4)+('DCF Model'!G39+'DCF Model'!G42)*C$17/(1+$B21)^('DCF Model'!C19+4)-'DCF Model'!C16)*1000000/'DCF Model'!C15,0),"")</f>
        <v>4965</v>
      </c>
      <c r="D21" s="37">
        <f>IFERROR(ROUND(('DCF Model'!C45/(1+$B21)^('DCF Model'!C19+0)+'DCF Model'!D45/(1+$B21)^('DCF Model'!C19+1)+'DCF Model'!E45/(1+$B21)^('DCF Model'!C19+2)+'DCF Model'!F45/(1+$B21)^('DCF Model'!C19+3)+'DCF Model'!G45/(1+$B21)^('DCF Model'!C19+4)+('DCF Model'!G39+'DCF Model'!G42)*D$17/(1+$B21)^('DCF Model'!C19+4)-'DCF Model'!C16)*1000000/'DCF Model'!C15,0),"")</f>
        <v>5515</v>
      </c>
      <c r="E21" s="37">
        <f>IFERROR(ROUND(('DCF Model'!C45/(1+$B21)^('DCF Model'!C19+0)+'DCF Model'!D45/(1+$B21)^('DCF Model'!C19+1)+'DCF Model'!E45/(1+$B21)^('DCF Model'!C19+2)+'DCF Model'!F45/(1+$B21)^('DCF Model'!C19+3)+'DCF Model'!G45/(1+$B21)^('DCF Model'!C19+4)+('DCF Model'!G39+'DCF Model'!G42)*E$17/(1+$B21)^('DCF Model'!C19+4)-'DCF Model'!C16)*1000000/'DCF Model'!C15,0),"")</f>
        <v>6065</v>
      </c>
      <c r="F21" s="37">
        <f>IFERROR(ROUND(('DCF Model'!C45/(1+$B21)^('DCF Model'!C19+0)+'DCF Model'!D45/(1+$B21)^('DCF Model'!C19+1)+'DCF Model'!E45/(1+$B21)^('DCF Model'!C19+2)+'DCF Model'!F45/(1+$B21)^('DCF Model'!C19+3)+'DCF Model'!G45/(1+$B21)^('DCF Model'!C19+4)+('DCF Model'!G39+'DCF Model'!G42)*F$17/(1+$B21)^('DCF Model'!C19+4)-'DCF Model'!C16)*1000000/'DCF Model'!C15,0),"")</f>
        <v>6615</v>
      </c>
      <c r="G21" s="37">
        <f>IFERROR(ROUND(('DCF Model'!C45/(1+$B21)^('DCF Model'!C19+0)+'DCF Model'!D45/(1+$B21)^('DCF Model'!C19+1)+'DCF Model'!E45/(1+$B21)^('DCF Model'!C19+2)+'DCF Model'!F45/(1+$B21)^('DCF Model'!C19+3)+'DCF Model'!G45/(1+$B21)^('DCF Model'!C19+4)+('DCF Model'!G39+'DCF Model'!G42)*G$17/(1+$B21)^('DCF Model'!C19+4)-'DCF Model'!C16)*1000000/'DCF Model'!C15,0),"")</f>
        <v>7165</v>
      </c>
      <c r="H21" s="37">
        <f>IFERROR(ROUND(('DCF Model'!C45/(1+$B21)^('DCF Model'!C19+0)+'DCF Model'!D45/(1+$B21)^('DCF Model'!C19+1)+'DCF Model'!E45/(1+$B21)^('DCF Model'!C19+2)+'DCF Model'!F45/(1+$B21)^('DCF Model'!C19+3)+'DCF Model'!G45/(1+$B21)^('DCF Model'!C19+4)+('DCF Model'!G39+'DCF Model'!G42)*H$17/(1+$B21)^('DCF Model'!C19+4)-'DCF Model'!C16)*1000000/'DCF Model'!C15,0),"")</f>
        <v>7715</v>
      </c>
      <c r="I21" s="37">
        <f>IFERROR(ROUND(('DCF Model'!C45/(1+$B21)^('DCF Model'!C19+0)+'DCF Model'!D45/(1+$B21)^('DCF Model'!C19+1)+'DCF Model'!E45/(1+$B21)^('DCF Model'!C19+2)+'DCF Model'!F45/(1+$B21)^('DCF Model'!C19+3)+'DCF Model'!G45/(1+$B21)^('DCF Model'!C19+4)+('DCF Model'!G39+'DCF Model'!G42)*I$17/(1+$B21)^('DCF Model'!C19+4)-'DCF Model'!C16)*1000000/'DCF Model'!C15,0),"")</f>
        <v>8265</v>
      </c>
    </row>
    <row r="22" spans="2:9" ht="13.5" x14ac:dyDescent="0.25">
      <c r="B22" s="39">
        <f>$C$3+0.005</f>
        <v>7.8738086339002061E-2</v>
      </c>
      <c r="C22" s="37">
        <f>IFERROR(ROUND(('DCF Model'!C45/(1+$B22)^('DCF Model'!C19+0)+'DCF Model'!D45/(1+$B22)^('DCF Model'!C19+1)+'DCF Model'!E45/(1+$B22)^('DCF Model'!C19+2)+'DCF Model'!F45/(1+$B22)^('DCF Model'!C19+3)+'DCF Model'!G45/(1+$B22)^('DCF Model'!C19+4)+('DCF Model'!G39+'DCF Model'!G42)*C$17/(1+$B22)^('DCF Model'!C19+4)-'DCF Model'!C16)*1000000/'DCF Model'!C15,0),"")</f>
        <v>4857</v>
      </c>
      <c r="D22" s="37">
        <f>IFERROR(ROUND(('DCF Model'!C45/(1+$B22)^('DCF Model'!C19+0)+'DCF Model'!D45/(1+$B22)^('DCF Model'!C19+1)+'DCF Model'!E45/(1+$B22)^('DCF Model'!C19+2)+'DCF Model'!F45/(1+$B22)^('DCF Model'!C19+3)+'DCF Model'!G45/(1+$B22)^('DCF Model'!C19+4)+('DCF Model'!G39+'DCF Model'!G42)*D$17/(1+$B22)^('DCF Model'!C19+4)-'DCF Model'!C16)*1000000/'DCF Model'!C15,0),"")</f>
        <v>5394</v>
      </c>
      <c r="E22" s="37">
        <f>IFERROR(ROUND(('DCF Model'!C45/(1+$B22)^('DCF Model'!C19+0)+'DCF Model'!D45/(1+$B22)^('DCF Model'!C19+1)+'DCF Model'!E45/(1+$B22)^('DCF Model'!C19+2)+'DCF Model'!F45/(1+$B22)^('DCF Model'!C19+3)+'DCF Model'!G45/(1+$B22)^('DCF Model'!C19+4)+('DCF Model'!G39+'DCF Model'!G42)*E$17/(1+$B22)^('DCF Model'!C19+4)-'DCF Model'!C16)*1000000/'DCF Model'!C15,0),"")</f>
        <v>5932</v>
      </c>
      <c r="F22" s="37">
        <f>IFERROR(ROUND(('DCF Model'!C45/(1+$B22)^('DCF Model'!C19+0)+'DCF Model'!D45/(1+$B22)^('DCF Model'!C19+1)+'DCF Model'!E45/(1+$B22)^('DCF Model'!C19+2)+'DCF Model'!F45/(1+$B22)^('DCF Model'!C19+3)+'DCF Model'!G45/(1+$B22)^('DCF Model'!C19+4)+('DCF Model'!G39+'DCF Model'!G42)*F$17/(1+$B22)^('DCF Model'!C19+4)-'DCF Model'!C16)*1000000/'DCF Model'!C15,0),"")</f>
        <v>6469</v>
      </c>
      <c r="G22" s="37">
        <f>IFERROR(ROUND(('DCF Model'!C45/(1+$B22)^('DCF Model'!C19+0)+'DCF Model'!D45/(1+$B22)^('DCF Model'!C19+1)+'DCF Model'!E45/(1+$B22)^('DCF Model'!C19+2)+'DCF Model'!F45/(1+$B22)^('DCF Model'!C19+3)+'DCF Model'!G45/(1+$B22)^('DCF Model'!C19+4)+('DCF Model'!G39+'DCF Model'!G42)*G$17/(1+$B22)^('DCF Model'!C19+4)-'DCF Model'!C16)*1000000/'DCF Model'!C15,0),"")</f>
        <v>7006</v>
      </c>
      <c r="H22" s="37">
        <f>IFERROR(ROUND(('DCF Model'!C45/(1+$B22)^('DCF Model'!C19+0)+'DCF Model'!D45/(1+$B22)^('DCF Model'!C19+1)+'DCF Model'!E45/(1+$B22)^('DCF Model'!C19+2)+'DCF Model'!F45/(1+$B22)^('DCF Model'!C19+3)+'DCF Model'!G45/(1+$B22)^('DCF Model'!C19+4)+('DCF Model'!G39+'DCF Model'!G42)*H$17/(1+$B22)^('DCF Model'!C19+4)-'DCF Model'!C16)*1000000/'DCF Model'!C15,0),"")</f>
        <v>7543</v>
      </c>
      <c r="I22" s="37">
        <f>IFERROR(ROUND(('DCF Model'!C45/(1+$B22)^('DCF Model'!C19+0)+'DCF Model'!D45/(1+$B22)^('DCF Model'!C19+1)+'DCF Model'!E45/(1+$B22)^('DCF Model'!C19+2)+'DCF Model'!F45/(1+$B22)^('DCF Model'!C19+3)+'DCF Model'!G45/(1+$B22)^('DCF Model'!C19+4)+('DCF Model'!G39+'DCF Model'!G42)*I$17/(1+$B22)^('DCF Model'!C19+4)-'DCF Model'!C16)*1000000/'DCF Model'!C15,0),"")</f>
        <v>8080</v>
      </c>
    </row>
    <row r="23" spans="2:9" ht="13.5" x14ac:dyDescent="0.25">
      <c r="B23" s="39">
        <f>$C$3+0.01</f>
        <v>8.3738086339002052E-2</v>
      </c>
      <c r="C23" s="37">
        <f>IFERROR(ROUND(('DCF Model'!C45/(1+$B23)^('DCF Model'!C19+0)+'DCF Model'!D45/(1+$B23)^('DCF Model'!C19+1)+'DCF Model'!E45/(1+$B23)^('DCF Model'!C19+2)+'DCF Model'!F45/(1+$B23)^('DCF Model'!C19+3)+'DCF Model'!G45/(1+$B23)^('DCF Model'!C19+4)+('DCF Model'!G39+'DCF Model'!G42)*C$17/(1+$B23)^('DCF Model'!C19+4)-'DCF Model'!C16)*1000000/'DCF Model'!C15,0),"")</f>
        <v>4752</v>
      </c>
      <c r="D23" s="37">
        <f>IFERROR(ROUND(('DCF Model'!C45/(1+$B23)^('DCF Model'!C19+0)+'DCF Model'!D45/(1+$B23)^('DCF Model'!C19+1)+'DCF Model'!E45/(1+$B23)^('DCF Model'!C19+2)+'DCF Model'!F45/(1+$B23)^('DCF Model'!C19+3)+'DCF Model'!G45/(1+$B23)^('DCF Model'!C19+4)+('DCF Model'!G39+'DCF Model'!G42)*D$17/(1+$B23)^('DCF Model'!C19+4)-'DCF Model'!C16)*1000000/'DCF Model'!C15,0),"")</f>
        <v>5277</v>
      </c>
      <c r="E23" s="37">
        <f>IFERROR(ROUND(('DCF Model'!C45/(1+$B23)^('DCF Model'!C19+0)+'DCF Model'!D45/(1+$B23)^('DCF Model'!C19+1)+'DCF Model'!E45/(1+$B23)^('DCF Model'!C19+2)+'DCF Model'!F45/(1+$B23)^('DCF Model'!C19+3)+'DCF Model'!G45/(1+$B23)^('DCF Model'!C19+4)+('DCF Model'!G39+'DCF Model'!G42)*E$17/(1+$B23)^('DCF Model'!C19+4)-'DCF Model'!C16)*1000000/'DCF Model'!C15,0),"")</f>
        <v>5802</v>
      </c>
      <c r="F23" s="37">
        <f>IFERROR(ROUND(('DCF Model'!C45/(1+$B23)^('DCF Model'!C19+0)+'DCF Model'!D45/(1+$B23)^('DCF Model'!C19+1)+'DCF Model'!E45/(1+$B23)^('DCF Model'!C19+2)+'DCF Model'!F45/(1+$B23)^('DCF Model'!C19+3)+'DCF Model'!G45/(1+$B23)^('DCF Model'!C19+4)+('DCF Model'!G39+'DCF Model'!G42)*F$17/(1+$B23)^('DCF Model'!C19+4)-'DCF Model'!C16)*1000000/'DCF Model'!C15,0),"")</f>
        <v>6326</v>
      </c>
      <c r="G23" s="37">
        <f>IFERROR(ROUND(('DCF Model'!C45/(1+$B23)^('DCF Model'!C19+0)+'DCF Model'!D45/(1+$B23)^('DCF Model'!C19+1)+'DCF Model'!E45/(1+$B23)^('DCF Model'!C19+2)+'DCF Model'!F45/(1+$B23)^('DCF Model'!C19+3)+'DCF Model'!G45/(1+$B23)^('DCF Model'!C19+4)+('DCF Model'!G39+'DCF Model'!G42)*G$17/(1+$B23)^('DCF Model'!C19+4)-'DCF Model'!C16)*1000000/'DCF Model'!C15,0),"")</f>
        <v>6851</v>
      </c>
      <c r="H23" s="37">
        <f>IFERROR(ROUND(('DCF Model'!C45/(1+$B23)^('DCF Model'!C19+0)+'DCF Model'!D45/(1+$B23)^('DCF Model'!C19+1)+'DCF Model'!E45/(1+$B23)^('DCF Model'!C19+2)+'DCF Model'!F45/(1+$B23)^('DCF Model'!C19+3)+'DCF Model'!G45/(1+$B23)^('DCF Model'!C19+4)+('DCF Model'!G39+'DCF Model'!G42)*H$17/(1+$B23)^('DCF Model'!C19+4)-'DCF Model'!C16)*1000000/'DCF Model'!C15,0),"")</f>
        <v>7376</v>
      </c>
      <c r="I23" s="37">
        <f>IFERROR(ROUND(('DCF Model'!C45/(1+$B23)^('DCF Model'!C19+0)+'DCF Model'!D45/(1+$B23)^('DCF Model'!C19+1)+'DCF Model'!E45/(1+$B23)^('DCF Model'!C19+2)+'DCF Model'!F45/(1+$B23)^('DCF Model'!C19+3)+'DCF Model'!G45/(1+$B23)^('DCF Model'!C19+4)+('DCF Model'!G39+'DCF Model'!G42)*I$17/(1+$B23)^('DCF Model'!C19+4)-'DCF Model'!C16)*1000000/'DCF Model'!C15,0),"")</f>
        <v>7901</v>
      </c>
    </row>
    <row r="24" spans="2:9" ht="13.5" x14ac:dyDescent="0.25">
      <c r="B24" s="39">
        <f>$C$3+0.015</f>
        <v>8.8738086339002056E-2</v>
      </c>
      <c r="C24" s="37">
        <f>IFERROR(ROUND(('DCF Model'!C45/(1+$B24)^('DCF Model'!C19+0)+'DCF Model'!D45/(1+$B24)^('DCF Model'!C19+1)+'DCF Model'!E45/(1+$B24)^('DCF Model'!C19+2)+'DCF Model'!F45/(1+$B24)^('DCF Model'!C19+3)+'DCF Model'!G45/(1+$B24)^('DCF Model'!C19+4)+('DCF Model'!G39+'DCF Model'!G42)*C$17/(1+$B24)^('DCF Model'!C19+4)-'DCF Model'!C16)*1000000/'DCF Model'!C15,0),"")</f>
        <v>4649</v>
      </c>
      <c r="D24" s="37">
        <f>IFERROR(ROUND(('DCF Model'!C45/(1+$B24)^('DCF Model'!C19+0)+'DCF Model'!D45/(1+$B24)^('DCF Model'!C19+1)+'DCF Model'!E45/(1+$B24)^('DCF Model'!C19+2)+'DCF Model'!F45/(1+$B24)^('DCF Model'!C19+3)+'DCF Model'!G45/(1+$B24)^('DCF Model'!C19+4)+('DCF Model'!G39+'DCF Model'!G42)*D$17/(1+$B24)^('DCF Model'!C19+4)-'DCF Model'!C16)*1000000/'DCF Model'!C15,0),"")</f>
        <v>5162</v>
      </c>
      <c r="E24" s="37">
        <f>IFERROR(ROUND(('DCF Model'!C45/(1+$B24)^('DCF Model'!C19+0)+'DCF Model'!D45/(1+$B24)^('DCF Model'!C19+1)+'DCF Model'!E45/(1+$B24)^('DCF Model'!C19+2)+'DCF Model'!F45/(1+$B24)^('DCF Model'!C19+3)+'DCF Model'!G45/(1+$B24)^('DCF Model'!C19+4)+('DCF Model'!G39+'DCF Model'!G42)*E$17/(1+$B24)^('DCF Model'!C19+4)-'DCF Model'!C16)*1000000/'DCF Model'!C15,0),"")</f>
        <v>5675</v>
      </c>
      <c r="F24" s="37">
        <f>IFERROR(ROUND(('DCF Model'!C45/(1+$B24)^('DCF Model'!C19+0)+'DCF Model'!D45/(1+$B24)^('DCF Model'!C19+1)+'DCF Model'!E45/(1+$B24)^('DCF Model'!C19+2)+'DCF Model'!F45/(1+$B24)^('DCF Model'!C19+3)+'DCF Model'!G45/(1+$B24)^('DCF Model'!C19+4)+('DCF Model'!G39+'DCF Model'!G42)*F$17/(1+$B24)^('DCF Model'!C19+4)-'DCF Model'!C16)*1000000/'DCF Model'!C15,0),"")</f>
        <v>6188</v>
      </c>
      <c r="G24" s="37">
        <f>IFERROR(ROUND(('DCF Model'!C45/(1+$B24)^('DCF Model'!C19+0)+'DCF Model'!D45/(1+$B24)^('DCF Model'!C19+1)+'DCF Model'!E45/(1+$B24)^('DCF Model'!C19+2)+'DCF Model'!F45/(1+$B24)^('DCF Model'!C19+3)+'DCF Model'!G45/(1+$B24)^('DCF Model'!C19+4)+('DCF Model'!G39+'DCF Model'!G42)*G$17/(1+$B24)^('DCF Model'!C19+4)-'DCF Model'!C16)*1000000/'DCF Model'!C15,0),"")</f>
        <v>6701</v>
      </c>
      <c r="H24" s="37">
        <f>IFERROR(ROUND(('DCF Model'!C45/(1+$B24)^('DCF Model'!C19+0)+'DCF Model'!D45/(1+$B24)^('DCF Model'!C19+1)+'DCF Model'!E45/(1+$B24)^('DCF Model'!C19+2)+'DCF Model'!F45/(1+$B24)^('DCF Model'!C19+3)+'DCF Model'!G45/(1+$B24)^('DCF Model'!C19+4)+('DCF Model'!G39+'DCF Model'!G42)*H$17/(1+$B24)^('DCF Model'!C19+4)-'DCF Model'!C16)*1000000/'DCF Model'!C15,0),"")</f>
        <v>7214</v>
      </c>
      <c r="I24" s="37">
        <f>IFERROR(ROUND(('DCF Model'!C45/(1+$B24)^('DCF Model'!C19+0)+'DCF Model'!D45/(1+$B24)^('DCF Model'!C19+1)+'DCF Model'!E45/(1+$B24)^('DCF Model'!C19+2)+'DCF Model'!F45/(1+$B24)^('DCF Model'!C19+3)+'DCF Model'!G45/(1+$B24)^('DCF Model'!C19+4)+('DCF Model'!G39+'DCF Model'!G42)*I$17/(1+$B24)^('DCF Model'!C19+4)-'DCF Model'!C16)*1000000/'DCF Model'!C15,0),"")</f>
        <v>7727</v>
      </c>
    </row>
    <row r="26" spans="2:9" ht="14" x14ac:dyDescent="0.3">
      <c r="B26" s="45" t="s">
        <v>245</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12" spans="2:7" ht="14" x14ac:dyDescent="0.3">
      <c r="B12" s="8" t="s">
        <v>263</v>
      </c>
    </row>
    <row r="13" spans="2:7" ht="14" x14ac:dyDescent="0.3">
      <c r="B13" s="10" t="s">
        <v>264</v>
      </c>
      <c r="C13" s="10" t="s">
        <v>265</v>
      </c>
    </row>
    <row r="14" spans="2:7" ht="14" x14ac:dyDescent="0.3">
      <c r="B14" s="4" t="s">
        <v>266</v>
      </c>
      <c r="C14" t="s">
        <v>267</v>
      </c>
    </row>
    <row r="15" spans="2:7" ht="14" x14ac:dyDescent="0.3">
      <c r="B15" s="4" t="s">
        <v>268</v>
      </c>
      <c r="C15" t="s">
        <v>269</v>
      </c>
    </row>
    <row r="16" spans="2:7" ht="14" x14ac:dyDescent="0.3">
      <c r="B16" s="4" t="s">
        <v>270</v>
      </c>
      <c r="C16" t="s">
        <v>271</v>
      </c>
    </row>
    <row r="17" spans="2:3" ht="14" x14ac:dyDescent="0.3">
      <c r="B17" s="4" t="s">
        <v>272</v>
      </c>
      <c r="C17" t="s">
        <v>273</v>
      </c>
    </row>
    <row r="18" spans="2:3" ht="14" x14ac:dyDescent="0.3">
      <c r="B18" s="4" t="s">
        <v>274</v>
      </c>
      <c r="C18" t="s">
        <v>271</v>
      </c>
    </row>
    <row r="19" spans="2:3" ht="14" x14ac:dyDescent="0.3">
      <c r="B19" s="4" t="s">
        <v>275</v>
      </c>
      <c r="C19" t="s">
        <v>276</v>
      </c>
    </row>
    <row r="20" spans="2:3" ht="14" x14ac:dyDescent="0.3">
      <c r="B20" s="4" t="s">
        <v>277</v>
      </c>
      <c r="C20" t="s">
        <v>278</v>
      </c>
    </row>
    <row r="21" spans="2:3" ht="14" x14ac:dyDescent="0.3">
      <c r="B21" s="4" t="s">
        <v>279</v>
      </c>
      <c r="C21" t="s">
        <v>280</v>
      </c>
    </row>
    <row r="22" spans="2:3" ht="14" x14ac:dyDescent="0.3">
      <c r="B22" s="4" t="s">
        <v>281</v>
      </c>
      <c r="C22" t="s">
        <v>282</v>
      </c>
    </row>
    <row r="23" spans="2:3" ht="14" x14ac:dyDescent="0.3">
      <c r="B23" s="4" t="s">
        <v>283</v>
      </c>
      <c r="C23" t="s">
        <v>51</v>
      </c>
    </row>
    <row r="24" spans="2:3" ht="14" x14ac:dyDescent="0.3">
      <c r="B24" s="4" t="s">
        <v>284</v>
      </c>
      <c r="C24" t="s">
        <v>4</v>
      </c>
    </row>
    <row r="25" spans="2:3" ht="14" x14ac:dyDescent="0.3">
      <c r="B25" s="4" t="s">
        <v>285</v>
      </c>
      <c r="C25" t="s">
        <v>253</v>
      </c>
    </row>
    <row r="26" spans="2:3" ht="14" x14ac:dyDescent="0.3">
      <c r="B26" s="4" t="s">
        <v>286</v>
      </c>
      <c r="C26" t="s">
        <v>287</v>
      </c>
    </row>
    <row r="27" spans="2:3" ht="14" x14ac:dyDescent="0.3">
      <c r="B27" s="4" t="s">
        <v>288</v>
      </c>
      <c r="C27" t="s">
        <v>276</v>
      </c>
    </row>
    <row r="28" spans="2:3" ht="14" x14ac:dyDescent="0.3">
      <c r="B28" s="4" t="s">
        <v>289</v>
      </c>
      <c r="C28" t="s">
        <v>276</v>
      </c>
    </row>
    <row r="29" spans="2:3" ht="14" x14ac:dyDescent="0.3">
      <c r="B29" s="4" t="s">
        <v>290</v>
      </c>
      <c r="C29" t="s">
        <v>291</v>
      </c>
    </row>
    <row r="30" spans="2:3" ht="14" x14ac:dyDescent="0.3">
      <c r="B30" s="4" t="s">
        <v>292</v>
      </c>
      <c r="C30" t="s">
        <v>293</v>
      </c>
    </row>
    <row r="31" spans="2:3" ht="14" x14ac:dyDescent="0.3">
      <c r="B31" s="4" t="s">
        <v>294</v>
      </c>
      <c r="C31" t="s">
        <v>295</v>
      </c>
    </row>
    <row r="32" spans="2:3" ht="14" x14ac:dyDescent="0.3">
      <c r="B32" s="4" t="s">
        <v>296</v>
      </c>
      <c r="C32" t="s">
        <v>291</v>
      </c>
    </row>
    <row r="33" spans="2:3" ht="14" x14ac:dyDescent="0.3">
      <c r="B33" s="4" t="s">
        <v>297</v>
      </c>
      <c r="C33" t="s">
        <v>276</v>
      </c>
    </row>
    <row r="34" spans="2:3" ht="14" x14ac:dyDescent="0.3">
      <c r="B34" s="4" t="s">
        <v>298</v>
      </c>
      <c r="C34" t="s">
        <v>287</v>
      </c>
    </row>
    <row r="35" spans="2:3" ht="14" x14ac:dyDescent="0.3">
      <c r="B35" s="4" t="s">
        <v>299</v>
      </c>
      <c r="C35" t="s">
        <v>300</v>
      </c>
    </row>
    <row r="36" spans="2:3" ht="14" x14ac:dyDescent="0.3">
      <c r="B36" s="4" t="s">
        <v>301</v>
      </c>
      <c r="C36" t="s">
        <v>302</v>
      </c>
    </row>
    <row r="37" spans="2:3" ht="14" x14ac:dyDescent="0.3">
      <c r="B37" s="4" t="s">
        <v>303</v>
      </c>
      <c r="C37" t="s">
        <v>304</v>
      </c>
    </row>
    <row r="38" spans="2:3" ht="14" x14ac:dyDescent="0.3">
      <c r="B38" s="4" t="s">
        <v>305</v>
      </c>
      <c r="C38" t="s">
        <v>306</v>
      </c>
    </row>
    <row r="39" spans="2:3" ht="14" x14ac:dyDescent="0.3">
      <c r="B39" s="4" t="s">
        <v>307</v>
      </c>
      <c r="C39" t="s">
        <v>308</v>
      </c>
    </row>
    <row r="40" spans="2:3" ht="14" x14ac:dyDescent="0.3">
      <c r="B40" s="4" t="s">
        <v>309</v>
      </c>
      <c r="C40" t="s">
        <v>310</v>
      </c>
    </row>
    <row r="41" spans="2:3" ht="14" x14ac:dyDescent="0.3">
      <c r="B41" s="4" t="s">
        <v>311</v>
      </c>
      <c r="C41" t="s">
        <v>280</v>
      </c>
    </row>
    <row r="42" spans="2:3" ht="14" x14ac:dyDescent="0.3">
      <c r="B42" s="4" t="s">
        <v>312</v>
      </c>
      <c r="C42" t="s">
        <v>282</v>
      </c>
    </row>
    <row r="43" spans="2:3" ht="14" x14ac:dyDescent="0.3">
      <c r="B43" s="4" t="s">
        <v>313</v>
      </c>
      <c r="C43" t="s">
        <v>314</v>
      </c>
    </row>
    <row r="44" spans="2:3" ht="14" x14ac:dyDescent="0.3">
      <c r="B44" s="4" t="s">
        <v>315</v>
      </c>
      <c r="C44" t="s">
        <v>316</v>
      </c>
    </row>
    <row r="45" spans="2:3" ht="14" x14ac:dyDescent="0.3">
      <c r="B45" s="4" t="s">
        <v>317</v>
      </c>
      <c r="C45" t="s">
        <v>318</v>
      </c>
    </row>
    <row r="46" spans="2:3" ht="14" x14ac:dyDescent="0.3">
      <c r="B46" s="4" t="s">
        <v>319</v>
      </c>
      <c r="C46" t="s">
        <v>320</v>
      </c>
    </row>
    <row r="47" spans="2:3" ht="14" x14ac:dyDescent="0.3">
      <c r="B47" s="4" t="s">
        <v>321</v>
      </c>
      <c r="C47" t="s">
        <v>322</v>
      </c>
    </row>
    <row r="48" spans="2:3" ht="14" x14ac:dyDescent="0.3">
      <c r="B48" s="4" t="s">
        <v>323</v>
      </c>
      <c r="C48" t="s">
        <v>324</v>
      </c>
    </row>
    <row r="49" spans="2:3" ht="14" x14ac:dyDescent="0.3">
      <c r="B49" s="4" t="s">
        <v>325</v>
      </c>
      <c r="C49" t="s">
        <v>326</v>
      </c>
    </row>
    <row r="50" spans="2:3" ht="14" x14ac:dyDescent="0.3">
      <c r="B50" s="4" t="s">
        <v>327</v>
      </c>
      <c r="C50" t="s">
        <v>328</v>
      </c>
    </row>
    <row r="51" spans="2:3" ht="14" x14ac:dyDescent="0.3">
      <c r="B51" s="4" t="s">
        <v>329</v>
      </c>
      <c r="C51" t="s">
        <v>330</v>
      </c>
    </row>
    <row r="52" spans="2:3" ht="14" x14ac:dyDescent="0.3">
      <c r="B52" s="4" t="s">
        <v>331</v>
      </c>
      <c r="C52" t="s">
        <v>332</v>
      </c>
    </row>
    <row r="53" spans="2:3" ht="14" x14ac:dyDescent="0.3">
      <c r="B53" s="4" t="s">
        <v>333</v>
      </c>
      <c r="C53" t="s">
        <v>334</v>
      </c>
    </row>
    <row r="54" spans="2:3" ht="14" x14ac:dyDescent="0.3">
      <c r="B54" s="4" t="s">
        <v>335</v>
      </c>
      <c r="C54" t="s">
        <v>336</v>
      </c>
    </row>
    <row r="55" spans="2:3" ht="14" x14ac:dyDescent="0.3">
      <c r="B55" s="4" t="s">
        <v>337</v>
      </c>
      <c r="C55" t="s">
        <v>338</v>
      </c>
    </row>
    <row r="56" spans="2:3" ht="14" x14ac:dyDescent="0.3">
      <c r="B56" s="4" t="s">
        <v>339</v>
      </c>
      <c r="C56" t="s">
        <v>287</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216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2026-09-07T02:39:55Z</dcterms:created>
  <dcterms:modified xsi:type="dcterms:W3CDTF">2026-09-07T02:39:58Z</dcterms:modified>
</cp:coreProperties>
</file>