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0EBD6F8-B6ED-4BE7-9D61-C05D747D63DF}"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F3" i="7"/>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O5" i="6"/>
  <c r="N5" i="6"/>
  <c r="D5" i="6"/>
  <c r="E5" i="6" s="1"/>
  <c r="J5" i="6" s="1"/>
  <c r="C16" i="5"/>
  <c r="C14" i="5"/>
  <c r="C18" i="5" s="1"/>
  <c r="C7" i="5"/>
  <c r="C6" i="5"/>
  <c r="C5" i="5"/>
  <c r="C13" i="4"/>
  <c r="C12" i="4"/>
  <c r="C9" i="4"/>
  <c r="C8" i="4"/>
  <c r="C10" i="4" s="1"/>
  <c r="C7" i="4"/>
  <c r="C6" i="4"/>
  <c r="D27" i="3"/>
  <c r="C32" i="3" s="1"/>
  <c r="C25" i="3"/>
  <c r="C24" i="3"/>
  <c r="C26" i="3" s="1"/>
  <c r="C23" i="3"/>
  <c r="F16" i="2"/>
  <c r="E16" i="2"/>
  <c r="D16" i="2"/>
  <c r="F15" i="2"/>
  <c r="E15" i="2"/>
  <c r="D15" i="2"/>
  <c r="F14" i="2"/>
  <c r="E14" i="2"/>
  <c r="D14" i="2"/>
  <c r="C14" i="2"/>
  <c r="F13" i="2"/>
  <c r="E13" i="2"/>
  <c r="D13" i="2"/>
  <c r="C13" i="2"/>
  <c r="F8" i="2"/>
  <c r="F9" i="2" s="1"/>
  <c r="E8" i="2"/>
  <c r="E9" i="2" s="1"/>
  <c r="D8" i="2"/>
  <c r="D9" i="2" s="1"/>
  <c r="C8" i="2"/>
  <c r="C9" i="2" s="1"/>
  <c r="D46" i="3" l="1"/>
  <c r="E46" i="3"/>
  <c r="H36" i="4"/>
  <c r="H46" i="4" s="1"/>
  <c r="B25" i="1"/>
  <c r="F16" i="6"/>
  <c r="C28" i="6" s="1"/>
  <c r="C19" i="1" s="1"/>
  <c r="D19" i="1" s="1"/>
  <c r="I15" i="6"/>
  <c r="E17" i="6"/>
  <c r="F17" i="6"/>
  <c r="D16" i="6"/>
  <c r="M5" i="6"/>
  <c r="L5" i="6"/>
  <c r="C27" i="6"/>
  <c r="C18" i="1" s="1"/>
  <c r="D18" i="1" s="1"/>
  <c r="C74" i="4"/>
  <c r="H6" i="7"/>
  <c r="G6" i="7"/>
  <c r="F6" i="7"/>
  <c r="E6" i="7"/>
  <c r="D6" i="7"/>
  <c r="C6" i="7"/>
  <c r="C31" i="3"/>
  <c r="H40" i="4"/>
  <c r="H44" i="4"/>
  <c r="H38" i="4"/>
  <c r="H41" i="4"/>
  <c r="H51" i="4" s="1"/>
  <c r="H56" i="4" s="1"/>
  <c r="D7" i="5"/>
  <c r="K5" i="6"/>
  <c r="G15" i="6"/>
  <c r="G16" i="6"/>
  <c r="G17" i="6"/>
  <c r="I17" i="7"/>
  <c r="H17" i="7"/>
  <c r="G17" i="7"/>
  <c r="F17" i="7"/>
  <c r="E17" i="7"/>
  <c r="D17" i="7"/>
  <c r="C17" i="7"/>
  <c r="E30" i="3"/>
  <c r="C71" i="4"/>
  <c r="C70" i="4"/>
  <c r="E7" i="5"/>
  <c r="H15" i="6"/>
  <c r="H16" i="6"/>
  <c r="H17" i="6"/>
  <c r="I6" i="7"/>
  <c r="E31" i="3"/>
  <c r="H43" i="4"/>
  <c r="I16" i="6"/>
  <c r="E16" i="6"/>
  <c r="G31" i="3"/>
  <c r="D31" i="3"/>
  <c r="B31" i="1"/>
  <c r="B24" i="1"/>
  <c r="C3" i="7"/>
  <c r="G36" i="4"/>
  <c r="C11" i="4"/>
  <c r="C24" i="4" s="1"/>
  <c r="C25" i="4" s="1"/>
  <c r="G46" i="3"/>
  <c r="E36" i="4"/>
  <c r="F36" i="4"/>
  <c r="F46" i="3"/>
  <c r="D36" i="4"/>
  <c r="C46" i="3"/>
  <c r="E15" i="6"/>
  <c r="G5" i="5"/>
  <c r="E32" i="3"/>
  <c r="G30" i="3"/>
  <c r="E5" i="5"/>
  <c r="H6" i="5"/>
  <c r="F5" i="5"/>
  <c r="D32" i="3"/>
  <c r="F30" i="3"/>
  <c r="G6" i="5"/>
  <c r="H7" i="5"/>
  <c r="F6" i="5"/>
  <c r="D5" i="5"/>
  <c r="G7" i="5"/>
  <c r="E6" i="5"/>
  <c r="F31" i="3"/>
  <c r="C30" i="3"/>
  <c r="C33" i="3" s="1"/>
  <c r="F7" i="5"/>
  <c r="D6" i="5"/>
  <c r="F32" i="3"/>
  <c r="H39" i="4"/>
  <c r="H5" i="5"/>
  <c r="D17" i="6"/>
  <c r="F15" i="6"/>
  <c r="D30" i="3"/>
  <c r="G32" i="3"/>
  <c r="D15" i="6"/>
  <c r="I17" i="6"/>
  <c r="H48" i="4" l="1"/>
  <c r="H53" i="4" s="1"/>
  <c r="H49" i="4"/>
  <c r="H54" i="4" s="1"/>
  <c r="H45" i="4"/>
  <c r="H50" i="4" s="1"/>
  <c r="H55" i="4" s="1"/>
  <c r="C29" i="4"/>
  <c r="C27" i="4"/>
  <c r="C26" i="4"/>
  <c r="F43" i="4"/>
  <c r="F40" i="4"/>
  <c r="F50" i="4" s="1"/>
  <c r="F55" i="4" s="1"/>
  <c r="F46" i="4"/>
  <c r="F44" i="4"/>
  <c r="F38" i="4"/>
  <c r="F45" i="4"/>
  <c r="F39" i="4"/>
  <c r="F49" i="4" s="1"/>
  <c r="F41" i="4"/>
  <c r="F51" i="4" s="1"/>
  <c r="F56" i="4" s="1"/>
  <c r="E39" i="4"/>
  <c r="E49" i="4" s="1"/>
  <c r="E54" i="4" s="1"/>
  <c r="E43" i="4"/>
  <c r="E46" i="4"/>
  <c r="E40" i="4"/>
  <c r="E44" i="4"/>
  <c r="E45" i="4"/>
  <c r="E38" i="4"/>
  <c r="E41" i="4"/>
  <c r="E51" i="4" s="1"/>
  <c r="E56" i="4" s="1"/>
  <c r="B13" i="7"/>
  <c r="B9" i="7"/>
  <c r="B24" i="7"/>
  <c r="B20" i="7"/>
  <c r="B12" i="7"/>
  <c r="B8" i="7"/>
  <c r="B23" i="7"/>
  <c r="B19" i="7"/>
  <c r="B11" i="7"/>
  <c r="B7" i="7"/>
  <c r="B22" i="7"/>
  <c r="B18" i="7"/>
  <c r="B10" i="7"/>
  <c r="B21" i="7"/>
  <c r="D45" i="4"/>
  <c r="D39" i="4"/>
  <c r="D49" i="4" s="1"/>
  <c r="D54" i="4" s="1"/>
  <c r="D43" i="4"/>
  <c r="D46" i="4"/>
  <c r="D40" i="4"/>
  <c r="D41" i="4"/>
  <c r="D38" i="4"/>
  <c r="D44" i="4"/>
  <c r="C42" i="3"/>
  <c r="C34" i="3"/>
  <c r="D10" i="5" s="1"/>
  <c r="C37" i="3"/>
  <c r="D9" i="5"/>
  <c r="D12" i="5" s="1"/>
  <c r="D33" i="3"/>
  <c r="C43" i="3"/>
  <c r="G46" i="4"/>
  <c r="G44" i="4"/>
  <c r="G40" i="4"/>
  <c r="G38" i="4"/>
  <c r="G48" i="4" s="1"/>
  <c r="G53" i="4" s="1"/>
  <c r="G41" i="4"/>
  <c r="G51" i="4" s="1"/>
  <c r="G56" i="4" s="1"/>
  <c r="G45" i="4"/>
  <c r="G39" i="4"/>
  <c r="G43" i="4"/>
  <c r="G50" i="4" l="1"/>
  <c r="G55" i="4" s="1"/>
  <c r="E50" i="4"/>
  <c r="E55" i="4" s="1"/>
  <c r="G49" i="4"/>
  <c r="G54" i="4" s="1"/>
  <c r="D15" i="5"/>
  <c r="D16" i="5" s="1"/>
  <c r="D13" i="5"/>
  <c r="E48" i="4"/>
  <c r="E53" i="4" s="1"/>
  <c r="F54" i="4"/>
  <c r="C60" i="4"/>
  <c r="B78" i="4"/>
  <c r="C35" i="3"/>
  <c r="D48" i="4"/>
  <c r="D53" i="4" s="1"/>
  <c r="F48" i="4"/>
  <c r="F53" i="4" s="1"/>
  <c r="D14" i="5"/>
  <c r="D18" i="5" s="1"/>
  <c r="D19" i="5" s="1"/>
  <c r="C44" i="3" s="1"/>
  <c r="D51" i="4"/>
  <c r="D56" i="4" s="1"/>
  <c r="D37" i="3"/>
  <c r="E9" i="5"/>
  <c r="E12" i="5" s="1"/>
  <c r="D42" i="3"/>
  <c r="D34" i="3"/>
  <c r="E10" i="5" s="1"/>
  <c r="D43" i="3"/>
  <c r="E33" i="3"/>
  <c r="D50" i="4"/>
  <c r="D55" i="4" s="1"/>
  <c r="C38" i="3" l="1"/>
  <c r="C39" i="3"/>
  <c r="C36" i="3"/>
  <c r="E14" i="5"/>
  <c r="C65" i="4"/>
  <c r="D65" i="4" s="1"/>
  <c r="C64" i="4"/>
  <c r="D64" i="4" s="1"/>
  <c r="C67" i="4"/>
  <c r="D67" i="4" s="1"/>
  <c r="C63" i="4"/>
  <c r="D63" i="4" s="1"/>
  <c r="C66" i="4"/>
  <c r="D66" i="4" s="1"/>
  <c r="E13" i="5"/>
  <c r="E15" i="5"/>
  <c r="E16" i="5" s="1"/>
  <c r="D35" i="3"/>
  <c r="F9" i="5"/>
  <c r="F12" i="5" s="1"/>
  <c r="E43" i="3"/>
  <c r="E35" i="3"/>
  <c r="E42" i="3"/>
  <c r="E37" i="3"/>
  <c r="F33" i="3"/>
  <c r="E34" i="3"/>
  <c r="F10" i="5" s="1"/>
  <c r="F13" i="5" l="1"/>
  <c r="F14" i="5" s="1"/>
  <c r="F15" i="5"/>
  <c r="F16" i="5" s="1"/>
  <c r="C40" i="3"/>
  <c r="C41" i="3" s="1"/>
  <c r="C45" i="3" s="1"/>
  <c r="E36" i="3"/>
  <c r="E39" i="3"/>
  <c r="E38" i="3"/>
  <c r="D36" i="3"/>
  <c r="D38" i="3"/>
  <c r="D39" i="3"/>
  <c r="E18" i="5"/>
  <c r="E19" i="5" s="1"/>
  <c r="D44" i="3" s="1"/>
  <c r="F43" i="3"/>
  <c r="G33" i="3"/>
  <c r="F42" i="3"/>
  <c r="F37" i="3"/>
  <c r="F34" i="3"/>
  <c r="G10" i="5" s="1"/>
  <c r="G9" i="5"/>
  <c r="G12" i="5" s="1"/>
  <c r="F35" i="3" l="1"/>
  <c r="F18" i="5"/>
  <c r="F19" i="5" s="1"/>
  <c r="E44" i="3" s="1"/>
  <c r="C47" i="3"/>
  <c r="G42" i="3"/>
  <c r="G34" i="3"/>
  <c r="H10" i="5" s="1"/>
  <c r="G37" i="3"/>
  <c r="H9" i="5"/>
  <c r="H12" i="5" s="1"/>
  <c r="C16" i="4"/>
  <c r="C28" i="4" s="1"/>
  <c r="G43" i="3"/>
  <c r="E40" i="3"/>
  <c r="E41" i="3" s="1"/>
  <c r="E45" i="3" s="1"/>
  <c r="E47" i="3" s="1"/>
  <c r="D40" i="3"/>
  <c r="D41" i="3" s="1"/>
  <c r="D45" i="3" s="1"/>
  <c r="F38" i="3"/>
  <c r="F39" i="3"/>
  <c r="F36" i="3"/>
  <c r="G13" i="5"/>
  <c r="G14" i="5" s="1"/>
  <c r="G18" i="5" s="1"/>
  <c r="G19" i="5" s="1"/>
  <c r="F44" i="3" s="1"/>
  <c r="G15" i="5"/>
  <c r="G16" i="5" s="1"/>
  <c r="G35" i="3" l="1"/>
  <c r="D47" i="3"/>
  <c r="G38" i="3"/>
  <c r="G39" i="3"/>
  <c r="G36" i="3"/>
  <c r="H14" i="5"/>
  <c r="H15" i="5"/>
  <c r="H16" i="5" s="1"/>
  <c r="H13" i="5"/>
  <c r="C72" i="4"/>
  <c r="C73" i="4"/>
  <c r="F40" i="3"/>
  <c r="F41" i="3"/>
  <c r="F45" i="3" s="1"/>
  <c r="F47" i="3" s="1"/>
  <c r="H18" i="5" l="1"/>
  <c r="H19" i="5" s="1"/>
  <c r="G44" i="3" s="1"/>
  <c r="C59" i="3"/>
  <c r="C60" i="3" s="1"/>
  <c r="C61" i="3" s="1"/>
  <c r="G40" i="3"/>
  <c r="G41" i="3" s="1"/>
  <c r="G45" i="3" s="1"/>
  <c r="I22" i="7" l="1"/>
  <c r="C9" i="7"/>
  <c r="G11" i="7"/>
  <c r="I19" i="7"/>
  <c r="D11" i="7"/>
  <c r="E18" i="7"/>
  <c r="G13" i="7"/>
  <c r="C51" i="3"/>
  <c r="C52" i="3" s="1"/>
  <c r="G47" i="3"/>
  <c r="C50" i="3" s="1"/>
  <c r="I9" i="7"/>
  <c r="H19" i="7"/>
  <c r="C7" i="7"/>
  <c r="H18" i="7"/>
  <c r="C24" i="7"/>
  <c r="E7" i="7"/>
  <c r="H7" i="7"/>
  <c r="C13" i="7"/>
  <c r="C12" i="7"/>
  <c r="C10" i="7"/>
  <c r="I10" i="7"/>
  <c r="H10" i="7"/>
  <c r="D22" i="7"/>
  <c r="I12" i="7"/>
  <c r="I24" i="7"/>
  <c r="E23" i="7"/>
  <c r="I21" i="7"/>
  <c r="D8" i="7"/>
  <c r="F10" i="7"/>
  <c r="F8" i="7"/>
  <c r="C21" i="7"/>
  <c r="E20" i="7"/>
  <c r="E9" i="7"/>
  <c r="H20" i="7"/>
  <c r="I20" i="7"/>
  <c r="C23" i="7"/>
  <c r="G20" i="7"/>
  <c r="F21" i="7"/>
  <c r="E13" i="7"/>
  <c r="E21" i="7"/>
  <c r="G22" i="7"/>
  <c r="D9" i="7"/>
  <c r="E19" i="7"/>
  <c r="H24" i="7"/>
  <c r="D20" i="7"/>
  <c r="D12" i="7"/>
  <c r="C8" i="7"/>
  <c r="H23" i="7"/>
  <c r="F22" i="7"/>
  <c r="D10" i="7"/>
  <c r="F12" i="7"/>
  <c r="F20" i="7"/>
  <c r="E24" i="7"/>
  <c r="F24" i="7"/>
  <c r="E8" i="7"/>
  <c r="H9" i="7"/>
  <c r="F18" i="7"/>
  <c r="G7" i="7"/>
  <c r="G9" i="7"/>
  <c r="H12" i="7"/>
  <c r="G19" i="7"/>
  <c r="G10" i="7"/>
  <c r="E11" i="7"/>
  <c r="G8" i="7"/>
  <c r="I11" i="7"/>
  <c r="G12" i="7"/>
  <c r="I7" i="7"/>
  <c r="C19" i="7"/>
  <c r="G23" i="7"/>
  <c r="I13" i="7"/>
  <c r="F11" i="7"/>
  <c r="D13" i="7"/>
  <c r="C20" i="7"/>
  <c r="H13" i="7"/>
  <c r="H11" i="7"/>
  <c r="H8" i="7"/>
  <c r="D21" i="7"/>
  <c r="G24" i="7"/>
  <c r="E12" i="7"/>
  <c r="C18" i="7"/>
  <c r="E22" i="7"/>
  <c r="I18" i="7"/>
  <c r="E10" i="7"/>
  <c r="D7" i="7"/>
  <c r="G21" i="7"/>
  <c r="D19" i="7"/>
  <c r="D18" i="7"/>
  <c r="G18" i="7"/>
  <c r="C22" i="7"/>
  <c r="C11" i="7"/>
  <c r="F9" i="7"/>
  <c r="H22" i="7"/>
  <c r="D23" i="7"/>
  <c r="D24" i="7"/>
  <c r="I23" i="7"/>
  <c r="F19" i="7"/>
  <c r="H21" i="7"/>
  <c r="I8" i="7"/>
  <c r="F13" i="7"/>
  <c r="F23" i="7"/>
  <c r="F7" i="7"/>
  <c r="C58" i="3" l="1"/>
  <c r="C62" i="3" s="1"/>
  <c r="C53" i="3"/>
  <c r="C17" i="4" l="1"/>
  <c r="C54" i="3"/>
  <c r="C55" i="3" s="1"/>
  <c r="C16" i="1" s="1"/>
  <c r="C63" i="3"/>
  <c r="C64" i="3" s="1"/>
  <c r="C17" i="1" s="1"/>
  <c r="D17" i="1" s="1"/>
  <c r="C10" i="1" l="1"/>
  <c r="D16" i="1"/>
  <c r="C21" i="1"/>
  <c r="C19" i="4"/>
  <c r="C20" i="4" s="1"/>
  <c r="B79" i="4" s="1"/>
  <c r="B29" i="1" l="1"/>
  <c r="C12" i="1"/>
  <c r="C11" i="1" s="1"/>
  <c r="B26" i="1" l="1"/>
</calcChain>
</file>

<file path=xl/sharedStrings.xml><?xml version="1.0" encoding="utf-8"?>
<sst xmlns="http://schemas.openxmlformats.org/spreadsheetml/2006/main" count="426" uniqueCount="342">
  <si>
    <t>DISCLAIMER: This is a sample analysis for demonstration purposes only. It does not constitute investment advice.</t>
  </si>
  <si>
    <t>富士通 (6702.T)</t>
  </si>
  <si>
    <t>Equity Research Report</t>
  </si>
  <si>
    <t>Company</t>
  </si>
  <si>
    <t>富士通</t>
  </si>
  <si>
    <t>Ticker</t>
  </si>
  <si>
    <t>6702.T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</si>
  <si>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</si>
  <si>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</si>
  <si>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</si>
  <si>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</si>
  <si>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</si>
  <si>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</si>
  <si>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</si>
  <si>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</si>
  <si>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</si>
  <si>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</si>
  <si>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</si>
  <si>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</si>
  <si>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</si>
  <si>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</si>
  <si>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</si>
  <si>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</si>
  <si>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</si>
  <si>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</si>
  <si>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has fallen for three consecutive years on divestitures, and the base case assumes the shrinking stops — which the reported top line has not yet shown.</t>
  </si>
  <si>
    <t>富士通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</si>
  <si>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</si>
  <si>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</si>
  <si>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</si>
  <si>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</si>
  <si>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</si>
  <si>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</si>
  <si>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</si>
  <si>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</si>
  <si>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</si>
  <si>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</si>
  <si>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</si>
  <si>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</si>
  <si>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</si>
  <si>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</si>
  <si>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</si>
  <si>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</si>
  <si>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</si>
  <si>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</si>
  <si>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</si>
  <si>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</si>
  <si>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</si>
  <si>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</si>
  <si>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</si>
  <si>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</si>
  <si>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</si>
  <si>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</si>
  <si>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</si>
  <si>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</si>
  <si>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富士通</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</si>
  <si>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</si>
  <si>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</si>
  <si>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</si>
  <si>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</si>
  <si>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</si>
  <si>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</si>
  <si>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</si>
  <si>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</si>
  <si>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</si>
  <si>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</si>
  <si>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</si>
  <si>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</si>
  <si>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</si>
  <si>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</si>
  <si>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</si>
  <si>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</si>
  <si>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</si>
  <si>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</si>
  <si>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</si>
  <si>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</si>
  <si>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</si>
  <si>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</si>
  <si>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</si>
  <si>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</si>
  <si>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</si>
  <si>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</si>
  <si>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</si>
  <si>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</si>
  <si>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</si>
  <si>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</si>
  <si>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</si>
  <si>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</si>
  <si>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</si>
  <si>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</si>
  <si>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</si>
  <si>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</si>
  <si>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</si>
  <si>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</si>
  <si>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</si>
  <si>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</si>
  <si>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</si>
  <si>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</si>
  <si>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</si>
  <si>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</si>
  <si>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</si>
  <si>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</si>
  <si>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</si>
  <si>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</si>
  <si>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</si>
  <si>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</si>
  <si>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</si>
  <si>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</si>
  <si>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</si>
  <si>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</si>
  <si>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</si>
  <si>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</si>
  <si>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</si>
  <si>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</si>
  <si>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</si>
  <si>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</si>
  <si>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</si>
  <si>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</si>
  <si>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</si>
  <si>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富士通 (6702.T)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</si>
  <si>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</si>
  <si>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</si>
  <si>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</si>
  <si>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</si>
  <si>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</si>
  <si>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</si>
  <si>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</si>
  <si>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</si>
  <si>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</si>
  <si>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</si>
  <si>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</si>
  <si>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</si>
  <si>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</si>
  <si>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</si>
  <si>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</si>
  <si>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</si>
  <si>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</si>
  <si>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</si>
  <si>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</si>
  <si>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</si>
  <si>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</si>
  <si>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</si>
  <si>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</si>
  <si>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</si>
  <si>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</si>
  <si>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</si>
  <si>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</si>
  <si>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</si>
  <si>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</si>
  <si>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</si>
  <si>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</si>
  <si>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</si>
  <si>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</si>
  <si>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</si>
  <si>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</si>
  <si>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</si>
  <si>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</si>
  <si>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</si>
  <si>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</si>
  <si>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</si>
  <si>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</si>
  <si>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</si>
  <si>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</si>
  <si>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</si>
  <si>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</si>
  <si>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</si>
  <si>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</si>
  <si>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</si>
  <si>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</si>
  <si>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</si>
  <si>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</si>
  <si>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富士通</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</si>
  <si>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</si>
  <si>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</si>
  <si>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</si>
  <si>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</si>
  <si>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</si>
  <si>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</si>
  <si>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</si>
  <si>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</si>
  <si>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</si>
  <si>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</si>
  <si>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</si>
  <si>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</si>
  <si>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</si>
  <si>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</si>
  <si>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</si>
  <si>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</si>
  <si>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</si>
  <si>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</si>
  <si>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</si>
  <si>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</si>
  <si>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</si>
  <si>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</si>
  <si>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</si>
  <si>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</si>
  <si>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</si>
  <si>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</si>
  <si>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</si>
  <si>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</si>
  <si>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</si>
  <si>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</si>
  <si>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</si>
  <si>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</si>
  <si>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</si>
  <si>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</si>
  <si>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Fujitsu Limited</t>
  </si>
  <si>
    <t>6702.T</t>
  </si>
  <si>
    <t>NEC Corporation</t>
  </si>
  <si>
    <t>6701.T</t>
  </si>
  <si>
    <t>Nomura Research Institute, Ltd.</t>
  </si>
  <si>
    <t>4307.T</t>
  </si>
  <si>
    <t>Mitsubishi Electric Corporation</t>
  </si>
  <si>
    <t>6503.T</t>
  </si>
  <si>
    <t>Panasonic Holdings Corporation</t>
  </si>
  <si>
    <t>6752.T</t>
  </si>
  <si>
    <t>Hitachi, Ltd.</t>
  </si>
  <si>
    <t>6501.T</t>
  </si>
  <si>
    <t>Statistics</t>
  </si>
  <si>
    <t>25th Percentile</t>
  </si>
  <si>
    <t>Median (50th)</t>
  </si>
  <si>
    <t>75th Percentile</t>
  </si>
  <si>
    <t>Implied Valuation for 富士通</t>
  </si>
  <si>
    <t>富士通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</si>
  <si>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</si>
  <si>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</si>
  <si>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</si>
  <si>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</si>
  <si>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</si>
  <si>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</si>
  <si>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</si>
  <si>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</si>
  <si>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</si>
  <si>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</si>
  <si>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</si>
  <si>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</si>
  <si>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</si>
  <si>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</si>
  <si>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</si>
  <si>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富士通</t>
  </si>
  <si>
    <t>日付</t>
  </si>
  <si>
    <t>セル</t>
  </si>
  <si>
    <t>変更内容</t>
  </si>
  <si>
    <t>理由</t>
  </si>
  <si>
    <t>元の値</t>
  </si>
  <si>
    <t>状態</t>
  </si>
  <si>
    <t>2026-09-06</t>
  </si>
  <si>
    <t>-</t>
  </si>
  <si>
    <t>Generated by pipeline on 2026-09-06 19:17, template rev 63983ab</t>
  </si>
  <si>
    <t>初期生成（手修正なし）</t>
  </si>
  <si>
    <t>generated</t>
  </si>
  <si>
    <t>DCF Model!C8</t>
  </si>
  <si>
    <t>Beta = 0.861（採用値）</t>
  </si>
  <si>
    <t>実測β(raw) = 0.793 → Blume調整 0.67×raw + 0.33×1.00 = 0.861 → 採用 0.861。クランプ域 [0.3, 2.0] の内側。置換なし。回帰βは平均回帰するため Blume 調整を既定とする（2026-09-05 バッチで85件中57件が旧下限 0.60 に張り付き、両裾の歪みが実証された）。</t>
  </si>
  <si>
    <t>実測 0.793</t>
  </si>
  <si>
    <t>確定</t>
  </si>
  <si>
    <t>Pipeline Metadata (do not edit — read by scripts/validate_output.py)</t>
  </si>
  <si>
    <t>key</t>
  </si>
  <si>
    <t>value</t>
  </si>
  <si>
    <t>auto_log_entries</t>
  </si>
  <si>
    <t>1</t>
  </si>
  <si>
    <t>beta_adopted_c8</t>
  </si>
  <si>
    <t>0.861</t>
  </si>
  <si>
    <t>beta_basis</t>
  </si>
  <si>
    <t>Blume: 0.67 x 0.793 + 0.33 x 1.00 = 0.861</t>
  </si>
  <si>
    <t>beta_blume_adjusted</t>
  </si>
  <si>
    <t>beta_clamped</t>
  </si>
  <si>
    <t>no</t>
  </si>
  <si>
    <t>beta_raw</t>
  </si>
  <si>
    <t>0.7926</t>
  </si>
  <si>
    <t>capex_pct_basis</t>
  </si>
  <si>
    <t>explicit_override</t>
  </si>
  <si>
    <t>capex_pct_c5</t>
  </si>
  <si>
    <t>0.042</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</si>
  <si>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</si>
  <si>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</si>
  <si>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</si>
  <si>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</si>
  <si>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</si>
  <si>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</si>
  <si>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</si>
  <si>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</si>
  <si>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</si>
  <si>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</si>
  <si>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</si>
  <si>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</si>
  <si>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</si>
  <si>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</si>
  <si>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</si>
  <si>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</si>
  <si>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</si>
  <si>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</si>
  <si>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</si>
  <si>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</si>
  <si>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</si>
  <si>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489556.0</t>
  </si>
  <si>
    <t>core_net_income</t>
  </si>
  <si>
    <t>449408.0</t>
  </si>
  <si>
    <t>cost_of_debt_at_c11</t>
  </si>
  <si>
    <t>0.01</t>
  </si>
  <si>
    <t>cost_of_debt_basis</t>
  </si>
  <si>
    <t>assumption</t>
  </si>
  <si>
    <t>da_pct_basis</t>
  </si>
  <si>
    <t>da_pct_c18</t>
  </si>
  <si>
    <t>0.04</t>
  </si>
  <si>
    <t>da_pct_hist3yr</t>
  </si>
  <si>
    <t>0.03685</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</si>
  <si>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</si>
  <si>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</si>
  <si>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</si>
  <si>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</si>
  <si>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</si>
  <si>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</si>
  <si>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</si>
  <si>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</si>
  <si>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</si>
  <si>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19:17:58</t>
  </si>
  <si>
    <t>guidance_note</t>
  </si>
  <si>
    <t>TDnet 決算短信 via screener guidance table: FY2027 disclosed 2026-07-30 (net_income=310,000mn, operating_income=415,000mn, revenue=3,510,000mn)</t>
  </si>
  <si>
    <t>guidance_source</t>
  </si>
  <si>
    <t>tdnet_screener_db</t>
  </si>
  <si>
    <t>latest_operating_income</t>
  </si>
  <si>
    <t>348329.0</t>
  </si>
  <si>
    <t>ltm_revenue_c20</t>
  </si>
  <si>
    <t>3502971.0</t>
  </si>
  <si>
    <t>ltm_revenue_source</t>
  </si>
  <si>
    <t>latest FY (no LTM)</t>
  </si>
  <si>
    <t>market_data_source</t>
  </si>
  <si>
    <t>yfinance; from overrides: beta, current_price, shares_outstanding</t>
  </si>
  <si>
    <t>narrative_tokens_used</t>
  </si>
  <si>
    <t>pb,per,price,target_price,upside_pct,wacc</t>
  </si>
  <si>
    <t>net_debt_source</t>
  </si>
  <si>
    <t>UNAVAILABLE (no net_debt, and total_debt/cash incomplete)</t>
  </si>
  <si>
    <t>reverse_dcf_sheet</t>
  </si>
  <si>
    <t>op0=348,329(FY2026) peak=348,329(FY2026) peak_opm=0.0994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</si>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</sst>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3900</v>
      </c>
    </row>
    <row r="10" spans="2:5" ht="14" x14ac:dyDescent="0.3">
      <c r="B10" s="4" t="s">
        <v>10</v>
      </c>
      <c r="C10" s="5">
        <f>IF(COUNT(C16:C17)=0,"N/A",ROUND(AVERAGE(C16:C17),0))</f>
        <v>2795</v>
      </c>
    </row>
    <row r="11" spans="2:5" ht="14" x14ac:dyDescent="0.3">
      <c r="B11" s="4" t="s">
        <v>11</v>
      </c>
      <c r="C11" s="6" t="str">
        <f>IF(NOT(ISNUMBER(C12)),"N/A",IF(C12&gt;0.15,"BUY",IF(C12&gt;0.05,"HOLD","SELL")))</f>
        <v>SELL</v>
      </c>
    </row>
    <row r="12" spans="2:5" ht="14" x14ac:dyDescent="0.3">
      <c r="B12" s="4" t="s">
        <v>12</v>
      </c>
      <c r="C12" s="7">
        <f>IF(ISNUMBER(C10),(C10-C9)/C9,"N/A")</f>
        <v>-0.28333333333333333</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1829</v>
      </c>
      <c r="D16" s="7">
        <f>IF(ISNUMBER(C16),(C16-C9)/C9,"N/A")</f>
        <v>-0.53102564102564098</v>
      </c>
    </row>
    <row r="17" spans="2:5" ht="13.5" x14ac:dyDescent="0.25">
      <c r="B17" t="s">
        <v>18</v>
      </c>
      <c r="C17" s="11">
        <f>IF('DCF Model'!C62&lt;'DCF Model'!C16,"INVALID (EV &lt; net debt)",'DCF Model'!C64)</f>
        <v>3761</v>
      </c>
      <c r="D17" s="7">
        <f>IF(ISNUMBER(C17),(C17-C9)/C9,"N/A")</f>
        <v>-3.5641025641025642E-2</v>
      </c>
    </row>
    <row r="18" spans="2:5" ht="13.5" x14ac:dyDescent="0.25">
      <c r="B18" t="s">
        <v>19</v>
      </c>
      <c r="C18" s="11">
        <f>'Comps Analysis'!C27</f>
        <v>4582</v>
      </c>
      <c r="D18" s="7">
        <f>IF(ISNUMBER(C18),(C18-C9)/C9,"N/A")</f>
        <v>0.17487179487179488</v>
      </c>
    </row>
    <row r="19" spans="2:5" ht="13.5" x14ac:dyDescent="0.25">
      <c r="B19" t="s">
        <v>20</v>
      </c>
      <c r="C19" s="11">
        <f>'Comps Analysis'!C28</f>
        <v>7788</v>
      </c>
      <c r="D19" s="7">
        <f>IF(ISNUMBER(C19),(C19-C9)/C9,"N/A")</f>
        <v>0.99692307692307691</v>
      </c>
    </row>
    <row r="20" spans="2:5" ht="14" x14ac:dyDescent="0.3">
      <c r="B20" s="45" t="s">
        <v>21</v>
      </c>
      <c r="C20" s="44"/>
      <c r="D20" s="44"/>
      <c r="E20" s="44"/>
    </row>
    <row r="21" spans="2:5" ht="14" x14ac:dyDescent="0.3">
      <c r="B21" s="4" t="s">
        <v>22</v>
      </c>
      <c r="C21" s="6" t="str">
        <f>IF(COUNT(C16:C17)=0,"N/A",MIN(C16:C17)&amp;" - "&amp;MAX(C16:C17))</f>
        <v>1829 - 3761</v>
      </c>
    </row>
    <row r="23" spans="2:5" ht="14" x14ac:dyDescent="0.3">
      <c r="B23" s="8" t="s">
        <v>23</v>
      </c>
      <c r="C23" s="9"/>
      <c r="D23" s="9"/>
    </row>
    <row r="24" spans="2:5" x14ac:dyDescent="0.2">
      <c r="B24" t="str">
        <f>"Fujitsu has narrowed to domestic IT services and Uvance while shedding hardware, and the operating margin has recovered to the top of its four-year range; the shares trade at "&amp;TEXT('Comps Analysis'!L5,"0.0""x""")&amp;" earnings and "&amp;TEXT('Comps Analysis'!M5,"0.00""x""")&amp;" book."</f>
        <v>Fujitsu has narrowed to domestic IT services and Uvance while shedding hardware, and the operating margin has recovered to the top of its four-year range; the shares trade at 15.0x earnings and 3.33x book.</v>
      </c>
    </row>
    <row r="25" spans="2:5" x14ac:dyDescent="0.2">
      <c r="B25" t="str">
        <f>"The balance sheet is net cash with interest-bearing debt at just four percent of revenue, so the "&amp;TEXT('DCF Model'!C26,"0.00%")&amp;" discount rate is the cost of equity with no leverage assumed."</f>
        <v>The balance sheet is net cash with interest-bearing debt at just four percent of revenue, so the 9.57% discount rate is the cost of equity with no leverage assumed.</v>
      </c>
    </row>
    <row r="26" spans="2:5" x14ac:dyDescent="0.2">
      <c r="B26" t="str">
        <f>"At "&amp;TEXT(C9,"#,##0")&amp;" the shares are valued below the diversified-electronics and IT-services peer median on EV/EBITDA; a base case that holds the current margin supports "&amp;TEXT(C10,"#,##0")&amp;", or "&amp;TEXT(C12,"+0.0%;-0.0%")&amp;" from here."</f>
        <v>At 3,900 the shares are valued below the diversified-electronics and IT-services peer median on EV/EBITDA; a base case that holds the current margin supports 2,795, or -28.3% from here.</v>
      </c>
    </row>
    <row r="28" spans="2:5" ht="14" x14ac:dyDescent="0.3">
      <c r="B28" s="8" t="s">
        <v>24</v>
      </c>
      <c r="C28" s="9"/>
      <c r="D28" s="9"/>
    </row>
    <row r="29" spans="2:5" x14ac:dyDescent="0.2">
      <c r="B29" t="str">
        <f>"The operating margin was 4.29% just two years ago on restructuring charges, so the recovery behind "&amp;TEXT(C10,"#,##0")&amp;" is only two years old and the second downside case returns to that level."</f>
        <v>The operating margin was 4.29% just two years ago on restructuring charges, so the recovery behind 2,795 is only two years old and the second downside case returns to that level.</v>
      </c>
    </row>
    <row r="30" spans="2:5" x14ac:dyDescent="0.2">
      <c r="B30" t="s">
        <v>25</v>
      </c>
    </row>
    <row r="31" spans="2:5" x14ac:dyDescent="0.2">
      <c r="B31" t="str">
        <f>"Reported net income in the latest year far exceeded operating income, so the "&amp;TEXT('Comps Analysis'!L5,"0.0""x""")&amp;" the market pays is measured against an earnings base that includes items the operating result does not."</f>
        <v>Reported net income in the latest year far exceeded operating income, so the 15.0x the market pays is measured against an earnings base that includes items the operating result does not.</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3713767</v>
      </c>
      <c r="D6" s="5">
        <v>3476985</v>
      </c>
      <c r="E6" s="5">
        <v>3550116</v>
      </c>
      <c r="F6" s="5">
        <v>3502971</v>
      </c>
    </row>
    <row r="7" spans="2:6" ht="14" x14ac:dyDescent="0.3">
      <c r="B7" s="4" t="s">
        <v>33</v>
      </c>
      <c r="C7" s="5">
        <v>2569685</v>
      </c>
      <c r="D7" s="5">
        <v>2358996</v>
      </c>
      <c r="E7" s="5">
        <v>2382138</v>
      </c>
      <c r="F7" s="5">
        <v>2256104</v>
      </c>
    </row>
    <row r="8" spans="2:6" ht="14" x14ac:dyDescent="0.3">
      <c r="B8" s="4" t="s">
        <v>34</v>
      </c>
      <c r="C8" s="5">
        <f>C6-C7</f>
        <v>1144082</v>
      </c>
      <c r="D8" s="5">
        <f>D6-D7</f>
        <v>1117989</v>
      </c>
      <c r="E8" s="5">
        <f>E6-E7</f>
        <v>1167978</v>
      </c>
      <c r="F8" s="5">
        <f>F6-F7</f>
        <v>1246867</v>
      </c>
    </row>
    <row r="9" spans="2:6" ht="13.5" x14ac:dyDescent="0.25">
      <c r="B9" t="s">
        <v>35</v>
      </c>
      <c r="C9" s="7">
        <f>C8/C6</f>
        <v>0.30806509939907378</v>
      </c>
      <c r="D9" s="7">
        <f>D8/D6</f>
        <v>0.32153978231139912</v>
      </c>
      <c r="E9" s="7">
        <f>E8/E6</f>
        <v>0.32899713699496014</v>
      </c>
      <c r="F9" s="7">
        <f>F8/F6</f>
        <v>0.35594556734840227</v>
      </c>
    </row>
    <row r="10" spans="2:6" ht="14" x14ac:dyDescent="0.3">
      <c r="B10" s="4" t="s">
        <v>36</v>
      </c>
      <c r="C10" s="5">
        <v>808468</v>
      </c>
      <c r="D10" s="5">
        <v>968663</v>
      </c>
      <c r="E10" s="5">
        <v>902889</v>
      </c>
      <c r="F10" s="5">
        <v>898538</v>
      </c>
    </row>
    <row r="11" spans="2:6" ht="14" x14ac:dyDescent="0.3">
      <c r="B11" s="4" t="s">
        <v>37</v>
      </c>
      <c r="C11" s="5">
        <v>335614</v>
      </c>
      <c r="D11" s="5">
        <v>149326</v>
      </c>
      <c r="E11" s="5">
        <v>265089</v>
      </c>
      <c r="F11" s="5">
        <v>348329</v>
      </c>
    </row>
    <row r="12" spans="2:6" ht="14" x14ac:dyDescent="0.3">
      <c r="B12" s="4" t="s">
        <v>38</v>
      </c>
      <c r="C12" s="5">
        <v>215182</v>
      </c>
      <c r="D12" s="5">
        <v>254478</v>
      </c>
      <c r="E12" s="5">
        <v>219807</v>
      </c>
      <c r="F12" s="5">
        <v>449408</v>
      </c>
    </row>
    <row r="13" spans="2:6" ht="13.5" x14ac:dyDescent="0.25">
      <c r="B13" t="s">
        <v>39</v>
      </c>
      <c r="C13" s="7">
        <f>C11/C6</f>
        <v>9.0370235935641627E-2</v>
      </c>
      <c r="D13" s="7">
        <f>D11/D6</f>
        <v>4.2946978488546832E-2</v>
      </c>
      <c r="E13" s="7">
        <f>E11/E6</f>
        <v>7.4670517808432174E-2</v>
      </c>
      <c r="F13" s="7">
        <f>F11/F6</f>
        <v>9.9438162633947016E-2</v>
      </c>
    </row>
    <row r="14" spans="2:6" ht="13.5" x14ac:dyDescent="0.25">
      <c r="B14" t="s">
        <v>40</v>
      </c>
      <c r="C14" s="7">
        <f>C12/C6</f>
        <v>5.7941707166873961E-2</v>
      </c>
      <c r="D14" s="7">
        <f>D12/D6</f>
        <v>7.3189271739740033E-2</v>
      </c>
      <c r="E14" s="7">
        <f>E12/E6</f>
        <v>6.1915441636273293E-2</v>
      </c>
      <c r="F14" s="7">
        <f>F12/F6</f>
        <v>0.12829338295977899</v>
      </c>
    </row>
    <row r="15" spans="2:6" ht="13.5" x14ac:dyDescent="0.25">
      <c r="B15" t="s">
        <v>41</v>
      </c>
      <c r="C15" t="s">
        <v>42</v>
      </c>
      <c r="D15" s="7">
        <f>(D6-C6)/C6</f>
        <v>-6.3757904036521401E-2</v>
      </c>
      <c r="E15" s="7">
        <f>(E6-D6)/D6</f>
        <v>2.1032877622422876E-2</v>
      </c>
      <c r="F15" s="7">
        <f>(F6-E6)/E6</f>
        <v>-1.3279847757087375E-2</v>
      </c>
    </row>
    <row r="16" spans="2:6" ht="13.5" x14ac:dyDescent="0.25">
      <c r="B16" t="s">
        <v>43</v>
      </c>
      <c r="C16" t="s">
        <v>42</v>
      </c>
      <c r="D16" s="7">
        <f>(D11-C11)/C11</f>
        <v>-0.55506623680776135</v>
      </c>
      <c r="E16" s="7">
        <f>(E11-D11)/D11</f>
        <v>0.77523673037515239</v>
      </c>
      <c r="F16" s="7">
        <f>(F11-E11)/E11</f>
        <v>0.31400774834112316</v>
      </c>
    </row>
    <row r="18" spans="2:6" ht="14" x14ac:dyDescent="0.3">
      <c r="B18" s="3" t="s">
        <v>44</v>
      </c>
    </row>
    <row r="19" spans="2:6" ht="14" x14ac:dyDescent="0.3">
      <c r="B19" s="4" t="s">
        <v>45</v>
      </c>
      <c r="C19" s="5">
        <v>220329</v>
      </c>
      <c r="D19" s="5">
        <v>309221</v>
      </c>
      <c r="E19" s="5">
        <v>303882</v>
      </c>
      <c r="F19" s="5">
        <v>338130</v>
      </c>
    </row>
    <row r="20" spans="2:6" ht="14" x14ac:dyDescent="0.3">
      <c r="B20" s="4" t="s">
        <v>46</v>
      </c>
      <c r="C20" s="5"/>
      <c r="D20" s="5"/>
      <c r="E20" s="5"/>
      <c r="F20" s="5"/>
    </row>
    <row r="21" spans="2:6" ht="14" x14ac:dyDescent="0.3">
      <c r="B21" s="4" t="s">
        <v>47</v>
      </c>
    </row>
    <row r="22" spans="2:6" x14ac:dyDescent="0.2">
      <c r="B22" t="s">
        <v>48</v>
      </c>
    </row>
    <row r="23" spans="2:6" x14ac:dyDescent="0.2">
      <c r="B23" t="s">
        <v>49</v>
      </c>
    </row>
    <row r="25" spans="2:6" ht="14" x14ac:dyDescent="0.3">
      <c r="B25" s="3" t="s">
        <v>50</v>
      </c>
    </row>
    <row r="26" spans="2:6" ht="14" x14ac:dyDescent="0.3">
      <c r="B26" s="4" t="s">
        <v>51</v>
      </c>
      <c r="C26" s="5">
        <v>355901</v>
      </c>
      <c r="D26" s="5">
        <v>342139</v>
      </c>
      <c r="E26" s="5">
        <v>236079</v>
      </c>
      <c r="F26" s="5">
        <v>450366</v>
      </c>
    </row>
    <row r="27" spans="2:6" ht="14" x14ac:dyDescent="0.3">
      <c r="B27" s="4" t="s">
        <v>52</v>
      </c>
      <c r="C27" s="5"/>
      <c r="D27" s="5"/>
      <c r="E27" s="5"/>
      <c r="F27" s="5"/>
    </row>
    <row r="28" spans="2:6" ht="14" x14ac:dyDescent="0.3">
      <c r="B28" s="4" t="s">
        <v>53</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49</v>
      </c>
      <c r="C5" s="7">
        <v>4.2000000000000003E-2</v>
      </c>
    </row>
    <row r="6" spans="2:7" ht="14" x14ac:dyDescent="0.3">
      <c r="B6" s="4" t="s">
        <v>57</v>
      </c>
      <c r="C6" s="7">
        <v>0.25</v>
      </c>
    </row>
    <row r="7" spans="2:7" ht="14" x14ac:dyDescent="0.3">
      <c r="B7" s="4" t="s">
        <v>58</v>
      </c>
      <c r="C7" s="7">
        <v>2.9700000000000001E-2</v>
      </c>
    </row>
    <row r="8" spans="2:7" ht="14" x14ac:dyDescent="0.3">
      <c r="B8" s="4" t="s">
        <v>59</v>
      </c>
      <c r="C8" s="12">
        <v>0.86099999999999999</v>
      </c>
    </row>
    <row r="9" spans="2:7" ht="14" x14ac:dyDescent="0.3">
      <c r="B9" s="4" t="s">
        <v>60</v>
      </c>
      <c r="C9" s="7">
        <v>6.5000000000000002E-2</v>
      </c>
    </row>
    <row r="10" spans="2:7" ht="14" x14ac:dyDescent="0.3">
      <c r="B10" s="4" t="s">
        <v>61</v>
      </c>
      <c r="C10" s="7">
        <v>0.01</v>
      </c>
    </row>
    <row r="11" spans="2:7" ht="14" x14ac:dyDescent="0.3">
      <c r="B11" s="4" t="s">
        <v>62</v>
      </c>
      <c r="C11" s="7">
        <v>0.01</v>
      </c>
    </row>
    <row r="12" spans="2:7" ht="14" x14ac:dyDescent="0.3">
      <c r="B12" s="4" t="s">
        <v>63</v>
      </c>
      <c r="C12" s="13">
        <v>0</v>
      </c>
    </row>
    <row r="13" spans="2:7" ht="14" x14ac:dyDescent="0.3">
      <c r="B13" s="4" t="s">
        <v>64</v>
      </c>
      <c r="C13" s="7">
        <v>0.01</v>
      </c>
    </row>
    <row r="14" spans="2:7" ht="14" x14ac:dyDescent="0.3">
      <c r="B14" s="4" t="s">
        <v>65</v>
      </c>
      <c r="C14" s="14">
        <v>15.6</v>
      </c>
    </row>
    <row r="15" spans="2:7" ht="14" x14ac:dyDescent="0.3">
      <c r="B15" s="4" t="s">
        <v>66</v>
      </c>
      <c r="C15" s="15">
        <v>1731026775</v>
      </c>
    </row>
    <row r="16" spans="2:7" ht="14" x14ac:dyDescent="0.3">
      <c r="B16" s="4" t="s">
        <v>67</v>
      </c>
      <c r="C16" s="5">
        <v>-317272</v>
      </c>
    </row>
    <row r="17" spans="2:7" ht="14" x14ac:dyDescent="0.3">
      <c r="B17" s="4" t="s">
        <v>68</v>
      </c>
      <c r="C17" s="5">
        <v>3502971</v>
      </c>
    </row>
    <row r="18" spans="2:7" ht="14" x14ac:dyDescent="0.3">
      <c r="B18" s="4" t="s">
        <v>69</v>
      </c>
      <c r="C18" s="7">
        <v>0.04</v>
      </c>
    </row>
    <row r="19" spans="2:7" ht="14" x14ac:dyDescent="0.3">
      <c r="B19" s="4" t="s">
        <v>70</v>
      </c>
      <c r="C19" s="12">
        <v>1</v>
      </c>
    </row>
    <row r="20" spans="2:7" ht="14" x14ac:dyDescent="0.3">
      <c r="B20" s="4" t="s">
        <v>71</v>
      </c>
      <c r="C20" s="5">
        <v>3502971</v>
      </c>
    </row>
    <row r="22" spans="2:7" ht="14" x14ac:dyDescent="0.3">
      <c r="B22" s="8" t="s">
        <v>72</v>
      </c>
      <c r="C22" s="9"/>
      <c r="D22" s="9"/>
      <c r="E22" s="9"/>
      <c r="F22" s="9"/>
      <c r="G22" s="9"/>
    </row>
    <row r="23" spans="2:7" ht="14" x14ac:dyDescent="0.3">
      <c r="B23" s="4" t="s">
        <v>73</v>
      </c>
      <c r="C23" s="16">
        <f>C7+C8*C9+C10</f>
        <v>9.5665E-2</v>
      </c>
    </row>
    <row r="24" spans="2:7" ht="14" x14ac:dyDescent="0.3">
      <c r="B24" s="4" t="s">
        <v>74</v>
      </c>
      <c r="C24" s="16">
        <f>1/(1+C12)</f>
        <v>1</v>
      </c>
    </row>
    <row r="25" spans="2:7" ht="14" x14ac:dyDescent="0.3">
      <c r="B25" s="4" t="s">
        <v>75</v>
      </c>
      <c r="C25" s="16">
        <f>C12/(1+C12)</f>
        <v>0</v>
      </c>
    </row>
    <row r="26" spans="2:7" ht="14" x14ac:dyDescent="0.3">
      <c r="B26" s="4" t="s">
        <v>76</v>
      </c>
      <c r="C26" s="16">
        <f>C23*C24+C11*C25</f>
        <v>9.5665E-2</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41</v>
      </c>
      <c r="C30" s="18">
        <f>CHOOSE($D$27,C69,C70,C71,C72,C73)</f>
        <v>0.02</v>
      </c>
      <c r="D30" s="18">
        <f>CHOOSE($D$27,D69,D70,D71,D72,D73)</f>
        <v>2.5000000000000001E-2</v>
      </c>
      <c r="E30" s="18">
        <f>CHOOSE($D$27,E69,E70,E71,E72,E73)</f>
        <v>2.5000000000000001E-2</v>
      </c>
      <c r="F30" s="18">
        <f>CHOOSE($D$27,F69,F70,F71,F72,F73)</f>
        <v>2.5000000000000001E-2</v>
      </c>
      <c r="G30" s="18">
        <f>CHOOSE($D$27,G69,G70,G71,G72,G73)</f>
        <v>0.02</v>
      </c>
    </row>
    <row r="31" spans="2:7" ht="14" x14ac:dyDescent="0.3">
      <c r="B31" s="4" t="s">
        <v>85</v>
      </c>
      <c r="C31" s="18">
        <f>CHOOSE($D$27,C76,C77,C78,C79,C80)</f>
        <v>0.64400000000000002</v>
      </c>
      <c r="D31" s="18">
        <f>CHOOSE($D$27,D76,D77,D78,D79,D80)</f>
        <v>0.64400000000000002</v>
      </c>
      <c r="E31" s="18">
        <f>CHOOSE($D$27,E76,E77,E78,E79,E80)</f>
        <v>0.64400000000000002</v>
      </c>
      <c r="F31" s="18">
        <f>CHOOSE($D$27,F76,F77,F78,F79,F80)</f>
        <v>0.64400000000000002</v>
      </c>
      <c r="G31" s="18">
        <f>CHOOSE($D$27,G76,G77,G78,G79,G80)</f>
        <v>0.64400000000000002</v>
      </c>
    </row>
    <row r="32" spans="2:7" ht="14" x14ac:dyDescent="0.3">
      <c r="B32" s="4" t="s">
        <v>86</v>
      </c>
      <c r="C32" s="18">
        <f>CHOOSE($D$27,C83,C84,C85,C86,C87)</f>
        <v>0.25750000000000001</v>
      </c>
      <c r="D32" s="18">
        <f>CHOOSE($D$27,D83,D84,D85,D86,D87)</f>
        <v>0.25800000000000001</v>
      </c>
      <c r="E32" s="18">
        <f>CHOOSE($D$27,E83,E84,E85,E86,E87)</f>
        <v>0.25879999999999997</v>
      </c>
      <c r="F32" s="18">
        <f>CHOOSE($D$27,F83,F84,F85,F86,F87)</f>
        <v>0.25950000000000001</v>
      </c>
      <c r="G32" s="18">
        <f>CHOOSE($D$27,G83,G84,G85,G86,G87)</f>
        <v>0.26</v>
      </c>
    </row>
    <row r="33" spans="2:7" ht="14" x14ac:dyDescent="0.3">
      <c r="B33" s="4" t="s">
        <v>32</v>
      </c>
      <c r="C33" s="5">
        <f>C17*(1+C30)</f>
        <v>3573030.42</v>
      </c>
      <c r="D33" s="5">
        <f>C33*(1+D30)</f>
        <v>3662356.1804999998</v>
      </c>
      <c r="E33" s="5">
        <f>D33*(1+E30)</f>
        <v>3753915.0850124992</v>
      </c>
      <c r="F33" s="5">
        <f>E33*(1+F30)</f>
        <v>3847762.9621378114</v>
      </c>
      <c r="G33" s="5">
        <f>F33*(1+G30)</f>
        <v>3924718.2213805676</v>
      </c>
    </row>
    <row r="34" spans="2:7" ht="14" x14ac:dyDescent="0.3">
      <c r="B34" s="4" t="s">
        <v>33</v>
      </c>
      <c r="C34" s="5">
        <f>C33*C31</f>
        <v>2301031.5904799998</v>
      </c>
      <c r="D34" s="5">
        <f>D33*D31</f>
        <v>2358557.3802419999</v>
      </c>
      <c r="E34" s="5">
        <f>E33*E31</f>
        <v>2417521.3147480497</v>
      </c>
      <c r="F34" s="5">
        <f>F33*F31</f>
        <v>2477959.3476167507</v>
      </c>
      <c r="G34" s="5">
        <f>G33*G31</f>
        <v>2527518.5345690856</v>
      </c>
    </row>
    <row r="35" spans="2:7" ht="14" x14ac:dyDescent="0.3">
      <c r="B35" s="4" t="s">
        <v>34</v>
      </c>
      <c r="C35" s="19">
        <f>C33-C34</f>
        <v>1271998.8295200001</v>
      </c>
      <c r="D35" s="19">
        <f>D33-D34</f>
        <v>1303798.8002579999</v>
      </c>
      <c r="E35" s="19">
        <f>E33-E34</f>
        <v>1336393.7702644495</v>
      </c>
      <c r="F35" s="19">
        <f>F33-F34</f>
        <v>1369803.6145210606</v>
      </c>
      <c r="G35" s="19">
        <f>G33-G34</f>
        <v>1397199.6868114821</v>
      </c>
    </row>
    <row r="36" spans="2:7" ht="14" x14ac:dyDescent="0.3">
      <c r="B36" s="4" t="s">
        <v>35</v>
      </c>
      <c r="C36" s="7">
        <f>C35/C33</f>
        <v>0.35600000000000004</v>
      </c>
      <c r="D36" s="7">
        <f>D35/D33</f>
        <v>0.35599999999999998</v>
      </c>
      <c r="E36" s="7">
        <f>E35/E33</f>
        <v>0.35599999999999993</v>
      </c>
      <c r="F36" s="7">
        <f>F35/F33</f>
        <v>0.35599999999999993</v>
      </c>
      <c r="G36" s="7">
        <f>G35/G33</f>
        <v>0.35599999999999998</v>
      </c>
    </row>
    <row r="37" spans="2:7" ht="14" x14ac:dyDescent="0.3">
      <c r="B37" s="4" t="s">
        <v>87</v>
      </c>
      <c r="C37" s="5">
        <f>C33*C32</f>
        <v>920055.33314999996</v>
      </c>
      <c r="D37" s="5">
        <f>D33*D32</f>
        <v>944887.894569</v>
      </c>
      <c r="E37" s="5">
        <f>E33*E32</f>
        <v>971513.22400123475</v>
      </c>
      <c r="F37" s="5">
        <f>F33*F32</f>
        <v>998494.48867476208</v>
      </c>
      <c r="G37" s="5">
        <f>G33*G32</f>
        <v>1020426.7375589476</v>
      </c>
    </row>
    <row r="38" spans="2:7" ht="14" x14ac:dyDescent="0.3">
      <c r="B38" s="4" t="s">
        <v>88</v>
      </c>
      <c r="C38" s="7">
        <f>(C35-C37)/C33</f>
        <v>9.850000000000006E-2</v>
      </c>
      <c r="D38" s="7">
        <f>(D35-D37)/D33</f>
        <v>9.799999999999999E-2</v>
      </c>
      <c r="E38" s="7">
        <f>(E35-E37)/E33</f>
        <v>9.7199999999999967E-2</v>
      </c>
      <c r="F38" s="7">
        <f>(F35-F37)/F33</f>
        <v>9.6499999999999933E-2</v>
      </c>
      <c r="G38" s="7">
        <f>(G35-G37)/G33</f>
        <v>9.5999999999999988E-2</v>
      </c>
    </row>
    <row r="39" spans="2:7" ht="14" x14ac:dyDescent="0.3">
      <c r="B39" s="4" t="s">
        <v>89</v>
      </c>
      <c r="C39" s="19">
        <f>C35-C37</f>
        <v>351943.49637000018</v>
      </c>
      <c r="D39" s="19">
        <f>D35-D37</f>
        <v>358910.90568899992</v>
      </c>
      <c r="E39" s="19">
        <f>E35-E37</f>
        <v>364880.54626321478</v>
      </c>
      <c r="F39" s="19">
        <f>F35-F37</f>
        <v>371309.12584629853</v>
      </c>
      <c r="G39" s="19">
        <f>G35-G37</f>
        <v>376772.94925253442</v>
      </c>
    </row>
    <row r="40" spans="2:7" ht="14" x14ac:dyDescent="0.3">
      <c r="B40" s="4" t="s">
        <v>90</v>
      </c>
      <c r="C40" s="5">
        <f>MAX(0,C39*C6)</f>
        <v>87985.874092500046</v>
      </c>
      <c r="D40" s="5">
        <f>MAX(0,D39*C6)</f>
        <v>89727.72642224998</v>
      </c>
      <c r="E40" s="5">
        <f>MAX(0,E39*C6)</f>
        <v>91220.136565803696</v>
      </c>
      <c r="F40" s="5">
        <f>MAX(0,F39*C6)</f>
        <v>92827.281461574632</v>
      </c>
      <c r="G40" s="5">
        <f>MAX(0,G39*C6)</f>
        <v>94193.237313133606</v>
      </c>
    </row>
    <row r="41" spans="2:7" ht="14" x14ac:dyDescent="0.3">
      <c r="B41" s="4" t="s">
        <v>91</v>
      </c>
      <c r="C41" s="19">
        <f>C39-C40</f>
        <v>263957.62227750011</v>
      </c>
      <c r="D41" s="19">
        <f>D39-D40</f>
        <v>269183.17926674994</v>
      </c>
      <c r="E41" s="19">
        <f>E39-E40</f>
        <v>273660.40969741112</v>
      </c>
      <c r="F41" s="19">
        <f>F39-F40</f>
        <v>278481.84438472393</v>
      </c>
      <c r="G41" s="19">
        <f>G39-G40</f>
        <v>282579.71193940082</v>
      </c>
    </row>
    <row r="42" spans="2:7" ht="14" x14ac:dyDescent="0.3">
      <c r="B42" s="4" t="s">
        <v>92</v>
      </c>
      <c r="C42" s="5">
        <f>C33*C18</f>
        <v>142921.21679999999</v>
      </c>
      <c r="D42" s="5">
        <f>D33*C18</f>
        <v>146494.24721999999</v>
      </c>
      <c r="E42" s="5">
        <f>E33*C18</f>
        <v>150156.60340049997</v>
      </c>
      <c r="F42" s="5">
        <f>F33*C18</f>
        <v>153910.51848551247</v>
      </c>
      <c r="G42" s="5">
        <f>G33*C18</f>
        <v>156988.7288552227</v>
      </c>
    </row>
    <row r="43" spans="2:7" ht="14" x14ac:dyDescent="0.3">
      <c r="B43" s="4" t="s">
        <v>93</v>
      </c>
      <c r="C43" s="5">
        <f>C33*C5</f>
        <v>150067.27764000001</v>
      </c>
      <c r="D43" s="5">
        <f>D33*C5</f>
        <v>153818.959581</v>
      </c>
      <c r="E43" s="5">
        <f>E33*C5</f>
        <v>157664.43357052497</v>
      </c>
      <c r="F43" s="5">
        <f>F33*C5</f>
        <v>161606.0444097881</v>
      </c>
      <c r="G43" s="5">
        <f>G33*C5</f>
        <v>164838.16529798385</v>
      </c>
    </row>
    <row r="44" spans="2:7" ht="14" x14ac:dyDescent="0.3">
      <c r="B44" s="4" t="s">
        <v>94</v>
      </c>
      <c r="C44" s="5">
        <f>'NWC Schedule'!D19</f>
        <v>45945.793747945223</v>
      </c>
      <c r="D44" s="5">
        <f>'NWC Schedule'!E19</f>
        <v>19064.319843698759</v>
      </c>
      <c r="E44" s="5">
        <f>'NWC Schedule'!F19</f>
        <v>19540.927839790704</v>
      </c>
      <c r="F44" s="5">
        <f>'NWC Schedule'!G19</f>
        <v>20029.451035785954</v>
      </c>
      <c r="G44" s="5">
        <f>'NWC Schedule'!H19</f>
        <v>16424.149849344278</v>
      </c>
    </row>
    <row r="45" spans="2:7" ht="14" x14ac:dyDescent="0.3">
      <c r="B45" s="4" t="s">
        <v>95</v>
      </c>
      <c r="C45" s="20">
        <f>C41+C42-C43-C44</f>
        <v>210865.76768955486</v>
      </c>
      <c r="D45" s="20">
        <f>D41+D42-D43-D44</f>
        <v>242794.14706205114</v>
      </c>
      <c r="E45" s="20">
        <f>E41+E42-E43-E44</f>
        <v>246611.65168759541</v>
      </c>
      <c r="F45" s="20">
        <f>F41+F42-F43-F44</f>
        <v>250756.86742466234</v>
      </c>
      <c r="G45" s="20">
        <f>G41+G42-G43-G44</f>
        <v>258306.12564729538</v>
      </c>
    </row>
    <row r="46" spans="2:7" ht="14" x14ac:dyDescent="0.3">
      <c r="B46" s="4" t="s">
        <v>96</v>
      </c>
      <c r="C46" s="21">
        <f>1/(1+C26)^(C19+0)</f>
        <v>0.91268772845714707</v>
      </c>
      <c r="D46" s="21">
        <f>1/(1+C26)^(C19+1)</f>
        <v>0.83299888967626712</v>
      </c>
      <c r="E46" s="21">
        <f>1/(1+C26)^(C19+2)</f>
        <v>0.76026786442595795</v>
      </c>
      <c r="F46" s="21">
        <f>1/(1+C26)^(C19+3)</f>
        <v>0.69388715020189384</v>
      </c>
      <c r="G46" s="21">
        <f>1/(1+C26)^(C19+4)</f>
        <v>0.63330228692336965</v>
      </c>
    </row>
    <row r="47" spans="2:7" ht="14" x14ac:dyDescent="0.3">
      <c r="B47" s="4" t="s">
        <v>97</v>
      </c>
      <c r="C47" s="19">
        <f>C45*C46</f>
        <v>192454.59852195231</v>
      </c>
      <c r="D47" s="19">
        <f>D45*D46</f>
        <v>202247.25492258492</v>
      </c>
      <c r="E47" s="19">
        <f>E45*E46</f>
        <v>187490.91377108634</v>
      </c>
      <c r="F47" s="19">
        <f>F45*F46</f>
        <v>173996.96813085306</v>
      </c>
      <c r="G47" s="19">
        <f>G45*G46</f>
        <v>163585.86009874742</v>
      </c>
    </row>
    <row r="49" spans="2:7" ht="14" x14ac:dyDescent="0.3">
      <c r="B49" s="22" t="s">
        <v>98</v>
      </c>
      <c r="C49" s="23"/>
      <c r="D49" s="23"/>
      <c r="E49" s="23"/>
      <c r="F49" s="23"/>
      <c r="G49" s="23"/>
    </row>
    <row r="50" spans="2:7" ht="14" x14ac:dyDescent="0.3">
      <c r="B50" s="4" t="s">
        <v>99</v>
      </c>
      <c r="C50" s="5">
        <f>SUM(C47:G47)</f>
        <v>919775.59544522408</v>
      </c>
    </row>
    <row r="51" spans="2:7" ht="14" x14ac:dyDescent="0.3">
      <c r="B51" s="4" t="s">
        <v>100</v>
      </c>
      <c r="C51" s="5">
        <f>G45*(1+C13)/(C26-C13)</f>
        <v>3045458.3190774331</v>
      </c>
    </row>
    <row r="52" spans="2:7" ht="14" x14ac:dyDescent="0.3">
      <c r="B52" s="4" t="s">
        <v>101</v>
      </c>
      <c r="C52" s="5">
        <f>C51*G46</f>
        <v>1928695.7182015395</v>
      </c>
    </row>
    <row r="53" spans="2:7" ht="14" x14ac:dyDescent="0.3">
      <c r="B53" s="4" t="s">
        <v>102</v>
      </c>
      <c r="C53" s="5">
        <f>C50+C52</f>
        <v>2848471.3136467636</v>
      </c>
    </row>
    <row r="54" spans="2:7" ht="14" x14ac:dyDescent="0.3">
      <c r="B54" s="4" t="s">
        <v>103</v>
      </c>
      <c r="C54" s="5">
        <f>C53-C16</f>
        <v>3165743.3136467636</v>
      </c>
    </row>
    <row r="55" spans="2:7" ht="14" x14ac:dyDescent="0.3">
      <c r="B55" s="4" t="s">
        <v>104</v>
      </c>
      <c r="C55" s="24">
        <f>ROUND(C54*1000000/C15,0)</f>
        <v>1829</v>
      </c>
    </row>
    <row r="57" spans="2:7" ht="14" x14ac:dyDescent="0.3">
      <c r="B57" s="22" t="s">
        <v>105</v>
      </c>
      <c r="C57" s="23"/>
      <c r="D57" s="23"/>
      <c r="E57" s="23"/>
      <c r="F57" s="23"/>
      <c r="G57" s="23"/>
    </row>
    <row r="58" spans="2:7" ht="14" x14ac:dyDescent="0.3">
      <c r="B58" s="4" t="s">
        <v>99</v>
      </c>
      <c r="C58" s="5">
        <f>C50</f>
        <v>919775.59544522408</v>
      </c>
    </row>
    <row r="59" spans="2:7" ht="14" x14ac:dyDescent="0.3">
      <c r="B59" s="4" t="s">
        <v>106</v>
      </c>
      <c r="C59" s="5">
        <f>G39+G42</f>
        <v>533761.67810775712</v>
      </c>
    </row>
    <row r="60" spans="2:7" ht="14" x14ac:dyDescent="0.3">
      <c r="B60" s="4" t="s">
        <v>107</v>
      </c>
      <c r="C60" s="5">
        <f>C59*C14</f>
        <v>8326682.1784810107</v>
      </c>
    </row>
    <row r="61" spans="2:7" ht="14" x14ac:dyDescent="0.3">
      <c r="B61" s="4" t="s">
        <v>101</v>
      </c>
      <c r="C61" s="5">
        <f>C60*G46</f>
        <v>5273306.8661160897</v>
      </c>
    </row>
    <row r="62" spans="2:7" ht="14" x14ac:dyDescent="0.3">
      <c r="B62" s="4" t="s">
        <v>102</v>
      </c>
      <c r="C62" s="5">
        <f>C58+C61</f>
        <v>6193082.4615613138</v>
      </c>
    </row>
    <row r="63" spans="2:7" ht="14" x14ac:dyDescent="0.3">
      <c r="B63" s="4" t="s">
        <v>103</v>
      </c>
      <c r="C63" s="5">
        <f>C62-C16</f>
        <v>6510354.4615613138</v>
      </c>
    </row>
    <row r="64" spans="2:7" ht="14" x14ac:dyDescent="0.3">
      <c r="B64" s="4" t="s">
        <v>108</v>
      </c>
      <c r="C64" s="24">
        <f>ROUND(C63*1000000/C15,0)</f>
        <v>3761</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41</v>
      </c>
    </row>
    <row r="69" spans="2:7" ht="14" x14ac:dyDescent="0.3">
      <c r="B69" s="4" t="s">
        <v>78</v>
      </c>
      <c r="C69" s="26">
        <v>0.02</v>
      </c>
      <c r="D69" s="26">
        <v>2.5000000000000001E-2</v>
      </c>
      <c r="E69" s="26">
        <v>2.5000000000000001E-2</v>
      </c>
      <c r="F69" s="26">
        <v>2.5000000000000001E-2</v>
      </c>
      <c r="G69" s="26">
        <v>0.02</v>
      </c>
    </row>
    <row r="70" spans="2:7" ht="14" x14ac:dyDescent="0.3">
      <c r="B70" s="4" t="s">
        <v>115</v>
      </c>
      <c r="C70" s="26">
        <v>3.5000000000000003E-2</v>
      </c>
      <c r="D70" s="26">
        <v>0.04</v>
      </c>
      <c r="E70" s="26">
        <v>3.5000000000000003E-2</v>
      </c>
      <c r="F70" s="26">
        <v>3.5000000000000003E-2</v>
      </c>
      <c r="G70" s="26">
        <v>0.03</v>
      </c>
    </row>
    <row r="71" spans="2:7" ht="14" x14ac:dyDescent="0.3">
      <c r="B71" s="4" t="s">
        <v>116</v>
      </c>
      <c r="C71" s="26">
        <v>0.02</v>
      </c>
      <c r="D71" s="26">
        <v>2.5000000000000001E-2</v>
      </c>
      <c r="E71" s="26">
        <v>2.5000000000000001E-2</v>
      </c>
      <c r="F71" s="26">
        <v>2.5000000000000001E-2</v>
      </c>
      <c r="G71" s="26">
        <v>0.02</v>
      </c>
    </row>
    <row r="72" spans="2:7" ht="14" x14ac:dyDescent="0.3">
      <c r="B72" s="4" t="s">
        <v>117</v>
      </c>
      <c r="C72" s="26">
        <v>0</v>
      </c>
      <c r="D72" s="26">
        <v>5.0000000000000001E-3</v>
      </c>
      <c r="E72" s="26">
        <v>5.0000000000000001E-3</v>
      </c>
      <c r="F72" s="26">
        <v>5.0000000000000001E-3</v>
      </c>
      <c r="G72" s="26">
        <v>5.0000000000000001E-3</v>
      </c>
    </row>
    <row r="73" spans="2:7" ht="14" x14ac:dyDescent="0.3">
      <c r="B73" s="4" t="s">
        <v>118</v>
      </c>
      <c r="C73" s="26">
        <v>-0.08</v>
      </c>
      <c r="D73" s="26">
        <v>-0.01</v>
      </c>
      <c r="E73" s="26">
        <v>5.0000000000000001E-3</v>
      </c>
      <c r="F73" s="26">
        <v>0.01</v>
      </c>
      <c r="G73" s="26">
        <v>1.4999999999999999E-2</v>
      </c>
    </row>
    <row r="75" spans="2:7" ht="14" x14ac:dyDescent="0.3">
      <c r="B75" s="3" t="s">
        <v>85</v>
      </c>
    </row>
    <row r="76" spans="2:7" ht="14" x14ac:dyDescent="0.3">
      <c r="B76" s="4" t="s">
        <v>78</v>
      </c>
      <c r="C76" s="26">
        <v>0.64400000000000002</v>
      </c>
      <c r="D76" s="26">
        <v>0.64400000000000002</v>
      </c>
      <c r="E76" s="26">
        <v>0.64400000000000002</v>
      </c>
      <c r="F76" s="26">
        <v>0.64400000000000002</v>
      </c>
      <c r="G76" s="26">
        <v>0.64400000000000002</v>
      </c>
    </row>
    <row r="77" spans="2:7" ht="14" x14ac:dyDescent="0.3">
      <c r="B77" s="4" t="s">
        <v>115</v>
      </c>
      <c r="C77" s="26">
        <v>0.63800000000000001</v>
      </c>
      <c r="D77" s="26">
        <v>0.63800000000000001</v>
      </c>
      <c r="E77" s="26">
        <v>0.63800000000000001</v>
      </c>
      <c r="F77" s="26">
        <v>0.63800000000000001</v>
      </c>
      <c r="G77" s="26">
        <v>0.63800000000000001</v>
      </c>
    </row>
    <row r="78" spans="2:7" ht="14" x14ac:dyDescent="0.3">
      <c r="B78" s="4" t="s">
        <v>116</v>
      </c>
      <c r="C78" s="26">
        <v>0.64400000000000002</v>
      </c>
      <c r="D78" s="26">
        <v>0.64400000000000002</v>
      </c>
      <c r="E78" s="26">
        <v>0.64400000000000002</v>
      </c>
      <c r="F78" s="26">
        <v>0.64400000000000002</v>
      </c>
      <c r="G78" s="26">
        <v>0.64400000000000002</v>
      </c>
    </row>
    <row r="79" spans="2:7" ht="14" x14ac:dyDescent="0.3">
      <c r="B79" s="4" t="s">
        <v>117</v>
      </c>
      <c r="C79" s="26">
        <v>0.65400000000000003</v>
      </c>
      <c r="D79" s="26">
        <v>0.65400000000000003</v>
      </c>
      <c r="E79" s="26">
        <v>0.65400000000000003</v>
      </c>
      <c r="F79" s="26">
        <v>0.65400000000000003</v>
      </c>
      <c r="G79" s="26">
        <v>0.65400000000000003</v>
      </c>
    </row>
    <row r="80" spans="2:7" ht="14" x14ac:dyDescent="0.3">
      <c r="B80" s="4" t="s">
        <v>118</v>
      </c>
      <c r="C80" s="26">
        <v>0.66500000000000004</v>
      </c>
      <c r="D80" s="26">
        <v>0.66500000000000004</v>
      </c>
      <c r="E80" s="26">
        <v>0.66500000000000004</v>
      </c>
      <c r="F80" s="26">
        <v>0.66500000000000004</v>
      </c>
      <c r="G80" s="26">
        <v>0.66500000000000004</v>
      </c>
    </row>
    <row r="82" spans="2:7" ht="14" x14ac:dyDescent="0.3">
      <c r="B82" s="3" t="s">
        <v>86</v>
      </c>
    </row>
    <row r="83" spans="2:7" ht="14" x14ac:dyDescent="0.3">
      <c r="B83" s="4" t="s">
        <v>78</v>
      </c>
      <c r="C83" s="26">
        <v>0.25750000000000001</v>
      </c>
      <c r="D83" s="26">
        <v>0.25800000000000001</v>
      </c>
      <c r="E83" s="26">
        <v>0.25879999999999997</v>
      </c>
      <c r="F83" s="26">
        <v>0.25950000000000001</v>
      </c>
      <c r="G83" s="26">
        <v>0.26</v>
      </c>
    </row>
    <row r="84" spans="2:7" ht="14" x14ac:dyDescent="0.3">
      <c r="B84" s="4" t="s">
        <v>115</v>
      </c>
      <c r="C84" s="26">
        <v>0.26</v>
      </c>
      <c r="D84" s="26">
        <v>0.25800000000000001</v>
      </c>
      <c r="E84" s="26">
        <v>0.25600000000000001</v>
      </c>
      <c r="F84" s="26">
        <v>0.254</v>
      </c>
      <c r="G84" s="26">
        <v>0.25259999999999999</v>
      </c>
    </row>
    <row r="85" spans="2:7" ht="14" x14ac:dyDescent="0.3">
      <c r="B85" s="4" t="s">
        <v>116</v>
      </c>
      <c r="C85" s="26">
        <v>0.25750000000000001</v>
      </c>
      <c r="D85" s="26">
        <v>0.25800000000000001</v>
      </c>
      <c r="E85" s="26">
        <v>0.25879999999999997</v>
      </c>
      <c r="F85" s="26">
        <v>0.25950000000000001</v>
      </c>
      <c r="G85" s="26">
        <v>0.26</v>
      </c>
    </row>
    <row r="86" spans="2:7" ht="14" x14ac:dyDescent="0.3">
      <c r="B86" s="4" t="s">
        <v>117</v>
      </c>
      <c r="C86" s="26">
        <v>0.25600000000000001</v>
      </c>
      <c r="D86" s="26">
        <v>0.26400000000000001</v>
      </c>
      <c r="E86" s="26">
        <v>0.27200000000000002</v>
      </c>
      <c r="F86" s="26">
        <v>0.27700000000000002</v>
      </c>
      <c r="G86" s="26">
        <v>0.27929999999999999</v>
      </c>
    </row>
    <row r="87" spans="2:7" ht="14" x14ac:dyDescent="0.3">
      <c r="B87" s="4" t="s">
        <v>118</v>
      </c>
      <c r="C87" s="26">
        <v>0.28499999999999998</v>
      </c>
      <c r="D87" s="26">
        <v>0.29199999999999998</v>
      </c>
      <c r="E87" s="26">
        <v>0.29199999999999998</v>
      </c>
      <c r="F87" s="26">
        <v>0.28899999999999998</v>
      </c>
      <c r="G87" s="26">
        <v>0.28499999999999998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3900</v>
      </c>
    </row>
    <row r="7" spans="2:9" ht="14" x14ac:dyDescent="0.3">
      <c r="B7" s="4" t="s">
        <v>66</v>
      </c>
      <c r="C7" s="15">
        <f>'DCF Model'!C15</f>
        <v>1731026775</v>
      </c>
    </row>
    <row r="8" spans="2:9" ht="14" x14ac:dyDescent="0.3">
      <c r="B8" s="4" t="s">
        <v>123</v>
      </c>
      <c r="C8" s="5">
        <f>C6*C7/1000000</f>
        <v>6751004.4225000003</v>
      </c>
    </row>
    <row r="9" spans="2:9" ht="14" x14ac:dyDescent="0.3">
      <c r="B9" s="4" t="s">
        <v>67</v>
      </c>
      <c r="C9" s="5">
        <f>'DCF Model'!C16</f>
        <v>-317272</v>
      </c>
    </row>
    <row r="10" spans="2:9" ht="14" x14ac:dyDescent="0.3">
      <c r="B10" s="4" t="s">
        <v>124</v>
      </c>
      <c r="C10" s="5">
        <f>C8+C9</f>
        <v>6433732.4225000003</v>
      </c>
    </row>
    <row r="11" spans="2:9" ht="14" x14ac:dyDescent="0.3">
      <c r="B11" s="4" t="s">
        <v>125</v>
      </c>
      <c r="C11" s="16">
        <f>'DCF Model'!C26</f>
        <v>9.5665E-2</v>
      </c>
    </row>
    <row r="12" spans="2:9" ht="14" x14ac:dyDescent="0.3">
      <c r="B12" s="4" t="s">
        <v>126</v>
      </c>
      <c r="C12" s="16">
        <f>'DCF Model'!C13</f>
        <v>0.01</v>
      </c>
    </row>
    <row r="13" spans="2:9" ht="14" x14ac:dyDescent="0.3">
      <c r="B13" s="4" t="s">
        <v>127</v>
      </c>
      <c r="C13" s="16">
        <f>'DCF Model'!C6</f>
        <v>0.25</v>
      </c>
    </row>
    <row r="14" spans="2:9" ht="14" x14ac:dyDescent="0.3">
      <c r="B14" s="4" t="s">
        <v>128</v>
      </c>
      <c r="C14" s="27">
        <v>348329</v>
      </c>
    </row>
    <row r="15" spans="2:9" ht="14" x14ac:dyDescent="0.3">
      <c r="B15" s="4" t="s">
        <v>129</v>
      </c>
      <c r="C15" s="27">
        <v>348329</v>
      </c>
    </row>
    <row r="16" spans="2:9" ht="14" x14ac:dyDescent="0.3">
      <c r="B16" s="4" t="s">
        <v>130</v>
      </c>
      <c r="C16" s="5">
        <f>'DCF Model'!G33</f>
        <v>3924718.2213805676</v>
      </c>
    </row>
    <row r="17" spans="2:9" ht="14" x14ac:dyDescent="0.3">
      <c r="B17" s="4" t="s">
        <v>131</v>
      </c>
      <c r="C17" s="5">
        <f>'DCF Model'!C53</f>
        <v>2848471.3136467636</v>
      </c>
    </row>
    <row r="18" spans="2:9" ht="14" x14ac:dyDescent="0.3">
      <c r="B18" s="4" t="s">
        <v>132</v>
      </c>
      <c r="C18" s="26">
        <v>9.9438162633947016E-2</v>
      </c>
    </row>
    <row r="19" spans="2:9" ht="14" x14ac:dyDescent="0.3">
      <c r="B19" s="4" t="s">
        <v>133</v>
      </c>
      <c r="C19" s="5">
        <f>C10-C17</f>
        <v>3585261.1088532368</v>
      </c>
    </row>
    <row r="20" spans="2:9" ht="14" x14ac:dyDescent="0.3">
      <c r="B20" s="4" t="s">
        <v>134</v>
      </c>
      <c r="C20" s="15">
        <f>IFERROR(ROUND(C19*1000000/C7,0),"N/A")</f>
        <v>2071</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551145.68797346251</v>
      </c>
    </row>
    <row r="25" spans="2:9" ht="14" x14ac:dyDescent="0.3">
      <c r="B25" s="4" t="s">
        <v>138</v>
      </c>
      <c r="C25" s="5">
        <f>IFERROR(C24/(1-C13),"N/A")</f>
        <v>734860.91729795001</v>
      </c>
    </row>
    <row r="26" spans="2:9" ht="13.5" x14ac:dyDescent="0.25">
      <c r="B26" s="6" t="s">
        <v>139</v>
      </c>
      <c r="C26" s="14">
        <f>IFERROR(C25/C15,"N/A")</f>
        <v>2.1096748111640147</v>
      </c>
    </row>
    <row r="27" spans="2:9" ht="13.5" x14ac:dyDescent="0.25">
      <c r="B27" s="6" t="s">
        <v>140</v>
      </c>
      <c r="C27" s="14">
        <f>IFERROR(C25/C14,"N/A")</f>
        <v>2.1096748111640147</v>
      </c>
    </row>
    <row r="28" spans="2:9" ht="13.5" x14ac:dyDescent="0.25">
      <c r="B28" s="6" t="s">
        <v>141</v>
      </c>
      <c r="C28" s="7">
        <f>IFERROR(C25/C16,"N/A")</f>
        <v>0.18723915344920067</v>
      </c>
    </row>
    <row r="29" spans="2:9" ht="13.5" x14ac:dyDescent="0.25">
      <c r="B29" s="6" t="s">
        <v>142</v>
      </c>
      <c r="C29" s="5">
        <f>IFERROR(C25/C18,"N/A")</f>
        <v>7390129.6829380188</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7.5664999999999996E-2</v>
      </c>
      <c r="E36" s="29">
        <f>'DCF Model'!C26-0.01</f>
        <v>8.5665000000000005E-2</v>
      </c>
      <c r="F36" s="29">
        <f>'DCF Model'!C26</f>
        <v>9.5665E-2</v>
      </c>
      <c r="G36" s="29">
        <f>'DCF Model'!C26+0.01</f>
        <v>0.105665</v>
      </c>
      <c r="H36" s="29">
        <f>'DCF Model'!C26+0.02</f>
        <v>0.115665</v>
      </c>
    </row>
    <row r="37" spans="2:9" ht="14" x14ac:dyDescent="0.3">
      <c r="B37" s="3" t="s">
        <v>148</v>
      </c>
    </row>
    <row r="38" spans="2:9" ht="14" x14ac:dyDescent="0.3">
      <c r="B38" s="4" t="s">
        <v>149</v>
      </c>
      <c r="C38" s="30">
        <v>3</v>
      </c>
      <c r="D38" s="13">
        <f t="shared" ref="D38:H41" si="0">IFERROR((1-(1+D$36)^(-$C38))/D$36-(1+D$36)/(D$36^2*$C38)*(1-($C38+1)/(1+D$36)^$C38+$C38/(1+D$36)^($C38+1)),"N/A")</f>
        <v>0.90785931422455546</v>
      </c>
      <c r="E38" s="13">
        <f t="shared" si="0"/>
        <v>0.8968679547923275</v>
      </c>
      <c r="F38" s="13">
        <f t="shared" si="0"/>
        <v>0.88612478219685142</v>
      </c>
      <c r="G38" s="13">
        <f t="shared" si="0"/>
        <v>0.87562178379389022</v>
      </c>
      <c r="H38" s="13">
        <f t="shared" si="0"/>
        <v>0.86535127964759684</v>
      </c>
    </row>
    <row r="39" spans="2:9" ht="14" x14ac:dyDescent="0.3">
      <c r="B39" s="4" t="s">
        <v>150</v>
      </c>
      <c r="C39" s="30">
        <v>5</v>
      </c>
      <c r="D39" s="13">
        <f t="shared" si="0"/>
        <v>1.7330613111710385</v>
      </c>
      <c r="E39" s="13">
        <f t="shared" si="0"/>
        <v>1.7024742632149175</v>
      </c>
      <c r="F39" s="13">
        <f t="shared" si="0"/>
        <v>1.6728340923822307</v>
      </c>
      <c r="G39" s="13">
        <f t="shared" si="0"/>
        <v>1.6441007273233397</v>
      </c>
      <c r="H39" s="13">
        <f t="shared" si="0"/>
        <v>1.6162362046844043</v>
      </c>
    </row>
    <row r="40" spans="2:9" ht="14" x14ac:dyDescent="0.3">
      <c r="B40" s="4" t="s">
        <v>151</v>
      </c>
      <c r="C40" s="30">
        <v>7</v>
      </c>
      <c r="D40" s="13">
        <f t="shared" si="0"/>
        <v>2.484051963621579</v>
      </c>
      <c r="E40" s="13">
        <f t="shared" si="0"/>
        <v>2.4272378351597674</v>
      </c>
      <c r="F40" s="13">
        <f t="shared" si="0"/>
        <v>2.3726379324227547</v>
      </c>
      <c r="G40" s="13">
        <f t="shared" si="0"/>
        <v>2.3201371128943191</v>
      </c>
      <c r="H40" s="13">
        <f t="shared" si="0"/>
        <v>2.2696275284747633</v>
      </c>
    </row>
    <row r="41" spans="2:9" ht="14" x14ac:dyDescent="0.3">
      <c r="B41" s="4" t="s">
        <v>152</v>
      </c>
      <c r="C41" s="30">
        <v>10</v>
      </c>
      <c r="D41" s="13">
        <f t="shared" si="0"/>
        <v>3.4876304736506514</v>
      </c>
      <c r="E41" s="13">
        <f t="shared" si="0"/>
        <v>3.3825162351131772</v>
      </c>
      <c r="F41" s="13">
        <f t="shared" si="0"/>
        <v>3.2826938342079583</v>
      </c>
      <c r="G41" s="13">
        <f t="shared" si="0"/>
        <v>3.1878146639380187</v>
      </c>
      <c r="H41" s="13">
        <f t="shared" si="0"/>
        <v>3.0975576036009032</v>
      </c>
    </row>
    <row r="42" spans="2:9" ht="14" x14ac:dyDescent="0.3">
      <c r="B42" s="3" t="s">
        <v>153</v>
      </c>
    </row>
    <row r="43" spans="2:9" ht="14" x14ac:dyDescent="0.3">
      <c r="B43" s="4" t="s">
        <v>149</v>
      </c>
      <c r="C43" s="30">
        <v>3</v>
      </c>
      <c r="D43" s="13">
        <f t="shared" ref="D43:H46" si="1">IFERROR((1+D$36)/(D$36^2*$C43)*(1-($C43+1)/(1+D$36)^$C43+$C43/(1+D$36)^($C43+1))+(1+$C$12)/((D$36-$C$12)*(1+D$36)^$C43),"N/A")</f>
        <v>14.047760806849441</v>
      </c>
      <c r="E43" s="13">
        <f t="shared" si="1"/>
        <v>12.085421159070336</v>
      </c>
      <c r="F43" s="13">
        <f t="shared" si="1"/>
        <v>10.583473464679537</v>
      </c>
      <c r="G43" s="13">
        <f t="shared" si="1"/>
        <v>9.397473677174462</v>
      </c>
      <c r="H43" s="13">
        <f t="shared" si="1"/>
        <v>8.437660367281973</v>
      </c>
    </row>
    <row r="44" spans="2:9" ht="14" x14ac:dyDescent="0.3">
      <c r="B44" s="4" t="s">
        <v>150</v>
      </c>
      <c r="C44" s="30">
        <v>5</v>
      </c>
      <c r="D44" s="13">
        <f t="shared" si="1"/>
        <v>12.986448385097717</v>
      </c>
      <c r="E44" s="13">
        <f t="shared" si="1"/>
        <v>11.081403657724952</v>
      </c>
      <c r="F44" s="13">
        <f t="shared" si="1"/>
        <v>9.6270151304320741</v>
      </c>
      <c r="G44" s="13">
        <f t="shared" si="1"/>
        <v>8.4817153513640697</v>
      </c>
      <c r="H44" s="13">
        <f t="shared" si="1"/>
        <v>7.5575403346686549</v>
      </c>
    </row>
    <row r="45" spans="2:9" ht="14" x14ac:dyDescent="0.3">
      <c r="B45" s="4" t="s">
        <v>151</v>
      </c>
      <c r="C45" s="30">
        <v>7</v>
      </c>
      <c r="D45" s="13">
        <f t="shared" si="1"/>
        <v>12.03139622685919</v>
      </c>
      <c r="E45" s="13">
        <f t="shared" si="1"/>
        <v>10.188305058389789</v>
      </c>
      <c r="F45" s="13">
        <f t="shared" si="1"/>
        <v>8.785810541824203</v>
      </c>
      <c r="G45" s="13">
        <f t="shared" si="1"/>
        <v>7.6852045498075938</v>
      </c>
      <c r="H45" s="13">
        <f t="shared" si="1"/>
        <v>6.8003213927921875</v>
      </c>
    </row>
    <row r="46" spans="2:9" ht="14" x14ac:dyDescent="0.3">
      <c r="B46" s="4" t="s">
        <v>152</v>
      </c>
      <c r="C46" s="30">
        <v>10</v>
      </c>
      <c r="D46" s="13">
        <f t="shared" si="1"/>
        <v>10.772464797481272</v>
      </c>
      <c r="E46" s="13">
        <f t="shared" si="1"/>
        <v>9.0271358540706856</v>
      </c>
      <c r="F46" s="13">
        <f t="shared" si="1"/>
        <v>7.7066704401742339</v>
      </c>
      <c r="G46" s="13">
        <f t="shared" si="1"/>
        <v>6.6766503300148505</v>
      </c>
      <c r="H46" s="13">
        <f t="shared" si="1"/>
        <v>5.853636264018931</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588141.85998765717</v>
      </c>
      <c r="E48" s="5">
        <f t="shared" si="2"/>
        <v>683956.70039501216</v>
      </c>
      <c r="F48" s="5">
        <f t="shared" si="2"/>
        <v>781373.61661153089</v>
      </c>
      <c r="G48" s="5">
        <f t="shared" si="2"/>
        <v>880375.48393825977</v>
      </c>
      <c r="H48" s="5">
        <f t="shared" si="2"/>
        <v>980945.26094850805</v>
      </c>
    </row>
    <row r="49" spans="2:9" ht="14" x14ac:dyDescent="0.3">
      <c r="B49" s="4" t="s">
        <v>150</v>
      </c>
      <c r="C49" s="30">
        <v>5</v>
      </c>
      <c r="D49" s="5">
        <f t="shared" si="2"/>
        <v>614073.54395362386</v>
      </c>
      <c r="E49" s="5">
        <f t="shared" si="2"/>
        <v>720602.64075559215</v>
      </c>
      <c r="F49" s="5">
        <f t="shared" si="2"/>
        <v>830539.18185151974</v>
      </c>
      <c r="G49" s="5">
        <f t="shared" si="2"/>
        <v>943868.26281918946</v>
      </c>
      <c r="H49" s="5">
        <f t="shared" si="2"/>
        <v>1060573.6259132475</v>
      </c>
    </row>
    <row r="50" spans="2:9" ht="14" x14ac:dyDescent="0.3">
      <c r="B50" s="4" t="s">
        <v>151</v>
      </c>
      <c r="C50" s="30">
        <v>7</v>
      </c>
      <c r="D50" s="5">
        <f t="shared" si="2"/>
        <v>641076.26536407613</v>
      </c>
      <c r="E50" s="5">
        <f t="shared" si="2"/>
        <v>758991.07108257676</v>
      </c>
      <c r="F50" s="5">
        <f t="shared" si="2"/>
        <v>882314.87139424018</v>
      </c>
      <c r="G50" s="5">
        <f t="shared" si="2"/>
        <v>1011051.665041737</v>
      </c>
      <c r="H50" s="5">
        <f t="shared" si="2"/>
        <v>1145200.6985368328</v>
      </c>
    </row>
    <row r="51" spans="2:9" ht="14" x14ac:dyDescent="0.3">
      <c r="B51" s="4" t="s">
        <v>152</v>
      </c>
      <c r="C51" s="30">
        <v>10</v>
      </c>
      <c r="D51" s="5">
        <f t="shared" si="2"/>
        <v>683545.24241583725</v>
      </c>
      <c r="E51" s="5">
        <f t="shared" si="2"/>
        <v>819759.61352890742</v>
      </c>
      <c r="F51" s="5">
        <f t="shared" si="2"/>
        <v>964729.51500995469</v>
      </c>
      <c r="G51" s="5">
        <f t="shared" si="2"/>
        <v>1118510.2159716054</v>
      </c>
      <c r="H51" s="5">
        <f t="shared" si="2"/>
        <v>1281142.2534500195</v>
      </c>
    </row>
    <row r="52" spans="2:9" ht="14" x14ac:dyDescent="0.3">
      <c r="B52" s="22" t="s">
        <v>155</v>
      </c>
      <c r="C52" s="23"/>
      <c r="D52" s="23"/>
      <c r="E52" s="23"/>
      <c r="F52" s="23"/>
      <c r="G52" s="23"/>
      <c r="H52" s="23"/>
      <c r="I52" s="23"/>
    </row>
    <row r="53" spans="2:9" ht="14" x14ac:dyDescent="0.3">
      <c r="B53" s="4" t="s">
        <v>149</v>
      </c>
      <c r="C53" s="30">
        <v>3</v>
      </c>
      <c r="D53" s="14">
        <f t="shared" ref="D53:H56" si="3">IFERROR(D48/$C$15,"N/A")</f>
        <v>1.6884665359119027</v>
      </c>
      <c r="E53" s="14">
        <f t="shared" si="3"/>
        <v>1.963536485319948</v>
      </c>
      <c r="F53" s="14">
        <f t="shared" si="3"/>
        <v>2.2432057526405522</v>
      </c>
      <c r="G53" s="14">
        <f t="shared" si="3"/>
        <v>2.5274251754469477</v>
      </c>
      <c r="H53" s="14">
        <f t="shared" si="3"/>
        <v>2.816145830374468</v>
      </c>
    </row>
    <row r="54" spans="2:9" ht="14" x14ac:dyDescent="0.3">
      <c r="B54" s="4" t="s">
        <v>150</v>
      </c>
      <c r="C54" s="30">
        <v>5</v>
      </c>
      <c r="D54" s="14">
        <f t="shared" si="3"/>
        <v>1.7629124877734093</v>
      </c>
      <c r="E54" s="14">
        <f t="shared" si="3"/>
        <v>2.0687414506274013</v>
      </c>
      <c r="F54" s="14">
        <f t="shared" si="3"/>
        <v>2.3843526719036308</v>
      </c>
      <c r="G54" s="14">
        <f t="shared" si="3"/>
        <v>2.7097033632548237</v>
      </c>
      <c r="H54" s="14">
        <f t="shared" si="3"/>
        <v>3.0447468511471842</v>
      </c>
    </row>
    <row r="55" spans="2:9" ht="14" x14ac:dyDescent="0.3">
      <c r="B55" s="4" t="s">
        <v>151</v>
      </c>
      <c r="C55" s="30">
        <v>7</v>
      </c>
      <c r="D55" s="14">
        <f t="shared" si="3"/>
        <v>1.8404332265303094</v>
      </c>
      <c r="E55" s="14">
        <f t="shared" si="3"/>
        <v>2.1789488417059069</v>
      </c>
      <c r="F55" s="14">
        <f t="shared" si="3"/>
        <v>2.5329928642009141</v>
      </c>
      <c r="G55" s="14">
        <f t="shared" si="3"/>
        <v>2.9025767738021728</v>
      </c>
      <c r="H55" s="14">
        <f t="shared" si="3"/>
        <v>3.2876984073586546</v>
      </c>
    </row>
    <row r="56" spans="2:9" ht="14" x14ac:dyDescent="0.3">
      <c r="B56" s="4" t="s">
        <v>152</v>
      </c>
      <c r="C56" s="30">
        <v>10</v>
      </c>
      <c r="D56" s="14">
        <f t="shared" si="3"/>
        <v>1.9623552515462026</v>
      </c>
      <c r="E56" s="14">
        <f t="shared" si="3"/>
        <v>2.3534061577672469</v>
      </c>
      <c r="F56" s="14">
        <f t="shared" si="3"/>
        <v>2.7695928705618962</v>
      </c>
      <c r="G56" s="14">
        <f t="shared" si="3"/>
        <v>3.2110740592130007</v>
      </c>
      <c r="H56" s="14">
        <f t="shared" si="3"/>
        <v>3.6779660994347858</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830539.18185151974</v>
      </c>
    </row>
    <row r="62" spans="2:9" ht="14" x14ac:dyDescent="0.3">
      <c r="B62" s="28" t="s">
        <v>159</v>
      </c>
      <c r="C62" s="28" t="s">
        <v>160</v>
      </c>
      <c r="D62" s="28" t="s">
        <v>161</v>
      </c>
    </row>
    <row r="63" spans="2:9" ht="14" x14ac:dyDescent="0.3">
      <c r="B63" s="31">
        <v>4.9700000000000001E-2</v>
      </c>
      <c r="C63" s="5">
        <f>IFERROR($C$60/B63,"N/A")</f>
        <v>16711049.936650297</v>
      </c>
      <c r="D63" s="14">
        <f>IFERROR(C63/'DCF Model'!C17,"N/A")</f>
        <v>4.7705361924635676</v>
      </c>
    </row>
    <row r="64" spans="2:9" ht="14" x14ac:dyDescent="0.3">
      <c r="B64" s="31">
        <v>7.46E-2</v>
      </c>
      <c r="C64" s="5">
        <f>IFERROR($C$60/B64,"N/A")</f>
        <v>11133233.000690613</v>
      </c>
      <c r="D64" s="14">
        <f>IFERROR(C64/'DCF Model'!C17,"N/A")</f>
        <v>3.1782258547646021</v>
      </c>
    </row>
    <row r="65" spans="2:9" ht="14" x14ac:dyDescent="0.3">
      <c r="B65" s="4" t="s">
        <v>162</v>
      </c>
      <c r="C65" s="5">
        <f>IFERROR($C$60/$C$18,"N/A")</f>
        <v>8352318.2634509327</v>
      </c>
      <c r="D65" s="14">
        <f>IFERROR(C65/'DCF Model'!C17,"N/A")</f>
        <v>2.3843526719036308</v>
      </c>
    </row>
    <row r="66" spans="2:9" ht="14" x14ac:dyDescent="0.3">
      <c r="B66" s="31">
        <v>0.12429999999999999</v>
      </c>
      <c r="C66" s="5">
        <f>IFERROR($C$60/B66,"N/A")</f>
        <v>6681731.1492479471</v>
      </c>
      <c r="D66" s="14">
        <f>IFERROR(C66/'DCF Model'!C17,"N/A")</f>
        <v>1.9074468927227621</v>
      </c>
    </row>
    <row r="67" spans="2:9" ht="14" x14ac:dyDescent="0.3">
      <c r="B67" s="31">
        <v>0.1492</v>
      </c>
      <c r="C67" s="5">
        <f>IFERROR($C$60/B67,"N/A")</f>
        <v>5566616.5003453065</v>
      </c>
      <c r="D67" s="14">
        <f>IFERROR(C67/'DCF Model'!C17,"N/A")</f>
        <v>1.589112927382301</v>
      </c>
    </row>
    <row r="69" spans="2:9" ht="14" x14ac:dyDescent="0.3">
      <c r="B69" s="8" t="s">
        <v>163</v>
      </c>
      <c r="C69" s="9"/>
      <c r="D69" s="9"/>
      <c r="E69" s="9"/>
      <c r="F69" s="9"/>
      <c r="G69" s="9"/>
      <c r="H69" s="9"/>
      <c r="I69" s="9"/>
    </row>
    <row r="70" spans="2:9" ht="13.5" x14ac:dyDescent="0.25">
      <c r="B70" s="6" t="s">
        <v>164</v>
      </c>
      <c r="C70" s="14">
        <f>IFERROR(C10/'Comps Analysis'!G5,"N/A")</f>
        <v>13.141974406400903</v>
      </c>
    </row>
    <row r="71" spans="2:9" ht="13.5" x14ac:dyDescent="0.25">
      <c r="B71" s="6" t="s">
        <v>165</v>
      </c>
      <c r="C71" s="14">
        <f>IFERROR(C10/'Comps Analysis'!F5,"N/A")</f>
        <v>1.8366502099218065</v>
      </c>
    </row>
    <row r="72" spans="2:9" ht="14" x14ac:dyDescent="0.3">
      <c r="B72" s="4" t="s">
        <v>166</v>
      </c>
      <c r="C72" s="14">
        <f>IFERROR(C10/(C25+'DCF Model'!G42),"N/A")</f>
        <v>7.2139204744327774</v>
      </c>
    </row>
    <row r="73" spans="2:9" ht="14" x14ac:dyDescent="0.3">
      <c r="B73" s="4" t="s">
        <v>167</v>
      </c>
      <c r="C73" s="14">
        <f>IFERROR(C10/(C60+'DCF Model'!G42),"N/A")</f>
        <v>6.5149879337542798</v>
      </c>
    </row>
    <row r="74" spans="2:9" ht="14" x14ac:dyDescent="0.3">
      <c r="B74" s="4" t="s">
        <v>168</v>
      </c>
      <c r="C74" s="14">
        <f>IFERROR('Comps Analysis'!D16,"N/A")</f>
        <v>15.552094158010673</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3,900 yen the market is paying for a steady-state operating profit of 830,539 mn JPY - 2.38x the FY2026 cycle peak of 348,329 mn - reached in 5 years and sustained for ever, against 348,329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734,861 mn, or 2.11x the peak. The base case supports an EV of only 2,848,471 mn, leaving 2,071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93.564768306674523</v>
      </c>
      <c r="D5" s="34">
        <f>CHOOSE('DCF Model'!$D$27,D25,D26,D27,D28,D29)</f>
        <v>94</v>
      </c>
      <c r="E5" s="34">
        <f>CHOOSE('DCF Model'!$D$27,E25,E26,E27,E28,E29)</f>
        <v>94</v>
      </c>
      <c r="F5" s="34">
        <f>CHOOSE('DCF Model'!$D$27,F25,F26,F27,F28,F29)</f>
        <v>94</v>
      </c>
      <c r="G5" s="34">
        <f>CHOOSE('DCF Model'!$D$27,G25,G26,G27,G28,G29)</f>
        <v>94</v>
      </c>
      <c r="H5" s="34">
        <f>CHOOSE('DCF Model'!$D$27,H25,H26,H27,H28,H29)</f>
        <v>94</v>
      </c>
    </row>
    <row r="6" spans="2:8" ht="14" x14ac:dyDescent="0.3">
      <c r="B6" s="33" t="s">
        <v>175</v>
      </c>
      <c r="C6" s="34">
        <f>C13/C10*365</f>
        <v>33.018358196253359</v>
      </c>
      <c r="D6" s="34">
        <f>CHOOSE('DCF Model'!$D$27,D32,D33,D34,D35,D36)</f>
        <v>40</v>
      </c>
      <c r="E6" s="34">
        <f>CHOOSE('DCF Model'!$D$27,E32,E33,E34,E35,E36)</f>
        <v>40</v>
      </c>
      <c r="F6" s="34">
        <f>CHOOSE('DCF Model'!$D$27,F32,F33,F34,F35,F36)</f>
        <v>40</v>
      </c>
      <c r="G6" s="34">
        <f>CHOOSE('DCF Model'!$D$27,G32,G33,G34,G35,G36)</f>
        <v>40</v>
      </c>
      <c r="H6" s="34">
        <f>CHOOSE('DCF Model'!$D$27,H32,H33,H34,H35,H36)</f>
        <v>40</v>
      </c>
    </row>
    <row r="7" spans="2:8" ht="14" x14ac:dyDescent="0.3">
      <c r="B7" s="33" t="s">
        <v>176</v>
      </c>
      <c r="C7" s="34">
        <f>C15/C10*365</f>
        <v>62.354689766074614</v>
      </c>
      <c r="D7" s="34">
        <f>CHOOSE('DCF Model'!$D$27,D39,D40,D41,D42,D43)</f>
        <v>65</v>
      </c>
      <c r="E7" s="34">
        <f>CHOOSE('DCF Model'!$D$27,E39,E40,E41,E42,E43)</f>
        <v>65</v>
      </c>
      <c r="F7" s="34">
        <f>CHOOSE('DCF Model'!$D$27,F39,F40,F41,F42,F43)</f>
        <v>65</v>
      </c>
      <c r="G7" s="34">
        <f>CHOOSE('DCF Model'!$D$27,G39,G40,G41,G42,G43)</f>
        <v>65</v>
      </c>
      <c r="H7" s="34">
        <f>CHOOSE('DCF Model'!$D$27,H39,H40,H41,H42,H43)</f>
        <v>65</v>
      </c>
    </row>
    <row r="8" spans="2:8" ht="14" x14ac:dyDescent="0.3">
      <c r="B8" s="8" t="s">
        <v>177</v>
      </c>
      <c r="C8" s="9"/>
      <c r="D8" s="9"/>
      <c r="E8" s="9"/>
      <c r="F8" s="9"/>
      <c r="G8" s="9"/>
      <c r="H8" s="9"/>
    </row>
    <row r="9" spans="2:8" ht="14" x14ac:dyDescent="0.3">
      <c r="B9" s="33" t="s">
        <v>32</v>
      </c>
      <c r="C9" s="35">
        <v>3502971</v>
      </c>
      <c r="D9" s="35">
        <f>'DCF Model'!C33</f>
        <v>3573030.42</v>
      </c>
      <c r="E9" s="35">
        <f>'DCF Model'!D33</f>
        <v>3662356.1804999998</v>
      </c>
      <c r="F9" s="35">
        <f>'DCF Model'!E33</f>
        <v>3753915.0850124992</v>
      </c>
      <c r="G9" s="35">
        <f>'DCF Model'!F33</f>
        <v>3847762.9621378114</v>
      </c>
      <c r="H9" s="35">
        <f>'DCF Model'!G33</f>
        <v>3924718.2213805676</v>
      </c>
    </row>
    <row r="10" spans="2:8" ht="14" x14ac:dyDescent="0.3">
      <c r="B10" s="33" t="s">
        <v>33</v>
      </c>
      <c r="C10" s="35">
        <v>2256104</v>
      </c>
      <c r="D10" s="35">
        <f>'DCF Model'!C34</f>
        <v>2301031.5904799998</v>
      </c>
      <c r="E10" s="35">
        <f>'DCF Model'!D34</f>
        <v>2358557.3802419999</v>
      </c>
      <c r="F10" s="35">
        <f>'DCF Model'!E34</f>
        <v>2417521.3147480497</v>
      </c>
      <c r="G10" s="35">
        <f>'DCF Model'!F34</f>
        <v>2477959.3476167507</v>
      </c>
      <c r="H10" s="35">
        <f>'DCF Model'!G34</f>
        <v>2527518.5345690856</v>
      </c>
    </row>
    <row r="11" spans="2:8" ht="14" x14ac:dyDescent="0.3">
      <c r="B11" s="8" t="s">
        <v>178</v>
      </c>
      <c r="C11" s="9"/>
      <c r="D11" s="9"/>
      <c r="E11" s="9"/>
      <c r="F11" s="9"/>
      <c r="G11" s="9"/>
      <c r="H11" s="9"/>
    </row>
    <row r="12" spans="2:8" ht="14" x14ac:dyDescent="0.3">
      <c r="B12" s="33" t="s">
        <v>179</v>
      </c>
      <c r="C12" s="35">
        <v>897958</v>
      </c>
      <c r="D12" s="35">
        <f t="shared" ref="D12:H13" si="0">D9*D5/365</f>
        <v>920177.69720547949</v>
      </c>
      <c r="E12" s="35">
        <f t="shared" si="0"/>
        <v>943182.13963561645</v>
      </c>
      <c r="F12" s="35">
        <f t="shared" si="0"/>
        <v>966761.69312650664</v>
      </c>
      <c r="G12" s="35">
        <f t="shared" si="0"/>
        <v>990930.73545466922</v>
      </c>
      <c r="H12" s="35">
        <f t="shared" si="0"/>
        <v>1010749.3501637627</v>
      </c>
    </row>
    <row r="13" spans="2:8" ht="14" x14ac:dyDescent="0.3">
      <c r="B13" s="33" t="s">
        <v>180</v>
      </c>
      <c r="C13" s="35">
        <v>204090</v>
      </c>
      <c r="D13" s="35">
        <f t="shared" si="0"/>
        <v>252167.84553205478</v>
      </c>
      <c r="E13" s="35">
        <f t="shared" si="0"/>
        <v>258472.04167035615</v>
      </c>
      <c r="F13" s="35">
        <f t="shared" si="0"/>
        <v>264933.84271211503</v>
      </c>
      <c r="G13" s="35">
        <f t="shared" si="0"/>
        <v>271557.18877991789</v>
      </c>
      <c r="H13" s="35">
        <f t="shared" si="0"/>
        <v>276988.33255551622</v>
      </c>
    </row>
    <row r="14" spans="2:8" ht="14" x14ac:dyDescent="0.3">
      <c r="B14" s="33" t="s">
        <v>181</v>
      </c>
      <c r="C14" s="35">
        <f t="shared" ref="C14:H14" si="1">C12+C13</f>
        <v>1102048</v>
      </c>
      <c r="D14" s="35">
        <f t="shared" si="1"/>
        <v>1172345.5427375343</v>
      </c>
      <c r="E14" s="35">
        <f t="shared" si="1"/>
        <v>1201654.1813059726</v>
      </c>
      <c r="F14" s="35">
        <f t="shared" si="1"/>
        <v>1231695.5358386217</v>
      </c>
      <c r="G14" s="35">
        <f t="shared" si="1"/>
        <v>1262487.9242345872</v>
      </c>
      <c r="H14" s="35">
        <f t="shared" si="1"/>
        <v>1287737.6827192788</v>
      </c>
    </row>
    <row r="15" spans="2:8" ht="14" x14ac:dyDescent="0.3">
      <c r="B15" s="33" t="s">
        <v>182</v>
      </c>
      <c r="C15" s="35">
        <v>385421</v>
      </c>
      <c r="D15" s="35">
        <f>D10*D7/365</f>
        <v>409772.74898958899</v>
      </c>
      <c r="E15" s="35">
        <f>E10*E7/365</f>
        <v>420017.0677143287</v>
      </c>
      <c r="F15" s="35">
        <f>F10*F7/365</f>
        <v>430517.49440718692</v>
      </c>
      <c r="G15" s="35">
        <f>G10*G7/365</f>
        <v>441280.43176736659</v>
      </c>
      <c r="H15" s="35">
        <f>H10*H7/365</f>
        <v>450106.04040271387</v>
      </c>
    </row>
    <row r="16" spans="2:8" ht="14" x14ac:dyDescent="0.3">
      <c r="B16" s="33" t="s">
        <v>183</v>
      </c>
      <c r="C16" s="35">
        <f t="shared" ref="C16:H16" si="2">C15</f>
        <v>385421</v>
      </c>
      <c r="D16" s="35">
        <f t="shared" si="2"/>
        <v>409772.74898958899</v>
      </c>
      <c r="E16" s="35">
        <f t="shared" si="2"/>
        <v>420017.0677143287</v>
      </c>
      <c r="F16" s="35">
        <f t="shared" si="2"/>
        <v>430517.49440718692</v>
      </c>
      <c r="G16" s="35">
        <f t="shared" si="2"/>
        <v>441280.43176736659</v>
      </c>
      <c r="H16" s="35">
        <f t="shared" si="2"/>
        <v>450106.04040271387</v>
      </c>
    </row>
    <row r="17" spans="2:8" ht="14" x14ac:dyDescent="0.3">
      <c r="B17" s="22" t="s">
        <v>184</v>
      </c>
      <c r="C17" s="23"/>
      <c r="D17" s="23"/>
      <c r="E17" s="23"/>
      <c r="F17" s="23"/>
      <c r="G17" s="23"/>
      <c r="H17" s="23"/>
    </row>
    <row r="18" spans="2:8" ht="14" x14ac:dyDescent="0.3">
      <c r="B18" s="33" t="s">
        <v>185</v>
      </c>
      <c r="C18" s="20">
        <f t="shared" ref="C18:H18" si="3">C14-C16</f>
        <v>716627</v>
      </c>
      <c r="D18" s="20">
        <f t="shared" si="3"/>
        <v>762572.79374794522</v>
      </c>
      <c r="E18" s="20">
        <f t="shared" si="3"/>
        <v>781637.11359164398</v>
      </c>
      <c r="F18" s="20">
        <f t="shared" si="3"/>
        <v>801178.04143143469</v>
      </c>
      <c r="G18" s="20">
        <f t="shared" si="3"/>
        <v>821207.49246722064</v>
      </c>
      <c r="H18" s="20">
        <f t="shared" si="3"/>
        <v>837631.64231656492</v>
      </c>
    </row>
    <row r="19" spans="2:8" ht="14" x14ac:dyDescent="0.3">
      <c r="B19" s="33" t="s">
        <v>94</v>
      </c>
      <c r="C19" s="36" t="s">
        <v>42</v>
      </c>
      <c r="D19" s="24">
        <f>D18-C18</f>
        <v>45945.793747945223</v>
      </c>
      <c r="E19" s="24">
        <f>E18-D18</f>
        <v>19064.319843698759</v>
      </c>
      <c r="F19" s="24">
        <f>F18-E18</f>
        <v>19540.927839790704</v>
      </c>
      <c r="G19" s="24">
        <f>G18-F18</f>
        <v>20029.451035785954</v>
      </c>
      <c r="H19" s="24">
        <f>H18-G18</f>
        <v>16424.149849344278</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94</v>
      </c>
      <c r="E25" s="30">
        <v>94</v>
      </c>
      <c r="F25" s="30">
        <v>94</v>
      </c>
      <c r="G25" s="30">
        <v>94</v>
      </c>
      <c r="H25" s="30">
        <v>94</v>
      </c>
    </row>
    <row r="26" spans="2:8" ht="14" x14ac:dyDescent="0.3">
      <c r="B26" s="4" t="s">
        <v>115</v>
      </c>
      <c r="D26" s="30">
        <v>90</v>
      </c>
      <c r="E26" s="30">
        <v>90</v>
      </c>
      <c r="F26" s="30">
        <v>90</v>
      </c>
      <c r="G26" s="30">
        <v>90</v>
      </c>
      <c r="H26" s="30">
        <v>90</v>
      </c>
    </row>
    <row r="27" spans="2:8" ht="14" x14ac:dyDescent="0.3">
      <c r="B27" s="4" t="s">
        <v>116</v>
      </c>
      <c r="D27" s="30">
        <v>94</v>
      </c>
      <c r="E27" s="30">
        <v>94</v>
      </c>
      <c r="F27" s="30">
        <v>94</v>
      </c>
      <c r="G27" s="30">
        <v>94</v>
      </c>
      <c r="H27" s="30">
        <v>94</v>
      </c>
    </row>
    <row r="28" spans="2:8" ht="14" x14ac:dyDescent="0.3">
      <c r="B28" s="4" t="s">
        <v>117</v>
      </c>
      <c r="D28" s="30">
        <v>99</v>
      </c>
      <c r="E28" s="30">
        <v>99</v>
      </c>
      <c r="F28" s="30">
        <v>99</v>
      </c>
      <c r="G28" s="30">
        <v>99</v>
      </c>
      <c r="H28" s="30">
        <v>99</v>
      </c>
    </row>
    <row r="29" spans="2:8" ht="14" x14ac:dyDescent="0.3">
      <c r="B29" s="4" t="s">
        <v>118</v>
      </c>
      <c r="D29" s="30">
        <v>103</v>
      </c>
      <c r="E29" s="30">
        <v>103</v>
      </c>
      <c r="F29" s="30">
        <v>103</v>
      </c>
      <c r="G29" s="30">
        <v>103</v>
      </c>
      <c r="H29" s="30">
        <v>103</v>
      </c>
    </row>
    <row r="31" spans="2:8" ht="14" x14ac:dyDescent="0.3">
      <c r="B31" s="3" t="s">
        <v>188</v>
      </c>
    </row>
    <row r="32" spans="2:8" ht="14" x14ac:dyDescent="0.3">
      <c r="B32" s="4" t="s">
        <v>78</v>
      </c>
      <c r="D32" s="30">
        <v>40</v>
      </c>
      <c r="E32" s="30">
        <v>40</v>
      </c>
      <c r="F32" s="30">
        <v>40</v>
      </c>
      <c r="G32" s="30">
        <v>40</v>
      </c>
      <c r="H32" s="30">
        <v>40</v>
      </c>
    </row>
    <row r="33" spans="2:8" ht="14" x14ac:dyDescent="0.3">
      <c r="B33" s="4" t="s">
        <v>115</v>
      </c>
      <c r="D33" s="30">
        <v>38</v>
      </c>
      <c r="E33" s="30">
        <v>38</v>
      </c>
      <c r="F33" s="30">
        <v>38</v>
      </c>
      <c r="G33" s="30">
        <v>38</v>
      </c>
      <c r="H33" s="30">
        <v>38</v>
      </c>
    </row>
    <row r="34" spans="2:8" ht="14" x14ac:dyDescent="0.3">
      <c r="B34" s="4" t="s">
        <v>116</v>
      </c>
      <c r="D34" s="30">
        <v>40</v>
      </c>
      <c r="E34" s="30">
        <v>40</v>
      </c>
      <c r="F34" s="30">
        <v>40</v>
      </c>
      <c r="G34" s="30">
        <v>40</v>
      </c>
      <c r="H34" s="30">
        <v>40</v>
      </c>
    </row>
    <row r="35" spans="2:8" ht="14" x14ac:dyDescent="0.3">
      <c r="B35" s="4" t="s">
        <v>117</v>
      </c>
      <c r="D35" s="30">
        <v>42</v>
      </c>
      <c r="E35" s="30">
        <v>42</v>
      </c>
      <c r="F35" s="30">
        <v>42</v>
      </c>
      <c r="G35" s="30">
        <v>42</v>
      </c>
      <c r="H35" s="30">
        <v>42</v>
      </c>
    </row>
    <row r="36" spans="2:8" ht="14" x14ac:dyDescent="0.3">
      <c r="B36" s="4" t="s">
        <v>118</v>
      </c>
      <c r="D36" s="30">
        <v>44</v>
      </c>
      <c r="E36" s="30">
        <v>44</v>
      </c>
      <c r="F36" s="30">
        <v>44</v>
      </c>
      <c r="G36" s="30">
        <v>44</v>
      </c>
      <c r="H36" s="30">
        <v>44</v>
      </c>
    </row>
    <row r="38" spans="2:8" ht="14" x14ac:dyDescent="0.3">
      <c r="B38" s="3" t="s">
        <v>189</v>
      </c>
    </row>
    <row r="39" spans="2:8" ht="14" x14ac:dyDescent="0.3">
      <c r="B39" s="4" t="s">
        <v>78</v>
      </c>
      <c r="D39" s="30">
        <v>65</v>
      </c>
      <c r="E39" s="30">
        <v>65</v>
      </c>
      <c r="F39" s="30">
        <v>65</v>
      </c>
      <c r="G39" s="30">
        <v>65</v>
      </c>
      <c r="H39" s="30">
        <v>65</v>
      </c>
    </row>
    <row r="40" spans="2:8" ht="14" x14ac:dyDescent="0.3">
      <c r="B40" s="4" t="s">
        <v>115</v>
      </c>
      <c r="D40" s="30">
        <v>68</v>
      </c>
      <c r="E40" s="30">
        <v>68</v>
      </c>
      <c r="F40" s="30">
        <v>68</v>
      </c>
      <c r="G40" s="30">
        <v>68</v>
      </c>
      <c r="H40" s="30">
        <v>68</v>
      </c>
    </row>
    <row r="41" spans="2:8" ht="14" x14ac:dyDescent="0.3">
      <c r="B41" s="4" t="s">
        <v>116</v>
      </c>
      <c r="D41" s="30">
        <v>65</v>
      </c>
      <c r="E41" s="30">
        <v>65</v>
      </c>
      <c r="F41" s="30">
        <v>65</v>
      </c>
      <c r="G41" s="30">
        <v>65</v>
      </c>
      <c r="H41" s="30">
        <v>65</v>
      </c>
    </row>
    <row r="42" spans="2:8" ht="14" x14ac:dyDescent="0.3">
      <c r="B42" s="4" t="s">
        <v>117</v>
      </c>
      <c r="D42" s="30">
        <v>62</v>
      </c>
      <c r="E42" s="30">
        <v>62</v>
      </c>
      <c r="F42" s="30">
        <v>62</v>
      </c>
      <c r="G42" s="30">
        <v>62</v>
      </c>
      <c r="H42" s="30">
        <v>62</v>
      </c>
    </row>
    <row r="43" spans="2:8" ht="14" x14ac:dyDescent="0.3">
      <c r="B43" s="4" t="s">
        <v>118</v>
      </c>
      <c r="D43" s="30">
        <v>59</v>
      </c>
      <c r="E43" s="30">
        <v>59</v>
      </c>
      <c r="F43" s="30">
        <v>59</v>
      </c>
      <c r="G43" s="30">
        <v>59</v>
      </c>
      <c r="H43" s="30">
        <v>59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6751004.4225000003</v>
      </c>
      <c r="E5" s="37">
        <f>D5+C24</f>
        <v>6433732.4225000003</v>
      </c>
      <c r="F5" s="37">
        <v>3502971</v>
      </c>
      <c r="G5" s="37">
        <v>489556</v>
      </c>
      <c r="H5" s="37">
        <v>348329</v>
      </c>
      <c r="I5" s="37">
        <v>449408</v>
      </c>
      <c r="J5" s="38">
        <f t="shared" ref="J5:J10" si="0">IFERROR(E5/G5,"")</f>
        <v>13.141974406400903</v>
      </c>
      <c r="K5" s="38">
        <f t="shared" ref="K5:K10" si="1">IFERROR(E5/F5,"")</f>
        <v>1.8366502099218065</v>
      </c>
      <c r="L5" s="38">
        <f t="shared" ref="L5:L10" si="2">IFERROR(D5/I5,"")</f>
        <v>15.021994318080676</v>
      </c>
      <c r="M5" s="38">
        <f t="shared" ref="M5:M10" si="3">IFERROR(D5/P5,"")</f>
        <v>3.3339692888343464</v>
      </c>
      <c r="N5" s="39">
        <f t="shared" ref="N5:N10" si="4">IFERROR(H5/F5,"")</f>
        <v>9.9438162633947016E-2</v>
      </c>
      <c r="O5" s="39">
        <f t="shared" ref="O5:O10" si="5">IFERROR(I5/P5,"")</f>
        <v>0.22193919250931521</v>
      </c>
      <c r="P5" s="37">
        <v>2024915</v>
      </c>
    </row>
    <row r="6" spans="2:17" ht="14" x14ac:dyDescent="0.3">
      <c r="B6" s="4" t="s">
        <v>208</v>
      </c>
      <c r="C6" t="s">
        <v>209</v>
      </c>
      <c r="D6" s="37">
        <v>6403589</v>
      </c>
      <c r="E6" s="37">
        <v>6233770</v>
      </c>
      <c r="F6" s="37">
        <v>3582733</v>
      </c>
      <c r="G6" s="37">
        <v>514415</v>
      </c>
      <c r="H6" s="37">
        <v>359913</v>
      </c>
      <c r="I6" s="37">
        <v>270228</v>
      </c>
      <c r="J6" s="38">
        <f t="shared" si="0"/>
        <v>12.118173070380918</v>
      </c>
      <c r="K6" s="38">
        <f t="shared" si="1"/>
        <v>1.7399482462131564</v>
      </c>
      <c r="L6" s="38">
        <f t="shared" si="2"/>
        <v>23.696985508533533</v>
      </c>
      <c r="M6" s="38">
        <f t="shared" si="3"/>
        <v>2.9152568222025352</v>
      </c>
      <c r="N6" s="39">
        <f t="shared" si="4"/>
        <v>0.10045766737292453</v>
      </c>
      <c r="O6" s="39">
        <f t="shared" si="5"/>
        <v>0.12302226463162245</v>
      </c>
      <c r="P6" s="37">
        <v>2196578</v>
      </c>
    </row>
    <row r="7" spans="2:17" ht="14" x14ac:dyDescent="0.3">
      <c r="B7" s="4" t="s">
        <v>210</v>
      </c>
      <c r="C7" t="s">
        <v>211</v>
      </c>
      <c r="D7" s="37">
        <v>2937170</v>
      </c>
      <c r="E7" s="37">
        <v>3040678</v>
      </c>
      <c r="F7" s="37">
        <v>814708</v>
      </c>
      <c r="G7" s="37">
        <v>108445</v>
      </c>
      <c r="H7" s="37">
        <v>57170</v>
      </c>
      <c r="I7" s="37">
        <v>15257</v>
      </c>
      <c r="J7" s="38">
        <f t="shared" si="0"/>
        <v>28.038895292544609</v>
      </c>
      <c r="K7" s="38">
        <f t="shared" si="1"/>
        <v>3.7322304432999309</v>
      </c>
      <c r="L7" s="38">
        <f t="shared" si="2"/>
        <v>192.51294487776102</v>
      </c>
      <c r="M7" s="38">
        <f t="shared" si="3"/>
        <v>6.7691545384358331</v>
      </c>
      <c r="N7" s="39">
        <f t="shared" si="4"/>
        <v>7.0172380779371255E-2</v>
      </c>
      <c r="O7" s="39">
        <f t="shared" si="5"/>
        <v>3.5162074647676338E-2</v>
      </c>
      <c r="P7" s="37">
        <v>433905</v>
      </c>
    </row>
    <row r="8" spans="2:17" ht="14" x14ac:dyDescent="0.3">
      <c r="B8" s="4" t="s">
        <v>212</v>
      </c>
      <c r="C8" t="s">
        <v>213</v>
      </c>
      <c r="D8" s="37">
        <v>10739696</v>
      </c>
      <c r="E8" s="37">
        <v>10371365</v>
      </c>
      <c r="F8" s="37">
        <v>5894747</v>
      </c>
      <c r="G8" s="37">
        <v>666879</v>
      </c>
      <c r="H8" s="37">
        <v>433095</v>
      </c>
      <c r="I8" s="37">
        <v>407758</v>
      </c>
      <c r="J8" s="38">
        <f t="shared" si="0"/>
        <v>15.552094158010673</v>
      </c>
      <c r="K8" s="38">
        <f t="shared" si="1"/>
        <v>1.7594249592052043</v>
      </c>
      <c r="L8" s="38">
        <f t="shared" si="2"/>
        <v>26.338406603917029</v>
      </c>
      <c r="M8" s="38">
        <f t="shared" si="3"/>
        <v>2.3949730011555959</v>
      </c>
      <c r="N8" s="39">
        <f t="shared" si="4"/>
        <v>7.3471346607411656E-2</v>
      </c>
      <c r="O8" s="39">
        <f t="shared" si="5"/>
        <v>9.0930823461409294E-2</v>
      </c>
      <c r="P8" s="37">
        <v>4484266</v>
      </c>
    </row>
    <row r="9" spans="2:17" ht="14" x14ac:dyDescent="0.3">
      <c r="B9" s="4" t="s">
        <v>214</v>
      </c>
      <c r="C9" t="s">
        <v>215</v>
      </c>
      <c r="D9" s="37">
        <v>9720293</v>
      </c>
      <c r="E9" s="37">
        <v>10553311</v>
      </c>
      <c r="F9" s="37">
        <v>8048722</v>
      </c>
      <c r="G9" s="37">
        <v>614305</v>
      </c>
      <c r="H9" s="37">
        <v>209963</v>
      </c>
      <c r="I9" s="37">
        <v>189540</v>
      </c>
      <c r="J9" s="38">
        <f t="shared" si="0"/>
        <v>17.179269255500117</v>
      </c>
      <c r="K9" s="38">
        <f t="shared" si="1"/>
        <v>1.3111784703211267</v>
      </c>
      <c r="L9" s="38">
        <f t="shared" si="2"/>
        <v>51.28359712989343</v>
      </c>
      <c r="M9" s="38">
        <f t="shared" si="3"/>
        <v>1.865243840659248</v>
      </c>
      <c r="N9" s="39">
        <f t="shared" si="4"/>
        <v>2.608650168312435E-2</v>
      </c>
      <c r="O9" s="39">
        <f t="shared" si="5"/>
        <v>3.6371158519455521E-2</v>
      </c>
      <c r="P9" s="37">
        <v>5211272</v>
      </c>
    </row>
    <row r="10" spans="2:17" ht="14" x14ac:dyDescent="0.3">
      <c r="B10" s="4" t="s">
        <v>216</v>
      </c>
      <c r="C10" t="s">
        <v>217</v>
      </c>
      <c r="D10" s="37">
        <v>24068208</v>
      </c>
      <c r="E10" s="37">
        <v>23753765</v>
      </c>
      <c r="F10" s="37">
        <v>10586781</v>
      </c>
      <c r="G10" s="37">
        <v>1657248</v>
      </c>
      <c r="H10" s="37">
        <v>1199275</v>
      </c>
      <c r="I10" s="37">
        <v>802368</v>
      </c>
      <c r="J10" s="38">
        <f t="shared" si="0"/>
        <v>14.333259113904496</v>
      </c>
      <c r="K10" s="38">
        <f t="shared" si="1"/>
        <v>2.2437193137366305</v>
      </c>
      <c r="L10" s="38">
        <f t="shared" si="2"/>
        <v>29.996470447475474</v>
      </c>
      <c r="M10" s="38">
        <f t="shared" si="3"/>
        <v>3.6642594226968672</v>
      </c>
      <c r="N10" s="39">
        <f t="shared" si="4"/>
        <v>0.1132804201768224</v>
      </c>
      <c r="O10" s="39">
        <f t="shared" si="5"/>
        <v>0.12215635266532682</v>
      </c>
      <c r="P10" s="37">
        <v>6568369</v>
      </c>
    </row>
    <row r="14" spans="2:17" ht="14" x14ac:dyDescent="0.3">
      <c r="B14" s="3" t="s">
        <v>218</v>
      </c>
    </row>
    <row r="15" spans="2:17" ht="14" x14ac:dyDescent="0.3">
      <c r="B15" s="4" t="s">
        <v>219</v>
      </c>
      <c r="D15" s="38">
        <f t="shared" ref="D15:I15" si="6">PERCENTILE(J6:J10,0.25)</f>
        <v>14.333259113904496</v>
      </c>
      <c r="E15" s="38">
        <f t="shared" si="6"/>
        <v>1.7399482462131564</v>
      </c>
      <c r="F15" s="38">
        <f t="shared" si="6"/>
        <v>26.338406603917029</v>
      </c>
      <c r="G15" s="38">
        <f t="shared" si="6"/>
        <v>2.3949730011555959</v>
      </c>
      <c r="H15" s="39">
        <f t="shared" si="6"/>
        <v>7.0172380779371255E-2</v>
      </c>
      <c r="I15" s="39">
        <f t="shared" si="6"/>
        <v>3.6371158519455521E-2</v>
      </c>
    </row>
    <row r="16" spans="2:17" ht="14" x14ac:dyDescent="0.3">
      <c r="B16" s="4" t="s">
        <v>220</v>
      </c>
      <c r="D16" s="38">
        <f t="shared" ref="D16:I16" si="7">MEDIAN(J6:J10)</f>
        <v>15.552094158010673</v>
      </c>
      <c r="E16" s="38">
        <f t="shared" si="7"/>
        <v>1.7594249592052043</v>
      </c>
      <c r="F16" s="38">
        <f t="shared" si="7"/>
        <v>29.996470447475474</v>
      </c>
      <c r="G16" s="38">
        <f t="shared" si="7"/>
        <v>2.9152568222025352</v>
      </c>
      <c r="H16" s="39">
        <f t="shared" si="7"/>
        <v>7.3471346607411656E-2</v>
      </c>
      <c r="I16" s="39">
        <f t="shared" si="7"/>
        <v>9.0930823461409294E-2</v>
      </c>
    </row>
    <row r="17" spans="2:9" ht="14" x14ac:dyDescent="0.3">
      <c r="B17" s="4" t="s">
        <v>221</v>
      </c>
      <c r="D17" s="38">
        <f t="shared" ref="D17:I17" si="8">PERCENTILE(J6:J10,0.75)</f>
        <v>17.179269255500117</v>
      </c>
      <c r="E17" s="38">
        <f t="shared" si="8"/>
        <v>2.2437193137366305</v>
      </c>
      <c r="F17" s="38">
        <f t="shared" si="8"/>
        <v>51.28359712989343</v>
      </c>
      <c r="G17" s="38">
        <f t="shared" si="8"/>
        <v>3.6642594226968672</v>
      </c>
      <c r="H17" s="39">
        <f t="shared" si="8"/>
        <v>0.10045766737292453</v>
      </c>
      <c r="I17" s="39">
        <f t="shared" si="8"/>
        <v>0.12215635266532682</v>
      </c>
    </row>
    <row r="19" spans="2:9" ht="14" x14ac:dyDescent="0.3">
      <c r="B19" s="22" t="s">
        <v>222</v>
      </c>
      <c r="C19" s="23"/>
      <c r="D19" s="23"/>
      <c r="E19" s="23"/>
      <c r="F19" s="23"/>
      <c r="G19" s="23"/>
      <c r="H19" s="23"/>
      <c r="I19" s="23"/>
    </row>
    <row r="20" spans="2:9" ht="14" x14ac:dyDescent="0.3">
      <c r="B20" s="3" t="s">
        <v>223</v>
      </c>
    </row>
    <row r="21" spans="2:9" ht="14" x14ac:dyDescent="0.3">
      <c r="B21" s="4" t="s">
        <v>224</v>
      </c>
      <c r="C21" s="5">
        <v>489556</v>
      </c>
    </row>
    <row r="22" spans="2:9" ht="14" x14ac:dyDescent="0.3">
      <c r="B22" s="4" t="s">
        <v>225</v>
      </c>
      <c r="C22" s="5">
        <v>449408</v>
      </c>
    </row>
    <row r="23" spans="2:9" ht="14" x14ac:dyDescent="0.3">
      <c r="B23" s="4" t="s">
        <v>226</v>
      </c>
      <c r="C23" s="15">
        <v>1731026775</v>
      </c>
    </row>
    <row r="24" spans="2:9" ht="14" x14ac:dyDescent="0.3">
      <c r="B24" s="4" t="s">
        <v>67</v>
      </c>
      <c r="C24" s="5">
        <v>-317272</v>
      </c>
    </row>
    <row r="26" spans="2:9" ht="14" x14ac:dyDescent="0.3">
      <c r="B26" s="3" t="s">
        <v>227</v>
      </c>
    </row>
    <row r="27" spans="2:9" ht="14" x14ac:dyDescent="0.3">
      <c r="B27" s="4" t="s">
        <v>228</v>
      </c>
      <c r="C27" s="24">
        <f>ROUND((C21*D16-C24)*1000000/C23,0)</f>
        <v>4582</v>
      </c>
    </row>
    <row r="28" spans="2:9" ht="14" x14ac:dyDescent="0.3">
      <c r="B28" s="4" t="s">
        <v>229</v>
      </c>
      <c r="C28" s="24">
        <f>ROUND(C22*F16*1000000/C23,0)</f>
        <v>7788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230</v>
      </c>
    </row>
    <row r="3" spans="2:9" ht="14" x14ac:dyDescent="0.3">
      <c r="B3" s="4" t="s">
        <v>231</v>
      </c>
      <c r="C3" s="16">
        <f>'DCF Model'!C26</f>
        <v>9.5665E-2</v>
      </c>
      <c r="E3" s="4" t="s">
        <v>232</v>
      </c>
      <c r="F3" s="16">
        <f>'DCF Model'!C13</f>
        <v>0.01</v>
      </c>
      <c r="H3" s="4" t="s">
        <v>233</v>
      </c>
      <c r="I3" s="14">
        <f>'DCF Model'!C14</f>
        <v>15.6</v>
      </c>
    </row>
    <row r="5" spans="2:9" ht="14" x14ac:dyDescent="0.3">
      <c r="B5" s="3" t="s">
        <v>234</v>
      </c>
    </row>
    <row r="6" spans="2:9" ht="14"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8.0665000000000001E-2</v>
      </c>
      <c r="C7" s="37">
        <f>IFERROR(ROUND(('DCF Model'!C45/(1+$B7)^('DCF Model'!C19+0)+'DCF Model'!D45/(1+$B7)^('DCF Model'!C19+1)+'DCF Model'!E45/(1+$B7)^('DCF Model'!C19+2)+'DCF Model'!F45/(1+$B7)^('DCF Model'!C19+3)+'DCF Model'!G45/(1+$B7)^('DCF Model'!C19+4)+'DCF Model'!G45*(1+C$6)/($B7-C$6)/(1+$B7)^('DCF Model'!C19+4)-'DCF Model'!C16)*1000000/'DCF Model'!C15,0),"")</f>
        <v>2035</v>
      </c>
      <c r="D7" s="37">
        <f>IFERROR(ROUND(('DCF Model'!C45/(1+$B7)^('DCF Model'!C19+0)+'DCF Model'!D45/(1+$B7)^('DCF Model'!C19+1)+'DCF Model'!E45/(1+$B7)^('DCF Model'!C19+2)+'DCF Model'!F45/(1+$B7)^('DCF Model'!C19+3)+'DCF Model'!G45/(1+$B7)^('DCF Model'!C19+4)+'DCF Model'!G45*(1+D$6)/($B7-D$6)/(1+$B7)^('DCF Model'!C19+4)-'DCF Model'!C16)*1000000/'DCF Model'!C15,0),"")</f>
        <v>2081</v>
      </c>
      <c r="E7" s="37">
        <f>IFERROR(ROUND(('DCF Model'!C45/(1+$B7)^('DCF Model'!C19+0)+'DCF Model'!D45/(1+$B7)^('DCF Model'!C19+1)+'DCF Model'!E45/(1+$B7)^('DCF Model'!C19+2)+'DCF Model'!F45/(1+$B7)^('DCF Model'!C19+3)+'DCF Model'!G45/(1+$B7)^('DCF Model'!C19+4)+'DCF Model'!G45*(1+E$6)/($B7-E$6)/(1+$B7)^('DCF Model'!C19+4)-'DCF Model'!C16)*1000000/'DCF Model'!C15,0),"")</f>
        <v>2131</v>
      </c>
      <c r="F7" s="37">
        <f>IFERROR(ROUND(('DCF Model'!C45/(1+$B7)^('DCF Model'!C19+0)+'DCF Model'!D45/(1+$B7)^('DCF Model'!C19+1)+'DCF Model'!E45/(1+$B7)^('DCF Model'!C19+2)+'DCF Model'!F45/(1+$B7)^('DCF Model'!C19+3)+'DCF Model'!G45/(1+$B7)^('DCF Model'!C19+4)+'DCF Model'!G45*(1+F$6)/($B7-F$6)/(1+$B7)^('DCF Model'!C19+4)-'DCF Model'!C16)*1000000/'DCF Model'!C15,0),"")</f>
        <v>2184</v>
      </c>
      <c r="G7" s="37">
        <f>IFERROR(ROUND(('DCF Model'!C45/(1+$B7)^('DCF Model'!C19+0)+'DCF Model'!D45/(1+$B7)^('DCF Model'!C19+1)+'DCF Model'!E45/(1+$B7)^('DCF Model'!C19+2)+'DCF Model'!F45/(1+$B7)^('DCF Model'!C19+3)+'DCF Model'!G45/(1+$B7)^('DCF Model'!C19+4)+'DCF Model'!G45*(1+G$6)/($B7-G$6)/(1+$B7)^('DCF Model'!C19+4)-'DCF Model'!C16)*1000000/'DCF Model'!C15,0),"")</f>
        <v>2240</v>
      </c>
      <c r="H7" s="37">
        <f>IFERROR(ROUND(('DCF Model'!C45/(1+$B7)^('DCF Model'!C19+0)+'DCF Model'!D45/(1+$B7)^('DCF Model'!C19+1)+'DCF Model'!E45/(1+$B7)^('DCF Model'!C19+2)+'DCF Model'!F45/(1+$B7)^('DCF Model'!C19+3)+'DCF Model'!G45/(1+$B7)^('DCF Model'!C19+4)+'DCF Model'!G45*(1+H$6)/($B7-H$6)/(1+$B7)^('DCF Model'!C19+4)-'DCF Model'!C16)*1000000/'DCF Model'!C15,0),"")</f>
        <v>2301</v>
      </c>
      <c r="I7" s="37">
        <f>IFERROR(ROUND(('DCF Model'!C45/(1+$B7)^('DCF Model'!C19+0)+'DCF Model'!D45/(1+$B7)^('DCF Model'!C19+1)+'DCF Model'!E45/(1+$B7)^('DCF Model'!C19+2)+'DCF Model'!F45/(1+$B7)^('DCF Model'!C19+3)+'DCF Model'!G45/(1+$B7)^('DCF Model'!C19+4)+'DCF Model'!G45*(1+I$6)/($B7-I$6)/(1+$B7)^('DCF Model'!C19+4)-'DCF Model'!C16)*1000000/'DCF Model'!C15,0),"")</f>
        <v>2367</v>
      </c>
    </row>
    <row r="8" spans="2:9" ht="13.5" x14ac:dyDescent="0.25">
      <c r="B8" s="39">
        <f>$C$3-0.01</f>
        <v>8.5665000000000005E-2</v>
      </c>
      <c r="C8" s="37">
        <f>IFERROR(ROUND(('DCF Model'!C45/(1+$B8)^('DCF Model'!C19+0)+'DCF Model'!D45/(1+$B8)^('DCF Model'!C19+1)+'DCF Model'!E45/(1+$B8)^('DCF Model'!C19+2)+'DCF Model'!F45/(1+$B8)^('DCF Model'!C19+3)+'DCF Model'!G45/(1+$B8)^('DCF Model'!C19+4)+'DCF Model'!G45*(1+C$6)/($B8-C$6)/(1+$B8)^('DCF Model'!C19+4)-'DCF Model'!C16)*1000000/'DCF Model'!C15,0),"")</f>
        <v>1922</v>
      </c>
      <c r="D8" s="37">
        <f>IFERROR(ROUND(('DCF Model'!C45/(1+$B8)^('DCF Model'!C19+0)+'DCF Model'!D45/(1+$B8)^('DCF Model'!C19+1)+'DCF Model'!E45/(1+$B8)^('DCF Model'!C19+2)+'DCF Model'!F45/(1+$B8)^('DCF Model'!C19+3)+'DCF Model'!G45/(1+$B8)^('DCF Model'!C19+4)+'DCF Model'!G45*(1+D$6)/($B8-D$6)/(1+$B8)^('DCF Model'!C19+4)-'DCF Model'!C16)*1000000/'DCF Model'!C15,0),"")</f>
        <v>1962</v>
      </c>
      <c r="E8" s="37">
        <f>IFERROR(ROUND(('DCF Model'!C45/(1+$B8)^('DCF Model'!C19+0)+'DCF Model'!D45/(1+$B8)^('DCF Model'!C19+1)+'DCF Model'!E45/(1+$B8)^('DCF Model'!C19+2)+'DCF Model'!F45/(1+$B8)^('DCF Model'!C19+3)+'DCF Model'!G45/(1+$B8)^('DCF Model'!C19+4)+'DCF Model'!G45*(1+E$6)/($B8-E$6)/(1+$B8)^('DCF Model'!C19+4)-'DCF Model'!C16)*1000000/'DCF Model'!C15,0),"")</f>
        <v>2004</v>
      </c>
      <c r="F8" s="37">
        <f>IFERROR(ROUND(('DCF Model'!C45/(1+$B8)^('DCF Model'!C19+0)+'DCF Model'!D45/(1+$B8)^('DCF Model'!C19+1)+'DCF Model'!E45/(1+$B8)^('DCF Model'!C19+2)+'DCF Model'!F45/(1+$B8)^('DCF Model'!C19+3)+'DCF Model'!G45/(1+$B8)^('DCF Model'!C19+4)+'DCF Model'!G45*(1+F$6)/($B8-F$6)/(1+$B8)^('DCF Model'!C19+4)-'DCF Model'!C16)*1000000/'DCF Model'!C15,0),"")</f>
        <v>2050</v>
      </c>
      <c r="G8" s="37">
        <f>IFERROR(ROUND(('DCF Model'!C45/(1+$B8)^('DCF Model'!C19+0)+'DCF Model'!D45/(1+$B8)^('DCF Model'!C19+1)+'DCF Model'!E45/(1+$B8)^('DCF Model'!C19+2)+'DCF Model'!F45/(1+$B8)^('DCF Model'!C19+3)+'DCF Model'!G45/(1+$B8)^('DCF Model'!C19+4)+'DCF Model'!G45*(1+G$6)/($B8-G$6)/(1+$B8)^('DCF Model'!C19+4)-'DCF Model'!C16)*1000000/'DCF Model'!C15,0),"")</f>
        <v>2098</v>
      </c>
      <c r="H8" s="37">
        <f>IFERROR(ROUND(('DCF Model'!C45/(1+$B8)^('DCF Model'!C19+0)+'DCF Model'!D45/(1+$B8)^('DCF Model'!C19+1)+'DCF Model'!E45/(1+$B8)^('DCF Model'!C19+2)+'DCF Model'!F45/(1+$B8)^('DCF Model'!C19+3)+'DCF Model'!G45/(1+$B8)^('DCF Model'!C19+4)+'DCF Model'!G45*(1+H$6)/($B8-H$6)/(1+$B8)^('DCF Model'!C19+4)-'DCF Model'!C16)*1000000/'DCF Model'!C15,0),"")</f>
        <v>2150</v>
      </c>
      <c r="I8" s="37">
        <f>IFERROR(ROUND(('DCF Model'!C45/(1+$B8)^('DCF Model'!C19+0)+'DCF Model'!D45/(1+$B8)^('DCF Model'!C19+1)+'DCF Model'!E45/(1+$B8)^('DCF Model'!C19+2)+'DCF Model'!F45/(1+$B8)^('DCF Model'!C19+3)+'DCF Model'!G45/(1+$B8)^('DCF Model'!C19+4)+'DCF Model'!G45*(1+I$6)/($B8-I$6)/(1+$B8)^('DCF Model'!C19+4)-'DCF Model'!C16)*1000000/'DCF Model'!C15,0),"")</f>
        <v>2206</v>
      </c>
    </row>
    <row r="9" spans="2:9" ht="13.5" x14ac:dyDescent="0.25">
      <c r="B9" s="39">
        <f>$C$3-0.005</f>
        <v>9.0664999999999996E-2</v>
      </c>
      <c r="C9" s="37">
        <f>IFERROR(ROUND(('DCF Model'!C45/(1+$B9)^('DCF Model'!C19+0)+'DCF Model'!D45/(1+$B9)^('DCF Model'!C19+1)+'DCF Model'!E45/(1+$B9)^('DCF Model'!C19+2)+'DCF Model'!F45/(1+$B9)^('DCF Model'!C19+3)+'DCF Model'!G45/(1+$B9)^('DCF Model'!C19+4)+'DCF Model'!G45*(1+C$6)/($B9-C$6)/(1+$B9)^('DCF Model'!C19+4)-'DCF Model'!C16)*1000000/'DCF Model'!C15,0),"")</f>
        <v>1821</v>
      </c>
      <c r="D9" s="37">
        <f>IFERROR(ROUND(('DCF Model'!C45/(1+$B9)^('DCF Model'!C19+0)+'DCF Model'!D45/(1+$B9)^('DCF Model'!C19+1)+'DCF Model'!E45/(1+$B9)^('DCF Model'!C19+2)+'DCF Model'!F45/(1+$B9)^('DCF Model'!C19+3)+'DCF Model'!G45/(1+$B9)^('DCF Model'!C19+4)+'DCF Model'!G45*(1+D$6)/($B9-D$6)/(1+$B9)^('DCF Model'!C19+4)-'DCF Model'!C16)*1000000/'DCF Model'!C15,0),"")</f>
        <v>1856</v>
      </c>
      <c r="E9" s="37">
        <f>IFERROR(ROUND(('DCF Model'!C45/(1+$B9)^('DCF Model'!C19+0)+'DCF Model'!D45/(1+$B9)^('DCF Model'!C19+1)+'DCF Model'!E45/(1+$B9)^('DCF Model'!C19+2)+'DCF Model'!F45/(1+$B9)^('DCF Model'!C19+3)+'DCF Model'!G45/(1+$B9)^('DCF Model'!C19+4)+'DCF Model'!G45*(1+E$6)/($B9-E$6)/(1+$B9)^('DCF Model'!C19+4)-'DCF Model'!C16)*1000000/'DCF Model'!C15,0),"")</f>
        <v>1893</v>
      </c>
      <c r="F9" s="37">
        <f>IFERROR(ROUND(('DCF Model'!C45/(1+$B9)^('DCF Model'!C19+0)+'DCF Model'!D45/(1+$B9)^('DCF Model'!C19+1)+'DCF Model'!E45/(1+$B9)^('DCF Model'!C19+2)+'DCF Model'!F45/(1+$B9)^('DCF Model'!C19+3)+'DCF Model'!G45/(1+$B9)^('DCF Model'!C19+4)+'DCF Model'!G45*(1+F$6)/($B9-F$6)/(1+$B9)^('DCF Model'!C19+4)-'DCF Model'!C16)*1000000/'DCF Model'!C15,0),"")</f>
        <v>1932</v>
      </c>
      <c r="G9" s="37">
        <f>IFERROR(ROUND(('DCF Model'!C45/(1+$B9)^('DCF Model'!C19+0)+'DCF Model'!D45/(1+$B9)^('DCF Model'!C19+1)+'DCF Model'!E45/(1+$B9)^('DCF Model'!C19+2)+'DCF Model'!F45/(1+$B9)^('DCF Model'!C19+3)+'DCF Model'!G45/(1+$B9)^('DCF Model'!C19+4)+'DCF Model'!G45*(1+G$6)/($B9-G$6)/(1+$B9)^('DCF Model'!C19+4)-'DCF Model'!C16)*1000000/'DCF Model'!C15,0),"")</f>
        <v>1974</v>
      </c>
      <c r="H9" s="37">
        <f>IFERROR(ROUND(('DCF Model'!C45/(1+$B9)^('DCF Model'!C19+0)+'DCF Model'!D45/(1+$B9)^('DCF Model'!C19+1)+'DCF Model'!E45/(1+$B9)^('DCF Model'!C19+2)+'DCF Model'!F45/(1+$B9)^('DCF Model'!C19+3)+'DCF Model'!G45/(1+$B9)^('DCF Model'!C19+4)+'DCF Model'!G45*(1+H$6)/($B9-H$6)/(1+$B9)^('DCF Model'!C19+4)-'DCF Model'!C16)*1000000/'DCF Model'!C15,0),"")</f>
        <v>2019</v>
      </c>
      <c r="I9" s="37">
        <f>IFERROR(ROUND(('DCF Model'!C45/(1+$B9)^('DCF Model'!C19+0)+'DCF Model'!D45/(1+$B9)^('DCF Model'!C19+1)+'DCF Model'!E45/(1+$B9)^('DCF Model'!C19+2)+'DCF Model'!F45/(1+$B9)^('DCF Model'!C19+3)+'DCF Model'!G45/(1+$B9)^('DCF Model'!C19+4)+'DCF Model'!G45*(1+I$6)/($B9-I$6)/(1+$B9)^('DCF Model'!C19+4)-'DCF Model'!C16)*1000000/'DCF Model'!C15,0),"")</f>
        <v>2066</v>
      </c>
    </row>
    <row r="10" spans="2:9" ht="13.5" x14ac:dyDescent="0.25">
      <c r="B10" s="39">
        <f>$C$3</f>
        <v>9.5665E-2</v>
      </c>
      <c r="C10" s="37">
        <f>IFERROR(ROUND(('DCF Model'!C45/(1+$B10)^('DCF Model'!C19+0)+'DCF Model'!D45/(1+$B10)^('DCF Model'!C19+1)+'DCF Model'!E45/(1+$B10)^('DCF Model'!C19+2)+'DCF Model'!F45/(1+$B10)^('DCF Model'!C19+3)+'DCF Model'!G45/(1+$B10)^('DCF Model'!C19+4)+'DCF Model'!G45*(1+C$6)/($B10-C$6)/(1+$B10)^('DCF Model'!C19+4)-'DCF Model'!C16)*1000000/'DCF Model'!C15,0),"")</f>
        <v>1732</v>
      </c>
      <c r="D10" s="37">
        <f>IFERROR(ROUND(('DCF Model'!C45/(1+$B10)^('DCF Model'!C19+0)+'DCF Model'!D45/(1+$B10)^('DCF Model'!C19+1)+'DCF Model'!E45/(1+$B10)^('DCF Model'!C19+2)+'DCF Model'!F45/(1+$B10)^('DCF Model'!C19+3)+'DCF Model'!G45/(1+$B10)^('DCF Model'!C19+4)+'DCF Model'!G45*(1+D$6)/($B10-D$6)/(1+$B10)^('DCF Model'!C19+4)-'DCF Model'!C16)*1000000/'DCF Model'!C15,0),"")</f>
        <v>1762</v>
      </c>
      <c r="E10" s="37">
        <f>IFERROR(ROUND(('DCF Model'!C45/(1+$B10)^('DCF Model'!C19+0)+'DCF Model'!D45/(1+$B10)^('DCF Model'!C19+1)+'DCF Model'!E45/(1+$B10)^('DCF Model'!C19+2)+'DCF Model'!F45/(1+$B10)^('DCF Model'!C19+3)+'DCF Model'!G45/(1+$B10)^('DCF Model'!C19+4)+'DCF Model'!G45*(1+E$6)/($B10-E$6)/(1+$B10)^('DCF Model'!C19+4)-'DCF Model'!C16)*1000000/'DCF Model'!C15,0),"")</f>
        <v>1795</v>
      </c>
      <c r="F10" s="37">
        <f>IFERROR(ROUND(('DCF Model'!C45/(1+$B10)^('DCF Model'!C19+0)+'DCF Model'!D45/(1+$B10)^('DCF Model'!C19+1)+'DCF Model'!E45/(1+$B10)^('DCF Model'!C19+2)+'DCF Model'!F45/(1+$B10)^('DCF Model'!C19+3)+'DCF Model'!G45/(1+$B10)^('DCF Model'!C19+4)+'DCF Model'!G45*(1+F$6)/($B10-F$6)/(1+$B10)^('DCF Model'!C19+4)-'DCF Model'!C16)*1000000/'DCF Model'!C15,0),"")</f>
        <v>1829</v>
      </c>
      <c r="G10" s="37">
        <f>IFERROR(ROUND(('DCF Model'!C45/(1+$B10)^('DCF Model'!C19+0)+'DCF Model'!D45/(1+$B10)^('DCF Model'!C19+1)+'DCF Model'!E45/(1+$B10)^('DCF Model'!C19+2)+'DCF Model'!F45/(1+$B10)^('DCF Model'!C19+3)+'DCF Model'!G45/(1+$B10)^('DCF Model'!C19+4)+'DCF Model'!G45*(1+G$6)/($B10-G$6)/(1+$B10)^('DCF Model'!C19+4)-'DCF Model'!C16)*1000000/'DCF Model'!C15,0),"")</f>
        <v>1865</v>
      </c>
      <c r="H10" s="37">
        <f>IFERROR(ROUND(('DCF Model'!C45/(1+$B10)^('DCF Model'!C19+0)+'DCF Model'!D45/(1+$B10)^('DCF Model'!C19+1)+'DCF Model'!E45/(1+$B10)^('DCF Model'!C19+2)+'DCF Model'!F45/(1+$B10)^('DCF Model'!C19+3)+'DCF Model'!G45/(1+$B10)^('DCF Model'!C19+4)+'DCF Model'!G45*(1+H$6)/($B10-H$6)/(1+$B10)^('DCF Model'!C19+4)-'DCF Model'!C16)*1000000/'DCF Model'!C15,0),"")</f>
        <v>1904</v>
      </c>
      <c r="I10" s="37">
        <f>IFERROR(ROUND(('DCF Model'!C45/(1+$B10)^('DCF Model'!C19+0)+'DCF Model'!D45/(1+$B10)^('DCF Model'!C19+1)+'DCF Model'!E45/(1+$B10)^('DCF Model'!C19+2)+'DCF Model'!F45/(1+$B10)^('DCF Model'!C19+3)+'DCF Model'!G45/(1+$B10)^('DCF Model'!C19+4)+'DCF Model'!G45*(1+I$6)/($B10-I$6)/(1+$B10)^('DCF Model'!C19+4)-'DCF Model'!C16)*1000000/'DCF Model'!C15,0),"")</f>
        <v>1945</v>
      </c>
    </row>
    <row r="11" spans="2:9" ht="13.5" x14ac:dyDescent="0.25">
      <c r="B11" s="39">
        <f>$C$3+0.005</f>
        <v>0.100665</v>
      </c>
      <c r="C11" s="37">
        <f>IFERROR(ROUND(('DCF Model'!C45/(1+$B11)^('DCF Model'!C19+0)+'DCF Model'!D45/(1+$B11)^('DCF Model'!C19+1)+'DCF Model'!E45/(1+$B11)^('DCF Model'!C19+2)+'DCF Model'!F45/(1+$B11)^('DCF Model'!C19+3)+'DCF Model'!G45/(1+$B11)^('DCF Model'!C19+4)+'DCF Model'!G45*(1+C$6)/($B11-C$6)/(1+$B11)^('DCF Model'!C19+4)-'DCF Model'!C16)*1000000/'DCF Model'!C15,0),"")</f>
        <v>1651</v>
      </c>
      <c r="D11" s="37">
        <f>IFERROR(ROUND(('DCF Model'!C45/(1+$B11)^('DCF Model'!C19+0)+'DCF Model'!D45/(1+$B11)^('DCF Model'!C19+1)+'DCF Model'!E45/(1+$B11)^('DCF Model'!C19+2)+'DCF Model'!F45/(1+$B11)^('DCF Model'!C19+3)+'DCF Model'!G45/(1+$B11)^('DCF Model'!C19+4)+'DCF Model'!G45*(1+D$6)/($B11-D$6)/(1+$B11)^('DCF Model'!C19+4)-'DCF Model'!C16)*1000000/'DCF Model'!C15,0),"")</f>
        <v>1678</v>
      </c>
      <c r="E11" s="37">
        <f>IFERROR(ROUND(('DCF Model'!C45/(1+$B11)^('DCF Model'!C19+0)+'DCF Model'!D45/(1+$B11)^('DCF Model'!C19+1)+'DCF Model'!E45/(1+$B11)^('DCF Model'!C19+2)+'DCF Model'!F45/(1+$B11)^('DCF Model'!C19+3)+'DCF Model'!G45/(1+$B11)^('DCF Model'!C19+4)+'DCF Model'!G45*(1+E$6)/($B11-E$6)/(1+$B11)^('DCF Model'!C19+4)-'DCF Model'!C16)*1000000/'DCF Model'!C15,0),"")</f>
        <v>1707</v>
      </c>
      <c r="F11" s="37">
        <f>IFERROR(ROUND(('DCF Model'!C45/(1+$B11)^('DCF Model'!C19+0)+'DCF Model'!D45/(1+$B11)^('DCF Model'!C19+1)+'DCF Model'!E45/(1+$B11)^('DCF Model'!C19+2)+'DCF Model'!F45/(1+$B11)^('DCF Model'!C19+3)+'DCF Model'!G45/(1+$B11)^('DCF Model'!C19+4)+'DCF Model'!G45*(1+F$6)/($B11-F$6)/(1+$B11)^('DCF Model'!C19+4)-'DCF Model'!C16)*1000000/'DCF Model'!C15,0),"")</f>
        <v>1737</v>
      </c>
      <c r="G11" s="37">
        <f>IFERROR(ROUND(('DCF Model'!C45/(1+$B11)^('DCF Model'!C19+0)+'DCF Model'!D45/(1+$B11)^('DCF Model'!C19+1)+'DCF Model'!E45/(1+$B11)^('DCF Model'!C19+2)+'DCF Model'!F45/(1+$B11)^('DCF Model'!C19+3)+'DCF Model'!G45/(1+$B11)^('DCF Model'!C19+4)+'DCF Model'!G45*(1+G$6)/($B11-G$6)/(1+$B11)^('DCF Model'!C19+4)-'DCF Model'!C16)*1000000/'DCF Model'!C15,0),"")</f>
        <v>1769</v>
      </c>
      <c r="H11" s="37">
        <f>IFERROR(ROUND(('DCF Model'!C45/(1+$B11)^('DCF Model'!C19+0)+'DCF Model'!D45/(1+$B11)^('DCF Model'!C19+1)+'DCF Model'!E45/(1+$B11)^('DCF Model'!C19+2)+'DCF Model'!F45/(1+$B11)^('DCF Model'!C19+3)+'DCF Model'!G45/(1+$B11)^('DCF Model'!C19+4)+'DCF Model'!G45*(1+H$6)/($B11-H$6)/(1+$B11)^('DCF Model'!C19+4)-'DCF Model'!C16)*1000000/'DCF Model'!C15,0),"")</f>
        <v>1802</v>
      </c>
      <c r="I11" s="37">
        <f>IFERROR(ROUND(('DCF Model'!C45/(1+$B11)^('DCF Model'!C19+0)+'DCF Model'!D45/(1+$B11)^('DCF Model'!C19+1)+'DCF Model'!E45/(1+$B11)^('DCF Model'!C19+2)+'DCF Model'!F45/(1+$B11)^('DCF Model'!C19+3)+'DCF Model'!G45/(1+$B11)^('DCF Model'!C19+4)+'DCF Model'!G45*(1+I$6)/($B11-I$6)/(1+$B11)^('DCF Model'!C19+4)-'DCF Model'!C16)*1000000/'DCF Model'!C15,0),"")</f>
        <v>1838</v>
      </c>
    </row>
    <row r="12" spans="2:9" ht="13.5" x14ac:dyDescent="0.25">
      <c r="B12" s="39">
        <f>$C$3+0.01</f>
        <v>0.105665</v>
      </c>
      <c r="C12" s="37">
        <f>IFERROR(ROUND(('DCF Model'!C45/(1+$B12)^('DCF Model'!C19+0)+'DCF Model'!D45/(1+$B12)^('DCF Model'!C19+1)+'DCF Model'!E45/(1+$B12)^('DCF Model'!C19+2)+'DCF Model'!F45/(1+$B12)^('DCF Model'!C19+3)+'DCF Model'!G45/(1+$B12)^('DCF Model'!C19+4)+'DCF Model'!G45*(1+C$6)/($B12-C$6)/(1+$B12)^('DCF Model'!C19+4)-'DCF Model'!C16)*1000000/'DCF Model'!C15,0),"")</f>
        <v>1578</v>
      </c>
      <c r="D12" s="37">
        <f>IFERROR(ROUND(('DCF Model'!C45/(1+$B12)^('DCF Model'!C19+0)+'DCF Model'!D45/(1+$B12)^('DCF Model'!C19+1)+'DCF Model'!E45/(1+$B12)^('DCF Model'!C19+2)+'DCF Model'!F45/(1+$B12)^('DCF Model'!C19+3)+'DCF Model'!G45/(1+$B12)^('DCF Model'!C19+4)+'DCF Model'!G45*(1+D$6)/($B12-D$6)/(1+$B12)^('DCF Model'!C19+4)-'DCF Model'!C16)*1000000/'DCF Model'!C15,0),"")</f>
        <v>1602</v>
      </c>
      <c r="E12" s="37">
        <f>IFERROR(ROUND(('DCF Model'!C45/(1+$B12)^('DCF Model'!C19+0)+'DCF Model'!D45/(1+$B12)^('DCF Model'!C19+1)+'DCF Model'!E45/(1+$B12)^('DCF Model'!C19+2)+'DCF Model'!F45/(1+$B12)^('DCF Model'!C19+3)+'DCF Model'!G45/(1+$B12)^('DCF Model'!C19+4)+'DCF Model'!G45*(1+E$6)/($B12-E$6)/(1+$B12)^('DCF Model'!C19+4)-'DCF Model'!C16)*1000000/'DCF Model'!C15,0),"")</f>
        <v>1628</v>
      </c>
      <c r="F12" s="37">
        <f>IFERROR(ROUND(('DCF Model'!C45/(1+$B12)^('DCF Model'!C19+0)+'DCF Model'!D45/(1+$B12)^('DCF Model'!C19+1)+'DCF Model'!E45/(1+$B12)^('DCF Model'!C19+2)+'DCF Model'!F45/(1+$B12)^('DCF Model'!C19+3)+'DCF Model'!G45/(1+$B12)^('DCF Model'!C19+4)+'DCF Model'!G45*(1+F$6)/($B12-F$6)/(1+$B12)^('DCF Model'!C19+4)-'DCF Model'!C16)*1000000/'DCF Model'!C15,0),"")</f>
        <v>1654</v>
      </c>
      <c r="G12" s="37">
        <f>IFERROR(ROUND(('DCF Model'!C45/(1+$B12)^('DCF Model'!C19+0)+'DCF Model'!D45/(1+$B12)^('DCF Model'!C19+1)+'DCF Model'!E45/(1+$B12)^('DCF Model'!C19+2)+'DCF Model'!F45/(1+$B12)^('DCF Model'!C19+3)+'DCF Model'!G45/(1+$B12)^('DCF Model'!C19+4)+'DCF Model'!G45*(1+G$6)/($B12-G$6)/(1+$B12)^('DCF Model'!C19+4)-'DCF Model'!C16)*1000000/'DCF Model'!C15,0),"")</f>
        <v>1682</v>
      </c>
      <c r="H12" s="37">
        <f>IFERROR(ROUND(('DCF Model'!C45/(1+$B12)^('DCF Model'!C19+0)+'DCF Model'!D45/(1+$B12)^('DCF Model'!C19+1)+'DCF Model'!E45/(1+$B12)^('DCF Model'!C19+2)+'DCF Model'!F45/(1+$B12)^('DCF Model'!C19+3)+'DCF Model'!G45/(1+$B12)^('DCF Model'!C19+4)+'DCF Model'!G45*(1+H$6)/($B12-H$6)/(1+$B12)^('DCF Model'!C19+4)-'DCF Model'!C16)*1000000/'DCF Model'!C15,0),"")</f>
        <v>1712</v>
      </c>
      <c r="I12" s="37">
        <f>IFERROR(ROUND(('DCF Model'!C45/(1+$B12)^('DCF Model'!C19+0)+'DCF Model'!D45/(1+$B12)^('DCF Model'!C19+1)+'DCF Model'!E45/(1+$B12)^('DCF Model'!C19+2)+'DCF Model'!F45/(1+$B12)^('DCF Model'!C19+3)+'DCF Model'!G45/(1+$B12)^('DCF Model'!C19+4)+'DCF Model'!G45*(1+I$6)/($B12-I$6)/(1+$B12)^('DCF Model'!C19+4)-'DCF Model'!C16)*1000000/'DCF Model'!C15,0),"")</f>
        <v>1743</v>
      </c>
    </row>
    <row r="13" spans="2:9" ht="13.5" x14ac:dyDescent="0.25">
      <c r="B13" s="39">
        <f>$C$3+0.015</f>
        <v>0.110665</v>
      </c>
      <c r="C13" s="37">
        <f>IFERROR(ROUND(('DCF Model'!C45/(1+$B13)^('DCF Model'!C19+0)+'DCF Model'!D45/(1+$B13)^('DCF Model'!C19+1)+'DCF Model'!E45/(1+$B13)^('DCF Model'!C19+2)+'DCF Model'!F45/(1+$B13)^('DCF Model'!C19+3)+'DCF Model'!G45/(1+$B13)^('DCF Model'!C19+4)+'DCF Model'!G45*(1+C$6)/($B13-C$6)/(1+$B13)^('DCF Model'!C19+4)-'DCF Model'!C16)*1000000/'DCF Model'!C15,0),"")</f>
        <v>1512</v>
      </c>
      <c r="D13" s="37">
        <f>IFERROR(ROUND(('DCF Model'!C45/(1+$B13)^('DCF Model'!C19+0)+'DCF Model'!D45/(1+$B13)^('DCF Model'!C19+1)+'DCF Model'!E45/(1+$B13)^('DCF Model'!C19+2)+'DCF Model'!F45/(1+$B13)^('DCF Model'!C19+3)+'DCF Model'!G45/(1+$B13)^('DCF Model'!C19+4)+'DCF Model'!G45*(1+D$6)/($B13-D$6)/(1+$B13)^('DCF Model'!C19+4)-'DCF Model'!C16)*1000000/'DCF Model'!C15,0),"")</f>
        <v>1534</v>
      </c>
      <c r="E13" s="37">
        <f>IFERROR(ROUND(('DCF Model'!C45/(1+$B13)^('DCF Model'!C19+0)+'DCF Model'!D45/(1+$B13)^('DCF Model'!C19+1)+'DCF Model'!E45/(1+$B13)^('DCF Model'!C19+2)+'DCF Model'!F45/(1+$B13)^('DCF Model'!C19+3)+'DCF Model'!G45/(1+$B13)^('DCF Model'!C19+4)+'DCF Model'!G45*(1+E$6)/($B13-E$6)/(1+$B13)^('DCF Model'!C19+4)-'DCF Model'!C16)*1000000/'DCF Model'!C15,0),"")</f>
        <v>1556</v>
      </c>
      <c r="F13" s="37">
        <f>IFERROR(ROUND(('DCF Model'!C45/(1+$B13)^('DCF Model'!C19+0)+'DCF Model'!D45/(1+$B13)^('DCF Model'!C19+1)+'DCF Model'!E45/(1+$B13)^('DCF Model'!C19+2)+'DCF Model'!F45/(1+$B13)^('DCF Model'!C19+3)+'DCF Model'!G45/(1+$B13)^('DCF Model'!C19+4)+'DCF Model'!G45*(1+F$6)/($B13-F$6)/(1+$B13)^('DCF Model'!C19+4)-'DCF Model'!C16)*1000000/'DCF Model'!C15,0),"")</f>
        <v>1580</v>
      </c>
      <c r="G13" s="37">
        <f>IFERROR(ROUND(('DCF Model'!C45/(1+$B13)^('DCF Model'!C19+0)+'DCF Model'!D45/(1+$B13)^('DCF Model'!C19+1)+'DCF Model'!E45/(1+$B13)^('DCF Model'!C19+2)+'DCF Model'!F45/(1+$B13)^('DCF Model'!C19+3)+'DCF Model'!G45/(1+$B13)^('DCF Model'!C19+4)+'DCF Model'!G45*(1+G$6)/($B13-G$6)/(1+$B13)^('DCF Model'!C19+4)-'DCF Model'!C16)*1000000/'DCF Model'!C15,0),"")</f>
        <v>1605</v>
      </c>
      <c r="H13" s="37">
        <f>IFERROR(ROUND(('DCF Model'!C45/(1+$B13)^('DCF Model'!C19+0)+'DCF Model'!D45/(1+$B13)^('DCF Model'!C19+1)+'DCF Model'!E45/(1+$B13)^('DCF Model'!C19+2)+'DCF Model'!F45/(1+$B13)^('DCF Model'!C19+3)+'DCF Model'!G45/(1+$B13)^('DCF Model'!C19+4)+'DCF Model'!G45*(1+H$6)/($B13-H$6)/(1+$B13)^('DCF Model'!C19+4)-'DCF Model'!C16)*1000000/'DCF Model'!C15,0),"")</f>
        <v>1631</v>
      </c>
      <c r="I13" s="37">
        <f>IFERROR(ROUND(('DCF Model'!C45/(1+$B13)^('DCF Model'!C19+0)+'DCF Model'!D45/(1+$B13)^('DCF Model'!C19+1)+'DCF Model'!E45/(1+$B13)^('DCF Model'!C19+2)+'DCF Model'!F45/(1+$B13)^('DCF Model'!C19+3)+'DCF Model'!G45/(1+$B13)^('DCF Model'!C19+4)+'DCF Model'!G45*(1+I$6)/($B13-I$6)/(1+$B13)^('DCF Model'!C19+4)-'DCF Model'!C16)*1000000/'DCF Model'!C15,0),"")</f>
        <v>1658</v>
      </c>
    </row>
    <row r="16" spans="2:9" ht="14" x14ac:dyDescent="0.3">
      <c r="B16" s="3" t="s">
        <v>236</v>
      </c>
    </row>
    <row r="17" spans="2:9" ht="14" x14ac:dyDescent="0.3">
      <c r="B17" s="40" t="s">
        <v>237</v>
      </c>
      <c r="C17" s="42">
        <f>$I$3-3</f>
        <v>12.6</v>
      </c>
      <c r="D17" s="42">
        <f>$I$3-2</f>
        <v>13.6</v>
      </c>
      <c r="E17" s="42">
        <f>$I$3-1</f>
        <v>14.6</v>
      </c>
      <c r="F17" s="42">
        <f>$I$3</f>
        <v>15.6</v>
      </c>
      <c r="G17" s="42">
        <f>$I$3+1</f>
        <v>16.600000000000001</v>
      </c>
      <c r="H17" s="42">
        <f>$I$3+2</f>
        <v>17.600000000000001</v>
      </c>
      <c r="I17" s="42">
        <f>$I$3+3</f>
        <v>18.600000000000001</v>
      </c>
    </row>
    <row r="18" spans="2:9" ht="13.5" x14ac:dyDescent="0.25">
      <c r="B18" s="39">
        <f>$C$3-0.015</f>
        <v>8.0665000000000001E-2</v>
      </c>
      <c r="C18" s="37">
        <f>IFERROR(ROUND(('DCF Model'!C45/(1+$B18)^('DCF Model'!C19+0)+'DCF Model'!D45/(1+$B18)^('DCF Model'!C19+1)+'DCF Model'!E45/(1+$B18)^('DCF Model'!C19+2)+'DCF Model'!F45/(1+$B18)^('DCF Model'!C19+3)+'DCF Model'!G45/(1+$B18)^('DCF Model'!C19+4)+('DCF Model'!G39+'DCF Model'!G42)*C$17/(1+$B18)^('DCF Model'!C19+4)-'DCF Model'!C16)*1000000/'DCF Model'!C15,0),"")</f>
        <v>3373</v>
      </c>
      <c r="D18" s="37">
        <f>IFERROR(ROUND(('DCF Model'!C45/(1+$B18)^('DCF Model'!C19+0)+'DCF Model'!D45/(1+$B18)^('DCF Model'!C19+1)+'DCF Model'!E45/(1+$B18)^('DCF Model'!C19+2)+'DCF Model'!F45/(1+$B18)^('DCF Model'!C19+3)+'DCF Model'!G45/(1+$B18)^('DCF Model'!C19+4)+('DCF Model'!G39+'DCF Model'!G42)*D$17/(1+$B18)^('DCF Model'!C19+4)-'DCF Model'!C16)*1000000/'DCF Model'!C15,0),"")</f>
        <v>3582</v>
      </c>
      <c r="E18" s="37">
        <f>IFERROR(ROUND(('DCF Model'!C45/(1+$B18)^('DCF Model'!C19+0)+'DCF Model'!D45/(1+$B18)^('DCF Model'!C19+1)+'DCF Model'!E45/(1+$B18)^('DCF Model'!C19+2)+'DCF Model'!F45/(1+$B18)^('DCF Model'!C19+3)+'DCF Model'!G45/(1+$B18)^('DCF Model'!C19+4)+('DCF Model'!G39+'DCF Model'!G42)*E$17/(1+$B18)^('DCF Model'!C19+4)-'DCF Model'!C16)*1000000/'DCF Model'!C15,0),"")</f>
        <v>3791</v>
      </c>
      <c r="F18" s="37">
        <f>IFERROR(ROUND(('DCF Model'!C45/(1+$B18)^('DCF Model'!C19+0)+'DCF Model'!D45/(1+$B18)^('DCF Model'!C19+1)+'DCF Model'!E45/(1+$B18)^('DCF Model'!C19+2)+'DCF Model'!F45/(1+$B18)^('DCF Model'!C19+3)+'DCF Model'!G45/(1+$B18)^('DCF Model'!C19+4)+('DCF Model'!G39+'DCF Model'!G42)*F$17/(1+$B18)^('DCF Model'!C19+4)-'DCF Model'!C16)*1000000/'DCF Model'!C15,0),"")</f>
        <v>4000</v>
      </c>
      <c r="G18" s="37">
        <f>IFERROR(ROUND(('DCF Model'!C45/(1+$B18)^('DCF Model'!C19+0)+'DCF Model'!D45/(1+$B18)^('DCF Model'!C19+1)+'DCF Model'!E45/(1+$B18)^('DCF Model'!C19+2)+'DCF Model'!F45/(1+$B18)^('DCF Model'!C19+3)+'DCF Model'!G45/(1+$B18)^('DCF Model'!C19+4)+('DCF Model'!G39+'DCF Model'!G42)*G$17/(1+$B18)^('DCF Model'!C19+4)-'DCF Model'!C16)*1000000/'DCF Model'!C15,0),"")</f>
        <v>4209</v>
      </c>
      <c r="H18" s="37">
        <f>IFERROR(ROUND(('DCF Model'!C45/(1+$B18)^('DCF Model'!C19+0)+'DCF Model'!D45/(1+$B18)^('DCF Model'!C19+1)+'DCF Model'!E45/(1+$B18)^('DCF Model'!C19+2)+'DCF Model'!F45/(1+$B18)^('DCF Model'!C19+3)+'DCF Model'!G45/(1+$B18)^('DCF Model'!C19+4)+('DCF Model'!G39+'DCF Model'!G42)*H$17/(1+$B18)^('DCF Model'!C19+4)-'DCF Model'!C16)*1000000/'DCF Model'!C15,0),"")</f>
        <v>4419</v>
      </c>
      <c r="I18" s="37">
        <f>IFERROR(ROUND(('DCF Model'!C45/(1+$B18)^('DCF Model'!C19+0)+'DCF Model'!D45/(1+$B18)^('DCF Model'!C19+1)+'DCF Model'!E45/(1+$B18)^('DCF Model'!C19+2)+'DCF Model'!F45/(1+$B18)^('DCF Model'!C19+3)+'DCF Model'!G45/(1+$B18)^('DCF Model'!C19+4)+('DCF Model'!G39+'DCF Model'!G42)*I$17/(1+$B18)^('DCF Model'!C19+4)-'DCF Model'!C16)*1000000/'DCF Model'!C15,0),"")</f>
        <v>4628</v>
      </c>
    </row>
    <row r="19" spans="2:9" ht="13.5" x14ac:dyDescent="0.25">
      <c r="B19" s="39">
        <f>$C$3-0.01</f>
        <v>8.5665000000000005E-2</v>
      </c>
      <c r="C19" s="37">
        <f>IFERROR(ROUND(('DCF Model'!C45/(1+$B19)^('DCF Model'!C19+0)+'DCF Model'!D45/(1+$B19)^('DCF Model'!C19+1)+'DCF Model'!E45/(1+$B19)^('DCF Model'!C19+2)+'DCF Model'!F45/(1+$B19)^('DCF Model'!C19+3)+'DCF Model'!G45/(1+$B19)^('DCF Model'!C19+4)+('DCF Model'!G39+'DCF Model'!G42)*C$17/(1+$B19)^('DCF Model'!C19+4)-'DCF Model'!C16)*1000000/'DCF Model'!C15,0),"")</f>
        <v>3305</v>
      </c>
      <c r="D19" s="37">
        <f>IFERROR(ROUND(('DCF Model'!C45/(1+$B19)^('DCF Model'!C19+0)+'DCF Model'!D45/(1+$B19)^('DCF Model'!C19+1)+'DCF Model'!E45/(1+$B19)^('DCF Model'!C19+2)+'DCF Model'!F45/(1+$B19)^('DCF Model'!C19+3)+'DCF Model'!G45/(1+$B19)^('DCF Model'!C19+4)+('DCF Model'!G39+'DCF Model'!G42)*D$17/(1+$B19)^('DCF Model'!C19+4)-'DCF Model'!C16)*1000000/'DCF Model'!C15,0),"")</f>
        <v>3509</v>
      </c>
      <c r="E19" s="37">
        <f>IFERROR(ROUND(('DCF Model'!C45/(1+$B19)^('DCF Model'!C19+0)+'DCF Model'!D45/(1+$B19)^('DCF Model'!C19+1)+'DCF Model'!E45/(1+$B19)^('DCF Model'!C19+2)+'DCF Model'!F45/(1+$B19)^('DCF Model'!C19+3)+'DCF Model'!G45/(1+$B19)^('DCF Model'!C19+4)+('DCF Model'!G39+'DCF Model'!G42)*E$17/(1+$B19)^('DCF Model'!C19+4)-'DCF Model'!C16)*1000000/'DCF Model'!C15,0),"")</f>
        <v>3714</v>
      </c>
      <c r="F19" s="37">
        <f>IFERROR(ROUND(('DCF Model'!C45/(1+$B19)^('DCF Model'!C19+0)+'DCF Model'!D45/(1+$B19)^('DCF Model'!C19+1)+'DCF Model'!E45/(1+$B19)^('DCF Model'!C19+2)+'DCF Model'!F45/(1+$B19)^('DCF Model'!C19+3)+'DCF Model'!G45/(1+$B19)^('DCF Model'!C19+4)+('DCF Model'!G39+'DCF Model'!G42)*F$17/(1+$B19)^('DCF Model'!C19+4)-'DCF Model'!C16)*1000000/'DCF Model'!C15,0),"")</f>
        <v>3918</v>
      </c>
      <c r="G19" s="37">
        <f>IFERROR(ROUND(('DCF Model'!C45/(1+$B19)^('DCF Model'!C19+0)+'DCF Model'!D45/(1+$B19)^('DCF Model'!C19+1)+'DCF Model'!E45/(1+$B19)^('DCF Model'!C19+2)+'DCF Model'!F45/(1+$B19)^('DCF Model'!C19+3)+'DCF Model'!G45/(1+$B19)^('DCF Model'!C19+4)+('DCF Model'!G39+'DCF Model'!G42)*G$17/(1+$B19)^('DCF Model'!C19+4)-'DCF Model'!C16)*1000000/'DCF Model'!C15,0),"")</f>
        <v>4123</v>
      </c>
      <c r="H19" s="37">
        <f>IFERROR(ROUND(('DCF Model'!C45/(1+$B19)^('DCF Model'!C19+0)+'DCF Model'!D45/(1+$B19)^('DCF Model'!C19+1)+'DCF Model'!E45/(1+$B19)^('DCF Model'!C19+2)+'DCF Model'!F45/(1+$B19)^('DCF Model'!C19+3)+'DCF Model'!G45/(1+$B19)^('DCF Model'!C19+4)+('DCF Model'!G39+'DCF Model'!G42)*H$17/(1+$B19)^('DCF Model'!C19+4)-'DCF Model'!C16)*1000000/'DCF Model'!C15,0),"")</f>
        <v>4327</v>
      </c>
      <c r="I19" s="37">
        <f>IFERROR(ROUND(('DCF Model'!C45/(1+$B19)^('DCF Model'!C19+0)+'DCF Model'!D45/(1+$B19)^('DCF Model'!C19+1)+'DCF Model'!E45/(1+$B19)^('DCF Model'!C19+2)+'DCF Model'!F45/(1+$B19)^('DCF Model'!C19+3)+'DCF Model'!G45/(1+$B19)^('DCF Model'!C19+4)+('DCF Model'!G39+'DCF Model'!G42)*I$17/(1+$B19)^('DCF Model'!C19+4)-'DCF Model'!C16)*1000000/'DCF Model'!C15,0),"")</f>
        <v>4532</v>
      </c>
    </row>
    <row r="20" spans="2:9" ht="13.5" x14ac:dyDescent="0.25">
      <c r="B20" s="39">
        <f>$C$3-0.005</f>
        <v>9.0664999999999996E-2</v>
      </c>
      <c r="C20" s="37">
        <f>IFERROR(ROUND(('DCF Model'!C45/(1+$B20)^('DCF Model'!C19+0)+'DCF Model'!D45/(1+$B20)^('DCF Model'!C19+1)+'DCF Model'!E45/(1+$B20)^('DCF Model'!C19+2)+'DCF Model'!F45/(1+$B20)^('DCF Model'!C19+3)+'DCF Model'!G45/(1+$B20)^('DCF Model'!C19+4)+('DCF Model'!G39+'DCF Model'!G42)*C$17/(1+$B20)^('DCF Model'!C19+4)-'DCF Model'!C16)*1000000/'DCF Model'!C15,0),"")</f>
        <v>3239</v>
      </c>
      <c r="D20" s="37">
        <f>IFERROR(ROUND(('DCF Model'!C45/(1+$B20)^('DCF Model'!C19+0)+'DCF Model'!D45/(1+$B20)^('DCF Model'!C19+1)+'DCF Model'!E45/(1+$B20)^('DCF Model'!C19+2)+'DCF Model'!F45/(1+$B20)^('DCF Model'!C19+3)+'DCF Model'!G45/(1+$B20)^('DCF Model'!C19+4)+('DCF Model'!G39+'DCF Model'!G42)*D$17/(1+$B20)^('DCF Model'!C19+4)-'DCF Model'!C16)*1000000/'DCF Model'!C15,0),"")</f>
        <v>3439</v>
      </c>
      <c r="E20" s="37">
        <f>IFERROR(ROUND(('DCF Model'!C45/(1+$B20)^('DCF Model'!C19+0)+'DCF Model'!D45/(1+$B20)^('DCF Model'!C19+1)+'DCF Model'!E45/(1+$B20)^('DCF Model'!C19+2)+'DCF Model'!F45/(1+$B20)^('DCF Model'!C19+3)+'DCF Model'!G45/(1+$B20)^('DCF Model'!C19+4)+('DCF Model'!G39+'DCF Model'!G42)*E$17/(1+$B20)^('DCF Model'!C19+4)-'DCF Model'!C16)*1000000/'DCF Model'!C15,0),"")</f>
        <v>3639</v>
      </c>
      <c r="F20" s="37">
        <f>IFERROR(ROUND(('DCF Model'!C45/(1+$B20)^('DCF Model'!C19+0)+'DCF Model'!D45/(1+$B20)^('DCF Model'!C19+1)+'DCF Model'!E45/(1+$B20)^('DCF Model'!C19+2)+'DCF Model'!F45/(1+$B20)^('DCF Model'!C19+3)+'DCF Model'!G45/(1+$B20)^('DCF Model'!C19+4)+('DCF Model'!G39+'DCF Model'!G42)*F$17/(1+$B20)^('DCF Model'!C19+4)-'DCF Model'!C16)*1000000/'DCF Model'!C15,0),"")</f>
        <v>3839</v>
      </c>
      <c r="G20" s="37">
        <f>IFERROR(ROUND(('DCF Model'!C45/(1+$B20)^('DCF Model'!C19+0)+'DCF Model'!D45/(1+$B20)^('DCF Model'!C19+1)+'DCF Model'!E45/(1+$B20)^('DCF Model'!C19+2)+'DCF Model'!F45/(1+$B20)^('DCF Model'!C19+3)+'DCF Model'!G45/(1+$B20)^('DCF Model'!C19+4)+('DCF Model'!G39+'DCF Model'!G42)*G$17/(1+$B20)^('DCF Model'!C19+4)-'DCF Model'!C16)*1000000/'DCF Model'!C15,0),"")</f>
        <v>4038</v>
      </c>
      <c r="H20" s="37">
        <f>IFERROR(ROUND(('DCF Model'!C45/(1+$B20)^('DCF Model'!C19+0)+'DCF Model'!D45/(1+$B20)^('DCF Model'!C19+1)+'DCF Model'!E45/(1+$B20)^('DCF Model'!C19+2)+'DCF Model'!F45/(1+$B20)^('DCF Model'!C19+3)+'DCF Model'!G45/(1+$B20)^('DCF Model'!C19+4)+('DCF Model'!G39+'DCF Model'!G42)*H$17/(1+$B20)^('DCF Model'!C19+4)-'DCF Model'!C16)*1000000/'DCF Model'!C15,0),"")</f>
        <v>4238</v>
      </c>
      <c r="I20" s="37">
        <f>IFERROR(ROUND(('DCF Model'!C45/(1+$B20)^('DCF Model'!C19+0)+'DCF Model'!D45/(1+$B20)^('DCF Model'!C19+1)+'DCF Model'!E45/(1+$B20)^('DCF Model'!C19+2)+'DCF Model'!F45/(1+$B20)^('DCF Model'!C19+3)+'DCF Model'!G45/(1+$B20)^('DCF Model'!C19+4)+('DCF Model'!G39+'DCF Model'!G42)*I$17/(1+$B20)^('DCF Model'!C19+4)-'DCF Model'!C16)*1000000/'DCF Model'!C15,0),"")</f>
        <v>4438</v>
      </c>
    </row>
    <row r="21" spans="2:9" ht="13.5" x14ac:dyDescent="0.25">
      <c r="B21" s="39">
        <f>$C$3</f>
        <v>9.5665E-2</v>
      </c>
      <c r="C21" s="37">
        <f>IFERROR(ROUND(('DCF Model'!C45/(1+$B21)^('DCF Model'!C19+0)+'DCF Model'!D45/(1+$B21)^('DCF Model'!C19+1)+'DCF Model'!E45/(1+$B21)^('DCF Model'!C19+2)+'DCF Model'!F45/(1+$B21)^('DCF Model'!C19+3)+'DCF Model'!G45/(1+$B21)^('DCF Model'!C19+4)+('DCF Model'!G39+'DCF Model'!G42)*C$17/(1+$B21)^('DCF Model'!C19+4)-'DCF Model'!C16)*1000000/'DCF Model'!C15,0),"")</f>
        <v>3175</v>
      </c>
      <c r="D21" s="37">
        <f>IFERROR(ROUND(('DCF Model'!C45/(1+$B21)^('DCF Model'!C19+0)+'DCF Model'!D45/(1+$B21)^('DCF Model'!C19+1)+'DCF Model'!E45/(1+$B21)^('DCF Model'!C19+2)+'DCF Model'!F45/(1+$B21)^('DCF Model'!C19+3)+'DCF Model'!G45/(1+$B21)^('DCF Model'!C19+4)+('DCF Model'!G39+'DCF Model'!G42)*D$17/(1+$B21)^('DCF Model'!C19+4)-'DCF Model'!C16)*1000000/'DCF Model'!C15,0),"")</f>
        <v>3370</v>
      </c>
      <c r="E21" s="37">
        <f>IFERROR(ROUND(('DCF Model'!C45/(1+$B21)^('DCF Model'!C19+0)+'DCF Model'!D45/(1+$B21)^('DCF Model'!C19+1)+'DCF Model'!E45/(1+$B21)^('DCF Model'!C19+2)+'DCF Model'!F45/(1+$B21)^('DCF Model'!C19+3)+'DCF Model'!G45/(1+$B21)^('DCF Model'!C19+4)+('DCF Model'!G39+'DCF Model'!G42)*E$17/(1+$B21)^('DCF Model'!C19+4)-'DCF Model'!C16)*1000000/'DCF Model'!C15,0),"")</f>
        <v>3566</v>
      </c>
      <c r="F21" s="37">
        <f>IFERROR(ROUND(('DCF Model'!C45/(1+$B21)^('DCF Model'!C19+0)+'DCF Model'!D45/(1+$B21)^('DCF Model'!C19+1)+'DCF Model'!E45/(1+$B21)^('DCF Model'!C19+2)+'DCF Model'!F45/(1+$B21)^('DCF Model'!C19+3)+'DCF Model'!G45/(1+$B21)^('DCF Model'!C19+4)+('DCF Model'!G39+'DCF Model'!G42)*F$17/(1+$B21)^('DCF Model'!C19+4)-'DCF Model'!C16)*1000000/'DCF Model'!C15,0),"")</f>
        <v>3761</v>
      </c>
      <c r="G21" s="37">
        <f>IFERROR(ROUND(('DCF Model'!C45/(1+$B21)^('DCF Model'!C19+0)+'DCF Model'!D45/(1+$B21)^('DCF Model'!C19+1)+'DCF Model'!E45/(1+$B21)^('DCF Model'!C19+2)+'DCF Model'!F45/(1+$B21)^('DCF Model'!C19+3)+'DCF Model'!G45/(1+$B21)^('DCF Model'!C19+4)+('DCF Model'!G39+'DCF Model'!G42)*G$17/(1+$B21)^('DCF Model'!C19+4)-'DCF Model'!C16)*1000000/'DCF Model'!C15,0),"")</f>
        <v>3956</v>
      </c>
      <c r="H21" s="37">
        <f>IFERROR(ROUND(('DCF Model'!C45/(1+$B21)^('DCF Model'!C19+0)+'DCF Model'!D45/(1+$B21)^('DCF Model'!C19+1)+'DCF Model'!E45/(1+$B21)^('DCF Model'!C19+2)+'DCF Model'!F45/(1+$B21)^('DCF Model'!C19+3)+'DCF Model'!G45/(1+$B21)^('DCF Model'!C19+4)+('DCF Model'!G39+'DCF Model'!G42)*H$17/(1+$B21)^('DCF Model'!C19+4)-'DCF Model'!C16)*1000000/'DCF Model'!C15,0),"")</f>
        <v>4152</v>
      </c>
      <c r="I21" s="37">
        <f>IFERROR(ROUND(('DCF Model'!C45/(1+$B21)^('DCF Model'!C19+0)+'DCF Model'!D45/(1+$B21)^('DCF Model'!C19+1)+'DCF Model'!E45/(1+$B21)^('DCF Model'!C19+2)+'DCF Model'!F45/(1+$B21)^('DCF Model'!C19+3)+'DCF Model'!G45/(1+$B21)^('DCF Model'!C19+4)+('DCF Model'!G39+'DCF Model'!G42)*I$17/(1+$B21)^('DCF Model'!C19+4)-'DCF Model'!C16)*1000000/'DCF Model'!C15,0),"")</f>
        <v>4347</v>
      </c>
    </row>
    <row r="22" spans="2:9" ht="13.5" x14ac:dyDescent="0.25">
      <c r="B22" s="39">
        <f>$C$3+0.005</f>
        <v>0.100665</v>
      </c>
      <c r="C22" s="37">
        <f>IFERROR(ROUND(('DCF Model'!C45/(1+$B22)^('DCF Model'!C19+0)+'DCF Model'!D45/(1+$B22)^('DCF Model'!C19+1)+'DCF Model'!E45/(1+$B22)^('DCF Model'!C19+2)+'DCF Model'!F45/(1+$B22)^('DCF Model'!C19+3)+'DCF Model'!G45/(1+$B22)^('DCF Model'!C19+4)+('DCF Model'!G39+'DCF Model'!G42)*C$17/(1+$B22)^('DCF Model'!C19+4)-'DCF Model'!C16)*1000000/'DCF Model'!C15,0),"")</f>
        <v>3113</v>
      </c>
      <c r="D22" s="37">
        <f>IFERROR(ROUND(('DCF Model'!C45/(1+$B22)^('DCF Model'!C19+0)+'DCF Model'!D45/(1+$B22)^('DCF Model'!C19+1)+'DCF Model'!E45/(1+$B22)^('DCF Model'!C19+2)+'DCF Model'!F45/(1+$B22)^('DCF Model'!C19+3)+'DCF Model'!G45/(1+$B22)^('DCF Model'!C19+4)+('DCF Model'!G39+'DCF Model'!G42)*D$17/(1+$B22)^('DCF Model'!C19+4)-'DCF Model'!C16)*1000000/'DCF Model'!C15,0),"")</f>
        <v>3304</v>
      </c>
      <c r="E22" s="37">
        <f>IFERROR(ROUND(('DCF Model'!C45/(1+$B22)^('DCF Model'!C19+0)+'DCF Model'!D45/(1+$B22)^('DCF Model'!C19+1)+'DCF Model'!E45/(1+$B22)^('DCF Model'!C19+2)+'DCF Model'!F45/(1+$B22)^('DCF Model'!C19+3)+'DCF Model'!G45/(1+$B22)^('DCF Model'!C19+4)+('DCF Model'!G39+'DCF Model'!G42)*E$17/(1+$B22)^('DCF Model'!C19+4)-'DCF Model'!C16)*1000000/'DCF Model'!C15,0),"")</f>
        <v>3495</v>
      </c>
      <c r="F22" s="37">
        <f>IFERROR(ROUND(('DCF Model'!C45/(1+$B22)^('DCF Model'!C19+0)+'DCF Model'!D45/(1+$B22)^('DCF Model'!C19+1)+'DCF Model'!E45/(1+$B22)^('DCF Model'!C19+2)+'DCF Model'!F45/(1+$B22)^('DCF Model'!C19+3)+'DCF Model'!G45/(1+$B22)^('DCF Model'!C19+4)+('DCF Model'!G39+'DCF Model'!G42)*F$17/(1+$B22)^('DCF Model'!C19+4)-'DCF Model'!C16)*1000000/'DCF Model'!C15,0),"")</f>
        <v>3685</v>
      </c>
      <c r="G22" s="37">
        <f>IFERROR(ROUND(('DCF Model'!C45/(1+$B22)^('DCF Model'!C19+0)+'DCF Model'!D45/(1+$B22)^('DCF Model'!C19+1)+'DCF Model'!E45/(1+$B22)^('DCF Model'!C19+2)+'DCF Model'!F45/(1+$B22)^('DCF Model'!C19+3)+'DCF Model'!G45/(1+$B22)^('DCF Model'!C19+4)+('DCF Model'!G39+'DCF Model'!G42)*G$17/(1+$B22)^('DCF Model'!C19+4)-'DCF Model'!C16)*1000000/'DCF Model'!C15,0),"")</f>
        <v>3876</v>
      </c>
      <c r="H22" s="37">
        <f>IFERROR(ROUND(('DCF Model'!C45/(1+$B22)^('DCF Model'!C19+0)+'DCF Model'!D45/(1+$B22)^('DCF Model'!C19+1)+'DCF Model'!E45/(1+$B22)^('DCF Model'!C19+2)+'DCF Model'!F45/(1+$B22)^('DCF Model'!C19+3)+'DCF Model'!G45/(1+$B22)^('DCF Model'!C19+4)+('DCF Model'!G39+'DCF Model'!G42)*H$17/(1+$B22)^('DCF Model'!C19+4)-'DCF Model'!C16)*1000000/'DCF Model'!C15,0),"")</f>
        <v>4067</v>
      </c>
      <c r="I22" s="37">
        <f>IFERROR(ROUND(('DCF Model'!C45/(1+$B22)^('DCF Model'!C19+0)+'DCF Model'!D45/(1+$B22)^('DCF Model'!C19+1)+'DCF Model'!E45/(1+$B22)^('DCF Model'!C19+2)+'DCF Model'!F45/(1+$B22)^('DCF Model'!C19+3)+'DCF Model'!G45/(1+$B22)^('DCF Model'!C19+4)+('DCF Model'!G39+'DCF Model'!G42)*I$17/(1+$B22)^('DCF Model'!C19+4)-'DCF Model'!C16)*1000000/'DCF Model'!C15,0),"")</f>
        <v>4258</v>
      </c>
    </row>
    <row r="23" spans="2:9" ht="13.5" x14ac:dyDescent="0.25">
      <c r="B23" s="39">
        <f>$C$3+0.01</f>
        <v>0.105665</v>
      </c>
      <c r="C23" s="37">
        <f>IFERROR(ROUND(('DCF Model'!C45/(1+$B23)^('DCF Model'!C19+0)+'DCF Model'!D45/(1+$B23)^('DCF Model'!C19+1)+'DCF Model'!E45/(1+$B23)^('DCF Model'!C19+2)+'DCF Model'!F45/(1+$B23)^('DCF Model'!C19+3)+'DCF Model'!G45/(1+$B23)^('DCF Model'!C19+4)+('DCF Model'!G39+'DCF Model'!G42)*C$17/(1+$B23)^('DCF Model'!C19+4)-'DCF Model'!C16)*1000000/'DCF Model'!C15,0),"")</f>
        <v>3052</v>
      </c>
      <c r="D23" s="37">
        <f>IFERROR(ROUND(('DCF Model'!C45/(1+$B23)^('DCF Model'!C19+0)+'DCF Model'!D45/(1+$B23)^('DCF Model'!C19+1)+'DCF Model'!E45/(1+$B23)^('DCF Model'!C19+2)+'DCF Model'!F45/(1+$B23)^('DCF Model'!C19+3)+'DCF Model'!G45/(1+$B23)^('DCF Model'!C19+4)+('DCF Model'!G39+'DCF Model'!G42)*D$17/(1+$B23)^('DCF Model'!C19+4)-'DCF Model'!C16)*1000000/'DCF Model'!C15,0),"")</f>
        <v>3239</v>
      </c>
      <c r="E23" s="37">
        <f>IFERROR(ROUND(('DCF Model'!C45/(1+$B23)^('DCF Model'!C19+0)+'DCF Model'!D45/(1+$B23)^('DCF Model'!C19+1)+'DCF Model'!E45/(1+$B23)^('DCF Model'!C19+2)+'DCF Model'!F45/(1+$B23)^('DCF Model'!C19+3)+'DCF Model'!G45/(1+$B23)^('DCF Model'!C19+4)+('DCF Model'!G39+'DCF Model'!G42)*E$17/(1+$B23)^('DCF Model'!C19+4)-'DCF Model'!C16)*1000000/'DCF Model'!C15,0),"")</f>
        <v>3425</v>
      </c>
      <c r="F23" s="37">
        <f>IFERROR(ROUND(('DCF Model'!C45/(1+$B23)^('DCF Model'!C19+0)+'DCF Model'!D45/(1+$B23)^('DCF Model'!C19+1)+'DCF Model'!E45/(1+$B23)^('DCF Model'!C19+2)+'DCF Model'!F45/(1+$B23)^('DCF Model'!C19+3)+'DCF Model'!G45/(1+$B23)^('DCF Model'!C19+4)+('DCF Model'!G39+'DCF Model'!G42)*F$17/(1+$B23)^('DCF Model'!C19+4)-'DCF Model'!C16)*1000000/'DCF Model'!C15,0),"")</f>
        <v>3612</v>
      </c>
      <c r="G23" s="37">
        <f>IFERROR(ROUND(('DCF Model'!C45/(1+$B23)^('DCF Model'!C19+0)+'DCF Model'!D45/(1+$B23)^('DCF Model'!C19+1)+'DCF Model'!E45/(1+$B23)^('DCF Model'!C19+2)+'DCF Model'!F45/(1+$B23)^('DCF Model'!C19+3)+'DCF Model'!G45/(1+$B23)^('DCF Model'!C19+4)+('DCF Model'!G39+'DCF Model'!G42)*G$17/(1+$B23)^('DCF Model'!C19+4)-'DCF Model'!C16)*1000000/'DCF Model'!C15,0),"")</f>
        <v>3798</v>
      </c>
      <c r="H23" s="37">
        <f>IFERROR(ROUND(('DCF Model'!C45/(1+$B23)^('DCF Model'!C19+0)+'DCF Model'!D45/(1+$B23)^('DCF Model'!C19+1)+'DCF Model'!E45/(1+$B23)^('DCF Model'!C19+2)+'DCF Model'!F45/(1+$B23)^('DCF Model'!C19+3)+'DCF Model'!G45/(1+$B23)^('DCF Model'!C19+4)+('DCF Model'!G39+'DCF Model'!G42)*H$17/(1+$B23)^('DCF Model'!C19+4)-'DCF Model'!C16)*1000000/'DCF Model'!C15,0),"")</f>
        <v>3985</v>
      </c>
      <c r="I23" s="37">
        <f>IFERROR(ROUND(('DCF Model'!C45/(1+$B23)^('DCF Model'!C19+0)+'DCF Model'!D45/(1+$B23)^('DCF Model'!C19+1)+'DCF Model'!E45/(1+$B23)^('DCF Model'!C19+2)+'DCF Model'!F45/(1+$B23)^('DCF Model'!C19+3)+'DCF Model'!G45/(1+$B23)^('DCF Model'!C19+4)+('DCF Model'!G39+'DCF Model'!G42)*I$17/(1+$B23)^('DCF Model'!C19+4)-'DCF Model'!C16)*1000000/'DCF Model'!C15,0),"")</f>
        <v>4172</v>
      </c>
    </row>
    <row r="24" spans="2:9" ht="13.5" x14ac:dyDescent="0.25">
      <c r="B24" s="39">
        <f>$C$3+0.015</f>
        <v>0.110665</v>
      </c>
      <c r="C24" s="37">
        <f>IFERROR(ROUND(('DCF Model'!C45/(1+$B24)^('DCF Model'!C19+0)+'DCF Model'!D45/(1+$B24)^('DCF Model'!C19+1)+'DCF Model'!E45/(1+$B24)^('DCF Model'!C19+2)+'DCF Model'!F45/(1+$B24)^('DCF Model'!C19+3)+'DCF Model'!G45/(1+$B24)^('DCF Model'!C19+4)+('DCF Model'!G39+'DCF Model'!G42)*C$17/(1+$B24)^('DCF Model'!C19+4)-'DCF Model'!C16)*1000000/'DCF Model'!C15,0),"")</f>
        <v>2993</v>
      </c>
      <c r="D24" s="37">
        <f>IFERROR(ROUND(('DCF Model'!C45/(1+$B24)^('DCF Model'!C19+0)+'DCF Model'!D45/(1+$B24)^('DCF Model'!C19+1)+'DCF Model'!E45/(1+$B24)^('DCF Model'!C19+2)+'DCF Model'!F45/(1+$B24)^('DCF Model'!C19+3)+'DCF Model'!G45/(1+$B24)^('DCF Model'!C19+4)+('DCF Model'!G39+'DCF Model'!G42)*D$17/(1+$B24)^('DCF Model'!C19+4)-'DCF Model'!C16)*1000000/'DCF Model'!C15,0),"")</f>
        <v>3175</v>
      </c>
      <c r="E24" s="37">
        <f>IFERROR(ROUND(('DCF Model'!C45/(1+$B24)^('DCF Model'!C19+0)+'DCF Model'!D45/(1+$B24)^('DCF Model'!C19+1)+'DCF Model'!E45/(1+$B24)^('DCF Model'!C19+2)+'DCF Model'!F45/(1+$B24)^('DCF Model'!C19+3)+'DCF Model'!G45/(1+$B24)^('DCF Model'!C19+4)+('DCF Model'!G39+'DCF Model'!G42)*E$17/(1+$B24)^('DCF Model'!C19+4)-'DCF Model'!C16)*1000000/'DCF Model'!C15,0),"")</f>
        <v>3358</v>
      </c>
      <c r="F24" s="37">
        <f>IFERROR(ROUND(('DCF Model'!C45/(1+$B24)^('DCF Model'!C19+0)+'DCF Model'!D45/(1+$B24)^('DCF Model'!C19+1)+'DCF Model'!E45/(1+$B24)^('DCF Model'!C19+2)+'DCF Model'!F45/(1+$B24)^('DCF Model'!C19+3)+'DCF Model'!G45/(1+$B24)^('DCF Model'!C19+4)+('DCF Model'!G39+'DCF Model'!G42)*F$17/(1+$B24)^('DCF Model'!C19+4)-'DCF Model'!C16)*1000000/'DCF Model'!C15,0),"")</f>
        <v>3540</v>
      </c>
      <c r="G24" s="37">
        <f>IFERROR(ROUND(('DCF Model'!C45/(1+$B24)^('DCF Model'!C19+0)+'DCF Model'!D45/(1+$B24)^('DCF Model'!C19+1)+'DCF Model'!E45/(1+$B24)^('DCF Model'!C19+2)+'DCF Model'!F45/(1+$B24)^('DCF Model'!C19+3)+'DCF Model'!G45/(1+$B24)^('DCF Model'!C19+4)+('DCF Model'!G39+'DCF Model'!G42)*G$17/(1+$B24)^('DCF Model'!C19+4)-'DCF Model'!C16)*1000000/'DCF Model'!C15,0),"")</f>
        <v>3723</v>
      </c>
      <c r="H24" s="37">
        <f>IFERROR(ROUND(('DCF Model'!C45/(1+$B24)^('DCF Model'!C19+0)+'DCF Model'!D45/(1+$B24)^('DCF Model'!C19+1)+'DCF Model'!E45/(1+$B24)^('DCF Model'!C19+2)+'DCF Model'!F45/(1+$B24)^('DCF Model'!C19+3)+'DCF Model'!G45/(1+$B24)^('DCF Model'!C19+4)+('DCF Model'!G39+'DCF Model'!G42)*H$17/(1+$B24)^('DCF Model'!C19+4)-'DCF Model'!C16)*1000000/'DCF Model'!C15,0),"")</f>
        <v>3905</v>
      </c>
      <c r="I24" s="37">
        <f>IFERROR(ROUND(('DCF Model'!C45/(1+$B24)^('DCF Model'!C19+0)+'DCF Model'!D45/(1+$B24)^('DCF Model'!C19+1)+'DCF Model'!E45/(1+$B24)^('DCF Model'!C19+2)+'DCF Model'!F45/(1+$B24)^('DCF Model'!C19+3)+'DCF Model'!G45/(1+$B24)^('DCF Model'!C19+4)+('DCF Model'!G39+'DCF Model'!G42)*I$17/(1+$B24)^('DCF Model'!C19+4)-'DCF Model'!C16)*1000000/'DCF Model'!C15,0),"")</f>
        <v>4088</v>
      </c>
    </row>
    <row r="26" spans="2:9" ht="14"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239</v>
      </c>
    </row>
    <row r="4" spans="2:7" ht="14"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12" spans="2:7" ht="14" x14ac:dyDescent="0.3">
      <c r="B12" s="8" t="s">
        <v>256</v>
      </c>
    </row>
    <row r="13" spans="2:7" ht="14" x14ac:dyDescent="0.3">
      <c r="B13" s="10" t="s">
        <v>257</v>
      </c>
      <c r="C13" s="10" t="s">
        <v>258</v>
      </c>
    </row>
    <row r="14" spans="2:7" ht="14" x14ac:dyDescent="0.3">
      <c r="B14" s="4" t="s">
        <v>259</v>
      </c>
      <c r="C14" t="s">
        <v>260</v>
      </c>
    </row>
    <row r="15" spans="2:7" ht="14" x14ac:dyDescent="0.3">
      <c r="B15" s="4" t="s">
        <v>261</v>
      </c>
      <c r="C15" t="s">
        <v>262</v>
      </c>
    </row>
    <row r="16" spans="2:7" ht="14" x14ac:dyDescent="0.3">
      <c r="B16" s="4" t="s">
        <v>263</v>
      </c>
      <c r="C16" t="s">
        <v>264</v>
      </c>
    </row>
    <row r="17" spans="2:3" ht="14" x14ac:dyDescent="0.3">
      <c r="B17" s="4" t="s">
        <v>265</v>
      </c>
      <c r="C17" t="s">
        <v>262</v>
      </c>
    </row>
    <row r="18" spans="2:3" ht="14" x14ac:dyDescent="0.3">
      <c r="B18" s="4" t="s">
        <v>266</v>
      </c>
      <c r="C18" t="s">
        <v>267</v>
      </c>
    </row>
    <row r="19" spans="2:3" ht="14" x14ac:dyDescent="0.3">
      <c r="B19" s="4" t="s">
        <v>268</v>
      </c>
      <c r="C19" t="s">
        <v>269</v>
      </c>
    </row>
    <row r="20" spans="2:3" ht="14" x14ac:dyDescent="0.3">
      <c r="B20" s="4" t="s">
        <v>270</v>
      </c>
      <c r="C20" t="s">
        <v>271</v>
      </c>
    </row>
    <row r="21" spans="2:3" ht="14" x14ac:dyDescent="0.3">
      <c r="B21" s="4" t="s">
        <v>272</v>
      </c>
      <c r="C21" t="s">
        <v>273</v>
      </c>
    </row>
    <row r="22" spans="2:3" ht="14" x14ac:dyDescent="0.3">
      <c r="B22" s="4" t="s">
        <v>274</v>
      </c>
      <c r="C22" t="s">
        <v>42</v>
      </c>
    </row>
    <row r="23" spans="2:3" ht="14" x14ac:dyDescent="0.3">
      <c r="B23" s="4" t="s">
        <v>275</v>
      </c>
      <c r="C23" t="s">
        <v>4</v>
      </c>
    </row>
    <row r="24" spans="2:3" ht="14" x14ac:dyDescent="0.3">
      <c r="B24" s="4" t="s">
        <v>276</v>
      </c>
      <c r="C24" t="s">
        <v>246</v>
      </c>
    </row>
    <row r="25" spans="2:3" ht="14" x14ac:dyDescent="0.3">
      <c r="B25" s="4" t="s">
        <v>277</v>
      </c>
      <c r="C25" t="s">
        <v>278</v>
      </c>
    </row>
    <row r="26" spans="2:3" ht="14" x14ac:dyDescent="0.3">
      <c r="B26" s="4" t="s">
        <v>279</v>
      </c>
      <c r="C26" t="s">
        <v>267</v>
      </c>
    </row>
    <row r="27" spans="2:3" ht="14" x14ac:dyDescent="0.3">
      <c r="B27" s="4" t="s">
        <v>280</v>
      </c>
      <c r="C27" t="s">
        <v>267</v>
      </c>
    </row>
    <row r="28" spans="2:3" ht="14" x14ac:dyDescent="0.3">
      <c r="B28" s="4" t="s">
        <v>281</v>
      </c>
      <c r="C28" t="s">
        <v>282</v>
      </c>
    </row>
    <row r="29" spans="2:3" ht="14" x14ac:dyDescent="0.3">
      <c r="B29" s="4" t="s">
        <v>283</v>
      </c>
      <c r="C29" t="s">
        <v>284</v>
      </c>
    </row>
    <row r="30" spans="2:3" ht="14" x14ac:dyDescent="0.3">
      <c r="B30" s="4" t="s">
        <v>285</v>
      </c>
      <c r="C30" t="s">
        <v>286</v>
      </c>
    </row>
    <row r="31" spans="2:3" ht="14" x14ac:dyDescent="0.3">
      <c r="B31" s="4" t="s">
        <v>287</v>
      </c>
      <c r="C31" t="s">
        <v>282</v>
      </c>
    </row>
    <row r="32" spans="2:3" ht="14" x14ac:dyDescent="0.3">
      <c r="B32" s="4" t="s">
        <v>288</v>
      </c>
      <c r="C32" t="s">
        <v>267</v>
      </c>
    </row>
    <row r="33" spans="2:3" ht="14" x14ac:dyDescent="0.3">
      <c r="B33" s="4" t="s">
        <v>289</v>
      </c>
      <c r="C33" t="s">
        <v>278</v>
      </c>
    </row>
    <row r="34" spans="2:3" ht="14" x14ac:dyDescent="0.3">
      <c r="B34" s="4" t="s">
        <v>290</v>
      </c>
      <c r="C34" t="s">
        <v>291</v>
      </c>
    </row>
    <row r="35" spans="2:3" ht="14" x14ac:dyDescent="0.3">
      <c r="B35" s="4" t="s">
        <v>292</v>
      </c>
      <c r="C35" t="s">
        <v>293</v>
      </c>
    </row>
    <row r="36" spans="2:3" ht="14" x14ac:dyDescent="0.3">
      <c r="B36" s="4" t="s">
        <v>294</v>
      </c>
      <c r="C36" t="s">
        <v>295</v>
      </c>
    </row>
    <row r="37" spans="2:3" ht="14" x14ac:dyDescent="0.3">
      <c r="B37" s="4" t="s">
        <v>296</v>
      </c>
      <c r="C37" t="s">
        <v>297</v>
      </c>
    </row>
    <row r="38" spans="2:3" ht="14" x14ac:dyDescent="0.3">
      <c r="B38" s="4" t="s">
        <v>298</v>
      </c>
      <c r="C38" t="s">
        <v>299</v>
      </c>
    </row>
    <row r="39" spans="2:3" ht="14" x14ac:dyDescent="0.3">
      <c r="B39" s="4" t="s">
        <v>300</v>
      </c>
      <c r="C39" t="s">
        <v>301</v>
      </c>
    </row>
    <row r="40" spans="2:3" ht="14" x14ac:dyDescent="0.3">
      <c r="B40" s="4" t="s">
        <v>302</v>
      </c>
      <c r="C40" t="s">
        <v>271</v>
      </c>
    </row>
    <row r="41" spans="2:3" ht="14" x14ac:dyDescent="0.3">
      <c r="B41" s="4" t="s">
        <v>303</v>
      </c>
      <c r="C41" t="s">
        <v>304</v>
      </c>
    </row>
    <row r="42" spans="2:3" ht="14" x14ac:dyDescent="0.3">
      <c r="B42" s="4" t="s">
        <v>305</v>
      </c>
      <c r="C42" t="s">
        <v>306</v>
      </c>
    </row>
    <row r="43" spans="2:3" ht="14" x14ac:dyDescent="0.3">
      <c r="B43" s="4" t="s">
        <v>307</v>
      </c>
      <c r="C43" t="s">
        <v>308</v>
      </c>
    </row>
    <row r="44" spans="2:3" ht="14" x14ac:dyDescent="0.3">
      <c r="B44" s="4" t="s">
        <v>309</v>
      </c>
      <c r="C44" t="s">
        <v>310</v>
      </c>
    </row>
    <row r="45" spans="2:3" ht="14" x14ac:dyDescent="0.3">
      <c r="B45" s="4" t="s">
        <v>311</v>
      </c>
      <c r="C45" t="s">
        <v>312</v>
      </c>
    </row>
    <row r="46" spans="2:3" ht="14" x14ac:dyDescent="0.3">
      <c r="B46" s="4" t="s">
        <v>313</v>
      </c>
      <c r="C46" t="s">
        <v>314</v>
      </c>
    </row>
    <row r="47" spans="2:3" ht="14" x14ac:dyDescent="0.3">
      <c r="B47" s="4" t="s">
        <v>315</v>
      </c>
      <c r="C47" t="s">
        <v>316</v>
      </c>
    </row>
    <row r="48" spans="2:3" ht="14" x14ac:dyDescent="0.3">
      <c r="B48" s="4" t="s">
        <v>317</v>
      </c>
      <c r="C48" t="s">
        <v>318</v>
      </c>
    </row>
    <row r="49" spans="2:3" ht="14" x14ac:dyDescent="0.3">
      <c r="B49" s="4" t="s">
        <v>319</v>
      </c>
      <c r="C49" t="s">
        <v>320</v>
      </c>
    </row>
    <row r="50" spans="2:3" ht="14" x14ac:dyDescent="0.3">
      <c r="B50" s="4" t="s">
        <v>321</v>
      </c>
      <c r="C50" t="s">
        <v>322</v>
      </c>
    </row>
    <row r="51" spans="2:3" ht="14" x14ac:dyDescent="0.3">
      <c r="B51" s="4" t="s">
        <v>323</v>
      </c>
      <c r="C51" t="s">
        <v>324</v>
      </c>
    </row>
    <row r="52" spans="2:3" ht="14" x14ac:dyDescent="0.3">
      <c r="B52" s="4" t="s">
        <v>325</v>
      </c>
      <c r="C52" t="s">
        <v>326</v>
      </c>
    </row>
    <row r="53" spans="2:3" ht="14" x14ac:dyDescent="0.3">
      <c r="B53" s="4" t="s">
        <v>327</v>
      </c>
      <c r="C53" t="s">
        <v>328</v>
      </c>
    </row>
    <row r="54" spans="2:3" ht="14" x14ac:dyDescent="0.3">
      <c r="B54" s="4" t="s">
        <v>329</v>
      </c>
      <c r="C54" t="s">
        <v>330</v>
      </c>
    </row>
    <row r="55" spans="2:3" ht="14" x14ac:dyDescent="0.3">
      <c r="B55" s="4" t="s">
        <v>331</v>
      </c>
      <c r="C55" t="s">
        <v>332</v>
      </c>
    </row>
    <row r="56" spans="2:3" ht="14" x14ac:dyDescent="0.3">
      <c r="B56" s="4" t="s">
        <v>333</v>
      </c>
      <c r="C56" t="s">
        <v>334</v>
      </c>
    </row>
    <row r="57" spans="2:3" ht="14" x14ac:dyDescent="0.3">
      <c r="B57" s="4" t="s">
        <v>335</v>
      </c>
      <c r="C57" t="s">
        <v>336</v>
      </c>
    </row>
    <row r="58" spans="2:3" ht="14" x14ac:dyDescent="0.3">
      <c r="B58" s="4" t="s">
        <v>337</v>
      </c>
      <c r="C58" t="s">
        <v>338</v>
      </c>
    </row>
    <row r="59" spans="2:3" ht="14" x14ac:dyDescent="0.3">
      <c r="B59" s="4" t="s">
        <v>339</v>
      </c>
      <c r="C59" t="s">
        <v>340</v>
      </c>
    </row>
    <row r="60" spans="2:3" ht="14" x14ac:dyDescent="0.3">
      <c r="B60" s="4" t="s">
        <v>341</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2026-09-06T10:17:58Z</dcterms:created>
  <dcterms:modified xsi:type="dcterms:W3CDTF">2026-09-06T10:18:01Z</dcterms:modified>
</cp:coreProperties>
</file>