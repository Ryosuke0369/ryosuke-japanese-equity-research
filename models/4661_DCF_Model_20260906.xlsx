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75FD740A-0C83-4200-B831-1DD670542DF0}"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I6" i="7" s="1"/>
  <c r="O8" i="6"/>
  <c r="N8" i="6"/>
  <c r="M8" i="6"/>
  <c r="L8" i="6"/>
  <c r="K8" i="6"/>
  <c r="J8" i="6"/>
  <c r="O7" i="6"/>
  <c r="I15" i="6" s="1"/>
  <c r="N7" i="6"/>
  <c r="M7" i="6"/>
  <c r="L7" i="6"/>
  <c r="F15" i="6" s="1"/>
  <c r="K7" i="6"/>
  <c r="E17" i="6" s="1"/>
  <c r="J7" i="6"/>
  <c r="O6" i="6"/>
  <c r="N6" i="6"/>
  <c r="M6" i="6"/>
  <c r="L6" i="6"/>
  <c r="K6" i="6"/>
  <c r="J6" i="6"/>
  <c r="D17" i="6" s="1"/>
  <c r="O5" i="6"/>
  <c r="N5" i="6"/>
  <c r="E5" i="6"/>
  <c r="K5" i="6" s="1"/>
  <c r="D5" i="6"/>
  <c r="L5" i="6" s="1"/>
  <c r="C16" i="5"/>
  <c r="C14" i="5"/>
  <c r="C7" i="5"/>
  <c r="C6" i="5"/>
  <c r="C5" i="5"/>
  <c r="C13" i="4"/>
  <c r="C12" i="4"/>
  <c r="C9" i="4"/>
  <c r="C7" i="4"/>
  <c r="C8" i="4" s="1"/>
  <c r="C10" i="4" s="1"/>
  <c r="C6" i="4"/>
  <c r="D27" i="3"/>
  <c r="G7"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G17" i="6" l="1"/>
  <c r="E15" i="6"/>
  <c r="C31" i="3"/>
  <c r="F16" i="6"/>
  <c r="C28" i="6" s="1"/>
  <c r="C19" i="1" s="1"/>
  <c r="D19" i="1" s="1"/>
  <c r="D31" i="3"/>
  <c r="G30" i="3"/>
  <c r="E32" i="3"/>
  <c r="H15" i="6"/>
  <c r="F6" i="5"/>
  <c r="D5" i="5"/>
  <c r="I16" i="6"/>
  <c r="H7" i="5"/>
  <c r="F32" i="3"/>
  <c r="C26" i="3"/>
  <c r="C46" i="3" s="1"/>
  <c r="D17" i="7"/>
  <c r="C3" i="7"/>
  <c r="F46" i="3"/>
  <c r="H36" i="4"/>
  <c r="C11" i="4"/>
  <c r="C24" i="4" s="1"/>
  <c r="C25" i="4" s="1"/>
  <c r="G46" i="3"/>
  <c r="E36" i="4"/>
  <c r="D46" i="3"/>
  <c r="C70" i="4"/>
  <c r="C18" i="5"/>
  <c r="G15" i="6"/>
  <c r="H6" i="7"/>
  <c r="C6" i="7"/>
  <c r="G6" i="7"/>
  <c r="F6" i="7"/>
  <c r="E6" i="7"/>
  <c r="D6" i="7"/>
  <c r="C71" i="4"/>
  <c r="E5" i="5"/>
  <c r="G6" i="5"/>
  <c r="D16" i="6"/>
  <c r="F17" i="6"/>
  <c r="C17" i="7"/>
  <c r="E31" i="3"/>
  <c r="G5" i="5"/>
  <c r="J5" i="6"/>
  <c r="D15" i="6"/>
  <c r="H17" i="6"/>
  <c r="E17" i="7"/>
  <c r="G32" i="3"/>
  <c r="F5" i="5"/>
  <c r="E16" i="6"/>
  <c r="C30" i="3"/>
  <c r="C33" i="3" s="1"/>
  <c r="F31" i="3"/>
  <c r="H5" i="5"/>
  <c r="D7" i="5"/>
  <c r="G16" i="6"/>
  <c r="I17" i="6"/>
  <c r="F17" i="7"/>
  <c r="H6" i="5"/>
  <c r="H16" i="6"/>
  <c r="G17" i="7"/>
  <c r="D30" i="3"/>
  <c r="E7" i="5"/>
  <c r="E30" i="3"/>
  <c r="C32" i="3"/>
  <c r="D6" i="5"/>
  <c r="F7" i="5"/>
  <c r="M5" i="6"/>
  <c r="H17" i="7"/>
  <c r="G31" i="3"/>
  <c r="F30" i="3"/>
  <c r="D32" i="3"/>
  <c r="E6" i="5"/>
  <c r="G36" i="4" l="1"/>
  <c r="E46" i="3"/>
  <c r="F36" i="4"/>
  <c r="D36" i="4"/>
  <c r="D41" i="4" s="1"/>
  <c r="D51" i="4" s="1"/>
  <c r="D56" i="4" s="1"/>
  <c r="D40" i="4"/>
  <c r="D44" i="4"/>
  <c r="D38" i="4"/>
  <c r="D39" i="4"/>
  <c r="D49" i="4" s="1"/>
  <c r="D54" i="4" s="1"/>
  <c r="D45" i="4"/>
  <c r="D43" i="4"/>
  <c r="D46" i="4"/>
  <c r="E44" i="4"/>
  <c r="E38" i="4"/>
  <c r="E41" i="4"/>
  <c r="E45" i="4"/>
  <c r="E43" i="4"/>
  <c r="E39" i="4"/>
  <c r="E46" i="4"/>
  <c r="E40" i="4"/>
  <c r="B13" i="7"/>
  <c r="B12" i="7"/>
  <c r="B11" i="7"/>
  <c r="B10" i="7"/>
  <c r="B9" i="7"/>
  <c r="B8" i="7"/>
  <c r="B7" i="7"/>
  <c r="B24" i="7"/>
  <c r="B23" i="7"/>
  <c r="B22" i="7"/>
  <c r="B21" i="7"/>
  <c r="B20" i="7"/>
  <c r="B19" i="7"/>
  <c r="B18" i="7"/>
  <c r="C27" i="6"/>
  <c r="C18" i="1" s="1"/>
  <c r="D18" i="1" s="1"/>
  <c r="C74" i="4"/>
  <c r="C29" i="4"/>
  <c r="C27" i="4"/>
  <c r="C26" i="4"/>
  <c r="G41" i="4"/>
  <c r="G51" i="4" s="1"/>
  <c r="G56" i="4" s="1"/>
  <c r="G39" i="4"/>
  <c r="G45" i="4"/>
  <c r="G40" i="4"/>
  <c r="G43" i="4"/>
  <c r="G46" i="4"/>
  <c r="G44" i="4"/>
  <c r="G38" i="4"/>
  <c r="G48" i="4" s="1"/>
  <c r="G53" i="4" s="1"/>
  <c r="H45" i="4"/>
  <c r="H43" i="4"/>
  <c r="H39" i="4"/>
  <c r="H44" i="4"/>
  <c r="H46" i="4"/>
  <c r="H40" i="4"/>
  <c r="H38" i="4"/>
  <c r="H41" i="4"/>
  <c r="H51" i="4" s="1"/>
  <c r="H56" i="4" s="1"/>
  <c r="C37" i="3"/>
  <c r="D33" i="3"/>
  <c r="D9" i="5"/>
  <c r="D12" i="5" s="1"/>
  <c r="C42" i="3"/>
  <c r="C34" i="3"/>
  <c r="D10" i="5" s="1"/>
  <c r="F38" i="4"/>
  <c r="F48" i="4" s="1"/>
  <c r="F53" i="4" s="1"/>
  <c r="F46" i="4"/>
  <c r="F41" i="4"/>
  <c r="F45" i="4"/>
  <c r="F39" i="4"/>
  <c r="F43" i="4"/>
  <c r="F40" i="4"/>
  <c r="F44" i="4"/>
  <c r="E50" i="4" l="1"/>
  <c r="E55" i="4" s="1"/>
  <c r="H49" i="4"/>
  <c r="H54" i="4" s="1"/>
  <c r="E49" i="4"/>
  <c r="E54" i="4" s="1"/>
  <c r="C35" i="3"/>
  <c r="C39" i="3" s="1"/>
  <c r="G49" i="4"/>
  <c r="G54" i="4" s="1"/>
  <c r="F51" i="4"/>
  <c r="F56" i="4" s="1"/>
  <c r="C38" i="3"/>
  <c r="C36" i="3"/>
  <c r="D15" i="5"/>
  <c r="D16" i="5" s="1"/>
  <c r="D13" i="5"/>
  <c r="D14" i="5" s="1"/>
  <c r="E51" i="4"/>
  <c r="E56" i="4" s="1"/>
  <c r="D48" i="4"/>
  <c r="D53" i="4" s="1"/>
  <c r="H50" i="4"/>
  <c r="H55" i="4" s="1"/>
  <c r="E48" i="4"/>
  <c r="E53" i="4" s="1"/>
  <c r="H48" i="4"/>
  <c r="H53" i="4" s="1"/>
  <c r="F50" i="4"/>
  <c r="F55" i="4" s="1"/>
  <c r="F49" i="4"/>
  <c r="E9" i="5"/>
  <c r="E12" i="5" s="1"/>
  <c r="E33" i="3"/>
  <c r="D37" i="3"/>
  <c r="D42" i="3"/>
  <c r="D34" i="3"/>
  <c r="E10" i="5" s="1"/>
  <c r="G50" i="4"/>
  <c r="G55" i="4" s="1"/>
  <c r="D50" i="4"/>
  <c r="D55" i="4" s="1"/>
  <c r="D18" i="5" l="1"/>
  <c r="D19" i="5" s="1"/>
  <c r="C44" i="3" s="1"/>
  <c r="E15" i="5"/>
  <c r="E16" i="5" s="1"/>
  <c r="E13" i="5"/>
  <c r="C40" i="3"/>
  <c r="C41" i="3" s="1"/>
  <c r="C45" i="3" s="1"/>
  <c r="E14" i="5"/>
  <c r="E18" i="5" s="1"/>
  <c r="E19" i="5" s="1"/>
  <c r="D44" i="3" s="1"/>
  <c r="C60" i="4"/>
  <c r="F54" i="4"/>
  <c r="B78" i="4" s="1"/>
  <c r="F33" i="3"/>
  <c r="E34" i="3"/>
  <c r="F10" i="5" s="1"/>
  <c r="E42" i="3"/>
  <c r="F9" i="5"/>
  <c r="F12" i="5" s="1"/>
  <c r="E37" i="3"/>
  <c r="D35" i="3"/>
  <c r="C47" i="3" l="1"/>
  <c r="C67" i="4"/>
  <c r="D67" i="4" s="1"/>
  <c r="C63" i="4"/>
  <c r="D63" i="4" s="1"/>
  <c r="C65" i="4"/>
  <c r="D65" i="4" s="1"/>
  <c r="C66" i="4"/>
  <c r="D66" i="4" s="1"/>
  <c r="C64" i="4"/>
  <c r="D64" i="4" s="1"/>
  <c r="G33" i="3"/>
  <c r="G9" i="5"/>
  <c r="G12" i="5" s="1"/>
  <c r="F37" i="3"/>
  <c r="F42" i="3"/>
  <c r="F34" i="3"/>
  <c r="G10" i="5" s="1"/>
  <c r="D38" i="3"/>
  <c r="D39" i="3"/>
  <c r="D36" i="3"/>
  <c r="F15" i="5"/>
  <c r="F16" i="5" s="1"/>
  <c r="F13" i="5"/>
  <c r="F14" i="5" s="1"/>
  <c r="F18" i="5" s="1"/>
  <c r="F19" i="5" s="1"/>
  <c r="E44" i="3" s="1"/>
  <c r="E35" i="3"/>
  <c r="F35" i="3" l="1"/>
  <c r="G15" i="5"/>
  <c r="G16" i="5" s="1"/>
  <c r="G13" i="5"/>
  <c r="E38" i="3"/>
  <c r="E36" i="3"/>
  <c r="E39" i="3"/>
  <c r="G14" i="5"/>
  <c r="G18" i="5" s="1"/>
  <c r="G19" i="5" s="1"/>
  <c r="F44" i="3" s="1"/>
  <c r="C16" i="4"/>
  <c r="C28" i="4" s="1"/>
  <c r="H9" i="5"/>
  <c r="H12" i="5" s="1"/>
  <c r="G42" i="3"/>
  <c r="G34" i="3"/>
  <c r="H10" i="5" s="1"/>
  <c r="G37" i="3"/>
  <c r="G35" i="3"/>
  <c r="D40" i="3"/>
  <c r="D41" i="3" s="1"/>
  <c r="D45" i="3" s="1"/>
  <c r="D47" i="3" l="1"/>
  <c r="E40" i="3"/>
  <c r="E41" i="3" s="1"/>
  <c r="E45" i="3" s="1"/>
  <c r="G36" i="3"/>
  <c r="G39" i="3"/>
  <c r="G38" i="3"/>
  <c r="H15" i="5"/>
  <c r="H16" i="5" s="1"/>
  <c r="H13" i="5"/>
  <c r="H14" i="5" s="1"/>
  <c r="H18" i="5" s="1"/>
  <c r="H19" i="5" s="1"/>
  <c r="G44" i="3" s="1"/>
  <c r="C72" i="4"/>
  <c r="C73" i="4"/>
  <c r="F38" i="3"/>
  <c r="F36" i="3"/>
  <c r="F39" i="3"/>
  <c r="E47" i="3" l="1"/>
  <c r="F40" i="3"/>
  <c r="F41" i="3" s="1"/>
  <c r="F45" i="3" s="1"/>
  <c r="G40" i="3"/>
  <c r="G41" i="3" s="1"/>
  <c r="G45" i="3" s="1"/>
  <c r="C59" i="3"/>
  <c r="C60" i="3" s="1"/>
  <c r="C61" i="3" s="1"/>
  <c r="C51" i="3" l="1"/>
  <c r="C52" i="3" s="1"/>
  <c r="G47" i="3"/>
  <c r="F47" i="3"/>
  <c r="C50" i="3" s="1"/>
  <c r="C8" i="7"/>
  <c r="D18" i="7"/>
  <c r="F10" i="7"/>
  <c r="D13" i="7"/>
  <c r="C21" i="7"/>
  <c r="H10" i="7"/>
  <c r="E24" i="7"/>
  <c r="H7" i="7"/>
  <c r="I23" i="7"/>
  <c r="F13" i="7"/>
  <c r="F9" i="7"/>
  <c r="I8" i="7"/>
  <c r="H8" i="7"/>
  <c r="D20" i="7"/>
  <c r="I18" i="7"/>
  <c r="G13" i="7"/>
  <c r="F11" i="7"/>
  <c r="D11" i="7"/>
  <c r="E7" i="7"/>
  <c r="I22" i="7"/>
  <c r="G24" i="7"/>
  <c r="F18" i="7"/>
  <c r="G11" i="7"/>
  <c r="E20" i="7"/>
  <c r="F19" i="7"/>
  <c r="D21" i="7"/>
  <c r="E23" i="7"/>
  <c r="C19" i="7"/>
  <c r="C22" i="7"/>
  <c r="E19" i="7"/>
  <c r="I21" i="7"/>
  <c r="D19" i="7"/>
  <c r="D7" i="7"/>
  <c r="I24" i="7"/>
  <c r="H23" i="7"/>
  <c r="D23" i="7"/>
  <c r="I13" i="7"/>
  <c r="G12" i="7"/>
  <c r="I11" i="7"/>
  <c r="E22" i="7"/>
  <c r="D12" i="7"/>
  <c r="C10" i="7"/>
  <c r="I10" i="7"/>
  <c r="I12" i="7"/>
  <c r="G10" i="7"/>
  <c r="H12" i="7"/>
  <c r="G7" i="7"/>
  <c r="G21" i="7"/>
  <c r="E12" i="7"/>
  <c r="F20" i="7"/>
  <c r="G23" i="7"/>
  <c r="E18" i="7"/>
  <c r="G19" i="7"/>
  <c r="C13" i="7"/>
  <c r="I19" i="7"/>
  <c r="H13" i="7"/>
  <c r="C12" i="7"/>
  <c r="C20" i="7"/>
  <c r="H22" i="7"/>
  <c r="H19" i="7"/>
  <c r="E11" i="7"/>
  <c r="C18" i="7"/>
  <c r="I9" i="7"/>
  <c r="F24" i="7"/>
  <c r="E21" i="7"/>
  <c r="D9" i="7"/>
  <c r="I20" i="7"/>
  <c r="H24" i="7"/>
  <c r="E13" i="7"/>
  <c r="H21" i="7"/>
  <c r="F23" i="7"/>
  <c r="H20" i="7"/>
  <c r="F21" i="7"/>
  <c r="C24" i="7"/>
  <c r="G8" i="7"/>
  <c r="E9" i="7"/>
  <c r="H11" i="7"/>
  <c r="D24" i="7"/>
  <c r="F22" i="7"/>
  <c r="G18" i="7"/>
  <c r="E8" i="7"/>
  <c r="D8" i="7"/>
  <c r="F12" i="7"/>
  <c r="H18" i="7"/>
  <c r="F7" i="7"/>
  <c r="E10" i="7"/>
  <c r="C11" i="7"/>
  <c r="F8" i="7"/>
  <c r="C7" i="7"/>
  <c r="C9" i="7"/>
  <c r="D10" i="7"/>
  <c r="G9" i="7"/>
  <c r="H9" i="7"/>
  <c r="C23" i="7"/>
  <c r="I7" i="7"/>
  <c r="D22" i="7"/>
  <c r="G20" i="7"/>
  <c r="G22" i="7"/>
  <c r="C58" i="3" l="1"/>
  <c r="C62" i="3" s="1"/>
  <c r="C53" i="3"/>
  <c r="C17" i="4" l="1"/>
  <c r="C54" i="3"/>
  <c r="C55" i="3" s="1"/>
  <c r="C16" i="1"/>
  <c r="C63" i="3"/>
  <c r="C64" i="3" s="1"/>
  <c r="C17" i="1"/>
  <c r="D17" i="1" s="1"/>
  <c r="C10" i="1" l="1"/>
  <c r="C12" i="1" s="1"/>
  <c r="C11" i="1" s="1"/>
  <c r="C21" i="1"/>
  <c r="D16" i="1"/>
  <c r="C19" i="4"/>
  <c r="C20" i="4" s="1"/>
  <c r="B79" i="4" s="1"/>
</calcChain>
</file>

<file path=xl/sharedStrings.xml><?xml version="1.0" encoding="utf-8"?>
<sst xmlns="http://schemas.openxmlformats.org/spreadsheetml/2006/main" count="441" uniqueCount="357">
  <si>
    <t>DISCLAIMER: This is a sample analysis for demonstration purposes only. It does not constitute investment advice.</t>
  </si>
  <si>
    <t>オリエンタルランド (4661.T)</t>
  </si>
  <si>
    <t>Equity Research Report</t>
  </si>
  <si>
    <t>Company</t>
  </si>
  <si>
    <t>オリエンタルランド</t>
  </si>
  <si>
    <t>Ticker</t>
  </si>
  <si>
    <t>4661.T (TSE Prime)</t>
  </si>
  <si>
    <t>Sector</t>
  </si>
  <si>
    <t>サービス業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</si>
  <si>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</si>
  <si>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</si>
  <si>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</si>
  <si>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</si>
  <si>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</si>
  <si>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</si>
  <si>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</si>
  <si>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</si>
  <si>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</si>
  <si>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</si>
  <si>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</si>
  <si>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</si>
  <si>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</si>
  <si>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</si>
  <si>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</si>
  <si>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</si>
  <si>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</si>
  <si>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</si>
  <si>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</si>
  <si>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</si>
  <si>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</si>
  <si>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</si>
  <si>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オリエンタルランド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</si>
  <si>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</si>
  <si>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</si>
  <si>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</si>
  <si>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</si>
  <si>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</si>
  <si>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</si>
  <si>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</si>
  <si>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</si>
  <si>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</si>
  <si>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</si>
  <si>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</si>
  <si>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</si>
  <si>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</si>
  <si>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</si>
  <si>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</si>
  <si>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</si>
  <si>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</si>
  <si>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</si>
  <si>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</si>
  <si>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</si>
  <si>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</si>
  <si>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</si>
  <si>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</si>
  <si>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</si>
  <si>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</si>
  <si>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</si>
  <si>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</si>
  <si>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</si>
  <si>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オリエンタルランド</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</si>
  <si>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</si>
  <si>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</si>
  <si>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</si>
  <si>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</si>
  <si>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</si>
  <si>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</si>
  <si>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</si>
  <si>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</si>
  <si>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</si>
  <si>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</si>
  <si>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</si>
  <si>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</si>
  <si>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</si>
  <si>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</si>
  <si>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</si>
  <si>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</si>
  <si>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</si>
  <si>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</si>
  <si>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</si>
  <si>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</si>
  <si>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</si>
  <si>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</si>
  <si>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</si>
  <si>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</si>
  <si>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</si>
  <si>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</si>
  <si>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</si>
  <si>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</si>
  <si>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</si>
  <si>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</si>
  <si>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</si>
  <si>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</si>
  <si>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</si>
  <si>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</si>
  <si>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</si>
  <si>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</si>
  <si>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</si>
  <si>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</si>
  <si>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</si>
  <si>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</si>
  <si>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</si>
  <si>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</si>
  <si>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</si>
  <si>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</si>
  <si>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</si>
  <si>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</si>
  <si>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</si>
  <si>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</si>
  <si>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</si>
  <si>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</si>
  <si>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</si>
  <si>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</si>
  <si>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</si>
  <si>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</si>
  <si>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</si>
  <si>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</si>
  <si>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</si>
  <si>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</si>
  <si>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</si>
  <si>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</si>
  <si>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</si>
  <si>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</si>
  <si>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</si>
  <si>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</si>
  <si>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オリエンタルランド (4661.T)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</si>
  <si>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</si>
  <si>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</si>
  <si>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</si>
  <si>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</si>
  <si>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</si>
  <si>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</si>
  <si>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</si>
  <si>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</si>
  <si>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</si>
  <si>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</si>
  <si>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</si>
  <si>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</si>
  <si>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</si>
  <si>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</si>
  <si>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</si>
  <si>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</si>
  <si>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</si>
  <si>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</si>
  <si>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</si>
  <si>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</si>
  <si>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</si>
  <si>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</si>
  <si>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</si>
  <si>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</si>
  <si>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</si>
  <si>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</si>
  <si>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</si>
  <si>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</si>
  <si>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</si>
  <si>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</si>
  <si>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</si>
  <si>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</si>
  <si>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</si>
  <si>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</si>
  <si>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</si>
  <si>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</si>
  <si>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</si>
  <si>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</si>
  <si>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</si>
  <si>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</si>
  <si>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</si>
  <si>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</si>
  <si>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</si>
  <si>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</si>
  <si>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</si>
  <si>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</si>
  <si>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</si>
  <si>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</si>
  <si>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</si>
  <si>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</si>
  <si>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</si>
  <si>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オリエンタルランド</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</si>
  <si>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</si>
  <si>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</si>
  <si>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</si>
  <si>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</si>
  <si>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</si>
  <si>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</si>
  <si>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</si>
  <si>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</si>
  <si>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</si>
  <si>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</si>
  <si>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</si>
  <si>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</si>
  <si>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</si>
  <si>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</si>
  <si>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</si>
  <si>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</si>
  <si>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</si>
  <si>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</si>
  <si>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</si>
  <si>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</si>
  <si>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</si>
  <si>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</si>
  <si>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</si>
  <si>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</si>
  <si>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</si>
  <si>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</si>
  <si>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</si>
  <si>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</si>
  <si>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</si>
  <si>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</si>
  <si>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</si>
  <si>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</si>
  <si>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</si>
  <si>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</si>
  <si>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Oriental Land Co., Ltd.</t>
  </si>
  <si>
    <t>4661.T</t>
  </si>
  <si>
    <t>Toho Co., Ltd.</t>
  </si>
  <si>
    <t>9602.T</t>
  </si>
  <si>
    <t>Resorttrust, Inc.</t>
  </si>
  <si>
    <t>4681.T</t>
  </si>
  <si>
    <t>Kyoritsu Maintenance Co., Ltd.</t>
  </si>
  <si>
    <t>9616.T</t>
  </si>
  <si>
    <t>Statistics</t>
  </si>
  <si>
    <t>25th Percentile</t>
  </si>
  <si>
    <t>Median (50th)</t>
  </si>
  <si>
    <t>75th Percentile</t>
  </si>
  <si>
    <t>Implied Valuation for オリエンタルランド</t>
  </si>
  <si>
    <t>オリエンタルランド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</si>
  <si>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</si>
  <si>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</si>
  <si>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</si>
  <si>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</si>
  <si>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</si>
  <si>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</si>
  <si>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</si>
  <si>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</si>
  <si>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</si>
  <si>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</si>
  <si>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</si>
  <si>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</si>
  <si>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</si>
  <si>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</si>
  <si>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</si>
  <si>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オリエンタルランド</t>
  </si>
  <si>
    <t>日付</t>
  </si>
  <si>
    <t>セル</t>
  </si>
  <si>
    <t>変更内容</t>
  </si>
  <si>
    <t>理由</t>
  </si>
  <si>
    <t>元の値</t>
  </si>
  <si>
    <t>状態</t>
  </si>
  <si>
    <t>2026-09-06</t>
  </si>
  <si>
    <t>-</t>
  </si>
  <si>
    <t>Generated by pipeline on 2026-09-06 19:03, template rev 63983ab</t>
  </si>
  <si>
    <t>初期生成（手修正なし）</t>
  </si>
  <si>
    <t>generated</t>
  </si>
  <si>
    <t>DCF Model!C11</t>
  </si>
  <si>
    <t>After-tax Cost of Debt = 0.62% (実績ベース)</t>
  </si>
  <si>
    <t>実績Kd = 支払利息2,455 ÷ 平均有利子負債296,686(期首266,667/期末326,706、debt_beginning/debt_ending) = 税引前0.83% × (1−25.0%) = 0.62%。【マージナルコスト注記】これは既存借入の実績平均コストであり、新規調達の限界コストではない。テンプレ既定(税引前2.8%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</si>
  <si>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</si>
  <si>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</si>
  <si>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</si>
  <si>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0.535（採用値）</t>
  </si>
  <si>
    <t>実測β(raw) = 0.306 → Blume調整 0.67×raw + 0.33×1.00 = 0.535 → 採用 0.535。クランプ域 [0.3, 2.0] の内側。置換なし。回帰βは平均回帰するため Blume 調整を既定とする（2026-09-05 バッチで85件中57件が旧下限 0.60 に張り付き、両裾の歪みが実証された）。</t>
  </si>
  <si>
    <t>実測 0.306</t>
  </si>
  <si>
    <t>確定</t>
  </si>
  <si>
    <t>Pipeline Metadata (do not edit — read by scripts/validate_output.py)</t>
  </si>
  <si>
    <t>key</t>
  </si>
  <si>
    <t>value</t>
  </si>
  <si>
    <t>auto_log_entries</t>
  </si>
  <si>
    <t>2</t>
  </si>
  <si>
    <t>beta_adopted_c8</t>
  </si>
  <si>
    <t>0.5348</t>
  </si>
  <si>
    <t>beta_basis</t>
  </si>
  <si>
    <t>Blume: 0.67 x 0.306 + 0.33 x 1.00 = 0.535</t>
  </si>
  <si>
    <t>beta_blume_adjusted</t>
  </si>
  <si>
    <t>beta_clamped</t>
  </si>
  <si>
    <t>no</t>
  </si>
  <si>
    <t>beta_raw</t>
  </si>
  <si>
    <t>0.3056</t>
  </si>
  <si>
    <t>capex_pct_basis</t>
  </si>
  <si>
    <t>explicit_override</t>
  </si>
  <si>
    <t>capex_pct_c5</t>
  </si>
  <si>
    <t>0.099225</t>
  </si>
  <si>
    <t>capex_pct_hist3yr</t>
  </si>
  <si>
    <t>0.111576</t>
  </si>
  <si>
    <t>company_name</t>
  </si>
  <si>
    <t>comps_asof</t>
  </si>
  <si>
    <t>comps_da_missing</t>
  </si>
  <si>
    <t>none</t>
  </si>
  <si>
    <t>comps_ebitda_excluded</t>
  </si>
  <si>
    <t>comps_ev_ebitda_invalid</t>
  </si>
  <si>
    <t>comps_ev_ebitda_rows</t>
  </si>
  <si>
    <t>6,7,8</t>
  </si>
  <si>
    <t>comps_impl_mult_row</t>
  </si>
  <si>
    <t>27</t>
  </si>
  <si>
    <t>comps_impl_per_row</t>
  </si>
  <si>
    <t>28</t>
  </si>
  <si>
    <t>comps_peer_rows</t>
  </si>
  <si>
    <t>comps_per_excluded</t>
  </si>
  <si>
    <t>comps_stale_excluded</t>
  </si>
  <si>
    <t>comps_stat_median_row</t>
  </si>
  <si>
    <t>16</t>
  </si>
  <si>
    <t>comps_subject_row</t>
  </si>
  <si>
    <t>5</t>
  </si>
  <si>
    <t>core_ebitda</t>
  </si>
  <si>
    <t>234958.0</t>
  </si>
  <si>
    <t>core_net_income</t>
  </si>
  <si>
    <t>121881.0</t>
  </si>
  <si>
    <t>cost_of_debt_actual</t>
  </si>
  <si>
    <t>interest 2,455 (expense 2,455 + fees 0) / avg debt 296,686 (debt_beginning/debt_ending) = 0.008275 pre-tax -&gt; 0.006200 after-tax</t>
  </si>
  <si>
    <t>cost_of_debt_at_c11</t>
  </si>
  <si>
    <t>0.0062</t>
  </si>
  <si>
    <t>cost_of_debt_avg_debt</t>
  </si>
  <si>
    <t>296686.5</t>
  </si>
  <si>
    <t>cost_of_debt_basis</t>
  </si>
  <si>
    <t>actual</t>
  </si>
  <si>
    <t>cost_of_debt_interest</t>
  </si>
  <si>
    <t>2455.0</t>
  </si>
  <si>
    <t>cost_of_debt_pretax</t>
  </si>
  <si>
    <t>0.008274727700788543</t>
  </si>
  <si>
    <t>da_pct_basis</t>
  </si>
  <si>
    <t>da_pct_c18</t>
  </si>
  <si>
    <t>0.0945</t>
  </si>
  <si>
    <t>da_pct_hist3yr</t>
  </si>
  <si>
    <t>0.088753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</si>
  <si>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</si>
  <si>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</si>
  <si>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</si>
  <si>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</si>
  <si>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</si>
  <si>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</si>
  <si>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</si>
  <si>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</si>
  <si>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</si>
  <si>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19:03:10</t>
  </si>
  <si>
    <t>guidance_note</t>
  </si>
  <si>
    <t>TDnet 決算短信 via screener guidance table: FY2027 disclosed 2026-07-30 (net_income=113,797mn, operating_income=160,776mn, revenue=724,312mn)</t>
  </si>
  <si>
    <t>guidance_source</t>
  </si>
  <si>
    <t>tdnet_screener_db</t>
  </si>
  <si>
    <t>latest_operating_income</t>
  </si>
  <si>
    <t>168413.0</t>
  </si>
  <si>
    <t>ltm_revenue_c20</t>
  </si>
  <si>
    <t>704539.0</t>
  </si>
  <si>
    <t>ltm_revenue_source</t>
  </si>
  <si>
    <t>latest FY (no LTM)</t>
  </si>
  <si>
    <t>market_data_source</t>
  </si>
  <si>
    <t>yfinance; from overrides: beta, current_price, shares_outstanding</t>
  </si>
  <si>
    <t>narrative_tokens_used</t>
  </si>
  <si>
    <t>net_debt_source</t>
  </si>
  <si>
    <t>EDINET net_debt</t>
  </si>
  <si>
    <t>reverse_dcf_sheet</t>
  </si>
  <si>
    <t>op0=168,413(FY2026) peak=172,111(FY2025) peak_opm=0.2533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</si>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</sst>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3136</v>
      </c>
    </row>
    <row r="10" spans="2:5" ht="14" x14ac:dyDescent="0.3">
      <c r="B10" s="4" t="s">
        <v>10</v>
      </c>
      <c r="C10" s="5">
        <f>IF(COUNT(C16:C17)=0,"N/A",ROUND(AVERAGE(C16:C17),0))</f>
        <v>1447</v>
      </c>
    </row>
    <row r="11" spans="2:5" ht="14" x14ac:dyDescent="0.3">
      <c r="B11" s="4" t="s">
        <v>11</v>
      </c>
      <c r="C11" s="6" t="str">
        <f>IF(NOT(ISNUMBER(C12)),"N/A",IF(C12&gt;0.15,"BUY",IF(C12&gt;0.05,"HOLD","SELL")))</f>
        <v>SELL</v>
      </c>
    </row>
    <row r="12" spans="2:5" ht="14" x14ac:dyDescent="0.3">
      <c r="B12" s="4" t="s">
        <v>12</v>
      </c>
      <c r="C12" s="7">
        <f>IF(ISNUMBER(C10),(C10-C9)/C9,"N/A")</f>
        <v>-0.53858418367346939</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1263</v>
      </c>
      <c r="D16" s="7">
        <f>IF(ISNUMBER(C16),(C16-C9)/C9,"N/A")</f>
        <v>-0.59725765306122447</v>
      </c>
    </row>
    <row r="17" spans="2:5" ht="13.5" x14ac:dyDescent="0.25">
      <c r="B17" t="s">
        <v>18</v>
      </c>
      <c r="C17" s="11">
        <f>IF('DCF Model'!C62&lt;'DCF Model'!C16,"INVALID (EV &lt; net debt)",'DCF Model'!C64)</f>
        <v>1631</v>
      </c>
      <c r="D17" s="7">
        <f>IF(ISNUMBER(C17),(C17-C9)/C9,"N/A")</f>
        <v>-0.4799107142857143</v>
      </c>
    </row>
    <row r="18" spans="2:5" ht="13.5" x14ac:dyDescent="0.25">
      <c r="B18" t="s">
        <v>19</v>
      </c>
      <c r="C18" s="11">
        <f>'Comps Analysis'!C27</f>
        <v>1720</v>
      </c>
      <c r="D18" s="7">
        <f>IF(ISNUMBER(C18),(C18-C9)/C9,"N/A")</f>
        <v>-0.45153061224489793</v>
      </c>
    </row>
    <row r="19" spans="2:5" ht="13.5" x14ac:dyDescent="0.25">
      <c r="B19" t="s">
        <v>20</v>
      </c>
      <c r="C19" s="11">
        <f>'Comps Analysis'!C28</f>
        <v>1364</v>
      </c>
      <c r="D19" s="7">
        <f>IF(ISNUMBER(C19),(C19-C9)/C9,"N/A")</f>
        <v>-0.56505102040816324</v>
      </c>
    </row>
    <row r="20" spans="2:5" ht="14" x14ac:dyDescent="0.3">
      <c r="B20" s="45" t="s">
        <v>21</v>
      </c>
      <c r="C20" s="44"/>
      <c r="D20" s="44"/>
      <c r="E20" s="44"/>
    </row>
    <row r="21" spans="2:5" ht="14" x14ac:dyDescent="0.3">
      <c r="B21" s="4" t="s">
        <v>22</v>
      </c>
      <c r="C21" s="6" t="str">
        <f>IF(COUNT(C16:C17)=0,"N/A",MIN(C16:C17)&amp;" - "&amp;MAX(C16:C17))</f>
        <v>1263 - 1631</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483123</v>
      </c>
      <c r="D6" s="5">
        <v>618493</v>
      </c>
      <c r="E6" s="5">
        <v>679374</v>
      </c>
      <c r="F6" s="5">
        <v>704539</v>
      </c>
    </row>
    <row r="7" spans="2:6" ht="14" x14ac:dyDescent="0.3">
      <c r="B7" s="4" t="s">
        <v>38</v>
      </c>
      <c r="C7" s="5">
        <v>296895</v>
      </c>
      <c r="D7" s="5">
        <v>368976</v>
      </c>
      <c r="E7" s="5">
        <v>406180</v>
      </c>
      <c r="F7" s="5">
        <v>431580</v>
      </c>
    </row>
    <row r="8" spans="2:6" ht="14" x14ac:dyDescent="0.3">
      <c r="B8" s="4" t="s">
        <v>39</v>
      </c>
      <c r="C8" s="5">
        <f>C6-C7</f>
        <v>186228</v>
      </c>
      <c r="D8" s="5">
        <f>D6-D7</f>
        <v>249517</v>
      </c>
      <c r="E8" s="5">
        <f>E6-E7</f>
        <v>273194</v>
      </c>
      <c r="F8" s="5">
        <f>F6-F7</f>
        <v>272959</v>
      </c>
    </row>
    <row r="9" spans="2:6" ht="13.5" x14ac:dyDescent="0.25">
      <c r="B9" t="s">
        <v>40</v>
      </c>
      <c r="C9" s="7">
        <f>C8/C6</f>
        <v>0.38546705497357814</v>
      </c>
      <c r="D9" s="7">
        <f>D8/D6</f>
        <v>0.4034273629612623</v>
      </c>
      <c r="E9" s="7">
        <f>E8/E6</f>
        <v>0.40212607488658675</v>
      </c>
      <c r="F9" s="7">
        <f>F8/F6</f>
        <v>0.38742922677098074</v>
      </c>
    </row>
    <row r="10" spans="2:6" ht="14" x14ac:dyDescent="0.3">
      <c r="B10" s="4" t="s">
        <v>41</v>
      </c>
      <c r="C10" s="5">
        <v>75028</v>
      </c>
      <c r="D10" s="5">
        <v>84079</v>
      </c>
      <c r="E10" s="5">
        <v>101083</v>
      </c>
      <c r="F10" s="5">
        <v>104546</v>
      </c>
    </row>
    <row r="11" spans="2:6" ht="14" x14ac:dyDescent="0.3">
      <c r="B11" s="4" t="s">
        <v>42</v>
      </c>
      <c r="C11" s="5">
        <v>111200</v>
      </c>
      <c r="D11" s="5">
        <v>165438</v>
      </c>
      <c r="E11" s="5">
        <v>172111</v>
      </c>
      <c r="F11" s="5">
        <v>168413</v>
      </c>
    </row>
    <row r="12" spans="2:6" ht="14" x14ac:dyDescent="0.3">
      <c r="B12" s="4" t="s">
        <v>43</v>
      </c>
      <c r="C12" s="5">
        <v>80734</v>
      </c>
      <c r="D12" s="5">
        <v>120225</v>
      </c>
      <c r="E12" s="5">
        <v>124160</v>
      </c>
      <c r="F12" s="5">
        <v>121881</v>
      </c>
    </row>
    <row r="13" spans="2:6" ht="13.5" x14ac:dyDescent="0.25">
      <c r="B13" t="s">
        <v>44</v>
      </c>
      <c r="C13" s="7">
        <f>C11/C6</f>
        <v>0.23016912877258999</v>
      </c>
      <c r="D13" s="7">
        <f>D11/D6</f>
        <v>0.26748564656350193</v>
      </c>
      <c r="E13" s="7">
        <f>E11/E6</f>
        <v>0.25333763140773713</v>
      </c>
      <c r="F13" s="7">
        <f>F11/F6</f>
        <v>0.23903999636641832</v>
      </c>
    </row>
    <row r="14" spans="2:6" ht="13.5" x14ac:dyDescent="0.25">
      <c r="B14" t="s">
        <v>45</v>
      </c>
      <c r="C14" s="7">
        <f>C12/C6</f>
        <v>0.16710858311444499</v>
      </c>
      <c r="D14" s="7">
        <f>D12/D6</f>
        <v>0.19438376828840423</v>
      </c>
      <c r="E14" s="7">
        <f>E12/E6</f>
        <v>0.18275647875838641</v>
      </c>
      <c r="F14" s="7">
        <f>F12/F6</f>
        <v>0.17299397194477523</v>
      </c>
    </row>
    <row r="15" spans="2:6" ht="13.5" x14ac:dyDescent="0.25">
      <c r="B15" t="s">
        <v>46</v>
      </c>
      <c r="C15" t="s">
        <v>47</v>
      </c>
      <c r="D15" s="7">
        <f>(D6-C6)/C6</f>
        <v>0.28019779642037329</v>
      </c>
      <c r="E15" s="7">
        <f>(E6-D6)/D6</f>
        <v>9.8434420438064774E-2</v>
      </c>
      <c r="F15" s="7">
        <f>(F6-E6)/E6</f>
        <v>3.7041452866903947E-2</v>
      </c>
    </row>
    <row r="16" spans="2:6" ht="13.5" x14ac:dyDescent="0.25">
      <c r="B16" t="s">
        <v>48</v>
      </c>
      <c r="C16" t="s">
        <v>47</v>
      </c>
      <c r="D16" s="7">
        <f>(D11-C11)/C11</f>
        <v>0.48775179856115108</v>
      </c>
      <c r="E16" s="7">
        <f>(E11-D11)/D11</f>
        <v>4.0335352216540332E-2</v>
      </c>
      <c r="F16" s="7">
        <f>(F11-E11)/E11</f>
        <v>-2.1486133948440251E-2</v>
      </c>
    </row>
    <row r="18" spans="2:6" ht="14" x14ac:dyDescent="0.3">
      <c r="B18" s="3" t="s">
        <v>49</v>
      </c>
    </row>
    <row r="19" spans="2:6" ht="14" x14ac:dyDescent="0.3">
      <c r="B19" s="4" t="s">
        <v>50</v>
      </c>
      <c r="C19" s="5">
        <v>167729</v>
      </c>
      <c r="D19" s="5">
        <v>197674</v>
      </c>
      <c r="E19" s="5">
        <v>195388</v>
      </c>
      <c r="F19" s="5">
        <v>181281</v>
      </c>
    </row>
    <row r="20" spans="2:6" ht="14" x14ac:dyDescent="0.3">
      <c r="B20" s="4" t="s">
        <v>51</v>
      </c>
      <c r="C20" s="5">
        <v>88517</v>
      </c>
      <c r="D20" s="5">
        <v>48327</v>
      </c>
      <c r="E20" s="5">
        <v>100047</v>
      </c>
      <c r="F20" s="5">
        <v>77025</v>
      </c>
    </row>
    <row r="21" spans="2:6" ht="14" x14ac:dyDescent="0.3">
      <c r="B21" s="4" t="s">
        <v>52</v>
      </c>
      <c r="C21" s="5">
        <f>C19-C20</f>
        <v>79212</v>
      </c>
      <c r="D21" s="5">
        <f>D19-D20</f>
        <v>149347</v>
      </c>
      <c r="E21" s="5">
        <f>E19-E20</f>
        <v>95341</v>
      </c>
      <c r="F21" s="5">
        <f>F19-F20</f>
        <v>104256</v>
      </c>
    </row>
    <row r="22" spans="2:6" ht="13.5" x14ac:dyDescent="0.25">
      <c r="B22" t="s">
        <v>53</v>
      </c>
      <c r="C22" s="7">
        <f>C21/C6</f>
        <v>0.16395824665768344</v>
      </c>
      <c r="D22" s="7">
        <f>D21/D6</f>
        <v>0.241469183968129</v>
      </c>
      <c r="E22" s="7">
        <f>E21/E6</f>
        <v>0.14033654511358987</v>
      </c>
      <c r="F22" s="7">
        <f>F21/F6</f>
        <v>0.14797761373039675</v>
      </c>
    </row>
    <row r="23" spans="2:6" ht="13.5" x14ac:dyDescent="0.25">
      <c r="B23" t="s">
        <v>54</v>
      </c>
      <c r="C23" s="7">
        <f>C20/C6</f>
        <v>0.18321835226226033</v>
      </c>
      <c r="D23" s="7">
        <f>D20/D6</f>
        <v>7.81366967774898E-2</v>
      </c>
      <c r="E23" s="7">
        <f>E20/E6</f>
        <v>0.1472635102314778</v>
      </c>
      <c r="F23" s="7">
        <f>F20/F6</f>
        <v>0.10932680802624127</v>
      </c>
    </row>
    <row r="25" spans="2:6" ht="14" x14ac:dyDescent="0.3">
      <c r="B25" s="3" t="s">
        <v>55</v>
      </c>
    </row>
    <row r="26" spans="2:6" ht="14" x14ac:dyDescent="0.3">
      <c r="B26" s="4" t="s">
        <v>56</v>
      </c>
      <c r="C26" s="5">
        <v>142232</v>
      </c>
      <c r="D26" s="5">
        <v>273016</v>
      </c>
      <c r="E26" s="5">
        <v>323416</v>
      </c>
      <c r="F26" s="5">
        <v>468214</v>
      </c>
    </row>
    <row r="27" spans="2:6" ht="14" x14ac:dyDescent="0.3">
      <c r="B27" s="4" t="s">
        <v>57</v>
      </c>
      <c r="C27" s="5">
        <v>210964</v>
      </c>
      <c r="D27" s="5">
        <v>148953</v>
      </c>
      <c r="E27" s="5">
        <v>216667</v>
      </c>
      <c r="F27" s="5">
        <v>306706</v>
      </c>
    </row>
    <row r="28" spans="2:6" ht="14" x14ac:dyDescent="0.3">
      <c r="B28" s="4" t="s">
        <v>58</v>
      </c>
      <c r="C28" s="5">
        <f>C27-C26</f>
        <v>68732</v>
      </c>
      <c r="D28" s="5">
        <f>D27-D26</f>
        <v>-124063</v>
      </c>
      <c r="E28" s="5">
        <f>E27-E26</f>
        <v>-106749</v>
      </c>
      <c r="F28" s="5">
        <f>F27-F26</f>
        <v>-161508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9.9224999999999994E-2</v>
      </c>
    </row>
    <row r="6" spans="2:7" ht="14" x14ac:dyDescent="0.3">
      <c r="B6" s="4" t="s">
        <v>63</v>
      </c>
      <c r="C6" s="7">
        <v>0.25</v>
      </c>
    </row>
    <row r="7" spans="2:7" ht="14" x14ac:dyDescent="0.3">
      <c r="B7" s="4" t="s">
        <v>64</v>
      </c>
      <c r="C7" s="7">
        <v>2.9700000000000001E-2</v>
      </c>
    </row>
    <row r="8" spans="2:7" ht="14" x14ac:dyDescent="0.3">
      <c r="B8" s="4" t="s">
        <v>65</v>
      </c>
      <c r="C8" s="12">
        <v>0.53480000000000005</v>
      </c>
    </row>
    <row r="9" spans="2:7" ht="14" x14ac:dyDescent="0.3">
      <c r="B9" s="4" t="s">
        <v>66</v>
      </c>
      <c r="C9" s="7">
        <v>6.5000000000000002E-2</v>
      </c>
    </row>
    <row r="10" spans="2:7" ht="14" x14ac:dyDescent="0.3">
      <c r="B10" s="4" t="s">
        <v>67</v>
      </c>
      <c r="C10" s="7">
        <v>0.01</v>
      </c>
    </row>
    <row r="11" spans="2:7" ht="14" x14ac:dyDescent="0.3">
      <c r="B11" s="4" t="s">
        <v>68</v>
      </c>
      <c r="C11" s="7">
        <v>6.1999999999999998E-3</v>
      </c>
    </row>
    <row r="12" spans="2:7" ht="14" x14ac:dyDescent="0.3">
      <c r="B12" s="4" t="s">
        <v>69</v>
      </c>
      <c r="C12" s="13">
        <v>0</v>
      </c>
    </row>
    <row r="13" spans="2:7" ht="14" x14ac:dyDescent="0.3">
      <c r="B13" s="4" t="s">
        <v>70</v>
      </c>
      <c r="C13" s="7">
        <v>0.01</v>
      </c>
    </row>
    <row r="14" spans="2:7" ht="14" x14ac:dyDescent="0.3">
      <c r="B14" s="4" t="s">
        <v>71</v>
      </c>
      <c r="C14" s="14">
        <v>11.4</v>
      </c>
    </row>
    <row r="15" spans="2:7" ht="14" x14ac:dyDescent="0.3">
      <c r="B15" s="4" t="s">
        <v>72</v>
      </c>
      <c r="C15" s="15">
        <v>1639716594</v>
      </c>
    </row>
    <row r="16" spans="2:7" ht="14" x14ac:dyDescent="0.3">
      <c r="B16" s="4" t="s">
        <v>73</v>
      </c>
      <c r="C16" s="5">
        <v>-141508</v>
      </c>
    </row>
    <row r="17" spans="2:7" ht="14" x14ac:dyDescent="0.3">
      <c r="B17" s="4" t="s">
        <v>74</v>
      </c>
      <c r="C17" s="5">
        <v>704539</v>
      </c>
    </row>
    <row r="18" spans="2:7" ht="14" x14ac:dyDescent="0.3">
      <c r="B18" s="4" t="s">
        <v>75</v>
      </c>
      <c r="C18" s="7">
        <v>9.4500000000000001E-2</v>
      </c>
    </row>
    <row r="19" spans="2:7" ht="14" x14ac:dyDescent="0.3">
      <c r="B19" s="4" t="s">
        <v>76</v>
      </c>
      <c r="C19" s="12">
        <v>1</v>
      </c>
    </row>
    <row r="20" spans="2:7" ht="14" x14ac:dyDescent="0.3">
      <c r="B20" s="4" t="s">
        <v>77</v>
      </c>
      <c r="C20" s="5">
        <v>704539</v>
      </c>
    </row>
    <row r="22" spans="2:7" ht="14" x14ac:dyDescent="0.3">
      <c r="B22" s="8" t="s">
        <v>78</v>
      </c>
      <c r="C22" s="9"/>
      <c r="D22" s="9"/>
      <c r="E22" s="9"/>
      <c r="F22" s="9"/>
      <c r="G22" s="9"/>
    </row>
    <row r="23" spans="2:7" ht="14" x14ac:dyDescent="0.3">
      <c r="B23" s="4" t="s">
        <v>79</v>
      </c>
      <c r="C23" s="16">
        <f>C7+C8*C9+C10</f>
        <v>7.4462E-2</v>
      </c>
    </row>
    <row r="24" spans="2:7" ht="14" x14ac:dyDescent="0.3">
      <c r="B24" s="4" t="s">
        <v>80</v>
      </c>
      <c r="C24" s="16">
        <f>1/(1+C12)</f>
        <v>1</v>
      </c>
    </row>
    <row r="25" spans="2:7" ht="14" x14ac:dyDescent="0.3">
      <c r="B25" s="4" t="s">
        <v>81</v>
      </c>
      <c r="C25" s="16">
        <f>C12/(1+C12)</f>
        <v>0</v>
      </c>
    </row>
    <row r="26" spans="2:7" ht="14" x14ac:dyDescent="0.3">
      <c r="B26" s="4" t="s">
        <v>82</v>
      </c>
      <c r="C26" s="16">
        <f>C23*C24+C11*C25</f>
        <v>7.4462E-2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x14ac:dyDescent="0.3">
      <c r="B31" s="4" t="s">
        <v>91</v>
      </c>
      <c r="C31" s="18">
        <f>CHOOSE($D$27,C76,C77,C78,C79,C80)</f>
        <v>0.59</v>
      </c>
      <c r="D31" s="18">
        <f>CHOOSE($D$27,D76,D77,D78,D79,D80)</f>
        <v>0.59</v>
      </c>
      <c r="E31" s="18">
        <f>CHOOSE($D$27,E76,E77,E78,E79,E80)</f>
        <v>0.59</v>
      </c>
      <c r="F31" s="18">
        <f>CHOOSE($D$27,F76,F77,F78,F79,F80)</f>
        <v>0.59</v>
      </c>
      <c r="G31" s="18">
        <f>CHOOSE($D$27,G76,G77,G78,G79,G80)</f>
        <v>0.59</v>
      </c>
    </row>
    <row r="32" spans="2:7" ht="14" x14ac:dyDescent="0.3">
      <c r="B32" s="4" t="s">
        <v>92</v>
      </c>
      <c r="C32" s="18">
        <f>CHOOSE($D$27,C83,C84,C85,C86,C87)</f>
        <v>0.16950000000000001</v>
      </c>
      <c r="D32" s="18">
        <f>CHOOSE($D$27,D83,D84,D85,D86,D87)</f>
        <v>0.1678</v>
      </c>
      <c r="E32" s="18">
        <f>CHOOSE($D$27,E83,E84,E85,E86,E87)</f>
        <v>0.16619999999999999</v>
      </c>
      <c r="F32" s="18">
        <f>CHOOSE($D$27,F83,F84,F85,F86,F87)</f>
        <v>0.1648</v>
      </c>
      <c r="G32" s="18">
        <f>CHOOSE($D$27,G83,G84,G85,G86,G87)</f>
        <v>0.1638</v>
      </c>
    </row>
    <row r="33" spans="2:7" ht="14" x14ac:dyDescent="0.3">
      <c r="B33" s="4" t="s">
        <v>37</v>
      </c>
      <c r="C33" s="5">
        <f>C17*(1+C30)</f>
        <v>725675.17</v>
      </c>
      <c r="D33" s="5">
        <f>C33*(1+D30)</f>
        <v>747445.42510000011</v>
      </c>
      <c r="E33" s="5">
        <f>D33*(1+E30)</f>
        <v>766131.56072750001</v>
      </c>
      <c r="F33" s="5">
        <f>E33*(1+F30)</f>
        <v>785284.84974568745</v>
      </c>
      <c r="G33" s="5">
        <f>F33*(1+G30)</f>
        <v>800990.54674060119</v>
      </c>
    </row>
    <row r="34" spans="2:7" ht="14" x14ac:dyDescent="0.3">
      <c r="B34" s="4" t="s">
        <v>38</v>
      </c>
      <c r="C34" s="5">
        <f>C33*C31</f>
        <v>428148.35029999999</v>
      </c>
      <c r="D34" s="5">
        <f>D33*D31</f>
        <v>440992.80080900004</v>
      </c>
      <c r="E34" s="5">
        <f>E33*E31</f>
        <v>452017.62082922499</v>
      </c>
      <c r="F34" s="5">
        <f>F33*F31</f>
        <v>463318.06134995556</v>
      </c>
      <c r="G34" s="5">
        <f>G33*G31</f>
        <v>472584.4225769547</v>
      </c>
    </row>
    <row r="35" spans="2:7" ht="14" x14ac:dyDescent="0.3">
      <c r="B35" s="4" t="s">
        <v>39</v>
      </c>
      <c r="C35" s="19">
        <f>C33-C34</f>
        <v>297526.81970000005</v>
      </c>
      <c r="D35" s="19">
        <f>D33-D34</f>
        <v>306452.62429100007</v>
      </c>
      <c r="E35" s="19">
        <f>E33-E34</f>
        <v>314113.93989827501</v>
      </c>
      <c r="F35" s="19">
        <f>F33-F34</f>
        <v>321966.78839573188</v>
      </c>
      <c r="G35" s="19">
        <f>G33-G34</f>
        <v>328406.12416364648</v>
      </c>
    </row>
    <row r="36" spans="2:7" ht="14" x14ac:dyDescent="0.3">
      <c r="B36" s="4" t="s">
        <v>40</v>
      </c>
      <c r="C36" s="7">
        <f>C35/C33</f>
        <v>0.41000000000000003</v>
      </c>
      <c r="D36" s="7">
        <f>D35/D33</f>
        <v>0.41000000000000003</v>
      </c>
      <c r="E36" s="7">
        <f>E35/E33</f>
        <v>0.41000000000000003</v>
      </c>
      <c r="F36" s="7">
        <f>F35/F33</f>
        <v>0.41000000000000003</v>
      </c>
      <c r="G36" s="7">
        <f>G35/G33</f>
        <v>0.41</v>
      </c>
    </row>
    <row r="37" spans="2:7" ht="14" x14ac:dyDescent="0.3">
      <c r="B37" s="4" t="s">
        <v>93</v>
      </c>
      <c r="C37" s="5">
        <f>C33*C32</f>
        <v>123001.94131500002</v>
      </c>
      <c r="D37" s="5">
        <f>D33*D32</f>
        <v>125421.34233178002</v>
      </c>
      <c r="E37" s="5">
        <f>E33*E32</f>
        <v>127331.06539291049</v>
      </c>
      <c r="F37" s="5">
        <f>F33*F32</f>
        <v>129414.9432380893</v>
      </c>
      <c r="G37" s="5">
        <f>G33*G32</f>
        <v>131202.25155611048</v>
      </c>
    </row>
    <row r="38" spans="2:7" ht="14" x14ac:dyDescent="0.3">
      <c r="B38" s="4" t="s">
        <v>94</v>
      </c>
      <c r="C38" s="7">
        <f>(C35-C37)/C33</f>
        <v>0.24050000000000005</v>
      </c>
      <c r="D38" s="7">
        <f>(D35-D37)/D33</f>
        <v>0.24220000000000005</v>
      </c>
      <c r="E38" s="7">
        <f>(E35-E37)/E33</f>
        <v>0.24380000000000002</v>
      </c>
      <c r="F38" s="7">
        <f>(F35-F37)/F33</f>
        <v>0.24520000000000003</v>
      </c>
      <c r="G38" s="7">
        <f>(G35-G37)/G33</f>
        <v>0.24619999999999997</v>
      </c>
    </row>
    <row r="39" spans="2:7" ht="14" x14ac:dyDescent="0.3">
      <c r="B39" s="4" t="s">
        <v>95</v>
      </c>
      <c r="C39" s="19">
        <f>C35-C37</f>
        <v>174524.87838500005</v>
      </c>
      <c r="D39" s="19">
        <f>D35-D37</f>
        <v>181031.28195922007</v>
      </c>
      <c r="E39" s="19">
        <f>E35-E37</f>
        <v>186782.87450536451</v>
      </c>
      <c r="F39" s="19">
        <f>F35-F37</f>
        <v>192551.84515764259</v>
      </c>
      <c r="G39" s="19">
        <f>G35-G37</f>
        <v>197203.872607536</v>
      </c>
    </row>
    <row r="40" spans="2:7" ht="14" x14ac:dyDescent="0.3">
      <c r="B40" s="4" t="s">
        <v>96</v>
      </c>
      <c r="C40" s="5">
        <f>MAX(0,C39*C6)</f>
        <v>43631.219596250012</v>
      </c>
      <c r="D40" s="5">
        <f>MAX(0,D39*C6)</f>
        <v>45257.820489805017</v>
      </c>
      <c r="E40" s="5">
        <f>MAX(0,E39*C6)</f>
        <v>46695.718626341128</v>
      </c>
      <c r="F40" s="5">
        <f>MAX(0,F39*C6)</f>
        <v>48137.961289410647</v>
      </c>
      <c r="G40" s="5">
        <f>MAX(0,G39*C6)</f>
        <v>49300.968151884001</v>
      </c>
    </row>
    <row r="41" spans="2:7" ht="14" x14ac:dyDescent="0.3">
      <c r="B41" s="4" t="s">
        <v>97</v>
      </c>
      <c r="C41" s="19">
        <f>C39-C40</f>
        <v>130893.65878875004</v>
      </c>
      <c r="D41" s="19">
        <f>D39-D40</f>
        <v>135773.46146941505</v>
      </c>
      <c r="E41" s="19">
        <f>E39-E40</f>
        <v>140087.15587902337</v>
      </c>
      <c r="F41" s="19">
        <f>F39-F40</f>
        <v>144413.88386823193</v>
      </c>
      <c r="G41" s="19">
        <f>G39-G40</f>
        <v>147902.90445565199</v>
      </c>
    </row>
    <row r="42" spans="2:7" ht="14" x14ac:dyDescent="0.3">
      <c r="B42" s="4" t="s">
        <v>98</v>
      </c>
      <c r="C42" s="5">
        <f>C33*C18</f>
        <v>68576.303565000009</v>
      </c>
      <c r="D42" s="5">
        <f>D33*C18</f>
        <v>70633.592671950013</v>
      </c>
      <c r="E42" s="5">
        <f>E33*C18</f>
        <v>72399.432488748746</v>
      </c>
      <c r="F42" s="5">
        <f>F33*C18</f>
        <v>74209.41830096746</v>
      </c>
      <c r="G42" s="5">
        <f>G33*C18</f>
        <v>75693.606666986816</v>
      </c>
    </row>
    <row r="43" spans="2:7" ht="14" x14ac:dyDescent="0.3">
      <c r="B43" s="4" t="s">
        <v>99</v>
      </c>
      <c r="C43" s="5">
        <v>156900</v>
      </c>
      <c r="D43" s="5">
        <v>137600</v>
      </c>
      <c r="E43" s="5">
        <v>118200</v>
      </c>
      <c r="F43" s="5">
        <v>98900</v>
      </c>
      <c r="G43" s="5">
        <v>79500</v>
      </c>
    </row>
    <row r="44" spans="2:7" ht="14" x14ac:dyDescent="0.3">
      <c r="B44" s="4" t="s">
        <v>100</v>
      </c>
      <c r="C44" s="5">
        <f>'NWC Schedule'!D19</f>
        <v>2534.5695616438315</v>
      </c>
      <c r="D44" s="5">
        <f>'NWC Schedule'!E19</f>
        <v>1013.957086849332</v>
      </c>
      <c r="E44" s="5">
        <f>'NWC Schedule'!F19</f>
        <v>870.31316621231963</v>
      </c>
      <c r="F44" s="5">
        <f>'NWC Schedule'!G19</f>
        <v>892.07099536762689</v>
      </c>
      <c r="G44" s="5">
        <f>'NWC Schedule'!H19</f>
        <v>731.49821620147122</v>
      </c>
    </row>
    <row r="45" spans="2:7" ht="14" x14ac:dyDescent="0.3">
      <c r="B45" s="4" t="s">
        <v>101</v>
      </c>
      <c r="C45" s="20">
        <f>C41+C42-C43-C44</f>
        <v>40035.392792106213</v>
      </c>
      <c r="D45" s="20">
        <f>D41+D42-D43-D44</f>
        <v>67793.097054515718</v>
      </c>
      <c r="E45" s="20">
        <f>E41+E42-E43-E44</f>
        <v>93416.275201559794</v>
      </c>
      <c r="F45" s="20">
        <f>F41+F42-F43-F44</f>
        <v>118831.23117383177</v>
      </c>
      <c r="G45" s="20">
        <f>G41+G42-G43-G44</f>
        <v>143365.01290643736</v>
      </c>
    </row>
    <row r="46" spans="2:7" ht="14" x14ac:dyDescent="0.3">
      <c r="B46" s="4" t="s">
        <v>102</v>
      </c>
      <c r="C46" s="21">
        <f>1/(1+C26)^(C19+0)</f>
        <v>0.93069834019258013</v>
      </c>
      <c r="D46" s="21">
        <f>1/(1+C26)^(C19+1)</f>
        <v>0.86619940043722343</v>
      </c>
      <c r="E46" s="21">
        <f>1/(1+C26)^(C19+2)</f>
        <v>0.80617034426273193</v>
      </c>
      <c r="F46" s="21">
        <f>1/(1+C26)^(C19+3)</f>
        <v>0.75030140131780543</v>
      </c>
      <c r="G46" s="21">
        <f>1/(1+C26)^(C19+4)</f>
        <v>0.69830426885064845</v>
      </c>
    </row>
    <row r="47" spans="2:7" ht="14" x14ac:dyDescent="0.3">
      <c r="B47" s="4" t="s">
        <v>103</v>
      </c>
      <c r="C47" s="19">
        <f>C45*C46</f>
        <v>37260.873620571241</v>
      </c>
      <c r="D47" s="19">
        <f>D45*D46</f>
        <v>58722.340022404016</v>
      </c>
      <c r="E47" s="19">
        <f>E45*E46</f>
        <v>75309.430738983574</v>
      </c>
      <c r="F47" s="19">
        <f>F45*F46</f>
        <v>89159.239270046062</v>
      </c>
      <c r="G47" s="19">
        <f>G45*G46</f>
        <v>100112.40051639352</v>
      </c>
    </row>
    <row r="49" spans="2:7" ht="14" x14ac:dyDescent="0.3">
      <c r="B49" s="22" t="s">
        <v>104</v>
      </c>
      <c r="C49" s="23"/>
      <c r="D49" s="23"/>
      <c r="E49" s="23"/>
      <c r="F49" s="23"/>
      <c r="G49" s="23"/>
    </row>
    <row r="50" spans="2:7" ht="14" x14ac:dyDescent="0.3">
      <c r="B50" s="4" t="s">
        <v>105</v>
      </c>
      <c r="C50" s="5">
        <f>SUM(C47:G47)</f>
        <v>360564.28416839842</v>
      </c>
    </row>
    <row r="51" spans="2:7" ht="14" x14ac:dyDescent="0.3">
      <c r="B51" s="4" t="s">
        <v>106</v>
      </c>
      <c r="C51" s="5">
        <f>G45*(1+C13)/(C26-C13)</f>
        <v>2246263.8924560472</v>
      </c>
    </row>
    <row r="52" spans="2:7" ht="14" x14ac:dyDescent="0.3">
      <c r="B52" s="4" t="s">
        <v>107</v>
      </c>
      <c r="C52" s="5">
        <f>C51*G46</f>
        <v>1568575.6650671316</v>
      </c>
    </row>
    <row r="53" spans="2:7" ht="14" x14ac:dyDescent="0.3">
      <c r="B53" s="4" t="s">
        <v>108</v>
      </c>
      <c r="C53" s="5">
        <f>C50+C52</f>
        <v>1929139.9492355301</v>
      </c>
    </row>
    <row r="54" spans="2:7" ht="14" x14ac:dyDescent="0.3">
      <c r="B54" s="4" t="s">
        <v>109</v>
      </c>
      <c r="C54" s="5">
        <f>C53-C16</f>
        <v>2070647.9492355301</v>
      </c>
    </row>
    <row r="55" spans="2:7" ht="14" x14ac:dyDescent="0.3">
      <c r="B55" s="4" t="s">
        <v>110</v>
      </c>
      <c r="C55" s="24">
        <f>ROUND(C54*1000000/C15,0)</f>
        <v>1263</v>
      </c>
    </row>
    <row r="57" spans="2:7" ht="14" x14ac:dyDescent="0.3">
      <c r="B57" s="22" t="s">
        <v>111</v>
      </c>
      <c r="C57" s="23"/>
      <c r="D57" s="23"/>
      <c r="E57" s="23"/>
      <c r="F57" s="23"/>
      <c r="G57" s="23"/>
    </row>
    <row r="58" spans="2:7" ht="14" x14ac:dyDescent="0.3">
      <c r="B58" s="4" t="s">
        <v>105</v>
      </c>
      <c r="C58" s="5">
        <f>C50</f>
        <v>360564.28416839842</v>
      </c>
    </row>
    <row r="59" spans="2:7" ht="14" x14ac:dyDescent="0.3">
      <c r="B59" s="4" t="s">
        <v>112</v>
      </c>
      <c r="C59" s="5">
        <f>G39+G42</f>
        <v>272897.4792745228</v>
      </c>
    </row>
    <row r="60" spans="2:7" ht="14" x14ac:dyDescent="0.3">
      <c r="B60" s="4" t="s">
        <v>113</v>
      </c>
      <c r="C60" s="5">
        <f>C59*C14</f>
        <v>3111031.2637295602</v>
      </c>
    </row>
    <row r="61" spans="2:7" ht="14" x14ac:dyDescent="0.3">
      <c r="B61" s="4" t="s">
        <v>107</v>
      </c>
      <c r="C61" s="5">
        <f>C60*G46</f>
        <v>2172446.4119901792</v>
      </c>
    </row>
    <row r="62" spans="2:7" ht="14" x14ac:dyDescent="0.3">
      <c r="B62" s="4" t="s">
        <v>108</v>
      </c>
      <c r="C62" s="5">
        <f>C58+C61</f>
        <v>2533010.6961585777</v>
      </c>
    </row>
    <row r="63" spans="2:7" ht="14" x14ac:dyDescent="0.3">
      <c r="B63" s="4" t="s">
        <v>109</v>
      </c>
      <c r="C63" s="5">
        <f>C62-C16</f>
        <v>2674518.6961585777</v>
      </c>
    </row>
    <row r="64" spans="2:7" ht="14" x14ac:dyDescent="0.3">
      <c r="B64" s="4" t="s">
        <v>114</v>
      </c>
      <c r="C64" s="24">
        <f>ROUND(C63*1000000/C15,0)</f>
        <v>1631</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0.03</v>
      </c>
      <c r="D69" s="26">
        <v>0.03</v>
      </c>
      <c r="E69" s="26">
        <v>2.5000000000000001E-2</v>
      </c>
      <c r="F69" s="26">
        <v>2.5000000000000001E-2</v>
      </c>
      <c r="G69" s="26">
        <v>0.02</v>
      </c>
    </row>
    <row r="70" spans="2:7" ht="14" x14ac:dyDescent="0.3">
      <c r="B70" s="4" t="s">
        <v>121</v>
      </c>
      <c r="C70" s="26">
        <v>0.05</v>
      </c>
      <c r="D70" s="26">
        <v>4.4999999999999998E-2</v>
      </c>
      <c r="E70" s="26">
        <v>0.04</v>
      </c>
      <c r="F70" s="26">
        <v>3.5000000000000003E-2</v>
      </c>
      <c r="G70" s="26">
        <v>0.03</v>
      </c>
    </row>
    <row r="71" spans="2:7" ht="14" x14ac:dyDescent="0.3">
      <c r="B71" s="4" t="s">
        <v>122</v>
      </c>
      <c r="C71" s="26">
        <v>0.03</v>
      </c>
      <c r="D71" s="26">
        <v>0.03</v>
      </c>
      <c r="E71" s="26">
        <v>2.5000000000000001E-2</v>
      </c>
      <c r="F71" s="26">
        <v>2.5000000000000001E-2</v>
      </c>
      <c r="G71" s="26">
        <v>0.02</v>
      </c>
    </row>
    <row r="72" spans="2:7" ht="14" x14ac:dyDescent="0.3">
      <c r="B72" s="4" t="s">
        <v>123</v>
      </c>
      <c r="C72" s="26">
        <v>0.01</v>
      </c>
      <c r="D72" s="26">
        <v>1.4999999999999999E-2</v>
      </c>
      <c r="E72" s="26">
        <v>0.02</v>
      </c>
      <c r="F72" s="26">
        <v>0.02</v>
      </c>
      <c r="G72" s="26">
        <v>0.02</v>
      </c>
    </row>
    <row r="73" spans="2:7" ht="14" x14ac:dyDescent="0.3">
      <c r="B73" s="4" t="s">
        <v>124</v>
      </c>
      <c r="C73" s="26">
        <v>-0.08</v>
      </c>
      <c r="D73" s="26">
        <v>-0.01</v>
      </c>
      <c r="E73" s="26">
        <v>1.4999999999999999E-2</v>
      </c>
      <c r="F73" s="26">
        <v>0.02</v>
      </c>
      <c r="G73" s="26">
        <v>0.02</v>
      </c>
    </row>
    <row r="75" spans="2:7" ht="14" x14ac:dyDescent="0.3">
      <c r="B75" s="3" t="s">
        <v>91</v>
      </c>
    </row>
    <row r="76" spans="2:7" ht="14" x14ac:dyDescent="0.3">
      <c r="B76" s="4" t="s">
        <v>84</v>
      </c>
      <c r="C76" s="26">
        <v>0.59</v>
      </c>
      <c r="D76" s="26">
        <v>0.59</v>
      </c>
      <c r="E76" s="26">
        <v>0.59</v>
      </c>
      <c r="F76" s="26">
        <v>0.59</v>
      </c>
      <c r="G76" s="26">
        <v>0.59</v>
      </c>
    </row>
    <row r="77" spans="2:7" ht="14" x14ac:dyDescent="0.3">
      <c r="B77" s="4" t="s">
        <v>121</v>
      </c>
      <c r="C77" s="26">
        <v>0.57999999999999996</v>
      </c>
      <c r="D77" s="26">
        <v>0.57999999999999996</v>
      </c>
      <c r="E77" s="26">
        <v>0.57999999999999996</v>
      </c>
      <c r="F77" s="26">
        <v>0.57999999999999996</v>
      </c>
      <c r="G77" s="26">
        <v>0.57999999999999996</v>
      </c>
    </row>
    <row r="78" spans="2:7" ht="14" x14ac:dyDescent="0.3">
      <c r="B78" s="4" t="s">
        <v>122</v>
      </c>
      <c r="C78" s="26">
        <v>0.59</v>
      </c>
      <c r="D78" s="26">
        <v>0.59</v>
      </c>
      <c r="E78" s="26">
        <v>0.59</v>
      </c>
      <c r="F78" s="26">
        <v>0.59</v>
      </c>
      <c r="G78" s="26">
        <v>0.59</v>
      </c>
    </row>
    <row r="79" spans="2:7" ht="14" x14ac:dyDescent="0.3">
      <c r="B79" s="4" t="s">
        <v>123</v>
      </c>
      <c r="C79" s="26">
        <v>0.59799999999999998</v>
      </c>
      <c r="D79" s="26">
        <v>0.59799999999999998</v>
      </c>
      <c r="E79" s="26">
        <v>0.59799999999999998</v>
      </c>
      <c r="F79" s="26">
        <v>0.59799999999999998</v>
      </c>
      <c r="G79" s="26">
        <v>0.59799999999999998</v>
      </c>
    </row>
    <row r="80" spans="2:7" ht="14" x14ac:dyDescent="0.3">
      <c r="B80" s="4" t="s">
        <v>124</v>
      </c>
      <c r="C80" s="26">
        <v>0.61499999999999999</v>
      </c>
      <c r="D80" s="26">
        <v>0.61499999999999999</v>
      </c>
      <c r="E80" s="26">
        <v>0.61499999999999999</v>
      </c>
      <c r="F80" s="26">
        <v>0.61499999999999999</v>
      </c>
      <c r="G80" s="26">
        <v>0.61499999999999999</v>
      </c>
    </row>
    <row r="82" spans="2:7" ht="14" x14ac:dyDescent="0.3">
      <c r="B82" s="3" t="s">
        <v>92</v>
      </c>
    </row>
    <row r="83" spans="2:7" ht="14" x14ac:dyDescent="0.3">
      <c r="B83" s="4" t="s">
        <v>84</v>
      </c>
      <c r="C83" s="26">
        <v>0.16950000000000001</v>
      </c>
      <c r="D83" s="26">
        <v>0.1678</v>
      </c>
      <c r="E83" s="26">
        <v>0.16619999999999999</v>
      </c>
      <c r="F83" s="26">
        <v>0.1648</v>
      </c>
      <c r="G83" s="26">
        <v>0.1638</v>
      </c>
    </row>
    <row r="84" spans="2:7" ht="14" x14ac:dyDescent="0.3">
      <c r="B84" s="4" t="s">
        <v>121</v>
      </c>
      <c r="C84" s="26">
        <v>0.17</v>
      </c>
      <c r="D84" s="26">
        <v>0.16550000000000001</v>
      </c>
      <c r="E84" s="26">
        <v>0.16200000000000001</v>
      </c>
      <c r="F84" s="26">
        <v>0.1595</v>
      </c>
      <c r="G84" s="26">
        <v>0.1575</v>
      </c>
    </row>
    <row r="85" spans="2:7" ht="14" x14ac:dyDescent="0.3">
      <c r="B85" s="4" t="s">
        <v>122</v>
      </c>
      <c r="C85" s="26">
        <v>0.16950000000000001</v>
      </c>
      <c r="D85" s="26">
        <v>0.1678</v>
      </c>
      <c r="E85" s="26">
        <v>0.16619999999999999</v>
      </c>
      <c r="F85" s="26">
        <v>0.1648</v>
      </c>
      <c r="G85" s="26">
        <v>0.1638</v>
      </c>
    </row>
    <row r="86" spans="2:7" ht="14" x14ac:dyDescent="0.3">
      <c r="B86" s="4" t="s">
        <v>123</v>
      </c>
      <c r="C86" s="26">
        <v>0.16500000000000001</v>
      </c>
      <c r="D86" s="26">
        <v>0.16520000000000001</v>
      </c>
      <c r="E86" s="26">
        <v>0.16520000000000001</v>
      </c>
      <c r="F86" s="26">
        <v>0.16520000000000001</v>
      </c>
      <c r="G86" s="26">
        <v>0.16520000000000001</v>
      </c>
    </row>
    <row r="87" spans="2:7" ht="14" x14ac:dyDescent="0.3">
      <c r="B87" s="4" t="s">
        <v>124</v>
      </c>
      <c r="C87" s="26">
        <v>0.17499999999999999</v>
      </c>
      <c r="D87" s="26">
        <v>0.19</v>
      </c>
      <c r="E87" s="26">
        <v>0.19500000000000001</v>
      </c>
      <c r="F87" s="26">
        <v>0.19500000000000001</v>
      </c>
      <c r="G87" s="26">
        <v>0.192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3136</v>
      </c>
    </row>
    <row r="7" spans="2:9" ht="14" x14ac:dyDescent="0.3">
      <c r="B7" s="4" t="s">
        <v>72</v>
      </c>
      <c r="C7" s="15">
        <f>'DCF Model'!C15</f>
        <v>1639716594</v>
      </c>
    </row>
    <row r="8" spans="2:9" ht="14" x14ac:dyDescent="0.3">
      <c r="B8" s="4" t="s">
        <v>129</v>
      </c>
      <c r="C8" s="5">
        <f>C6*C7/1000000</f>
        <v>5142151.2387840003</v>
      </c>
    </row>
    <row r="9" spans="2:9" ht="14" x14ac:dyDescent="0.3">
      <c r="B9" s="4" t="s">
        <v>73</v>
      </c>
      <c r="C9" s="5">
        <f>'DCF Model'!C16</f>
        <v>-141508</v>
      </c>
    </row>
    <row r="10" spans="2:9" ht="14" x14ac:dyDescent="0.3">
      <c r="B10" s="4" t="s">
        <v>130</v>
      </c>
      <c r="C10" s="5">
        <f>C8+C9</f>
        <v>5000643.2387840003</v>
      </c>
    </row>
    <row r="11" spans="2:9" ht="14" x14ac:dyDescent="0.3">
      <c r="B11" s="4" t="s">
        <v>131</v>
      </c>
      <c r="C11" s="16">
        <f>'DCF Model'!C26</f>
        <v>7.4462E-2</v>
      </c>
    </row>
    <row r="12" spans="2:9" ht="14" x14ac:dyDescent="0.3">
      <c r="B12" s="4" t="s">
        <v>132</v>
      </c>
      <c r="C12" s="16">
        <f>'DCF Model'!C13</f>
        <v>0.01</v>
      </c>
    </row>
    <row r="13" spans="2:9" ht="14" x14ac:dyDescent="0.3">
      <c r="B13" s="4" t="s">
        <v>133</v>
      </c>
      <c r="C13" s="16">
        <f>'DCF Model'!C6</f>
        <v>0.25</v>
      </c>
    </row>
    <row r="14" spans="2:9" ht="14" x14ac:dyDescent="0.3">
      <c r="B14" s="4" t="s">
        <v>134</v>
      </c>
      <c r="C14" s="27">
        <v>168413</v>
      </c>
    </row>
    <row r="15" spans="2:9" ht="14" x14ac:dyDescent="0.3">
      <c r="B15" s="4" t="s">
        <v>135</v>
      </c>
      <c r="C15" s="27">
        <v>172111</v>
      </c>
    </row>
    <row r="16" spans="2:9" ht="14" x14ac:dyDescent="0.3">
      <c r="B16" s="4" t="s">
        <v>136</v>
      </c>
      <c r="C16" s="5">
        <f>'DCF Model'!G33</f>
        <v>800990.54674060119</v>
      </c>
    </row>
    <row r="17" spans="2:9" ht="14" x14ac:dyDescent="0.3">
      <c r="B17" s="4" t="s">
        <v>137</v>
      </c>
      <c r="C17" s="5">
        <f>'DCF Model'!C53</f>
        <v>1929139.9492355301</v>
      </c>
    </row>
    <row r="18" spans="2:9" ht="14" x14ac:dyDescent="0.3">
      <c r="B18" s="4" t="s">
        <v>138</v>
      </c>
      <c r="C18" s="26">
        <v>0.25333763140773707</v>
      </c>
    </row>
    <row r="19" spans="2:9" ht="14" x14ac:dyDescent="0.3">
      <c r="B19" s="4" t="s">
        <v>139</v>
      </c>
      <c r="C19" s="5">
        <f>C10-C17</f>
        <v>3071503.2895484702</v>
      </c>
    </row>
    <row r="20" spans="2:9" ht="14" x14ac:dyDescent="0.3">
      <c r="B20" s="4" t="s">
        <v>140</v>
      </c>
      <c r="C20" s="15">
        <f>IFERROR(ROUND(C19*1000000/C7,0),"N/A")</f>
        <v>1873</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322351.46445849427</v>
      </c>
    </row>
    <row r="25" spans="2:9" ht="14" x14ac:dyDescent="0.3">
      <c r="B25" s="4" t="s">
        <v>144</v>
      </c>
      <c r="C25" s="5">
        <f>IFERROR(C24/(1-C13),"N/A")</f>
        <v>429801.95261132572</v>
      </c>
    </row>
    <row r="26" spans="2:9" ht="13.5" x14ac:dyDescent="0.25">
      <c r="B26" s="6" t="s">
        <v>145</v>
      </c>
      <c r="C26" s="14">
        <f>IFERROR(C25/C15,"N/A")</f>
        <v>2.4972369727171753</v>
      </c>
    </row>
    <row r="27" spans="2:9" ht="13.5" x14ac:dyDescent="0.25">
      <c r="B27" s="6" t="s">
        <v>146</v>
      </c>
      <c r="C27" s="14">
        <f>IFERROR(C25/C14,"N/A")</f>
        <v>2.5520711145299098</v>
      </c>
    </row>
    <row r="28" spans="2:9" ht="13.5" x14ac:dyDescent="0.25">
      <c r="B28" s="6" t="s">
        <v>147</v>
      </c>
      <c r="C28" s="7">
        <f>IFERROR(C25/C16,"N/A")</f>
        <v>0.53658804633872415</v>
      </c>
    </row>
    <row r="29" spans="2:9" ht="13.5" x14ac:dyDescent="0.25">
      <c r="B29" s="6" t="s">
        <v>148</v>
      </c>
      <c r="C29" s="5">
        <f>IFERROR(C25/C18,"N/A")</f>
        <v>1696557.8711027585</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5.4461999999999997E-2</v>
      </c>
      <c r="E36" s="29">
        <f>'DCF Model'!C26-0.01</f>
        <v>6.4462000000000005E-2</v>
      </c>
      <c r="F36" s="29">
        <f>'DCF Model'!C26</f>
        <v>7.4462E-2</v>
      </c>
      <c r="G36" s="29">
        <f>'DCF Model'!C26+0.01</f>
        <v>8.4461999999999995E-2</v>
      </c>
      <c r="H36" s="29">
        <f>'DCF Model'!C26+0.02</f>
        <v>9.4462000000000004E-2</v>
      </c>
    </row>
    <row r="37" spans="2:9" ht="14" x14ac:dyDescent="0.3">
      <c r="B37" s="3" t="s">
        <v>154</v>
      </c>
    </row>
    <row r="38" spans="2:9" ht="14" x14ac:dyDescent="0.3">
      <c r="B38" s="4" t="s">
        <v>155</v>
      </c>
      <c r="C38" s="30">
        <v>3</v>
      </c>
      <c r="D38" s="13">
        <f t="shared" ref="D38:H41" si="0">IFERROR((1-(1+D$36)^(-$C38))/D$36-(1+D$36)/(D$36^2*$C38)*(1-($C38+1)/(1+D$36)^$C38+$C38/(1+D$36)^($C38+1)),"N/A")</f>
        <v>0.93202375954059713</v>
      </c>
      <c r="E38" s="13">
        <f t="shared" si="0"/>
        <v>0.92047804699509417</v>
      </c>
      <c r="F38" s="13">
        <f t="shared" si="0"/>
        <v>0.90919869360747652</v>
      </c>
      <c r="G38" s="13">
        <f t="shared" si="0"/>
        <v>0.8981769208571706</v>
      </c>
      <c r="H38" s="13">
        <f t="shared" si="0"/>
        <v>0.88740432212272147</v>
      </c>
    </row>
    <row r="39" spans="2:9" ht="14" x14ac:dyDescent="0.3">
      <c r="B39" s="4" t="s">
        <v>156</v>
      </c>
      <c r="C39" s="30">
        <v>5</v>
      </c>
      <c r="D39" s="13">
        <f t="shared" si="0"/>
        <v>1.8012426216524648</v>
      </c>
      <c r="E39" s="13">
        <f t="shared" si="0"/>
        <v>1.768504941141448</v>
      </c>
      <c r="F39" s="13">
        <f t="shared" si="0"/>
        <v>1.7368067303850379</v>
      </c>
      <c r="G39" s="13">
        <f t="shared" si="0"/>
        <v>1.7061029672859855</v>
      </c>
      <c r="H39" s="13">
        <f t="shared" si="0"/>
        <v>1.6763510505608168</v>
      </c>
    </row>
    <row r="40" spans="2:9" ht="14" x14ac:dyDescent="0.3">
      <c r="B40" s="4" t="s">
        <v>157</v>
      </c>
      <c r="C40" s="30">
        <v>7</v>
      </c>
      <c r="D40" s="13">
        <f t="shared" si="0"/>
        <v>2.6124093861898916</v>
      </c>
      <c r="E40" s="13">
        <f t="shared" si="0"/>
        <v>2.550482921434249</v>
      </c>
      <c r="F40" s="13">
        <f t="shared" si="0"/>
        <v>2.4910416837165812</v>
      </c>
      <c r="G40" s="13">
        <f t="shared" si="0"/>
        <v>2.4339530560454636</v>
      </c>
      <c r="H40" s="13">
        <f t="shared" si="0"/>
        <v>2.3790930246765134</v>
      </c>
    </row>
    <row r="41" spans="2:9" ht="14" x14ac:dyDescent="0.3">
      <c r="B41" s="4" t="s">
        <v>158</v>
      </c>
      <c r="C41" s="30">
        <v>10</v>
      </c>
      <c r="D41" s="13">
        <f t="shared" si="0"/>
        <v>3.7297732765367635</v>
      </c>
      <c r="E41" s="13">
        <f t="shared" si="0"/>
        <v>3.6121442169158633</v>
      </c>
      <c r="F41" s="13">
        <f t="shared" si="0"/>
        <v>3.5006500197212231</v>
      </c>
      <c r="G41" s="13">
        <f t="shared" si="0"/>
        <v>3.3948742722042153</v>
      </c>
      <c r="H41" s="13">
        <f t="shared" si="0"/>
        <v>3.2944342802789426</v>
      </c>
    </row>
    <row r="42" spans="2:9" ht="14" x14ac:dyDescent="0.3">
      <c r="B42" s="3" t="s">
        <v>159</v>
      </c>
    </row>
    <row r="43" spans="2:9" ht="14" x14ac:dyDescent="0.3">
      <c r="B43" s="4" t="s">
        <v>155</v>
      </c>
      <c r="C43" s="30">
        <v>3</v>
      </c>
      <c r="D43" s="13">
        <f t="shared" ref="D43:H46" si="1">IFERROR((1+D$36)/(D$36^2*$C43)*(1-($C43+1)/(1+D$36)^$C43+$C43/(1+D$36)^($C43+1))+(1+$C$12)/((D$36-$C$12)*(1+D$36)^$C43),"N/A")</f>
        <v>21.143519318588211</v>
      </c>
      <c r="E43" s="13">
        <f t="shared" si="1"/>
        <v>17.106404470649537</v>
      </c>
      <c r="F43" s="13">
        <f t="shared" si="1"/>
        <v>14.325063702745444</v>
      </c>
      <c r="G43" s="13">
        <f t="shared" si="1"/>
        <v>12.293462500225843</v>
      </c>
      <c r="H43" s="13">
        <f t="shared" si="1"/>
        <v>10.745220759124356</v>
      </c>
    </row>
    <row r="44" spans="2:9" ht="14" x14ac:dyDescent="0.3">
      <c r="B44" s="4" t="s">
        <v>156</v>
      </c>
      <c r="C44" s="30">
        <v>5</v>
      </c>
      <c r="D44" s="13">
        <f t="shared" si="1"/>
        <v>19.900546856621609</v>
      </c>
      <c r="E44" s="13">
        <f t="shared" si="1"/>
        <v>15.963125705470739</v>
      </c>
      <c r="F44" s="13">
        <f t="shared" si="1"/>
        <v>13.255999964069005</v>
      </c>
      <c r="G44" s="13">
        <f t="shared" si="1"/>
        <v>11.283140451385893</v>
      </c>
      <c r="H44" s="13">
        <f t="shared" si="1"/>
        <v>9.7834483106537373</v>
      </c>
    </row>
    <row r="45" spans="2:9" ht="14" x14ac:dyDescent="0.3">
      <c r="B45" s="4" t="s">
        <v>157</v>
      </c>
      <c r="C45" s="30">
        <v>7</v>
      </c>
      <c r="D45" s="13">
        <f t="shared" si="1"/>
        <v>18.753237521266971</v>
      </c>
      <c r="E45" s="13">
        <f t="shared" si="1"/>
        <v>14.92057297268834</v>
      </c>
      <c r="F45" s="13">
        <f t="shared" si="1"/>
        <v>12.292616226520506</v>
      </c>
      <c r="G45" s="13">
        <f t="shared" si="1"/>
        <v>10.383193381216225</v>
      </c>
      <c r="H45" s="13">
        <f t="shared" si="1"/>
        <v>8.9364260486439093</v>
      </c>
    </row>
    <row r="46" spans="2:9" ht="14" x14ac:dyDescent="0.3">
      <c r="B46" s="4" t="s">
        <v>158</v>
      </c>
      <c r="C46" s="30">
        <v>10</v>
      </c>
      <c r="D46" s="13">
        <f t="shared" si="1"/>
        <v>17.194006382917927</v>
      </c>
      <c r="E46" s="13">
        <f t="shared" si="1"/>
        <v>13.524292271848466</v>
      </c>
      <c r="F46" s="13">
        <f t="shared" si="1"/>
        <v>11.020564652129604</v>
      </c>
      <c r="G46" s="13">
        <f t="shared" si="1"/>
        <v>9.211203822366052</v>
      </c>
      <c r="H46" s="13">
        <f t="shared" si="1"/>
        <v>7.8480899921556535</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307922.21970537485</v>
      </c>
      <c r="E48" s="5">
        <f t="shared" si="2"/>
        <v>380705.59247116878</v>
      </c>
      <c r="F48" s="5">
        <f t="shared" si="2"/>
        <v>454755.63487676816</v>
      </c>
      <c r="G48" s="5">
        <f t="shared" si="2"/>
        <v>530058.93567305699</v>
      </c>
      <c r="H48" s="5">
        <f t="shared" si="2"/>
        <v>606602.13879199827</v>
      </c>
    </row>
    <row r="49" spans="2:9" ht="14" x14ac:dyDescent="0.3">
      <c r="B49" s="4" t="s">
        <v>156</v>
      </c>
      <c r="C49" s="30">
        <v>5</v>
      </c>
      <c r="D49" s="5">
        <f t="shared" si="2"/>
        <v>319798.83219242934</v>
      </c>
      <c r="E49" s="5">
        <f t="shared" si="2"/>
        <v>399024.92865437071</v>
      </c>
      <c r="F49" s="5">
        <f t="shared" si="2"/>
        <v>480916.07602399855</v>
      </c>
      <c r="G49" s="5">
        <f t="shared" si="2"/>
        <v>565462.6410828256</v>
      </c>
      <c r="H49" s="5">
        <f t="shared" si="2"/>
        <v>652653.82983087527</v>
      </c>
    </row>
    <row r="50" spans="2:9" ht="14" x14ac:dyDescent="0.3">
      <c r="B50" s="4" t="s">
        <v>157</v>
      </c>
      <c r="C50" s="30">
        <v>7</v>
      </c>
      <c r="D50" s="5">
        <f t="shared" si="2"/>
        <v>332079.22681936651</v>
      </c>
      <c r="E50" s="5">
        <f t="shared" si="2"/>
        <v>418079.77813919168</v>
      </c>
      <c r="F50" s="5">
        <f t="shared" si="2"/>
        <v>508272.64108508156</v>
      </c>
      <c r="G50" s="5">
        <f t="shared" si="2"/>
        <v>602667.67193908349</v>
      </c>
      <c r="H50" s="5">
        <f t="shared" si="2"/>
        <v>701270.74187166907</v>
      </c>
    </row>
    <row r="51" spans="2:9" ht="14" x14ac:dyDescent="0.3">
      <c r="B51" s="4" t="s">
        <v>158</v>
      </c>
      <c r="C51" s="30">
        <v>10</v>
      </c>
      <c r="D51" s="5">
        <f t="shared" si="2"/>
        <v>351249.25959998171</v>
      </c>
      <c r="E51" s="5">
        <f t="shared" si="2"/>
        <v>448022.87266356609</v>
      </c>
      <c r="F51" s="5">
        <f t="shared" si="2"/>
        <v>551511.60929243825</v>
      </c>
      <c r="G51" s="5">
        <f t="shared" si="2"/>
        <v>661779.22833197436</v>
      </c>
      <c r="H51" s="5">
        <f t="shared" si="2"/>
        <v>778877.25090357428</v>
      </c>
    </row>
    <row r="52" spans="2:9" ht="14" x14ac:dyDescent="0.3">
      <c r="B52" s="22" t="s">
        <v>161</v>
      </c>
      <c r="C52" s="23"/>
      <c r="D52" s="23"/>
      <c r="E52" s="23"/>
      <c r="F52" s="23"/>
      <c r="G52" s="23"/>
      <c r="H52" s="23"/>
      <c r="I52" s="23"/>
    </row>
    <row r="53" spans="2:9" ht="14" x14ac:dyDescent="0.3">
      <c r="B53" s="4" t="s">
        <v>155</v>
      </c>
      <c r="C53" s="30">
        <v>3</v>
      </c>
      <c r="D53" s="14">
        <f t="shared" ref="D53:H56" si="3">IFERROR(D48/$C$15,"N/A")</f>
        <v>1.7890908756870558</v>
      </c>
      <c r="E53" s="14">
        <f t="shared" si="3"/>
        <v>2.2119771105342991</v>
      </c>
      <c r="F53" s="14">
        <f t="shared" si="3"/>
        <v>2.6422229542374871</v>
      </c>
      <c r="G53" s="14">
        <f t="shared" si="3"/>
        <v>3.0797504847049693</v>
      </c>
      <c r="H53" s="14">
        <f t="shared" si="3"/>
        <v>3.5244821004584148</v>
      </c>
    </row>
    <row r="54" spans="2:9" ht="14" x14ac:dyDescent="0.3">
      <c r="B54" s="4" t="s">
        <v>156</v>
      </c>
      <c r="C54" s="30">
        <v>5</v>
      </c>
      <c r="D54" s="14">
        <f t="shared" si="3"/>
        <v>1.8580964156412394</v>
      </c>
      <c r="E54" s="14">
        <f t="shared" si="3"/>
        <v>2.3184161887059553</v>
      </c>
      <c r="F54" s="14">
        <f t="shared" si="3"/>
        <v>2.7942204508950534</v>
      </c>
      <c r="G54" s="14">
        <f t="shared" si="3"/>
        <v>3.2854532312451012</v>
      </c>
      <c r="H54" s="14">
        <f t="shared" si="3"/>
        <v>3.7920518144155531</v>
      </c>
    </row>
    <row r="55" spans="2:9" ht="14" x14ac:dyDescent="0.3">
      <c r="B55" s="4" t="s">
        <v>157</v>
      </c>
      <c r="C55" s="30">
        <v>7</v>
      </c>
      <c r="D55" s="14">
        <f t="shared" si="3"/>
        <v>1.9294480121512658</v>
      </c>
      <c r="E55" s="14">
        <f t="shared" si="3"/>
        <v>2.4291287491165101</v>
      </c>
      <c r="F55" s="14">
        <f t="shared" si="3"/>
        <v>2.953167671357912</v>
      </c>
      <c r="G55" s="14">
        <f t="shared" si="3"/>
        <v>3.5016220458836651</v>
      </c>
      <c r="H55" s="14">
        <f t="shared" si="3"/>
        <v>4.074525985391225</v>
      </c>
    </row>
    <row r="56" spans="2:9" ht="14" x14ac:dyDescent="0.3">
      <c r="B56" s="4" t="s">
        <v>158</v>
      </c>
      <c r="C56" s="30">
        <v>10</v>
      </c>
      <c r="D56" s="14">
        <f t="shared" si="3"/>
        <v>2.0408298109939613</v>
      </c>
      <c r="E56" s="14">
        <f t="shared" si="3"/>
        <v>2.6031042331028584</v>
      </c>
      <c r="F56" s="14">
        <f t="shared" si="3"/>
        <v>3.2043948922058338</v>
      </c>
      <c r="G56" s="14">
        <f t="shared" si="3"/>
        <v>3.8450722401936792</v>
      </c>
      <c r="H56" s="14">
        <f t="shared" si="3"/>
        <v>4.5254356252858576</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480916.07602399855</v>
      </c>
    </row>
    <row r="62" spans="2:9" ht="14" x14ac:dyDescent="0.3">
      <c r="B62" s="28" t="s">
        <v>165</v>
      </c>
      <c r="C62" s="28" t="s">
        <v>166</v>
      </c>
      <c r="D62" s="28" t="s">
        <v>167</v>
      </c>
    </row>
    <row r="63" spans="2:9" ht="14" x14ac:dyDescent="0.3">
      <c r="B63" s="31">
        <v>0.12670000000000001</v>
      </c>
      <c r="C63" s="5">
        <f>IFERROR($C$60/B63,"N/A")</f>
        <v>3795706.9930860181</v>
      </c>
      <c r="D63" s="14">
        <f>IFERROR(C63/'DCF Model'!C17,"N/A")</f>
        <v>5.3875044434531203</v>
      </c>
    </row>
    <row r="64" spans="2:9" ht="14" x14ac:dyDescent="0.3">
      <c r="B64" s="31">
        <v>0.19</v>
      </c>
      <c r="C64" s="5">
        <f>IFERROR($C$60/B64,"N/A")</f>
        <v>2531137.2422315711</v>
      </c>
      <c r="D64" s="14">
        <f>IFERROR(C64/'DCF Model'!C17,"N/A")</f>
        <v>3.5926148051868969</v>
      </c>
    </row>
    <row r="65" spans="2:9" ht="14" x14ac:dyDescent="0.3">
      <c r="B65" s="4" t="s">
        <v>168</v>
      </c>
      <c r="C65" s="5">
        <f>IFERROR($C$60/$C$18,"N/A")</f>
        <v>1898320.7246063764</v>
      </c>
      <c r="D65" s="14">
        <f>IFERROR(C65/'DCF Model'!C17,"N/A")</f>
        <v>2.6944153902145609</v>
      </c>
    </row>
    <row r="66" spans="2:9" ht="14" x14ac:dyDescent="0.3">
      <c r="B66" s="31">
        <v>0.31669999999999998</v>
      </c>
      <c r="C66" s="5">
        <f>IFERROR($C$60/B66,"N/A")</f>
        <v>1518522.5008651677</v>
      </c>
      <c r="D66" s="14">
        <f>IFERROR(C66/'DCF Model'!C17,"N/A")</f>
        <v>2.1553420050063483</v>
      </c>
    </row>
    <row r="67" spans="2:9" ht="14" x14ac:dyDescent="0.3">
      <c r="B67" s="31">
        <v>0.38</v>
      </c>
      <c r="C67" s="5">
        <f>IFERROR($C$60/B67,"N/A")</f>
        <v>1265568.6211157856</v>
      </c>
      <c r="D67" s="14">
        <f>IFERROR(C67/'DCF Model'!C17,"N/A")</f>
        <v>1.7963074025934485</v>
      </c>
    </row>
    <row r="69" spans="2:9" ht="14" x14ac:dyDescent="0.3">
      <c r="B69" s="8" t="s">
        <v>169</v>
      </c>
      <c r="C69" s="9"/>
      <c r="D69" s="9"/>
      <c r="E69" s="9"/>
      <c r="F69" s="9"/>
      <c r="G69" s="9"/>
      <c r="H69" s="9"/>
      <c r="I69" s="9"/>
    </row>
    <row r="70" spans="2:9" ht="13.5" x14ac:dyDescent="0.25">
      <c r="B70" s="6" t="s">
        <v>170</v>
      </c>
      <c r="C70" s="14">
        <f>IFERROR(C10/'Comps Analysis'!G5,"N/A")</f>
        <v>21.283136725644585</v>
      </c>
    </row>
    <row r="71" spans="2:9" ht="13.5" x14ac:dyDescent="0.25">
      <c r="B71" s="6" t="s">
        <v>171</v>
      </c>
      <c r="C71" s="14">
        <f>IFERROR(C10/'Comps Analysis'!F5,"N/A")</f>
        <v>7.0977522021974657</v>
      </c>
    </row>
    <row r="72" spans="2:9" ht="14" x14ac:dyDescent="0.3">
      <c r="B72" s="4" t="s">
        <v>172</v>
      </c>
      <c r="C72" s="14">
        <f>IFERROR(C10/(C25+'DCF Model'!G42),"N/A")</f>
        <v>9.8925562193332297</v>
      </c>
    </row>
    <row r="73" spans="2:9" ht="14" x14ac:dyDescent="0.3">
      <c r="B73" s="4" t="s">
        <v>173</v>
      </c>
      <c r="C73" s="14">
        <f>IFERROR(C10/(C60+'DCF Model'!G42),"N/A")</f>
        <v>8.9841111182397846</v>
      </c>
    </row>
    <row r="74" spans="2:9" ht="14" x14ac:dyDescent="0.3">
      <c r="B74" s="4" t="s">
        <v>174</v>
      </c>
      <c r="C74" s="14">
        <f>IFERROR('Comps Analysis'!D16,"N/A")</f>
        <v>11.401038746421932</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3,136 yen the market is paying for a steady-state operating profit of 480,916 mn JPY - 2.79x the FY2025 cycle peak of 172,111 mn - reached in 5 years and sustained for ever, against 168,413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429,802 mn, or 2.50x the peak. The base case supports an EV of only 1,929,140 mn, leaving 1,873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17.667197983362168</v>
      </c>
      <c r="D5" s="34">
        <f>CHOOSE('DCF Model'!$D$27,D25,D26,D27,D28,D29)</f>
        <v>17</v>
      </c>
      <c r="E5" s="34">
        <f>CHOOSE('DCF Model'!$D$27,E25,E26,E27,E28,E29)</f>
        <v>17</v>
      </c>
      <c r="F5" s="34">
        <f>CHOOSE('DCF Model'!$D$27,F25,F26,F27,F28,F29)</f>
        <v>17</v>
      </c>
      <c r="G5" s="34">
        <f>CHOOSE('DCF Model'!$D$27,G25,G26,G27,G28,G29)</f>
        <v>17</v>
      </c>
      <c r="H5" s="34">
        <f>CHOOSE('DCF Model'!$D$27,H25,H26,H27,H28,H29)</f>
        <v>17</v>
      </c>
    </row>
    <row r="6" spans="2:8" ht="14" x14ac:dyDescent="0.3">
      <c r="B6" s="33" t="s">
        <v>181</v>
      </c>
      <c r="C6" s="34">
        <f>C13/C10*365</f>
        <v>21.400342925992863</v>
      </c>
      <c r="D6" s="34">
        <f>CHOOSE('DCF Model'!$D$27,D32,D33,D34,D35,D36)</f>
        <v>23</v>
      </c>
      <c r="E6" s="34">
        <f>CHOOSE('DCF Model'!$D$27,E32,E33,E34,E35,E36)</f>
        <v>23</v>
      </c>
      <c r="F6" s="34">
        <f>CHOOSE('DCF Model'!$D$27,F32,F33,F34,F35,F36)</f>
        <v>23</v>
      </c>
      <c r="G6" s="34">
        <f>CHOOSE('DCF Model'!$D$27,G32,G33,G34,G35,G36)</f>
        <v>23</v>
      </c>
      <c r="H6" s="34">
        <f>CHOOSE('DCF Model'!$D$27,H32,H33,H34,H35,H36)</f>
        <v>23</v>
      </c>
    </row>
    <row r="7" spans="2:8" ht="14" x14ac:dyDescent="0.3">
      <c r="B7" s="33" t="s">
        <v>182</v>
      </c>
      <c r="C7" s="34">
        <f>C15/C10*365</f>
        <v>23.800523657259376</v>
      </c>
      <c r="D7" s="34">
        <f>CHOOSE('DCF Model'!$D$27,D39,D40,D41,D42,D43)</f>
        <v>23</v>
      </c>
      <c r="E7" s="34">
        <f>CHOOSE('DCF Model'!$D$27,E39,E40,E41,E42,E43)</f>
        <v>23</v>
      </c>
      <c r="F7" s="34">
        <f>CHOOSE('DCF Model'!$D$27,F39,F40,F41,F42,F43)</f>
        <v>23</v>
      </c>
      <c r="G7" s="34">
        <f>CHOOSE('DCF Model'!$D$27,G39,G40,G41,G42,G43)</f>
        <v>23</v>
      </c>
      <c r="H7" s="34">
        <f>CHOOSE('DCF Model'!$D$27,H39,H40,H41,H42,H43)</f>
        <v>23</v>
      </c>
    </row>
    <row r="8" spans="2:8" ht="14" x14ac:dyDescent="0.3">
      <c r="B8" s="8" t="s">
        <v>183</v>
      </c>
      <c r="C8" s="9"/>
      <c r="D8" s="9"/>
      <c r="E8" s="9"/>
      <c r="F8" s="9"/>
      <c r="G8" s="9"/>
      <c r="H8" s="9"/>
    </row>
    <row r="9" spans="2:8" ht="14" x14ac:dyDescent="0.3">
      <c r="B9" s="33" t="s">
        <v>37</v>
      </c>
      <c r="C9" s="35">
        <v>704539</v>
      </c>
      <c r="D9" s="35">
        <f>'DCF Model'!C33</f>
        <v>725675.17</v>
      </c>
      <c r="E9" s="35">
        <f>'DCF Model'!D33</f>
        <v>747445.42510000011</v>
      </c>
      <c r="F9" s="35">
        <f>'DCF Model'!E33</f>
        <v>766131.56072750001</v>
      </c>
      <c r="G9" s="35">
        <f>'DCF Model'!F33</f>
        <v>785284.84974568745</v>
      </c>
      <c r="H9" s="35">
        <f>'DCF Model'!G33</f>
        <v>800990.54674060119</v>
      </c>
    </row>
    <row r="10" spans="2:8" ht="14" x14ac:dyDescent="0.3">
      <c r="B10" s="33" t="s">
        <v>38</v>
      </c>
      <c r="C10" s="35">
        <v>431580</v>
      </c>
      <c r="D10" s="35">
        <f>'DCF Model'!C34</f>
        <v>428148.35029999999</v>
      </c>
      <c r="E10" s="35">
        <f>'DCF Model'!D34</f>
        <v>440992.80080900004</v>
      </c>
      <c r="F10" s="35">
        <f>'DCF Model'!E34</f>
        <v>452017.62082922499</v>
      </c>
      <c r="G10" s="35">
        <f>'DCF Model'!F34</f>
        <v>463318.06134995556</v>
      </c>
      <c r="H10" s="35">
        <f>'DCF Model'!G34</f>
        <v>472584.4225769547</v>
      </c>
    </row>
    <row r="11" spans="2:8" ht="14" x14ac:dyDescent="0.3">
      <c r="B11" s="8" t="s">
        <v>184</v>
      </c>
      <c r="C11" s="9"/>
      <c r="D11" s="9"/>
      <c r="E11" s="9"/>
      <c r="F11" s="9"/>
      <c r="G11" s="9"/>
      <c r="H11" s="9"/>
    </row>
    <row r="12" spans="2:8" ht="14" x14ac:dyDescent="0.3">
      <c r="B12" s="33" t="s">
        <v>185</v>
      </c>
      <c r="C12" s="35">
        <v>34102</v>
      </c>
      <c r="D12" s="35">
        <f t="shared" ref="D12:H13" si="0">D9*D5/365</f>
        <v>33798.569561643839</v>
      </c>
      <c r="E12" s="35">
        <f t="shared" si="0"/>
        <v>34812.526648493156</v>
      </c>
      <c r="F12" s="35">
        <f t="shared" si="0"/>
        <v>35682.839814705476</v>
      </c>
      <c r="G12" s="35">
        <f t="shared" si="0"/>
        <v>36574.91081007311</v>
      </c>
      <c r="H12" s="35">
        <f t="shared" si="0"/>
        <v>37306.409026274574</v>
      </c>
    </row>
    <row r="13" spans="2:8" ht="14" x14ac:dyDescent="0.3">
      <c r="B13" s="33" t="s">
        <v>186</v>
      </c>
      <c r="C13" s="35">
        <v>25304</v>
      </c>
      <c r="D13" s="35">
        <f t="shared" si="0"/>
        <v>26979.211114794522</v>
      </c>
      <c r="E13" s="35">
        <f t="shared" si="0"/>
        <v>27788.587448238355</v>
      </c>
      <c r="F13" s="35">
        <f t="shared" si="0"/>
        <v>28483.302134444315</v>
      </c>
      <c r="G13" s="35">
        <f t="shared" si="0"/>
        <v>29195.384687805421</v>
      </c>
      <c r="H13" s="35">
        <f t="shared" si="0"/>
        <v>29779.292381561529</v>
      </c>
    </row>
    <row r="14" spans="2:8" ht="14" x14ac:dyDescent="0.3">
      <c r="B14" s="33" t="s">
        <v>187</v>
      </c>
      <c r="C14" s="35">
        <f t="shared" ref="C14:H14" si="1">C12+C13</f>
        <v>59406</v>
      </c>
      <c r="D14" s="35">
        <f t="shared" si="1"/>
        <v>60777.780676438357</v>
      </c>
      <c r="E14" s="35">
        <f t="shared" si="1"/>
        <v>62601.114096731515</v>
      </c>
      <c r="F14" s="35">
        <f t="shared" si="1"/>
        <v>64166.141949149795</v>
      </c>
      <c r="G14" s="35">
        <f t="shared" si="1"/>
        <v>65770.295497878527</v>
      </c>
      <c r="H14" s="35">
        <f t="shared" si="1"/>
        <v>67085.70140783611</v>
      </c>
    </row>
    <row r="15" spans="2:8" ht="14" x14ac:dyDescent="0.3">
      <c r="B15" s="33" t="s">
        <v>188</v>
      </c>
      <c r="C15" s="35">
        <v>28142</v>
      </c>
      <c r="D15" s="35">
        <f>D10*D7/365</f>
        <v>26979.211114794522</v>
      </c>
      <c r="E15" s="35">
        <f>E10*E7/365</f>
        <v>27788.587448238355</v>
      </c>
      <c r="F15" s="35">
        <f>F10*F7/365</f>
        <v>28483.302134444315</v>
      </c>
      <c r="G15" s="35">
        <f>G10*G7/365</f>
        <v>29195.384687805421</v>
      </c>
      <c r="H15" s="35">
        <f>H10*H7/365</f>
        <v>29779.292381561529</v>
      </c>
    </row>
    <row r="16" spans="2:8" ht="14" x14ac:dyDescent="0.3">
      <c r="B16" s="33" t="s">
        <v>189</v>
      </c>
      <c r="C16" s="35">
        <f t="shared" ref="C16:H16" si="2">C15</f>
        <v>28142</v>
      </c>
      <c r="D16" s="35">
        <f t="shared" si="2"/>
        <v>26979.211114794522</v>
      </c>
      <c r="E16" s="35">
        <f t="shared" si="2"/>
        <v>27788.587448238355</v>
      </c>
      <c r="F16" s="35">
        <f t="shared" si="2"/>
        <v>28483.302134444315</v>
      </c>
      <c r="G16" s="35">
        <f t="shared" si="2"/>
        <v>29195.384687805421</v>
      </c>
      <c r="H16" s="35">
        <f t="shared" si="2"/>
        <v>29779.292381561529</v>
      </c>
    </row>
    <row r="17" spans="2:8" ht="14" x14ac:dyDescent="0.3">
      <c r="B17" s="22" t="s">
        <v>190</v>
      </c>
      <c r="C17" s="23"/>
      <c r="D17" s="23"/>
      <c r="E17" s="23"/>
      <c r="F17" s="23"/>
      <c r="G17" s="23"/>
      <c r="H17" s="23"/>
    </row>
    <row r="18" spans="2:8" ht="14" x14ac:dyDescent="0.3">
      <c r="B18" s="33" t="s">
        <v>191</v>
      </c>
      <c r="C18" s="20">
        <f t="shared" ref="C18:H18" si="3">C14-C16</f>
        <v>31264</v>
      </c>
      <c r="D18" s="20">
        <f t="shared" si="3"/>
        <v>33798.569561643832</v>
      </c>
      <c r="E18" s="20">
        <f t="shared" si="3"/>
        <v>34812.526648493164</v>
      </c>
      <c r="F18" s="20">
        <f t="shared" si="3"/>
        <v>35682.839814705483</v>
      </c>
      <c r="G18" s="20">
        <f t="shared" si="3"/>
        <v>36574.91081007311</v>
      </c>
      <c r="H18" s="20">
        <f t="shared" si="3"/>
        <v>37306.409026274581</v>
      </c>
    </row>
    <row r="19" spans="2:8" ht="14" x14ac:dyDescent="0.3">
      <c r="B19" s="33" t="s">
        <v>100</v>
      </c>
      <c r="C19" s="36" t="s">
        <v>47</v>
      </c>
      <c r="D19" s="24">
        <f>D18-C18</f>
        <v>2534.5695616438315</v>
      </c>
      <c r="E19" s="24">
        <f>E18-D18</f>
        <v>1013.957086849332</v>
      </c>
      <c r="F19" s="24">
        <f>F18-E18</f>
        <v>870.31316621231963</v>
      </c>
      <c r="G19" s="24">
        <f>G18-F18</f>
        <v>892.07099536762689</v>
      </c>
      <c r="H19" s="24">
        <f>H18-G18</f>
        <v>731.49821620147122</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17</v>
      </c>
      <c r="E25" s="30">
        <v>17</v>
      </c>
      <c r="F25" s="30">
        <v>17</v>
      </c>
      <c r="G25" s="30">
        <v>17</v>
      </c>
      <c r="H25" s="30">
        <v>17</v>
      </c>
    </row>
    <row r="26" spans="2:8" ht="14" x14ac:dyDescent="0.3">
      <c r="B26" s="4" t="s">
        <v>121</v>
      </c>
      <c r="D26" s="30">
        <v>14</v>
      </c>
      <c r="E26" s="30">
        <v>14</v>
      </c>
      <c r="F26" s="30">
        <v>14</v>
      </c>
      <c r="G26" s="30">
        <v>14</v>
      </c>
      <c r="H26" s="30">
        <v>14</v>
      </c>
    </row>
    <row r="27" spans="2:8" ht="14" x14ac:dyDescent="0.3">
      <c r="B27" s="4" t="s">
        <v>122</v>
      </c>
      <c r="D27" s="30">
        <v>17</v>
      </c>
      <c r="E27" s="30">
        <v>17</v>
      </c>
      <c r="F27" s="30">
        <v>17</v>
      </c>
      <c r="G27" s="30">
        <v>17</v>
      </c>
      <c r="H27" s="30">
        <v>17</v>
      </c>
    </row>
    <row r="28" spans="2:8" ht="14" x14ac:dyDescent="0.3">
      <c r="B28" s="4" t="s">
        <v>123</v>
      </c>
      <c r="D28" s="30">
        <v>21</v>
      </c>
      <c r="E28" s="30">
        <v>21</v>
      </c>
      <c r="F28" s="30">
        <v>21</v>
      </c>
      <c r="G28" s="30">
        <v>21</v>
      </c>
      <c r="H28" s="30">
        <v>21</v>
      </c>
    </row>
    <row r="29" spans="2:8" ht="14" x14ac:dyDescent="0.3">
      <c r="B29" s="4" t="s">
        <v>124</v>
      </c>
      <c r="D29" s="30">
        <v>25</v>
      </c>
      <c r="E29" s="30">
        <v>25</v>
      </c>
      <c r="F29" s="30">
        <v>25</v>
      </c>
      <c r="G29" s="30">
        <v>25</v>
      </c>
      <c r="H29" s="30">
        <v>25</v>
      </c>
    </row>
    <row r="31" spans="2:8" ht="14" x14ac:dyDescent="0.3">
      <c r="B31" s="3" t="s">
        <v>194</v>
      </c>
    </row>
    <row r="32" spans="2:8" ht="14" x14ac:dyDescent="0.3">
      <c r="B32" s="4" t="s">
        <v>84</v>
      </c>
      <c r="D32" s="30">
        <v>23</v>
      </c>
      <c r="E32" s="30">
        <v>23</v>
      </c>
      <c r="F32" s="30">
        <v>23</v>
      </c>
      <c r="G32" s="30">
        <v>23</v>
      </c>
      <c r="H32" s="30">
        <v>23</v>
      </c>
    </row>
    <row r="33" spans="2:8" ht="14" x14ac:dyDescent="0.3">
      <c r="B33" s="4" t="s">
        <v>121</v>
      </c>
      <c r="D33" s="30">
        <v>17</v>
      </c>
      <c r="E33" s="30">
        <v>17</v>
      </c>
      <c r="F33" s="30">
        <v>17</v>
      </c>
      <c r="G33" s="30">
        <v>17</v>
      </c>
      <c r="H33" s="30">
        <v>17</v>
      </c>
    </row>
    <row r="34" spans="2:8" ht="14" x14ac:dyDescent="0.3">
      <c r="B34" s="4" t="s">
        <v>122</v>
      </c>
      <c r="D34" s="30">
        <v>23</v>
      </c>
      <c r="E34" s="30">
        <v>23</v>
      </c>
      <c r="F34" s="30">
        <v>23</v>
      </c>
      <c r="G34" s="30">
        <v>23</v>
      </c>
      <c r="H34" s="30">
        <v>23</v>
      </c>
    </row>
    <row r="35" spans="2:8" ht="14" x14ac:dyDescent="0.3">
      <c r="B35" s="4" t="s">
        <v>123</v>
      </c>
      <c r="D35" s="30">
        <v>30</v>
      </c>
      <c r="E35" s="30">
        <v>30</v>
      </c>
      <c r="F35" s="30">
        <v>30</v>
      </c>
      <c r="G35" s="30">
        <v>30</v>
      </c>
      <c r="H35" s="30">
        <v>30</v>
      </c>
    </row>
    <row r="36" spans="2:8" ht="14" x14ac:dyDescent="0.3">
      <c r="B36" s="4" t="s">
        <v>124</v>
      </c>
      <c r="D36" s="30">
        <v>37</v>
      </c>
      <c r="E36" s="30">
        <v>37</v>
      </c>
      <c r="F36" s="30">
        <v>37</v>
      </c>
      <c r="G36" s="30">
        <v>37</v>
      </c>
      <c r="H36" s="30">
        <v>37</v>
      </c>
    </row>
    <row r="38" spans="2:8" ht="14" x14ac:dyDescent="0.3">
      <c r="B38" s="3" t="s">
        <v>195</v>
      </c>
    </row>
    <row r="39" spans="2:8" ht="14" x14ac:dyDescent="0.3">
      <c r="B39" s="4" t="s">
        <v>84</v>
      </c>
      <c r="D39" s="30">
        <v>23</v>
      </c>
      <c r="E39" s="30">
        <v>23</v>
      </c>
      <c r="F39" s="30">
        <v>23</v>
      </c>
      <c r="G39" s="30">
        <v>23</v>
      </c>
      <c r="H39" s="30">
        <v>23</v>
      </c>
    </row>
    <row r="40" spans="2:8" ht="14" x14ac:dyDescent="0.3">
      <c r="B40" s="4" t="s">
        <v>121</v>
      </c>
      <c r="D40" s="30">
        <v>25</v>
      </c>
      <c r="E40" s="30">
        <v>25</v>
      </c>
      <c r="F40" s="30">
        <v>25</v>
      </c>
      <c r="G40" s="30">
        <v>25</v>
      </c>
      <c r="H40" s="30">
        <v>25</v>
      </c>
    </row>
    <row r="41" spans="2:8" ht="14" x14ac:dyDescent="0.3">
      <c r="B41" s="4" t="s">
        <v>122</v>
      </c>
      <c r="D41" s="30">
        <v>23</v>
      </c>
      <c r="E41" s="30">
        <v>23</v>
      </c>
      <c r="F41" s="30">
        <v>23</v>
      </c>
      <c r="G41" s="30">
        <v>23</v>
      </c>
      <c r="H41" s="30">
        <v>23</v>
      </c>
    </row>
    <row r="42" spans="2:8" ht="14" x14ac:dyDescent="0.3">
      <c r="B42" s="4" t="s">
        <v>123</v>
      </c>
      <c r="D42" s="30">
        <v>20</v>
      </c>
      <c r="E42" s="30">
        <v>20</v>
      </c>
      <c r="F42" s="30">
        <v>20</v>
      </c>
      <c r="G42" s="30">
        <v>20</v>
      </c>
      <c r="H42" s="30">
        <v>20</v>
      </c>
    </row>
    <row r="43" spans="2:8" ht="14" x14ac:dyDescent="0.3">
      <c r="B43" s="4" t="s">
        <v>124</v>
      </c>
      <c r="D43" s="30">
        <v>17</v>
      </c>
      <c r="E43" s="30">
        <v>17</v>
      </c>
      <c r="F43" s="30">
        <v>17</v>
      </c>
      <c r="G43" s="30">
        <v>17</v>
      </c>
      <c r="H43" s="30">
        <v>17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5142151.2387840003</v>
      </c>
      <c r="E5" s="37">
        <f>D5+C24</f>
        <v>5000643.2387840003</v>
      </c>
      <c r="F5" s="37">
        <v>704539</v>
      </c>
      <c r="G5" s="37">
        <v>234958</v>
      </c>
      <c r="H5" s="37">
        <v>168413</v>
      </c>
      <c r="I5" s="37">
        <v>121881</v>
      </c>
      <c r="J5" s="38">
        <f>IFERROR(E5/G5,"")</f>
        <v>21.283136725644585</v>
      </c>
      <c r="K5" s="38">
        <f>IFERROR(E5/F5,"")</f>
        <v>7.0977522021974657</v>
      </c>
      <c r="L5" s="38">
        <f>IFERROR(D5/I5,"")</f>
        <v>42.189933121520177</v>
      </c>
      <c r="M5" s="38">
        <f>IFERROR(D5/P5,"")</f>
        <v>4.6746022012201607</v>
      </c>
      <c r="N5" s="39">
        <f>IFERROR(H5/F5,"")</f>
        <v>0.23903999636641832</v>
      </c>
      <c r="O5" s="39">
        <f>IFERROR(I5/P5,"")</f>
        <v>0.11079899529008136</v>
      </c>
      <c r="P5" s="37">
        <v>1100019</v>
      </c>
    </row>
    <row r="6" spans="2:17" ht="14" x14ac:dyDescent="0.3">
      <c r="B6" s="4" t="s">
        <v>214</v>
      </c>
      <c r="C6" t="s">
        <v>215</v>
      </c>
      <c r="D6" s="37">
        <v>1331794</v>
      </c>
      <c r="E6" s="37">
        <v>1282444</v>
      </c>
      <c r="F6" s="37">
        <v>360663</v>
      </c>
      <c r="G6" s="37">
        <v>82816</v>
      </c>
      <c r="H6" s="37">
        <v>67893</v>
      </c>
      <c r="I6" s="37">
        <v>51768</v>
      </c>
      <c r="J6" s="38">
        <f>IFERROR(E6/G6,"")</f>
        <v>15.485461746522411</v>
      </c>
      <c r="K6" s="38">
        <f>IFERROR(E6/F6,"")</f>
        <v>3.555795853747127</v>
      </c>
      <c r="L6" s="38">
        <f>IFERROR(D6/I6,"")</f>
        <v>25.72620151444908</v>
      </c>
      <c r="M6" s="38">
        <f>IFERROR(D6/P6,"")</f>
        <v>2.5841712491704922</v>
      </c>
      <c r="N6" s="39">
        <f>IFERROR(H6/F6,"")</f>
        <v>0.18824498215785929</v>
      </c>
      <c r="O6" s="39">
        <f>IFERROR(I6/P6,"")</f>
        <v>0.10044900129228548</v>
      </c>
      <c r="P6" s="37">
        <v>515366</v>
      </c>
    </row>
    <row r="7" spans="2:17" ht="14" x14ac:dyDescent="0.3">
      <c r="B7" s="4" t="s">
        <v>216</v>
      </c>
      <c r="C7" t="s">
        <v>217</v>
      </c>
      <c r="D7" s="37">
        <v>383716</v>
      </c>
      <c r="E7" s="37">
        <v>381615</v>
      </c>
      <c r="F7" s="37">
        <v>263020</v>
      </c>
      <c r="G7" s="37">
        <v>40037</v>
      </c>
      <c r="H7" s="37">
        <v>29170</v>
      </c>
      <c r="I7" s="37">
        <v>20912</v>
      </c>
      <c r="J7" s="38">
        <f>IFERROR(E7/G7,"")</f>
        <v>9.531558308564577</v>
      </c>
      <c r="K7" s="38">
        <f>IFERROR(E7/F7,"")</f>
        <v>1.4508972701695688</v>
      </c>
      <c r="L7" s="38">
        <f>IFERROR(D7/I7,"")</f>
        <v>18.349081866870698</v>
      </c>
      <c r="M7" s="38">
        <f>IFERROR(D7/P7,"")</f>
        <v>2.3944537353667972</v>
      </c>
      <c r="N7" s="39">
        <f>IFERROR(H7/F7,"")</f>
        <v>0.11090411375560794</v>
      </c>
      <c r="O7" s="39">
        <f>IFERROR(I7/P7,"")</f>
        <v>0.13049447120784763</v>
      </c>
      <c r="P7" s="37">
        <v>160252</v>
      </c>
    </row>
    <row r="8" spans="2:17" ht="14" x14ac:dyDescent="0.3">
      <c r="B8" s="4" t="s">
        <v>218</v>
      </c>
      <c r="C8" t="s">
        <v>219</v>
      </c>
      <c r="D8" s="37">
        <v>296086</v>
      </c>
      <c r="E8" s="37">
        <v>386347</v>
      </c>
      <c r="F8" s="37">
        <v>275247</v>
      </c>
      <c r="G8" s="37">
        <v>33887</v>
      </c>
      <c r="H8" s="37">
        <v>24851</v>
      </c>
      <c r="I8" s="37">
        <v>18709</v>
      </c>
      <c r="J8" s="38">
        <f>IFERROR(E8/G8,"")</f>
        <v>11.401038746421932</v>
      </c>
      <c r="K8" s="38">
        <f>IFERROR(E8/F8,"")</f>
        <v>1.4036374601721362</v>
      </c>
      <c r="L8" s="38">
        <f>IFERROR(D8/I8,"")</f>
        <v>15.825859212143888</v>
      </c>
      <c r="M8" s="38">
        <f>IFERROR(D8/P8,"")</f>
        <v>2.0345637952833817</v>
      </c>
      <c r="N8" s="39">
        <f>IFERROR(H8/F8,"")</f>
        <v>9.0286179322572088E-2</v>
      </c>
      <c r="O8" s="39">
        <f>IFERROR(I8/P8,"")</f>
        <v>0.12855945247649936</v>
      </c>
      <c r="P8" s="37">
        <v>145528</v>
      </c>
    </row>
    <row r="14" spans="2:17" ht="14" x14ac:dyDescent="0.3">
      <c r="B14" s="3" t="s">
        <v>220</v>
      </c>
    </row>
    <row r="15" spans="2:17" ht="14" x14ac:dyDescent="0.3">
      <c r="B15" s="4" t="s">
        <v>221</v>
      </c>
      <c r="D15" s="38">
        <f t="shared" ref="D15:I15" si="0">PERCENTILE(J6:J8,0.25)</f>
        <v>10.466298527493255</v>
      </c>
      <c r="E15" s="38">
        <f t="shared" si="0"/>
        <v>1.4272673651708525</v>
      </c>
      <c r="F15" s="38">
        <f t="shared" si="0"/>
        <v>17.087470539507294</v>
      </c>
      <c r="G15" s="38">
        <f t="shared" si="0"/>
        <v>2.2145087653250894</v>
      </c>
      <c r="H15" s="39">
        <f t="shared" si="0"/>
        <v>0.10059514653909002</v>
      </c>
      <c r="I15" s="39">
        <f t="shared" si="0"/>
        <v>0.11450422688439242</v>
      </c>
    </row>
    <row r="16" spans="2:17" ht="14" x14ac:dyDescent="0.3">
      <c r="B16" s="4" t="s">
        <v>222</v>
      </c>
      <c r="D16" s="38">
        <f t="shared" ref="D16:I16" si="1">MEDIAN(J6:J8)</f>
        <v>11.401038746421932</v>
      </c>
      <c r="E16" s="38">
        <f t="shared" si="1"/>
        <v>1.4508972701695688</v>
      </c>
      <c r="F16" s="38">
        <f t="shared" si="1"/>
        <v>18.349081866870698</v>
      </c>
      <c r="G16" s="38">
        <f t="shared" si="1"/>
        <v>2.3944537353667972</v>
      </c>
      <c r="H16" s="39">
        <f t="shared" si="1"/>
        <v>0.11090411375560794</v>
      </c>
      <c r="I16" s="39">
        <f t="shared" si="1"/>
        <v>0.12855945247649936</v>
      </c>
    </row>
    <row r="17" spans="2:9" ht="14" x14ac:dyDescent="0.3">
      <c r="B17" s="4" t="s">
        <v>223</v>
      </c>
      <c r="D17" s="38">
        <f t="shared" ref="D17:I17" si="2">PERCENTILE(J6:J8,0.75)</f>
        <v>13.443250246472171</v>
      </c>
      <c r="E17" s="38">
        <f t="shared" si="2"/>
        <v>2.5033465619583479</v>
      </c>
      <c r="F17" s="38">
        <f t="shared" si="2"/>
        <v>22.037641690659889</v>
      </c>
      <c r="G17" s="38">
        <f t="shared" si="2"/>
        <v>2.4893124922686445</v>
      </c>
      <c r="H17" s="39">
        <f t="shared" si="2"/>
        <v>0.14957454795673361</v>
      </c>
      <c r="I17" s="39">
        <f t="shared" si="2"/>
        <v>0.12952696184217349</v>
      </c>
    </row>
    <row r="19" spans="2:9" ht="14" x14ac:dyDescent="0.3">
      <c r="B19" s="22" t="s">
        <v>224</v>
      </c>
      <c r="C19" s="23"/>
      <c r="D19" s="23"/>
      <c r="E19" s="23"/>
      <c r="F19" s="23"/>
      <c r="G19" s="23"/>
      <c r="H19" s="23"/>
      <c r="I19" s="23"/>
    </row>
    <row r="20" spans="2:9" ht="14" x14ac:dyDescent="0.3">
      <c r="B20" s="3" t="s">
        <v>225</v>
      </c>
    </row>
    <row r="21" spans="2:9" ht="14" x14ac:dyDescent="0.3">
      <c r="B21" s="4" t="s">
        <v>226</v>
      </c>
      <c r="C21" s="5">
        <v>234958</v>
      </c>
    </row>
    <row r="22" spans="2:9" ht="14" x14ac:dyDescent="0.3">
      <c r="B22" s="4" t="s">
        <v>227</v>
      </c>
      <c r="C22" s="5">
        <v>121881</v>
      </c>
    </row>
    <row r="23" spans="2:9" ht="14" x14ac:dyDescent="0.3">
      <c r="B23" s="4" t="s">
        <v>228</v>
      </c>
      <c r="C23" s="15">
        <v>1639716594</v>
      </c>
    </row>
    <row r="24" spans="2:9" ht="14" x14ac:dyDescent="0.3">
      <c r="B24" s="4" t="s">
        <v>73</v>
      </c>
      <c r="C24" s="5">
        <v>-141508</v>
      </c>
    </row>
    <row r="26" spans="2:9" ht="14" x14ac:dyDescent="0.3">
      <c r="B26" s="3" t="s">
        <v>229</v>
      </c>
    </row>
    <row r="27" spans="2:9" ht="14" x14ac:dyDescent="0.3">
      <c r="B27" s="4" t="s">
        <v>230</v>
      </c>
      <c r="C27" s="24">
        <f>ROUND((C21*D16-C24)*1000000/C23,0)</f>
        <v>1720</v>
      </c>
    </row>
    <row r="28" spans="2:9" ht="14" x14ac:dyDescent="0.3">
      <c r="B28" s="4" t="s">
        <v>231</v>
      </c>
      <c r="C28" s="24">
        <f>ROUND(C22*F16*1000000/C23,0)</f>
        <v>1364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232</v>
      </c>
    </row>
    <row r="3" spans="2:9" ht="14" x14ac:dyDescent="0.3">
      <c r="B3" s="4" t="s">
        <v>233</v>
      </c>
      <c r="C3" s="16">
        <f>'DCF Model'!C26</f>
        <v>7.4462E-2</v>
      </c>
      <c r="E3" s="4" t="s">
        <v>234</v>
      </c>
      <c r="F3" s="16">
        <f>'DCF Model'!C13</f>
        <v>0.01</v>
      </c>
      <c r="H3" s="4" t="s">
        <v>235</v>
      </c>
      <c r="I3" s="14">
        <f>'DCF Model'!C14</f>
        <v>11.4</v>
      </c>
    </row>
    <row r="5" spans="2:9" ht="14" x14ac:dyDescent="0.3">
      <c r="B5" s="3" t="s">
        <v>236</v>
      </c>
    </row>
    <row r="6" spans="2:9" ht="14"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5.9462000000000001E-2</v>
      </c>
      <c r="C7" s="37">
        <f>IFERROR(ROUND(('DCF Model'!C45/(1+$B7)^('DCF Model'!C19+0)+'DCF Model'!D45/(1+$B7)^('DCF Model'!C19+1)+'DCF Model'!E45/(1+$B7)^('DCF Model'!C19+2)+'DCF Model'!F45/(1+$B7)^('DCF Model'!C19+3)+'DCF Model'!G45/(1+$B7)^('DCF Model'!C19+4)+'DCF Model'!G45*(1+C$6)/($B7-C$6)/(1+$B7)^('DCF Model'!C19+4)-'DCF Model'!C16)*1000000/'DCF Model'!C15,0),"")</f>
        <v>1470</v>
      </c>
      <c r="D7" s="37">
        <f>IFERROR(ROUND(('DCF Model'!C45/(1+$B7)^('DCF Model'!C19+0)+'DCF Model'!D45/(1+$B7)^('DCF Model'!C19+1)+'DCF Model'!E45/(1+$B7)^('DCF Model'!C19+2)+'DCF Model'!F45/(1+$B7)^('DCF Model'!C19+3)+'DCF Model'!G45/(1+$B7)^('DCF Model'!C19+4)+'DCF Model'!G45*(1+D$6)/($B7-D$6)/(1+$B7)^('DCF Model'!C19+4)-'DCF Model'!C16)*1000000/'DCF Model'!C15,0),"")</f>
        <v>1526</v>
      </c>
      <c r="E7" s="37">
        <f>IFERROR(ROUND(('DCF Model'!C45/(1+$B7)^('DCF Model'!C19+0)+'DCF Model'!D45/(1+$B7)^('DCF Model'!C19+1)+'DCF Model'!E45/(1+$B7)^('DCF Model'!C19+2)+'DCF Model'!F45/(1+$B7)^('DCF Model'!C19+3)+'DCF Model'!G45/(1+$B7)^('DCF Model'!C19+4)+'DCF Model'!G45*(1+E$6)/($B7-E$6)/(1+$B7)^('DCF Model'!C19+4)-'DCF Model'!C16)*1000000/'DCF Model'!C15,0),"")</f>
        <v>1587</v>
      </c>
      <c r="F7" s="37">
        <f>IFERROR(ROUND(('DCF Model'!C45/(1+$B7)^('DCF Model'!C19+0)+'DCF Model'!D45/(1+$B7)^('DCF Model'!C19+1)+'DCF Model'!E45/(1+$B7)^('DCF Model'!C19+2)+'DCF Model'!F45/(1+$B7)^('DCF Model'!C19+3)+'DCF Model'!G45/(1+$B7)^('DCF Model'!C19+4)+'DCF Model'!G45*(1+F$6)/($B7-F$6)/(1+$B7)^('DCF Model'!C19+4)-'DCF Model'!C16)*1000000/'DCF Model'!C15,0),"")</f>
        <v>1655</v>
      </c>
      <c r="G7" s="37">
        <f>IFERROR(ROUND(('DCF Model'!C45/(1+$B7)^('DCF Model'!C19+0)+'DCF Model'!D45/(1+$B7)^('DCF Model'!C19+1)+'DCF Model'!E45/(1+$B7)^('DCF Model'!C19+2)+'DCF Model'!F45/(1+$B7)^('DCF Model'!C19+3)+'DCF Model'!G45/(1+$B7)^('DCF Model'!C19+4)+'DCF Model'!G45*(1+G$6)/($B7-G$6)/(1+$B7)^('DCF Model'!C19+4)-'DCF Model'!C16)*1000000/'DCF Model'!C15,0),"")</f>
        <v>1729</v>
      </c>
      <c r="H7" s="37">
        <f>IFERROR(ROUND(('DCF Model'!C45/(1+$B7)^('DCF Model'!C19+0)+'DCF Model'!D45/(1+$B7)^('DCF Model'!C19+1)+'DCF Model'!E45/(1+$B7)^('DCF Model'!C19+2)+'DCF Model'!F45/(1+$B7)^('DCF Model'!C19+3)+'DCF Model'!G45/(1+$B7)^('DCF Model'!C19+4)+'DCF Model'!G45*(1+H$6)/($B7-H$6)/(1+$B7)^('DCF Model'!C19+4)-'DCF Model'!C16)*1000000/'DCF Model'!C15,0),"")</f>
        <v>1812</v>
      </c>
      <c r="I7" s="37">
        <f>IFERROR(ROUND(('DCF Model'!C45/(1+$B7)^('DCF Model'!C19+0)+'DCF Model'!D45/(1+$B7)^('DCF Model'!C19+1)+'DCF Model'!E45/(1+$B7)^('DCF Model'!C19+2)+'DCF Model'!F45/(1+$B7)^('DCF Model'!C19+3)+'DCF Model'!G45/(1+$B7)^('DCF Model'!C19+4)+'DCF Model'!G45*(1+I$6)/($B7-I$6)/(1+$B7)^('DCF Model'!C19+4)-'DCF Model'!C16)*1000000/'DCF Model'!C15,0),"")</f>
        <v>1905</v>
      </c>
    </row>
    <row r="8" spans="2:9" ht="13.5" x14ac:dyDescent="0.25">
      <c r="B8" s="39">
        <f>$C$3-0.01</f>
        <v>6.4462000000000005E-2</v>
      </c>
      <c r="C8" s="37">
        <f>IFERROR(ROUND(('DCF Model'!C45/(1+$B8)^('DCF Model'!C19+0)+'DCF Model'!D45/(1+$B8)^('DCF Model'!C19+1)+'DCF Model'!E45/(1+$B8)^('DCF Model'!C19+2)+'DCF Model'!F45/(1+$B8)^('DCF Model'!C19+3)+'DCF Model'!G45/(1+$B8)^('DCF Model'!C19+4)+'DCF Model'!G45*(1+C$6)/($B8-C$6)/(1+$B8)^('DCF Model'!C19+4)-'DCF Model'!C16)*1000000/'DCF Model'!C15,0),"")</f>
        <v>1348</v>
      </c>
      <c r="D8" s="37">
        <f>IFERROR(ROUND(('DCF Model'!C45/(1+$B8)^('DCF Model'!C19+0)+'DCF Model'!D45/(1+$B8)^('DCF Model'!C19+1)+'DCF Model'!E45/(1+$B8)^('DCF Model'!C19+2)+'DCF Model'!F45/(1+$B8)^('DCF Model'!C19+3)+'DCF Model'!G45/(1+$B8)^('DCF Model'!C19+4)+'DCF Model'!G45*(1+D$6)/($B8-D$6)/(1+$B8)^('DCF Model'!C19+4)-'DCF Model'!C16)*1000000/'DCF Model'!C15,0),"")</f>
        <v>1395</v>
      </c>
      <c r="E8" s="37">
        <f>IFERROR(ROUND(('DCF Model'!C45/(1+$B8)^('DCF Model'!C19+0)+'DCF Model'!D45/(1+$B8)^('DCF Model'!C19+1)+'DCF Model'!E45/(1+$B8)^('DCF Model'!C19+2)+'DCF Model'!F45/(1+$B8)^('DCF Model'!C19+3)+'DCF Model'!G45/(1+$B8)^('DCF Model'!C19+4)+'DCF Model'!G45*(1+E$6)/($B8-E$6)/(1+$B8)^('DCF Model'!C19+4)-'DCF Model'!C16)*1000000/'DCF Model'!C15,0),"")</f>
        <v>1445</v>
      </c>
      <c r="F8" s="37">
        <f>IFERROR(ROUND(('DCF Model'!C45/(1+$B8)^('DCF Model'!C19+0)+'DCF Model'!D45/(1+$B8)^('DCF Model'!C19+1)+'DCF Model'!E45/(1+$B8)^('DCF Model'!C19+2)+'DCF Model'!F45/(1+$B8)^('DCF Model'!C19+3)+'DCF Model'!G45/(1+$B8)^('DCF Model'!C19+4)+'DCF Model'!G45*(1+F$6)/($B8-F$6)/(1+$B8)^('DCF Model'!C19+4)-'DCF Model'!C16)*1000000/'DCF Model'!C15,0),"")</f>
        <v>1500</v>
      </c>
      <c r="G8" s="37">
        <f>IFERROR(ROUND(('DCF Model'!C45/(1+$B8)^('DCF Model'!C19+0)+'DCF Model'!D45/(1+$B8)^('DCF Model'!C19+1)+'DCF Model'!E45/(1+$B8)^('DCF Model'!C19+2)+'DCF Model'!F45/(1+$B8)^('DCF Model'!C19+3)+'DCF Model'!G45/(1+$B8)^('DCF Model'!C19+4)+'DCF Model'!G45*(1+G$6)/($B8-G$6)/(1+$B8)^('DCF Model'!C19+4)-'DCF Model'!C16)*1000000/'DCF Model'!C15,0),"")</f>
        <v>1560</v>
      </c>
      <c r="H8" s="37">
        <f>IFERROR(ROUND(('DCF Model'!C45/(1+$B8)^('DCF Model'!C19+0)+'DCF Model'!D45/(1+$B8)^('DCF Model'!C19+1)+'DCF Model'!E45/(1+$B8)^('DCF Model'!C19+2)+'DCF Model'!F45/(1+$B8)^('DCF Model'!C19+3)+'DCF Model'!G45/(1+$B8)^('DCF Model'!C19+4)+'DCF Model'!G45*(1+H$6)/($B8-H$6)/(1+$B8)^('DCF Model'!C19+4)-'DCF Model'!C16)*1000000/'DCF Model'!C15,0),"")</f>
        <v>1626</v>
      </c>
      <c r="I8" s="37">
        <f>IFERROR(ROUND(('DCF Model'!C45/(1+$B8)^('DCF Model'!C19+0)+'DCF Model'!D45/(1+$B8)^('DCF Model'!C19+1)+'DCF Model'!E45/(1+$B8)^('DCF Model'!C19+2)+'DCF Model'!F45/(1+$B8)^('DCF Model'!C19+3)+'DCF Model'!G45/(1+$B8)^('DCF Model'!C19+4)+'DCF Model'!G45*(1+I$6)/($B8-I$6)/(1+$B8)^('DCF Model'!C19+4)-'DCF Model'!C16)*1000000/'DCF Model'!C15,0),"")</f>
        <v>1700</v>
      </c>
    </row>
    <row r="9" spans="2:9" ht="13.5" x14ac:dyDescent="0.25">
      <c r="B9" s="39">
        <f>$C$3-0.005</f>
        <v>6.9461999999999996E-2</v>
      </c>
      <c r="C9" s="37">
        <f>IFERROR(ROUND(('DCF Model'!C45/(1+$B9)^('DCF Model'!C19+0)+'DCF Model'!D45/(1+$B9)^('DCF Model'!C19+1)+'DCF Model'!E45/(1+$B9)^('DCF Model'!C19+2)+'DCF Model'!F45/(1+$B9)^('DCF Model'!C19+3)+'DCF Model'!G45/(1+$B9)^('DCF Model'!C19+4)+'DCF Model'!G45*(1+C$6)/($B9-C$6)/(1+$B9)^('DCF Model'!C19+4)-'DCF Model'!C16)*1000000/'DCF Model'!C15,0),"")</f>
        <v>1245</v>
      </c>
      <c r="D9" s="37">
        <f>IFERROR(ROUND(('DCF Model'!C45/(1+$B9)^('DCF Model'!C19+0)+'DCF Model'!D45/(1+$B9)^('DCF Model'!C19+1)+'DCF Model'!E45/(1+$B9)^('DCF Model'!C19+2)+'DCF Model'!F45/(1+$B9)^('DCF Model'!C19+3)+'DCF Model'!G45/(1+$B9)^('DCF Model'!C19+4)+'DCF Model'!G45*(1+D$6)/($B9-D$6)/(1+$B9)^('DCF Model'!C19+4)-'DCF Model'!C16)*1000000/'DCF Model'!C15,0),"")</f>
        <v>1284</v>
      </c>
      <c r="E9" s="37">
        <f>IFERROR(ROUND(('DCF Model'!C45/(1+$B9)^('DCF Model'!C19+0)+'DCF Model'!D45/(1+$B9)^('DCF Model'!C19+1)+'DCF Model'!E45/(1+$B9)^('DCF Model'!C19+2)+'DCF Model'!F45/(1+$B9)^('DCF Model'!C19+3)+'DCF Model'!G45/(1+$B9)^('DCF Model'!C19+4)+'DCF Model'!G45*(1+E$6)/($B9-E$6)/(1+$B9)^('DCF Model'!C19+4)-'DCF Model'!C16)*1000000/'DCF Model'!C15,0),"")</f>
        <v>1326</v>
      </c>
      <c r="F9" s="37">
        <f>IFERROR(ROUND(('DCF Model'!C45/(1+$B9)^('DCF Model'!C19+0)+'DCF Model'!D45/(1+$B9)^('DCF Model'!C19+1)+'DCF Model'!E45/(1+$B9)^('DCF Model'!C19+2)+'DCF Model'!F45/(1+$B9)^('DCF Model'!C19+3)+'DCF Model'!G45/(1+$B9)^('DCF Model'!C19+4)+'DCF Model'!G45*(1+F$6)/($B9-F$6)/(1+$B9)^('DCF Model'!C19+4)-'DCF Model'!C16)*1000000/'DCF Model'!C15,0),"")</f>
        <v>1371</v>
      </c>
      <c r="G9" s="37">
        <f>IFERROR(ROUND(('DCF Model'!C45/(1+$B9)^('DCF Model'!C19+0)+'DCF Model'!D45/(1+$B9)^('DCF Model'!C19+1)+'DCF Model'!E45/(1+$B9)^('DCF Model'!C19+2)+'DCF Model'!F45/(1+$B9)^('DCF Model'!C19+3)+'DCF Model'!G45/(1+$B9)^('DCF Model'!C19+4)+'DCF Model'!G45*(1+G$6)/($B9-G$6)/(1+$B9)^('DCF Model'!C19+4)-'DCF Model'!C16)*1000000/'DCF Model'!C15,0),"")</f>
        <v>1421</v>
      </c>
      <c r="H9" s="37">
        <f>IFERROR(ROUND(('DCF Model'!C45/(1+$B9)^('DCF Model'!C19+0)+'DCF Model'!D45/(1+$B9)^('DCF Model'!C19+1)+'DCF Model'!E45/(1+$B9)^('DCF Model'!C19+2)+'DCF Model'!F45/(1+$B9)^('DCF Model'!C19+3)+'DCF Model'!G45/(1+$B9)^('DCF Model'!C19+4)+'DCF Model'!G45*(1+H$6)/($B9-H$6)/(1+$B9)^('DCF Model'!C19+4)-'DCF Model'!C16)*1000000/'DCF Model'!C15,0),"")</f>
        <v>1474</v>
      </c>
      <c r="I9" s="37">
        <f>IFERROR(ROUND(('DCF Model'!C45/(1+$B9)^('DCF Model'!C19+0)+'DCF Model'!D45/(1+$B9)^('DCF Model'!C19+1)+'DCF Model'!E45/(1+$B9)^('DCF Model'!C19+2)+'DCF Model'!F45/(1+$B9)^('DCF Model'!C19+3)+'DCF Model'!G45/(1+$B9)^('DCF Model'!C19+4)+'DCF Model'!G45*(1+I$6)/($B9-I$6)/(1+$B9)^('DCF Model'!C19+4)-'DCF Model'!C16)*1000000/'DCF Model'!C15,0),"")</f>
        <v>1534</v>
      </c>
    </row>
    <row r="10" spans="2:9" ht="13.5" x14ac:dyDescent="0.25">
      <c r="B10" s="39">
        <f>$C$3</f>
        <v>7.4462E-2</v>
      </c>
      <c r="C10" s="37">
        <f>IFERROR(ROUND(('DCF Model'!C45/(1+$B10)^('DCF Model'!C19+0)+'DCF Model'!D45/(1+$B10)^('DCF Model'!C19+1)+'DCF Model'!E45/(1+$B10)^('DCF Model'!C19+2)+'DCF Model'!F45/(1+$B10)^('DCF Model'!C19+3)+'DCF Model'!G45/(1+$B10)^('DCF Model'!C19+4)+'DCF Model'!G45*(1+C$6)/($B10-C$6)/(1+$B10)^('DCF Model'!C19+4)-'DCF Model'!C16)*1000000/'DCF Model'!C15,0),"")</f>
        <v>1157</v>
      </c>
      <c r="D10" s="37">
        <f>IFERROR(ROUND(('DCF Model'!C45/(1+$B10)^('DCF Model'!C19+0)+'DCF Model'!D45/(1+$B10)^('DCF Model'!C19+1)+'DCF Model'!E45/(1+$B10)^('DCF Model'!C19+2)+'DCF Model'!F45/(1+$B10)^('DCF Model'!C19+3)+'DCF Model'!G45/(1+$B10)^('DCF Model'!C19+4)+'DCF Model'!G45*(1+D$6)/($B10-D$6)/(1+$B10)^('DCF Model'!C19+4)-'DCF Model'!C16)*1000000/'DCF Model'!C15,0),"")</f>
        <v>1190</v>
      </c>
      <c r="E10" s="37">
        <f>IFERROR(ROUND(('DCF Model'!C45/(1+$B10)^('DCF Model'!C19+0)+'DCF Model'!D45/(1+$B10)^('DCF Model'!C19+1)+'DCF Model'!E45/(1+$B10)^('DCF Model'!C19+2)+'DCF Model'!F45/(1+$B10)^('DCF Model'!C19+3)+'DCF Model'!G45/(1+$B10)^('DCF Model'!C19+4)+'DCF Model'!G45*(1+E$6)/($B10-E$6)/(1+$B10)^('DCF Model'!C19+4)-'DCF Model'!C16)*1000000/'DCF Model'!C15,0),"")</f>
        <v>1225</v>
      </c>
      <c r="F10" s="37">
        <f>IFERROR(ROUND(('DCF Model'!C45/(1+$B10)^('DCF Model'!C19+0)+'DCF Model'!D45/(1+$B10)^('DCF Model'!C19+1)+'DCF Model'!E45/(1+$B10)^('DCF Model'!C19+2)+'DCF Model'!F45/(1+$B10)^('DCF Model'!C19+3)+'DCF Model'!G45/(1+$B10)^('DCF Model'!C19+4)+'DCF Model'!G45*(1+F$6)/($B10-F$6)/(1+$B10)^('DCF Model'!C19+4)-'DCF Model'!C16)*1000000/'DCF Model'!C15,0),"")</f>
        <v>1263</v>
      </c>
      <c r="G10" s="37">
        <f>IFERROR(ROUND(('DCF Model'!C45/(1+$B10)^('DCF Model'!C19+0)+'DCF Model'!D45/(1+$B10)^('DCF Model'!C19+1)+'DCF Model'!E45/(1+$B10)^('DCF Model'!C19+2)+'DCF Model'!F45/(1+$B10)^('DCF Model'!C19+3)+'DCF Model'!G45/(1+$B10)^('DCF Model'!C19+4)+'DCF Model'!G45*(1+G$6)/($B10-G$6)/(1+$B10)^('DCF Model'!C19+4)-'DCF Model'!C16)*1000000/'DCF Model'!C15,0),"")</f>
        <v>1304</v>
      </c>
      <c r="H10" s="37">
        <f>IFERROR(ROUND(('DCF Model'!C45/(1+$B10)^('DCF Model'!C19+0)+'DCF Model'!D45/(1+$B10)^('DCF Model'!C19+1)+'DCF Model'!E45/(1+$B10)^('DCF Model'!C19+2)+'DCF Model'!F45/(1+$B10)^('DCF Model'!C19+3)+'DCF Model'!G45/(1+$B10)^('DCF Model'!C19+4)+'DCF Model'!G45*(1+H$6)/($B10-H$6)/(1+$B10)^('DCF Model'!C19+4)-'DCF Model'!C16)*1000000/'DCF Model'!C15,0),"")</f>
        <v>1348</v>
      </c>
      <c r="I10" s="37">
        <f>IFERROR(ROUND(('DCF Model'!C45/(1+$B10)^('DCF Model'!C19+0)+'DCF Model'!D45/(1+$B10)^('DCF Model'!C19+1)+'DCF Model'!E45/(1+$B10)^('DCF Model'!C19+2)+'DCF Model'!F45/(1+$B10)^('DCF Model'!C19+3)+'DCF Model'!G45/(1+$B10)^('DCF Model'!C19+4)+'DCF Model'!G45*(1+I$6)/($B10-I$6)/(1+$B10)^('DCF Model'!C19+4)-'DCF Model'!C16)*1000000/'DCF Model'!C15,0),"")</f>
        <v>1397</v>
      </c>
    </row>
    <row r="11" spans="2:9" ht="13.5" x14ac:dyDescent="0.25">
      <c r="B11" s="39">
        <f>$C$3+0.005</f>
        <v>7.9462000000000005E-2</v>
      </c>
      <c r="C11" s="37">
        <f>IFERROR(ROUND(('DCF Model'!C45/(1+$B11)^('DCF Model'!C19+0)+'DCF Model'!D45/(1+$B11)^('DCF Model'!C19+1)+'DCF Model'!E45/(1+$B11)^('DCF Model'!C19+2)+'DCF Model'!F45/(1+$B11)^('DCF Model'!C19+3)+'DCF Model'!G45/(1+$B11)^('DCF Model'!C19+4)+'DCF Model'!G45*(1+C$6)/($B11-C$6)/(1+$B11)^('DCF Model'!C19+4)-'DCF Model'!C16)*1000000/'DCF Model'!C15,0),"")</f>
        <v>1080</v>
      </c>
      <c r="D11" s="37">
        <f>IFERROR(ROUND(('DCF Model'!C45/(1+$B11)^('DCF Model'!C19+0)+'DCF Model'!D45/(1+$B11)^('DCF Model'!C19+1)+'DCF Model'!E45/(1+$B11)^('DCF Model'!C19+2)+'DCF Model'!F45/(1+$B11)^('DCF Model'!C19+3)+'DCF Model'!G45/(1+$B11)^('DCF Model'!C19+4)+'DCF Model'!G45*(1+D$6)/($B11-D$6)/(1+$B11)^('DCF Model'!C19+4)-'DCF Model'!C16)*1000000/'DCF Model'!C15,0),"")</f>
        <v>1108</v>
      </c>
      <c r="E11" s="37">
        <f>IFERROR(ROUND(('DCF Model'!C45/(1+$B11)^('DCF Model'!C19+0)+'DCF Model'!D45/(1+$B11)^('DCF Model'!C19+1)+'DCF Model'!E45/(1+$B11)^('DCF Model'!C19+2)+'DCF Model'!F45/(1+$B11)^('DCF Model'!C19+3)+'DCF Model'!G45/(1+$B11)^('DCF Model'!C19+4)+'DCF Model'!G45*(1+E$6)/($B11-E$6)/(1+$B11)^('DCF Model'!C19+4)-'DCF Model'!C16)*1000000/'DCF Model'!C15,0),"")</f>
        <v>1138</v>
      </c>
      <c r="F11" s="37">
        <f>IFERROR(ROUND(('DCF Model'!C45/(1+$B11)^('DCF Model'!C19+0)+'DCF Model'!D45/(1+$B11)^('DCF Model'!C19+1)+'DCF Model'!E45/(1+$B11)^('DCF Model'!C19+2)+'DCF Model'!F45/(1+$B11)^('DCF Model'!C19+3)+'DCF Model'!G45/(1+$B11)^('DCF Model'!C19+4)+'DCF Model'!G45*(1+F$6)/($B11-F$6)/(1+$B11)^('DCF Model'!C19+4)-'DCF Model'!C16)*1000000/'DCF Model'!C15,0),"")</f>
        <v>1170</v>
      </c>
      <c r="G11" s="37">
        <f>IFERROR(ROUND(('DCF Model'!C45/(1+$B11)^('DCF Model'!C19+0)+'DCF Model'!D45/(1+$B11)^('DCF Model'!C19+1)+'DCF Model'!E45/(1+$B11)^('DCF Model'!C19+2)+'DCF Model'!F45/(1+$B11)^('DCF Model'!C19+3)+'DCF Model'!G45/(1+$B11)^('DCF Model'!C19+4)+'DCF Model'!G45*(1+G$6)/($B11-G$6)/(1+$B11)^('DCF Model'!C19+4)-'DCF Model'!C16)*1000000/'DCF Model'!C15,0),"")</f>
        <v>1205</v>
      </c>
      <c r="H11" s="37">
        <f>IFERROR(ROUND(('DCF Model'!C45/(1+$B11)^('DCF Model'!C19+0)+'DCF Model'!D45/(1+$B11)^('DCF Model'!C19+1)+'DCF Model'!E45/(1+$B11)^('DCF Model'!C19+2)+'DCF Model'!F45/(1+$B11)^('DCF Model'!C19+3)+'DCF Model'!G45/(1+$B11)^('DCF Model'!C19+4)+'DCF Model'!G45*(1+H$6)/($B11-H$6)/(1+$B11)^('DCF Model'!C19+4)-'DCF Model'!C16)*1000000/'DCF Model'!C15,0),"")</f>
        <v>1242</v>
      </c>
      <c r="I11" s="37">
        <f>IFERROR(ROUND(('DCF Model'!C45/(1+$B11)^('DCF Model'!C19+0)+'DCF Model'!D45/(1+$B11)^('DCF Model'!C19+1)+'DCF Model'!E45/(1+$B11)^('DCF Model'!C19+2)+'DCF Model'!F45/(1+$B11)^('DCF Model'!C19+3)+'DCF Model'!G45/(1+$B11)^('DCF Model'!C19+4)+'DCF Model'!G45*(1+I$6)/($B11-I$6)/(1+$B11)^('DCF Model'!C19+4)-'DCF Model'!C16)*1000000/'DCF Model'!C15,0),"")</f>
        <v>1282</v>
      </c>
    </row>
    <row r="12" spans="2:9" ht="13.5" x14ac:dyDescent="0.25">
      <c r="B12" s="39">
        <f>$C$3+0.01</f>
        <v>8.4461999999999995E-2</v>
      </c>
      <c r="C12" s="37">
        <f>IFERROR(ROUND(('DCF Model'!C45/(1+$B12)^('DCF Model'!C19+0)+'DCF Model'!D45/(1+$B12)^('DCF Model'!C19+1)+'DCF Model'!E45/(1+$B12)^('DCF Model'!C19+2)+'DCF Model'!F45/(1+$B12)^('DCF Model'!C19+3)+'DCF Model'!G45/(1+$B12)^('DCF Model'!C19+4)+'DCF Model'!G45*(1+C$6)/($B12-C$6)/(1+$B12)^('DCF Model'!C19+4)-'DCF Model'!C16)*1000000/'DCF Model'!C15,0),"")</f>
        <v>1012</v>
      </c>
      <c r="D12" s="37">
        <f>IFERROR(ROUND(('DCF Model'!C45/(1+$B12)^('DCF Model'!C19+0)+'DCF Model'!D45/(1+$B12)^('DCF Model'!C19+1)+'DCF Model'!E45/(1+$B12)^('DCF Model'!C19+2)+'DCF Model'!F45/(1+$B12)^('DCF Model'!C19+3)+'DCF Model'!G45/(1+$B12)^('DCF Model'!C19+4)+'DCF Model'!G45*(1+D$6)/($B12-D$6)/(1+$B12)^('DCF Model'!C19+4)-'DCF Model'!C16)*1000000/'DCF Model'!C15,0),"")</f>
        <v>1037</v>
      </c>
      <c r="E12" s="37">
        <f>IFERROR(ROUND(('DCF Model'!C45/(1+$B12)^('DCF Model'!C19+0)+'DCF Model'!D45/(1+$B12)^('DCF Model'!C19+1)+'DCF Model'!E45/(1+$B12)^('DCF Model'!C19+2)+'DCF Model'!F45/(1+$B12)^('DCF Model'!C19+3)+'DCF Model'!G45/(1+$B12)^('DCF Model'!C19+4)+'DCF Model'!G45*(1+E$6)/($B12-E$6)/(1+$B12)^('DCF Model'!C19+4)-'DCF Model'!C16)*1000000/'DCF Model'!C15,0),"")</f>
        <v>1062</v>
      </c>
      <c r="F12" s="37">
        <f>IFERROR(ROUND(('DCF Model'!C45/(1+$B12)^('DCF Model'!C19+0)+'DCF Model'!D45/(1+$B12)^('DCF Model'!C19+1)+'DCF Model'!E45/(1+$B12)^('DCF Model'!C19+2)+'DCF Model'!F45/(1+$B12)^('DCF Model'!C19+3)+'DCF Model'!G45/(1+$B12)^('DCF Model'!C19+4)+'DCF Model'!G45*(1+F$6)/($B12-F$6)/(1+$B12)^('DCF Model'!C19+4)-'DCF Model'!C16)*1000000/'DCF Model'!C15,0),"")</f>
        <v>1090</v>
      </c>
      <c r="G12" s="37">
        <f>IFERROR(ROUND(('DCF Model'!C45/(1+$B12)^('DCF Model'!C19+0)+'DCF Model'!D45/(1+$B12)^('DCF Model'!C19+1)+'DCF Model'!E45/(1+$B12)^('DCF Model'!C19+2)+'DCF Model'!F45/(1+$B12)^('DCF Model'!C19+3)+'DCF Model'!G45/(1+$B12)^('DCF Model'!C19+4)+'DCF Model'!G45*(1+G$6)/($B12-G$6)/(1+$B12)^('DCF Model'!C19+4)-'DCF Model'!C16)*1000000/'DCF Model'!C15,0),"")</f>
        <v>1119</v>
      </c>
      <c r="H12" s="37">
        <f>IFERROR(ROUND(('DCF Model'!C45/(1+$B12)^('DCF Model'!C19+0)+'DCF Model'!D45/(1+$B12)^('DCF Model'!C19+1)+'DCF Model'!E45/(1+$B12)^('DCF Model'!C19+2)+'DCF Model'!F45/(1+$B12)^('DCF Model'!C19+3)+'DCF Model'!G45/(1+$B12)^('DCF Model'!C19+4)+'DCF Model'!G45*(1+H$6)/($B12-H$6)/(1+$B12)^('DCF Model'!C19+4)-'DCF Model'!C16)*1000000/'DCF Model'!C15,0),"")</f>
        <v>1151</v>
      </c>
      <c r="I12" s="37">
        <f>IFERROR(ROUND(('DCF Model'!C45/(1+$B12)^('DCF Model'!C19+0)+'DCF Model'!D45/(1+$B12)^('DCF Model'!C19+1)+'DCF Model'!E45/(1+$B12)^('DCF Model'!C19+2)+'DCF Model'!F45/(1+$B12)^('DCF Model'!C19+3)+'DCF Model'!G45/(1+$B12)^('DCF Model'!C19+4)+'DCF Model'!G45*(1+I$6)/($B12-I$6)/(1+$B12)^('DCF Model'!C19+4)-'DCF Model'!C16)*1000000/'DCF Model'!C15,0),"")</f>
        <v>1185</v>
      </c>
    </row>
    <row r="13" spans="2:9" ht="13.5" x14ac:dyDescent="0.25">
      <c r="B13" s="39">
        <f>$C$3+0.015</f>
        <v>8.9462E-2</v>
      </c>
      <c r="C13" s="37">
        <f>IFERROR(ROUND(('DCF Model'!C45/(1+$B13)^('DCF Model'!C19+0)+'DCF Model'!D45/(1+$B13)^('DCF Model'!C19+1)+'DCF Model'!E45/(1+$B13)^('DCF Model'!C19+2)+'DCF Model'!F45/(1+$B13)^('DCF Model'!C19+3)+'DCF Model'!G45/(1+$B13)^('DCF Model'!C19+4)+'DCF Model'!G45*(1+C$6)/($B13-C$6)/(1+$B13)^('DCF Model'!C19+4)-'DCF Model'!C16)*1000000/'DCF Model'!C15,0),"")</f>
        <v>953</v>
      </c>
      <c r="D13" s="37">
        <f>IFERROR(ROUND(('DCF Model'!C45/(1+$B13)^('DCF Model'!C19+0)+'DCF Model'!D45/(1+$B13)^('DCF Model'!C19+1)+'DCF Model'!E45/(1+$B13)^('DCF Model'!C19+2)+'DCF Model'!F45/(1+$B13)^('DCF Model'!C19+3)+'DCF Model'!G45/(1+$B13)^('DCF Model'!C19+4)+'DCF Model'!G45*(1+D$6)/($B13-D$6)/(1+$B13)^('DCF Model'!C19+4)-'DCF Model'!C16)*1000000/'DCF Model'!C15,0),"")</f>
        <v>974</v>
      </c>
      <c r="E13" s="37">
        <f>IFERROR(ROUND(('DCF Model'!C45/(1+$B13)^('DCF Model'!C19+0)+'DCF Model'!D45/(1+$B13)^('DCF Model'!C19+1)+'DCF Model'!E45/(1+$B13)^('DCF Model'!C19+2)+'DCF Model'!F45/(1+$B13)^('DCF Model'!C19+3)+'DCF Model'!G45/(1+$B13)^('DCF Model'!C19+4)+'DCF Model'!G45*(1+E$6)/($B13-E$6)/(1+$B13)^('DCF Model'!C19+4)-'DCF Model'!C16)*1000000/'DCF Model'!C15,0),"")</f>
        <v>996</v>
      </c>
      <c r="F13" s="37">
        <f>IFERROR(ROUND(('DCF Model'!C45/(1+$B13)^('DCF Model'!C19+0)+'DCF Model'!D45/(1+$B13)^('DCF Model'!C19+1)+'DCF Model'!E45/(1+$B13)^('DCF Model'!C19+2)+'DCF Model'!F45/(1+$B13)^('DCF Model'!C19+3)+'DCF Model'!G45/(1+$B13)^('DCF Model'!C19+4)+'DCF Model'!G45*(1+F$6)/($B13-F$6)/(1+$B13)^('DCF Model'!C19+4)-'DCF Model'!C16)*1000000/'DCF Model'!C15,0),"")</f>
        <v>1020</v>
      </c>
      <c r="G13" s="37">
        <f>IFERROR(ROUND(('DCF Model'!C45/(1+$B13)^('DCF Model'!C19+0)+'DCF Model'!D45/(1+$B13)^('DCF Model'!C19+1)+'DCF Model'!E45/(1+$B13)^('DCF Model'!C19+2)+'DCF Model'!F45/(1+$B13)^('DCF Model'!C19+3)+'DCF Model'!G45/(1+$B13)^('DCF Model'!C19+4)+'DCF Model'!G45*(1+G$6)/($B13-G$6)/(1+$B13)^('DCF Model'!C19+4)-'DCF Model'!C16)*1000000/'DCF Model'!C15,0),"")</f>
        <v>1045</v>
      </c>
      <c r="H13" s="37">
        <f>IFERROR(ROUND(('DCF Model'!C45/(1+$B13)^('DCF Model'!C19+0)+'DCF Model'!D45/(1+$B13)^('DCF Model'!C19+1)+'DCF Model'!E45/(1+$B13)^('DCF Model'!C19+2)+'DCF Model'!F45/(1+$B13)^('DCF Model'!C19+3)+'DCF Model'!G45/(1+$B13)^('DCF Model'!C19+4)+'DCF Model'!G45*(1+H$6)/($B13-H$6)/(1+$B13)^('DCF Model'!C19+4)-'DCF Model'!C16)*1000000/'DCF Model'!C15,0),"")</f>
        <v>1073</v>
      </c>
      <c r="I13" s="37">
        <f>IFERROR(ROUND(('DCF Model'!C45/(1+$B13)^('DCF Model'!C19+0)+'DCF Model'!D45/(1+$B13)^('DCF Model'!C19+1)+'DCF Model'!E45/(1+$B13)^('DCF Model'!C19+2)+'DCF Model'!F45/(1+$B13)^('DCF Model'!C19+3)+'DCF Model'!G45/(1+$B13)^('DCF Model'!C19+4)+'DCF Model'!G45*(1+I$6)/($B13-I$6)/(1+$B13)^('DCF Model'!C19+4)-'DCF Model'!C16)*1000000/'DCF Model'!C15,0),"")</f>
        <v>1101</v>
      </c>
    </row>
    <row r="16" spans="2:9" ht="14" x14ac:dyDescent="0.3">
      <c r="B16" s="3" t="s">
        <v>238</v>
      </c>
    </row>
    <row r="17" spans="2:9" ht="14" x14ac:dyDescent="0.3">
      <c r="B17" s="40" t="s">
        <v>239</v>
      </c>
      <c r="C17" s="42">
        <f>$I$3-3</f>
        <v>8.4</v>
      </c>
      <c r="D17" s="42">
        <f>$I$3-2</f>
        <v>9.4</v>
      </c>
      <c r="E17" s="42">
        <f>$I$3-1</f>
        <v>10.4</v>
      </c>
      <c r="F17" s="42">
        <f>$I$3</f>
        <v>11.4</v>
      </c>
      <c r="G17" s="42">
        <f>$I$3+1</f>
        <v>12.4</v>
      </c>
      <c r="H17" s="42">
        <f>$I$3+2</f>
        <v>13.4</v>
      </c>
      <c r="I17" s="42">
        <f>$I$3+3</f>
        <v>14.4</v>
      </c>
    </row>
    <row r="18" spans="2:9" ht="13.5" x14ac:dyDescent="0.25">
      <c r="B18" s="39">
        <f>$C$3-0.015</f>
        <v>5.9462000000000001E-2</v>
      </c>
      <c r="C18" s="37">
        <f>IFERROR(ROUND(('DCF Model'!C45/(1+$B18)^('DCF Model'!C19+0)+'DCF Model'!D45/(1+$B18)^('DCF Model'!C19+1)+'DCF Model'!E45/(1+$B18)^('DCF Model'!C19+2)+'DCF Model'!F45/(1+$B18)^('DCF Model'!C19+3)+'DCF Model'!G45/(1+$B18)^('DCF Model'!C19+4)+('DCF Model'!G39+'DCF Model'!G42)*C$17/(1+$B18)^('DCF Model'!C19+4)-'DCF Model'!C16)*1000000/'DCF Model'!C15,0),"")</f>
        <v>1364</v>
      </c>
      <c r="D18" s="37">
        <f>IFERROR(ROUND(('DCF Model'!C45/(1+$B18)^('DCF Model'!C19+0)+'DCF Model'!D45/(1+$B18)^('DCF Model'!C19+1)+'DCF Model'!E45/(1+$B18)^('DCF Model'!C19+2)+'DCF Model'!F45/(1+$B18)^('DCF Model'!C19+3)+'DCF Model'!G45/(1+$B18)^('DCF Model'!C19+4)+('DCF Model'!G39+'DCF Model'!G42)*D$17/(1+$B18)^('DCF Model'!C19+4)-'DCF Model'!C16)*1000000/'DCF Model'!C15,0),"")</f>
        <v>1489</v>
      </c>
      <c r="E18" s="37">
        <f>IFERROR(ROUND(('DCF Model'!C45/(1+$B18)^('DCF Model'!C19+0)+'DCF Model'!D45/(1+$B18)^('DCF Model'!C19+1)+'DCF Model'!E45/(1+$B18)^('DCF Model'!C19+2)+'DCF Model'!F45/(1+$B18)^('DCF Model'!C19+3)+'DCF Model'!G45/(1+$B18)^('DCF Model'!C19+4)+('DCF Model'!G39+'DCF Model'!G42)*E$17/(1+$B18)^('DCF Model'!C19+4)-'DCF Model'!C16)*1000000/'DCF Model'!C15,0),"")</f>
        <v>1614</v>
      </c>
      <c r="F18" s="37">
        <f>IFERROR(ROUND(('DCF Model'!C45/(1+$B18)^('DCF Model'!C19+0)+'DCF Model'!D45/(1+$B18)^('DCF Model'!C19+1)+'DCF Model'!E45/(1+$B18)^('DCF Model'!C19+2)+'DCF Model'!F45/(1+$B18)^('DCF Model'!C19+3)+'DCF Model'!G45/(1+$B18)^('DCF Model'!C19+4)+('DCF Model'!G39+'DCF Model'!G42)*F$17/(1+$B18)^('DCF Model'!C19+4)-'DCF Model'!C16)*1000000/'DCF Model'!C15,0),"")</f>
        <v>1738</v>
      </c>
      <c r="G18" s="37">
        <f>IFERROR(ROUND(('DCF Model'!C45/(1+$B18)^('DCF Model'!C19+0)+'DCF Model'!D45/(1+$B18)^('DCF Model'!C19+1)+'DCF Model'!E45/(1+$B18)^('DCF Model'!C19+2)+'DCF Model'!F45/(1+$B18)^('DCF Model'!C19+3)+'DCF Model'!G45/(1+$B18)^('DCF Model'!C19+4)+('DCF Model'!G39+'DCF Model'!G42)*G$17/(1+$B18)^('DCF Model'!C19+4)-'DCF Model'!C16)*1000000/'DCF Model'!C15,0),"")</f>
        <v>1863</v>
      </c>
      <c r="H18" s="37">
        <f>IFERROR(ROUND(('DCF Model'!C45/(1+$B18)^('DCF Model'!C19+0)+'DCF Model'!D45/(1+$B18)^('DCF Model'!C19+1)+'DCF Model'!E45/(1+$B18)^('DCF Model'!C19+2)+'DCF Model'!F45/(1+$B18)^('DCF Model'!C19+3)+'DCF Model'!G45/(1+$B18)^('DCF Model'!C19+4)+('DCF Model'!G39+'DCF Model'!G42)*H$17/(1+$B18)^('DCF Model'!C19+4)-'DCF Model'!C16)*1000000/'DCF Model'!C15,0),"")</f>
        <v>1988</v>
      </c>
      <c r="I18" s="37">
        <f>IFERROR(ROUND(('DCF Model'!C45/(1+$B18)^('DCF Model'!C19+0)+'DCF Model'!D45/(1+$B18)^('DCF Model'!C19+1)+'DCF Model'!E45/(1+$B18)^('DCF Model'!C19+2)+'DCF Model'!F45/(1+$B18)^('DCF Model'!C19+3)+'DCF Model'!G45/(1+$B18)^('DCF Model'!C19+4)+('DCF Model'!G39+'DCF Model'!G42)*I$17/(1+$B18)^('DCF Model'!C19+4)-'DCF Model'!C16)*1000000/'DCF Model'!C15,0),"")</f>
        <v>2113</v>
      </c>
    </row>
    <row r="19" spans="2:9" ht="13.5" x14ac:dyDescent="0.25">
      <c r="B19" s="39">
        <f>$C$3-0.01</f>
        <v>6.4462000000000005E-2</v>
      </c>
      <c r="C19" s="37">
        <f>IFERROR(ROUND(('DCF Model'!C45/(1+$B19)^('DCF Model'!C19+0)+'DCF Model'!D45/(1+$B19)^('DCF Model'!C19+1)+'DCF Model'!E45/(1+$B19)^('DCF Model'!C19+2)+'DCF Model'!F45/(1+$B19)^('DCF Model'!C19+3)+'DCF Model'!G45/(1+$B19)^('DCF Model'!C19+4)+('DCF Model'!G39+'DCF Model'!G42)*C$17/(1+$B19)^('DCF Model'!C19+4)-'DCF Model'!C16)*1000000/'DCF Model'!C15,0),"")</f>
        <v>1336</v>
      </c>
      <c r="D19" s="37">
        <f>IFERROR(ROUND(('DCF Model'!C45/(1+$B19)^('DCF Model'!C19+0)+'DCF Model'!D45/(1+$B19)^('DCF Model'!C19+1)+'DCF Model'!E45/(1+$B19)^('DCF Model'!C19+2)+'DCF Model'!F45/(1+$B19)^('DCF Model'!C19+3)+'DCF Model'!G45/(1+$B19)^('DCF Model'!C19+4)+('DCF Model'!G39+'DCF Model'!G42)*D$17/(1+$B19)^('DCF Model'!C19+4)-'DCF Model'!C16)*1000000/'DCF Model'!C15,0),"")</f>
        <v>1458</v>
      </c>
      <c r="E19" s="37">
        <f>IFERROR(ROUND(('DCF Model'!C45/(1+$B19)^('DCF Model'!C19+0)+'DCF Model'!D45/(1+$B19)^('DCF Model'!C19+1)+'DCF Model'!E45/(1+$B19)^('DCF Model'!C19+2)+'DCF Model'!F45/(1+$B19)^('DCF Model'!C19+3)+'DCF Model'!G45/(1+$B19)^('DCF Model'!C19+4)+('DCF Model'!G39+'DCF Model'!G42)*E$17/(1+$B19)^('DCF Model'!C19+4)-'DCF Model'!C16)*1000000/'DCF Model'!C15,0),"")</f>
        <v>1580</v>
      </c>
      <c r="F19" s="37">
        <f>IFERROR(ROUND(('DCF Model'!C45/(1+$B19)^('DCF Model'!C19+0)+'DCF Model'!D45/(1+$B19)^('DCF Model'!C19+1)+'DCF Model'!E45/(1+$B19)^('DCF Model'!C19+2)+'DCF Model'!F45/(1+$B19)^('DCF Model'!C19+3)+'DCF Model'!G45/(1+$B19)^('DCF Model'!C19+4)+('DCF Model'!G39+'DCF Model'!G42)*F$17/(1+$B19)^('DCF Model'!C19+4)-'DCF Model'!C16)*1000000/'DCF Model'!C15,0),"")</f>
        <v>1702</v>
      </c>
      <c r="G19" s="37">
        <f>IFERROR(ROUND(('DCF Model'!C45/(1+$B19)^('DCF Model'!C19+0)+'DCF Model'!D45/(1+$B19)^('DCF Model'!C19+1)+'DCF Model'!E45/(1+$B19)^('DCF Model'!C19+2)+'DCF Model'!F45/(1+$B19)^('DCF Model'!C19+3)+'DCF Model'!G45/(1+$B19)^('DCF Model'!C19+4)+('DCF Model'!G39+'DCF Model'!G42)*G$17/(1+$B19)^('DCF Model'!C19+4)-'DCF Model'!C16)*1000000/'DCF Model'!C15,0),"")</f>
        <v>1823</v>
      </c>
      <c r="H19" s="37">
        <f>IFERROR(ROUND(('DCF Model'!C45/(1+$B19)^('DCF Model'!C19+0)+'DCF Model'!D45/(1+$B19)^('DCF Model'!C19+1)+'DCF Model'!E45/(1+$B19)^('DCF Model'!C19+2)+'DCF Model'!F45/(1+$B19)^('DCF Model'!C19+3)+'DCF Model'!G45/(1+$B19)^('DCF Model'!C19+4)+('DCF Model'!G39+'DCF Model'!G42)*H$17/(1+$B19)^('DCF Model'!C19+4)-'DCF Model'!C16)*1000000/'DCF Model'!C15,0),"")</f>
        <v>1945</v>
      </c>
      <c r="I19" s="37">
        <f>IFERROR(ROUND(('DCF Model'!C45/(1+$B19)^('DCF Model'!C19+0)+'DCF Model'!D45/(1+$B19)^('DCF Model'!C19+1)+'DCF Model'!E45/(1+$B19)^('DCF Model'!C19+2)+'DCF Model'!F45/(1+$B19)^('DCF Model'!C19+3)+'DCF Model'!G45/(1+$B19)^('DCF Model'!C19+4)+('DCF Model'!G39+'DCF Model'!G42)*I$17/(1+$B19)^('DCF Model'!C19+4)-'DCF Model'!C16)*1000000/'DCF Model'!C15,0),"")</f>
        <v>2067</v>
      </c>
    </row>
    <row r="20" spans="2:9" ht="13.5" x14ac:dyDescent="0.25">
      <c r="B20" s="39">
        <f>$C$3-0.005</f>
        <v>6.9461999999999996E-2</v>
      </c>
      <c r="C20" s="37">
        <f>IFERROR(ROUND(('DCF Model'!C45/(1+$B20)^('DCF Model'!C19+0)+'DCF Model'!D45/(1+$B20)^('DCF Model'!C19+1)+'DCF Model'!E45/(1+$B20)^('DCF Model'!C19+2)+'DCF Model'!F45/(1+$B20)^('DCF Model'!C19+3)+'DCF Model'!G45/(1+$B20)^('DCF Model'!C19+4)+('DCF Model'!G39+'DCF Model'!G42)*C$17/(1+$B20)^('DCF Model'!C19+4)-'DCF Model'!C16)*1000000/'DCF Model'!C15,0),"")</f>
        <v>1309</v>
      </c>
      <c r="D20" s="37">
        <f>IFERROR(ROUND(('DCF Model'!C45/(1+$B20)^('DCF Model'!C19+0)+'DCF Model'!D45/(1+$B20)^('DCF Model'!C19+1)+'DCF Model'!E45/(1+$B20)^('DCF Model'!C19+2)+'DCF Model'!F45/(1+$B20)^('DCF Model'!C19+3)+'DCF Model'!G45/(1+$B20)^('DCF Model'!C19+4)+('DCF Model'!G39+'DCF Model'!G42)*D$17/(1+$B20)^('DCF Model'!C19+4)-'DCF Model'!C16)*1000000/'DCF Model'!C15,0),"")</f>
        <v>1428</v>
      </c>
      <c r="E20" s="37">
        <f>IFERROR(ROUND(('DCF Model'!C45/(1+$B20)^('DCF Model'!C19+0)+'DCF Model'!D45/(1+$B20)^('DCF Model'!C19+1)+'DCF Model'!E45/(1+$B20)^('DCF Model'!C19+2)+'DCF Model'!F45/(1+$B20)^('DCF Model'!C19+3)+'DCF Model'!G45/(1+$B20)^('DCF Model'!C19+4)+('DCF Model'!G39+'DCF Model'!G42)*E$17/(1+$B20)^('DCF Model'!C19+4)-'DCF Model'!C16)*1000000/'DCF Model'!C15,0),"")</f>
        <v>1547</v>
      </c>
      <c r="F20" s="37">
        <f>IFERROR(ROUND(('DCF Model'!C45/(1+$B20)^('DCF Model'!C19+0)+'DCF Model'!D45/(1+$B20)^('DCF Model'!C19+1)+'DCF Model'!E45/(1+$B20)^('DCF Model'!C19+2)+'DCF Model'!F45/(1+$B20)^('DCF Model'!C19+3)+'DCF Model'!G45/(1+$B20)^('DCF Model'!C19+4)+('DCF Model'!G39+'DCF Model'!G42)*F$17/(1+$B20)^('DCF Model'!C19+4)-'DCF Model'!C16)*1000000/'DCF Model'!C15,0),"")</f>
        <v>1666</v>
      </c>
      <c r="G20" s="37">
        <f>IFERROR(ROUND(('DCF Model'!C45/(1+$B20)^('DCF Model'!C19+0)+'DCF Model'!D45/(1+$B20)^('DCF Model'!C19+1)+'DCF Model'!E45/(1+$B20)^('DCF Model'!C19+2)+'DCF Model'!F45/(1+$B20)^('DCF Model'!C19+3)+'DCF Model'!G45/(1+$B20)^('DCF Model'!C19+4)+('DCF Model'!G39+'DCF Model'!G42)*G$17/(1+$B20)^('DCF Model'!C19+4)-'DCF Model'!C16)*1000000/'DCF Model'!C15,0),"")</f>
        <v>1785</v>
      </c>
      <c r="H20" s="37">
        <f>IFERROR(ROUND(('DCF Model'!C45/(1+$B20)^('DCF Model'!C19+0)+'DCF Model'!D45/(1+$B20)^('DCF Model'!C19+1)+'DCF Model'!E45/(1+$B20)^('DCF Model'!C19+2)+'DCF Model'!F45/(1+$B20)^('DCF Model'!C19+3)+'DCF Model'!G45/(1+$B20)^('DCF Model'!C19+4)+('DCF Model'!G39+'DCF Model'!G42)*H$17/(1+$B20)^('DCF Model'!C19+4)-'DCF Model'!C16)*1000000/'DCF Model'!C15,0),"")</f>
        <v>1904</v>
      </c>
      <c r="I20" s="37">
        <f>IFERROR(ROUND(('DCF Model'!C45/(1+$B20)^('DCF Model'!C19+0)+'DCF Model'!D45/(1+$B20)^('DCF Model'!C19+1)+'DCF Model'!E45/(1+$B20)^('DCF Model'!C19+2)+'DCF Model'!F45/(1+$B20)^('DCF Model'!C19+3)+'DCF Model'!G45/(1+$B20)^('DCF Model'!C19+4)+('DCF Model'!G39+'DCF Model'!G42)*I$17/(1+$B20)^('DCF Model'!C19+4)-'DCF Model'!C16)*1000000/'DCF Model'!C15,0),"")</f>
        <v>2023</v>
      </c>
    </row>
    <row r="21" spans="2:9" ht="13.5" x14ac:dyDescent="0.25">
      <c r="B21" s="39">
        <f>$C$3</f>
        <v>7.4462E-2</v>
      </c>
      <c r="C21" s="37">
        <f>IFERROR(ROUND(('DCF Model'!C45/(1+$B21)^('DCF Model'!C19+0)+'DCF Model'!D45/(1+$B21)^('DCF Model'!C19+1)+'DCF Model'!E45/(1+$B21)^('DCF Model'!C19+2)+'DCF Model'!F45/(1+$B21)^('DCF Model'!C19+3)+'DCF Model'!G45/(1+$B21)^('DCF Model'!C19+4)+('DCF Model'!G39+'DCF Model'!G42)*C$17/(1+$B21)^('DCF Model'!C19+4)-'DCF Model'!C16)*1000000/'DCF Model'!C15,0),"")</f>
        <v>1282</v>
      </c>
      <c r="D21" s="37">
        <f>IFERROR(ROUND(('DCF Model'!C45/(1+$B21)^('DCF Model'!C19+0)+'DCF Model'!D45/(1+$B21)^('DCF Model'!C19+1)+'DCF Model'!E45/(1+$B21)^('DCF Model'!C19+2)+'DCF Model'!F45/(1+$B21)^('DCF Model'!C19+3)+'DCF Model'!G45/(1+$B21)^('DCF Model'!C19+4)+('DCF Model'!G39+'DCF Model'!G42)*D$17/(1+$B21)^('DCF Model'!C19+4)-'DCF Model'!C16)*1000000/'DCF Model'!C15,0),"")</f>
        <v>1399</v>
      </c>
      <c r="E21" s="37">
        <f>IFERROR(ROUND(('DCF Model'!C45/(1+$B21)^('DCF Model'!C19+0)+'DCF Model'!D45/(1+$B21)^('DCF Model'!C19+1)+'DCF Model'!E45/(1+$B21)^('DCF Model'!C19+2)+'DCF Model'!F45/(1+$B21)^('DCF Model'!C19+3)+'DCF Model'!G45/(1+$B21)^('DCF Model'!C19+4)+('DCF Model'!G39+'DCF Model'!G42)*E$17/(1+$B21)^('DCF Model'!C19+4)-'DCF Model'!C16)*1000000/'DCF Model'!C15,0),"")</f>
        <v>1515</v>
      </c>
      <c r="F21" s="37">
        <f>IFERROR(ROUND(('DCF Model'!C45/(1+$B21)^('DCF Model'!C19+0)+'DCF Model'!D45/(1+$B21)^('DCF Model'!C19+1)+'DCF Model'!E45/(1+$B21)^('DCF Model'!C19+2)+'DCF Model'!F45/(1+$B21)^('DCF Model'!C19+3)+'DCF Model'!G45/(1+$B21)^('DCF Model'!C19+4)+('DCF Model'!G39+'DCF Model'!G42)*F$17/(1+$B21)^('DCF Model'!C19+4)-'DCF Model'!C16)*1000000/'DCF Model'!C15,0),"")</f>
        <v>1631</v>
      </c>
      <c r="G21" s="37">
        <f>IFERROR(ROUND(('DCF Model'!C45/(1+$B21)^('DCF Model'!C19+0)+'DCF Model'!D45/(1+$B21)^('DCF Model'!C19+1)+'DCF Model'!E45/(1+$B21)^('DCF Model'!C19+2)+'DCF Model'!F45/(1+$B21)^('DCF Model'!C19+3)+'DCF Model'!G45/(1+$B21)^('DCF Model'!C19+4)+('DCF Model'!G39+'DCF Model'!G42)*G$17/(1+$B21)^('DCF Model'!C19+4)-'DCF Model'!C16)*1000000/'DCF Model'!C15,0),"")</f>
        <v>1747</v>
      </c>
      <c r="H21" s="37">
        <f>IFERROR(ROUND(('DCF Model'!C45/(1+$B21)^('DCF Model'!C19+0)+'DCF Model'!D45/(1+$B21)^('DCF Model'!C19+1)+'DCF Model'!E45/(1+$B21)^('DCF Model'!C19+2)+'DCF Model'!F45/(1+$B21)^('DCF Model'!C19+3)+'DCF Model'!G45/(1+$B21)^('DCF Model'!C19+4)+('DCF Model'!G39+'DCF Model'!G42)*H$17/(1+$B21)^('DCF Model'!C19+4)-'DCF Model'!C16)*1000000/'DCF Model'!C15,0),"")</f>
        <v>1864</v>
      </c>
      <c r="I21" s="37">
        <f>IFERROR(ROUND(('DCF Model'!C45/(1+$B21)^('DCF Model'!C19+0)+'DCF Model'!D45/(1+$B21)^('DCF Model'!C19+1)+'DCF Model'!E45/(1+$B21)^('DCF Model'!C19+2)+'DCF Model'!F45/(1+$B21)^('DCF Model'!C19+3)+'DCF Model'!G45/(1+$B21)^('DCF Model'!C19+4)+('DCF Model'!G39+'DCF Model'!G42)*I$17/(1+$B21)^('DCF Model'!C19+4)-'DCF Model'!C16)*1000000/'DCF Model'!C15,0),"")</f>
        <v>1980</v>
      </c>
    </row>
    <row r="22" spans="2:9" ht="13.5" x14ac:dyDescent="0.25">
      <c r="B22" s="39">
        <f>$C$3+0.005</f>
        <v>7.9462000000000005E-2</v>
      </c>
      <c r="C22" s="37">
        <f>IFERROR(ROUND(('DCF Model'!C45/(1+$B22)^('DCF Model'!C19+0)+'DCF Model'!D45/(1+$B22)^('DCF Model'!C19+1)+'DCF Model'!E45/(1+$B22)^('DCF Model'!C19+2)+'DCF Model'!F45/(1+$B22)^('DCF Model'!C19+3)+'DCF Model'!G45/(1+$B22)^('DCF Model'!C19+4)+('DCF Model'!G39+'DCF Model'!G42)*C$17/(1+$B22)^('DCF Model'!C19+4)-'DCF Model'!C16)*1000000/'DCF Model'!C15,0),"")</f>
        <v>1257</v>
      </c>
      <c r="D22" s="37">
        <f>IFERROR(ROUND(('DCF Model'!C45/(1+$B22)^('DCF Model'!C19+0)+'DCF Model'!D45/(1+$B22)^('DCF Model'!C19+1)+'DCF Model'!E45/(1+$B22)^('DCF Model'!C19+2)+'DCF Model'!F45/(1+$B22)^('DCF Model'!C19+3)+'DCF Model'!G45/(1+$B22)^('DCF Model'!C19+4)+('DCF Model'!G39+'DCF Model'!G42)*D$17/(1+$B22)^('DCF Model'!C19+4)-'DCF Model'!C16)*1000000/'DCF Model'!C15,0),"")</f>
        <v>1370</v>
      </c>
      <c r="E22" s="37">
        <f>IFERROR(ROUND(('DCF Model'!C45/(1+$B22)^('DCF Model'!C19+0)+'DCF Model'!D45/(1+$B22)^('DCF Model'!C19+1)+'DCF Model'!E45/(1+$B22)^('DCF Model'!C19+2)+'DCF Model'!F45/(1+$B22)^('DCF Model'!C19+3)+'DCF Model'!G45/(1+$B22)^('DCF Model'!C19+4)+('DCF Model'!G39+'DCF Model'!G42)*E$17/(1+$B22)^('DCF Model'!C19+4)-'DCF Model'!C16)*1000000/'DCF Model'!C15,0),"")</f>
        <v>1484</v>
      </c>
      <c r="F22" s="37">
        <f>IFERROR(ROUND(('DCF Model'!C45/(1+$B22)^('DCF Model'!C19+0)+'DCF Model'!D45/(1+$B22)^('DCF Model'!C19+1)+'DCF Model'!E45/(1+$B22)^('DCF Model'!C19+2)+'DCF Model'!F45/(1+$B22)^('DCF Model'!C19+3)+'DCF Model'!G45/(1+$B22)^('DCF Model'!C19+4)+('DCF Model'!G39+'DCF Model'!G42)*F$17/(1+$B22)^('DCF Model'!C19+4)-'DCF Model'!C16)*1000000/'DCF Model'!C15,0),"")</f>
        <v>1597</v>
      </c>
      <c r="G22" s="37">
        <f>IFERROR(ROUND(('DCF Model'!C45/(1+$B22)^('DCF Model'!C19+0)+'DCF Model'!D45/(1+$B22)^('DCF Model'!C19+1)+'DCF Model'!E45/(1+$B22)^('DCF Model'!C19+2)+'DCF Model'!F45/(1+$B22)^('DCF Model'!C19+3)+'DCF Model'!G45/(1+$B22)^('DCF Model'!C19+4)+('DCF Model'!G39+'DCF Model'!G42)*G$17/(1+$B22)^('DCF Model'!C19+4)-'DCF Model'!C16)*1000000/'DCF Model'!C15,0),"")</f>
        <v>1711</v>
      </c>
      <c r="H22" s="37">
        <f>IFERROR(ROUND(('DCF Model'!C45/(1+$B22)^('DCF Model'!C19+0)+'DCF Model'!D45/(1+$B22)^('DCF Model'!C19+1)+'DCF Model'!E45/(1+$B22)^('DCF Model'!C19+2)+'DCF Model'!F45/(1+$B22)^('DCF Model'!C19+3)+'DCF Model'!G45/(1+$B22)^('DCF Model'!C19+4)+('DCF Model'!G39+'DCF Model'!G42)*H$17/(1+$B22)^('DCF Model'!C19+4)-'DCF Model'!C16)*1000000/'DCF Model'!C15,0),"")</f>
        <v>1824</v>
      </c>
      <c r="I22" s="37">
        <f>IFERROR(ROUND(('DCF Model'!C45/(1+$B22)^('DCF Model'!C19+0)+'DCF Model'!D45/(1+$B22)^('DCF Model'!C19+1)+'DCF Model'!E45/(1+$B22)^('DCF Model'!C19+2)+'DCF Model'!F45/(1+$B22)^('DCF Model'!C19+3)+'DCF Model'!G45/(1+$B22)^('DCF Model'!C19+4)+('DCF Model'!G39+'DCF Model'!G42)*I$17/(1+$B22)^('DCF Model'!C19+4)-'DCF Model'!C16)*1000000/'DCF Model'!C15,0),"")</f>
        <v>1938</v>
      </c>
    </row>
    <row r="23" spans="2:9" ht="13.5" x14ac:dyDescent="0.25">
      <c r="B23" s="39">
        <f>$C$3+0.01</f>
        <v>8.4461999999999995E-2</v>
      </c>
      <c r="C23" s="37">
        <f>IFERROR(ROUND(('DCF Model'!C45/(1+$B23)^('DCF Model'!C19+0)+'DCF Model'!D45/(1+$B23)^('DCF Model'!C19+1)+'DCF Model'!E45/(1+$B23)^('DCF Model'!C19+2)+'DCF Model'!F45/(1+$B23)^('DCF Model'!C19+3)+'DCF Model'!G45/(1+$B23)^('DCF Model'!C19+4)+('DCF Model'!G39+'DCF Model'!G42)*C$17/(1+$B23)^('DCF Model'!C19+4)-'DCF Model'!C16)*1000000/'DCF Model'!C15,0),"")</f>
        <v>1231</v>
      </c>
      <c r="D23" s="37">
        <f>IFERROR(ROUND(('DCF Model'!C45/(1+$B23)^('DCF Model'!C19+0)+'DCF Model'!D45/(1+$B23)^('DCF Model'!C19+1)+'DCF Model'!E45/(1+$B23)^('DCF Model'!C19+2)+'DCF Model'!F45/(1+$B23)^('DCF Model'!C19+3)+'DCF Model'!G45/(1+$B23)^('DCF Model'!C19+4)+('DCF Model'!G39+'DCF Model'!G42)*D$17/(1+$B23)^('DCF Model'!C19+4)-'DCF Model'!C16)*1000000/'DCF Model'!C15,0),"")</f>
        <v>1342</v>
      </c>
      <c r="E23" s="37">
        <f>IFERROR(ROUND(('DCF Model'!C45/(1+$B23)^('DCF Model'!C19+0)+'DCF Model'!D45/(1+$B23)^('DCF Model'!C19+1)+'DCF Model'!E45/(1+$B23)^('DCF Model'!C19+2)+'DCF Model'!F45/(1+$B23)^('DCF Model'!C19+3)+'DCF Model'!G45/(1+$B23)^('DCF Model'!C19+4)+('DCF Model'!G39+'DCF Model'!G42)*E$17/(1+$B23)^('DCF Model'!C19+4)-'DCF Model'!C16)*1000000/'DCF Model'!C15,0),"")</f>
        <v>1453</v>
      </c>
      <c r="F23" s="37">
        <f>IFERROR(ROUND(('DCF Model'!C45/(1+$B23)^('DCF Model'!C19+0)+'DCF Model'!D45/(1+$B23)^('DCF Model'!C19+1)+'DCF Model'!E45/(1+$B23)^('DCF Model'!C19+2)+'DCF Model'!F45/(1+$B23)^('DCF Model'!C19+3)+'DCF Model'!G45/(1+$B23)^('DCF Model'!C19+4)+('DCF Model'!G39+'DCF Model'!G42)*F$17/(1+$B23)^('DCF Model'!C19+4)-'DCF Model'!C16)*1000000/'DCF Model'!C15,0),"")</f>
        <v>1564</v>
      </c>
      <c r="G23" s="37">
        <f>IFERROR(ROUND(('DCF Model'!C45/(1+$B23)^('DCF Model'!C19+0)+'DCF Model'!D45/(1+$B23)^('DCF Model'!C19+1)+'DCF Model'!E45/(1+$B23)^('DCF Model'!C19+2)+'DCF Model'!F45/(1+$B23)^('DCF Model'!C19+3)+'DCF Model'!G45/(1+$B23)^('DCF Model'!C19+4)+('DCF Model'!G39+'DCF Model'!G42)*G$17/(1+$B23)^('DCF Model'!C19+4)-'DCF Model'!C16)*1000000/'DCF Model'!C15,0),"")</f>
        <v>1675</v>
      </c>
      <c r="H23" s="37">
        <f>IFERROR(ROUND(('DCF Model'!C45/(1+$B23)^('DCF Model'!C19+0)+'DCF Model'!D45/(1+$B23)^('DCF Model'!C19+1)+'DCF Model'!E45/(1+$B23)^('DCF Model'!C19+2)+'DCF Model'!F45/(1+$B23)^('DCF Model'!C19+3)+'DCF Model'!G45/(1+$B23)^('DCF Model'!C19+4)+('DCF Model'!G39+'DCF Model'!G42)*H$17/(1+$B23)^('DCF Model'!C19+4)-'DCF Model'!C16)*1000000/'DCF Model'!C15,0),"")</f>
        <v>1786</v>
      </c>
      <c r="I23" s="37">
        <f>IFERROR(ROUND(('DCF Model'!C45/(1+$B23)^('DCF Model'!C19+0)+'DCF Model'!D45/(1+$B23)^('DCF Model'!C19+1)+'DCF Model'!E45/(1+$B23)^('DCF Model'!C19+2)+'DCF Model'!F45/(1+$B23)^('DCF Model'!C19+3)+'DCF Model'!G45/(1+$B23)^('DCF Model'!C19+4)+('DCF Model'!G39+'DCF Model'!G42)*I$17/(1+$B23)^('DCF Model'!C19+4)-'DCF Model'!C16)*1000000/'DCF Model'!C15,0),"")</f>
        <v>1897</v>
      </c>
    </row>
    <row r="24" spans="2:9" ht="13.5" x14ac:dyDescent="0.25">
      <c r="B24" s="39">
        <f>$C$3+0.015</f>
        <v>8.9462E-2</v>
      </c>
      <c r="C24" s="37">
        <f>IFERROR(ROUND(('DCF Model'!C45/(1+$B24)^('DCF Model'!C19+0)+'DCF Model'!D45/(1+$B24)^('DCF Model'!C19+1)+'DCF Model'!E45/(1+$B24)^('DCF Model'!C19+2)+'DCF Model'!F45/(1+$B24)^('DCF Model'!C19+3)+'DCF Model'!G45/(1+$B24)^('DCF Model'!C19+4)+('DCF Model'!G39+'DCF Model'!G42)*C$17/(1+$B24)^('DCF Model'!C19+4)-'DCF Model'!C16)*1000000/'DCF Model'!C15,0),"")</f>
        <v>1207</v>
      </c>
      <c r="D24" s="37">
        <f>IFERROR(ROUND(('DCF Model'!C45/(1+$B24)^('DCF Model'!C19+0)+'DCF Model'!D45/(1+$B24)^('DCF Model'!C19+1)+'DCF Model'!E45/(1+$B24)^('DCF Model'!C19+2)+'DCF Model'!F45/(1+$B24)^('DCF Model'!C19+3)+'DCF Model'!G45/(1+$B24)^('DCF Model'!C19+4)+('DCF Model'!G39+'DCF Model'!G42)*D$17/(1+$B24)^('DCF Model'!C19+4)-'DCF Model'!C16)*1000000/'DCF Model'!C15,0),"")</f>
        <v>1315</v>
      </c>
      <c r="E24" s="37">
        <f>IFERROR(ROUND(('DCF Model'!C45/(1+$B24)^('DCF Model'!C19+0)+'DCF Model'!D45/(1+$B24)^('DCF Model'!C19+1)+'DCF Model'!E45/(1+$B24)^('DCF Model'!C19+2)+'DCF Model'!F45/(1+$B24)^('DCF Model'!C19+3)+'DCF Model'!G45/(1+$B24)^('DCF Model'!C19+4)+('DCF Model'!G39+'DCF Model'!G42)*E$17/(1+$B24)^('DCF Model'!C19+4)-'DCF Model'!C16)*1000000/'DCF Model'!C15,0),"")</f>
        <v>1424</v>
      </c>
      <c r="F24" s="37">
        <f>IFERROR(ROUND(('DCF Model'!C45/(1+$B24)^('DCF Model'!C19+0)+'DCF Model'!D45/(1+$B24)^('DCF Model'!C19+1)+'DCF Model'!E45/(1+$B24)^('DCF Model'!C19+2)+'DCF Model'!F45/(1+$B24)^('DCF Model'!C19+3)+'DCF Model'!G45/(1+$B24)^('DCF Model'!C19+4)+('DCF Model'!G39+'DCF Model'!G42)*F$17/(1+$B24)^('DCF Model'!C19+4)-'DCF Model'!C16)*1000000/'DCF Model'!C15,0),"")</f>
        <v>1532</v>
      </c>
      <c r="G24" s="37">
        <f>IFERROR(ROUND(('DCF Model'!C45/(1+$B24)^('DCF Model'!C19+0)+'DCF Model'!D45/(1+$B24)^('DCF Model'!C19+1)+'DCF Model'!E45/(1+$B24)^('DCF Model'!C19+2)+'DCF Model'!F45/(1+$B24)^('DCF Model'!C19+3)+'DCF Model'!G45/(1+$B24)^('DCF Model'!C19+4)+('DCF Model'!G39+'DCF Model'!G42)*G$17/(1+$B24)^('DCF Model'!C19+4)-'DCF Model'!C16)*1000000/'DCF Model'!C15,0),"")</f>
        <v>1641</v>
      </c>
      <c r="H24" s="37">
        <f>IFERROR(ROUND(('DCF Model'!C45/(1+$B24)^('DCF Model'!C19+0)+'DCF Model'!D45/(1+$B24)^('DCF Model'!C19+1)+'DCF Model'!E45/(1+$B24)^('DCF Model'!C19+2)+'DCF Model'!F45/(1+$B24)^('DCF Model'!C19+3)+'DCF Model'!G45/(1+$B24)^('DCF Model'!C19+4)+('DCF Model'!G39+'DCF Model'!G42)*H$17/(1+$B24)^('DCF Model'!C19+4)-'DCF Model'!C16)*1000000/'DCF Model'!C15,0),"")</f>
        <v>1749</v>
      </c>
      <c r="I24" s="37">
        <f>IFERROR(ROUND(('DCF Model'!C45/(1+$B24)^('DCF Model'!C19+0)+'DCF Model'!D45/(1+$B24)^('DCF Model'!C19+1)+'DCF Model'!E45/(1+$B24)^('DCF Model'!C19+2)+'DCF Model'!F45/(1+$B24)^('DCF Model'!C19+3)+'DCF Model'!G45/(1+$B24)^('DCF Model'!C19+4)+('DCF Model'!G39+'DCF Model'!G42)*I$17/(1+$B24)^('DCF Model'!C19+4)-'DCF Model'!C16)*1000000/'DCF Model'!C15,0),"")</f>
        <v>1857</v>
      </c>
    </row>
    <row r="26" spans="2:9" ht="14" x14ac:dyDescent="0.3">
      <c r="B26" s="45" t="s">
        <v>240</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241</v>
      </c>
    </row>
    <row r="4" spans="2:7" ht="14"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t="s">
        <v>248</v>
      </c>
      <c r="C6" s="4" t="s">
        <v>253</v>
      </c>
      <c r="D6" t="s">
        <v>254</v>
      </c>
      <c r="E6" t="s">
        <v>255</v>
      </c>
      <c r="F6" t="s">
        <v>256</v>
      </c>
      <c r="G6" t="s">
        <v>257</v>
      </c>
    </row>
    <row r="7" spans="2:7" ht="30" customHeight="1" x14ac:dyDescent="0.3">
      <c r="B7" t="s">
        <v>248</v>
      </c>
      <c r="C7" s="4" t="s">
        <v>258</v>
      </c>
      <c r="D7" t="s">
        <v>259</v>
      </c>
      <c r="E7" t="s">
        <v>260</v>
      </c>
      <c r="F7" t="s">
        <v>261</v>
      </c>
      <c r="G7" t="s">
        <v>262</v>
      </c>
    </row>
    <row r="12" spans="2:7" ht="14" x14ac:dyDescent="0.3">
      <c r="B12" s="8" t="s">
        <v>263</v>
      </c>
    </row>
    <row r="13" spans="2:7" ht="14" x14ac:dyDescent="0.3">
      <c r="B13" s="10" t="s">
        <v>264</v>
      </c>
      <c r="C13" s="10" t="s">
        <v>265</v>
      </c>
    </row>
    <row r="14" spans="2:7" ht="14" x14ac:dyDescent="0.3">
      <c r="B14" s="4" t="s">
        <v>266</v>
      </c>
      <c r="C14" t="s">
        <v>267</v>
      </c>
    </row>
    <row r="15" spans="2:7" ht="14" x14ac:dyDescent="0.3">
      <c r="B15" s="4" t="s">
        <v>268</v>
      </c>
      <c r="C15" t="s">
        <v>269</v>
      </c>
    </row>
    <row r="16" spans="2:7" ht="14" x14ac:dyDescent="0.3">
      <c r="B16" s="4" t="s">
        <v>270</v>
      </c>
      <c r="C16" t="s">
        <v>271</v>
      </c>
    </row>
    <row r="17" spans="2:3" ht="14" x14ac:dyDescent="0.3">
      <c r="B17" s="4" t="s">
        <v>272</v>
      </c>
      <c r="C17" t="s">
        <v>269</v>
      </c>
    </row>
    <row r="18" spans="2:3" ht="14" x14ac:dyDescent="0.3">
      <c r="B18" s="4" t="s">
        <v>273</v>
      </c>
      <c r="C18" t="s">
        <v>274</v>
      </c>
    </row>
    <row r="19" spans="2:3" ht="14" x14ac:dyDescent="0.3">
      <c r="B19" s="4" t="s">
        <v>275</v>
      </c>
      <c r="C19" t="s">
        <v>276</v>
      </c>
    </row>
    <row r="20" spans="2:3" ht="14" x14ac:dyDescent="0.3">
      <c r="B20" s="4" t="s">
        <v>277</v>
      </c>
      <c r="C20" t="s">
        <v>278</v>
      </c>
    </row>
    <row r="21" spans="2:3" ht="14" x14ac:dyDescent="0.3">
      <c r="B21" s="4" t="s">
        <v>279</v>
      </c>
      <c r="C21" t="s">
        <v>280</v>
      </c>
    </row>
    <row r="22" spans="2:3" ht="14" x14ac:dyDescent="0.3">
      <c r="B22" s="4" t="s">
        <v>281</v>
      </c>
      <c r="C22" t="s">
        <v>282</v>
      </c>
    </row>
    <row r="23" spans="2:3" ht="14" x14ac:dyDescent="0.3">
      <c r="B23" s="4" t="s">
        <v>283</v>
      </c>
      <c r="C23" t="s">
        <v>4</v>
      </c>
    </row>
    <row r="24" spans="2:3" ht="14" x14ac:dyDescent="0.3">
      <c r="B24" s="4" t="s">
        <v>284</v>
      </c>
      <c r="C24" t="s">
        <v>248</v>
      </c>
    </row>
    <row r="25" spans="2:3" ht="14" x14ac:dyDescent="0.3">
      <c r="B25" s="4" t="s">
        <v>285</v>
      </c>
      <c r="C25" t="s">
        <v>286</v>
      </c>
    </row>
    <row r="26" spans="2:3" ht="14" x14ac:dyDescent="0.3">
      <c r="B26" s="4" t="s">
        <v>287</v>
      </c>
      <c r="C26" t="s">
        <v>274</v>
      </c>
    </row>
    <row r="27" spans="2:3" ht="14" x14ac:dyDescent="0.3">
      <c r="B27" s="4" t="s">
        <v>288</v>
      </c>
      <c r="C27" t="s">
        <v>274</v>
      </c>
    </row>
    <row r="28" spans="2:3" ht="14" x14ac:dyDescent="0.3">
      <c r="B28" s="4" t="s">
        <v>289</v>
      </c>
      <c r="C28" t="s">
        <v>290</v>
      </c>
    </row>
    <row r="29" spans="2:3" ht="14" x14ac:dyDescent="0.3">
      <c r="B29" s="4" t="s">
        <v>291</v>
      </c>
      <c r="C29" t="s">
        <v>292</v>
      </c>
    </row>
    <row r="30" spans="2:3" ht="14" x14ac:dyDescent="0.3">
      <c r="B30" s="4" t="s">
        <v>293</v>
      </c>
      <c r="C30" t="s">
        <v>294</v>
      </c>
    </row>
    <row r="31" spans="2:3" ht="14" x14ac:dyDescent="0.3">
      <c r="B31" s="4" t="s">
        <v>295</v>
      </c>
      <c r="C31" t="s">
        <v>290</v>
      </c>
    </row>
    <row r="32" spans="2:3" ht="14" x14ac:dyDescent="0.3">
      <c r="B32" s="4" t="s">
        <v>296</v>
      </c>
      <c r="C32" t="s">
        <v>274</v>
      </c>
    </row>
    <row r="33" spans="2:3" ht="14" x14ac:dyDescent="0.3">
      <c r="B33" s="4" t="s">
        <v>297</v>
      </c>
      <c r="C33" t="s">
        <v>286</v>
      </c>
    </row>
    <row r="34" spans="2:3" ht="14" x14ac:dyDescent="0.3">
      <c r="B34" s="4" t="s">
        <v>298</v>
      </c>
      <c r="C34" t="s">
        <v>299</v>
      </c>
    </row>
    <row r="35" spans="2:3" ht="14" x14ac:dyDescent="0.3">
      <c r="B35" s="4" t="s">
        <v>300</v>
      </c>
      <c r="C35" t="s">
        <v>301</v>
      </c>
    </row>
    <row r="36" spans="2:3" ht="14" x14ac:dyDescent="0.3">
      <c r="B36" s="4" t="s">
        <v>302</v>
      </c>
      <c r="C36" t="s">
        <v>303</v>
      </c>
    </row>
    <row r="37" spans="2:3" ht="14" x14ac:dyDescent="0.3">
      <c r="B37" s="4" t="s">
        <v>304</v>
      </c>
      <c r="C37" t="s">
        <v>305</v>
      </c>
    </row>
    <row r="38" spans="2:3" ht="14" x14ac:dyDescent="0.3">
      <c r="B38" s="4" t="s">
        <v>306</v>
      </c>
      <c r="C38" t="s">
        <v>307</v>
      </c>
    </row>
    <row r="39" spans="2:3" ht="14" x14ac:dyDescent="0.3">
      <c r="B39" s="4" t="s">
        <v>308</v>
      </c>
      <c r="C39" t="s">
        <v>309</v>
      </c>
    </row>
    <row r="40" spans="2:3" ht="14" x14ac:dyDescent="0.3">
      <c r="B40" s="4" t="s">
        <v>310</v>
      </c>
      <c r="C40" t="s">
        <v>311</v>
      </c>
    </row>
    <row r="41" spans="2:3" ht="14" x14ac:dyDescent="0.3">
      <c r="B41" s="4" t="s">
        <v>312</v>
      </c>
      <c r="C41" t="s">
        <v>313</v>
      </c>
    </row>
    <row r="42" spans="2:3" ht="14" x14ac:dyDescent="0.3">
      <c r="B42" s="4" t="s">
        <v>314</v>
      </c>
      <c r="C42" t="s">
        <v>315</v>
      </c>
    </row>
    <row r="43" spans="2:3" ht="14" x14ac:dyDescent="0.3">
      <c r="B43" s="4" t="s">
        <v>316</v>
      </c>
      <c r="C43" t="s">
        <v>317</v>
      </c>
    </row>
    <row r="44" spans="2:3" ht="14" x14ac:dyDescent="0.3">
      <c r="B44" s="4" t="s">
        <v>318</v>
      </c>
      <c r="C44" t="s">
        <v>278</v>
      </c>
    </row>
    <row r="45" spans="2:3" ht="14" x14ac:dyDescent="0.3">
      <c r="B45" s="4" t="s">
        <v>319</v>
      </c>
      <c r="C45" t="s">
        <v>320</v>
      </c>
    </row>
    <row r="46" spans="2:3" ht="14" x14ac:dyDescent="0.3">
      <c r="B46" s="4" t="s">
        <v>321</v>
      </c>
      <c r="C46" t="s">
        <v>322</v>
      </c>
    </row>
    <row r="47" spans="2:3" ht="14" x14ac:dyDescent="0.3">
      <c r="B47" s="4" t="s">
        <v>323</v>
      </c>
      <c r="C47" t="s">
        <v>324</v>
      </c>
    </row>
    <row r="48" spans="2:3" ht="14" x14ac:dyDescent="0.3">
      <c r="B48" s="4" t="s">
        <v>325</v>
      </c>
      <c r="C48" t="s">
        <v>326</v>
      </c>
    </row>
    <row r="49" spans="2:3" ht="14" x14ac:dyDescent="0.3">
      <c r="B49" s="4" t="s">
        <v>327</v>
      </c>
      <c r="C49" t="s">
        <v>328</v>
      </c>
    </row>
    <row r="50" spans="2:3" ht="14" x14ac:dyDescent="0.3">
      <c r="B50" s="4" t="s">
        <v>329</v>
      </c>
      <c r="C50" t="s">
        <v>330</v>
      </c>
    </row>
    <row r="51" spans="2:3" ht="14" x14ac:dyDescent="0.3">
      <c r="B51" s="4" t="s">
        <v>331</v>
      </c>
      <c r="C51" t="s">
        <v>332</v>
      </c>
    </row>
    <row r="52" spans="2:3" ht="14" x14ac:dyDescent="0.3">
      <c r="B52" s="4" t="s">
        <v>333</v>
      </c>
      <c r="C52" t="s">
        <v>334</v>
      </c>
    </row>
    <row r="53" spans="2:3" ht="14" x14ac:dyDescent="0.3">
      <c r="B53" s="4" t="s">
        <v>335</v>
      </c>
      <c r="C53" t="s">
        <v>336</v>
      </c>
    </row>
    <row r="54" spans="2:3" ht="14" x14ac:dyDescent="0.3">
      <c r="B54" s="4" t="s">
        <v>337</v>
      </c>
      <c r="C54" t="s">
        <v>338</v>
      </c>
    </row>
    <row r="55" spans="2:3" ht="14" x14ac:dyDescent="0.3">
      <c r="B55" s="4" t="s">
        <v>339</v>
      </c>
      <c r="C55" t="s">
        <v>340</v>
      </c>
    </row>
    <row r="56" spans="2:3" ht="14" x14ac:dyDescent="0.3">
      <c r="B56" s="4" t="s">
        <v>341</v>
      </c>
      <c r="C56" t="s">
        <v>342</v>
      </c>
    </row>
    <row r="57" spans="2:3" ht="14" x14ac:dyDescent="0.3">
      <c r="B57" s="4" t="s">
        <v>343</v>
      </c>
      <c r="C57" t="s">
        <v>344</v>
      </c>
    </row>
    <row r="58" spans="2:3" ht="14" x14ac:dyDescent="0.3">
      <c r="B58" s="4" t="s">
        <v>345</v>
      </c>
      <c r="C58" t="s">
        <v>286</v>
      </c>
    </row>
    <row r="59" spans="2:3" ht="14" x14ac:dyDescent="0.3">
      <c r="B59" s="4" t="s">
        <v>346</v>
      </c>
      <c r="C59" t="s">
        <v>347</v>
      </c>
    </row>
    <row r="60" spans="2:3" ht="14" x14ac:dyDescent="0.3">
      <c r="B60" s="4" t="s">
        <v>348</v>
      </c>
      <c r="C60" t="s">
        <v>349</v>
      </c>
    </row>
    <row r="61" spans="2:3" ht="14" x14ac:dyDescent="0.3">
      <c r="B61" s="4" t="s">
        <v>350</v>
      </c>
      <c r="C61" t="s">
        <v>351</v>
      </c>
    </row>
    <row r="62" spans="2:3" ht="14" x14ac:dyDescent="0.3">
      <c r="B62" s="4" t="s">
        <v>352</v>
      </c>
      <c r="C62" t="s">
        <v>353</v>
      </c>
    </row>
    <row r="63" spans="2:3" ht="14" x14ac:dyDescent="0.3">
      <c r="B63" s="4" t="s">
        <v>354</v>
      </c>
      <c r="C63" t="s">
        <v>355</v>
      </c>
    </row>
    <row r="64" spans="2:3" ht="14" x14ac:dyDescent="0.3">
      <c r="B64" s="4" t="s">
        <v>356</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2026-09-06T10:03:10Z</dcterms:created>
  <dcterms:modified xsi:type="dcterms:W3CDTF">2026-09-06T10:03:13Z</dcterms:modified>
</cp:coreProperties>
</file>