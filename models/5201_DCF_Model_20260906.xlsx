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3FF5B011-B7EE-4784-98D3-FE5797382C88}"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7" i="6" s="1"/>
  <c r="L6" i="6"/>
  <c r="F17" i="6" s="1"/>
  <c r="K6" i="6"/>
  <c r="J6" i="6"/>
  <c r="O5" i="6"/>
  <c r="N5" i="6"/>
  <c r="D5" i="6"/>
  <c r="M5" i="6" s="1"/>
  <c r="C16" i="5"/>
  <c r="C14" i="5"/>
  <c r="C18" i="5" s="1"/>
  <c r="C7" i="5"/>
  <c r="E6" i="5"/>
  <c r="D6" i="5"/>
  <c r="C6" i="5"/>
  <c r="C5" i="5"/>
  <c r="C13" i="4"/>
  <c r="C12" i="4"/>
  <c r="C9" i="4"/>
  <c r="C7" i="4"/>
  <c r="C6" i="4"/>
  <c r="G32" i="3"/>
  <c r="C31" i="3"/>
  <c r="F30" i="3"/>
  <c r="E30" i="3"/>
  <c r="D27" i="3"/>
  <c r="G5" i="5" s="1"/>
  <c r="C25" i="3"/>
  <c r="C24" i="3"/>
  <c r="C23" i="3"/>
  <c r="C26" i="3" s="1"/>
  <c r="F16" i="2"/>
  <c r="E16" i="2"/>
  <c r="D16" i="2"/>
  <c r="F15" i="2"/>
  <c r="E15" i="2"/>
  <c r="D15" i="2"/>
  <c r="F14" i="2"/>
  <c r="E14" i="2"/>
  <c r="D14" i="2"/>
  <c r="C14" i="2"/>
  <c r="F13" i="2"/>
  <c r="E13" i="2"/>
  <c r="D13" i="2"/>
  <c r="C13" i="2"/>
  <c r="E9" i="2"/>
  <c r="D9" i="2"/>
  <c r="C9" i="2"/>
  <c r="F8" i="2"/>
  <c r="F9" i="2" s="1"/>
  <c r="E8" i="2"/>
  <c r="D8" i="2"/>
  <c r="C8" i="2"/>
  <c r="E5" i="6" l="1"/>
  <c r="J5" i="6" s="1"/>
  <c r="L5" i="6"/>
  <c r="D31" i="3"/>
  <c r="E7" i="5"/>
  <c r="E16" i="6"/>
  <c r="G31" i="3"/>
  <c r="F7" i="5"/>
  <c r="F16" i="6"/>
  <c r="C28" i="6" s="1"/>
  <c r="C19" i="1" s="1"/>
  <c r="D19" i="1" s="1"/>
  <c r="C32" i="3"/>
  <c r="G7" i="5"/>
  <c r="D32" i="3"/>
  <c r="D17" i="7"/>
  <c r="D30" i="3"/>
  <c r="F32" i="3"/>
  <c r="F17" i="7"/>
  <c r="C3" i="7"/>
  <c r="G36" i="4"/>
  <c r="C11" i="4"/>
  <c r="G46" i="3"/>
  <c r="E36" i="4"/>
  <c r="D36" i="4"/>
  <c r="D46" i="3"/>
  <c r="H36" i="4"/>
  <c r="F36" i="4"/>
  <c r="F46" i="3"/>
  <c r="C46" i="3"/>
  <c r="E46" i="3"/>
  <c r="H15" i="6"/>
  <c r="H16" i="6"/>
  <c r="H17" i="6"/>
  <c r="I16" i="6"/>
  <c r="I17" i="6"/>
  <c r="I15" i="6"/>
  <c r="D15" i="6"/>
  <c r="D16" i="6"/>
  <c r="C8" i="4"/>
  <c r="C10" i="4" s="1"/>
  <c r="D17" i="6"/>
  <c r="F15" i="6"/>
  <c r="E15" i="6"/>
  <c r="G16" i="6"/>
  <c r="F5" i="5"/>
  <c r="H6" i="5"/>
  <c r="G15" i="6"/>
  <c r="C30" i="3"/>
  <c r="C33" i="3" s="1"/>
  <c r="F31" i="3"/>
  <c r="H5" i="5"/>
  <c r="D7" i="5"/>
  <c r="K5" i="6"/>
  <c r="E17" i="6"/>
  <c r="I6" i="7"/>
  <c r="C17" i="7"/>
  <c r="C6" i="7"/>
  <c r="D6" i="7"/>
  <c r="E17" i="7"/>
  <c r="G30" i="3"/>
  <c r="E32" i="3"/>
  <c r="D5" i="5"/>
  <c r="F6" i="5"/>
  <c r="H7" i="5"/>
  <c r="E6" i="7"/>
  <c r="E5" i="5"/>
  <c r="G6" i="5"/>
  <c r="F6" i="7"/>
  <c r="G17" i="7"/>
  <c r="G6" i="7"/>
  <c r="H17" i="7"/>
  <c r="E31" i="3"/>
  <c r="D45" i="4" l="1"/>
  <c r="D43" i="4"/>
  <c r="D46" i="4"/>
  <c r="D41" i="4"/>
  <c r="D39" i="4"/>
  <c r="D49" i="4" s="1"/>
  <c r="D54" i="4" s="1"/>
  <c r="D38" i="4"/>
  <c r="D40" i="4"/>
  <c r="D50" i="4" s="1"/>
  <c r="D55" i="4" s="1"/>
  <c r="D44" i="4"/>
  <c r="D9" i="5"/>
  <c r="D12" i="5" s="1"/>
  <c r="C42" i="3"/>
  <c r="C34" i="3"/>
  <c r="D10" i="5" s="1"/>
  <c r="D33" i="3"/>
  <c r="C35" i="3"/>
  <c r="C37" i="3"/>
  <c r="E39" i="4"/>
  <c r="E49" i="4" s="1"/>
  <c r="E54" i="4" s="1"/>
  <c r="E46" i="4"/>
  <c r="E51" i="4" s="1"/>
  <c r="E56" i="4" s="1"/>
  <c r="E40" i="4"/>
  <c r="E45" i="4"/>
  <c r="E43" i="4"/>
  <c r="E41" i="4"/>
  <c r="E38" i="4"/>
  <c r="E48" i="4" s="1"/>
  <c r="E53" i="4" s="1"/>
  <c r="E44" i="4"/>
  <c r="C27" i="6"/>
  <c r="C18" i="1" s="1"/>
  <c r="D18" i="1" s="1"/>
  <c r="C74" i="4"/>
  <c r="H40" i="4"/>
  <c r="H38" i="4"/>
  <c r="H41" i="4"/>
  <c r="H46" i="4"/>
  <c r="H51" i="4" s="1"/>
  <c r="H56" i="4" s="1"/>
  <c r="H44" i="4"/>
  <c r="H45" i="4"/>
  <c r="H39" i="4"/>
  <c r="H43" i="4"/>
  <c r="H48" i="4" s="1"/>
  <c r="H53" i="4" s="1"/>
  <c r="G46" i="4"/>
  <c r="G44" i="4"/>
  <c r="G38" i="4"/>
  <c r="G43" i="4"/>
  <c r="G48" i="4" s="1"/>
  <c r="G53" i="4" s="1"/>
  <c r="G40" i="4"/>
  <c r="G50" i="4" s="1"/>
  <c r="G55" i="4" s="1"/>
  <c r="G41" i="4"/>
  <c r="G45" i="4"/>
  <c r="G39" i="4"/>
  <c r="G49" i="4" s="1"/>
  <c r="G54" i="4" s="1"/>
  <c r="C71" i="4"/>
  <c r="C70" i="4"/>
  <c r="E50" i="4"/>
  <c r="E55" i="4" s="1"/>
  <c r="D51" i="4"/>
  <c r="D56" i="4" s="1"/>
  <c r="C24" i="4"/>
  <c r="C25" i="4" s="1"/>
  <c r="D48" i="4"/>
  <c r="D53" i="4" s="1"/>
  <c r="G51" i="4"/>
  <c r="G56" i="4" s="1"/>
  <c r="F43" i="4"/>
  <c r="F48" i="4" s="1"/>
  <c r="F53" i="4" s="1"/>
  <c r="F40" i="4"/>
  <c r="F44" i="4"/>
  <c r="F39" i="4"/>
  <c r="F49" i="4" s="1"/>
  <c r="F46" i="4"/>
  <c r="F41" i="4"/>
  <c r="F51" i="4" s="1"/>
  <c r="F56" i="4" s="1"/>
  <c r="F38" i="4"/>
  <c r="F45" i="4"/>
  <c r="B13" i="7"/>
  <c r="B12" i="7"/>
  <c r="B11" i="7"/>
  <c r="B10" i="7"/>
  <c r="B9" i="7"/>
  <c r="B8" i="7"/>
  <c r="B7" i="7"/>
  <c r="B24" i="7"/>
  <c r="B23" i="7"/>
  <c r="B22" i="7"/>
  <c r="B21" i="7"/>
  <c r="B20" i="7"/>
  <c r="B19" i="7"/>
  <c r="B18" i="7"/>
  <c r="H49" i="4" l="1"/>
  <c r="H54" i="4" s="1"/>
  <c r="F50" i="4"/>
  <c r="F55" i="4" s="1"/>
  <c r="H50" i="4"/>
  <c r="H55" i="4" s="1"/>
  <c r="F54" i="4"/>
  <c r="C60" i="4"/>
  <c r="B78" i="4"/>
  <c r="C38" i="3"/>
  <c r="C39" i="3"/>
  <c r="C36" i="3"/>
  <c r="D37" i="3"/>
  <c r="E9" i="5"/>
  <c r="E12" i="5" s="1"/>
  <c r="D42" i="3"/>
  <c r="D34" i="3"/>
  <c r="E10" i="5" s="1"/>
  <c r="E33" i="3"/>
  <c r="D15" i="5"/>
  <c r="D16" i="5" s="1"/>
  <c r="D13" i="5"/>
  <c r="D14" i="5" s="1"/>
  <c r="D18" i="5" s="1"/>
  <c r="D19" i="5" s="1"/>
  <c r="C44" i="3" s="1"/>
  <c r="C26" i="4"/>
  <c r="C29" i="4"/>
  <c r="C27" i="4"/>
  <c r="C40" i="3" l="1"/>
  <c r="C41" i="3" s="1"/>
  <c r="C45" i="3" s="1"/>
  <c r="F9" i="5"/>
  <c r="F12" i="5" s="1"/>
  <c r="E42" i="3"/>
  <c r="E37" i="3"/>
  <c r="E34" i="3"/>
  <c r="F10" i="5" s="1"/>
  <c r="F33" i="3"/>
  <c r="E13" i="5"/>
  <c r="E14" i="5" s="1"/>
  <c r="E15" i="5"/>
  <c r="E16" i="5" s="1"/>
  <c r="C64" i="4"/>
  <c r="D64" i="4" s="1"/>
  <c r="C66" i="4"/>
  <c r="D66" i="4" s="1"/>
  <c r="C65" i="4"/>
  <c r="D65" i="4" s="1"/>
  <c r="C63" i="4"/>
  <c r="D63" i="4" s="1"/>
  <c r="C67" i="4"/>
  <c r="D67" i="4" s="1"/>
  <c r="D35" i="3"/>
  <c r="C47" i="3" l="1"/>
  <c r="F13" i="5"/>
  <c r="F15" i="5"/>
  <c r="F16" i="5" s="1"/>
  <c r="F14" i="5"/>
  <c r="F18" i="5" s="1"/>
  <c r="D36" i="3"/>
  <c r="D39" i="3"/>
  <c r="D38" i="3"/>
  <c r="E18" i="5"/>
  <c r="E19" i="5" s="1"/>
  <c r="D44" i="3" s="1"/>
  <c r="E35" i="3"/>
  <c r="F42" i="3"/>
  <c r="F34" i="3"/>
  <c r="G10" i="5" s="1"/>
  <c r="F35" i="3"/>
  <c r="G9" i="5"/>
  <c r="G12" i="5" s="1"/>
  <c r="G33" i="3"/>
  <c r="F37" i="3"/>
  <c r="F19" i="5" l="1"/>
  <c r="E44" i="3" s="1"/>
  <c r="G37" i="3"/>
  <c r="G42" i="3"/>
  <c r="G34" i="3"/>
  <c r="H10" i="5" s="1"/>
  <c r="H9" i="5"/>
  <c r="H12" i="5" s="1"/>
  <c r="C16" i="4"/>
  <c r="C28" i="4" s="1"/>
  <c r="G35" i="3"/>
  <c r="F39" i="3"/>
  <c r="F38" i="3"/>
  <c r="F36" i="3"/>
  <c r="D40" i="3"/>
  <c r="D41" i="3" s="1"/>
  <c r="D45" i="3" s="1"/>
  <c r="G13" i="5"/>
  <c r="G15" i="5"/>
  <c r="G16" i="5" s="1"/>
  <c r="G14" i="5"/>
  <c r="G18" i="5" s="1"/>
  <c r="G19" i="5" s="1"/>
  <c r="F44" i="3" s="1"/>
  <c r="E39" i="3"/>
  <c r="E36" i="3"/>
  <c r="E38" i="3"/>
  <c r="D47" i="3" l="1"/>
  <c r="E40" i="3"/>
  <c r="E41" i="3"/>
  <c r="E45" i="3" s="1"/>
  <c r="E47" i="3" s="1"/>
  <c r="F40" i="3"/>
  <c r="F41" i="3" s="1"/>
  <c r="F45" i="3" s="1"/>
  <c r="H14" i="5"/>
  <c r="H18" i="5" s="1"/>
  <c r="H19" i="5" s="1"/>
  <c r="G44" i="3" s="1"/>
  <c r="G38" i="3"/>
  <c r="G39" i="3"/>
  <c r="G36" i="3"/>
  <c r="H13" i="5"/>
  <c r="H15" i="5"/>
  <c r="H16" i="5" s="1"/>
  <c r="C72" i="4"/>
  <c r="C73" i="4"/>
  <c r="F47" i="3" l="1"/>
  <c r="C59" i="3"/>
  <c r="C60" i="3" s="1"/>
  <c r="C61" i="3" s="1"/>
  <c r="G40" i="3"/>
  <c r="G41" i="3" s="1"/>
  <c r="G45" i="3" s="1"/>
  <c r="G47" i="3" l="1"/>
  <c r="C50" i="3" s="1"/>
  <c r="C51" i="3"/>
  <c r="C52" i="3" s="1"/>
  <c r="G23" i="7"/>
  <c r="H9" i="7"/>
  <c r="G21" i="7"/>
  <c r="G18" i="7"/>
  <c r="D19" i="7"/>
  <c r="H21" i="7"/>
  <c r="D22" i="7"/>
  <c r="D21" i="7"/>
  <c r="E10" i="7"/>
  <c r="C18" i="7"/>
  <c r="E9" i="7"/>
  <c r="C7" i="7"/>
  <c r="E22" i="7"/>
  <c r="C8" i="7"/>
  <c r="F21" i="7"/>
  <c r="E23" i="7"/>
  <c r="E8" i="7"/>
  <c r="H23" i="7"/>
  <c r="F7" i="7"/>
  <c r="D18" i="7"/>
  <c r="E12" i="7"/>
  <c r="D23" i="7"/>
  <c r="I24" i="7"/>
  <c r="C19" i="7"/>
  <c r="G22" i="7"/>
  <c r="I12" i="7"/>
  <c r="H11" i="7"/>
  <c r="D10" i="7"/>
  <c r="G12" i="7"/>
  <c r="D8" i="7"/>
  <c r="G8" i="7"/>
  <c r="I11" i="7"/>
  <c r="H13" i="7"/>
  <c r="E11" i="7"/>
  <c r="F18" i="7"/>
  <c r="I9" i="7"/>
  <c r="C11" i="7"/>
  <c r="I13" i="7"/>
  <c r="G9" i="7"/>
  <c r="H7" i="7"/>
  <c r="I8" i="7"/>
  <c r="H8" i="7"/>
  <c r="I22" i="7"/>
  <c r="I20" i="7"/>
  <c r="C12" i="7"/>
  <c r="C20" i="7"/>
  <c r="C24" i="7"/>
  <c r="C10" i="7"/>
  <c r="H19" i="7"/>
  <c r="F20" i="7"/>
  <c r="F13" i="7"/>
  <c r="D12" i="7"/>
  <c r="D13" i="7"/>
  <c r="G13" i="7"/>
  <c r="H18" i="7"/>
  <c r="I21" i="7"/>
  <c r="I7" i="7"/>
  <c r="I19" i="7"/>
  <c r="C13" i="7"/>
  <c r="D24" i="7"/>
  <c r="H22" i="7"/>
  <c r="C21" i="7"/>
  <c r="E13" i="7"/>
  <c r="F10" i="7"/>
  <c r="F24" i="7"/>
  <c r="F19" i="7"/>
  <c r="G19" i="7"/>
  <c r="E18" i="7"/>
  <c r="H20" i="7"/>
  <c r="D20" i="7"/>
  <c r="D7" i="7"/>
  <c r="G7" i="7"/>
  <c r="E19" i="7"/>
  <c r="D9" i="7"/>
  <c r="E20" i="7"/>
  <c r="H12" i="7"/>
  <c r="F12" i="7"/>
  <c r="C23" i="7"/>
  <c r="F9" i="7"/>
  <c r="E7" i="7"/>
  <c r="H10" i="7"/>
  <c r="I18" i="7"/>
  <c r="D11" i="7"/>
  <c r="F23" i="7"/>
  <c r="F11" i="7"/>
  <c r="G24" i="7"/>
  <c r="E24" i="7"/>
  <c r="G11" i="7"/>
  <c r="C22" i="7"/>
  <c r="E21" i="7"/>
  <c r="H24" i="7"/>
  <c r="I10" i="7"/>
  <c r="F8" i="7"/>
  <c r="I23" i="7"/>
  <c r="F22" i="7"/>
  <c r="G20" i="7"/>
  <c r="C9" i="7"/>
  <c r="G10" i="7"/>
  <c r="C53" i="3" l="1"/>
  <c r="C58" i="3"/>
  <c r="C62" i="3" s="1"/>
  <c r="C63" i="3" l="1"/>
  <c r="C64" i="3" s="1"/>
  <c r="C17" i="1"/>
  <c r="D17" i="1" s="1"/>
  <c r="C17" i="4"/>
  <c r="C54" i="3"/>
  <c r="C55" i="3" s="1"/>
  <c r="C16" i="1" s="1"/>
  <c r="C21" i="1" l="1"/>
  <c r="D16" i="1"/>
  <c r="C10" i="1"/>
  <c r="C12" i="1" s="1"/>
  <c r="C11" i="1" s="1"/>
  <c r="C19" i="4"/>
  <c r="C20" i="4" s="1"/>
  <c r="B79" i="4" s="1"/>
</calcChain>
</file>

<file path=xl/sharedStrings.xml><?xml version="1.0" encoding="utf-8"?>
<sst xmlns="http://schemas.openxmlformats.org/spreadsheetml/2006/main" count="445" uniqueCount="360">
  <si>
    <t>DISCLAIMER: This is a sample analysis for demonstration purposes only. It does not constitute investment advice.</t>
  </si>
  <si>
    <t>AGC (5201.T)</t>
  </si>
  <si>
    <t>Equity Research Report</t>
  </si>
  <si>
    <t>Company</t>
  </si>
  <si>
    <t>AGC</t>
  </si>
  <si>
    <t>Ticker</t>
  </si>
  <si>
    <t>5201.T (TSE Prime)</t>
  </si>
  <si>
    <t>Sector</t>
  </si>
  <si>
    <t>ガラス・土石製品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</si>
  <si>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</si>
  <si>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</si>
  <si>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</si>
  <si>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</si>
  <si>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</si>
  <si>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</si>
  <si>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</si>
  <si>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</si>
  <si>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</si>
  <si>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</si>
  <si>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</si>
  <si>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</si>
  <si>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</si>
  <si>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</si>
  <si>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</si>
  <si>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</si>
  <si>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</si>
  <si>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</si>
  <si>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</si>
  <si>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</si>
  <si>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</si>
  <si>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</si>
  <si>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AGC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</si>
  <si>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</si>
  <si>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</si>
  <si>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</si>
  <si>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</si>
  <si>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</si>
  <si>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</si>
  <si>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</si>
  <si>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</si>
  <si>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</si>
  <si>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</si>
  <si>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</si>
  <si>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</si>
  <si>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</si>
  <si>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</si>
  <si>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</si>
  <si>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</si>
  <si>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</si>
  <si>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</si>
  <si>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</si>
  <si>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</si>
  <si>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</si>
  <si>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</si>
  <si>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</si>
  <si>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</si>
  <si>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</si>
  <si>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</si>
  <si>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</si>
  <si>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</si>
  <si>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AGC</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</si>
  <si>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</si>
  <si>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</si>
  <si>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</si>
  <si>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</si>
  <si>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</si>
  <si>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</si>
  <si>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</si>
  <si>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</si>
  <si>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</si>
  <si>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</si>
  <si>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</si>
  <si>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</si>
  <si>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</si>
  <si>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</si>
  <si>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</si>
  <si>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</si>
  <si>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</si>
  <si>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</si>
  <si>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</si>
  <si>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</si>
  <si>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</si>
  <si>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</si>
  <si>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</si>
  <si>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</si>
  <si>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</si>
  <si>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</si>
  <si>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</si>
  <si>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</si>
  <si>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</si>
  <si>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</si>
  <si>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</si>
  <si>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</si>
  <si>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</si>
  <si>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</si>
  <si>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</si>
  <si>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</si>
  <si>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</si>
  <si>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</si>
  <si>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</si>
  <si>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</si>
  <si>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</si>
  <si>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</si>
  <si>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</si>
  <si>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</si>
  <si>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</si>
  <si>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</si>
  <si>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</si>
  <si>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</si>
  <si>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</si>
  <si>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</si>
  <si>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</si>
  <si>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</si>
  <si>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</si>
  <si>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</si>
  <si>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</si>
  <si>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</si>
  <si>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</si>
  <si>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</si>
  <si>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</si>
  <si>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</si>
  <si>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</si>
  <si>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</si>
  <si>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</si>
  <si>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</si>
  <si>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AGC (5201.T)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</si>
  <si>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</si>
  <si>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</si>
  <si>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</si>
  <si>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</si>
  <si>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</si>
  <si>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</si>
  <si>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</si>
  <si>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</si>
  <si>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</si>
  <si>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(FY2022 actual)</t>
  </si>
  <si>
    <t>Terminal-year Revenue, active scenario (JPY mn)</t>
  </si>
  <si>
    <t>Base-case DCF Enterprise Value, PGM (JPY mn)</t>
  </si>
  <si>
    <t>Cycle-peak Operating Margin (FY2022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</si>
  <si>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</si>
  <si>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</si>
  <si>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</si>
  <si>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</si>
  <si>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</si>
  <si>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</si>
  <si>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FY2022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</si>
  <si>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</si>
  <si>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</si>
  <si>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</si>
  <si>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</si>
  <si>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</si>
  <si>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</si>
  <si>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</si>
  <si>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</si>
  <si>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</si>
  <si>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</si>
  <si>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</si>
  <si>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</si>
  <si>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</si>
  <si>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</si>
  <si>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</si>
  <si>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FY2022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</si>
  <si>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</si>
  <si>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</si>
  <si>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</si>
  <si>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</si>
  <si>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</si>
  <si>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</si>
  <si>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(FY2022)</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</si>
  <si>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</si>
  <si>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</si>
  <si>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</si>
  <si>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</si>
  <si>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</si>
  <si>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</si>
  <si>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</si>
  <si>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</si>
  <si>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AGC</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</si>
  <si>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</si>
  <si>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</si>
  <si>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</si>
  <si>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</si>
  <si>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</si>
  <si>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</si>
  <si>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</si>
  <si>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</si>
  <si>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</si>
  <si>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</si>
  <si>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</si>
  <si>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</si>
  <si>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</si>
  <si>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</si>
  <si>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</si>
  <si>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</si>
  <si>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</si>
  <si>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</si>
  <si>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</si>
  <si>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</si>
  <si>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</si>
  <si>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</si>
  <si>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</si>
  <si>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</si>
  <si>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</si>
  <si>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</si>
  <si>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</si>
  <si>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</si>
  <si>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</si>
  <si>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</si>
  <si>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</si>
  <si>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</si>
  <si>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</si>
  <si>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</si>
  <si>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AGC Inc.</t>
  </si>
  <si>
    <t>5201.T</t>
  </si>
  <si>
    <t>Nippon Electric Glass Co., Ltd.</t>
  </si>
  <si>
    <t>5214.T</t>
  </si>
  <si>
    <t>Mitsui Chemicals, Inc.</t>
  </si>
  <si>
    <t>4183.T</t>
  </si>
  <si>
    <t>Sumitomo Chemical Company, Limited</t>
  </si>
  <si>
    <t>4005.T</t>
  </si>
  <si>
    <t>Asahi Kasei Corporation</t>
  </si>
  <si>
    <t>3407.T</t>
  </si>
  <si>
    <t>Mitsubishi Chemical Group Corporation</t>
  </si>
  <si>
    <t>4188.T</t>
  </si>
  <si>
    <t>Statistics</t>
  </si>
  <si>
    <t>25th Percentile</t>
  </si>
  <si>
    <t>Median (50th)</t>
  </si>
  <si>
    <t>75th Percentile</t>
  </si>
  <si>
    <t>Implied Valuation for AGC</t>
  </si>
  <si>
    <t>AGC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</si>
  <si>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</si>
  <si>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</si>
  <si>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</si>
  <si>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</si>
  <si>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</si>
  <si>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</si>
  <si>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</si>
  <si>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</si>
  <si>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</si>
  <si>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</si>
  <si>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</si>
  <si>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</si>
  <si>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</si>
  <si>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</si>
  <si>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</si>
  <si>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AGC</t>
  </si>
  <si>
    <t>日付</t>
  </si>
  <si>
    <t>セル</t>
  </si>
  <si>
    <t>変更内容</t>
  </si>
  <si>
    <t>理由</t>
  </si>
  <si>
    <t>元の値</t>
  </si>
  <si>
    <t>状態</t>
  </si>
  <si>
    <t>2026-09-06</t>
  </si>
  <si>
    <t>-</t>
  </si>
  <si>
    <t>Generated by pipeline on 2026-09-06 19:09, template rev 63983ab</t>
  </si>
  <si>
    <t>初期生成（手修正なし）</t>
  </si>
  <si>
    <t>generated</t>
  </si>
  <si>
    <t>DCF Model!C11</t>
  </si>
  <si>
    <t>After-tax Cost of Debt = 1.77% (実績ベース)</t>
  </si>
  <si>
    <t>実績Kd = 支払利息15,328 ÷ 平均有利子負債648,100(期首649,737/期末646,463、debt_beginning/debt_ending) = 税引前2.37% × (1−25.0%) = 1.77%。【マージナルコスト注記】これは既存借入の実績平均コストであり、新規調達の限界コストではない。テンプレ既定(税引前2.8%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</si>
  <si>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</si>
  <si>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</si>
  <si>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</si>
  <si>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1.013（採用値）</t>
  </si>
  <si>
    <t>実測β(raw) = 1.019 → Blume調整 0.67×raw + 0.33×1.00 = 1.013 → 採用 1.013。クランプ域 [0.3, 2.0] の内側。置換なし。回帰βは平均回帰するため Blume 調整を既定とする（2026-09-05 バッチで85件中57件が旧下限 0.60 に張り付き、両裾の歪みが実証された）。</t>
  </si>
  <si>
    <t>実測 1.019</t>
  </si>
  <si>
    <t>確定</t>
  </si>
  <si>
    <t>Pipeline Metadata (do not edit — read by scripts/validate_output.py)</t>
  </si>
  <si>
    <t>key</t>
  </si>
  <si>
    <t>value</t>
  </si>
  <si>
    <t>auto_log_entries</t>
  </si>
  <si>
    <t>2</t>
  </si>
  <si>
    <t>beta_adopted_c8</t>
  </si>
  <si>
    <t>1.0127</t>
  </si>
  <si>
    <t>beta_basis</t>
  </si>
  <si>
    <t>Blume: 0.67 x 1.019 + 0.33 x 1.00 = 1.013</t>
  </si>
  <si>
    <t>beta_blume_adjusted</t>
  </si>
  <si>
    <t>beta_clamped</t>
  </si>
  <si>
    <t>no</t>
  </si>
  <si>
    <t>beta_raw</t>
  </si>
  <si>
    <t>1.0189</t>
  </si>
  <si>
    <t>capex_pct_basis</t>
  </si>
  <si>
    <t>explicit_override</t>
  </si>
  <si>
    <t>capex_pct_c5</t>
  </si>
  <si>
    <t>0.091665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</si>
  <si>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</si>
  <si>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</si>
  <si>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</si>
  <si>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</si>
  <si>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</si>
  <si>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</si>
  <si>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</si>
  <si>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</si>
  <si>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</si>
  <si>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</si>
  <si>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</si>
  <si>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</si>
  <si>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</si>
  <si>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</si>
  <si>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</si>
  <si>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</si>
  <si>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</si>
  <si>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</si>
  <si>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</si>
  <si>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</si>
  <si>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</si>
  <si>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305264.0</t>
  </si>
  <si>
    <t>core_net_income</t>
  </si>
  <si>
    <t>69162.0</t>
  </si>
  <si>
    <t>cost_of_debt_actual</t>
  </si>
  <si>
    <t>interest 15,328 (expense 15,328 + fees 0) / avg debt 648,100 (debt_beginning/debt_ending) = 0.023651 pre-tax -&gt; 0.017700 after-tax</t>
  </si>
  <si>
    <t>cost_of_debt_at_c11</t>
  </si>
  <si>
    <t>0.0177</t>
  </si>
  <si>
    <t>cost_of_debt_avg_debt</t>
  </si>
  <si>
    <t>648100.0</t>
  </si>
  <si>
    <t>cost_of_debt_basis</t>
  </si>
  <si>
    <t>actual</t>
  </si>
  <si>
    <t>cost_of_debt_interest</t>
  </si>
  <si>
    <t>15328.0</t>
  </si>
  <si>
    <t>cost_of_debt_pretax</t>
  </si>
  <si>
    <t>0.023650671192717174</t>
  </si>
  <si>
    <t>da_pct_basis</t>
  </si>
  <si>
    <t>da_pct_c18</t>
  </si>
  <si>
    <t>0.0873</t>
  </si>
  <si>
    <t>da_pct_hist3yr</t>
  </si>
  <si>
    <t>0.08728</t>
  </si>
  <si>
    <t>fs_year_coverage</t>
  </si>
  <si>
    <t>OCF 4/4, Cash 4/4, Debt 0/4</t>
  </si>
  <si>
    <t>fs_year_map</t>
  </si>
  <si>
    <t>FY2022&lt;-FY2022[ocf+cash]; FY2023&lt;-FY2023[ocf+cash]; FY2024&lt;-FY2024[ocf+cash]; FY2025&lt;-FY2025[ocf+cash]</t>
  </si>
  <si>
    <t>fs_year_sources</t>
  </si>
  <si>
    <t>overrides: none | EDINET year-key match: hist_ocf, hist_cash, hist_debt, hist_capex, hist_depreciation</t>
  </si>
  <si>
    <t>fx_sensitivity</t>
  </si>
  <si>
    <t>not enabled</t>
  </si>
  <si>
    <t>generated_at</t>
  </si>
  <si>
    <t>2026-09-06 19:09:19</t>
  </si>
  <si>
    <t>guidance_note</t>
  </si>
  <si>
    <t>TDnet 決算短信 via screener guidance table: FY2026 disclosed 2026-08-04 (net_income=77,000mn, operating_income=150,000mn, revenue=2,200,000mn)</t>
  </si>
  <si>
    <t>guidance_source</t>
  </si>
  <si>
    <t>tdnet_screener_db</t>
  </si>
  <si>
    <t>latest_operating_income</t>
  </si>
  <si>
    <t>125468.0</t>
  </si>
  <si>
    <t>ltm_revenue_c20</t>
  </si>
  <si>
    <t>2163967.0</t>
  </si>
  <si>
    <t>ltm_revenue_source</t>
  </si>
  <si>
    <t>LTM row</t>
  </si>
  <si>
    <t>market_data_source</t>
  </si>
  <si>
    <t>yfinance; from overrides: beta, current_price, shares_outstanding</t>
  </si>
  <si>
    <t>narrative_tokens_used</t>
  </si>
  <si>
    <t>net_debt_source</t>
  </si>
  <si>
    <t>UNAVAILABLE (no net_debt, and total_debt/cash incomplete)</t>
  </si>
  <si>
    <t>reverse_dcf_sheet</t>
  </si>
  <si>
    <t>op0=125,468(FY2025) peak=182,706(FY2022) peak_opm=0.0897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</si>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</sst>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5591</v>
      </c>
    </row>
    <row r="10" spans="2:5" ht="14" x14ac:dyDescent="0.3">
      <c r="B10" s="4" t="s">
        <v>10</v>
      </c>
      <c r="C10" s="5">
        <f>IF(COUNT(C16:C17)=0,"N/A",ROUND(AVERAGE(C16:C17),0))</f>
        <v>4608</v>
      </c>
    </row>
    <row r="11" spans="2:5" ht="14" x14ac:dyDescent="0.3">
      <c r="B11" s="4" t="s">
        <v>11</v>
      </c>
      <c r="C11" s="6" t="str">
        <f>IF(NOT(ISNUMBER(C12)),"N/A",IF(C12&gt;0.15,"BUY",IF(C12&gt;0.05,"HOLD","SELL")))</f>
        <v>SELL</v>
      </c>
    </row>
    <row r="12" spans="2:5" ht="14" x14ac:dyDescent="0.3">
      <c r="B12" s="4" t="s">
        <v>12</v>
      </c>
      <c r="C12" s="7">
        <f>IF(ISNUMBER(C10),(C10-C9)/C9,"N/A")</f>
        <v>-0.17581827937757111</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2970</v>
      </c>
      <c r="D16" s="7">
        <f>IF(ISNUMBER(C16),(C16-C9)/C9,"N/A")</f>
        <v>-0.46878912538007511</v>
      </c>
    </row>
    <row r="17" spans="2:5" ht="13.5" x14ac:dyDescent="0.25">
      <c r="B17" t="s">
        <v>18</v>
      </c>
      <c r="C17" s="11">
        <f>IF('DCF Model'!C62&lt;'DCF Model'!C16,"INVALID (EV &lt; net debt)",'DCF Model'!C64)</f>
        <v>6246</v>
      </c>
      <c r="D17" s="7">
        <f>IF(ISNUMBER(C17),(C17-C9)/C9,"N/A")</f>
        <v>0.11715256662493292</v>
      </c>
    </row>
    <row r="18" spans="2:5" ht="13.5" x14ac:dyDescent="0.25">
      <c r="B18" t="s">
        <v>19</v>
      </c>
      <c r="C18" s="11">
        <f>'Comps Analysis'!C27</f>
        <v>6795</v>
      </c>
      <c r="D18" s="7">
        <f>IF(ISNUMBER(C18),(C18-C9)/C9,"N/A")</f>
        <v>0.21534609193346449</v>
      </c>
    </row>
    <row r="19" spans="2:5" ht="13.5" x14ac:dyDescent="0.25">
      <c r="B19" t="s">
        <v>20</v>
      </c>
      <c r="C19" s="11">
        <f>'Comps Analysis'!C28</f>
        <v>5249</v>
      </c>
      <c r="D19" s="7">
        <f>IF(ISNUMBER(C19),(C19-C9)/C9,"N/A")</f>
        <v>-6.1169737077445892E-2</v>
      </c>
    </row>
    <row r="20" spans="2:5" ht="14" x14ac:dyDescent="0.3">
      <c r="B20" s="45" t="s">
        <v>21</v>
      </c>
      <c r="C20" s="44"/>
      <c r="D20" s="44"/>
      <c r="E20" s="44"/>
    </row>
    <row r="21" spans="2:5" ht="14" x14ac:dyDescent="0.3">
      <c r="B21" s="4" t="s">
        <v>22</v>
      </c>
      <c r="C21" s="6" t="str">
        <f>IF(COUNT(C16:C17)=0,"N/A",MIN(C16:C17)&amp;" - "&amp;MAX(C16:C17))</f>
        <v>2970 - 6246</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2035874</v>
      </c>
      <c r="D6" s="5">
        <v>2019254</v>
      </c>
      <c r="E6" s="5">
        <v>2067603</v>
      </c>
      <c r="F6" s="5">
        <v>2058832</v>
      </c>
    </row>
    <row r="7" spans="2:6" ht="14" x14ac:dyDescent="0.3">
      <c r="B7" s="4" t="s">
        <v>38</v>
      </c>
      <c r="C7" s="5">
        <v>1506492</v>
      </c>
      <c r="D7" s="5">
        <v>1537897</v>
      </c>
      <c r="E7" s="5">
        <v>1568552</v>
      </c>
      <c r="F7" s="5">
        <v>1558385</v>
      </c>
    </row>
    <row r="8" spans="2:6" ht="14" x14ac:dyDescent="0.3">
      <c r="B8" s="4" t="s">
        <v>39</v>
      </c>
      <c r="C8" s="5">
        <f>C6-C7</f>
        <v>529382</v>
      </c>
      <c r="D8" s="5">
        <f>D6-D7</f>
        <v>481357</v>
      </c>
      <c r="E8" s="5">
        <f>E6-E7</f>
        <v>499051</v>
      </c>
      <c r="F8" s="5">
        <f>F6-F7</f>
        <v>500447</v>
      </c>
    </row>
    <row r="9" spans="2:6" ht="13.5" x14ac:dyDescent="0.25">
      <c r="B9" t="s">
        <v>40</v>
      </c>
      <c r="C9" s="7">
        <f>C8/C6</f>
        <v>0.26002689753884572</v>
      </c>
      <c r="D9" s="7">
        <f>D8/D6</f>
        <v>0.23838358126317938</v>
      </c>
      <c r="E9" s="7">
        <f>E8/E6</f>
        <v>0.24136693552872576</v>
      </c>
      <c r="F9" s="7">
        <f>F8/F6</f>
        <v>0.24307325707002805</v>
      </c>
    </row>
    <row r="10" spans="2:6" ht="14" x14ac:dyDescent="0.3">
      <c r="B10" s="4" t="s">
        <v>41</v>
      </c>
      <c r="C10" s="5">
        <v>346676</v>
      </c>
      <c r="D10" s="5">
        <v>354560</v>
      </c>
      <c r="E10" s="5">
        <v>375677</v>
      </c>
      <c r="F10" s="5">
        <v>374979</v>
      </c>
    </row>
    <row r="11" spans="2:6" ht="14" x14ac:dyDescent="0.3">
      <c r="B11" s="4" t="s">
        <v>42</v>
      </c>
      <c r="C11" s="5">
        <v>182706</v>
      </c>
      <c r="D11" s="5">
        <v>126797</v>
      </c>
      <c r="E11" s="5">
        <v>123374</v>
      </c>
      <c r="F11" s="5">
        <v>125468</v>
      </c>
    </row>
    <row r="12" spans="2:6" ht="14" x14ac:dyDescent="0.3">
      <c r="B12" s="4" t="s">
        <v>43</v>
      </c>
      <c r="C12" s="5">
        <v>-3152</v>
      </c>
      <c r="D12" s="5">
        <v>65798</v>
      </c>
      <c r="E12" s="5">
        <v>-94042</v>
      </c>
      <c r="F12" s="5">
        <v>69162</v>
      </c>
    </row>
    <row r="13" spans="2:6" ht="13.5" x14ac:dyDescent="0.25">
      <c r="B13" t="s">
        <v>44</v>
      </c>
      <c r="C13" s="7">
        <f>C11/C6</f>
        <v>8.9743274878504267E-2</v>
      </c>
      <c r="D13" s="7">
        <f>D11/D6</f>
        <v>6.279398233208898E-2</v>
      </c>
      <c r="E13" s="7">
        <f>E11/E6</f>
        <v>5.9670062386251131E-2</v>
      </c>
      <c r="F13" s="7">
        <f>F11/F6</f>
        <v>6.0941349269877293E-2</v>
      </c>
    </row>
    <row r="14" spans="2:6" ht="13.5" x14ac:dyDescent="0.25">
      <c r="B14" t="s">
        <v>45</v>
      </c>
      <c r="C14" s="7">
        <f>C12/C6</f>
        <v>-1.5482294090891676E-3</v>
      </c>
      <c r="D14" s="7">
        <f>D12/D6</f>
        <v>3.2585301304343089E-2</v>
      </c>
      <c r="E14" s="7">
        <f>E12/E6</f>
        <v>-4.5483586549255342E-2</v>
      </c>
      <c r="F14" s="7">
        <f>F12/F6</f>
        <v>3.3592833218057616E-2</v>
      </c>
    </row>
    <row r="15" spans="2:6" ht="13.5" x14ac:dyDescent="0.25">
      <c r="B15" t="s">
        <v>46</v>
      </c>
      <c r="C15" t="s">
        <v>47</v>
      </c>
      <c r="D15" s="7">
        <f>(D6-C6)/C6</f>
        <v>-8.1635700441186447E-3</v>
      </c>
      <c r="E15" s="7">
        <f>(E6-D6)/D6</f>
        <v>2.39439911967489E-2</v>
      </c>
      <c r="F15" s="7">
        <f>(F6-E6)/E6</f>
        <v>-4.2421103084102699E-3</v>
      </c>
    </row>
    <row r="16" spans="2:6" ht="13.5" x14ac:dyDescent="0.25">
      <c r="B16" t="s">
        <v>48</v>
      </c>
      <c r="C16" t="s">
        <v>47</v>
      </c>
      <c r="D16" s="7">
        <f>(D11-C11)/C11</f>
        <v>-0.30600527623613893</v>
      </c>
      <c r="E16" s="7">
        <f>(E11-D11)/D11</f>
        <v>-2.6995906843221843E-2</v>
      </c>
      <c r="F16" s="7">
        <f>(F11-E11)/E11</f>
        <v>1.6972781947574043E-2</v>
      </c>
    </row>
    <row r="18" spans="2:6" ht="14" x14ac:dyDescent="0.3">
      <c r="B18" s="3" t="s">
        <v>49</v>
      </c>
    </row>
    <row r="19" spans="2:6" ht="14" x14ac:dyDescent="0.3">
      <c r="B19" s="4" t="s">
        <v>50</v>
      </c>
      <c r="C19" s="5">
        <v>217146</v>
      </c>
      <c r="D19" s="5">
        <v>212546</v>
      </c>
      <c r="E19" s="5">
        <v>284815</v>
      </c>
      <c r="F19" s="5">
        <v>274476</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209716</v>
      </c>
      <c r="D26" s="5">
        <v>146061</v>
      </c>
      <c r="E26" s="5">
        <v>107988</v>
      </c>
      <c r="F26" s="5">
        <v>94671</v>
      </c>
    </row>
    <row r="27" spans="2:6" ht="14" x14ac:dyDescent="0.3">
      <c r="B27" s="4" t="s">
        <v>57</v>
      </c>
      <c r="C27" s="5"/>
      <c r="D27" s="5"/>
      <c r="E27" s="5"/>
      <c r="F27" s="5"/>
    </row>
    <row r="28" spans="2:6" ht="14" x14ac:dyDescent="0.3">
      <c r="B28" s="4" t="s">
        <v>58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9.1664999999999996E-2</v>
      </c>
    </row>
    <row r="6" spans="2:7" ht="14" x14ac:dyDescent="0.3">
      <c r="B6" s="4" t="s">
        <v>63</v>
      </c>
      <c r="C6" s="7">
        <v>0.25</v>
      </c>
    </row>
    <row r="7" spans="2:7" ht="14" x14ac:dyDescent="0.3">
      <c r="B7" s="4" t="s">
        <v>64</v>
      </c>
      <c r="C7" s="7">
        <v>2.9700000000000001E-2</v>
      </c>
    </row>
    <row r="8" spans="2:7" ht="14" x14ac:dyDescent="0.3">
      <c r="B8" s="4" t="s">
        <v>65</v>
      </c>
      <c r="C8" s="12">
        <v>1.0126999999999999</v>
      </c>
    </row>
    <row r="9" spans="2:7" ht="14" x14ac:dyDescent="0.3">
      <c r="B9" s="4" t="s">
        <v>66</v>
      </c>
      <c r="C9" s="7">
        <v>6.5000000000000002E-2</v>
      </c>
    </row>
    <row r="10" spans="2:7" ht="14" x14ac:dyDescent="0.3">
      <c r="B10" s="4" t="s">
        <v>67</v>
      </c>
      <c r="C10" s="7">
        <v>0.01</v>
      </c>
    </row>
    <row r="11" spans="2:7" ht="14" x14ac:dyDescent="0.3">
      <c r="B11" s="4" t="s">
        <v>68</v>
      </c>
      <c r="C11" s="7">
        <v>1.77E-2</v>
      </c>
    </row>
    <row r="12" spans="2:7" ht="14" x14ac:dyDescent="0.3">
      <c r="B12" s="4" t="s">
        <v>69</v>
      </c>
      <c r="C12" s="13">
        <v>0.4647</v>
      </c>
    </row>
    <row r="13" spans="2:7" ht="14" x14ac:dyDescent="0.3">
      <c r="B13" s="4" t="s">
        <v>70</v>
      </c>
      <c r="C13" s="7">
        <v>0.01</v>
      </c>
    </row>
    <row r="14" spans="2:7" ht="14" x14ac:dyDescent="0.3">
      <c r="B14" s="4" t="s">
        <v>71</v>
      </c>
      <c r="C14" s="14">
        <v>6.5</v>
      </c>
    </row>
    <row r="15" spans="2:7" ht="14" x14ac:dyDescent="0.3">
      <c r="B15" s="4" t="s">
        <v>72</v>
      </c>
      <c r="C15" s="15">
        <v>212393793</v>
      </c>
    </row>
    <row r="16" spans="2:7" ht="14" x14ac:dyDescent="0.3">
      <c r="B16" s="4" t="s">
        <v>73</v>
      </c>
      <c r="C16" s="5">
        <v>551792</v>
      </c>
    </row>
    <row r="17" spans="2:7" ht="14" x14ac:dyDescent="0.3">
      <c r="B17" s="4" t="s">
        <v>74</v>
      </c>
      <c r="C17" s="5">
        <v>2058832</v>
      </c>
    </row>
    <row r="18" spans="2:7" ht="14" x14ac:dyDescent="0.3">
      <c r="B18" s="4" t="s">
        <v>75</v>
      </c>
      <c r="C18" s="7">
        <v>8.7300000000000003E-2</v>
      </c>
    </row>
    <row r="19" spans="2:7" ht="14" x14ac:dyDescent="0.3">
      <c r="B19" s="4" t="s">
        <v>76</v>
      </c>
      <c r="C19" s="12">
        <v>0.5</v>
      </c>
    </row>
    <row r="20" spans="2:7" ht="14" x14ac:dyDescent="0.3">
      <c r="B20" s="4" t="s">
        <v>77</v>
      </c>
      <c r="C20" s="5">
        <v>2163967</v>
      </c>
    </row>
    <row r="22" spans="2:7" ht="14" x14ac:dyDescent="0.3">
      <c r="B22" s="8" t="s">
        <v>78</v>
      </c>
      <c r="C22" s="9"/>
      <c r="D22" s="9"/>
      <c r="E22" s="9"/>
      <c r="F22" s="9"/>
      <c r="G22" s="9"/>
    </row>
    <row r="23" spans="2:7" ht="14" x14ac:dyDescent="0.3">
      <c r="B23" s="4" t="s">
        <v>79</v>
      </c>
      <c r="C23" s="16">
        <f>C7+C8*C9+C10</f>
        <v>0.10552549999999999</v>
      </c>
    </row>
    <row r="24" spans="2:7" ht="14" x14ac:dyDescent="0.3">
      <c r="B24" s="4" t="s">
        <v>80</v>
      </c>
      <c r="C24" s="16">
        <f>1/(1+C12)</f>
        <v>0.68273366559705051</v>
      </c>
    </row>
    <row r="25" spans="2:7" ht="14" x14ac:dyDescent="0.3">
      <c r="B25" s="4" t="s">
        <v>81</v>
      </c>
      <c r="C25" s="16">
        <f>C12/(1+C12)</f>
        <v>0.31726633440294938</v>
      </c>
    </row>
    <row r="26" spans="2:7" ht="14" x14ac:dyDescent="0.3">
      <c r="B26" s="4" t="s">
        <v>82</v>
      </c>
      <c r="C26" s="16">
        <f>C23*C24+C11*C25</f>
        <v>7.766142554789375E-2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0.02</v>
      </c>
      <c r="D30" s="18">
        <f>CHOOSE($D$27,D69,D70,D71,D72,D73)</f>
        <v>2.5000000000000001E-2</v>
      </c>
      <c r="E30" s="18">
        <f>CHOOSE($D$27,E69,E70,E71,E72,E73)</f>
        <v>2.5000000000000001E-2</v>
      </c>
      <c r="F30" s="18">
        <f>CHOOSE($D$27,F69,F70,F71,F72,F73)</f>
        <v>0.02</v>
      </c>
      <c r="G30" s="18">
        <f>CHOOSE($D$27,G69,G70,G71,G72,G73)</f>
        <v>0.02</v>
      </c>
    </row>
    <row r="31" spans="2:7" ht="14" x14ac:dyDescent="0.3">
      <c r="B31" s="4" t="s">
        <v>91</v>
      </c>
      <c r="C31" s="18">
        <f>CHOOSE($D$27,C76,C77,C78,C79,C80)</f>
        <v>0.75700000000000001</v>
      </c>
      <c r="D31" s="18">
        <f>CHOOSE($D$27,D76,D77,D78,D79,D80)</f>
        <v>0.75700000000000001</v>
      </c>
      <c r="E31" s="18">
        <f>CHOOSE($D$27,E76,E77,E78,E79,E80)</f>
        <v>0.75700000000000001</v>
      </c>
      <c r="F31" s="18">
        <f>CHOOSE($D$27,F76,F77,F78,F79,F80)</f>
        <v>0.75700000000000001</v>
      </c>
      <c r="G31" s="18">
        <f>CHOOSE($D$27,G76,G77,G78,G79,G80)</f>
        <v>0.75700000000000001</v>
      </c>
    </row>
    <row r="32" spans="2:7" ht="14" x14ac:dyDescent="0.3">
      <c r="B32" s="4" t="s">
        <v>92</v>
      </c>
      <c r="C32" s="18">
        <f>CHOOSE($D$27,C83,C84,C85,C86,C87)</f>
        <v>0.182</v>
      </c>
      <c r="D32" s="18">
        <f>CHOOSE($D$27,D83,D84,D85,D86,D87)</f>
        <v>0.1817</v>
      </c>
      <c r="E32" s="18">
        <f>CHOOSE($D$27,E83,E84,E85,E86,E87)</f>
        <v>0.18140000000000001</v>
      </c>
      <c r="F32" s="18">
        <f>CHOOSE($D$27,F83,F84,F85,F86,F87)</f>
        <v>0.1812</v>
      </c>
      <c r="G32" s="18">
        <f>CHOOSE($D$27,G83,G84,G85,G86,G87)</f>
        <v>0.18110000000000001</v>
      </c>
    </row>
    <row r="33" spans="2:7" ht="14" x14ac:dyDescent="0.3">
      <c r="B33" s="4" t="s">
        <v>37</v>
      </c>
      <c r="C33" s="5">
        <f>C17*(1+C30)</f>
        <v>2100008.64</v>
      </c>
      <c r="D33" s="5">
        <f>C33*(1+D30)</f>
        <v>2152508.8560000001</v>
      </c>
      <c r="E33" s="5">
        <f>D33*(1+E30)</f>
        <v>2206321.5773999998</v>
      </c>
      <c r="F33" s="5">
        <f>E33*(1+F30)</f>
        <v>2250448.0089479997</v>
      </c>
      <c r="G33" s="5">
        <f>F33*(1+G30)</f>
        <v>2295456.9691269598</v>
      </c>
    </row>
    <row r="34" spans="2:7" ht="14" x14ac:dyDescent="0.3">
      <c r="B34" s="4" t="s">
        <v>38</v>
      </c>
      <c r="C34" s="5">
        <f>C33*C31</f>
        <v>1589706.5404800002</v>
      </c>
      <c r="D34" s="5">
        <f>D33*D31</f>
        <v>1629449.2039920001</v>
      </c>
      <c r="E34" s="5">
        <f>E33*E31</f>
        <v>1670185.4340917999</v>
      </c>
      <c r="F34" s="5">
        <f>F33*F31</f>
        <v>1703589.1427736357</v>
      </c>
      <c r="G34" s="5">
        <f>G33*G31</f>
        <v>1737660.9256291087</v>
      </c>
    </row>
    <row r="35" spans="2:7" ht="14" x14ac:dyDescent="0.3">
      <c r="B35" s="4" t="s">
        <v>39</v>
      </c>
      <c r="C35" s="19">
        <f>C33-C34</f>
        <v>510302.09951999993</v>
      </c>
      <c r="D35" s="19">
        <f>D33-D34</f>
        <v>523059.65200800006</v>
      </c>
      <c r="E35" s="19">
        <f>E33-E34</f>
        <v>536136.14330819994</v>
      </c>
      <c r="F35" s="19">
        <f>F33-F34</f>
        <v>546858.866174364</v>
      </c>
      <c r="G35" s="19">
        <f>G33-G34</f>
        <v>557796.04349785112</v>
      </c>
    </row>
    <row r="36" spans="2:7" ht="14" x14ac:dyDescent="0.3">
      <c r="B36" s="4" t="s">
        <v>40</v>
      </c>
      <c r="C36" s="7">
        <f>C35/C33</f>
        <v>0.24299999999999994</v>
      </c>
      <c r="D36" s="7">
        <f>D35/D33</f>
        <v>0.24300000000000002</v>
      </c>
      <c r="E36" s="7">
        <f>E35/E33</f>
        <v>0.24299999999999999</v>
      </c>
      <c r="F36" s="7">
        <f>F35/F33</f>
        <v>0.24300000000000002</v>
      </c>
      <c r="G36" s="7">
        <f>G35/G33</f>
        <v>0.24299999999999994</v>
      </c>
    </row>
    <row r="37" spans="2:7" ht="14" x14ac:dyDescent="0.3">
      <c r="B37" s="4" t="s">
        <v>93</v>
      </c>
      <c r="C37" s="5">
        <f>C33*C32</f>
        <v>382201.57248000003</v>
      </c>
      <c r="D37" s="5">
        <f>D33*D32</f>
        <v>391110.85913520004</v>
      </c>
      <c r="E37" s="5">
        <f>E33*E32</f>
        <v>400226.73414035997</v>
      </c>
      <c r="F37" s="5">
        <f>F33*F32</f>
        <v>407781.17922137753</v>
      </c>
      <c r="G37" s="5">
        <f>G33*G32</f>
        <v>415707.25710889243</v>
      </c>
    </row>
    <row r="38" spans="2:7" ht="14" x14ac:dyDescent="0.3">
      <c r="B38" s="4" t="s">
        <v>94</v>
      </c>
      <c r="C38" s="7">
        <f>(C35-C37)/C33</f>
        <v>6.099999999999995E-2</v>
      </c>
      <c r="D38" s="7">
        <f>(D35-D37)/D33</f>
        <v>6.1300000000000007E-2</v>
      </c>
      <c r="E38" s="7">
        <f>(E35-E37)/E33</f>
        <v>6.1599999999999988E-2</v>
      </c>
      <c r="F38" s="7">
        <f>(F35-F37)/F33</f>
        <v>6.1800000000000035E-2</v>
      </c>
      <c r="G38" s="7">
        <f>(G35-G37)/G33</f>
        <v>6.1899999999999948E-2</v>
      </c>
    </row>
    <row r="39" spans="2:7" ht="14" x14ac:dyDescent="0.3">
      <c r="B39" s="4" t="s">
        <v>95</v>
      </c>
      <c r="C39" s="19">
        <f>C35-C37</f>
        <v>128100.5270399999</v>
      </c>
      <c r="D39" s="19">
        <f>D35-D37</f>
        <v>131948.79287280003</v>
      </c>
      <c r="E39" s="19">
        <f>E35-E37</f>
        <v>135909.40916783997</v>
      </c>
      <c r="F39" s="19">
        <f>F35-F37</f>
        <v>139077.68695298646</v>
      </c>
      <c r="G39" s="19">
        <f>G35-G37</f>
        <v>142088.78638895869</v>
      </c>
    </row>
    <row r="40" spans="2:7" ht="14" x14ac:dyDescent="0.3">
      <c r="B40" s="4" t="s">
        <v>96</v>
      </c>
      <c r="C40" s="5">
        <f>MAX(0,C39*C6)</f>
        <v>32025.131759999975</v>
      </c>
      <c r="D40" s="5">
        <f>MAX(0,D39*C6)</f>
        <v>32987.198218200007</v>
      </c>
      <c r="E40" s="5">
        <f>MAX(0,E39*C6)</f>
        <v>33977.352291959993</v>
      </c>
      <c r="F40" s="5">
        <f>MAX(0,F39*C6)</f>
        <v>34769.421738246616</v>
      </c>
      <c r="G40" s="5">
        <f>MAX(0,G39*C6)</f>
        <v>35522.196597239672</v>
      </c>
    </row>
    <row r="41" spans="2:7" ht="14" x14ac:dyDescent="0.3">
      <c r="B41" s="4" t="s">
        <v>97</v>
      </c>
      <c r="C41" s="19">
        <f>C39-C40</f>
        <v>96075.395279999924</v>
      </c>
      <c r="D41" s="19">
        <f>D39-D40</f>
        <v>98961.59465460002</v>
      </c>
      <c r="E41" s="19">
        <f>E39-E40</f>
        <v>101932.05687587998</v>
      </c>
      <c r="F41" s="19">
        <f>F39-F40</f>
        <v>104308.26521473985</v>
      </c>
      <c r="G41" s="19">
        <f>G39-G40</f>
        <v>106566.58979171902</v>
      </c>
    </row>
    <row r="42" spans="2:7" ht="14" x14ac:dyDescent="0.3">
      <c r="B42" s="4" t="s">
        <v>98</v>
      </c>
      <c r="C42" s="5">
        <f>C33*C18</f>
        <v>183330.75427200002</v>
      </c>
      <c r="D42" s="5">
        <f>D33*C18</f>
        <v>187914.02312880001</v>
      </c>
      <c r="E42" s="5">
        <f>E33*C18</f>
        <v>192611.87370701999</v>
      </c>
      <c r="F42" s="5">
        <f>F33*C18</f>
        <v>196464.11118116038</v>
      </c>
      <c r="G42" s="5">
        <f>G33*C18</f>
        <v>200393.39340478359</v>
      </c>
    </row>
    <row r="43" spans="2:7" ht="14" x14ac:dyDescent="0.3">
      <c r="B43" s="4" t="s">
        <v>99</v>
      </c>
      <c r="C43" s="5">
        <v>209700</v>
      </c>
      <c r="D43" s="5">
        <v>209900</v>
      </c>
      <c r="E43" s="5">
        <v>210100</v>
      </c>
      <c r="F43" s="5">
        <v>210200</v>
      </c>
      <c r="G43" s="5">
        <v>210400</v>
      </c>
    </row>
    <row r="44" spans="2:7" ht="14" x14ac:dyDescent="0.3">
      <c r="B44" s="4" t="s">
        <v>100</v>
      </c>
      <c r="C44" s="5">
        <f>'NWC Schedule'!D19</f>
        <v>12289.353720109561</v>
      </c>
      <c r="D44" s="5">
        <f>'NWC Schedule'!E19</f>
        <v>14801.608843002818</v>
      </c>
      <c r="E44" s="5">
        <f>'NWC Schedule'!F19</f>
        <v>15171.649064077763</v>
      </c>
      <c r="F44" s="5">
        <f>'NWC Schedule'!G19</f>
        <v>12440.752232543775</v>
      </c>
      <c r="G44" s="5">
        <f>'NWC Schedule'!H19</f>
        <v>12689.567277194816</v>
      </c>
    </row>
    <row r="45" spans="2:7" ht="14" x14ac:dyDescent="0.3">
      <c r="B45" s="4" t="s">
        <v>101</v>
      </c>
      <c r="C45" s="20">
        <f>C41+C42-C43-C44</f>
        <v>57416.795831890369</v>
      </c>
      <c r="D45" s="20">
        <f>D41+D42-D43-D44</f>
        <v>62174.00894039718</v>
      </c>
      <c r="E45" s="20">
        <f>E41+E42-E43-E44</f>
        <v>69272.281518822187</v>
      </c>
      <c r="F45" s="20">
        <f>F41+F42-F43-F44</f>
        <v>78131.624163356435</v>
      </c>
      <c r="G45" s="20">
        <f>G41+G42-G43-G44</f>
        <v>83870.415919307794</v>
      </c>
    </row>
    <row r="46" spans="2:7" ht="14" x14ac:dyDescent="0.3">
      <c r="B46" s="4" t="s">
        <v>102</v>
      </c>
      <c r="C46" s="21">
        <f>1/(1+C26)^(C19+0)</f>
        <v>0.96329394653048506</v>
      </c>
      <c r="D46" s="21">
        <f>1/(1+C26)^(C19+1)</f>
        <v>0.89387438734826841</v>
      </c>
      <c r="E46" s="21">
        <f>1/(1+C26)^(C19+2)</f>
        <v>0.8294575329109638</v>
      </c>
      <c r="F46" s="21">
        <f>1/(1+C26)^(C19+3)</f>
        <v>0.76968286443885603</v>
      </c>
      <c r="G46" s="21">
        <f>1/(1+C26)^(C19+4)</f>
        <v>0.71421584385609937</v>
      </c>
    </row>
    <row r="47" spans="2:7" ht="14" x14ac:dyDescent="0.3">
      <c r="B47" s="4" t="s">
        <v>103</v>
      </c>
      <c r="C47" s="19">
        <f>C45*C46</f>
        <v>55309.251854036782</v>
      </c>
      <c r="D47" s="19">
        <f>D45*D46</f>
        <v>55575.754150583292</v>
      </c>
      <c r="E47" s="19">
        <f>E45*E46</f>
        <v>57458.415727716005</v>
      </c>
      <c r="F47" s="19">
        <f>F45*F46</f>
        <v>60136.572289312317</v>
      </c>
      <c r="G47" s="19">
        <f>G45*G46</f>
        <v>59901.579880370446</v>
      </c>
    </row>
    <row r="49" spans="2:7" ht="14" x14ac:dyDescent="0.3">
      <c r="B49" s="22" t="s">
        <v>104</v>
      </c>
      <c r="C49" s="23"/>
      <c r="D49" s="23"/>
      <c r="E49" s="23"/>
      <c r="F49" s="23"/>
      <c r="G49" s="23"/>
    </row>
    <row r="50" spans="2:7" ht="14" x14ac:dyDescent="0.3">
      <c r="B50" s="4" t="s">
        <v>105</v>
      </c>
      <c r="C50" s="5">
        <f>SUM(C47:G47)</f>
        <v>288381.57390201883</v>
      </c>
    </row>
    <row r="51" spans="2:7" ht="14" x14ac:dyDescent="0.3">
      <c r="B51" s="4" t="s">
        <v>106</v>
      </c>
      <c r="C51" s="5">
        <f>G45*(1+C13)/(C26-C13)</f>
        <v>1251955.8876060038</v>
      </c>
    </row>
    <row r="52" spans="2:7" ht="14" x14ac:dyDescent="0.3">
      <c r="B52" s="4" t="s">
        <v>107</v>
      </c>
      <c r="C52" s="5">
        <f>C51*G46</f>
        <v>894166.73073713388</v>
      </c>
    </row>
    <row r="53" spans="2:7" ht="14" x14ac:dyDescent="0.3">
      <c r="B53" s="4" t="s">
        <v>108</v>
      </c>
      <c r="C53" s="5">
        <f>C50+C52</f>
        <v>1182548.3046391527</v>
      </c>
    </row>
    <row r="54" spans="2:7" ht="14" x14ac:dyDescent="0.3">
      <c r="B54" s="4" t="s">
        <v>109</v>
      </c>
      <c r="C54" s="5">
        <f>C53-C16</f>
        <v>630756.30463915272</v>
      </c>
    </row>
    <row r="55" spans="2:7" ht="14" x14ac:dyDescent="0.3">
      <c r="B55" s="4" t="s">
        <v>110</v>
      </c>
      <c r="C55" s="24">
        <f>ROUND(C54*1000000/C15,0)</f>
        <v>2970</v>
      </c>
    </row>
    <row r="57" spans="2:7" ht="14" x14ac:dyDescent="0.3">
      <c r="B57" s="22" t="s">
        <v>111</v>
      </c>
      <c r="C57" s="23"/>
      <c r="D57" s="23"/>
      <c r="E57" s="23"/>
      <c r="F57" s="23"/>
      <c r="G57" s="23"/>
    </row>
    <row r="58" spans="2:7" ht="14" x14ac:dyDescent="0.3">
      <c r="B58" s="4" t="s">
        <v>105</v>
      </c>
      <c r="C58" s="5">
        <f>C50</f>
        <v>288381.57390201883</v>
      </c>
    </row>
    <row r="59" spans="2:7" ht="14" x14ac:dyDescent="0.3">
      <c r="B59" s="4" t="s">
        <v>112</v>
      </c>
      <c r="C59" s="5">
        <f>G39+G42</f>
        <v>342482.17979374225</v>
      </c>
    </row>
    <row r="60" spans="2:7" ht="14" x14ac:dyDescent="0.3">
      <c r="B60" s="4" t="s">
        <v>113</v>
      </c>
      <c r="C60" s="5">
        <f>C59*C14</f>
        <v>2226134.1686593248</v>
      </c>
    </row>
    <row r="61" spans="2:7" ht="14" x14ac:dyDescent="0.3">
      <c r="B61" s="4" t="s">
        <v>107</v>
      </c>
      <c r="C61" s="5">
        <f>C60*G46</f>
        <v>1589940.2938059159</v>
      </c>
    </row>
    <row r="62" spans="2:7" ht="14" x14ac:dyDescent="0.3">
      <c r="B62" s="4" t="s">
        <v>108</v>
      </c>
      <c r="C62" s="5">
        <f>C58+C61</f>
        <v>1878321.8677079347</v>
      </c>
    </row>
    <row r="63" spans="2:7" ht="14" x14ac:dyDescent="0.3">
      <c r="B63" s="4" t="s">
        <v>109</v>
      </c>
      <c r="C63" s="5">
        <f>C62-C16</f>
        <v>1326529.8677079347</v>
      </c>
    </row>
    <row r="64" spans="2:7" ht="14" x14ac:dyDescent="0.3">
      <c r="B64" s="4" t="s">
        <v>114</v>
      </c>
      <c r="C64" s="24">
        <f>ROUND(C63*1000000/C15,0)</f>
        <v>6246</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0.02</v>
      </c>
      <c r="D69" s="26">
        <v>2.5000000000000001E-2</v>
      </c>
      <c r="E69" s="26">
        <v>2.5000000000000001E-2</v>
      </c>
      <c r="F69" s="26">
        <v>0.02</v>
      </c>
      <c r="G69" s="26">
        <v>0.02</v>
      </c>
    </row>
    <row r="70" spans="2:7" ht="14" x14ac:dyDescent="0.3">
      <c r="B70" s="4" t="s">
        <v>121</v>
      </c>
      <c r="C70" s="26">
        <v>0.04</v>
      </c>
      <c r="D70" s="26">
        <v>3.5000000000000003E-2</v>
      </c>
      <c r="E70" s="26">
        <v>0.03</v>
      </c>
      <c r="F70" s="26">
        <v>0.03</v>
      </c>
      <c r="G70" s="26">
        <v>2.5000000000000001E-2</v>
      </c>
    </row>
    <row r="71" spans="2:7" ht="14" x14ac:dyDescent="0.3">
      <c r="B71" s="4" t="s">
        <v>122</v>
      </c>
      <c r="C71" s="26">
        <v>0.02</v>
      </c>
      <c r="D71" s="26">
        <v>2.5000000000000001E-2</v>
      </c>
      <c r="E71" s="26">
        <v>2.5000000000000001E-2</v>
      </c>
      <c r="F71" s="26">
        <v>0.02</v>
      </c>
      <c r="G71" s="26">
        <v>0.02</v>
      </c>
    </row>
    <row r="72" spans="2:7" ht="14" x14ac:dyDescent="0.3">
      <c r="B72" s="4" t="s">
        <v>123</v>
      </c>
      <c r="C72" s="26">
        <v>0</v>
      </c>
      <c r="D72" s="26">
        <v>0.01</v>
      </c>
      <c r="E72" s="26">
        <v>1.4999999999999999E-2</v>
      </c>
      <c r="F72" s="26">
        <v>1.4999999999999999E-2</v>
      </c>
      <c r="G72" s="26">
        <v>1.4999999999999999E-2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0.75700000000000001</v>
      </c>
      <c r="D76" s="26">
        <v>0.75700000000000001</v>
      </c>
      <c r="E76" s="26">
        <v>0.75700000000000001</v>
      </c>
      <c r="F76" s="26">
        <v>0.75700000000000001</v>
      </c>
      <c r="G76" s="26">
        <v>0.75700000000000001</v>
      </c>
    </row>
    <row r="77" spans="2:7" ht="14" x14ac:dyDescent="0.3">
      <c r="B77" s="4" t="s">
        <v>121</v>
      </c>
      <c r="C77" s="26">
        <v>0.747</v>
      </c>
      <c r="D77" s="26">
        <v>0.747</v>
      </c>
      <c r="E77" s="26">
        <v>0.747</v>
      </c>
      <c r="F77" s="26">
        <v>0.747</v>
      </c>
      <c r="G77" s="26">
        <v>0.747</v>
      </c>
    </row>
    <row r="78" spans="2:7" ht="14" x14ac:dyDescent="0.3">
      <c r="B78" s="4" t="s">
        <v>122</v>
      </c>
      <c r="C78" s="26">
        <v>0.75700000000000001</v>
      </c>
      <c r="D78" s="26">
        <v>0.75700000000000001</v>
      </c>
      <c r="E78" s="26">
        <v>0.75700000000000001</v>
      </c>
      <c r="F78" s="26">
        <v>0.75700000000000001</v>
      </c>
      <c r="G78" s="26">
        <v>0.75700000000000001</v>
      </c>
    </row>
    <row r="79" spans="2:7" ht="14" x14ac:dyDescent="0.3">
      <c r="B79" s="4" t="s">
        <v>123</v>
      </c>
      <c r="C79" s="26">
        <v>0.76500000000000001</v>
      </c>
      <c r="D79" s="26">
        <v>0.76500000000000001</v>
      </c>
      <c r="E79" s="26">
        <v>0.76500000000000001</v>
      </c>
      <c r="F79" s="26">
        <v>0.76500000000000001</v>
      </c>
      <c r="G79" s="26">
        <v>0.76500000000000001</v>
      </c>
    </row>
    <row r="80" spans="2:7" ht="14" x14ac:dyDescent="0.3">
      <c r="B80" s="4" t="s">
        <v>124</v>
      </c>
      <c r="C80" s="26">
        <v>0.78</v>
      </c>
      <c r="D80" s="26">
        <v>0.78</v>
      </c>
      <c r="E80" s="26">
        <v>0.78</v>
      </c>
      <c r="F80" s="26">
        <v>0.78</v>
      </c>
      <c r="G80" s="26">
        <v>0.78</v>
      </c>
    </row>
    <row r="82" spans="2:7" ht="14" x14ac:dyDescent="0.3">
      <c r="B82" s="3" t="s">
        <v>92</v>
      </c>
    </row>
    <row r="83" spans="2:7" ht="14" x14ac:dyDescent="0.3">
      <c r="B83" s="4" t="s">
        <v>84</v>
      </c>
      <c r="C83" s="26">
        <v>0.182</v>
      </c>
      <c r="D83" s="26">
        <v>0.1817</v>
      </c>
      <c r="E83" s="26">
        <v>0.18140000000000001</v>
      </c>
      <c r="F83" s="26">
        <v>0.1812</v>
      </c>
      <c r="G83" s="26">
        <v>0.18110000000000001</v>
      </c>
    </row>
    <row r="84" spans="2:7" ht="14" x14ac:dyDescent="0.3">
      <c r="B84" s="4" t="s">
        <v>121</v>
      </c>
      <c r="C84" s="26">
        <v>0.187</v>
      </c>
      <c r="D84" s="26">
        <v>0.183</v>
      </c>
      <c r="E84" s="26">
        <v>0.17949999999999999</v>
      </c>
      <c r="F84" s="26">
        <v>0.17699999999999999</v>
      </c>
      <c r="G84" s="26">
        <v>0.17499999999999999</v>
      </c>
    </row>
    <row r="85" spans="2:7" ht="14" x14ac:dyDescent="0.3">
      <c r="B85" s="4" t="s">
        <v>122</v>
      </c>
      <c r="C85" s="26">
        <v>0.182</v>
      </c>
      <c r="D85" s="26">
        <v>0.1817</v>
      </c>
      <c r="E85" s="26">
        <v>0.18140000000000001</v>
      </c>
      <c r="F85" s="26">
        <v>0.1812</v>
      </c>
      <c r="G85" s="26">
        <v>0.18110000000000001</v>
      </c>
    </row>
    <row r="86" spans="2:7" ht="14" x14ac:dyDescent="0.3">
      <c r="B86" s="4" t="s">
        <v>123</v>
      </c>
      <c r="C86" s="26">
        <v>0.17649999999999999</v>
      </c>
      <c r="D86" s="26">
        <v>0.17799999999999999</v>
      </c>
      <c r="E86" s="26">
        <v>0.17899999999999999</v>
      </c>
      <c r="F86" s="26">
        <v>0.17949999999999999</v>
      </c>
      <c r="G86" s="26">
        <v>0.18</v>
      </c>
    </row>
    <row r="87" spans="2:7" ht="14" x14ac:dyDescent="0.3">
      <c r="B87" s="4" t="s">
        <v>124</v>
      </c>
      <c r="C87" s="26">
        <v>0.17799999999999999</v>
      </c>
      <c r="D87" s="26">
        <v>0.182</v>
      </c>
      <c r="E87" s="26">
        <v>0.184</v>
      </c>
      <c r="F87" s="26">
        <v>0.184</v>
      </c>
      <c r="G87" s="26">
        <v>0.183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5591</v>
      </c>
    </row>
    <row r="7" spans="2:9" ht="14" x14ac:dyDescent="0.3">
      <c r="B7" s="4" t="s">
        <v>72</v>
      </c>
      <c r="C7" s="15">
        <f>'DCF Model'!C15</f>
        <v>212393793</v>
      </c>
    </row>
    <row r="8" spans="2:9" ht="14" x14ac:dyDescent="0.3">
      <c r="B8" s="4" t="s">
        <v>129</v>
      </c>
      <c r="C8" s="5">
        <f>C6*C7/1000000</f>
        <v>1187493.6966629999</v>
      </c>
    </row>
    <row r="9" spans="2:9" ht="14" x14ac:dyDescent="0.3">
      <c r="B9" s="4" t="s">
        <v>73</v>
      </c>
      <c r="C9" s="5">
        <f>'DCF Model'!C16</f>
        <v>551792</v>
      </c>
    </row>
    <row r="10" spans="2:9" ht="14" x14ac:dyDescent="0.3">
      <c r="B10" s="4" t="s">
        <v>130</v>
      </c>
      <c r="C10" s="5">
        <f>C8+C9</f>
        <v>1739285.6966629999</v>
      </c>
    </row>
    <row r="11" spans="2:9" ht="14" x14ac:dyDescent="0.3">
      <c r="B11" s="4" t="s">
        <v>131</v>
      </c>
      <c r="C11" s="16">
        <f>'DCF Model'!C26</f>
        <v>7.766142554789375E-2</v>
      </c>
    </row>
    <row r="12" spans="2:9" ht="14" x14ac:dyDescent="0.3">
      <c r="B12" s="4" t="s">
        <v>132</v>
      </c>
      <c r="C12" s="16">
        <f>'DCF Model'!C13</f>
        <v>0.01</v>
      </c>
    </row>
    <row r="13" spans="2:9" ht="14" x14ac:dyDescent="0.3">
      <c r="B13" s="4" t="s">
        <v>133</v>
      </c>
      <c r="C13" s="16">
        <f>'DCF Model'!C6</f>
        <v>0.25</v>
      </c>
    </row>
    <row r="14" spans="2:9" ht="14" x14ac:dyDescent="0.3">
      <c r="B14" s="4" t="s">
        <v>134</v>
      </c>
      <c r="C14" s="27">
        <v>125468</v>
      </c>
    </row>
    <row r="15" spans="2:9" ht="14" x14ac:dyDescent="0.3">
      <c r="B15" s="4" t="s">
        <v>135</v>
      </c>
      <c r="C15" s="27">
        <v>182706</v>
      </c>
    </row>
    <row r="16" spans="2:9" ht="14" x14ac:dyDescent="0.3">
      <c r="B16" s="4" t="s">
        <v>136</v>
      </c>
      <c r="C16" s="5">
        <f>'DCF Model'!G33</f>
        <v>2295456.9691269598</v>
      </c>
    </row>
    <row r="17" spans="2:9" ht="14" x14ac:dyDescent="0.3">
      <c r="B17" s="4" t="s">
        <v>137</v>
      </c>
      <c r="C17" s="5">
        <f>'DCF Model'!C53</f>
        <v>1182548.3046391527</v>
      </c>
    </row>
    <row r="18" spans="2:9" ht="14" x14ac:dyDescent="0.3">
      <c r="B18" s="4" t="s">
        <v>138</v>
      </c>
      <c r="C18" s="26">
        <v>8.9743274878504267E-2</v>
      </c>
    </row>
    <row r="19" spans="2:9" ht="14" x14ac:dyDescent="0.3">
      <c r="B19" s="4" t="s">
        <v>139</v>
      </c>
      <c r="C19" s="5">
        <f>C10-C17</f>
        <v>556737.39202384721</v>
      </c>
    </row>
    <row r="20" spans="2:9" ht="14" x14ac:dyDescent="0.3">
      <c r="B20" s="4" t="s">
        <v>140</v>
      </c>
      <c r="C20" s="15">
        <f>IFERROR(ROUND(C19*1000000/C7,0),"N/A")</f>
        <v>2621</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117682.5496712801</v>
      </c>
    </row>
    <row r="25" spans="2:9" ht="14" x14ac:dyDescent="0.3">
      <c r="B25" s="4" t="s">
        <v>144</v>
      </c>
      <c r="C25" s="5">
        <f>IFERROR(C24/(1-C13),"N/A")</f>
        <v>156910.06622837347</v>
      </c>
    </row>
    <row r="26" spans="2:9" ht="13.5" x14ac:dyDescent="0.25">
      <c r="B26" s="6" t="s">
        <v>145</v>
      </c>
      <c r="C26" s="14">
        <f>IFERROR(C25/C15,"N/A")</f>
        <v>0.85881178630353394</v>
      </c>
    </row>
    <row r="27" spans="2:9" ht="13.5" x14ac:dyDescent="0.25">
      <c r="B27" s="6" t="s">
        <v>146</v>
      </c>
      <c r="C27" s="14">
        <f>IFERROR(C25/C14,"N/A")</f>
        <v>1.2505982898298647</v>
      </c>
    </row>
    <row r="28" spans="2:9" ht="13.5" x14ac:dyDescent="0.25">
      <c r="B28" s="6" t="s">
        <v>147</v>
      </c>
      <c r="C28" s="7">
        <f>IFERROR(C25/C16,"N/A")</f>
        <v>6.8356788360119727E-2</v>
      </c>
    </row>
    <row r="29" spans="2:9" ht="13.5" x14ac:dyDescent="0.25">
      <c r="B29" s="6" t="s">
        <v>148</v>
      </c>
      <c r="C29" s="5">
        <f>IFERROR(C25/C18,"N/A")</f>
        <v>1748432.5866289209</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5.7661425547893747E-2</v>
      </c>
      <c r="E36" s="29">
        <f>'DCF Model'!C26-0.01</f>
        <v>6.7661425547893755E-2</v>
      </c>
      <c r="F36" s="29">
        <f>'DCF Model'!C26</f>
        <v>7.766142554789375E-2</v>
      </c>
      <c r="G36" s="29">
        <f>'DCF Model'!C26+0.01</f>
        <v>8.7661425547893745E-2</v>
      </c>
      <c r="H36" s="29">
        <f>'DCF Model'!C26+0.02</f>
        <v>9.7661425547893754E-2</v>
      </c>
    </row>
    <row r="37" spans="2:9" ht="14" x14ac:dyDescent="0.3">
      <c r="B37" s="3" t="s">
        <v>154</v>
      </c>
    </row>
    <row r="38" spans="2:9" ht="14" x14ac:dyDescent="0.3">
      <c r="B38" s="4" t="s">
        <v>155</v>
      </c>
      <c r="C38" s="30">
        <v>3</v>
      </c>
      <c r="D38" s="13">
        <f t="shared" ref="D38:H41" si="0">IFERROR((1-(1+D$36)^(-$C38))/D$36-(1+D$36)/(D$36^2*$C38)*(1-($C38+1)/(1+D$36)^$C38+$C38/(1+D$36)^($C38+1)),"N/A")</f>
        <v>0.92830026704072854</v>
      </c>
      <c r="E38" s="13">
        <f t="shared" si="0"/>
        <v>0.91684075261204057</v>
      </c>
      <c r="F38" s="13">
        <f t="shared" si="0"/>
        <v>0.9056447470452722</v>
      </c>
      <c r="G38" s="13">
        <f t="shared" si="0"/>
        <v>0.89470359296068702</v>
      </c>
      <c r="H38" s="13">
        <f t="shared" si="0"/>
        <v>0.88400899862755722</v>
      </c>
    </row>
    <row r="39" spans="2:9" ht="14" x14ac:dyDescent="0.3">
      <c r="B39" s="4" t="s">
        <v>156</v>
      </c>
      <c r="C39" s="30">
        <v>5</v>
      </c>
      <c r="D39" s="13">
        <f t="shared" si="0"/>
        <v>1.7906525142937779</v>
      </c>
      <c r="E39" s="13">
        <f t="shared" si="0"/>
        <v>1.7582524564535147</v>
      </c>
      <c r="F39" s="13">
        <f t="shared" si="0"/>
        <v>1.7268771906678877</v>
      </c>
      <c r="G39" s="13">
        <f t="shared" si="0"/>
        <v>1.6964824868130255</v>
      </c>
      <c r="H39" s="13">
        <f t="shared" si="0"/>
        <v>1.6670264850998362</v>
      </c>
    </row>
    <row r="40" spans="2:9" ht="14" x14ac:dyDescent="0.3">
      <c r="B40" s="4" t="s">
        <v>157</v>
      </c>
      <c r="C40" s="30">
        <v>7</v>
      </c>
      <c r="D40" s="13">
        <f t="shared" si="0"/>
        <v>2.592317656194858</v>
      </c>
      <c r="E40" s="13">
        <f t="shared" si="0"/>
        <v>2.5312013010732151</v>
      </c>
      <c r="F40" s="13">
        <f t="shared" si="0"/>
        <v>2.4725267653245995</v>
      </c>
      <c r="G40" s="13">
        <f t="shared" si="0"/>
        <v>2.4161642585908494</v>
      </c>
      <c r="H40" s="13">
        <f t="shared" si="0"/>
        <v>2.3619923800871727</v>
      </c>
    </row>
    <row r="41" spans="2:9" ht="14" x14ac:dyDescent="0.3">
      <c r="B41" s="4" t="s">
        <v>158</v>
      </c>
      <c r="C41" s="30">
        <v>10</v>
      </c>
      <c r="D41" s="13">
        <f t="shared" si="0"/>
        <v>3.6914444770687629</v>
      </c>
      <c r="E41" s="13">
        <f t="shared" si="0"/>
        <v>3.575825714568285</v>
      </c>
      <c r="F41" s="13">
        <f t="shared" si="0"/>
        <v>3.4662047138064045</v>
      </c>
      <c r="G41" s="13">
        <f t="shared" si="0"/>
        <v>3.362176210492108</v>
      </c>
      <c r="H41" s="13">
        <f t="shared" si="0"/>
        <v>3.2633676239848173</v>
      </c>
    </row>
    <row r="42" spans="2:9" ht="14" x14ac:dyDescent="0.3">
      <c r="B42" s="3" t="s">
        <v>159</v>
      </c>
    </row>
    <row r="43" spans="2:9" ht="14" x14ac:dyDescent="0.3">
      <c r="B43" s="4" t="s">
        <v>155</v>
      </c>
      <c r="C43" s="30">
        <v>3</v>
      </c>
      <c r="D43" s="13">
        <f t="shared" ref="D43:H46" si="1">IFERROR((1+D$36)/(D$36^2*$C43)*(1-($C43+1)/(1+D$36)^$C43+$C43/(1+D$36)^($C43+1))+(1+$C$12)/((D$36-$C$12)*(1+D$36)^$C43),"N/A")</f>
        <v>19.6670932239834</v>
      </c>
      <c r="E43" s="13">
        <f t="shared" si="1"/>
        <v>16.111198933193631</v>
      </c>
      <c r="F43" s="13">
        <f t="shared" si="1"/>
        <v>13.609420549172643</v>
      </c>
      <c r="G43" s="13">
        <f t="shared" si="1"/>
        <v>11.754470985559459</v>
      </c>
      <c r="H43" s="13">
        <f t="shared" si="1"/>
        <v>10.324912157157852</v>
      </c>
    </row>
    <row r="44" spans="2:9" ht="14" x14ac:dyDescent="0.3">
      <c r="B44" s="4" t="s">
        <v>156</v>
      </c>
      <c r="C44" s="30">
        <v>5</v>
      </c>
      <c r="D44" s="13">
        <f t="shared" si="1"/>
        <v>18.459740077549448</v>
      </c>
      <c r="E44" s="13">
        <f t="shared" si="1"/>
        <v>14.993818520035212</v>
      </c>
      <c r="F44" s="13">
        <f t="shared" si="1"/>
        <v>12.560518905271497</v>
      </c>
      <c r="G44" s="13">
        <f t="shared" si="1"/>
        <v>10.76061312835742</v>
      </c>
      <c r="H44" s="13">
        <f t="shared" si="1"/>
        <v>9.3770582203114916</v>
      </c>
    </row>
    <row r="45" spans="2:9" ht="14" x14ac:dyDescent="0.3">
      <c r="B45" s="4" t="s">
        <v>157</v>
      </c>
      <c r="C45" s="30">
        <v>7</v>
      </c>
      <c r="D45" s="13">
        <f t="shared" si="1"/>
        <v>17.349666039864456</v>
      </c>
      <c r="E45" s="13">
        <f t="shared" si="1"/>
        <v>13.978770818777104</v>
      </c>
      <c r="F45" s="13">
        <f t="shared" si="1"/>
        <v>11.618831627001054</v>
      </c>
      <c r="G45" s="13">
        <f t="shared" si="1"/>
        <v>9.8785663813943181</v>
      </c>
      <c r="H45" s="13">
        <f t="shared" si="1"/>
        <v>8.5452827643911711</v>
      </c>
    </row>
    <row r="46" spans="2:9" ht="14" x14ac:dyDescent="0.3">
      <c r="B46" s="4" t="s">
        <v>158</v>
      </c>
      <c r="C46" s="30">
        <v>10</v>
      </c>
      <c r="D46" s="13">
        <f t="shared" si="1"/>
        <v>15.848159812610813</v>
      </c>
      <c r="E46" s="13">
        <f t="shared" si="1"/>
        <v>12.625552202457124</v>
      </c>
      <c r="F46" s="13">
        <f t="shared" si="1"/>
        <v>10.380962004079413</v>
      </c>
      <c r="G46" s="13">
        <f t="shared" si="1"/>
        <v>8.7348630767422328</v>
      </c>
      <c r="H46" s="13">
        <f t="shared" si="1"/>
        <v>7.4810448417915882</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111992.94133408737</v>
      </c>
      <c r="E48" s="5">
        <f t="shared" si="2"/>
        <v>136800.08726483089</v>
      </c>
      <c r="F48" s="5">
        <f t="shared" si="2"/>
        <v>162050.84944358372</v>
      </c>
      <c r="G48" s="5">
        <f t="shared" si="2"/>
        <v>187740.55658141914</v>
      </c>
      <c r="H48" s="5">
        <f t="shared" si="2"/>
        <v>213864.55602724457</v>
      </c>
    </row>
    <row r="49" spans="2:9" ht="14" x14ac:dyDescent="0.3">
      <c r="B49" s="4" t="s">
        <v>156</v>
      </c>
      <c r="C49" s="30">
        <v>5</v>
      </c>
      <c r="D49" s="5">
        <f t="shared" si="2"/>
        <v>113456.52739901883</v>
      </c>
      <c r="E49" s="5">
        <f t="shared" si="2"/>
        <v>139953.88656601059</v>
      </c>
      <c r="F49" s="5">
        <f t="shared" si="2"/>
        <v>167380.009062333</v>
      </c>
      <c r="G49" s="5">
        <f t="shared" si="2"/>
        <v>195731.72139650324</v>
      </c>
      <c r="H49" s="5">
        <f t="shared" si="2"/>
        <v>225005.44061334335</v>
      </c>
    </row>
    <row r="50" spans="2:9" ht="14" x14ac:dyDescent="0.3">
      <c r="B50" s="4" t="s">
        <v>157</v>
      </c>
      <c r="C50" s="30">
        <v>7</v>
      </c>
      <c r="D50" s="5">
        <f t="shared" si="2"/>
        <v>114918.33210403319</v>
      </c>
      <c r="E50" s="5">
        <f t="shared" si="2"/>
        <v>143178.7427274457</v>
      </c>
      <c r="F50" s="5">
        <f t="shared" si="2"/>
        <v>172893.85644341409</v>
      </c>
      <c r="G50" s="5">
        <f t="shared" si="2"/>
        <v>204067.69773300391</v>
      </c>
      <c r="H50" s="5">
        <f t="shared" si="2"/>
        <v>236702.89110087755</v>
      </c>
    </row>
    <row r="51" spans="2:9" ht="14" x14ac:dyDescent="0.3">
      <c r="B51" s="4" t="s">
        <v>158</v>
      </c>
      <c r="C51" s="30">
        <v>10</v>
      </c>
      <c r="D51" s="5">
        <f t="shared" si="2"/>
        <v>117104.41223750288</v>
      </c>
      <c r="E51" s="5">
        <f t="shared" si="2"/>
        <v>148143.69025627294</v>
      </c>
      <c r="F51" s="5">
        <f t="shared" si="2"/>
        <v>181500.50272589276</v>
      </c>
      <c r="G51" s="5">
        <f t="shared" si="2"/>
        <v>217198.83346817453</v>
      </c>
      <c r="H51" s="5">
        <f t="shared" si="2"/>
        <v>255258.37993068647</v>
      </c>
    </row>
    <row r="52" spans="2:9" ht="14" x14ac:dyDescent="0.3">
      <c r="B52" s="22" t="s">
        <v>161</v>
      </c>
      <c r="C52" s="23"/>
      <c r="D52" s="23"/>
      <c r="E52" s="23"/>
      <c r="F52" s="23"/>
      <c r="G52" s="23"/>
      <c r="H52" s="23"/>
      <c r="I52" s="23"/>
    </row>
    <row r="53" spans="2:9" ht="14" x14ac:dyDescent="0.3">
      <c r="B53" s="4" t="s">
        <v>155</v>
      </c>
      <c r="C53" s="30">
        <v>3</v>
      </c>
      <c r="D53" s="14">
        <f t="shared" ref="D53:H56" si="3">IFERROR(D48/$C$15,"N/A")</f>
        <v>0.61296805432819601</v>
      </c>
      <c r="E53" s="14">
        <f t="shared" si="3"/>
        <v>0.74874436124063182</v>
      </c>
      <c r="F53" s="14">
        <f t="shared" si="3"/>
        <v>0.88694870143062476</v>
      </c>
      <c r="G53" s="14">
        <f t="shared" si="3"/>
        <v>1.0275555076539311</v>
      </c>
      <c r="H53" s="14">
        <f t="shared" si="3"/>
        <v>1.1705393146762808</v>
      </c>
    </row>
    <row r="54" spans="2:9" ht="14" x14ac:dyDescent="0.3">
      <c r="B54" s="4" t="s">
        <v>156</v>
      </c>
      <c r="C54" s="30">
        <v>5</v>
      </c>
      <c r="D54" s="14">
        <f t="shared" si="3"/>
        <v>0.62097866188860151</v>
      </c>
      <c r="E54" s="14">
        <f t="shared" si="3"/>
        <v>0.76600596896659434</v>
      </c>
      <c r="F54" s="14">
        <f t="shared" si="3"/>
        <v>0.9161166522299925</v>
      </c>
      <c r="G54" s="14">
        <f t="shared" si="3"/>
        <v>1.0712933422903639</v>
      </c>
      <c r="H54" s="14">
        <f t="shared" si="3"/>
        <v>1.2315164286522793</v>
      </c>
    </row>
    <row r="55" spans="2:9" ht="14" x14ac:dyDescent="0.3">
      <c r="B55" s="4" t="s">
        <v>157</v>
      </c>
      <c r="C55" s="30">
        <v>7</v>
      </c>
      <c r="D55" s="14">
        <f t="shared" si="3"/>
        <v>0.62897951957808274</v>
      </c>
      <c r="E55" s="14">
        <f t="shared" si="3"/>
        <v>0.78365649035853069</v>
      </c>
      <c r="F55" s="14">
        <f t="shared" si="3"/>
        <v>0.94629544975761104</v>
      </c>
      <c r="G55" s="14">
        <f t="shared" si="3"/>
        <v>1.1169184248629158</v>
      </c>
      <c r="H55" s="14">
        <f t="shared" si="3"/>
        <v>1.2955397803075845</v>
      </c>
    </row>
    <row r="56" spans="2:9" ht="14" x14ac:dyDescent="0.3">
      <c r="B56" s="4" t="s">
        <v>158</v>
      </c>
      <c r="C56" s="30">
        <v>10</v>
      </c>
      <c r="D56" s="14">
        <f t="shared" si="3"/>
        <v>0.64094453514117156</v>
      </c>
      <c r="E56" s="14">
        <f t="shared" si="3"/>
        <v>0.81083100859453405</v>
      </c>
      <c r="F56" s="14">
        <f t="shared" si="3"/>
        <v>0.9934019831088895</v>
      </c>
      <c r="G56" s="14">
        <f t="shared" si="3"/>
        <v>1.188788728712656</v>
      </c>
      <c r="H56" s="14">
        <f t="shared" si="3"/>
        <v>1.3970990549335351</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167380.009062333</v>
      </c>
    </row>
    <row r="62" spans="2:9" ht="14" x14ac:dyDescent="0.3">
      <c r="B62" s="28" t="s">
        <v>165</v>
      </c>
      <c r="C62" s="28" t="s">
        <v>166</v>
      </c>
      <c r="D62" s="28" t="s">
        <v>167</v>
      </c>
    </row>
    <row r="63" spans="2:9" ht="14" x14ac:dyDescent="0.3">
      <c r="B63" s="31">
        <v>4.4900000000000002E-2</v>
      </c>
      <c r="C63" s="5">
        <f>IFERROR($C$60/B63,"N/A")</f>
        <v>3727839.8454862582</v>
      </c>
      <c r="D63" s="14">
        <f>IFERROR(C63/'DCF Model'!C17,"N/A")</f>
        <v>1.8106576182448388</v>
      </c>
    </row>
    <row r="64" spans="2:9" ht="14" x14ac:dyDescent="0.3">
      <c r="B64" s="31">
        <v>6.7299999999999999E-2</v>
      </c>
      <c r="C64" s="5">
        <f>IFERROR($C$60/B64,"N/A")</f>
        <v>2487072.9429767164</v>
      </c>
      <c r="D64" s="14">
        <f>IFERROR(C64/'DCF Model'!C17,"N/A")</f>
        <v>1.2080018879523517</v>
      </c>
    </row>
    <row r="65" spans="2:9" ht="14" x14ac:dyDescent="0.3">
      <c r="B65" s="4" t="s">
        <v>168</v>
      </c>
      <c r="C65" s="5">
        <f>IFERROR($C$60/$C$18,"N/A")</f>
        <v>1865098.0732420837</v>
      </c>
      <c r="D65" s="14">
        <f>IFERROR(C65/'DCF Model'!C17,"N/A")</f>
        <v>0.90590105129611531</v>
      </c>
    </row>
    <row r="66" spans="2:9" ht="14" x14ac:dyDescent="0.3">
      <c r="B66" s="31">
        <v>0.11219999999999999</v>
      </c>
      <c r="C66" s="5">
        <f>IFERROR($C$60/B66,"N/A")</f>
        <v>1491800.4372756954</v>
      </c>
      <c r="D66" s="14">
        <f>IFERROR(C66/'DCF Model'!C17,"N/A")</f>
        <v>0.72458580266660677</v>
      </c>
    </row>
    <row r="67" spans="2:9" ht="14" x14ac:dyDescent="0.3">
      <c r="B67" s="31">
        <v>0.1346</v>
      </c>
      <c r="C67" s="5">
        <f>IFERROR($C$60/B67,"N/A")</f>
        <v>1243536.4714883582</v>
      </c>
      <c r="D67" s="14">
        <f>IFERROR(C67/'DCF Model'!C17,"N/A")</f>
        <v>0.60400094397617587</v>
      </c>
    </row>
    <row r="69" spans="2:9" ht="14" x14ac:dyDescent="0.3">
      <c r="B69" s="8" t="s">
        <v>169</v>
      </c>
      <c r="C69" s="9"/>
      <c r="D69" s="9"/>
      <c r="E69" s="9"/>
      <c r="F69" s="9"/>
      <c r="G69" s="9"/>
      <c r="H69" s="9"/>
      <c r="I69" s="9"/>
    </row>
    <row r="70" spans="2:9" ht="13.5" x14ac:dyDescent="0.25">
      <c r="B70" s="6" t="s">
        <v>170</v>
      </c>
      <c r="C70" s="14">
        <f>IFERROR(C10/'Comps Analysis'!G5,"N/A")</f>
        <v>5.6976443231530736</v>
      </c>
    </row>
    <row r="71" spans="2:9" ht="13.5" x14ac:dyDescent="0.25">
      <c r="B71" s="6" t="s">
        <v>171</v>
      </c>
      <c r="C71" s="14">
        <f>IFERROR(C10/'Comps Analysis'!F5,"N/A")</f>
        <v>0.84479243409029969</v>
      </c>
    </row>
    <row r="72" spans="2:9" ht="14" x14ac:dyDescent="0.3">
      <c r="B72" s="4" t="s">
        <v>172</v>
      </c>
      <c r="C72" s="14">
        <f>IFERROR(C10/(C25+'DCF Model'!G42),"N/A")</f>
        <v>4.8678109594816741</v>
      </c>
    </row>
    <row r="73" spans="2:9" ht="14" x14ac:dyDescent="0.3">
      <c r="B73" s="4" t="s">
        <v>173</v>
      </c>
      <c r="C73" s="14">
        <f>IFERROR(C10/(C60+'DCF Model'!G42),"N/A")</f>
        <v>4.729231872113191</v>
      </c>
    </row>
    <row r="74" spans="2:9" ht="14" x14ac:dyDescent="0.3">
      <c r="B74" s="4" t="s">
        <v>174</v>
      </c>
      <c r="C74" s="14">
        <f>IFERROR('Comps Analysis'!D16,"N/A")</f>
        <v>6.5355004397208241</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FY2022 cycle peak of "&amp;TEXT(C15,"#,##0")&amp;" mn - reached in 5 years and sustained for ever, against "&amp;TEXT(C14,"#,##0")&amp;" mn actually earned in FY2025."</f>
        <v>At 5,591 yen the market is paying for a steady-state operating profit of 167,380 mn JPY - 0.92x the FY2022 cycle peak of 182,706 mn - reached in 5 years and sustained for ever, against 125,468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156,910 mn, or 0.86x the peak. The base case supports an EV of only 1,182,548 mn, leaving 2,621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57.510539956635604</v>
      </c>
      <c r="D5" s="34">
        <f>CHOOSE('DCF Model'!$D$27,D25,D26,D27,D28,D29)</f>
        <v>59</v>
      </c>
      <c r="E5" s="34">
        <f>CHOOSE('DCF Model'!$D$27,E25,E26,E27,E28,E29)</f>
        <v>59</v>
      </c>
      <c r="F5" s="34">
        <f>CHOOSE('DCF Model'!$D$27,F25,F26,F27,F28,F29)</f>
        <v>59</v>
      </c>
      <c r="G5" s="34">
        <f>CHOOSE('DCF Model'!$D$27,G25,G26,G27,G28,G29)</f>
        <v>59</v>
      </c>
      <c r="H5" s="34">
        <f>CHOOSE('DCF Model'!$D$27,H25,H26,H27,H28,H29)</f>
        <v>59</v>
      </c>
    </row>
    <row r="6" spans="2:8" ht="14" x14ac:dyDescent="0.3">
      <c r="B6" s="33" t="s">
        <v>181</v>
      </c>
      <c r="C6" s="34">
        <f>C13/C10*365</f>
        <v>109.00802754133286</v>
      </c>
      <c r="D6" s="34">
        <f>CHOOSE('DCF Model'!$D$27,D32,D33,D34,D35,D36)</f>
        <v>107</v>
      </c>
      <c r="E6" s="34">
        <f>CHOOSE('DCF Model'!$D$27,E32,E33,E34,E35,E36)</f>
        <v>107</v>
      </c>
      <c r="F6" s="34">
        <f>CHOOSE('DCF Model'!$D$27,F32,F33,F34,F35,F36)</f>
        <v>107</v>
      </c>
      <c r="G6" s="34">
        <f>CHOOSE('DCF Model'!$D$27,G32,G33,G34,G35,G36)</f>
        <v>107</v>
      </c>
      <c r="H6" s="34">
        <f>CHOOSE('DCF Model'!$D$27,H32,H33,H34,H35,H36)</f>
        <v>107</v>
      </c>
    </row>
    <row r="7" spans="2:8" ht="14" x14ac:dyDescent="0.3">
      <c r="B7" s="33" t="s">
        <v>182</v>
      </c>
      <c r="C7" s="34">
        <f>C15/C10*365</f>
        <v>49.193966831046247</v>
      </c>
      <c r="D7" s="34">
        <f>CHOOSE('DCF Model'!$D$27,D39,D40,D41,D42,D43)</f>
        <v>49</v>
      </c>
      <c r="E7" s="34">
        <f>CHOOSE('DCF Model'!$D$27,E39,E40,E41,E42,E43)</f>
        <v>49</v>
      </c>
      <c r="F7" s="34">
        <f>CHOOSE('DCF Model'!$D$27,F39,F40,F41,F42,F43)</f>
        <v>49</v>
      </c>
      <c r="G7" s="34">
        <f>CHOOSE('DCF Model'!$D$27,G39,G40,G41,G42,G43)</f>
        <v>49</v>
      </c>
      <c r="H7" s="34">
        <f>CHOOSE('DCF Model'!$D$27,H39,H40,H41,H42,H43)</f>
        <v>49</v>
      </c>
    </row>
    <row r="8" spans="2:8" ht="14" x14ac:dyDescent="0.3">
      <c r="B8" s="8" t="s">
        <v>183</v>
      </c>
      <c r="C8" s="9"/>
      <c r="D8" s="9"/>
      <c r="E8" s="9"/>
      <c r="F8" s="9"/>
      <c r="G8" s="9"/>
      <c r="H8" s="9"/>
    </row>
    <row r="9" spans="2:8" ht="14" x14ac:dyDescent="0.3">
      <c r="B9" s="33" t="s">
        <v>37</v>
      </c>
      <c r="C9" s="35">
        <v>2058832</v>
      </c>
      <c r="D9" s="35">
        <f>'DCF Model'!C33</f>
        <v>2100008.64</v>
      </c>
      <c r="E9" s="35">
        <f>'DCF Model'!D33</f>
        <v>2152508.8560000001</v>
      </c>
      <c r="F9" s="35">
        <f>'DCF Model'!E33</f>
        <v>2206321.5773999998</v>
      </c>
      <c r="G9" s="35">
        <f>'DCF Model'!F33</f>
        <v>2250448.0089479997</v>
      </c>
      <c r="H9" s="35">
        <f>'DCF Model'!G33</f>
        <v>2295456.9691269598</v>
      </c>
    </row>
    <row r="10" spans="2:8" ht="14" x14ac:dyDescent="0.3">
      <c r="B10" s="33" t="s">
        <v>38</v>
      </c>
      <c r="C10" s="35">
        <v>1558385</v>
      </c>
      <c r="D10" s="35">
        <f>'DCF Model'!C34</f>
        <v>1589706.5404800002</v>
      </c>
      <c r="E10" s="35">
        <f>'DCF Model'!D34</f>
        <v>1629449.2039920001</v>
      </c>
      <c r="F10" s="35">
        <f>'DCF Model'!E34</f>
        <v>1670185.4340917999</v>
      </c>
      <c r="G10" s="35">
        <f>'DCF Model'!F34</f>
        <v>1703589.1427736357</v>
      </c>
      <c r="H10" s="35">
        <f>'DCF Model'!G34</f>
        <v>1737660.9256291087</v>
      </c>
    </row>
    <row r="11" spans="2:8" ht="14" x14ac:dyDescent="0.3">
      <c r="B11" s="8" t="s">
        <v>184</v>
      </c>
      <c r="C11" s="9"/>
      <c r="D11" s="9"/>
      <c r="E11" s="9"/>
      <c r="F11" s="9"/>
      <c r="G11" s="9"/>
      <c r="H11" s="9"/>
    </row>
    <row r="12" spans="2:8" ht="14" x14ac:dyDescent="0.3">
      <c r="B12" s="33" t="s">
        <v>185</v>
      </c>
      <c r="C12" s="35">
        <v>324396</v>
      </c>
      <c r="D12" s="35">
        <f t="shared" ref="D12:H13" si="0">D9*D5/365</f>
        <v>339453.4513972603</v>
      </c>
      <c r="E12" s="35">
        <f t="shared" si="0"/>
        <v>347939.78768219182</v>
      </c>
      <c r="F12" s="35">
        <f t="shared" si="0"/>
        <v>356638.28237424657</v>
      </c>
      <c r="G12" s="35">
        <f t="shared" si="0"/>
        <v>363771.04802173149</v>
      </c>
      <c r="H12" s="35">
        <f t="shared" si="0"/>
        <v>371046.46898216614</v>
      </c>
    </row>
    <row r="13" spans="2:8" ht="14" x14ac:dyDescent="0.3">
      <c r="B13" s="33" t="s">
        <v>186</v>
      </c>
      <c r="C13" s="35">
        <v>465415</v>
      </c>
      <c r="D13" s="35">
        <f t="shared" si="0"/>
        <v>466023.56118180824</v>
      </c>
      <c r="E13" s="35">
        <f t="shared" si="0"/>
        <v>477674.15021135344</v>
      </c>
      <c r="F13" s="35">
        <f t="shared" si="0"/>
        <v>489616.00396663725</v>
      </c>
      <c r="G13" s="35">
        <f t="shared" si="0"/>
        <v>499408.32404596993</v>
      </c>
      <c r="H13" s="35">
        <f t="shared" si="0"/>
        <v>509396.49052688939</v>
      </c>
    </row>
    <row r="14" spans="2:8" ht="14" x14ac:dyDescent="0.3">
      <c r="B14" s="33" t="s">
        <v>187</v>
      </c>
      <c r="C14" s="35">
        <f t="shared" ref="C14:H14" si="1">C12+C13</f>
        <v>789811</v>
      </c>
      <c r="D14" s="35">
        <f t="shared" si="1"/>
        <v>805477.01257906854</v>
      </c>
      <c r="E14" s="35">
        <f t="shared" si="1"/>
        <v>825613.93789354526</v>
      </c>
      <c r="F14" s="35">
        <f t="shared" si="1"/>
        <v>846254.28634088382</v>
      </c>
      <c r="G14" s="35">
        <f t="shared" si="1"/>
        <v>863179.37206770142</v>
      </c>
      <c r="H14" s="35">
        <f t="shared" si="1"/>
        <v>880442.9595090556</v>
      </c>
    </row>
    <row r="15" spans="2:8" ht="14" x14ac:dyDescent="0.3">
      <c r="B15" s="33" t="s">
        <v>188</v>
      </c>
      <c r="C15" s="35">
        <v>210036</v>
      </c>
      <c r="D15" s="35">
        <f>D10*D7/365</f>
        <v>213412.65885895895</v>
      </c>
      <c r="E15" s="35">
        <f>E10*E7/365</f>
        <v>218747.97533043288</v>
      </c>
      <c r="F15" s="35">
        <f>F10*F7/365</f>
        <v>224216.6747136937</v>
      </c>
      <c r="G15" s="35">
        <f>G10*G7/365</f>
        <v>228701.0082079675</v>
      </c>
      <c r="H15" s="35">
        <f>H10*H7/365</f>
        <v>233275.02837212689</v>
      </c>
    </row>
    <row r="16" spans="2:8" ht="14" x14ac:dyDescent="0.3">
      <c r="B16" s="33" t="s">
        <v>189</v>
      </c>
      <c r="C16" s="35">
        <f t="shared" ref="C16:H16" si="2">C15</f>
        <v>210036</v>
      </c>
      <c r="D16" s="35">
        <f t="shared" si="2"/>
        <v>213412.65885895895</v>
      </c>
      <c r="E16" s="35">
        <f t="shared" si="2"/>
        <v>218747.97533043288</v>
      </c>
      <c r="F16" s="35">
        <f t="shared" si="2"/>
        <v>224216.6747136937</v>
      </c>
      <c r="G16" s="35">
        <f t="shared" si="2"/>
        <v>228701.0082079675</v>
      </c>
      <c r="H16" s="35">
        <f t="shared" si="2"/>
        <v>233275.02837212689</v>
      </c>
    </row>
    <row r="17" spans="2:8" ht="14" x14ac:dyDescent="0.3">
      <c r="B17" s="22" t="s">
        <v>190</v>
      </c>
      <c r="C17" s="23"/>
      <c r="D17" s="23"/>
      <c r="E17" s="23"/>
      <c r="F17" s="23"/>
      <c r="G17" s="23"/>
      <c r="H17" s="23"/>
    </row>
    <row r="18" spans="2:8" ht="14" x14ac:dyDescent="0.3">
      <c r="B18" s="33" t="s">
        <v>191</v>
      </c>
      <c r="C18" s="20">
        <f t="shared" ref="C18:H18" si="3">C14-C16</f>
        <v>579775</v>
      </c>
      <c r="D18" s="20">
        <f t="shared" si="3"/>
        <v>592064.35372010956</v>
      </c>
      <c r="E18" s="20">
        <f t="shared" si="3"/>
        <v>606865.96256311238</v>
      </c>
      <c r="F18" s="20">
        <f t="shared" si="3"/>
        <v>622037.61162719014</v>
      </c>
      <c r="G18" s="20">
        <f t="shared" si="3"/>
        <v>634478.36385973392</v>
      </c>
      <c r="H18" s="20">
        <f t="shared" si="3"/>
        <v>647167.93113692873</v>
      </c>
    </row>
    <row r="19" spans="2:8" ht="14" x14ac:dyDescent="0.3">
      <c r="B19" s="33" t="s">
        <v>100</v>
      </c>
      <c r="C19" s="36" t="s">
        <v>47</v>
      </c>
      <c r="D19" s="24">
        <f>D18-C18</f>
        <v>12289.353720109561</v>
      </c>
      <c r="E19" s="24">
        <f>E18-D18</f>
        <v>14801.608843002818</v>
      </c>
      <c r="F19" s="24">
        <f>F18-E18</f>
        <v>15171.649064077763</v>
      </c>
      <c r="G19" s="24">
        <f>G18-F18</f>
        <v>12440.752232543775</v>
      </c>
      <c r="H19" s="24">
        <f>H18-G18</f>
        <v>12689.567277194816</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59</v>
      </c>
      <c r="E25" s="30">
        <v>59</v>
      </c>
      <c r="F25" s="30">
        <v>59</v>
      </c>
      <c r="G25" s="30">
        <v>59</v>
      </c>
      <c r="H25" s="30">
        <v>59</v>
      </c>
    </row>
    <row r="26" spans="2:8" ht="14" x14ac:dyDescent="0.3">
      <c r="B26" s="4" t="s">
        <v>121</v>
      </c>
      <c r="D26" s="30">
        <v>56</v>
      </c>
      <c r="E26" s="30">
        <v>56</v>
      </c>
      <c r="F26" s="30">
        <v>56</v>
      </c>
      <c r="G26" s="30">
        <v>56</v>
      </c>
      <c r="H26" s="30">
        <v>56</v>
      </c>
    </row>
    <row r="27" spans="2:8" ht="14" x14ac:dyDescent="0.3">
      <c r="B27" s="4" t="s">
        <v>122</v>
      </c>
      <c r="D27" s="30">
        <v>59</v>
      </c>
      <c r="E27" s="30">
        <v>59</v>
      </c>
      <c r="F27" s="30">
        <v>59</v>
      </c>
      <c r="G27" s="30">
        <v>59</v>
      </c>
      <c r="H27" s="30">
        <v>59</v>
      </c>
    </row>
    <row r="28" spans="2:8" ht="14" x14ac:dyDescent="0.3">
      <c r="B28" s="4" t="s">
        <v>123</v>
      </c>
      <c r="D28" s="30">
        <v>63</v>
      </c>
      <c r="E28" s="30">
        <v>63</v>
      </c>
      <c r="F28" s="30">
        <v>63</v>
      </c>
      <c r="G28" s="30">
        <v>63</v>
      </c>
      <c r="H28" s="30">
        <v>63</v>
      </c>
    </row>
    <row r="29" spans="2:8" ht="14" x14ac:dyDescent="0.3">
      <c r="B29" s="4" t="s">
        <v>124</v>
      </c>
      <c r="D29" s="30">
        <v>67</v>
      </c>
      <c r="E29" s="30">
        <v>67</v>
      </c>
      <c r="F29" s="30">
        <v>67</v>
      </c>
      <c r="G29" s="30">
        <v>67</v>
      </c>
      <c r="H29" s="30">
        <v>67</v>
      </c>
    </row>
    <row r="31" spans="2:8" ht="14" x14ac:dyDescent="0.3">
      <c r="B31" s="3" t="s">
        <v>194</v>
      </c>
    </row>
    <row r="32" spans="2:8" ht="14" x14ac:dyDescent="0.3">
      <c r="B32" s="4" t="s">
        <v>84</v>
      </c>
      <c r="D32" s="30">
        <v>107</v>
      </c>
      <c r="E32" s="30">
        <v>107</v>
      </c>
      <c r="F32" s="30">
        <v>107</v>
      </c>
      <c r="G32" s="30">
        <v>107</v>
      </c>
      <c r="H32" s="30">
        <v>107</v>
      </c>
    </row>
    <row r="33" spans="2:8" ht="14" x14ac:dyDescent="0.3">
      <c r="B33" s="4" t="s">
        <v>121</v>
      </c>
      <c r="D33" s="30">
        <v>101</v>
      </c>
      <c r="E33" s="30">
        <v>101</v>
      </c>
      <c r="F33" s="30">
        <v>101</v>
      </c>
      <c r="G33" s="30">
        <v>101</v>
      </c>
      <c r="H33" s="30">
        <v>101</v>
      </c>
    </row>
    <row r="34" spans="2:8" ht="14" x14ac:dyDescent="0.3">
      <c r="B34" s="4" t="s">
        <v>122</v>
      </c>
      <c r="D34" s="30">
        <v>107</v>
      </c>
      <c r="E34" s="30">
        <v>107</v>
      </c>
      <c r="F34" s="30">
        <v>107</v>
      </c>
      <c r="G34" s="30">
        <v>107</v>
      </c>
      <c r="H34" s="30">
        <v>107</v>
      </c>
    </row>
    <row r="35" spans="2:8" ht="14" x14ac:dyDescent="0.3">
      <c r="B35" s="4" t="s">
        <v>123</v>
      </c>
      <c r="D35" s="30">
        <v>114</v>
      </c>
      <c r="E35" s="30">
        <v>114</v>
      </c>
      <c r="F35" s="30">
        <v>114</v>
      </c>
      <c r="G35" s="30">
        <v>114</v>
      </c>
      <c r="H35" s="30">
        <v>114</v>
      </c>
    </row>
    <row r="36" spans="2:8" ht="14" x14ac:dyDescent="0.3">
      <c r="B36" s="4" t="s">
        <v>124</v>
      </c>
      <c r="D36" s="30">
        <v>121</v>
      </c>
      <c r="E36" s="30">
        <v>121</v>
      </c>
      <c r="F36" s="30">
        <v>121</v>
      </c>
      <c r="G36" s="30">
        <v>121</v>
      </c>
      <c r="H36" s="30">
        <v>121</v>
      </c>
    </row>
    <row r="38" spans="2:8" ht="14" x14ac:dyDescent="0.3">
      <c r="B38" s="3" t="s">
        <v>195</v>
      </c>
    </row>
    <row r="39" spans="2:8" ht="14" x14ac:dyDescent="0.3">
      <c r="B39" s="4" t="s">
        <v>84</v>
      </c>
      <c r="D39" s="30">
        <v>49</v>
      </c>
      <c r="E39" s="30">
        <v>49</v>
      </c>
      <c r="F39" s="30">
        <v>49</v>
      </c>
      <c r="G39" s="30">
        <v>49</v>
      </c>
      <c r="H39" s="30">
        <v>49</v>
      </c>
    </row>
    <row r="40" spans="2:8" ht="14" x14ac:dyDescent="0.3">
      <c r="B40" s="4" t="s">
        <v>121</v>
      </c>
      <c r="D40" s="30">
        <v>51</v>
      </c>
      <c r="E40" s="30">
        <v>51</v>
      </c>
      <c r="F40" s="30">
        <v>51</v>
      </c>
      <c r="G40" s="30">
        <v>51</v>
      </c>
      <c r="H40" s="30">
        <v>51</v>
      </c>
    </row>
    <row r="41" spans="2:8" ht="14" x14ac:dyDescent="0.3">
      <c r="B41" s="4" t="s">
        <v>122</v>
      </c>
      <c r="D41" s="30">
        <v>49</v>
      </c>
      <c r="E41" s="30">
        <v>49</v>
      </c>
      <c r="F41" s="30">
        <v>49</v>
      </c>
      <c r="G41" s="30">
        <v>49</v>
      </c>
      <c r="H41" s="30">
        <v>49</v>
      </c>
    </row>
    <row r="42" spans="2:8" ht="14" x14ac:dyDescent="0.3">
      <c r="B42" s="4" t="s">
        <v>123</v>
      </c>
      <c r="D42" s="30">
        <v>46</v>
      </c>
      <c r="E42" s="30">
        <v>46</v>
      </c>
      <c r="F42" s="30">
        <v>46</v>
      </c>
      <c r="G42" s="30">
        <v>46</v>
      </c>
      <c r="H42" s="30">
        <v>46</v>
      </c>
    </row>
    <row r="43" spans="2:8" ht="14" x14ac:dyDescent="0.3">
      <c r="B43" s="4" t="s">
        <v>124</v>
      </c>
      <c r="D43" s="30">
        <v>43</v>
      </c>
      <c r="E43" s="30">
        <v>43</v>
      </c>
      <c r="F43" s="30">
        <v>43</v>
      </c>
      <c r="G43" s="30">
        <v>43</v>
      </c>
      <c r="H43" s="30">
        <v>43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1187493.6966629999</v>
      </c>
      <c r="E5" s="37">
        <f>D5+C24</f>
        <v>1739285.6966629999</v>
      </c>
      <c r="F5" s="37">
        <v>2058832</v>
      </c>
      <c r="G5" s="37">
        <v>305264</v>
      </c>
      <c r="H5" s="37">
        <v>125468</v>
      </c>
      <c r="I5" s="37">
        <v>69162</v>
      </c>
      <c r="J5" s="38">
        <f t="shared" ref="J5:J10" si="0">IFERROR(E5/G5,"")</f>
        <v>5.6976443231530736</v>
      </c>
      <c r="K5" s="38">
        <f t="shared" ref="K5:K10" si="1">IFERROR(E5/F5,"")</f>
        <v>0.84479243409029969</v>
      </c>
      <c r="L5" s="38">
        <f t="shared" ref="L5:L10" si="2">IFERROR(D5/I5,"")</f>
        <v>17.169742006636593</v>
      </c>
      <c r="M5" s="38">
        <f t="shared" ref="M5:M10" si="3">IFERROR(D5/P5,"")</f>
        <v>0.79959121088917706</v>
      </c>
      <c r="N5" s="39">
        <f t="shared" ref="N5:N10" si="4">IFERROR(H5/F5,"")</f>
        <v>6.0941349269877293E-2</v>
      </c>
      <c r="O5" s="39">
        <f t="shared" ref="O5:O10" si="5">IFERROR(I5/P5,"")</f>
        <v>4.6569785997955727E-2</v>
      </c>
      <c r="P5" s="37">
        <v>1485126</v>
      </c>
    </row>
    <row r="6" spans="2:17" ht="14" x14ac:dyDescent="0.3">
      <c r="B6" s="4" t="s">
        <v>214</v>
      </c>
      <c r="C6" t="s">
        <v>215</v>
      </c>
      <c r="D6" s="37">
        <v>348966</v>
      </c>
      <c r="E6" s="37">
        <v>325654</v>
      </c>
      <c r="F6" s="37">
        <v>311402</v>
      </c>
      <c r="G6" s="37">
        <v>58337</v>
      </c>
      <c r="H6" s="37">
        <v>34131</v>
      </c>
      <c r="I6" s="37">
        <v>29616</v>
      </c>
      <c r="J6" s="38">
        <f t="shared" si="0"/>
        <v>5.5822891132557384</v>
      </c>
      <c r="K6" s="38">
        <f t="shared" si="1"/>
        <v>1.0457672076608371</v>
      </c>
      <c r="L6" s="38">
        <f t="shared" si="2"/>
        <v>11.783022690437601</v>
      </c>
      <c r="M6" s="38">
        <f t="shared" si="3"/>
        <v>0.70874748664622134</v>
      </c>
      <c r="N6" s="39">
        <f t="shared" si="4"/>
        <v>0.10960430568846699</v>
      </c>
      <c r="O6" s="39">
        <f t="shared" si="5"/>
        <v>6.0149887279891137E-2</v>
      </c>
      <c r="P6" s="37">
        <v>492370</v>
      </c>
    </row>
    <row r="7" spans="2:17" ht="14" x14ac:dyDescent="0.3">
      <c r="B7" s="4" t="s">
        <v>216</v>
      </c>
      <c r="C7" t="s">
        <v>217</v>
      </c>
      <c r="D7" s="37">
        <v>804059</v>
      </c>
      <c r="E7" s="37">
        <v>1361137</v>
      </c>
      <c r="F7" s="37">
        <v>1668754</v>
      </c>
      <c r="G7" s="37">
        <v>161346</v>
      </c>
      <c r="H7" s="37">
        <v>56602</v>
      </c>
      <c r="I7" s="37">
        <v>34378</v>
      </c>
      <c r="J7" s="38">
        <f t="shared" si="0"/>
        <v>8.4361372454228807</v>
      </c>
      <c r="K7" s="38">
        <f t="shared" si="1"/>
        <v>0.81566066658117375</v>
      </c>
      <c r="L7" s="38">
        <f t="shared" si="2"/>
        <v>23.388766071324685</v>
      </c>
      <c r="M7" s="38">
        <f t="shared" si="3"/>
        <v>0.92984144128725021</v>
      </c>
      <c r="N7" s="39">
        <f t="shared" si="4"/>
        <v>3.3918720194828E-2</v>
      </c>
      <c r="O7" s="39">
        <f t="shared" si="5"/>
        <v>3.9755899838908697E-2</v>
      </c>
      <c r="P7" s="37">
        <v>864727</v>
      </c>
    </row>
    <row r="8" spans="2:17" ht="14" x14ac:dyDescent="0.3">
      <c r="B8" s="4" t="s">
        <v>218</v>
      </c>
      <c r="C8" t="s">
        <v>219</v>
      </c>
      <c r="D8" s="37">
        <v>982369</v>
      </c>
      <c r="E8" s="37">
        <v>1925235</v>
      </c>
      <c r="F8" s="37">
        <v>2328515</v>
      </c>
      <c r="G8" s="37">
        <v>316084</v>
      </c>
      <c r="H8" s="37">
        <v>195015</v>
      </c>
      <c r="I8" s="37">
        <v>60947</v>
      </c>
      <c r="J8" s="38">
        <f t="shared" si="0"/>
        <v>6.090896723655737</v>
      </c>
      <c r="K8" s="38">
        <f t="shared" si="1"/>
        <v>0.82680807295636916</v>
      </c>
      <c r="L8" s="38">
        <f t="shared" si="2"/>
        <v>16.11841436001772</v>
      </c>
      <c r="M8" s="38">
        <f t="shared" si="3"/>
        <v>0.9739501746899798</v>
      </c>
      <c r="N8" s="39">
        <f t="shared" si="4"/>
        <v>8.3750802550123141E-2</v>
      </c>
      <c r="O8" s="39">
        <f t="shared" si="5"/>
        <v>6.0424688988384406E-2</v>
      </c>
      <c r="P8" s="37">
        <v>1008644</v>
      </c>
    </row>
    <row r="9" spans="2:17" ht="14" x14ac:dyDescent="0.3">
      <c r="B9" s="4" t="s">
        <v>220</v>
      </c>
      <c r="C9" t="s">
        <v>221</v>
      </c>
      <c r="D9" s="37">
        <v>2160016</v>
      </c>
      <c r="E9" s="37">
        <v>2794214</v>
      </c>
      <c r="F9" s="37">
        <v>3074505</v>
      </c>
      <c r="G9" s="37">
        <v>427544</v>
      </c>
      <c r="H9" s="37">
        <v>231200</v>
      </c>
      <c r="I9" s="37">
        <v>158794</v>
      </c>
      <c r="J9" s="38">
        <f t="shared" si="0"/>
        <v>6.5355004397208241</v>
      </c>
      <c r="K9" s="38">
        <f t="shared" si="1"/>
        <v>0.90883377974665835</v>
      </c>
      <c r="L9" s="38">
        <f t="shared" si="2"/>
        <v>13.602629822285477</v>
      </c>
      <c r="M9" s="38">
        <f t="shared" si="3"/>
        <v>1.0342630619035376</v>
      </c>
      <c r="N9" s="39">
        <f t="shared" si="4"/>
        <v>7.5199097090425937E-2</v>
      </c>
      <c r="O9" s="39">
        <f t="shared" si="5"/>
        <v>7.6034051901425884E-2</v>
      </c>
      <c r="P9" s="37">
        <v>2088459</v>
      </c>
    </row>
    <row r="10" spans="2:17" ht="14" x14ac:dyDescent="0.3">
      <c r="B10" s="4" t="s">
        <v>222</v>
      </c>
      <c r="C10" t="s">
        <v>223</v>
      </c>
      <c r="D10" s="37">
        <v>1681376</v>
      </c>
      <c r="E10" s="37">
        <v>3044793</v>
      </c>
      <c r="F10" s="37">
        <v>3703988</v>
      </c>
      <c r="G10" s="37">
        <v>303490</v>
      </c>
      <c r="H10" s="37">
        <v>32333</v>
      </c>
      <c r="I10" s="37">
        <v>11829</v>
      </c>
      <c r="J10" s="38">
        <f t="shared" si="0"/>
        <v>10.032597449668852</v>
      </c>
      <c r="K10" s="38">
        <f t="shared" si="1"/>
        <v>0.8220310108996034</v>
      </c>
      <c r="L10" s="38">
        <f t="shared" si="2"/>
        <v>142.14016400371966</v>
      </c>
      <c r="M10" s="38">
        <f t="shared" si="3"/>
        <v>0.95441894787631087</v>
      </c>
      <c r="N10" s="39">
        <f t="shared" si="4"/>
        <v>8.7292399435419336E-3</v>
      </c>
      <c r="O10" s="39">
        <f t="shared" si="5"/>
        <v>6.7146323811145643E-3</v>
      </c>
      <c r="P10" s="37">
        <v>1761675</v>
      </c>
    </row>
    <row r="14" spans="2:17" ht="14" x14ac:dyDescent="0.3">
      <c r="B14" s="3" t="s">
        <v>224</v>
      </c>
    </row>
    <row r="15" spans="2:17" ht="14" x14ac:dyDescent="0.3">
      <c r="B15" s="4" t="s">
        <v>225</v>
      </c>
      <c r="D15" s="38">
        <f t="shared" ref="D15:I15" si="6">PERCENTILE(J6:J10,0.25)</f>
        <v>6.090896723655737</v>
      </c>
      <c r="E15" s="38">
        <f t="shared" si="6"/>
        <v>0.8220310108996034</v>
      </c>
      <c r="F15" s="38">
        <f t="shared" si="6"/>
        <v>13.602629822285477</v>
      </c>
      <c r="G15" s="38">
        <f t="shared" si="6"/>
        <v>0.92984144128725021</v>
      </c>
      <c r="H15" s="39">
        <f t="shared" si="6"/>
        <v>3.3918720194828E-2</v>
      </c>
      <c r="I15" s="39">
        <f t="shared" si="6"/>
        <v>3.9755899838908697E-2</v>
      </c>
    </row>
    <row r="16" spans="2:17" ht="14" x14ac:dyDescent="0.3">
      <c r="B16" s="4" t="s">
        <v>226</v>
      </c>
      <c r="D16" s="38">
        <f t="shared" ref="D16:I16" si="7">MEDIAN(J6:J10)</f>
        <v>6.5355004397208241</v>
      </c>
      <c r="E16" s="38">
        <f t="shared" si="7"/>
        <v>0.82680807295636916</v>
      </c>
      <c r="F16" s="38">
        <f t="shared" si="7"/>
        <v>16.11841436001772</v>
      </c>
      <c r="G16" s="38">
        <f t="shared" si="7"/>
        <v>0.95441894787631087</v>
      </c>
      <c r="H16" s="39">
        <f t="shared" si="7"/>
        <v>7.5199097090425937E-2</v>
      </c>
      <c r="I16" s="39">
        <f t="shared" si="7"/>
        <v>6.0149887279891137E-2</v>
      </c>
    </row>
    <row r="17" spans="2:9" ht="14" x14ac:dyDescent="0.3">
      <c r="B17" s="4" t="s">
        <v>227</v>
      </c>
      <c r="D17" s="38">
        <f t="shared" ref="D17:I17" si="8">PERCENTILE(J6:J10,0.75)</f>
        <v>8.4361372454228807</v>
      </c>
      <c r="E17" s="38">
        <f t="shared" si="8"/>
        <v>0.90883377974665835</v>
      </c>
      <c r="F17" s="38">
        <f t="shared" si="8"/>
        <v>23.388766071324685</v>
      </c>
      <c r="G17" s="38">
        <f t="shared" si="8"/>
        <v>0.9739501746899798</v>
      </c>
      <c r="H17" s="39">
        <f t="shared" si="8"/>
        <v>8.3750802550123141E-2</v>
      </c>
      <c r="I17" s="39">
        <f t="shared" si="8"/>
        <v>6.0424688988384406E-2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305264</v>
      </c>
    </row>
    <row r="22" spans="2:9" ht="14" x14ac:dyDescent="0.3">
      <c r="B22" s="4" t="s">
        <v>231</v>
      </c>
      <c r="C22" s="5">
        <v>69162</v>
      </c>
    </row>
    <row r="23" spans="2:9" ht="14" x14ac:dyDescent="0.3">
      <c r="B23" s="4" t="s">
        <v>232</v>
      </c>
      <c r="C23" s="15">
        <v>212393793</v>
      </c>
    </row>
    <row r="24" spans="2:9" ht="14" x14ac:dyDescent="0.3">
      <c r="B24" s="4" t="s">
        <v>73</v>
      </c>
      <c r="C24" s="5">
        <v>551792</v>
      </c>
    </row>
    <row r="26" spans="2:9" ht="14" x14ac:dyDescent="0.3">
      <c r="B26" s="3" t="s">
        <v>233</v>
      </c>
    </row>
    <row r="27" spans="2:9" ht="14" x14ac:dyDescent="0.3">
      <c r="B27" s="4" t="s">
        <v>234</v>
      </c>
      <c r="C27" s="24">
        <f>ROUND((C21*D16-C24)*1000000/C23,0)</f>
        <v>6795</v>
      </c>
    </row>
    <row r="28" spans="2:9" ht="14" x14ac:dyDescent="0.3">
      <c r="B28" s="4" t="s">
        <v>235</v>
      </c>
      <c r="C28" s="24">
        <f>ROUND(C22*F16*1000000/C23,0)</f>
        <v>5249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7.766142554789375E-2</v>
      </c>
      <c r="E3" s="4" t="s">
        <v>238</v>
      </c>
      <c r="F3" s="16">
        <f>'DCF Model'!C13</f>
        <v>0.01</v>
      </c>
      <c r="H3" s="4" t="s">
        <v>239</v>
      </c>
      <c r="I3" s="14">
        <f>'DCF Model'!C14</f>
        <v>6.5</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6.2661425547893751E-2</v>
      </c>
      <c r="C7" s="37">
        <f>IFERROR(ROUND(('DCF Model'!C45/(1+$B7)^('DCF Model'!C19+0)+'DCF Model'!D45/(1+$B7)^('DCF Model'!C19+1)+'DCF Model'!E45/(1+$B7)^('DCF Model'!C19+2)+'DCF Model'!F45/(1+$B7)^('DCF Model'!C19+3)+'DCF Model'!G45/(1+$B7)^('DCF Model'!C19+4)+'DCF Model'!G45*(1+C$6)/($B7-C$6)/(1+$B7)^('DCF Model'!C19+4)-'DCF Model'!C16)*1000000/'DCF Model'!C15,0),"")</f>
        <v>3815</v>
      </c>
      <c r="D7" s="37">
        <f>IFERROR(ROUND(('DCF Model'!C45/(1+$B7)^('DCF Model'!C19+0)+'DCF Model'!D45/(1+$B7)^('DCF Model'!C19+1)+'DCF Model'!E45/(1+$B7)^('DCF Model'!C19+2)+'DCF Model'!F45/(1+$B7)^('DCF Model'!C19+3)+'DCF Model'!G45/(1+$B7)^('DCF Model'!C19+4)+'DCF Model'!G45*(1+D$6)/($B7-D$6)/(1+$B7)^('DCF Model'!C19+4)-'DCF Model'!C16)*1000000/'DCF Model'!C15,0),"")</f>
        <v>4045</v>
      </c>
      <c r="E7" s="37">
        <f>IFERROR(ROUND(('DCF Model'!C45/(1+$B7)^('DCF Model'!C19+0)+'DCF Model'!D45/(1+$B7)^('DCF Model'!C19+1)+'DCF Model'!E45/(1+$B7)^('DCF Model'!C19+2)+'DCF Model'!F45/(1+$B7)^('DCF Model'!C19+3)+'DCF Model'!G45/(1+$B7)^('DCF Model'!C19+4)+'DCF Model'!G45*(1+E$6)/($B7-E$6)/(1+$B7)^('DCF Model'!C19+4)-'DCF Model'!C16)*1000000/'DCF Model'!C15,0),"")</f>
        <v>4296</v>
      </c>
      <c r="F7" s="37">
        <f>IFERROR(ROUND(('DCF Model'!C45/(1+$B7)^('DCF Model'!C19+0)+'DCF Model'!D45/(1+$B7)^('DCF Model'!C19+1)+'DCF Model'!E45/(1+$B7)^('DCF Model'!C19+2)+'DCF Model'!F45/(1+$B7)^('DCF Model'!C19+3)+'DCF Model'!G45/(1+$B7)^('DCF Model'!C19+4)+'DCF Model'!G45*(1+F$6)/($B7-F$6)/(1+$B7)^('DCF Model'!C19+4)-'DCF Model'!C16)*1000000/'DCF Model'!C15,0),"")</f>
        <v>4571</v>
      </c>
      <c r="G7" s="37">
        <f>IFERROR(ROUND(('DCF Model'!C45/(1+$B7)^('DCF Model'!C19+0)+'DCF Model'!D45/(1+$B7)^('DCF Model'!C19+1)+'DCF Model'!E45/(1+$B7)^('DCF Model'!C19+2)+'DCF Model'!F45/(1+$B7)^('DCF Model'!C19+3)+'DCF Model'!G45/(1+$B7)^('DCF Model'!C19+4)+'DCF Model'!G45*(1+G$6)/($B7-G$6)/(1+$B7)^('DCF Model'!C19+4)-'DCF Model'!C16)*1000000/'DCF Model'!C15,0),"")</f>
        <v>4873</v>
      </c>
      <c r="H7" s="37">
        <f>IFERROR(ROUND(('DCF Model'!C45/(1+$B7)^('DCF Model'!C19+0)+'DCF Model'!D45/(1+$B7)^('DCF Model'!C19+1)+'DCF Model'!E45/(1+$B7)^('DCF Model'!C19+2)+'DCF Model'!F45/(1+$B7)^('DCF Model'!C19+3)+'DCF Model'!G45/(1+$B7)^('DCF Model'!C19+4)+'DCF Model'!G45*(1+H$6)/($B7-H$6)/(1+$B7)^('DCF Model'!C19+4)-'DCF Model'!C16)*1000000/'DCF Model'!C15,0),"")</f>
        <v>5207</v>
      </c>
      <c r="I7" s="37">
        <f>IFERROR(ROUND(('DCF Model'!C45/(1+$B7)^('DCF Model'!C19+0)+'DCF Model'!D45/(1+$B7)^('DCF Model'!C19+1)+'DCF Model'!E45/(1+$B7)^('DCF Model'!C19+2)+'DCF Model'!F45/(1+$B7)^('DCF Model'!C19+3)+'DCF Model'!G45/(1+$B7)^('DCF Model'!C19+4)+'DCF Model'!G45*(1+I$6)/($B7-I$6)/(1+$B7)^('DCF Model'!C19+4)-'DCF Model'!C16)*1000000/'DCF Model'!C15,0),"")</f>
        <v>5577</v>
      </c>
    </row>
    <row r="8" spans="2:9" ht="13.5" x14ac:dyDescent="0.25">
      <c r="B8" s="39">
        <f>$C$3-0.01</f>
        <v>6.7661425547893755E-2</v>
      </c>
      <c r="C8" s="37">
        <f>IFERROR(ROUND(('DCF Model'!C45/(1+$B8)^('DCF Model'!C19+0)+'DCF Model'!D45/(1+$B8)^('DCF Model'!C19+1)+'DCF Model'!E45/(1+$B8)^('DCF Model'!C19+2)+'DCF Model'!F45/(1+$B8)^('DCF Model'!C19+3)+'DCF Model'!G45/(1+$B8)^('DCF Model'!C19+4)+'DCF Model'!G45*(1+C$6)/($B8-C$6)/(1+$B8)^('DCF Model'!C19+4)-'DCF Model'!C16)*1000000/'DCF Model'!C15,0),"")</f>
        <v>3317</v>
      </c>
      <c r="D8" s="37">
        <f>IFERROR(ROUND(('DCF Model'!C45/(1+$B8)^('DCF Model'!C19+0)+'DCF Model'!D45/(1+$B8)^('DCF Model'!C19+1)+'DCF Model'!E45/(1+$B8)^('DCF Model'!C19+2)+'DCF Model'!F45/(1+$B8)^('DCF Model'!C19+3)+'DCF Model'!G45/(1+$B8)^('DCF Model'!C19+4)+'DCF Model'!G45*(1+D$6)/($B8-D$6)/(1+$B8)^('DCF Model'!C19+4)-'DCF Model'!C16)*1000000/'DCF Model'!C15,0),"")</f>
        <v>3510</v>
      </c>
      <c r="E8" s="37">
        <f>IFERROR(ROUND(('DCF Model'!C45/(1+$B8)^('DCF Model'!C19+0)+'DCF Model'!D45/(1+$B8)^('DCF Model'!C19+1)+'DCF Model'!E45/(1+$B8)^('DCF Model'!C19+2)+'DCF Model'!F45/(1+$B8)^('DCF Model'!C19+3)+'DCF Model'!G45/(1+$B8)^('DCF Model'!C19+4)+'DCF Model'!G45*(1+E$6)/($B8-E$6)/(1+$B8)^('DCF Model'!C19+4)-'DCF Model'!C16)*1000000/'DCF Model'!C15,0),"")</f>
        <v>3718</v>
      </c>
      <c r="F8" s="37">
        <f>IFERROR(ROUND(('DCF Model'!C45/(1+$B8)^('DCF Model'!C19+0)+'DCF Model'!D45/(1+$B8)^('DCF Model'!C19+1)+'DCF Model'!E45/(1+$B8)^('DCF Model'!C19+2)+'DCF Model'!F45/(1+$B8)^('DCF Model'!C19+3)+'DCF Model'!G45/(1+$B8)^('DCF Model'!C19+4)+'DCF Model'!G45*(1+F$6)/($B8-F$6)/(1+$B8)^('DCF Model'!C19+4)-'DCF Model'!C16)*1000000/'DCF Model'!C15,0),"")</f>
        <v>3944</v>
      </c>
      <c r="G8" s="37">
        <f>IFERROR(ROUND(('DCF Model'!C45/(1+$B8)^('DCF Model'!C19+0)+'DCF Model'!D45/(1+$B8)^('DCF Model'!C19+1)+'DCF Model'!E45/(1+$B8)^('DCF Model'!C19+2)+'DCF Model'!F45/(1+$B8)^('DCF Model'!C19+3)+'DCF Model'!G45/(1+$B8)^('DCF Model'!C19+4)+'DCF Model'!G45*(1+G$6)/($B8-G$6)/(1+$B8)^('DCF Model'!C19+4)-'DCF Model'!C16)*1000000/'DCF Model'!C15,0),"")</f>
        <v>4191</v>
      </c>
      <c r="H8" s="37">
        <f>IFERROR(ROUND(('DCF Model'!C45/(1+$B8)^('DCF Model'!C19+0)+'DCF Model'!D45/(1+$B8)^('DCF Model'!C19+1)+'DCF Model'!E45/(1+$B8)^('DCF Model'!C19+2)+'DCF Model'!F45/(1+$B8)^('DCF Model'!C19+3)+'DCF Model'!G45/(1+$B8)^('DCF Model'!C19+4)+'DCF Model'!G45*(1+H$6)/($B8-H$6)/(1+$B8)^('DCF Model'!C19+4)-'DCF Model'!C16)*1000000/'DCF Model'!C15,0),"")</f>
        <v>4461</v>
      </c>
      <c r="I8" s="37">
        <f>IFERROR(ROUND(('DCF Model'!C45/(1+$B8)^('DCF Model'!C19+0)+'DCF Model'!D45/(1+$B8)^('DCF Model'!C19+1)+'DCF Model'!E45/(1+$B8)^('DCF Model'!C19+2)+'DCF Model'!F45/(1+$B8)^('DCF Model'!C19+3)+'DCF Model'!G45/(1+$B8)^('DCF Model'!C19+4)+'DCF Model'!G45*(1+I$6)/($B8-I$6)/(1+$B8)^('DCF Model'!C19+4)-'DCF Model'!C16)*1000000/'DCF Model'!C15,0),"")</f>
        <v>4759</v>
      </c>
    </row>
    <row r="9" spans="2:9" ht="13.5" x14ac:dyDescent="0.25">
      <c r="B9" s="39">
        <f>$C$3-0.005</f>
        <v>7.2661425547893746E-2</v>
      </c>
      <c r="C9" s="37">
        <f>IFERROR(ROUND(('DCF Model'!C45/(1+$B9)^('DCF Model'!C19+0)+'DCF Model'!D45/(1+$B9)^('DCF Model'!C19+1)+'DCF Model'!E45/(1+$B9)^('DCF Model'!C19+2)+'DCF Model'!F45/(1+$B9)^('DCF Model'!C19+3)+'DCF Model'!G45/(1+$B9)^('DCF Model'!C19+4)+'DCF Model'!G45*(1+C$6)/($B9-C$6)/(1+$B9)^('DCF Model'!C19+4)-'DCF Model'!C16)*1000000/'DCF Model'!C15,0),"")</f>
        <v>2891</v>
      </c>
      <c r="D9" s="37">
        <f>IFERROR(ROUND(('DCF Model'!C45/(1+$B9)^('DCF Model'!C19+0)+'DCF Model'!D45/(1+$B9)^('DCF Model'!C19+1)+'DCF Model'!E45/(1+$B9)^('DCF Model'!C19+2)+'DCF Model'!F45/(1+$B9)^('DCF Model'!C19+3)+'DCF Model'!G45/(1+$B9)^('DCF Model'!C19+4)+'DCF Model'!G45*(1+D$6)/($B9-D$6)/(1+$B9)^('DCF Model'!C19+4)-'DCF Model'!C16)*1000000/'DCF Model'!C15,0),"")</f>
        <v>3054</v>
      </c>
      <c r="E9" s="37">
        <f>IFERROR(ROUND(('DCF Model'!C45/(1+$B9)^('DCF Model'!C19+0)+'DCF Model'!D45/(1+$B9)^('DCF Model'!C19+1)+'DCF Model'!E45/(1+$B9)^('DCF Model'!C19+2)+'DCF Model'!F45/(1+$B9)^('DCF Model'!C19+3)+'DCF Model'!G45/(1+$B9)^('DCF Model'!C19+4)+'DCF Model'!G45*(1+E$6)/($B9-E$6)/(1+$B9)^('DCF Model'!C19+4)-'DCF Model'!C16)*1000000/'DCF Model'!C15,0),"")</f>
        <v>3229</v>
      </c>
      <c r="F9" s="37">
        <f>IFERROR(ROUND(('DCF Model'!C45/(1+$B9)^('DCF Model'!C19+0)+'DCF Model'!D45/(1+$B9)^('DCF Model'!C19+1)+'DCF Model'!E45/(1+$B9)^('DCF Model'!C19+2)+'DCF Model'!F45/(1+$B9)^('DCF Model'!C19+3)+'DCF Model'!G45/(1+$B9)^('DCF Model'!C19+4)+'DCF Model'!G45*(1+F$6)/($B9-F$6)/(1+$B9)^('DCF Model'!C19+4)-'DCF Model'!C16)*1000000/'DCF Model'!C15,0),"")</f>
        <v>3418</v>
      </c>
      <c r="G9" s="37">
        <f>IFERROR(ROUND(('DCF Model'!C45/(1+$B9)^('DCF Model'!C19+0)+'DCF Model'!D45/(1+$B9)^('DCF Model'!C19+1)+'DCF Model'!E45/(1+$B9)^('DCF Model'!C19+2)+'DCF Model'!F45/(1+$B9)^('DCF Model'!C19+3)+'DCF Model'!G45/(1+$B9)^('DCF Model'!C19+4)+'DCF Model'!G45*(1+G$6)/($B9-G$6)/(1+$B9)^('DCF Model'!C19+4)-'DCF Model'!C16)*1000000/'DCF Model'!C15,0),"")</f>
        <v>3623</v>
      </c>
      <c r="H9" s="37">
        <f>IFERROR(ROUND(('DCF Model'!C45/(1+$B9)^('DCF Model'!C19+0)+'DCF Model'!D45/(1+$B9)^('DCF Model'!C19+1)+'DCF Model'!E45/(1+$B9)^('DCF Model'!C19+2)+'DCF Model'!F45/(1+$B9)^('DCF Model'!C19+3)+'DCF Model'!G45/(1+$B9)^('DCF Model'!C19+4)+'DCF Model'!G45*(1+H$6)/($B9-H$6)/(1+$B9)^('DCF Model'!C19+4)-'DCF Model'!C16)*1000000/'DCF Model'!C15,0),"")</f>
        <v>3846</v>
      </c>
      <c r="I9" s="37">
        <f>IFERROR(ROUND(('DCF Model'!C45/(1+$B9)^('DCF Model'!C19+0)+'DCF Model'!D45/(1+$B9)^('DCF Model'!C19+1)+'DCF Model'!E45/(1+$B9)^('DCF Model'!C19+2)+'DCF Model'!F45/(1+$B9)^('DCF Model'!C19+3)+'DCF Model'!G45/(1+$B9)^('DCF Model'!C19+4)+'DCF Model'!G45*(1+I$6)/($B9-I$6)/(1+$B9)^('DCF Model'!C19+4)-'DCF Model'!C16)*1000000/'DCF Model'!C15,0),"")</f>
        <v>4088</v>
      </c>
    </row>
    <row r="10" spans="2:9" ht="13.5" x14ac:dyDescent="0.25">
      <c r="B10" s="39">
        <f>$C$3</f>
        <v>7.766142554789375E-2</v>
      </c>
      <c r="C10" s="37">
        <f>IFERROR(ROUND(('DCF Model'!C45/(1+$B10)^('DCF Model'!C19+0)+'DCF Model'!D45/(1+$B10)^('DCF Model'!C19+1)+'DCF Model'!E45/(1+$B10)^('DCF Model'!C19+2)+'DCF Model'!F45/(1+$B10)^('DCF Model'!C19+3)+'DCF Model'!G45/(1+$B10)^('DCF Model'!C19+4)+'DCF Model'!G45*(1+C$6)/($B10-C$6)/(1+$B10)^('DCF Model'!C19+4)-'DCF Model'!C16)*1000000/'DCF Model'!C15,0),"")</f>
        <v>2522</v>
      </c>
      <c r="D10" s="37">
        <f>IFERROR(ROUND(('DCF Model'!C45/(1+$B10)^('DCF Model'!C19+0)+'DCF Model'!D45/(1+$B10)^('DCF Model'!C19+1)+'DCF Model'!E45/(1+$B10)^('DCF Model'!C19+2)+'DCF Model'!F45/(1+$B10)^('DCF Model'!C19+3)+'DCF Model'!G45/(1+$B10)^('DCF Model'!C19+4)+'DCF Model'!G45*(1+D$6)/($B10-D$6)/(1+$B10)^('DCF Model'!C19+4)-'DCF Model'!C16)*1000000/'DCF Model'!C15,0),"")</f>
        <v>2661</v>
      </c>
      <c r="E10" s="37">
        <f>IFERROR(ROUND(('DCF Model'!C45/(1+$B10)^('DCF Model'!C19+0)+'DCF Model'!D45/(1+$B10)^('DCF Model'!C19+1)+'DCF Model'!E45/(1+$B10)^('DCF Model'!C19+2)+'DCF Model'!F45/(1+$B10)^('DCF Model'!C19+3)+'DCF Model'!G45/(1+$B10)^('DCF Model'!C19+4)+'DCF Model'!G45*(1+E$6)/($B10-E$6)/(1+$B10)^('DCF Model'!C19+4)-'DCF Model'!C16)*1000000/'DCF Model'!C15,0),"")</f>
        <v>2810</v>
      </c>
      <c r="F10" s="37">
        <f>IFERROR(ROUND(('DCF Model'!C45/(1+$B10)^('DCF Model'!C19+0)+'DCF Model'!D45/(1+$B10)^('DCF Model'!C19+1)+'DCF Model'!E45/(1+$B10)^('DCF Model'!C19+2)+'DCF Model'!F45/(1+$B10)^('DCF Model'!C19+3)+'DCF Model'!G45/(1+$B10)^('DCF Model'!C19+4)+'DCF Model'!G45*(1+F$6)/($B10-F$6)/(1+$B10)^('DCF Model'!C19+4)-'DCF Model'!C16)*1000000/'DCF Model'!C15,0),"")</f>
        <v>2970</v>
      </c>
      <c r="G10" s="37">
        <f>IFERROR(ROUND(('DCF Model'!C45/(1+$B10)^('DCF Model'!C19+0)+'DCF Model'!D45/(1+$B10)^('DCF Model'!C19+1)+'DCF Model'!E45/(1+$B10)^('DCF Model'!C19+2)+'DCF Model'!F45/(1+$B10)^('DCF Model'!C19+3)+'DCF Model'!G45/(1+$B10)^('DCF Model'!C19+4)+'DCF Model'!G45*(1+G$6)/($B10-G$6)/(1+$B10)^('DCF Model'!C19+4)-'DCF Model'!C16)*1000000/'DCF Model'!C15,0),"")</f>
        <v>3142</v>
      </c>
      <c r="H10" s="37">
        <f>IFERROR(ROUND(('DCF Model'!C45/(1+$B10)^('DCF Model'!C19+0)+'DCF Model'!D45/(1+$B10)^('DCF Model'!C19+1)+'DCF Model'!E45/(1+$B10)^('DCF Model'!C19+2)+'DCF Model'!F45/(1+$B10)^('DCF Model'!C19+3)+'DCF Model'!G45/(1+$B10)^('DCF Model'!C19+4)+'DCF Model'!G45*(1+H$6)/($B10-H$6)/(1+$B10)^('DCF Model'!C19+4)-'DCF Model'!C16)*1000000/'DCF Model'!C15,0),"")</f>
        <v>3328</v>
      </c>
      <c r="I10" s="37">
        <f>IFERROR(ROUND(('DCF Model'!C45/(1+$B10)^('DCF Model'!C19+0)+'DCF Model'!D45/(1+$B10)^('DCF Model'!C19+1)+'DCF Model'!E45/(1+$B10)^('DCF Model'!C19+2)+'DCF Model'!F45/(1+$B10)^('DCF Model'!C19+3)+'DCF Model'!G45/(1+$B10)^('DCF Model'!C19+4)+'DCF Model'!G45*(1+I$6)/($B10-I$6)/(1+$B10)^('DCF Model'!C19+4)-'DCF Model'!C16)*1000000/'DCF Model'!C15,0),"")</f>
        <v>3530</v>
      </c>
    </row>
    <row r="11" spans="2:9" ht="13.5" x14ac:dyDescent="0.25">
      <c r="B11" s="39">
        <f>$C$3+0.005</f>
        <v>8.2661425547893755E-2</v>
      </c>
      <c r="C11" s="37">
        <f>IFERROR(ROUND(('DCF Model'!C45/(1+$B11)^('DCF Model'!C19+0)+'DCF Model'!D45/(1+$B11)^('DCF Model'!C19+1)+'DCF Model'!E45/(1+$B11)^('DCF Model'!C19+2)+'DCF Model'!F45/(1+$B11)^('DCF Model'!C19+3)+'DCF Model'!G45/(1+$B11)^('DCF Model'!C19+4)+'DCF Model'!G45*(1+C$6)/($B11-C$6)/(1+$B11)^('DCF Model'!C19+4)-'DCF Model'!C16)*1000000/'DCF Model'!C15,0),"")</f>
        <v>2198</v>
      </c>
      <c r="D11" s="37">
        <f>IFERROR(ROUND(('DCF Model'!C45/(1+$B11)^('DCF Model'!C19+0)+'DCF Model'!D45/(1+$B11)^('DCF Model'!C19+1)+'DCF Model'!E45/(1+$B11)^('DCF Model'!C19+2)+'DCF Model'!F45/(1+$B11)^('DCF Model'!C19+3)+'DCF Model'!G45/(1+$B11)^('DCF Model'!C19+4)+'DCF Model'!G45*(1+D$6)/($B11-D$6)/(1+$B11)^('DCF Model'!C19+4)-'DCF Model'!C16)*1000000/'DCF Model'!C15,0),"")</f>
        <v>2318</v>
      </c>
      <c r="E11" s="37">
        <f>IFERROR(ROUND(('DCF Model'!C45/(1+$B11)^('DCF Model'!C19+0)+'DCF Model'!D45/(1+$B11)^('DCF Model'!C19+1)+'DCF Model'!E45/(1+$B11)^('DCF Model'!C19+2)+'DCF Model'!F45/(1+$B11)^('DCF Model'!C19+3)+'DCF Model'!G45/(1+$B11)^('DCF Model'!C19+4)+'DCF Model'!G45*(1+E$6)/($B11-E$6)/(1+$B11)^('DCF Model'!C19+4)-'DCF Model'!C16)*1000000/'DCF Model'!C15,0),"")</f>
        <v>2446</v>
      </c>
      <c r="F11" s="37">
        <f>IFERROR(ROUND(('DCF Model'!C45/(1+$B11)^('DCF Model'!C19+0)+'DCF Model'!D45/(1+$B11)^('DCF Model'!C19+1)+'DCF Model'!E45/(1+$B11)^('DCF Model'!C19+2)+'DCF Model'!F45/(1+$B11)^('DCF Model'!C19+3)+'DCF Model'!G45/(1+$B11)^('DCF Model'!C19+4)+'DCF Model'!G45*(1+F$6)/($B11-F$6)/(1+$B11)^('DCF Model'!C19+4)-'DCF Model'!C16)*1000000/'DCF Model'!C15,0),"")</f>
        <v>2583</v>
      </c>
      <c r="G11" s="37">
        <f>IFERROR(ROUND(('DCF Model'!C45/(1+$B11)^('DCF Model'!C19+0)+'DCF Model'!D45/(1+$B11)^('DCF Model'!C19+1)+'DCF Model'!E45/(1+$B11)^('DCF Model'!C19+2)+'DCF Model'!F45/(1+$B11)^('DCF Model'!C19+3)+'DCF Model'!G45/(1+$B11)^('DCF Model'!C19+4)+'DCF Model'!G45*(1+G$6)/($B11-G$6)/(1+$B11)^('DCF Model'!C19+4)-'DCF Model'!C16)*1000000/'DCF Model'!C15,0),"")</f>
        <v>2730</v>
      </c>
      <c r="H11" s="37">
        <f>IFERROR(ROUND(('DCF Model'!C45/(1+$B11)^('DCF Model'!C19+0)+'DCF Model'!D45/(1+$B11)^('DCF Model'!C19+1)+'DCF Model'!E45/(1+$B11)^('DCF Model'!C19+2)+'DCF Model'!F45/(1+$B11)^('DCF Model'!C19+3)+'DCF Model'!G45/(1+$B11)^('DCF Model'!C19+4)+'DCF Model'!G45*(1+H$6)/($B11-H$6)/(1+$B11)^('DCF Model'!C19+4)-'DCF Model'!C16)*1000000/'DCF Model'!C15,0),"")</f>
        <v>2887</v>
      </c>
      <c r="I11" s="37">
        <f>IFERROR(ROUND(('DCF Model'!C45/(1+$B11)^('DCF Model'!C19+0)+'DCF Model'!D45/(1+$B11)^('DCF Model'!C19+1)+'DCF Model'!E45/(1+$B11)^('DCF Model'!C19+2)+'DCF Model'!F45/(1+$B11)^('DCF Model'!C19+3)+'DCF Model'!G45/(1+$B11)^('DCF Model'!C19+4)+'DCF Model'!G45*(1+I$6)/($B11-I$6)/(1+$B11)^('DCF Model'!C19+4)-'DCF Model'!C16)*1000000/'DCF Model'!C15,0),"")</f>
        <v>3057</v>
      </c>
    </row>
    <row r="12" spans="2:9" ht="13.5" x14ac:dyDescent="0.25">
      <c r="B12" s="39">
        <f>$C$3+0.01</f>
        <v>8.7661425547893745E-2</v>
      </c>
      <c r="C12" s="37">
        <f>IFERROR(ROUND(('DCF Model'!C45/(1+$B12)^('DCF Model'!C19+0)+'DCF Model'!D45/(1+$B12)^('DCF Model'!C19+1)+'DCF Model'!E45/(1+$B12)^('DCF Model'!C19+2)+'DCF Model'!F45/(1+$B12)^('DCF Model'!C19+3)+'DCF Model'!G45/(1+$B12)^('DCF Model'!C19+4)+'DCF Model'!G45*(1+C$6)/($B12-C$6)/(1+$B12)^('DCF Model'!C19+4)-'DCF Model'!C16)*1000000/'DCF Model'!C15,0),"")</f>
        <v>1913</v>
      </c>
      <c r="D12" s="37">
        <f>IFERROR(ROUND(('DCF Model'!C45/(1+$B12)^('DCF Model'!C19+0)+'DCF Model'!D45/(1+$B12)^('DCF Model'!C19+1)+'DCF Model'!E45/(1+$B12)^('DCF Model'!C19+2)+'DCF Model'!F45/(1+$B12)^('DCF Model'!C19+3)+'DCF Model'!G45/(1+$B12)^('DCF Model'!C19+4)+'DCF Model'!G45*(1+D$6)/($B12-D$6)/(1+$B12)^('DCF Model'!C19+4)-'DCF Model'!C16)*1000000/'DCF Model'!C15,0),"")</f>
        <v>2018</v>
      </c>
      <c r="E12" s="37">
        <f>IFERROR(ROUND(('DCF Model'!C45/(1+$B12)^('DCF Model'!C19+0)+'DCF Model'!D45/(1+$B12)^('DCF Model'!C19+1)+'DCF Model'!E45/(1+$B12)^('DCF Model'!C19+2)+'DCF Model'!F45/(1+$B12)^('DCF Model'!C19+3)+'DCF Model'!G45/(1+$B12)^('DCF Model'!C19+4)+'DCF Model'!G45*(1+E$6)/($B12-E$6)/(1+$B12)^('DCF Model'!C19+4)-'DCF Model'!C16)*1000000/'DCF Model'!C15,0),"")</f>
        <v>2129</v>
      </c>
      <c r="F12" s="37">
        <f>IFERROR(ROUND(('DCF Model'!C45/(1+$B12)^('DCF Model'!C19+0)+'DCF Model'!D45/(1+$B12)^('DCF Model'!C19+1)+'DCF Model'!E45/(1+$B12)^('DCF Model'!C19+2)+'DCF Model'!F45/(1+$B12)^('DCF Model'!C19+3)+'DCF Model'!G45/(1+$B12)^('DCF Model'!C19+4)+'DCF Model'!G45*(1+F$6)/($B12-F$6)/(1+$B12)^('DCF Model'!C19+4)-'DCF Model'!C16)*1000000/'DCF Model'!C15,0),"")</f>
        <v>2247</v>
      </c>
      <c r="G12" s="37">
        <f>IFERROR(ROUND(('DCF Model'!C45/(1+$B12)^('DCF Model'!C19+0)+'DCF Model'!D45/(1+$B12)^('DCF Model'!C19+1)+'DCF Model'!E45/(1+$B12)^('DCF Model'!C19+2)+'DCF Model'!F45/(1+$B12)^('DCF Model'!C19+3)+'DCF Model'!G45/(1+$B12)^('DCF Model'!C19+4)+'DCF Model'!G45*(1+G$6)/($B12-G$6)/(1+$B12)^('DCF Model'!C19+4)-'DCF Model'!C16)*1000000/'DCF Model'!C15,0),"")</f>
        <v>2373</v>
      </c>
      <c r="H12" s="37">
        <f>IFERROR(ROUND(('DCF Model'!C45/(1+$B12)^('DCF Model'!C19+0)+'DCF Model'!D45/(1+$B12)^('DCF Model'!C19+1)+'DCF Model'!E45/(1+$B12)^('DCF Model'!C19+2)+'DCF Model'!F45/(1+$B12)^('DCF Model'!C19+3)+'DCF Model'!G45/(1+$B12)^('DCF Model'!C19+4)+'DCF Model'!G45*(1+H$6)/($B12-H$6)/(1+$B12)^('DCF Model'!C19+4)-'DCF Model'!C16)*1000000/'DCF Model'!C15,0),"")</f>
        <v>2508</v>
      </c>
      <c r="I12" s="37">
        <f>IFERROR(ROUND(('DCF Model'!C45/(1+$B12)^('DCF Model'!C19+0)+'DCF Model'!D45/(1+$B12)^('DCF Model'!C19+1)+'DCF Model'!E45/(1+$B12)^('DCF Model'!C19+2)+'DCF Model'!F45/(1+$B12)^('DCF Model'!C19+3)+'DCF Model'!G45/(1+$B12)^('DCF Model'!C19+4)+'DCF Model'!G45*(1+I$6)/($B12-I$6)/(1+$B12)^('DCF Model'!C19+4)-'DCF Model'!C16)*1000000/'DCF Model'!C15,0),"")</f>
        <v>2652</v>
      </c>
    </row>
    <row r="13" spans="2:9" ht="13.5" x14ac:dyDescent="0.25">
      <c r="B13" s="39">
        <f>$C$3+0.015</f>
        <v>9.266142554789375E-2</v>
      </c>
      <c r="C13" s="37">
        <f>IFERROR(ROUND(('DCF Model'!C45/(1+$B13)^('DCF Model'!C19+0)+'DCF Model'!D45/(1+$B13)^('DCF Model'!C19+1)+'DCF Model'!E45/(1+$B13)^('DCF Model'!C19+2)+'DCF Model'!F45/(1+$B13)^('DCF Model'!C19+3)+'DCF Model'!G45/(1+$B13)^('DCF Model'!C19+4)+'DCF Model'!G45*(1+C$6)/($B13-C$6)/(1+$B13)^('DCF Model'!C19+4)-'DCF Model'!C16)*1000000/'DCF Model'!C15,0),"")</f>
        <v>1660</v>
      </c>
      <c r="D13" s="37">
        <f>IFERROR(ROUND(('DCF Model'!C45/(1+$B13)^('DCF Model'!C19+0)+'DCF Model'!D45/(1+$B13)^('DCF Model'!C19+1)+'DCF Model'!E45/(1+$B13)^('DCF Model'!C19+2)+'DCF Model'!F45/(1+$B13)^('DCF Model'!C19+3)+'DCF Model'!G45/(1+$B13)^('DCF Model'!C19+4)+'DCF Model'!G45*(1+D$6)/($B13-D$6)/(1+$B13)^('DCF Model'!C19+4)-'DCF Model'!C16)*1000000/'DCF Model'!C15,0),"")</f>
        <v>1751</v>
      </c>
      <c r="E13" s="37">
        <f>IFERROR(ROUND(('DCF Model'!C45/(1+$B13)^('DCF Model'!C19+0)+'DCF Model'!D45/(1+$B13)^('DCF Model'!C19+1)+'DCF Model'!E45/(1+$B13)^('DCF Model'!C19+2)+'DCF Model'!F45/(1+$B13)^('DCF Model'!C19+3)+'DCF Model'!G45/(1+$B13)^('DCF Model'!C19+4)+'DCF Model'!G45*(1+E$6)/($B13-E$6)/(1+$B13)^('DCF Model'!C19+4)-'DCF Model'!C16)*1000000/'DCF Model'!C15,0),"")</f>
        <v>1848</v>
      </c>
      <c r="F13" s="37">
        <f>IFERROR(ROUND(('DCF Model'!C45/(1+$B13)^('DCF Model'!C19+0)+'DCF Model'!D45/(1+$B13)^('DCF Model'!C19+1)+'DCF Model'!E45/(1+$B13)^('DCF Model'!C19+2)+'DCF Model'!F45/(1+$B13)^('DCF Model'!C19+3)+'DCF Model'!G45/(1+$B13)^('DCF Model'!C19+4)+'DCF Model'!G45*(1+F$6)/($B13-F$6)/(1+$B13)^('DCF Model'!C19+4)-'DCF Model'!C16)*1000000/'DCF Model'!C15,0),"")</f>
        <v>1951</v>
      </c>
      <c r="G13" s="37">
        <f>IFERROR(ROUND(('DCF Model'!C45/(1+$B13)^('DCF Model'!C19+0)+'DCF Model'!D45/(1+$B13)^('DCF Model'!C19+1)+'DCF Model'!E45/(1+$B13)^('DCF Model'!C19+2)+'DCF Model'!F45/(1+$B13)^('DCF Model'!C19+3)+'DCF Model'!G45/(1+$B13)^('DCF Model'!C19+4)+'DCF Model'!G45*(1+G$6)/($B13-G$6)/(1+$B13)^('DCF Model'!C19+4)-'DCF Model'!C16)*1000000/'DCF Model'!C15,0),"")</f>
        <v>2060</v>
      </c>
      <c r="H13" s="37">
        <f>IFERROR(ROUND(('DCF Model'!C45/(1+$B13)^('DCF Model'!C19+0)+'DCF Model'!D45/(1+$B13)^('DCF Model'!C19+1)+'DCF Model'!E45/(1+$B13)^('DCF Model'!C19+2)+'DCF Model'!F45/(1+$B13)^('DCF Model'!C19+3)+'DCF Model'!G45/(1+$B13)^('DCF Model'!C19+4)+'DCF Model'!G45*(1+H$6)/($B13-H$6)/(1+$B13)^('DCF Model'!C19+4)-'DCF Model'!C16)*1000000/'DCF Model'!C15,0),"")</f>
        <v>2177</v>
      </c>
      <c r="I13" s="37">
        <f>IFERROR(ROUND(('DCF Model'!C45/(1+$B13)^('DCF Model'!C19+0)+'DCF Model'!D45/(1+$B13)^('DCF Model'!C19+1)+'DCF Model'!E45/(1+$B13)^('DCF Model'!C19+2)+'DCF Model'!F45/(1+$B13)^('DCF Model'!C19+3)+'DCF Model'!G45/(1+$B13)^('DCF Model'!C19+4)+'DCF Model'!G45*(1+I$6)/($B13-I$6)/(1+$B13)^('DCF Model'!C19+4)-'DCF Model'!C16)*1000000/'DCF Model'!C15,0),"")</f>
        <v>2301</v>
      </c>
    </row>
    <row r="16" spans="2:9" ht="14" x14ac:dyDescent="0.3">
      <c r="B16" s="3" t="s">
        <v>242</v>
      </c>
    </row>
    <row r="17" spans="2:9" ht="14" x14ac:dyDescent="0.3">
      <c r="B17" s="40" t="s">
        <v>243</v>
      </c>
      <c r="C17" s="42">
        <f>$I$3-3</f>
        <v>3.5</v>
      </c>
      <c r="D17" s="42">
        <f>$I$3-2</f>
        <v>4.5</v>
      </c>
      <c r="E17" s="42">
        <f>$I$3-1</f>
        <v>5.5</v>
      </c>
      <c r="F17" s="42">
        <f>$I$3</f>
        <v>6.5</v>
      </c>
      <c r="G17" s="42">
        <f>$I$3+1</f>
        <v>7.5</v>
      </c>
      <c r="H17" s="42">
        <f>$I$3+2</f>
        <v>8.5</v>
      </c>
      <c r="I17" s="42">
        <f>$I$3+3</f>
        <v>9.5</v>
      </c>
    </row>
    <row r="18" spans="2:9" ht="13.5" x14ac:dyDescent="0.25">
      <c r="B18" s="39">
        <f>$C$3-0.015</f>
        <v>6.2661425547893751E-2</v>
      </c>
      <c r="C18" s="37">
        <f>IFERROR(ROUND(('DCF Model'!C45/(1+$B18)^('DCF Model'!C19+0)+'DCF Model'!D45/(1+$B18)^('DCF Model'!C19+1)+'DCF Model'!E45/(1+$B18)^('DCF Model'!C19+2)+'DCF Model'!F45/(1+$B18)^('DCF Model'!C19+3)+'DCF Model'!G45/(1+$B18)^('DCF Model'!C19+4)+('DCF Model'!G39+'DCF Model'!G42)*C$17/(1+$B18)^('DCF Model'!C19+4)-'DCF Model'!C16)*1000000/'DCF Model'!C15,0),"")</f>
        <v>3103</v>
      </c>
      <c r="D18" s="37">
        <f>IFERROR(ROUND(('DCF Model'!C45/(1+$B18)^('DCF Model'!C19+0)+'DCF Model'!D45/(1+$B18)^('DCF Model'!C19+1)+'DCF Model'!E45/(1+$B18)^('DCF Model'!C19+2)+'DCF Model'!F45/(1+$B18)^('DCF Model'!C19+3)+'DCF Model'!G45/(1+$B18)^('DCF Model'!C19+4)+('DCF Model'!G39+'DCF Model'!G42)*D$17/(1+$B18)^('DCF Model'!C19+4)-'DCF Model'!C16)*1000000/'DCF Model'!C15,0),"")</f>
        <v>4329</v>
      </c>
      <c r="E18" s="37">
        <f>IFERROR(ROUND(('DCF Model'!C45/(1+$B18)^('DCF Model'!C19+0)+'DCF Model'!D45/(1+$B18)^('DCF Model'!C19+1)+'DCF Model'!E45/(1+$B18)^('DCF Model'!C19+2)+'DCF Model'!F45/(1+$B18)^('DCF Model'!C19+3)+'DCF Model'!G45/(1+$B18)^('DCF Model'!C19+4)+('DCF Model'!G39+'DCF Model'!G42)*E$17/(1+$B18)^('DCF Model'!C19+4)-'DCF Model'!C16)*1000000/'DCF Model'!C15,0),"")</f>
        <v>5556</v>
      </c>
      <c r="F18" s="37">
        <f>IFERROR(ROUND(('DCF Model'!C45/(1+$B18)^('DCF Model'!C19+0)+'DCF Model'!D45/(1+$B18)^('DCF Model'!C19+1)+'DCF Model'!E45/(1+$B18)^('DCF Model'!C19+2)+'DCF Model'!F45/(1+$B18)^('DCF Model'!C19+3)+'DCF Model'!G45/(1+$B18)^('DCF Model'!C19+4)+('DCF Model'!G39+'DCF Model'!G42)*F$17/(1+$B18)^('DCF Model'!C19+4)-'DCF Model'!C16)*1000000/'DCF Model'!C15,0),"")</f>
        <v>6783</v>
      </c>
      <c r="G18" s="37">
        <f>IFERROR(ROUND(('DCF Model'!C45/(1+$B18)^('DCF Model'!C19+0)+'DCF Model'!D45/(1+$B18)^('DCF Model'!C19+1)+'DCF Model'!E45/(1+$B18)^('DCF Model'!C19+2)+'DCF Model'!F45/(1+$B18)^('DCF Model'!C19+3)+'DCF Model'!G45/(1+$B18)^('DCF Model'!C19+4)+('DCF Model'!G39+'DCF Model'!G42)*G$17/(1+$B18)^('DCF Model'!C19+4)-'DCF Model'!C16)*1000000/'DCF Model'!C15,0),"")</f>
        <v>8009</v>
      </c>
      <c r="H18" s="37">
        <f>IFERROR(ROUND(('DCF Model'!C45/(1+$B18)^('DCF Model'!C19+0)+'DCF Model'!D45/(1+$B18)^('DCF Model'!C19+1)+'DCF Model'!E45/(1+$B18)^('DCF Model'!C19+2)+'DCF Model'!F45/(1+$B18)^('DCF Model'!C19+3)+'DCF Model'!G45/(1+$B18)^('DCF Model'!C19+4)+('DCF Model'!G39+'DCF Model'!G42)*H$17/(1+$B18)^('DCF Model'!C19+4)-'DCF Model'!C16)*1000000/'DCF Model'!C15,0),"")</f>
        <v>9236</v>
      </c>
      <c r="I18" s="37">
        <f>IFERROR(ROUND(('DCF Model'!C45/(1+$B18)^('DCF Model'!C19+0)+'DCF Model'!D45/(1+$B18)^('DCF Model'!C19+1)+'DCF Model'!E45/(1+$B18)^('DCF Model'!C19+2)+'DCF Model'!F45/(1+$B18)^('DCF Model'!C19+3)+'DCF Model'!G45/(1+$B18)^('DCF Model'!C19+4)+('DCF Model'!G39+'DCF Model'!G42)*I$17/(1+$B18)^('DCF Model'!C19+4)-'DCF Model'!C16)*1000000/'DCF Model'!C15,0),"")</f>
        <v>10463</v>
      </c>
    </row>
    <row r="19" spans="2:9" ht="13.5" x14ac:dyDescent="0.25">
      <c r="B19" s="39">
        <f>$C$3-0.01</f>
        <v>6.7661425547893755E-2</v>
      </c>
      <c r="C19" s="37">
        <f>IFERROR(ROUND(('DCF Model'!C45/(1+$B19)^('DCF Model'!C19+0)+'DCF Model'!D45/(1+$B19)^('DCF Model'!C19+1)+'DCF Model'!E45/(1+$B19)^('DCF Model'!C19+2)+'DCF Model'!F45/(1+$B19)^('DCF Model'!C19+3)+'DCF Model'!G45/(1+$B19)^('DCF Model'!C19+4)+('DCF Model'!G39+'DCF Model'!G42)*C$17/(1+$B19)^('DCF Model'!C19+4)-'DCF Model'!C16)*1000000/'DCF Model'!C15,0),"")</f>
        <v>2996</v>
      </c>
      <c r="D19" s="37">
        <f>IFERROR(ROUND(('DCF Model'!C45/(1+$B19)^('DCF Model'!C19+0)+'DCF Model'!D45/(1+$B19)^('DCF Model'!C19+1)+'DCF Model'!E45/(1+$B19)^('DCF Model'!C19+2)+'DCF Model'!F45/(1+$B19)^('DCF Model'!C19+3)+'DCF Model'!G45/(1+$B19)^('DCF Model'!C19+4)+('DCF Model'!G39+'DCF Model'!G42)*D$17/(1+$B19)^('DCF Model'!C19+4)-'DCF Model'!C16)*1000000/'DCF Model'!C15,0),"")</f>
        <v>4197</v>
      </c>
      <c r="E19" s="37">
        <f>IFERROR(ROUND(('DCF Model'!C45/(1+$B19)^('DCF Model'!C19+0)+'DCF Model'!D45/(1+$B19)^('DCF Model'!C19+1)+'DCF Model'!E45/(1+$B19)^('DCF Model'!C19+2)+'DCF Model'!F45/(1+$B19)^('DCF Model'!C19+3)+'DCF Model'!G45/(1+$B19)^('DCF Model'!C19+4)+('DCF Model'!G39+'DCF Model'!G42)*E$17/(1+$B19)^('DCF Model'!C19+4)-'DCF Model'!C16)*1000000/'DCF Model'!C15,0),"")</f>
        <v>5398</v>
      </c>
      <c r="F19" s="37">
        <f>IFERROR(ROUND(('DCF Model'!C45/(1+$B19)^('DCF Model'!C19+0)+'DCF Model'!D45/(1+$B19)^('DCF Model'!C19+1)+'DCF Model'!E45/(1+$B19)^('DCF Model'!C19+2)+'DCF Model'!F45/(1+$B19)^('DCF Model'!C19+3)+'DCF Model'!G45/(1+$B19)^('DCF Model'!C19+4)+('DCF Model'!G39+'DCF Model'!G42)*F$17/(1+$B19)^('DCF Model'!C19+4)-'DCF Model'!C16)*1000000/'DCF Model'!C15,0),"")</f>
        <v>6599</v>
      </c>
      <c r="G19" s="37">
        <f>IFERROR(ROUND(('DCF Model'!C45/(1+$B19)^('DCF Model'!C19+0)+'DCF Model'!D45/(1+$B19)^('DCF Model'!C19+1)+'DCF Model'!E45/(1+$B19)^('DCF Model'!C19+2)+'DCF Model'!F45/(1+$B19)^('DCF Model'!C19+3)+'DCF Model'!G45/(1+$B19)^('DCF Model'!C19+4)+('DCF Model'!G39+'DCF Model'!G42)*G$17/(1+$B19)^('DCF Model'!C19+4)-'DCF Model'!C16)*1000000/'DCF Model'!C15,0),"")</f>
        <v>7800</v>
      </c>
      <c r="H19" s="37">
        <f>IFERROR(ROUND(('DCF Model'!C45/(1+$B19)^('DCF Model'!C19+0)+'DCF Model'!D45/(1+$B19)^('DCF Model'!C19+1)+'DCF Model'!E45/(1+$B19)^('DCF Model'!C19+2)+'DCF Model'!F45/(1+$B19)^('DCF Model'!C19+3)+'DCF Model'!G45/(1+$B19)^('DCF Model'!C19+4)+('DCF Model'!G39+'DCF Model'!G42)*H$17/(1+$B19)^('DCF Model'!C19+4)-'DCF Model'!C16)*1000000/'DCF Model'!C15,0),"")</f>
        <v>9001</v>
      </c>
      <c r="I19" s="37">
        <f>IFERROR(ROUND(('DCF Model'!C45/(1+$B19)^('DCF Model'!C19+0)+'DCF Model'!D45/(1+$B19)^('DCF Model'!C19+1)+'DCF Model'!E45/(1+$B19)^('DCF Model'!C19+2)+'DCF Model'!F45/(1+$B19)^('DCF Model'!C19+3)+'DCF Model'!G45/(1+$B19)^('DCF Model'!C19+4)+('DCF Model'!G39+'DCF Model'!G42)*I$17/(1+$B19)^('DCF Model'!C19+4)-'DCF Model'!C16)*1000000/'DCF Model'!C15,0),"")</f>
        <v>10202</v>
      </c>
    </row>
    <row r="20" spans="2:9" ht="13.5" x14ac:dyDescent="0.25">
      <c r="B20" s="39">
        <f>$C$3-0.005</f>
        <v>7.2661425547893746E-2</v>
      </c>
      <c r="C20" s="37">
        <f>IFERROR(ROUND(('DCF Model'!C45/(1+$B20)^('DCF Model'!C19+0)+'DCF Model'!D45/(1+$B20)^('DCF Model'!C19+1)+'DCF Model'!E45/(1+$B20)^('DCF Model'!C19+2)+'DCF Model'!F45/(1+$B20)^('DCF Model'!C19+3)+'DCF Model'!G45/(1+$B20)^('DCF Model'!C19+4)+('DCF Model'!G39+'DCF Model'!G42)*C$17/(1+$B20)^('DCF Model'!C19+4)-'DCF Model'!C16)*1000000/'DCF Model'!C15,0),"")</f>
        <v>2892</v>
      </c>
      <c r="D20" s="37">
        <f>IFERROR(ROUND(('DCF Model'!C45/(1+$B20)^('DCF Model'!C19+0)+'DCF Model'!D45/(1+$B20)^('DCF Model'!C19+1)+'DCF Model'!E45/(1+$B20)^('DCF Model'!C19+2)+'DCF Model'!F45/(1+$B20)^('DCF Model'!C19+3)+'DCF Model'!G45/(1+$B20)^('DCF Model'!C19+4)+('DCF Model'!G39+'DCF Model'!G42)*D$17/(1+$B20)^('DCF Model'!C19+4)-'DCF Model'!C16)*1000000/'DCF Model'!C15,0),"")</f>
        <v>4068</v>
      </c>
      <c r="E20" s="37">
        <f>IFERROR(ROUND(('DCF Model'!C45/(1+$B20)^('DCF Model'!C19+0)+'DCF Model'!D45/(1+$B20)^('DCF Model'!C19+1)+'DCF Model'!E45/(1+$B20)^('DCF Model'!C19+2)+'DCF Model'!F45/(1+$B20)^('DCF Model'!C19+3)+'DCF Model'!G45/(1+$B20)^('DCF Model'!C19+4)+('DCF Model'!G39+'DCF Model'!G42)*E$17/(1+$B20)^('DCF Model'!C19+4)-'DCF Model'!C16)*1000000/'DCF Model'!C15,0),"")</f>
        <v>5244</v>
      </c>
      <c r="F20" s="37">
        <f>IFERROR(ROUND(('DCF Model'!C45/(1+$B20)^('DCF Model'!C19+0)+'DCF Model'!D45/(1+$B20)^('DCF Model'!C19+1)+'DCF Model'!E45/(1+$B20)^('DCF Model'!C19+2)+'DCF Model'!F45/(1+$B20)^('DCF Model'!C19+3)+'DCF Model'!G45/(1+$B20)^('DCF Model'!C19+4)+('DCF Model'!G39+'DCF Model'!G42)*F$17/(1+$B20)^('DCF Model'!C19+4)-'DCF Model'!C16)*1000000/'DCF Model'!C15,0),"")</f>
        <v>6420</v>
      </c>
      <c r="G20" s="37">
        <f>IFERROR(ROUND(('DCF Model'!C45/(1+$B20)^('DCF Model'!C19+0)+'DCF Model'!D45/(1+$B20)^('DCF Model'!C19+1)+'DCF Model'!E45/(1+$B20)^('DCF Model'!C19+2)+'DCF Model'!F45/(1+$B20)^('DCF Model'!C19+3)+'DCF Model'!G45/(1+$B20)^('DCF Model'!C19+4)+('DCF Model'!G39+'DCF Model'!G42)*G$17/(1+$B20)^('DCF Model'!C19+4)-'DCF Model'!C16)*1000000/'DCF Model'!C15,0),"")</f>
        <v>7596</v>
      </c>
      <c r="H20" s="37">
        <f>IFERROR(ROUND(('DCF Model'!C45/(1+$B20)^('DCF Model'!C19+0)+'DCF Model'!D45/(1+$B20)^('DCF Model'!C19+1)+'DCF Model'!E45/(1+$B20)^('DCF Model'!C19+2)+'DCF Model'!F45/(1+$B20)^('DCF Model'!C19+3)+'DCF Model'!G45/(1+$B20)^('DCF Model'!C19+4)+('DCF Model'!G39+'DCF Model'!G42)*H$17/(1+$B20)^('DCF Model'!C19+4)-'DCF Model'!C16)*1000000/'DCF Model'!C15,0),"")</f>
        <v>8772</v>
      </c>
      <c r="I20" s="37">
        <f>IFERROR(ROUND(('DCF Model'!C45/(1+$B20)^('DCF Model'!C19+0)+'DCF Model'!D45/(1+$B20)^('DCF Model'!C19+1)+'DCF Model'!E45/(1+$B20)^('DCF Model'!C19+2)+'DCF Model'!F45/(1+$B20)^('DCF Model'!C19+3)+'DCF Model'!G45/(1+$B20)^('DCF Model'!C19+4)+('DCF Model'!G39+'DCF Model'!G42)*I$17/(1+$B20)^('DCF Model'!C19+4)-'DCF Model'!C16)*1000000/'DCF Model'!C15,0),"")</f>
        <v>9948</v>
      </c>
    </row>
    <row r="21" spans="2:9" ht="13.5" x14ac:dyDescent="0.25">
      <c r="B21" s="39">
        <f>$C$3</f>
        <v>7.766142554789375E-2</v>
      </c>
      <c r="C21" s="37">
        <f>IFERROR(ROUND(('DCF Model'!C45/(1+$B21)^('DCF Model'!C19+0)+'DCF Model'!D45/(1+$B21)^('DCF Model'!C19+1)+'DCF Model'!E45/(1+$B21)^('DCF Model'!C19+2)+'DCF Model'!F45/(1+$B21)^('DCF Model'!C19+3)+'DCF Model'!G45/(1+$B21)^('DCF Model'!C19+4)+('DCF Model'!G39+'DCF Model'!G42)*C$17/(1+$B21)^('DCF Model'!C19+4)-'DCF Model'!C16)*1000000/'DCF Model'!C15,0),"")</f>
        <v>2791</v>
      </c>
      <c r="D21" s="37">
        <f>IFERROR(ROUND(('DCF Model'!C45/(1+$B21)^('DCF Model'!C19+0)+'DCF Model'!D45/(1+$B21)^('DCF Model'!C19+1)+'DCF Model'!E45/(1+$B21)^('DCF Model'!C19+2)+'DCF Model'!F45/(1+$B21)^('DCF Model'!C19+3)+'DCF Model'!G45/(1+$B21)^('DCF Model'!C19+4)+('DCF Model'!G39+'DCF Model'!G42)*D$17/(1+$B21)^('DCF Model'!C19+4)-'DCF Model'!C16)*1000000/'DCF Model'!C15,0),"")</f>
        <v>3942</v>
      </c>
      <c r="E21" s="37">
        <f>IFERROR(ROUND(('DCF Model'!C45/(1+$B21)^('DCF Model'!C19+0)+'DCF Model'!D45/(1+$B21)^('DCF Model'!C19+1)+'DCF Model'!E45/(1+$B21)^('DCF Model'!C19+2)+'DCF Model'!F45/(1+$B21)^('DCF Model'!C19+3)+'DCF Model'!G45/(1+$B21)^('DCF Model'!C19+4)+('DCF Model'!G39+'DCF Model'!G42)*E$17/(1+$B21)^('DCF Model'!C19+4)-'DCF Model'!C16)*1000000/'DCF Model'!C15,0),"")</f>
        <v>5094</v>
      </c>
      <c r="F21" s="37">
        <f>IFERROR(ROUND(('DCF Model'!C45/(1+$B21)^('DCF Model'!C19+0)+'DCF Model'!D45/(1+$B21)^('DCF Model'!C19+1)+'DCF Model'!E45/(1+$B21)^('DCF Model'!C19+2)+'DCF Model'!F45/(1+$B21)^('DCF Model'!C19+3)+'DCF Model'!G45/(1+$B21)^('DCF Model'!C19+4)+('DCF Model'!G39+'DCF Model'!G42)*F$17/(1+$B21)^('DCF Model'!C19+4)-'DCF Model'!C16)*1000000/'DCF Model'!C15,0),"")</f>
        <v>6246</v>
      </c>
      <c r="G21" s="37">
        <f>IFERROR(ROUND(('DCF Model'!C45/(1+$B21)^('DCF Model'!C19+0)+'DCF Model'!D45/(1+$B21)^('DCF Model'!C19+1)+'DCF Model'!E45/(1+$B21)^('DCF Model'!C19+2)+'DCF Model'!F45/(1+$B21)^('DCF Model'!C19+3)+'DCF Model'!G45/(1+$B21)^('DCF Model'!C19+4)+('DCF Model'!G39+'DCF Model'!G42)*G$17/(1+$B21)^('DCF Model'!C19+4)-'DCF Model'!C16)*1000000/'DCF Model'!C15,0),"")</f>
        <v>7397</v>
      </c>
      <c r="H21" s="37">
        <f>IFERROR(ROUND(('DCF Model'!C45/(1+$B21)^('DCF Model'!C19+0)+'DCF Model'!D45/(1+$B21)^('DCF Model'!C19+1)+'DCF Model'!E45/(1+$B21)^('DCF Model'!C19+2)+'DCF Model'!F45/(1+$B21)^('DCF Model'!C19+3)+'DCF Model'!G45/(1+$B21)^('DCF Model'!C19+4)+('DCF Model'!G39+'DCF Model'!G42)*H$17/(1+$B21)^('DCF Model'!C19+4)-'DCF Model'!C16)*1000000/'DCF Model'!C15,0),"")</f>
        <v>8549</v>
      </c>
      <c r="I21" s="37">
        <f>IFERROR(ROUND(('DCF Model'!C45/(1+$B21)^('DCF Model'!C19+0)+'DCF Model'!D45/(1+$B21)^('DCF Model'!C19+1)+'DCF Model'!E45/(1+$B21)^('DCF Model'!C19+2)+'DCF Model'!F45/(1+$B21)^('DCF Model'!C19+3)+'DCF Model'!G45/(1+$B21)^('DCF Model'!C19+4)+('DCF Model'!G39+'DCF Model'!G42)*I$17/(1+$B21)^('DCF Model'!C19+4)-'DCF Model'!C16)*1000000/'DCF Model'!C15,0),"")</f>
        <v>9701</v>
      </c>
    </row>
    <row r="22" spans="2:9" ht="13.5" x14ac:dyDescent="0.25">
      <c r="B22" s="39">
        <f>$C$3+0.005</f>
        <v>8.2661425547893755E-2</v>
      </c>
      <c r="C22" s="37">
        <f>IFERROR(ROUND(('DCF Model'!C45/(1+$B22)^('DCF Model'!C19+0)+'DCF Model'!D45/(1+$B22)^('DCF Model'!C19+1)+'DCF Model'!E45/(1+$B22)^('DCF Model'!C19+2)+'DCF Model'!F45/(1+$B22)^('DCF Model'!C19+3)+'DCF Model'!G45/(1+$B22)^('DCF Model'!C19+4)+('DCF Model'!G39+'DCF Model'!G42)*C$17/(1+$B22)^('DCF Model'!C19+4)-'DCF Model'!C16)*1000000/'DCF Model'!C15,0),"")</f>
        <v>2692</v>
      </c>
      <c r="D22" s="37">
        <f>IFERROR(ROUND(('DCF Model'!C45/(1+$B22)^('DCF Model'!C19+0)+'DCF Model'!D45/(1+$B22)^('DCF Model'!C19+1)+'DCF Model'!E45/(1+$B22)^('DCF Model'!C19+2)+'DCF Model'!F45/(1+$B22)^('DCF Model'!C19+3)+'DCF Model'!G45/(1+$B22)^('DCF Model'!C19+4)+('DCF Model'!G39+'DCF Model'!G42)*D$17/(1+$B22)^('DCF Model'!C19+4)-'DCF Model'!C16)*1000000/'DCF Model'!C15,0),"")</f>
        <v>3820</v>
      </c>
      <c r="E22" s="37">
        <f>IFERROR(ROUND(('DCF Model'!C45/(1+$B22)^('DCF Model'!C19+0)+'DCF Model'!D45/(1+$B22)^('DCF Model'!C19+1)+'DCF Model'!E45/(1+$B22)^('DCF Model'!C19+2)+'DCF Model'!F45/(1+$B22)^('DCF Model'!C19+3)+'DCF Model'!G45/(1+$B22)^('DCF Model'!C19+4)+('DCF Model'!G39+'DCF Model'!G42)*E$17/(1+$B22)^('DCF Model'!C19+4)-'DCF Model'!C16)*1000000/'DCF Model'!C15,0),"")</f>
        <v>4947</v>
      </c>
      <c r="F22" s="37">
        <f>IFERROR(ROUND(('DCF Model'!C45/(1+$B22)^('DCF Model'!C19+0)+'DCF Model'!D45/(1+$B22)^('DCF Model'!C19+1)+'DCF Model'!E45/(1+$B22)^('DCF Model'!C19+2)+'DCF Model'!F45/(1+$B22)^('DCF Model'!C19+3)+'DCF Model'!G45/(1+$B22)^('DCF Model'!C19+4)+('DCF Model'!G39+'DCF Model'!G42)*F$17/(1+$B22)^('DCF Model'!C19+4)-'DCF Model'!C16)*1000000/'DCF Model'!C15,0),"")</f>
        <v>6075</v>
      </c>
      <c r="G22" s="37">
        <f>IFERROR(ROUND(('DCF Model'!C45/(1+$B22)^('DCF Model'!C19+0)+'DCF Model'!D45/(1+$B22)^('DCF Model'!C19+1)+'DCF Model'!E45/(1+$B22)^('DCF Model'!C19+2)+'DCF Model'!F45/(1+$B22)^('DCF Model'!C19+3)+'DCF Model'!G45/(1+$B22)^('DCF Model'!C19+4)+('DCF Model'!G39+'DCF Model'!G42)*G$17/(1+$B22)^('DCF Model'!C19+4)-'DCF Model'!C16)*1000000/'DCF Model'!C15,0),"")</f>
        <v>7203</v>
      </c>
      <c r="H22" s="37">
        <f>IFERROR(ROUND(('DCF Model'!C45/(1+$B22)^('DCF Model'!C19+0)+'DCF Model'!D45/(1+$B22)^('DCF Model'!C19+1)+'DCF Model'!E45/(1+$B22)^('DCF Model'!C19+2)+'DCF Model'!F45/(1+$B22)^('DCF Model'!C19+3)+'DCF Model'!G45/(1+$B22)^('DCF Model'!C19+4)+('DCF Model'!G39+'DCF Model'!G42)*H$17/(1+$B22)^('DCF Model'!C19+4)-'DCF Model'!C16)*1000000/'DCF Model'!C15,0),"")</f>
        <v>8331</v>
      </c>
      <c r="I22" s="37">
        <f>IFERROR(ROUND(('DCF Model'!C45/(1+$B22)^('DCF Model'!C19+0)+'DCF Model'!D45/(1+$B22)^('DCF Model'!C19+1)+'DCF Model'!E45/(1+$B22)^('DCF Model'!C19+2)+'DCF Model'!F45/(1+$B22)^('DCF Model'!C19+3)+'DCF Model'!G45/(1+$B22)^('DCF Model'!C19+4)+('DCF Model'!G39+'DCF Model'!G42)*I$17/(1+$B22)^('DCF Model'!C19+4)-'DCF Model'!C16)*1000000/'DCF Model'!C15,0),"")</f>
        <v>9459</v>
      </c>
    </row>
    <row r="23" spans="2:9" ht="13.5" x14ac:dyDescent="0.25">
      <c r="B23" s="39">
        <f>$C$3+0.01</f>
        <v>8.7661425547893745E-2</v>
      </c>
      <c r="C23" s="37">
        <f>IFERROR(ROUND(('DCF Model'!C45/(1+$B23)^('DCF Model'!C19+0)+'DCF Model'!D45/(1+$B23)^('DCF Model'!C19+1)+'DCF Model'!E45/(1+$B23)^('DCF Model'!C19+2)+'DCF Model'!F45/(1+$B23)^('DCF Model'!C19+3)+'DCF Model'!G45/(1+$B23)^('DCF Model'!C19+4)+('DCF Model'!G39+'DCF Model'!G42)*C$17/(1+$B23)^('DCF Model'!C19+4)-'DCF Model'!C16)*1000000/'DCF Model'!C15,0),"")</f>
        <v>2595</v>
      </c>
      <c r="D23" s="37">
        <f>IFERROR(ROUND(('DCF Model'!C45/(1+$B23)^('DCF Model'!C19+0)+'DCF Model'!D45/(1+$B23)^('DCF Model'!C19+1)+'DCF Model'!E45/(1+$B23)^('DCF Model'!C19+2)+'DCF Model'!F45/(1+$B23)^('DCF Model'!C19+3)+'DCF Model'!G45/(1+$B23)^('DCF Model'!C19+4)+('DCF Model'!G39+'DCF Model'!G42)*D$17/(1+$B23)^('DCF Model'!C19+4)-'DCF Model'!C16)*1000000/'DCF Model'!C15,0),"")</f>
        <v>3700</v>
      </c>
      <c r="E23" s="37">
        <f>IFERROR(ROUND(('DCF Model'!C45/(1+$B23)^('DCF Model'!C19+0)+'DCF Model'!D45/(1+$B23)^('DCF Model'!C19+1)+'DCF Model'!E45/(1+$B23)^('DCF Model'!C19+2)+'DCF Model'!F45/(1+$B23)^('DCF Model'!C19+3)+'DCF Model'!G45/(1+$B23)^('DCF Model'!C19+4)+('DCF Model'!G39+'DCF Model'!G42)*E$17/(1+$B23)^('DCF Model'!C19+4)-'DCF Model'!C16)*1000000/'DCF Model'!C15,0),"")</f>
        <v>4805</v>
      </c>
      <c r="F23" s="37">
        <f>IFERROR(ROUND(('DCF Model'!C45/(1+$B23)^('DCF Model'!C19+0)+'DCF Model'!D45/(1+$B23)^('DCF Model'!C19+1)+'DCF Model'!E45/(1+$B23)^('DCF Model'!C19+2)+'DCF Model'!F45/(1+$B23)^('DCF Model'!C19+3)+'DCF Model'!G45/(1+$B23)^('DCF Model'!C19+4)+('DCF Model'!G39+'DCF Model'!G42)*F$17/(1+$B23)^('DCF Model'!C19+4)-'DCF Model'!C16)*1000000/'DCF Model'!C15,0),"")</f>
        <v>5909</v>
      </c>
      <c r="G23" s="37">
        <f>IFERROR(ROUND(('DCF Model'!C45/(1+$B23)^('DCF Model'!C19+0)+'DCF Model'!D45/(1+$B23)^('DCF Model'!C19+1)+'DCF Model'!E45/(1+$B23)^('DCF Model'!C19+2)+'DCF Model'!F45/(1+$B23)^('DCF Model'!C19+3)+'DCF Model'!G45/(1+$B23)^('DCF Model'!C19+4)+('DCF Model'!G39+'DCF Model'!G42)*G$17/(1+$B23)^('DCF Model'!C19+4)-'DCF Model'!C16)*1000000/'DCF Model'!C15,0),"")</f>
        <v>7014</v>
      </c>
      <c r="H23" s="37">
        <f>IFERROR(ROUND(('DCF Model'!C45/(1+$B23)^('DCF Model'!C19+0)+'DCF Model'!D45/(1+$B23)^('DCF Model'!C19+1)+'DCF Model'!E45/(1+$B23)^('DCF Model'!C19+2)+'DCF Model'!F45/(1+$B23)^('DCF Model'!C19+3)+'DCF Model'!G45/(1+$B23)^('DCF Model'!C19+4)+('DCF Model'!G39+'DCF Model'!G42)*H$17/(1+$B23)^('DCF Model'!C19+4)-'DCF Model'!C16)*1000000/'DCF Model'!C15,0),"")</f>
        <v>8119</v>
      </c>
      <c r="I23" s="37">
        <f>IFERROR(ROUND(('DCF Model'!C45/(1+$B23)^('DCF Model'!C19+0)+'DCF Model'!D45/(1+$B23)^('DCF Model'!C19+1)+'DCF Model'!E45/(1+$B23)^('DCF Model'!C19+2)+'DCF Model'!F45/(1+$B23)^('DCF Model'!C19+3)+'DCF Model'!G45/(1+$B23)^('DCF Model'!C19+4)+('DCF Model'!G39+'DCF Model'!G42)*I$17/(1+$B23)^('DCF Model'!C19+4)-'DCF Model'!C16)*1000000/'DCF Model'!C15,0),"")</f>
        <v>9224</v>
      </c>
    </row>
    <row r="24" spans="2:9" ht="13.5" x14ac:dyDescent="0.25">
      <c r="B24" s="39">
        <f>$C$3+0.015</f>
        <v>9.266142554789375E-2</v>
      </c>
      <c r="C24" s="37">
        <f>IFERROR(ROUND(('DCF Model'!C45/(1+$B24)^('DCF Model'!C19+0)+'DCF Model'!D45/(1+$B24)^('DCF Model'!C19+1)+'DCF Model'!E45/(1+$B24)^('DCF Model'!C19+2)+'DCF Model'!F45/(1+$B24)^('DCF Model'!C19+3)+'DCF Model'!G45/(1+$B24)^('DCF Model'!C19+4)+('DCF Model'!G39+'DCF Model'!G42)*C$17/(1+$B24)^('DCF Model'!C19+4)-'DCF Model'!C16)*1000000/'DCF Model'!C15,0),"")</f>
        <v>2501</v>
      </c>
      <c r="D24" s="37">
        <f>IFERROR(ROUND(('DCF Model'!C45/(1+$B24)^('DCF Model'!C19+0)+'DCF Model'!D45/(1+$B24)^('DCF Model'!C19+1)+'DCF Model'!E45/(1+$B24)^('DCF Model'!C19+2)+'DCF Model'!F45/(1+$B24)^('DCF Model'!C19+3)+'DCF Model'!G45/(1+$B24)^('DCF Model'!C19+4)+('DCF Model'!G39+'DCF Model'!G42)*D$17/(1+$B24)^('DCF Model'!C19+4)-'DCF Model'!C16)*1000000/'DCF Model'!C15,0),"")</f>
        <v>3583</v>
      </c>
      <c r="E24" s="37">
        <f>IFERROR(ROUND(('DCF Model'!C45/(1+$B24)^('DCF Model'!C19+0)+'DCF Model'!D45/(1+$B24)^('DCF Model'!C19+1)+'DCF Model'!E45/(1+$B24)^('DCF Model'!C19+2)+'DCF Model'!F45/(1+$B24)^('DCF Model'!C19+3)+'DCF Model'!G45/(1+$B24)^('DCF Model'!C19+4)+('DCF Model'!G39+'DCF Model'!G42)*E$17/(1+$B24)^('DCF Model'!C19+4)-'DCF Model'!C16)*1000000/'DCF Model'!C15,0),"")</f>
        <v>4665</v>
      </c>
      <c r="F24" s="37">
        <f>IFERROR(ROUND(('DCF Model'!C45/(1+$B24)^('DCF Model'!C19+0)+'DCF Model'!D45/(1+$B24)^('DCF Model'!C19+1)+'DCF Model'!E45/(1+$B24)^('DCF Model'!C19+2)+'DCF Model'!F45/(1+$B24)^('DCF Model'!C19+3)+'DCF Model'!G45/(1+$B24)^('DCF Model'!C19+4)+('DCF Model'!G39+'DCF Model'!G42)*F$17/(1+$B24)^('DCF Model'!C19+4)-'DCF Model'!C16)*1000000/'DCF Model'!C15,0),"")</f>
        <v>5747</v>
      </c>
      <c r="G24" s="37">
        <f>IFERROR(ROUND(('DCF Model'!C45/(1+$B24)^('DCF Model'!C19+0)+'DCF Model'!D45/(1+$B24)^('DCF Model'!C19+1)+'DCF Model'!E45/(1+$B24)^('DCF Model'!C19+2)+'DCF Model'!F45/(1+$B24)^('DCF Model'!C19+3)+'DCF Model'!G45/(1+$B24)^('DCF Model'!C19+4)+('DCF Model'!G39+'DCF Model'!G42)*G$17/(1+$B24)^('DCF Model'!C19+4)-'DCF Model'!C16)*1000000/'DCF Model'!C15,0),"")</f>
        <v>6830</v>
      </c>
      <c r="H24" s="37">
        <f>IFERROR(ROUND(('DCF Model'!C45/(1+$B24)^('DCF Model'!C19+0)+'DCF Model'!D45/(1+$B24)^('DCF Model'!C19+1)+'DCF Model'!E45/(1+$B24)^('DCF Model'!C19+2)+'DCF Model'!F45/(1+$B24)^('DCF Model'!C19+3)+'DCF Model'!G45/(1+$B24)^('DCF Model'!C19+4)+('DCF Model'!G39+'DCF Model'!G42)*H$17/(1+$B24)^('DCF Model'!C19+4)-'DCF Model'!C16)*1000000/'DCF Model'!C15,0),"")</f>
        <v>7912</v>
      </c>
      <c r="I24" s="37">
        <f>IFERROR(ROUND(('DCF Model'!C45/(1+$B24)^('DCF Model'!C19+0)+'DCF Model'!D45/(1+$B24)^('DCF Model'!C19+1)+'DCF Model'!E45/(1+$B24)^('DCF Model'!C19+2)+'DCF Model'!F45/(1+$B24)^('DCF Model'!C19+3)+'DCF Model'!G45/(1+$B24)^('DCF Model'!C19+4)+('DCF Model'!G39+'DCF Model'!G42)*I$17/(1+$B24)^('DCF Model'!C19+4)-'DCF Model'!C16)*1000000/'DCF Model'!C15,0),"")</f>
        <v>8994</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339</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289</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2026-09-06T10:09:19Z</dcterms:created>
  <dcterms:modified xsi:type="dcterms:W3CDTF">2026-09-06T10:09:23Z</dcterms:modified>
</cp:coreProperties>
</file>