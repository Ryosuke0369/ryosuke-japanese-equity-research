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3807927E-12F8-4910-AD12-01E6015E2CC9}"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7" i="6" s="1"/>
  <c r="N6" i="6"/>
  <c r="H15" i="6" s="1"/>
  <c r="M6" i="6"/>
  <c r="L6" i="6"/>
  <c r="K6" i="6"/>
  <c r="E15" i="6" s="1"/>
  <c r="J6" i="6"/>
  <c r="O5" i="6"/>
  <c r="N5" i="6"/>
  <c r="D5" i="6"/>
  <c r="M5" i="6" s="1"/>
  <c r="C16" i="5"/>
  <c r="C14" i="5"/>
  <c r="C18" i="5" s="1"/>
  <c r="C7" i="5"/>
  <c r="C6" i="5"/>
  <c r="C5" i="5"/>
  <c r="C13" i="4"/>
  <c r="C12" i="4"/>
  <c r="C9" i="4"/>
  <c r="C7" i="4"/>
  <c r="C6" i="4"/>
  <c r="C8" i="4" s="1"/>
  <c r="C10" i="4" s="1"/>
  <c r="D27" i="3"/>
  <c r="G5"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D17" i="6" l="1"/>
  <c r="F15" i="6"/>
  <c r="G16" i="6"/>
  <c r="E5" i="6"/>
  <c r="J5" i="6" s="1"/>
  <c r="C26" i="3"/>
  <c r="G46" i="3" s="1"/>
  <c r="G15" i="6"/>
  <c r="I16" i="6"/>
  <c r="C3" i="7"/>
  <c r="G36" i="4"/>
  <c r="C11" i="4"/>
  <c r="C24" i="4" s="1"/>
  <c r="C25" i="4" s="1"/>
  <c r="E36" i="4"/>
  <c r="D36" i="4"/>
  <c r="D46" i="3"/>
  <c r="E46" i="3"/>
  <c r="C46" i="3"/>
  <c r="H36" i="4"/>
  <c r="F36" i="4"/>
  <c r="F46" i="3"/>
  <c r="G32" i="3"/>
  <c r="F5" i="5"/>
  <c r="C30" i="3"/>
  <c r="C33" i="3" s="1"/>
  <c r="F31" i="3"/>
  <c r="H5" i="5"/>
  <c r="D7" i="5"/>
  <c r="I15" i="6"/>
  <c r="E17" i="6"/>
  <c r="I6" i="7"/>
  <c r="D30" i="3"/>
  <c r="G31" i="3"/>
  <c r="E7" i="5"/>
  <c r="L5" i="6"/>
  <c r="D16" i="6"/>
  <c r="F17" i="6"/>
  <c r="C17" i="7"/>
  <c r="C31" i="3"/>
  <c r="E30" i="3"/>
  <c r="C32" i="3"/>
  <c r="D6" i="5"/>
  <c r="F7" i="5"/>
  <c r="E16" i="6"/>
  <c r="G17" i="6"/>
  <c r="C6" i="7"/>
  <c r="D17" i="7"/>
  <c r="F32" i="3"/>
  <c r="D31" i="3"/>
  <c r="H6" i="5"/>
  <c r="F30" i="3"/>
  <c r="D32" i="3"/>
  <c r="E6" i="5"/>
  <c r="G7" i="5"/>
  <c r="D15" i="6"/>
  <c r="F16" i="6"/>
  <c r="C28" i="6" s="1"/>
  <c r="C19" i="1" s="1"/>
  <c r="D19" i="1" s="1"/>
  <c r="H17" i="6"/>
  <c r="D6" i="7"/>
  <c r="E17" i="7"/>
  <c r="G30" i="3"/>
  <c r="E32" i="3"/>
  <c r="C70" i="4"/>
  <c r="D5" i="5"/>
  <c r="F6" i="5"/>
  <c r="H7" i="5"/>
  <c r="E6" i="7"/>
  <c r="F17" i="7"/>
  <c r="C71" i="4"/>
  <c r="E5" i="5"/>
  <c r="G6" i="5"/>
  <c r="H16" i="6"/>
  <c r="F6" i="7"/>
  <c r="G17" i="7"/>
  <c r="G6" i="7"/>
  <c r="H17" i="7"/>
  <c r="E31" i="3"/>
  <c r="K5" i="6" l="1"/>
  <c r="C29" i="4"/>
  <c r="C27" i="4"/>
  <c r="C26" i="4"/>
  <c r="F43" i="4"/>
  <c r="F40" i="4"/>
  <c r="F50" i="4" s="1"/>
  <c r="F55" i="4" s="1"/>
  <c r="F44" i="4"/>
  <c r="F38" i="4"/>
  <c r="F41" i="4"/>
  <c r="F45" i="4"/>
  <c r="F39" i="4"/>
  <c r="F46" i="4"/>
  <c r="H40" i="4"/>
  <c r="H38" i="4"/>
  <c r="H48" i="4" s="1"/>
  <c r="H53" i="4" s="1"/>
  <c r="H41" i="4"/>
  <c r="H45" i="4"/>
  <c r="H44" i="4"/>
  <c r="H39" i="4"/>
  <c r="H43" i="4"/>
  <c r="H46" i="4"/>
  <c r="D9" i="5"/>
  <c r="D12" i="5" s="1"/>
  <c r="C42" i="3"/>
  <c r="C34" i="3"/>
  <c r="D10" i="5" s="1"/>
  <c r="C37" i="3"/>
  <c r="D33" i="3"/>
  <c r="D45" i="4"/>
  <c r="D43" i="4"/>
  <c r="D46" i="4"/>
  <c r="D40" i="4"/>
  <c r="D50" i="4" s="1"/>
  <c r="D55" i="4" s="1"/>
  <c r="D39" i="4"/>
  <c r="D44" i="4"/>
  <c r="D38" i="4"/>
  <c r="D41" i="4"/>
  <c r="G46" i="4"/>
  <c r="G44" i="4"/>
  <c r="G38" i="4"/>
  <c r="G41" i="4"/>
  <c r="G51" i="4" s="1"/>
  <c r="G56" i="4" s="1"/>
  <c r="G45" i="4"/>
  <c r="G39" i="4"/>
  <c r="G43" i="4"/>
  <c r="G40" i="4"/>
  <c r="C27" i="6"/>
  <c r="C18" i="1" s="1"/>
  <c r="D18" i="1" s="1"/>
  <c r="C74" i="4"/>
  <c r="B13" i="7"/>
  <c r="B12" i="7"/>
  <c r="B11" i="7"/>
  <c r="B10" i="7"/>
  <c r="B9" i="7"/>
  <c r="B8" i="7"/>
  <c r="B7" i="7"/>
  <c r="B24" i="7"/>
  <c r="B23" i="7"/>
  <c r="B22" i="7"/>
  <c r="B21" i="7"/>
  <c r="B20" i="7"/>
  <c r="B19" i="7"/>
  <c r="B18" i="7"/>
  <c r="E39" i="4"/>
  <c r="E46" i="4"/>
  <c r="E40" i="4"/>
  <c r="E50" i="4" s="1"/>
  <c r="E55" i="4" s="1"/>
  <c r="E44" i="4"/>
  <c r="E43" i="4"/>
  <c r="E38" i="4"/>
  <c r="E41" i="4"/>
  <c r="E45" i="4"/>
  <c r="D49" i="4" l="1"/>
  <c r="D54" i="4" s="1"/>
  <c r="H50" i="4"/>
  <c r="H55" i="4" s="1"/>
  <c r="F49" i="4"/>
  <c r="C60" i="4" s="1"/>
  <c r="E49" i="4"/>
  <c r="E54" i="4" s="1"/>
  <c r="G50" i="4"/>
  <c r="G55" i="4" s="1"/>
  <c r="C35" i="3"/>
  <c r="C39" i="3" s="1"/>
  <c r="G48" i="4"/>
  <c r="G53" i="4" s="1"/>
  <c r="F54" i="4"/>
  <c r="B78" i="4"/>
  <c r="D51" i="4"/>
  <c r="D56" i="4" s="1"/>
  <c r="D37" i="3"/>
  <c r="E9" i="5"/>
  <c r="E12" i="5" s="1"/>
  <c r="D42" i="3"/>
  <c r="E33" i="3"/>
  <c r="D34" i="3"/>
  <c r="E10" i="5" s="1"/>
  <c r="H49" i="4"/>
  <c r="H54" i="4" s="1"/>
  <c r="E51" i="4"/>
  <c r="E56" i="4" s="1"/>
  <c r="D48" i="4"/>
  <c r="D53" i="4" s="1"/>
  <c r="C36" i="3"/>
  <c r="F51" i="4"/>
  <c r="F56" i="4" s="1"/>
  <c r="E48" i="4"/>
  <c r="E53" i="4" s="1"/>
  <c r="G49" i="4"/>
  <c r="G54" i="4" s="1"/>
  <c r="F48" i="4"/>
  <c r="F53" i="4" s="1"/>
  <c r="D15" i="5"/>
  <c r="D16" i="5" s="1"/>
  <c r="D13" i="5"/>
  <c r="D14" i="5" s="1"/>
  <c r="D18" i="5" s="1"/>
  <c r="D19" i="5" s="1"/>
  <c r="C44" i="3" s="1"/>
  <c r="H51" i="4"/>
  <c r="H56" i="4" s="1"/>
  <c r="C38" i="3" l="1"/>
  <c r="E13" i="5"/>
  <c r="E15" i="5"/>
  <c r="E16" i="5" s="1"/>
  <c r="C64" i="4"/>
  <c r="D64" i="4" s="1"/>
  <c r="C65" i="4"/>
  <c r="D65" i="4" s="1"/>
  <c r="C67" i="4"/>
  <c r="D67" i="4" s="1"/>
  <c r="C63" i="4"/>
  <c r="D63" i="4" s="1"/>
  <c r="C66" i="4"/>
  <c r="D66" i="4" s="1"/>
  <c r="F9" i="5"/>
  <c r="F12" i="5" s="1"/>
  <c r="E34" i="3"/>
  <c r="F10" i="5" s="1"/>
  <c r="F33" i="3"/>
  <c r="E42" i="3"/>
  <c r="E37" i="3"/>
  <c r="D35" i="3"/>
  <c r="C40" i="3"/>
  <c r="C41" i="3" s="1"/>
  <c r="C45" i="3" s="1"/>
  <c r="E14" i="5"/>
  <c r="E18" i="5" s="1"/>
  <c r="E19" i="5" s="1"/>
  <c r="D44" i="3" s="1"/>
  <c r="C47" i="3" l="1"/>
  <c r="D36" i="3"/>
  <c r="D38" i="3"/>
  <c r="D39" i="3"/>
  <c r="E35" i="3"/>
  <c r="F42" i="3"/>
  <c r="F34" i="3"/>
  <c r="G10" i="5" s="1"/>
  <c r="F35" i="3"/>
  <c r="G33" i="3"/>
  <c r="F37" i="3"/>
  <c r="G9" i="5"/>
  <c r="G12" i="5" s="1"/>
  <c r="F13" i="5"/>
  <c r="F14" i="5" s="1"/>
  <c r="F15" i="5"/>
  <c r="F16" i="5" s="1"/>
  <c r="F18" i="5" l="1"/>
  <c r="F19" i="5" s="1"/>
  <c r="E44" i="3" s="1"/>
  <c r="G37" i="3"/>
  <c r="C16" i="4"/>
  <c r="C28" i="4" s="1"/>
  <c r="H9" i="5"/>
  <c r="H12" i="5" s="1"/>
  <c r="G42" i="3"/>
  <c r="G34" i="3"/>
  <c r="H10" i="5" s="1"/>
  <c r="E39" i="3"/>
  <c r="E38" i="3"/>
  <c r="E36" i="3"/>
  <c r="D40" i="3"/>
  <c r="D41" i="3" s="1"/>
  <c r="D45" i="3" s="1"/>
  <c r="F38" i="3"/>
  <c r="F36" i="3"/>
  <c r="F39" i="3"/>
  <c r="G13" i="5"/>
  <c r="G14" i="5" s="1"/>
  <c r="G18" i="5" s="1"/>
  <c r="G19" i="5" s="1"/>
  <c r="F44" i="3" s="1"/>
  <c r="G15" i="5"/>
  <c r="G16" i="5" s="1"/>
  <c r="G35" i="3" l="1"/>
  <c r="D47" i="3"/>
  <c r="G38" i="3"/>
  <c r="G36" i="3"/>
  <c r="G39" i="3"/>
  <c r="F40" i="3"/>
  <c r="F41" i="3" s="1"/>
  <c r="F45" i="3" s="1"/>
  <c r="E40" i="3"/>
  <c r="E41" i="3"/>
  <c r="E45" i="3" s="1"/>
  <c r="E47" i="3" s="1"/>
  <c r="H15" i="5"/>
  <c r="H16" i="5" s="1"/>
  <c r="H13" i="5"/>
  <c r="C72" i="4"/>
  <c r="C73" i="4"/>
  <c r="H14" i="5"/>
  <c r="F47" i="3" l="1"/>
  <c r="H18" i="5"/>
  <c r="H19" i="5" s="1"/>
  <c r="G44" i="3" s="1"/>
  <c r="C59" i="3"/>
  <c r="C60" i="3" s="1"/>
  <c r="C61" i="3" s="1"/>
  <c r="G40" i="3"/>
  <c r="G41" i="3" s="1"/>
  <c r="G45" i="3" s="1"/>
  <c r="G47" i="3" l="1"/>
  <c r="C50" i="3" s="1"/>
  <c r="C51" i="3"/>
  <c r="C52" i="3" s="1"/>
  <c r="F13" i="7"/>
  <c r="I7" i="7"/>
  <c r="I20" i="7"/>
  <c r="E9" i="7"/>
  <c r="D7" i="7"/>
  <c r="I18" i="7"/>
  <c r="I9" i="7"/>
  <c r="F18" i="7"/>
  <c r="E13" i="7"/>
  <c r="G13" i="7"/>
  <c r="F19" i="7"/>
  <c r="D8" i="7"/>
  <c r="E22" i="7"/>
  <c r="E8" i="7"/>
  <c r="C11" i="7"/>
  <c r="E7" i="7"/>
  <c r="E10" i="7"/>
  <c r="G22" i="7"/>
  <c r="G7" i="7"/>
  <c r="I13" i="7"/>
  <c r="H13" i="7"/>
  <c r="G10" i="7"/>
  <c r="E20" i="7"/>
  <c r="C21" i="7"/>
  <c r="C18" i="7"/>
  <c r="G19" i="7"/>
  <c r="D24" i="7"/>
  <c r="C20" i="7"/>
  <c r="D19" i="7"/>
  <c r="F20" i="7"/>
  <c r="C23" i="7"/>
  <c r="I23" i="7"/>
  <c r="C7" i="7"/>
  <c r="D23" i="7"/>
  <c r="F8" i="7"/>
  <c r="F10" i="7"/>
  <c r="H20" i="7"/>
  <c r="E19" i="7"/>
  <c r="H18" i="7"/>
  <c r="G20" i="7"/>
  <c r="C13" i="7"/>
  <c r="I19" i="7"/>
  <c r="I21" i="7"/>
  <c r="H8" i="7"/>
  <c r="C19" i="7"/>
  <c r="F9" i="7"/>
  <c r="C9" i="7"/>
  <c r="I11" i="7"/>
  <c r="H22" i="7"/>
  <c r="E18" i="7"/>
  <c r="I8" i="7"/>
  <c r="H24" i="7"/>
  <c r="G18" i="7"/>
  <c r="D11" i="7"/>
  <c r="H19" i="7"/>
  <c r="D13" i="7"/>
  <c r="D9" i="7"/>
  <c r="C24" i="7"/>
  <c r="E21" i="7"/>
  <c r="F23" i="7"/>
  <c r="G9" i="7"/>
  <c r="C22" i="7"/>
  <c r="H21" i="7"/>
  <c r="F12" i="7"/>
  <c r="H9" i="7"/>
  <c r="C8" i="7"/>
  <c r="C10" i="7"/>
  <c r="H23" i="7"/>
  <c r="F7" i="7"/>
  <c r="H12" i="7"/>
  <c r="E23" i="7"/>
  <c r="G24" i="7"/>
  <c r="C12" i="7"/>
  <c r="D21" i="7"/>
  <c r="D20" i="7"/>
  <c r="F21" i="7"/>
  <c r="D12" i="7"/>
  <c r="G12" i="7"/>
  <c r="E24" i="7"/>
  <c r="I22" i="7"/>
  <c r="D22" i="7"/>
  <c r="D10" i="7"/>
  <c r="D18" i="7"/>
  <c r="E11" i="7"/>
  <c r="I12" i="7"/>
  <c r="G21" i="7"/>
  <c r="H11" i="7"/>
  <c r="H10" i="7"/>
  <c r="I10" i="7"/>
  <c r="I24" i="7"/>
  <c r="H7" i="7"/>
  <c r="F22" i="7"/>
  <c r="F11" i="7"/>
  <c r="G23" i="7"/>
  <c r="E12" i="7"/>
  <c r="G11" i="7"/>
  <c r="G8" i="7"/>
  <c r="F24" i="7"/>
  <c r="C58" i="3" l="1"/>
  <c r="C62" i="3" s="1"/>
  <c r="C53" i="3"/>
  <c r="C16" i="1" l="1"/>
  <c r="C17" i="4"/>
  <c r="C54" i="3"/>
  <c r="C55" i="3" s="1"/>
  <c r="C63" i="3"/>
  <c r="C64" i="3" s="1"/>
  <c r="C17" i="1" s="1"/>
  <c r="D17" i="1" s="1"/>
  <c r="C19" i="4" l="1"/>
  <c r="C20" i="4" s="1"/>
  <c r="B79" i="4" s="1"/>
  <c r="C21" i="1"/>
  <c r="C10" i="1"/>
  <c r="C12" i="1" s="1"/>
  <c r="C11" i="1" s="1"/>
  <c r="D16" i="1"/>
</calcChain>
</file>

<file path=xl/sharedStrings.xml><?xml version="1.0" encoding="utf-8"?>
<sst xmlns="http://schemas.openxmlformats.org/spreadsheetml/2006/main" count="445" uniqueCount="360">
  <si>
    <t>DISCLAIMER: This is a sample analysis for demonstration purposes only. It does not constitute investment advice.</t>
  </si>
  <si>
    <t>日本製紙 (3863.T)</t>
  </si>
  <si>
    <t>Equity Research Report</t>
  </si>
  <si>
    <t>Company</t>
  </si>
  <si>
    <t>日本製紙</t>
  </si>
  <si>
    <t>Ticker</t>
  </si>
  <si>
    <t>3863.T (TSE Prime)</t>
  </si>
  <si>
    <t>Sector</t>
  </si>
  <si>
    <t>パルプ・紙</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</si>
  <si>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</si>
  <si>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</si>
  <si>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</si>
  <si>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</si>
  <si>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</si>
  <si>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</si>
  <si>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</si>
  <si>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</si>
  <si>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</si>
  <si>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</si>
  <si>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</si>
  <si>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</si>
  <si>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</si>
  <si>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</si>
  <si>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</si>
  <si>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</si>
  <si>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</si>
  <si>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</si>
  <si>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</si>
  <si>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</si>
  <si>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</si>
  <si>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</si>
  <si>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日本製紙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</si>
  <si>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</si>
  <si>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</si>
  <si>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</si>
  <si>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</si>
  <si>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</si>
  <si>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</si>
  <si>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</si>
  <si>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</si>
  <si>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</si>
  <si>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</si>
  <si>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</si>
  <si>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</si>
  <si>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</si>
  <si>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</si>
  <si>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</si>
  <si>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</si>
  <si>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</si>
  <si>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</si>
  <si>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</si>
  <si>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</si>
  <si>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</si>
  <si>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</si>
  <si>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</si>
  <si>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</si>
  <si>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</si>
  <si>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</si>
  <si>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</si>
  <si>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</si>
  <si>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日本製紙</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</si>
  <si>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</si>
  <si>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</si>
  <si>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</si>
  <si>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</si>
  <si>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</si>
  <si>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</si>
  <si>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</si>
  <si>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</si>
  <si>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</si>
  <si>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</si>
  <si>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</si>
  <si>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</si>
  <si>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</si>
  <si>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</si>
  <si>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</si>
  <si>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</si>
  <si>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</si>
  <si>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</si>
  <si>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</si>
  <si>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</si>
  <si>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</si>
  <si>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</si>
  <si>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</si>
  <si>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</si>
  <si>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</si>
  <si>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</si>
  <si>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</si>
  <si>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</si>
  <si>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</si>
  <si>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</si>
  <si>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</si>
  <si>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</si>
  <si>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</si>
  <si>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</si>
  <si>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</si>
  <si>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</si>
  <si>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</si>
  <si>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</si>
  <si>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</si>
  <si>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</si>
  <si>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</si>
  <si>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</si>
  <si>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</si>
  <si>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</si>
  <si>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</si>
  <si>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</si>
  <si>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</si>
  <si>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</si>
  <si>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</si>
  <si>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</si>
  <si>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</si>
  <si>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</si>
  <si>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</si>
  <si>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</si>
  <si>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</si>
  <si>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</si>
  <si>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</si>
  <si>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</si>
  <si>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</si>
  <si>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</si>
  <si>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</si>
  <si>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</si>
  <si>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</si>
  <si>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</si>
  <si>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日本製紙 (3863.T)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</si>
  <si>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</si>
  <si>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</si>
  <si>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</si>
  <si>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</si>
  <si>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</si>
  <si>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</si>
  <si>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</si>
  <si>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</si>
  <si>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</si>
  <si>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</si>
  <si>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</si>
  <si>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</si>
  <si>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</si>
  <si>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</si>
  <si>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</si>
  <si>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</si>
  <si>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</si>
  <si>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</si>
  <si>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</si>
  <si>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</si>
  <si>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</si>
  <si>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</si>
  <si>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</si>
  <si>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</si>
  <si>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</si>
  <si>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</si>
  <si>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</si>
  <si>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</si>
  <si>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</si>
  <si>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</si>
  <si>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</si>
  <si>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</si>
  <si>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</si>
  <si>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</si>
  <si>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</si>
  <si>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</si>
  <si>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</si>
  <si>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</si>
  <si>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</si>
  <si>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</si>
  <si>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</si>
  <si>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</si>
  <si>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</si>
  <si>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</si>
  <si>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</si>
  <si>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</si>
  <si>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</si>
  <si>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</si>
  <si>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</si>
  <si>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</si>
  <si>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</si>
  <si>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日本製紙</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</si>
  <si>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</si>
  <si>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</si>
  <si>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</si>
  <si>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</si>
  <si>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</si>
  <si>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</si>
  <si>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</si>
  <si>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</si>
  <si>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</si>
  <si>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</si>
  <si>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</si>
  <si>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</si>
  <si>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</si>
  <si>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</si>
  <si>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</si>
  <si>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</si>
  <si>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</si>
  <si>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</si>
  <si>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</si>
  <si>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</si>
  <si>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</si>
  <si>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</si>
  <si>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</si>
  <si>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</si>
  <si>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</si>
  <si>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</si>
  <si>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</si>
  <si>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</si>
  <si>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</si>
  <si>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</si>
  <si>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</si>
  <si>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</si>
  <si>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</si>
  <si>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</si>
  <si>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Nippon Paper Industries Co., Ltd.</t>
  </si>
  <si>
    <t>3863.T</t>
  </si>
  <si>
    <t>Oji Holdings Corporation</t>
  </si>
  <si>
    <t>3861.T</t>
  </si>
  <si>
    <t>Hokuetsu Corporation</t>
  </si>
  <si>
    <t>3865.T</t>
  </si>
  <si>
    <t>Rengo Co., Ltd.</t>
  </si>
  <si>
    <t>3941.T</t>
  </si>
  <si>
    <t>Zeon Corporation</t>
  </si>
  <si>
    <t>4205.T</t>
  </si>
  <si>
    <t>Kuraray Co., Ltd.</t>
  </si>
  <si>
    <t>3405.T</t>
  </si>
  <si>
    <t>Statistics</t>
  </si>
  <si>
    <t>25th Percentile</t>
  </si>
  <si>
    <t>Median (50th)</t>
  </si>
  <si>
    <t>75th Percentile</t>
  </si>
  <si>
    <t>Implied Valuation for 日本製紙</t>
  </si>
  <si>
    <t>日本製紙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</si>
  <si>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</si>
  <si>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</si>
  <si>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</si>
  <si>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</si>
  <si>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</si>
  <si>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</si>
  <si>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</si>
  <si>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</si>
  <si>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</si>
  <si>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</si>
  <si>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</si>
  <si>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</si>
  <si>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</si>
  <si>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</si>
  <si>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</si>
  <si>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日本製紙</t>
  </si>
  <si>
    <t>日付</t>
  </si>
  <si>
    <t>セル</t>
  </si>
  <si>
    <t>変更内容</t>
  </si>
  <si>
    <t>理由</t>
  </si>
  <si>
    <t>元の値</t>
  </si>
  <si>
    <t>状態</t>
  </si>
  <si>
    <t>2026-09-06</t>
  </si>
  <si>
    <t>-</t>
  </si>
  <si>
    <t>Generated by pipeline on 2026-09-06 18:51, template rev 63983ab</t>
  </si>
  <si>
    <t>初期生成（手修正なし）</t>
  </si>
  <si>
    <t>generated</t>
  </si>
  <si>
    <t>DCF Model!C11</t>
  </si>
  <si>
    <t>After-tax Cost of Debt = 0.96% (実績ベース)</t>
  </si>
  <si>
    <t>実績Kd = 支払利息11,217 ÷ 平均有利子負債875,892(期首874,926/期末876,858、debt_beginning/debt_ending) = 税引前1.28% × (1−25.0%) = 0.96%。【マージナルコスト注記】これは既存借入の実績平均コストであり、新規調達の限界コストではない。テンプレ既定(税引前2.8%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</si>
  <si>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</si>
  <si>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</si>
  <si>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</si>
  <si>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0.687（採用値）</t>
  </si>
  <si>
    <t>実測β(raw) = 0.533 → Blume調整 0.67×raw + 0.33×1.00 = 0.687 → 採用 0.687。クランプ域 [0.3, 2.0] の内側。置換なし。回帰βは平均回帰するため Blume 調整を既定とする（2026-09-05 バッチで85件中57件が旧下限 0.60 に張り付き、両裾の歪みが実証された）。</t>
  </si>
  <si>
    <t>実測 0.533</t>
  </si>
  <si>
    <t>確定</t>
  </si>
  <si>
    <t>Pipeline Metadata (do not edit — read by scripts/validate_output.py)</t>
  </si>
  <si>
    <t>key</t>
  </si>
  <si>
    <t>value</t>
  </si>
  <si>
    <t>auto_log_entries</t>
  </si>
  <si>
    <t>2</t>
  </si>
  <si>
    <t>beta_adopted_c8</t>
  </si>
  <si>
    <t>0.6873</t>
  </si>
  <si>
    <t>beta_basis</t>
  </si>
  <si>
    <t>Blume: 0.67 x 0.533 + 0.33 x 1.00 = 0.687</t>
  </si>
  <si>
    <t>beta_blume_adjusted</t>
  </si>
  <si>
    <t>beta_clamped</t>
  </si>
  <si>
    <t>no</t>
  </si>
  <si>
    <t>beta_raw</t>
  </si>
  <si>
    <t>0.5333</t>
  </si>
  <si>
    <t>capex_pct_basis</t>
  </si>
  <si>
    <t>explicit_override</t>
  </si>
  <si>
    <t>capex_pct_c5</t>
  </si>
  <si>
    <t>0.05565</t>
  </si>
  <si>
    <t>capex_pct_hist3yr</t>
  </si>
  <si>
    <t>0.047179</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</si>
  <si>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</si>
  <si>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</si>
  <si>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</si>
  <si>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</si>
  <si>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</si>
  <si>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</si>
  <si>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</si>
  <si>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</si>
  <si>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</si>
  <si>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</si>
  <si>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</si>
  <si>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</si>
  <si>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</si>
  <si>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</si>
  <si>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</si>
  <si>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</si>
  <si>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</si>
  <si>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</si>
  <si>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</si>
  <si>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</si>
  <si>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88420.0</t>
  </si>
  <si>
    <t>core_net_income</t>
  </si>
  <si>
    <t>11743.0</t>
  </si>
  <si>
    <t>cost_of_debt_actual</t>
  </si>
  <si>
    <t>interest 11,217 (expense 11,217 + fees 0) / avg debt 875,892 (debt_beginning/debt_ending) = 0.012806 pre-tax -&gt; 0.009600 after-tax</t>
  </si>
  <si>
    <t>cost_of_debt_at_c11</t>
  </si>
  <si>
    <t>0.0096</t>
  </si>
  <si>
    <t>cost_of_debt_avg_debt</t>
  </si>
  <si>
    <t>875892.0</t>
  </si>
  <si>
    <t>cost_of_debt_basis</t>
  </si>
  <si>
    <t>actual</t>
  </si>
  <si>
    <t>cost_of_debt_interest</t>
  </si>
  <si>
    <t>11217.0</t>
  </si>
  <si>
    <t>cost_of_debt_pretax</t>
  </si>
  <si>
    <t>0.012806373388499952</t>
  </si>
  <si>
    <t>da_pct_basis</t>
  </si>
  <si>
    <t>da_pct_c18</t>
  </si>
  <si>
    <t>0.053</t>
  </si>
  <si>
    <t>da_pct_hist3yr</t>
  </si>
  <si>
    <t>0.054783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</si>
  <si>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</si>
  <si>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</si>
  <si>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</si>
  <si>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</si>
  <si>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</si>
  <si>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</si>
  <si>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</si>
  <si>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</si>
  <si>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</si>
  <si>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18:51:17</t>
  </si>
  <si>
    <t>guidance_note</t>
  </si>
  <si>
    <t>screener DB: no guidance row for code=3863 in the TDnet archive | EDINET XBRL: 5 cached EDINET XBRL file(s) for this ticker carry no ForecastMember context | EDINET tanshin: skipped (--tanshin-fallback not given; EDINET does not host 決算短信)</t>
  </si>
  <si>
    <t>guidance_source</t>
  </si>
  <si>
    <t>latest_operating_income</t>
  </si>
  <si>
    <t>25207.0</t>
  </si>
  <si>
    <t>ltm_revenue_c20</t>
  </si>
  <si>
    <t>1192606.0</t>
  </si>
  <si>
    <t>ltm_revenue_source</t>
  </si>
  <si>
    <t>latest FY (no LTM)</t>
  </si>
  <si>
    <t>market_data_source</t>
  </si>
  <si>
    <t>yfinance; from overrides: beta, current_price, shares_outstanding</t>
  </si>
  <si>
    <t>narrative_tokens_used</t>
  </si>
  <si>
    <t>net_debt_source</t>
  </si>
  <si>
    <t>EDINET net_debt</t>
  </si>
  <si>
    <t>reverse_dcf_sheet</t>
  </si>
  <si>
    <t>op0=25,207(FY2026) peak=25,207(FY2026) peak_opm=0.0211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</si>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</sst>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1306</v>
      </c>
    </row>
    <row r="10" spans="2:5" ht="14" x14ac:dyDescent="0.3">
      <c r="B10" s="4" t="s">
        <v>10</v>
      </c>
      <c r="C10" s="5">
        <f>IF(COUNT(C16:C17)=0,"N/A",ROUND(AVERAGE(C16:C17),0))</f>
        <v>693</v>
      </c>
    </row>
    <row r="11" spans="2:5" ht="14" x14ac:dyDescent="0.3">
      <c r="B11" s="4" t="s">
        <v>11</v>
      </c>
      <c r="C11" s="6" t="str">
        <f>IF(NOT(ISNUMBER(C12)),"N/A",IF(C12&gt;0.15,"BUY",IF(C12&gt;0.05,"HOLD","SELL")))</f>
        <v>SELL</v>
      </c>
    </row>
    <row r="12" spans="2:5" ht="14" x14ac:dyDescent="0.3">
      <c r="B12" s="4" t="s">
        <v>12</v>
      </c>
      <c r="C12" s="7">
        <f>IF(ISNUMBER(C10),(C10-C9)/C9,"N/A")</f>
        <v>-0.46937212863705974</v>
      </c>
    </row>
    <row r="14" spans="2:5" ht="14" x14ac:dyDescent="0.3">
      <c r="B14" s="8" t="s">
        <v>13</v>
      </c>
      <c r="C14" s="9"/>
      <c r="D14" s="9"/>
    </row>
    <row r="15" spans="2:5" ht="14" x14ac:dyDescent="0.3">
      <c r="B15" s="10" t="s">
        <v>14</v>
      </c>
      <c r="C15" s="10" t="s">
        <v>15</v>
      </c>
      <c r="D15" s="10" t="s">
        <v>16</v>
      </c>
    </row>
    <row r="16" spans="2:5" ht="13.5" x14ac:dyDescent="0.25">
      <c r="B16" t="s">
        <v>17</v>
      </c>
      <c r="C16" s="11" t="str">
        <f>IF('DCF Model'!C53&lt;'DCF Model'!C16,"INVALID (EV &lt; net debt)",'DCF Model'!C55)</f>
        <v>INVALID (EV &lt; net debt)</v>
      </c>
      <c r="D16" s="7" t="str">
        <f>IF(ISNUMBER(C16),(C16-C9)/C9,"N/A")</f>
        <v>N/A</v>
      </c>
    </row>
    <row r="17" spans="2:5" ht="13.5" x14ac:dyDescent="0.25">
      <c r="B17" t="s">
        <v>18</v>
      </c>
      <c r="C17" s="11">
        <f>IF('DCF Model'!C62&lt;'DCF Model'!C16,"INVALID (EV &lt; net debt)",'DCF Model'!C64)</f>
        <v>693</v>
      </c>
      <c r="D17" s="7">
        <f>IF(ISNUMBER(C17),(C17-C9)/C9,"N/A")</f>
        <v>-0.46937212863705974</v>
      </c>
    </row>
    <row r="18" spans="2:5" ht="13.5" x14ac:dyDescent="0.25">
      <c r="B18" t="s">
        <v>19</v>
      </c>
      <c r="C18" s="11">
        <f>'Comps Analysis'!C27</f>
        <v>740</v>
      </c>
      <c r="D18" s="7">
        <f>IF(ISNUMBER(C18),(C18-C9)/C9,"N/A")</f>
        <v>-0.4333843797856049</v>
      </c>
    </row>
    <row r="19" spans="2:5" ht="13.5" x14ac:dyDescent="0.25">
      <c r="B19" t="s">
        <v>20</v>
      </c>
      <c r="C19" s="11">
        <f>'Comps Analysis'!C28</f>
        <v>1839</v>
      </c>
      <c r="D19" s="7">
        <f>IF(ISNUMBER(C19),(C19-C9)/C9,"N/A")</f>
        <v>0.40811638591117916</v>
      </c>
    </row>
    <row r="20" spans="2:5" ht="14" x14ac:dyDescent="0.3">
      <c r="B20" s="45" t="s">
        <v>21</v>
      </c>
      <c r="C20" s="44"/>
      <c r="D20" s="44"/>
      <c r="E20" s="44"/>
    </row>
    <row r="21" spans="2:5" ht="14" x14ac:dyDescent="0.3">
      <c r="B21" s="4" t="s">
        <v>22</v>
      </c>
      <c r="C21" s="6" t="str">
        <f>IF(COUNT(C16:C17)=0,"N/A",MIN(C16:C17)&amp;" - "&amp;MAX(C16:C17))</f>
        <v>693 - 693</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1152645</v>
      </c>
      <c r="D6" s="5">
        <v>1167314</v>
      </c>
      <c r="E6" s="5">
        <v>1182431</v>
      </c>
      <c r="F6" s="5">
        <v>1192606</v>
      </c>
    </row>
    <row r="7" spans="2:6" ht="14" x14ac:dyDescent="0.3">
      <c r="B7" s="4" t="s">
        <v>38</v>
      </c>
      <c r="C7" s="5">
        <v>1008246</v>
      </c>
      <c r="D7" s="5">
        <v>985917</v>
      </c>
      <c r="E7" s="5">
        <v>991368</v>
      </c>
      <c r="F7" s="5">
        <v>993594</v>
      </c>
    </row>
    <row r="8" spans="2:6" ht="14" x14ac:dyDescent="0.3">
      <c r="B8" s="4" t="s">
        <v>39</v>
      </c>
      <c r="C8" s="5">
        <f>C6-C7</f>
        <v>144399</v>
      </c>
      <c r="D8" s="5">
        <f>D6-D7</f>
        <v>181397</v>
      </c>
      <c r="E8" s="5">
        <f>E6-E7</f>
        <v>191063</v>
      </c>
      <c r="F8" s="5">
        <f>F6-F7</f>
        <v>199012</v>
      </c>
    </row>
    <row r="9" spans="2:6" ht="13.5" x14ac:dyDescent="0.25">
      <c r="B9" t="s">
        <v>40</v>
      </c>
      <c r="C9" s="7">
        <f>C8/C6</f>
        <v>0.12527621253725127</v>
      </c>
      <c r="D9" s="7">
        <f>D8/D6</f>
        <v>0.15539691976623257</v>
      </c>
      <c r="E9" s="7">
        <f>E8/E6</f>
        <v>0.16158490431999836</v>
      </c>
      <c r="F9" s="7">
        <f>F8/F6</f>
        <v>0.16687154013982824</v>
      </c>
    </row>
    <row r="10" spans="2:6" ht="14" x14ac:dyDescent="0.3">
      <c r="B10" s="4" t="s">
        <v>41</v>
      </c>
      <c r="C10" s="5">
        <v>171254</v>
      </c>
      <c r="D10" s="5">
        <v>164129</v>
      </c>
      <c r="E10" s="5">
        <v>171355</v>
      </c>
      <c r="F10" s="5">
        <v>173805</v>
      </c>
    </row>
    <row r="11" spans="2:6" ht="14" x14ac:dyDescent="0.3">
      <c r="B11" s="4" t="s">
        <v>42</v>
      </c>
      <c r="C11" s="5">
        <v>-26855</v>
      </c>
      <c r="D11" s="5">
        <v>17268</v>
      </c>
      <c r="E11" s="5">
        <v>19708</v>
      </c>
      <c r="F11" s="5">
        <v>25207</v>
      </c>
    </row>
    <row r="12" spans="2:6" ht="14" x14ac:dyDescent="0.3">
      <c r="B12" s="4" t="s">
        <v>43</v>
      </c>
      <c r="C12" s="5">
        <v>-50406</v>
      </c>
      <c r="D12" s="5">
        <v>22747</v>
      </c>
      <c r="E12" s="5">
        <v>4539</v>
      </c>
      <c r="F12" s="5">
        <v>11743</v>
      </c>
    </row>
    <row r="13" spans="2:6" ht="13.5" x14ac:dyDescent="0.25">
      <c r="B13" t="s">
        <v>44</v>
      </c>
      <c r="C13" s="7">
        <f>C11/C6</f>
        <v>-2.3298587162569568E-2</v>
      </c>
      <c r="D13" s="7">
        <f>D11/D6</f>
        <v>1.4792934891554458E-2</v>
      </c>
      <c r="E13" s="7">
        <f>E11/E6</f>
        <v>1.6667357334170029E-2</v>
      </c>
      <c r="F13" s="7">
        <f>F11/F6</f>
        <v>2.1136066731175258E-2</v>
      </c>
    </row>
    <row r="14" spans="2:6" ht="13.5" x14ac:dyDescent="0.25">
      <c r="B14" t="s">
        <v>45</v>
      </c>
      <c r="C14" s="7">
        <f>C12/C6</f>
        <v>-4.3730723683354372E-2</v>
      </c>
      <c r="D14" s="7">
        <f>D12/D6</f>
        <v>1.9486616283193724E-2</v>
      </c>
      <c r="E14" s="7">
        <f>E12/E6</f>
        <v>3.8387017931701723E-3</v>
      </c>
      <c r="F14" s="7">
        <f>F12/F6</f>
        <v>9.8465042101079491E-3</v>
      </c>
    </row>
    <row r="15" spans="2:6" ht="13.5" x14ac:dyDescent="0.25">
      <c r="B15" t="s">
        <v>46</v>
      </c>
      <c r="C15" t="s">
        <v>47</v>
      </c>
      <c r="D15" s="7">
        <f>(D6-C6)/C6</f>
        <v>1.2726381496471159E-2</v>
      </c>
      <c r="E15" s="7">
        <f>(E6-D6)/D6</f>
        <v>1.2950243036577991E-2</v>
      </c>
      <c r="F15" s="7">
        <f>(F6-E6)/E6</f>
        <v>8.605153281671404E-3</v>
      </c>
    </row>
    <row r="16" spans="2:6" ht="13.5" x14ac:dyDescent="0.25">
      <c r="B16" t="s">
        <v>48</v>
      </c>
      <c r="C16" t="s">
        <v>47</v>
      </c>
      <c r="D16" s="7">
        <f>(D11-C11)/C11</f>
        <v>-1.6430087506981941</v>
      </c>
      <c r="E16" s="7">
        <f>(E11-D11)/D11</f>
        <v>0.14130182997451934</v>
      </c>
      <c r="F16" s="7">
        <f>(F11-E11)/E11</f>
        <v>0.27902374670184699</v>
      </c>
    </row>
    <row r="18" spans="2:6" ht="14" x14ac:dyDescent="0.3">
      <c r="B18" s="3" t="s">
        <v>49</v>
      </c>
    </row>
    <row r="19" spans="2:6" ht="14" x14ac:dyDescent="0.3">
      <c r="B19" s="4" t="s">
        <v>50</v>
      </c>
      <c r="C19" s="5">
        <v>65823</v>
      </c>
      <c r="D19" s="5">
        <v>90283</v>
      </c>
      <c r="E19" s="5">
        <v>72790</v>
      </c>
      <c r="F19" s="5">
        <v>74986</v>
      </c>
    </row>
    <row r="20" spans="2:6" ht="14" x14ac:dyDescent="0.3">
      <c r="B20" s="4" t="s">
        <v>51</v>
      </c>
      <c r="C20" s="5">
        <v>89357</v>
      </c>
      <c r="D20" s="5">
        <v>61664</v>
      </c>
      <c r="E20" s="5">
        <v>51072</v>
      </c>
      <c r="F20" s="5">
        <v>54287</v>
      </c>
    </row>
    <row r="21" spans="2:6" ht="14" x14ac:dyDescent="0.3">
      <c r="B21" s="4" t="s">
        <v>52</v>
      </c>
      <c r="C21" s="5">
        <f>C19-C20</f>
        <v>-23534</v>
      </c>
      <c r="D21" s="5">
        <f>D19-D20</f>
        <v>28619</v>
      </c>
      <c r="E21" s="5">
        <f>E19-E20</f>
        <v>21718</v>
      </c>
      <c r="F21" s="5">
        <f>F19-F20</f>
        <v>20699</v>
      </c>
    </row>
    <row r="22" spans="2:6" ht="13.5" x14ac:dyDescent="0.25">
      <c r="B22" t="s">
        <v>53</v>
      </c>
      <c r="C22" s="7">
        <f>C21/C6</f>
        <v>-2.0417387834068598E-2</v>
      </c>
      <c r="D22" s="7">
        <f>D21/D6</f>
        <v>2.4516968013747802E-2</v>
      </c>
      <c r="E22" s="7">
        <f>E21/E6</f>
        <v>1.836724510774836E-2</v>
      </c>
      <c r="F22" s="7">
        <f>F21/F6</f>
        <v>1.735610922634969E-2</v>
      </c>
    </row>
    <row r="23" spans="2:6" ht="13.5" x14ac:dyDescent="0.25">
      <c r="B23" t="s">
        <v>54</v>
      </c>
      <c r="C23" s="7">
        <f>C20/C6</f>
        <v>7.7523435229407148E-2</v>
      </c>
      <c r="D23" s="7">
        <f>D20/D6</f>
        <v>5.2825546511050155E-2</v>
      </c>
      <c r="E23" s="7">
        <f>E20/E6</f>
        <v>4.3192372324473899E-2</v>
      </c>
      <c r="F23" s="7">
        <f>F20/F6</f>
        <v>4.5519643536926696E-2</v>
      </c>
    </row>
    <row r="25" spans="2:6" ht="14" x14ac:dyDescent="0.3">
      <c r="B25" s="3" t="s">
        <v>55</v>
      </c>
    </row>
    <row r="26" spans="2:6" ht="14" x14ac:dyDescent="0.3">
      <c r="B26" s="4" t="s">
        <v>56</v>
      </c>
      <c r="C26" s="5">
        <v>144346</v>
      </c>
      <c r="D26" s="5">
        <v>164858</v>
      </c>
      <c r="E26" s="5">
        <v>185941</v>
      </c>
      <c r="F26" s="5">
        <v>207411</v>
      </c>
    </row>
    <row r="27" spans="2:6" ht="14" x14ac:dyDescent="0.3">
      <c r="B27" s="4" t="s">
        <v>57</v>
      </c>
      <c r="C27" s="5">
        <v>872233</v>
      </c>
      <c r="D27" s="5">
        <v>849259</v>
      </c>
      <c r="E27" s="5">
        <v>847016</v>
      </c>
      <c r="F27" s="5">
        <v>828252</v>
      </c>
    </row>
    <row r="28" spans="2:6" ht="14" x14ac:dyDescent="0.3">
      <c r="B28" s="4" t="s">
        <v>58</v>
      </c>
      <c r="C28" s="5">
        <f>C27-C26</f>
        <v>727887</v>
      </c>
      <c r="D28" s="5">
        <f>D27-D26</f>
        <v>684401</v>
      </c>
      <c r="E28" s="5">
        <f>E27-E26</f>
        <v>661075</v>
      </c>
      <c r="F28" s="5">
        <f>F27-F26</f>
        <v>620841</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5.5649999999999998E-2</v>
      </c>
    </row>
    <row r="6" spans="2:7" ht="14" x14ac:dyDescent="0.3">
      <c r="B6" s="4" t="s">
        <v>63</v>
      </c>
      <c r="C6" s="7">
        <v>0.25</v>
      </c>
    </row>
    <row r="7" spans="2:7" ht="14" x14ac:dyDescent="0.3">
      <c r="B7" s="4" t="s">
        <v>64</v>
      </c>
      <c r="C7" s="7">
        <v>2.9700000000000001E-2</v>
      </c>
    </row>
    <row r="8" spans="2:7" ht="14" x14ac:dyDescent="0.3">
      <c r="B8" s="4" t="s">
        <v>65</v>
      </c>
      <c r="C8" s="12">
        <v>0.68730000000000002</v>
      </c>
    </row>
    <row r="9" spans="2:7" ht="14" x14ac:dyDescent="0.3">
      <c r="B9" s="4" t="s">
        <v>66</v>
      </c>
      <c r="C9" s="7">
        <v>6.5000000000000002E-2</v>
      </c>
    </row>
    <row r="10" spans="2:7" ht="14" x14ac:dyDescent="0.3">
      <c r="B10" s="4" t="s">
        <v>67</v>
      </c>
      <c r="C10" s="7">
        <v>0.01</v>
      </c>
    </row>
    <row r="11" spans="2:7" ht="14" x14ac:dyDescent="0.3">
      <c r="B11" s="4" t="s">
        <v>68</v>
      </c>
      <c r="C11" s="7">
        <v>9.5999999999999992E-3</v>
      </c>
    </row>
    <row r="12" spans="2:7" ht="14" x14ac:dyDescent="0.3">
      <c r="B12" s="4" t="s">
        <v>69</v>
      </c>
      <c r="C12" s="13">
        <v>2</v>
      </c>
    </row>
    <row r="13" spans="2:7" ht="14" x14ac:dyDescent="0.3">
      <c r="B13" s="4" t="s">
        <v>70</v>
      </c>
      <c r="C13" s="7">
        <v>0.01</v>
      </c>
    </row>
    <row r="14" spans="2:7" ht="14" x14ac:dyDescent="0.3">
      <c r="B14" s="4" t="s">
        <v>71</v>
      </c>
      <c r="C14" s="14">
        <v>8.5</v>
      </c>
    </row>
    <row r="15" spans="2:7" ht="14" x14ac:dyDescent="0.3">
      <c r="B15" s="4" t="s">
        <v>72</v>
      </c>
      <c r="C15" s="15">
        <v>115308503</v>
      </c>
    </row>
    <row r="16" spans="2:7" ht="14" x14ac:dyDescent="0.3">
      <c r="B16" s="4" t="s">
        <v>73</v>
      </c>
      <c r="C16" s="5">
        <v>669447</v>
      </c>
    </row>
    <row r="17" spans="2:7" ht="14" x14ac:dyDescent="0.3">
      <c r="B17" s="4" t="s">
        <v>74</v>
      </c>
      <c r="C17" s="5">
        <v>1192606</v>
      </c>
    </row>
    <row r="18" spans="2:7" ht="14" x14ac:dyDescent="0.3">
      <c r="B18" s="4" t="s">
        <v>75</v>
      </c>
      <c r="C18" s="7">
        <v>5.2999999999999999E-2</v>
      </c>
    </row>
    <row r="19" spans="2:7" ht="14" x14ac:dyDescent="0.3">
      <c r="B19" s="4" t="s">
        <v>76</v>
      </c>
      <c r="C19" s="12">
        <v>1</v>
      </c>
    </row>
    <row r="20" spans="2:7" ht="14" x14ac:dyDescent="0.3">
      <c r="B20" s="4" t="s">
        <v>77</v>
      </c>
      <c r="C20" s="5">
        <v>1192606</v>
      </c>
    </row>
    <row r="22" spans="2:7" ht="14" x14ac:dyDescent="0.3">
      <c r="B22" s="8" t="s">
        <v>78</v>
      </c>
      <c r="C22" s="9"/>
      <c r="D22" s="9"/>
      <c r="E22" s="9"/>
      <c r="F22" s="9"/>
      <c r="G22" s="9"/>
    </row>
    <row r="23" spans="2:7" ht="14" x14ac:dyDescent="0.3">
      <c r="B23" s="4" t="s">
        <v>79</v>
      </c>
      <c r="C23" s="16">
        <f>C7+C8*C9+C10</f>
        <v>8.4374500000000005E-2</v>
      </c>
    </row>
    <row r="24" spans="2:7" ht="14" x14ac:dyDescent="0.3">
      <c r="B24" s="4" t="s">
        <v>80</v>
      </c>
      <c r="C24" s="16">
        <f>1/(1+C12)</f>
        <v>0.33333333333333331</v>
      </c>
    </row>
    <row r="25" spans="2:7" ht="14" x14ac:dyDescent="0.3">
      <c r="B25" s="4" t="s">
        <v>81</v>
      </c>
      <c r="C25" s="16">
        <f>C12/(1+C12)</f>
        <v>0.66666666666666663</v>
      </c>
    </row>
    <row r="26" spans="2:7" ht="14" x14ac:dyDescent="0.3">
      <c r="B26" s="4" t="s">
        <v>82</v>
      </c>
      <c r="C26" s="16">
        <f>C23*C24+C11*C25</f>
        <v>3.4524833333333338E-2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0.01</v>
      </c>
      <c r="D30" s="18">
        <f>CHOOSE($D$27,D69,D70,D71,D72,D73)</f>
        <v>1.4999999999999999E-2</v>
      </c>
      <c r="E30" s="18">
        <f>CHOOSE($D$27,E69,E70,E71,E72,E73)</f>
        <v>0.02</v>
      </c>
      <c r="F30" s="18">
        <f>CHOOSE($D$27,F69,F70,F71,F72,F73)</f>
        <v>0.02</v>
      </c>
      <c r="G30" s="18">
        <f>CHOOSE($D$27,G69,G70,G71,G72,G73)</f>
        <v>1.4999999999999999E-2</v>
      </c>
    </row>
    <row r="31" spans="2:7" ht="14" x14ac:dyDescent="0.3">
      <c r="B31" s="4" t="s">
        <v>91</v>
      </c>
      <c r="C31" s="18">
        <f>CHOOSE($D$27,C76,C77,C78,C79,C80)</f>
        <v>0.83299999999999996</v>
      </c>
      <c r="D31" s="18">
        <f>CHOOSE($D$27,D76,D77,D78,D79,D80)</f>
        <v>0.83299999999999996</v>
      </c>
      <c r="E31" s="18">
        <f>CHOOSE($D$27,E76,E77,E78,E79,E80)</f>
        <v>0.83299999999999996</v>
      </c>
      <c r="F31" s="18">
        <f>CHOOSE($D$27,F76,F77,F78,F79,F80)</f>
        <v>0.83299999999999996</v>
      </c>
      <c r="G31" s="18">
        <f>CHOOSE($D$27,G76,G77,G78,G79,G80)</f>
        <v>0.83299999999999996</v>
      </c>
    </row>
    <row r="32" spans="2:7" ht="14" x14ac:dyDescent="0.3">
      <c r="B32" s="4" t="s">
        <v>92</v>
      </c>
      <c r="C32" s="18">
        <f>CHOOSE($D$27,C83,C84,C85,C86,C87)</f>
        <v>0.1459</v>
      </c>
      <c r="D32" s="18">
        <f>CHOOSE($D$27,D83,D84,D85,D86,D87)</f>
        <v>0.1459</v>
      </c>
      <c r="E32" s="18">
        <f>CHOOSE($D$27,E83,E84,E85,E86,E87)</f>
        <v>0.1459</v>
      </c>
      <c r="F32" s="18">
        <f>CHOOSE($D$27,F83,F84,F85,F86,F87)</f>
        <v>0.1459</v>
      </c>
      <c r="G32" s="18">
        <f>CHOOSE($D$27,G83,G84,G85,G86,G87)</f>
        <v>0.1459</v>
      </c>
    </row>
    <row r="33" spans="2:7" ht="14" x14ac:dyDescent="0.3">
      <c r="B33" s="4" t="s">
        <v>37</v>
      </c>
      <c r="C33" s="5">
        <f>C17*(1+C30)</f>
        <v>1204532.06</v>
      </c>
      <c r="D33" s="5">
        <f>C33*(1+D30)</f>
        <v>1222600.0408999999</v>
      </c>
      <c r="E33" s="5">
        <f>D33*(1+E30)</f>
        <v>1247052.0417179998</v>
      </c>
      <c r="F33" s="5">
        <f>E33*(1+F30)</f>
        <v>1271993.0825523599</v>
      </c>
      <c r="G33" s="5">
        <f>F33*(1+G30)</f>
        <v>1291072.9787906453</v>
      </c>
    </row>
    <row r="34" spans="2:7" ht="14" x14ac:dyDescent="0.3">
      <c r="B34" s="4" t="s">
        <v>38</v>
      </c>
      <c r="C34" s="5">
        <f>C33*C31</f>
        <v>1003375.20598</v>
      </c>
      <c r="D34" s="5">
        <f>D33*D31</f>
        <v>1018425.8340696999</v>
      </c>
      <c r="E34" s="5">
        <f>E33*E31</f>
        <v>1038794.3507510938</v>
      </c>
      <c r="F34" s="5">
        <f>F33*F31</f>
        <v>1059570.2377661157</v>
      </c>
      <c r="G34" s="5">
        <f>G33*G31</f>
        <v>1075463.7913326074</v>
      </c>
    </row>
    <row r="35" spans="2:7" ht="14" x14ac:dyDescent="0.3">
      <c r="B35" s="4" t="s">
        <v>39</v>
      </c>
      <c r="C35" s="19">
        <f>C33-C34</f>
        <v>201156.85402000009</v>
      </c>
      <c r="D35" s="19">
        <f>D33-D34</f>
        <v>204174.20683030004</v>
      </c>
      <c r="E35" s="19">
        <f>E33-E34</f>
        <v>208257.69096690603</v>
      </c>
      <c r="F35" s="19">
        <f>F33-F34</f>
        <v>212422.84478624421</v>
      </c>
      <c r="G35" s="19">
        <f>G33-G34</f>
        <v>215609.18745803786</v>
      </c>
    </row>
    <row r="36" spans="2:7" ht="14" x14ac:dyDescent="0.3">
      <c r="B36" s="4" t="s">
        <v>40</v>
      </c>
      <c r="C36" s="7">
        <f>C35/C33</f>
        <v>0.16700000000000007</v>
      </c>
      <c r="D36" s="7">
        <f>D35/D33</f>
        <v>0.16700000000000004</v>
      </c>
      <c r="E36" s="7">
        <f>E35/E33</f>
        <v>0.16700000000000004</v>
      </c>
      <c r="F36" s="7">
        <f>F35/F33</f>
        <v>0.16700000000000009</v>
      </c>
      <c r="G36" s="7">
        <f>G35/G33</f>
        <v>0.16700000000000009</v>
      </c>
    </row>
    <row r="37" spans="2:7" ht="14" x14ac:dyDescent="0.3">
      <c r="B37" s="4" t="s">
        <v>93</v>
      </c>
      <c r="C37" s="5">
        <f>C33*C32</f>
        <v>175741.22755400001</v>
      </c>
      <c r="D37" s="5">
        <f>D33*D32</f>
        <v>178377.34596730999</v>
      </c>
      <c r="E37" s="5">
        <f>E33*E32</f>
        <v>181944.89288665619</v>
      </c>
      <c r="F37" s="5">
        <f>F33*F32</f>
        <v>185583.79074438932</v>
      </c>
      <c r="G37" s="5">
        <f>G33*G32</f>
        <v>188367.54760555516</v>
      </c>
    </row>
    <row r="38" spans="2:7" ht="14" x14ac:dyDescent="0.3">
      <c r="B38" s="4" t="s">
        <v>94</v>
      </c>
      <c r="C38" s="7">
        <f>(C35-C37)/C33</f>
        <v>2.110000000000006E-2</v>
      </c>
      <c r="D38" s="7">
        <f>(D35-D37)/D33</f>
        <v>2.1100000000000046E-2</v>
      </c>
      <c r="E38" s="7">
        <f>(E35-E37)/E33</f>
        <v>2.1100000000000032E-2</v>
      </c>
      <c r="F38" s="7">
        <f>(F35-F37)/F33</f>
        <v>2.1100000000000077E-2</v>
      </c>
      <c r="G38" s="7">
        <f>(G35-G37)/G33</f>
        <v>2.1100000000000074E-2</v>
      </c>
    </row>
    <row r="39" spans="2:7" ht="14" x14ac:dyDescent="0.3">
      <c r="B39" s="4" t="s">
        <v>95</v>
      </c>
      <c r="C39" s="19">
        <f>C35-C37</f>
        <v>25415.626466000074</v>
      </c>
      <c r="D39" s="19">
        <f>D35-D37</f>
        <v>25796.860862990055</v>
      </c>
      <c r="E39" s="19">
        <f>E35-E37</f>
        <v>26312.798080249835</v>
      </c>
      <c r="F39" s="19">
        <f>F35-F37</f>
        <v>26839.054041854892</v>
      </c>
      <c r="G39" s="19">
        <f>G35-G37</f>
        <v>27241.639852482709</v>
      </c>
    </row>
    <row r="40" spans="2:7" ht="14" x14ac:dyDescent="0.3">
      <c r="B40" s="4" t="s">
        <v>96</v>
      </c>
      <c r="C40" s="5">
        <f>MAX(0,C39*C6)</f>
        <v>6353.9066165000186</v>
      </c>
      <c r="D40" s="5">
        <f>MAX(0,D39*C6)</f>
        <v>6449.2152157475139</v>
      </c>
      <c r="E40" s="5">
        <f>MAX(0,E39*C6)</f>
        <v>6578.1995200624588</v>
      </c>
      <c r="F40" s="5">
        <f>MAX(0,F39*C6)</f>
        <v>6709.7635104637229</v>
      </c>
      <c r="G40" s="5">
        <f>MAX(0,G39*C6)</f>
        <v>6810.4099631206773</v>
      </c>
    </row>
    <row r="41" spans="2:7" ht="14" x14ac:dyDescent="0.3">
      <c r="B41" s="4" t="s">
        <v>97</v>
      </c>
      <c r="C41" s="19">
        <f>C39-C40</f>
        <v>19061.719849500056</v>
      </c>
      <c r="D41" s="19">
        <f>D39-D40</f>
        <v>19347.645647242542</v>
      </c>
      <c r="E41" s="19">
        <f>E39-E40</f>
        <v>19734.598560187376</v>
      </c>
      <c r="F41" s="19">
        <f>F39-F40</f>
        <v>20129.290531391169</v>
      </c>
      <c r="G41" s="19">
        <f>G39-G40</f>
        <v>20431.229889362032</v>
      </c>
    </row>
    <row r="42" spans="2:7" ht="14" x14ac:dyDescent="0.3">
      <c r="B42" s="4" t="s">
        <v>98</v>
      </c>
      <c r="C42" s="5">
        <f>C33*C18</f>
        <v>63840.199180000003</v>
      </c>
      <c r="D42" s="5">
        <f>D33*C18</f>
        <v>64797.802167699992</v>
      </c>
      <c r="E42" s="5">
        <f>E33*C18</f>
        <v>66093.758211053995</v>
      </c>
      <c r="F42" s="5">
        <f>F33*C18</f>
        <v>67415.63337527508</v>
      </c>
      <c r="G42" s="5">
        <f>G33*C18</f>
        <v>68426.867875904194</v>
      </c>
    </row>
    <row r="43" spans="2:7" ht="14" x14ac:dyDescent="0.3">
      <c r="B43" s="4" t="s">
        <v>99</v>
      </c>
      <c r="C43" s="5">
        <v>65300</v>
      </c>
      <c r="D43" s="5">
        <v>66900</v>
      </c>
      <c r="E43" s="5">
        <v>68600</v>
      </c>
      <c r="F43" s="5">
        <v>70200</v>
      </c>
      <c r="G43" s="5">
        <v>71800</v>
      </c>
    </row>
    <row r="44" spans="2:7" ht="14" x14ac:dyDescent="0.3">
      <c r="B44" s="4" t="s">
        <v>100</v>
      </c>
      <c r="C44" s="5">
        <f>'NWC Schedule'!D19</f>
        <v>-2856.6495195068419</v>
      </c>
      <c r="D44" s="5">
        <f>'NWC Schedule'!E19</f>
        <v>4198.8502572074067</v>
      </c>
      <c r="E44" s="5">
        <f>'NWC Schedule'!F19</f>
        <v>5682.4440147540299</v>
      </c>
      <c r="F44" s="5">
        <f>'NWC Schedule'!G19</f>
        <v>5796.0928950490197</v>
      </c>
      <c r="G44" s="5">
        <f>'NWC Schedule'!H19</f>
        <v>4434.0110647125402</v>
      </c>
    </row>
    <row r="45" spans="2:7" ht="14" x14ac:dyDescent="0.3">
      <c r="B45" s="4" t="s">
        <v>101</v>
      </c>
      <c r="C45" s="20">
        <f>C41+C42-C43-C44</f>
        <v>20458.568549006901</v>
      </c>
      <c r="D45" s="20">
        <f>D41+D42-D43-D44</f>
        <v>13046.597557735135</v>
      </c>
      <c r="E45" s="20">
        <f>E41+E42-E43-E44</f>
        <v>11545.912756487349</v>
      </c>
      <c r="F45" s="20">
        <f>F41+F42-F43-F44</f>
        <v>11548.831011617236</v>
      </c>
      <c r="G45" s="20">
        <f>G41+G42-G43-G44</f>
        <v>12624.086700553686</v>
      </c>
    </row>
    <row r="46" spans="2:7" ht="14" x14ac:dyDescent="0.3">
      <c r="B46" s="4" t="s">
        <v>102</v>
      </c>
      <c r="C46" s="21">
        <f>1/(1+C26)^(C19+0)</f>
        <v>0.96662735178420889</v>
      </c>
      <c r="D46" s="21">
        <f>1/(1+C26)^(C19+1)</f>
        <v>0.93436843721735274</v>
      </c>
      <c r="E46" s="21">
        <f>1/(1+C26)^(C19+2)</f>
        <v>0.9031860880581597</v>
      </c>
      <c r="F46" s="21">
        <f>1/(1+C26)^(C19+3)</f>
        <v>0.87304437646799804</v>
      </c>
      <c r="G46" s="21">
        <f>1/(1+C26)^(C19+4)</f>
        <v>0.84390857361535687</v>
      </c>
    </row>
    <row r="47" spans="2:7" ht="14" x14ac:dyDescent="0.3">
      <c r="B47" s="4" t="s">
        <v>103</v>
      </c>
      <c r="C47" s="19">
        <f>C45*C46</f>
        <v>19775.811937822247</v>
      </c>
      <c r="D47" s="19">
        <f>D45*D46</f>
        <v>12190.328971024708</v>
      </c>
      <c r="E47" s="19">
        <f>E45*E46</f>
        <v>10428.107775592613</v>
      </c>
      <c r="F47" s="19">
        <f>F45*F46</f>
        <v>10082.64196947165</v>
      </c>
      <c r="G47" s="19">
        <f>G45*G46</f>
        <v>10653.575000660858</v>
      </c>
    </row>
    <row r="49" spans="2:7" ht="14" x14ac:dyDescent="0.3">
      <c r="B49" s="22" t="s">
        <v>104</v>
      </c>
      <c r="C49" s="23"/>
      <c r="D49" s="23"/>
      <c r="E49" s="23"/>
      <c r="F49" s="23"/>
      <c r="G49" s="23"/>
    </row>
    <row r="50" spans="2:7" ht="14" x14ac:dyDescent="0.3">
      <c r="B50" s="4" t="s">
        <v>105</v>
      </c>
      <c r="C50" s="5">
        <f>SUM(C47:G47)</f>
        <v>63130.465654572079</v>
      </c>
    </row>
    <row r="51" spans="2:7" ht="14" x14ac:dyDescent="0.3">
      <c r="B51" s="4" t="s">
        <v>106</v>
      </c>
      <c r="C51" s="5">
        <f>G45*(1+C13)/(C26-C13)</f>
        <v>519894.56540890748</v>
      </c>
    </row>
    <row r="52" spans="2:7" ht="14" x14ac:dyDescent="0.3">
      <c r="B52" s="4" t="s">
        <v>107</v>
      </c>
      <c r="C52" s="5">
        <f>C51*G46</f>
        <v>438743.48112460697</v>
      </c>
    </row>
    <row r="53" spans="2:7" ht="14" x14ac:dyDescent="0.3">
      <c r="B53" s="4" t="s">
        <v>108</v>
      </c>
      <c r="C53" s="5">
        <f>C50+C52</f>
        <v>501873.94677917904</v>
      </c>
    </row>
    <row r="54" spans="2:7" ht="14" x14ac:dyDescent="0.3">
      <c r="B54" s="4" t="s">
        <v>109</v>
      </c>
      <c r="C54" s="5">
        <f>C53-C16</f>
        <v>-167573.05322082096</v>
      </c>
    </row>
    <row r="55" spans="2:7" ht="14" x14ac:dyDescent="0.3">
      <c r="B55" s="4" t="s">
        <v>110</v>
      </c>
      <c r="C55" s="24">
        <f>ROUND(C54*1000000/C15,0)</f>
        <v>-1453</v>
      </c>
    </row>
    <row r="57" spans="2:7" ht="14" x14ac:dyDescent="0.3">
      <c r="B57" s="22" t="s">
        <v>111</v>
      </c>
      <c r="C57" s="23"/>
      <c r="D57" s="23"/>
      <c r="E57" s="23"/>
      <c r="F57" s="23"/>
      <c r="G57" s="23"/>
    </row>
    <row r="58" spans="2:7" ht="14" x14ac:dyDescent="0.3">
      <c r="B58" s="4" t="s">
        <v>105</v>
      </c>
      <c r="C58" s="5">
        <f>C50</f>
        <v>63130.465654572079</v>
      </c>
    </row>
    <row r="59" spans="2:7" ht="14" x14ac:dyDescent="0.3">
      <c r="B59" s="4" t="s">
        <v>112</v>
      </c>
      <c r="C59" s="5">
        <f>G39+G42</f>
        <v>95668.507728386903</v>
      </c>
    </row>
    <row r="60" spans="2:7" ht="14" x14ac:dyDescent="0.3">
      <c r="B60" s="4" t="s">
        <v>113</v>
      </c>
      <c r="C60" s="5">
        <f>C59*C14</f>
        <v>813182.31569128868</v>
      </c>
    </row>
    <row r="61" spans="2:7" ht="14" x14ac:dyDescent="0.3">
      <c r="B61" s="4" t="s">
        <v>107</v>
      </c>
      <c r="C61" s="5">
        <f>C60*G46</f>
        <v>686251.52812426828</v>
      </c>
    </row>
    <row r="62" spans="2:7" ht="14" x14ac:dyDescent="0.3">
      <c r="B62" s="4" t="s">
        <v>108</v>
      </c>
      <c r="C62" s="5">
        <f>C58+C61</f>
        <v>749381.99377884041</v>
      </c>
    </row>
    <row r="63" spans="2:7" ht="14" x14ac:dyDescent="0.3">
      <c r="B63" s="4" t="s">
        <v>109</v>
      </c>
      <c r="C63" s="5">
        <f>C62-C16</f>
        <v>79934.993778840406</v>
      </c>
    </row>
    <row r="64" spans="2:7" ht="14" x14ac:dyDescent="0.3">
      <c r="B64" s="4" t="s">
        <v>114</v>
      </c>
      <c r="C64" s="24">
        <f>ROUND(C63*1000000/C15,0)</f>
        <v>693</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0.01</v>
      </c>
      <c r="D69" s="26">
        <v>1.4999999999999999E-2</v>
      </c>
      <c r="E69" s="26">
        <v>0.02</v>
      </c>
      <c r="F69" s="26">
        <v>0.02</v>
      </c>
      <c r="G69" s="26">
        <v>1.4999999999999999E-2</v>
      </c>
    </row>
    <row r="70" spans="2:7" ht="14" x14ac:dyDescent="0.3">
      <c r="B70" s="4" t="s">
        <v>121</v>
      </c>
      <c r="C70" s="26">
        <v>0.03</v>
      </c>
      <c r="D70" s="26">
        <v>2.5000000000000001E-2</v>
      </c>
      <c r="E70" s="26">
        <v>2.5000000000000001E-2</v>
      </c>
      <c r="F70" s="26">
        <v>0.02</v>
      </c>
      <c r="G70" s="26">
        <v>0.02</v>
      </c>
    </row>
    <row r="71" spans="2:7" ht="14" x14ac:dyDescent="0.3">
      <c r="B71" s="4" t="s">
        <v>122</v>
      </c>
      <c r="C71" s="26">
        <v>0.01</v>
      </c>
      <c r="D71" s="26">
        <v>1.4999999999999999E-2</v>
      </c>
      <c r="E71" s="26">
        <v>0.02</v>
      </c>
      <c r="F71" s="26">
        <v>0.02</v>
      </c>
      <c r="G71" s="26">
        <v>1.4999999999999999E-2</v>
      </c>
    </row>
    <row r="72" spans="2:7" ht="14" x14ac:dyDescent="0.3">
      <c r="B72" s="4" t="s">
        <v>123</v>
      </c>
      <c r="C72" s="26">
        <v>0</v>
      </c>
      <c r="D72" s="26">
        <v>5.0000000000000001E-3</v>
      </c>
      <c r="E72" s="26">
        <v>0.01</v>
      </c>
      <c r="F72" s="26">
        <v>1.4999999999999999E-2</v>
      </c>
      <c r="G72" s="26">
        <v>1.4999999999999999E-2</v>
      </c>
    </row>
    <row r="73" spans="2:7" ht="14" x14ac:dyDescent="0.3">
      <c r="B73" s="4" t="s">
        <v>124</v>
      </c>
      <c r="C73" s="26">
        <v>-0.08</v>
      </c>
      <c r="D73" s="26">
        <v>-0.02</v>
      </c>
      <c r="E73" s="26">
        <v>0.01</v>
      </c>
      <c r="F73" s="26">
        <v>1.4999999999999999E-2</v>
      </c>
      <c r="G73" s="26">
        <v>1.4999999999999999E-2</v>
      </c>
    </row>
    <row r="75" spans="2:7" ht="14" x14ac:dyDescent="0.3">
      <c r="B75" s="3" t="s">
        <v>91</v>
      </c>
    </row>
    <row r="76" spans="2:7" ht="14" x14ac:dyDescent="0.3">
      <c r="B76" s="4" t="s">
        <v>84</v>
      </c>
      <c r="C76" s="26">
        <v>0.83299999999999996</v>
      </c>
      <c r="D76" s="26">
        <v>0.83299999999999996</v>
      </c>
      <c r="E76" s="26">
        <v>0.83299999999999996</v>
      </c>
      <c r="F76" s="26">
        <v>0.83299999999999996</v>
      </c>
      <c r="G76" s="26">
        <v>0.83299999999999996</v>
      </c>
    </row>
    <row r="77" spans="2:7" ht="14" x14ac:dyDescent="0.3">
      <c r="B77" s="4" t="s">
        <v>121</v>
      </c>
      <c r="C77" s="26">
        <v>0.82299999999999995</v>
      </c>
      <c r="D77" s="26">
        <v>0.82299999999999995</v>
      </c>
      <c r="E77" s="26">
        <v>0.82299999999999995</v>
      </c>
      <c r="F77" s="26">
        <v>0.82299999999999995</v>
      </c>
      <c r="G77" s="26">
        <v>0.82299999999999995</v>
      </c>
    </row>
    <row r="78" spans="2:7" ht="14" x14ac:dyDescent="0.3">
      <c r="B78" s="4" t="s">
        <v>122</v>
      </c>
      <c r="C78" s="26">
        <v>0.83299999999999996</v>
      </c>
      <c r="D78" s="26">
        <v>0.83299999999999996</v>
      </c>
      <c r="E78" s="26">
        <v>0.83299999999999996</v>
      </c>
      <c r="F78" s="26">
        <v>0.83299999999999996</v>
      </c>
      <c r="G78" s="26">
        <v>0.83299999999999996</v>
      </c>
    </row>
    <row r="79" spans="2:7" ht="14" x14ac:dyDescent="0.3">
      <c r="B79" s="4" t="s">
        <v>123</v>
      </c>
      <c r="C79" s="26">
        <v>0.84299999999999997</v>
      </c>
      <c r="D79" s="26">
        <v>0.84299999999999997</v>
      </c>
      <c r="E79" s="26">
        <v>0.84299999999999997</v>
      </c>
      <c r="F79" s="26">
        <v>0.84299999999999997</v>
      </c>
      <c r="G79" s="26">
        <v>0.84299999999999997</v>
      </c>
    </row>
    <row r="80" spans="2:7" ht="14" x14ac:dyDescent="0.3">
      <c r="B80" s="4" t="s">
        <v>124</v>
      </c>
      <c r="C80" s="26">
        <v>0.85299999999999998</v>
      </c>
      <c r="D80" s="26">
        <v>0.85299999999999998</v>
      </c>
      <c r="E80" s="26">
        <v>0.85299999999999998</v>
      </c>
      <c r="F80" s="26">
        <v>0.85299999999999998</v>
      </c>
      <c r="G80" s="26">
        <v>0.85299999999999998</v>
      </c>
    </row>
    <row r="82" spans="2:7" ht="14" x14ac:dyDescent="0.3">
      <c r="B82" s="3" t="s">
        <v>92</v>
      </c>
    </row>
    <row r="83" spans="2:7" ht="14" x14ac:dyDescent="0.3">
      <c r="B83" s="4" t="s">
        <v>84</v>
      </c>
      <c r="C83" s="26">
        <v>0.1459</v>
      </c>
      <c r="D83" s="26">
        <v>0.1459</v>
      </c>
      <c r="E83" s="26">
        <v>0.1459</v>
      </c>
      <c r="F83" s="26">
        <v>0.1459</v>
      </c>
      <c r="G83" s="26">
        <v>0.1459</v>
      </c>
    </row>
    <row r="84" spans="2:7" ht="14" x14ac:dyDescent="0.3">
      <c r="B84" s="4" t="s">
        <v>121</v>
      </c>
      <c r="C84" s="26">
        <v>0.153</v>
      </c>
      <c r="D84" s="26">
        <v>0.151</v>
      </c>
      <c r="E84" s="26">
        <v>0.14949999999999999</v>
      </c>
      <c r="F84" s="26">
        <v>0.14849999999999999</v>
      </c>
      <c r="G84" s="26">
        <v>0.14779999999999999</v>
      </c>
    </row>
    <row r="85" spans="2:7" ht="14" x14ac:dyDescent="0.3">
      <c r="B85" s="4" t="s">
        <v>122</v>
      </c>
      <c r="C85" s="26">
        <v>0.1459</v>
      </c>
      <c r="D85" s="26">
        <v>0.1459</v>
      </c>
      <c r="E85" s="26">
        <v>0.1459</v>
      </c>
      <c r="F85" s="26">
        <v>0.1459</v>
      </c>
      <c r="G85" s="26">
        <v>0.1459</v>
      </c>
    </row>
    <row r="86" spans="2:7" ht="14" x14ac:dyDescent="0.3">
      <c r="B86" s="4" t="s">
        <v>123</v>
      </c>
      <c r="C86" s="26">
        <v>0.14000000000000001</v>
      </c>
      <c r="D86" s="26">
        <v>0.14399999999999999</v>
      </c>
      <c r="E86" s="26">
        <v>0.14749999999999999</v>
      </c>
      <c r="F86" s="26">
        <v>0.15</v>
      </c>
      <c r="G86" s="26">
        <v>0.1517</v>
      </c>
    </row>
    <row r="87" spans="2:7" ht="14" x14ac:dyDescent="0.3">
      <c r="B87" s="4" t="s">
        <v>124</v>
      </c>
      <c r="C87" s="26">
        <v>0.14499999999999999</v>
      </c>
      <c r="D87" s="26">
        <v>0.155</v>
      </c>
      <c r="E87" s="26">
        <v>0.159</v>
      </c>
      <c r="F87" s="26">
        <v>0.157</v>
      </c>
      <c r="G87" s="26">
        <v>0.153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1306</v>
      </c>
    </row>
    <row r="7" spans="2:9" ht="14" x14ac:dyDescent="0.3">
      <c r="B7" s="4" t="s">
        <v>72</v>
      </c>
      <c r="C7" s="15">
        <f>'DCF Model'!C15</f>
        <v>115308503</v>
      </c>
    </row>
    <row r="8" spans="2:9" ht="14" x14ac:dyDescent="0.3">
      <c r="B8" s="4" t="s">
        <v>129</v>
      </c>
      <c r="C8" s="5">
        <f>C6*C7/1000000</f>
        <v>150592.90491799999</v>
      </c>
    </row>
    <row r="9" spans="2:9" ht="14" x14ac:dyDescent="0.3">
      <c r="B9" s="4" t="s">
        <v>73</v>
      </c>
      <c r="C9" s="5">
        <f>'DCF Model'!C16</f>
        <v>669447</v>
      </c>
    </row>
    <row r="10" spans="2:9" ht="14" x14ac:dyDescent="0.3">
      <c r="B10" s="4" t="s">
        <v>130</v>
      </c>
      <c r="C10" s="5">
        <f>C8+C9</f>
        <v>820039.90491799999</v>
      </c>
    </row>
    <row r="11" spans="2:9" ht="14" x14ac:dyDescent="0.3">
      <c r="B11" s="4" t="s">
        <v>131</v>
      </c>
      <c r="C11" s="16">
        <f>'DCF Model'!C26</f>
        <v>3.4524833333333338E-2</v>
      </c>
    </row>
    <row r="12" spans="2:9" ht="14" x14ac:dyDescent="0.3">
      <c r="B12" s="4" t="s">
        <v>132</v>
      </c>
      <c r="C12" s="16">
        <f>'DCF Model'!C13</f>
        <v>0.01</v>
      </c>
    </row>
    <row r="13" spans="2:9" ht="14" x14ac:dyDescent="0.3">
      <c r="B13" s="4" t="s">
        <v>133</v>
      </c>
      <c r="C13" s="16">
        <f>'DCF Model'!C6</f>
        <v>0.25</v>
      </c>
    </row>
    <row r="14" spans="2:9" ht="14" x14ac:dyDescent="0.3">
      <c r="B14" s="4" t="s">
        <v>134</v>
      </c>
      <c r="C14" s="27">
        <v>25207</v>
      </c>
    </row>
    <row r="15" spans="2:9" ht="14" x14ac:dyDescent="0.3">
      <c r="B15" s="4" t="s">
        <v>135</v>
      </c>
      <c r="C15" s="27">
        <v>25207</v>
      </c>
    </row>
    <row r="16" spans="2:9" ht="14" x14ac:dyDescent="0.3">
      <c r="B16" s="4" t="s">
        <v>136</v>
      </c>
      <c r="C16" s="5">
        <f>'DCF Model'!G33</f>
        <v>1291072.9787906453</v>
      </c>
    </row>
    <row r="17" spans="2:9" ht="14" x14ac:dyDescent="0.3">
      <c r="B17" s="4" t="s">
        <v>137</v>
      </c>
      <c r="C17" s="5">
        <f>'DCF Model'!C53</f>
        <v>501873.94677917904</v>
      </c>
    </row>
    <row r="18" spans="2:9" ht="14" x14ac:dyDescent="0.3">
      <c r="B18" s="4" t="s">
        <v>138</v>
      </c>
      <c r="C18" s="26">
        <v>2.1136066731175261E-2</v>
      </c>
    </row>
    <row r="19" spans="2:9" ht="14" x14ac:dyDescent="0.3">
      <c r="B19" s="4" t="s">
        <v>139</v>
      </c>
      <c r="C19" s="5">
        <f>C10-C17</f>
        <v>318165.95813882095</v>
      </c>
    </row>
    <row r="20" spans="2:9" ht="14" x14ac:dyDescent="0.3">
      <c r="B20" s="4" t="s">
        <v>140</v>
      </c>
      <c r="C20" s="15">
        <f>IFERROR(ROUND(C19*1000000/C7,0),"N/A")</f>
        <v>2759</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20111.341994796465</v>
      </c>
    </row>
    <row r="25" spans="2:9" ht="14" x14ac:dyDescent="0.3">
      <c r="B25" s="4" t="s">
        <v>144</v>
      </c>
      <c r="C25" s="5">
        <f>IFERROR(C24/(1-C13),"N/A")</f>
        <v>26815.122659728619</v>
      </c>
    </row>
    <row r="26" spans="2:9" ht="13.5" x14ac:dyDescent="0.25">
      <c r="B26" s="6" t="s">
        <v>145</v>
      </c>
      <c r="C26" s="14">
        <f>IFERROR(C25/C15,"N/A")</f>
        <v>1.0637966699618606</v>
      </c>
    </row>
    <row r="27" spans="2:9" ht="13.5" x14ac:dyDescent="0.25">
      <c r="B27" s="6" t="s">
        <v>146</v>
      </c>
      <c r="C27" s="14">
        <f>IFERROR(C25/C14,"N/A")</f>
        <v>1.0637966699618606</v>
      </c>
    </row>
    <row r="28" spans="2:9" ht="13.5" x14ac:dyDescent="0.25">
      <c r="B28" s="6" t="s">
        <v>147</v>
      </c>
      <c r="C28" s="7">
        <f>IFERROR(C25/C16,"N/A")</f>
        <v>2.0769641298547262E-2</v>
      </c>
    </row>
    <row r="29" spans="2:9" ht="13.5" x14ac:dyDescent="0.25">
      <c r="B29" s="6" t="s">
        <v>148</v>
      </c>
      <c r="C29" s="5">
        <f>IFERROR(C25/C18,"N/A")</f>
        <v>1268690.2913765344</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1.4524833333333338E-2</v>
      </c>
      <c r="E36" s="29">
        <f>'DCF Model'!C26-0.01</f>
        <v>2.4524833333333336E-2</v>
      </c>
      <c r="F36" s="29">
        <f>'DCF Model'!C26</f>
        <v>3.4524833333333338E-2</v>
      </c>
      <c r="G36" s="29">
        <f>'DCF Model'!C26+0.01</f>
        <v>4.452483333333334E-2</v>
      </c>
      <c r="H36" s="29">
        <f>'DCF Model'!C26+0.02</f>
        <v>5.4524833333333342E-2</v>
      </c>
    </row>
    <row r="37" spans="2:9" ht="14" x14ac:dyDescent="0.3">
      <c r="B37" s="3" t="s">
        <v>154</v>
      </c>
    </row>
    <row r="38" spans="2:9" ht="14" x14ac:dyDescent="0.3">
      <c r="B38" s="4" t="s">
        <v>155</v>
      </c>
      <c r="C38" s="30">
        <v>3</v>
      </c>
      <c r="D38" s="13">
        <f t="shared" ref="D38:H41" si="0">IFERROR((1-(1+D$36)^(-$C38))/D$36-(1+D$36)/(D$36^2*$C38)*(1-($C38+1)/(1+D$36)^$C38+$C38/(1+D$36)^($C38+1)),"N/A")</f>
        <v>0.98097914705331157</v>
      </c>
      <c r="E38" s="13">
        <f t="shared" si="0"/>
        <v>0.96827398728435599</v>
      </c>
      <c r="F38" s="13">
        <f t="shared" si="0"/>
        <v>0.95587438026205529</v>
      </c>
      <c r="G38" s="13">
        <f t="shared" si="0"/>
        <v>0.94376984537456332</v>
      </c>
      <c r="H38" s="13">
        <f t="shared" si="0"/>
        <v>0.93195036361068362</v>
      </c>
    </row>
    <row r="39" spans="2:9" ht="14" x14ac:dyDescent="0.3">
      <c r="B39" s="4" t="s">
        <v>156</v>
      </c>
      <c r="C39" s="30">
        <v>5</v>
      </c>
      <c r="D39" s="13">
        <f t="shared" si="0"/>
        <v>1.9433438743507949</v>
      </c>
      <c r="E39" s="13">
        <f t="shared" si="0"/>
        <v>1.9059516005009129</v>
      </c>
      <c r="F39" s="13">
        <f t="shared" si="0"/>
        <v>1.8698062542745135</v>
      </c>
      <c r="G39" s="13">
        <f t="shared" si="0"/>
        <v>1.8348513517839522</v>
      </c>
      <c r="H39" s="13">
        <f t="shared" si="0"/>
        <v>1.8010335773734654</v>
      </c>
    </row>
    <row r="40" spans="2:9" ht="14" x14ac:dyDescent="0.3">
      <c r="B40" s="4" t="s">
        <v>157</v>
      </c>
      <c r="C40" s="30">
        <v>7</v>
      </c>
      <c r="D40" s="13">
        <f t="shared" si="0"/>
        <v>2.8874913581921793</v>
      </c>
      <c r="E40" s="13">
        <f t="shared" si="0"/>
        <v>2.8141196265044188</v>
      </c>
      <c r="F40" s="13">
        <f t="shared" si="0"/>
        <v>2.7438637193316864</v>
      </c>
      <c r="G40" s="13">
        <f t="shared" si="0"/>
        <v>2.6765488836042857</v>
      </c>
      <c r="H40" s="13">
        <f t="shared" si="0"/>
        <v>2.6120122335020586</v>
      </c>
    </row>
    <row r="41" spans="2:9" ht="14" x14ac:dyDescent="0.3">
      <c r="B41" s="4" t="s">
        <v>158</v>
      </c>
      <c r="C41" s="30">
        <v>10</v>
      </c>
      <c r="D41" s="13">
        <f t="shared" si="0"/>
        <v>4.2704018880812615</v>
      </c>
      <c r="E41" s="13">
        <f t="shared" si="0"/>
        <v>4.1233176451890543</v>
      </c>
      <c r="F41" s="13">
        <f t="shared" si="0"/>
        <v>3.9844433051997532</v>
      </c>
      <c r="G41" s="13">
        <f t="shared" si="0"/>
        <v>3.853188738017054</v>
      </c>
      <c r="H41" s="13">
        <f t="shared" si="0"/>
        <v>3.7290141008120554</v>
      </c>
    </row>
    <row r="42" spans="2:9" ht="14" x14ac:dyDescent="0.3">
      <c r="B42" s="3" t="s">
        <v>159</v>
      </c>
    </row>
    <row r="43" spans="2:9" ht="14" x14ac:dyDescent="0.3">
      <c r="B43" s="4" t="s">
        <v>155</v>
      </c>
      <c r="C43" s="30">
        <v>3</v>
      </c>
      <c r="D43" s="13">
        <f t="shared" ref="D43:H46" si="1">IFERROR((1+D$36)/(D$36^2*$C43)*(1-($C43+1)/(1+D$36)^$C43+$C43/(1+D$36)^($C43+1))+(1+$C$12)/((D$36-$C$12)*(1+D$36)^$C43),"N/A")</f>
        <v>215.69605280810498</v>
      </c>
      <c r="E43" s="13">
        <f t="shared" si="1"/>
        <v>66.551426944093478</v>
      </c>
      <c r="F43" s="13">
        <f t="shared" si="1"/>
        <v>39.043991420116512</v>
      </c>
      <c r="G43" s="13">
        <f t="shared" si="1"/>
        <v>27.47810916496417</v>
      </c>
      <c r="H43" s="13">
        <f t="shared" si="1"/>
        <v>21.112476525073706</v>
      </c>
    </row>
    <row r="44" spans="2:9" ht="14" x14ac:dyDescent="0.3">
      <c r="B44" s="4" t="s">
        <v>156</v>
      </c>
      <c r="C44" s="30">
        <v>5</v>
      </c>
      <c r="D44" s="13">
        <f t="shared" si="1"/>
        <v>210.5310759483051</v>
      </c>
      <c r="E44" s="13">
        <f t="shared" si="1"/>
        <v>64.348657673307201</v>
      </c>
      <c r="F44" s="13">
        <f t="shared" si="1"/>
        <v>37.405801631530601</v>
      </c>
      <c r="G44" s="13">
        <f t="shared" si="1"/>
        <v>26.089536094879495</v>
      </c>
      <c r="H44" s="13">
        <f t="shared" si="1"/>
        <v>19.870244685656555</v>
      </c>
    </row>
    <row r="45" spans="2:9" ht="14" x14ac:dyDescent="0.3">
      <c r="B45" s="4" t="s">
        <v>157</v>
      </c>
      <c r="C45" s="30">
        <v>7</v>
      </c>
      <c r="D45" s="13">
        <f t="shared" si="1"/>
        <v>205.50379152170225</v>
      </c>
      <c r="E45" s="13">
        <f t="shared" si="1"/>
        <v>62.2352400015399</v>
      </c>
      <c r="F45" s="13">
        <f t="shared" si="1"/>
        <v>35.855020430691134</v>
      </c>
      <c r="G45" s="13">
        <f t="shared" si="1"/>
        <v>24.791856056991232</v>
      </c>
      <c r="H45" s="13">
        <f t="shared" si="1"/>
        <v>18.7237075457689</v>
      </c>
    </row>
    <row r="46" spans="2:9" ht="14" x14ac:dyDescent="0.3">
      <c r="B46" s="4" t="s">
        <v>158</v>
      </c>
      <c r="C46" s="30">
        <v>10</v>
      </c>
      <c r="D46" s="13">
        <f t="shared" si="1"/>
        <v>198.21278811576536</v>
      </c>
      <c r="E46" s="13">
        <f t="shared" si="1"/>
        <v>59.22421596755683</v>
      </c>
      <c r="F46" s="13">
        <f t="shared" si="1"/>
        <v>33.681713750729166</v>
      </c>
      <c r="G46" s="13">
        <f t="shared" si="1"/>
        <v>23.001575474299941</v>
      </c>
      <c r="H46" s="13">
        <f t="shared" si="1"/>
        <v>17.165671349654371</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4954.4671059958218</v>
      </c>
      <c r="E48" s="5">
        <f t="shared" si="2"/>
        <v>16062.454354152105</v>
      </c>
      <c r="F48" s="5">
        <f t="shared" si="2"/>
        <v>27386.84687438163</v>
      </c>
      <c r="G48" s="5">
        <f t="shared" si="2"/>
        <v>38925.419757851989</v>
      </c>
      <c r="H48" s="5">
        <f t="shared" si="2"/>
        <v>50675.952951540203</v>
      </c>
    </row>
    <row r="49" spans="2:9" ht="14" x14ac:dyDescent="0.3">
      <c r="B49" s="4" t="s">
        <v>156</v>
      </c>
      <c r="C49" s="30">
        <v>5</v>
      </c>
      <c r="D49" s="5">
        <f t="shared" si="2"/>
        <v>4960.7910193094431</v>
      </c>
      <c r="E49" s="5">
        <f t="shared" si="2"/>
        <v>16244.988717619581</v>
      </c>
      <c r="F49" s="5">
        <f t="shared" si="2"/>
        <v>27970.375931129529</v>
      </c>
      <c r="G49" s="5">
        <f t="shared" si="2"/>
        <v>40136.223122486503</v>
      </c>
      <c r="H49" s="5">
        <f t="shared" si="2"/>
        <v>52741.56927027223</v>
      </c>
    </row>
    <row r="50" spans="2:9" ht="14" x14ac:dyDescent="0.3">
      <c r="B50" s="4" t="s">
        <v>157</v>
      </c>
      <c r="C50" s="30">
        <v>7</v>
      </c>
      <c r="D50" s="5">
        <f t="shared" si="2"/>
        <v>4966.3392469181554</v>
      </c>
      <c r="E50" s="5">
        <f t="shared" si="2"/>
        <v>16428.811497152918</v>
      </c>
      <c r="F50" s="5">
        <f t="shared" si="2"/>
        <v>28565.650076739621</v>
      </c>
      <c r="G50" s="5">
        <f t="shared" si="2"/>
        <v>41381.281410447176</v>
      </c>
      <c r="H50" s="5">
        <f t="shared" si="2"/>
        <v>54879.384598857425</v>
      </c>
    </row>
    <row r="51" spans="2:9" ht="14" x14ac:dyDescent="0.3">
      <c r="B51" s="4" t="s">
        <v>158</v>
      </c>
      <c r="C51" s="30">
        <v>10</v>
      </c>
      <c r="D51" s="5">
        <f t="shared" si="2"/>
        <v>4973.1529881012693</v>
      </c>
      <c r="E51" s="5">
        <f t="shared" si="2"/>
        <v>16706.849653364923</v>
      </c>
      <c r="F51" s="5">
        <f t="shared" si="2"/>
        <v>29480.408415233935</v>
      </c>
      <c r="G51" s="5">
        <f t="shared" si="2"/>
        <v>43312.651017518714</v>
      </c>
      <c r="H51" s="5">
        <f t="shared" si="2"/>
        <v>58220.226934009188</v>
      </c>
    </row>
    <row r="52" spans="2:9" ht="14" x14ac:dyDescent="0.3">
      <c r="B52" s="22" t="s">
        <v>161</v>
      </c>
      <c r="C52" s="23"/>
      <c r="D52" s="23"/>
      <c r="E52" s="23"/>
      <c r="F52" s="23"/>
      <c r="G52" s="23"/>
      <c r="H52" s="23"/>
      <c r="I52" s="23"/>
    </row>
    <row r="53" spans="2:9" ht="14" x14ac:dyDescent="0.3">
      <c r="B53" s="4" t="s">
        <v>155</v>
      </c>
      <c r="C53" s="30">
        <v>3</v>
      </c>
      <c r="D53" s="14">
        <f t="shared" ref="D53:H56" si="3">IFERROR(D48/$C$15,"N/A")</f>
        <v>0.19655123997285762</v>
      </c>
      <c r="E53" s="14">
        <f t="shared" si="3"/>
        <v>0.63722197620312238</v>
      </c>
      <c r="F53" s="14">
        <f t="shared" si="3"/>
        <v>1.0864778384727112</v>
      </c>
      <c r="G53" s="14">
        <f t="shared" si="3"/>
        <v>1.5442305612667906</v>
      </c>
      <c r="H53" s="14">
        <f t="shared" si="3"/>
        <v>2.0103920717078672</v>
      </c>
    </row>
    <row r="54" spans="2:9" ht="14" x14ac:dyDescent="0.3">
      <c r="B54" s="4" t="s">
        <v>156</v>
      </c>
      <c r="C54" s="30">
        <v>5</v>
      </c>
      <c r="D54" s="14">
        <f t="shared" si="3"/>
        <v>0.19680211922519311</v>
      </c>
      <c r="E54" s="14">
        <f t="shared" si="3"/>
        <v>0.64446339182050938</v>
      </c>
      <c r="F54" s="14">
        <f t="shared" si="3"/>
        <v>1.109627323010653</v>
      </c>
      <c r="G54" s="14">
        <f t="shared" si="3"/>
        <v>1.5922649709400762</v>
      </c>
      <c r="H54" s="14">
        <f t="shared" si="3"/>
        <v>2.0923382104285411</v>
      </c>
    </row>
    <row r="55" spans="2:9" ht="14" x14ac:dyDescent="0.3">
      <c r="B55" s="4" t="s">
        <v>157</v>
      </c>
      <c r="C55" s="30">
        <v>7</v>
      </c>
      <c r="D55" s="14">
        <f t="shared" si="3"/>
        <v>0.19702222584671542</v>
      </c>
      <c r="E55" s="14">
        <f t="shared" si="3"/>
        <v>0.65175592086138445</v>
      </c>
      <c r="F55" s="14">
        <f t="shared" si="3"/>
        <v>1.1332427530741311</v>
      </c>
      <c r="G55" s="14">
        <f t="shared" si="3"/>
        <v>1.6416583254828887</v>
      </c>
      <c r="H55" s="14">
        <f t="shared" si="3"/>
        <v>2.1771485935992949</v>
      </c>
    </row>
    <row r="56" spans="2:9" ht="14" x14ac:dyDescent="0.3">
      <c r="B56" s="4" t="s">
        <v>158</v>
      </c>
      <c r="C56" s="30">
        <v>10</v>
      </c>
      <c r="D56" s="14">
        <f t="shared" si="3"/>
        <v>0.1972925373150819</v>
      </c>
      <c r="E56" s="14">
        <f t="shared" si="3"/>
        <v>0.66278611708513202</v>
      </c>
      <c r="F56" s="14">
        <f t="shared" si="3"/>
        <v>1.1695326066264899</v>
      </c>
      <c r="G56" s="14">
        <f t="shared" si="3"/>
        <v>1.7182786931217009</v>
      </c>
      <c r="H56" s="14">
        <f t="shared" si="3"/>
        <v>2.3096848865001465</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27970.375931129529</v>
      </c>
    </row>
    <row r="62" spans="2:9" ht="14" x14ac:dyDescent="0.3">
      <c r="B62" s="28" t="s">
        <v>165</v>
      </c>
      <c r="C62" s="28" t="s">
        <v>166</v>
      </c>
      <c r="D62" s="28" t="s">
        <v>167</v>
      </c>
    </row>
    <row r="63" spans="2:9" ht="14" x14ac:dyDescent="0.3">
      <c r="B63" s="31">
        <v>1.06E-2</v>
      </c>
      <c r="C63" s="5">
        <f>IFERROR($C$60/B63,"N/A")</f>
        <v>2638714.710483918</v>
      </c>
      <c r="D63" s="14">
        <f>IFERROR(C63/'DCF Model'!C17,"N/A")</f>
        <v>2.212561994895144</v>
      </c>
    </row>
    <row r="64" spans="2:9" ht="14" x14ac:dyDescent="0.3">
      <c r="B64" s="31">
        <v>1.5900000000000001E-2</v>
      </c>
      <c r="C64" s="5">
        <f>IFERROR($C$60/B64,"N/A")</f>
        <v>1759143.1403226117</v>
      </c>
      <c r="D64" s="14">
        <f>IFERROR(C64/'DCF Model'!C17,"N/A")</f>
        <v>1.4750413299300957</v>
      </c>
    </row>
    <row r="65" spans="2:9" ht="14" x14ac:dyDescent="0.3">
      <c r="B65" s="4" t="s">
        <v>168</v>
      </c>
      <c r="C65" s="5">
        <f>IFERROR($C$60/$C$18,"N/A")</f>
        <v>1323348.2031864426</v>
      </c>
      <c r="D65" s="14">
        <f>IFERROR(C65/'DCF Model'!C17,"N/A")</f>
        <v>1.1096273230106528</v>
      </c>
    </row>
    <row r="66" spans="2:9" ht="14" x14ac:dyDescent="0.3">
      <c r="B66" s="31">
        <v>2.64E-2</v>
      </c>
      <c r="C66" s="5">
        <f>IFERROR($C$60/B66,"N/A")</f>
        <v>1059483.9367852095</v>
      </c>
      <c r="D66" s="14">
        <f>IFERROR(C66/'DCF Model'!C17,"N/A")</f>
        <v>0.88837716461698957</v>
      </c>
    </row>
    <row r="67" spans="2:9" ht="14" x14ac:dyDescent="0.3">
      <c r="B67" s="31">
        <v>3.1699999999999999E-2</v>
      </c>
      <c r="C67" s="5">
        <f>IFERROR($C$60/B67,"N/A")</f>
        <v>882346.24388421234</v>
      </c>
      <c r="D67" s="14">
        <f>IFERROR(C67/'DCF Model'!C17,"N/A")</f>
        <v>0.73984722857692509</v>
      </c>
    </row>
    <row r="69" spans="2:9" ht="14" x14ac:dyDescent="0.3">
      <c r="B69" s="8" t="s">
        <v>169</v>
      </c>
      <c r="C69" s="9"/>
      <c r="D69" s="9"/>
      <c r="E69" s="9"/>
      <c r="F69" s="9"/>
      <c r="G69" s="9"/>
      <c r="H69" s="9"/>
      <c r="I69" s="9"/>
    </row>
    <row r="70" spans="2:9" ht="13.5" x14ac:dyDescent="0.25">
      <c r="B70" s="6" t="s">
        <v>170</v>
      </c>
      <c r="C70" s="14">
        <f>IFERROR(C10/'Comps Analysis'!G5,"N/A")</f>
        <v>9.2743712386111739</v>
      </c>
    </row>
    <row r="71" spans="2:9" ht="13.5" x14ac:dyDescent="0.25">
      <c r="B71" s="6" t="s">
        <v>171</v>
      </c>
      <c r="C71" s="14">
        <f>IFERROR(C10/'Comps Analysis'!F5,"N/A")</f>
        <v>0.68760337019770146</v>
      </c>
    </row>
    <row r="72" spans="2:9" ht="14" x14ac:dyDescent="0.3">
      <c r="B72" s="4" t="s">
        <v>172</v>
      </c>
      <c r="C72" s="14">
        <f>IFERROR(C10/(C25+'DCF Model'!G42),"N/A")</f>
        <v>8.6100668445311328</v>
      </c>
    </row>
    <row r="73" spans="2:9" ht="14" x14ac:dyDescent="0.3">
      <c r="B73" s="4" t="s">
        <v>173</v>
      </c>
      <c r="C73" s="14">
        <f>IFERROR(C10/(C60+'DCF Model'!G42),"N/A")</f>
        <v>8.5068812398779912</v>
      </c>
    </row>
    <row r="74" spans="2:9" ht="14" x14ac:dyDescent="0.3">
      <c r="B74" s="4" t="s">
        <v>174</v>
      </c>
      <c r="C74" s="14">
        <f>IFERROR('Comps Analysis'!D16,"N/A")</f>
        <v>8.5365257620415633</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1,306 yen the market is paying for a steady-state operating profit of 27,970 mn JPY - 1.11x the FY2026 cycle peak of 25,207 mn - reached in 5 years and sustained for ever, against 25,207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26,815 mn, or 1.06x the peak. The base case supports an EV of only 501,874 mn, leaving 2,759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55.46527520404895</v>
      </c>
      <c r="D5" s="34">
        <f>CHOOSE('DCF Model'!$D$27,D25,D26,D27,D28,D29)</f>
        <v>59</v>
      </c>
      <c r="E5" s="34">
        <f>CHOOSE('DCF Model'!$D$27,E25,E26,E27,E28,E29)</f>
        <v>59</v>
      </c>
      <c r="F5" s="34">
        <f>CHOOSE('DCF Model'!$D$27,F25,F26,F27,F28,F29)</f>
        <v>59</v>
      </c>
      <c r="G5" s="34">
        <f>CHOOSE('DCF Model'!$D$27,G25,G26,G27,G28,G29)</f>
        <v>59</v>
      </c>
      <c r="H5" s="34">
        <f>CHOOSE('DCF Model'!$D$27,H25,H26,H27,H28,H29)</f>
        <v>59</v>
      </c>
    </row>
    <row r="6" spans="2:8" ht="14" x14ac:dyDescent="0.3">
      <c r="B6" s="33" t="s">
        <v>181</v>
      </c>
      <c r="C6" s="34">
        <f>C13/C10*365</f>
        <v>87.159337717417785</v>
      </c>
      <c r="D6" s="34">
        <f>CHOOSE('DCF Model'!$D$27,D32,D33,D34,D35,D36)</f>
        <v>85</v>
      </c>
      <c r="E6" s="34">
        <f>CHOOSE('DCF Model'!$D$27,E32,E33,E34,E35,E36)</f>
        <v>85</v>
      </c>
      <c r="F6" s="34">
        <f>CHOOSE('DCF Model'!$D$27,F32,F33,F34,F35,F36)</f>
        <v>85</v>
      </c>
      <c r="G6" s="34">
        <f>CHOOSE('DCF Model'!$D$27,G32,G33,G34,G35,G36)</f>
        <v>85</v>
      </c>
      <c r="H6" s="34">
        <f>CHOOSE('DCF Model'!$D$27,H32,H33,H34,H35,H36)</f>
        <v>85</v>
      </c>
    </row>
    <row r="7" spans="2:8" ht="14" x14ac:dyDescent="0.3">
      <c r="B7" s="33" t="s">
        <v>182</v>
      </c>
      <c r="C7" s="34">
        <f>C15/C10*365</f>
        <v>49.85387894854437</v>
      </c>
      <c r="D7" s="34">
        <f>CHOOSE('DCF Model'!$D$27,D39,D40,D41,D42,D43)</f>
        <v>54</v>
      </c>
      <c r="E7" s="34">
        <f>CHOOSE('DCF Model'!$D$27,E39,E40,E41,E42,E43)</f>
        <v>54</v>
      </c>
      <c r="F7" s="34">
        <f>CHOOSE('DCF Model'!$D$27,F39,F40,F41,F42,F43)</f>
        <v>54</v>
      </c>
      <c r="G7" s="34">
        <f>CHOOSE('DCF Model'!$D$27,G39,G40,G41,G42,G43)</f>
        <v>54</v>
      </c>
      <c r="H7" s="34">
        <f>CHOOSE('DCF Model'!$D$27,H39,H40,H41,H42,H43)</f>
        <v>54</v>
      </c>
    </row>
    <row r="8" spans="2:8" ht="14" x14ac:dyDescent="0.3">
      <c r="B8" s="8" t="s">
        <v>183</v>
      </c>
      <c r="C8" s="9"/>
      <c r="D8" s="9"/>
      <c r="E8" s="9"/>
      <c r="F8" s="9"/>
      <c r="G8" s="9"/>
      <c r="H8" s="9"/>
    </row>
    <row r="9" spans="2:8" ht="14" x14ac:dyDescent="0.3">
      <c r="B9" s="33" t="s">
        <v>37</v>
      </c>
      <c r="C9" s="35">
        <v>1192606</v>
      </c>
      <c r="D9" s="35">
        <f>'DCF Model'!C33</f>
        <v>1204532.06</v>
      </c>
      <c r="E9" s="35">
        <f>'DCF Model'!D33</f>
        <v>1222600.0408999999</v>
      </c>
      <c r="F9" s="35">
        <f>'DCF Model'!E33</f>
        <v>1247052.0417179998</v>
      </c>
      <c r="G9" s="35">
        <f>'DCF Model'!F33</f>
        <v>1271993.0825523599</v>
      </c>
      <c r="H9" s="35">
        <f>'DCF Model'!G33</f>
        <v>1291072.9787906453</v>
      </c>
    </row>
    <row r="10" spans="2:8" ht="14" x14ac:dyDescent="0.3">
      <c r="B10" s="33" t="s">
        <v>38</v>
      </c>
      <c r="C10" s="35">
        <v>993594</v>
      </c>
      <c r="D10" s="35">
        <f>'DCF Model'!C34</f>
        <v>1003375.20598</v>
      </c>
      <c r="E10" s="35">
        <f>'DCF Model'!D34</f>
        <v>1018425.8340696999</v>
      </c>
      <c r="F10" s="35">
        <f>'DCF Model'!E34</f>
        <v>1038794.3507510938</v>
      </c>
      <c r="G10" s="35">
        <f>'DCF Model'!F34</f>
        <v>1059570.2377661157</v>
      </c>
      <c r="H10" s="35">
        <f>'DCF Model'!G34</f>
        <v>1075463.7913326074</v>
      </c>
    </row>
    <row r="11" spans="2:8" ht="14" x14ac:dyDescent="0.3">
      <c r="B11" s="8" t="s">
        <v>184</v>
      </c>
      <c r="C11" s="9"/>
      <c r="D11" s="9"/>
      <c r="E11" s="9"/>
      <c r="F11" s="9"/>
      <c r="G11" s="9"/>
      <c r="H11" s="9"/>
    </row>
    <row r="12" spans="2:8" ht="14" x14ac:dyDescent="0.3">
      <c r="B12" s="33" t="s">
        <v>185</v>
      </c>
      <c r="C12" s="35">
        <v>181228</v>
      </c>
      <c r="D12" s="35">
        <f t="shared" ref="D12:H13" si="0">D9*D5/365</f>
        <v>194705.18230136987</v>
      </c>
      <c r="E12" s="35">
        <f t="shared" si="0"/>
        <v>197625.76003589039</v>
      </c>
      <c r="F12" s="35">
        <f t="shared" si="0"/>
        <v>201578.2752366082</v>
      </c>
      <c r="G12" s="35">
        <f t="shared" si="0"/>
        <v>205609.84074134039</v>
      </c>
      <c r="H12" s="35">
        <f t="shared" si="0"/>
        <v>208693.9883524605</v>
      </c>
    </row>
    <row r="13" spans="2:8" ht="14" x14ac:dyDescent="0.3">
      <c r="B13" s="33" t="s">
        <v>186</v>
      </c>
      <c r="C13" s="35">
        <v>237263</v>
      </c>
      <c r="D13" s="35">
        <f t="shared" si="0"/>
        <v>233662.71920082188</v>
      </c>
      <c r="E13" s="35">
        <f t="shared" si="0"/>
        <v>237167.65998883423</v>
      </c>
      <c r="F13" s="35">
        <f t="shared" si="0"/>
        <v>241911.0131886109</v>
      </c>
      <c r="G13" s="35">
        <f t="shared" si="0"/>
        <v>246749.23345238308</v>
      </c>
      <c r="H13" s="35">
        <f t="shared" si="0"/>
        <v>250450.47195416884</v>
      </c>
    </row>
    <row r="14" spans="2:8" ht="14" x14ac:dyDescent="0.3">
      <c r="B14" s="33" t="s">
        <v>187</v>
      </c>
      <c r="C14" s="35">
        <f t="shared" ref="C14:H14" si="1">C12+C13</f>
        <v>418491</v>
      </c>
      <c r="D14" s="35">
        <f t="shared" si="1"/>
        <v>428367.90150219179</v>
      </c>
      <c r="E14" s="35">
        <f t="shared" si="1"/>
        <v>434793.42002472462</v>
      </c>
      <c r="F14" s="35">
        <f t="shared" si="1"/>
        <v>443489.28842521913</v>
      </c>
      <c r="G14" s="35">
        <f t="shared" si="1"/>
        <v>452359.0741937235</v>
      </c>
      <c r="H14" s="35">
        <f t="shared" si="1"/>
        <v>459144.46030662931</v>
      </c>
    </row>
    <row r="15" spans="2:8" ht="14" x14ac:dyDescent="0.3">
      <c r="B15" s="33" t="s">
        <v>188</v>
      </c>
      <c r="C15" s="35">
        <v>135711</v>
      </c>
      <c r="D15" s="35">
        <f>D10*D7/365</f>
        <v>148444.55102169863</v>
      </c>
      <c r="E15" s="35">
        <f>E10*E7/365</f>
        <v>150671.21928702408</v>
      </c>
      <c r="F15" s="35">
        <f>F10*F7/365</f>
        <v>153684.64367276456</v>
      </c>
      <c r="G15" s="35">
        <f>G10*G7/365</f>
        <v>156758.33654621986</v>
      </c>
      <c r="H15" s="35">
        <f>H10*H7/365</f>
        <v>159109.71159441315</v>
      </c>
    </row>
    <row r="16" spans="2:8" ht="14" x14ac:dyDescent="0.3">
      <c r="B16" s="33" t="s">
        <v>189</v>
      </c>
      <c r="C16" s="35">
        <f t="shared" ref="C16:H16" si="2">C15</f>
        <v>135711</v>
      </c>
      <c r="D16" s="35">
        <f t="shared" si="2"/>
        <v>148444.55102169863</v>
      </c>
      <c r="E16" s="35">
        <f t="shared" si="2"/>
        <v>150671.21928702408</v>
      </c>
      <c r="F16" s="35">
        <f t="shared" si="2"/>
        <v>153684.64367276456</v>
      </c>
      <c r="G16" s="35">
        <f t="shared" si="2"/>
        <v>156758.33654621986</v>
      </c>
      <c r="H16" s="35">
        <f t="shared" si="2"/>
        <v>159109.71159441315</v>
      </c>
    </row>
    <row r="17" spans="2:8" ht="14" x14ac:dyDescent="0.3">
      <c r="B17" s="22" t="s">
        <v>190</v>
      </c>
      <c r="C17" s="23"/>
      <c r="D17" s="23"/>
      <c r="E17" s="23"/>
      <c r="F17" s="23"/>
      <c r="G17" s="23"/>
      <c r="H17" s="23"/>
    </row>
    <row r="18" spans="2:8" ht="14" x14ac:dyDescent="0.3">
      <c r="B18" s="33" t="s">
        <v>191</v>
      </c>
      <c r="C18" s="20">
        <f t="shared" ref="C18:H18" si="3">C14-C16</f>
        <v>282780</v>
      </c>
      <c r="D18" s="20">
        <f t="shared" si="3"/>
        <v>279923.35048049316</v>
      </c>
      <c r="E18" s="20">
        <f t="shared" si="3"/>
        <v>284122.20073770056</v>
      </c>
      <c r="F18" s="20">
        <f t="shared" si="3"/>
        <v>289804.64475245459</v>
      </c>
      <c r="G18" s="20">
        <f t="shared" si="3"/>
        <v>295600.73764750361</v>
      </c>
      <c r="H18" s="20">
        <f t="shared" si="3"/>
        <v>300034.74871221615</v>
      </c>
    </row>
    <row r="19" spans="2:8" ht="14" x14ac:dyDescent="0.3">
      <c r="B19" s="33" t="s">
        <v>100</v>
      </c>
      <c r="C19" s="36" t="s">
        <v>47</v>
      </c>
      <c r="D19" s="24">
        <f>D18-C18</f>
        <v>-2856.6495195068419</v>
      </c>
      <c r="E19" s="24">
        <f>E18-D18</f>
        <v>4198.8502572074067</v>
      </c>
      <c r="F19" s="24">
        <f>F18-E18</f>
        <v>5682.4440147540299</v>
      </c>
      <c r="G19" s="24">
        <f>G18-F18</f>
        <v>5796.0928950490197</v>
      </c>
      <c r="H19" s="24">
        <f>H18-G18</f>
        <v>4434.0110647125402</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59</v>
      </c>
      <c r="E25" s="30">
        <v>59</v>
      </c>
      <c r="F25" s="30">
        <v>59</v>
      </c>
      <c r="G25" s="30">
        <v>59</v>
      </c>
      <c r="H25" s="30">
        <v>59</v>
      </c>
    </row>
    <row r="26" spans="2:8" ht="14" x14ac:dyDescent="0.3">
      <c r="B26" s="4" t="s">
        <v>121</v>
      </c>
      <c r="D26" s="30">
        <v>56</v>
      </c>
      <c r="E26" s="30">
        <v>56</v>
      </c>
      <c r="F26" s="30">
        <v>56</v>
      </c>
      <c r="G26" s="30">
        <v>56</v>
      </c>
      <c r="H26" s="30">
        <v>56</v>
      </c>
    </row>
    <row r="27" spans="2:8" ht="14" x14ac:dyDescent="0.3">
      <c r="B27" s="4" t="s">
        <v>122</v>
      </c>
      <c r="D27" s="30">
        <v>59</v>
      </c>
      <c r="E27" s="30">
        <v>59</v>
      </c>
      <c r="F27" s="30">
        <v>59</v>
      </c>
      <c r="G27" s="30">
        <v>59</v>
      </c>
      <c r="H27" s="30">
        <v>59</v>
      </c>
    </row>
    <row r="28" spans="2:8" ht="14" x14ac:dyDescent="0.3">
      <c r="B28" s="4" t="s">
        <v>123</v>
      </c>
      <c r="D28" s="30">
        <v>63</v>
      </c>
      <c r="E28" s="30">
        <v>63</v>
      </c>
      <c r="F28" s="30">
        <v>63</v>
      </c>
      <c r="G28" s="30">
        <v>63</v>
      </c>
      <c r="H28" s="30">
        <v>63</v>
      </c>
    </row>
    <row r="29" spans="2:8" ht="14" x14ac:dyDescent="0.3">
      <c r="B29" s="4" t="s">
        <v>124</v>
      </c>
      <c r="D29" s="30">
        <v>67</v>
      </c>
      <c r="E29" s="30">
        <v>67</v>
      </c>
      <c r="F29" s="30">
        <v>67</v>
      </c>
      <c r="G29" s="30">
        <v>67</v>
      </c>
      <c r="H29" s="30">
        <v>67</v>
      </c>
    </row>
    <row r="31" spans="2:8" ht="14" x14ac:dyDescent="0.3">
      <c r="B31" s="3" t="s">
        <v>194</v>
      </c>
    </row>
    <row r="32" spans="2:8" ht="14" x14ac:dyDescent="0.3">
      <c r="B32" s="4" t="s">
        <v>84</v>
      </c>
      <c r="D32" s="30">
        <v>85</v>
      </c>
      <c r="E32" s="30">
        <v>85</v>
      </c>
      <c r="F32" s="30">
        <v>85</v>
      </c>
      <c r="G32" s="30">
        <v>85</v>
      </c>
      <c r="H32" s="30">
        <v>85</v>
      </c>
    </row>
    <row r="33" spans="2:8" ht="14" x14ac:dyDescent="0.3">
      <c r="B33" s="4" t="s">
        <v>121</v>
      </c>
      <c r="D33" s="30">
        <v>79</v>
      </c>
      <c r="E33" s="30">
        <v>79</v>
      </c>
      <c r="F33" s="30">
        <v>79</v>
      </c>
      <c r="G33" s="30">
        <v>79</v>
      </c>
      <c r="H33" s="30">
        <v>79</v>
      </c>
    </row>
    <row r="34" spans="2:8" ht="14" x14ac:dyDescent="0.3">
      <c r="B34" s="4" t="s">
        <v>122</v>
      </c>
      <c r="D34" s="30">
        <v>85</v>
      </c>
      <c r="E34" s="30">
        <v>85</v>
      </c>
      <c r="F34" s="30">
        <v>85</v>
      </c>
      <c r="G34" s="30">
        <v>85</v>
      </c>
      <c r="H34" s="30">
        <v>85</v>
      </c>
    </row>
    <row r="35" spans="2:8" ht="14" x14ac:dyDescent="0.3">
      <c r="B35" s="4" t="s">
        <v>123</v>
      </c>
      <c r="D35" s="30">
        <v>92</v>
      </c>
      <c r="E35" s="30">
        <v>92</v>
      </c>
      <c r="F35" s="30">
        <v>92</v>
      </c>
      <c r="G35" s="30">
        <v>92</v>
      </c>
      <c r="H35" s="30">
        <v>92</v>
      </c>
    </row>
    <row r="36" spans="2:8" ht="14" x14ac:dyDescent="0.3">
      <c r="B36" s="4" t="s">
        <v>124</v>
      </c>
      <c r="D36" s="30">
        <v>99</v>
      </c>
      <c r="E36" s="30">
        <v>99</v>
      </c>
      <c r="F36" s="30">
        <v>99</v>
      </c>
      <c r="G36" s="30">
        <v>99</v>
      </c>
      <c r="H36" s="30">
        <v>99</v>
      </c>
    </row>
    <row r="38" spans="2:8" ht="14" x14ac:dyDescent="0.3">
      <c r="B38" s="3" t="s">
        <v>195</v>
      </c>
    </row>
    <row r="39" spans="2:8" ht="14" x14ac:dyDescent="0.3">
      <c r="B39" s="4" t="s">
        <v>84</v>
      </c>
      <c r="D39" s="30">
        <v>54</v>
      </c>
      <c r="E39" s="30">
        <v>54</v>
      </c>
      <c r="F39" s="30">
        <v>54</v>
      </c>
      <c r="G39" s="30">
        <v>54</v>
      </c>
      <c r="H39" s="30">
        <v>54</v>
      </c>
    </row>
    <row r="40" spans="2:8" ht="14" x14ac:dyDescent="0.3">
      <c r="B40" s="4" t="s">
        <v>121</v>
      </c>
      <c r="D40" s="30">
        <v>56</v>
      </c>
      <c r="E40" s="30">
        <v>56</v>
      </c>
      <c r="F40" s="30">
        <v>56</v>
      </c>
      <c r="G40" s="30">
        <v>56</v>
      </c>
      <c r="H40" s="30">
        <v>56</v>
      </c>
    </row>
    <row r="41" spans="2:8" ht="14" x14ac:dyDescent="0.3">
      <c r="B41" s="4" t="s">
        <v>122</v>
      </c>
      <c r="D41" s="30">
        <v>54</v>
      </c>
      <c r="E41" s="30">
        <v>54</v>
      </c>
      <c r="F41" s="30">
        <v>54</v>
      </c>
      <c r="G41" s="30">
        <v>54</v>
      </c>
      <c r="H41" s="30">
        <v>54</v>
      </c>
    </row>
    <row r="42" spans="2:8" ht="14" x14ac:dyDescent="0.3">
      <c r="B42" s="4" t="s">
        <v>123</v>
      </c>
      <c r="D42" s="30">
        <v>51</v>
      </c>
      <c r="E42" s="30">
        <v>51</v>
      </c>
      <c r="F42" s="30">
        <v>51</v>
      </c>
      <c r="G42" s="30">
        <v>51</v>
      </c>
      <c r="H42" s="30">
        <v>51</v>
      </c>
    </row>
    <row r="43" spans="2:8" ht="14" x14ac:dyDescent="0.3">
      <c r="B43" s="4" t="s">
        <v>124</v>
      </c>
      <c r="D43" s="30">
        <v>48</v>
      </c>
      <c r="E43" s="30">
        <v>48</v>
      </c>
      <c r="F43" s="30">
        <v>48</v>
      </c>
      <c r="G43" s="30">
        <v>48</v>
      </c>
      <c r="H43" s="30">
        <v>48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150592.90491799999</v>
      </c>
      <c r="E5" s="37">
        <f>D5+C24</f>
        <v>820039.90491799999</v>
      </c>
      <c r="F5" s="37">
        <v>1192606</v>
      </c>
      <c r="G5" s="37">
        <v>88420</v>
      </c>
      <c r="H5" s="37">
        <v>25207</v>
      </c>
      <c r="I5" s="37">
        <v>11743</v>
      </c>
      <c r="J5" s="38">
        <f t="shared" ref="J5:J10" si="0">IFERROR(E5/G5,"")</f>
        <v>9.2743712386111739</v>
      </c>
      <c r="K5" s="38">
        <f t="shared" ref="K5:K10" si="1">IFERROR(E5/F5,"")</f>
        <v>0.68760337019770146</v>
      </c>
      <c r="L5" s="38">
        <f t="shared" ref="L5:L10" si="2">IFERROR(D5/I5,"")</f>
        <v>12.824057303755428</v>
      </c>
      <c r="M5" s="38">
        <f t="shared" ref="M5:M10" si="3">IFERROR(D5/P5,"")</f>
        <v>0.29617104175697095</v>
      </c>
      <c r="N5" s="39">
        <f t="shared" ref="N5:N10" si="4">IFERROR(H5/F5,"")</f>
        <v>2.1136066731175258E-2</v>
      </c>
      <c r="O5" s="39">
        <f t="shared" ref="O5:O10" si="5">IFERROR(I5/P5,"")</f>
        <v>2.3094956201594602E-2</v>
      </c>
      <c r="P5" s="37">
        <v>508466</v>
      </c>
    </row>
    <row r="6" spans="2:17" ht="14" x14ac:dyDescent="0.3">
      <c r="B6" s="4" t="s">
        <v>214</v>
      </c>
      <c r="C6" t="s">
        <v>215</v>
      </c>
      <c r="D6" s="37">
        <v>743250</v>
      </c>
      <c r="E6" s="37">
        <v>1633243</v>
      </c>
      <c r="F6" s="37">
        <v>1861709</v>
      </c>
      <c r="G6" s="37">
        <v>143723</v>
      </c>
      <c r="H6" s="37">
        <v>34582</v>
      </c>
      <c r="I6" s="37">
        <v>55582</v>
      </c>
      <c r="J6" s="38">
        <f t="shared" si="0"/>
        <v>11.363824857538459</v>
      </c>
      <c r="K6" s="38">
        <f t="shared" si="1"/>
        <v>0.8772815730063076</v>
      </c>
      <c r="L6" s="38">
        <f t="shared" si="2"/>
        <v>13.372134863804829</v>
      </c>
      <c r="M6" s="38">
        <f t="shared" si="3"/>
        <v>0.67423283053510452</v>
      </c>
      <c r="N6" s="39">
        <f t="shared" si="4"/>
        <v>1.8575405715930901E-2</v>
      </c>
      <c r="O6" s="39">
        <f t="shared" si="5"/>
        <v>5.0420732171950464E-2</v>
      </c>
      <c r="P6" s="37">
        <v>1102364</v>
      </c>
    </row>
    <row r="7" spans="2:17" ht="14" x14ac:dyDescent="0.3">
      <c r="B7" s="4" t="s">
        <v>216</v>
      </c>
      <c r="C7" t="s">
        <v>217</v>
      </c>
      <c r="D7" s="37">
        <v>142499</v>
      </c>
      <c r="E7" s="37">
        <v>213204</v>
      </c>
      <c r="F7" s="37">
        <v>287736</v>
      </c>
      <c r="G7" s="37">
        <v>21545</v>
      </c>
      <c r="H7" s="37">
        <v>7539</v>
      </c>
      <c r="I7" s="37">
        <v>7299</v>
      </c>
      <c r="J7" s="38">
        <f t="shared" si="0"/>
        <v>9.8957530749593872</v>
      </c>
      <c r="K7" s="38">
        <f t="shared" si="1"/>
        <v>0.74097088998248395</v>
      </c>
      <c r="L7" s="38">
        <f t="shared" si="2"/>
        <v>19.523085354158106</v>
      </c>
      <c r="M7" s="38">
        <f t="shared" si="3"/>
        <v>0.56572590090000674</v>
      </c>
      <c r="N7" s="39">
        <f t="shared" si="4"/>
        <v>2.6201101009258487E-2</v>
      </c>
      <c r="O7" s="39">
        <f t="shared" si="5"/>
        <v>2.8977279494376448E-2</v>
      </c>
      <c r="P7" s="37">
        <v>251887</v>
      </c>
    </row>
    <row r="8" spans="2:17" ht="14" x14ac:dyDescent="0.3">
      <c r="B8" s="4" t="s">
        <v>218</v>
      </c>
      <c r="C8" t="s">
        <v>219</v>
      </c>
      <c r="D8" s="37">
        <v>379212</v>
      </c>
      <c r="E8" s="37">
        <v>770973</v>
      </c>
      <c r="F8" s="37">
        <v>1008337</v>
      </c>
      <c r="G8" s="37">
        <v>99847</v>
      </c>
      <c r="H8" s="37">
        <v>37093</v>
      </c>
      <c r="I8" s="37">
        <v>21005</v>
      </c>
      <c r="J8" s="38">
        <f t="shared" si="0"/>
        <v>7.7215439622622615</v>
      </c>
      <c r="K8" s="38">
        <f t="shared" si="1"/>
        <v>0.76459854195571519</v>
      </c>
      <c r="L8" s="38">
        <f t="shared" si="2"/>
        <v>18.053415853368247</v>
      </c>
      <c r="M8" s="38">
        <f t="shared" si="3"/>
        <v>0.77501078072916563</v>
      </c>
      <c r="N8" s="39">
        <f t="shared" si="4"/>
        <v>3.6786312512582596E-2</v>
      </c>
      <c r="O8" s="39">
        <f t="shared" si="5"/>
        <v>4.2928761350421729E-2</v>
      </c>
      <c r="P8" s="37">
        <v>489299</v>
      </c>
    </row>
    <row r="9" spans="2:17" ht="14" x14ac:dyDescent="0.3">
      <c r="B9" s="4" t="s">
        <v>220</v>
      </c>
      <c r="C9" t="s">
        <v>221</v>
      </c>
      <c r="D9" s="37">
        <v>470327</v>
      </c>
      <c r="E9" s="37">
        <v>457609</v>
      </c>
      <c r="F9" s="37">
        <v>411966</v>
      </c>
      <c r="G9" s="37">
        <v>53606</v>
      </c>
      <c r="H9" s="37">
        <v>36376</v>
      </c>
      <c r="I9" s="37">
        <v>36226</v>
      </c>
      <c r="J9" s="38">
        <f t="shared" si="0"/>
        <v>8.5365257620415633</v>
      </c>
      <c r="K9" s="38">
        <f t="shared" si="1"/>
        <v>1.1107931237043833</v>
      </c>
      <c r="L9" s="38">
        <f t="shared" si="2"/>
        <v>12.983133660906532</v>
      </c>
      <c r="M9" s="38">
        <f t="shared" si="3"/>
        <v>1.2456947468230384</v>
      </c>
      <c r="N9" s="39">
        <f t="shared" si="4"/>
        <v>8.829854890937601E-2</v>
      </c>
      <c r="O9" s="39">
        <f t="shared" si="5"/>
        <v>9.5947155698931572E-2</v>
      </c>
      <c r="P9" s="37">
        <v>377562</v>
      </c>
    </row>
    <row r="10" spans="2:17" ht="14" x14ac:dyDescent="0.3">
      <c r="B10" s="4" t="s">
        <v>222</v>
      </c>
      <c r="C10" t="s">
        <v>223</v>
      </c>
      <c r="D10" s="37">
        <v>553934</v>
      </c>
      <c r="E10" s="37">
        <v>734751</v>
      </c>
      <c r="F10" s="37">
        <v>808447</v>
      </c>
      <c r="G10" s="37">
        <v>143585</v>
      </c>
      <c r="H10" s="37">
        <v>58883</v>
      </c>
      <c r="I10" s="37">
        <v>7468</v>
      </c>
      <c r="J10" s="38">
        <f t="shared" si="0"/>
        <v>5.1171849427168574</v>
      </c>
      <c r="K10" s="38">
        <f t="shared" si="1"/>
        <v>0.90884250915644438</v>
      </c>
      <c r="L10" s="38">
        <f t="shared" si="2"/>
        <v>74.174343867166584</v>
      </c>
      <c r="M10" s="38">
        <f t="shared" si="3"/>
        <v>0.74568956233307482</v>
      </c>
      <c r="N10" s="39">
        <f t="shared" si="4"/>
        <v>7.2834706542296526E-2</v>
      </c>
      <c r="O10" s="39">
        <f t="shared" si="5"/>
        <v>1.005320065477729E-2</v>
      </c>
      <c r="P10" s="37">
        <v>742848</v>
      </c>
    </row>
    <row r="14" spans="2:17" ht="14" x14ac:dyDescent="0.3">
      <c r="B14" s="3" t="s">
        <v>224</v>
      </c>
    </row>
    <row r="15" spans="2:17" ht="14" x14ac:dyDescent="0.3">
      <c r="B15" s="4" t="s">
        <v>225</v>
      </c>
      <c r="D15" s="38">
        <f t="shared" ref="D15:I15" si="6">PERCENTILE(J6:J10,0.25)</f>
        <v>7.7215439622622615</v>
      </c>
      <c r="E15" s="38">
        <f t="shared" si="6"/>
        <v>0.76459854195571519</v>
      </c>
      <c r="F15" s="38">
        <f t="shared" si="6"/>
        <v>13.372134863804829</v>
      </c>
      <c r="G15" s="38">
        <f t="shared" si="6"/>
        <v>0.67423283053510452</v>
      </c>
      <c r="H15" s="39">
        <f t="shared" si="6"/>
        <v>2.6201101009258487E-2</v>
      </c>
      <c r="I15" s="39">
        <f t="shared" si="6"/>
        <v>2.8977279494376448E-2</v>
      </c>
    </row>
    <row r="16" spans="2:17" ht="14" x14ac:dyDescent="0.3">
      <c r="B16" s="4" t="s">
        <v>226</v>
      </c>
      <c r="D16" s="38">
        <f t="shared" ref="D16:I16" si="7">MEDIAN(J6:J10)</f>
        <v>8.5365257620415633</v>
      </c>
      <c r="E16" s="38">
        <f t="shared" si="7"/>
        <v>0.8772815730063076</v>
      </c>
      <c r="F16" s="38">
        <f t="shared" si="7"/>
        <v>18.053415853368247</v>
      </c>
      <c r="G16" s="38">
        <f t="shared" si="7"/>
        <v>0.74568956233307482</v>
      </c>
      <c r="H16" s="39">
        <f t="shared" si="7"/>
        <v>3.6786312512582596E-2</v>
      </c>
      <c r="I16" s="39">
        <f t="shared" si="7"/>
        <v>4.2928761350421729E-2</v>
      </c>
    </row>
    <row r="17" spans="2:9" ht="14" x14ac:dyDescent="0.3">
      <c r="B17" s="4" t="s">
        <v>227</v>
      </c>
      <c r="D17" s="38">
        <f t="shared" ref="D17:I17" si="8">PERCENTILE(J6:J10,0.75)</f>
        <v>9.8957530749593872</v>
      </c>
      <c r="E17" s="38">
        <f t="shared" si="8"/>
        <v>0.90884250915644438</v>
      </c>
      <c r="F17" s="38">
        <f t="shared" si="8"/>
        <v>19.523085354158106</v>
      </c>
      <c r="G17" s="38">
        <f t="shared" si="8"/>
        <v>0.77501078072916563</v>
      </c>
      <c r="H17" s="39">
        <f t="shared" si="8"/>
        <v>7.2834706542296526E-2</v>
      </c>
      <c r="I17" s="39">
        <f t="shared" si="8"/>
        <v>5.0420732171950464E-2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88420</v>
      </c>
    </row>
    <row r="22" spans="2:9" ht="14" x14ac:dyDescent="0.3">
      <c r="B22" s="4" t="s">
        <v>231</v>
      </c>
      <c r="C22" s="5">
        <v>11743</v>
      </c>
    </row>
    <row r="23" spans="2:9" ht="14" x14ac:dyDescent="0.3">
      <c r="B23" s="4" t="s">
        <v>232</v>
      </c>
      <c r="C23" s="15">
        <v>115308503</v>
      </c>
    </row>
    <row r="24" spans="2:9" ht="14" x14ac:dyDescent="0.3">
      <c r="B24" s="4" t="s">
        <v>73</v>
      </c>
      <c r="C24" s="5">
        <v>669447</v>
      </c>
    </row>
    <row r="26" spans="2:9" ht="14" x14ac:dyDescent="0.3">
      <c r="B26" s="3" t="s">
        <v>233</v>
      </c>
    </row>
    <row r="27" spans="2:9" ht="14" x14ac:dyDescent="0.3">
      <c r="B27" s="4" t="s">
        <v>234</v>
      </c>
      <c r="C27" s="24">
        <f>ROUND((C21*D16-C24)*1000000/C23,0)</f>
        <v>740</v>
      </c>
    </row>
    <row r="28" spans="2:9" ht="14" x14ac:dyDescent="0.3">
      <c r="B28" s="4" t="s">
        <v>235</v>
      </c>
      <c r="C28" s="24">
        <f>ROUND(C22*F16*1000000/C23,0)</f>
        <v>1839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3.4524833333333338E-2</v>
      </c>
      <c r="E3" s="4" t="s">
        <v>238</v>
      </c>
      <c r="F3" s="16">
        <f>'DCF Model'!C13</f>
        <v>0.01</v>
      </c>
      <c r="H3" s="4" t="s">
        <v>239</v>
      </c>
      <c r="I3" s="14">
        <f>'DCF Model'!C14</f>
        <v>8.5</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1.9524833333333338E-2</v>
      </c>
      <c r="C7" s="37">
        <f>IFERROR(ROUND(('DCF Model'!C45/(1+$B7)^('DCF Model'!C19+0)+'DCF Model'!D45/(1+$B7)^('DCF Model'!C19+1)+'DCF Model'!E45/(1+$B7)^('DCF Model'!C19+2)+'DCF Model'!F45/(1+$B7)^('DCF Model'!C19+3)+'DCF Model'!G45/(1+$B7)^('DCF Model'!C19+4)+'DCF Model'!G45*(1+C$6)/($B7-C$6)/(1+$B7)^('DCF Model'!C19+4)-'DCF Model'!C16)*1000000/'DCF Model'!C15,0),"")</f>
        <v>616</v>
      </c>
      <c r="D7" s="37">
        <f>IFERROR(ROUND(('DCF Model'!C45/(1+$B7)^('DCF Model'!C19+0)+'DCF Model'!D45/(1+$B7)^('DCF Model'!C19+1)+'DCF Model'!E45/(1+$B7)^('DCF Model'!C19+2)+'DCF Model'!F45/(1+$B7)^('DCF Model'!C19+3)+'DCF Model'!G45/(1+$B7)^('DCF Model'!C19+4)+'DCF Model'!G45*(1+D$6)/($B7-D$6)/(1+$B7)^('DCF Model'!C19+4)-'DCF Model'!C16)*1000000/'DCF Model'!C15,0),"")</f>
        <v>1641</v>
      </c>
      <c r="E7" s="37">
        <f>IFERROR(ROUND(('DCF Model'!C45/(1+$B7)^('DCF Model'!C19+0)+'DCF Model'!D45/(1+$B7)^('DCF Model'!C19+1)+'DCF Model'!E45/(1+$B7)^('DCF Model'!C19+2)+'DCF Model'!F45/(1+$B7)^('DCF Model'!C19+3)+'DCF Model'!G45/(1+$B7)^('DCF Model'!C19+4)+'DCF Model'!G45*(1+E$6)/($B7-E$6)/(1+$B7)^('DCF Model'!C19+4)-'DCF Model'!C16)*1000000/'DCF Model'!C15,0),"")</f>
        <v>3091</v>
      </c>
      <c r="F7" s="37">
        <f>IFERROR(ROUND(('DCF Model'!C45/(1+$B7)^('DCF Model'!C19+0)+'DCF Model'!D45/(1+$B7)^('DCF Model'!C19+1)+'DCF Model'!E45/(1+$B7)^('DCF Model'!C19+2)+'DCF Model'!F45/(1+$B7)^('DCF Model'!C19+3)+'DCF Model'!G45/(1+$B7)^('DCF Model'!C19+4)+'DCF Model'!G45*(1+F$6)/($B7-F$6)/(1+$B7)^('DCF Model'!C19+4)-'DCF Model'!C16)*1000000/'DCF Model'!C15,0),"")</f>
        <v>5303</v>
      </c>
      <c r="G7" s="37">
        <f>IFERROR(ROUND(('DCF Model'!C45/(1+$B7)^('DCF Model'!C19+0)+'DCF Model'!D45/(1+$B7)^('DCF Model'!C19+1)+'DCF Model'!E45/(1+$B7)^('DCF Model'!C19+2)+'DCF Model'!F45/(1+$B7)^('DCF Model'!C19+3)+'DCF Model'!G45/(1+$B7)^('DCF Model'!C19+4)+'DCF Model'!G45*(1+G$6)/($B7-G$6)/(1+$B7)^('DCF Model'!C19+4)-'DCF Model'!C16)*1000000/'DCF Model'!C15,0),"")</f>
        <v>9089</v>
      </c>
      <c r="H7" s="37">
        <f>IFERROR(ROUND(('DCF Model'!C45/(1+$B7)^('DCF Model'!C19+0)+'DCF Model'!D45/(1+$B7)^('DCF Model'!C19+1)+'DCF Model'!E45/(1+$B7)^('DCF Model'!C19+2)+'DCF Model'!F45/(1+$B7)^('DCF Model'!C19+3)+'DCF Model'!G45/(1+$B7)^('DCF Model'!C19+4)+'DCF Model'!G45*(1+H$6)/($B7-H$6)/(1+$B7)^('DCF Model'!C19+4)-'DCF Model'!C16)*1000000/'DCF Model'!C15,0),"")</f>
        <v>17059</v>
      </c>
      <c r="I7" s="37">
        <f>IFERROR(ROUND(('DCF Model'!C45/(1+$B7)^('DCF Model'!C19+0)+'DCF Model'!D45/(1+$B7)^('DCF Model'!C19+1)+'DCF Model'!E45/(1+$B7)^('DCF Model'!C19+2)+'DCF Model'!F45/(1+$B7)^('DCF Model'!C19+3)+'DCF Model'!G45/(1+$B7)^('DCF Model'!C19+4)+'DCF Model'!G45*(1+I$6)/($B7-I$6)/(1+$B7)^('DCF Model'!C19+4)-'DCF Model'!C16)*1000000/'DCF Model'!C15,0),"")</f>
        <v>44709</v>
      </c>
    </row>
    <row r="8" spans="2:9" ht="13.5" x14ac:dyDescent="0.25">
      <c r="B8" s="39">
        <f>$C$3-0.01</f>
        <v>2.4524833333333336E-2</v>
      </c>
      <c r="C8" s="37">
        <f>IFERROR(ROUND(('DCF Model'!C45/(1+$B8)^('DCF Model'!C19+0)+'DCF Model'!D45/(1+$B8)^('DCF Model'!C19+1)+'DCF Model'!E45/(1+$B8)^('DCF Model'!C19+2)+'DCF Model'!F45/(1+$B8)^('DCF Model'!C19+3)+'DCF Model'!G45/(1+$B8)^('DCF Model'!C19+4)+'DCF Model'!G45*(1+C$6)/($B8-C$6)/(1+$B8)^('DCF Model'!C19+4)-'DCF Model'!C16)*1000000/'DCF Model'!C15,0),"")</f>
        <v>-829</v>
      </c>
      <c r="D8" s="37">
        <f>IFERROR(ROUND(('DCF Model'!C45/(1+$B8)^('DCF Model'!C19+0)+'DCF Model'!D45/(1+$B8)^('DCF Model'!C19+1)+'DCF Model'!E45/(1+$B8)^('DCF Model'!C19+2)+'DCF Model'!F45/(1+$B8)^('DCF Model'!C19+3)+'DCF Model'!G45/(1+$B8)^('DCF Model'!C19+4)+'DCF Model'!G45*(1+D$6)/($B8-D$6)/(1+$B8)^('DCF Model'!C19+4)-'DCF Model'!C16)*1000000/'DCF Model'!C15,0),"")</f>
        <v>-251</v>
      </c>
      <c r="E8" s="37">
        <f>IFERROR(ROUND(('DCF Model'!C45/(1+$B8)^('DCF Model'!C19+0)+'DCF Model'!D45/(1+$B8)^('DCF Model'!C19+1)+'DCF Model'!E45/(1+$B8)^('DCF Model'!C19+2)+'DCF Model'!F45/(1+$B8)^('DCF Model'!C19+3)+'DCF Model'!G45/(1+$B8)^('DCF Model'!C19+4)+'DCF Model'!G45*(1+E$6)/($B8-E$6)/(1+$B8)^('DCF Model'!C19+4)-'DCF Model'!C16)*1000000/'DCF Model'!C15,0),"")</f>
        <v>496</v>
      </c>
      <c r="F8" s="37">
        <f>IFERROR(ROUND(('DCF Model'!C45/(1+$B8)^('DCF Model'!C19+0)+'DCF Model'!D45/(1+$B8)^('DCF Model'!C19+1)+'DCF Model'!E45/(1+$B8)^('DCF Model'!C19+2)+'DCF Model'!F45/(1+$B8)^('DCF Model'!C19+3)+'DCF Model'!G45/(1+$B8)^('DCF Model'!C19+4)+'DCF Model'!G45*(1+F$6)/($B8-F$6)/(1+$B8)^('DCF Model'!C19+4)-'DCF Model'!C16)*1000000/'DCF Model'!C15,0),"")</f>
        <v>1501</v>
      </c>
      <c r="G8" s="37">
        <f>IFERROR(ROUND(('DCF Model'!C45/(1+$B8)^('DCF Model'!C19+0)+'DCF Model'!D45/(1+$B8)^('DCF Model'!C19+1)+'DCF Model'!E45/(1+$B8)^('DCF Model'!C19+2)+'DCF Model'!F45/(1+$B8)^('DCF Model'!C19+3)+'DCF Model'!G45/(1+$B8)^('DCF Model'!C19+4)+'DCF Model'!G45*(1+G$6)/($B8-G$6)/(1+$B8)^('DCF Model'!C19+4)-'DCF Model'!C16)*1000000/'DCF Model'!C15,0),"")</f>
        <v>2923</v>
      </c>
      <c r="H8" s="37">
        <f>IFERROR(ROUND(('DCF Model'!C45/(1+$B8)^('DCF Model'!C19+0)+'DCF Model'!D45/(1+$B8)^('DCF Model'!C19+1)+'DCF Model'!E45/(1+$B8)^('DCF Model'!C19+2)+'DCF Model'!F45/(1+$B8)^('DCF Model'!C19+3)+'DCF Model'!G45/(1+$B8)^('DCF Model'!C19+4)+'DCF Model'!G45*(1+H$6)/($B8-H$6)/(1+$B8)^('DCF Model'!C19+4)-'DCF Model'!C16)*1000000/'DCF Model'!C15,0),"")</f>
        <v>5092</v>
      </c>
      <c r="I8" s="37">
        <f>IFERROR(ROUND(('DCF Model'!C45/(1+$B8)^('DCF Model'!C19+0)+'DCF Model'!D45/(1+$B8)^('DCF Model'!C19+1)+'DCF Model'!E45/(1+$B8)^('DCF Model'!C19+2)+'DCF Model'!F45/(1+$B8)^('DCF Model'!C19+3)+'DCF Model'!G45/(1+$B8)^('DCF Model'!C19+4)+'DCF Model'!G45*(1+I$6)/($B8-I$6)/(1+$B8)^('DCF Model'!C19+4)-'DCF Model'!C16)*1000000/'DCF Model'!C15,0),"")</f>
        <v>8805</v>
      </c>
    </row>
    <row r="9" spans="2:9" ht="13.5" x14ac:dyDescent="0.25">
      <c r="B9" s="39">
        <f>$C$3-0.005</f>
        <v>2.9524833333333337E-2</v>
      </c>
      <c r="C9" s="37">
        <f>IFERROR(ROUND(('DCF Model'!C45/(1+$B9)^('DCF Model'!C19+0)+'DCF Model'!D45/(1+$B9)^('DCF Model'!C19+1)+'DCF Model'!E45/(1+$B9)^('DCF Model'!C19+2)+'DCF Model'!F45/(1+$B9)^('DCF Model'!C19+3)+'DCF Model'!G45/(1+$B9)^('DCF Model'!C19+4)+'DCF Model'!G45*(1+C$6)/($B9-C$6)/(1+$B9)^('DCF Model'!C19+4)-'DCF Model'!C16)*1000000/'DCF Model'!C15,0),"")</f>
        <v>-1740</v>
      </c>
      <c r="D9" s="37">
        <f>IFERROR(ROUND(('DCF Model'!C45/(1+$B9)^('DCF Model'!C19+0)+'DCF Model'!D45/(1+$B9)^('DCF Model'!C19+1)+'DCF Model'!E45/(1+$B9)^('DCF Model'!C19+2)+'DCF Model'!F45/(1+$B9)^('DCF Model'!C19+3)+'DCF Model'!G45/(1+$B9)^('DCF Model'!C19+4)+'DCF Model'!G45*(1+D$6)/($B9-D$6)/(1+$B9)^('DCF Model'!C19+4)-'DCF Model'!C16)*1000000/'DCF Model'!C15,0),"")</f>
        <v>-1372</v>
      </c>
      <c r="E9" s="37">
        <f>IFERROR(ROUND(('DCF Model'!C45/(1+$B9)^('DCF Model'!C19+0)+'DCF Model'!D45/(1+$B9)^('DCF Model'!C19+1)+'DCF Model'!E45/(1+$B9)^('DCF Model'!C19+2)+'DCF Model'!F45/(1+$B9)^('DCF Model'!C19+3)+'DCF Model'!G45/(1+$B9)^('DCF Model'!C19+4)+'DCF Model'!G45*(1+E$6)/($B9-E$6)/(1+$B9)^('DCF Model'!C19+4)-'DCF Model'!C16)*1000000/'DCF Model'!C15,0),"")</f>
        <v>-921</v>
      </c>
      <c r="F9" s="37">
        <f>IFERROR(ROUND(('DCF Model'!C45/(1+$B9)^('DCF Model'!C19+0)+'DCF Model'!D45/(1+$B9)^('DCF Model'!C19+1)+'DCF Model'!E45/(1+$B9)^('DCF Model'!C19+2)+'DCF Model'!F45/(1+$B9)^('DCF Model'!C19+3)+'DCF Model'!G45/(1+$B9)^('DCF Model'!C19+4)+'DCF Model'!G45*(1+F$6)/($B9-F$6)/(1+$B9)^('DCF Model'!C19+4)-'DCF Model'!C16)*1000000/'DCF Model'!C15,0),"")</f>
        <v>-355</v>
      </c>
      <c r="G9" s="37">
        <f>IFERROR(ROUND(('DCF Model'!C45/(1+$B9)^('DCF Model'!C19+0)+'DCF Model'!D45/(1+$B9)^('DCF Model'!C19+1)+'DCF Model'!E45/(1+$B9)^('DCF Model'!C19+2)+'DCF Model'!F45/(1+$B9)^('DCF Model'!C19+3)+'DCF Model'!G45/(1+$B9)^('DCF Model'!C19+4)+'DCF Model'!G45*(1+G$6)/($B9-G$6)/(1+$B9)^('DCF Model'!C19+4)-'DCF Model'!C16)*1000000/'DCF Model'!C15,0),"")</f>
        <v>378</v>
      </c>
      <c r="H9" s="37">
        <f>IFERROR(ROUND(('DCF Model'!C45/(1+$B9)^('DCF Model'!C19+0)+'DCF Model'!D45/(1+$B9)^('DCF Model'!C19+1)+'DCF Model'!E45/(1+$B9)^('DCF Model'!C19+2)+'DCF Model'!F45/(1+$B9)^('DCF Model'!C19+3)+'DCF Model'!G45/(1+$B9)^('DCF Model'!C19+4)+'DCF Model'!G45*(1+H$6)/($B9-H$6)/(1+$B9)^('DCF Model'!C19+4)-'DCF Model'!C16)*1000000/'DCF Model'!C15,0),"")</f>
        <v>1364</v>
      </c>
      <c r="I9" s="37">
        <f>IFERROR(ROUND(('DCF Model'!C45/(1+$B9)^('DCF Model'!C19+0)+'DCF Model'!D45/(1+$B9)^('DCF Model'!C19+1)+'DCF Model'!E45/(1+$B9)^('DCF Model'!C19+2)+'DCF Model'!F45/(1+$B9)^('DCF Model'!C19+3)+'DCF Model'!G45/(1+$B9)^('DCF Model'!C19+4)+'DCF Model'!G45*(1+I$6)/($B9-I$6)/(1+$B9)^('DCF Model'!C19+4)-'DCF Model'!C16)*1000000/'DCF Model'!C15,0),"")</f>
        <v>2759</v>
      </c>
    </row>
    <row r="10" spans="2:9" ht="13.5" x14ac:dyDescent="0.25">
      <c r="B10" s="39">
        <f>$C$3</f>
        <v>3.4524833333333338E-2</v>
      </c>
      <c r="C10" s="37">
        <f>IFERROR(ROUND(('DCF Model'!C45/(1+$B10)^('DCF Model'!C19+0)+'DCF Model'!D45/(1+$B10)^('DCF Model'!C19+1)+'DCF Model'!E45/(1+$B10)^('DCF Model'!C19+2)+'DCF Model'!F45/(1+$B10)^('DCF Model'!C19+3)+'DCF Model'!G45/(1+$B10)^('DCF Model'!C19+4)+'DCF Model'!G45*(1+C$6)/($B10-C$6)/(1+$B10)^('DCF Model'!C19+4)-'DCF Model'!C16)*1000000/'DCF Model'!C15,0),"")</f>
        <v>-2366</v>
      </c>
      <c r="D10" s="37">
        <f>IFERROR(ROUND(('DCF Model'!C45/(1+$B10)^('DCF Model'!C19+0)+'DCF Model'!D45/(1+$B10)^('DCF Model'!C19+1)+'DCF Model'!E45/(1+$B10)^('DCF Model'!C19+2)+'DCF Model'!F45/(1+$B10)^('DCF Model'!C19+3)+'DCF Model'!G45/(1+$B10)^('DCF Model'!C19+4)+'DCF Model'!G45*(1+D$6)/($B10-D$6)/(1+$B10)^('DCF Model'!C19+4)-'DCF Model'!C16)*1000000/'DCF Model'!C15,0),"")</f>
        <v>-2113</v>
      </c>
      <c r="E10" s="37">
        <f>IFERROR(ROUND(('DCF Model'!C45/(1+$B10)^('DCF Model'!C19+0)+'DCF Model'!D45/(1+$B10)^('DCF Model'!C19+1)+'DCF Model'!E45/(1+$B10)^('DCF Model'!C19+2)+'DCF Model'!F45/(1+$B10)^('DCF Model'!C19+3)+'DCF Model'!G45/(1+$B10)^('DCF Model'!C19+4)+'DCF Model'!G45*(1+E$6)/($B10-E$6)/(1+$B10)^('DCF Model'!C19+4)-'DCF Model'!C16)*1000000/'DCF Model'!C15,0),"")</f>
        <v>-1814</v>
      </c>
      <c r="F10" s="37">
        <f>IFERROR(ROUND(('DCF Model'!C45/(1+$B10)^('DCF Model'!C19+0)+'DCF Model'!D45/(1+$B10)^('DCF Model'!C19+1)+'DCF Model'!E45/(1+$B10)^('DCF Model'!C19+2)+'DCF Model'!F45/(1+$B10)^('DCF Model'!C19+3)+'DCF Model'!G45/(1+$B10)^('DCF Model'!C19+4)+'DCF Model'!G45*(1+F$6)/($B10-F$6)/(1+$B10)^('DCF Model'!C19+4)-'DCF Model'!C16)*1000000/'DCF Model'!C15,0),"")</f>
        <v>-1453</v>
      </c>
      <c r="G10" s="37">
        <f>IFERROR(ROUND(('DCF Model'!C45/(1+$B10)^('DCF Model'!C19+0)+'DCF Model'!D45/(1+$B10)^('DCF Model'!C19+1)+'DCF Model'!E45/(1+$B10)^('DCF Model'!C19+2)+'DCF Model'!F45/(1+$B10)^('DCF Model'!C19+3)+'DCF Model'!G45/(1+$B10)^('DCF Model'!C19+4)+'DCF Model'!G45*(1+G$6)/($B10-G$6)/(1+$B10)^('DCF Model'!C19+4)-'DCF Model'!C16)*1000000/'DCF Model'!C15,0),"")</f>
        <v>-1011</v>
      </c>
      <c r="H10" s="37">
        <f>IFERROR(ROUND(('DCF Model'!C45/(1+$B10)^('DCF Model'!C19+0)+'DCF Model'!D45/(1+$B10)^('DCF Model'!C19+1)+'DCF Model'!E45/(1+$B10)^('DCF Model'!C19+2)+'DCF Model'!F45/(1+$B10)^('DCF Model'!C19+3)+'DCF Model'!G45/(1+$B10)^('DCF Model'!C19+4)+'DCF Model'!G45*(1+H$6)/($B10-H$6)/(1+$B10)^('DCF Model'!C19+4)-'DCF Model'!C16)*1000000/'DCF Model'!C15,0),"")</f>
        <v>-455</v>
      </c>
      <c r="I10" s="37">
        <f>IFERROR(ROUND(('DCF Model'!C45/(1+$B10)^('DCF Model'!C19+0)+'DCF Model'!D45/(1+$B10)^('DCF Model'!C19+1)+'DCF Model'!E45/(1+$B10)^('DCF Model'!C19+2)+'DCF Model'!F45/(1+$B10)^('DCF Model'!C19+3)+'DCF Model'!G45/(1+$B10)^('DCF Model'!C19+4)+'DCF Model'!G45*(1+I$6)/($B10-I$6)/(1+$B10)^('DCF Model'!C19+4)-'DCF Model'!C16)*1000000/'DCF Model'!C15,0),"")</f>
        <v>264</v>
      </c>
    </row>
    <row r="11" spans="2:9" ht="13.5" x14ac:dyDescent="0.25">
      <c r="B11" s="39">
        <f>$C$3+0.005</f>
        <v>3.9524833333333335E-2</v>
      </c>
      <c r="C11" s="37">
        <f>IFERROR(ROUND(('DCF Model'!C45/(1+$B11)^('DCF Model'!C19+0)+'DCF Model'!D45/(1+$B11)^('DCF Model'!C19+1)+'DCF Model'!E45/(1+$B11)^('DCF Model'!C19+2)+'DCF Model'!F45/(1+$B11)^('DCF Model'!C19+3)+'DCF Model'!G45/(1+$B11)^('DCF Model'!C19+4)+'DCF Model'!G45*(1+C$6)/($B11-C$6)/(1+$B11)^('DCF Model'!C19+4)-'DCF Model'!C16)*1000000/'DCF Model'!C15,0),"")</f>
        <v>-2823</v>
      </c>
      <c r="D11" s="37">
        <f>IFERROR(ROUND(('DCF Model'!C45/(1+$B11)^('DCF Model'!C19+0)+'DCF Model'!D45/(1+$B11)^('DCF Model'!C19+1)+'DCF Model'!E45/(1+$B11)^('DCF Model'!C19+2)+'DCF Model'!F45/(1+$B11)^('DCF Model'!C19+3)+'DCF Model'!G45/(1+$B11)^('DCF Model'!C19+4)+'DCF Model'!G45*(1+D$6)/($B11-D$6)/(1+$B11)^('DCF Model'!C19+4)-'DCF Model'!C16)*1000000/'DCF Model'!C15,0),"")</f>
        <v>-2640</v>
      </c>
      <c r="E11" s="37">
        <f>IFERROR(ROUND(('DCF Model'!C45/(1+$B11)^('DCF Model'!C19+0)+'DCF Model'!D45/(1+$B11)^('DCF Model'!C19+1)+'DCF Model'!E45/(1+$B11)^('DCF Model'!C19+2)+'DCF Model'!F45/(1+$B11)^('DCF Model'!C19+3)+'DCF Model'!G45/(1+$B11)^('DCF Model'!C19+4)+'DCF Model'!G45*(1+E$6)/($B11-E$6)/(1+$B11)^('DCF Model'!C19+4)-'DCF Model'!C16)*1000000/'DCF Model'!C15,0),"")</f>
        <v>-2428</v>
      </c>
      <c r="F11" s="37">
        <f>IFERROR(ROUND(('DCF Model'!C45/(1+$B11)^('DCF Model'!C19+0)+'DCF Model'!D45/(1+$B11)^('DCF Model'!C19+1)+'DCF Model'!E45/(1+$B11)^('DCF Model'!C19+2)+'DCF Model'!F45/(1+$B11)^('DCF Model'!C19+3)+'DCF Model'!G45/(1+$B11)^('DCF Model'!C19+4)+'DCF Model'!G45*(1+F$6)/($B11-F$6)/(1+$B11)^('DCF Model'!C19+4)-'DCF Model'!C16)*1000000/'DCF Model'!C15,0),"")</f>
        <v>-2180</v>
      </c>
      <c r="G11" s="37">
        <f>IFERROR(ROUND(('DCF Model'!C45/(1+$B11)^('DCF Model'!C19+0)+'DCF Model'!D45/(1+$B11)^('DCF Model'!C19+1)+'DCF Model'!E45/(1+$B11)^('DCF Model'!C19+2)+'DCF Model'!F45/(1+$B11)^('DCF Model'!C19+3)+'DCF Model'!G45/(1+$B11)^('DCF Model'!C19+4)+'DCF Model'!G45*(1+G$6)/($B11-G$6)/(1+$B11)^('DCF Model'!C19+4)-'DCF Model'!C16)*1000000/'DCF Model'!C15,0),"")</f>
        <v>-1886</v>
      </c>
      <c r="H11" s="37">
        <f>IFERROR(ROUND(('DCF Model'!C45/(1+$B11)^('DCF Model'!C19+0)+'DCF Model'!D45/(1+$B11)^('DCF Model'!C19+1)+'DCF Model'!E45/(1+$B11)^('DCF Model'!C19+2)+'DCF Model'!F45/(1+$B11)^('DCF Model'!C19+3)+'DCF Model'!G45/(1+$B11)^('DCF Model'!C19+4)+'DCF Model'!G45*(1+H$6)/($B11-H$6)/(1+$B11)^('DCF Model'!C19+4)-'DCF Model'!C16)*1000000/'DCF Model'!C15,0),"")</f>
        <v>-1533</v>
      </c>
      <c r="I11" s="37">
        <f>IFERROR(ROUND(('DCF Model'!C45/(1+$B11)^('DCF Model'!C19+0)+'DCF Model'!D45/(1+$B11)^('DCF Model'!C19+1)+'DCF Model'!E45/(1+$B11)^('DCF Model'!C19+2)+'DCF Model'!F45/(1+$B11)^('DCF Model'!C19+3)+'DCF Model'!G45/(1+$B11)^('DCF Model'!C19+4)+'DCF Model'!G45*(1+I$6)/($B11-I$6)/(1+$B11)^('DCF Model'!C19+4)-'DCF Model'!C16)*1000000/'DCF Model'!C15,0),"")</f>
        <v>-1099</v>
      </c>
    </row>
    <row r="12" spans="2:9" ht="13.5" x14ac:dyDescent="0.25">
      <c r="B12" s="39">
        <f>$C$3+0.01</f>
        <v>4.452483333333334E-2</v>
      </c>
      <c r="C12" s="37">
        <f>IFERROR(ROUND(('DCF Model'!C45/(1+$B12)^('DCF Model'!C19+0)+'DCF Model'!D45/(1+$B12)^('DCF Model'!C19+1)+'DCF Model'!E45/(1+$B12)^('DCF Model'!C19+2)+'DCF Model'!F45/(1+$B12)^('DCF Model'!C19+3)+'DCF Model'!G45/(1+$B12)^('DCF Model'!C19+4)+'DCF Model'!G45*(1+C$6)/($B12-C$6)/(1+$B12)^('DCF Model'!C19+4)-'DCF Model'!C16)*1000000/'DCF Model'!C15,0),"")</f>
        <v>-3172</v>
      </c>
      <c r="D12" s="37">
        <f>IFERROR(ROUND(('DCF Model'!C45/(1+$B12)^('DCF Model'!C19+0)+'DCF Model'!D45/(1+$B12)^('DCF Model'!C19+1)+'DCF Model'!E45/(1+$B12)^('DCF Model'!C19+2)+'DCF Model'!F45/(1+$B12)^('DCF Model'!C19+3)+'DCF Model'!G45/(1+$B12)^('DCF Model'!C19+4)+'DCF Model'!G45*(1+D$6)/($B12-D$6)/(1+$B12)^('DCF Model'!C19+4)-'DCF Model'!C16)*1000000/'DCF Model'!C15,0),"")</f>
        <v>-3033</v>
      </c>
      <c r="E12" s="37">
        <f>IFERROR(ROUND(('DCF Model'!C45/(1+$B12)^('DCF Model'!C19+0)+'DCF Model'!D45/(1+$B12)^('DCF Model'!C19+1)+'DCF Model'!E45/(1+$B12)^('DCF Model'!C19+2)+'DCF Model'!F45/(1+$B12)^('DCF Model'!C19+3)+'DCF Model'!G45/(1+$B12)^('DCF Model'!C19+4)+'DCF Model'!G45*(1+E$6)/($B12-E$6)/(1+$B12)^('DCF Model'!C19+4)-'DCF Model'!C16)*1000000/'DCF Model'!C15,0),"")</f>
        <v>-2876</v>
      </c>
      <c r="F12" s="37">
        <f>IFERROR(ROUND(('DCF Model'!C45/(1+$B12)^('DCF Model'!C19+0)+'DCF Model'!D45/(1+$B12)^('DCF Model'!C19+1)+'DCF Model'!E45/(1+$B12)^('DCF Model'!C19+2)+'DCF Model'!F45/(1+$B12)^('DCF Model'!C19+3)+'DCF Model'!G45/(1+$B12)^('DCF Model'!C19+4)+'DCF Model'!G45*(1+F$6)/($B12-F$6)/(1+$B12)^('DCF Model'!C19+4)-'DCF Model'!C16)*1000000/'DCF Model'!C15,0),"")</f>
        <v>-2696</v>
      </c>
      <c r="G12" s="37">
        <f>IFERROR(ROUND(('DCF Model'!C45/(1+$B12)^('DCF Model'!C19+0)+'DCF Model'!D45/(1+$B12)^('DCF Model'!C19+1)+'DCF Model'!E45/(1+$B12)^('DCF Model'!C19+2)+'DCF Model'!F45/(1+$B12)^('DCF Model'!C19+3)+'DCF Model'!G45/(1+$B12)^('DCF Model'!C19+4)+'DCF Model'!G45*(1+G$6)/($B12-G$6)/(1+$B12)^('DCF Model'!C19+4)-'DCF Model'!C16)*1000000/'DCF Model'!C15,0),"")</f>
        <v>-2488</v>
      </c>
      <c r="H12" s="37">
        <f>IFERROR(ROUND(('DCF Model'!C45/(1+$B12)^('DCF Model'!C19+0)+'DCF Model'!D45/(1+$B12)^('DCF Model'!C19+1)+'DCF Model'!E45/(1+$B12)^('DCF Model'!C19+2)+'DCF Model'!F45/(1+$B12)^('DCF Model'!C19+3)+'DCF Model'!G45/(1+$B12)^('DCF Model'!C19+4)+'DCF Model'!G45*(1+H$6)/($B12-H$6)/(1+$B12)^('DCF Model'!C19+4)-'DCF Model'!C16)*1000000/'DCF Model'!C15,0),"")</f>
        <v>-2245</v>
      </c>
      <c r="I12" s="37">
        <f>IFERROR(ROUND(('DCF Model'!C45/(1+$B12)^('DCF Model'!C19+0)+'DCF Model'!D45/(1+$B12)^('DCF Model'!C19+1)+'DCF Model'!E45/(1+$B12)^('DCF Model'!C19+2)+'DCF Model'!F45/(1+$B12)^('DCF Model'!C19+3)+'DCF Model'!G45/(1+$B12)^('DCF Model'!C19+4)+'DCF Model'!G45*(1+I$6)/($B12-I$6)/(1+$B12)^('DCF Model'!C19+4)-'DCF Model'!C16)*1000000/'DCF Model'!C15,0),"")</f>
        <v>-1957</v>
      </c>
    </row>
    <row r="13" spans="2:9" ht="13.5" x14ac:dyDescent="0.25">
      <c r="B13" s="39">
        <f>$C$3+0.015</f>
        <v>4.9524833333333337E-2</v>
      </c>
      <c r="C13" s="37">
        <f>IFERROR(ROUND(('DCF Model'!C45/(1+$B13)^('DCF Model'!C19+0)+'DCF Model'!D45/(1+$B13)^('DCF Model'!C19+1)+'DCF Model'!E45/(1+$B13)^('DCF Model'!C19+2)+'DCF Model'!F45/(1+$B13)^('DCF Model'!C19+3)+'DCF Model'!G45/(1+$B13)^('DCF Model'!C19+4)+'DCF Model'!G45*(1+C$6)/($B13-C$6)/(1+$B13)^('DCF Model'!C19+4)-'DCF Model'!C16)*1000000/'DCF Model'!C15,0),"")</f>
        <v>-3446</v>
      </c>
      <c r="D13" s="37">
        <f>IFERROR(ROUND(('DCF Model'!C45/(1+$B13)^('DCF Model'!C19+0)+'DCF Model'!D45/(1+$B13)^('DCF Model'!C19+1)+'DCF Model'!E45/(1+$B13)^('DCF Model'!C19+2)+'DCF Model'!F45/(1+$B13)^('DCF Model'!C19+3)+'DCF Model'!G45/(1+$B13)^('DCF Model'!C19+4)+'DCF Model'!G45*(1+D$6)/($B13-D$6)/(1+$B13)^('DCF Model'!C19+4)-'DCF Model'!C16)*1000000/'DCF Model'!C15,0),"")</f>
        <v>-3338</v>
      </c>
      <c r="E13" s="37">
        <f>IFERROR(ROUND(('DCF Model'!C45/(1+$B13)^('DCF Model'!C19+0)+'DCF Model'!D45/(1+$B13)^('DCF Model'!C19+1)+'DCF Model'!E45/(1+$B13)^('DCF Model'!C19+2)+'DCF Model'!F45/(1+$B13)^('DCF Model'!C19+3)+'DCF Model'!G45/(1+$B13)^('DCF Model'!C19+4)+'DCF Model'!G45*(1+E$6)/($B13-E$6)/(1+$B13)^('DCF Model'!C19+4)-'DCF Model'!C16)*1000000/'DCF Model'!C15,0),"")</f>
        <v>-3218</v>
      </c>
      <c r="F13" s="37">
        <f>IFERROR(ROUND(('DCF Model'!C45/(1+$B13)^('DCF Model'!C19+0)+'DCF Model'!D45/(1+$B13)^('DCF Model'!C19+1)+'DCF Model'!E45/(1+$B13)^('DCF Model'!C19+2)+'DCF Model'!F45/(1+$B13)^('DCF Model'!C19+3)+'DCF Model'!G45/(1+$B13)^('DCF Model'!C19+4)+'DCF Model'!G45*(1+F$6)/($B13-F$6)/(1+$B13)^('DCF Model'!C19+4)-'DCF Model'!C16)*1000000/'DCF Model'!C15,0),"")</f>
        <v>-3082</v>
      </c>
      <c r="G13" s="37">
        <f>IFERROR(ROUND(('DCF Model'!C45/(1+$B13)^('DCF Model'!C19+0)+'DCF Model'!D45/(1+$B13)^('DCF Model'!C19+1)+'DCF Model'!E45/(1+$B13)^('DCF Model'!C19+2)+'DCF Model'!F45/(1+$B13)^('DCF Model'!C19+3)+'DCF Model'!G45/(1+$B13)^('DCF Model'!C19+4)+'DCF Model'!G45*(1+G$6)/($B13-G$6)/(1+$B13)^('DCF Model'!C19+4)-'DCF Model'!C16)*1000000/'DCF Model'!C15,0),"")</f>
        <v>-2928</v>
      </c>
      <c r="H13" s="37">
        <f>IFERROR(ROUND(('DCF Model'!C45/(1+$B13)^('DCF Model'!C19+0)+'DCF Model'!D45/(1+$B13)^('DCF Model'!C19+1)+'DCF Model'!E45/(1+$B13)^('DCF Model'!C19+2)+'DCF Model'!F45/(1+$B13)^('DCF Model'!C19+3)+'DCF Model'!G45/(1+$B13)^('DCF Model'!C19+4)+'DCF Model'!G45*(1+H$6)/($B13-H$6)/(1+$B13)^('DCF Model'!C19+4)-'DCF Model'!C16)*1000000/'DCF Model'!C15,0),"")</f>
        <v>-2751</v>
      </c>
      <c r="I13" s="37">
        <f>IFERROR(ROUND(('DCF Model'!C45/(1+$B13)^('DCF Model'!C19+0)+'DCF Model'!D45/(1+$B13)^('DCF Model'!C19+1)+'DCF Model'!E45/(1+$B13)^('DCF Model'!C19+2)+'DCF Model'!F45/(1+$B13)^('DCF Model'!C19+3)+'DCF Model'!G45/(1+$B13)^('DCF Model'!C19+4)+'DCF Model'!G45*(1+I$6)/($B13-I$6)/(1+$B13)^('DCF Model'!C19+4)-'DCF Model'!C16)*1000000/'DCF Model'!C15,0),"")</f>
        <v>-2547</v>
      </c>
    </row>
    <row r="16" spans="2:9" ht="14" x14ac:dyDescent="0.3">
      <c r="B16" s="3" t="s">
        <v>242</v>
      </c>
    </row>
    <row r="17" spans="2:9" ht="14" x14ac:dyDescent="0.3">
      <c r="B17" s="40" t="s">
        <v>243</v>
      </c>
      <c r="C17" s="42">
        <f>$I$3-3</f>
        <v>5.5</v>
      </c>
      <c r="D17" s="42">
        <f>$I$3-2</f>
        <v>6.5</v>
      </c>
      <c r="E17" s="42">
        <f>$I$3-1</f>
        <v>7.5</v>
      </c>
      <c r="F17" s="42">
        <f>$I$3</f>
        <v>8.5</v>
      </c>
      <c r="G17" s="42">
        <f>$I$3+1</f>
        <v>9.5</v>
      </c>
      <c r="H17" s="42">
        <f>$I$3+2</f>
        <v>10.5</v>
      </c>
      <c r="I17" s="42">
        <f>$I$3+3</f>
        <v>11.5</v>
      </c>
    </row>
    <row r="18" spans="2:9" ht="13.5" x14ac:dyDescent="0.25">
      <c r="B18" s="39">
        <f>$C$3-0.015</f>
        <v>1.9524833333333338E-2</v>
      </c>
      <c r="C18" s="37">
        <f>IFERROR(ROUND(('DCF Model'!C45/(1+$B18)^('DCF Model'!C19+0)+'DCF Model'!D45/(1+$B18)^('DCF Model'!C19+1)+'DCF Model'!E45/(1+$B18)^('DCF Model'!C19+2)+'DCF Model'!F45/(1+$B18)^('DCF Model'!C19+3)+'DCF Model'!G45/(1+$B18)^('DCF Model'!C19+4)+('DCF Model'!G39+'DCF Model'!G42)*C$17/(1+$B18)^('DCF Model'!C19+4)-'DCF Model'!C16)*1000000/'DCF Model'!C15,0),"")</f>
        <v>-1094</v>
      </c>
      <c r="D18" s="37">
        <f>IFERROR(ROUND(('DCF Model'!C45/(1+$B18)^('DCF Model'!C19+0)+'DCF Model'!D45/(1+$B18)^('DCF Model'!C19+1)+'DCF Model'!E45/(1+$B18)^('DCF Model'!C19+2)+'DCF Model'!F45/(1+$B18)^('DCF Model'!C19+3)+'DCF Model'!G45/(1+$B18)^('DCF Model'!C19+4)+('DCF Model'!G39+'DCF Model'!G42)*D$17/(1+$B18)^('DCF Model'!C19+4)-'DCF Model'!C16)*1000000/'DCF Model'!C15,0),"")</f>
        <v>-340</v>
      </c>
      <c r="E18" s="37">
        <f>IFERROR(ROUND(('DCF Model'!C45/(1+$B18)^('DCF Model'!C19+0)+'DCF Model'!D45/(1+$B18)^('DCF Model'!C19+1)+'DCF Model'!E45/(1+$B18)^('DCF Model'!C19+2)+'DCF Model'!F45/(1+$B18)^('DCF Model'!C19+3)+'DCF Model'!G45/(1+$B18)^('DCF Model'!C19+4)+('DCF Model'!G39+'DCF Model'!G42)*E$17/(1+$B18)^('DCF Model'!C19+4)-'DCF Model'!C16)*1000000/'DCF Model'!C15,0),"")</f>
        <v>413</v>
      </c>
      <c r="F18" s="37">
        <f>IFERROR(ROUND(('DCF Model'!C45/(1+$B18)^('DCF Model'!C19+0)+'DCF Model'!D45/(1+$B18)^('DCF Model'!C19+1)+'DCF Model'!E45/(1+$B18)^('DCF Model'!C19+2)+'DCF Model'!F45/(1+$B18)^('DCF Model'!C19+3)+'DCF Model'!G45/(1+$B18)^('DCF Model'!C19+4)+('DCF Model'!G39+'DCF Model'!G42)*F$17/(1+$B18)^('DCF Model'!C19+4)-'DCF Model'!C16)*1000000/'DCF Model'!C15,0),"")</f>
        <v>1166</v>
      </c>
      <c r="G18" s="37">
        <f>IFERROR(ROUND(('DCF Model'!C45/(1+$B18)^('DCF Model'!C19+0)+'DCF Model'!D45/(1+$B18)^('DCF Model'!C19+1)+'DCF Model'!E45/(1+$B18)^('DCF Model'!C19+2)+'DCF Model'!F45/(1+$B18)^('DCF Model'!C19+3)+'DCF Model'!G45/(1+$B18)^('DCF Model'!C19+4)+('DCF Model'!G39+'DCF Model'!G42)*G$17/(1+$B18)^('DCF Model'!C19+4)-'DCF Model'!C16)*1000000/'DCF Model'!C15,0),"")</f>
        <v>1919</v>
      </c>
      <c r="H18" s="37">
        <f>IFERROR(ROUND(('DCF Model'!C45/(1+$B18)^('DCF Model'!C19+0)+'DCF Model'!D45/(1+$B18)^('DCF Model'!C19+1)+'DCF Model'!E45/(1+$B18)^('DCF Model'!C19+2)+'DCF Model'!F45/(1+$B18)^('DCF Model'!C19+3)+'DCF Model'!G45/(1+$B18)^('DCF Model'!C19+4)+('DCF Model'!G39+'DCF Model'!G42)*H$17/(1+$B18)^('DCF Model'!C19+4)-'DCF Model'!C16)*1000000/'DCF Model'!C15,0),"")</f>
        <v>2673</v>
      </c>
      <c r="I18" s="37">
        <f>IFERROR(ROUND(('DCF Model'!C45/(1+$B18)^('DCF Model'!C19+0)+'DCF Model'!D45/(1+$B18)^('DCF Model'!C19+1)+'DCF Model'!E45/(1+$B18)^('DCF Model'!C19+2)+'DCF Model'!F45/(1+$B18)^('DCF Model'!C19+3)+'DCF Model'!G45/(1+$B18)^('DCF Model'!C19+4)+('DCF Model'!G39+'DCF Model'!G42)*I$17/(1+$B18)^('DCF Model'!C19+4)-'DCF Model'!C16)*1000000/'DCF Model'!C15,0),"")</f>
        <v>3426</v>
      </c>
    </row>
    <row r="19" spans="2:9" ht="13.5" x14ac:dyDescent="0.25">
      <c r="B19" s="39">
        <f>$C$3-0.01</f>
        <v>2.4524833333333336E-2</v>
      </c>
      <c r="C19" s="37">
        <f>IFERROR(ROUND(('DCF Model'!C45/(1+$B19)^('DCF Model'!C19+0)+'DCF Model'!D45/(1+$B19)^('DCF Model'!C19+1)+'DCF Model'!E45/(1+$B19)^('DCF Model'!C19+2)+'DCF Model'!F45/(1+$B19)^('DCF Model'!C19+3)+'DCF Model'!G45/(1+$B19)^('DCF Model'!C19+4)+('DCF Model'!G39+'DCF Model'!G42)*C$17/(1+$B19)^('DCF Model'!C19+4)-'DCF Model'!C16)*1000000/'DCF Model'!C15,0),"")</f>
        <v>-1201</v>
      </c>
      <c r="D19" s="37">
        <f>IFERROR(ROUND(('DCF Model'!C45/(1+$B19)^('DCF Model'!C19+0)+'DCF Model'!D45/(1+$B19)^('DCF Model'!C19+1)+'DCF Model'!E45/(1+$B19)^('DCF Model'!C19+2)+'DCF Model'!F45/(1+$B19)^('DCF Model'!C19+3)+'DCF Model'!G45/(1+$B19)^('DCF Model'!C19+4)+('DCF Model'!G39+'DCF Model'!G42)*D$17/(1+$B19)^('DCF Model'!C19+4)-'DCF Model'!C16)*1000000/'DCF Model'!C15,0),"")</f>
        <v>-466</v>
      </c>
      <c r="E19" s="37">
        <f>IFERROR(ROUND(('DCF Model'!C45/(1+$B19)^('DCF Model'!C19+0)+'DCF Model'!D45/(1+$B19)^('DCF Model'!C19+1)+'DCF Model'!E45/(1+$B19)^('DCF Model'!C19+2)+'DCF Model'!F45/(1+$B19)^('DCF Model'!C19+3)+'DCF Model'!G45/(1+$B19)^('DCF Model'!C19+4)+('DCF Model'!G39+'DCF Model'!G42)*E$17/(1+$B19)^('DCF Model'!C19+4)-'DCF Model'!C16)*1000000/'DCF Model'!C15,0),"")</f>
        <v>269</v>
      </c>
      <c r="F19" s="37">
        <f>IFERROR(ROUND(('DCF Model'!C45/(1+$B19)^('DCF Model'!C19+0)+'DCF Model'!D45/(1+$B19)^('DCF Model'!C19+1)+'DCF Model'!E45/(1+$B19)^('DCF Model'!C19+2)+'DCF Model'!F45/(1+$B19)^('DCF Model'!C19+3)+'DCF Model'!G45/(1+$B19)^('DCF Model'!C19+4)+('DCF Model'!G39+'DCF Model'!G42)*F$17/(1+$B19)^('DCF Model'!C19+4)-'DCF Model'!C16)*1000000/'DCF Model'!C15,0),"")</f>
        <v>1004</v>
      </c>
      <c r="G19" s="37">
        <f>IFERROR(ROUND(('DCF Model'!C45/(1+$B19)^('DCF Model'!C19+0)+'DCF Model'!D45/(1+$B19)^('DCF Model'!C19+1)+'DCF Model'!E45/(1+$B19)^('DCF Model'!C19+2)+'DCF Model'!F45/(1+$B19)^('DCF Model'!C19+3)+'DCF Model'!G45/(1+$B19)^('DCF Model'!C19+4)+('DCF Model'!G39+'DCF Model'!G42)*G$17/(1+$B19)^('DCF Model'!C19+4)-'DCF Model'!C16)*1000000/'DCF Model'!C15,0),"")</f>
        <v>1739</v>
      </c>
      <c r="H19" s="37">
        <f>IFERROR(ROUND(('DCF Model'!C45/(1+$B19)^('DCF Model'!C19+0)+'DCF Model'!D45/(1+$B19)^('DCF Model'!C19+1)+'DCF Model'!E45/(1+$B19)^('DCF Model'!C19+2)+'DCF Model'!F45/(1+$B19)^('DCF Model'!C19+3)+'DCF Model'!G45/(1+$B19)^('DCF Model'!C19+4)+('DCF Model'!G39+'DCF Model'!G42)*H$17/(1+$B19)^('DCF Model'!C19+4)-'DCF Model'!C16)*1000000/'DCF Model'!C15,0),"")</f>
        <v>2474</v>
      </c>
      <c r="I19" s="37">
        <f>IFERROR(ROUND(('DCF Model'!C45/(1+$B19)^('DCF Model'!C19+0)+'DCF Model'!D45/(1+$B19)^('DCF Model'!C19+1)+'DCF Model'!E45/(1+$B19)^('DCF Model'!C19+2)+'DCF Model'!F45/(1+$B19)^('DCF Model'!C19+3)+'DCF Model'!G45/(1+$B19)^('DCF Model'!C19+4)+('DCF Model'!G39+'DCF Model'!G42)*I$17/(1+$B19)^('DCF Model'!C19+4)-'DCF Model'!C16)*1000000/'DCF Model'!C15,0),"")</f>
        <v>3209</v>
      </c>
    </row>
    <row r="20" spans="2:9" ht="13.5" x14ac:dyDescent="0.25">
      <c r="B20" s="39">
        <f>$C$3-0.005</f>
        <v>2.9524833333333337E-2</v>
      </c>
      <c r="C20" s="37">
        <f>IFERROR(ROUND(('DCF Model'!C45/(1+$B20)^('DCF Model'!C19+0)+'DCF Model'!D45/(1+$B20)^('DCF Model'!C19+1)+'DCF Model'!E45/(1+$B20)^('DCF Model'!C19+2)+'DCF Model'!F45/(1+$B20)^('DCF Model'!C19+3)+'DCF Model'!G45/(1+$B20)^('DCF Model'!C19+4)+('DCF Model'!G39+'DCF Model'!G42)*C$17/(1+$B20)^('DCF Model'!C19+4)-'DCF Model'!C16)*1000000/'DCF Model'!C15,0),"")</f>
        <v>-1306</v>
      </c>
      <c r="D20" s="37">
        <f>IFERROR(ROUND(('DCF Model'!C45/(1+$B20)^('DCF Model'!C19+0)+'DCF Model'!D45/(1+$B20)^('DCF Model'!C19+1)+'DCF Model'!E45/(1+$B20)^('DCF Model'!C19+2)+'DCF Model'!F45/(1+$B20)^('DCF Model'!C19+3)+'DCF Model'!G45/(1+$B20)^('DCF Model'!C19+4)+('DCF Model'!G39+'DCF Model'!G42)*D$17/(1+$B20)^('DCF Model'!C19+4)-'DCF Model'!C16)*1000000/'DCF Model'!C15,0),"")</f>
        <v>-588</v>
      </c>
      <c r="E20" s="37">
        <f>IFERROR(ROUND(('DCF Model'!C45/(1+$B20)^('DCF Model'!C19+0)+'DCF Model'!D45/(1+$B20)^('DCF Model'!C19+1)+'DCF Model'!E45/(1+$B20)^('DCF Model'!C19+2)+'DCF Model'!F45/(1+$B20)^('DCF Model'!C19+3)+'DCF Model'!G45/(1+$B20)^('DCF Model'!C19+4)+('DCF Model'!G39+'DCF Model'!G42)*E$17/(1+$B20)^('DCF Model'!C19+4)-'DCF Model'!C16)*1000000/'DCF Model'!C15,0),"")</f>
        <v>129</v>
      </c>
      <c r="F20" s="37">
        <f>IFERROR(ROUND(('DCF Model'!C45/(1+$B20)^('DCF Model'!C19+0)+'DCF Model'!D45/(1+$B20)^('DCF Model'!C19+1)+'DCF Model'!E45/(1+$B20)^('DCF Model'!C19+2)+'DCF Model'!F45/(1+$B20)^('DCF Model'!C19+3)+'DCF Model'!G45/(1+$B20)^('DCF Model'!C19+4)+('DCF Model'!G39+'DCF Model'!G42)*F$17/(1+$B20)^('DCF Model'!C19+4)-'DCF Model'!C16)*1000000/'DCF Model'!C15,0),"")</f>
        <v>846</v>
      </c>
      <c r="G20" s="37">
        <f>IFERROR(ROUND(('DCF Model'!C45/(1+$B20)^('DCF Model'!C19+0)+'DCF Model'!D45/(1+$B20)^('DCF Model'!C19+1)+'DCF Model'!E45/(1+$B20)^('DCF Model'!C19+2)+'DCF Model'!F45/(1+$B20)^('DCF Model'!C19+3)+'DCF Model'!G45/(1+$B20)^('DCF Model'!C19+4)+('DCF Model'!G39+'DCF Model'!G42)*G$17/(1+$B20)^('DCF Model'!C19+4)-'DCF Model'!C16)*1000000/'DCF Model'!C15,0),"")</f>
        <v>1564</v>
      </c>
      <c r="H20" s="37">
        <f>IFERROR(ROUND(('DCF Model'!C45/(1+$B20)^('DCF Model'!C19+0)+'DCF Model'!D45/(1+$B20)^('DCF Model'!C19+1)+'DCF Model'!E45/(1+$B20)^('DCF Model'!C19+2)+'DCF Model'!F45/(1+$B20)^('DCF Model'!C19+3)+'DCF Model'!G45/(1+$B20)^('DCF Model'!C19+4)+('DCF Model'!G39+'DCF Model'!G42)*H$17/(1+$B20)^('DCF Model'!C19+4)-'DCF Model'!C16)*1000000/'DCF Model'!C15,0),"")</f>
        <v>2281</v>
      </c>
      <c r="I20" s="37">
        <f>IFERROR(ROUND(('DCF Model'!C45/(1+$B20)^('DCF Model'!C19+0)+'DCF Model'!D45/(1+$B20)^('DCF Model'!C19+1)+'DCF Model'!E45/(1+$B20)^('DCF Model'!C19+2)+'DCF Model'!F45/(1+$B20)^('DCF Model'!C19+3)+'DCF Model'!G45/(1+$B20)^('DCF Model'!C19+4)+('DCF Model'!G39+'DCF Model'!G42)*I$17/(1+$B20)^('DCF Model'!C19+4)-'DCF Model'!C16)*1000000/'DCF Model'!C15,0),"")</f>
        <v>2998</v>
      </c>
    </row>
    <row r="21" spans="2:9" ht="13.5" x14ac:dyDescent="0.25">
      <c r="B21" s="39">
        <f>$C$3</f>
        <v>3.4524833333333338E-2</v>
      </c>
      <c r="C21" s="37">
        <f>IFERROR(ROUND(('DCF Model'!C45/(1+$B21)^('DCF Model'!C19+0)+'DCF Model'!D45/(1+$B21)^('DCF Model'!C19+1)+'DCF Model'!E45/(1+$B21)^('DCF Model'!C19+2)+'DCF Model'!F45/(1+$B21)^('DCF Model'!C19+3)+'DCF Model'!G45/(1+$B21)^('DCF Model'!C19+4)+('DCF Model'!G39+'DCF Model'!G42)*C$17/(1+$B21)^('DCF Model'!C19+4)-'DCF Model'!C16)*1000000/'DCF Model'!C15,0),"")</f>
        <v>-1407</v>
      </c>
      <c r="D21" s="37">
        <f>IFERROR(ROUND(('DCF Model'!C45/(1+$B21)^('DCF Model'!C19+0)+'DCF Model'!D45/(1+$B21)^('DCF Model'!C19+1)+'DCF Model'!E45/(1+$B21)^('DCF Model'!C19+2)+'DCF Model'!F45/(1+$B21)^('DCF Model'!C19+3)+'DCF Model'!G45/(1+$B21)^('DCF Model'!C19+4)+('DCF Model'!G39+'DCF Model'!G42)*D$17/(1+$B21)^('DCF Model'!C19+4)-'DCF Model'!C16)*1000000/'DCF Model'!C15,0),"")</f>
        <v>-707</v>
      </c>
      <c r="E21" s="37">
        <f>IFERROR(ROUND(('DCF Model'!C45/(1+$B21)^('DCF Model'!C19+0)+'DCF Model'!D45/(1+$B21)^('DCF Model'!C19+1)+'DCF Model'!E45/(1+$B21)^('DCF Model'!C19+2)+'DCF Model'!F45/(1+$B21)^('DCF Model'!C19+3)+'DCF Model'!G45/(1+$B21)^('DCF Model'!C19+4)+('DCF Model'!G39+'DCF Model'!G42)*E$17/(1+$B21)^('DCF Model'!C19+4)-'DCF Model'!C16)*1000000/'DCF Model'!C15,0),"")</f>
        <v>-7</v>
      </c>
      <c r="F21" s="37">
        <f>IFERROR(ROUND(('DCF Model'!C45/(1+$B21)^('DCF Model'!C19+0)+'DCF Model'!D45/(1+$B21)^('DCF Model'!C19+1)+'DCF Model'!E45/(1+$B21)^('DCF Model'!C19+2)+'DCF Model'!F45/(1+$B21)^('DCF Model'!C19+3)+'DCF Model'!G45/(1+$B21)^('DCF Model'!C19+4)+('DCF Model'!G39+'DCF Model'!G42)*F$17/(1+$B21)^('DCF Model'!C19+4)-'DCF Model'!C16)*1000000/'DCF Model'!C15,0),"")</f>
        <v>693</v>
      </c>
      <c r="G21" s="37">
        <f>IFERROR(ROUND(('DCF Model'!C45/(1+$B21)^('DCF Model'!C19+0)+'DCF Model'!D45/(1+$B21)^('DCF Model'!C19+1)+'DCF Model'!E45/(1+$B21)^('DCF Model'!C19+2)+'DCF Model'!F45/(1+$B21)^('DCF Model'!C19+3)+'DCF Model'!G45/(1+$B21)^('DCF Model'!C19+4)+('DCF Model'!G39+'DCF Model'!G42)*G$17/(1+$B21)^('DCF Model'!C19+4)-'DCF Model'!C16)*1000000/'DCF Model'!C15,0),"")</f>
        <v>1393</v>
      </c>
      <c r="H21" s="37">
        <f>IFERROR(ROUND(('DCF Model'!C45/(1+$B21)^('DCF Model'!C19+0)+'DCF Model'!D45/(1+$B21)^('DCF Model'!C19+1)+'DCF Model'!E45/(1+$B21)^('DCF Model'!C19+2)+'DCF Model'!F45/(1+$B21)^('DCF Model'!C19+3)+'DCF Model'!G45/(1+$B21)^('DCF Model'!C19+4)+('DCF Model'!G39+'DCF Model'!G42)*H$17/(1+$B21)^('DCF Model'!C19+4)-'DCF Model'!C16)*1000000/'DCF Model'!C15,0),"")</f>
        <v>2094</v>
      </c>
      <c r="I21" s="37">
        <f>IFERROR(ROUND(('DCF Model'!C45/(1+$B21)^('DCF Model'!C19+0)+'DCF Model'!D45/(1+$B21)^('DCF Model'!C19+1)+'DCF Model'!E45/(1+$B21)^('DCF Model'!C19+2)+'DCF Model'!F45/(1+$B21)^('DCF Model'!C19+3)+'DCF Model'!G45/(1+$B21)^('DCF Model'!C19+4)+('DCF Model'!G39+'DCF Model'!G42)*I$17/(1+$B21)^('DCF Model'!C19+4)-'DCF Model'!C16)*1000000/'DCF Model'!C15,0),"")</f>
        <v>2794</v>
      </c>
    </row>
    <row r="22" spans="2:9" ht="13.5" x14ac:dyDescent="0.25">
      <c r="B22" s="39">
        <f>$C$3+0.005</f>
        <v>3.9524833333333335E-2</v>
      </c>
      <c r="C22" s="37">
        <f>IFERROR(ROUND(('DCF Model'!C45/(1+$B22)^('DCF Model'!C19+0)+'DCF Model'!D45/(1+$B22)^('DCF Model'!C19+1)+'DCF Model'!E45/(1+$B22)^('DCF Model'!C19+2)+'DCF Model'!F45/(1+$B22)^('DCF Model'!C19+3)+'DCF Model'!G45/(1+$B22)^('DCF Model'!C19+4)+('DCF Model'!G39+'DCF Model'!G42)*C$17/(1+$B22)^('DCF Model'!C19+4)-'DCF Model'!C16)*1000000/'DCF Model'!C15,0),"")</f>
        <v>-1506</v>
      </c>
      <c r="D22" s="37">
        <f>IFERROR(ROUND(('DCF Model'!C45/(1+$B22)^('DCF Model'!C19+0)+'DCF Model'!D45/(1+$B22)^('DCF Model'!C19+1)+'DCF Model'!E45/(1+$B22)^('DCF Model'!C19+2)+'DCF Model'!F45/(1+$B22)^('DCF Model'!C19+3)+'DCF Model'!G45/(1+$B22)^('DCF Model'!C19+4)+('DCF Model'!G39+'DCF Model'!G42)*D$17/(1+$B22)^('DCF Model'!C19+4)-'DCF Model'!C16)*1000000/'DCF Model'!C15,0),"")</f>
        <v>-823</v>
      </c>
      <c r="E22" s="37">
        <f>IFERROR(ROUND(('DCF Model'!C45/(1+$B22)^('DCF Model'!C19+0)+'DCF Model'!D45/(1+$B22)^('DCF Model'!C19+1)+'DCF Model'!E45/(1+$B22)^('DCF Model'!C19+2)+'DCF Model'!F45/(1+$B22)^('DCF Model'!C19+3)+'DCF Model'!G45/(1+$B22)^('DCF Model'!C19+4)+('DCF Model'!G39+'DCF Model'!G42)*E$17/(1+$B22)^('DCF Model'!C19+4)-'DCF Model'!C16)*1000000/'DCF Model'!C15,0),"")</f>
        <v>-139</v>
      </c>
      <c r="F22" s="37">
        <f>IFERROR(ROUND(('DCF Model'!C45/(1+$B22)^('DCF Model'!C19+0)+'DCF Model'!D45/(1+$B22)^('DCF Model'!C19+1)+'DCF Model'!E45/(1+$B22)^('DCF Model'!C19+2)+'DCF Model'!F45/(1+$B22)^('DCF Model'!C19+3)+'DCF Model'!G45/(1+$B22)^('DCF Model'!C19+4)+('DCF Model'!G39+'DCF Model'!G42)*F$17/(1+$B22)^('DCF Model'!C19+4)-'DCF Model'!C16)*1000000/'DCF Model'!C15,0),"")</f>
        <v>544</v>
      </c>
      <c r="G22" s="37">
        <f>IFERROR(ROUND(('DCF Model'!C45/(1+$B22)^('DCF Model'!C19+0)+'DCF Model'!D45/(1+$B22)^('DCF Model'!C19+1)+'DCF Model'!E45/(1+$B22)^('DCF Model'!C19+2)+'DCF Model'!F45/(1+$B22)^('DCF Model'!C19+3)+'DCF Model'!G45/(1+$B22)^('DCF Model'!C19+4)+('DCF Model'!G39+'DCF Model'!G42)*G$17/(1+$B22)^('DCF Model'!C19+4)-'DCF Model'!C16)*1000000/'DCF Model'!C15,0),"")</f>
        <v>1228</v>
      </c>
      <c r="H22" s="37">
        <f>IFERROR(ROUND(('DCF Model'!C45/(1+$B22)^('DCF Model'!C19+0)+'DCF Model'!D45/(1+$B22)^('DCF Model'!C19+1)+'DCF Model'!E45/(1+$B22)^('DCF Model'!C19+2)+'DCF Model'!F45/(1+$B22)^('DCF Model'!C19+3)+'DCF Model'!G45/(1+$B22)^('DCF Model'!C19+4)+('DCF Model'!G39+'DCF Model'!G42)*H$17/(1+$B22)^('DCF Model'!C19+4)-'DCF Model'!C16)*1000000/'DCF Model'!C15,0),"")</f>
        <v>1911</v>
      </c>
      <c r="I22" s="37">
        <f>IFERROR(ROUND(('DCF Model'!C45/(1+$B22)^('DCF Model'!C19+0)+'DCF Model'!D45/(1+$B22)^('DCF Model'!C19+1)+'DCF Model'!E45/(1+$B22)^('DCF Model'!C19+2)+'DCF Model'!F45/(1+$B22)^('DCF Model'!C19+3)+'DCF Model'!G45/(1+$B22)^('DCF Model'!C19+4)+('DCF Model'!G39+'DCF Model'!G42)*I$17/(1+$B22)^('DCF Model'!C19+4)-'DCF Model'!C16)*1000000/'DCF Model'!C15,0),"")</f>
        <v>2595</v>
      </c>
    </row>
    <row r="23" spans="2:9" ht="13.5" x14ac:dyDescent="0.25">
      <c r="B23" s="39">
        <f>$C$3+0.01</f>
        <v>4.452483333333334E-2</v>
      </c>
      <c r="C23" s="37">
        <f>IFERROR(ROUND(('DCF Model'!C45/(1+$B23)^('DCF Model'!C19+0)+'DCF Model'!D45/(1+$B23)^('DCF Model'!C19+1)+'DCF Model'!E45/(1+$B23)^('DCF Model'!C19+2)+'DCF Model'!F45/(1+$B23)^('DCF Model'!C19+3)+'DCF Model'!G45/(1+$B23)^('DCF Model'!C19+4)+('DCF Model'!G39+'DCF Model'!G42)*C$17/(1+$B23)^('DCF Model'!C19+4)-'DCF Model'!C16)*1000000/'DCF Model'!C15,0),"")</f>
        <v>-1602</v>
      </c>
      <c r="D23" s="37">
        <f>IFERROR(ROUND(('DCF Model'!C45/(1+$B23)^('DCF Model'!C19+0)+'DCF Model'!D45/(1+$B23)^('DCF Model'!C19+1)+'DCF Model'!E45/(1+$B23)^('DCF Model'!C19+2)+'DCF Model'!F45/(1+$B23)^('DCF Model'!C19+3)+'DCF Model'!G45/(1+$B23)^('DCF Model'!C19+4)+('DCF Model'!G39+'DCF Model'!G42)*D$17/(1+$B23)^('DCF Model'!C19+4)-'DCF Model'!C16)*1000000/'DCF Model'!C15,0),"")</f>
        <v>-935</v>
      </c>
      <c r="E23" s="37">
        <f>IFERROR(ROUND(('DCF Model'!C45/(1+$B23)^('DCF Model'!C19+0)+'DCF Model'!D45/(1+$B23)^('DCF Model'!C19+1)+'DCF Model'!E45/(1+$B23)^('DCF Model'!C19+2)+'DCF Model'!F45/(1+$B23)^('DCF Model'!C19+3)+'DCF Model'!G45/(1+$B23)^('DCF Model'!C19+4)+('DCF Model'!G39+'DCF Model'!G42)*E$17/(1+$B23)^('DCF Model'!C19+4)-'DCF Model'!C16)*1000000/'DCF Model'!C15,0),"")</f>
        <v>-267</v>
      </c>
      <c r="F23" s="37">
        <f>IFERROR(ROUND(('DCF Model'!C45/(1+$B23)^('DCF Model'!C19+0)+'DCF Model'!D45/(1+$B23)^('DCF Model'!C19+1)+'DCF Model'!E45/(1+$B23)^('DCF Model'!C19+2)+'DCF Model'!F45/(1+$B23)^('DCF Model'!C19+3)+'DCF Model'!G45/(1+$B23)^('DCF Model'!C19+4)+('DCF Model'!G39+'DCF Model'!G42)*F$17/(1+$B23)^('DCF Model'!C19+4)-'DCF Model'!C16)*1000000/'DCF Model'!C15,0),"")</f>
        <v>400</v>
      </c>
      <c r="G23" s="37">
        <f>IFERROR(ROUND(('DCF Model'!C45/(1+$B23)^('DCF Model'!C19+0)+'DCF Model'!D45/(1+$B23)^('DCF Model'!C19+1)+'DCF Model'!E45/(1+$B23)^('DCF Model'!C19+2)+'DCF Model'!F45/(1+$B23)^('DCF Model'!C19+3)+'DCF Model'!G45/(1+$B23)^('DCF Model'!C19+4)+('DCF Model'!G39+'DCF Model'!G42)*G$17/(1+$B23)^('DCF Model'!C19+4)-'DCF Model'!C16)*1000000/'DCF Model'!C15,0),"")</f>
        <v>1067</v>
      </c>
      <c r="H23" s="37">
        <f>IFERROR(ROUND(('DCF Model'!C45/(1+$B23)^('DCF Model'!C19+0)+'DCF Model'!D45/(1+$B23)^('DCF Model'!C19+1)+'DCF Model'!E45/(1+$B23)^('DCF Model'!C19+2)+'DCF Model'!F45/(1+$B23)^('DCF Model'!C19+3)+'DCF Model'!G45/(1+$B23)^('DCF Model'!C19+4)+('DCF Model'!G39+'DCF Model'!G42)*H$17/(1+$B23)^('DCF Model'!C19+4)-'DCF Model'!C16)*1000000/'DCF Model'!C15,0),"")</f>
        <v>1734</v>
      </c>
      <c r="I23" s="37">
        <f>IFERROR(ROUND(('DCF Model'!C45/(1+$B23)^('DCF Model'!C19+0)+'DCF Model'!D45/(1+$B23)^('DCF Model'!C19+1)+'DCF Model'!E45/(1+$B23)^('DCF Model'!C19+2)+'DCF Model'!F45/(1+$B23)^('DCF Model'!C19+3)+'DCF Model'!G45/(1+$B23)^('DCF Model'!C19+4)+('DCF Model'!G39+'DCF Model'!G42)*I$17/(1+$B23)^('DCF Model'!C19+4)-'DCF Model'!C16)*1000000/'DCF Model'!C15,0),"")</f>
        <v>2402</v>
      </c>
    </row>
    <row r="24" spans="2:9" ht="13.5" x14ac:dyDescent="0.25">
      <c r="B24" s="39">
        <f>$C$3+0.015</f>
        <v>4.9524833333333337E-2</v>
      </c>
      <c r="C24" s="37">
        <f>IFERROR(ROUND(('DCF Model'!C45/(1+$B24)^('DCF Model'!C19+0)+'DCF Model'!D45/(1+$B24)^('DCF Model'!C19+1)+'DCF Model'!E45/(1+$B24)^('DCF Model'!C19+2)+'DCF Model'!F45/(1+$B24)^('DCF Model'!C19+3)+'DCF Model'!G45/(1+$B24)^('DCF Model'!C19+4)+('DCF Model'!G39+'DCF Model'!G42)*C$17/(1+$B24)^('DCF Model'!C19+4)-'DCF Model'!C16)*1000000/'DCF Model'!C15,0),"")</f>
        <v>-1695</v>
      </c>
      <c r="D24" s="37">
        <f>IFERROR(ROUND(('DCF Model'!C45/(1+$B24)^('DCF Model'!C19+0)+'DCF Model'!D45/(1+$B24)^('DCF Model'!C19+1)+'DCF Model'!E45/(1+$B24)^('DCF Model'!C19+2)+'DCF Model'!F45/(1+$B24)^('DCF Model'!C19+3)+'DCF Model'!G45/(1+$B24)^('DCF Model'!C19+4)+('DCF Model'!G39+'DCF Model'!G42)*D$17/(1+$B24)^('DCF Model'!C19+4)-'DCF Model'!C16)*1000000/'DCF Model'!C15,0),"")</f>
        <v>-1044</v>
      </c>
      <c r="E24" s="37">
        <f>IFERROR(ROUND(('DCF Model'!C45/(1+$B24)^('DCF Model'!C19+0)+'DCF Model'!D45/(1+$B24)^('DCF Model'!C19+1)+'DCF Model'!E45/(1+$B24)^('DCF Model'!C19+2)+'DCF Model'!F45/(1+$B24)^('DCF Model'!C19+3)+'DCF Model'!G45/(1+$B24)^('DCF Model'!C19+4)+('DCF Model'!G39+'DCF Model'!G42)*E$17/(1+$B24)^('DCF Model'!C19+4)-'DCF Model'!C16)*1000000/'DCF Model'!C15,0),"")</f>
        <v>-392</v>
      </c>
      <c r="F24" s="37">
        <f>IFERROR(ROUND(('DCF Model'!C45/(1+$B24)^('DCF Model'!C19+0)+'DCF Model'!D45/(1+$B24)^('DCF Model'!C19+1)+'DCF Model'!E45/(1+$B24)^('DCF Model'!C19+2)+'DCF Model'!F45/(1+$B24)^('DCF Model'!C19+3)+'DCF Model'!G45/(1+$B24)^('DCF Model'!C19+4)+('DCF Model'!G39+'DCF Model'!G42)*F$17/(1+$B24)^('DCF Model'!C19+4)-'DCF Model'!C16)*1000000/'DCF Model'!C15,0),"")</f>
        <v>259</v>
      </c>
      <c r="G24" s="37">
        <f>IFERROR(ROUND(('DCF Model'!C45/(1+$B24)^('DCF Model'!C19+0)+'DCF Model'!D45/(1+$B24)^('DCF Model'!C19+1)+'DCF Model'!E45/(1+$B24)^('DCF Model'!C19+2)+'DCF Model'!F45/(1+$B24)^('DCF Model'!C19+3)+'DCF Model'!G45/(1+$B24)^('DCF Model'!C19+4)+('DCF Model'!G39+'DCF Model'!G42)*G$17/(1+$B24)^('DCF Model'!C19+4)-'DCF Model'!C16)*1000000/'DCF Model'!C15,0),"")</f>
        <v>911</v>
      </c>
      <c r="H24" s="37">
        <f>IFERROR(ROUND(('DCF Model'!C45/(1+$B24)^('DCF Model'!C19+0)+'DCF Model'!D45/(1+$B24)^('DCF Model'!C19+1)+'DCF Model'!E45/(1+$B24)^('DCF Model'!C19+2)+'DCF Model'!F45/(1+$B24)^('DCF Model'!C19+3)+'DCF Model'!G45/(1+$B24)^('DCF Model'!C19+4)+('DCF Model'!G39+'DCF Model'!G42)*H$17/(1+$B24)^('DCF Model'!C19+4)-'DCF Model'!C16)*1000000/'DCF Model'!C15,0),"")</f>
        <v>1562</v>
      </c>
      <c r="I24" s="37">
        <f>IFERROR(ROUND(('DCF Model'!C45/(1+$B24)^('DCF Model'!C19+0)+'DCF Model'!D45/(1+$B24)^('DCF Model'!C19+1)+'DCF Model'!E45/(1+$B24)^('DCF Model'!C19+2)+'DCF Model'!F45/(1+$B24)^('DCF Model'!C19+3)+'DCF Model'!G45/(1+$B24)^('DCF Model'!C19+4)+('DCF Model'!G39+'DCF Model'!G42)*I$17/(1+$B24)^('DCF Model'!C19+4)-'DCF Model'!C16)*1000000/'DCF Model'!C15,0),"")</f>
        <v>2214</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290</v>
      </c>
    </row>
    <row r="54" spans="2:3" ht="14" x14ac:dyDescent="0.3">
      <c r="B54" s="4" t="s">
        <v>340</v>
      </c>
      <c r="C54" t="s">
        <v>341</v>
      </c>
    </row>
    <row r="55" spans="2:3" ht="14" x14ac:dyDescent="0.3">
      <c r="B55" s="4" t="s">
        <v>342</v>
      </c>
      <c r="C55" t="s">
        <v>343</v>
      </c>
    </row>
    <row r="56" spans="2:3" ht="14" x14ac:dyDescent="0.3">
      <c r="B56" s="4" t="s">
        <v>344</v>
      </c>
      <c r="C56" t="s">
        <v>345</v>
      </c>
    </row>
    <row r="57" spans="2:3" ht="14" x14ac:dyDescent="0.3">
      <c r="B57" s="4" t="s">
        <v>346</v>
      </c>
      <c r="C57" t="s">
        <v>347</v>
      </c>
    </row>
    <row r="58" spans="2:3" ht="14" x14ac:dyDescent="0.3">
      <c r="B58" s="4" t="s">
        <v>348</v>
      </c>
      <c r="C58" t="s">
        <v>290</v>
      </c>
    </row>
    <row r="59" spans="2:3" ht="14" x14ac:dyDescent="0.3">
      <c r="B59" s="4" t="s">
        <v>349</v>
      </c>
      <c r="C59" t="s">
        <v>350</v>
      </c>
    </row>
    <row r="60" spans="2:3" ht="14" x14ac:dyDescent="0.3">
      <c r="B60" s="4" t="s">
        <v>351</v>
      </c>
      <c r="C60" t="s">
        <v>352</v>
      </c>
    </row>
    <row r="61" spans="2:3" ht="14" x14ac:dyDescent="0.3">
      <c r="B61" s="4" t="s">
        <v>353</v>
      </c>
      <c r="C61" t="s">
        <v>354</v>
      </c>
    </row>
    <row r="62" spans="2:3" ht="14" x14ac:dyDescent="0.3">
      <c r="B62" s="4" t="s">
        <v>355</v>
      </c>
      <c r="C62" t="s">
        <v>356</v>
      </c>
    </row>
    <row r="63" spans="2:3" ht="14" x14ac:dyDescent="0.3">
      <c r="B63" s="4" t="s">
        <v>357</v>
      </c>
      <c r="C63" t="s">
        <v>358</v>
      </c>
    </row>
    <row r="64" spans="2:3" ht="14"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2026-09-06T09:51:17Z</dcterms:created>
  <dcterms:modified xsi:type="dcterms:W3CDTF">2026-09-06T09:51:20Z</dcterms:modified>
</cp:coreProperties>
</file>