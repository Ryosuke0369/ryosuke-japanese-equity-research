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A6D446A-9516-4D77-BD67-C2650B927C01}"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I16" i="6" s="1"/>
  <c r="N7" i="6"/>
  <c r="M7" i="6"/>
  <c r="L7" i="6"/>
  <c r="K7" i="6"/>
  <c r="J7" i="6"/>
  <c r="O6" i="6"/>
  <c r="N6" i="6"/>
  <c r="H15" i="6" s="1"/>
  <c r="M6" i="6"/>
  <c r="G16" i="6" s="1"/>
  <c r="L6" i="6"/>
  <c r="K6" i="6"/>
  <c r="J6" i="6"/>
  <c r="O5" i="6"/>
  <c r="N5" i="6"/>
  <c r="D5" i="6"/>
  <c r="L5" i="6" s="1"/>
  <c r="C16" i="5"/>
  <c r="C14" i="5"/>
  <c r="C18" i="5" s="1"/>
  <c r="C7" i="5"/>
  <c r="C6" i="5"/>
  <c r="C5" i="5"/>
  <c r="C13" i="4"/>
  <c r="C12" i="4"/>
  <c r="C9" i="4"/>
  <c r="C7" i="4"/>
  <c r="C6" i="4"/>
  <c r="D27" i="3"/>
  <c r="G5" i="5" s="1"/>
  <c r="C25" i="3"/>
  <c r="C24" i="3"/>
  <c r="C23" i="3"/>
  <c r="F28" i="2"/>
  <c r="E28" i="2"/>
  <c r="D28" i="2"/>
  <c r="C28" i="2"/>
  <c r="F23" i="2"/>
  <c r="E23" i="2"/>
  <c r="D23" i="2"/>
  <c r="C23" i="2"/>
  <c r="C22" i="2"/>
  <c r="F21" i="2"/>
  <c r="F22" i="2" s="1"/>
  <c r="E21" i="2"/>
  <c r="E22" i="2" s="1"/>
  <c r="D21" i="2"/>
  <c r="D22" i="2" s="1"/>
  <c r="C21" i="2"/>
  <c r="F16" i="2"/>
  <c r="E16" i="2"/>
  <c r="D16" i="2"/>
  <c r="F15" i="2"/>
  <c r="E15" i="2"/>
  <c r="D15" i="2"/>
  <c r="F14" i="2"/>
  <c r="E14" i="2"/>
  <c r="D14" i="2"/>
  <c r="C14" i="2"/>
  <c r="F13" i="2"/>
  <c r="E13" i="2"/>
  <c r="D13" i="2"/>
  <c r="C13" i="2"/>
  <c r="F8" i="2"/>
  <c r="F9" i="2" s="1"/>
  <c r="E8" i="2"/>
  <c r="E9" i="2" s="1"/>
  <c r="D8" i="2"/>
  <c r="D9" i="2" s="1"/>
  <c r="C8" i="2"/>
  <c r="C9" i="2" s="1"/>
  <c r="M5" i="6" l="1"/>
  <c r="I17" i="6"/>
  <c r="E5" i="6"/>
  <c r="J5" i="6" s="1"/>
  <c r="C26" i="3"/>
  <c r="D36" i="4" s="1"/>
  <c r="C8" i="4"/>
  <c r="C10" i="4" s="1"/>
  <c r="C70" i="4" s="1"/>
  <c r="D17" i="6"/>
  <c r="E15" i="6"/>
  <c r="G17" i="6"/>
  <c r="C6" i="7"/>
  <c r="F15" i="6"/>
  <c r="D17" i="7"/>
  <c r="C3" i="7"/>
  <c r="G46" i="3"/>
  <c r="E36" i="4"/>
  <c r="D46" i="3"/>
  <c r="F46" i="3"/>
  <c r="E46" i="3"/>
  <c r="H36" i="4"/>
  <c r="F36" i="4"/>
  <c r="C71" i="4"/>
  <c r="F5" i="5"/>
  <c r="G15" i="6"/>
  <c r="C30" i="3"/>
  <c r="C33" i="3" s="1"/>
  <c r="F31" i="3"/>
  <c r="H5" i="5"/>
  <c r="D7" i="5"/>
  <c r="I15" i="6"/>
  <c r="E17" i="6"/>
  <c r="I6" i="7"/>
  <c r="F32" i="3"/>
  <c r="D31" i="3"/>
  <c r="D30" i="3"/>
  <c r="G31" i="3"/>
  <c r="E7" i="5"/>
  <c r="D16" i="6"/>
  <c r="F17" i="6"/>
  <c r="C17" i="7"/>
  <c r="E30" i="3"/>
  <c r="D6" i="5"/>
  <c r="F7" i="5"/>
  <c r="E16" i="6"/>
  <c r="C31" i="3"/>
  <c r="H6" i="5"/>
  <c r="C32" i="3"/>
  <c r="F30" i="3"/>
  <c r="D32" i="3"/>
  <c r="E6" i="5"/>
  <c r="G7" i="5"/>
  <c r="D15" i="6"/>
  <c r="F16" i="6"/>
  <c r="C28" i="6" s="1"/>
  <c r="C19" i="1" s="1"/>
  <c r="D19" i="1" s="1"/>
  <c r="H17" i="6"/>
  <c r="D6" i="7"/>
  <c r="E17" i="7"/>
  <c r="G32" i="3"/>
  <c r="G30" i="3"/>
  <c r="E32" i="3"/>
  <c r="D5" i="5"/>
  <c r="F6" i="5"/>
  <c r="H7" i="5"/>
  <c r="E6" i="7"/>
  <c r="F17" i="7"/>
  <c r="E5" i="5"/>
  <c r="G6" i="5"/>
  <c r="H16" i="6"/>
  <c r="F6" i="7"/>
  <c r="G17" i="7"/>
  <c r="G6" i="7"/>
  <c r="H17" i="7"/>
  <c r="E31" i="3"/>
  <c r="C11" i="4" l="1"/>
  <c r="C24" i="4" s="1"/>
  <c r="C25" i="4" s="1"/>
  <c r="G36" i="4"/>
  <c r="C46" i="3"/>
  <c r="K5" i="6"/>
  <c r="D45" i="4"/>
  <c r="D43" i="4"/>
  <c r="D46" i="4"/>
  <c r="D40" i="4"/>
  <c r="D50" i="4" s="1"/>
  <c r="D55" i="4" s="1"/>
  <c r="D44" i="4"/>
  <c r="D39" i="4"/>
  <c r="D49" i="4" s="1"/>
  <c r="D54" i="4" s="1"/>
  <c r="D38" i="4"/>
  <c r="D41" i="4"/>
  <c r="C27" i="6"/>
  <c r="C18" i="1" s="1"/>
  <c r="D18" i="1" s="1"/>
  <c r="C74" i="4"/>
  <c r="C29" i="4"/>
  <c r="C27" i="4"/>
  <c r="C26" i="4"/>
  <c r="E39" i="4"/>
  <c r="E46" i="4"/>
  <c r="E40" i="4"/>
  <c r="E43" i="4"/>
  <c r="E44" i="4"/>
  <c r="E38" i="4"/>
  <c r="E41" i="4"/>
  <c r="E51" i="4" s="1"/>
  <c r="E56" i="4" s="1"/>
  <c r="E45" i="4"/>
  <c r="F43" i="4"/>
  <c r="F40" i="4"/>
  <c r="F44" i="4"/>
  <c r="F38" i="4"/>
  <c r="F41" i="4"/>
  <c r="F45" i="4"/>
  <c r="F46" i="4"/>
  <c r="F39" i="4"/>
  <c r="H40" i="4"/>
  <c r="H38" i="4"/>
  <c r="H41" i="4"/>
  <c r="H45" i="4"/>
  <c r="H39" i="4"/>
  <c r="H43" i="4"/>
  <c r="H46" i="4"/>
  <c r="H44" i="4"/>
  <c r="G46" i="4"/>
  <c r="G44" i="4"/>
  <c r="G38" i="4"/>
  <c r="G41" i="4"/>
  <c r="G45" i="4"/>
  <c r="G39" i="4"/>
  <c r="G49" i="4" s="1"/>
  <c r="G54" i="4" s="1"/>
  <c r="G40" i="4"/>
  <c r="G50" i="4" s="1"/>
  <c r="G55" i="4" s="1"/>
  <c r="G43" i="4"/>
  <c r="D9" i="5"/>
  <c r="D12" i="5" s="1"/>
  <c r="C42" i="3"/>
  <c r="C34" i="3"/>
  <c r="D10" i="5" s="1"/>
  <c r="C37" i="3"/>
  <c r="C35" i="3"/>
  <c r="D33" i="3"/>
  <c r="B13" i="7"/>
  <c r="B12" i="7"/>
  <c r="B11" i="7"/>
  <c r="B10" i="7"/>
  <c r="B9" i="7"/>
  <c r="B8" i="7"/>
  <c r="B7" i="7"/>
  <c r="B24" i="7"/>
  <c r="B23" i="7"/>
  <c r="B22" i="7"/>
  <c r="B21" i="7"/>
  <c r="B20" i="7"/>
  <c r="B19" i="7"/>
  <c r="B18" i="7"/>
  <c r="D51" i="4" l="1"/>
  <c r="D56" i="4" s="1"/>
  <c r="D48" i="4"/>
  <c r="D53" i="4" s="1"/>
  <c r="H50" i="4"/>
  <c r="H55" i="4" s="1"/>
  <c r="E49" i="4"/>
  <c r="E54" i="4" s="1"/>
  <c r="F49" i="4"/>
  <c r="F54" i="4"/>
  <c r="C60" i="4"/>
  <c r="B78" i="4"/>
  <c r="E48" i="4"/>
  <c r="E53" i="4" s="1"/>
  <c r="H49" i="4"/>
  <c r="H54" i="4" s="1"/>
  <c r="F51" i="4"/>
  <c r="F56" i="4" s="1"/>
  <c r="D37" i="3"/>
  <c r="E33" i="3"/>
  <c r="E9" i="5"/>
  <c r="E12" i="5" s="1"/>
  <c r="D42" i="3"/>
  <c r="D34" i="3"/>
  <c r="E10" i="5" s="1"/>
  <c r="G51" i="4"/>
  <c r="G56" i="4" s="1"/>
  <c r="F48" i="4"/>
  <c r="F53" i="4" s="1"/>
  <c r="D15" i="5"/>
  <c r="D16" i="5" s="1"/>
  <c r="D13" i="5"/>
  <c r="D14" i="5" s="1"/>
  <c r="D18" i="5" s="1"/>
  <c r="D19" i="5" s="1"/>
  <c r="C44" i="3" s="1"/>
  <c r="G48" i="4"/>
  <c r="G53" i="4" s="1"/>
  <c r="H51" i="4"/>
  <c r="H56" i="4" s="1"/>
  <c r="E50" i="4"/>
  <c r="E55" i="4" s="1"/>
  <c r="C36" i="3"/>
  <c r="C39" i="3"/>
  <c r="C38" i="3"/>
  <c r="H48" i="4"/>
  <c r="H53" i="4" s="1"/>
  <c r="F50" i="4"/>
  <c r="F55" i="4" s="1"/>
  <c r="C40" i="3" l="1"/>
  <c r="C41" i="3" s="1"/>
  <c r="C45" i="3" s="1"/>
  <c r="C64" i="4"/>
  <c r="D64" i="4" s="1"/>
  <c r="C67" i="4"/>
  <c r="D67" i="4" s="1"/>
  <c r="C63" i="4"/>
  <c r="D63" i="4" s="1"/>
  <c r="C65" i="4"/>
  <c r="D65" i="4" s="1"/>
  <c r="C66" i="4"/>
  <c r="D66" i="4" s="1"/>
  <c r="E13" i="5"/>
  <c r="E14" i="5" s="1"/>
  <c r="E18" i="5" s="1"/>
  <c r="E19" i="5" s="1"/>
  <c r="D44" i="3" s="1"/>
  <c r="E15" i="5"/>
  <c r="E16" i="5" s="1"/>
  <c r="F9" i="5"/>
  <c r="F12" i="5" s="1"/>
  <c r="F33" i="3"/>
  <c r="E37" i="3"/>
  <c r="E42" i="3"/>
  <c r="E34" i="3"/>
  <c r="F10" i="5" s="1"/>
  <c r="D35" i="3"/>
  <c r="E35" i="3" l="1"/>
  <c r="C47" i="3"/>
  <c r="F42" i="3"/>
  <c r="F34" i="3"/>
  <c r="G10" i="5" s="1"/>
  <c r="G33" i="3"/>
  <c r="F37" i="3"/>
  <c r="G9" i="5"/>
  <c r="G12" i="5" s="1"/>
  <c r="E39" i="3"/>
  <c r="E38" i="3"/>
  <c r="E36" i="3"/>
  <c r="D36" i="3"/>
  <c r="D38" i="3"/>
  <c r="D39" i="3"/>
  <c r="F15" i="5"/>
  <c r="F16" i="5" s="1"/>
  <c r="F13" i="5"/>
  <c r="F14" i="5" s="1"/>
  <c r="F35" i="3" l="1"/>
  <c r="F18" i="5"/>
  <c r="F19" i="5" s="1"/>
  <c r="E44" i="3" s="1"/>
  <c r="E40" i="3"/>
  <c r="E41" i="3" s="1"/>
  <c r="E45" i="3" s="1"/>
  <c r="E47" i="3" s="1"/>
  <c r="G37" i="3"/>
  <c r="G35" i="3"/>
  <c r="C16" i="4"/>
  <c r="C28" i="4" s="1"/>
  <c r="H9" i="5"/>
  <c r="H12" i="5" s="1"/>
  <c r="G42" i="3"/>
  <c r="G34" i="3"/>
  <c r="H10" i="5" s="1"/>
  <c r="D40" i="3"/>
  <c r="D41" i="3" s="1"/>
  <c r="D45" i="3" s="1"/>
  <c r="G13" i="5"/>
  <c r="G14" i="5" s="1"/>
  <c r="G18" i="5" s="1"/>
  <c r="G19" i="5" s="1"/>
  <c r="F44" i="3" s="1"/>
  <c r="G15" i="5"/>
  <c r="G16" i="5" s="1"/>
  <c r="D47" i="3" l="1"/>
  <c r="H15" i="5"/>
  <c r="H16" i="5" s="1"/>
  <c r="H13" i="5"/>
  <c r="H14" i="5" s="1"/>
  <c r="H18" i="5" s="1"/>
  <c r="H19" i="5" s="1"/>
  <c r="G44" i="3" s="1"/>
  <c r="G38" i="3"/>
  <c r="G36" i="3"/>
  <c r="G39" i="3"/>
  <c r="C72" i="4"/>
  <c r="C73" i="4"/>
  <c r="F38" i="3"/>
  <c r="F36" i="3"/>
  <c r="F39" i="3"/>
  <c r="F40" i="3" l="1"/>
  <c r="F41" i="3" s="1"/>
  <c r="F45" i="3" s="1"/>
  <c r="C59" i="3"/>
  <c r="C60" i="3" s="1"/>
  <c r="C61" i="3" s="1"/>
  <c r="G40" i="3"/>
  <c r="G41" i="3" s="1"/>
  <c r="G45" i="3" s="1"/>
  <c r="G47" i="3" l="1"/>
  <c r="C51" i="3"/>
  <c r="C52" i="3" s="1"/>
  <c r="F47" i="3"/>
  <c r="C50" i="3" s="1"/>
  <c r="F18" i="7"/>
  <c r="E20" i="7"/>
  <c r="H21" i="7"/>
  <c r="C9" i="7"/>
  <c r="E19" i="7"/>
  <c r="F24" i="7"/>
  <c r="D18" i="7"/>
  <c r="F23" i="7"/>
  <c r="F22" i="7"/>
  <c r="I18" i="7"/>
  <c r="D24" i="7"/>
  <c r="F9" i="7"/>
  <c r="E11" i="7"/>
  <c r="H24" i="7"/>
  <c r="F19" i="7"/>
  <c r="E21" i="7"/>
  <c r="G12" i="7"/>
  <c r="D7" i="7"/>
  <c r="H20" i="7"/>
  <c r="I11" i="7"/>
  <c r="I8" i="7"/>
  <c r="I20" i="7"/>
  <c r="D13" i="7"/>
  <c r="D21" i="7"/>
  <c r="H8" i="7"/>
  <c r="E24" i="7"/>
  <c r="I12" i="7"/>
  <c r="G9" i="7"/>
  <c r="C19" i="7"/>
  <c r="C23" i="7"/>
  <c r="E12" i="7"/>
  <c r="F11" i="7"/>
  <c r="D8" i="7"/>
  <c r="C12" i="7"/>
  <c r="C22" i="7"/>
  <c r="E9" i="7"/>
  <c r="C11" i="7"/>
  <c r="E23" i="7"/>
  <c r="C18" i="7"/>
  <c r="C24" i="7"/>
  <c r="G7" i="7"/>
  <c r="E8" i="7"/>
  <c r="H11" i="7"/>
  <c r="F13" i="7"/>
  <c r="I24" i="7"/>
  <c r="D12" i="7"/>
  <c r="I19" i="7"/>
  <c r="G19" i="7"/>
  <c r="I7" i="7"/>
  <c r="D23" i="7"/>
  <c r="E22" i="7"/>
  <c r="I9" i="7"/>
  <c r="G13" i="7"/>
  <c r="E7" i="7"/>
  <c r="I10" i="7"/>
  <c r="F20" i="7"/>
  <c r="D11" i="7"/>
  <c r="G11" i="7"/>
  <c r="H7" i="7"/>
  <c r="C21" i="7"/>
  <c r="H12" i="7"/>
  <c r="D22" i="7"/>
  <c r="G23" i="7"/>
  <c r="F7" i="7"/>
  <c r="C8" i="7"/>
  <c r="I22" i="7"/>
  <c r="D10" i="7"/>
  <c r="I21" i="7"/>
  <c r="D9" i="7"/>
  <c r="G22" i="7"/>
  <c r="H19" i="7"/>
  <c r="H23" i="7"/>
  <c r="I23" i="7"/>
  <c r="G8" i="7"/>
  <c r="I13" i="7"/>
  <c r="F8" i="7"/>
  <c r="G18" i="7"/>
  <c r="E18" i="7"/>
  <c r="H22" i="7"/>
  <c r="C10" i="7"/>
  <c r="F21" i="7"/>
  <c r="E13" i="7"/>
  <c r="H18" i="7"/>
  <c r="H10" i="7"/>
  <c r="D20" i="7"/>
  <c r="H9" i="7"/>
  <c r="D19" i="7"/>
  <c r="C13" i="7"/>
  <c r="F10" i="7"/>
  <c r="H13" i="7"/>
  <c r="E10" i="7"/>
  <c r="C7" i="7"/>
  <c r="G24" i="7"/>
  <c r="G21" i="7"/>
  <c r="G10" i="7"/>
  <c r="C20" i="7"/>
  <c r="G20" i="7"/>
  <c r="F12" i="7"/>
  <c r="C58" i="3" l="1"/>
  <c r="C62" i="3" s="1"/>
  <c r="C53" i="3"/>
  <c r="C17" i="4" l="1"/>
  <c r="C54" i="3"/>
  <c r="C55" i="3" s="1"/>
  <c r="C16" i="1" s="1"/>
  <c r="C63" i="3"/>
  <c r="C64" i="3" s="1"/>
  <c r="C17" i="1"/>
  <c r="D17" i="1" s="1"/>
  <c r="C21" i="1" l="1"/>
  <c r="C10" i="1"/>
  <c r="C12" i="1" s="1"/>
  <c r="C11" i="1" s="1"/>
  <c r="D16" i="1"/>
  <c r="C19" i="4"/>
  <c r="C20" i="4" s="1"/>
  <c r="B79" i="4"/>
</calcChain>
</file>

<file path=xl/sharedStrings.xml><?xml version="1.0" encoding="utf-8"?>
<sst xmlns="http://schemas.openxmlformats.org/spreadsheetml/2006/main" count="445" uniqueCount="361">
  <si>
    <t>DISCLAIMER: This is a sample analysis for demonstration purposes only. It does not constitute investment advice.</t>
  </si>
  <si>
    <t>日本ゼオン (4205.T)</t>
  </si>
  <si>
    <t>Equity Research Report</t>
  </si>
  <si>
    <t>Company</t>
  </si>
  <si>
    <t>日本ゼオン</t>
  </si>
  <si>
    <t>Ticker</t>
  </si>
  <si>
    <t>4205.T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</si>
  <si>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</si>
  <si>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</si>
  <si>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</si>
  <si>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</si>
  <si>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</si>
  <si>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</si>
  <si>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</si>
  <si>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</si>
  <si>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</si>
  <si>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</si>
  <si>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</si>
  <si>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</si>
  <si>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</si>
  <si>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</si>
  <si>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</si>
  <si>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</si>
  <si>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</si>
  <si>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</si>
  <si>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</si>
  <si>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</si>
  <si>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</si>
  <si>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</si>
  <si>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</si>
  <si>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</si>
  <si>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日本ゼオン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</si>
  <si>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</si>
  <si>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</si>
  <si>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</si>
  <si>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</si>
  <si>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</si>
  <si>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</si>
  <si>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</si>
  <si>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</si>
  <si>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</si>
  <si>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</si>
  <si>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</si>
  <si>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</si>
  <si>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</si>
  <si>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</si>
  <si>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</si>
  <si>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</si>
  <si>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</si>
  <si>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</si>
  <si>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</si>
  <si>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</si>
  <si>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</si>
  <si>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</si>
  <si>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</si>
  <si>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</si>
  <si>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</si>
  <si>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</si>
  <si>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</si>
  <si>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</si>
  <si>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日本ゼオン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</si>
  <si>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</si>
  <si>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</si>
  <si>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</si>
  <si>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</si>
  <si>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</si>
  <si>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</si>
  <si>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</si>
  <si>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</si>
  <si>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</si>
  <si>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</si>
  <si>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</si>
  <si>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</si>
  <si>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</si>
  <si>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</si>
  <si>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</si>
  <si>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</si>
  <si>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</si>
  <si>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</si>
  <si>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</si>
  <si>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</si>
  <si>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</si>
  <si>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</si>
  <si>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</si>
  <si>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</si>
  <si>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</si>
  <si>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</si>
  <si>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</si>
  <si>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</si>
  <si>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</si>
  <si>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</si>
  <si>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</si>
  <si>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</si>
  <si>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</si>
  <si>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</si>
  <si>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</si>
  <si>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</si>
  <si>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</si>
  <si>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</si>
  <si>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</si>
  <si>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</si>
  <si>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</si>
  <si>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</si>
  <si>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</si>
  <si>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</si>
  <si>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</si>
  <si>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</si>
  <si>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</si>
  <si>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</si>
  <si>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</si>
  <si>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</si>
  <si>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</si>
  <si>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</si>
  <si>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</si>
  <si>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</si>
  <si>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</si>
  <si>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</si>
  <si>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</si>
  <si>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</si>
  <si>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</si>
  <si>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</si>
  <si>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</si>
  <si>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</si>
  <si>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</si>
  <si>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</si>
  <si>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日本ゼオン (4205.T)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</si>
  <si>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</si>
  <si>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</si>
  <si>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</si>
  <si>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</si>
  <si>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</si>
  <si>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</si>
  <si>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</si>
  <si>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</si>
  <si>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</si>
  <si>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</si>
  <si>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</si>
  <si>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</si>
  <si>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</si>
  <si>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</si>
  <si>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</si>
  <si>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</si>
  <si>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</si>
  <si>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</si>
  <si>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</si>
  <si>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</si>
  <si>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</si>
  <si>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</si>
  <si>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</si>
  <si>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</si>
  <si>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</si>
  <si>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</si>
  <si>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</si>
  <si>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</si>
  <si>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</si>
  <si>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</si>
  <si>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</si>
  <si>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</si>
  <si>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</si>
  <si>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</si>
  <si>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</si>
  <si>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</si>
  <si>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</si>
  <si>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</si>
  <si>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</si>
  <si>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</si>
  <si>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</si>
  <si>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</si>
  <si>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</si>
  <si>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</si>
  <si>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</si>
  <si>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</si>
  <si>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</si>
  <si>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</si>
  <si>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</si>
  <si>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</si>
  <si>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</si>
  <si>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日本ゼオン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</si>
  <si>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</si>
  <si>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</si>
  <si>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</si>
  <si>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</si>
  <si>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</si>
  <si>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</si>
  <si>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</si>
  <si>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</si>
  <si>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</si>
  <si>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</si>
  <si>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</si>
  <si>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</si>
  <si>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</si>
  <si>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</si>
  <si>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</si>
  <si>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</si>
  <si>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</si>
  <si>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</si>
  <si>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</si>
  <si>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</si>
  <si>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</si>
  <si>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</si>
  <si>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</si>
  <si>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</si>
  <si>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</si>
  <si>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</si>
  <si>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</si>
  <si>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</si>
  <si>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</si>
  <si>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</si>
  <si>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</si>
  <si>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</si>
  <si>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</si>
  <si>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</si>
  <si>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Zeon Corporation</t>
  </si>
  <si>
    <t>4205.T</t>
  </si>
  <si>
    <t>Mitsui Chemicals, Inc.</t>
  </si>
  <si>
    <t>4183.T</t>
  </si>
  <si>
    <t>Sumitomo Chemical Company, Limited</t>
  </si>
  <si>
    <t>4005.T</t>
  </si>
  <si>
    <t>Kuraray Co., Ltd.</t>
  </si>
  <si>
    <t>3405.T</t>
  </si>
  <si>
    <t>Asahi Kasei Corporation</t>
  </si>
  <si>
    <t>3407.T</t>
  </si>
  <si>
    <t>Nippon Paper Industries Co., Ltd.</t>
  </si>
  <si>
    <t>3863.T</t>
  </si>
  <si>
    <t>Statistics</t>
  </si>
  <si>
    <t>25th Percentile</t>
  </si>
  <si>
    <t>Median (50th)</t>
  </si>
  <si>
    <t>75th Percentile</t>
  </si>
  <si>
    <t>Implied Valuation for 日本ゼオン</t>
  </si>
  <si>
    <t>日本ゼオン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</si>
  <si>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</si>
  <si>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</si>
  <si>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</si>
  <si>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</si>
  <si>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</si>
  <si>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</si>
  <si>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</si>
  <si>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</si>
  <si>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</si>
  <si>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</si>
  <si>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</si>
  <si>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</si>
  <si>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</si>
  <si>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</si>
  <si>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</si>
  <si>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日本ゼオン</t>
  </si>
  <si>
    <t>日付</t>
  </si>
  <si>
    <t>セル</t>
  </si>
  <si>
    <t>変更内容</t>
  </si>
  <si>
    <t>理由</t>
  </si>
  <si>
    <t>元の値</t>
  </si>
  <si>
    <t>状態</t>
  </si>
  <si>
    <t>2026-09-06</t>
  </si>
  <si>
    <t>-</t>
  </si>
  <si>
    <t>Generated by pipeline on 2026-09-06 18:56, template rev 63983ab</t>
  </si>
  <si>
    <t>初期生成（手修正なし）</t>
  </si>
  <si>
    <t>generated</t>
  </si>
  <si>
    <t>DCF Model!C11</t>
  </si>
  <si>
    <t>After-tax Cost of Debt = 0.63% (実績ベース)</t>
  </si>
  <si>
    <t>実績Kd = 支払利息177 ÷ 平均有利子負債20,960(期首25,960/期末15,960、debt_beginning/debt_ending) = 税引前0.84% × (1−25.0%) = 0.63%。【マージナルコスト注記】これは既存借入の実績平均コストであり、新規調達の限界コストではない。テンプレ既定(税引前2.8%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</si>
  <si>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</si>
  <si>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</si>
  <si>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</si>
  <si>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0.901（採用値）</t>
  </si>
  <si>
    <t>実測β(raw) = 0.852 → Blume調整 0.67×raw + 0.33×1.00 = 0.901 → 採用 0.901。クランプ域 [0.3, 2.0] の内側。置換なし。回帰βは平均回帰するため Blume 調整を既定とする（2026-09-05 バッチで85件中57件が旧下限 0.60 に張り付き、両裾の歪みが実証された）。</t>
  </si>
  <si>
    <t>実測 0.852</t>
  </si>
  <si>
    <t>確定</t>
  </si>
  <si>
    <t>Pipeline Metadata (do not edit — read by scripts/validate_output.py)</t>
  </si>
  <si>
    <t>key</t>
  </si>
  <si>
    <t>value</t>
  </si>
  <si>
    <t>auto_log_entries</t>
  </si>
  <si>
    <t>2</t>
  </si>
  <si>
    <t>beta_adopted_c8</t>
  </si>
  <si>
    <t>0.9011</t>
  </si>
  <si>
    <t>beta_basis</t>
  </si>
  <si>
    <t>Blume: 0.67 x 0.852 + 0.33 x 1.00 = 0.901</t>
  </si>
  <si>
    <t>beta_blume_adjusted</t>
  </si>
  <si>
    <t>beta_clamped</t>
  </si>
  <si>
    <t>no</t>
  </si>
  <si>
    <t>beta_raw</t>
  </si>
  <si>
    <t>0.8524</t>
  </si>
  <si>
    <t>capex_pct_basis</t>
  </si>
  <si>
    <t>explicit_override</t>
  </si>
  <si>
    <t>capex_pct_c5</t>
  </si>
  <si>
    <t>0.04389</t>
  </si>
  <si>
    <t>capex_pct_hist3yr</t>
  </si>
  <si>
    <t>0.099651</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</si>
  <si>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</si>
  <si>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</si>
  <si>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</si>
  <si>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</si>
  <si>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</si>
  <si>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</si>
  <si>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</si>
  <si>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</si>
  <si>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</si>
  <si>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</si>
  <si>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</si>
  <si>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</si>
  <si>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</si>
  <si>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</si>
  <si>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</si>
  <si>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</si>
  <si>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</si>
  <si>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</si>
  <si>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</si>
  <si>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</si>
  <si>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53606.0</t>
  </si>
  <si>
    <t>core_net_income</t>
  </si>
  <si>
    <t>36226.0</t>
  </si>
  <si>
    <t>cost_of_debt_actual</t>
  </si>
  <si>
    <t>interest 177 (expense 177 + fees 0) / avg debt 20,960 (debt_beginning/debt_ending) = 0.008445 pre-tax -&gt; 0.006300 after-tax</t>
  </si>
  <si>
    <t>cost_of_debt_at_c11</t>
  </si>
  <si>
    <t>0.0063</t>
  </si>
  <si>
    <t>cost_of_debt_avg_debt</t>
  </si>
  <si>
    <t>20960.0</t>
  </si>
  <si>
    <t>cost_of_debt_basis</t>
  </si>
  <si>
    <t>actual</t>
  </si>
  <si>
    <t>cost_of_debt_interest</t>
  </si>
  <si>
    <t>177.0</t>
  </si>
  <si>
    <t>cost_of_debt_pretax</t>
  </si>
  <si>
    <t>0.008444656488549617</t>
  </si>
  <si>
    <t>da_pct_basis</t>
  </si>
  <si>
    <t>da_pct_c18</t>
  </si>
  <si>
    <t>0.0418</t>
  </si>
  <si>
    <t>da_pct_hist3yr</t>
  </si>
  <si>
    <t>0.046889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</si>
  <si>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</si>
  <si>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</si>
  <si>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</si>
  <si>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</si>
  <si>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</si>
  <si>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</si>
  <si>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</si>
  <si>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</si>
  <si>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</si>
  <si>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18:56:29</t>
  </si>
  <si>
    <t>guidance_note</t>
  </si>
  <si>
    <t>TDnet 決算短信 via screener guidance table: FY2027 disclosed 2026-07-29 (net_income=36,000mn, operating_income=38,000mn, revenue=405,000mn)</t>
  </si>
  <si>
    <t>guidance_source</t>
  </si>
  <si>
    <t>tdnet_screener_db</t>
  </si>
  <si>
    <t>latest_operating_income</t>
  </si>
  <si>
    <t>36376.0</t>
  </si>
  <si>
    <t>ltm_revenue_c20</t>
  </si>
  <si>
    <t>411966.0</t>
  </si>
  <si>
    <t>ltm_revenue_source</t>
  </si>
  <si>
    <t>latest FY (no LTM)</t>
  </si>
  <si>
    <t>market_data_source</t>
  </si>
  <si>
    <t>yfinance (no beta); from overrides: beta, current_price, shares_outstanding</t>
  </si>
  <si>
    <t>narrative_tokens_used</t>
  </si>
  <si>
    <t>net_debt_source</t>
  </si>
  <si>
    <t>EDINET net_debt</t>
  </si>
  <si>
    <t>reverse_dcf_sheet</t>
  </si>
  <si>
    <t>op0=36,376(FY2026) peak=36,376(FY2026) peak_opm=0.0883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</si>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</sst>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2458</v>
      </c>
    </row>
    <row r="10" spans="2:5" ht="14" x14ac:dyDescent="0.3">
      <c r="B10" s="4" t="s">
        <v>10</v>
      </c>
      <c r="C10" s="5">
        <f>IF(COUNT(C16:C17)=0,"N/A",ROUND(AVERAGE(C16:C17),0))</f>
        <v>1337</v>
      </c>
    </row>
    <row r="11" spans="2:5" ht="14" x14ac:dyDescent="0.3">
      <c r="B11" s="4" t="s">
        <v>11</v>
      </c>
      <c r="C11" s="6" t="str">
        <f>IF(NOT(ISNUMBER(C12)),"N/A",IF(C12&gt;0.15,"BUY",IF(C12&gt;0.05,"HOLD","SELL")))</f>
        <v>SELL</v>
      </c>
    </row>
    <row r="12" spans="2:5" ht="14" x14ac:dyDescent="0.3">
      <c r="B12" s="4" t="s">
        <v>12</v>
      </c>
      <c r="C12" s="7">
        <f>IF(ISNUMBER(C10),(C10-C9)/C9,"N/A")</f>
        <v>-0.45606183889340929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1202</v>
      </c>
      <c r="D16" s="7">
        <f>IF(ISNUMBER(C16),(C16-C9)/C9,"N/A")</f>
        <v>-0.51098454027664764</v>
      </c>
    </row>
    <row r="17" spans="2:5" ht="13.5" x14ac:dyDescent="0.25">
      <c r="B17" t="s">
        <v>18</v>
      </c>
      <c r="C17" s="11">
        <f>IF('DCF Model'!C62&lt;'DCF Model'!C16,"INVALID (EV &lt; net debt)",'DCF Model'!C64)</f>
        <v>1472</v>
      </c>
      <c r="D17" s="7">
        <f>IF(ISNUMBER(C17),(C17-C9)/C9,"N/A")</f>
        <v>-0.40113913751017088</v>
      </c>
    </row>
    <row r="18" spans="2:5" ht="13.5" x14ac:dyDescent="0.25">
      <c r="B18" t="s">
        <v>19</v>
      </c>
      <c r="C18" s="11">
        <f>'Comps Analysis'!C27</f>
        <v>1897</v>
      </c>
      <c r="D18" s="7">
        <f>IF(ISNUMBER(C18),(C18-C9)/C9,"N/A")</f>
        <v>-0.22823433685923514</v>
      </c>
    </row>
    <row r="19" spans="2:5" ht="13.5" x14ac:dyDescent="0.25">
      <c r="B19" t="s">
        <v>20</v>
      </c>
      <c r="C19" s="11">
        <f>'Comps Analysis'!C28</f>
        <v>3052</v>
      </c>
      <c r="D19" s="7">
        <f>IF(ISNUMBER(C19),(C19-C9)/C9,"N/A")</f>
        <v>0.24165988608624897</v>
      </c>
    </row>
    <row r="20" spans="2:5" ht="14" x14ac:dyDescent="0.3">
      <c r="B20" s="45" t="s">
        <v>21</v>
      </c>
      <c r="C20" s="44"/>
      <c r="D20" s="44"/>
      <c r="E20" s="44"/>
    </row>
    <row r="21" spans="2:5" ht="14" x14ac:dyDescent="0.3">
      <c r="B21" s="4" t="s">
        <v>22</v>
      </c>
      <c r="C21" s="6" t="str">
        <f>IF(COUNT(C16:C17)=0,"N/A",MIN(C16:C17)&amp;" - "&amp;MAX(C16:C17))</f>
        <v>1202 - 1472</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388614</v>
      </c>
      <c r="D6" s="5">
        <v>382279</v>
      </c>
      <c r="E6" s="5">
        <v>420647</v>
      </c>
      <c r="F6" s="5">
        <v>411966</v>
      </c>
    </row>
    <row r="7" spans="2:6" ht="14" x14ac:dyDescent="0.3">
      <c r="B7" s="4" t="s">
        <v>38</v>
      </c>
      <c r="C7" s="5">
        <v>278971</v>
      </c>
      <c r="D7" s="5">
        <v>279769</v>
      </c>
      <c r="E7" s="5">
        <v>302414</v>
      </c>
      <c r="F7" s="5">
        <v>290764</v>
      </c>
    </row>
    <row r="8" spans="2:6" ht="14" x14ac:dyDescent="0.3">
      <c r="B8" s="4" t="s">
        <v>39</v>
      </c>
      <c r="C8" s="5">
        <f>C6-C7</f>
        <v>109643</v>
      </c>
      <c r="D8" s="5">
        <f>D6-D7</f>
        <v>102510</v>
      </c>
      <c r="E8" s="5">
        <f>E6-E7</f>
        <v>118233</v>
      </c>
      <c r="F8" s="5">
        <f>F6-F7</f>
        <v>121202</v>
      </c>
    </row>
    <row r="9" spans="2:6" ht="13.5" x14ac:dyDescent="0.25">
      <c r="B9" t="s">
        <v>40</v>
      </c>
      <c r="C9" s="7">
        <f>C8/C6</f>
        <v>0.28213857452382057</v>
      </c>
      <c r="D9" s="7">
        <f>D8/D6</f>
        <v>0.26815493396184464</v>
      </c>
      <c r="E9" s="7">
        <f>E8/E6</f>
        <v>0.28107415481389386</v>
      </c>
      <c r="F9" s="7">
        <f>F8/F6</f>
        <v>0.2942038906123321</v>
      </c>
    </row>
    <row r="10" spans="2:6" ht="14" x14ac:dyDescent="0.3">
      <c r="B10" s="4" t="s">
        <v>41</v>
      </c>
      <c r="C10" s="5">
        <v>82464</v>
      </c>
      <c r="D10" s="5">
        <v>82010</v>
      </c>
      <c r="E10" s="5">
        <v>88913</v>
      </c>
      <c r="F10" s="5">
        <v>84826</v>
      </c>
    </row>
    <row r="11" spans="2:6" ht="14" x14ac:dyDescent="0.3">
      <c r="B11" s="4" t="s">
        <v>42</v>
      </c>
      <c r="C11" s="5">
        <v>27179</v>
      </c>
      <c r="D11" s="5">
        <v>20500</v>
      </c>
      <c r="E11" s="5">
        <v>29320</v>
      </c>
      <c r="F11" s="5">
        <v>36376</v>
      </c>
    </row>
    <row r="12" spans="2:6" ht="14" x14ac:dyDescent="0.3">
      <c r="B12" s="4" t="s">
        <v>43</v>
      </c>
      <c r="C12" s="5">
        <v>10569</v>
      </c>
      <c r="D12" s="5">
        <v>31101</v>
      </c>
      <c r="E12" s="5">
        <v>26199</v>
      </c>
      <c r="F12" s="5">
        <v>36226</v>
      </c>
    </row>
    <row r="13" spans="2:6" ht="13.5" x14ac:dyDescent="0.25">
      <c r="B13" t="s">
        <v>44</v>
      </c>
      <c r="C13" s="7">
        <f>C11/C6</f>
        <v>6.9938293525194664E-2</v>
      </c>
      <c r="D13" s="7">
        <f>D11/D6</f>
        <v>5.3625755011392204E-2</v>
      </c>
      <c r="E13" s="7">
        <f>E11/E6</f>
        <v>6.9702149308089684E-2</v>
      </c>
      <c r="F13" s="7">
        <f>F11/F6</f>
        <v>8.829854890937601E-2</v>
      </c>
    </row>
    <row r="14" spans="2:6" ht="13.5" x14ac:dyDescent="0.25">
      <c r="B14" t="s">
        <v>45</v>
      </c>
      <c r="C14" s="7">
        <f>C12/C6</f>
        <v>2.7196652719665274E-2</v>
      </c>
      <c r="D14" s="7">
        <f>D12/D6</f>
        <v>8.1356810078502872E-2</v>
      </c>
      <c r="E14" s="7">
        <f>E12/E6</f>
        <v>6.2282626525328837E-2</v>
      </c>
      <c r="F14" s="7">
        <f>F12/F6</f>
        <v>8.7934441191748827E-2</v>
      </c>
    </row>
    <row r="15" spans="2:6" ht="13.5" x14ac:dyDescent="0.25">
      <c r="B15" t="s">
        <v>46</v>
      </c>
      <c r="C15" t="s">
        <v>47</v>
      </c>
      <c r="D15" s="7">
        <f>(D6-C6)/C6</f>
        <v>-1.6301522847864462E-2</v>
      </c>
      <c r="E15" s="7">
        <f>(E6-D6)/D6</f>
        <v>0.10036648625741931</v>
      </c>
      <c r="F15" s="7">
        <f>(F6-E6)/E6</f>
        <v>-2.0637256416900632E-2</v>
      </c>
    </row>
    <row r="16" spans="2:6" ht="13.5" x14ac:dyDescent="0.25">
      <c r="B16" t="s">
        <v>48</v>
      </c>
      <c r="C16" t="s">
        <v>47</v>
      </c>
      <c r="D16" s="7">
        <f>(D11-C11)/C11</f>
        <v>-0.24574119724787519</v>
      </c>
      <c r="E16" s="7">
        <f>(E11-D11)/D11</f>
        <v>0.43024390243902438</v>
      </c>
      <c r="F16" s="7">
        <f>(F11-E11)/E11</f>
        <v>0.24065484311050478</v>
      </c>
    </row>
    <row r="18" spans="2:6" ht="14" x14ac:dyDescent="0.3">
      <c r="B18" s="3" t="s">
        <v>49</v>
      </c>
    </row>
    <row r="19" spans="2:6" ht="14" x14ac:dyDescent="0.3">
      <c r="B19" s="4" t="s">
        <v>50</v>
      </c>
      <c r="C19" s="5">
        <v>14358</v>
      </c>
      <c r="D19" s="5">
        <v>47413</v>
      </c>
      <c r="E19" s="5">
        <v>20781</v>
      </c>
      <c r="F19" s="5">
        <v>76436</v>
      </c>
    </row>
    <row r="20" spans="2:6" ht="14" x14ac:dyDescent="0.3">
      <c r="B20" s="4" t="s">
        <v>51</v>
      </c>
      <c r="C20" s="5">
        <v>23564</v>
      </c>
      <c r="D20" s="5">
        <v>33670</v>
      </c>
      <c r="E20" s="5">
        <v>29100</v>
      </c>
      <c r="F20" s="5">
        <v>58374</v>
      </c>
    </row>
    <row r="21" spans="2:6" ht="14" x14ac:dyDescent="0.3">
      <c r="B21" s="4" t="s">
        <v>52</v>
      </c>
      <c r="C21" s="5">
        <f>C19-C20</f>
        <v>-9206</v>
      </c>
      <c r="D21" s="5">
        <f>D19-D20</f>
        <v>13743</v>
      </c>
      <c r="E21" s="5">
        <f>E19-E20</f>
        <v>-8319</v>
      </c>
      <c r="F21" s="5">
        <f>F19-F20</f>
        <v>18062</v>
      </c>
    </row>
    <row r="22" spans="2:6" ht="13.5" x14ac:dyDescent="0.25">
      <c r="B22" t="s">
        <v>53</v>
      </c>
      <c r="C22" s="7">
        <f>C21/C6</f>
        <v>-2.3689316391071861E-2</v>
      </c>
      <c r="D22" s="7">
        <f>D21/D6</f>
        <v>3.5950182981539659E-2</v>
      </c>
      <c r="E22" s="7">
        <f>E21/E6</f>
        <v>-1.9776677356548363E-2</v>
      </c>
      <c r="F22" s="7">
        <f>F21/F6</f>
        <v>4.3843423971881172E-2</v>
      </c>
    </row>
    <row r="23" spans="2:6" ht="13.5" x14ac:dyDescent="0.25">
      <c r="B23" t="s">
        <v>54</v>
      </c>
      <c r="C23" s="7">
        <f>C20/C6</f>
        <v>6.0636003849578242E-2</v>
      </c>
      <c r="D23" s="7">
        <f>D20/D6</f>
        <v>8.8077032743101247E-2</v>
      </c>
      <c r="E23" s="7">
        <f>E20/E6</f>
        <v>6.9179145459256811E-2</v>
      </c>
      <c r="F23" s="7">
        <f>F20/F6</f>
        <v>0.14169615939179447</v>
      </c>
    </row>
    <row r="25" spans="2:6" ht="14" x14ac:dyDescent="0.3">
      <c r="B25" s="3" t="s">
        <v>55</v>
      </c>
    </row>
    <row r="26" spans="2:6" ht="14" x14ac:dyDescent="0.3">
      <c r="B26" s="4" t="s">
        <v>56</v>
      </c>
      <c r="C26" s="5">
        <v>28270</v>
      </c>
      <c r="D26" s="5">
        <v>42533</v>
      </c>
      <c r="E26" s="5">
        <v>27366</v>
      </c>
      <c r="F26" s="5">
        <v>28678</v>
      </c>
    </row>
    <row r="27" spans="2:6" ht="14" x14ac:dyDescent="0.3">
      <c r="B27" s="4" t="s">
        <v>57</v>
      </c>
      <c r="C27" s="5">
        <v>8960</v>
      </c>
      <c r="D27" s="5">
        <v>8960</v>
      </c>
      <c r="E27" s="5">
        <v>8960</v>
      </c>
      <c r="F27" s="5">
        <v>8960</v>
      </c>
    </row>
    <row r="28" spans="2:6" ht="14" x14ac:dyDescent="0.3">
      <c r="B28" s="4" t="s">
        <v>58</v>
      </c>
      <c r="C28" s="5">
        <f>C27-C26</f>
        <v>-19310</v>
      </c>
      <c r="D28" s="5">
        <f>D27-D26</f>
        <v>-33573</v>
      </c>
      <c r="E28" s="5">
        <f>E27-E26</f>
        <v>-18406</v>
      </c>
      <c r="F28" s="5">
        <f>F27-F26</f>
        <v>-19718</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4.3889999999999998E-2</v>
      </c>
    </row>
    <row r="6" spans="2:7" ht="14" x14ac:dyDescent="0.3">
      <c r="B6" s="4" t="s">
        <v>63</v>
      </c>
      <c r="C6" s="7">
        <v>0.25</v>
      </c>
    </row>
    <row r="7" spans="2:7" ht="14" x14ac:dyDescent="0.3">
      <c r="B7" s="4" t="s">
        <v>64</v>
      </c>
      <c r="C7" s="7">
        <v>2.9700000000000001E-2</v>
      </c>
    </row>
    <row r="8" spans="2:7" ht="14" x14ac:dyDescent="0.3">
      <c r="B8" s="4" t="s">
        <v>65</v>
      </c>
      <c r="C8" s="12">
        <v>0.90110000000000001</v>
      </c>
    </row>
    <row r="9" spans="2:7" ht="14" x14ac:dyDescent="0.3">
      <c r="B9" s="4" t="s">
        <v>66</v>
      </c>
      <c r="C9" s="7">
        <v>6.5000000000000002E-2</v>
      </c>
    </row>
    <row r="10" spans="2:7" ht="14" x14ac:dyDescent="0.3">
      <c r="B10" s="4" t="s">
        <v>67</v>
      </c>
      <c r="C10" s="7">
        <v>0.01</v>
      </c>
    </row>
    <row r="11" spans="2:7" ht="14" x14ac:dyDescent="0.3">
      <c r="B11" s="4" t="s">
        <v>68</v>
      </c>
      <c r="C11" s="7">
        <v>6.3E-3</v>
      </c>
    </row>
    <row r="12" spans="2:7" ht="14" x14ac:dyDescent="0.3">
      <c r="B12" s="4" t="s">
        <v>69</v>
      </c>
      <c r="C12" s="13">
        <v>0</v>
      </c>
    </row>
    <row r="13" spans="2:7" ht="14" x14ac:dyDescent="0.3">
      <c r="B13" s="4" t="s">
        <v>70</v>
      </c>
      <c r="C13" s="7">
        <v>0.01</v>
      </c>
    </row>
    <row r="14" spans="2:7" ht="14" x14ac:dyDescent="0.3">
      <c r="B14" s="4" t="s">
        <v>71</v>
      </c>
      <c r="C14" s="14">
        <v>6.5</v>
      </c>
    </row>
    <row r="15" spans="2:7" ht="14" x14ac:dyDescent="0.3">
      <c r="B15" s="4" t="s">
        <v>72</v>
      </c>
      <c r="C15" s="15">
        <v>191345507</v>
      </c>
    </row>
    <row r="16" spans="2:7" ht="14" x14ac:dyDescent="0.3">
      <c r="B16" s="4" t="s">
        <v>73</v>
      </c>
      <c r="C16" s="5">
        <v>-12718</v>
      </c>
    </row>
    <row r="17" spans="2:7" ht="14" x14ac:dyDescent="0.3">
      <c r="B17" s="4" t="s">
        <v>74</v>
      </c>
      <c r="C17" s="5">
        <v>411966</v>
      </c>
    </row>
    <row r="18" spans="2:7" ht="14" x14ac:dyDescent="0.3">
      <c r="B18" s="4" t="s">
        <v>75</v>
      </c>
      <c r="C18" s="7">
        <v>4.1799999999999997E-2</v>
      </c>
    </row>
    <row r="19" spans="2:7" ht="14" x14ac:dyDescent="0.3">
      <c r="B19" s="4" t="s">
        <v>76</v>
      </c>
      <c r="C19" s="12">
        <v>1</v>
      </c>
    </row>
    <row r="20" spans="2:7" ht="14" x14ac:dyDescent="0.3">
      <c r="B20" s="4" t="s">
        <v>77</v>
      </c>
      <c r="C20" s="5">
        <v>411966</v>
      </c>
    </row>
    <row r="22" spans="2:7" ht="14" x14ac:dyDescent="0.3">
      <c r="B22" s="8" t="s">
        <v>78</v>
      </c>
      <c r="C22" s="9"/>
      <c r="D22" s="9"/>
      <c r="E22" s="9"/>
      <c r="F22" s="9"/>
      <c r="G22" s="9"/>
    </row>
    <row r="23" spans="2:7" ht="14" x14ac:dyDescent="0.3">
      <c r="B23" s="4" t="s">
        <v>79</v>
      </c>
      <c r="C23" s="16">
        <f>C7+C8*C9+C10</f>
        <v>9.8271499999999998E-2</v>
      </c>
    </row>
    <row r="24" spans="2:7" ht="14" x14ac:dyDescent="0.3">
      <c r="B24" s="4" t="s">
        <v>80</v>
      </c>
      <c r="C24" s="16">
        <f>1/(1+C12)</f>
        <v>1</v>
      </c>
    </row>
    <row r="25" spans="2:7" ht="14" x14ac:dyDescent="0.3">
      <c r="B25" s="4" t="s">
        <v>81</v>
      </c>
      <c r="C25" s="16">
        <f>C12/(1+C12)</f>
        <v>0</v>
      </c>
    </row>
    <row r="26" spans="2:7" ht="14" x14ac:dyDescent="0.3">
      <c r="B26" s="4" t="s">
        <v>82</v>
      </c>
      <c r="C26" s="16">
        <f>C23*C24+C11*C25</f>
        <v>9.8271499999999998E-2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0.02</v>
      </c>
      <c r="D30" s="18">
        <f>CHOOSE($D$27,D69,D70,D71,D72,D73)</f>
        <v>0.02</v>
      </c>
      <c r="E30" s="18">
        <f>CHOOSE($D$27,E69,E70,E71,E72,E73)</f>
        <v>0.02</v>
      </c>
      <c r="F30" s="18">
        <f>CHOOSE($D$27,F69,F70,F71,F72,F73)</f>
        <v>0.02</v>
      </c>
      <c r="G30" s="18">
        <f>CHOOSE($D$27,G69,G70,G71,G72,G73)</f>
        <v>1.4999999999999999E-2</v>
      </c>
    </row>
    <row r="31" spans="2:7" ht="14" x14ac:dyDescent="0.3">
      <c r="B31" s="4" t="s">
        <v>91</v>
      </c>
      <c r="C31" s="18">
        <f>CHOOSE($D$27,C76,C77,C78,C79,C80)</f>
        <v>0.70599999999999996</v>
      </c>
      <c r="D31" s="18">
        <f>CHOOSE($D$27,D76,D77,D78,D79,D80)</f>
        <v>0.70599999999999996</v>
      </c>
      <c r="E31" s="18">
        <f>CHOOSE($D$27,E76,E77,E78,E79,E80)</f>
        <v>0.70599999999999996</v>
      </c>
      <c r="F31" s="18">
        <f>CHOOSE($D$27,F76,F77,F78,F79,F80)</f>
        <v>0.70599999999999996</v>
      </c>
      <c r="G31" s="18">
        <f>CHOOSE($D$27,G76,G77,G78,G79,G80)</f>
        <v>0.70599999999999996</v>
      </c>
    </row>
    <row r="32" spans="2:7" ht="14" x14ac:dyDescent="0.3">
      <c r="B32" s="4" t="s">
        <v>92</v>
      </c>
      <c r="C32" s="18">
        <f>CHOOSE($D$27,C83,C84,C85,C86,C87)</f>
        <v>0.2074</v>
      </c>
      <c r="D32" s="18">
        <f>CHOOSE($D$27,D83,D84,D85,D86,D87)</f>
        <v>0.2087</v>
      </c>
      <c r="E32" s="18">
        <f>CHOOSE($D$27,E83,E84,E85,E86,E87)</f>
        <v>0.2102</v>
      </c>
      <c r="F32" s="18">
        <f>CHOOSE($D$27,F83,F84,F85,F86,F87)</f>
        <v>0.21160000000000001</v>
      </c>
      <c r="G32" s="18">
        <f>CHOOSE($D$27,G83,G84,G85,G86,G87)</f>
        <v>0.21260000000000001</v>
      </c>
    </row>
    <row r="33" spans="2:7" ht="14" x14ac:dyDescent="0.3">
      <c r="B33" s="4" t="s">
        <v>37</v>
      </c>
      <c r="C33" s="5">
        <f>C17*(1+C30)</f>
        <v>420205.32</v>
      </c>
      <c r="D33" s="5">
        <f>C33*(1+D30)</f>
        <v>428609.4264</v>
      </c>
      <c r="E33" s="5">
        <f>D33*(1+E30)</f>
        <v>437181.61492800002</v>
      </c>
      <c r="F33" s="5">
        <f>E33*(1+F30)</f>
        <v>445925.24722656002</v>
      </c>
      <c r="G33" s="5">
        <f>F33*(1+G30)</f>
        <v>452614.1259349584</v>
      </c>
    </row>
    <row r="34" spans="2:7" ht="14" x14ac:dyDescent="0.3">
      <c r="B34" s="4" t="s">
        <v>38</v>
      </c>
      <c r="C34" s="5">
        <f>C33*C31</f>
        <v>296664.95591999998</v>
      </c>
      <c r="D34" s="5">
        <f>D33*D31</f>
        <v>302598.25503840001</v>
      </c>
      <c r="E34" s="5">
        <f>E33*E31</f>
        <v>308650.22013916803</v>
      </c>
      <c r="F34" s="5">
        <f>F33*F31</f>
        <v>314823.22454195138</v>
      </c>
      <c r="G34" s="5">
        <f>G33*G31</f>
        <v>319545.57291008061</v>
      </c>
    </row>
    <row r="35" spans="2:7" ht="14" x14ac:dyDescent="0.3">
      <c r="B35" s="4" t="s">
        <v>39</v>
      </c>
      <c r="C35" s="19">
        <f>C33-C34</f>
        <v>123540.36408000003</v>
      </c>
      <c r="D35" s="19">
        <f>D33-D34</f>
        <v>126011.17136159999</v>
      </c>
      <c r="E35" s="19">
        <f>E33-E34</f>
        <v>128531.394788832</v>
      </c>
      <c r="F35" s="19">
        <f>F33-F34</f>
        <v>131102.02268460864</v>
      </c>
      <c r="G35" s="19">
        <f>G33-G34</f>
        <v>133068.55302487779</v>
      </c>
    </row>
    <row r="36" spans="2:7" ht="14" x14ac:dyDescent="0.3">
      <c r="B36" s="4" t="s">
        <v>40</v>
      </c>
      <c r="C36" s="7">
        <f>C35/C33</f>
        <v>0.29400000000000004</v>
      </c>
      <c r="D36" s="7">
        <f>D35/D33</f>
        <v>0.29399999999999998</v>
      </c>
      <c r="E36" s="7">
        <f>E35/E33</f>
        <v>0.29399999999999998</v>
      </c>
      <c r="F36" s="7">
        <f>F35/F33</f>
        <v>0.29399999999999998</v>
      </c>
      <c r="G36" s="7">
        <f>G35/G33</f>
        <v>0.29400000000000004</v>
      </c>
    </row>
    <row r="37" spans="2:7" ht="14" x14ac:dyDescent="0.3">
      <c r="B37" s="4" t="s">
        <v>93</v>
      </c>
      <c r="C37" s="5">
        <f>C33*C32</f>
        <v>87150.583368000007</v>
      </c>
      <c r="D37" s="5">
        <f>D33*D32</f>
        <v>89450.787289679996</v>
      </c>
      <c r="E37" s="5">
        <f>E33*E32</f>
        <v>91895.575457865605</v>
      </c>
      <c r="F37" s="5">
        <f>F33*F32</f>
        <v>94357.782313140109</v>
      </c>
      <c r="G37" s="5">
        <f>G33*G32</f>
        <v>96225.763173772168</v>
      </c>
    </row>
    <row r="38" spans="2:7" ht="14" x14ac:dyDescent="0.3">
      <c r="B38" s="4" t="s">
        <v>94</v>
      </c>
      <c r="C38" s="7">
        <f>(C35-C37)/C33</f>
        <v>8.6600000000000052E-2</v>
      </c>
      <c r="D38" s="7">
        <f>(D35-D37)/D33</f>
        <v>8.5299999999999987E-2</v>
      </c>
      <c r="E38" s="7">
        <f>(E35-E37)/E33</f>
        <v>8.3799999999999972E-2</v>
      </c>
      <c r="F38" s="7">
        <f>(F35-F37)/F33</f>
        <v>8.2399999999999973E-2</v>
      </c>
      <c r="G38" s="7">
        <f>(G35-G37)/G33</f>
        <v>8.1400000000000028E-2</v>
      </c>
    </row>
    <row r="39" spans="2:7" ht="14" x14ac:dyDescent="0.3">
      <c r="B39" s="4" t="s">
        <v>95</v>
      </c>
      <c r="C39" s="19">
        <f>C35-C37</f>
        <v>36389.780712000022</v>
      </c>
      <c r="D39" s="19">
        <f>D35-D37</f>
        <v>36560.384071919994</v>
      </c>
      <c r="E39" s="19">
        <f>E35-E37</f>
        <v>36635.819330966391</v>
      </c>
      <c r="F39" s="19">
        <f>F35-F37</f>
        <v>36744.240371468535</v>
      </c>
      <c r="G39" s="19">
        <f>G35-G37</f>
        <v>36842.789851105626</v>
      </c>
    </row>
    <row r="40" spans="2:7" ht="14" x14ac:dyDescent="0.3">
      <c r="B40" s="4" t="s">
        <v>96</v>
      </c>
      <c r="C40" s="5">
        <f>MAX(0,C39*C6)</f>
        <v>9097.4451780000054</v>
      </c>
      <c r="D40" s="5">
        <f>MAX(0,D39*C6)</f>
        <v>9140.0960179799986</v>
      </c>
      <c r="E40" s="5">
        <f>MAX(0,E39*C6)</f>
        <v>9158.9548327415978</v>
      </c>
      <c r="F40" s="5">
        <f>MAX(0,F39*C6)</f>
        <v>9186.0600928671338</v>
      </c>
      <c r="G40" s="5">
        <f>MAX(0,G39*C6)</f>
        <v>9210.6974627764066</v>
      </c>
    </row>
    <row r="41" spans="2:7" ht="14" x14ac:dyDescent="0.3">
      <c r="B41" s="4" t="s">
        <v>97</v>
      </c>
      <c r="C41" s="19">
        <f>C39-C40</f>
        <v>27292.335534000016</v>
      </c>
      <c r="D41" s="19">
        <f>D39-D40</f>
        <v>27420.288053939996</v>
      </c>
      <c r="E41" s="19">
        <f>E39-E40</f>
        <v>27476.864498224793</v>
      </c>
      <c r="F41" s="19">
        <f>F39-F40</f>
        <v>27558.180278601401</v>
      </c>
      <c r="G41" s="19">
        <f>G39-G40</f>
        <v>27632.09238832922</v>
      </c>
    </row>
    <row r="42" spans="2:7" ht="14" x14ac:dyDescent="0.3">
      <c r="B42" s="4" t="s">
        <v>98</v>
      </c>
      <c r="C42" s="5">
        <f>C33*C18</f>
        <v>17564.582375999998</v>
      </c>
      <c r="D42" s="5">
        <f>D33*C18</f>
        <v>17915.874023519998</v>
      </c>
      <c r="E42" s="5">
        <f>E33*C18</f>
        <v>18274.191503990398</v>
      </c>
      <c r="F42" s="5">
        <f>F33*C18</f>
        <v>18639.675334070209</v>
      </c>
      <c r="G42" s="5">
        <f>G33*C18</f>
        <v>18919.270464081259</v>
      </c>
    </row>
    <row r="43" spans="2:7" ht="14" x14ac:dyDescent="0.3">
      <c r="B43" s="4" t="s">
        <v>99</v>
      </c>
      <c r="C43" s="5">
        <v>39500</v>
      </c>
      <c r="D43" s="5">
        <v>34600</v>
      </c>
      <c r="E43" s="5">
        <v>29700</v>
      </c>
      <c r="F43" s="5">
        <v>24800</v>
      </c>
      <c r="G43" s="5">
        <v>19900</v>
      </c>
    </row>
    <row r="44" spans="2:7" ht="14" x14ac:dyDescent="0.3">
      <c r="B44" s="4" t="s">
        <v>100</v>
      </c>
      <c r="C44" s="5">
        <f>'NWC Schedule'!D19</f>
        <v>8191.9707243835437</v>
      </c>
      <c r="D44" s="5">
        <f>'NWC Schedule'!E19</f>
        <v>2749.6394144876685</v>
      </c>
      <c r="E44" s="5">
        <f>'NWC Schedule'!F19</f>
        <v>2804.6322027774586</v>
      </c>
      <c r="F44" s="5">
        <f>'NWC Schedule'!G19</f>
        <v>2860.724846832949</v>
      </c>
      <c r="G44" s="5">
        <f>'NWC Schedule'!H19</f>
        <v>2188.4545078272349</v>
      </c>
    </row>
    <row r="45" spans="2:7" ht="14" x14ac:dyDescent="0.3">
      <c r="B45" s="4" t="s">
        <v>101</v>
      </c>
      <c r="C45" s="20">
        <f>C41+C42-C43-C44</f>
        <v>-2835.0528143835254</v>
      </c>
      <c r="D45" s="20">
        <f>D41+D42-D43-D44</f>
        <v>7986.5226629723256</v>
      </c>
      <c r="E45" s="20">
        <f>E41+E42-E43-E44</f>
        <v>13246.423799437733</v>
      </c>
      <c r="F45" s="20">
        <f>F41+F42-F43-F44</f>
        <v>18537.130765838665</v>
      </c>
      <c r="G45" s="20">
        <f>G41+G42-G43-G44</f>
        <v>24462.908344583244</v>
      </c>
    </row>
    <row r="46" spans="2:7" ht="14" x14ac:dyDescent="0.3">
      <c r="B46" s="4" t="s">
        <v>102</v>
      </c>
      <c r="C46" s="21">
        <f>1/(1+C26)^(C19+0)</f>
        <v>0.91052166973284832</v>
      </c>
      <c r="D46" s="21">
        <f>1/(1+C26)^(C19+1)</f>
        <v>0.82904971105309411</v>
      </c>
      <c r="E46" s="21">
        <f>1/(1+C26)^(C19+2)</f>
        <v>0.75486772719959871</v>
      </c>
      <c r="F46" s="21">
        <f>1/(1+C26)^(C19+3)</f>
        <v>0.68732342339721886</v>
      </c>
      <c r="G46" s="21">
        <f>1/(1+C26)^(C19+4)</f>
        <v>0.62582287111813328</v>
      </c>
    </row>
    <row r="47" spans="2:7" ht="14" x14ac:dyDescent="0.3">
      <c r="B47" s="4" t="s">
        <v>103</v>
      </c>
      <c r="C47" s="19">
        <f>C45*C46</f>
        <v>-2581.3770223332986</v>
      </c>
      <c r="D47" s="19">
        <f>D45*D46</f>
        <v>6621.2243060561941</v>
      </c>
      <c r="E47" s="19">
        <f>E45*E46</f>
        <v>9999.2978270042349</v>
      </c>
      <c r="F47" s="19">
        <f>F45*F46</f>
        <v>12741.004177938141</v>
      </c>
      <c r="G47" s="19">
        <f>G45*G46</f>
        <v>15309.447536106827</v>
      </c>
    </row>
    <row r="49" spans="2:7" ht="14" x14ac:dyDescent="0.3">
      <c r="B49" s="22" t="s">
        <v>104</v>
      </c>
      <c r="C49" s="23"/>
      <c r="D49" s="23"/>
      <c r="E49" s="23"/>
      <c r="F49" s="23"/>
      <c r="G49" s="23"/>
    </row>
    <row r="50" spans="2:7" ht="14" x14ac:dyDescent="0.3">
      <c r="B50" s="4" t="s">
        <v>105</v>
      </c>
      <c r="C50" s="5">
        <f>SUM(C47:G47)</f>
        <v>42089.596824772096</v>
      </c>
    </row>
    <row r="51" spans="2:7" ht="14" x14ac:dyDescent="0.3">
      <c r="B51" s="4" t="s">
        <v>106</v>
      </c>
      <c r="C51" s="5">
        <f>G45*(1+C13)/(C26-C13)</f>
        <v>279903.90361587919</v>
      </c>
    </row>
    <row r="52" spans="2:7" ht="14" x14ac:dyDescent="0.3">
      <c r="B52" s="4" t="s">
        <v>107</v>
      </c>
      <c r="C52" s="5">
        <f>C51*G46</f>
        <v>175170.26459806276</v>
      </c>
    </row>
    <row r="53" spans="2:7" ht="14" x14ac:dyDescent="0.3">
      <c r="B53" s="4" t="s">
        <v>108</v>
      </c>
      <c r="C53" s="5">
        <f>C50+C52</f>
        <v>217259.86142283486</v>
      </c>
    </row>
    <row r="54" spans="2:7" ht="14" x14ac:dyDescent="0.3">
      <c r="B54" s="4" t="s">
        <v>109</v>
      </c>
      <c r="C54" s="5">
        <f>C53-C16</f>
        <v>229977.86142283486</v>
      </c>
    </row>
    <row r="55" spans="2:7" ht="14" x14ac:dyDescent="0.3">
      <c r="B55" s="4" t="s">
        <v>110</v>
      </c>
      <c r="C55" s="24">
        <f>ROUND(C54*1000000/C15,0)</f>
        <v>1202</v>
      </c>
    </row>
    <row r="57" spans="2:7" ht="14" x14ac:dyDescent="0.3">
      <c r="B57" s="22" t="s">
        <v>111</v>
      </c>
      <c r="C57" s="23"/>
      <c r="D57" s="23"/>
      <c r="E57" s="23"/>
      <c r="F57" s="23"/>
      <c r="G57" s="23"/>
    </row>
    <row r="58" spans="2:7" ht="14" x14ac:dyDescent="0.3">
      <c r="B58" s="4" t="s">
        <v>105</v>
      </c>
      <c r="C58" s="5">
        <f>C50</f>
        <v>42089.596824772096</v>
      </c>
    </row>
    <row r="59" spans="2:7" ht="14" x14ac:dyDescent="0.3">
      <c r="B59" s="4" t="s">
        <v>112</v>
      </c>
      <c r="C59" s="5">
        <f>G39+G42</f>
        <v>55762.060315186885</v>
      </c>
    </row>
    <row r="60" spans="2:7" ht="14" x14ac:dyDescent="0.3">
      <c r="B60" s="4" t="s">
        <v>113</v>
      </c>
      <c r="C60" s="5">
        <f>C59*C14</f>
        <v>362453.39204871474</v>
      </c>
    </row>
    <row r="61" spans="2:7" ht="14" x14ac:dyDescent="0.3">
      <c r="B61" s="4" t="s">
        <v>107</v>
      </c>
      <c r="C61" s="5">
        <f>C60*G46</f>
        <v>226831.62245843303</v>
      </c>
    </row>
    <row r="62" spans="2:7" ht="14" x14ac:dyDescent="0.3">
      <c r="B62" s="4" t="s">
        <v>108</v>
      </c>
      <c r="C62" s="5">
        <f>C58+C61</f>
        <v>268921.21928320511</v>
      </c>
    </row>
    <row r="63" spans="2:7" ht="14" x14ac:dyDescent="0.3">
      <c r="B63" s="4" t="s">
        <v>109</v>
      </c>
      <c r="C63" s="5">
        <f>C62-C16</f>
        <v>281639.21928320511</v>
      </c>
    </row>
    <row r="64" spans="2:7" ht="14" x14ac:dyDescent="0.3">
      <c r="B64" s="4" t="s">
        <v>114</v>
      </c>
      <c r="C64" s="24">
        <f>ROUND(C63*1000000/C15,0)</f>
        <v>1472</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0.02</v>
      </c>
      <c r="D69" s="26">
        <v>0.02</v>
      </c>
      <c r="E69" s="26">
        <v>0.02</v>
      </c>
      <c r="F69" s="26">
        <v>0.02</v>
      </c>
      <c r="G69" s="26">
        <v>1.4999999999999999E-2</v>
      </c>
    </row>
    <row r="70" spans="2:7" ht="14" x14ac:dyDescent="0.3">
      <c r="B70" s="4" t="s">
        <v>121</v>
      </c>
      <c r="C70" s="26">
        <v>3.5000000000000003E-2</v>
      </c>
      <c r="D70" s="26">
        <v>0.03</v>
      </c>
      <c r="E70" s="26">
        <v>0.03</v>
      </c>
      <c r="F70" s="26">
        <v>2.5000000000000001E-2</v>
      </c>
      <c r="G70" s="26">
        <v>0.02</v>
      </c>
    </row>
    <row r="71" spans="2:7" ht="14" x14ac:dyDescent="0.3">
      <c r="B71" s="4" t="s">
        <v>122</v>
      </c>
      <c r="C71" s="26">
        <v>0.02</v>
      </c>
      <c r="D71" s="26">
        <v>0.02</v>
      </c>
      <c r="E71" s="26">
        <v>0.02</v>
      </c>
      <c r="F71" s="26">
        <v>0.02</v>
      </c>
      <c r="G71" s="26">
        <v>1.4999999999999999E-2</v>
      </c>
    </row>
    <row r="72" spans="2:7" ht="14" x14ac:dyDescent="0.3">
      <c r="B72" s="4" t="s">
        <v>123</v>
      </c>
      <c r="C72" s="26">
        <v>5.0000000000000001E-3</v>
      </c>
      <c r="D72" s="26">
        <v>0.01</v>
      </c>
      <c r="E72" s="26">
        <v>1.4999999999999999E-2</v>
      </c>
      <c r="F72" s="26">
        <v>1.4999999999999999E-2</v>
      </c>
      <c r="G72" s="26">
        <v>1.4999999999999999E-2</v>
      </c>
    </row>
    <row r="73" spans="2:7" ht="14" x14ac:dyDescent="0.3">
      <c r="B73" s="4" t="s">
        <v>124</v>
      </c>
      <c r="C73" s="26">
        <v>-0.08</v>
      </c>
      <c r="D73" s="26">
        <v>-0.01</v>
      </c>
      <c r="E73" s="26">
        <v>1.4999999999999999E-2</v>
      </c>
      <c r="F73" s="26">
        <v>0.02</v>
      </c>
      <c r="G73" s="26">
        <v>0.02</v>
      </c>
    </row>
    <row r="75" spans="2:7" ht="14" x14ac:dyDescent="0.3">
      <c r="B75" s="3" t="s">
        <v>91</v>
      </c>
    </row>
    <row r="76" spans="2:7" ht="14" x14ac:dyDescent="0.3">
      <c r="B76" s="4" t="s">
        <v>84</v>
      </c>
      <c r="C76" s="26">
        <v>0.70599999999999996</v>
      </c>
      <c r="D76" s="26">
        <v>0.70599999999999996</v>
      </c>
      <c r="E76" s="26">
        <v>0.70599999999999996</v>
      </c>
      <c r="F76" s="26">
        <v>0.70599999999999996</v>
      </c>
      <c r="G76" s="26">
        <v>0.70599999999999996</v>
      </c>
    </row>
    <row r="77" spans="2:7" ht="14" x14ac:dyDescent="0.3">
      <c r="B77" s="4" t="s">
        <v>121</v>
      </c>
      <c r="C77" s="26">
        <v>0.69599999999999995</v>
      </c>
      <c r="D77" s="26">
        <v>0.69599999999999995</v>
      </c>
      <c r="E77" s="26">
        <v>0.69599999999999995</v>
      </c>
      <c r="F77" s="26">
        <v>0.69599999999999995</v>
      </c>
      <c r="G77" s="26">
        <v>0.69599999999999995</v>
      </c>
    </row>
    <row r="78" spans="2:7" ht="14" x14ac:dyDescent="0.3">
      <c r="B78" s="4" t="s">
        <v>122</v>
      </c>
      <c r="C78" s="26">
        <v>0.70599999999999996</v>
      </c>
      <c r="D78" s="26">
        <v>0.70599999999999996</v>
      </c>
      <c r="E78" s="26">
        <v>0.70599999999999996</v>
      </c>
      <c r="F78" s="26">
        <v>0.70599999999999996</v>
      </c>
      <c r="G78" s="26">
        <v>0.70599999999999996</v>
      </c>
    </row>
    <row r="79" spans="2:7" ht="14" x14ac:dyDescent="0.3">
      <c r="B79" s="4" t="s">
        <v>123</v>
      </c>
      <c r="C79" s="26">
        <v>0.71599999999999997</v>
      </c>
      <c r="D79" s="26">
        <v>0.71599999999999997</v>
      </c>
      <c r="E79" s="26">
        <v>0.71599999999999997</v>
      </c>
      <c r="F79" s="26">
        <v>0.71599999999999997</v>
      </c>
      <c r="G79" s="26">
        <v>0.71599999999999997</v>
      </c>
    </row>
    <row r="80" spans="2:7" ht="14" x14ac:dyDescent="0.3">
      <c r="B80" s="4" t="s">
        <v>124</v>
      </c>
      <c r="C80" s="26">
        <v>0.72599999999999998</v>
      </c>
      <c r="D80" s="26">
        <v>0.72599999999999998</v>
      </c>
      <c r="E80" s="26">
        <v>0.72599999999999998</v>
      </c>
      <c r="F80" s="26">
        <v>0.72599999999999998</v>
      </c>
      <c r="G80" s="26">
        <v>0.72599999999999998</v>
      </c>
    </row>
    <row r="82" spans="2:7" ht="14" x14ac:dyDescent="0.3">
      <c r="B82" s="3" t="s">
        <v>92</v>
      </c>
    </row>
    <row r="83" spans="2:7" ht="14" x14ac:dyDescent="0.3">
      <c r="B83" s="4" t="s">
        <v>84</v>
      </c>
      <c r="C83" s="26">
        <v>0.2074</v>
      </c>
      <c r="D83" s="26">
        <v>0.2087</v>
      </c>
      <c r="E83" s="26">
        <v>0.2102</v>
      </c>
      <c r="F83" s="26">
        <v>0.21160000000000001</v>
      </c>
      <c r="G83" s="26">
        <v>0.21260000000000001</v>
      </c>
    </row>
    <row r="84" spans="2:7" ht="14" x14ac:dyDescent="0.3">
      <c r="B84" s="4" t="s">
        <v>121</v>
      </c>
      <c r="C84" s="26">
        <v>0.214</v>
      </c>
      <c r="D84" s="26">
        <v>0.21199999999999999</v>
      </c>
      <c r="E84" s="26">
        <v>0.21049999999999999</v>
      </c>
      <c r="F84" s="26">
        <v>0.20949999999999999</v>
      </c>
      <c r="G84" s="26">
        <v>0.20880000000000001</v>
      </c>
    </row>
    <row r="85" spans="2:7" ht="14" x14ac:dyDescent="0.3">
      <c r="B85" s="4" t="s">
        <v>122</v>
      </c>
      <c r="C85" s="26">
        <v>0.2074</v>
      </c>
      <c r="D85" s="26">
        <v>0.2087</v>
      </c>
      <c r="E85" s="26">
        <v>0.2102</v>
      </c>
      <c r="F85" s="26">
        <v>0.21160000000000001</v>
      </c>
      <c r="G85" s="26">
        <v>0.21260000000000001</v>
      </c>
    </row>
    <row r="86" spans="2:7" ht="14" x14ac:dyDescent="0.3">
      <c r="B86" s="4" t="s">
        <v>123</v>
      </c>
      <c r="C86" s="26">
        <v>0.20300000000000001</v>
      </c>
      <c r="D86" s="26">
        <v>0.20799999999999999</v>
      </c>
      <c r="E86" s="26">
        <v>0.21249999999999999</v>
      </c>
      <c r="F86" s="26">
        <v>0.216</v>
      </c>
      <c r="G86" s="26">
        <v>0.21829999999999999</v>
      </c>
    </row>
    <row r="87" spans="2:7" ht="14" x14ac:dyDescent="0.3">
      <c r="B87" s="4" t="s">
        <v>124</v>
      </c>
      <c r="C87" s="26">
        <v>0.214</v>
      </c>
      <c r="D87" s="26">
        <v>0.224</v>
      </c>
      <c r="E87" s="26">
        <v>0.22800000000000001</v>
      </c>
      <c r="F87" s="26">
        <v>0.22800000000000001</v>
      </c>
      <c r="G87" s="26">
        <v>0.22600000000000001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2458</v>
      </c>
    </row>
    <row r="7" spans="2:9" ht="14" x14ac:dyDescent="0.3">
      <c r="B7" s="4" t="s">
        <v>72</v>
      </c>
      <c r="C7" s="15">
        <f>'DCF Model'!C15</f>
        <v>191345507</v>
      </c>
    </row>
    <row r="8" spans="2:9" ht="14" x14ac:dyDescent="0.3">
      <c r="B8" s="4" t="s">
        <v>129</v>
      </c>
      <c r="C8" s="5">
        <f>C6*C7/1000000</f>
        <v>470327.25620599999</v>
      </c>
    </row>
    <row r="9" spans="2:9" ht="14" x14ac:dyDescent="0.3">
      <c r="B9" s="4" t="s">
        <v>73</v>
      </c>
      <c r="C9" s="5">
        <f>'DCF Model'!C16</f>
        <v>-12718</v>
      </c>
    </row>
    <row r="10" spans="2:9" ht="14" x14ac:dyDescent="0.3">
      <c r="B10" s="4" t="s">
        <v>130</v>
      </c>
      <c r="C10" s="5">
        <f>C8+C9</f>
        <v>457609.25620599999</v>
      </c>
    </row>
    <row r="11" spans="2:9" ht="14" x14ac:dyDescent="0.3">
      <c r="B11" s="4" t="s">
        <v>131</v>
      </c>
      <c r="C11" s="16">
        <f>'DCF Model'!C26</f>
        <v>9.8271499999999998E-2</v>
      </c>
    </row>
    <row r="12" spans="2:9" ht="14" x14ac:dyDescent="0.3">
      <c r="B12" s="4" t="s">
        <v>132</v>
      </c>
      <c r="C12" s="16">
        <f>'DCF Model'!C13</f>
        <v>0.01</v>
      </c>
    </row>
    <row r="13" spans="2:9" ht="14" x14ac:dyDescent="0.3">
      <c r="B13" s="4" t="s">
        <v>133</v>
      </c>
      <c r="C13" s="16">
        <f>'DCF Model'!C6</f>
        <v>0.25</v>
      </c>
    </row>
    <row r="14" spans="2:9" ht="14" x14ac:dyDescent="0.3">
      <c r="B14" s="4" t="s">
        <v>134</v>
      </c>
      <c r="C14" s="27">
        <v>36376</v>
      </c>
    </row>
    <row r="15" spans="2:9" ht="14" x14ac:dyDescent="0.3">
      <c r="B15" s="4" t="s">
        <v>135</v>
      </c>
      <c r="C15" s="27">
        <v>36376</v>
      </c>
    </row>
    <row r="16" spans="2:9" ht="14" x14ac:dyDescent="0.3">
      <c r="B16" s="4" t="s">
        <v>136</v>
      </c>
      <c r="C16" s="5">
        <f>'DCF Model'!G33</f>
        <v>452614.1259349584</v>
      </c>
    </row>
    <row r="17" spans="2:9" ht="14" x14ac:dyDescent="0.3">
      <c r="B17" s="4" t="s">
        <v>137</v>
      </c>
      <c r="C17" s="5">
        <f>'DCF Model'!C53</f>
        <v>217259.86142283486</v>
      </c>
    </row>
    <row r="18" spans="2:9" ht="14" x14ac:dyDescent="0.3">
      <c r="B18" s="4" t="s">
        <v>138</v>
      </c>
      <c r="C18" s="26">
        <v>8.829854890937601E-2</v>
      </c>
    </row>
    <row r="19" spans="2:9" ht="14" x14ac:dyDescent="0.3">
      <c r="B19" s="4" t="s">
        <v>139</v>
      </c>
      <c r="C19" s="5">
        <f>C10-C17</f>
        <v>240349.39478316513</v>
      </c>
    </row>
    <row r="20" spans="2:9" ht="14" x14ac:dyDescent="0.3">
      <c r="B20" s="4" t="s">
        <v>140</v>
      </c>
      <c r="C20" s="15">
        <f>IFERROR(ROUND(C19*1000000/C7,0),"N/A")</f>
        <v>1256</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40393.855459187929</v>
      </c>
    </row>
    <row r="25" spans="2:9" ht="14" x14ac:dyDescent="0.3">
      <c r="B25" s="4" t="s">
        <v>144</v>
      </c>
      <c r="C25" s="5">
        <f>IFERROR(C24/(1-C13),"N/A")</f>
        <v>53858.473945583908</v>
      </c>
    </row>
    <row r="26" spans="2:9" ht="13.5" x14ac:dyDescent="0.25">
      <c r="B26" s="6" t="s">
        <v>145</v>
      </c>
      <c r="C26" s="14">
        <f>IFERROR(C25/C15,"N/A")</f>
        <v>1.4806046279300613</v>
      </c>
    </row>
    <row r="27" spans="2:9" ht="13.5" x14ac:dyDescent="0.25">
      <c r="B27" s="6" t="s">
        <v>146</v>
      </c>
      <c r="C27" s="14">
        <f>IFERROR(C25/C14,"N/A")</f>
        <v>1.4806046279300613</v>
      </c>
    </row>
    <row r="28" spans="2:9" ht="13.5" x14ac:dyDescent="0.25">
      <c r="B28" s="6" t="s">
        <v>147</v>
      </c>
      <c r="C28" s="7">
        <f>IFERROR(C25/C16,"N/A")</f>
        <v>0.11899424003687301</v>
      </c>
    </row>
    <row r="29" spans="2:9" ht="13.5" x14ac:dyDescent="0.25">
      <c r="B29" s="6" t="s">
        <v>148</v>
      </c>
      <c r="C29" s="5">
        <f>IFERROR(C25/C18,"N/A")</f>
        <v>609958.76614983566</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7.8271499999999994E-2</v>
      </c>
      <c r="E36" s="29">
        <f>'DCF Model'!C26-0.01</f>
        <v>8.8271500000000003E-2</v>
      </c>
      <c r="F36" s="29">
        <f>'DCF Model'!C26</f>
        <v>9.8271499999999998E-2</v>
      </c>
      <c r="G36" s="29">
        <f>'DCF Model'!C26+0.01</f>
        <v>0.10827149999999999</v>
      </c>
      <c r="H36" s="29">
        <f>'DCF Model'!C26+0.02</f>
        <v>0.1182715</v>
      </c>
    </row>
    <row r="37" spans="2:9" ht="14" x14ac:dyDescent="0.3">
      <c r="B37" s="3" t="s">
        <v>154</v>
      </c>
    </row>
    <row r="38" spans="2:9" ht="14" x14ac:dyDescent="0.3">
      <c r="B38" s="4" t="s">
        <v>155</v>
      </c>
      <c r="C38" s="30">
        <v>3</v>
      </c>
      <c r="D38" s="13">
        <f t="shared" ref="D38:H41" si="0">IFERROR((1-(1+D$36)^(-$C38))/D$36-(1+D$36)/(D$36^2*$C38)*(1-($C38+1)/(1+D$36)^$C38+$C38/(1+D$36)^($C38+1)),"N/A")</f>
        <v>0.90497004128708092</v>
      </c>
      <c r="E38" s="13">
        <f t="shared" si="0"/>
        <v>0.89404416307733481</v>
      </c>
      <c r="F38" s="13">
        <f t="shared" si="0"/>
        <v>0.88336435017292714</v>
      </c>
      <c r="G38" s="13">
        <f t="shared" si="0"/>
        <v>0.87292267832486981</v>
      </c>
      <c r="H38" s="13">
        <f t="shared" si="0"/>
        <v>0.86271155151980716</v>
      </c>
    </row>
    <row r="39" spans="2:9" ht="14" x14ac:dyDescent="0.3">
      <c r="B39" s="4" t="s">
        <v>156</v>
      </c>
      <c r="C39" s="30">
        <v>5</v>
      </c>
      <c r="D39" s="13">
        <f t="shared" si="0"/>
        <v>1.7249952367962558</v>
      </c>
      <c r="E39" s="13">
        <f t="shared" si="0"/>
        <v>1.6946589765358553</v>
      </c>
      <c r="F39" s="13">
        <f t="shared" si="0"/>
        <v>1.6652589379774194</v>
      </c>
      <c r="G39" s="13">
        <f t="shared" si="0"/>
        <v>1.6367556124088578</v>
      </c>
      <c r="H39" s="13">
        <f t="shared" si="0"/>
        <v>1.6091115639887268</v>
      </c>
    </row>
    <row r="40" spans="2:9" ht="14" x14ac:dyDescent="0.3">
      <c r="B40" s="4" t="s">
        <v>157</v>
      </c>
      <c r="C40" s="30">
        <v>7</v>
      </c>
      <c r="D40" s="13">
        <f t="shared" si="0"/>
        <v>2.4690232795355991</v>
      </c>
      <c r="E40" s="13">
        <f t="shared" si="0"/>
        <v>2.412797813101907</v>
      </c>
      <c r="F40" s="13">
        <f t="shared" si="0"/>
        <v>2.3587558257794847</v>
      </c>
      <c r="G40" s="13">
        <f t="shared" si="0"/>
        <v>2.3067841307853798</v>
      </c>
      <c r="H40" s="13">
        <f t="shared" si="0"/>
        <v>2.2567766911437426</v>
      </c>
    </row>
    <row r="41" spans="2:9" ht="14" x14ac:dyDescent="0.3">
      <c r="B41" s="4" t="s">
        <v>158</v>
      </c>
      <c r="C41" s="30">
        <v>10</v>
      </c>
      <c r="D41" s="13">
        <f t="shared" si="0"/>
        <v>3.4597019443177235</v>
      </c>
      <c r="E41" s="13">
        <f t="shared" si="0"/>
        <v>3.356002251825966</v>
      </c>
      <c r="F41" s="13">
        <f t="shared" si="0"/>
        <v>3.2575007350992271</v>
      </c>
      <c r="G41" s="13">
        <f t="shared" si="0"/>
        <v>3.1638562055490147</v>
      </c>
      <c r="H41" s="13">
        <f t="shared" si="0"/>
        <v>3.0747542886236854</v>
      </c>
    </row>
    <row r="42" spans="2:9" ht="14" x14ac:dyDescent="0.3">
      <c r="B42" s="3" t="s">
        <v>159</v>
      </c>
    </row>
    <row r="43" spans="2:9" ht="14" x14ac:dyDescent="0.3">
      <c r="B43" s="4" t="s">
        <v>155</v>
      </c>
      <c r="C43" s="30">
        <v>3</v>
      </c>
      <c r="D43" s="13">
        <f t="shared" ref="D43:H46" si="1">IFERROR((1+D$36)/(D$36^2*$C43)*(1-($C43+1)/(1+D$36)^$C43+$C43/(1+D$36)^($C43+1))+(1+$C$12)/((D$36-$C$12)*(1+D$36)^$C43),"N/A")</f>
        <v>13.480608141081817</v>
      </c>
      <c r="E43" s="13">
        <f t="shared" si="1"/>
        <v>11.65672538369553</v>
      </c>
      <c r="F43" s="13">
        <f t="shared" si="1"/>
        <v>10.248249887629088</v>
      </c>
      <c r="G43" s="13">
        <f t="shared" si="1"/>
        <v>9.1283022895751582</v>
      </c>
      <c r="H43" s="13">
        <f t="shared" si="1"/>
        <v>8.2168802679152897</v>
      </c>
    </row>
    <row r="44" spans="2:9" ht="14" x14ac:dyDescent="0.3">
      <c r="B44" s="4" t="s">
        <v>156</v>
      </c>
      <c r="C44" s="30">
        <v>5</v>
      </c>
      <c r="D44" s="13">
        <f t="shared" si="1"/>
        <v>12.435392307550138</v>
      </c>
      <c r="E44" s="13">
        <f t="shared" si="1"/>
        <v>10.665900160472688</v>
      </c>
      <c r="F44" s="13">
        <f t="shared" si="1"/>
        <v>9.3029740102127931</v>
      </c>
      <c r="G44" s="13">
        <f t="shared" si="1"/>
        <v>8.2222645436327859</v>
      </c>
      <c r="H44" s="13">
        <f t="shared" si="1"/>
        <v>7.345374167870669</v>
      </c>
    </row>
    <row r="45" spans="2:9" ht="14" x14ac:dyDescent="0.3">
      <c r="B45" s="4" t="s">
        <v>157</v>
      </c>
      <c r="C45" s="30">
        <v>7</v>
      </c>
      <c r="D45" s="13">
        <f t="shared" si="1"/>
        <v>11.497680116371804</v>
      </c>
      <c r="E45" s="13">
        <f t="shared" si="1"/>
        <v>9.7871560622057814</v>
      </c>
      <c r="F45" s="13">
        <f t="shared" si="1"/>
        <v>8.4740259114665815</v>
      </c>
      <c r="G45" s="13">
        <f t="shared" si="1"/>
        <v>7.4364591133000673</v>
      </c>
      <c r="H45" s="13">
        <f t="shared" si="1"/>
        <v>6.5976666804717095</v>
      </c>
    </row>
    <row r="46" spans="2:9" ht="14" x14ac:dyDescent="0.3">
      <c r="B46" s="4" t="s">
        <v>158</v>
      </c>
      <c r="C46" s="30">
        <v>10</v>
      </c>
      <c r="D46" s="13">
        <f t="shared" si="1"/>
        <v>10.26607830180938</v>
      </c>
      <c r="E46" s="13">
        <f t="shared" si="1"/>
        <v>8.6486729527785897</v>
      </c>
      <c r="F46" s="13">
        <f t="shared" si="1"/>
        <v>7.4142557021305748</v>
      </c>
      <c r="G46" s="13">
        <f t="shared" si="1"/>
        <v>6.4447846080735527</v>
      </c>
      <c r="H46" s="13">
        <f t="shared" si="1"/>
        <v>5.6659168961728277</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42819.024088415652</v>
      </c>
      <c r="E48" s="5">
        <f t="shared" si="2"/>
        <v>49552.846571573617</v>
      </c>
      <c r="F48" s="5">
        <f t="shared" si="2"/>
        <v>56401.085031813658</v>
      </c>
      <c r="G48" s="5">
        <f t="shared" si="2"/>
        <v>63362.520351142644</v>
      </c>
      <c r="H48" s="5">
        <f t="shared" si="2"/>
        <v>70435.939270426708</v>
      </c>
    </row>
    <row r="49" spans="2:9" ht="14" x14ac:dyDescent="0.3">
      <c r="B49" s="4" t="s">
        <v>156</v>
      </c>
      <c r="C49" s="30">
        <v>5</v>
      </c>
      <c r="D49" s="5">
        <f t="shared" si="2"/>
        <v>44019.298681496439</v>
      </c>
      <c r="E49" s="5">
        <f t="shared" si="2"/>
        <v>51425.641695351922</v>
      </c>
      <c r="F49" s="5">
        <f t="shared" si="2"/>
        <v>59074.68033449832</v>
      </c>
      <c r="G49" s="5">
        <f t="shared" si="2"/>
        <v>66965.377951835864</v>
      </c>
      <c r="H49" s="5">
        <f t="shared" si="2"/>
        <v>75096.600946822145</v>
      </c>
    </row>
    <row r="50" spans="2:9" ht="14" x14ac:dyDescent="0.3">
      <c r="B50" s="4" t="s">
        <v>157</v>
      </c>
      <c r="C50" s="30">
        <v>7</v>
      </c>
      <c r="D50" s="5">
        <f t="shared" si="2"/>
        <v>45255.43230099378</v>
      </c>
      <c r="E50" s="5">
        <f t="shared" si="2"/>
        <v>53373.80321431264</v>
      </c>
      <c r="F50" s="5">
        <f t="shared" si="2"/>
        <v>61876.560031904817</v>
      </c>
      <c r="G50" s="5">
        <f t="shared" si="2"/>
        <v>70764.067600226233</v>
      </c>
      <c r="H50" s="5">
        <f t="shared" si="2"/>
        <v>80036.350970451676</v>
      </c>
    </row>
    <row r="51" spans="2:9" ht="14" x14ac:dyDescent="0.3">
      <c r="B51" s="4" t="s">
        <v>158</v>
      </c>
      <c r="C51" s="30">
        <v>10</v>
      </c>
      <c r="D51" s="5">
        <f t="shared" si="2"/>
        <v>47174.348643870711</v>
      </c>
      <c r="E51" s="5">
        <f t="shared" si="2"/>
        <v>56432.673508842621</v>
      </c>
      <c r="F51" s="5">
        <f t="shared" si="2"/>
        <v>66311.555462011136</v>
      </c>
      <c r="G51" s="5">
        <f t="shared" si="2"/>
        <v>76815.172533169083</v>
      </c>
      <c r="H51" s="5">
        <f t="shared" si="2"/>
        <v>87946.650483868754</v>
      </c>
    </row>
    <row r="52" spans="2:9" ht="14" x14ac:dyDescent="0.3">
      <c r="B52" s="22" t="s">
        <v>161</v>
      </c>
      <c r="C52" s="23"/>
      <c r="D52" s="23"/>
      <c r="E52" s="23"/>
      <c r="F52" s="23"/>
      <c r="G52" s="23"/>
      <c r="H52" s="23"/>
      <c r="I52" s="23"/>
    </row>
    <row r="53" spans="2:9" ht="14" x14ac:dyDescent="0.3">
      <c r="B53" s="4" t="s">
        <v>155</v>
      </c>
      <c r="C53" s="30">
        <v>3</v>
      </c>
      <c r="D53" s="14">
        <f t="shared" ref="D53:H56" si="3">IFERROR(D48/$C$15,"N/A")</f>
        <v>1.1771229406316157</v>
      </c>
      <c r="E53" s="14">
        <f t="shared" si="3"/>
        <v>1.362240119077788</v>
      </c>
      <c r="F53" s="14">
        <f t="shared" si="3"/>
        <v>1.5505026674679365</v>
      </c>
      <c r="G53" s="14">
        <f t="shared" si="3"/>
        <v>1.741877071452129</v>
      </c>
      <c r="H53" s="14">
        <f t="shared" si="3"/>
        <v>1.9363299777443015</v>
      </c>
    </row>
    <row r="54" spans="2:9" ht="14" x14ac:dyDescent="0.3">
      <c r="B54" s="4" t="s">
        <v>156</v>
      </c>
      <c r="C54" s="30">
        <v>5</v>
      </c>
      <c r="D54" s="14">
        <f t="shared" si="3"/>
        <v>1.210119273188268</v>
      </c>
      <c r="E54" s="14">
        <f t="shared" si="3"/>
        <v>1.4137244802988762</v>
      </c>
      <c r="F54" s="14">
        <f t="shared" si="3"/>
        <v>1.6240015486721553</v>
      </c>
      <c r="G54" s="14">
        <f t="shared" si="3"/>
        <v>1.8409219802022174</v>
      </c>
      <c r="H54" s="14">
        <f t="shared" si="3"/>
        <v>2.0644546114697091</v>
      </c>
    </row>
    <row r="55" spans="2:9" ht="14" x14ac:dyDescent="0.3">
      <c r="B55" s="4" t="s">
        <v>157</v>
      </c>
      <c r="C55" s="30">
        <v>7</v>
      </c>
      <c r="D55" s="14">
        <f t="shared" si="3"/>
        <v>1.2441013938034358</v>
      </c>
      <c r="E55" s="14">
        <f t="shared" si="3"/>
        <v>1.4672807129511942</v>
      </c>
      <c r="F55" s="14">
        <f t="shared" si="3"/>
        <v>1.7010270516798114</v>
      </c>
      <c r="G55" s="14">
        <f t="shared" si="3"/>
        <v>1.9453504398566701</v>
      </c>
      <c r="H55" s="14">
        <f t="shared" si="3"/>
        <v>2.2002515661549285</v>
      </c>
    </row>
    <row r="56" spans="2:9" ht="14" x14ac:dyDescent="0.3">
      <c r="B56" s="4" t="s">
        <v>158</v>
      </c>
      <c r="C56" s="30">
        <v>10</v>
      </c>
      <c r="D56" s="14">
        <f t="shared" si="3"/>
        <v>1.2968536574629073</v>
      </c>
      <c r="E56" s="14">
        <f t="shared" si="3"/>
        <v>1.5513710553343585</v>
      </c>
      <c r="F56" s="14">
        <f t="shared" si="3"/>
        <v>1.8229479728945222</v>
      </c>
      <c r="G56" s="14">
        <f t="shared" si="3"/>
        <v>2.1116992669113999</v>
      </c>
      <c r="H56" s="14">
        <f t="shared" si="3"/>
        <v>2.4177108666117428</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59074.68033449832</v>
      </c>
    </row>
    <row r="62" spans="2:9" ht="14" x14ac:dyDescent="0.3">
      <c r="B62" s="28" t="s">
        <v>165</v>
      </c>
      <c r="C62" s="28" t="s">
        <v>166</v>
      </c>
      <c r="D62" s="28" t="s">
        <v>167</v>
      </c>
    </row>
    <row r="63" spans="2:9" ht="14" x14ac:dyDescent="0.3">
      <c r="B63" s="31">
        <v>4.41E-2</v>
      </c>
      <c r="C63" s="5">
        <f>IFERROR($C$60/B63,"N/A")</f>
        <v>1339561.9123469007</v>
      </c>
      <c r="D63" s="14">
        <f>IFERROR(C63/'DCF Model'!C17,"N/A")</f>
        <v>3.2516322034995624</v>
      </c>
    </row>
    <row r="64" spans="2:9" ht="14" x14ac:dyDescent="0.3">
      <c r="B64" s="31">
        <v>6.6199999999999995E-2</v>
      </c>
      <c r="C64" s="5">
        <f>IFERROR($C$60/B64,"N/A")</f>
        <v>892366.77242444595</v>
      </c>
      <c r="D64" s="14">
        <f>IFERROR(C64/'DCF Model'!C17,"N/A")</f>
        <v>2.1661175252920044</v>
      </c>
    </row>
    <row r="65" spans="2:9" ht="14" x14ac:dyDescent="0.3">
      <c r="B65" s="4" t="s">
        <v>168</v>
      </c>
      <c r="C65" s="5">
        <f>IFERROR($C$60/$C$18,"N/A")</f>
        <v>669033.42200027313</v>
      </c>
      <c r="D65" s="14">
        <f>IFERROR(C65/'DCF Model'!C17,"N/A")</f>
        <v>1.6240015486721553</v>
      </c>
    </row>
    <row r="66" spans="2:9" ht="14" x14ac:dyDescent="0.3">
      <c r="B66" s="31">
        <v>0.1104</v>
      </c>
      <c r="C66" s="5">
        <f>IFERROR($C$60/B66,"N/A")</f>
        <v>535096.74216031085</v>
      </c>
      <c r="D66" s="14">
        <f>IFERROR(C66/'DCF Model'!C17,"N/A")</f>
        <v>1.2988856899848795</v>
      </c>
    </row>
    <row r="67" spans="2:9" ht="14" x14ac:dyDescent="0.3">
      <c r="B67" s="31">
        <v>0.13239999999999999</v>
      </c>
      <c r="C67" s="5">
        <f>IFERROR($C$60/B67,"N/A")</f>
        <v>446183.38621222298</v>
      </c>
      <c r="D67" s="14">
        <f>IFERROR(C67/'DCF Model'!C17,"N/A")</f>
        <v>1.0830587626460022</v>
      </c>
    </row>
    <row r="69" spans="2:9" ht="14" x14ac:dyDescent="0.3">
      <c r="B69" s="8" t="s">
        <v>169</v>
      </c>
      <c r="C69" s="9"/>
      <c r="D69" s="9"/>
      <c r="E69" s="9"/>
      <c r="F69" s="9"/>
      <c r="G69" s="9"/>
      <c r="H69" s="9"/>
      <c r="I69" s="9"/>
    </row>
    <row r="70" spans="2:9" ht="13.5" x14ac:dyDescent="0.25">
      <c r="B70" s="6" t="s">
        <v>170</v>
      </c>
      <c r="C70" s="14">
        <f>IFERROR(C10/'Comps Analysis'!G5,"N/A")</f>
        <v>8.5365305414692383</v>
      </c>
    </row>
    <row r="71" spans="2:9" ht="13.5" x14ac:dyDescent="0.25">
      <c r="B71" s="6" t="s">
        <v>171</v>
      </c>
      <c r="C71" s="14">
        <f>IFERROR(C10/'Comps Analysis'!F5,"N/A")</f>
        <v>1.1107937456149293</v>
      </c>
    </row>
    <row r="72" spans="2:9" ht="14" x14ac:dyDescent="0.3">
      <c r="B72" s="4" t="s">
        <v>172</v>
      </c>
      <c r="C72" s="14">
        <f>IFERROR(C10/(C25+'DCF Model'!G42),"N/A")</f>
        <v>6.2877636551927498</v>
      </c>
    </row>
    <row r="73" spans="2:9" ht="14" x14ac:dyDescent="0.3">
      <c r="B73" s="4" t="s">
        <v>173</v>
      </c>
      <c r="C73" s="14">
        <f>IFERROR(C10/(C60+'DCF Model'!G42),"N/A")</f>
        <v>5.8672403631376744</v>
      </c>
    </row>
    <row r="74" spans="2:9" ht="14" x14ac:dyDescent="0.3">
      <c r="B74" s="4" t="s">
        <v>174</v>
      </c>
      <c r="C74" s="14">
        <f>IFERROR('Comps Analysis'!D16,"N/A")</f>
        <v>6.5355004397208241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2,458 yen the market is paying for a steady-state operating profit of 59,075 mn JPY - 1.62x the FY2026 cycle peak of 36,376 mn - reached in 5 years and sustained for ever, against 36,376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53,858 mn, or 1.48x the peak. The base case supports an EV of only 217,260 mn, leaving 1,256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56.505245578518618</v>
      </c>
      <c r="D5" s="34">
        <f>CHOOSE('DCF Model'!$D$27,D25,D26,D27,D28,D29)</f>
        <v>70</v>
      </c>
      <c r="E5" s="34">
        <f>CHOOSE('DCF Model'!$D$27,E25,E26,E27,E28,E29)</f>
        <v>70</v>
      </c>
      <c r="F5" s="34">
        <f>CHOOSE('DCF Model'!$D$27,F25,F26,F27,F28,F29)</f>
        <v>70</v>
      </c>
      <c r="G5" s="34">
        <f>CHOOSE('DCF Model'!$D$27,G25,G26,G27,G28,G29)</f>
        <v>70</v>
      </c>
      <c r="H5" s="34">
        <f>CHOOSE('DCF Model'!$D$27,H25,H26,H27,H28,H29)</f>
        <v>70</v>
      </c>
    </row>
    <row r="6" spans="2:8" ht="14" x14ac:dyDescent="0.3">
      <c r="B6" s="33" t="s">
        <v>181</v>
      </c>
      <c r="C6" s="34">
        <f>C13/C10*365</f>
        <v>155.97020263856598</v>
      </c>
      <c r="D6" s="34">
        <f>CHOOSE('DCF Model'!$D$27,D32,D33,D34,D35,D36)</f>
        <v>164</v>
      </c>
      <c r="E6" s="34">
        <f>CHOOSE('DCF Model'!$D$27,E32,E33,E34,E35,E36)</f>
        <v>164</v>
      </c>
      <c r="F6" s="34">
        <f>CHOOSE('DCF Model'!$D$27,F32,F33,F34,F35,F36)</f>
        <v>164</v>
      </c>
      <c r="G6" s="34">
        <f>CHOOSE('DCF Model'!$D$27,G32,G33,G34,G35,G36)</f>
        <v>164</v>
      </c>
      <c r="H6" s="34">
        <f>CHOOSE('DCF Model'!$D$27,H32,H33,H34,H35,H36)</f>
        <v>164</v>
      </c>
    </row>
    <row r="7" spans="2:8" ht="14" x14ac:dyDescent="0.3">
      <c r="B7" s="33" t="s">
        <v>182</v>
      </c>
      <c r="C7" s="34">
        <f>C15/C10*365</f>
        <v>73.729588257143249</v>
      </c>
      <c r="D7" s="34">
        <f>CHOOSE('DCF Model'!$D$27,D39,D40,D41,D42,D43)</f>
        <v>94</v>
      </c>
      <c r="E7" s="34">
        <f>CHOOSE('DCF Model'!$D$27,E39,E40,E41,E42,E43)</f>
        <v>94</v>
      </c>
      <c r="F7" s="34">
        <f>CHOOSE('DCF Model'!$D$27,F39,F40,F41,F42,F43)</f>
        <v>94</v>
      </c>
      <c r="G7" s="34">
        <f>CHOOSE('DCF Model'!$D$27,G39,G40,G41,G42,G43)</f>
        <v>94</v>
      </c>
      <c r="H7" s="34">
        <f>CHOOSE('DCF Model'!$D$27,H39,H40,H41,H42,H43)</f>
        <v>94</v>
      </c>
    </row>
    <row r="8" spans="2:8" ht="14" x14ac:dyDescent="0.3">
      <c r="B8" s="8" t="s">
        <v>183</v>
      </c>
      <c r="C8" s="9"/>
      <c r="D8" s="9"/>
      <c r="E8" s="9"/>
      <c r="F8" s="9"/>
      <c r="G8" s="9"/>
      <c r="H8" s="9"/>
    </row>
    <row r="9" spans="2:8" ht="14" x14ac:dyDescent="0.3">
      <c r="B9" s="33" t="s">
        <v>37</v>
      </c>
      <c r="C9" s="35">
        <v>411966</v>
      </c>
      <c r="D9" s="35">
        <f>'DCF Model'!C33</f>
        <v>420205.32</v>
      </c>
      <c r="E9" s="35">
        <f>'DCF Model'!D33</f>
        <v>428609.4264</v>
      </c>
      <c r="F9" s="35">
        <f>'DCF Model'!E33</f>
        <v>437181.61492800002</v>
      </c>
      <c r="G9" s="35">
        <f>'DCF Model'!F33</f>
        <v>445925.24722656002</v>
      </c>
      <c r="H9" s="35">
        <f>'DCF Model'!G33</f>
        <v>452614.1259349584</v>
      </c>
    </row>
    <row r="10" spans="2:8" ht="14" x14ac:dyDescent="0.3">
      <c r="B10" s="33" t="s">
        <v>38</v>
      </c>
      <c r="C10" s="35">
        <v>290764</v>
      </c>
      <c r="D10" s="35">
        <f>'DCF Model'!C34</f>
        <v>296664.95591999998</v>
      </c>
      <c r="E10" s="35">
        <f>'DCF Model'!D34</f>
        <v>302598.25503840001</v>
      </c>
      <c r="F10" s="35">
        <f>'DCF Model'!E34</f>
        <v>308650.22013916803</v>
      </c>
      <c r="G10" s="35">
        <f>'DCF Model'!F34</f>
        <v>314823.22454195138</v>
      </c>
      <c r="H10" s="35">
        <f>'DCF Model'!G34</f>
        <v>319545.57291008061</v>
      </c>
    </row>
    <row r="11" spans="2:8" ht="14" x14ac:dyDescent="0.3">
      <c r="B11" s="8" t="s">
        <v>184</v>
      </c>
      <c r="C11" s="9"/>
      <c r="D11" s="9"/>
      <c r="E11" s="9"/>
      <c r="F11" s="9"/>
      <c r="G11" s="9"/>
      <c r="H11" s="9"/>
    </row>
    <row r="12" spans="2:8" ht="14" x14ac:dyDescent="0.3">
      <c r="B12" s="33" t="s">
        <v>185</v>
      </c>
      <c r="C12" s="35">
        <v>63776</v>
      </c>
      <c r="D12" s="35">
        <f t="shared" ref="D12:H13" si="0">D9*D5/365</f>
        <v>80587.321643835618</v>
      </c>
      <c r="E12" s="35">
        <f t="shared" si="0"/>
        <v>82199.068076712327</v>
      </c>
      <c r="F12" s="35">
        <f t="shared" si="0"/>
        <v>83843.049438246584</v>
      </c>
      <c r="G12" s="35">
        <f t="shared" si="0"/>
        <v>85519.910427011506</v>
      </c>
      <c r="H12" s="35">
        <f t="shared" si="0"/>
        <v>86802.709083416674</v>
      </c>
    </row>
    <row r="13" spans="2:8" ht="14" x14ac:dyDescent="0.3">
      <c r="B13" s="33" t="s">
        <v>186</v>
      </c>
      <c r="C13" s="35">
        <v>124248</v>
      </c>
      <c r="D13" s="35">
        <f t="shared" si="0"/>
        <v>133296.03498871232</v>
      </c>
      <c r="E13" s="35">
        <f t="shared" si="0"/>
        <v>135961.95568848657</v>
      </c>
      <c r="F13" s="35">
        <f t="shared" si="0"/>
        <v>138681.19480225633</v>
      </c>
      <c r="G13" s="35">
        <f t="shared" si="0"/>
        <v>141454.81869830145</v>
      </c>
      <c r="H13" s="35">
        <f t="shared" si="0"/>
        <v>143576.64097877595</v>
      </c>
    </row>
    <row r="14" spans="2:8" ht="14" x14ac:dyDescent="0.3">
      <c r="B14" s="33" t="s">
        <v>187</v>
      </c>
      <c r="C14" s="35">
        <f t="shared" ref="C14:H14" si="1">C12+C13</f>
        <v>188024</v>
      </c>
      <c r="D14" s="35">
        <f t="shared" si="1"/>
        <v>213883.35663254792</v>
      </c>
      <c r="E14" s="35">
        <f t="shared" si="1"/>
        <v>218161.02376519889</v>
      </c>
      <c r="F14" s="35">
        <f t="shared" si="1"/>
        <v>222524.24424050291</v>
      </c>
      <c r="G14" s="35">
        <f t="shared" si="1"/>
        <v>226974.72912531294</v>
      </c>
      <c r="H14" s="35">
        <f t="shared" si="1"/>
        <v>230379.35006219262</v>
      </c>
    </row>
    <row r="15" spans="2:8" ht="14" x14ac:dyDescent="0.3">
      <c r="B15" s="33" t="s">
        <v>188</v>
      </c>
      <c r="C15" s="35">
        <v>58734</v>
      </c>
      <c r="D15" s="35">
        <f>D10*D7/365</f>
        <v>76401.385908164375</v>
      </c>
      <c r="E15" s="35">
        <f>E10*E7/365</f>
        <v>77929.413626327674</v>
      </c>
      <c r="F15" s="35">
        <f>F10*F7/365</f>
        <v>79488.001898854243</v>
      </c>
      <c r="G15" s="35">
        <f>G10*G7/365</f>
        <v>81077.761936831317</v>
      </c>
      <c r="H15" s="35">
        <f>H10*H7/365</f>
        <v>82293.928365883767</v>
      </c>
    </row>
    <row r="16" spans="2:8" ht="14" x14ac:dyDescent="0.3">
      <c r="B16" s="33" t="s">
        <v>189</v>
      </c>
      <c r="C16" s="35">
        <f t="shared" ref="C16:H16" si="2">C15</f>
        <v>58734</v>
      </c>
      <c r="D16" s="35">
        <f t="shared" si="2"/>
        <v>76401.385908164375</v>
      </c>
      <c r="E16" s="35">
        <f t="shared" si="2"/>
        <v>77929.413626327674</v>
      </c>
      <c r="F16" s="35">
        <f t="shared" si="2"/>
        <v>79488.001898854243</v>
      </c>
      <c r="G16" s="35">
        <f t="shared" si="2"/>
        <v>81077.761936831317</v>
      </c>
      <c r="H16" s="35">
        <f t="shared" si="2"/>
        <v>82293.928365883767</v>
      </c>
    </row>
    <row r="17" spans="2:8" ht="14" x14ac:dyDescent="0.3">
      <c r="B17" s="22" t="s">
        <v>190</v>
      </c>
      <c r="C17" s="23"/>
      <c r="D17" s="23"/>
      <c r="E17" s="23"/>
      <c r="F17" s="23"/>
      <c r="G17" s="23"/>
      <c r="H17" s="23"/>
    </row>
    <row r="18" spans="2:8" ht="14" x14ac:dyDescent="0.3">
      <c r="B18" s="33" t="s">
        <v>191</v>
      </c>
      <c r="C18" s="20">
        <f t="shared" ref="C18:H18" si="3">C14-C16</f>
        <v>129290</v>
      </c>
      <c r="D18" s="20">
        <f t="shared" si="3"/>
        <v>137481.97072438354</v>
      </c>
      <c r="E18" s="20">
        <f t="shared" si="3"/>
        <v>140231.61013887121</v>
      </c>
      <c r="F18" s="20">
        <f t="shared" si="3"/>
        <v>143036.24234164867</v>
      </c>
      <c r="G18" s="20">
        <f t="shared" si="3"/>
        <v>145896.96718848162</v>
      </c>
      <c r="H18" s="20">
        <f t="shared" si="3"/>
        <v>148085.42169630885</v>
      </c>
    </row>
    <row r="19" spans="2:8" ht="14" x14ac:dyDescent="0.3">
      <c r="B19" s="33" t="s">
        <v>100</v>
      </c>
      <c r="C19" s="36" t="s">
        <v>47</v>
      </c>
      <c r="D19" s="24">
        <f>D18-C18</f>
        <v>8191.9707243835437</v>
      </c>
      <c r="E19" s="24">
        <f>E18-D18</f>
        <v>2749.6394144876685</v>
      </c>
      <c r="F19" s="24">
        <f>F18-E18</f>
        <v>2804.6322027774586</v>
      </c>
      <c r="G19" s="24">
        <f>G18-F18</f>
        <v>2860.724846832949</v>
      </c>
      <c r="H19" s="24">
        <f>H18-G18</f>
        <v>2188.4545078272349</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70</v>
      </c>
      <c r="E25" s="30">
        <v>70</v>
      </c>
      <c r="F25" s="30">
        <v>70</v>
      </c>
      <c r="G25" s="30">
        <v>70</v>
      </c>
      <c r="H25" s="30">
        <v>70</v>
      </c>
    </row>
    <row r="26" spans="2:8" ht="14" x14ac:dyDescent="0.3">
      <c r="B26" s="4" t="s">
        <v>121</v>
      </c>
      <c r="D26" s="30">
        <v>67</v>
      </c>
      <c r="E26" s="30">
        <v>67</v>
      </c>
      <c r="F26" s="30">
        <v>67</v>
      </c>
      <c r="G26" s="30">
        <v>67</v>
      </c>
      <c r="H26" s="30">
        <v>67</v>
      </c>
    </row>
    <row r="27" spans="2:8" ht="14" x14ac:dyDescent="0.3">
      <c r="B27" s="4" t="s">
        <v>122</v>
      </c>
      <c r="D27" s="30">
        <v>70</v>
      </c>
      <c r="E27" s="30">
        <v>70</v>
      </c>
      <c r="F27" s="30">
        <v>70</v>
      </c>
      <c r="G27" s="30">
        <v>70</v>
      </c>
      <c r="H27" s="30">
        <v>70</v>
      </c>
    </row>
    <row r="28" spans="2:8" ht="14" x14ac:dyDescent="0.3">
      <c r="B28" s="4" t="s">
        <v>123</v>
      </c>
      <c r="D28" s="30">
        <v>74</v>
      </c>
      <c r="E28" s="30">
        <v>74</v>
      </c>
      <c r="F28" s="30">
        <v>74</v>
      </c>
      <c r="G28" s="30">
        <v>74</v>
      </c>
      <c r="H28" s="30">
        <v>74</v>
      </c>
    </row>
    <row r="29" spans="2:8" ht="14" x14ac:dyDescent="0.3">
      <c r="B29" s="4" t="s">
        <v>124</v>
      </c>
      <c r="D29" s="30">
        <v>78</v>
      </c>
      <c r="E29" s="30">
        <v>78</v>
      </c>
      <c r="F29" s="30">
        <v>78</v>
      </c>
      <c r="G29" s="30">
        <v>78</v>
      </c>
      <c r="H29" s="30">
        <v>78</v>
      </c>
    </row>
    <row r="31" spans="2:8" ht="14" x14ac:dyDescent="0.3">
      <c r="B31" s="3" t="s">
        <v>194</v>
      </c>
    </row>
    <row r="32" spans="2:8" ht="14" x14ac:dyDescent="0.3">
      <c r="B32" s="4" t="s">
        <v>84</v>
      </c>
      <c r="D32" s="30">
        <v>164</v>
      </c>
      <c r="E32" s="30">
        <v>164</v>
      </c>
      <c r="F32" s="30">
        <v>164</v>
      </c>
      <c r="G32" s="30">
        <v>164</v>
      </c>
      <c r="H32" s="30">
        <v>164</v>
      </c>
    </row>
    <row r="33" spans="2:8" ht="14" x14ac:dyDescent="0.3">
      <c r="B33" s="4" t="s">
        <v>121</v>
      </c>
      <c r="D33" s="30">
        <v>158</v>
      </c>
      <c r="E33" s="30">
        <v>158</v>
      </c>
      <c r="F33" s="30">
        <v>158</v>
      </c>
      <c r="G33" s="30">
        <v>158</v>
      </c>
      <c r="H33" s="30">
        <v>158</v>
      </c>
    </row>
    <row r="34" spans="2:8" ht="14" x14ac:dyDescent="0.3">
      <c r="B34" s="4" t="s">
        <v>122</v>
      </c>
      <c r="D34" s="30">
        <v>164</v>
      </c>
      <c r="E34" s="30">
        <v>164</v>
      </c>
      <c r="F34" s="30">
        <v>164</v>
      </c>
      <c r="G34" s="30">
        <v>164</v>
      </c>
      <c r="H34" s="30">
        <v>164</v>
      </c>
    </row>
    <row r="35" spans="2:8" ht="14" x14ac:dyDescent="0.3">
      <c r="B35" s="4" t="s">
        <v>123</v>
      </c>
      <c r="D35" s="30">
        <v>171</v>
      </c>
      <c r="E35" s="30">
        <v>171</v>
      </c>
      <c r="F35" s="30">
        <v>171</v>
      </c>
      <c r="G35" s="30">
        <v>171</v>
      </c>
      <c r="H35" s="30">
        <v>171</v>
      </c>
    </row>
    <row r="36" spans="2:8" ht="14" x14ac:dyDescent="0.3">
      <c r="B36" s="4" t="s">
        <v>124</v>
      </c>
      <c r="D36" s="30">
        <v>178</v>
      </c>
      <c r="E36" s="30">
        <v>178</v>
      </c>
      <c r="F36" s="30">
        <v>178</v>
      </c>
      <c r="G36" s="30">
        <v>178</v>
      </c>
      <c r="H36" s="30">
        <v>178</v>
      </c>
    </row>
    <row r="38" spans="2:8" ht="14" x14ac:dyDescent="0.3">
      <c r="B38" s="3" t="s">
        <v>195</v>
      </c>
    </row>
    <row r="39" spans="2:8" ht="14" x14ac:dyDescent="0.3">
      <c r="B39" s="4" t="s">
        <v>84</v>
      </c>
      <c r="D39" s="30">
        <v>94</v>
      </c>
      <c r="E39" s="30">
        <v>94</v>
      </c>
      <c r="F39" s="30">
        <v>94</v>
      </c>
      <c r="G39" s="30">
        <v>94</v>
      </c>
      <c r="H39" s="30">
        <v>94</v>
      </c>
    </row>
    <row r="40" spans="2:8" ht="14" x14ac:dyDescent="0.3">
      <c r="B40" s="4" t="s">
        <v>121</v>
      </c>
      <c r="D40" s="30">
        <v>96</v>
      </c>
      <c r="E40" s="30">
        <v>96</v>
      </c>
      <c r="F40" s="30">
        <v>96</v>
      </c>
      <c r="G40" s="30">
        <v>96</v>
      </c>
      <c r="H40" s="30">
        <v>96</v>
      </c>
    </row>
    <row r="41" spans="2:8" ht="14" x14ac:dyDescent="0.3">
      <c r="B41" s="4" t="s">
        <v>122</v>
      </c>
      <c r="D41" s="30">
        <v>94</v>
      </c>
      <c r="E41" s="30">
        <v>94</v>
      </c>
      <c r="F41" s="30">
        <v>94</v>
      </c>
      <c r="G41" s="30">
        <v>94</v>
      </c>
      <c r="H41" s="30">
        <v>94</v>
      </c>
    </row>
    <row r="42" spans="2:8" ht="14" x14ac:dyDescent="0.3">
      <c r="B42" s="4" t="s">
        <v>123</v>
      </c>
      <c r="D42" s="30">
        <v>91</v>
      </c>
      <c r="E42" s="30">
        <v>91</v>
      </c>
      <c r="F42" s="30">
        <v>91</v>
      </c>
      <c r="G42" s="30">
        <v>91</v>
      </c>
      <c r="H42" s="30">
        <v>91</v>
      </c>
    </row>
    <row r="43" spans="2:8" ht="14" x14ac:dyDescent="0.3">
      <c r="B43" s="4" t="s">
        <v>124</v>
      </c>
      <c r="D43" s="30">
        <v>88</v>
      </c>
      <c r="E43" s="30">
        <v>88</v>
      </c>
      <c r="F43" s="30">
        <v>88</v>
      </c>
      <c r="G43" s="30">
        <v>88</v>
      </c>
      <c r="H43" s="30">
        <v>88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470327.25620599999</v>
      </c>
      <c r="E5" s="37">
        <f>D5+C24</f>
        <v>457609.25620599999</v>
      </c>
      <c r="F5" s="37">
        <v>411966</v>
      </c>
      <c r="G5" s="37">
        <v>53606</v>
      </c>
      <c r="H5" s="37">
        <v>36376</v>
      </c>
      <c r="I5" s="37">
        <v>36226</v>
      </c>
      <c r="J5" s="38">
        <f t="shared" ref="J5:J10" si="0">IFERROR(E5/G5,"")</f>
        <v>8.5365305414692383</v>
      </c>
      <c r="K5" s="38">
        <f t="shared" ref="K5:K10" si="1">IFERROR(E5/F5,"")</f>
        <v>1.1107937456149293</v>
      </c>
      <c r="L5" s="38">
        <f t="shared" ref="L5:L10" si="2">IFERROR(D5/I5,"")</f>
        <v>12.983140733340694</v>
      </c>
      <c r="M5" s="38">
        <f t="shared" ref="M5:M10" si="3">IFERROR(D5/P5,"")</f>
        <v>1.2456954254029802</v>
      </c>
      <c r="N5" s="39">
        <f t="shared" ref="N5:N10" si="4">IFERROR(H5/F5,"")</f>
        <v>8.829854890937601E-2</v>
      </c>
      <c r="O5" s="39">
        <f t="shared" ref="O5:O10" si="5">IFERROR(I5/P5,"")</f>
        <v>9.5947155698931572E-2</v>
      </c>
      <c r="P5" s="37">
        <v>377562</v>
      </c>
    </row>
    <row r="6" spans="2:17" ht="14" x14ac:dyDescent="0.3">
      <c r="B6" s="4" t="s">
        <v>214</v>
      </c>
      <c r="C6" t="s">
        <v>215</v>
      </c>
      <c r="D6" s="37">
        <v>804059</v>
      </c>
      <c r="E6" s="37">
        <v>1361137</v>
      </c>
      <c r="F6" s="37">
        <v>1668754</v>
      </c>
      <c r="G6" s="37">
        <v>161346</v>
      </c>
      <c r="H6" s="37">
        <v>56602</v>
      </c>
      <c r="I6" s="37">
        <v>34378</v>
      </c>
      <c r="J6" s="38">
        <f t="shared" si="0"/>
        <v>8.4361372454228807</v>
      </c>
      <c r="K6" s="38">
        <f t="shared" si="1"/>
        <v>0.81566066658117375</v>
      </c>
      <c r="L6" s="38">
        <f t="shared" si="2"/>
        <v>23.388766071324685</v>
      </c>
      <c r="M6" s="38">
        <f t="shared" si="3"/>
        <v>0.92984144128725021</v>
      </c>
      <c r="N6" s="39">
        <f t="shared" si="4"/>
        <v>3.3918720194828E-2</v>
      </c>
      <c r="O6" s="39">
        <f t="shared" si="5"/>
        <v>3.9755899838908697E-2</v>
      </c>
      <c r="P6" s="37">
        <v>864727</v>
      </c>
    </row>
    <row r="7" spans="2:17" ht="14" x14ac:dyDescent="0.3">
      <c r="B7" s="4" t="s">
        <v>216</v>
      </c>
      <c r="C7" t="s">
        <v>217</v>
      </c>
      <c r="D7" s="37">
        <v>982369</v>
      </c>
      <c r="E7" s="37">
        <v>1925235</v>
      </c>
      <c r="F7" s="37">
        <v>2328515</v>
      </c>
      <c r="G7" s="37">
        <v>316084</v>
      </c>
      <c r="H7" s="37">
        <v>195015</v>
      </c>
      <c r="I7" s="37">
        <v>60947</v>
      </c>
      <c r="J7" s="38">
        <f t="shared" si="0"/>
        <v>6.090896723655737</v>
      </c>
      <c r="K7" s="38">
        <f t="shared" si="1"/>
        <v>0.82680807295636916</v>
      </c>
      <c r="L7" s="38">
        <f t="shared" si="2"/>
        <v>16.11841436001772</v>
      </c>
      <c r="M7" s="38">
        <f t="shared" si="3"/>
        <v>0.9739501746899798</v>
      </c>
      <c r="N7" s="39">
        <f t="shared" si="4"/>
        <v>8.3750802550123141E-2</v>
      </c>
      <c r="O7" s="39">
        <f t="shared" si="5"/>
        <v>6.0424688988384406E-2</v>
      </c>
      <c r="P7" s="37">
        <v>1008644</v>
      </c>
    </row>
    <row r="8" spans="2:17" ht="14" x14ac:dyDescent="0.3">
      <c r="B8" s="4" t="s">
        <v>218</v>
      </c>
      <c r="C8" t="s">
        <v>219</v>
      </c>
      <c r="D8" s="37">
        <v>553934</v>
      </c>
      <c r="E8" s="37">
        <v>734751</v>
      </c>
      <c r="F8" s="37">
        <v>808447</v>
      </c>
      <c r="G8" s="37">
        <v>143585</v>
      </c>
      <c r="H8" s="37">
        <v>58883</v>
      </c>
      <c r="I8" s="37">
        <v>7468</v>
      </c>
      <c r="J8" s="38">
        <f t="shared" si="0"/>
        <v>5.1171849427168574</v>
      </c>
      <c r="K8" s="38">
        <f t="shared" si="1"/>
        <v>0.90884250915644438</v>
      </c>
      <c r="L8" s="38">
        <f t="shared" si="2"/>
        <v>74.174343867166584</v>
      </c>
      <c r="M8" s="38">
        <f t="shared" si="3"/>
        <v>0.74568956233307482</v>
      </c>
      <c r="N8" s="39">
        <f t="shared" si="4"/>
        <v>7.2834706542296526E-2</v>
      </c>
      <c r="O8" s="39">
        <f t="shared" si="5"/>
        <v>1.005320065477729E-2</v>
      </c>
      <c r="P8" s="37">
        <v>742848</v>
      </c>
    </row>
    <row r="9" spans="2:17" ht="14" x14ac:dyDescent="0.3">
      <c r="B9" s="4" t="s">
        <v>220</v>
      </c>
      <c r="C9" t="s">
        <v>221</v>
      </c>
      <c r="D9" s="37">
        <v>2160016</v>
      </c>
      <c r="E9" s="37">
        <v>2794214</v>
      </c>
      <c r="F9" s="37">
        <v>3074505</v>
      </c>
      <c r="G9" s="37">
        <v>427544</v>
      </c>
      <c r="H9" s="37">
        <v>231200</v>
      </c>
      <c r="I9" s="37">
        <v>158794</v>
      </c>
      <c r="J9" s="38">
        <f t="shared" si="0"/>
        <v>6.5355004397208241</v>
      </c>
      <c r="K9" s="38">
        <f t="shared" si="1"/>
        <v>0.90883377974665835</v>
      </c>
      <c r="L9" s="38">
        <f t="shared" si="2"/>
        <v>13.602629822285477</v>
      </c>
      <c r="M9" s="38">
        <f t="shared" si="3"/>
        <v>1.0342630619035376</v>
      </c>
      <c r="N9" s="39">
        <f t="shared" si="4"/>
        <v>7.5199097090425937E-2</v>
      </c>
      <c r="O9" s="39">
        <f t="shared" si="5"/>
        <v>7.6034051901425884E-2</v>
      </c>
      <c r="P9" s="37">
        <v>2088459</v>
      </c>
    </row>
    <row r="10" spans="2:17" ht="14" x14ac:dyDescent="0.3">
      <c r="B10" s="4" t="s">
        <v>222</v>
      </c>
      <c r="C10" t="s">
        <v>223</v>
      </c>
      <c r="D10" s="37">
        <v>150593</v>
      </c>
      <c r="E10" s="37">
        <v>820040</v>
      </c>
      <c r="F10" s="37">
        <v>1192606</v>
      </c>
      <c r="G10" s="37">
        <v>88420</v>
      </c>
      <c r="H10" s="37">
        <v>25207</v>
      </c>
      <c r="I10" s="37">
        <v>11743</v>
      </c>
      <c r="J10" s="38">
        <f t="shared" si="0"/>
        <v>9.2743723139561194</v>
      </c>
      <c r="K10" s="38">
        <f t="shared" si="1"/>
        <v>0.68760344992394806</v>
      </c>
      <c r="L10" s="38">
        <f t="shared" si="2"/>
        <v>12.824065400664226</v>
      </c>
      <c r="M10" s="38">
        <f t="shared" si="3"/>
        <v>0.29617122875472501</v>
      </c>
      <c r="N10" s="39">
        <f t="shared" si="4"/>
        <v>2.1136066731175258E-2</v>
      </c>
      <c r="O10" s="39">
        <f t="shared" si="5"/>
        <v>2.3094956201594602E-2</v>
      </c>
      <c r="P10" s="37">
        <v>508466</v>
      </c>
    </row>
    <row r="14" spans="2:17" ht="14" x14ac:dyDescent="0.3">
      <c r="B14" s="3" t="s">
        <v>224</v>
      </c>
    </row>
    <row r="15" spans="2:17" ht="14" x14ac:dyDescent="0.3">
      <c r="B15" s="4" t="s">
        <v>225</v>
      </c>
      <c r="D15" s="38">
        <f t="shared" ref="D15:I15" si="6">PERCENTILE(J6:J10,0.25)</f>
        <v>6.090896723655737</v>
      </c>
      <c r="E15" s="38">
        <f t="shared" si="6"/>
        <v>0.81566066658117375</v>
      </c>
      <c r="F15" s="38">
        <f t="shared" si="6"/>
        <v>13.602629822285477</v>
      </c>
      <c r="G15" s="38">
        <f t="shared" si="6"/>
        <v>0.74568956233307482</v>
      </c>
      <c r="H15" s="39">
        <f t="shared" si="6"/>
        <v>3.3918720194828E-2</v>
      </c>
      <c r="I15" s="39">
        <f t="shared" si="6"/>
        <v>2.3094956201594602E-2</v>
      </c>
    </row>
    <row r="16" spans="2:17" ht="14" x14ac:dyDescent="0.3">
      <c r="B16" s="4" t="s">
        <v>226</v>
      </c>
      <c r="D16" s="38">
        <f t="shared" ref="D16:I16" si="7">MEDIAN(J6:J10)</f>
        <v>6.5355004397208241</v>
      </c>
      <c r="E16" s="38">
        <f t="shared" si="7"/>
        <v>0.82680807295636916</v>
      </c>
      <c r="F16" s="38">
        <f t="shared" si="7"/>
        <v>16.11841436001772</v>
      </c>
      <c r="G16" s="38">
        <f t="shared" si="7"/>
        <v>0.92984144128725021</v>
      </c>
      <c r="H16" s="39">
        <f t="shared" si="7"/>
        <v>7.2834706542296526E-2</v>
      </c>
      <c r="I16" s="39">
        <f t="shared" si="7"/>
        <v>3.9755899838908697E-2</v>
      </c>
    </row>
    <row r="17" spans="2:9" ht="14" x14ac:dyDescent="0.3">
      <c r="B17" s="4" t="s">
        <v>227</v>
      </c>
      <c r="D17" s="38">
        <f t="shared" ref="D17:I17" si="8">PERCENTILE(J6:J10,0.75)</f>
        <v>8.4361372454228807</v>
      </c>
      <c r="E17" s="38">
        <f t="shared" si="8"/>
        <v>0.90883377974665835</v>
      </c>
      <c r="F17" s="38">
        <f t="shared" si="8"/>
        <v>23.388766071324685</v>
      </c>
      <c r="G17" s="38">
        <f t="shared" si="8"/>
        <v>0.9739501746899798</v>
      </c>
      <c r="H17" s="39">
        <f t="shared" si="8"/>
        <v>7.5199097090425937E-2</v>
      </c>
      <c r="I17" s="39">
        <f t="shared" si="8"/>
        <v>6.0424688988384406E-2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53606</v>
      </c>
    </row>
    <row r="22" spans="2:9" ht="14" x14ac:dyDescent="0.3">
      <c r="B22" s="4" t="s">
        <v>231</v>
      </c>
      <c r="C22" s="5">
        <v>36226</v>
      </c>
    </row>
    <row r="23" spans="2:9" ht="14" x14ac:dyDescent="0.3">
      <c r="B23" s="4" t="s">
        <v>232</v>
      </c>
      <c r="C23" s="15">
        <v>191345507</v>
      </c>
    </row>
    <row r="24" spans="2:9" ht="14" x14ac:dyDescent="0.3">
      <c r="B24" s="4" t="s">
        <v>73</v>
      </c>
      <c r="C24" s="5">
        <v>-12718</v>
      </c>
    </row>
    <row r="26" spans="2:9" ht="14" x14ac:dyDescent="0.3">
      <c r="B26" s="3" t="s">
        <v>233</v>
      </c>
    </row>
    <row r="27" spans="2:9" ht="14" x14ac:dyDescent="0.3">
      <c r="B27" s="4" t="s">
        <v>234</v>
      </c>
      <c r="C27" s="24">
        <f>ROUND((C21*D16-C24)*1000000/C23,0)</f>
        <v>1897</v>
      </c>
    </row>
    <row r="28" spans="2:9" ht="14" x14ac:dyDescent="0.3">
      <c r="B28" s="4" t="s">
        <v>235</v>
      </c>
      <c r="C28" s="24">
        <f>ROUND(C22*F16*1000000/C23,0)</f>
        <v>3052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9.8271499999999998E-2</v>
      </c>
      <c r="E3" s="4" t="s">
        <v>238</v>
      </c>
      <c r="F3" s="16">
        <f>'DCF Model'!C13</f>
        <v>0.01</v>
      </c>
      <c r="H3" s="4" t="s">
        <v>239</v>
      </c>
      <c r="I3" s="14">
        <f>'DCF Model'!C14</f>
        <v>6.5</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8.3271499999999998E-2</v>
      </c>
      <c r="C7" s="37">
        <f>IFERROR(ROUND(('DCF Model'!C45/(1+$B7)^('DCF Model'!C19+0)+'DCF Model'!D45/(1+$B7)^('DCF Model'!C19+1)+'DCF Model'!E45/(1+$B7)^('DCF Model'!C19+2)+'DCF Model'!F45/(1+$B7)^('DCF Model'!C19+3)+'DCF Model'!G45/(1+$B7)^('DCF Model'!C19+4)+'DCF Model'!G45*(1+C$6)/($B7-C$6)/(1+$B7)^('DCF Model'!C19+4)-'DCF Model'!C16)*1000000/'DCF Model'!C15,0),"")</f>
        <v>1363</v>
      </c>
      <c r="D7" s="37">
        <f>IFERROR(ROUND(('DCF Model'!C45/(1+$B7)^('DCF Model'!C19+0)+'DCF Model'!D45/(1+$B7)^('DCF Model'!C19+1)+'DCF Model'!E45/(1+$B7)^('DCF Model'!C19+2)+'DCF Model'!F45/(1+$B7)^('DCF Model'!C19+3)+'DCF Model'!G45/(1+$B7)^('DCF Model'!C19+4)+'DCF Model'!G45*(1+D$6)/($B7-D$6)/(1+$B7)^('DCF Model'!C19+4)-'DCF Model'!C16)*1000000/'DCF Model'!C15,0),"")</f>
        <v>1399</v>
      </c>
      <c r="E7" s="37">
        <f>IFERROR(ROUND(('DCF Model'!C45/(1+$B7)^('DCF Model'!C19+0)+'DCF Model'!D45/(1+$B7)^('DCF Model'!C19+1)+'DCF Model'!E45/(1+$B7)^('DCF Model'!C19+2)+'DCF Model'!F45/(1+$B7)^('DCF Model'!C19+3)+'DCF Model'!G45/(1+$B7)^('DCF Model'!C19+4)+'DCF Model'!G45*(1+E$6)/($B7-E$6)/(1+$B7)^('DCF Model'!C19+4)-'DCF Model'!C16)*1000000/'DCF Model'!C15,0),"")</f>
        <v>1438</v>
      </c>
      <c r="F7" s="37">
        <f>IFERROR(ROUND(('DCF Model'!C45/(1+$B7)^('DCF Model'!C19+0)+'DCF Model'!D45/(1+$B7)^('DCF Model'!C19+1)+'DCF Model'!E45/(1+$B7)^('DCF Model'!C19+2)+'DCF Model'!F45/(1+$B7)^('DCF Model'!C19+3)+'DCF Model'!G45/(1+$B7)^('DCF Model'!C19+4)+'DCF Model'!G45*(1+F$6)/($B7-F$6)/(1+$B7)^('DCF Model'!C19+4)-'DCF Model'!C16)*1000000/'DCF Model'!C15,0),"")</f>
        <v>1480</v>
      </c>
      <c r="G7" s="37">
        <f>IFERROR(ROUND(('DCF Model'!C45/(1+$B7)^('DCF Model'!C19+0)+'DCF Model'!D45/(1+$B7)^('DCF Model'!C19+1)+'DCF Model'!E45/(1+$B7)^('DCF Model'!C19+2)+'DCF Model'!F45/(1+$B7)^('DCF Model'!C19+3)+'DCF Model'!G45/(1+$B7)^('DCF Model'!C19+4)+'DCF Model'!G45*(1+G$6)/($B7-G$6)/(1+$B7)^('DCF Model'!C19+4)-'DCF Model'!C16)*1000000/'DCF Model'!C15,0),"")</f>
        <v>1525</v>
      </c>
      <c r="H7" s="37">
        <f>IFERROR(ROUND(('DCF Model'!C45/(1+$B7)^('DCF Model'!C19+0)+'DCF Model'!D45/(1+$B7)^('DCF Model'!C19+1)+'DCF Model'!E45/(1+$B7)^('DCF Model'!C19+2)+'DCF Model'!F45/(1+$B7)^('DCF Model'!C19+3)+'DCF Model'!G45/(1+$B7)^('DCF Model'!C19+4)+'DCF Model'!G45*(1+H$6)/($B7-H$6)/(1+$B7)^('DCF Model'!C19+4)-'DCF Model'!C16)*1000000/'DCF Model'!C15,0),"")</f>
        <v>1573</v>
      </c>
      <c r="I7" s="37">
        <f>IFERROR(ROUND(('DCF Model'!C45/(1+$B7)^('DCF Model'!C19+0)+'DCF Model'!D45/(1+$B7)^('DCF Model'!C19+1)+'DCF Model'!E45/(1+$B7)^('DCF Model'!C19+2)+'DCF Model'!F45/(1+$B7)^('DCF Model'!C19+3)+'DCF Model'!G45/(1+$B7)^('DCF Model'!C19+4)+'DCF Model'!G45*(1+I$6)/($B7-I$6)/(1+$B7)^('DCF Model'!C19+4)-'DCF Model'!C16)*1000000/'DCF Model'!C15,0),"")</f>
        <v>1625</v>
      </c>
    </row>
    <row r="8" spans="2:9" ht="13.5" x14ac:dyDescent="0.25">
      <c r="B8" s="39">
        <f>$C$3-0.01</f>
        <v>8.8271500000000003E-2</v>
      </c>
      <c r="C8" s="37">
        <f>IFERROR(ROUND(('DCF Model'!C45/(1+$B8)^('DCF Model'!C19+0)+'DCF Model'!D45/(1+$B8)^('DCF Model'!C19+1)+'DCF Model'!E45/(1+$B8)^('DCF Model'!C19+2)+'DCF Model'!F45/(1+$B8)^('DCF Model'!C19+3)+'DCF Model'!G45/(1+$B8)^('DCF Model'!C19+4)+'DCF Model'!G45*(1+C$6)/($B8-C$6)/(1+$B8)^('DCF Model'!C19+4)-'DCF Model'!C16)*1000000/'DCF Model'!C15,0),"")</f>
        <v>1274</v>
      </c>
      <c r="D8" s="37">
        <f>IFERROR(ROUND(('DCF Model'!C45/(1+$B8)^('DCF Model'!C19+0)+'DCF Model'!D45/(1+$B8)^('DCF Model'!C19+1)+'DCF Model'!E45/(1+$B8)^('DCF Model'!C19+2)+'DCF Model'!F45/(1+$B8)^('DCF Model'!C19+3)+'DCF Model'!G45/(1+$B8)^('DCF Model'!C19+4)+'DCF Model'!G45*(1+D$6)/($B8-D$6)/(1+$B8)^('DCF Model'!C19+4)-'DCF Model'!C16)*1000000/'DCF Model'!C15,0),"")</f>
        <v>1305</v>
      </c>
      <c r="E8" s="37">
        <f>IFERROR(ROUND(('DCF Model'!C45/(1+$B8)^('DCF Model'!C19+0)+'DCF Model'!D45/(1+$B8)^('DCF Model'!C19+1)+'DCF Model'!E45/(1+$B8)^('DCF Model'!C19+2)+'DCF Model'!F45/(1+$B8)^('DCF Model'!C19+3)+'DCF Model'!G45/(1+$B8)^('DCF Model'!C19+4)+'DCF Model'!G45*(1+E$6)/($B8-E$6)/(1+$B8)^('DCF Model'!C19+4)-'DCF Model'!C16)*1000000/'DCF Model'!C15,0),"")</f>
        <v>1339</v>
      </c>
      <c r="F8" s="37">
        <f>IFERROR(ROUND(('DCF Model'!C45/(1+$B8)^('DCF Model'!C19+0)+'DCF Model'!D45/(1+$B8)^('DCF Model'!C19+1)+'DCF Model'!E45/(1+$B8)^('DCF Model'!C19+2)+'DCF Model'!F45/(1+$B8)^('DCF Model'!C19+3)+'DCF Model'!G45/(1+$B8)^('DCF Model'!C19+4)+'DCF Model'!G45*(1+F$6)/($B8-F$6)/(1+$B8)^('DCF Model'!C19+4)-'DCF Model'!C16)*1000000/'DCF Model'!C15,0),"")</f>
        <v>1375</v>
      </c>
      <c r="G8" s="37">
        <f>IFERROR(ROUND(('DCF Model'!C45/(1+$B8)^('DCF Model'!C19+0)+'DCF Model'!D45/(1+$B8)^('DCF Model'!C19+1)+'DCF Model'!E45/(1+$B8)^('DCF Model'!C19+2)+'DCF Model'!F45/(1+$B8)^('DCF Model'!C19+3)+'DCF Model'!G45/(1+$B8)^('DCF Model'!C19+4)+'DCF Model'!G45*(1+G$6)/($B8-G$6)/(1+$B8)^('DCF Model'!C19+4)-'DCF Model'!C16)*1000000/'DCF Model'!C15,0),"")</f>
        <v>1414</v>
      </c>
      <c r="H8" s="37">
        <f>IFERROR(ROUND(('DCF Model'!C45/(1+$B8)^('DCF Model'!C19+0)+'DCF Model'!D45/(1+$B8)^('DCF Model'!C19+1)+'DCF Model'!E45/(1+$B8)^('DCF Model'!C19+2)+'DCF Model'!F45/(1+$B8)^('DCF Model'!C19+3)+'DCF Model'!G45/(1+$B8)^('DCF Model'!C19+4)+'DCF Model'!G45*(1+H$6)/($B8-H$6)/(1+$B8)^('DCF Model'!C19+4)-'DCF Model'!C16)*1000000/'DCF Model'!C15,0),"")</f>
        <v>1455</v>
      </c>
      <c r="I8" s="37">
        <f>IFERROR(ROUND(('DCF Model'!C45/(1+$B8)^('DCF Model'!C19+0)+'DCF Model'!D45/(1+$B8)^('DCF Model'!C19+1)+'DCF Model'!E45/(1+$B8)^('DCF Model'!C19+2)+'DCF Model'!F45/(1+$B8)^('DCF Model'!C19+3)+'DCF Model'!G45/(1+$B8)^('DCF Model'!C19+4)+'DCF Model'!G45*(1+I$6)/($B8-I$6)/(1+$B8)^('DCF Model'!C19+4)-'DCF Model'!C16)*1000000/'DCF Model'!C15,0),"")</f>
        <v>1499</v>
      </c>
    </row>
    <row r="9" spans="2:9" ht="13.5" x14ac:dyDescent="0.25">
      <c r="B9" s="39">
        <f>$C$3-0.005</f>
        <v>9.3271499999999993E-2</v>
      </c>
      <c r="C9" s="37">
        <f>IFERROR(ROUND(('DCF Model'!C45/(1+$B9)^('DCF Model'!C19+0)+'DCF Model'!D45/(1+$B9)^('DCF Model'!C19+1)+'DCF Model'!E45/(1+$B9)^('DCF Model'!C19+2)+'DCF Model'!F45/(1+$B9)^('DCF Model'!C19+3)+'DCF Model'!G45/(1+$B9)^('DCF Model'!C19+4)+'DCF Model'!G45*(1+C$6)/($B9-C$6)/(1+$B9)^('DCF Model'!C19+4)-'DCF Model'!C16)*1000000/'DCF Model'!C15,0),"")</f>
        <v>1195</v>
      </c>
      <c r="D9" s="37">
        <f>IFERROR(ROUND(('DCF Model'!C45/(1+$B9)^('DCF Model'!C19+0)+'DCF Model'!D45/(1+$B9)^('DCF Model'!C19+1)+'DCF Model'!E45/(1+$B9)^('DCF Model'!C19+2)+'DCF Model'!F45/(1+$B9)^('DCF Model'!C19+3)+'DCF Model'!G45/(1+$B9)^('DCF Model'!C19+4)+'DCF Model'!G45*(1+D$6)/($B9-D$6)/(1+$B9)^('DCF Model'!C19+4)-'DCF Model'!C16)*1000000/'DCF Model'!C15,0),"")</f>
        <v>1222</v>
      </c>
      <c r="E9" s="37">
        <f>IFERROR(ROUND(('DCF Model'!C45/(1+$B9)^('DCF Model'!C19+0)+'DCF Model'!D45/(1+$B9)^('DCF Model'!C19+1)+'DCF Model'!E45/(1+$B9)^('DCF Model'!C19+2)+'DCF Model'!F45/(1+$B9)^('DCF Model'!C19+3)+'DCF Model'!G45/(1+$B9)^('DCF Model'!C19+4)+'DCF Model'!G45*(1+E$6)/($B9-E$6)/(1+$B9)^('DCF Model'!C19+4)-'DCF Model'!C16)*1000000/'DCF Model'!C15,0),"")</f>
        <v>1252</v>
      </c>
      <c r="F9" s="37">
        <f>IFERROR(ROUND(('DCF Model'!C45/(1+$B9)^('DCF Model'!C19+0)+'DCF Model'!D45/(1+$B9)^('DCF Model'!C19+1)+'DCF Model'!E45/(1+$B9)^('DCF Model'!C19+2)+'DCF Model'!F45/(1+$B9)^('DCF Model'!C19+3)+'DCF Model'!G45/(1+$B9)^('DCF Model'!C19+4)+'DCF Model'!G45*(1+F$6)/($B9-F$6)/(1+$B9)^('DCF Model'!C19+4)-'DCF Model'!C16)*1000000/'DCF Model'!C15,0),"")</f>
        <v>1283</v>
      </c>
      <c r="G9" s="37">
        <f>IFERROR(ROUND(('DCF Model'!C45/(1+$B9)^('DCF Model'!C19+0)+'DCF Model'!D45/(1+$B9)^('DCF Model'!C19+1)+'DCF Model'!E45/(1+$B9)^('DCF Model'!C19+2)+'DCF Model'!F45/(1+$B9)^('DCF Model'!C19+3)+'DCF Model'!G45/(1+$B9)^('DCF Model'!C19+4)+'DCF Model'!G45*(1+G$6)/($B9-G$6)/(1+$B9)^('DCF Model'!C19+4)-'DCF Model'!C16)*1000000/'DCF Model'!C15,0),"")</f>
        <v>1317</v>
      </c>
      <c r="H9" s="37">
        <f>IFERROR(ROUND(('DCF Model'!C45/(1+$B9)^('DCF Model'!C19+0)+'DCF Model'!D45/(1+$B9)^('DCF Model'!C19+1)+'DCF Model'!E45/(1+$B9)^('DCF Model'!C19+2)+'DCF Model'!F45/(1+$B9)^('DCF Model'!C19+3)+'DCF Model'!G45/(1+$B9)^('DCF Model'!C19+4)+'DCF Model'!G45*(1+H$6)/($B9-H$6)/(1+$B9)^('DCF Model'!C19+4)-'DCF Model'!C16)*1000000/'DCF Model'!C15,0),"")</f>
        <v>1352</v>
      </c>
      <c r="I9" s="37">
        <f>IFERROR(ROUND(('DCF Model'!C45/(1+$B9)^('DCF Model'!C19+0)+'DCF Model'!D45/(1+$B9)^('DCF Model'!C19+1)+'DCF Model'!E45/(1+$B9)^('DCF Model'!C19+2)+'DCF Model'!F45/(1+$B9)^('DCF Model'!C19+3)+'DCF Model'!G45/(1+$B9)^('DCF Model'!C19+4)+'DCF Model'!G45*(1+I$6)/($B9-I$6)/(1+$B9)^('DCF Model'!C19+4)-'DCF Model'!C16)*1000000/'DCF Model'!C15,0),"")</f>
        <v>1390</v>
      </c>
    </row>
    <row r="10" spans="2:9" ht="13.5" x14ac:dyDescent="0.25">
      <c r="B10" s="39">
        <f>$C$3</f>
        <v>9.8271499999999998E-2</v>
      </c>
      <c r="C10" s="37">
        <f>IFERROR(ROUND(('DCF Model'!C45/(1+$B10)^('DCF Model'!C19+0)+'DCF Model'!D45/(1+$B10)^('DCF Model'!C19+1)+'DCF Model'!E45/(1+$B10)^('DCF Model'!C19+2)+'DCF Model'!F45/(1+$B10)^('DCF Model'!C19+3)+'DCF Model'!G45/(1+$B10)^('DCF Model'!C19+4)+'DCF Model'!G45*(1+C$6)/($B10-C$6)/(1+$B10)^('DCF Model'!C19+4)-'DCF Model'!C16)*1000000/'DCF Model'!C15,0),"")</f>
        <v>1124</v>
      </c>
      <c r="D10" s="37">
        <f>IFERROR(ROUND(('DCF Model'!C45/(1+$B10)^('DCF Model'!C19+0)+'DCF Model'!D45/(1+$B10)^('DCF Model'!C19+1)+'DCF Model'!E45/(1+$B10)^('DCF Model'!C19+2)+'DCF Model'!F45/(1+$B10)^('DCF Model'!C19+3)+'DCF Model'!G45/(1+$B10)^('DCF Model'!C19+4)+'DCF Model'!G45*(1+D$6)/($B10-D$6)/(1+$B10)^('DCF Model'!C19+4)-'DCF Model'!C16)*1000000/'DCF Model'!C15,0),"")</f>
        <v>1149</v>
      </c>
      <c r="E10" s="37">
        <f>IFERROR(ROUND(('DCF Model'!C45/(1+$B10)^('DCF Model'!C19+0)+'DCF Model'!D45/(1+$B10)^('DCF Model'!C19+1)+'DCF Model'!E45/(1+$B10)^('DCF Model'!C19+2)+'DCF Model'!F45/(1+$B10)^('DCF Model'!C19+3)+'DCF Model'!G45/(1+$B10)^('DCF Model'!C19+4)+'DCF Model'!G45*(1+E$6)/($B10-E$6)/(1+$B10)^('DCF Model'!C19+4)-'DCF Model'!C16)*1000000/'DCF Model'!C15,0),"")</f>
        <v>1174</v>
      </c>
      <c r="F10" s="37">
        <f>IFERROR(ROUND(('DCF Model'!C45/(1+$B10)^('DCF Model'!C19+0)+'DCF Model'!D45/(1+$B10)^('DCF Model'!C19+1)+'DCF Model'!E45/(1+$B10)^('DCF Model'!C19+2)+'DCF Model'!F45/(1+$B10)^('DCF Model'!C19+3)+'DCF Model'!G45/(1+$B10)^('DCF Model'!C19+4)+'DCF Model'!G45*(1+F$6)/($B10-F$6)/(1+$B10)^('DCF Model'!C19+4)-'DCF Model'!C16)*1000000/'DCF Model'!C15,0),"")</f>
        <v>1202</v>
      </c>
      <c r="G10" s="37">
        <f>IFERROR(ROUND(('DCF Model'!C45/(1+$B10)^('DCF Model'!C19+0)+'DCF Model'!D45/(1+$B10)^('DCF Model'!C19+1)+'DCF Model'!E45/(1+$B10)^('DCF Model'!C19+2)+'DCF Model'!F45/(1+$B10)^('DCF Model'!C19+3)+'DCF Model'!G45/(1+$B10)^('DCF Model'!C19+4)+'DCF Model'!G45*(1+G$6)/($B10-G$6)/(1+$B10)^('DCF Model'!C19+4)-'DCF Model'!C16)*1000000/'DCF Model'!C15,0),"")</f>
        <v>1231</v>
      </c>
      <c r="H10" s="37">
        <f>IFERROR(ROUND(('DCF Model'!C45/(1+$B10)^('DCF Model'!C19+0)+'DCF Model'!D45/(1+$B10)^('DCF Model'!C19+1)+'DCF Model'!E45/(1+$B10)^('DCF Model'!C19+2)+'DCF Model'!F45/(1+$B10)^('DCF Model'!C19+3)+'DCF Model'!G45/(1+$B10)^('DCF Model'!C19+4)+'DCF Model'!G45*(1+H$6)/($B10-H$6)/(1+$B10)^('DCF Model'!C19+4)-'DCF Model'!C16)*1000000/'DCF Model'!C15,0),"")</f>
        <v>1262</v>
      </c>
      <c r="I10" s="37">
        <f>IFERROR(ROUND(('DCF Model'!C45/(1+$B10)^('DCF Model'!C19+0)+'DCF Model'!D45/(1+$B10)^('DCF Model'!C19+1)+'DCF Model'!E45/(1+$B10)^('DCF Model'!C19+2)+'DCF Model'!F45/(1+$B10)^('DCF Model'!C19+3)+'DCF Model'!G45/(1+$B10)^('DCF Model'!C19+4)+'DCF Model'!G45*(1+I$6)/($B10-I$6)/(1+$B10)^('DCF Model'!C19+4)-'DCF Model'!C16)*1000000/'DCF Model'!C15,0),"")</f>
        <v>1294</v>
      </c>
    </row>
    <row r="11" spans="2:9" ht="13.5" x14ac:dyDescent="0.25">
      <c r="B11" s="39">
        <f>$C$3+0.005</f>
        <v>0.1032715</v>
      </c>
      <c r="C11" s="37">
        <f>IFERROR(ROUND(('DCF Model'!C45/(1+$B11)^('DCF Model'!C19+0)+'DCF Model'!D45/(1+$B11)^('DCF Model'!C19+1)+'DCF Model'!E45/(1+$B11)^('DCF Model'!C19+2)+'DCF Model'!F45/(1+$B11)^('DCF Model'!C19+3)+'DCF Model'!G45/(1+$B11)^('DCF Model'!C19+4)+'DCF Model'!G45*(1+C$6)/($B11-C$6)/(1+$B11)^('DCF Model'!C19+4)-'DCF Model'!C16)*1000000/'DCF Model'!C15,0),"")</f>
        <v>1061</v>
      </c>
      <c r="D11" s="37">
        <f>IFERROR(ROUND(('DCF Model'!C45/(1+$B11)^('DCF Model'!C19+0)+'DCF Model'!D45/(1+$B11)^('DCF Model'!C19+1)+'DCF Model'!E45/(1+$B11)^('DCF Model'!C19+2)+'DCF Model'!F45/(1+$B11)^('DCF Model'!C19+3)+'DCF Model'!G45/(1+$B11)^('DCF Model'!C19+4)+'DCF Model'!G45*(1+D$6)/($B11-D$6)/(1+$B11)^('DCF Model'!C19+4)-'DCF Model'!C16)*1000000/'DCF Model'!C15,0),"")</f>
        <v>1082</v>
      </c>
      <c r="E11" s="37">
        <f>IFERROR(ROUND(('DCF Model'!C45/(1+$B11)^('DCF Model'!C19+0)+'DCF Model'!D45/(1+$B11)^('DCF Model'!C19+1)+'DCF Model'!E45/(1+$B11)^('DCF Model'!C19+2)+'DCF Model'!F45/(1+$B11)^('DCF Model'!C19+3)+'DCF Model'!G45/(1+$B11)^('DCF Model'!C19+4)+'DCF Model'!G45*(1+E$6)/($B11-E$6)/(1+$B11)^('DCF Model'!C19+4)-'DCF Model'!C16)*1000000/'DCF Model'!C15,0),"")</f>
        <v>1105</v>
      </c>
      <c r="F11" s="37">
        <f>IFERROR(ROUND(('DCF Model'!C45/(1+$B11)^('DCF Model'!C19+0)+'DCF Model'!D45/(1+$B11)^('DCF Model'!C19+1)+'DCF Model'!E45/(1+$B11)^('DCF Model'!C19+2)+'DCF Model'!F45/(1+$B11)^('DCF Model'!C19+3)+'DCF Model'!G45/(1+$B11)^('DCF Model'!C19+4)+'DCF Model'!G45*(1+F$6)/($B11-F$6)/(1+$B11)^('DCF Model'!C19+4)-'DCF Model'!C16)*1000000/'DCF Model'!C15,0),"")</f>
        <v>1129</v>
      </c>
      <c r="G11" s="37">
        <f>IFERROR(ROUND(('DCF Model'!C45/(1+$B11)^('DCF Model'!C19+0)+'DCF Model'!D45/(1+$B11)^('DCF Model'!C19+1)+'DCF Model'!E45/(1+$B11)^('DCF Model'!C19+2)+'DCF Model'!F45/(1+$B11)^('DCF Model'!C19+3)+'DCF Model'!G45/(1+$B11)^('DCF Model'!C19+4)+'DCF Model'!G45*(1+G$6)/($B11-G$6)/(1+$B11)^('DCF Model'!C19+4)-'DCF Model'!C16)*1000000/'DCF Model'!C15,0),"")</f>
        <v>1155</v>
      </c>
      <c r="H11" s="37">
        <f>IFERROR(ROUND(('DCF Model'!C45/(1+$B11)^('DCF Model'!C19+0)+'DCF Model'!D45/(1+$B11)^('DCF Model'!C19+1)+'DCF Model'!E45/(1+$B11)^('DCF Model'!C19+2)+'DCF Model'!F45/(1+$B11)^('DCF Model'!C19+3)+'DCF Model'!G45/(1+$B11)^('DCF Model'!C19+4)+'DCF Model'!G45*(1+H$6)/($B11-H$6)/(1+$B11)^('DCF Model'!C19+4)-'DCF Model'!C16)*1000000/'DCF Model'!C15,0),"")</f>
        <v>1182</v>
      </c>
      <c r="I11" s="37">
        <f>IFERROR(ROUND(('DCF Model'!C45/(1+$B11)^('DCF Model'!C19+0)+'DCF Model'!D45/(1+$B11)^('DCF Model'!C19+1)+'DCF Model'!E45/(1+$B11)^('DCF Model'!C19+2)+'DCF Model'!F45/(1+$B11)^('DCF Model'!C19+3)+'DCF Model'!G45/(1+$B11)^('DCF Model'!C19+4)+'DCF Model'!G45*(1+I$6)/($B11-I$6)/(1+$B11)^('DCF Model'!C19+4)-'DCF Model'!C16)*1000000/'DCF Model'!C15,0),"")</f>
        <v>1210</v>
      </c>
    </row>
    <row r="12" spans="2:9" ht="13.5" x14ac:dyDescent="0.25">
      <c r="B12" s="39">
        <f>$C$3+0.01</f>
        <v>0.10827149999999999</v>
      </c>
      <c r="C12" s="37">
        <f>IFERROR(ROUND(('DCF Model'!C45/(1+$B12)^('DCF Model'!C19+0)+'DCF Model'!D45/(1+$B12)^('DCF Model'!C19+1)+'DCF Model'!E45/(1+$B12)^('DCF Model'!C19+2)+'DCF Model'!F45/(1+$B12)^('DCF Model'!C19+3)+'DCF Model'!G45/(1+$B12)^('DCF Model'!C19+4)+'DCF Model'!G45*(1+C$6)/($B12-C$6)/(1+$B12)^('DCF Model'!C19+4)-'DCF Model'!C16)*1000000/'DCF Model'!C15,0),"")</f>
        <v>1003</v>
      </c>
      <c r="D12" s="37">
        <f>IFERROR(ROUND(('DCF Model'!C45/(1+$B12)^('DCF Model'!C19+0)+'DCF Model'!D45/(1+$B12)^('DCF Model'!C19+1)+'DCF Model'!E45/(1+$B12)^('DCF Model'!C19+2)+'DCF Model'!F45/(1+$B12)^('DCF Model'!C19+3)+'DCF Model'!G45/(1+$B12)^('DCF Model'!C19+4)+'DCF Model'!G45*(1+D$6)/($B12-D$6)/(1+$B12)^('DCF Model'!C19+4)-'DCF Model'!C16)*1000000/'DCF Model'!C15,0),"")</f>
        <v>1023</v>
      </c>
      <c r="E12" s="37">
        <f>IFERROR(ROUND(('DCF Model'!C45/(1+$B12)^('DCF Model'!C19+0)+'DCF Model'!D45/(1+$B12)^('DCF Model'!C19+1)+'DCF Model'!E45/(1+$B12)^('DCF Model'!C19+2)+'DCF Model'!F45/(1+$B12)^('DCF Model'!C19+3)+'DCF Model'!G45/(1+$B12)^('DCF Model'!C19+4)+'DCF Model'!G45*(1+E$6)/($B12-E$6)/(1+$B12)^('DCF Model'!C19+4)-'DCF Model'!C16)*1000000/'DCF Model'!C15,0),"")</f>
        <v>1043</v>
      </c>
      <c r="F12" s="37">
        <f>IFERROR(ROUND(('DCF Model'!C45/(1+$B12)^('DCF Model'!C19+0)+'DCF Model'!D45/(1+$B12)^('DCF Model'!C19+1)+'DCF Model'!E45/(1+$B12)^('DCF Model'!C19+2)+'DCF Model'!F45/(1+$B12)^('DCF Model'!C19+3)+'DCF Model'!G45/(1+$B12)^('DCF Model'!C19+4)+'DCF Model'!G45*(1+F$6)/($B12-F$6)/(1+$B12)^('DCF Model'!C19+4)-'DCF Model'!C16)*1000000/'DCF Model'!C15,0),"")</f>
        <v>1064</v>
      </c>
      <c r="G12" s="37">
        <f>IFERROR(ROUND(('DCF Model'!C45/(1+$B12)^('DCF Model'!C19+0)+'DCF Model'!D45/(1+$B12)^('DCF Model'!C19+1)+'DCF Model'!E45/(1+$B12)^('DCF Model'!C19+2)+'DCF Model'!F45/(1+$B12)^('DCF Model'!C19+3)+'DCF Model'!G45/(1+$B12)^('DCF Model'!C19+4)+'DCF Model'!G45*(1+G$6)/($B12-G$6)/(1+$B12)^('DCF Model'!C19+4)-'DCF Model'!C16)*1000000/'DCF Model'!C15,0),"")</f>
        <v>1087</v>
      </c>
      <c r="H12" s="37">
        <f>IFERROR(ROUND(('DCF Model'!C45/(1+$B12)^('DCF Model'!C19+0)+'DCF Model'!D45/(1+$B12)^('DCF Model'!C19+1)+'DCF Model'!E45/(1+$B12)^('DCF Model'!C19+2)+'DCF Model'!F45/(1+$B12)^('DCF Model'!C19+3)+'DCF Model'!G45/(1+$B12)^('DCF Model'!C19+4)+'DCF Model'!G45*(1+H$6)/($B12-H$6)/(1+$B12)^('DCF Model'!C19+4)-'DCF Model'!C16)*1000000/'DCF Model'!C15,0),"")</f>
        <v>1111</v>
      </c>
      <c r="I12" s="37">
        <f>IFERROR(ROUND(('DCF Model'!C45/(1+$B12)^('DCF Model'!C19+0)+'DCF Model'!D45/(1+$B12)^('DCF Model'!C19+1)+'DCF Model'!E45/(1+$B12)^('DCF Model'!C19+2)+'DCF Model'!F45/(1+$B12)^('DCF Model'!C19+3)+'DCF Model'!G45/(1+$B12)^('DCF Model'!C19+4)+'DCF Model'!G45*(1+I$6)/($B12-I$6)/(1+$B12)^('DCF Model'!C19+4)-'DCF Model'!C16)*1000000/'DCF Model'!C15,0),"")</f>
        <v>1136</v>
      </c>
    </row>
    <row r="13" spans="2:9" ht="13.5" x14ac:dyDescent="0.25">
      <c r="B13" s="39">
        <f>$C$3+0.015</f>
        <v>0.1132715</v>
      </c>
      <c r="C13" s="37">
        <f>IFERROR(ROUND(('DCF Model'!C45/(1+$B13)^('DCF Model'!C19+0)+'DCF Model'!D45/(1+$B13)^('DCF Model'!C19+1)+'DCF Model'!E45/(1+$B13)^('DCF Model'!C19+2)+'DCF Model'!F45/(1+$B13)^('DCF Model'!C19+3)+'DCF Model'!G45/(1+$B13)^('DCF Model'!C19+4)+'DCF Model'!G45*(1+C$6)/($B13-C$6)/(1+$B13)^('DCF Model'!C19+4)-'DCF Model'!C16)*1000000/'DCF Model'!C15,0),"")</f>
        <v>951</v>
      </c>
      <c r="D13" s="37">
        <f>IFERROR(ROUND(('DCF Model'!C45/(1+$B13)^('DCF Model'!C19+0)+'DCF Model'!D45/(1+$B13)^('DCF Model'!C19+1)+'DCF Model'!E45/(1+$B13)^('DCF Model'!C19+2)+'DCF Model'!F45/(1+$B13)^('DCF Model'!C19+3)+'DCF Model'!G45/(1+$B13)^('DCF Model'!C19+4)+'DCF Model'!G45*(1+D$6)/($B13-D$6)/(1+$B13)^('DCF Model'!C19+4)-'DCF Model'!C16)*1000000/'DCF Model'!C15,0),"")</f>
        <v>969</v>
      </c>
      <c r="E13" s="37">
        <f>IFERROR(ROUND(('DCF Model'!C45/(1+$B13)^('DCF Model'!C19+0)+'DCF Model'!D45/(1+$B13)^('DCF Model'!C19+1)+'DCF Model'!E45/(1+$B13)^('DCF Model'!C19+2)+'DCF Model'!F45/(1+$B13)^('DCF Model'!C19+3)+'DCF Model'!G45/(1+$B13)^('DCF Model'!C19+4)+'DCF Model'!G45*(1+E$6)/($B13-E$6)/(1+$B13)^('DCF Model'!C19+4)-'DCF Model'!C16)*1000000/'DCF Model'!C15,0),"")</f>
        <v>987</v>
      </c>
      <c r="F13" s="37">
        <f>IFERROR(ROUND(('DCF Model'!C45/(1+$B13)^('DCF Model'!C19+0)+'DCF Model'!D45/(1+$B13)^('DCF Model'!C19+1)+'DCF Model'!E45/(1+$B13)^('DCF Model'!C19+2)+'DCF Model'!F45/(1+$B13)^('DCF Model'!C19+3)+'DCF Model'!G45/(1+$B13)^('DCF Model'!C19+4)+'DCF Model'!G45*(1+F$6)/($B13-F$6)/(1+$B13)^('DCF Model'!C19+4)-'DCF Model'!C16)*1000000/'DCF Model'!C15,0),"")</f>
        <v>1006</v>
      </c>
      <c r="G13" s="37">
        <f>IFERROR(ROUND(('DCF Model'!C45/(1+$B13)^('DCF Model'!C19+0)+'DCF Model'!D45/(1+$B13)^('DCF Model'!C19+1)+'DCF Model'!E45/(1+$B13)^('DCF Model'!C19+2)+'DCF Model'!F45/(1+$B13)^('DCF Model'!C19+3)+'DCF Model'!G45/(1+$B13)^('DCF Model'!C19+4)+'DCF Model'!G45*(1+G$6)/($B13-G$6)/(1+$B13)^('DCF Model'!C19+4)-'DCF Model'!C16)*1000000/'DCF Model'!C15,0),"")</f>
        <v>1026</v>
      </c>
      <c r="H13" s="37">
        <f>IFERROR(ROUND(('DCF Model'!C45/(1+$B13)^('DCF Model'!C19+0)+'DCF Model'!D45/(1+$B13)^('DCF Model'!C19+1)+'DCF Model'!E45/(1+$B13)^('DCF Model'!C19+2)+'DCF Model'!F45/(1+$B13)^('DCF Model'!C19+3)+'DCF Model'!G45/(1+$B13)^('DCF Model'!C19+4)+'DCF Model'!G45*(1+H$6)/($B13-H$6)/(1+$B13)^('DCF Model'!C19+4)-'DCF Model'!C16)*1000000/'DCF Model'!C15,0),"")</f>
        <v>1047</v>
      </c>
      <c r="I13" s="37">
        <f>IFERROR(ROUND(('DCF Model'!C45/(1+$B13)^('DCF Model'!C19+0)+'DCF Model'!D45/(1+$B13)^('DCF Model'!C19+1)+'DCF Model'!E45/(1+$B13)^('DCF Model'!C19+2)+'DCF Model'!F45/(1+$B13)^('DCF Model'!C19+3)+'DCF Model'!G45/(1+$B13)^('DCF Model'!C19+4)+'DCF Model'!G45*(1+I$6)/($B13-I$6)/(1+$B13)^('DCF Model'!C19+4)-'DCF Model'!C16)*1000000/'DCF Model'!C15,0),"")</f>
        <v>1069</v>
      </c>
    </row>
    <row r="16" spans="2:9" ht="14" x14ac:dyDescent="0.3">
      <c r="B16" s="3" t="s">
        <v>242</v>
      </c>
    </row>
    <row r="17" spans="2:9" ht="14" x14ac:dyDescent="0.3">
      <c r="B17" s="40" t="s">
        <v>243</v>
      </c>
      <c r="C17" s="42">
        <f>$I$3-3</f>
        <v>3.5</v>
      </c>
      <c r="D17" s="42">
        <f>$I$3-2</f>
        <v>4.5</v>
      </c>
      <c r="E17" s="42">
        <f>$I$3-1</f>
        <v>5.5</v>
      </c>
      <c r="F17" s="42">
        <f>$I$3</f>
        <v>6.5</v>
      </c>
      <c r="G17" s="42">
        <f>$I$3+1</f>
        <v>7.5</v>
      </c>
      <c r="H17" s="42">
        <f>$I$3+2</f>
        <v>8.5</v>
      </c>
      <c r="I17" s="42">
        <f>$I$3+3</f>
        <v>9.5</v>
      </c>
    </row>
    <row r="18" spans="2:9" ht="13.5" x14ac:dyDescent="0.25">
      <c r="B18" s="39">
        <f>$C$3-0.015</f>
        <v>8.3271499999999998E-2</v>
      </c>
      <c r="C18" s="37">
        <f>IFERROR(ROUND(('DCF Model'!C45/(1+$B18)^('DCF Model'!C19+0)+'DCF Model'!D45/(1+$B18)^('DCF Model'!C19+1)+'DCF Model'!E45/(1+$B18)^('DCF Model'!C19+2)+'DCF Model'!F45/(1+$B18)^('DCF Model'!C19+3)+'DCF Model'!G45/(1+$B18)^('DCF Model'!C19+4)+('DCF Model'!G39+'DCF Model'!G42)*C$17/(1+$B18)^('DCF Model'!C19+4)-'DCF Model'!C16)*1000000/'DCF Model'!C15,0),"")</f>
        <v>983</v>
      </c>
      <c r="D18" s="37">
        <f>IFERROR(ROUND(('DCF Model'!C45/(1+$B18)^('DCF Model'!C19+0)+'DCF Model'!D45/(1+$B18)^('DCF Model'!C19+1)+'DCF Model'!E45/(1+$B18)^('DCF Model'!C19+2)+'DCF Model'!F45/(1+$B18)^('DCF Model'!C19+3)+'DCF Model'!G45/(1+$B18)^('DCF Model'!C19+4)+('DCF Model'!G39+'DCF Model'!G42)*D$17/(1+$B18)^('DCF Model'!C19+4)-'DCF Model'!C16)*1000000/'DCF Model'!C15,0),"")</f>
        <v>1178</v>
      </c>
      <c r="E18" s="37">
        <f>IFERROR(ROUND(('DCF Model'!C45/(1+$B18)^('DCF Model'!C19+0)+'DCF Model'!D45/(1+$B18)^('DCF Model'!C19+1)+'DCF Model'!E45/(1+$B18)^('DCF Model'!C19+2)+'DCF Model'!F45/(1+$B18)^('DCF Model'!C19+3)+'DCF Model'!G45/(1+$B18)^('DCF Model'!C19+4)+('DCF Model'!G39+'DCF Model'!G42)*E$17/(1+$B18)^('DCF Model'!C19+4)-'DCF Model'!C16)*1000000/'DCF Model'!C15,0),"")</f>
        <v>1373</v>
      </c>
      <c r="F18" s="37">
        <f>IFERROR(ROUND(('DCF Model'!C45/(1+$B18)^('DCF Model'!C19+0)+'DCF Model'!D45/(1+$B18)^('DCF Model'!C19+1)+'DCF Model'!E45/(1+$B18)^('DCF Model'!C19+2)+'DCF Model'!F45/(1+$B18)^('DCF Model'!C19+3)+'DCF Model'!G45/(1+$B18)^('DCF Model'!C19+4)+('DCF Model'!G39+'DCF Model'!G42)*F$17/(1+$B18)^('DCF Model'!C19+4)-'DCF Model'!C16)*1000000/'DCF Model'!C15,0),"")</f>
        <v>1569</v>
      </c>
      <c r="G18" s="37">
        <f>IFERROR(ROUND(('DCF Model'!C45/(1+$B18)^('DCF Model'!C19+0)+'DCF Model'!D45/(1+$B18)^('DCF Model'!C19+1)+'DCF Model'!E45/(1+$B18)^('DCF Model'!C19+2)+'DCF Model'!F45/(1+$B18)^('DCF Model'!C19+3)+'DCF Model'!G45/(1+$B18)^('DCF Model'!C19+4)+('DCF Model'!G39+'DCF Model'!G42)*G$17/(1+$B18)^('DCF Model'!C19+4)-'DCF Model'!C16)*1000000/'DCF Model'!C15,0),"")</f>
        <v>1764</v>
      </c>
      <c r="H18" s="37">
        <f>IFERROR(ROUND(('DCF Model'!C45/(1+$B18)^('DCF Model'!C19+0)+'DCF Model'!D45/(1+$B18)^('DCF Model'!C19+1)+'DCF Model'!E45/(1+$B18)^('DCF Model'!C19+2)+'DCF Model'!F45/(1+$B18)^('DCF Model'!C19+3)+'DCF Model'!G45/(1+$B18)^('DCF Model'!C19+4)+('DCF Model'!G39+'DCF Model'!G42)*H$17/(1+$B18)^('DCF Model'!C19+4)-'DCF Model'!C16)*1000000/'DCF Model'!C15,0),"")</f>
        <v>1959</v>
      </c>
      <c r="I18" s="37">
        <f>IFERROR(ROUND(('DCF Model'!C45/(1+$B18)^('DCF Model'!C19+0)+'DCF Model'!D45/(1+$B18)^('DCF Model'!C19+1)+'DCF Model'!E45/(1+$B18)^('DCF Model'!C19+2)+'DCF Model'!F45/(1+$B18)^('DCF Model'!C19+3)+'DCF Model'!G45/(1+$B18)^('DCF Model'!C19+4)+('DCF Model'!G39+'DCF Model'!G42)*I$17/(1+$B18)^('DCF Model'!C19+4)-'DCF Model'!C16)*1000000/'DCF Model'!C15,0),"")</f>
        <v>2155</v>
      </c>
    </row>
    <row r="19" spans="2:9" ht="13.5" x14ac:dyDescent="0.25">
      <c r="B19" s="39">
        <f>$C$3-0.01</f>
        <v>8.8271500000000003E-2</v>
      </c>
      <c r="C19" s="37">
        <f>IFERROR(ROUND(('DCF Model'!C45/(1+$B19)^('DCF Model'!C19+0)+'DCF Model'!D45/(1+$B19)^('DCF Model'!C19+1)+'DCF Model'!E45/(1+$B19)^('DCF Model'!C19+2)+'DCF Model'!F45/(1+$B19)^('DCF Model'!C19+3)+'DCF Model'!G45/(1+$B19)^('DCF Model'!C19+4)+('DCF Model'!G39+'DCF Model'!G42)*C$17/(1+$B19)^('DCF Model'!C19+4)-'DCF Model'!C16)*1000000/'DCF Model'!C15,0),"")</f>
        <v>963</v>
      </c>
      <c r="D19" s="37">
        <f>IFERROR(ROUND(('DCF Model'!C45/(1+$B19)^('DCF Model'!C19+0)+'DCF Model'!D45/(1+$B19)^('DCF Model'!C19+1)+'DCF Model'!E45/(1+$B19)^('DCF Model'!C19+2)+'DCF Model'!F45/(1+$B19)^('DCF Model'!C19+3)+'DCF Model'!G45/(1+$B19)^('DCF Model'!C19+4)+('DCF Model'!G39+'DCF Model'!G42)*D$17/(1+$B19)^('DCF Model'!C19+4)-'DCF Model'!C16)*1000000/'DCF Model'!C15,0),"")</f>
        <v>1154</v>
      </c>
      <c r="E19" s="37">
        <f>IFERROR(ROUND(('DCF Model'!C45/(1+$B19)^('DCF Model'!C19+0)+'DCF Model'!D45/(1+$B19)^('DCF Model'!C19+1)+'DCF Model'!E45/(1+$B19)^('DCF Model'!C19+2)+'DCF Model'!F45/(1+$B19)^('DCF Model'!C19+3)+'DCF Model'!G45/(1+$B19)^('DCF Model'!C19+4)+('DCF Model'!G39+'DCF Model'!G42)*E$17/(1+$B19)^('DCF Model'!C19+4)-'DCF Model'!C16)*1000000/'DCF Model'!C15,0),"")</f>
        <v>1345</v>
      </c>
      <c r="F19" s="37">
        <f>IFERROR(ROUND(('DCF Model'!C45/(1+$B19)^('DCF Model'!C19+0)+'DCF Model'!D45/(1+$B19)^('DCF Model'!C19+1)+'DCF Model'!E45/(1+$B19)^('DCF Model'!C19+2)+'DCF Model'!F45/(1+$B19)^('DCF Model'!C19+3)+'DCF Model'!G45/(1+$B19)^('DCF Model'!C19+4)+('DCF Model'!G39+'DCF Model'!G42)*F$17/(1+$B19)^('DCF Model'!C19+4)-'DCF Model'!C16)*1000000/'DCF Model'!C15,0),"")</f>
        <v>1536</v>
      </c>
      <c r="G19" s="37">
        <f>IFERROR(ROUND(('DCF Model'!C45/(1+$B19)^('DCF Model'!C19+0)+'DCF Model'!D45/(1+$B19)^('DCF Model'!C19+1)+'DCF Model'!E45/(1+$B19)^('DCF Model'!C19+2)+'DCF Model'!F45/(1+$B19)^('DCF Model'!C19+3)+'DCF Model'!G45/(1+$B19)^('DCF Model'!C19+4)+('DCF Model'!G39+'DCF Model'!G42)*G$17/(1+$B19)^('DCF Model'!C19+4)-'DCF Model'!C16)*1000000/'DCF Model'!C15,0),"")</f>
        <v>1726</v>
      </c>
      <c r="H19" s="37">
        <f>IFERROR(ROUND(('DCF Model'!C45/(1+$B19)^('DCF Model'!C19+0)+'DCF Model'!D45/(1+$B19)^('DCF Model'!C19+1)+'DCF Model'!E45/(1+$B19)^('DCF Model'!C19+2)+'DCF Model'!F45/(1+$B19)^('DCF Model'!C19+3)+'DCF Model'!G45/(1+$B19)^('DCF Model'!C19+4)+('DCF Model'!G39+'DCF Model'!G42)*H$17/(1+$B19)^('DCF Model'!C19+4)-'DCF Model'!C16)*1000000/'DCF Model'!C15,0),"")</f>
        <v>1917</v>
      </c>
      <c r="I19" s="37">
        <f>IFERROR(ROUND(('DCF Model'!C45/(1+$B19)^('DCF Model'!C19+0)+'DCF Model'!D45/(1+$B19)^('DCF Model'!C19+1)+'DCF Model'!E45/(1+$B19)^('DCF Model'!C19+2)+'DCF Model'!F45/(1+$B19)^('DCF Model'!C19+3)+'DCF Model'!G45/(1+$B19)^('DCF Model'!C19+4)+('DCF Model'!G39+'DCF Model'!G42)*I$17/(1+$B19)^('DCF Model'!C19+4)-'DCF Model'!C16)*1000000/'DCF Model'!C15,0),"")</f>
        <v>2108</v>
      </c>
    </row>
    <row r="20" spans="2:9" ht="13.5" x14ac:dyDescent="0.25">
      <c r="B20" s="39">
        <f>$C$3-0.005</f>
        <v>9.3271499999999993E-2</v>
      </c>
      <c r="C20" s="37">
        <f>IFERROR(ROUND(('DCF Model'!C45/(1+$B20)^('DCF Model'!C19+0)+'DCF Model'!D45/(1+$B20)^('DCF Model'!C19+1)+'DCF Model'!E45/(1+$B20)^('DCF Model'!C19+2)+'DCF Model'!F45/(1+$B20)^('DCF Model'!C19+3)+'DCF Model'!G45/(1+$B20)^('DCF Model'!C19+4)+('DCF Model'!G39+'DCF Model'!G42)*C$17/(1+$B20)^('DCF Model'!C19+4)-'DCF Model'!C16)*1000000/'DCF Model'!C15,0),"")</f>
        <v>944</v>
      </c>
      <c r="D20" s="37">
        <f>IFERROR(ROUND(('DCF Model'!C45/(1+$B20)^('DCF Model'!C19+0)+'DCF Model'!D45/(1+$B20)^('DCF Model'!C19+1)+'DCF Model'!E45/(1+$B20)^('DCF Model'!C19+2)+'DCF Model'!F45/(1+$B20)^('DCF Model'!C19+3)+'DCF Model'!G45/(1+$B20)^('DCF Model'!C19+4)+('DCF Model'!G39+'DCF Model'!G42)*D$17/(1+$B20)^('DCF Model'!C19+4)-'DCF Model'!C16)*1000000/'DCF Model'!C15,0),"")</f>
        <v>1130</v>
      </c>
      <c r="E20" s="37">
        <f>IFERROR(ROUND(('DCF Model'!C45/(1+$B20)^('DCF Model'!C19+0)+'DCF Model'!D45/(1+$B20)^('DCF Model'!C19+1)+'DCF Model'!E45/(1+$B20)^('DCF Model'!C19+2)+'DCF Model'!F45/(1+$B20)^('DCF Model'!C19+3)+'DCF Model'!G45/(1+$B20)^('DCF Model'!C19+4)+('DCF Model'!G39+'DCF Model'!G42)*E$17/(1+$B20)^('DCF Model'!C19+4)-'DCF Model'!C16)*1000000/'DCF Model'!C15,0),"")</f>
        <v>1317</v>
      </c>
      <c r="F20" s="37">
        <f>IFERROR(ROUND(('DCF Model'!C45/(1+$B20)^('DCF Model'!C19+0)+'DCF Model'!D45/(1+$B20)^('DCF Model'!C19+1)+'DCF Model'!E45/(1+$B20)^('DCF Model'!C19+2)+'DCF Model'!F45/(1+$B20)^('DCF Model'!C19+3)+'DCF Model'!G45/(1+$B20)^('DCF Model'!C19+4)+('DCF Model'!G39+'DCF Model'!G42)*F$17/(1+$B20)^('DCF Model'!C19+4)-'DCF Model'!C16)*1000000/'DCF Model'!C15,0),"")</f>
        <v>1503</v>
      </c>
      <c r="G20" s="37">
        <f>IFERROR(ROUND(('DCF Model'!C45/(1+$B20)^('DCF Model'!C19+0)+'DCF Model'!D45/(1+$B20)^('DCF Model'!C19+1)+'DCF Model'!E45/(1+$B20)^('DCF Model'!C19+2)+'DCF Model'!F45/(1+$B20)^('DCF Model'!C19+3)+'DCF Model'!G45/(1+$B20)^('DCF Model'!C19+4)+('DCF Model'!G39+'DCF Model'!G42)*G$17/(1+$B20)^('DCF Model'!C19+4)-'DCF Model'!C16)*1000000/'DCF Model'!C15,0),"")</f>
        <v>1690</v>
      </c>
      <c r="H20" s="37">
        <f>IFERROR(ROUND(('DCF Model'!C45/(1+$B20)^('DCF Model'!C19+0)+'DCF Model'!D45/(1+$B20)^('DCF Model'!C19+1)+'DCF Model'!E45/(1+$B20)^('DCF Model'!C19+2)+'DCF Model'!F45/(1+$B20)^('DCF Model'!C19+3)+'DCF Model'!G45/(1+$B20)^('DCF Model'!C19+4)+('DCF Model'!G39+'DCF Model'!G42)*H$17/(1+$B20)^('DCF Model'!C19+4)-'DCF Model'!C16)*1000000/'DCF Model'!C15,0),"")</f>
        <v>1876</v>
      </c>
      <c r="I20" s="37">
        <f>IFERROR(ROUND(('DCF Model'!C45/(1+$B20)^('DCF Model'!C19+0)+'DCF Model'!D45/(1+$B20)^('DCF Model'!C19+1)+'DCF Model'!E45/(1+$B20)^('DCF Model'!C19+2)+'DCF Model'!F45/(1+$B20)^('DCF Model'!C19+3)+'DCF Model'!G45/(1+$B20)^('DCF Model'!C19+4)+('DCF Model'!G39+'DCF Model'!G42)*I$17/(1+$B20)^('DCF Model'!C19+4)-'DCF Model'!C16)*1000000/'DCF Model'!C15,0),"")</f>
        <v>2063</v>
      </c>
    </row>
    <row r="21" spans="2:9" ht="13.5" x14ac:dyDescent="0.25">
      <c r="B21" s="39">
        <f>$C$3</f>
        <v>9.8271499999999998E-2</v>
      </c>
      <c r="C21" s="37">
        <f>IFERROR(ROUND(('DCF Model'!C45/(1+$B21)^('DCF Model'!C19+0)+'DCF Model'!D45/(1+$B21)^('DCF Model'!C19+1)+'DCF Model'!E45/(1+$B21)^('DCF Model'!C19+2)+'DCF Model'!F45/(1+$B21)^('DCF Model'!C19+3)+'DCF Model'!G45/(1+$B21)^('DCF Model'!C19+4)+('DCF Model'!G39+'DCF Model'!G42)*C$17/(1+$B21)^('DCF Model'!C19+4)-'DCF Model'!C16)*1000000/'DCF Model'!C15,0),"")</f>
        <v>925</v>
      </c>
      <c r="D21" s="37">
        <f>IFERROR(ROUND(('DCF Model'!C45/(1+$B21)^('DCF Model'!C19+0)+'DCF Model'!D45/(1+$B21)^('DCF Model'!C19+1)+'DCF Model'!E45/(1+$B21)^('DCF Model'!C19+2)+'DCF Model'!F45/(1+$B21)^('DCF Model'!C19+3)+'DCF Model'!G45/(1+$B21)^('DCF Model'!C19+4)+('DCF Model'!G39+'DCF Model'!G42)*D$17/(1+$B21)^('DCF Model'!C19+4)-'DCF Model'!C16)*1000000/'DCF Model'!C15,0),"")</f>
        <v>1107</v>
      </c>
      <c r="E21" s="37">
        <f>IFERROR(ROUND(('DCF Model'!C45/(1+$B21)^('DCF Model'!C19+0)+'DCF Model'!D45/(1+$B21)^('DCF Model'!C19+1)+'DCF Model'!E45/(1+$B21)^('DCF Model'!C19+2)+'DCF Model'!F45/(1+$B21)^('DCF Model'!C19+3)+'DCF Model'!G45/(1+$B21)^('DCF Model'!C19+4)+('DCF Model'!G39+'DCF Model'!G42)*E$17/(1+$B21)^('DCF Model'!C19+4)-'DCF Model'!C16)*1000000/'DCF Model'!C15,0),"")</f>
        <v>1290</v>
      </c>
      <c r="F21" s="37">
        <f>IFERROR(ROUND(('DCF Model'!C45/(1+$B21)^('DCF Model'!C19+0)+'DCF Model'!D45/(1+$B21)^('DCF Model'!C19+1)+'DCF Model'!E45/(1+$B21)^('DCF Model'!C19+2)+'DCF Model'!F45/(1+$B21)^('DCF Model'!C19+3)+'DCF Model'!G45/(1+$B21)^('DCF Model'!C19+4)+('DCF Model'!G39+'DCF Model'!G42)*F$17/(1+$B21)^('DCF Model'!C19+4)-'DCF Model'!C16)*1000000/'DCF Model'!C15,0),"")</f>
        <v>1472</v>
      </c>
      <c r="G21" s="37">
        <f>IFERROR(ROUND(('DCF Model'!C45/(1+$B21)^('DCF Model'!C19+0)+'DCF Model'!D45/(1+$B21)^('DCF Model'!C19+1)+'DCF Model'!E45/(1+$B21)^('DCF Model'!C19+2)+'DCF Model'!F45/(1+$B21)^('DCF Model'!C19+3)+'DCF Model'!G45/(1+$B21)^('DCF Model'!C19+4)+('DCF Model'!G39+'DCF Model'!G42)*G$17/(1+$B21)^('DCF Model'!C19+4)-'DCF Model'!C16)*1000000/'DCF Model'!C15,0),"")</f>
        <v>1654</v>
      </c>
      <c r="H21" s="37">
        <f>IFERROR(ROUND(('DCF Model'!C45/(1+$B21)^('DCF Model'!C19+0)+'DCF Model'!D45/(1+$B21)^('DCF Model'!C19+1)+'DCF Model'!E45/(1+$B21)^('DCF Model'!C19+2)+'DCF Model'!F45/(1+$B21)^('DCF Model'!C19+3)+'DCF Model'!G45/(1+$B21)^('DCF Model'!C19+4)+('DCF Model'!G39+'DCF Model'!G42)*H$17/(1+$B21)^('DCF Model'!C19+4)-'DCF Model'!C16)*1000000/'DCF Model'!C15,0),"")</f>
        <v>1837</v>
      </c>
      <c r="I21" s="37">
        <f>IFERROR(ROUND(('DCF Model'!C45/(1+$B21)^('DCF Model'!C19+0)+'DCF Model'!D45/(1+$B21)^('DCF Model'!C19+1)+'DCF Model'!E45/(1+$B21)^('DCF Model'!C19+2)+'DCF Model'!F45/(1+$B21)^('DCF Model'!C19+3)+'DCF Model'!G45/(1+$B21)^('DCF Model'!C19+4)+('DCF Model'!G39+'DCF Model'!G42)*I$17/(1+$B21)^('DCF Model'!C19+4)-'DCF Model'!C16)*1000000/'DCF Model'!C15,0),"")</f>
        <v>2019</v>
      </c>
    </row>
    <row r="22" spans="2:9" ht="13.5" x14ac:dyDescent="0.25">
      <c r="B22" s="39">
        <f>$C$3+0.005</f>
        <v>0.1032715</v>
      </c>
      <c r="C22" s="37">
        <f>IFERROR(ROUND(('DCF Model'!C45/(1+$B22)^('DCF Model'!C19+0)+'DCF Model'!D45/(1+$B22)^('DCF Model'!C19+1)+'DCF Model'!E45/(1+$B22)^('DCF Model'!C19+2)+'DCF Model'!F45/(1+$B22)^('DCF Model'!C19+3)+'DCF Model'!G45/(1+$B22)^('DCF Model'!C19+4)+('DCF Model'!G39+'DCF Model'!G42)*C$17/(1+$B22)^('DCF Model'!C19+4)-'DCF Model'!C16)*1000000/'DCF Model'!C15,0),"")</f>
        <v>906</v>
      </c>
      <c r="D22" s="37">
        <f>IFERROR(ROUND(('DCF Model'!C45/(1+$B22)^('DCF Model'!C19+0)+'DCF Model'!D45/(1+$B22)^('DCF Model'!C19+1)+'DCF Model'!E45/(1+$B22)^('DCF Model'!C19+2)+'DCF Model'!F45/(1+$B22)^('DCF Model'!C19+3)+'DCF Model'!G45/(1+$B22)^('DCF Model'!C19+4)+('DCF Model'!G39+'DCF Model'!G42)*D$17/(1+$B22)^('DCF Model'!C19+4)-'DCF Model'!C16)*1000000/'DCF Model'!C15,0),"")</f>
        <v>1085</v>
      </c>
      <c r="E22" s="37">
        <f>IFERROR(ROUND(('DCF Model'!C45/(1+$B22)^('DCF Model'!C19+0)+'DCF Model'!D45/(1+$B22)^('DCF Model'!C19+1)+'DCF Model'!E45/(1+$B22)^('DCF Model'!C19+2)+'DCF Model'!F45/(1+$B22)^('DCF Model'!C19+3)+'DCF Model'!G45/(1+$B22)^('DCF Model'!C19+4)+('DCF Model'!G39+'DCF Model'!G42)*E$17/(1+$B22)^('DCF Model'!C19+4)-'DCF Model'!C16)*1000000/'DCF Model'!C15,0),"")</f>
        <v>1263</v>
      </c>
      <c r="F22" s="37">
        <f>IFERROR(ROUND(('DCF Model'!C45/(1+$B22)^('DCF Model'!C19+0)+'DCF Model'!D45/(1+$B22)^('DCF Model'!C19+1)+'DCF Model'!E45/(1+$B22)^('DCF Model'!C19+2)+'DCF Model'!F45/(1+$B22)^('DCF Model'!C19+3)+'DCF Model'!G45/(1+$B22)^('DCF Model'!C19+4)+('DCF Model'!G39+'DCF Model'!G42)*F$17/(1+$B22)^('DCF Model'!C19+4)-'DCF Model'!C16)*1000000/'DCF Model'!C15,0),"")</f>
        <v>1441</v>
      </c>
      <c r="G22" s="37">
        <f>IFERROR(ROUND(('DCF Model'!C45/(1+$B22)^('DCF Model'!C19+0)+'DCF Model'!D45/(1+$B22)^('DCF Model'!C19+1)+'DCF Model'!E45/(1+$B22)^('DCF Model'!C19+2)+'DCF Model'!F45/(1+$B22)^('DCF Model'!C19+3)+'DCF Model'!G45/(1+$B22)^('DCF Model'!C19+4)+('DCF Model'!G39+'DCF Model'!G42)*G$17/(1+$B22)^('DCF Model'!C19+4)-'DCF Model'!C16)*1000000/'DCF Model'!C15,0),"")</f>
        <v>1620</v>
      </c>
      <c r="H22" s="37">
        <f>IFERROR(ROUND(('DCF Model'!C45/(1+$B22)^('DCF Model'!C19+0)+'DCF Model'!D45/(1+$B22)^('DCF Model'!C19+1)+'DCF Model'!E45/(1+$B22)^('DCF Model'!C19+2)+'DCF Model'!F45/(1+$B22)^('DCF Model'!C19+3)+'DCF Model'!G45/(1+$B22)^('DCF Model'!C19+4)+('DCF Model'!G39+'DCF Model'!G42)*H$17/(1+$B22)^('DCF Model'!C19+4)-'DCF Model'!C16)*1000000/'DCF Model'!C15,0),"")</f>
        <v>1798</v>
      </c>
      <c r="I22" s="37">
        <f>IFERROR(ROUND(('DCF Model'!C45/(1+$B22)^('DCF Model'!C19+0)+'DCF Model'!D45/(1+$B22)^('DCF Model'!C19+1)+'DCF Model'!E45/(1+$B22)^('DCF Model'!C19+2)+'DCF Model'!F45/(1+$B22)^('DCF Model'!C19+3)+'DCF Model'!G45/(1+$B22)^('DCF Model'!C19+4)+('DCF Model'!G39+'DCF Model'!G42)*I$17/(1+$B22)^('DCF Model'!C19+4)-'DCF Model'!C16)*1000000/'DCF Model'!C15,0),"")</f>
        <v>1976</v>
      </c>
    </row>
    <row r="23" spans="2:9" ht="13.5" x14ac:dyDescent="0.25">
      <c r="B23" s="39">
        <f>$C$3+0.01</f>
        <v>0.10827149999999999</v>
      </c>
      <c r="C23" s="37">
        <f>IFERROR(ROUND(('DCF Model'!C45/(1+$B23)^('DCF Model'!C19+0)+'DCF Model'!D45/(1+$B23)^('DCF Model'!C19+1)+'DCF Model'!E45/(1+$B23)^('DCF Model'!C19+2)+'DCF Model'!F45/(1+$B23)^('DCF Model'!C19+3)+'DCF Model'!G45/(1+$B23)^('DCF Model'!C19+4)+('DCF Model'!G39+'DCF Model'!G42)*C$17/(1+$B23)^('DCF Model'!C19+4)-'DCF Model'!C16)*1000000/'DCF Model'!C15,0),"")</f>
        <v>889</v>
      </c>
      <c r="D23" s="37">
        <f>IFERROR(ROUND(('DCF Model'!C45/(1+$B23)^('DCF Model'!C19+0)+'DCF Model'!D45/(1+$B23)^('DCF Model'!C19+1)+'DCF Model'!E45/(1+$B23)^('DCF Model'!C19+2)+'DCF Model'!F45/(1+$B23)^('DCF Model'!C19+3)+'DCF Model'!G45/(1+$B23)^('DCF Model'!C19+4)+('DCF Model'!G39+'DCF Model'!G42)*D$17/(1+$B23)^('DCF Model'!C19+4)-'DCF Model'!C16)*1000000/'DCF Model'!C15,0),"")</f>
        <v>1063</v>
      </c>
      <c r="E23" s="37">
        <f>IFERROR(ROUND(('DCF Model'!C45/(1+$B23)^('DCF Model'!C19+0)+'DCF Model'!D45/(1+$B23)^('DCF Model'!C19+1)+'DCF Model'!E45/(1+$B23)^('DCF Model'!C19+2)+'DCF Model'!F45/(1+$B23)^('DCF Model'!C19+3)+'DCF Model'!G45/(1+$B23)^('DCF Model'!C19+4)+('DCF Model'!G39+'DCF Model'!G42)*E$17/(1+$B23)^('DCF Model'!C19+4)-'DCF Model'!C16)*1000000/'DCF Model'!C15,0),"")</f>
        <v>1237</v>
      </c>
      <c r="F23" s="37">
        <f>IFERROR(ROUND(('DCF Model'!C45/(1+$B23)^('DCF Model'!C19+0)+'DCF Model'!D45/(1+$B23)^('DCF Model'!C19+1)+'DCF Model'!E45/(1+$B23)^('DCF Model'!C19+2)+'DCF Model'!F45/(1+$B23)^('DCF Model'!C19+3)+'DCF Model'!G45/(1+$B23)^('DCF Model'!C19+4)+('DCF Model'!G39+'DCF Model'!G42)*F$17/(1+$B23)^('DCF Model'!C19+4)-'DCF Model'!C16)*1000000/'DCF Model'!C15,0),"")</f>
        <v>1412</v>
      </c>
      <c r="G23" s="37">
        <f>IFERROR(ROUND(('DCF Model'!C45/(1+$B23)^('DCF Model'!C19+0)+'DCF Model'!D45/(1+$B23)^('DCF Model'!C19+1)+'DCF Model'!E45/(1+$B23)^('DCF Model'!C19+2)+'DCF Model'!F45/(1+$B23)^('DCF Model'!C19+3)+'DCF Model'!G45/(1+$B23)^('DCF Model'!C19+4)+('DCF Model'!G39+'DCF Model'!G42)*G$17/(1+$B23)^('DCF Model'!C19+4)-'DCF Model'!C16)*1000000/'DCF Model'!C15,0),"")</f>
        <v>1586</v>
      </c>
      <c r="H23" s="37">
        <f>IFERROR(ROUND(('DCF Model'!C45/(1+$B23)^('DCF Model'!C19+0)+'DCF Model'!D45/(1+$B23)^('DCF Model'!C19+1)+'DCF Model'!E45/(1+$B23)^('DCF Model'!C19+2)+'DCF Model'!F45/(1+$B23)^('DCF Model'!C19+3)+'DCF Model'!G45/(1+$B23)^('DCF Model'!C19+4)+('DCF Model'!G39+'DCF Model'!G42)*H$17/(1+$B23)^('DCF Model'!C19+4)-'DCF Model'!C16)*1000000/'DCF Model'!C15,0),"")</f>
        <v>1760</v>
      </c>
      <c r="I23" s="37">
        <f>IFERROR(ROUND(('DCF Model'!C45/(1+$B23)^('DCF Model'!C19+0)+'DCF Model'!D45/(1+$B23)^('DCF Model'!C19+1)+'DCF Model'!E45/(1+$B23)^('DCF Model'!C19+2)+'DCF Model'!F45/(1+$B23)^('DCF Model'!C19+3)+'DCF Model'!G45/(1+$B23)^('DCF Model'!C19+4)+('DCF Model'!G39+'DCF Model'!G42)*I$17/(1+$B23)^('DCF Model'!C19+4)-'DCF Model'!C16)*1000000/'DCF Model'!C15,0),"")</f>
        <v>1934</v>
      </c>
    </row>
    <row r="24" spans="2:9" ht="13.5" x14ac:dyDescent="0.25">
      <c r="B24" s="39">
        <f>$C$3+0.015</f>
        <v>0.1132715</v>
      </c>
      <c r="C24" s="37">
        <f>IFERROR(ROUND(('DCF Model'!C45/(1+$B24)^('DCF Model'!C19+0)+'DCF Model'!D45/(1+$B24)^('DCF Model'!C19+1)+'DCF Model'!E45/(1+$B24)^('DCF Model'!C19+2)+'DCF Model'!F45/(1+$B24)^('DCF Model'!C19+3)+'DCF Model'!G45/(1+$B24)^('DCF Model'!C19+4)+('DCF Model'!G39+'DCF Model'!G42)*C$17/(1+$B24)^('DCF Model'!C19+4)-'DCF Model'!C16)*1000000/'DCF Model'!C15,0),"")</f>
        <v>871</v>
      </c>
      <c r="D24" s="37">
        <f>IFERROR(ROUND(('DCF Model'!C45/(1+$B24)^('DCF Model'!C19+0)+'DCF Model'!D45/(1+$B24)^('DCF Model'!C19+1)+'DCF Model'!E45/(1+$B24)^('DCF Model'!C19+2)+'DCF Model'!F45/(1+$B24)^('DCF Model'!C19+3)+'DCF Model'!G45/(1+$B24)^('DCF Model'!C19+4)+('DCF Model'!G39+'DCF Model'!G42)*D$17/(1+$B24)^('DCF Model'!C19+4)-'DCF Model'!C16)*1000000/'DCF Model'!C15,0),"")</f>
        <v>1042</v>
      </c>
      <c r="E24" s="37">
        <f>IFERROR(ROUND(('DCF Model'!C45/(1+$B24)^('DCF Model'!C19+0)+'DCF Model'!D45/(1+$B24)^('DCF Model'!C19+1)+'DCF Model'!E45/(1+$B24)^('DCF Model'!C19+2)+'DCF Model'!F45/(1+$B24)^('DCF Model'!C19+3)+'DCF Model'!G45/(1+$B24)^('DCF Model'!C19+4)+('DCF Model'!G39+'DCF Model'!G42)*E$17/(1+$B24)^('DCF Model'!C19+4)-'DCF Model'!C16)*1000000/'DCF Model'!C15,0),"")</f>
        <v>1212</v>
      </c>
      <c r="F24" s="37">
        <f>IFERROR(ROUND(('DCF Model'!C45/(1+$B24)^('DCF Model'!C19+0)+'DCF Model'!D45/(1+$B24)^('DCF Model'!C19+1)+'DCF Model'!E45/(1+$B24)^('DCF Model'!C19+2)+'DCF Model'!F45/(1+$B24)^('DCF Model'!C19+3)+'DCF Model'!G45/(1+$B24)^('DCF Model'!C19+4)+('DCF Model'!G39+'DCF Model'!G42)*F$17/(1+$B24)^('DCF Model'!C19+4)-'DCF Model'!C16)*1000000/'DCF Model'!C15,0),"")</f>
        <v>1383</v>
      </c>
      <c r="G24" s="37">
        <f>IFERROR(ROUND(('DCF Model'!C45/(1+$B24)^('DCF Model'!C19+0)+'DCF Model'!D45/(1+$B24)^('DCF Model'!C19+1)+'DCF Model'!E45/(1+$B24)^('DCF Model'!C19+2)+'DCF Model'!F45/(1+$B24)^('DCF Model'!C19+3)+'DCF Model'!G45/(1+$B24)^('DCF Model'!C19+4)+('DCF Model'!G39+'DCF Model'!G42)*G$17/(1+$B24)^('DCF Model'!C19+4)-'DCF Model'!C16)*1000000/'DCF Model'!C15,0),"")</f>
        <v>1553</v>
      </c>
      <c r="H24" s="37">
        <f>IFERROR(ROUND(('DCF Model'!C45/(1+$B24)^('DCF Model'!C19+0)+'DCF Model'!D45/(1+$B24)^('DCF Model'!C19+1)+'DCF Model'!E45/(1+$B24)^('DCF Model'!C19+2)+'DCF Model'!F45/(1+$B24)^('DCF Model'!C19+3)+'DCF Model'!G45/(1+$B24)^('DCF Model'!C19+4)+('DCF Model'!G39+'DCF Model'!G42)*H$17/(1+$B24)^('DCF Model'!C19+4)-'DCF Model'!C16)*1000000/'DCF Model'!C15,0),"")</f>
        <v>1723</v>
      </c>
      <c r="I24" s="37">
        <f>IFERROR(ROUND(('DCF Model'!C45/(1+$B24)^('DCF Model'!C19+0)+'DCF Model'!D45/(1+$B24)^('DCF Model'!C19+1)+'DCF Model'!E45/(1+$B24)^('DCF Model'!C19+2)+'DCF Model'!F45/(1+$B24)^('DCF Model'!C19+3)+'DCF Model'!G45/(1+$B24)^('DCF Model'!C19+4)+('DCF Model'!G39+'DCF Model'!G42)*I$17/(1+$B24)^('DCF Model'!C19+4)-'DCF Model'!C16)*1000000/'DCF Model'!C15,0),"")</f>
        <v>1894</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2026-09-06T09:56:29Z</dcterms:created>
  <dcterms:modified xsi:type="dcterms:W3CDTF">2026-09-06T09:56:32Z</dcterms:modified>
</cp:coreProperties>
</file>