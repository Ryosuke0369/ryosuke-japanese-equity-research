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D8C341D3-71B0-4F4D-9AA2-659BA9FEF38E}" xr6:coauthVersionLast="47" xr6:coauthVersionMax="47" xr10:uidLastSave="{00000000-0000-0000-0000-000000000000}"/>
  <bookViews>
    <workbookView xWindow="9720" yWindow="5480" windowWidth="4820" windowHeight="4600" xr2:uid="{00000000-000D-0000-FFFF-FFFF00000000}"/>
  </bookViews>
  <sheets>
    <sheet name="Executive Summary" sheetId="1" r:id="rId1"/>
    <sheet name="Financial Statements" sheetId="2" r:id="rId2"/>
    <sheet name="DCF Model" sheetId="3" r:id="rId3"/>
    <sheet name="Reverse DCF" sheetId="4" r:id="rId4"/>
    <sheet name="NWC Schedule" sheetId="5" r:id="rId5"/>
    <sheet name="Comps Analysis" sheetId="6" r:id="rId6"/>
    <sheet name="Sensitivity Analysis" sheetId="7" r:id="rId7"/>
    <sheet name="Adjustments Log" sheetId="8" r:id="rId8"/>
  </sheets>
  <calcPr calcId="181029"/>
</workbook>
</file>

<file path=xl/calcChain.xml><?xml version="1.0" encoding="utf-8"?>
<calcChain xmlns="http://schemas.openxmlformats.org/spreadsheetml/2006/main">
  <c r="I3" i="7" l="1"/>
  <c r="I17" i="7" s="1"/>
  <c r="F3" i="7"/>
  <c r="H6" i="7" s="1"/>
  <c r="O10" i="6"/>
  <c r="N10" i="6"/>
  <c r="M10" i="6"/>
  <c r="L10" i="6"/>
  <c r="K10" i="6"/>
  <c r="J10" i="6"/>
  <c r="O9" i="6"/>
  <c r="N9" i="6"/>
  <c r="M9" i="6"/>
  <c r="L9" i="6"/>
  <c r="K9" i="6"/>
  <c r="J9" i="6"/>
  <c r="O8" i="6"/>
  <c r="I16" i="6" s="1"/>
  <c r="N8" i="6"/>
  <c r="M8" i="6"/>
  <c r="L8" i="6"/>
  <c r="K8" i="6"/>
  <c r="J8" i="6"/>
  <c r="O7" i="6"/>
  <c r="N7" i="6"/>
  <c r="M7" i="6"/>
  <c r="L7" i="6"/>
  <c r="K7" i="6"/>
  <c r="J7" i="6"/>
  <c r="O6" i="6"/>
  <c r="N6" i="6"/>
  <c r="H15" i="6" s="1"/>
  <c r="M6" i="6"/>
  <c r="L6" i="6"/>
  <c r="F15" i="6" s="1"/>
  <c r="K6" i="6"/>
  <c r="E15" i="6" s="1"/>
  <c r="J6" i="6"/>
  <c r="O5" i="6"/>
  <c r="N5" i="6"/>
  <c r="E5" i="6"/>
  <c r="J5" i="6" s="1"/>
  <c r="D5" i="6"/>
  <c r="L5" i="6" s="1"/>
  <c r="C16" i="5"/>
  <c r="C18" i="5" s="1"/>
  <c r="C14" i="5"/>
  <c r="C7" i="5"/>
  <c r="C6" i="5"/>
  <c r="C5" i="5"/>
  <c r="C13" i="4"/>
  <c r="C12" i="4"/>
  <c r="C9" i="4"/>
  <c r="C7" i="4"/>
  <c r="C6" i="4"/>
  <c r="D27" i="3"/>
  <c r="G5" i="5" s="1"/>
  <c r="C25" i="3"/>
  <c r="C24" i="3"/>
  <c r="C23" i="3"/>
  <c r="F28" i="2"/>
  <c r="E28" i="2"/>
  <c r="D28" i="2"/>
  <c r="C28" i="2"/>
  <c r="F23" i="2"/>
  <c r="E23" i="2"/>
  <c r="D23" i="2"/>
  <c r="C23" i="2"/>
  <c r="F21" i="2"/>
  <c r="F22" i="2" s="1"/>
  <c r="E21" i="2"/>
  <c r="E22" i="2" s="1"/>
  <c r="D21" i="2"/>
  <c r="D22" i="2" s="1"/>
  <c r="C21" i="2"/>
  <c r="C22" i="2" s="1"/>
  <c r="F16" i="2"/>
  <c r="E16" i="2"/>
  <c r="D16" i="2"/>
  <c r="F15" i="2"/>
  <c r="E15" i="2"/>
  <c r="D15" i="2"/>
  <c r="F14" i="2"/>
  <c r="E14" i="2"/>
  <c r="D14" i="2"/>
  <c r="C14" i="2"/>
  <c r="F13" i="2"/>
  <c r="E13" i="2"/>
  <c r="D13" i="2"/>
  <c r="C13" i="2"/>
  <c r="F8" i="2"/>
  <c r="F9" i="2" s="1"/>
  <c r="E8" i="2"/>
  <c r="E9" i="2" s="1"/>
  <c r="D8" i="2"/>
  <c r="D9" i="2" s="1"/>
  <c r="C8" i="2"/>
  <c r="C9" i="2" s="1"/>
  <c r="G16" i="6" l="1"/>
  <c r="M5" i="6"/>
  <c r="I17" i="6"/>
  <c r="C26" i="3"/>
  <c r="C3" i="7" s="1"/>
  <c r="G15" i="6"/>
  <c r="C8" i="4"/>
  <c r="C10" i="4" s="1"/>
  <c r="C24" i="4" s="1"/>
  <c r="C25" i="4" s="1"/>
  <c r="D17" i="6"/>
  <c r="C71" i="4"/>
  <c r="C70" i="4"/>
  <c r="G36" i="4"/>
  <c r="C11" i="4"/>
  <c r="G46" i="3"/>
  <c r="E36" i="4"/>
  <c r="D36" i="4"/>
  <c r="D46" i="3"/>
  <c r="F46" i="3"/>
  <c r="C46" i="3"/>
  <c r="F36" i="4"/>
  <c r="H36" i="4"/>
  <c r="C30" i="3"/>
  <c r="C33" i="3" s="1"/>
  <c r="F31" i="3"/>
  <c r="H5" i="5"/>
  <c r="D7" i="5"/>
  <c r="K5" i="6"/>
  <c r="I15" i="6"/>
  <c r="E17" i="6"/>
  <c r="I6" i="7"/>
  <c r="D30" i="3"/>
  <c r="G31" i="3"/>
  <c r="E7" i="5"/>
  <c r="D16" i="6"/>
  <c r="F17" i="6"/>
  <c r="C17" i="7"/>
  <c r="D31" i="3"/>
  <c r="F5" i="5"/>
  <c r="C32" i="3"/>
  <c r="D6" i="5"/>
  <c r="F7" i="5"/>
  <c r="E16" i="6"/>
  <c r="G17" i="6"/>
  <c r="C6" i="7"/>
  <c r="D17" i="7"/>
  <c r="F32" i="3"/>
  <c r="G32" i="3"/>
  <c r="H6" i="5"/>
  <c r="E30" i="3"/>
  <c r="F30" i="3"/>
  <c r="D32" i="3"/>
  <c r="E6" i="5"/>
  <c r="G7" i="5"/>
  <c r="D15" i="6"/>
  <c r="F16" i="6"/>
  <c r="C28" i="6" s="1"/>
  <c r="C19" i="1" s="1"/>
  <c r="D19" i="1" s="1"/>
  <c r="H17" i="6"/>
  <c r="D6" i="7"/>
  <c r="E17" i="7"/>
  <c r="C31" i="3"/>
  <c r="G30" i="3"/>
  <c r="E32" i="3"/>
  <c r="D5" i="5"/>
  <c r="F6" i="5"/>
  <c r="H7" i="5"/>
  <c r="E6" i="7"/>
  <c r="F17" i="7"/>
  <c r="E5" i="5"/>
  <c r="G6" i="5"/>
  <c r="H16" i="6"/>
  <c r="F6" i="7"/>
  <c r="G17" i="7"/>
  <c r="G6" i="7"/>
  <c r="H17" i="7"/>
  <c r="E31" i="3"/>
  <c r="E46" i="3" l="1"/>
  <c r="D45" i="4"/>
  <c r="D43" i="4"/>
  <c r="D46" i="4"/>
  <c r="D40" i="4"/>
  <c r="D44" i="4"/>
  <c r="D38" i="4"/>
  <c r="D48" i="4" s="1"/>
  <c r="D53" i="4" s="1"/>
  <c r="D39" i="4"/>
  <c r="D41" i="4"/>
  <c r="F43" i="4"/>
  <c r="F40" i="4"/>
  <c r="F44" i="4"/>
  <c r="F38" i="4"/>
  <c r="F41" i="4"/>
  <c r="F46" i="4"/>
  <c r="F45" i="4"/>
  <c r="F39" i="4"/>
  <c r="D9" i="5"/>
  <c r="D12" i="5" s="1"/>
  <c r="C42" i="3"/>
  <c r="C34" i="3"/>
  <c r="D10" i="5" s="1"/>
  <c r="C37" i="3"/>
  <c r="D33" i="3"/>
  <c r="G46" i="4"/>
  <c r="G44" i="4"/>
  <c r="G38" i="4"/>
  <c r="G40" i="4"/>
  <c r="G41" i="4"/>
  <c r="G45" i="4"/>
  <c r="G39" i="4"/>
  <c r="G43" i="4"/>
  <c r="C29" i="4"/>
  <c r="C27" i="4"/>
  <c r="C26" i="4"/>
  <c r="E39" i="4"/>
  <c r="E46" i="4"/>
  <c r="E40" i="4"/>
  <c r="E44" i="4"/>
  <c r="E38" i="4"/>
  <c r="E43" i="4"/>
  <c r="E41" i="4"/>
  <c r="E45" i="4"/>
  <c r="H40" i="4"/>
  <c r="H38" i="4"/>
  <c r="H41" i="4"/>
  <c r="H45" i="4"/>
  <c r="H44" i="4"/>
  <c r="H39" i="4"/>
  <c r="H49" i="4" s="1"/>
  <c r="H54" i="4" s="1"/>
  <c r="H43" i="4"/>
  <c r="H46" i="4"/>
  <c r="C27" i="6"/>
  <c r="C18" i="1" s="1"/>
  <c r="D18" i="1" s="1"/>
  <c r="C74" i="4"/>
  <c r="B13" i="7"/>
  <c r="B12" i="7"/>
  <c r="B11" i="7"/>
  <c r="B10" i="7"/>
  <c r="B9" i="7"/>
  <c r="B8" i="7"/>
  <c r="B7" i="7"/>
  <c r="B24" i="7"/>
  <c r="B23" i="7"/>
  <c r="B22" i="7"/>
  <c r="B21" i="7"/>
  <c r="B20" i="7"/>
  <c r="B19" i="7"/>
  <c r="B18" i="7"/>
  <c r="G49" i="4" l="1"/>
  <c r="G54" i="4" s="1"/>
  <c r="C35" i="3"/>
  <c r="C39" i="3" s="1"/>
  <c r="E50" i="4"/>
  <c r="E55" i="4" s="1"/>
  <c r="F48" i="4"/>
  <c r="F53" i="4" s="1"/>
  <c r="D50" i="4"/>
  <c r="D55" i="4" s="1"/>
  <c r="H51" i="4"/>
  <c r="H56" i="4" s="1"/>
  <c r="H48" i="4"/>
  <c r="H53" i="4" s="1"/>
  <c r="H50" i="4"/>
  <c r="H55" i="4" s="1"/>
  <c r="E49" i="4"/>
  <c r="E54" i="4" s="1"/>
  <c r="D49" i="4"/>
  <c r="D54" i="4" s="1"/>
  <c r="D37" i="3"/>
  <c r="E9" i="5"/>
  <c r="E12" i="5" s="1"/>
  <c r="D42" i="3"/>
  <c r="E33" i="3"/>
  <c r="D34" i="3"/>
  <c r="E10" i="5" s="1"/>
  <c r="C36" i="3"/>
  <c r="C38" i="3"/>
  <c r="F51" i="4"/>
  <c r="F56" i="4" s="1"/>
  <c r="G51" i="4"/>
  <c r="G56" i="4" s="1"/>
  <c r="D15" i="5"/>
  <c r="D16" i="5" s="1"/>
  <c r="D13" i="5"/>
  <c r="D14" i="5" s="1"/>
  <c r="D18" i="5" s="1"/>
  <c r="D19" i="5" s="1"/>
  <c r="C44" i="3" s="1"/>
  <c r="E51" i="4"/>
  <c r="E56" i="4" s="1"/>
  <c r="G50" i="4"/>
  <c r="G55" i="4" s="1"/>
  <c r="F50" i="4"/>
  <c r="F55" i="4" s="1"/>
  <c r="G48" i="4"/>
  <c r="G53" i="4" s="1"/>
  <c r="E48" i="4"/>
  <c r="E53" i="4" s="1"/>
  <c r="F49" i="4"/>
  <c r="D51" i="4"/>
  <c r="D56" i="4" s="1"/>
  <c r="E13" i="5" l="1"/>
  <c r="E14" i="5" s="1"/>
  <c r="E15" i="5"/>
  <c r="E16" i="5" s="1"/>
  <c r="F9" i="5"/>
  <c r="F12" i="5" s="1"/>
  <c r="F33" i="3"/>
  <c r="E42" i="3"/>
  <c r="E34" i="3"/>
  <c r="F10" i="5" s="1"/>
  <c r="E37" i="3"/>
  <c r="F54" i="4"/>
  <c r="B78" i="4" s="1"/>
  <c r="C60" i="4"/>
  <c r="D35" i="3"/>
  <c r="C40" i="3"/>
  <c r="C41" i="3" s="1"/>
  <c r="C45" i="3" s="1"/>
  <c r="E18" i="5" l="1"/>
  <c r="E19" i="5" s="1"/>
  <c r="D44" i="3" s="1"/>
  <c r="C47" i="3"/>
  <c r="F42" i="3"/>
  <c r="F34" i="3"/>
  <c r="G10" i="5" s="1"/>
  <c r="F35" i="3"/>
  <c r="G33" i="3"/>
  <c r="F37" i="3"/>
  <c r="G9" i="5"/>
  <c r="G12" i="5" s="1"/>
  <c r="D36" i="3"/>
  <c r="D39" i="3"/>
  <c r="D38" i="3"/>
  <c r="E35" i="3"/>
  <c r="F13" i="5"/>
  <c r="F14" i="5" s="1"/>
  <c r="F15" i="5"/>
  <c r="F16" i="5" s="1"/>
  <c r="C64" i="4"/>
  <c r="D64" i="4" s="1"/>
  <c r="C67" i="4"/>
  <c r="D67" i="4" s="1"/>
  <c r="C63" i="4"/>
  <c r="D63" i="4" s="1"/>
  <c r="C65" i="4"/>
  <c r="D65" i="4" s="1"/>
  <c r="C66" i="4"/>
  <c r="D66" i="4" s="1"/>
  <c r="F18" i="5" l="1"/>
  <c r="F19" i="5" s="1"/>
  <c r="E44" i="3" s="1"/>
  <c r="G37" i="3"/>
  <c r="C16" i="4"/>
  <c r="C28" i="4" s="1"/>
  <c r="H9" i="5"/>
  <c r="H12" i="5" s="1"/>
  <c r="G42" i="3"/>
  <c r="G34" i="3"/>
  <c r="H10" i="5" s="1"/>
  <c r="F38" i="3"/>
  <c r="F36" i="3"/>
  <c r="F39" i="3"/>
  <c r="E39" i="3"/>
  <c r="E38" i="3"/>
  <c r="E36" i="3"/>
  <c r="G13" i="5"/>
  <c r="G14" i="5" s="1"/>
  <c r="G15" i="5"/>
  <c r="G16" i="5" s="1"/>
  <c r="D40" i="3"/>
  <c r="D41" i="3" s="1"/>
  <c r="D45" i="3" s="1"/>
  <c r="G18" i="5" l="1"/>
  <c r="G19" i="5" s="1"/>
  <c r="F44" i="3" s="1"/>
  <c r="F40" i="3"/>
  <c r="F41" i="3" s="1"/>
  <c r="F45" i="3" s="1"/>
  <c r="H15" i="5"/>
  <c r="H16" i="5" s="1"/>
  <c r="H13" i="5"/>
  <c r="C72" i="4"/>
  <c r="C73" i="4"/>
  <c r="H14" i="5"/>
  <c r="E40" i="3"/>
  <c r="E41" i="3" s="1"/>
  <c r="E45" i="3" s="1"/>
  <c r="E47" i="3" s="1"/>
  <c r="G35" i="3"/>
  <c r="D47" i="3"/>
  <c r="F47" i="3" l="1"/>
  <c r="G38" i="3"/>
  <c r="G36" i="3"/>
  <c r="G39" i="3"/>
  <c r="H18" i="5"/>
  <c r="H19" i="5" s="1"/>
  <c r="G44" i="3" s="1"/>
  <c r="C59" i="3" l="1"/>
  <c r="C60" i="3" s="1"/>
  <c r="C61" i="3" s="1"/>
  <c r="G40" i="3"/>
  <c r="G41" i="3" s="1"/>
  <c r="G45" i="3" s="1"/>
  <c r="G47" i="3" l="1"/>
  <c r="C50" i="3" s="1"/>
  <c r="C51" i="3"/>
  <c r="C52" i="3" s="1"/>
  <c r="D11" i="7"/>
  <c r="E8" i="7"/>
  <c r="I13" i="7"/>
  <c r="H21" i="7"/>
  <c r="I7" i="7"/>
  <c r="I12" i="7"/>
  <c r="F9" i="7"/>
  <c r="D23" i="7"/>
  <c r="D24" i="7"/>
  <c r="I18" i="7"/>
  <c r="H7" i="7"/>
  <c r="G8" i="7"/>
  <c r="G11" i="7"/>
  <c r="E20" i="7"/>
  <c r="C9" i="7"/>
  <c r="F21" i="7"/>
  <c r="E22" i="7"/>
  <c r="H22" i="7"/>
  <c r="E19" i="7"/>
  <c r="C13" i="7"/>
  <c r="C18" i="7"/>
  <c r="C21" i="7"/>
  <c r="G23" i="7"/>
  <c r="F24" i="7"/>
  <c r="H24" i="7"/>
  <c r="E11" i="7"/>
  <c r="C10" i="7"/>
  <c r="G22" i="7"/>
  <c r="F20" i="7"/>
  <c r="H19" i="7"/>
  <c r="F18" i="7"/>
  <c r="I11" i="7"/>
  <c r="D13" i="7"/>
  <c r="C12" i="7"/>
  <c r="H18" i="7"/>
  <c r="F7" i="7"/>
  <c r="I10" i="7"/>
  <c r="E12" i="7"/>
  <c r="F11" i="7"/>
  <c r="C8" i="7"/>
  <c r="D7" i="7"/>
  <c r="C7" i="7"/>
  <c r="H11" i="7"/>
  <c r="E13" i="7"/>
  <c r="C24" i="7"/>
  <c r="G10" i="7"/>
  <c r="D8" i="7"/>
  <c r="I19" i="7"/>
  <c r="C20" i="7"/>
  <c r="E23" i="7"/>
  <c r="I8" i="7"/>
  <c r="H23" i="7"/>
  <c r="E18" i="7"/>
  <c r="F19" i="7"/>
  <c r="I22" i="7"/>
  <c r="C19" i="7"/>
  <c r="H20" i="7"/>
  <c r="D10" i="7"/>
  <c r="I20" i="7"/>
  <c r="D12" i="7"/>
  <c r="H13" i="7"/>
  <c r="C11" i="7"/>
  <c r="E10" i="7"/>
  <c r="D21" i="7"/>
  <c r="G21" i="7"/>
  <c r="D20" i="7"/>
  <c r="H12" i="7"/>
  <c r="E9" i="7"/>
  <c r="G9" i="7"/>
  <c r="F12" i="7"/>
  <c r="D9" i="7"/>
  <c r="F10" i="7"/>
  <c r="F8" i="7"/>
  <c r="G13" i="7"/>
  <c r="G18" i="7"/>
  <c r="I9" i="7"/>
  <c r="F23" i="7"/>
  <c r="D22" i="7"/>
  <c r="G12" i="7"/>
  <c r="E21" i="7"/>
  <c r="H10" i="7"/>
  <c r="F13" i="7"/>
  <c r="H9" i="7"/>
  <c r="I23" i="7"/>
  <c r="C23" i="7"/>
  <c r="G7" i="7"/>
  <c r="E24" i="7"/>
  <c r="H8" i="7"/>
  <c r="G19" i="7"/>
  <c r="C22" i="7"/>
  <c r="G24" i="7"/>
  <c r="I24" i="7"/>
  <c r="G20" i="7"/>
  <c r="I21" i="7"/>
  <c r="D18" i="7"/>
  <c r="E7" i="7"/>
  <c r="F22" i="7"/>
  <c r="D19" i="7"/>
  <c r="C58" i="3" l="1"/>
  <c r="C62" i="3" s="1"/>
  <c r="C53" i="3"/>
  <c r="C17" i="4" l="1"/>
  <c r="C54" i="3"/>
  <c r="C55" i="3" s="1"/>
  <c r="C16" i="1" s="1"/>
  <c r="C63" i="3"/>
  <c r="C64" i="3" s="1"/>
  <c r="C17" i="1" s="1"/>
  <c r="D17" i="1" s="1"/>
  <c r="C19" i="4" l="1"/>
  <c r="C20" i="4" s="1"/>
  <c r="B79" i="4" s="1"/>
  <c r="C21" i="1"/>
  <c r="D16" i="1"/>
  <c r="C10" i="1"/>
  <c r="C12" i="1" s="1"/>
  <c r="C11" i="1" s="1"/>
</calcChain>
</file>

<file path=xl/sharedStrings.xml><?xml version="1.0" encoding="utf-8"?>
<sst xmlns="http://schemas.openxmlformats.org/spreadsheetml/2006/main" count="513" uniqueCount="398">
  <si>
    <t>DISCLAIMER: This is a sample analysis for demonstration purposes only. It does not constitute investment advice.</t>
  </si>
  <si>
    <t>東京ガス (9531.T)</t>
  </si>
  <si>
    <t>Equity Research Report</t>
  </si>
  <si>
    <t>Company</t>
  </si>
  <si>
    <t>東京ガス</t>
  </si>
  <si>
    <t>Ticker</t>
  </si>
  <si>
    <t>9531.T (TSE Prime)</t>
  </si>
  <si>
    <t>Sector</t>
  </si>
  <si>
    <t>電気・ガス業</t>
  </si>
  <si>
    <t>Current Price</t>
  </si>
  <si>
    <t>Target Price (DCF 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</si>
  <si>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</si>
  <si>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</si>
  <si>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</si>
  <si>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</si>
  <si>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</si>
  <si>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</si>
  <si>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</si>
  <si>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</si>
  <si>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 [参考・Target不算入]</t>
  </si>
  <si>
    <t>Comps - PER Median [参考・Target不算入]</t>
  </si>
  <si>
    <t>Note: Target Mid は DCF 2法（PGM / Exit）の平均のみ。Comps 2法は [参考] で Target 不算入（EV&lt;ネットデットで株式価値が負になる手法は INVALID として平均から除外）</t>
  </si>
  <si>
    <t>DCF Valuation Range (PGM - Exit)</t>
  </si>
  <si>
    <t>Key Investment Thesis</t>
  </si>
  <si>
    <t>1. [Edit] Describe key competitive advantage</t>
  </si>
  <si>
    <t>2. [Edit] Describe growth driver</t>
  </si>
  <si>
    <t>3. [Edit] Describe margin expansion opportunity</t>
  </si>
  <si>
    <t>Key Risks</t>
  </si>
  <si>
    <t>1. [Edit] Describe primary risk factor</t>
  </si>
  <si>
    <t>2. [Edit] Describe secondary risk factor</t>
  </si>
  <si>
    <t>3. [Edit] Describe tertiary risk factor</t>
  </si>
  <si>
    <t>東京ガス - Historical Financials (JPY mn)</t>
  </si>
  <si>
    <t>FY2023</t>
  </si>
  <si>
    <t>FY2024</t>
  </si>
  <si>
    <t>FY2025</t>
  </si>
  <si>
    <t>FY2026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</si>
  <si>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</si>
  <si>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</si>
  <si>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</si>
  <si>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</si>
  <si>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</si>
  <si>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</si>
  <si>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</si>
  <si>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</si>
  <si>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</si>
  <si>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</si>
  <si>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</si>
  <si>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</si>
  <si>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</si>
  <si>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</si>
  <si>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</si>
  <si>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</si>
  <si>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</si>
  <si>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</si>
  <si>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</si>
  <si>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</si>
  <si>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</si>
  <si>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Total Interest-bearing Debt (short + long)</t>
  </si>
  <si>
    <t>Net Debt (Cash)</t>
  </si>
  <si>
    <t>Note: OCF / Cash / Debt coverage OCF 4/4, Cash 4/4, Debt 4/4 — blank cells are years with no year-key match in the source data (verify against 決算短信 or set hist_ocf / hist_cash / hist_debt in overrides).</t>
  </si>
  <si>
    <t>DCF Valuation Model - 東京ガス</t>
  </si>
  <si>
    <t>Assumptions</t>
  </si>
  <si>
    <t>Capex / Revenue (hist 3yr avg, fallback)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</si>
  <si>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</si>
  <si>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</si>
  <si>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</si>
  <si>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</si>
  <si>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</si>
  <si>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</si>
  <si>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</si>
  <si>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</si>
  <si>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</si>
  <si>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</si>
  <si>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</si>
  <si>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</si>
  <si>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</si>
  <si>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</si>
  <si>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</si>
  <si>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</si>
  <si>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</si>
  <si>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</si>
  <si>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</si>
  <si>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</si>
  <si>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</si>
  <si>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</si>
  <si>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</si>
  <si>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FY2027(E)</t>
  </si>
  <si>
    <t>FY2028(E)</t>
  </si>
  <si>
    <t>FY2029(E)</t>
  </si>
  <si>
    <t>FY2030(E)</t>
  </si>
  <si>
    <t>FY2031(E)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</si>
  <si>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</si>
  <si>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</si>
  <si>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</si>
  <si>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</si>
  <si>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</si>
  <si>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</si>
  <si>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</si>
  <si>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</si>
  <si>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</si>
  <si>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</si>
  <si>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</si>
  <si>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</si>
  <si>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</si>
  <si>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</si>
  <si>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</si>
  <si>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</si>
  <si>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</si>
  <si>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</si>
  <si>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</si>
  <si>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</si>
  <si>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</si>
  <si>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</si>
  <si>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</si>
  <si>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</si>
  <si>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Scenario Input Matrix</t>
  </si>
  <si>
    <t>Year 1</t>
  </si>
  <si>
    <t>Year 2</t>
  </si>
  <si>
    <t>Year 3</t>
  </si>
  <si>
    <t>Year 4</t>
  </si>
  <si>
    <t>Year 5</t>
  </si>
  <si>
    <t>Upside</t>
  </si>
  <si>
    <t>Management</t>
  </si>
  <si>
    <t>Downside 1</t>
  </si>
  <si>
    <t>Downside 2</t>
  </si>
  <si>
    <t>Reverse DCF - 東京ガス (9531.T)</t>
  </si>
  <si>
    <t>What is the current share price already assuming? Every value below is a live formula off the other sheets.</t>
  </si>
  <si>
    <t>Block 0: Market-implied enterprise value (live)</t>
  </si>
  <si>
    <t>Current Share Price (JPY)</t>
  </si>
  <si>
    <t>Market Capitalisation (JPY mn)</t>
  </si>
  <si>
    <t>Enterprise Value (JPY mn)</t>
  </si>
  <si>
    <t>WACC (w)</t>
  </si>
  <si>
    <t>Terminal Growth (g)</t>
  </si>
  <si>
    <t>Effective Tax Rate (t)</t>
  </si>
  <si>
    <t>Starting Operating Profit OP0 (FY2026 actual)</t>
  </si>
  <si>
    <t>Cycle-peak Operating Profit (FY2023 actual)</t>
  </si>
  <si>
    <t>Terminal-year Revenue, active scenario (JPY mn)</t>
  </si>
  <si>
    <t>Base-case DCF Enterprise Value, PGM (JPY mn)</t>
  </si>
  <si>
    <t>Cycle-peak Operating Margin (FY2023 actual)</t>
  </si>
  <si>
    <t>Gap: market EV less base-case DCF EV (JPY mn)</t>
  </si>
  <si>
    <t>Gap per share (JPY) - the part of the price the base case does not explain</t>
  </si>
  <si>
    <t>Block A: Required steady-state operating profit, reached IMMEDIATELY (no ramp)</t>
  </si>
  <si>
    <t>The lowest bar the price can clear: today's EV read as a perpetuity of one steady-state profit, capex = D&amp;A, no NWC build.</t>
  </si>
  <si>
    <t>Required steady-state NOPAT (JPY mn)</t>
  </si>
  <si>
    <t>Required steady-state Operating Profit (JPY mn)</t>
  </si>
  <si>
    <t>... as a multiple of the FY2023 peak</t>
  </si>
  <si>
    <t>... as a multiple of FY2026 actual</t>
  </si>
  <si>
    <t>... implied OPM on terminal-year revenue</t>
  </si>
  <si>
    <t>... revenue needed if margins only reach the cycle peak</t>
  </si>
  <si>
    <t>Block B: Required steady-state operating profit by YEARS-TO-REACH (linear ramp) x WACC</t>
  </si>
  <si>
    <t>Operating profit ramps linearly from OP0 (C14) to OP* over N years, then grows at g for ever. Column F is the model WACC.</t>
  </si>
  <si>
    <t>OP* = ( EV/(1-t) - OP0*(A-B) ) / ( B + TVF ). A longer ramp needs a HIGHER steady state, because more years are spent below it.</t>
  </si>
  <si>
    <t>Years to steady state (N)   \   WACC</t>
  </si>
  <si>
    <t>N</t>
  </si>
  <si>
    <t>B-1  PV weight on the RAMP from OP0   (A - B)</t>
  </si>
  <si>
    <t>N = 3 years</t>
  </si>
  <si>
    <t>N = 5 years</t>
  </si>
  <si>
    <t>N = 7 years</t>
  </si>
  <si>
    <t>N = 10 years</t>
  </si>
  <si>
    <t>B-2  PV weight on the STEADY STATE OP*   (B + terminal factor)</t>
  </si>
  <si>
    <t>B-3  REQUIRED steady-state Operating Profit (JPY mn)</t>
  </si>
  <si>
    <t>B-4  ... as a multiple of the FY2023 peak operating profit</t>
  </si>
  <si>
    <t>Block C: Decomposing the required profit into revenue x margin (N = 5 years, model WACC)</t>
  </si>
  <si>
    <t>The revenue the company must run at, for a given steady-state operating margin, to earn the Block B-3 profit.</t>
  </si>
  <si>
    <t>Required steady-state Operating Profit (N=5, model WACC)</t>
  </si>
  <si>
    <t>Assumed steady-state OPM</t>
  </si>
  <si>
    <t>Required Revenue</t>
  </si>
  <si>
    <t>x base-year revenue</t>
  </si>
  <si>
    <t>cycle-peak OPM (FY2023)</t>
  </si>
  <si>
    <t>Block D: The same question expressed as multiples</t>
  </si>
  <si>
    <t>Current EV / latest-FY EBITDA (actual)</t>
  </si>
  <si>
    <t>Current EV / latest-FY Revenue (actual)</t>
  </si>
  <si>
    <t>EV / EBITDA if the Block A profit were already earned</t>
  </si>
  <si>
    <t>EV / EBITDA if the Block B-3 (N=5) profit were already earned</t>
  </si>
  <si>
    <t>Peer median EV / EBITDA (statistics rows)</t>
  </si>
  <si>
    <t>Rows 3-4 answer: what multiple would today's EV be paying IF the company already earned the profit the price requires?</t>
  </si>
  <si>
    <t>Block F: The one-line answer</t>
  </si>
  <si>
    <t>NWC Schedule - 東京ガス</t>
  </si>
  <si>
    <t>Working Capital Drivers (Days)</t>
  </si>
  <si>
    <t>Base Year</t>
  </si>
  <si>
    <t>DSO (Days Sales Outstanding)</t>
  </si>
  <si>
    <t>DIH (Days Inventory Held)</t>
  </si>
  <si>
    <t>DPO (Days Payable Outstanding)</t>
  </si>
  <si>
    <t>P&amp;L Reference (JPY mn)</t>
  </si>
  <si>
    <t>Working Capital Items (JPY mn)</t>
  </si>
  <si>
    <t>Accounts Receivable</t>
  </si>
  <si>
    <t>Inventory</t>
  </si>
  <si>
    <t>Current Assets (AR + Inv)</t>
  </si>
  <si>
    <t>Accounts Payable</t>
  </si>
  <si>
    <t>Current Liabilities (AP)</t>
  </si>
  <si>
    <t>Net Working Capital (JPY mn)</t>
  </si>
  <si>
    <t>Net Working Capital</t>
  </si>
  <si>
    <t>Scenario Input Matrix (Working Capital Days)</t>
  </si>
  <si>
    <t>DSO (Days)</t>
  </si>
  <si>
    <t>DIH (Days)</t>
  </si>
  <si>
    <t>DPO (Days)</t>
  </si>
  <si>
    <t>Comparable Company Analysis</t>
  </si>
  <si>
    <t>Peer prices as of 2026-09-06 (Mkt Cap / EV of peer rows are static CSV values; the subject row is live-linked to Executive Summary)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</si>
  <si>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</si>
  <si>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</si>
  <si>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</si>
  <si>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</si>
  <si>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</si>
  <si>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</si>
  <si>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</si>
  <si>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</si>
  <si>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</si>
  <si>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</si>
  <si>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</si>
  <si>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</si>
  <si>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Book Value
(JPY mn)</t>
  </si>
  <si>
    <t>Note</t>
  </si>
  <si>
    <t>Tokyo Gas Co.,Ltd.</t>
  </si>
  <si>
    <t>9531.T</t>
  </si>
  <si>
    <t>Osaka Gas Co., Ltd.</t>
  </si>
  <si>
    <t>9532.T</t>
  </si>
  <si>
    <t>Toho Gas Co., Ltd.</t>
  </si>
  <si>
    <t>9533.T</t>
  </si>
  <si>
    <t>Saibu Gas Holdings Co.,Ltd.</t>
  </si>
  <si>
    <t>9536.T</t>
  </si>
  <si>
    <t>Chubu Electric Power Company, Incorporated</t>
  </si>
  <si>
    <t>9502.T</t>
  </si>
  <si>
    <t>The Kansai Electric Power Company, Incorporated</t>
  </si>
  <si>
    <t>9503.T</t>
  </si>
  <si>
    <t>Statistics</t>
  </si>
  <si>
    <t>25th Percentile</t>
  </si>
  <si>
    <t>Median (50th)</t>
  </si>
  <si>
    <t>75th Percentile</t>
  </si>
  <si>
    <t>Implied Valuation for 東京ガス</t>
  </si>
  <si>
    <t>東京ガス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</si>
  <si>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</si>
  <si>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</si>
  <si>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</si>
  <si>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</si>
  <si>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</si>
  <si>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</si>
  <si>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</si>
  <si>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</si>
  <si>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</si>
  <si>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</si>
  <si>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</si>
  <si>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</si>
  <si>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</si>
  <si>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</si>
  <si>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</si>
  <si>
    <t>Adjustments Log - 東京ガス</t>
  </si>
  <si>
    <t>日付</t>
  </si>
  <si>
    <t>セル</t>
  </si>
  <si>
    <t>変更内容</t>
  </si>
  <si>
    <t>理由</t>
  </si>
  <si>
    <t>元の値</t>
  </si>
  <si>
    <t>状態</t>
  </si>
  <si>
    <t>2026-09-06</t>
  </si>
  <si>
    <t>-</t>
  </si>
  <si>
    <t>Generated by pipeline on 2026-09-06 12:26, template rev c9b5dd9</t>
  </si>
  <si>
    <t>初期生成（手修正なし）</t>
  </si>
  <si>
    <t>generated</t>
  </si>
  <si>
    <t>2026-09-05</t>
  </si>
  <si>
    <t>DCF Model!C7</t>
  </si>
  <si>
    <t>Risk-Free Rate = 2.97%</t>
  </si>
  <si>
    <t>財務省 国債金利情報 jgbcm.csv 10年物 R8.9.3(2026-09-03) 2.966% を四捨五入。バッチ全銘柄共通の一次ソース。yfinance は日本国債利回りを返さないため使用しない。</t>
  </si>
  <si>
    <t>テンプレ既定 2.2%</t>
  </si>
  <si>
    <t>確定</t>
  </si>
  <si>
    <t>DCF Model!C9</t>
  </si>
  <si>
    <t>Equity Risk Premium = 6.5%</t>
  </si>
  <si>
    <t>バッチ共通の固定前提(v2 §1-3)。銘柄固有の調整はしていない。</t>
  </si>
  <si>
    <t>テンプレ既定 6.5%(同値)</t>
  </si>
  <si>
    <t>設計判断</t>
  </si>
  <si>
    <t>DCF Model!C10</t>
  </si>
  <si>
    <t>Size Premium = 1.0%</t>
  </si>
  <si>
    <t>時価総額バンドによる機械決定(&gt;3,000億円 -&gt; 1.0%)。当社時価総額 2,013,078百万円。■テンプレートの自動規則(&gt;=1兆円 -&gt; 0.0%、&gt;=1,000億円 -&gt; 1.5%)とは異なる値であり、明示指定で上書きしている。</t>
  </si>
  <si>
    <t>テンプレ自動値</t>
  </si>
  <si>
    <t>DCF Model!C8</t>
  </si>
  <si>
    <t>Beta = 0.60</t>
  </si>
  <si>
    <t>yfinance実測 **-0.148** はクランプ下限 0.60 を下回るため、追補1 §A の規則 max(0.6, min(1.75, 実測)) により **0.60 を明示指定**した。テンプレの無言の 1.0 置換は起きていない。実測ベースより WACC は保守的に出る。</t>
  </si>
  <si>
    <t>yfinance実測 -0.148</t>
  </si>
  <si>
    <t>設計判断(クランプ下限を採用)</t>
  </si>
  <si>
    <t>DCF Model!C6</t>
  </si>
  <si>
    <t>Effective Tax Rate = 25%</t>
  </si>
  <si>
    <t>バッチ共通の既定値(v2 §1-3)。当社の実績税負担率を個別に検証したものではない。</t>
  </si>
  <si>
    <t>テンプレ既定 30%</t>
  </si>
  <si>
    <t>推定</t>
  </si>
  <si>
    <t>DCF Model!C11</t>
  </si>
  <si>
    <t>After-tax Cost of Debt = 1.22%(実績ベース)</t>
  </si>
  <si>
    <t>支払利息 18,897百万円 ÷ 平均有利子負債 ((1,120,000 + 1,209,669)/2) から算出（validate チェック17 PASS）。■出所は yfinance の Interest Expense で EDINET 有報の支払利息と未突合。</t>
  </si>
  <si>
    <t>テンプレ既定(推定値)</t>
  </si>
  <si>
    <t>推定(出所が二次ソース・要確認)</t>
  </si>
  <si>
    <t>DCF Model!C13</t>
  </si>
  <si>
    <t>Terminal Growth = 1.0%</t>
  </si>
  <si>
    <t>バッチ共通の固定前提(v2 §1-3)。</t>
  </si>
  <si>
    <t>テンプレ既定 2.0%</t>
  </si>
  <si>
    <t>DCF Model!C14</t>
  </si>
  <si>
    <t>Exit Multiple (EV/EBITDA) = 9.4x</t>
  </si>
  <si>
    <t>Peer 5社の実測EV/EBITDA中央値。 自社の現在倍率 6.57x は算式に入れていない(市場価格への循環参照回避)。■マージン品質調整式はバッチ全体で棄却済み(EV/EBITDA が既に資本集約度を織り込むため、営業利益率による上方調整は資本集約型で逆方向に働く)。</t>
  </si>
  <si>
    <t>テンプレ既定 10.0x</t>
  </si>
  <si>
    <t>全体(型判定・プレスクリーン)</t>
  </si>
  <si>
    <t>型A（通常の事業会社）として処理</t>
  </si>
  <si>
    <t>追補1 §B に従い、型判定の前に batch/prescreen.py で EDINET有報XBRL の金融事業専用科目(ForFinancialBusiness / Banking / Deposits / CallLoan / InstallmentReceivable 系)を機械チェックした。検出結果: **検出あり（ただし非実質的）**。銀行・captive finance なし。プレスクリーン CLEAN。赤字年なし。</t>
  </si>
  <si>
    <t>DCF Model シナリオ5本</t>
  </si>
  <si>
    <t>実績OPM分布からの導出（追補7 §Y の単調性判定: **非単調**）</t>
  </si>
  <si>
    <t>min 5.05 / p25 6.49 / med 7.56 / p75 9.32 / max 12.81。**追補7 §Y: 非単調**。直近 6.97% ≤ 中央値 7.56% のため**中央値へ収束**。Upside = p75 の 9.32%、Downside 1 = p25 の 6.49%、Downside 2 は 売上 −8% + OPM 4.4〜5.2%。COGS% は直近実績 **82.1%** 固定・SGA% 逆算。</t>
  </si>
  <si>
    <t>テンプレ自動生成シナリオ</t>
  </si>
  <si>
    <t>DCF Model Management シナリオ</t>
  </si>
  <si>
    <t>Management = Base と同一</t>
  </si>
  <si>
    <t>EDINET XBRL・TDnet短信のいずれからも会社業績予想を取得できなかった(生成ログ Step 3: 'No guidance data found')。v2 §7-2 に従い Management=Base で続行。■本バッチではここまで生成した全銘柄で同じ結果になっており、銘柄固有ではなくパイプラインの構造的な取得失敗である。</t>
  </si>
  <si>
    <t>フォールバック使用(会社予想未取得)</t>
  </si>
  <si>
    <t>DCF Model NWC(dso/dih/dpo)</t>
  </si>
  <si>
    <t>Base: DSO 57 / DIH 24 / DPO 17 日</t>
  </si>
  <si>
    <t>実績4期の平均。Downside では運転資本の悪化を織り込み DSO/DIH を延ばし DPO を縮めた。</t>
  </si>
  <si>
    <t>Comps Analysis</t>
  </si>
  <si>
    <t>Peer 5社 = 9532 大阪ガス / 9533 東邦ガス / 9536 西部ガス / 9502 中部電力 / 9503 関西電力</t>
  </si>
  <si>
    <t>都市ガスで事業比較可能性を優先し、エネルギー事業として大手電力2社を加えて n=5 とした。9531/9532 は相互に Peer。</t>
  </si>
  <si>
    <t>Executive Summary!C10 / Target</t>
  </si>
  <si>
    <t>Target Price = 8,150円 = PGM 6,331円 と Exit 9,968円 の2本平均。Comps 2本(EV/EBITDA —円 / PER —円)は [参考・Target不算入]</t>
  </si>
  <si>
    <t>メモ§2 の規約どおり。validate チェック14 PASS(C10 が C16:C17 のみを平均)。</t>
  </si>
  <si>
    <t>全体(納品状態)</t>
  </si>
  <si>
    <t>本ファイルは DRAFT。_FINAL は付けない</t>
  </si>
  <si>
    <t>バッチモードでの機械生成物であり人間の検証を経ていない。FINAL化は手順書v2 §6 に従い検証後に行う。</t>
  </si>
  <si>
    <t>DRAFT</t>
  </si>
  <si>
    <t>全体(未解決)</t>
  </si>
  <si>
    <t>**hist_cogs が2期欠損しており Financial Statements の表示が不完全**</t>
  </si>
  <si>
    <t>yfinance の制約。COGS%固定+逆算方式のためシナリオと Target には影響しないが、**時系列の原価率推移を本モデルから読み取ることはできない**。FINAL化時は有報から補完すること。</t>
  </si>
  <si>
    <t>未解決</t>
  </si>
  <si>
    <t>プレスクリーンで LeaseReceivablesAndInvestmentAssetsCA 18,362 を検出（総資産比 0.47%）</t>
  </si>
  <si>
    <t>**非実質的なため型A として処理**した（9202 ANAHD の 0.2% と同じ判断）。captive finance ではない。</t>
  </si>
  <si>
    <t>OPM が 12.81% → 5.05% → 6.97% と大きく振れている</t>
  </si>
  <si>
    <t>資源価格と料金改定のタイムラグによると推定するが一次ソース未確認。中央値収束 7.56% は振れ幅の中では中庸。</t>
  </si>
  <si>
    <t>Pipeline Metadata (do not edit — read by scripts/validate_output.py)</t>
  </si>
  <si>
    <t>key</t>
  </si>
  <si>
    <t>value</t>
  </si>
  <si>
    <t>auto_log_entries</t>
  </si>
  <si>
    <t>1</t>
  </si>
  <si>
    <t>capex_pct_basis</t>
  </si>
  <si>
    <t>hist_3yr_avg</t>
  </si>
  <si>
    <t>capex_pct_c5</t>
  </si>
  <si>
    <t>0.065</t>
  </si>
  <si>
    <t>capex_pct_hist3yr</t>
  </si>
  <si>
    <t>0.065049</t>
  </si>
  <si>
    <t>company_name</t>
  </si>
  <si>
    <t>comps_asof</t>
  </si>
  <si>
    <t>comps_da_missing</t>
  </si>
  <si>
    <t>none</t>
  </si>
  <si>
    <t>comps_ev_ebitda_invalid</t>
  </si>
  <si>
    <t>no</t>
  </si>
  <si>
    <t>comps_ev_ebitda_rows</t>
  </si>
  <si>
    <t>6,7,8,9,10</t>
  </si>
  <si>
    <t>comps_impl_mult_row</t>
  </si>
  <si>
    <t>27</t>
  </si>
  <si>
    <t>comps_impl_per_row</t>
  </si>
  <si>
    <t>28</t>
  </si>
  <si>
    <t>comps_peer_rows</t>
  </si>
  <si>
    <t>comps_stale_excluded</t>
  </si>
  <si>
    <t>comps_stat_median_row</t>
  </si>
  <si>
    <t>16</t>
  </si>
  <si>
    <t>comps_subject_row</t>
  </si>
  <si>
    <t>5</t>
  </si>
  <si>
    <t>cost_of_debt_actual</t>
  </si>
  <si>
    <t>interest 18,897 (expense 18,897 + fees 0) / avg debt 1,164,834 (debt_beginning/debt_ending) = 0.016223 pre-tax -&gt; 0.012200 after-tax</t>
  </si>
  <si>
    <t>cost_of_debt_at_c11</t>
  </si>
  <si>
    <t>0.0122</t>
  </si>
  <si>
    <t>cost_of_debt_avg_debt</t>
  </si>
  <si>
    <t>1164834.5</t>
  </si>
  <si>
    <t>cost_of_debt_basis</t>
  </si>
  <si>
    <t>actual</t>
  </si>
  <si>
    <t>cost_of_debt_interest</t>
  </si>
  <si>
    <t>18897.0</t>
  </si>
  <si>
    <t>cost_of_debt_pretax</t>
  </si>
  <si>
    <t>0.016222905485714922</t>
  </si>
  <si>
    <t>da_pct_basis</t>
  </si>
  <si>
    <t>assumption</t>
  </si>
  <si>
    <t>da_pct_c18</t>
  </si>
  <si>
    <t>0.0932</t>
  </si>
  <si>
    <t>da_pct_hist3yr</t>
  </si>
  <si>
    <t>0.090694</t>
  </si>
  <si>
    <t>fs_year_coverage</t>
  </si>
  <si>
    <t>OCF 4/4, Cash 4/4, Debt 4/4</t>
  </si>
  <si>
    <t>fs_year_map</t>
  </si>
  <si>
    <t>FY2023&lt;-FY2023[ocf+cash+debt]; FY2024&lt;-FY2024[ocf+cash+debt]; FY2025&lt;-FY2025[ocf+cash+debt]; FY2026&lt;-FY2026[ocf+cash+debt]</t>
  </si>
  <si>
    <t>fs_year_sources</t>
  </si>
  <si>
    <t>overrides: none | EDINET year-key match: hist_ocf, hist_cash, hist_debt, hist_capex, hist_depreciation</t>
  </si>
  <si>
    <t>fx_sensitivity</t>
  </si>
  <si>
    <t>not enabled</t>
  </si>
  <si>
    <t>generated_at</t>
  </si>
  <si>
    <t>2026-09-06 12:26:49</t>
  </si>
  <si>
    <t>ltm_revenue_c20</t>
  </si>
  <si>
    <t>2834749.0</t>
  </si>
  <si>
    <t>ltm_revenue_source</t>
  </si>
  <si>
    <t>latest FY (no LTM)</t>
  </si>
  <si>
    <t>narrative_tokens_used</t>
  </si>
  <si>
    <t>reverse_dcf_sheet</t>
  </si>
  <si>
    <t>op0=197,677(FY2026) peak=421,477(FY2023) peak_opm=0.1281 N=3/5/7/10</t>
  </si>
  <si>
    <t>scenario_index_range</t>
  </si>
  <si>
    <t>B69:B73</t>
  </si>
  <si>
    <t>tax_rate_c6</t>
  </si>
  <si>
    <t>0.25</t>
  </si>
  <si>
    <t>template_rev</t>
  </si>
  <si>
    <t>c9b5dd9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</si>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</sst>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</numFmts>
  <fonts count="10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sz val="6"/>
      <name val="ＭＳ Ｐゴシック"/>
      <family val="3"/>
      <charset val="128"/>
      <scheme val="minor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3" borderId="0" xfId="0" applyFont="1" applyFill="1" applyAlignment="1">
      <alignment horizontal="center"/>
    </xf>
    <xf numFmtId="177" fontId="5" fillId="0" borderId="2" xfId="0" applyNumberFormat="1" applyFont="1" applyBorder="1"/>
    <xf numFmtId="176" fontId="5" fillId="0" borderId="2" xfId="0" applyNumberFormat="1" applyFont="1" applyBorder="1"/>
    <xf numFmtId="0" fontId="6" fillId="3" borderId="0" xfId="0" applyFont="1" applyFill="1"/>
    <xf numFmtId="180" fontId="6" fillId="3" borderId="0" xfId="0" applyNumberFormat="1" applyFont="1" applyFill="1" applyAlignment="1">
      <alignment horizontal="center"/>
    </xf>
    <xf numFmtId="3" fontId="5" fillId="0" borderId="2" xfId="0" applyNumberFormat="1" applyFont="1" applyBorder="1"/>
    <xf numFmtId="177" fontId="4" fillId="0" borderId="2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3" fontId="5" fillId="0" borderId="5" xfId="0" applyNumberFormat="1" applyFont="1" applyBorder="1"/>
    <xf numFmtId="176" fontId="5" fillId="0" borderId="5" xfId="0" applyNumberFormat="1" applyFont="1" applyBorder="1"/>
    <xf numFmtId="0" fontId="5" fillId="0" borderId="5" xfId="0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177" fontId="5" fillId="0" borderId="6" xfId="0" applyNumberFormat="1" applyFont="1" applyBorder="1"/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0" fontId="9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tabSelected="1" workbookViewId="0"/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customHeight="1" x14ac:dyDescent="0.3">
      <c r="B1" s="46" t="s">
        <v>0</v>
      </c>
      <c r="C1" s="45"/>
      <c r="D1" s="45"/>
      <c r="E1" s="45"/>
    </row>
    <row r="3" spans="2:5" ht="18" customHeight="1" x14ac:dyDescent="0.4">
      <c r="B3" s="44" t="s">
        <v>1</v>
      </c>
      <c r="C3" s="45"/>
      <c r="D3" s="45"/>
    </row>
    <row r="4" spans="2:5" ht="14" customHeight="1" x14ac:dyDescent="0.3">
      <c r="B4" s="3" t="s">
        <v>2</v>
      </c>
    </row>
    <row r="6" spans="2:5" ht="14" customHeight="1" x14ac:dyDescent="0.3">
      <c r="B6" s="4" t="s">
        <v>3</v>
      </c>
      <c r="C6" t="s">
        <v>4</v>
      </c>
    </row>
    <row r="7" spans="2:5" ht="14" customHeight="1" x14ac:dyDescent="0.3">
      <c r="B7" s="4" t="s">
        <v>5</v>
      </c>
      <c r="C7" t="s">
        <v>6</v>
      </c>
    </row>
    <row r="8" spans="2:5" ht="14" customHeight="1" x14ac:dyDescent="0.3">
      <c r="B8" s="4" t="s">
        <v>7</v>
      </c>
      <c r="C8" t="s">
        <v>8</v>
      </c>
    </row>
    <row r="9" spans="2:5" ht="14" customHeight="1" x14ac:dyDescent="0.3">
      <c r="B9" s="4" t="s">
        <v>9</v>
      </c>
      <c r="C9" s="5">
        <v>6128</v>
      </c>
    </row>
    <row r="10" spans="2:5" ht="14" customHeight="1" x14ac:dyDescent="0.3">
      <c r="B10" s="4" t="s">
        <v>10</v>
      </c>
      <c r="C10" s="5">
        <f>IF(COUNT(C16:C17)=0,"N/A",ROUND(AVERAGE(C16:C17),0))</f>
        <v>8150</v>
      </c>
    </row>
    <row r="11" spans="2:5" ht="14" customHeight="1" x14ac:dyDescent="0.3">
      <c r="B11" s="4" t="s">
        <v>11</v>
      </c>
      <c r="C11" s="6" t="str">
        <f>IF(NOT(ISNUMBER(C12)),"N/A",IF(C12&gt;0.15,"BUY",IF(C12&gt;0.05,"HOLD","SELL")))</f>
        <v>BUY</v>
      </c>
    </row>
    <row r="12" spans="2:5" ht="14" customHeight="1" x14ac:dyDescent="0.3">
      <c r="B12" s="4" t="s">
        <v>12</v>
      </c>
      <c r="C12" s="7">
        <f>IF(ISNUMBER(C10),(C10-C9)/C9,"N/A")</f>
        <v>0.32996083550913841</v>
      </c>
    </row>
    <row r="14" spans="2:5" ht="14" customHeight="1" x14ac:dyDescent="0.3">
      <c r="B14" s="8" t="s">
        <v>13</v>
      </c>
      <c r="C14" s="9"/>
      <c r="D14" s="9"/>
    </row>
    <row r="15" spans="2:5" ht="14" customHeight="1" x14ac:dyDescent="0.3">
      <c r="B15" s="10" t="s">
        <v>14</v>
      </c>
      <c r="C15" s="10" t="s">
        <v>15</v>
      </c>
      <c r="D15" s="10" t="s">
        <v>16</v>
      </c>
    </row>
    <row r="16" spans="2:5" ht="13.5" customHeight="1" x14ac:dyDescent="0.25">
      <c r="B16" t="s">
        <v>17</v>
      </c>
      <c r="C16" s="11">
        <f>IF('DCF Model'!C53&lt;'DCF Model'!C16,"INVALID (EV &lt; net debt)",'DCF Model'!C55)</f>
        <v>6331</v>
      </c>
      <c r="D16" s="7">
        <f>IF(ISNUMBER(C16),(C16-C9)/C9,"N/A")</f>
        <v>3.31266318537859E-2</v>
      </c>
    </row>
    <row r="17" spans="2:5" ht="13.5" customHeight="1" x14ac:dyDescent="0.25">
      <c r="B17" t="s">
        <v>18</v>
      </c>
      <c r="C17" s="11">
        <f>IF('DCF Model'!C62&lt;'DCF Model'!C16,"INVALID (EV &lt; net debt)",'DCF Model'!C64)</f>
        <v>9968</v>
      </c>
      <c r="D17" s="7">
        <f>IF(ISNUMBER(C17),(C17-C9)/C9,"N/A")</f>
        <v>0.62663185378590081</v>
      </c>
    </row>
    <row r="18" spans="2:5" ht="13.5" customHeight="1" x14ac:dyDescent="0.25">
      <c r="B18" t="s">
        <v>19</v>
      </c>
      <c r="C18" s="11">
        <f>'Comps Analysis'!C27</f>
        <v>10071</v>
      </c>
      <c r="D18" s="7">
        <f>IF(ISNUMBER(C18),(C18-C9)/C9,"N/A")</f>
        <v>0.64343994778067881</v>
      </c>
    </row>
    <row r="19" spans="2:5" ht="13.5" customHeight="1" x14ac:dyDescent="0.25">
      <c r="B19" t="s">
        <v>20</v>
      </c>
      <c r="C19" s="11">
        <f>'Comps Analysis'!C28</f>
        <v>8705</v>
      </c>
      <c r="D19" s="7">
        <f>IF(ISNUMBER(C19),(C19-C9)/C9,"N/A")</f>
        <v>0.42052872062663188</v>
      </c>
    </row>
    <row r="20" spans="2:5" ht="14" customHeight="1" x14ac:dyDescent="0.3">
      <c r="B20" s="46" t="s">
        <v>21</v>
      </c>
      <c r="C20" s="45"/>
      <c r="D20" s="45"/>
      <c r="E20" s="45"/>
    </row>
    <row r="21" spans="2:5" ht="14" customHeight="1" x14ac:dyDescent="0.3">
      <c r="B21" s="4" t="s">
        <v>22</v>
      </c>
      <c r="C21" s="6" t="str">
        <f>IF(COUNT(C16:C17)=0,"N/A",MIN(C16:C17)&amp;" - "&amp;MAX(C16:C17))</f>
        <v>6331 - 9968</v>
      </c>
    </row>
    <row r="23" spans="2:5" ht="14" customHeight="1" x14ac:dyDescent="0.3">
      <c r="B23" s="8" t="s">
        <v>23</v>
      </c>
      <c r="C23" s="9"/>
      <c r="D23" s="9"/>
    </row>
    <row r="24" spans="2:5" x14ac:dyDescent="0.2">
      <c r="B24" t="s">
        <v>24</v>
      </c>
    </row>
    <row r="25" spans="2:5" x14ac:dyDescent="0.2">
      <c r="B25" t="s">
        <v>25</v>
      </c>
    </row>
    <row r="26" spans="2:5" x14ac:dyDescent="0.2">
      <c r="B26" t="s">
        <v>26</v>
      </c>
    </row>
    <row r="28" spans="2:5" ht="14" customHeight="1" x14ac:dyDescent="0.3">
      <c r="B28" s="8" t="s">
        <v>27</v>
      </c>
      <c r="C28" s="9"/>
      <c r="D28" s="9"/>
    </row>
    <row r="29" spans="2:5" x14ac:dyDescent="0.2">
      <c r="B29" t="s">
        <v>28</v>
      </c>
    </row>
    <row r="30" spans="2:5" x14ac:dyDescent="0.2">
      <c r="B30" t="s">
        <v>29</v>
      </c>
    </row>
    <row r="31" spans="2:5" x14ac:dyDescent="0.2">
      <c r="B31" t="s">
        <v>30</v>
      </c>
    </row>
  </sheetData>
  <mergeCells count="3">
    <mergeCell ref="B3:D3"/>
    <mergeCell ref="B1:E1"/>
    <mergeCell ref="B20:E20"/>
  </mergeCells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F30"/>
  <sheetViews>
    <sheetView workbookViewId="0"/>
  </sheetViews>
  <sheetFormatPr defaultRowHeight="13" x14ac:dyDescent="0.2"/>
  <cols>
    <col min="1" max="1" width="3" customWidth="1"/>
    <col min="2" max="2" width="32" customWidth="1"/>
    <col min="3" max="6" width="18" customWidth="1"/>
  </cols>
  <sheetData>
    <row r="2" spans="2:6" ht="18" customHeight="1" x14ac:dyDescent="0.4">
      <c r="B2" s="2" t="s">
        <v>31</v>
      </c>
    </row>
    <row r="4" spans="2:6" ht="14" customHeight="1" x14ac:dyDescent="0.3">
      <c r="C4" s="10" t="s">
        <v>32</v>
      </c>
      <c r="D4" s="10" t="s">
        <v>33</v>
      </c>
      <c r="E4" s="10" t="s">
        <v>34</v>
      </c>
      <c r="F4" s="10" t="s">
        <v>35</v>
      </c>
    </row>
    <row r="5" spans="2:6" ht="14" customHeight="1" x14ac:dyDescent="0.3">
      <c r="B5" s="3" t="s">
        <v>36</v>
      </c>
    </row>
    <row r="6" spans="2:6" ht="14" customHeight="1" x14ac:dyDescent="0.3">
      <c r="B6" s="4" t="s">
        <v>37</v>
      </c>
      <c r="C6" s="5">
        <v>3289634</v>
      </c>
      <c r="D6" s="5">
        <v>2662420</v>
      </c>
      <c r="E6" s="5">
        <v>2636809</v>
      </c>
      <c r="F6" s="5">
        <v>2834749</v>
      </c>
    </row>
    <row r="7" spans="2:6" ht="14" customHeight="1" x14ac:dyDescent="0.3">
      <c r="B7" s="4" t="s">
        <v>38</v>
      </c>
      <c r="C7" s="5">
        <v>1407345</v>
      </c>
      <c r="D7" s="5">
        <v>1343965</v>
      </c>
      <c r="E7" s="5">
        <v>2596462</v>
      </c>
      <c r="F7" s="5">
        <v>2190796</v>
      </c>
    </row>
    <row r="8" spans="2:6" ht="14" customHeight="1" x14ac:dyDescent="0.3">
      <c r="B8" s="4" t="s">
        <v>39</v>
      </c>
      <c r="C8" s="5">
        <f>C6-C7</f>
        <v>1882289</v>
      </c>
      <c r="D8" s="5">
        <f>D6-D7</f>
        <v>1318455</v>
      </c>
      <c r="E8" s="5">
        <f>E6-E7</f>
        <v>40347</v>
      </c>
      <c r="F8" s="5">
        <f>F6-F7</f>
        <v>643953</v>
      </c>
    </row>
    <row r="9" spans="2:6" ht="13.5" customHeight="1" x14ac:dyDescent="0.25">
      <c r="B9" t="s">
        <v>40</v>
      </c>
      <c r="C9" s="7">
        <f>C8/C6</f>
        <v>0.57218796984710152</v>
      </c>
      <c r="D9" s="7">
        <f>D8/D6</f>
        <v>0.49520924572381519</v>
      </c>
      <c r="E9" s="7">
        <f>E8/E6</f>
        <v>1.5301449593049781E-2</v>
      </c>
      <c r="F9" s="7">
        <f>F8/F6</f>
        <v>0.22716402757351709</v>
      </c>
    </row>
    <row r="10" spans="2:6" ht="14" customHeight="1" x14ac:dyDescent="0.3">
      <c r="B10" s="4" t="s">
        <v>41</v>
      </c>
      <c r="C10" s="5">
        <v>0</v>
      </c>
      <c r="D10" s="5">
        <v>0</v>
      </c>
      <c r="E10" s="5">
        <v>271695</v>
      </c>
      <c r="F10" s="5">
        <v>254480</v>
      </c>
    </row>
    <row r="11" spans="2:6" ht="14" customHeight="1" x14ac:dyDescent="0.3">
      <c r="B11" s="4" t="s">
        <v>42</v>
      </c>
      <c r="C11" s="5">
        <v>421477</v>
      </c>
      <c r="D11" s="5">
        <v>217144</v>
      </c>
      <c r="E11" s="5">
        <v>133091</v>
      </c>
      <c r="F11" s="5">
        <v>197677</v>
      </c>
    </row>
    <row r="12" spans="2:6" ht="14" customHeight="1" x14ac:dyDescent="0.3">
      <c r="B12" s="4" t="s">
        <v>43</v>
      </c>
      <c r="C12" s="5">
        <v>280916</v>
      </c>
      <c r="D12" s="5">
        <v>165481</v>
      </c>
      <c r="E12" s="5">
        <v>74194</v>
      </c>
      <c r="F12" s="5">
        <v>226857</v>
      </c>
    </row>
    <row r="13" spans="2:6" ht="13.5" customHeight="1" x14ac:dyDescent="0.25">
      <c r="B13" t="s">
        <v>44</v>
      </c>
      <c r="C13" s="7">
        <f>C11/C6</f>
        <v>0.12812276380898299</v>
      </c>
      <c r="D13" s="7">
        <f>D11/D6</f>
        <v>8.1558882520413753E-2</v>
      </c>
      <c r="E13" s="7">
        <f>E11/E6</f>
        <v>5.047426643340492E-2</v>
      </c>
      <c r="F13" s="7">
        <f>F11/F6</f>
        <v>6.9733510797605008E-2</v>
      </c>
    </row>
    <row r="14" spans="2:6" ht="13.5" customHeight="1" x14ac:dyDescent="0.25">
      <c r="B14" t="s">
        <v>45</v>
      </c>
      <c r="C14" s="7">
        <f>C12/C6</f>
        <v>8.5394302223286853E-2</v>
      </c>
      <c r="D14" s="7">
        <f>D12/D6</f>
        <v>6.2154355811630022E-2</v>
      </c>
      <c r="E14" s="7">
        <f>E12/E6</f>
        <v>2.8137798376750078E-2</v>
      </c>
      <c r="F14" s="7">
        <f>F12/F6</f>
        <v>8.0027191119919253E-2</v>
      </c>
    </row>
    <row r="15" spans="2:6" ht="13.5" customHeight="1" x14ac:dyDescent="0.25">
      <c r="B15" t="s">
        <v>46</v>
      </c>
      <c r="C15" t="s">
        <v>47</v>
      </c>
      <c r="D15" s="7">
        <f>(D6-C6)/C6</f>
        <v>-0.19066376381080691</v>
      </c>
      <c r="E15" s="7">
        <f>(E6-D6)/D6</f>
        <v>-9.6194439645134883E-3</v>
      </c>
      <c r="F15" s="7">
        <f>(F6-E6)/E6</f>
        <v>7.5068008338867162E-2</v>
      </c>
    </row>
    <row r="16" spans="2:6" ht="13.5" customHeight="1" x14ac:dyDescent="0.25">
      <c r="B16" t="s">
        <v>48</v>
      </c>
      <c r="C16" t="s">
        <v>47</v>
      </c>
      <c r="D16" s="7">
        <f>(D11-C11)/C11</f>
        <v>-0.48480225492731516</v>
      </c>
      <c r="E16" s="7">
        <f>(E11-D11)/D11</f>
        <v>-0.38708414692554249</v>
      </c>
      <c r="F16" s="7">
        <f>(F11-E11)/E11</f>
        <v>0.48527699093101712</v>
      </c>
    </row>
    <row r="18" spans="2:6" ht="14" customHeight="1" x14ac:dyDescent="0.3">
      <c r="B18" s="3" t="s">
        <v>49</v>
      </c>
    </row>
    <row r="19" spans="2:6" ht="14" customHeight="1" x14ac:dyDescent="0.3">
      <c r="B19" s="4" t="s">
        <v>50</v>
      </c>
      <c r="C19" s="5">
        <v>487030</v>
      </c>
      <c r="D19" s="5">
        <v>316323</v>
      </c>
      <c r="E19" s="5">
        <v>363120</v>
      </c>
      <c r="F19" s="5">
        <v>451837</v>
      </c>
    </row>
    <row r="20" spans="2:6" ht="14" customHeight="1" x14ac:dyDescent="0.3">
      <c r="B20" s="4" t="s">
        <v>51</v>
      </c>
      <c r="C20" s="5">
        <v>150647</v>
      </c>
      <c r="D20" s="5">
        <v>180715</v>
      </c>
      <c r="E20" s="5">
        <v>185918</v>
      </c>
      <c r="F20" s="5">
        <v>160909</v>
      </c>
    </row>
    <row r="21" spans="2:6" ht="14" customHeight="1" x14ac:dyDescent="0.3">
      <c r="B21" s="4" t="s">
        <v>52</v>
      </c>
      <c r="C21" s="5">
        <f>C19-C20</f>
        <v>336383</v>
      </c>
      <c r="D21" s="5">
        <f>D19-D20</f>
        <v>135608</v>
      </c>
      <c r="E21" s="5">
        <f>E19-E20</f>
        <v>177202</v>
      </c>
      <c r="F21" s="5">
        <f>F19-F20</f>
        <v>290928</v>
      </c>
    </row>
    <row r="22" spans="2:6" ht="13.5" customHeight="1" x14ac:dyDescent="0.25">
      <c r="B22" t="s">
        <v>53</v>
      </c>
      <c r="C22" s="7">
        <f>C21/C6</f>
        <v>0.10225544847846295</v>
      </c>
      <c r="D22" s="7">
        <f>D21/D6</f>
        <v>5.0934112574274534E-2</v>
      </c>
      <c r="E22" s="7">
        <f>E21/E6</f>
        <v>6.7203199018207233E-2</v>
      </c>
      <c r="F22" s="7">
        <f>F21/F6</f>
        <v>0.10262919221419603</v>
      </c>
    </row>
    <row r="23" spans="2:6" ht="13.5" customHeight="1" x14ac:dyDescent="0.25">
      <c r="B23" t="s">
        <v>54</v>
      </c>
      <c r="C23" s="7">
        <f>C20/C6</f>
        <v>4.5794456161384521E-2</v>
      </c>
      <c r="D23" s="7">
        <f>D20/D6</f>
        <v>6.7876217876969069E-2</v>
      </c>
      <c r="E23" s="7">
        <f>E20/E6</f>
        <v>7.0508709580405712E-2</v>
      </c>
      <c r="F23" s="7">
        <f>F20/F6</f>
        <v>5.6763050273586829E-2</v>
      </c>
    </row>
    <row r="25" spans="2:6" ht="14" customHeight="1" x14ac:dyDescent="0.3">
      <c r="B25" s="3" t="s">
        <v>55</v>
      </c>
    </row>
    <row r="26" spans="2:6" ht="14" customHeight="1" x14ac:dyDescent="0.3">
      <c r="B26" s="4" t="s">
        <v>56</v>
      </c>
      <c r="C26" s="5">
        <v>453432</v>
      </c>
      <c r="D26" s="5">
        <v>363883</v>
      </c>
      <c r="E26" s="5">
        <v>244388</v>
      </c>
      <c r="F26" s="5">
        <v>187102</v>
      </c>
    </row>
    <row r="27" spans="2:6" ht="14" customHeight="1" x14ac:dyDescent="0.3">
      <c r="B27" s="4" t="s">
        <v>57</v>
      </c>
      <c r="C27" s="5">
        <v>1222885</v>
      </c>
      <c r="D27" s="5">
        <v>1323123</v>
      </c>
      <c r="E27" s="5">
        <v>1308007</v>
      </c>
      <c r="F27" s="5">
        <v>1199652</v>
      </c>
    </row>
    <row r="28" spans="2:6" ht="14" customHeight="1" x14ac:dyDescent="0.3">
      <c r="B28" s="4" t="s">
        <v>58</v>
      </c>
      <c r="C28" s="5">
        <f>C27-C26</f>
        <v>769453</v>
      </c>
      <c r="D28" s="5">
        <f>D27-D26</f>
        <v>959240</v>
      </c>
      <c r="E28" s="5">
        <f>E27-E26</f>
        <v>1063619</v>
      </c>
      <c r="F28" s="5">
        <f>F27-F26</f>
        <v>1012550</v>
      </c>
    </row>
    <row r="30" spans="2:6" ht="14" customHeight="1" x14ac:dyDescent="0.3">
      <c r="B30" s="1" t="s">
        <v>59</v>
      </c>
    </row>
  </sheetData>
  <phoneticPr fontId="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87"/>
  <sheetViews>
    <sheetView workbookViewId="0"/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customHeight="1" x14ac:dyDescent="0.4">
      <c r="B2" s="2" t="s">
        <v>60</v>
      </c>
    </row>
    <row r="4" spans="2:7" ht="14" customHeight="1" x14ac:dyDescent="0.3">
      <c r="B4" s="8" t="s">
        <v>61</v>
      </c>
      <c r="C4" s="9"/>
      <c r="D4" s="9"/>
      <c r="E4" s="9"/>
      <c r="F4" s="9"/>
      <c r="G4" s="9"/>
    </row>
    <row r="5" spans="2:7" ht="14" customHeight="1" x14ac:dyDescent="0.3">
      <c r="B5" s="4" t="s">
        <v>62</v>
      </c>
      <c r="C5" s="7">
        <v>6.5000000000000002E-2</v>
      </c>
    </row>
    <row r="6" spans="2:7" ht="14" customHeight="1" x14ac:dyDescent="0.3">
      <c r="B6" s="4" t="s">
        <v>63</v>
      </c>
      <c r="C6" s="7">
        <v>0.25</v>
      </c>
    </row>
    <row r="7" spans="2:7" ht="14" customHeight="1" x14ac:dyDescent="0.3">
      <c r="B7" s="4" t="s">
        <v>64</v>
      </c>
      <c r="C7" s="7">
        <v>2.9700000000000001E-2</v>
      </c>
    </row>
    <row r="8" spans="2:7" ht="14" customHeight="1" x14ac:dyDescent="0.3">
      <c r="B8" s="4" t="s">
        <v>65</v>
      </c>
      <c r="C8" s="12">
        <v>0.6</v>
      </c>
    </row>
    <row r="9" spans="2:7" ht="14" customHeight="1" x14ac:dyDescent="0.3">
      <c r="B9" s="4" t="s">
        <v>66</v>
      </c>
      <c r="C9" s="7">
        <v>6.5000000000000002E-2</v>
      </c>
    </row>
    <row r="10" spans="2:7" ht="14" customHeight="1" x14ac:dyDescent="0.3">
      <c r="B10" s="4" t="s">
        <v>67</v>
      </c>
      <c r="C10" s="7">
        <v>0.01</v>
      </c>
    </row>
    <row r="11" spans="2:7" ht="14" customHeight="1" x14ac:dyDescent="0.3">
      <c r="B11" s="4" t="s">
        <v>68</v>
      </c>
      <c r="C11" s="7">
        <v>1.2200000000000001E-2</v>
      </c>
    </row>
    <row r="12" spans="2:7" ht="14" customHeight="1" x14ac:dyDescent="0.3">
      <c r="B12" s="4" t="s">
        <v>69</v>
      </c>
      <c r="C12" s="13">
        <v>0.50800000000000001</v>
      </c>
    </row>
    <row r="13" spans="2:7" ht="14" customHeight="1" x14ac:dyDescent="0.3">
      <c r="B13" s="4" t="s">
        <v>70</v>
      </c>
      <c r="C13" s="7">
        <v>0.01</v>
      </c>
    </row>
    <row r="14" spans="2:7" ht="14" customHeight="1" x14ac:dyDescent="0.3">
      <c r="B14" s="4" t="s">
        <v>71</v>
      </c>
      <c r="C14" s="14">
        <v>9.4</v>
      </c>
    </row>
    <row r="15" spans="2:7" ht="14" customHeight="1" x14ac:dyDescent="0.3">
      <c r="B15" s="4" t="s">
        <v>72</v>
      </c>
      <c r="C15" s="15">
        <v>328504948</v>
      </c>
    </row>
    <row r="16" spans="2:7" ht="14" customHeight="1" x14ac:dyDescent="0.3">
      <c r="B16" s="4" t="s">
        <v>73</v>
      </c>
      <c r="C16" s="5">
        <v>1022567</v>
      </c>
    </row>
    <row r="17" spans="2:7" ht="14" customHeight="1" x14ac:dyDescent="0.3">
      <c r="B17" s="4" t="s">
        <v>74</v>
      </c>
      <c r="C17" s="5">
        <v>2834749</v>
      </c>
    </row>
    <row r="18" spans="2:7" ht="14" customHeight="1" x14ac:dyDescent="0.3">
      <c r="B18" s="4" t="s">
        <v>75</v>
      </c>
      <c r="C18" s="7">
        <v>9.3200000000000005E-2</v>
      </c>
    </row>
    <row r="19" spans="2:7" ht="14" customHeight="1" x14ac:dyDescent="0.3">
      <c r="B19" s="4" t="s">
        <v>76</v>
      </c>
      <c r="C19" s="12">
        <v>1</v>
      </c>
    </row>
    <row r="20" spans="2:7" ht="14" customHeight="1" x14ac:dyDescent="0.3">
      <c r="B20" s="4" t="s">
        <v>77</v>
      </c>
      <c r="C20" s="5">
        <v>2834749</v>
      </c>
    </row>
    <row r="22" spans="2:7" ht="14" customHeight="1" x14ac:dyDescent="0.3">
      <c r="B22" s="8" t="s">
        <v>78</v>
      </c>
      <c r="C22" s="9"/>
      <c r="D22" s="9"/>
      <c r="E22" s="9"/>
      <c r="F22" s="9"/>
      <c r="G22" s="9"/>
    </row>
    <row r="23" spans="2:7" ht="14" customHeight="1" x14ac:dyDescent="0.3">
      <c r="B23" s="4" t="s">
        <v>79</v>
      </c>
      <c r="C23" s="16">
        <f>C7+C8*C9+C10</f>
        <v>7.8699999999999992E-2</v>
      </c>
    </row>
    <row r="24" spans="2:7" ht="14" customHeight="1" x14ac:dyDescent="0.3">
      <c r="B24" s="4" t="s">
        <v>80</v>
      </c>
      <c r="C24" s="16">
        <f>1/(1+C12)</f>
        <v>0.66312997347480107</v>
      </c>
    </row>
    <row r="25" spans="2:7" ht="14" customHeight="1" x14ac:dyDescent="0.3">
      <c r="B25" s="4" t="s">
        <v>81</v>
      </c>
      <c r="C25" s="16">
        <f>C12/(1+C12)</f>
        <v>0.33687002652519893</v>
      </c>
    </row>
    <row r="26" spans="2:7" ht="14" customHeight="1" x14ac:dyDescent="0.3">
      <c r="B26" s="4" t="s">
        <v>82</v>
      </c>
      <c r="C26" s="16">
        <f>C23*C24+C11*C25</f>
        <v>5.6298143236074266E-2</v>
      </c>
    </row>
    <row r="27" spans="2:7" ht="14" customHeight="1" x14ac:dyDescent="0.3">
      <c r="B27" s="4" t="s">
        <v>83</v>
      </c>
      <c r="C27" s="17" t="s">
        <v>84</v>
      </c>
      <c r="D27" s="6">
        <f>MATCH(C27,B69:B73,0)</f>
        <v>1</v>
      </c>
    </row>
    <row r="28" spans="2:7" ht="14" customHeight="1" x14ac:dyDescent="0.3">
      <c r="B28" s="8" t="s">
        <v>85</v>
      </c>
      <c r="C28" s="9"/>
      <c r="D28" s="9"/>
      <c r="E28" s="9"/>
      <c r="F28" s="9"/>
      <c r="G28" s="9"/>
    </row>
    <row r="29" spans="2:7" ht="14" customHeight="1" x14ac:dyDescent="0.3">
      <c r="C29" s="10" t="s">
        <v>86</v>
      </c>
      <c r="D29" s="10" t="s">
        <v>87</v>
      </c>
      <c r="E29" s="10" t="s">
        <v>88</v>
      </c>
      <c r="F29" s="10" t="s">
        <v>89</v>
      </c>
      <c r="G29" s="10" t="s">
        <v>90</v>
      </c>
    </row>
    <row r="30" spans="2:7" ht="14" customHeight="1" x14ac:dyDescent="0.3">
      <c r="B30" s="4" t="s">
        <v>46</v>
      </c>
      <c r="C30" s="18">
        <f>CHOOSE($D$27,C69,C70,C71,C72,C73)</f>
        <v>1.4999999999999999E-2</v>
      </c>
      <c r="D30" s="18">
        <f>CHOOSE($D$27,D69,D70,D71,D72,D73)</f>
        <v>0.02</v>
      </c>
      <c r="E30" s="18">
        <f>CHOOSE($D$27,E69,E70,E71,E72,E73)</f>
        <v>0.02</v>
      </c>
      <c r="F30" s="18">
        <f>CHOOSE($D$27,F69,F70,F71,F72,F73)</f>
        <v>0.02</v>
      </c>
      <c r="G30" s="18">
        <f>CHOOSE($D$27,G69,G70,G71,G72,G73)</f>
        <v>1.4999999999999999E-2</v>
      </c>
    </row>
    <row r="31" spans="2:7" ht="14" customHeight="1" x14ac:dyDescent="0.3">
      <c r="B31" s="4" t="s">
        <v>91</v>
      </c>
      <c r="C31" s="18">
        <f>CHOOSE($D$27,C76,C77,C78,C79,C80)</f>
        <v>0.82099999999999995</v>
      </c>
      <c r="D31" s="18">
        <f>CHOOSE($D$27,D76,D77,D78,D79,D80)</f>
        <v>0.82099999999999995</v>
      </c>
      <c r="E31" s="18">
        <f>CHOOSE($D$27,E76,E77,E78,E79,E80)</f>
        <v>0.82099999999999995</v>
      </c>
      <c r="F31" s="18">
        <f>CHOOSE($D$27,F76,F77,F78,F79,F80)</f>
        <v>0.82099999999999995</v>
      </c>
      <c r="G31" s="18">
        <f>CHOOSE($D$27,G76,G77,G78,G79,G80)</f>
        <v>0.82099999999999995</v>
      </c>
    </row>
    <row r="32" spans="2:7" ht="14" customHeight="1" x14ac:dyDescent="0.3">
      <c r="B32" s="4" t="s">
        <v>92</v>
      </c>
      <c r="C32" s="18">
        <f>CHOOSE($D$27,C83,C84,C85,C86,C87)</f>
        <v>0.108</v>
      </c>
      <c r="D32" s="18">
        <f>CHOOSE($D$27,D83,D84,D85,D86,D87)</f>
        <v>0.10680000000000001</v>
      </c>
      <c r="E32" s="18">
        <f>CHOOSE($D$27,E83,E84,E85,E86,E87)</f>
        <v>0.1055</v>
      </c>
      <c r="F32" s="18">
        <f>CHOOSE($D$27,F83,F84,F85,F86,F87)</f>
        <v>0.1043</v>
      </c>
      <c r="G32" s="18">
        <f>CHOOSE($D$27,G83,G84,G85,G86,G87)</f>
        <v>0.10340000000000001</v>
      </c>
    </row>
    <row r="33" spans="2:7" ht="14" customHeight="1" x14ac:dyDescent="0.3">
      <c r="B33" s="4" t="s">
        <v>37</v>
      </c>
      <c r="C33" s="5">
        <f>C17*(1+C30)</f>
        <v>2877270.2349999999</v>
      </c>
      <c r="D33" s="5">
        <f>C33*(1+D30)</f>
        <v>2934815.6396999997</v>
      </c>
      <c r="E33" s="5">
        <f>D33*(1+E30)</f>
        <v>2993511.9524939996</v>
      </c>
      <c r="F33" s="5">
        <f>E33*(1+F30)</f>
        <v>3053382.1915438795</v>
      </c>
      <c r="G33" s="5">
        <f>F33*(1+G30)</f>
        <v>3099182.9244170375</v>
      </c>
    </row>
    <row r="34" spans="2:7" ht="14" customHeight="1" x14ac:dyDescent="0.3">
      <c r="B34" s="4" t="s">
        <v>38</v>
      </c>
      <c r="C34" s="5">
        <f>C33*C31</f>
        <v>2362238.8629349996</v>
      </c>
      <c r="D34" s="5">
        <f>D33*D31</f>
        <v>2409483.6401936994</v>
      </c>
      <c r="E34" s="5">
        <f>E33*E31</f>
        <v>2457673.3129975735</v>
      </c>
      <c r="F34" s="5">
        <f>F33*F31</f>
        <v>2506826.7792575248</v>
      </c>
      <c r="G34" s="5">
        <f>G33*G31</f>
        <v>2544429.1809463878</v>
      </c>
    </row>
    <row r="35" spans="2:7" ht="14" customHeight="1" x14ac:dyDescent="0.3">
      <c r="B35" s="4" t="s">
        <v>39</v>
      </c>
      <c r="C35" s="19">
        <f>C33-C34</f>
        <v>515031.37206500024</v>
      </c>
      <c r="D35" s="19">
        <f>D33-D34</f>
        <v>525331.99950630032</v>
      </c>
      <c r="E35" s="19">
        <f>E33-E34</f>
        <v>535838.6394964261</v>
      </c>
      <c r="F35" s="19">
        <f>F33-F34</f>
        <v>546555.41228635469</v>
      </c>
      <c r="G35" s="19">
        <f>G33-G34</f>
        <v>554753.7434706497</v>
      </c>
    </row>
    <row r="36" spans="2:7" ht="14" customHeight="1" x14ac:dyDescent="0.3">
      <c r="B36" s="4" t="s">
        <v>40</v>
      </c>
      <c r="C36" s="7">
        <f>C35/C33</f>
        <v>0.1790000000000001</v>
      </c>
      <c r="D36" s="7">
        <f>D35/D33</f>
        <v>0.17900000000000013</v>
      </c>
      <c r="E36" s="7">
        <f>E35/E33</f>
        <v>0.17900000000000005</v>
      </c>
      <c r="F36" s="7">
        <f>F35/F33</f>
        <v>0.17900000000000008</v>
      </c>
      <c r="G36" s="7">
        <f>G35/G33</f>
        <v>0.17899999999999999</v>
      </c>
    </row>
    <row r="37" spans="2:7" ht="14" customHeight="1" x14ac:dyDescent="0.3">
      <c r="B37" s="4" t="s">
        <v>93</v>
      </c>
      <c r="C37" s="5">
        <f>C33*C32</f>
        <v>310745.18537999998</v>
      </c>
      <c r="D37" s="5">
        <f>D33*D32</f>
        <v>313438.31031996</v>
      </c>
      <c r="E37" s="5">
        <f>E33*E32</f>
        <v>315815.51098811696</v>
      </c>
      <c r="F37" s="5">
        <f>F33*F32</f>
        <v>318467.76257802662</v>
      </c>
      <c r="G37" s="5">
        <f>G33*G32</f>
        <v>320455.5143847217</v>
      </c>
    </row>
    <row r="38" spans="2:7" ht="14" customHeight="1" x14ac:dyDescent="0.3">
      <c r="B38" s="4" t="s">
        <v>94</v>
      </c>
      <c r="C38" s="7">
        <f>(C35-C37)/C33</f>
        <v>7.1000000000000091E-2</v>
      </c>
      <c r="D38" s="7">
        <f>(D35-D37)/D33</f>
        <v>7.2200000000000111E-2</v>
      </c>
      <c r="E38" s="7">
        <f>(E35-E37)/E33</f>
        <v>7.3500000000000051E-2</v>
      </c>
      <c r="F38" s="7">
        <f>(F35-F37)/F33</f>
        <v>7.4700000000000086E-2</v>
      </c>
      <c r="G38" s="7">
        <f>(G35-G37)/G33</f>
        <v>7.5599999999999987E-2</v>
      </c>
    </row>
    <row r="39" spans="2:7" ht="14" customHeight="1" x14ac:dyDescent="0.3">
      <c r="B39" s="4" t="s">
        <v>95</v>
      </c>
      <c r="C39" s="19">
        <f>C35-C37</f>
        <v>204286.18668500026</v>
      </c>
      <c r="D39" s="19">
        <f>D35-D37</f>
        <v>211893.68918634031</v>
      </c>
      <c r="E39" s="19">
        <f>E35-E37</f>
        <v>220023.12850830914</v>
      </c>
      <c r="F39" s="19">
        <f>F35-F37</f>
        <v>228087.64970832807</v>
      </c>
      <c r="G39" s="19">
        <f>G35-G37</f>
        <v>234298.229085928</v>
      </c>
    </row>
    <row r="40" spans="2:7" ht="14" customHeight="1" x14ac:dyDescent="0.3">
      <c r="B40" s="4" t="s">
        <v>96</v>
      </c>
      <c r="C40" s="5">
        <f>MAX(0,C39*C6)</f>
        <v>51071.546671250064</v>
      </c>
      <c r="D40" s="5">
        <f>MAX(0,D39*C6)</f>
        <v>52973.422296585079</v>
      </c>
      <c r="E40" s="5">
        <f>MAX(0,E39*C6)</f>
        <v>55005.782127077284</v>
      </c>
      <c r="F40" s="5">
        <f>MAX(0,F39*C6)</f>
        <v>57021.912427082018</v>
      </c>
      <c r="G40" s="5">
        <f>MAX(0,G39*C6)</f>
        <v>58574.557271482001</v>
      </c>
    </row>
    <row r="41" spans="2:7" ht="14" customHeight="1" x14ac:dyDescent="0.3">
      <c r="B41" s="4" t="s">
        <v>97</v>
      </c>
      <c r="C41" s="19">
        <f>C39-C40</f>
        <v>153214.64001375018</v>
      </c>
      <c r="D41" s="19">
        <f>D39-D40</f>
        <v>158920.26688975524</v>
      </c>
      <c r="E41" s="19">
        <f>E39-E40</f>
        <v>165017.34638123185</v>
      </c>
      <c r="F41" s="19">
        <f>F39-F40</f>
        <v>171065.73728124605</v>
      </c>
      <c r="G41" s="19">
        <f>G39-G40</f>
        <v>175723.67181444599</v>
      </c>
    </row>
    <row r="42" spans="2:7" ht="14" customHeight="1" x14ac:dyDescent="0.3">
      <c r="B42" s="4" t="s">
        <v>98</v>
      </c>
      <c r="C42" s="5">
        <f>C33*C18</f>
        <v>268161.58590200002</v>
      </c>
      <c r="D42" s="5">
        <f>D33*C18</f>
        <v>273524.81762003998</v>
      </c>
      <c r="E42" s="5">
        <f>E33*C18</f>
        <v>278995.31397244078</v>
      </c>
      <c r="F42" s="5">
        <f>F33*C18</f>
        <v>284575.22025188961</v>
      </c>
      <c r="G42" s="5">
        <f>G33*C18</f>
        <v>288843.84855566791</v>
      </c>
    </row>
    <row r="43" spans="2:7" ht="14" customHeight="1" x14ac:dyDescent="0.3">
      <c r="B43" s="4" t="s">
        <v>99</v>
      </c>
      <c r="C43" s="5">
        <v>297100</v>
      </c>
      <c r="D43" s="5">
        <v>298700</v>
      </c>
      <c r="E43" s="5">
        <v>300200</v>
      </c>
      <c r="F43" s="5">
        <v>301800</v>
      </c>
      <c r="G43" s="5">
        <v>303300</v>
      </c>
    </row>
    <row r="44" spans="2:7" ht="14" customHeight="1" x14ac:dyDescent="0.3">
      <c r="B44" s="4" t="s">
        <v>100</v>
      </c>
      <c r="C44" s="5">
        <f>'NWC Schedule'!D19</f>
        <v>17459.343659027363</v>
      </c>
      <c r="D44" s="5">
        <f>'NWC Schedule'!E19</f>
        <v>9892.6068731804844</v>
      </c>
      <c r="E44" s="5">
        <f>'NWC Schedule'!F19</f>
        <v>10090.459010644176</v>
      </c>
      <c r="F44" s="5">
        <f>'NWC Schedule'!G19</f>
        <v>10292.268190856965</v>
      </c>
      <c r="G44" s="5">
        <f>'NWC Schedule'!H19</f>
        <v>7873.585166005767</v>
      </c>
    </row>
    <row r="45" spans="2:7" ht="14" customHeight="1" x14ac:dyDescent="0.3">
      <c r="B45" s="4" t="s">
        <v>101</v>
      </c>
      <c r="C45" s="20">
        <f>C41+C42-C43-C44</f>
        <v>106816.88225672283</v>
      </c>
      <c r="D45" s="20">
        <f>D41+D42-D43-D44</f>
        <v>123852.4776366147</v>
      </c>
      <c r="E45" s="20">
        <f>E41+E42-E43-E44</f>
        <v>133722.20134302846</v>
      </c>
      <c r="F45" s="20">
        <f>F41+F42-F43-F44</f>
        <v>143548.6893422787</v>
      </c>
      <c r="G45" s="20">
        <f>G41+G42-G43-G44</f>
        <v>153393.93520410813</v>
      </c>
    </row>
    <row r="46" spans="2:7" ht="14" customHeight="1" x14ac:dyDescent="0.3">
      <c r="B46" s="4" t="s">
        <v>102</v>
      </c>
      <c r="C46" s="21">
        <f>1/(1+C26)^(C19+0)</f>
        <v>0.94670241200689864</v>
      </c>
      <c r="D46" s="21">
        <f>1/(1+C26)^(C19+1)</f>
        <v>0.89624545689967972</v>
      </c>
      <c r="E46" s="21">
        <f>1/(1+C26)^(C19+2)</f>
        <v>0.84847773579715169</v>
      </c>
      <c r="F46" s="21">
        <f>1/(1+C26)^(C19+3)</f>
        <v>0.8032559190133155</v>
      </c>
      <c r="G46" s="21">
        <f>1/(1+C26)^(C19+4)</f>
        <v>0.76044431598872386</v>
      </c>
    </row>
    <row r="47" spans="2:7" ht="14" customHeight="1" x14ac:dyDescent="0.3">
      <c r="B47" s="4" t="s">
        <v>103</v>
      </c>
      <c r="C47" s="19">
        <f>C45*C46</f>
        <v>101123.8000754964</v>
      </c>
      <c r="D47" s="19">
        <f>D45*D46</f>
        <v>111002.2204075851</v>
      </c>
      <c r="E47" s="19">
        <f>E45*E46</f>
        <v>113460.31062134363</v>
      </c>
      <c r="F47" s="19">
        <f>F45*F46</f>
        <v>115306.33438078901</v>
      </c>
      <c r="G47" s="19">
        <f>G45*G46</f>
        <v>116647.54613310663</v>
      </c>
    </row>
    <row r="49" spans="2:7" ht="14" customHeight="1" x14ac:dyDescent="0.3">
      <c r="B49" s="22" t="s">
        <v>104</v>
      </c>
      <c r="C49" s="23"/>
      <c r="D49" s="23"/>
      <c r="E49" s="23"/>
      <c r="F49" s="23"/>
      <c r="G49" s="23"/>
    </row>
    <row r="50" spans="2:7" ht="14" customHeight="1" x14ac:dyDescent="0.3">
      <c r="B50" s="4" t="s">
        <v>105</v>
      </c>
      <c r="C50" s="5">
        <f>SUM(C47:G47)</f>
        <v>557540.21161832078</v>
      </c>
    </row>
    <row r="51" spans="2:7" ht="14" customHeight="1" x14ac:dyDescent="0.3">
      <c r="B51" s="4" t="s">
        <v>106</v>
      </c>
      <c r="C51" s="5">
        <f>G45*(1+C13)/(C26-C13)</f>
        <v>3346308.5931151034</v>
      </c>
    </row>
    <row r="52" spans="2:7" ht="14" customHeight="1" x14ac:dyDescent="0.3">
      <c r="B52" s="4" t="s">
        <v>107</v>
      </c>
      <c r="C52" s="5">
        <f>C51*G46</f>
        <v>2544681.3491786039</v>
      </c>
    </row>
    <row r="53" spans="2:7" ht="14" customHeight="1" x14ac:dyDescent="0.3">
      <c r="B53" s="4" t="s">
        <v>108</v>
      </c>
      <c r="C53" s="5">
        <f>C50+C52</f>
        <v>3102221.5607969249</v>
      </c>
    </row>
    <row r="54" spans="2:7" ht="14" customHeight="1" x14ac:dyDescent="0.3">
      <c r="B54" s="4" t="s">
        <v>109</v>
      </c>
      <c r="C54" s="5">
        <f>C53-C16</f>
        <v>2079654.5607969249</v>
      </c>
    </row>
    <row r="55" spans="2:7" ht="14" customHeight="1" x14ac:dyDescent="0.3">
      <c r="B55" s="4" t="s">
        <v>110</v>
      </c>
      <c r="C55" s="24">
        <f>ROUND(C54*1000000/C15,0)</f>
        <v>6331</v>
      </c>
    </row>
    <row r="57" spans="2:7" ht="14" customHeight="1" x14ac:dyDescent="0.3">
      <c r="B57" s="22" t="s">
        <v>111</v>
      </c>
      <c r="C57" s="23"/>
      <c r="D57" s="23"/>
      <c r="E57" s="23"/>
      <c r="F57" s="23"/>
      <c r="G57" s="23"/>
    </row>
    <row r="58" spans="2:7" ht="14" customHeight="1" x14ac:dyDescent="0.3">
      <c r="B58" s="4" t="s">
        <v>105</v>
      </c>
      <c r="C58" s="5">
        <f>C50</f>
        <v>557540.21161832078</v>
      </c>
    </row>
    <row r="59" spans="2:7" ht="14" customHeight="1" x14ac:dyDescent="0.3">
      <c r="B59" s="4" t="s">
        <v>112</v>
      </c>
      <c r="C59" s="5">
        <f>G39+G42</f>
        <v>523142.07764159591</v>
      </c>
    </row>
    <row r="60" spans="2:7" ht="14" customHeight="1" x14ac:dyDescent="0.3">
      <c r="B60" s="4" t="s">
        <v>113</v>
      </c>
      <c r="C60" s="5">
        <f>C59*C14</f>
        <v>4917535.5298310015</v>
      </c>
    </row>
    <row r="61" spans="2:7" ht="14" customHeight="1" x14ac:dyDescent="0.3">
      <c r="B61" s="4" t="s">
        <v>107</v>
      </c>
      <c r="C61" s="5">
        <f>C60*G46</f>
        <v>3739511.9423325825</v>
      </c>
    </row>
    <row r="62" spans="2:7" ht="14" customHeight="1" x14ac:dyDescent="0.3">
      <c r="B62" s="4" t="s">
        <v>108</v>
      </c>
      <c r="C62" s="5">
        <f>C58+C61</f>
        <v>4297052.1539509036</v>
      </c>
    </row>
    <row r="63" spans="2:7" ht="14" customHeight="1" x14ac:dyDescent="0.3">
      <c r="B63" s="4" t="s">
        <v>109</v>
      </c>
      <c r="C63" s="5">
        <f>C62-C16</f>
        <v>3274485.1539509036</v>
      </c>
    </row>
    <row r="64" spans="2:7" ht="14" customHeight="1" x14ac:dyDescent="0.3">
      <c r="B64" s="4" t="s">
        <v>114</v>
      </c>
      <c r="C64" s="24">
        <f>ROUND(C63*1000000/C15,0)</f>
        <v>9968</v>
      </c>
    </row>
    <row r="66" spans="2:7" ht="14" customHeight="1" x14ac:dyDescent="0.3">
      <c r="B66" s="22" t="s">
        <v>115</v>
      </c>
      <c r="C66" s="23"/>
      <c r="D66" s="23"/>
      <c r="E66" s="23"/>
      <c r="F66" s="23"/>
      <c r="G66" s="23"/>
    </row>
    <row r="67" spans="2:7" ht="14" customHeight="1" x14ac:dyDescent="0.3">
      <c r="C67" s="25" t="s">
        <v>116</v>
      </c>
      <c r="D67" s="25" t="s">
        <v>117</v>
      </c>
      <c r="E67" s="25" t="s">
        <v>118</v>
      </c>
      <c r="F67" s="25" t="s">
        <v>119</v>
      </c>
      <c r="G67" s="25" t="s">
        <v>120</v>
      </c>
    </row>
    <row r="68" spans="2:7" ht="14" customHeight="1" x14ac:dyDescent="0.3">
      <c r="B68" s="3" t="s">
        <v>46</v>
      </c>
    </row>
    <row r="69" spans="2:7" ht="14" customHeight="1" x14ac:dyDescent="0.3">
      <c r="B69" s="4" t="s">
        <v>84</v>
      </c>
      <c r="C69" s="26">
        <v>1.4999999999999999E-2</v>
      </c>
      <c r="D69" s="26">
        <v>0.02</v>
      </c>
      <c r="E69" s="26">
        <v>0.02</v>
      </c>
      <c r="F69" s="26">
        <v>0.02</v>
      </c>
      <c r="G69" s="26">
        <v>1.4999999999999999E-2</v>
      </c>
    </row>
    <row r="70" spans="2:7" ht="14" customHeight="1" x14ac:dyDescent="0.3">
      <c r="B70" s="4" t="s">
        <v>121</v>
      </c>
      <c r="C70" s="26">
        <v>0.03</v>
      </c>
      <c r="D70" s="26">
        <v>2.5000000000000001E-2</v>
      </c>
      <c r="E70" s="26">
        <v>2.5000000000000001E-2</v>
      </c>
      <c r="F70" s="26">
        <v>0.02</v>
      </c>
      <c r="G70" s="26">
        <v>0.02</v>
      </c>
    </row>
    <row r="71" spans="2:7" ht="14" customHeight="1" x14ac:dyDescent="0.3">
      <c r="B71" s="4" t="s">
        <v>122</v>
      </c>
      <c r="C71" s="26">
        <v>1.4999999999999999E-2</v>
      </c>
      <c r="D71" s="26">
        <v>0.02</v>
      </c>
      <c r="E71" s="26">
        <v>0.02</v>
      </c>
      <c r="F71" s="26">
        <v>0.02</v>
      </c>
      <c r="G71" s="26">
        <v>1.4999999999999999E-2</v>
      </c>
    </row>
    <row r="72" spans="2:7" ht="14" customHeight="1" x14ac:dyDescent="0.3">
      <c r="B72" s="4" t="s">
        <v>123</v>
      </c>
      <c r="C72" s="26">
        <v>5.0000000000000001E-3</v>
      </c>
      <c r="D72" s="26">
        <v>0.01</v>
      </c>
      <c r="E72" s="26">
        <v>1.4999999999999999E-2</v>
      </c>
      <c r="F72" s="26">
        <v>1.4999999999999999E-2</v>
      </c>
      <c r="G72" s="26">
        <v>1.4999999999999999E-2</v>
      </c>
    </row>
    <row r="73" spans="2:7" ht="14" customHeight="1" x14ac:dyDescent="0.3">
      <c r="B73" s="4" t="s">
        <v>124</v>
      </c>
      <c r="C73" s="26">
        <v>-0.08</v>
      </c>
      <c r="D73" s="26">
        <v>-0.01</v>
      </c>
      <c r="E73" s="26">
        <v>0.01</v>
      </c>
      <c r="F73" s="26">
        <v>1.4999999999999999E-2</v>
      </c>
      <c r="G73" s="26">
        <v>1.4999999999999999E-2</v>
      </c>
    </row>
    <row r="75" spans="2:7" ht="14" customHeight="1" x14ac:dyDescent="0.3">
      <c r="B75" s="3" t="s">
        <v>91</v>
      </c>
    </row>
    <row r="76" spans="2:7" ht="14" customHeight="1" x14ac:dyDescent="0.3">
      <c r="B76" s="4" t="s">
        <v>84</v>
      </c>
      <c r="C76" s="26">
        <v>0.82099999999999995</v>
      </c>
      <c r="D76" s="26">
        <v>0.82099999999999995</v>
      </c>
      <c r="E76" s="26">
        <v>0.82099999999999995</v>
      </c>
      <c r="F76" s="26">
        <v>0.82099999999999995</v>
      </c>
      <c r="G76" s="26">
        <v>0.82099999999999995</v>
      </c>
    </row>
    <row r="77" spans="2:7" ht="14" customHeight="1" x14ac:dyDescent="0.3">
      <c r="B77" s="4" t="s">
        <v>121</v>
      </c>
      <c r="C77" s="26">
        <v>0.81100000000000005</v>
      </c>
      <c r="D77" s="26">
        <v>0.81100000000000005</v>
      </c>
      <c r="E77" s="26">
        <v>0.81100000000000005</v>
      </c>
      <c r="F77" s="26">
        <v>0.81100000000000005</v>
      </c>
      <c r="G77" s="26">
        <v>0.81100000000000005</v>
      </c>
    </row>
    <row r="78" spans="2:7" ht="14" customHeight="1" x14ac:dyDescent="0.3">
      <c r="B78" s="4" t="s">
        <v>122</v>
      </c>
      <c r="C78" s="26">
        <v>0.82099999999999995</v>
      </c>
      <c r="D78" s="26">
        <v>0.82099999999999995</v>
      </c>
      <c r="E78" s="26">
        <v>0.82099999999999995</v>
      </c>
      <c r="F78" s="26">
        <v>0.82099999999999995</v>
      </c>
      <c r="G78" s="26">
        <v>0.82099999999999995</v>
      </c>
    </row>
    <row r="79" spans="2:7" ht="14" customHeight="1" x14ac:dyDescent="0.3">
      <c r="B79" s="4" t="s">
        <v>123</v>
      </c>
      <c r="C79" s="26">
        <v>0.82899999999999996</v>
      </c>
      <c r="D79" s="26">
        <v>0.82899999999999996</v>
      </c>
      <c r="E79" s="26">
        <v>0.82899999999999996</v>
      </c>
      <c r="F79" s="26">
        <v>0.82899999999999996</v>
      </c>
      <c r="G79" s="26">
        <v>0.82899999999999996</v>
      </c>
    </row>
    <row r="80" spans="2:7" ht="14" customHeight="1" x14ac:dyDescent="0.3">
      <c r="B80" s="4" t="s">
        <v>124</v>
      </c>
      <c r="C80" s="26">
        <v>0.84299999999999997</v>
      </c>
      <c r="D80" s="26">
        <v>0.84299999999999997</v>
      </c>
      <c r="E80" s="26">
        <v>0.84299999999999997</v>
      </c>
      <c r="F80" s="26">
        <v>0.84299999999999997</v>
      </c>
      <c r="G80" s="26">
        <v>0.84299999999999997</v>
      </c>
    </row>
    <row r="82" spans="2:7" ht="14" customHeight="1" x14ac:dyDescent="0.3">
      <c r="B82" s="3" t="s">
        <v>92</v>
      </c>
    </row>
    <row r="83" spans="2:7" ht="14" customHeight="1" x14ac:dyDescent="0.3">
      <c r="B83" s="4" t="s">
        <v>84</v>
      </c>
      <c r="C83" s="26">
        <v>0.108</v>
      </c>
      <c r="D83" s="26">
        <v>0.10680000000000001</v>
      </c>
      <c r="E83" s="26">
        <v>0.1055</v>
      </c>
      <c r="F83" s="26">
        <v>0.1043</v>
      </c>
      <c r="G83" s="26">
        <v>0.10340000000000001</v>
      </c>
    </row>
    <row r="84" spans="2:7" ht="14" customHeight="1" x14ac:dyDescent="0.3">
      <c r="B84" s="4" t="s">
        <v>121</v>
      </c>
      <c r="C84" s="26">
        <v>0.109</v>
      </c>
      <c r="D84" s="26">
        <v>0.1045</v>
      </c>
      <c r="E84" s="26">
        <v>0.10050000000000001</v>
      </c>
      <c r="F84" s="26">
        <v>9.7799999999999998E-2</v>
      </c>
      <c r="G84" s="26">
        <v>9.5799999999999996E-2</v>
      </c>
    </row>
    <row r="85" spans="2:7" ht="14" customHeight="1" x14ac:dyDescent="0.3">
      <c r="B85" s="4" t="s">
        <v>122</v>
      </c>
      <c r="C85" s="26">
        <v>0.108</v>
      </c>
      <c r="D85" s="26">
        <v>0.10680000000000001</v>
      </c>
      <c r="E85" s="26">
        <v>0.1055</v>
      </c>
      <c r="F85" s="26">
        <v>0.1043</v>
      </c>
      <c r="G85" s="26">
        <v>0.10340000000000001</v>
      </c>
    </row>
    <row r="86" spans="2:7" ht="14" customHeight="1" x14ac:dyDescent="0.3">
      <c r="B86" s="4" t="s">
        <v>123</v>
      </c>
      <c r="C86" s="26">
        <v>0.104</v>
      </c>
      <c r="D86" s="26">
        <v>0.105</v>
      </c>
      <c r="E86" s="26">
        <v>0.1055</v>
      </c>
      <c r="F86" s="26">
        <v>0.10589999999999999</v>
      </c>
      <c r="G86" s="26">
        <v>0.1061</v>
      </c>
    </row>
    <row r="87" spans="2:7" ht="14" customHeight="1" x14ac:dyDescent="0.3">
      <c r="B87" s="4" t="s">
        <v>124</v>
      </c>
      <c r="C87" s="26">
        <v>0.105</v>
      </c>
      <c r="D87" s="26">
        <v>0.111</v>
      </c>
      <c r="E87" s="26">
        <v>0.113</v>
      </c>
      <c r="F87" s="26">
        <v>0.113</v>
      </c>
      <c r="G87" s="26">
        <v>0.112</v>
      </c>
    </row>
  </sheetData>
  <phoneticPr fontId="8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B2:I79"/>
  <sheetViews>
    <sheetView workbookViewId="0"/>
  </sheetViews>
  <sheetFormatPr defaultRowHeight="13" x14ac:dyDescent="0.2"/>
  <cols>
    <col min="1" max="1" width="3" customWidth="1"/>
    <col min="2" max="2" width="52" customWidth="1"/>
    <col min="3" max="9" width="15" customWidth="1"/>
  </cols>
  <sheetData>
    <row r="2" spans="2:9" ht="18" customHeight="1" x14ac:dyDescent="0.4">
      <c r="B2" s="2" t="s">
        <v>125</v>
      </c>
    </row>
    <row r="3" spans="2:9" ht="14" customHeight="1" x14ac:dyDescent="0.3">
      <c r="B3" s="1" t="s">
        <v>126</v>
      </c>
    </row>
    <row r="5" spans="2:9" ht="14" customHeight="1" x14ac:dyDescent="0.3">
      <c r="B5" s="8" t="s">
        <v>127</v>
      </c>
      <c r="C5" s="9"/>
      <c r="D5" s="9"/>
      <c r="E5" s="9"/>
      <c r="F5" s="9"/>
      <c r="G5" s="9"/>
      <c r="H5" s="9"/>
      <c r="I5" s="9"/>
    </row>
    <row r="6" spans="2:9" ht="14" customHeight="1" x14ac:dyDescent="0.3">
      <c r="B6" s="4" t="s">
        <v>128</v>
      </c>
      <c r="C6" s="15">
        <f>'Executive Summary'!C9</f>
        <v>6128</v>
      </c>
    </row>
    <row r="7" spans="2:9" ht="14" customHeight="1" x14ac:dyDescent="0.3">
      <c r="B7" s="4" t="s">
        <v>72</v>
      </c>
      <c r="C7" s="15">
        <f>'DCF Model'!C15</f>
        <v>328504948</v>
      </c>
    </row>
    <row r="8" spans="2:9" ht="14" customHeight="1" x14ac:dyDescent="0.3">
      <c r="B8" s="4" t="s">
        <v>129</v>
      </c>
      <c r="C8" s="5">
        <f>C6*C7/1000000</f>
        <v>2013078.3213440001</v>
      </c>
    </row>
    <row r="9" spans="2:9" ht="14" customHeight="1" x14ac:dyDescent="0.3">
      <c r="B9" s="4" t="s">
        <v>73</v>
      </c>
      <c r="C9" s="5">
        <f>'DCF Model'!C16</f>
        <v>1022567</v>
      </c>
    </row>
    <row r="10" spans="2:9" ht="14" customHeight="1" x14ac:dyDescent="0.3">
      <c r="B10" s="4" t="s">
        <v>130</v>
      </c>
      <c r="C10" s="5">
        <f>C8+C9</f>
        <v>3035645.3213440003</v>
      </c>
    </row>
    <row r="11" spans="2:9" ht="14" customHeight="1" x14ac:dyDescent="0.3">
      <c r="B11" s="4" t="s">
        <v>131</v>
      </c>
      <c r="C11" s="16">
        <f>'DCF Model'!C26</f>
        <v>5.6298143236074266E-2</v>
      </c>
    </row>
    <row r="12" spans="2:9" ht="14" customHeight="1" x14ac:dyDescent="0.3">
      <c r="B12" s="4" t="s">
        <v>132</v>
      </c>
      <c r="C12" s="16">
        <f>'DCF Model'!C13</f>
        <v>0.01</v>
      </c>
    </row>
    <row r="13" spans="2:9" ht="14" customHeight="1" x14ac:dyDescent="0.3">
      <c r="B13" s="4" t="s">
        <v>133</v>
      </c>
      <c r="C13" s="16">
        <f>'DCF Model'!C6</f>
        <v>0.25</v>
      </c>
    </row>
    <row r="14" spans="2:9" ht="14" customHeight="1" x14ac:dyDescent="0.3">
      <c r="B14" s="4" t="s">
        <v>134</v>
      </c>
      <c r="C14" s="27">
        <v>197677</v>
      </c>
    </row>
    <row r="15" spans="2:9" ht="14" customHeight="1" x14ac:dyDescent="0.3">
      <c r="B15" s="4" t="s">
        <v>135</v>
      </c>
      <c r="C15" s="27">
        <v>421477</v>
      </c>
    </row>
    <row r="16" spans="2:9" ht="14" customHeight="1" x14ac:dyDescent="0.3">
      <c r="B16" s="4" t="s">
        <v>136</v>
      </c>
      <c r="C16" s="5">
        <f>'DCF Model'!G33</f>
        <v>3099182.9244170375</v>
      </c>
    </row>
    <row r="17" spans="2:9" ht="14" customHeight="1" x14ac:dyDescent="0.3">
      <c r="B17" s="4" t="s">
        <v>137</v>
      </c>
      <c r="C17" s="5">
        <f>'DCF Model'!C53</f>
        <v>3102221.5607969249</v>
      </c>
    </row>
    <row r="18" spans="2:9" ht="14" customHeight="1" x14ac:dyDescent="0.3">
      <c r="B18" s="4" t="s">
        <v>138</v>
      </c>
      <c r="C18" s="26">
        <v>0.12812276380898299</v>
      </c>
    </row>
    <row r="19" spans="2:9" ht="14" customHeight="1" x14ac:dyDescent="0.3">
      <c r="B19" s="4" t="s">
        <v>139</v>
      </c>
      <c r="C19" s="5">
        <f>C10-C17</f>
        <v>-66576.239452924579</v>
      </c>
    </row>
    <row r="20" spans="2:9" ht="14" customHeight="1" x14ac:dyDescent="0.3">
      <c r="B20" s="4" t="s">
        <v>140</v>
      </c>
      <c r="C20" s="15">
        <f>IFERROR(ROUND(C19*1000000/C7,0),"N/A")</f>
        <v>-203</v>
      </c>
    </row>
    <row r="22" spans="2:9" ht="14" customHeight="1" x14ac:dyDescent="0.3">
      <c r="B22" s="8" t="s">
        <v>141</v>
      </c>
      <c r="C22" s="9"/>
      <c r="D22" s="9"/>
      <c r="E22" s="9"/>
      <c r="F22" s="9"/>
      <c r="G22" s="9"/>
      <c r="H22" s="9"/>
      <c r="I22" s="9"/>
    </row>
    <row r="23" spans="2:9" ht="14" customHeight="1" x14ac:dyDescent="0.3">
      <c r="B23" s="1" t="s">
        <v>142</v>
      </c>
    </row>
    <row r="24" spans="2:9" ht="14" customHeight="1" x14ac:dyDescent="0.3">
      <c r="B24" s="4" t="s">
        <v>143</v>
      </c>
      <c r="C24" s="5">
        <f>C10*(C11-C12)</f>
        <v>140544.74190150321</v>
      </c>
    </row>
    <row r="25" spans="2:9" ht="14" customHeight="1" x14ac:dyDescent="0.3">
      <c r="B25" s="4" t="s">
        <v>144</v>
      </c>
      <c r="C25" s="5">
        <f>IFERROR(C24/(1-C13),"N/A")</f>
        <v>187392.98920200428</v>
      </c>
    </row>
    <row r="26" spans="2:9" ht="13.5" customHeight="1" x14ac:dyDescent="0.25">
      <c r="B26" s="6" t="s">
        <v>145</v>
      </c>
      <c r="C26" s="14">
        <f>IFERROR(C25/C15,"N/A")</f>
        <v>0.44461023781132608</v>
      </c>
    </row>
    <row r="27" spans="2:9" ht="13.5" customHeight="1" x14ac:dyDescent="0.25">
      <c r="B27" s="6" t="s">
        <v>146</v>
      </c>
      <c r="C27" s="14">
        <f>IFERROR(C25/C14,"N/A")</f>
        <v>0.94797568357474205</v>
      </c>
    </row>
    <row r="28" spans="2:9" ht="13.5" customHeight="1" x14ac:dyDescent="0.25">
      <c r="B28" s="6" t="s">
        <v>147</v>
      </c>
      <c r="C28" s="7">
        <f>IFERROR(C25/C16,"N/A")</f>
        <v>6.0465288358948113E-2</v>
      </c>
    </row>
    <row r="29" spans="2:9" ht="13.5" customHeight="1" x14ac:dyDescent="0.25">
      <c r="B29" s="6" t="s">
        <v>148</v>
      </c>
      <c r="C29" s="5">
        <f>IFERROR(C25/C18,"N/A")</f>
        <v>1462604.955052224</v>
      </c>
    </row>
    <row r="32" spans="2:9" ht="14" customHeight="1" x14ac:dyDescent="0.3">
      <c r="B32" s="8" t="s">
        <v>149</v>
      </c>
      <c r="C32" s="9"/>
      <c r="D32" s="9"/>
      <c r="E32" s="9"/>
      <c r="F32" s="9"/>
      <c r="G32" s="9"/>
      <c r="H32" s="9"/>
      <c r="I32" s="9"/>
    </row>
    <row r="33" spans="2:9" ht="14" customHeight="1" x14ac:dyDescent="0.3">
      <c r="B33" s="1" t="s">
        <v>150</v>
      </c>
    </row>
    <row r="34" spans="2:9" ht="14" customHeight="1" x14ac:dyDescent="0.3">
      <c r="B34" s="1" t="s">
        <v>151</v>
      </c>
    </row>
    <row r="36" spans="2:9" ht="14" customHeight="1" x14ac:dyDescent="0.3">
      <c r="B36" s="28" t="s">
        <v>152</v>
      </c>
      <c r="C36" s="28" t="s">
        <v>153</v>
      </c>
      <c r="D36" s="29">
        <f>'DCF Model'!C26-0.02</f>
        <v>3.6298143236074262E-2</v>
      </c>
      <c r="E36" s="29">
        <f>'DCF Model'!C26-0.01</f>
        <v>4.6298143236074264E-2</v>
      </c>
      <c r="F36" s="29">
        <f>'DCF Model'!C26</f>
        <v>5.6298143236074266E-2</v>
      </c>
      <c r="G36" s="29">
        <f>'DCF Model'!C26+0.01</f>
        <v>6.6298143236074261E-2</v>
      </c>
      <c r="H36" s="29">
        <f>'DCF Model'!C26+0.02</f>
        <v>7.629814323607427E-2</v>
      </c>
    </row>
    <row r="37" spans="2:9" ht="14" customHeight="1" x14ac:dyDescent="0.3">
      <c r="B37" s="3" t="s">
        <v>154</v>
      </c>
    </row>
    <row r="38" spans="2:9" ht="14" customHeight="1" x14ac:dyDescent="0.3">
      <c r="B38" s="4" t="s">
        <v>155</v>
      </c>
      <c r="C38" s="30">
        <v>3</v>
      </c>
      <c r="D38" s="13">
        <f t="shared" ref="D38:H41" si="0">IFERROR((1-(1+D$36)^(-$C38))/D$36-(1+D$36)/(D$36^2*$C38)*(1-($C38+1)/(1+D$36)^$C38+$C38/(1+D$36)^($C38+1)),"N/A")</f>
        <v>0.95370664052569842</v>
      </c>
      <c r="E38" s="13">
        <f t="shared" si="0"/>
        <v>0.94165337238095348</v>
      </c>
      <c r="F38" s="13">
        <f t="shared" si="0"/>
        <v>0.92988342697121729</v>
      </c>
      <c r="G38" s="13">
        <f t="shared" si="0"/>
        <v>0.91838729725028778</v>
      </c>
      <c r="H38" s="13">
        <f t="shared" si="0"/>
        <v>0.90715588604447794</v>
      </c>
    </row>
    <row r="39" spans="2:9" ht="14" customHeight="1" x14ac:dyDescent="0.3">
      <c r="B39" s="4" t="s">
        <v>156</v>
      </c>
      <c r="C39" s="30">
        <v>5</v>
      </c>
      <c r="D39" s="13">
        <f t="shared" si="0"/>
        <v>1.8635223993236618</v>
      </c>
      <c r="E39" s="13">
        <f t="shared" si="0"/>
        <v>1.828772946517637</v>
      </c>
      <c r="F39" s="13">
        <f t="shared" si="0"/>
        <v>1.7951514818668142</v>
      </c>
      <c r="G39" s="13">
        <f t="shared" si="0"/>
        <v>1.7626081523613246</v>
      </c>
      <c r="H39" s="13">
        <f t="shared" si="0"/>
        <v>1.7310958371080387</v>
      </c>
    </row>
    <row r="40" spans="2:9" ht="14" customHeight="1" x14ac:dyDescent="0.3">
      <c r="B40" s="4" t="s">
        <v>157</v>
      </c>
      <c r="C40" s="30">
        <v>7</v>
      </c>
      <c r="D40" s="13">
        <f t="shared" si="0"/>
        <v>2.7317169961650367</v>
      </c>
      <c r="E40" s="13">
        <f t="shared" si="0"/>
        <v>2.6649063754469622</v>
      </c>
      <c r="F40" s="13">
        <f t="shared" si="0"/>
        <v>2.6008462224127684</v>
      </c>
      <c r="G40" s="13">
        <f t="shared" si="0"/>
        <v>2.5393864331608937</v>
      </c>
      <c r="H40" s="13">
        <f t="shared" si="0"/>
        <v>2.4803868444466453</v>
      </c>
    </row>
    <row r="41" spans="2:9" ht="14" customHeight="1" x14ac:dyDescent="0.3">
      <c r="B41" s="4" t="s">
        <v>158</v>
      </c>
      <c r="C41" s="30">
        <v>10</v>
      </c>
      <c r="D41" s="13">
        <f t="shared" si="0"/>
        <v>3.9606280788172157</v>
      </c>
      <c r="E41" s="13">
        <f t="shared" si="0"/>
        <v>3.8306670196290238</v>
      </c>
      <c r="F41" s="13">
        <f t="shared" si="0"/>
        <v>3.707695031148488</v>
      </c>
      <c r="G41" s="13">
        <f t="shared" si="0"/>
        <v>3.5912252686844508</v>
      </c>
      <c r="H41" s="13">
        <f t="shared" si="0"/>
        <v>3.4808112293430096</v>
      </c>
    </row>
    <row r="42" spans="2:9" ht="14" customHeight="1" x14ac:dyDescent="0.3">
      <c r="B42" s="3" t="s">
        <v>159</v>
      </c>
    </row>
    <row r="43" spans="2:9" ht="14" customHeight="1" x14ac:dyDescent="0.3">
      <c r="B43" s="4" t="s">
        <v>155</v>
      </c>
      <c r="C43" s="30">
        <v>3</v>
      </c>
      <c r="D43" s="13">
        <f t="shared" ref="D43:H46" si="1">IFERROR((1+D$36)/(D$36^2*$C43)*(1-($C43+1)/(1+D$36)^$C43+$C43/(1+D$36)^($C43+1))+(1+$C$12)/((D$36-$C$12)*(1+D$36)^$C43),"N/A")</f>
        <v>36.3507724095982</v>
      </c>
      <c r="E43" s="13">
        <f t="shared" si="1"/>
        <v>26.093005059021714</v>
      </c>
      <c r="F43" s="13">
        <f t="shared" si="1"/>
        <v>20.271194039697487</v>
      </c>
      <c r="G43" s="13">
        <f t="shared" si="1"/>
        <v>16.521381845051582</v>
      </c>
      <c r="H43" s="13">
        <f t="shared" si="1"/>
        <v>13.905874786548429</v>
      </c>
    </row>
    <row r="44" spans="2:9" ht="14" customHeight="1" x14ac:dyDescent="0.3">
      <c r="B44" s="4" t="s">
        <v>156</v>
      </c>
      <c r="C44" s="30">
        <v>5</v>
      </c>
      <c r="D44" s="13">
        <f t="shared" si="1"/>
        <v>34.769562739067503</v>
      </c>
      <c r="E44" s="13">
        <f t="shared" si="1"/>
        <v>24.735490501341602</v>
      </c>
      <c r="F44" s="13">
        <f t="shared" si="1"/>
        <v>19.049165747919762</v>
      </c>
      <c r="G44" s="13">
        <f t="shared" si="1"/>
        <v>15.393248628521484</v>
      </c>
      <c r="H44" s="13">
        <f t="shared" si="1"/>
        <v>12.848557871516512</v>
      </c>
    </row>
    <row r="45" spans="2:9" ht="14" customHeight="1" x14ac:dyDescent="0.3">
      <c r="B45" s="4" t="s">
        <v>157</v>
      </c>
      <c r="C45" s="30">
        <v>7</v>
      </c>
      <c r="D45" s="13">
        <f t="shared" si="1"/>
        <v>33.276183992736222</v>
      </c>
      <c r="E45" s="13">
        <f t="shared" si="1"/>
        <v>23.46967050982181</v>
      </c>
      <c r="F45" s="13">
        <f t="shared" si="1"/>
        <v>17.923726265865746</v>
      </c>
      <c r="G45" s="13">
        <f t="shared" si="1"/>
        <v>14.366765487201979</v>
      </c>
      <c r="H45" s="13">
        <f t="shared" si="1"/>
        <v>11.897805020706672</v>
      </c>
    </row>
    <row r="46" spans="2:9" ht="14" customHeight="1" x14ac:dyDescent="0.3">
      <c r="B46" s="4" t="s">
        <v>158</v>
      </c>
      <c r="C46" s="30">
        <v>10</v>
      </c>
      <c r="D46" s="13">
        <f t="shared" si="1"/>
        <v>31.189243006490685</v>
      </c>
      <c r="E46" s="13">
        <f t="shared" si="1"/>
        <v>21.728085972299112</v>
      </c>
      <c r="F46" s="13">
        <f t="shared" si="1"/>
        <v>16.398373366614301</v>
      </c>
      <c r="G46" s="13">
        <f t="shared" si="1"/>
        <v>12.995630052811601</v>
      </c>
      <c r="H46" s="13">
        <f t="shared" si="1"/>
        <v>10.645646883375495</v>
      </c>
    </row>
    <row r="47" spans="2:9" ht="14" customHeight="1" x14ac:dyDescent="0.3">
      <c r="B47" s="22" t="s">
        <v>160</v>
      </c>
      <c r="C47" s="23"/>
      <c r="D47" s="23"/>
      <c r="E47" s="23"/>
      <c r="F47" s="23"/>
      <c r="G47" s="23"/>
      <c r="H47" s="23"/>
      <c r="I47" s="23"/>
    </row>
    <row r="48" spans="2:9" ht="14" customHeight="1" x14ac:dyDescent="0.3">
      <c r="B48" s="4" t="s">
        <v>155</v>
      </c>
      <c r="C48" s="30">
        <v>3</v>
      </c>
      <c r="D48" s="5">
        <f t="shared" ref="D48:H51" si="2">IFERROR(($C$10/(1-$C$13)-$C$14*D38)/D43,"N/A")</f>
        <v>106160.0888163573</v>
      </c>
      <c r="E48" s="5">
        <f t="shared" si="2"/>
        <v>147985.40347111542</v>
      </c>
      <c r="F48" s="5">
        <f t="shared" si="2"/>
        <v>190601.03323788242</v>
      </c>
      <c r="G48" s="5">
        <f t="shared" si="2"/>
        <v>233998.77114544826</v>
      </c>
      <c r="H48" s="5">
        <f t="shared" si="2"/>
        <v>278170.43518769124</v>
      </c>
    </row>
    <row r="49" spans="2:9" ht="14" customHeight="1" x14ac:dyDescent="0.3">
      <c r="B49" s="4" t="s">
        <v>156</v>
      </c>
      <c r="C49" s="30">
        <v>5</v>
      </c>
      <c r="D49" s="5">
        <f t="shared" si="2"/>
        <v>105815.29613716686</v>
      </c>
      <c r="E49" s="5">
        <f t="shared" si="2"/>
        <v>149017.49149371608</v>
      </c>
      <c r="F49" s="5">
        <f t="shared" si="2"/>
        <v>193849.27321804632</v>
      </c>
      <c r="G49" s="5">
        <f t="shared" si="2"/>
        <v>240306.64953576479</v>
      </c>
      <c r="H49" s="5">
        <f t="shared" si="2"/>
        <v>288384.83667863876</v>
      </c>
    </row>
    <row r="50" spans="2:9" ht="14" customHeight="1" x14ac:dyDescent="0.3">
      <c r="B50" s="4" t="s">
        <v>157</v>
      </c>
      <c r="C50" s="30">
        <v>7</v>
      </c>
      <c r="D50" s="5">
        <f t="shared" si="2"/>
        <v>105406.60176780091</v>
      </c>
      <c r="E50" s="5">
        <f t="shared" si="2"/>
        <v>150012.17831638129</v>
      </c>
      <c r="F50" s="5">
        <f t="shared" si="2"/>
        <v>197135.32576909036</v>
      </c>
      <c r="G50" s="5">
        <f t="shared" si="2"/>
        <v>246788.24237339915</v>
      </c>
      <c r="H50" s="5">
        <f t="shared" si="2"/>
        <v>298980.49755267997</v>
      </c>
    </row>
    <row r="51" spans="2:9" ht="14" customHeight="1" x14ac:dyDescent="0.3">
      <c r="B51" s="4" t="s">
        <v>158</v>
      </c>
      <c r="C51" s="30">
        <v>10</v>
      </c>
      <c r="D51" s="5">
        <f t="shared" si="2"/>
        <v>104670.7679859238</v>
      </c>
      <c r="E51" s="5">
        <f t="shared" si="2"/>
        <v>151430.38070085342</v>
      </c>
      <c r="F51" s="5">
        <f t="shared" si="2"/>
        <v>202129.86924674132</v>
      </c>
      <c r="G51" s="5">
        <f t="shared" si="2"/>
        <v>256826.67513034533</v>
      </c>
      <c r="H51" s="5">
        <f t="shared" si="2"/>
        <v>315570.37449633027</v>
      </c>
    </row>
    <row r="52" spans="2:9" ht="14" customHeight="1" x14ac:dyDescent="0.3">
      <c r="B52" s="22" t="s">
        <v>161</v>
      </c>
      <c r="C52" s="23"/>
      <c r="D52" s="23"/>
      <c r="E52" s="23"/>
      <c r="F52" s="23"/>
      <c r="G52" s="23"/>
      <c r="H52" s="23"/>
      <c r="I52" s="23"/>
    </row>
    <row r="53" spans="2:9" ht="14" customHeight="1" x14ac:dyDescent="0.3">
      <c r="B53" s="4" t="s">
        <v>155</v>
      </c>
      <c r="C53" s="30">
        <v>3</v>
      </c>
      <c r="D53" s="14">
        <f t="shared" ref="D53:H56" si="3">IFERROR(D48/$C$15,"N/A")</f>
        <v>0.25187635106152245</v>
      </c>
      <c r="E53" s="14">
        <f t="shared" si="3"/>
        <v>0.35111145678439254</v>
      </c>
      <c r="F53" s="14">
        <f t="shared" si="3"/>
        <v>0.45222167102328814</v>
      </c>
      <c r="G53" s="14">
        <f t="shared" si="3"/>
        <v>0.55518752184685827</v>
      </c>
      <c r="H53" s="14">
        <f t="shared" si="3"/>
        <v>0.65998959655613765</v>
      </c>
    </row>
    <row r="54" spans="2:9" ht="14" customHeight="1" x14ac:dyDescent="0.3">
      <c r="B54" s="4" t="s">
        <v>156</v>
      </c>
      <c r="C54" s="30">
        <v>5</v>
      </c>
      <c r="D54" s="14">
        <f t="shared" si="3"/>
        <v>0.25105829294876558</v>
      </c>
      <c r="E54" s="14">
        <f t="shared" si="3"/>
        <v>0.35356019781320469</v>
      </c>
      <c r="F54" s="14">
        <f t="shared" si="3"/>
        <v>0.4599284734826487</v>
      </c>
      <c r="G54" s="14">
        <f t="shared" si="3"/>
        <v>0.57015364903841681</v>
      </c>
      <c r="H54" s="14">
        <f t="shared" si="3"/>
        <v>0.68422437447034778</v>
      </c>
    </row>
    <row r="55" spans="2:9" ht="14" customHeight="1" x14ac:dyDescent="0.3">
      <c r="B55" s="4" t="s">
        <v>157</v>
      </c>
      <c r="C55" s="30">
        <v>7</v>
      </c>
      <c r="D55" s="14">
        <f t="shared" si="3"/>
        <v>0.25008862112950625</v>
      </c>
      <c r="E55" s="14">
        <f t="shared" si="3"/>
        <v>0.35592020042939781</v>
      </c>
      <c r="F55" s="14">
        <f t="shared" si="3"/>
        <v>0.46772499037691345</v>
      </c>
      <c r="G55" s="14">
        <f t="shared" si="3"/>
        <v>0.58553193264021319</v>
      </c>
      <c r="H55" s="14">
        <f t="shared" si="3"/>
        <v>0.70936373171651113</v>
      </c>
    </row>
    <row r="56" spans="2:9" ht="14" customHeight="1" x14ac:dyDescent="0.3">
      <c r="B56" s="4" t="s">
        <v>158</v>
      </c>
      <c r="C56" s="30">
        <v>10</v>
      </c>
      <c r="D56" s="14">
        <f t="shared" si="3"/>
        <v>0.24834277549172029</v>
      </c>
      <c r="E56" s="14">
        <f t="shared" si="3"/>
        <v>0.35928503975508375</v>
      </c>
      <c r="F56" s="14">
        <f t="shared" si="3"/>
        <v>0.47957508771947538</v>
      </c>
      <c r="G56" s="14">
        <f t="shared" si="3"/>
        <v>0.6093492056039721</v>
      </c>
      <c r="H56" s="14">
        <f t="shared" si="3"/>
        <v>0.74872501820106496</v>
      </c>
    </row>
    <row r="58" spans="2:9" ht="14" customHeight="1" x14ac:dyDescent="0.3">
      <c r="B58" s="8" t="s">
        <v>162</v>
      </c>
      <c r="C58" s="9"/>
      <c r="D58" s="9"/>
      <c r="E58" s="9"/>
      <c r="F58" s="9"/>
      <c r="G58" s="9"/>
      <c r="H58" s="9"/>
      <c r="I58" s="9"/>
    </row>
    <row r="59" spans="2:9" ht="14" customHeight="1" x14ac:dyDescent="0.3">
      <c r="B59" s="1" t="s">
        <v>163</v>
      </c>
    </row>
    <row r="60" spans="2:9" ht="14" customHeight="1" x14ac:dyDescent="0.3">
      <c r="B60" s="4" t="s">
        <v>164</v>
      </c>
      <c r="C60" s="5">
        <f>F49</f>
        <v>193849.27321804632</v>
      </c>
    </row>
    <row r="62" spans="2:9" ht="14" customHeight="1" x14ac:dyDescent="0.3">
      <c r="B62" s="28" t="s">
        <v>165</v>
      </c>
      <c r="C62" s="28" t="s">
        <v>166</v>
      </c>
      <c r="D62" s="28" t="s">
        <v>167</v>
      </c>
    </row>
    <row r="63" spans="2:9" ht="14" customHeight="1" x14ac:dyDescent="0.3">
      <c r="B63" s="31">
        <v>6.4100000000000004E-2</v>
      </c>
      <c r="C63" s="5">
        <f>IFERROR($C$60/B63,"N/A")</f>
        <v>3024169.6289866818</v>
      </c>
      <c r="D63" s="14">
        <f>IFERROR(C63/'DCF Model'!C17,"N/A")</f>
        <v>1.0668209527498491</v>
      </c>
    </row>
    <row r="64" spans="2:9" ht="14" customHeight="1" x14ac:dyDescent="0.3">
      <c r="B64" s="31">
        <v>9.6100000000000005E-2</v>
      </c>
      <c r="C64" s="5">
        <f>IFERROR($C$60/B64,"N/A")</f>
        <v>2017162.0522169231</v>
      </c>
      <c r="D64" s="14">
        <f>IFERROR(C64/'DCF Model'!C17,"N/A")</f>
        <v>0.71158400698507107</v>
      </c>
    </row>
    <row r="65" spans="2:9" ht="14" customHeight="1" x14ac:dyDescent="0.3">
      <c r="B65" s="4" t="s">
        <v>168</v>
      </c>
      <c r="C65" s="5">
        <f>IFERROR($C$60/$C$18,"N/A")</f>
        <v>1512996.3439366196</v>
      </c>
      <c r="D65" s="14">
        <f>IFERROR(C65/'DCF Model'!C17,"N/A")</f>
        <v>0.5337320319847082</v>
      </c>
    </row>
    <row r="66" spans="2:9" ht="14" customHeight="1" x14ac:dyDescent="0.3">
      <c r="B66" s="31">
        <v>0.16020000000000001</v>
      </c>
      <c r="C66" s="5">
        <f>IFERROR($C$60/B66,"N/A")</f>
        <v>1210045.4008617124</v>
      </c>
      <c r="D66" s="14">
        <f>IFERROR(C66/'DCF Model'!C17,"N/A")</f>
        <v>0.42686156723636287</v>
      </c>
    </row>
    <row r="67" spans="2:9" ht="14" customHeight="1" x14ac:dyDescent="0.3">
      <c r="B67" s="31">
        <v>0.19220000000000001</v>
      </c>
      <c r="C67" s="5">
        <f>IFERROR($C$60/B67,"N/A")</f>
        <v>1008581.0261084615</v>
      </c>
      <c r="D67" s="14">
        <f>IFERROR(C67/'DCF Model'!C17,"N/A")</f>
        <v>0.35579200349253554</v>
      </c>
    </row>
    <row r="69" spans="2:9" ht="14" customHeight="1" x14ac:dyDescent="0.3">
      <c r="B69" s="8" t="s">
        <v>169</v>
      </c>
      <c r="C69" s="9"/>
      <c r="D69" s="9"/>
      <c r="E69" s="9"/>
      <c r="F69" s="9"/>
      <c r="G69" s="9"/>
      <c r="H69" s="9"/>
      <c r="I69" s="9"/>
    </row>
    <row r="70" spans="2:9" ht="13.5" customHeight="1" x14ac:dyDescent="0.25">
      <c r="B70" s="6" t="s">
        <v>170</v>
      </c>
      <c r="C70" s="14">
        <f>IFERROR(C10/'Comps Analysis'!G5,"N/A")</f>
        <v>6.5710022194746056</v>
      </c>
    </row>
    <row r="71" spans="2:9" ht="13.5" customHeight="1" x14ac:dyDescent="0.25">
      <c r="B71" s="6" t="s">
        <v>171</v>
      </c>
      <c r="C71" s="14">
        <f>IFERROR(C10/'Comps Analysis'!F5,"N/A")</f>
        <v>1.0708691744292</v>
      </c>
    </row>
    <row r="72" spans="2:9" ht="14" customHeight="1" x14ac:dyDescent="0.3">
      <c r="B72" s="4" t="s">
        <v>172</v>
      </c>
      <c r="C72" s="14">
        <f>IFERROR(C10/(C25+'DCF Model'!G42),"N/A")</f>
        <v>6.374234583861937</v>
      </c>
    </row>
    <row r="73" spans="2:9" ht="14" customHeight="1" x14ac:dyDescent="0.3">
      <c r="B73" s="4" t="s">
        <v>173</v>
      </c>
      <c r="C73" s="14">
        <f>IFERROR(C10/(C60+'DCF Model'!G42),"N/A")</f>
        <v>6.2889757164741749</v>
      </c>
    </row>
    <row r="74" spans="2:9" ht="14" customHeight="1" x14ac:dyDescent="0.3">
      <c r="B74" s="4" t="s">
        <v>174</v>
      </c>
      <c r="C74" s="14">
        <f>IFERROR('Comps Analysis'!D16,"N/A")</f>
        <v>9.3745434718081739</v>
      </c>
    </row>
    <row r="75" spans="2:9" ht="14" customHeight="1" x14ac:dyDescent="0.3">
      <c r="B75" s="1" t="s">
        <v>175</v>
      </c>
    </row>
    <row r="77" spans="2:9" ht="14" customHeight="1" x14ac:dyDescent="0.3">
      <c r="B77" s="22" t="s">
        <v>176</v>
      </c>
      <c r="C77" s="23"/>
      <c r="D77" s="23"/>
      <c r="E77" s="23"/>
      <c r="F77" s="23"/>
      <c r="G77" s="23"/>
      <c r="H77" s="23"/>
      <c r="I77" s="23"/>
    </row>
    <row r="78" spans="2:9" ht="14" customHeight="1" x14ac:dyDescent="0.3">
      <c r="B78" s="4" t="str">
        <f>"At "&amp;TEXT(C6,"#,##0")&amp;" yen the market is paying for a steady-state operating profit of "&amp;TEXT(F49,"#,##0")&amp;" mn JPY - "&amp;TEXT(F54,"0.00")&amp;"x the FY2023 cycle peak of "&amp;TEXT(C15,"#,##0")&amp;" mn - reached in 5 years and sustained for ever, against "&amp;TEXT(C14,"#,##0")&amp;" mn actually earned in FY2026."</f>
        <v>At 6,128 yen the market is paying for a steady-state operating profit of 193,849 mn JPY - 0.46x the FY2023 cycle peak of 421,477 mn - reached in 5 years and sustained for ever, against 197,677 mn actually earned in FY2026.</v>
      </c>
    </row>
    <row r="79" spans="2:9" ht="14" customHeight="1" x14ac:dyDescent="0.3">
      <c r="B79" s="4" t="str">
        <f>"Even with no ramp at all (Block A) the price needs "&amp;TEXT(C25,"#,##0")&amp;" mn, or "&amp;TEXT(C26,"0.00")&amp;"x the peak. The base case supports an EV of only "&amp;TEXT(C17,"#,##0")&amp;" mn, leaving "&amp;TEXT(C20,"#,##0")&amp;" yen per share of the current price unexplained by mid-cycle economics."</f>
        <v>Even with no ramp at all (Block A) the price needs 187,393 mn, or 0.44x the peak. The base case supports an EV of only 3,102,222 mn, leaving -203 yen per share of the current price unexplained by mid-cycle economics.</v>
      </c>
    </row>
  </sheetData>
  <phoneticPr fontId="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C6600"/>
  </sheetPr>
  <dimension ref="B2:H43"/>
  <sheetViews>
    <sheetView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customHeight="1" x14ac:dyDescent="0.4">
      <c r="B2" s="2" t="s">
        <v>177</v>
      </c>
    </row>
    <row r="4" spans="2:8" ht="14" customHeight="1" x14ac:dyDescent="0.3">
      <c r="B4" s="8" t="s">
        <v>178</v>
      </c>
      <c r="C4" s="32" t="s">
        <v>179</v>
      </c>
      <c r="D4" s="32" t="s">
        <v>86</v>
      </c>
      <c r="E4" s="32" t="s">
        <v>87</v>
      </c>
      <c r="F4" s="32" t="s">
        <v>88</v>
      </c>
      <c r="G4" s="32" t="s">
        <v>89</v>
      </c>
      <c r="H4" s="32" t="s">
        <v>90</v>
      </c>
    </row>
    <row r="5" spans="2:8" ht="14" customHeight="1" x14ac:dyDescent="0.3">
      <c r="B5" s="33" t="s">
        <v>180</v>
      </c>
      <c r="C5" s="34">
        <f>C12/C9*365</f>
        <v>54.606517190763626</v>
      </c>
      <c r="D5" s="34">
        <f>CHOOSE('DCF Model'!$D$27,D25,D26,D27,D28,D29)</f>
        <v>57</v>
      </c>
      <c r="E5" s="34">
        <f>CHOOSE('DCF Model'!$D$27,E25,E26,E27,E28,E29)</f>
        <v>57</v>
      </c>
      <c r="F5" s="34">
        <f>CHOOSE('DCF Model'!$D$27,F25,F26,F27,F28,F29)</f>
        <v>57</v>
      </c>
      <c r="G5" s="34">
        <f>CHOOSE('DCF Model'!$D$27,G25,G26,G27,G28,G29)</f>
        <v>57</v>
      </c>
      <c r="H5" s="34">
        <f>CHOOSE('DCF Model'!$D$27,H25,H26,H27,H28,H29)</f>
        <v>57</v>
      </c>
    </row>
    <row r="6" spans="2:8" ht="14" customHeight="1" x14ac:dyDescent="0.3">
      <c r="B6" s="33" t="s">
        <v>181</v>
      </c>
      <c r="C6" s="34">
        <f>C13/C10*365</f>
        <v>24.813174518677393</v>
      </c>
      <c r="D6" s="34">
        <f>CHOOSE('DCF Model'!$D$27,D32,D33,D34,D35,D36)</f>
        <v>24</v>
      </c>
      <c r="E6" s="34">
        <f>CHOOSE('DCF Model'!$D$27,E32,E33,E34,E35,E36)</f>
        <v>24</v>
      </c>
      <c r="F6" s="34">
        <f>CHOOSE('DCF Model'!$D$27,F32,F33,F34,F35,F36)</f>
        <v>24</v>
      </c>
      <c r="G6" s="34">
        <f>CHOOSE('DCF Model'!$D$27,G32,G33,G34,G35,G36)</f>
        <v>24</v>
      </c>
      <c r="H6" s="34">
        <f>CHOOSE('DCF Model'!$D$27,H32,H33,H34,H35,H36)</f>
        <v>24</v>
      </c>
    </row>
    <row r="7" spans="2:8" ht="14" customHeight="1" x14ac:dyDescent="0.3">
      <c r="B7" s="33" t="s">
        <v>182</v>
      </c>
      <c r="C7" s="34">
        <f>C15/C10*365</f>
        <v>16.490208563462918</v>
      </c>
      <c r="D7" s="34">
        <f>CHOOSE('DCF Model'!$D$27,D39,D40,D41,D42,D43)</f>
        <v>17</v>
      </c>
      <c r="E7" s="34">
        <f>CHOOSE('DCF Model'!$D$27,E39,E40,E41,E42,E43)</f>
        <v>17</v>
      </c>
      <c r="F7" s="34">
        <f>CHOOSE('DCF Model'!$D$27,F39,F40,F41,F42,F43)</f>
        <v>17</v>
      </c>
      <c r="G7" s="34">
        <f>CHOOSE('DCF Model'!$D$27,G39,G40,G41,G42,G43)</f>
        <v>17</v>
      </c>
      <c r="H7" s="34">
        <f>CHOOSE('DCF Model'!$D$27,H39,H40,H41,H42,H43)</f>
        <v>17</v>
      </c>
    </row>
    <row r="8" spans="2:8" ht="14" customHeight="1" x14ac:dyDescent="0.3">
      <c r="B8" s="8" t="s">
        <v>183</v>
      </c>
      <c r="C8" s="9"/>
      <c r="D8" s="9"/>
      <c r="E8" s="9"/>
      <c r="F8" s="9"/>
      <c r="G8" s="9"/>
      <c r="H8" s="9"/>
    </row>
    <row r="9" spans="2:8" ht="14" customHeight="1" x14ac:dyDescent="0.3">
      <c r="B9" s="33" t="s">
        <v>37</v>
      </c>
      <c r="C9" s="35">
        <v>2834749</v>
      </c>
      <c r="D9" s="35">
        <f>'DCF Model'!C33</f>
        <v>2877270.2349999999</v>
      </c>
      <c r="E9" s="35">
        <f>'DCF Model'!D33</f>
        <v>2934815.6396999997</v>
      </c>
      <c r="F9" s="35">
        <f>'DCF Model'!E33</f>
        <v>2993511.9524939996</v>
      </c>
      <c r="G9" s="35">
        <f>'DCF Model'!F33</f>
        <v>3053382.1915438795</v>
      </c>
      <c r="H9" s="35">
        <f>'DCF Model'!G33</f>
        <v>3099182.9244170375</v>
      </c>
    </row>
    <row r="10" spans="2:8" ht="14" customHeight="1" x14ac:dyDescent="0.3">
      <c r="B10" s="33" t="s">
        <v>38</v>
      </c>
      <c r="C10" s="35">
        <v>2327493</v>
      </c>
      <c r="D10" s="35">
        <f>'DCF Model'!C34</f>
        <v>2362238.8629349996</v>
      </c>
      <c r="E10" s="35">
        <f>'DCF Model'!D34</f>
        <v>2409483.6401936994</v>
      </c>
      <c r="F10" s="35">
        <f>'DCF Model'!E34</f>
        <v>2457673.3129975735</v>
      </c>
      <c r="G10" s="35">
        <f>'DCF Model'!F34</f>
        <v>2506826.7792575248</v>
      </c>
      <c r="H10" s="35">
        <f>'DCF Model'!G34</f>
        <v>2544429.1809463878</v>
      </c>
    </row>
    <row r="11" spans="2:8" ht="14" customHeight="1" x14ac:dyDescent="0.3">
      <c r="B11" s="8" t="s">
        <v>184</v>
      </c>
      <c r="C11" s="9"/>
      <c r="D11" s="9"/>
      <c r="E11" s="9"/>
      <c r="F11" s="9"/>
      <c r="G11" s="9"/>
      <c r="H11" s="9"/>
    </row>
    <row r="12" spans="2:8" ht="14" customHeight="1" x14ac:dyDescent="0.3">
      <c r="B12" s="33" t="s">
        <v>185</v>
      </c>
      <c r="C12" s="35">
        <v>424098</v>
      </c>
      <c r="D12" s="35">
        <f t="shared" ref="D12:H13" si="0">D9*D5/365</f>
        <v>449327.13258904102</v>
      </c>
      <c r="E12" s="35">
        <f t="shared" si="0"/>
        <v>458313.67524082185</v>
      </c>
      <c r="F12" s="35">
        <f t="shared" si="0"/>
        <v>467479.94874563831</v>
      </c>
      <c r="G12" s="35">
        <f t="shared" si="0"/>
        <v>476829.54772055103</v>
      </c>
      <c r="H12" s="35">
        <f t="shared" si="0"/>
        <v>483981.99093635933</v>
      </c>
    </row>
    <row r="13" spans="2:8" ht="14" customHeight="1" x14ac:dyDescent="0.3">
      <c r="B13" s="33" t="s">
        <v>186</v>
      </c>
      <c r="C13" s="35">
        <v>158226</v>
      </c>
      <c r="D13" s="35">
        <f t="shared" si="0"/>
        <v>155325.29509709586</v>
      </c>
      <c r="E13" s="35">
        <f t="shared" si="0"/>
        <v>158431.80099903778</v>
      </c>
      <c r="F13" s="35">
        <f t="shared" si="0"/>
        <v>161600.43701901851</v>
      </c>
      <c r="G13" s="35">
        <f t="shared" si="0"/>
        <v>164832.44575939889</v>
      </c>
      <c r="H13" s="35">
        <f t="shared" si="0"/>
        <v>167304.93244578989</v>
      </c>
    </row>
    <row r="14" spans="2:8" ht="14" customHeight="1" x14ac:dyDescent="0.3">
      <c r="B14" s="33" t="s">
        <v>187</v>
      </c>
      <c r="C14" s="35">
        <f t="shared" ref="C14:H14" si="1">C12+C13</f>
        <v>582324</v>
      </c>
      <c r="D14" s="35">
        <f t="shared" si="1"/>
        <v>604652.42768613691</v>
      </c>
      <c r="E14" s="35">
        <f t="shared" si="1"/>
        <v>616745.47623985959</v>
      </c>
      <c r="F14" s="35">
        <f t="shared" si="1"/>
        <v>629080.38576465682</v>
      </c>
      <c r="G14" s="35">
        <f t="shared" si="1"/>
        <v>641661.99347994989</v>
      </c>
      <c r="H14" s="35">
        <f t="shared" si="1"/>
        <v>651286.92338214919</v>
      </c>
    </row>
    <row r="15" spans="2:8" ht="14" customHeight="1" x14ac:dyDescent="0.3">
      <c r="B15" s="33" t="s">
        <v>188</v>
      </c>
      <c r="C15" s="35">
        <v>105153</v>
      </c>
      <c r="D15" s="35">
        <f>D10*D7/365</f>
        <v>110022.08402710957</v>
      </c>
      <c r="E15" s="35">
        <f>E10*E7/365</f>
        <v>112222.52570765176</v>
      </c>
      <c r="F15" s="35">
        <f>F10*F7/365</f>
        <v>114466.97622180478</v>
      </c>
      <c r="G15" s="35">
        <f>G10*G7/365</f>
        <v>116756.31574624087</v>
      </c>
      <c r="H15" s="35">
        <f>H10*H7/365</f>
        <v>118507.6604824345</v>
      </c>
    </row>
    <row r="16" spans="2:8" ht="14" customHeight="1" x14ac:dyDescent="0.3">
      <c r="B16" s="33" t="s">
        <v>189</v>
      </c>
      <c r="C16" s="35">
        <f t="shared" ref="C16:H16" si="2">C15</f>
        <v>105153</v>
      </c>
      <c r="D16" s="35">
        <f t="shared" si="2"/>
        <v>110022.08402710957</v>
      </c>
      <c r="E16" s="35">
        <f t="shared" si="2"/>
        <v>112222.52570765176</v>
      </c>
      <c r="F16" s="35">
        <f t="shared" si="2"/>
        <v>114466.97622180478</v>
      </c>
      <c r="G16" s="35">
        <f t="shared" si="2"/>
        <v>116756.31574624087</v>
      </c>
      <c r="H16" s="35">
        <f t="shared" si="2"/>
        <v>118507.6604824345</v>
      </c>
    </row>
    <row r="17" spans="2:8" ht="14" customHeight="1" x14ac:dyDescent="0.3">
      <c r="B17" s="22" t="s">
        <v>190</v>
      </c>
      <c r="C17" s="23"/>
      <c r="D17" s="23"/>
      <c r="E17" s="23"/>
      <c r="F17" s="23"/>
      <c r="G17" s="23"/>
      <c r="H17" s="23"/>
    </row>
    <row r="18" spans="2:8" ht="14" customHeight="1" x14ac:dyDescent="0.3">
      <c r="B18" s="33" t="s">
        <v>191</v>
      </c>
      <c r="C18" s="20">
        <f t="shared" ref="C18:H18" si="3">C14-C16</f>
        <v>477171</v>
      </c>
      <c r="D18" s="20">
        <f t="shared" si="3"/>
        <v>494630.34365902736</v>
      </c>
      <c r="E18" s="20">
        <f t="shared" si="3"/>
        <v>504522.95053220785</v>
      </c>
      <c r="F18" s="20">
        <f t="shared" si="3"/>
        <v>514613.40954285202</v>
      </c>
      <c r="G18" s="20">
        <f t="shared" si="3"/>
        <v>524905.67773370899</v>
      </c>
      <c r="H18" s="20">
        <f t="shared" si="3"/>
        <v>532779.26289971475</v>
      </c>
    </row>
    <row r="19" spans="2:8" ht="14" customHeight="1" x14ac:dyDescent="0.3">
      <c r="B19" s="33" t="s">
        <v>100</v>
      </c>
      <c r="C19" s="36" t="s">
        <v>47</v>
      </c>
      <c r="D19" s="24">
        <f>D18-C18</f>
        <v>17459.343659027363</v>
      </c>
      <c r="E19" s="24">
        <f>E18-D18</f>
        <v>9892.6068731804844</v>
      </c>
      <c r="F19" s="24">
        <f>F18-E18</f>
        <v>10090.459010644176</v>
      </c>
      <c r="G19" s="24">
        <f>G18-F18</f>
        <v>10292.268190856965</v>
      </c>
      <c r="H19" s="24">
        <f>H18-G18</f>
        <v>7873.585166005767</v>
      </c>
    </row>
    <row r="22" spans="2:8" ht="14" customHeight="1" x14ac:dyDescent="0.3">
      <c r="B22" s="22" t="s">
        <v>192</v>
      </c>
      <c r="C22" s="23"/>
      <c r="D22" s="23"/>
      <c r="E22" s="23"/>
      <c r="F22" s="23"/>
      <c r="G22" s="23"/>
      <c r="H22" s="23"/>
    </row>
    <row r="23" spans="2:8" ht="14" customHeight="1" x14ac:dyDescent="0.3">
      <c r="D23" s="25" t="s">
        <v>86</v>
      </c>
      <c r="E23" s="25" t="s">
        <v>87</v>
      </c>
      <c r="F23" s="25" t="s">
        <v>88</v>
      </c>
      <c r="G23" s="25" t="s">
        <v>89</v>
      </c>
      <c r="H23" s="25" t="s">
        <v>90</v>
      </c>
    </row>
    <row r="24" spans="2:8" ht="14" customHeight="1" x14ac:dyDescent="0.3">
      <c r="B24" s="3" t="s">
        <v>193</v>
      </c>
    </row>
    <row r="25" spans="2:8" ht="14" customHeight="1" x14ac:dyDescent="0.3">
      <c r="B25" s="4" t="s">
        <v>84</v>
      </c>
      <c r="D25" s="30">
        <v>57</v>
      </c>
      <c r="E25" s="30">
        <v>57</v>
      </c>
      <c r="F25" s="30">
        <v>57</v>
      </c>
      <c r="G25" s="30">
        <v>57</v>
      </c>
      <c r="H25" s="30">
        <v>57</v>
      </c>
    </row>
    <row r="26" spans="2:8" ht="14" customHeight="1" x14ac:dyDescent="0.3">
      <c r="B26" s="4" t="s">
        <v>121</v>
      </c>
      <c r="D26" s="30">
        <v>54</v>
      </c>
      <c r="E26" s="30">
        <v>54</v>
      </c>
      <c r="F26" s="30">
        <v>54</v>
      </c>
      <c r="G26" s="30">
        <v>54</v>
      </c>
      <c r="H26" s="30">
        <v>54</v>
      </c>
    </row>
    <row r="27" spans="2:8" ht="14" customHeight="1" x14ac:dyDescent="0.3">
      <c r="B27" s="4" t="s">
        <v>122</v>
      </c>
      <c r="D27" s="30">
        <v>57</v>
      </c>
      <c r="E27" s="30">
        <v>57</v>
      </c>
      <c r="F27" s="30">
        <v>57</v>
      </c>
      <c r="G27" s="30">
        <v>57</v>
      </c>
      <c r="H27" s="30">
        <v>57</v>
      </c>
    </row>
    <row r="28" spans="2:8" ht="14" customHeight="1" x14ac:dyDescent="0.3">
      <c r="B28" s="4" t="s">
        <v>123</v>
      </c>
      <c r="D28" s="30">
        <v>61</v>
      </c>
      <c r="E28" s="30">
        <v>61</v>
      </c>
      <c r="F28" s="30">
        <v>61</v>
      </c>
      <c r="G28" s="30">
        <v>61</v>
      </c>
      <c r="H28" s="30">
        <v>61</v>
      </c>
    </row>
    <row r="29" spans="2:8" ht="14" customHeight="1" x14ac:dyDescent="0.3">
      <c r="B29" s="4" t="s">
        <v>124</v>
      </c>
      <c r="D29" s="30">
        <v>65</v>
      </c>
      <c r="E29" s="30">
        <v>65</v>
      </c>
      <c r="F29" s="30">
        <v>65</v>
      </c>
      <c r="G29" s="30">
        <v>65</v>
      </c>
      <c r="H29" s="30">
        <v>65</v>
      </c>
    </row>
    <row r="31" spans="2:8" ht="14" customHeight="1" x14ac:dyDescent="0.3">
      <c r="B31" s="3" t="s">
        <v>194</v>
      </c>
    </row>
    <row r="32" spans="2:8" ht="14" customHeight="1" x14ac:dyDescent="0.3">
      <c r="B32" s="4" t="s">
        <v>84</v>
      </c>
      <c r="D32" s="30">
        <v>24</v>
      </c>
      <c r="E32" s="30">
        <v>24</v>
      </c>
      <c r="F32" s="30">
        <v>24</v>
      </c>
      <c r="G32" s="30">
        <v>24</v>
      </c>
      <c r="H32" s="30">
        <v>24</v>
      </c>
    </row>
    <row r="33" spans="2:8" ht="14" customHeight="1" x14ac:dyDescent="0.3">
      <c r="B33" s="4" t="s">
        <v>121</v>
      </c>
      <c r="D33" s="30">
        <v>18</v>
      </c>
      <c r="E33" s="30">
        <v>18</v>
      </c>
      <c r="F33" s="30">
        <v>18</v>
      </c>
      <c r="G33" s="30">
        <v>18</v>
      </c>
      <c r="H33" s="30">
        <v>18</v>
      </c>
    </row>
    <row r="34" spans="2:8" ht="14" customHeight="1" x14ac:dyDescent="0.3">
      <c r="B34" s="4" t="s">
        <v>122</v>
      </c>
      <c r="D34" s="30">
        <v>24</v>
      </c>
      <c r="E34" s="30">
        <v>24</v>
      </c>
      <c r="F34" s="30">
        <v>24</v>
      </c>
      <c r="G34" s="30">
        <v>24</v>
      </c>
      <c r="H34" s="30">
        <v>24</v>
      </c>
    </row>
    <row r="35" spans="2:8" ht="14" customHeight="1" x14ac:dyDescent="0.3">
      <c r="B35" s="4" t="s">
        <v>123</v>
      </c>
      <c r="D35" s="30">
        <v>31</v>
      </c>
      <c r="E35" s="30">
        <v>31</v>
      </c>
      <c r="F35" s="30">
        <v>31</v>
      </c>
      <c r="G35" s="30">
        <v>31</v>
      </c>
      <c r="H35" s="30">
        <v>31</v>
      </c>
    </row>
    <row r="36" spans="2:8" ht="14" customHeight="1" x14ac:dyDescent="0.3">
      <c r="B36" s="4" t="s">
        <v>124</v>
      </c>
      <c r="D36" s="30">
        <v>38</v>
      </c>
      <c r="E36" s="30">
        <v>38</v>
      </c>
      <c r="F36" s="30">
        <v>38</v>
      </c>
      <c r="G36" s="30">
        <v>38</v>
      </c>
      <c r="H36" s="30">
        <v>38</v>
      </c>
    </row>
    <row r="38" spans="2:8" ht="14" customHeight="1" x14ac:dyDescent="0.3">
      <c r="B38" s="3" t="s">
        <v>195</v>
      </c>
    </row>
    <row r="39" spans="2:8" ht="14" customHeight="1" x14ac:dyDescent="0.3">
      <c r="B39" s="4" t="s">
        <v>84</v>
      </c>
      <c r="D39" s="30">
        <v>17</v>
      </c>
      <c r="E39" s="30">
        <v>17</v>
      </c>
      <c r="F39" s="30">
        <v>17</v>
      </c>
      <c r="G39" s="30">
        <v>17</v>
      </c>
      <c r="H39" s="30">
        <v>17</v>
      </c>
    </row>
    <row r="40" spans="2:8" ht="14" customHeight="1" x14ac:dyDescent="0.3">
      <c r="B40" s="4" t="s">
        <v>121</v>
      </c>
      <c r="D40" s="30">
        <v>19</v>
      </c>
      <c r="E40" s="30">
        <v>19</v>
      </c>
      <c r="F40" s="30">
        <v>19</v>
      </c>
      <c r="G40" s="30">
        <v>19</v>
      </c>
      <c r="H40" s="30">
        <v>19</v>
      </c>
    </row>
    <row r="41" spans="2:8" ht="14" customHeight="1" x14ac:dyDescent="0.3">
      <c r="B41" s="4" t="s">
        <v>122</v>
      </c>
      <c r="D41" s="30">
        <v>17</v>
      </c>
      <c r="E41" s="30">
        <v>17</v>
      </c>
      <c r="F41" s="30">
        <v>17</v>
      </c>
      <c r="G41" s="30">
        <v>17</v>
      </c>
      <c r="H41" s="30">
        <v>17</v>
      </c>
    </row>
    <row r="42" spans="2:8" ht="14" customHeight="1" x14ac:dyDescent="0.3">
      <c r="B42" s="4" t="s">
        <v>123</v>
      </c>
      <c r="D42" s="30">
        <v>14</v>
      </c>
      <c r="E42" s="30">
        <v>14</v>
      </c>
      <c r="F42" s="30">
        <v>14</v>
      </c>
      <c r="G42" s="30">
        <v>14</v>
      </c>
      <c r="H42" s="30">
        <v>14</v>
      </c>
    </row>
    <row r="43" spans="2:8" ht="14" customHeight="1" x14ac:dyDescent="0.3">
      <c r="B43" s="4" t="s">
        <v>124</v>
      </c>
      <c r="D43" s="30">
        <v>11</v>
      </c>
      <c r="E43" s="30">
        <v>11</v>
      </c>
      <c r="F43" s="30">
        <v>11</v>
      </c>
      <c r="G43" s="30">
        <v>11</v>
      </c>
      <c r="H43" s="30">
        <v>11</v>
      </c>
    </row>
  </sheetData>
  <phoneticPr fontId="8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6600"/>
  </sheetPr>
  <dimension ref="B2:Q28"/>
  <sheetViews>
    <sheetView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6" width="12" customWidth="1"/>
    <col min="17" max="17" width="26" customWidth="1"/>
  </cols>
  <sheetData>
    <row r="2" spans="2:17" ht="18" customHeight="1" x14ac:dyDescent="0.4">
      <c r="B2" s="2" t="s">
        <v>196</v>
      </c>
    </row>
    <row r="3" spans="2:17" ht="14" customHeight="1" x14ac:dyDescent="0.3">
      <c r="B3" s="1" t="s">
        <v>197</v>
      </c>
    </row>
    <row r="4" spans="2:17" ht="28" customHeight="1" x14ac:dyDescent="0.3">
      <c r="B4" s="10" t="s">
        <v>3</v>
      </c>
      <c r="C4" s="10" t="s">
        <v>5</v>
      </c>
      <c r="D4" s="10" t="s">
        <v>198</v>
      </c>
      <c r="E4" s="10" t="s">
        <v>199</v>
      </c>
      <c r="F4" s="10" t="s">
        <v>200</v>
      </c>
      <c r="G4" s="10" t="s">
        <v>201</v>
      </c>
      <c r="H4" s="10" t="s">
        <v>202</v>
      </c>
      <c r="I4" s="10" t="s">
        <v>203</v>
      </c>
      <c r="J4" s="10" t="s">
        <v>204</v>
      </c>
      <c r="K4" s="10" t="s">
        <v>205</v>
      </c>
      <c r="L4" s="10" t="s">
        <v>206</v>
      </c>
      <c r="M4" s="10" t="s">
        <v>207</v>
      </c>
      <c r="N4" s="10" t="s">
        <v>208</v>
      </c>
      <c r="O4" s="10" t="s">
        <v>209</v>
      </c>
      <c r="P4" s="10" t="s">
        <v>210</v>
      </c>
      <c r="Q4" s="10" t="s">
        <v>211</v>
      </c>
    </row>
    <row r="5" spans="2:17" ht="14" customHeight="1" x14ac:dyDescent="0.3">
      <c r="B5" s="4" t="s">
        <v>212</v>
      </c>
      <c r="C5" t="s">
        <v>213</v>
      </c>
      <c r="D5" s="37">
        <f>'Executive Summary'!C9*C23/1000000</f>
        <v>2013078.3213440001</v>
      </c>
      <c r="E5" s="37">
        <f>D5+C24</f>
        <v>3035645.3213440003</v>
      </c>
      <c r="F5" s="37">
        <v>2834749</v>
      </c>
      <c r="G5" s="37">
        <v>461976</v>
      </c>
      <c r="H5" s="37">
        <v>197677</v>
      </c>
      <c r="I5" s="37">
        <v>226857</v>
      </c>
      <c r="J5" s="38">
        <f t="shared" ref="J5:J10" si="0">IFERROR(E5/G5,"")</f>
        <v>6.5710022194746056</v>
      </c>
      <c r="K5" s="38">
        <f t="shared" ref="K5:K10" si="1">IFERROR(E5/F5,"")</f>
        <v>1.0708691744292</v>
      </c>
      <c r="L5" s="38">
        <f t="shared" ref="L5:L10" si="2">IFERROR(D5/I5,"")</f>
        <v>8.87377652593484</v>
      </c>
      <c r="M5" s="38">
        <f t="shared" ref="M5:M10" si="3">IFERROR(D5/P5,"")</f>
        <v>1.1721171124443368</v>
      </c>
      <c r="N5" s="39">
        <f t="shared" ref="N5:N10" si="4">IFERROR(H5/F5,"")</f>
        <v>6.9733510797605008E-2</v>
      </c>
      <c r="O5" s="39">
        <f t="shared" ref="O5:O10" si="5">IFERROR(I5/P5,"")</f>
        <v>0.13208774291516834</v>
      </c>
      <c r="P5" s="37">
        <v>1717472</v>
      </c>
    </row>
    <row r="6" spans="2:17" ht="14" customHeight="1" x14ac:dyDescent="0.3">
      <c r="B6" s="4" t="s">
        <v>214</v>
      </c>
      <c r="C6" t="s">
        <v>215</v>
      </c>
      <c r="D6" s="37">
        <v>2170383</v>
      </c>
      <c r="E6" s="37">
        <v>2905621</v>
      </c>
      <c r="F6" s="37">
        <v>2030302</v>
      </c>
      <c r="G6" s="37">
        <v>309948</v>
      </c>
      <c r="H6" s="37">
        <v>174810</v>
      </c>
      <c r="I6" s="37">
        <v>152751</v>
      </c>
      <c r="J6" s="38">
        <f t="shared" si="0"/>
        <v>9.3745434718081739</v>
      </c>
      <c r="K6" s="38">
        <f t="shared" si="1"/>
        <v>1.4311274874378295</v>
      </c>
      <c r="L6" s="38">
        <f t="shared" si="2"/>
        <v>14.208633658699451</v>
      </c>
      <c r="M6" s="38">
        <f t="shared" si="3"/>
        <v>1.2017345111575479</v>
      </c>
      <c r="N6" s="39">
        <f t="shared" si="4"/>
        <v>8.6100491453980743E-2</v>
      </c>
      <c r="O6" s="39">
        <f t="shared" si="5"/>
        <v>8.4577767294448297E-2</v>
      </c>
      <c r="P6" s="37">
        <v>1806042</v>
      </c>
    </row>
    <row r="7" spans="2:17" ht="14" customHeight="1" x14ac:dyDescent="0.3">
      <c r="B7" s="4" t="s">
        <v>216</v>
      </c>
      <c r="C7" t="s">
        <v>217</v>
      </c>
      <c r="D7" s="37">
        <v>443637</v>
      </c>
      <c r="E7" s="37">
        <v>554069</v>
      </c>
      <c r="F7" s="37">
        <v>651085</v>
      </c>
      <c r="G7" s="37">
        <v>70155</v>
      </c>
      <c r="H7" s="37">
        <v>31784</v>
      </c>
      <c r="I7" s="37">
        <v>31449</v>
      </c>
      <c r="J7" s="38">
        <f t="shared" si="0"/>
        <v>7.8977834794383863</v>
      </c>
      <c r="K7" s="38">
        <f t="shared" si="1"/>
        <v>0.85099334188316422</v>
      </c>
      <c r="L7" s="38">
        <f t="shared" si="2"/>
        <v>14.10655346751884</v>
      </c>
      <c r="M7" s="38">
        <f t="shared" si="3"/>
        <v>0.92904770081965493</v>
      </c>
      <c r="N7" s="39">
        <f t="shared" si="4"/>
        <v>4.8816974742161165E-2</v>
      </c>
      <c r="O7" s="39">
        <f t="shared" si="5"/>
        <v>6.5859297450567303E-2</v>
      </c>
      <c r="P7" s="37">
        <v>477518</v>
      </c>
    </row>
    <row r="8" spans="2:17" ht="14" customHeight="1" x14ac:dyDescent="0.3">
      <c r="B8" s="4" t="s">
        <v>218</v>
      </c>
      <c r="C8" t="s">
        <v>219</v>
      </c>
      <c r="D8" s="37">
        <v>90087</v>
      </c>
      <c r="E8" s="37">
        <v>314295</v>
      </c>
      <c r="F8" s="37">
        <v>261823</v>
      </c>
      <c r="G8" s="37">
        <v>28151</v>
      </c>
      <c r="H8" s="37">
        <v>12464</v>
      </c>
      <c r="I8" s="37">
        <v>7147</v>
      </c>
      <c r="J8" s="38">
        <f t="shared" si="0"/>
        <v>11.164612269546375</v>
      </c>
      <c r="K8" s="38">
        <f t="shared" si="1"/>
        <v>1.2004102007844994</v>
      </c>
      <c r="L8" s="38">
        <f t="shared" si="2"/>
        <v>12.60486917587799</v>
      </c>
      <c r="M8" s="38">
        <f t="shared" si="3"/>
        <v>0.78172020617483207</v>
      </c>
      <c r="N8" s="39">
        <f t="shared" si="4"/>
        <v>4.7604679497217584E-2</v>
      </c>
      <c r="O8" s="39">
        <f t="shared" si="5"/>
        <v>6.2017320074278473E-2</v>
      </c>
      <c r="P8" s="37">
        <v>115242</v>
      </c>
    </row>
    <row r="9" spans="2:17" ht="14" customHeight="1" x14ac:dyDescent="0.3">
      <c r="B9" s="4" t="s">
        <v>220</v>
      </c>
      <c r="C9" t="s">
        <v>221</v>
      </c>
      <c r="D9" s="37">
        <v>2210282</v>
      </c>
      <c r="E9" s="37">
        <v>4808549</v>
      </c>
      <c r="F9" s="37">
        <v>3546041</v>
      </c>
      <c r="G9" s="37">
        <v>402347</v>
      </c>
      <c r="H9" s="37">
        <v>230043</v>
      </c>
      <c r="I9" s="37">
        <v>227795</v>
      </c>
      <c r="J9" s="38">
        <f t="shared" si="0"/>
        <v>11.951248549137933</v>
      </c>
      <c r="K9" s="38">
        <f t="shared" si="1"/>
        <v>1.356033108472237</v>
      </c>
      <c r="L9" s="38">
        <f t="shared" si="2"/>
        <v>9.7029434359841087</v>
      </c>
      <c r="M9" s="38">
        <f t="shared" si="3"/>
        <v>0.70430264452613167</v>
      </c>
      <c r="N9" s="39">
        <f t="shared" si="4"/>
        <v>6.4873192385536432E-2</v>
      </c>
      <c r="O9" s="39">
        <f t="shared" si="5"/>
        <v>7.2586493899796573E-2</v>
      </c>
      <c r="P9" s="37">
        <v>3138256</v>
      </c>
    </row>
    <row r="10" spans="2:17" ht="14" customHeight="1" x14ac:dyDescent="0.3">
      <c r="B10" s="4" t="s">
        <v>222</v>
      </c>
      <c r="C10" t="s">
        <v>223</v>
      </c>
      <c r="D10" s="37">
        <v>3283125</v>
      </c>
      <c r="E10" s="37">
        <v>6220549</v>
      </c>
      <c r="F10" s="37">
        <v>4056637</v>
      </c>
      <c r="G10" s="37">
        <v>812350</v>
      </c>
      <c r="H10" s="37">
        <v>437557</v>
      </c>
      <c r="I10" s="37">
        <v>380051</v>
      </c>
      <c r="J10" s="38">
        <f t="shared" si="0"/>
        <v>7.6574739951991138</v>
      </c>
      <c r="K10" s="38">
        <f t="shared" si="1"/>
        <v>1.5334251006437105</v>
      </c>
      <c r="L10" s="38">
        <f t="shared" si="2"/>
        <v>8.6386432347237605</v>
      </c>
      <c r="M10" s="38">
        <f t="shared" si="3"/>
        <v>0.95020650214027091</v>
      </c>
      <c r="N10" s="39">
        <f t="shared" si="4"/>
        <v>0.10786200490702028</v>
      </c>
      <c r="O10" s="39">
        <f t="shared" si="5"/>
        <v>0.1099948772419302</v>
      </c>
      <c r="P10" s="37">
        <v>3455170</v>
      </c>
    </row>
    <row r="14" spans="2:17" ht="14" customHeight="1" x14ac:dyDescent="0.3">
      <c r="B14" s="3" t="s">
        <v>224</v>
      </c>
    </row>
    <row r="15" spans="2:17" ht="14" customHeight="1" x14ac:dyDescent="0.3">
      <c r="B15" s="4" t="s">
        <v>225</v>
      </c>
      <c r="D15" s="38">
        <f t="shared" ref="D15:I15" si="6">PERCENTILE(J6:J10,0.25)</f>
        <v>7.8977834794383863</v>
      </c>
      <c r="E15" s="38">
        <f t="shared" si="6"/>
        <v>1.2004102007844994</v>
      </c>
      <c r="F15" s="38">
        <f t="shared" si="6"/>
        <v>9.7029434359841087</v>
      </c>
      <c r="G15" s="38">
        <f t="shared" si="6"/>
        <v>0.78172020617483207</v>
      </c>
      <c r="H15" s="39">
        <f t="shared" si="6"/>
        <v>4.8816974742161165E-2</v>
      </c>
      <c r="I15" s="39">
        <f t="shared" si="6"/>
        <v>6.5859297450567303E-2</v>
      </c>
    </row>
    <row r="16" spans="2:17" ht="14" customHeight="1" x14ac:dyDescent="0.3">
      <c r="B16" s="4" t="s">
        <v>226</v>
      </c>
      <c r="D16" s="38">
        <f t="shared" ref="D16:I16" si="7">MEDIAN(J6:J10)</f>
        <v>9.3745434718081739</v>
      </c>
      <c r="E16" s="38">
        <f t="shared" si="7"/>
        <v>1.356033108472237</v>
      </c>
      <c r="F16" s="38">
        <f t="shared" si="7"/>
        <v>12.60486917587799</v>
      </c>
      <c r="G16" s="38">
        <f t="shared" si="7"/>
        <v>0.92904770081965493</v>
      </c>
      <c r="H16" s="39">
        <f t="shared" si="7"/>
        <v>6.4873192385536432E-2</v>
      </c>
      <c r="I16" s="39">
        <f t="shared" si="7"/>
        <v>7.2586493899796573E-2</v>
      </c>
    </row>
    <row r="17" spans="2:9" ht="14" customHeight="1" x14ac:dyDescent="0.3">
      <c r="B17" s="4" t="s">
        <v>227</v>
      </c>
      <c r="D17" s="38">
        <f t="shared" ref="D17:I17" si="8">PERCENTILE(J6:J10,0.75)</f>
        <v>11.164612269546375</v>
      </c>
      <c r="E17" s="38">
        <f t="shared" si="8"/>
        <v>1.4311274874378295</v>
      </c>
      <c r="F17" s="38">
        <f t="shared" si="8"/>
        <v>14.10655346751884</v>
      </c>
      <c r="G17" s="38">
        <f t="shared" si="8"/>
        <v>0.95020650214027091</v>
      </c>
      <c r="H17" s="39">
        <f t="shared" si="8"/>
        <v>8.6100491453980743E-2</v>
      </c>
      <c r="I17" s="39">
        <f t="shared" si="8"/>
        <v>8.4577767294448297E-2</v>
      </c>
    </row>
    <row r="19" spans="2:9" ht="14" customHeight="1" x14ac:dyDescent="0.3">
      <c r="B19" s="22" t="s">
        <v>228</v>
      </c>
      <c r="C19" s="23"/>
      <c r="D19" s="23"/>
      <c r="E19" s="23"/>
      <c r="F19" s="23"/>
      <c r="G19" s="23"/>
      <c r="H19" s="23"/>
      <c r="I19" s="23"/>
    </row>
    <row r="20" spans="2:9" ht="14" customHeight="1" x14ac:dyDescent="0.3">
      <c r="B20" s="3" t="s">
        <v>229</v>
      </c>
    </row>
    <row r="21" spans="2:9" ht="14" customHeight="1" x14ac:dyDescent="0.3">
      <c r="B21" s="4" t="s">
        <v>230</v>
      </c>
      <c r="C21" s="5">
        <v>461976</v>
      </c>
    </row>
    <row r="22" spans="2:9" ht="14" customHeight="1" x14ac:dyDescent="0.3">
      <c r="B22" s="4" t="s">
        <v>231</v>
      </c>
      <c r="C22" s="5">
        <v>226857</v>
      </c>
    </row>
    <row r="23" spans="2:9" ht="14" customHeight="1" x14ac:dyDescent="0.3">
      <c r="B23" s="4" t="s">
        <v>232</v>
      </c>
      <c r="C23" s="15">
        <v>328504948</v>
      </c>
    </row>
    <row r="24" spans="2:9" ht="14" customHeight="1" x14ac:dyDescent="0.3">
      <c r="B24" s="4" t="s">
        <v>73</v>
      </c>
      <c r="C24" s="5">
        <v>1022567</v>
      </c>
    </row>
    <row r="26" spans="2:9" ht="14" customHeight="1" x14ac:dyDescent="0.3">
      <c r="B26" s="3" t="s">
        <v>233</v>
      </c>
    </row>
    <row r="27" spans="2:9" ht="14" customHeight="1" x14ac:dyDescent="0.3">
      <c r="B27" s="4" t="s">
        <v>234</v>
      </c>
      <c r="C27" s="24">
        <f>ROUND((C21*D16-C24)*1000000/C23,0)</f>
        <v>10071</v>
      </c>
    </row>
    <row r="28" spans="2:9" ht="14" customHeight="1" x14ac:dyDescent="0.3">
      <c r="B28" s="4" t="s">
        <v>235</v>
      </c>
      <c r="C28" s="24">
        <f>ROUND(C22*F16*1000000/C23,0)</f>
        <v>8705</v>
      </c>
    </row>
  </sheetData>
  <phoneticPr fontId="8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96600"/>
  </sheetPr>
  <dimension ref="B2:I26"/>
  <sheetViews>
    <sheetView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customHeight="1" x14ac:dyDescent="0.4">
      <c r="B2" s="2" t="s">
        <v>236</v>
      </c>
    </row>
    <row r="3" spans="2:9" ht="14" customHeight="1" x14ac:dyDescent="0.3">
      <c r="B3" s="4" t="s">
        <v>237</v>
      </c>
      <c r="C3" s="16">
        <f>'DCF Model'!C26</f>
        <v>5.6298143236074266E-2</v>
      </c>
      <c r="E3" s="4" t="s">
        <v>238</v>
      </c>
      <c r="F3" s="16">
        <f>'DCF Model'!C13</f>
        <v>0.01</v>
      </c>
      <c r="H3" s="4" t="s">
        <v>239</v>
      </c>
      <c r="I3" s="14">
        <f>'DCF Model'!C14</f>
        <v>9.4</v>
      </c>
    </row>
    <row r="5" spans="2:9" ht="14" customHeight="1" x14ac:dyDescent="0.3">
      <c r="B5" s="3" t="s">
        <v>240</v>
      </c>
    </row>
    <row r="6" spans="2:9" ht="14" customHeight="1" x14ac:dyDescent="0.3">
      <c r="B6" s="40" t="s">
        <v>241</v>
      </c>
      <c r="C6" s="41">
        <f>$F$3-0.0075</f>
        <v>2.5000000000000005E-3</v>
      </c>
      <c r="D6" s="41">
        <f>$F$3-0.005</f>
        <v>5.0000000000000001E-3</v>
      </c>
      <c r="E6" s="41">
        <f>$F$3-0.0025</f>
        <v>7.4999999999999997E-3</v>
      </c>
      <c r="F6" s="41">
        <f>$F$3</f>
        <v>0.01</v>
      </c>
      <c r="G6" s="41">
        <f>$F$3+0.0025</f>
        <v>1.2500000000000001E-2</v>
      </c>
      <c r="H6" s="41">
        <f>$F$3+0.005</f>
        <v>1.4999999999999999E-2</v>
      </c>
      <c r="I6" s="41">
        <f>$F$3+0.0075</f>
        <v>1.7500000000000002E-2</v>
      </c>
    </row>
    <row r="7" spans="2:9" ht="13.5" customHeight="1" x14ac:dyDescent="0.25">
      <c r="B7" s="39">
        <f>$C$3-0.015</f>
        <v>4.1298143236074267E-2</v>
      </c>
      <c r="C7" s="37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8516</v>
      </c>
      <c r="D7" s="37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9221</v>
      </c>
      <c r="E7" s="37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10030</v>
      </c>
      <c r="F7" s="37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10969</v>
      </c>
      <c r="G7" s="37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12071</v>
      </c>
      <c r="H7" s="37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13382</v>
      </c>
      <c r="I7" s="37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14968</v>
      </c>
    </row>
    <row r="8" spans="2:9" ht="13.5" customHeight="1" x14ac:dyDescent="0.25">
      <c r="B8" s="39">
        <f>$C$3-0.01</f>
        <v>4.6298143236074264E-2</v>
      </c>
      <c r="C8" s="37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7158</v>
      </c>
      <c r="D8" s="37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7697</v>
      </c>
      <c r="E8" s="37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8305</v>
      </c>
      <c r="F8" s="37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8996</v>
      </c>
      <c r="G8" s="37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9790</v>
      </c>
      <c r="H8" s="37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10711</v>
      </c>
      <c r="I8" s="37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11792</v>
      </c>
    </row>
    <row r="9" spans="2:9" ht="13.5" customHeight="1" x14ac:dyDescent="0.25">
      <c r="B9" s="39">
        <f>$C$3-0.005</f>
        <v>5.1298143236074269E-2</v>
      </c>
      <c r="C9" s="37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6079</v>
      </c>
      <c r="D9" s="37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6502</v>
      </c>
      <c r="E9" s="37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6974</v>
      </c>
      <c r="F9" s="37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7502</v>
      </c>
      <c r="G9" s="37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8098</v>
      </c>
      <c r="H9" s="37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8777</v>
      </c>
      <c r="I9" s="37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9556</v>
      </c>
    </row>
    <row r="10" spans="2:9" ht="13.5" customHeight="1" x14ac:dyDescent="0.25">
      <c r="B10" s="39">
        <f>$C$3</f>
        <v>5.6298143236074266E-2</v>
      </c>
      <c r="C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5201</v>
      </c>
      <c r="D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5541</v>
      </c>
      <c r="E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5916</v>
      </c>
      <c r="F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6331</v>
      </c>
      <c r="G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6793</v>
      </c>
      <c r="H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7311</v>
      </c>
      <c r="I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7897</v>
      </c>
    </row>
    <row r="11" spans="2:9" ht="13.5" customHeight="1" x14ac:dyDescent="0.25">
      <c r="B11" s="39">
        <f>$C$3+0.005</f>
        <v>6.1298143236074264E-2</v>
      </c>
      <c r="C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4473</v>
      </c>
      <c r="D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4751</v>
      </c>
      <c r="E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5055</v>
      </c>
      <c r="F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5388</v>
      </c>
      <c r="G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5756</v>
      </c>
      <c r="H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6163</v>
      </c>
      <c r="I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6617</v>
      </c>
    </row>
    <row r="12" spans="2:9" ht="13.5" customHeight="1" x14ac:dyDescent="0.25">
      <c r="B12" s="39">
        <f>$C$3+0.01</f>
        <v>6.6298143236074261E-2</v>
      </c>
      <c r="C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3859</v>
      </c>
      <c r="D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4090</v>
      </c>
      <c r="E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4341</v>
      </c>
      <c r="F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4613</v>
      </c>
      <c r="G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4912</v>
      </c>
      <c r="H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5239</v>
      </c>
      <c r="I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5600</v>
      </c>
    </row>
    <row r="13" spans="2:9" ht="13.5" customHeight="1" x14ac:dyDescent="0.25">
      <c r="B13" s="39">
        <f>$C$3+0.015</f>
        <v>7.1298143236074266E-2</v>
      </c>
      <c r="C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3335</v>
      </c>
      <c r="D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3529</v>
      </c>
      <c r="E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3739</v>
      </c>
      <c r="F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3965</v>
      </c>
      <c r="G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4211</v>
      </c>
      <c r="H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4479</v>
      </c>
      <c r="I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4772</v>
      </c>
    </row>
    <row r="16" spans="2:9" ht="14" customHeight="1" x14ac:dyDescent="0.3">
      <c r="B16" s="3" t="s">
        <v>242</v>
      </c>
    </row>
    <row r="17" spans="2:9" ht="14" customHeight="1" x14ac:dyDescent="0.3">
      <c r="B17" s="40" t="s">
        <v>243</v>
      </c>
      <c r="C17" s="42">
        <f>$I$3-3</f>
        <v>6.4</v>
      </c>
      <c r="D17" s="42">
        <f>$I$3-2</f>
        <v>7.4</v>
      </c>
      <c r="E17" s="42">
        <f>$I$3-1</f>
        <v>8.4</v>
      </c>
      <c r="F17" s="42">
        <f>$I$3</f>
        <v>9.4</v>
      </c>
      <c r="G17" s="42">
        <f>$I$3+1</f>
        <v>10.4</v>
      </c>
      <c r="H17" s="42">
        <f>$I$3+2</f>
        <v>11.4</v>
      </c>
      <c r="I17" s="42">
        <f>$I$3+3</f>
        <v>12.4</v>
      </c>
    </row>
    <row r="18" spans="2:9" ht="13.5" customHeight="1" x14ac:dyDescent="0.25">
      <c r="B18" s="39">
        <f>$C$3-0.015</f>
        <v>4.1298143236074267E-2</v>
      </c>
      <c r="C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6986</v>
      </c>
      <c r="D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8287</v>
      </c>
      <c r="E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9587</v>
      </c>
      <c r="F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10888</v>
      </c>
      <c r="G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12189</v>
      </c>
      <c r="H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13490</v>
      </c>
      <c r="I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14790</v>
      </c>
    </row>
    <row r="19" spans="2:9" ht="13.5" customHeight="1" x14ac:dyDescent="0.25">
      <c r="B19" s="39">
        <f>$C$3-0.01</f>
        <v>4.6298143236074264E-2</v>
      </c>
      <c r="C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6763</v>
      </c>
      <c r="D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8033</v>
      </c>
      <c r="E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9303</v>
      </c>
      <c r="F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10573</v>
      </c>
      <c r="G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11843</v>
      </c>
      <c r="H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13113</v>
      </c>
      <c r="I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14383</v>
      </c>
    </row>
    <row r="20" spans="2:9" ht="13.5" customHeight="1" x14ac:dyDescent="0.25">
      <c r="B20" s="39">
        <f>$C$3-0.005</f>
        <v>5.1298143236074269E-2</v>
      </c>
      <c r="C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6546</v>
      </c>
      <c r="D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7786</v>
      </c>
      <c r="E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9026</v>
      </c>
      <c r="F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10266</v>
      </c>
      <c r="G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11506</v>
      </c>
      <c r="H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12746</v>
      </c>
      <c r="I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13986</v>
      </c>
    </row>
    <row r="21" spans="2:9" ht="13.5" customHeight="1" x14ac:dyDescent="0.25">
      <c r="B21" s="39">
        <f>$C$3</f>
        <v>5.6298143236074266E-2</v>
      </c>
      <c r="C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6335</v>
      </c>
      <c r="D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7546</v>
      </c>
      <c r="E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8757</v>
      </c>
      <c r="F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9968</v>
      </c>
      <c r="G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11179</v>
      </c>
      <c r="H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12390</v>
      </c>
      <c r="I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13601</v>
      </c>
    </row>
    <row r="22" spans="2:9" ht="13.5" customHeight="1" x14ac:dyDescent="0.25">
      <c r="B22" s="39">
        <f>$C$3+0.005</f>
        <v>6.1298143236074264E-2</v>
      </c>
      <c r="C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6130</v>
      </c>
      <c r="D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7312</v>
      </c>
      <c r="E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8495</v>
      </c>
      <c r="F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9678</v>
      </c>
      <c r="G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10861</v>
      </c>
      <c r="H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12043</v>
      </c>
      <c r="I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13226</v>
      </c>
    </row>
    <row r="23" spans="2:9" ht="13.5" customHeight="1" x14ac:dyDescent="0.25">
      <c r="B23" s="39">
        <f>$C$3+0.01</f>
        <v>6.6298143236074261E-2</v>
      </c>
      <c r="C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5930</v>
      </c>
      <c r="D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7085</v>
      </c>
      <c r="E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8241</v>
      </c>
      <c r="F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9396</v>
      </c>
      <c r="G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10551</v>
      </c>
      <c r="H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11706</v>
      </c>
      <c r="I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12862</v>
      </c>
    </row>
    <row r="24" spans="2:9" ht="13.5" customHeight="1" x14ac:dyDescent="0.25">
      <c r="B24" s="39">
        <f>$C$3+0.015</f>
        <v>7.1298143236074266E-2</v>
      </c>
      <c r="C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5736</v>
      </c>
      <c r="D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6864</v>
      </c>
      <c r="E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7993</v>
      </c>
      <c r="F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9121</v>
      </c>
      <c r="G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10250</v>
      </c>
      <c r="H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11379</v>
      </c>
      <c r="I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12507</v>
      </c>
    </row>
    <row r="26" spans="2:9" ht="14" customHeight="1" x14ac:dyDescent="0.3">
      <c r="B26" s="46" t="s">
        <v>244</v>
      </c>
      <c r="C26" s="45"/>
      <c r="D26" s="45"/>
      <c r="E26" s="45"/>
      <c r="F26" s="45"/>
      <c r="G26" s="45"/>
      <c r="H26" s="45"/>
      <c r="I26" s="45"/>
    </row>
  </sheetData>
  <mergeCells count="1">
    <mergeCell ref="B26:I26"/>
  </mergeCells>
  <phoneticPr fontId="8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08080"/>
  </sheetPr>
  <dimension ref="B2:G63"/>
  <sheetViews>
    <sheetView workbookViewId="0"/>
  </sheetViews>
  <sheetFormatPr defaultRowHeight="13" x14ac:dyDescent="0.2"/>
  <cols>
    <col min="1" max="1" width="3" customWidth="1"/>
    <col min="2" max="2" width="14" customWidth="1"/>
    <col min="3" max="3" width="16" customWidth="1"/>
    <col min="4" max="5" width="46" customWidth="1"/>
    <col min="6" max="6" width="20" customWidth="1"/>
    <col min="7" max="7" width="12" customWidth="1"/>
  </cols>
  <sheetData>
    <row r="2" spans="2:7" ht="18" customHeight="1" x14ac:dyDescent="0.4">
      <c r="B2" s="2" t="s">
        <v>245</v>
      </c>
    </row>
    <row r="4" spans="2:7" ht="14" customHeight="1" x14ac:dyDescent="0.3">
      <c r="B4" s="10" t="s">
        <v>246</v>
      </c>
      <c r="C4" s="10" t="s">
        <v>247</v>
      </c>
      <c r="D4" s="10" t="s">
        <v>248</v>
      </c>
      <c r="E4" s="10" t="s">
        <v>249</v>
      </c>
      <c r="F4" s="10" t="s">
        <v>250</v>
      </c>
      <c r="G4" s="10" t="s">
        <v>251</v>
      </c>
    </row>
    <row r="5" spans="2:7" x14ac:dyDescent="0.2">
      <c r="B5" t="s">
        <v>252</v>
      </c>
      <c r="C5" t="s">
        <v>253</v>
      </c>
      <c r="D5" t="s">
        <v>254</v>
      </c>
      <c r="E5" t="s">
        <v>255</v>
      </c>
      <c r="F5" t="s">
        <v>253</v>
      </c>
      <c r="G5" t="s">
        <v>256</v>
      </c>
    </row>
    <row r="6" spans="2:7" ht="30" customHeight="1" x14ac:dyDescent="0.3">
      <c r="B6" s="43" t="s">
        <v>257</v>
      </c>
      <c r="C6" s="4" t="s">
        <v>258</v>
      </c>
      <c r="D6" s="43" t="s">
        <v>259</v>
      </c>
      <c r="E6" s="43" t="s">
        <v>260</v>
      </c>
      <c r="F6" s="43" t="s">
        <v>261</v>
      </c>
      <c r="G6" s="43" t="s">
        <v>262</v>
      </c>
    </row>
    <row r="7" spans="2:7" ht="30" customHeight="1" x14ac:dyDescent="0.3">
      <c r="B7" s="43" t="s">
        <v>257</v>
      </c>
      <c r="C7" s="4" t="s">
        <v>263</v>
      </c>
      <c r="D7" s="43" t="s">
        <v>264</v>
      </c>
      <c r="E7" s="43" t="s">
        <v>265</v>
      </c>
      <c r="F7" s="43" t="s">
        <v>266</v>
      </c>
      <c r="G7" s="43" t="s">
        <v>267</v>
      </c>
    </row>
    <row r="8" spans="2:7" ht="30" customHeight="1" x14ac:dyDescent="0.3">
      <c r="B8" s="43" t="s">
        <v>257</v>
      </c>
      <c r="C8" s="4" t="s">
        <v>268</v>
      </c>
      <c r="D8" s="43" t="s">
        <v>269</v>
      </c>
      <c r="E8" s="43" t="s">
        <v>270</v>
      </c>
      <c r="F8" s="43" t="s">
        <v>271</v>
      </c>
      <c r="G8" s="43" t="s">
        <v>267</v>
      </c>
    </row>
    <row r="9" spans="2:7" ht="30" customHeight="1" x14ac:dyDescent="0.3">
      <c r="B9" s="43" t="s">
        <v>257</v>
      </c>
      <c r="C9" s="4" t="s">
        <v>272</v>
      </c>
      <c r="D9" s="43" t="s">
        <v>273</v>
      </c>
      <c r="E9" s="43" t="s">
        <v>274</v>
      </c>
      <c r="F9" s="43" t="s">
        <v>275</v>
      </c>
      <c r="G9" s="43" t="s">
        <v>276</v>
      </c>
    </row>
    <row r="10" spans="2:7" ht="30" customHeight="1" x14ac:dyDescent="0.3">
      <c r="B10" s="43" t="s">
        <v>257</v>
      </c>
      <c r="C10" s="4" t="s">
        <v>277</v>
      </c>
      <c r="D10" s="43" t="s">
        <v>278</v>
      </c>
      <c r="E10" s="43" t="s">
        <v>279</v>
      </c>
      <c r="F10" s="43" t="s">
        <v>280</v>
      </c>
      <c r="G10" s="43" t="s">
        <v>281</v>
      </c>
    </row>
    <row r="11" spans="2:7" ht="30" customHeight="1" x14ac:dyDescent="0.3">
      <c r="B11" s="43" t="s">
        <v>257</v>
      </c>
      <c r="C11" s="4" t="s">
        <v>282</v>
      </c>
      <c r="D11" s="43" t="s">
        <v>283</v>
      </c>
      <c r="E11" s="43" t="s">
        <v>284</v>
      </c>
      <c r="F11" s="43" t="s">
        <v>285</v>
      </c>
      <c r="G11" s="43" t="s">
        <v>286</v>
      </c>
    </row>
    <row r="12" spans="2:7" ht="30" customHeight="1" x14ac:dyDescent="0.3">
      <c r="B12" s="43" t="s">
        <v>257</v>
      </c>
      <c r="C12" s="4" t="s">
        <v>287</v>
      </c>
      <c r="D12" s="43" t="s">
        <v>288</v>
      </c>
      <c r="E12" s="43" t="s">
        <v>289</v>
      </c>
      <c r="F12" s="43" t="s">
        <v>290</v>
      </c>
      <c r="G12" s="43" t="s">
        <v>267</v>
      </c>
    </row>
    <row r="13" spans="2:7" ht="30" customHeight="1" x14ac:dyDescent="0.3">
      <c r="B13" s="43" t="s">
        <v>257</v>
      </c>
      <c r="C13" s="4" t="s">
        <v>291</v>
      </c>
      <c r="D13" s="43" t="s">
        <v>292</v>
      </c>
      <c r="E13" s="43" t="s">
        <v>293</v>
      </c>
      <c r="F13" s="43" t="s">
        <v>294</v>
      </c>
      <c r="G13" s="43" t="s">
        <v>267</v>
      </c>
    </row>
    <row r="14" spans="2:7" ht="30" customHeight="1" x14ac:dyDescent="0.3">
      <c r="B14" s="43" t="s">
        <v>257</v>
      </c>
      <c r="C14" s="4" t="s">
        <v>295</v>
      </c>
      <c r="D14" s="43" t="s">
        <v>296</v>
      </c>
      <c r="E14" s="43" t="s">
        <v>297</v>
      </c>
      <c r="F14" s="43" t="s">
        <v>253</v>
      </c>
      <c r="G14" s="43" t="s">
        <v>267</v>
      </c>
    </row>
    <row r="15" spans="2:7" ht="30" customHeight="1" x14ac:dyDescent="0.3">
      <c r="B15" s="43" t="s">
        <v>257</v>
      </c>
      <c r="C15" s="4" t="s">
        <v>298</v>
      </c>
      <c r="D15" s="43" t="s">
        <v>299</v>
      </c>
      <c r="E15" s="43" t="s">
        <v>300</v>
      </c>
      <c r="F15" s="43" t="s">
        <v>301</v>
      </c>
      <c r="G15" s="43" t="s">
        <v>267</v>
      </c>
    </row>
    <row r="16" spans="2:7" ht="30" customHeight="1" x14ac:dyDescent="0.3">
      <c r="B16" s="43" t="s">
        <v>257</v>
      </c>
      <c r="C16" s="4" t="s">
        <v>302</v>
      </c>
      <c r="D16" s="43" t="s">
        <v>303</v>
      </c>
      <c r="E16" s="43" t="s">
        <v>304</v>
      </c>
      <c r="F16" s="43" t="s">
        <v>253</v>
      </c>
      <c r="G16" s="43" t="s">
        <v>305</v>
      </c>
    </row>
    <row r="17" spans="2:7" ht="30" customHeight="1" x14ac:dyDescent="0.3">
      <c r="B17" s="43" t="s">
        <v>257</v>
      </c>
      <c r="C17" s="4" t="s">
        <v>306</v>
      </c>
      <c r="D17" s="43" t="s">
        <v>307</v>
      </c>
      <c r="E17" s="43" t="s">
        <v>308</v>
      </c>
      <c r="F17" s="43" t="s">
        <v>271</v>
      </c>
      <c r="G17" s="43" t="s">
        <v>267</v>
      </c>
    </row>
    <row r="18" spans="2:7" ht="30" customHeight="1" x14ac:dyDescent="0.3">
      <c r="B18" s="43" t="s">
        <v>257</v>
      </c>
      <c r="C18" s="4" t="s">
        <v>309</v>
      </c>
      <c r="D18" s="43" t="s">
        <v>310</v>
      </c>
      <c r="E18" s="43" t="s">
        <v>311</v>
      </c>
      <c r="F18" s="43" t="s">
        <v>253</v>
      </c>
      <c r="G18" s="43" t="s">
        <v>267</v>
      </c>
    </row>
    <row r="19" spans="2:7" ht="30" customHeight="1" x14ac:dyDescent="0.3">
      <c r="B19" s="43" t="s">
        <v>257</v>
      </c>
      <c r="C19" s="4" t="s">
        <v>312</v>
      </c>
      <c r="D19" s="43" t="s">
        <v>313</v>
      </c>
      <c r="E19" s="43" t="s">
        <v>314</v>
      </c>
      <c r="F19" s="43" t="s">
        <v>253</v>
      </c>
      <c r="G19" s="43" t="s">
        <v>262</v>
      </c>
    </row>
    <row r="20" spans="2:7" ht="30" customHeight="1" x14ac:dyDescent="0.3">
      <c r="B20" s="43" t="s">
        <v>257</v>
      </c>
      <c r="C20" s="4" t="s">
        <v>315</v>
      </c>
      <c r="D20" s="43" t="s">
        <v>316</v>
      </c>
      <c r="E20" s="43" t="s">
        <v>317</v>
      </c>
      <c r="F20" s="43" t="s">
        <v>253</v>
      </c>
      <c r="G20" s="43" t="s">
        <v>318</v>
      </c>
    </row>
    <row r="21" spans="2:7" ht="30" customHeight="1" x14ac:dyDescent="0.3">
      <c r="B21" s="43" t="s">
        <v>257</v>
      </c>
      <c r="C21" s="4" t="s">
        <v>319</v>
      </c>
      <c r="D21" s="43" t="s">
        <v>320</v>
      </c>
      <c r="E21" s="43" t="s">
        <v>321</v>
      </c>
      <c r="F21" s="43" t="s">
        <v>253</v>
      </c>
      <c r="G21" s="43" t="s">
        <v>322</v>
      </c>
    </row>
    <row r="22" spans="2:7" ht="30" customHeight="1" x14ac:dyDescent="0.3">
      <c r="B22" s="43" t="s">
        <v>257</v>
      </c>
      <c r="C22" s="4" t="s">
        <v>319</v>
      </c>
      <c r="D22" s="43" t="s">
        <v>323</v>
      </c>
      <c r="E22" s="43" t="s">
        <v>324</v>
      </c>
      <c r="F22" s="43" t="s">
        <v>253</v>
      </c>
      <c r="G22" s="43" t="s">
        <v>322</v>
      </c>
    </row>
    <row r="23" spans="2:7" ht="30" customHeight="1" x14ac:dyDescent="0.3">
      <c r="B23" s="43" t="s">
        <v>257</v>
      </c>
      <c r="C23" s="4" t="s">
        <v>319</v>
      </c>
      <c r="D23" s="43" t="s">
        <v>325</v>
      </c>
      <c r="E23" s="43" t="s">
        <v>326</v>
      </c>
      <c r="F23" s="43" t="s">
        <v>253</v>
      </c>
      <c r="G23" s="43" t="s">
        <v>322</v>
      </c>
    </row>
    <row r="24" spans="2:7" ht="14" customHeight="1" x14ac:dyDescent="0.2"/>
    <row r="25" spans="2:7" ht="14" customHeight="1" x14ac:dyDescent="0.3">
      <c r="B25" s="8" t="s">
        <v>327</v>
      </c>
    </row>
    <row r="26" spans="2:7" ht="14" customHeight="1" x14ac:dyDescent="0.3">
      <c r="B26" s="10" t="s">
        <v>328</v>
      </c>
      <c r="C26" s="10" t="s">
        <v>329</v>
      </c>
    </row>
    <row r="27" spans="2:7" ht="14" customHeight="1" x14ac:dyDescent="0.3">
      <c r="B27" s="4" t="s">
        <v>330</v>
      </c>
      <c r="C27" t="s">
        <v>331</v>
      </c>
    </row>
    <row r="28" spans="2:7" ht="14" customHeight="1" x14ac:dyDescent="0.3">
      <c r="B28" s="4" t="s">
        <v>332</v>
      </c>
      <c r="C28" t="s">
        <v>333</v>
      </c>
    </row>
    <row r="29" spans="2:7" ht="14" customHeight="1" x14ac:dyDescent="0.3">
      <c r="B29" s="4" t="s">
        <v>334</v>
      </c>
      <c r="C29" t="s">
        <v>335</v>
      </c>
    </row>
    <row r="30" spans="2:7" ht="14" customHeight="1" x14ac:dyDescent="0.3">
      <c r="B30" s="4" t="s">
        <v>336</v>
      </c>
      <c r="C30" t="s">
        <v>337</v>
      </c>
    </row>
    <row r="31" spans="2:7" ht="14" customHeight="1" x14ac:dyDescent="0.3">
      <c r="B31" s="4" t="s">
        <v>338</v>
      </c>
      <c r="C31" t="s">
        <v>4</v>
      </c>
    </row>
    <row r="32" spans="2:7" ht="14" customHeight="1" x14ac:dyDescent="0.3">
      <c r="B32" s="4" t="s">
        <v>339</v>
      </c>
      <c r="C32" t="s">
        <v>252</v>
      </c>
    </row>
    <row r="33" spans="2:3" ht="14" customHeight="1" x14ac:dyDescent="0.3">
      <c r="B33" s="4" t="s">
        <v>340</v>
      </c>
      <c r="C33" t="s">
        <v>341</v>
      </c>
    </row>
    <row r="34" spans="2:3" ht="14" customHeight="1" x14ac:dyDescent="0.3">
      <c r="B34" s="4" t="s">
        <v>342</v>
      </c>
      <c r="C34" t="s">
        <v>343</v>
      </c>
    </row>
    <row r="35" spans="2:3" ht="14" customHeight="1" x14ac:dyDescent="0.3">
      <c r="B35" s="4" t="s">
        <v>344</v>
      </c>
      <c r="C35" t="s">
        <v>345</v>
      </c>
    </row>
    <row r="36" spans="2:3" ht="14" customHeight="1" x14ac:dyDescent="0.3">
      <c r="B36" s="4" t="s">
        <v>346</v>
      </c>
      <c r="C36" t="s">
        <v>347</v>
      </c>
    </row>
    <row r="37" spans="2:3" ht="14" customHeight="1" x14ac:dyDescent="0.3">
      <c r="B37" s="4" t="s">
        <v>348</v>
      </c>
      <c r="C37" t="s">
        <v>349</v>
      </c>
    </row>
    <row r="38" spans="2:3" ht="14" customHeight="1" x14ac:dyDescent="0.3">
      <c r="B38" s="4" t="s">
        <v>350</v>
      </c>
      <c r="C38" t="s">
        <v>345</v>
      </c>
    </row>
    <row r="39" spans="2:3" ht="14" customHeight="1" x14ac:dyDescent="0.3">
      <c r="B39" s="4" t="s">
        <v>351</v>
      </c>
      <c r="C39" t="s">
        <v>341</v>
      </c>
    </row>
    <row r="40" spans="2:3" ht="14" customHeight="1" x14ac:dyDescent="0.3">
      <c r="B40" s="4" t="s">
        <v>352</v>
      </c>
      <c r="C40" t="s">
        <v>353</v>
      </c>
    </row>
    <row r="41" spans="2:3" ht="14" customHeight="1" x14ac:dyDescent="0.3">
      <c r="B41" s="4" t="s">
        <v>354</v>
      </c>
      <c r="C41" t="s">
        <v>355</v>
      </c>
    </row>
    <row r="42" spans="2:3" ht="14" customHeight="1" x14ac:dyDescent="0.3">
      <c r="B42" s="4" t="s">
        <v>356</v>
      </c>
      <c r="C42" t="s">
        <v>357</v>
      </c>
    </row>
    <row r="43" spans="2:3" ht="14" customHeight="1" x14ac:dyDescent="0.3">
      <c r="B43" s="4" t="s">
        <v>358</v>
      </c>
      <c r="C43" t="s">
        <v>359</v>
      </c>
    </row>
    <row r="44" spans="2:3" ht="14" customHeight="1" x14ac:dyDescent="0.3">
      <c r="B44" s="4" t="s">
        <v>360</v>
      </c>
      <c r="C44" t="s">
        <v>361</v>
      </c>
    </row>
    <row r="45" spans="2:3" ht="14" customHeight="1" x14ac:dyDescent="0.3">
      <c r="B45" s="4" t="s">
        <v>362</v>
      </c>
      <c r="C45" t="s">
        <v>363</v>
      </c>
    </row>
    <row r="46" spans="2:3" ht="14" customHeight="1" x14ac:dyDescent="0.3">
      <c r="B46" s="4" t="s">
        <v>364</v>
      </c>
      <c r="C46" t="s">
        <v>365</v>
      </c>
    </row>
    <row r="47" spans="2:3" ht="14" customHeight="1" x14ac:dyDescent="0.3">
      <c r="B47" s="4" t="s">
        <v>366</v>
      </c>
      <c r="C47" t="s">
        <v>367</v>
      </c>
    </row>
    <row r="48" spans="2:3" ht="14" customHeight="1" x14ac:dyDescent="0.3">
      <c r="B48" s="4" t="s">
        <v>368</v>
      </c>
      <c r="C48" t="s">
        <v>369</v>
      </c>
    </row>
    <row r="49" spans="2:3" ht="14" customHeight="1" x14ac:dyDescent="0.3">
      <c r="B49" s="4" t="s">
        <v>370</v>
      </c>
      <c r="C49" t="s">
        <v>371</v>
      </c>
    </row>
    <row r="50" spans="2:3" ht="14" customHeight="1" x14ac:dyDescent="0.3">
      <c r="B50" s="4" t="s">
        <v>372</v>
      </c>
      <c r="C50" t="s">
        <v>373</v>
      </c>
    </row>
    <row r="51" spans="2:3" ht="14" x14ac:dyDescent="0.3">
      <c r="B51" s="4" t="s">
        <v>374</v>
      </c>
      <c r="C51" t="s">
        <v>375</v>
      </c>
    </row>
    <row r="52" spans="2:3" ht="14" x14ac:dyDescent="0.3">
      <c r="B52" s="4" t="s">
        <v>376</v>
      </c>
      <c r="C52" t="s">
        <v>377</v>
      </c>
    </row>
    <row r="53" spans="2:3" ht="14" x14ac:dyDescent="0.3">
      <c r="B53" s="4" t="s">
        <v>378</v>
      </c>
      <c r="C53" t="s">
        <v>379</v>
      </c>
    </row>
    <row r="54" spans="2:3" ht="14" x14ac:dyDescent="0.3">
      <c r="B54" s="4" t="s">
        <v>380</v>
      </c>
      <c r="C54" t="s">
        <v>381</v>
      </c>
    </row>
    <row r="55" spans="2:3" ht="14" x14ac:dyDescent="0.3">
      <c r="B55" s="4" t="s">
        <v>382</v>
      </c>
      <c r="C55" t="s">
        <v>383</v>
      </c>
    </row>
    <row r="56" spans="2:3" ht="14" x14ac:dyDescent="0.3">
      <c r="B56" s="4" t="s">
        <v>384</v>
      </c>
      <c r="C56" t="s">
        <v>385</v>
      </c>
    </row>
    <row r="57" spans="2:3" ht="14" x14ac:dyDescent="0.3">
      <c r="B57" s="4" t="s">
        <v>386</v>
      </c>
      <c r="C57" t="s">
        <v>387</v>
      </c>
    </row>
    <row r="58" spans="2:3" ht="14" x14ac:dyDescent="0.3">
      <c r="B58" s="4" t="s">
        <v>388</v>
      </c>
      <c r="C58" t="s">
        <v>341</v>
      </c>
    </row>
    <row r="59" spans="2:3" ht="14" x14ac:dyDescent="0.3">
      <c r="B59" s="4" t="s">
        <v>389</v>
      </c>
      <c r="C59" t="s">
        <v>390</v>
      </c>
    </row>
    <row r="60" spans="2:3" ht="14" x14ac:dyDescent="0.3">
      <c r="B60" s="4" t="s">
        <v>391</v>
      </c>
      <c r="C60" t="s">
        <v>392</v>
      </c>
    </row>
    <row r="61" spans="2:3" ht="14" x14ac:dyDescent="0.3">
      <c r="B61" s="4" t="s">
        <v>393</v>
      </c>
      <c r="C61" t="s">
        <v>394</v>
      </c>
    </row>
    <row r="62" spans="2:3" ht="14" x14ac:dyDescent="0.3">
      <c r="B62" s="4" t="s">
        <v>395</v>
      </c>
      <c r="C62" t="s">
        <v>396</v>
      </c>
    </row>
    <row r="63" spans="2:3" ht="14" x14ac:dyDescent="0.3">
      <c r="B63" s="4" t="s">
        <v>397</v>
      </c>
      <c r="C63" t="s">
        <v>213</v>
      </c>
    </row>
  </sheetData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Executive Summary</vt:lpstr>
      <vt:lpstr>Financial Statements</vt:lpstr>
      <vt:lpstr>DCF Model</vt:lpstr>
      <vt:lpstr>Reverse DCF</vt:lpstr>
      <vt:lpstr>NWC Schedule</vt:lpstr>
      <vt:lpstr>Comps Analysis</vt:lpstr>
      <vt:lpstr>Sensitivity Analysis</vt:lpstr>
      <vt:lpstr>Adjustments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2026-09-06T03:26:49Z</dcterms:created>
  <dcterms:modified xsi:type="dcterms:W3CDTF">2026-09-06T04:41:47Z</dcterms:modified>
</cp:coreProperties>
</file>