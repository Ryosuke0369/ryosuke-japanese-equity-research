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B228E74E-4829-4403-ADF5-73BA510EFAFC}"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I16" i="6"/>
  <c r="O9" i="6"/>
  <c r="N9" i="6"/>
  <c r="M9" i="6"/>
  <c r="L9" i="6"/>
  <c r="K9" i="6"/>
  <c r="J9" i="6"/>
  <c r="O8" i="6"/>
  <c r="N8" i="6"/>
  <c r="M8" i="6"/>
  <c r="L8" i="6"/>
  <c r="K8" i="6"/>
  <c r="J8" i="6"/>
  <c r="O7" i="6"/>
  <c r="N7" i="6"/>
  <c r="M7" i="6"/>
  <c r="L7" i="6"/>
  <c r="F15" i="6" s="1"/>
  <c r="K7" i="6"/>
  <c r="J7" i="6"/>
  <c r="O6" i="6"/>
  <c r="N6" i="6"/>
  <c r="M6" i="6"/>
  <c r="K6" i="6"/>
  <c r="E15" i="6" s="1"/>
  <c r="J6" i="6"/>
  <c r="D17" i="6" s="1"/>
  <c r="O5" i="6"/>
  <c r="N5" i="6"/>
  <c r="D5" i="6"/>
  <c r="E5" i="6" s="1"/>
  <c r="C16" i="5"/>
  <c r="C14" i="5"/>
  <c r="C18" i="5" s="1"/>
  <c r="C7" i="5"/>
  <c r="C6" i="5"/>
  <c r="C5" i="5"/>
  <c r="C13" i="4"/>
  <c r="C12" i="4"/>
  <c r="C9" i="4"/>
  <c r="C7" i="4"/>
  <c r="C6" i="4"/>
  <c r="C8" i="4" s="1"/>
  <c r="C10" i="4" s="1"/>
  <c r="D27" i="3"/>
  <c r="D7" i="5" s="1"/>
  <c r="C25" i="3"/>
  <c r="C24" i="3"/>
  <c r="C23" i="3"/>
  <c r="C26" i="3" s="1"/>
  <c r="F28" i="2"/>
  <c r="E28" i="2"/>
  <c r="D28" i="2"/>
  <c r="C28" i="2"/>
  <c r="F16" i="2"/>
  <c r="E16" i="2"/>
  <c r="D16" i="2"/>
  <c r="F15" i="2"/>
  <c r="E15" i="2"/>
  <c r="D15" i="2"/>
  <c r="F14" i="2"/>
  <c r="E14" i="2"/>
  <c r="D14" i="2"/>
  <c r="C14" i="2"/>
  <c r="F13" i="2"/>
  <c r="E13" i="2"/>
  <c r="D13" i="2"/>
  <c r="C13" i="2"/>
  <c r="F8" i="2"/>
  <c r="F9" i="2" s="1"/>
  <c r="E8" i="2"/>
  <c r="E9" i="2" s="1"/>
  <c r="D8" i="2"/>
  <c r="D9" i="2" s="1"/>
  <c r="C8" i="2"/>
  <c r="C9" i="2" s="1"/>
  <c r="H15" i="6" l="1"/>
  <c r="G16" i="6"/>
  <c r="I17" i="6"/>
  <c r="K5" i="6"/>
  <c r="J5" i="6"/>
  <c r="C24" i="4"/>
  <c r="C25" i="4" s="1"/>
  <c r="C71" i="4"/>
  <c r="C70" i="4"/>
  <c r="C3" i="7"/>
  <c r="H36" i="4"/>
  <c r="B30" i="1"/>
  <c r="F36" i="4"/>
  <c r="F46" i="3"/>
  <c r="E46" i="3"/>
  <c r="B25" i="1"/>
  <c r="E36" i="4"/>
  <c r="D36" i="4"/>
  <c r="D46" i="3"/>
  <c r="C11" i="4"/>
  <c r="G46" i="3"/>
  <c r="C46" i="3"/>
  <c r="G36" i="4"/>
  <c r="G15" i="6"/>
  <c r="D30" i="3"/>
  <c r="G31" i="3"/>
  <c r="E7" i="5"/>
  <c r="L5" i="6"/>
  <c r="B24" i="1" s="1"/>
  <c r="I15" i="6"/>
  <c r="E17" i="6"/>
  <c r="I6" i="7"/>
  <c r="G5" i="5"/>
  <c r="E30" i="3"/>
  <c r="C32" i="3"/>
  <c r="D6" i="5"/>
  <c r="F7" i="5"/>
  <c r="M5" i="6"/>
  <c r="D16" i="6"/>
  <c r="F17" i="6"/>
  <c r="C17" i="7"/>
  <c r="F30" i="3"/>
  <c r="D32" i="3"/>
  <c r="E6" i="5"/>
  <c r="G7" i="5"/>
  <c r="E16" i="6"/>
  <c r="G17" i="6"/>
  <c r="C6" i="7"/>
  <c r="D17" i="7"/>
  <c r="E31" i="3"/>
  <c r="G30" i="3"/>
  <c r="E32" i="3"/>
  <c r="D5" i="5"/>
  <c r="F6" i="5"/>
  <c r="H7" i="5"/>
  <c r="D15" i="6"/>
  <c r="F16" i="6"/>
  <c r="C28" i="6" s="1"/>
  <c r="C19" i="1" s="1"/>
  <c r="D19" i="1" s="1"/>
  <c r="H17" i="6"/>
  <c r="D6" i="7"/>
  <c r="E17" i="7"/>
  <c r="E5" i="5"/>
  <c r="G6" i="5"/>
  <c r="E6" i="7"/>
  <c r="F17" i="7"/>
  <c r="C31" i="3"/>
  <c r="F32" i="3"/>
  <c r="D31" i="3"/>
  <c r="G32" i="3"/>
  <c r="F5" i="5"/>
  <c r="H6" i="5"/>
  <c r="H16" i="6"/>
  <c r="F6" i="7"/>
  <c r="G17" i="7"/>
  <c r="G6" i="7"/>
  <c r="H17" i="7"/>
  <c r="C30" i="3"/>
  <c r="C33" i="3" s="1"/>
  <c r="F31" i="3"/>
  <c r="H5" i="5"/>
  <c r="H46" i="4" l="1"/>
  <c r="H44" i="4"/>
  <c r="H38" i="4"/>
  <c r="H41" i="4"/>
  <c r="H51" i="4" s="1"/>
  <c r="H56" i="4" s="1"/>
  <c r="H45" i="4"/>
  <c r="H39" i="4"/>
  <c r="H49" i="4" s="1"/>
  <c r="H54" i="4" s="1"/>
  <c r="H43" i="4"/>
  <c r="H40" i="4"/>
  <c r="D41" i="4"/>
  <c r="D39" i="4"/>
  <c r="D43" i="4"/>
  <c r="D46" i="4"/>
  <c r="D40" i="4"/>
  <c r="D44" i="4"/>
  <c r="D45" i="4"/>
  <c r="D38" i="4"/>
  <c r="B13" i="7"/>
  <c r="B12" i="7"/>
  <c r="B11" i="7"/>
  <c r="B10" i="7"/>
  <c r="B9" i="7"/>
  <c r="B8" i="7"/>
  <c r="B7" i="7"/>
  <c r="B24" i="7"/>
  <c r="B23" i="7"/>
  <c r="B22" i="7"/>
  <c r="B21" i="7"/>
  <c r="B20" i="7"/>
  <c r="B19" i="7"/>
  <c r="B18" i="7"/>
  <c r="E45" i="4"/>
  <c r="E43" i="4"/>
  <c r="E46" i="4"/>
  <c r="E40" i="4"/>
  <c r="E39" i="4"/>
  <c r="E44" i="4"/>
  <c r="E38" i="4"/>
  <c r="E41" i="4"/>
  <c r="E51" i="4" s="1"/>
  <c r="E56" i="4" s="1"/>
  <c r="F39" i="4"/>
  <c r="F49" i="4" s="1"/>
  <c r="F46" i="4"/>
  <c r="F40" i="4"/>
  <c r="F44" i="4"/>
  <c r="F43" i="4"/>
  <c r="F38" i="4"/>
  <c r="F48" i="4" s="1"/>
  <c r="F53" i="4" s="1"/>
  <c r="F41" i="4"/>
  <c r="F45" i="4"/>
  <c r="D33" i="3"/>
  <c r="D9" i="5"/>
  <c r="D12" i="5" s="1"/>
  <c r="C42" i="3"/>
  <c r="C34" i="3"/>
  <c r="D10" i="5" s="1"/>
  <c r="C37" i="3"/>
  <c r="C35" i="3"/>
  <c r="C74" i="4"/>
  <c r="C27" i="6"/>
  <c r="C18" i="1" s="1"/>
  <c r="D18" i="1" s="1"/>
  <c r="G43" i="4"/>
  <c r="G40" i="4"/>
  <c r="G44" i="4"/>
  <c r="G38" i="4"/>
  <c r="G41" i="4"/>
  <c r="G45" i="4"/>
  <c r="G39" i="4"/>
  <c r="G49" i="4" s="1"/>
  <c r="G54" i="4" s="1"/>
  <c r="G46" i="4"/>
  <c r="C26" i="4"/>
  <c r="C29" i="4"/>
  <c r="C27" i="4"/>
  <c r="F51" i="4" l="1"/>
  <c r="F56" i="4" s="1"/>
  <c r="E48" i="4"/>
  <c r="E53" i="4" s="1"/>
  <c r="E9" i="5"/>
  <c r="E12" i="5" s="1"/>
  <c r="D42" i="3"/>
  <c r="D34" i="3"/>
  <c r="E10" i="5" s="1"/>
  <c r="D37" i="3"/>
  <c r="D35" i="3"/>
  <c r="E33" i="3"/>
  <c r="E49" i="4"/>
  <c r="E54" i="4" s="1"/>
  <c r="H48" i="4"/>
  <c r="H53" i="4" s="1"/>
  <c r="C38" i="3"/>
  <c r="C36" i="3"/>
  <c r="C39" i="3"/>
  <c r="G51" i="4"/>
  <c r="G56" i="4" s="1"/>
  <c r="E50" i="4"/>
  <c r="E55" i="4" s="1"/>
  <c r="D49" i="4"/>
  <c r="D54" i="4" s="1"/>
  <c r="D50" i="4"/>
  <c r="D55" i="4" s="1"/>
  <c r="D13" i="5"/>
  <c r="D15" i="5"/>
  <c r="D16" i="5" s="1"/>
  <c r="F50" i="4"/>
  <c r="F55" i="4" s="1"/>
  <c r="D51" i="4"/>
  <c r="D56" i="4" s="1"/>
  <c r="F54" i="4"/>
  <c r="C60" i="4"/>
  <c r="B78" i="4"/>
  <c r="G48" i="4"/>
  <c r="G53" i="4" s="1"/>
  <c r="G50" i="4"/>
  <c r="G55" i="4" s="1"/>
  <c r="D14" i="5"/>
  <c r="D18" i="5" s="1"/>
  <c r="D19" i="5" s="1"/>
  <c r="C44" i="3" s="1"/>
  <c r="D48" i="4"/>
  <c r="D53" i="4" s="1"/>
  <c r="H50" i="4"/>
  <c r="H55" i="4" s="1"/>
  <c r="E42" i="3" l="1"/>
  <c r="E34" i="3"/>
  <c r="F10" i="5" s="1"/>
  <c r="E37" i="3"/>
  <c r="E35" i="3"/>
  <c r="F33" i="3"/>
  <c r="F9" i="5"/>
  <c r="F12" i="5" s="1"/>
  <c r="C66" i="4"/>
  <c r="D66" i="4" s="1"/>
  <c r="C65" i="4"/>
  <c r="D65" i="4" s="1"/>
  <c r="C64" i="4"/>
  <c r="D64" i="4" s="1"/>
  <c r="C67" i="4"/>
  <c r="D67" i="4" s="1"/>
  <c r="C63" i="4"/>
  <c r="D63" i="4" s="1"/>
  <c r="D39" i="3"/>
  <c r="D36" i="3"/>
  <c r="D38" i="3"/>
  <c r="C40" i="3"/>
  <c r="C41" i="3" s="1"/>
  <c r="C45" i="3" s="1"/>
  <c r="E15" i="5"/>
  <c r="E16" i="5" s="1"/>
  <c r="E13" i="5"/>
  <c r="E14" i="5"/>
  <c r="E18" i="5" s="1"/>
  <c r="E19" i="5" s="1"/>
  <c r="D44" i="3" s="1"/>
  <c r="C47" i="3" l="1"/>
  <c r="E36" i="3"/>
  <c r="E39" i="3"/>
  <c r="E38" i="3"/>
  <c r="F13" i="5"/>
  <c r="F14" i="5" s="1"/>
  <c r="F15" i="5"/>
  <c r="F16" i="5" s="1"/>
  <c r="D40" i="3"/>
  <c r="D41" i="3" s="1"/>
  <c r="D45" i="3" s="1"/>
  <c r="G9" i="5"/>
  <c r="G12" i="5" s="1"/>
  <c r="F37" i="3"/>
  <c r="F34" i="3"/>
  <c r="G10" i="5" s="1"/>
  <c r="G33" i="3"/>
  <c r="F42" i="3"/>
  <c r="F18" i="5" l="1"/>
  <c r="F19" i="5" s="1"/>
  <c r="E44" i="3" s="1"/>
  <c r="D47" i="3"/>
  <c r="G13" i="5"/>
  <c r="G15" i="5"/>
  <c r="G16" i="5" s="1"/>
  <c r="F35" i="3"/>
  <c r="G14" i="5"/>
  <c r="G18" i="5" s="1"/>
  <c r="G42" i="3"/>
  <c r="G34" i="3"/>
  <c r="H10" i="5" s="1"/>
  <c r="G35" i="3"/>
  <c r="C16" i="4"/>
  <c r="C28" i="4" s="1"/>
  <c r="H9" i="5"/>
  <c r="H12" i="5" s="1"/>
  <c r="G37" i="3"/>
  <c r="E40" i="3"/>
  <c r="E41" i="3"/>
  <c r="E45" i="3" l="1"/>
  <c r="E47" i="3" s="1"/>
  <c r="G19" i="5"/>
  <c r="F44" i="3" s="1"/>
  <c r="F39" i="3"/>
  <c r="F38" i="3"/>
  <c r="F36" i="3"/>
  <c r="G38" i="3"/>
  <c r="G36" i="3"/>
  <c r="G39" i="3"/>
  <c r="H13" i="5"/>
  <c r="H14" i="5" s="1"/>
  <c r="H15" i="5"/>
  <c r="H16" i="5" s="1"/>
  <c r="C72" i="4"/>
  <c r="C73" i="4"/>
  <c r="H18" i="5" l="1"/>
  <c r="H19" i="5" s="1"/>
  <c r="G44" i="3" s="1"/>
  <c r="F40" i="3"/>
  <c r="F41" i="3" s="1"/>
  <c r="F45" i="3" s="1"/>
  <c r="G40" i="3"/>
  <c r="C59" i="3"/>
  <c r="C60" i="3" s="1"/>
  <c r="C61" i="3" s="1"/>
  <c r="G41" i="3"/>
  <c r="G45" i="3" s="1"/>
  <c r="F47" i="3" l="1"/>
  <c r="I22" i="7"/>
  <c r="E13" i="7"/>
  <c r="H8" i="7"/>
  <c r="H23" i="7"/>
  <c r="E11" i="7"/>
  <c r="E20" i="7"/>
  <c r="D7" i="7"/>
  <c r="D18" i="7"/>
  <c r="F12" i="7"/>
  <c r="H21" i="7"/>
  <c r="F19" i="7"/>
  <c r="I9" i="7"/>
  <c r="F11" i="7"/>
  <c r="E9" i="7"/>
  <c r="H22" i="7"/>
  <c r="C21" i="7"/>
  <c r="F24" i="7"/>
  <c r="C23" i="7"/>
  <c r="G24" i="7"/>
  <c r="H9" i="7"/>
  <c r="E23" i="7"/>
  <c r="I11" i="7"/>
  <c r="F9" i="7"/>
  <c r="E18" i="7"/>
  <c r="D8" i="7"/>
  <c r="E19" i="7"/>
  <c r="I8" i="7"/>
  <c r="C22" i="7"/>
  <c r="C13" i="7"/>
  <c r="F13" i="7"/>
  <c r="G21" i="7"/>
  <c r="I12" i="7"/>
  <c r="F20" i="7"/>
  <c r="G13" i="7"/>
  <c r="F7" i="7"/>
  <c r="C12" i="7"/>
  <c r="D21" i="7"/>
  <c r="D9" i="7"/>
  <c r="I10" i="7"/>
  <c r="D10" i="7"/>
  <c r="H20" i="7"/>
  <c r="H10" i="7"/>
  <c r="G23" i="7"/>
  <c r="H7" i="7"/>
  <c r="D12" i="7"/>
  <c r="G7" i="7"/>
  <c r="D24" i="7"/>
  <c r="G20" i="7"/>
  <c r="C20" i="7"/>
  <c r="H19" i="7"/>
  <c r="E24" i="7"/>
  <c r="I23" i="7"/>
  <c r="F21" i="7"/>
  <c r="D22" i="7"/>
  <c r="C18" i="7"/>
  <c r="E22" i="7"/>
  <c r="I20" i="7"/>
  <c r="F10" i="7"/>
  <c r="D23" i="7"/>
  <c r="C7" i="7"/>
  <c r="E12" i="7"/>
  <c r="G10" i="7"/>
  <c r="D11" i="7"/>
  <c r="H18" i="7"/>
  <c r="G12" i="7"/>
  <c r="C10" i="7"/>
  <c r="G8" i="7"/>
  <c r="G22" i="7"/>
  <c r="I13" i="7"/>
  <c r="E7" i="7"/>
  <c r="C19" i="7"/>
  <c r="C11" i="7"/>
  <c r="C24" i="7"/>
  <c r="D20" i="7"/>
  <c r="C8" i="7"/>
  <c r="F18" i="7"/>
  <c r="F23" i="7"/>
  <c r="I21" i="7"/>
  <c r="I19" i="7"/>
  <c r="H12" i="7"/>
  <c r="I18" i="7"/>
  <c r="H13" i="7"/>
  <c r="D13" i="7"/>
  <c r="E10" i="7"/>
  <c r="I7" i="7"/>
  <c r="I24" i="7"/>
  <c r="F8" i="7"/>
  <c r="E21" i="7"/>
  <c r="G9" i="7"/>
  <c r="F22" i="7"/>
  <c r="G11" i="7"/>
  <c r="G18" i="7"/>
  <c r="E8" i="7"/>
  <c r="G19" i="7"/>
  <c r="H11" i="7"/>
  <c r="D19" i="7"/>
  <c r="H24" i="7"/>
  <c r="C9" i="7"/>
  <c r="C51" i="3"/>
  <c r="C52" i="3" s="1"/>
  <c r="G47" i="3"/>
  <c r="C50" i="3" l="1"/>
  <c r="C53" i="3" l="1"/>
  <c r="C58" i="3"/>
  <c r="C62" i="3" s="1"/>
  <c r="C63" i="3" l="1"/>
  <c r="C64" i="3" s="1"/>
  <c r="C17" i="1"/>
  <c r="D17" i="1" s="1"/>
  <c r="C17" i="4"/>
  <c r="C54" i="3"/>
  <c r="C55" i="3" s="1"/>
  <c r="C16" i="1" s="1"/>
  <c r="C19" i="4" l="1"/>
  <c r="C20" i="4" s="1"/>
  <c r="B79" i="4"/>
  <c r="C10" i="1"/>
  <c r="D16" i="1"/>
  <c r="C21" i="1"/>
  <c r="C12" i="1" l="1"/>
  <c r="C11" i="1" s="1"/>
  <c r="B29" i="1"/>
  <c r="B26" i="1" l="1"/>
</calcChain>
</file>

<file path=xl/sharedStrings.xml><?xml version="1.0" encoding="utf-8"?>
<sst xmlns="http://schemas.openxmlformats.org/spreadsheetml/2006/main" count="529" uniqueCount="397">
  <si>
    <t>DISCLAIMER: This is a sample analysis for demonstration purposes only. It does not constitute investment advice.</t>
  </si>
  <si>
    <t>第一三共 (4568.T)</t>
  </si>
  <si>
    <t>Equity Research Report</t>
  </si>
  <si>
    <t>Company</t>
  </si>
  <si>
    <t>第一三共</t>
  </si>
  <si>
    <t>Ticker</t>
  </si>
  <si>
    <t>4568.T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</si>
  <si>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</si>
  <si>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</si>
  <si>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</si>
  <si>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</si>
  <si>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</si>
  <si>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</si>
  <si>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</si>
  <si>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</si>
  <si>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</si>
  <si>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</si>
  <si>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</si>
  <si>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</si>
  <si>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</si>
  <si>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</si>
  <si>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</si>
  <si>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</si>
  <si>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</si>
  <si>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</si>
  <si>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Capital expenditure has run at up to ten percent of revenue against depreciation near three and a half percent, and the base case assumes it tapers — a commitment the filings do not make.</t>
  </si>
  <si>
    <t>第一三共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</si>
  <si>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</si>
  <si>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</si>
  <si>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</si>
  <si>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</si>
  <si>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</si>
  <si>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</si>
  <si>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</si>
  <si>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</si>
  <si>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</si>
  <si>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</si>
  <si>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</si>
  <si>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</si>
  <si>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</si>
  <si>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</si>
  <si>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</si>
  <si>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</si>
  <si>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</si>
  <si>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</si>
  <si>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</si>
  <si>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</si>
  <si>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</si>
  <si>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</si>
  <si>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</si>
  <si>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</si>
  <si>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</si>
  <si>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</si>
  <si>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</si>
  <si>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</si>
  <si>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第一三共</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</si>
  <si>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</si>
  <si>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</si>
  <si>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</si>
  <si>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</si>
  <si>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</si>
  <si>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</si>
  <si>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</si>
  <si>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</si>
  <si>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</si>
  <si>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</si>
  <si>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</si>
  <si>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</si>
  <si>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</si>
  <si>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</si>
  <si>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</si>
  <si>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</si>
  <si>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</si>
  <si>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</si>
  <si>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</si>
  <si>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</si>
  <si>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</si>
  <si>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</si>
  <si>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</si>
  <si>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</si>
  <si>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</si>
  <si>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</si>
  <si>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</si>
  <si>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</si>
  <si>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</si>
  <si>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</si>
  <si>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</si>
  <si>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</si>
  <si>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</si>
  <si>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</si>
  <si>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</si>
  <si>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</si>
  <si>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</si>
  <si>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</si>
  <si>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</si>
  <si>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</si>
  <si>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</si>
  <si>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</si>
  <si>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</si>
  <si>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</si>
  <si>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</si>
  <si>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</si>
  <si>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</si>
  <si>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</si>
  <si>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</si>
  <si>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</si>
  <si>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</si>
  <si>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</si>
  <si>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</si>
  <si>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</si>
  <si>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</si>
  <si>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</si>
  <si>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</si>
  <si>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</si>
  <si>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</si>
  <si>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</si>
  <si>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</si>
  <si>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</si>
  <si>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</si>
  <si>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</si>
  <si>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第一三共 (4568.T)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</si>
  <si>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</si>
  <si>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</si>
  <si>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</si>
  <si>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</si>
  <si>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</si>
  <si>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</si>
  <si>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</si>
  <si>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</si>
  <si>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</si>
  <si>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</si>
  <si>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</si>
  <si>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</si>
  <si>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</si>
  <si>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</si>
  <si>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</si>
  <si>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</si>
  <si>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</si>
  <si>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</si>
  <si>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</si>
  <si>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</si>
  <si>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</si>
  <si>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</si>
  <si>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</si>
  <si>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</si>
  <si>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</si>
  <si>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</si>
  <si>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</si>
  <si>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</si>
  <si>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</si>
  <si>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</si>
  <si>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</si>
  <si>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</si>
  <si>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</si>
  <si>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</si>
  <si>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</si>
  <si>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</si>
  <si>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</si>
  <si>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</si>
  <si>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</si>
  <si>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</si>
  <si>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</si>
  <si>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</si>
  <si>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</si>
  <si>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</si>
  <si>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</si>
  <si>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</si>
  <si>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</si>
  <si>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</si>
  <si>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</si>
  <si>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</si>
  <si>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</si>
  <si>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第一三共</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</si>
  <si>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</si>
  <si>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</si>
  <si>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</si>
  <si>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</si>
  <si>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</si>
  <si>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</si>
  <si>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</si>
  <si>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</si>
  <si>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</si>
  <si>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</si>
  <si>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</si>
  <si>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</si>
  <si>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</si>
  <si>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</si>
  <si>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</si>
  <si>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</si>
  <si>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</si>
  <si>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</si>
  <si>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</si>
  <si>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</si>
  <si>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</si>
  <si>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</si>
  <si>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</si>
  <si>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</si>
  <si>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</si>
  <si>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</si>
  <si>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</si>
  <si>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</si>
  <si>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</si>
  <si>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</si>
  <si>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</si>
  <si>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</si>
  <si>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</si>
  <si>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</si>
  <si>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Daiichi Sankyo Company, Limited</t>
  </si>
  <si>
    <t>4568.T</t>
  </si>
  <si>
    <t>Takeda Pharmaceutical Company Limited</t>
  </si>
  <si>
    <t>4502.T</t>
  </si>
  <si>
    <t>N/A</t>
  </si>
  <si>
    <t>Astellas Pharma Inc.</t>
  </si>
  <si>
    <t>4503.T</t>
  </si>
  <si>
    <t>Otsuka Holdings Co., Ltd.</t>
  </si>
  <si>
    <t>4578.T</t>
  </si>
  <si>
    <t>Shionogi &amp; Co., Ltd.</t>
  </si>
  <si>
    <t>4507.T</t>
  </si>
  <si>
    <t>Statistics</t>
  </si>
  <si>
    <t>25th Percentile</t>
  </si>
  <si>
    <t>Median (50th)</t>
  </si>
  <si>
    <t>75th Percentile</t>
  </si>
  <si>
    <t>Implied Valuation for 第一三共</t>
  </si>
  <si>
    <t>第一三共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</si>
  <si>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</si>
  <si>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</si>
  <si>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</si>
  <si>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</si>
  <si>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</si>
  <si>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</si>
  <si>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</si>
  <si>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</si>
  <si>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</si>
  <si>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</si>
  <si>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</si>
  <si>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</si>
  <si>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</si>
  <si>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</si>
  <si>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</si>
  <si>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第一三共</t>
  </si>
  <si>
    <t>日付</t>
  </si>
  <si>
    <t>セル</t>
  </si>
  <si>
    <t>変更内容</t>
  </si>
  <si>
    <t>理由</t>
  </si>
  <si>
    <t>元の値</t>
  </si>
  <si>
    <t>状態</t>
  </si>
  <si>
    <t>2026-09-05</t>
  </si>
  <si>
    <t>-</t>
  </si>
  <si>
    <t>Generated by pipeline on 2026-09-05 16:58,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</si>
  <si>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</si>
  <si>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</si>
  <si>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</si>
  <si>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</si>
  <si>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</si>
  <si>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</si>
  <si>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</si>
  <si>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</si>
  <si>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</si>
  <si>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</si>
  <si>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</si>
  <si>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</si>
  <si>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</si>
  <si>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</si>
  <si>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5,084,111百万円。■テンプレートの自動規則(&gt;=1兆円 -&gt; 0.0%、&gt;=1,000億円 -&gt; 1.5%)とは異なる値であり、明示指定で上書きしている。</t>
  </si>
  <si>
    <t>テンプレ自動値</t>
  </si>
  <si>
    <t>DCF Model!C8</t>
  </si>
  <si>
    <t>Beta = 1.00</t>
  </si>
  <si>
    <t>**yfinance が当社の beta を返さない（null）**。追補1 §A に従いテンプレのフォールバック値 1.0 を採用したが、**これは実測値ではなく推定である**。国内製薬同業の実測beta（4507 塩野義 0.028 / 4523 エーザイ −0.053 / 4503 アステラス 0.088 / 4578 大塚 −0.049 / 4151 協和キリン 0.138）は**いずれも大幅に低く**、Ke = WACC = 10.47% は過大である可能性が高い。クランプ下限 0.60 を使えば Ke は 7.87% となり Target は大きく上振れる。7974 任天堂と同型の未解決事項。</t>
  </si>
  <si>
    <t>yfinance実測 null（取得不能）</t>
  </si>
  <si>
    <t>推定(要確認)</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</si>
  <si>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</si>
  <si>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</si>
  <si>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</si>
  <si>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</si>
  <si>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</si>
  <si>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</si>
  <si>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</si>
  <si>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net_debt がネットキャッシュ（−149,326百万円）で D/E = 0 のため、負債コストは WACC に一切寄与しない（WACC = Ke = 10.47%）。実績Kd の算出は結果に影響しないため interest_expense を指定していない。</t>
  </si>
  <si>
    <t>テンプレ既定</t>
  </si>
  <si>
    <t>DCF Model!C13</t>
  </si>
  <si>
    <t>Terminal Growth = 1.0%</t>
  </si>
  <si>
    <t>バッチ共通の固定前提(v2 §1-3)。</t>
  </si>
  <si>
    <t>テンプレ既定 2.0%</t>
  </si>
  <si>
    <t>DCF Model!C14</t>
  </si>
  <si>
    <t>Exit Multiple (EV/EBITDA) = 10.8x</t>
  </si>
  <si>
    <t>Peer 4社の実測EV/EBITDA中央値 10.79x（4502 11.53 / 4503 7.84 / 4578 10.22 / 4507 12.64）。 自社の現在倍率 16.10x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</si>
  <si>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</si>
  <si>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</si>
  <si>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</si>
  <si>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S100YEY0。金融事業専用科目は1件も検出されず）。銀行・captive finance なし（Debt/Revenue 0.14）。NonOp/OP +15.0%。OPMレンジ8.2pt・赤字年なしで型Bにも該当しない。</t>
  </si>
  <si>
    <t>DCF Model!C9(株価) / C15(株数)</t>
  </si>
  <si>
    <t>current_price = 2,794円 / shares_outstanding = 1,819,653,230株 を明示指定</t>
  </si>
  <si>
    <t>【リトライ1回目・サイレントフォールバックの是正】初回生成では生成ログに 'Successfully fetched' 行が無く、yfinance の市場データ取得が失敗して **テンプレのプレースホルダ（株価 1,000円 / 株数 10,000,000株）にフォールバック**していた。その結果 時価総額が 10,000百万円（正しくは 5,084,111百万円）となり、**Target が 294,427円 / BUY +293% という無意味な値**になっていた。**validate は FAIL 0 のまま通過している**（構造チェックは株価・株数の妥当性を見ない）。追補2 §F の『サイレントフォールバック禁止』の原則に従い明示指定して再生成した。■検算: 2,794円 × 1,819,653,230株 = 5,084,111百万円 = yfinance の時価総額と一致。■**再発防止**: batch/check_market_data.py を新設し全生成物の株価・株数をキャッシュと機械照合する運用にした（既存23銘柄は全件 OK、当社のみが該当）。以後の全銘柄では batch/preemptive_block.py が current_price / shares_outstanding を予防的に明示供給する。■**これは _val 由来ではない新種の欠陥**であり、追補2 §I の『未知パターン』1件目として記録する。</t>
  </si>
  <si>
    <t>テンプレのプレースホルダ（1,000円 / 10,000,000株）</t>
  </si>
  <si>
    <t>Financial Statements / hist_* 系列</t>
  </si>
  <si>
    <t>hist_years を FY2023-FY2026 の4期に置換し P/L 5系列を yfinance連結財務諸表から供給（予防的）</t>
  </si>
  <si>
    <t>【追補2 §F-2 の予防的 EDINET 補完（生成前適用・必須）】根本原因は scripts/generate_dcf.py:66 の _val(data_dict, key, default=0) が欠損値を None ではなく 0 に落とすことで、hist_* 全系列・net_debt・core_ebitda に波及する。hist_years を直近4期に置換し hist_revenue / hist_operating_income / hist_net_income / hist_cogs / hist_sga を yfinance連結財務諸表から供給（配列長は全て4で hist_years と一致、契約遵守）。■hist_ocf / hist_cash / hist_debt / hist_capex / hist_depreciation は【供給していない】 — Step 4.6 が最終 hist_years に会計年度キーで再マッピングするため EDINET を一次ソースのまま使える。■hist_sga = 売上 − COGS − 営業利益 で逆算。■#DIV/0! は発生していない。</t>
  </si>
  <si>
    <t>EDINET自動抽出値</t>
  </si>
  <si>
    <t>Comps Analysis / core_ebitda</t>
  </si>
  <si>
    <t>core_ebitda = 306,549百万円 を明示指定（営業利益 229,089 + D&amp;A 77,460）</t>
  </si>
  <si>
    <t>【追補2 §G】core_ebitda を明示指定（= 直近営業利益 + 直近CF計算書D&amp;A）。Comps の『自社 Financials』EBITDA と Via EV/EBITDA 参考株価は config の core_ebitda を使うが、EDINET 由来の D&amp;A は銘柄により信頼できず、破綻しても validate は FAIL 0 のまま通る。Peer と同一定義に揃えるため予防的に明示指定し、生成後に batch/check_core_ebitda.py で一致を確認した。</t>
  </si>
  <si>
    <t>EDINET由来の自動計算値</t>
  </si>
  <si>
    <t>DCF Model!C5 / capex_direct</t>
  </si>
  <si>
    <t>capex_method=direct、投影 [145,000 / 135,000 / 122,000 / 110,000 / 102,400]百万円</t>
  </si>
  <si>
    <t>実績capexは売上比 5.3% → 7.7% → **10.0%** → 7.0% と Enhertu 関連の生産能力投資で高止まり。5年で逓減させ、ターミナル年 102,400 ÷ D&amp;A(Y5売上2,710,214 × 3.6% = 97,568) = 1.050x でレンジ[0.90,1.15]に収束（validate チェック9 PASS）。■**この逓減は会社が表明した計画ではなく本モデルの仮定である**。</t>
  </si>
  <si>
    <t>DCF Model シナリオ5本</t>
  </si>
  <si>
    <t>実績OPM分布からの導出(min 9.43 / p25 10.45 / med 12.00 / p75 14.31 / max 17.60%、直近 10.79%)</t>
  </si>
  <si>
    <t>直近が中央値を下回るため Base は実績中央値 12.00% へ収束(Y1 11.0% -&gt; Y5 12.00%)。Upside は max(p75 14.31, 直近+1.0pt = 11.79) = 14.31%。Downside 1 は min(p25 10.45, 直近 10.79) = 10.45%。Downside 2 は実績トラフ 9.43%(FY2023/3 実績、直近実績と乖離した実在の谷)を起点に売上-5%を重ねた。■製薬の恒等式: COGS% を実績 31.5% に固定し SGA% = 100% - COGS% - 目標OPM で逆算した。既存銘柄からの流用なし。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</si>
  <si>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</si>
  <si>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</si>
  <si>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</si>
  <si>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</si>
  <si>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</si>
  <si>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</si>
  <si>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127 / DIH 379 / DPO **430** 日</t>
  </si>
  <si>
    <t>実績4期平均。■DPO 430日が極端に長いのは、当社の COGS 比率が低く（22-31%）仕入債務・未払費用を COGS で割ると日数が膨らむため。テンプレは AP = COGS × DPO/365 で計算するので、cogs_pct を実績水準に固定している限り仕入債務残高は実績を再現する。ただしシナリオ間で cogs_pct を動かすと AP が比例して動く点には留保が必要。</t>
  </si>
  <si>
    <t>Comps Analysis</t>
  </si>
  <si>
    <t>Peer 4社 = 4502 武田薬品工業 / 4503 アステラス製薬 / 4578 大塚HD / 4507 塩野義製薬</t>
  </si>
  <si>
    <t>■選定理由: TSE33業種『医薬品』の大型株。■時価総額バンド: v2 §5 の 0.3〜3倍は 1.53〜15.25兆円で、**採用4社すべてがバンド内**。■**除外: 4519 中外製薬**（11.18兆円でバンド内だが、減価償却費が EDINET・yfinance のいずれからも取得できず EBITDA を算出できない。v2 §5『D&amp;Aが取れない社はCSVに入れない』に従い除外。4519 自体もキュー送り）。結果として **Peer 4社構成**（EV/EBITDA 統計は n≥3 で有効、INVALID 化していない）。■海外Peer（AstraZeneca / Merck 等、ADC 競合）は真の比較対象だが v2 §5 により不使用。■D&amp;A取得状況: 採用5社すべてで減価償却費を取得でき統一。**D&amp;A欠損による除外はゼロ**（validate チェック12 PASS）。</t>
  </si>
  <si>
    <t>Executive Summary!C10 / Target</t>
  </si>
  <si>
    <t>Target Price = 1,618円 = PGM 1,239円 と Exit 1,997円 の2本平均。Comps 2本(EV/EBITDA 1,900円 / PER 2,069円)は [参考・Target不算入]</t>
  </si>
  <si>
    <t>メモ§2 の規約どおり。validate チェック14 PASS(C10 が C16:C17 のみを平均)。EV&lt;net_debt による INVALID 化は発生していない（ネットキャッシュのため、チェック10・15 とも PASS）。■**自社の実測 EV/EBITDA 16.10x は Peer中央値 10.79x の 1.5倍**。本モデルの Exit 法は Peer中央値をそのまま用い当社のプレミアムが永続するとは仮定していないため、これが −42.1% という乖離の最大の要因である。</t>
  </si>
  <si>
    <t>全体(納品状態)</t>
  </si>
  <si>
    <t>本ファイルは DRAFT。_FINAL は付けない</t>
  </si>
  <si>
    <t>バッチモードでの機械生成物であり人間の検証を経ていない。FINAL化は手順書v2 §6 に従い検証後に行う。</t>
  </si>
  <si>
    <t>DRAFT</t>
  </si>
  <si>
    <t>全体(未解決)</t>
  </si>
  <si>
    <t>**beta 1.0 が推定であり WACC 10.47% を支配している（最大の未解決）**</t>
  </si>
  <si>
    <t>国内製薬同業の実測beta は −0.05〜0.14 で、いずれもクランプ下限 0.60 を下回る。0.60 を使えば Ke = WACC は 7.87% となり Target は大きく上振れ、WARN 11 の乖離も縮小する。**判定が SELL から反転しうる最大の論点**。7974 任天堂と同型。</t>
  </si>
  <si>
    <t>未解決</t>
  </si>
  <si>
    <t>自社倍率 16.10x と Peer中央値 10.79x の差（ADCプレミアム）をどう扱うか</t>
  </si>
  <si>
    <t>本モデルの Exit 法は Peer中央値をそのまま用い、Enhertu / Datroway の ADC フランチャイズに対するプレミアムが永続するとは仮定していない。これが −42.1% の乖離の最大の要因。プレミアムを認めるなら Exit 倍率を引き上げるべきで、その場合 Target は大きく上振れる。</t>
  </si>
  <si>
    <t>FY2026/3 の COGS 率急上昇（22.0% → 31.5%）の要因が未確認</t>
  </si>
  <si>
    <t>営業利益が 331,925 → 229,089 と減少した主因。製品ミックスかロイヤリティ支払か一過性かでBase の妥当性が変わる。</t>
  </si>
  <si>
    <t>capex 逓減の仮定</t>
  </si>
  <si>
    <t>実績 capex は売上比 10.0% まで上昇。5年で D&amp;A 水準（3.6%）まで下げる仮定は会社計画ではなく本モデルの設計判断。</t>
  </si>
  <si>
    <t>Pipeline Metadata (do not edit — read by scripts/validate_output.py)</t>
  </si>
  <si>
    <t>key</t>
  </si>
  <si>
    <t>value</t>
  </si>
  <si>
    <t>auto_log_entries</t>
  </si>
  <si>
    <t>0</t>
  </si>
  <si>
    <t>capex_pct_basis</t>
  </si>
  <si>
    <t>assumption</t>
  </si>
  <si>
    <t>capex_pct_c5</t>
  </si>
  <si>
    <t>0.0378</t>
  </si>
  <si>
    <t>capex_pct_hist3yr</t>
  </si>
  <si>
    <t>company_name</t>
  </si>
  <si>
    <t>comps_asof</t>
  </si>
  <si>
    <t>comps_da_missing</t>
  </si>
  <si>
    <t>none</t>
  </si>
  <si>
    <t>comps_ev_ebitda_invalid</t>
  </si>
  <si>
    <t>no</t>
  </si>
  <si>
    <t>comps_ev_ebitda_rows</t>
  </si>
  <si>
    <t>6,7,8,9</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</si>
  <si>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</si>
  <si>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</si>
  <si>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</si>
  <si>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</si>
  <si>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</si>
  <si>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</si>
  <si>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</si>
  <si>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</si>
  <si>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</si>
  <si>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</si>
  <si>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</si>
  <si>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</si>
  <si>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</si>
  <si>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</si>
  <si>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</si>
  <si>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0.036</t>
  </si>
  <si>
    <t>da_pct_hist3yr</t>
  </si>
  <si>
    <t>0.036706</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</si>
  <si>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</si>
  <si>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</si>
  <si>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</si>
  <si>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</si>
  <si>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</si>
  <si>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</si>
  <si>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</si>
  <si>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</si>
  <si>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</si>
  <si>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16:58:31</t>
  </si>
  <si>
    <t>ltm_revenue_c20</t>
  </si>
  <si>
    <t>2123045.0</t>
  </si>
  <si>
    <t>ltm_revenue_source</t>
  </si>
  <si>
    <t>latest FY (no LTM)</t>
  </si>
  <si>
    <t>narrative_tokens_used</t>
  </si>
  <si>
    <t>pb,per,price,target_price,upside_pct,wacc</t>
  </si>
  <si>
    <t>reverse_dcf_sheet</t>
  </si>
  <si>
    <t>op0=229,089(FY2026) peak=331,925(FY2025) peak_opm=0.1760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</si>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</sst>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7" t="s">
        <v>0</v>
      </c>
      <c r="C1" s="46"/>
      <c r="D1" s="46"/>
      <c r="E1" s="46"/>
    </row>
    <row r="3" spans="2:5" ht="18" customHeight="1" x14ac:dyDescent="0.4">
      <c r="B3" s="45" t="s">
        <v>1</v>
      </c>
      <c r="C3" s="46"/>
      <c r="D3" s="46"/>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2794</v>
      </c>
    </row>
    <row r="10" spans="2:5" ht="14" customHeight="1" x14ac:dyDescent="0.3">
      <c r="B10" s="4" t="s">
        <v>10</v>
      </c>
      <c r="C10" s="5">
        <f>IF(COUNT(C16:C17)=0,"N/A",ROUND(AVERAGE(C16:C17),0))</f>
        <v>1618</v>
      </c>
    </row>
    <row r="11" spans="2:5" ht="14" customHeight="1" x14ac:dyDescent="0.3">
      <c r="B11" s="4" t="s">
        <v>11</v>
      </c>
      <c r="C11" s="6" t="str">
        <f>IF(NOT(ISNUMBER(C12)),"N/A",IF(C12&gt;0.15,"BUY",IF(C12&gt;0.05,"HOLD","SELL")))</f>
        <v>SELL</v>
      </c>
    </row>
    <row r="12" spans="2:5" ht="14" customHeight="1" x14ac:dyDescent="0.3">
      <c r="B12" s="4" t="s">
        <v>12</v>
      </c>
      <c r="C12" s="7">
        <f>IF(ISNUMBER(C10),(C10-C9)/C9,"N/A")</f>
        <v>-0.42090193271295634</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1239</v>
      </c>
      <c r="D16" s="7">
        <f>IF(ISNUMBER(C16),(C16-C9)/C9,"N/A")</f>
        <v>-0.55654974946313529</v>
      </c>
    </row>
    <row r="17" spans="2:5" ht="13.5" customHeight="1" x14ac:dyDescent="0.25">
      <c r="B17" t="s">
        <v>18</v>
      </c>
      <c r="C17" s="11">
        <f>IF('DCF Model'!C62&lt;'DCF Model'!C16,"INVALID (EV &lt; net debt)",'DCF Model'!C64)</f>
        <v>1997</v>
      </c>
      <c r="D17" s="7">
        <f>IF(ISNUMBER(C17),(C17-C9)/C9,"N/A")</f>
        <v>-0.28525411596277739</v>
      </c>
    </row>
    <row r="18" spans="2:5" ht="13.5" customHeight="1" x14ac:dyDescent="0.25">
      <c r="B18" t="s">
        <v>19</v>
      </c>
      <c r="C18" s="11">
        <f>'Comps Analysis'!C27</f>
        <v>1900</v>
      </c>
      <c r="D18" s="7">
        <f>IF(ISNUMBER(C18),(C18-C9)/C9,"N/A")</f>
        <v>-0.31997136721546171</v>
      </c>
    </row>
    <row r="19" spans="2:5" ht="13.5" customHeight="1" x14ac:dyDescent="0.25">
      <c r="B19" t="s">
        <v>20</v>
      </c>
      <c r="C19" s="11">
        <f>'Comps Analysis'!C28</f>
        <v>2069</v>
      </c>
      <c r="D19" s="7">
        <f>IF(ISNUMBER(C19),(C19-C9)/C9,"N/A")</f>
        <v>-0.25948460987831068</v>
      </c>
    </row>
    <row r="20" spans="2:5" ht="14" customHeight="1" x14ac:dyDescent="0.3">
      <c r="B20" s="47" t="s">
        <v>21</v>
      </c>
      <c r="C20" s="46"/>
      <c r="D20" s="46"/>
      <c r="E20" s="46"/>
    </row>
    <row r="21" spans="2:5" ht="14" customHeight="1" x14ac:dyDescent="0.3">
      <c r="B21" s="4" t="s">
        <v>22</v>
      </c>
      <c r="C21" s="6" t="str">
        <f>IF(COUNT(C16:C17)=0,"N/A",MIN(C16:C17)&amp;" - "&amp;MAX(C16:C17))</f>
        <v>1239 - 1997</v>
      </c>
    </row>
    <row r="23" spans="2:5" ht="14" customHeight="1" x14ac:dyDescent="0.3">
      <c r="B23" s="8" t="s">
        <v>23</v>
      </c>
      <c r="C23" s="9"/>
      <c r="D23" s="9"/>
    </row>
    <row r="24" spans="2:5" x14ac:dyDescent="0.2">
      <c r="B24" t="str">
        <f>"Daiichi Sankyo has built an antibody-drug-conjugate franchise around Enhertu and Datroway that has tripled revenue growth relative to the legacy business; the shares trade at "&amp;TEXT('Comps Analysis'!L5,"0.0""x""")&amp;" earnings and "&amp;TEXT('Comps Analysis'!M5,"0.00""x""")&amp;" book."</f>
        <v>Daiichi Sankyo has built an antibody-drug-conjugate franchise around Enhertu and Datroway that has tripled revenue growth relative to the legacy business; the shares trade at 19.6x earnings and 3.06x book.</v>
      </c>
    </row>
    <row r="25" spans="2:5" x14ac:dyDescent="0.2">
      <c r="B25" t="str">
        <f>"The balance sheet holds net cash despite the capacity build-out, so the "&amp;TEXT('DCF Model'!C26,"0.00%")&amp;" discount rate is the cost of equity with no leverage assumed."</f>
        <v>The balance sheet holds net cash despite the capacity build-out, so the 10.47% discount rate is the cost of equity with no leverage assumed.</v>
      </c>
    </row>
    <row r="26" spans="2:5" x14ac:dyDescent="0.2">
      <c r="B26" t="str">
        <f>"At "&amp;TEXT(C9,"#,##0")&amp;" the market pays roughly half again the peer median EV/EBITDA; this model deliberately values the terminal year on the peer median, which is why "&amp;TEXT(C10,"#,##0")&amp;" sits "&amp;TEXT(C12,"+0.0%;-0.0%")&amp;" from here."</f>
        <v>At 2,794 the market pays roughly half again the peer median EV/EBITDA; this model deliberately values the terminal year on the peer median, which is why 1,618 sits -42.1% from here.</v>
      </c>
    </row>
    <row r="28" spans="2:5" ht="14" customHeight="1" x14ac:dyDescent="0.3">
      <c r="B28" s="8" t="s">
        <v>24</v>
      </c>
      <c r="C28" s="9"/>
      <c r="D28" s="9"/>
    </row>
    <row r="29" spans="2:5" x14ac:dyDescent="0.2">
      <c r="B29" t="str">
        <f>"The exit leg uses the peer median rather than the multiple the market awards this company, and that single choice accounts for most of the gap between "&amp;TEXT(C9,"#,##0")&amp;" and "&amp;TEXT(C10,"#,##0")&amp;"."</f>
        <v>The exit leg uses the peer median rather than the multiple the market awards this company, and that single choice accounts for most of the gap between 2,794 and 1,618.</v>
      </c>
    </row>
    <row r="30" spans="2:5" x14ac:dyDescent="0.2">
      <c r="B30" t="str">
        <f>"The discount rate uses an assumed beta of one because no measured beta is available; every listed Japanese pharmaceutical peer measures far lower, so "&amp;TEXT('DCF Model'!C26,"0.00%")&amp;" is probably too high."</f>
        <v>The discount rate uses an assumed beta of one because no measured beta is available; every listed Japanese pharmaceutical peer measures far lower, so 10.47% is probably too high.</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1278478</v>
      </c>
      <c r="D6" s="5">
        <v>1601688</v>
      </c>
      <c r="E6" s="5">
        <v>1886256</v>
      </c>
      <c r="F6" s="5">
        <v>2123045</v>
      </c>
    </row>
    <row r="7" spans="2:6" ht="14" customHeight="1" x14ac:dyDescent="0.3">
      <c r="B7" s="4" t="s">
        <v>33</v>
      </c>
      <c r="C7" s="5">
        <v>363525</v>
      </c>
      <c r="D7" s="5">
        <v>415322</v>
      </c>
      <c r="E7" s="5">
        <v>415797</v>
      </c>
      <c r="F7" s="5">
        <v>669045</v>
      </c>
    </row>
    <row r="8" spans="2:6" ht="14" customHeight="1" x14ac:dyDescent="0.3">
      <c r="B8" s="4" t="s">
        <v>34</v>
      </c>
      <c r="C8" s="5">
        <f>C6-C7</f>
        <v>914953</v>
      </c>
      <c r="D8" s="5">
        <f>D6-D7</f>
        <v>1186366</v>
      </c>
      <c r="E8" s="5">
        <f>E6-E7</f>
        <v>1470459</v>
      </c>
      <c r="F8" s="5">
        <f>F6-F7</f>
        <v>1454000</v>
      </c>
    </row>
    <row r="9" spans="2:6" ht="13.5" customHeight="1" x14ac:dyDescent="0.25">
      <c r="B9" t="s">
        <v>35</v>
      </c>
      <c r="C9" s="7">
        <f>C8/C6</f>
        <v>0.7156579933326972</v>
      </c>
      <c r="D9" s="7">
        <f>D8/D6</f>
        <v>0.74069731433337826</v>
      </c>
      <c r="E9" s="7">
        <f>E8/E6</f>
        <v>0.77956491589688781</v>
      </c>
      <c r="F9" s="7">
        <f>F8/F6</f>
        <v>0.68486537025828464</v>
      </c>
    </row>
    <row r="10" spans="2:6" ht="14" customHeight="1" x14ac:dyDescent="0.3">
      <c r="B10" s="4" t="s">
        <v>36</v>
      </c>
      <c r="C10" s="5">
        <v>794371</v>
      </c>
      <c r="D10" s="5">
        <v>974777</v>
      </c>
      <c r="E10" s="5">
        <v>1138534</v>
      </c>
      <c r="F10" s="5">
        <v>1224911</v>
      </c>
    </row>
    <row r="11" spans="2:6" ht="14" customHeight="1" x14ac:dyDescent="0.3">
      <c r="B11" s="4" t="s">
        <v>37</v>
      </c>
      <c r="C11" s="5">
        <v>120582</v>
      </c>
      <c r="D11" s="5">
        <v>211589</v>
      </c>
      <c r="E11" s="5">
        <v>331925</v>
      </c>
      <c r="F11" s="5">
        <v>229089</v>
      </c>
    </row>
    <row r="12" spans="2:6" ht="14" customHeight="1" x14ac:dyDescent="0.3">
      <c r="B12" s="4" t="s">
        <v>38</v>
      </c>
      <c r="C12" s="5">
        <v>109188</v>
      </c>
      <c r="D12" s="5">
        <v>200731</v>
      </c>
      <c r="E12" s="5">
        <v>295756</v>
      </c>
      <c r="F12" s="5">
        <v>259874</v>
      </c>
    </row>
    <row r="13" spans="2:6" ht="13.5" customHeight="1" x14ac:dyDescent="0.25">
      <c r="B13" t="s">
        <v>39</v>
      </c>
      <c r="C13" s="7">
        <f>C11/C6</f>
        <v>9.4316836112940547E-2</v>
      </c>
      <c r="D13" s="7">
        <f>D11/D6</f>
        <v>0.13210375553790751</v>
      </c>
      <c r="E13" s="7">
        <f>E11/E6</f>
        <v>0.17597028187054142</v>
      </c>
      <c r="F13" s="7">
        <f>F11/F6</f>
        <v>0.10790586162799187</v>
      </c>
    </row>
    <row r="14" spans="2:6" ht="13.5" customHeight="1" x14ac:dyDescent="0.25">
      <c r="B14" t="s">
        <v>40</v>
      </c>
      <c r="C14" s="7">
        <f>C12/C6</f>
        <v>8.5404676498148577E-2</v>
      </c>
      <c r="D14" s="7">
        <f>D12/D6</f>
        <v>0.12532465748635191</v>
      </c>
      <c r="E14" s="7">
        <f>E12/E6</f>
        <v>0.15679526002833125</v>
      </c>
      <c r="F14" s="7">
        <f>F12/F6</f>
        <v>0.1224062608187768</v>
      </c>
    </row>
    <row r="15" spans="2:6" ht="13.5" customHeight="1" x14ac:dyDescent="0.25">
      <c r="B15" t="s">
        <v>41</v>
      </c>
      <c r="C15" t="s">
        <v>42</v>
      </c>
      <c r="D15" s="7">
        <f>(D6-C6)/C6</f>
        <v>0.25280841750894423</v>
      </c>
      <c r="E15" s="7">
        <f>(E6-D6)/D6</f>
        <v>0.17766756072343678</v>
      </c>
      <c r="F15" s="7">
        <f>(F6-E6)/E6</f>
        <v>0.12553386178758344</v>
      </c>
    </row>
    <row r="16" spans="2:6" ht="13.5" customHeight="1" x14ac:dyDescent="0.25">
      <c r="B16" t="s">
        <v>43</v>
      </c>
      <c r="C16" t="s">
        <v>42</v>
      </c>
      <c r="D16" s="7">
        <f>(D11-C11)/C11</f>
        <v>0.75473122024846162</v>
      </c>
      <c r="E16" s="7">
        <f>(E11-D11)/D11</f>
        <v>0.56872521728445236</v>
      </c>
      <c r="F16" s="7">
        <f>(F11-E11)/E11</f>
        <v>-0.30981697672667019</v>
      </c>
    </row>
    <row r="18" spans="2:6" ht="14" customHeight="1" x14ac:dyDescent="0.3">
      <c r="B18" s="3" t="s">
        <v>44</v>
      </c>
    </row>
    <row r="19" spans="2:6" ht="14" customHeight="1" x14ac:dyDescent="0.3">
      <c r="B19" s="4" t="s">
        <v>45</v>
      </c>
      <c r="C19" s="5">
        <v>114514</v>
      </c>
      <c r="D19" s="5">
        <v>599258</v>
      </c>
      <c r="E19" s="5">
        <v>53842</v>
      </c>
      <c r="F19" s="5">
        <v>77655</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441921</v>
      </c>
      <c r="D26" s="5">
        <v>647180</v>
      </c>
      <c r="E26" s="5">
        <v>639838</v>
      </c>
      <c r="F26" s="5">
        <v>449807</v>
      </c>
    </row>
    <row r="27" spans="2:6" ht="14" customHeight="1" x14ac:dyDescent="0.3">
      <c r="B27" s="4" t="s">
        <v>52</v>
      </c>
      <c r="C27" s="5">
        <v>143088</v>
      </c>
      <c r="D27" s="5">
        <v>101713</v>
      </c>
      <c r="E27" s="5">
        <v>101332</v>
      </c>
      <c r="F27" s="5">
        <v>300481</v>
      </c>
    </row>
    <row r="28" spans="2:6" ht="14" customHeight="1" x14ac:dyDescent="0.3">
      <c r="B28" s="4" t="s">
        <v>53</v>
      </c>
      <c r="C28" s="5">
        <f>C27-C26</f>
        <v>-298833</v>
      </c>
      <c r="D28" s="5">
        <f>D27-D26</f>
        <v>-545467</v>
      </c>
      <c r="E28" s="5">
        <f>E27-E26</f>
        <v>-538506</v>
      </c>
      <c r="F28" s="5">
        <f>F27-F26</f>
        <v>-149326</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3.78E-2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1</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0.01</v>
      </c>
    </row>
    <row r="12" spans="2:7" ht="14" customHeight="1" x14ac:dyDescent="0.3">
      <c r="B12" s="4" t="s">
        <v>64</v>
      </c>
      <c r="C12" s="13">
        <v>0</v>
      </c>
    </row>
    <row r="13" spans="2:7" ht="14" customHeight="1" x14ac:dyDescent="0.3">
      <c r="B13" s="4" t="s">
        <v>65</v>
      </c>
      <c r="C13" s="7">
        <v>0.01</v>
      </c>
    </row>
    <row r="14" spans="2:7" ht="14" customHeight="1" x14ac:dyDescent="0.3">
      <c r="B14" s="4" t="s">
        <v>66</v>
      </c>
      <c r="C14" s="14">
        <v>10.8</v>
      </c>
    </row>
    <row r="15" spans="2:7" ht="14" customHeight="1" x14ac:dyDescent="0.3">
      <c r="B15" s="4" t="s">
        <v>67</v>
      </c>
      <c r="C15" s="15">
        <v>1819653230</v>
      </c>
    </row>
    <row r="16" spans="2:7" ht="14" customHeight="1" x14ac:dyDescent="0.3">
      <c r="B16" s="4" t="s">
        <v>68</v>
      </c>
      <c r="C16" s="5">
        <v>-149326</v>
      </c>
    </row>
    <row r="17" spans="2:7" ht="14" customHeight="1" x14ac:dyDescent="0.3">
      <c r="B17" s="4" t="s">
        <v>69</v>
      </c>
      <c r="C17" s="5">
        <v>2123045</v>
      </c>
    </row>
    <row r="18" spans="2:7" ht="14" customHeight="1" x14ac:dyDescent="0.3">
      <c r="B18" s="4" t="s">
        <v>70</v>
      </c>
      <c r="C18" s="7">
        <v>3.5999999999999997E-2</v>
      </c>
    </row>
    <row r="19" spans="2:7" ht="14" customHeight="1" x14ac:dyDescent="0.3">
      <c r="B19" s="4" t="s">
        <v>71</v>
      </c>
      <c r="C19" s="12">
        <v>1</v>
      </c>
    </row>
    <row r="20" spans="2:7" ht="14" customHeight="1" x14ac:dyDescent="0.3">
      <c r="B20" s="4" t="s">
        <v>72</v>
      </c>
      <c r="C20" s="5">
        <v>2123045</v>
      </c>
    </row>
    <row r="22" spans="2:7" ht="14" customHeight="1" x14ac:dyDescent="0.3">
      <c r="B22" s="8" t="s">
        <v>73</v>
      </c>
      <c r="C22" s="9"/>
      <c r="D22" s="9"/>
      <c r="E22" s="9"/>
      <c r="F22" s="9"/>
      <c r="G22" s="9"/>
    </row>
    <row r="23" spans="2:7" ht="14" customHeight="1" x14ac:dyDescent="0.3">
      <c r="B23" s="4" t="s">
        <v>74</v>
      </c>
      <c r="C23" s="16">
        <f>C7+C8*C9+C10</f>
        <v>0.1047</v>
      </c>
    </row>
    <row r="24" spans="2:7" ht="14" customHeight="1" x14ac:dyDescent="0.3">
      <c r="B24" s="4" t="s">
        <v>75</v>
      </c>
      <c r="C24" s="16">
        <f>1/(1+C12)</f>
        <v>1</v>
      </c>
    </row>
    <row r="25" spans="2:7" ht="14" customHeight="1" x14ac:dyDescent="0.3">
      <c r="B25" s="4" t="s">
        <v>76</v>
      </c>
      <c r="C25" s="16">
        <f>C12/(1+C12)</f>
        <v>0</v>
      </c>
    </row>
    <row r="26" spans="2:7" ht="14" customHeight="1" x14ac:dyDescent="0.3">
      <c r="B26" s="4" t="s">
        <v>77</v>
      </c>
      <c r="C26" s="16">
        <f>C23*C24+C11*C25</f>
        <v>0.1047</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0.08</v>
      </c>
      <c r="D30" s="18">
        <f>CHOOSE($D$27,D69,D70,D71,D72,D73)</f>
        <v>0.06</v>
      </c>
      <c r="E30" s="18">
        <f>CHOOSE($D$27,E69,E70,E71,E72,E73)</f>
        <v>4.4999999999999998E-2</v>
      </c>
      <c r="F30" s="18">
        <f>CHOOSE($D$27,F69,F70,F71,F72,F73)</f>
        <v>3.5000000000000003E-2</v>
      </c>
      <c r="G30" s="18">
        <f>CHOOSE($D$27,G69,G70,G71,G72,G73)</f>
        <v>0.03</v>
      </c>
    </row>
    <row r="31" spans="2:7" ht="14" customHeight="1" x14ac:dyDescent="0.3">
      <c r="B31" s="4" t="s">
        <v>86</v>
      </c>
      <c r="C31" s="18">
        <f>CHOOSE($D$27,C76,C77,C78,C79,C80)</f>
        <v>0.315</v>
      </c>
      <c r="D31" s="18">
        <f>CHOOSE($D$27,D76,D77,D78,D79,D80)</f>
        <v>0.315</v>
      </c>
      <c r="E31" s="18">
        <f>CHOOSE($D$27,E76,E77,E78,E79,E80)</f>
        <v>0.315</v>
      </c>
      <c r="F31" s="18">
        <f>CHOOSE($D$27,F76,F77,F78,F79,F80)</f>
        <v>0.315</v>
      </c>
      <c r="G31" s="18">
        <f>CHOOSE($D$27,G76,G77,G78,G79,G80)</f>
        <v>0.315</v>
      </c>
    </row>
    <row r="32" spans="2:7" ht="14" customHeight="1" x14ac:dyDescent="0.3">
      <c r="B32" s="4" t="s">
        <v>87</v>
      </c>
      <c r="C32" s="18">
        <f>CHOOSE($D$27,C83,C84,C85,C86,C87)</f>
        <v>0.57499999999999996</v>
      </c>
      <c r="D32" s="18">
        <f>CHOOSE($D$27,D83,D84,D85,D86,D87)</f>
        <v>0.57199999999999995</v>
      </c>
      <c r="E32" s="18">
        <f>CHOOSE($D$27,E83,E84,E85,E86,E87)</f>
        <v>0.56899999999999995</v>
      </c>
      <c r="F32" s="18">
        <f>CHOOSE($D$27,F83,F84,F85,F86,F87)</f>
        <v>0.5665</v>
      </c>
      <c r="G32" s="18">
        <f>CHOOSE($D$27,G83,G84,G85,G86,G87)</f>
        <v>0.56499999999999995</v>
      </c>
    </row>
    <row r="33" spans="2:7" ht="14" customHeight="1" x14ac:dyDescent="0.3">
      <c r="B33" s="4" t="s">
        <v>32</v>
      </c>
      <c r="C33" s="5">
        <f>C17*(1+C30)</f>
        <v>2292888.6</v>
      </c>
      <c r="D33" s="5">
        <f>C33*(1+D30)</f>
        <v>2430461.9160000002</v>
      </c>
      <c r="E33" s="5">
        <f>D33*(1+E30)</f>
        <v>2539832.7022199999</v>
      </c>
      <c r="F33" s="5">
        <f>E33*(1+F30)</f>
        <v>2628726.8467976996</v>
      </c>
      <c r="G33" s="5">
        <f>F33*(1+G30)</f>
        <v>2707588.6522016306</v>
      </c>
    </row>
    <row r="34" spans="2:7" ht="14" customHeight="1" x14ac:dyDescent="0.3">
      <c r="B34" s="4" t="s">
        <v>33</v>
      </c>
      <c r="C34" s="5">
        <f>C33*C31</f>
        <v>722259.90899999999</v>
      </c>
      <c r="D34" s="5">
        <f>D33*D31</f>
        <v>765595.50354000006</v>
      </c>
      <c r="E34" s="5">
        <f>E33*E31</f>
        <v>800047.30119929998</v>
      </c>
      <c r="F34" s="5">
        <f>F33*F31</f>
        <v>828048.95674127538</v>
      </c>
      <c r="G34" s="5">
        <f>G33*G31</f>
        <v>852890.42544351367</v>
      </c>
    </row>
    <row r="35" spans="2:7" ht="14" customHeight="1" x14ac:dyDescent="0.3">
      <c r="B35" s="4" t="s">
        <v>34</v>
      </c>
      <c r="C35" s="19">
        <f>C33-C34</f>
        <v>1570628.6910000001</v>
      </c>
      <c r="D35" s="19">
        <f>D33-D34</f>
        <v>1664866.4124600003</v>
      </c>
      <c r="E35" s="19">
        <f>E33-E34</f>
        <v>1739785.4010206999</v>
      </c>
      <c r="F35" s="19">
        <f>F33-F34</f>
        <v>1800677.8900564243</v>
      </c>
      <c r="G35" s="19">
        <f>G33-G34</f>
        <v>1854698.2267581169</v>
      </c>
    </row>
    <row r="36" spans="2:7" ht="14" customHeight="1" x14ac:dyDescent="0.3">
      <c r="B36" s="4" t="s">
        <v>35</v>
      </c>
      <c r="C36" s="7">
        <f>C35/C33</f>
        <v>0.68500000000000005</v>
      </c>
      <c r="D36" s="7">
        <f>D35/D33</f>
        <v>0.68500000000000005</v>
      </c>
      <c r="E36" s="7">
        <f>E35/E33</f>
        <v>0.68499999999999994</v>
      </c>
      <c r="F36" s="7">
        <f>F35/F33</f>
        <v>0.68500000000000005</v>
      </c>
      <c r="G36" s="7">
        <f>G35/G33</f>
        <v>0.68499999999999994</v>
      </c>
    </row>
    <row r="37" spans="2:7" ht="14" customHeight="1" x14ac:dyDescent="0.3">
      <c r="B37" s="4" t="s">
        <v>88</v>
      </c>
      <c r="C37" s="5">
        <f>C33*C32</f>
        <v>1318410.9450000001</v>
      </c>
      <c r="D37" s="5">
        <f>D33*D32</f>
        <v>1390224.2159520001</v>
      </c>
      <c r="E37" s="5">
        <f>E33*E32</f>
        <v>1445164.8075631799</v>
      </c>
      <c r="F37" s="5">
        <f>F33*F32</f>
        <v>1489173.7587108968</v>
      </c>
      <c r="G37" s="5">
        <f>G33*G32</f>
        <v>1529787.5884939211</v>
      </c>
    </row>
    <row r="38" spans="2:7" ht="14" customHeight="1" x14ac:dyDescent="0.3">
      <c r="B38" s="4" t="s">
        <v>89</v>
      </c>
      <c r="C38" s="7">
        <f>(C35-C37)/C33</f>
        <v>0.11000000000000001</v>
      </c>
      <c r="D38" s="7">
        <f>(D35-D37)/D33</f>
        <v>0.11300000000000004</v>
      </c>
      <c r="E38" s="7">
        <f>(E35-E37)/E33</f>
        <v>0.11600000000000001</v>
      </c>
      <c r="F38" s="7">
        <f>(F35-F37)/F33</f>
        <v>0.11850000000000004</v>
      </c>
      <c r="G38" s="7">
        <f>(G35-G37)/G33</f>
        <v>0.12000000000000004</v>
      </c>
    </row>
    <row r="39" spans="2:7" ht="14" customHeight="1" x14ac:dyDescent="0.3">
      <c r="B39" s="4" t="s">
        <v>90</v>
      </c>
      <c r="C39" s="19">
        <f>C35-C37</f>
        <v>252217.74600000004</v>
      </c>
      <c r="D39" s="19">
        <f>D35-D37</f>
        <v>274642.19650800014</v>
      </c>
      <c r="E39" s="19">
        <f>E35-E37</f>
        <v>294620.59345752001</v>
      </c>
      <c r="F39" s="19">
        <f>F35-F37</f>
        <v>311504.13134552748</v>
      </c>
      <c r="G39" s="19">
        <f>G35-G37</f>
        <v>324910.63826419576</v>
      </c>
    </row>
    <row r="40" spans="2:7" ht="14" customHeight="1" x14ac:dyDescent="0.3">
      <c r="B40" s="4" t="s">
        <v>91</v>
      </c>
      <c r="C40" s="5">
        <f>MAX(0,C39*C6)</f>
        <v>63054.436500000011</v>
      </c>
      <c r="D40" s="5">
        <f>MAX(0,D39*C6)</f>
        <v>68660.549127000035</v>
      </c>
      <c r="E40" s="5">
        <f>MAX(0,E39*C6)</f>
        <v>73655.148364380002</v>
      </c>
      <c r="F40" s="5">
        <f>MAX(0,F39*C6)</f>
        <v>77876.03283638187</v>
      </c>
      <c r="G40" s="5">
        <f>MAX(0,G39*C6)</f>
        <v>81227.65956604894</v>
      </c>
    </row>
    <row r="41" spans="2:7" ht="14" customHeight="1" x14ac:dyDescent="0.3">
      <c r="B41" s="4" t="s">
        <v>92</v>
      </c>
      <c r="C41" s="19">
        <f>C39-C40</f>
        <v>189163.30950000003</v>
      </c>
      <c r="D41" s="19">
        <f>D39-D40</f>
        <v>205981.6473810001</v>
      </c>
      <c r="E41" s="19">
        <f>E39-E40</f>
        <v>220965.44509314001</v>
      </c>
      <c r="F41" s="19">
        <f>F39-F40</f>
        <v>233628.09850914561</v>
      </c>
      <c r="G41" s="19">
        <f>G39-G40</f>
        <v>243682.97869814682</v>
      </c>
    </row>
    <row r="42" spans="2:7" ht="14" customHeight="1" x14ac:dyDescent="0.3">
      <c r="B42" s="4" t="s">
        <v>93</v>
      </c>
      <c r="C42" s="5">
        <f>C33*C18</f>
        <v>82543.989600000001</v>
      </c>
      <c r="D42" s="5">
        <f>D33*C18</f>
        <v>87496.628976000007</v>
      </c>
      <c r="E42" s="5">
        <f>E33*C18</f>
        <v>91433.977279919985</v>
      </c>
      <c r="F42" s="5">
        <f>F33*C18</f>
        <v>94634.166484717178</v>
      </c>
      <c r="G42" s="5">
        <f>G33*C18</f>
        <v>97473.19147925869</v>
      </c>
    </row>
    <row r="43" spans="2:7" ht="14" customHeight="1" x14ac:dyDescent="0.3">
      <c r="B43" s="4" t="s">
        <v>94</v>
      </c>
      <c r="C43" s="5">
        <v>145000</v>
      </c>
      <c r="D43" s="5">
        <v>135000</v>
      </c>
      <c r="E43" s="5">
        <v>122000</v>
      </c>
      <c r="F43" s="5">
        <v>110000</v>
      </c>
      <c r="G43" s="5">
        <v>102400</v>
      </c>
    </row>
    <row r="44" spans="2:7" ht="14" customHeight="1" x14ac:dyDescent="0.3">
      <c r="B44" s="4" t="s">
        <v>95</v>
      </c>
      <c r="C44" s="5">
        <f>'NWC Schedule'!D19</f>
        <v>-139785.9127643836</v>
      </c>
      <c r="D44" s="5">
        <f>'NWC Schedule'!E19</f>
        <v>41812.865234136931</v>
      </c>
      <c r="E44" s="5">
        <f>'NWC Schedule'!F19</f>
        <v>33241.227861138992</v>
      </c>
      <c r="F44" s="5">
        <f>'NWC Schedule'!G19</f>
        <v>27017.731311581098</v>
      </c>
      <c r="G44" s="5">
        <f>'NWC Schedule'!H19</f>
        <v>23968.587349274312</v>
      </c>
    </row>
    <row r="45" spans="2:7" ht="14" customHeight="1" x14ac:dyDescent="0.3">
      <c r="B45" s="4" t="s">
        <v>96</v>
      </c>
      <c r="C45" s="20">
        <f>C41+C42-C43-C44</f>
        <v>266493.21186438366</v>
      </c>
      <c r="D45" s="20">
        <f>D41+D42-D43-D44</f>
        <v>116665.41112286318</v>
      </c>
      <c r="E45" s="20">
        <f>E41+E42-E43-E44</f>
        <v>157158.19451192103</v>
      </c>
      <c r="F45" s="20">
        <f>F41+F42-F43-F44</f>
        <v>191244.53368228168</v>
      </c>
      <c r="G45" s="20">
        <f>G41+G42-G43-G44</f>
        <v>214787.58282813121</v>
      </c>
    </row>
    <row r="46" spans="2:7" ht="14" customHeight="1" x14ac:dyDescent="0.3">
      <c r="B46" s="4" t="s">
        <v>97</v>
      </c>
      <c r="C46" s="21">
        <f>1/(1+C26)^(C19+0)</f>
        <v>0.90522313750339456</v>
      </c>
      <c r="D46" s="21">
        <f>1/(1+C26)^(C19+1)</f>
        <v>0.81942892867148953</v>
      </c>
      <c r="E46" s="21">
        <f>1/(1+C26)^(C19+2)</f>
        <v>0.74176602577305117</v>
      </c>
      <c r="F46" s="21">
        <f>1/(1+C26)^(C19+3)</f>
        <v>0.67146376914370509</v>
      </c>
      <c r="G46" s="21">
        <f>1/(1+C26)^(C19+4)</f>
        <v>0.60782453982411977</v>
      </c>
    </row>
    <row r="47" spans="2:7" ht="14" customHeight="1" x14ac:dyDescent="0.3">
      <c r="B47" s="4" t="s">
        <v>98</v>
      </c>
      <c r="C47" s="19">
        <f>C45*C46</f>
        <v>241235.82136723422</v>
      </c>
      <c r="D47" s="19">
        <f>D45*D46</f>
        <v>95599.012849426654</v>
      </c>
      <c r="E47" s="19">
        <f>E45*E46</f>
        <v>116574.60936077581</v>
      </c>
      <c r="F47" s="19">
        <f>F45*F46</f>
        <v>128413.77541443512</v>
      </c>
      <c r="G47" s="19">
        <f>G45*G46</f>
        <v>130553.16369244386</v>
      </c>
    </row>
    <row r="49" spans="2:7" ht="14" customHeight="1" x14ac:dyDescent="0.3">
      <c r="B49" s="22" t="s">
        <v>99</v>
      </c>
      <c r="C49" s="23"/>
      <c r="D49" s="23"/>
      <c r="E49" s="23"/>
      <c r="F49" s="23"/>
      <c r="G49" s="23"/>
    </row>
    <row r="50" spans="2:7" ht="14" customHeight="1" x14ac:dyDescent="0.3">
      <c r="B50" s="4" t="s">
        <v>100</v>
      </c>
      <c r="C50" s="5">
        <f>SUM(C47:G47)</f>
        <v>712376.38268431567</v>
      </c>
    </row>
    <row r="51" spans="2:7" ht="14" customHeight="1" x14ac:dyDescent="0.3">
      <c r="B51" s="4" t="s">
        <v>101</v>
      </c>
      <c r="C51" s="5">
        <f>G45*(1+C13)/(C26-C13)</f>
        <v>2290765.1389272702</v>
      </c>
    </row>
    <row r="52" spans="2:7" ht="14" customHeight="1" x14ac:dyDescent="0.3">
      <c r="B52" s="4" t="s">
        <v>102</v>
      </c>
      <c r="C52" s="5">
        <f>C51*G46</f>
        <v>1392383.2664136039</v>
      </c>
    </row>
    <row r="53" spans="2:7" ht="14" customHeight="1" x14ac:dyDescent="0.3">
      <c r="B53" s="4" t="s">
        <v>103</v>
      </c>
      <c r="C53" s="5">
        <f>C50+C52</f>
        <v>2104759.6490979195</v>
      </c>
    </row>
    <row r="54" spans="2:7" ht="14" customHeight="1" x14ac:dyDescent="0.3">
      <c r="B54" s="4" t="s">
        <v>104</v>
      </c>
      <c r="C54" s="5">
        <f>C53-C16</f>
        <v>2254085.6490979195</v>
      </c>
    </row>
    <row r="55" spans="2:7" ht="14" customHeight="1" x14ac:dyDescent="0.3">
      <c r="B55" s="4" t="s">
        <v>105</v>
      </c>
      <c r="C55" s="24">
        <f>ROUND(C54*1000000/C15,0)</f>
        <v>1239</v>
      </c>
    </row>
    <row r="57" spans="2:7" ht="14" customHeight="1" x14ac:dyDescent="0.3">
      <c r="B57" s="22" t="s">
        <v>106</v>
      </c>
      <c r="C57" s="23"/>
      <c r="D57" s="23"/>
      <c r="E57" s="23"/>
      <c r="F57" s="23"/>
      <c r="G57" s="23"/>
    </row>
    <row r="58" spans="2:7" ht="14" customHeight="1" x14ac:dyDescent="0.3">
      <c r="B58" s="4" t="s">
        <v>100</v>
      </c>
      <c r="C58" s="5">
        <f>C50</f>
        <v>712376.38268431567</v>
      </c>
    </row>
    <row r="59" spans="2:7" ht="14" customHeight="1" x14ac:dyDescent="0.3">
      <c r="B59" s="4" t="s">
        <v>107</v>
      </c>
      <c r="C59" s="5">
        <f>G39+G42</f>
        <v>422383.82974345447</v>
      </c>
    </row>
    <row r="60" spans="2:7" ht="14" customHeight="1" x14ac:dyDescent="0.3">
      <c r="B60" s="4" t="s">
        <v>108</v>
      </c>
      <c r="C60" s="5">
        <f>C59*C14</f>
        <v>4561745.3612293089</v>
      </c>
    </row>
    <row r="61" spans="2:7" ht="14" customHeight="1" x14ac:dyDescent="0.3">
      <c r="B61" s="4" t="s">
        <v>102</v>
      </c>
      <c r="C61" s="5">
        <f>C60*G46</f>
        <v>2772740.7749840175</v>
      </c>
    </row>
    <row r="62" spans="2:7" ht="14" customHeight="1" x14ac:dyDescent="0.3">
      <c r="B62" s="4" t="s">
        <v>103</v>
      </c>
      <c r="C62" s="5">
        <f>C58+C61</f>
        <v>3485117.157668333</v>
      </c>
    </row>
    <row r="63" spans="2:7" ht="14" customHeight="1" x14ac:dyDescent="0.3">
      <c r="B63" s="4" t="s">
        <v>104</v>
      </c>
      <c r="C63" s="5">
        <f>C62-C16</f>
        <v>3634443.157668333</v>
      </c>
    </row>
    <row r="64" spans="2:7" ht="14" customHeight="1" x14ac:dyDescent="0.3">
      <c r="B64" s="4" t="s">
        <v>109</v>
      </c>
      <c r="C64" s="24">
        <f>ROUND(C63*1000000/C15,0)</f>
        <v>1997</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0.08</v>
      </c>
      <c r="D69" s="26">
        <v>0.06</v>
      </c>
      <c r="E69" s="26">
        <v>4.4999999999999998E-2</v>
      </c>
      <c r="F69" s="26">
        <v>3.5000000000000003E-2</v>
      </c>
      <c r="G69" s="26">
        <v>0.03</v>
      </c>
    </row>
    <row r="70" spans="2:7" ht="14" customHeight="1" x14ac:dyDescent="0.3">
      <c r="B70" s="4" t="s">
        <v>116</v>
      </c>
      <c r="C70" s="26">
        <v>0.1</v>
      </c>
      <c r="D70" s="26">
        <v>0.08</v>
      </c>
      <c r="E70" s="26">
        <v>0.06</v>
      </c>
      <c r="F70" s="26">
        <v>4.4999999999999998E-2</v>
      </c>
      <c r="G70" s="26">
        <v>0.04</v>
      </c>
    </row>
    <row r="71" spans="2:7" ht="14" customHeight="1" x14ac:dyDescent="0.3">
      <c r="B71" s="4" t="s">
        <v>117</v>
      </c>
      <c r="C71" s="26">
        <v>0.08</v>
      </c>
      <c r="D71" s="26">
        <v>0.06</v>
      </c>
      <c r="E71" s="26">
        <v>4.4999999999999998E-2</v>
      </c>
      <c r="F71" s="26">
        <v>3.5000000000000003E-2</v>
      </c>
      <c r="G71" s="26">
        <v>0.03</v>
      </c>
    </row>
    <row r="72" spans="2:7" ht="14" customHeight="1" x14ac:dyDescent="0.3">
      <c r="B72" s="4" t="s">
        <v>118</v>
      </c>
      <c r="C72" s="26">
        <v>0.02</v>
      </c>
      <c r="D72" s="26">
        <v>1.4999999999999999E-2</v>
      </c>
      <c r="E72" s="26">
        <v>0.01</v>
      </c>
      <c r="F72" s="26">
        <v>0.01</v>
      </c>
      <c r="G72" s="26">
        <v>0.01</v>
      </c>
    </row>
    <row r="73" spans="2:7" ht="14" customHeight="1" x14ac:dyDescent="0.3">
      <c r="B73" s="4" t="s">
        <v>119</v>
      </c>
      <c r="C73" s="26">
        <v>-0.05</v>
      </c>
      <c r="D73" s="26">
        <v>-0.01</v>
      </c>
      <c r="E73" s="26">
        <v>5.0000000000000001E-3</v>
      </c>
      <c r="F73" s="26">
        <v>0.01</v>
      </c>
      <c r="G73" s="26">
        <v>1.4999999999999999E-2</v>
      </c>
    </row>
    <row r="75" spans="2:7" ht="14" customHeight="1" x14ac:dyDescent="0.3">
      <c r="B75" s="3" t="s">
        <v>86</v>
      </c>
    </row>
    <row r="76" spans="2:7" ht="14" customHeight="1" x14ac:dyDescent="0.3">
      <c r="B76" s="4" t="s">
        <v>79</v>
      </c>
      <c r="C76" s="26">
        <v>0.315</v>
      </c>
      <c r="D76" s="26">
        <v>0.315</v>
      </c>
      <c r="E76" s="26">
        <v>0.315</v>
      </c>
      <c r="F76" s="26">
        <v>0.315</v>
      </c>
      <c r="G76" s="26">
        <v>0.315</v>
      </c>
    </row>
    <row r="77" spans="2:7" ht="14" customHeight="1" x14ac:dyDescent="0.3">
      <c r="B77" s="4" t="s">
        <v>116</v>
      </c>
      <c r="C77" s="26">
        <v>0.31</v>
      </c>
      <c r="D77" s="26">
        <v>0.31</v>
      </c>
      <c r="E77" s="26">
        <v>0.31</v>
      </c>
      <c r="F77" s="26">
        <v>0.31</v>
      </c>
      <c r="G77" s="26">
        <v>0.31</v>
      </c>
    </row>
    <row r="78" spans="2:7" ht="14" customHeight="1" x14ac:dyDescent="0.3">
      <c r="B78" s="4" t="s">
        <v>117</v>
      </c>
      <c r="C78" s="26">
        <v>0.315</v>
      </c>
      <c r="D78" s="26">
        <v>0.315</v>
      </c>
      <c r="E78" s="26">
        <v>0.315</v>
      </c>
      <c r="F78" s="26">
        <v>0.315</v>
      </c>
      <c r="G78" s="26">
        <v>0.315</v>
      </c>
    </row>
    <row r="79" spans="2:7" ht="14" customHeight="1" x14ac:dyDescent="0.3">
      <c r="B79" s="4" t="s">
        <v>118</v>
      </c>
      <c r="C79" s="26">
        <v>0.32</v>
      </c>
      <c r="D79" s="26">
        <v>0.32</v>
      </c>
      <c r="E79" s="26">
        <v>0.32</v>
      </c>
      <c r="F79" s="26">
        <v>0.32</v>
      </c>
      <c r="G79" s="26">
        <v>0.32</v>
      </c>
    </row>
    <row r="80" spans="2:7" ht="14" customHeight="1" x14ac:dyDescent="0.3">
      <c r="B80" s="4" t="s">
        <v>119</v>
      </c>
      <c r="C80" s="26">
        <v>0.33</v>
      </c>
      <c r="D80" s="26">
        <v>0.33</v>
      </c>
      <c r="E80" s="26">
        <v>0.33</v>
      </c>
      <c r="F80" s="26">
        <v>0.33</v>
      </c>
      <c r="G80" s="26">
        <v>0.33</v>
      </c>
    </row>
    <row r="82" spans="2:7" ht="14" customHeight="1" x14ac:dyDescent="0.3">
      <c r="B82" s="3" t="s">
        <v>87</v>
      </c>
    </row>
    <row r="83" spans="2:7" ht="14" customHeight="1" x14ac:dyDescent="0.3">
      <c r="B83" s="4" t="s">
        <v>79</v>
      </c>
      <c r="C83" s="26">
        <v>0.57499999999999996</v>
      </c>
      <c r="D83" s="26">
        <v>0.57199999999999995</v>
      </c>
      <c r="E83" s="26">
        <v>0.56899999999999995</v>
      </c>
      <c r="F83" s="26">
        <v>0.5665</v>
      </c>
      <c r="G83" s="26">
        <v>0.56499999999999995</v>
      </c>
    </row>
    <row r="84" spans="2:7" ht="14" customHeight="1" x14ac:dyDescent="0.3">
      <c r="B84" s="4" t="s">
        <v>116</v>
      </c>
      <c r="C84" s="26">
        <v>0.57199999999999995</v>
      </c>
      <c r="D84" s="26">
        <v>0.56399999999999995</v>
      </c>
      <c r="E84" s="26">
        <v>0.55600000000000005</v>
      </c>
      <c r="F84" s="26">
        <v>0.55000000000000004</v>
      </c>
      <c r="G84" s="26">
        <v>0.54690000000000005</v>
      </c>
    </row>
    <row r="85" spans="2:7" ht="14" customHeight="1" x14ac:dyDescent="0.3">
      <c r="B85" s="4" t="s">
        <v>117</v>
      </c>
      <c r="C85" s="26">
        <v>0.57499999999999996</v>
      </c>
      <c r="D85" s="26">
        <v>0.57199999999999995</v>
      </c>
      <c r="E85" s="26">
        <v>0.56899999999999995</v>
      </c>
      <c r="F85" s="26">
        <v>0.5665</v>
      </c>
      <c r="G85" s="26">
        <v>0.56499999999999995</v>
      </c>
    </row>
    <row r="86" spans="2:7" ht="14" customHeight="1" x14ac:dyDescent="0.3">
      <c r="B86" s="4" t="s">
        <v>118</v>
      </c>
      <c r="C86" s="26">
        <v>0.57299999999999995</v>
      </c>
      <c r="D86" s="26">
        <v>0.57399999999999995</v>
      </c>
      <c r="E86" s="26">
        <v>0.57499999999999996</v>
      </c>
      <c r="F86" s="26">
        <v>0.57550000000000001</v>
      </c>
      <c r="G86" s="26">
        <v>0.57550000000000001</v>
      </c>
    </row>
    <row r="87" spans="2:7" ht="14" customHeight="1" x14ac:dyDescent="0.3">
      <c r="B87" s="4" t="s">
        <v>119</v>
      </c>
      <c r="C87" s="26">
        <v>0.57999999999999996</v>
      </c>
      <c r="D87" s="26">
        <v>0.59</v>
      </c>
      <c r="E87" s="26">
        <v>0.58499999999999996</v>
      </c>
      <c r="F87" s="26">
        <v>0.57999999999999996</v>
      </c>
      <c r="G87" s="26">
        <v>0.57569999999999999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2794</v>
      </c>
    </row>
    <row r="7" spans="2:9" ht="14" customHeight="1" x14ac:dyDescent="0.3">
      <c r="B7" s="4" t="s">
        <v>67</v>
      </c>
      <c r="C7" s="15">
        <f>'DCF Model'!C15</f>
        <v>1819653230</v>
      </c>
    </row>
    <row r="8" spans="2:9" ht="14" customHeight="1" x14ac:dyDescent="0.3">
      <c r="B8" s="4" t="s">
        <v>124</v>
      </c>
      <c r="C8" s="5">
        <f>C6*C7/1000000</f>
        <v>5084111.1246199999</v>
      </c>
    </row>
    <row r="9" spans="2:9" ht="14" customHeight="1" x14ac:dyDescent="0.3">
      <c r="B9" s="4" t="s">
        <v>68</v>
      </c>
      <c r="C9" s="5">
        <f>'DCF Model'!C16</f>
        <v>-149326</v>
      </c>
    </row>
    <row r="10" spans="2:9" ht="14" customHeight="1" x14ac:dyDescent="0.3">
      <c r="B10" s="4" t="s">
        <v>125</v>
      </c>
      <c r="C10" s="5">
        <f>C8+C9</f>
        <v>4934785.1246199999</v>
      </c>
    </row>
    <row r="11" spans="2:9" ht="14" customHeight="1" x14ac:dyDescent="0.3">
      <c r="B11" s="4" t="s">
        <v>126</v>
      </c>
      <c r="C11" s="16">
        <f>'DCF Model'!C26</f>
        <v>0.1047</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229089</v>
      </c>
    </row>
    <row r="15" spans="2:9" ht="14" customHeight="1" x14ac:dyDescent="0.3">
      <c r="B15" s="4" t="s">
        <v>130</v>
      </c>
      <c r="C15" s="27">
        <v>331925</v>
      </c>
    </row>
    <row r="16" spans="2:9" ht="14" customHeight="1" x14ac:dyDescent="0.3">
      <c r="B16" s="4" t="s">
        <v>131</v>
      </c>
      <c r="C16" s="5">
        <f>'DCF Model'!G33</f>
        <v>2707588.6522016306</v>
      </c>
    </row>
    <row r="17" spans="2:9" ht="14" customHeight="1" x14ac:dyDescent="0.3">
      <c r="B17" s="4" t="s">
        <v>132</v>
      </c>
      <c r="C17" s="5">
        <f>'DCF Model'!C53</f>
        <v>2104759.6490979195</v>
      </c>
    </row>
    <row r="18" spans="2:9" ht="14" customHeight="1" x14ac:dyDescent="0.3">
      <c r="B18" s="4" t="s">
        <v>133</v>
      </c>
      <c r="C18" s="26">
        <v>0.1759702818705414</v>
      </c>
    </row>
    <row r="19" spans="2:9" ht="14" customHeight="1" x14ac:dyDescent="0.3">
      <c r="B19" s="4" t="s">
        <v>134</v>
      </c>
      <c r="C19" s="5">
        <f>C10-C17</f>
        <v>2830025.4755220804</v>
      </c>
    </row>
    <row r="20" spans="2:9" ht="14" customHeight="1" x14ac:dyDescent="0.3">
      <c r="B20" s="4" t="s">
        <v>135</v>
      </c>
      <c r="C20" s="15">
        <f>IFERROR(ROUND(C19*1000000/C7,0),"N/A")</f>
        <v>1555</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467324.15130151401</v>
      </c>
    </row>
    <row r="25" spans="2:9" ht="14" customHeight="1" x14ac:dyDescent="0.3">
      <c r="B25" s="4" t="s">
        <v>139</v>
      </c>
      <c r="C25" s="5">
        <f>IFERROR(C24/(1-C13),"N/A")</f>
        <v>623098.86840201868</v>
      </c>
    </row>
    <row r="26" spans="2:9" ht="13.5" customHeight="1" x14ac:dyDescent="0.25">
      <c r="B26" s="6" t="s">
        <v>140</v>
      </c>
      <c r="C26" s="14">
        <f>IFERROR(C25/C15,"N/A")</f>
        <v>1.8772278930542101</v>
      </c>
    </row>
    <row r="27" spans="2:9" ht="13.5" customHeight="1" x14ac:dyDescent="0.25">
      <c r="B27" s="6" t="s">
        <v>141</v>
      </c>
      <c r="C27" s="14">
        <f>IFERROR(C25/C14,"N/A")</f>
        <v>2.7198986786882768</v>
      </c>
    </row>
    <row r="28" spans="2:9" ht="13.5" customHeight="1" x14ac:dyDescent="0.25">
      <c r="B28" s="6" t="s">
        <v>142</v>
      </c>
      <c r="C28" s="7">
        <f>IFERROR(C25/C16,"N/A")</f>
        <v>0.23013055099612573</v>
      </c>
    </row>
    <row r="29" spans="2:9" ht="13.5" customHeight="1" x14ac:dyDescent="0.25">
      <c r="B29" s="6" t="s">
        <v>143</v>
      </c>
      <c r="C29" s="5">
        <f>IFERROR(C25/C18,"N/A")</f>
        <v>3540932.3766408628</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8.4699999999999998E-2</v>
      </c>
      <c r="E36" s="29">
        <f>'DCF Model'!C26-0.01</f>
        <v>9.4700000000000006E-2</v>
      </c>
      <c r="F36" s="29">
        <f>'DCF Model'!C26</f>
        <v>0.1047</v>
      </c>
      <c r="G36" s="29">
        <f>'DCF Model'!C26+0.01</f>
        <v>0.1147</v>
      </c>
      <c r="H36" s="29">
        <f>'DCF Model'!C26+0.02</f>
        <v>0.12470000000000001</v>
      </c>
    </row>
    <row r="37" spans="2:9" ht="14" customHeight="1" x14ac:dyDescent="0.3">
      <c r="B37" s="3" t="s">
        <v>149</v>
      </c>
    </row>
    <row r="38" spans="2:9" ht="14" customHeight="1" x14ac:dyDescent="0.3">
      <c r="B38" s="4" t="s">
        <v>150</v>
      </c>
      <c r="C38" s="30">
        <v>3</v>
      </c>
      <c r="D38" s="13">
        <f t="shared" ref="D38:H41" si="0">IFERROR((1-(1+D$36)^(-$C38))/D$36-(1+D$36)/(D$36^2*$C38)*(1-($C38+1)/(1+D$36)^$C38+$C38/(1+D$36)^($C38+1)),"N/A")</f>
        <v>0.89791767101267017</v>
      </c>
      <c r="E38" s="13">
        <f t="shared" si="0"/>
        <v>0.88715090313639156</v>
      </c>
      <c r="F38" s="13">
        <f t="shared" si="0"/>
        <v>0.8766250678927674</v>
      </c>
      <c r="G38" s="13">
        <f t="shared" si="0"/>
        <v>0.8663324539873869</v>
      </c>
      <c r="H38" s="13">
        <f t="shared" si="0"/>
        <v>0.85626566763067169</v>
      </c>
    </row>
    <row r="39" spans="2:9" ht="14" customHeight="1" x14ac:dyDescent="0.3">
      <c r="B39" s="4" t="s">
        <v>151</v>
      </c>
      <c r="C39" s="30">
        <v>5</v>
      </c>
      <c r="D39" s="13">
        <f t="shared" si="0"/>
        <v>1.7053839785028742</v>
      </c>
      <c r="E39" s="13">
        <f t="shared" si="0"/>
        <v>1.6756542156273726</v>
      </c>
      <c r="F39" s="13">
        <f t="shared" si="0"/>
        <v>1.6468350313435702</v>
      </c>
      <c r="G39" s="13">
        <f t="shared" si="0"/>
        <v>1.6188882647482199</v>
      </c>
      <c r="H39" s="13">
        <f t="shared" si="0"/>
        <v>1.591777744036055</v>
      </c>
    </row>
    <row r="40" spans="2:9" ht="14" customHeight="1" x14ac:dyDescent="0.3">
      <c r="B40" s="4" t="s">
        <v>152</v>
      </c>
      <c r="C40" s="30">
        <v>7</v>
      </c>
      <c r="D40" s="13">
        <f t="shared" si="0"/>
        <v>2.4326219733811332</v>
      </c>
      <c r="E40" s="13">
        <f t="shared" si="0"/>
        <v>2.3778135383305101</v>
      </c>
      <c r="F40" s="13">
        <f t="shared" si="0"/>
        <v>2.3251149707915095</v>
      </c>
      <c r="G40" s="13">
        <f t="shared" si="0"/>
        <v>2.2744177429264396</v>
      </c>
      <c r="H40" s="13">
        <f t="shared" si="0"/>
        <v>2.2256201338324573</v>
      </c>
    </row>
    <row r="41" spans="2:9" ht="14" customHeight="1" x14ac:dyDescent="0.3">
      <c r="B41" s="4" t="s">
        <v>153</v>
      </c>
      <c r="C41" s="30">
        <v>10</v>
      </c>
      <c r="D41" s="13">
        <f t="shared" si="0"/>
        <v>3.392423269542153</v>
      </c>
      <c r="E41" s="13">
        <f t="shared" si="0"/>
        <v>3.2921058635017864</v>
      </c>
      <c r="F41" s="13">
        <f t="shared" si="0"/>
        <v>3.1967640886759918</v>
      </c>
      <c r="G41" s="13">
        <f t="shared" si="0"/>
        <v>3.1060742842930376</v>
      </c>
      <c r="H41" s="13">
        <f t="shared" si="0"/>
        <v>3.0197380234086331</v>
      </c>
    </row>
    <row r="42" spans="2:9" ht="14" customHeight="1" x14ac:dyDescent="0.3">
      <c r="B42" s="3" t="s">
        <v>154</v>
      </c>
    </row>
    <row r="43" spans="2:9" ht="14" customHeight="1" x14ac:dyDescent="0.3">
      <c r="B43" s="4" t="s">
        <v>150</v>
      </c>
      <c r="C43" s="30">
        <v>3</v>
      </c>
      <c r="D43" s="13">
        <f t="shared" ref="D43:H46" si="1">IFERROR((1+D$36)/(D$36^2*$C43)*(1-($C43+1)/(1+D$36)^$C43+$C43/(1+D$36)^($C43+1))+(1+$C$12)/((D$36-$C$12)*(1+D$36)^$C43),"N/A")</f>
        <v>12.251769193807187</v>
      </c>
      <c r="E43" s="13">
        <f t="shared" si="1"/>
        <v>10.712853768833034</v>
      </c>
      <c r="F43" s="13">
        <f t="shared" si="1"/>
        <v>9.5009195924900336</v>
      </c>
      <c r="G43" s="13">
        <f t="shared" si="1"/>
        <v>8.5222162563676331</v>
      </c>
      <c r="H43" s="13">
        <f t="shared" si="1"/>
        <v>7.7156897801688586</v>
      </c>
    </row>
    <row r="44" spans="2:9" ht="14" customHeight="1" x14ac:dyDescent="0.3">
      <c r="B44" s="4" t="s">
        <v>151</v>
      </c>
      <c r="C44" s="30">
        <v>5</v>
      </c>
      <c r="D44" s="13">
        <f t="shared" si="1"/>
        <v>11.242705728979853</v>
      </c>
      <c r="E44" s="13">
        <f t="shared" si="1"/>
        <v>9.7521406215744619</v>
      </c>
      <c r="F44" s="13">
        <f t="shared" si="1"/>
        <v>8.5814773381293286</v>
      </c>
      <c r="G44" s="13">
        <f t="shared" si="1"/>
        <v>7.6388416702883717</v>
      </c>
      <c r="H44" s="13">
        <f t="shared" si="1"/>
        <v>6.8644099999400972</v>
      </c>
    </row>
    <row r="45" spans="2:9" ht="14" customHeight="1" x14ac:dyDescent="0.3">
      <c r="B45" s="4" t="s">
        <v>152</v>
      </c>
      <c r="C45" s="30">
        <v>7</v>
      </c>
      <c r="D45" s="13">
        <f t="shared" si="1"/>
        <v>10.344125224479335</v>
      </c>
      <c r="E45" s="13">
        <f t="shared" si="1"/>
        <v>8.9062776770838088</v>
      </c>
      <c r="F45" s="13">
        <f t="shared" si="1"/>
        <v>7.7809121424178977</v>
      </c>
      <c r="G45" s="13">
        <f t="shared" si="1"/>
        <v>6.8780302041409556</v>
      </c>
      <c r="H45" s="13">
        <f t="shared" si="1"/>
        <v>6.1390480278782977</v>
      </c>
    </row>
    <row r="46" spans="2:9" ht="14" customHeight="1" x14ac:dyDescent="0.3">
      <c r="B46" s="4" t="s">
        <v>153</v>
      </c>
      <c r="C46" s="30">
        <v>10</v>
      </c>
      <c r="D46" s="13">
        <f t="shared" si="1"/>
        <v>9.1742946031890646</v>
      </c>
      <c r="E46" s="13">
        <f t="shared" si="1"/>
        <v>7.8197742135626989</v>
      </c>
      <c r="F46" s="13">
        <f t="shared" si="1"/>
        <v>6.7659615713919861</v>
      </c>
      <c r="G46" s="13">
        <f t="shared" si="1"/>
        <v>5.9256990876347668</v>
      </c>
      <c r="H46" s="13">
        <f t="shared" si="1"/>
        <v>5.2423032420831337</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520252.24580467428</v>
      </c>
      <c r="E48" s="5">
        <f t="shared" si="2"/>
        <v>595217.40180901578</v>
      </c>
      <c r="F48" s="5">
        <f t="shared" si="2"/>
        <v>671396.9397611802</v>
      </c>
      <c r="G48" s="5">
        <f t="shared" si="2"/>
        <v>748777.79112609057</v>
      </c>
      <c r="H48" s="5">
        <f t="shared" si="2"/>
        <v>827346.95611644792</v>
      </c>
    </row>
    <row r="49" spans="2:9" ht="14" customHeight="1" x14ac:dyDescent="0.3">
      <c r="B49" s="4" t="s">
        <v>151</v>
      </c>
      <c r="C49" s="30">
        <v>5</v>
      </c>
      <c r="D49" s="5">
        <f t="shared" si="2"/>
        <v>550492.82071742637</v>
      </c>
      <c r="E49" s="5">
        <f t="shared" si="2"/>
        <v>635331.23560406268</v>
      </c>
      <c r="F49" s="5">
        <f t="shared" si="2"/>
        <v>722770.85455194279</v>
      </c>
      <c r="G49" s="5">
        <f t="shared" si="2"/>
        <v>812799.14858819696</v>
      </c>
      <c r="H49" s="5">
        <f t="shared" si="2"/>
        <v>905402.60968445858</v>
      </c>
    </row>
    <row r="50" spans="2:9" ht="14" customHeight="1" x14ac:dyDescent="0.3">
      <c r="B50" s="4" t="s">
        <v>152</v>
      </c>
      <c r="C50" s="30">
        <v>7</v>
      </c>
      <c r="D50" s="5">
        <f t="shared" si="2"/>
        <v>582207.43016348768</v>
      </c>
      <c r="E50" s="5">
        <f t="shared" si="2"/>
        <v>677609.97272058739</v>
      </c>
      <c r="F50" s="5">
        <f t="shared" si="2"/>
        <v>777165.34067824227</v>
      </c>
      <c r="G50" s="5">
        <f t="shared" si="2"/>
        <v>880872.75475126633</v>
      </c>
      <c r="H50" s="5">
        <f t="shared" si="2"/>
        <v>988727.95604297891</v>
      </c>
    </row>
    <row r="51" spans="2:9" ht="14" customHeight="1" x14ac:dyDescent="0.3">
      <c r="B51" s="4" t="s">
        <v>153</v>
      </c>
      <c r="C51" s="30">
        <v>10</v>
      </c>
      <c r="D51" s="5">
        <f t="shared" si="2"/>
        <v>632478.77859516046</v>
      </c>
      <c r="E51" s="5">
        <f t="shared" si="2"/>
        <v>744973.97242310585</v>
      </c>
      <c r="F51" s="5">
        <f t="shared" si="2"/>
        <v>864233.40562657639</v>
      </c>
      <c r="G51" s="5">
        <f t="shared" si="2"/>
        <v>990287.55274193094</v>
      </c>
      <c r="H51" s="5">
        <f t="shared" si="2"/>
        <v>1123156.0754026487</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1.5673789133228118</v>
      </c>
      <c r="E53" s="14">
        <f t="shared" si="3"/>
        <v>1.7932285962461876</v>
      </c>
      <c r="F53" s="14">
        <f t="shared" si="3"/>
        <v>2.0227368826125787</v>
      </c>
      <c r="G53" s="14">
        <f t="shared" si="3"/>
        <v>2.2558644004702586</v>
      </c>
      <c r="H53" s="14">
        <f t="shared" si="3"/>
        <v>2.4925719849859092</v>
      </c>
    </row>
    <row r="54" spans="2:9" ht="14" customHeight="1" x14ac:dyDescent="0.3">
      <c r="B54" s="4" t="s">
        <v>151</v>
      </c>
      <c r="C54" s="30">
        <v>5</v>
      </c>
      <c r="D54" s="14">
        <f t="shared" si="3"/>
        <v>1.6584855636587372</v>
      </c>
      <c r="E54" s="14">
        <f t="shared" si="3"/>
        <v>1.9140806977602249</v>
      </c>
      <c r="F54" s="14">
        <f t="shared" si="3"/>
        <v>2.1775125541973122</v>
      </c>
      <c r="G54" s="14">
        <f t="shared" si="3"/>
        <v>2.4487433865728612</v>
      </c>
      <c r="H54" s="14">
        <f t="shared" si="3"/>
        <v>2.7277324988610636</v>
      </c>
    </row>
    <row r="55" spans="2:9" ht="14" customHeight="1" x14ac:dyDescent="0.3">
      <c r="B55" s="4" t="s">
        <v>152</v>
      </c>
      <c r="C55" s="30">
        <v>7</v>
      </c>
      <c r="D55" s="14">
        <f t="shared" si="3"/>
        <v>1.7540330802545385</v>
      </c>
      <c r="E55" s="14">
        <f t="shared" si="3"/>
        <v>2.04145506581483</v>
      </c>
      <c r="F55" s="14">
        <f t="shared" si="3"/>
        <v>2.3413883879739168</v>
      </c>
      <c r="G55" s="14">
        <f t="shared" si="3"/>
        <v>2.6538306989568921</v>
      </c>
      <c r="H55" s="14">
        <f t="shared" si="3"/>
        <v>2.9787691678631587</v>
      </c>
    </row>
    <row r="56" spans="2:9" ht="14" customHeight="1" x14ac:dyDescent="0.3">
      <c r="B56" s="4" t="s">
        <v>153</v>
      </c>
      <c r="C56" s="30">
        <v>10</v>
      </c>
      <c r="D56" s="14">
        <f t="shared" si="3"/>
        <v>1.9054870184383836</v>
      </c>
      <c r="E56" s="14">
        <f t="shared" si="3"/>
        <v>2.2444045263933292</v>
      </c>
      <c r="F56" s="14">
        <f t="shared" si="3"/>
        <v>2.603700852983585</v>
      </c>
      <c r="G56" s="14">
        <f t="shared" si="3"/>
        <v>2.9834678097218679</v>
      </c>
      <c r="H56" s="14">
        <f t="shared" si="3"/>
        <v>3.3837646317772045</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722770.85455194279</v>
      </c>
    </row>
    <row r="62" spans="2:9" ht="14" customHeight="1" x14ac:dyDescent="0.3">
      <c r="B62" s="28" t="s">
        <v>160</v>
      </c>
      <c r="C62" s="28" t="s">
        <v>161</v>
      </c>
      <c r="D62" s="28" t="s">
        <v>162</v>
      </c>
    </row>
    <row r="63" spans="2:9" ht="14" customHeight="1" x14ac:dyDescent="0.3">
      <c r="B63" s="31">
        <v>8.7999999999999995E-2</v>
      </c>
      <c r="C63" s="5">
        <f>IFERROR($C$60/B63,"N/A")</f>
        <v>8213305.1653629867</v>
      </c>
      <c r="D63" s="14">
        <f>IFERROR(C63/'DCF Model'!C17,"N/A")</f>
        <v>3.8686439361214608</v>
      </c>
    </row>
    <row r="64" spans="2:9" ht="14" customHeight="1" x14ac:dyDescent="0.3">
      <c r="B64" s="31">
        <v>0.13200000000000001</v>
      </c>
      <c r="C64" s="5">
        <f>IFERROR($C$60/B64,"N/A")</f>
        <v>5475536.7769086575</v>
      </c>
      <c r="D64" s="14">
        <f>IFERROR(C64/'DCF Model'!C17,"N/A")</f>
        <v>2.5790959574143071</v>
      </c>
    </row>
    <row r="65" spans="2:9" ht="14" customHeight="1" x14ac:dyDescent="0.3">
      <c r="B65" s="4" t="s">
        <v>163</v>
      </c>
      <c r="C65" s="5">
        <f>IFERROR($C$60/$C$18,"N/A")</f>
        <v>4107346.1204300057</v>
      </c>
      <c r="D65" s="14">
        <f>IFERROR(C65/'DCF Model'!C17,"N/A")</f>
        <v>1.9346486393034561</v>
      </c>
    </row>
    <row r="66" spans="2:9" ht="14" customHeight="1" x14ac:dyDescent="0.3">
      <c r="B66" s="31">
        <v>0.22</v>
      </c>
      <c r="C66" s="5">
        <f>IFERROR($C$60/B66,"N/A")</f>
        <v>3285322.0661451947</v>
      </c>
      <c r="D66" s="14">
        <f>IFERROR(C66/'DCF Model'!C17,"N/A")</f>
        <v>1.5474575744485843</v>
      </c>
    </row>
    <row r="67" spans="2:9" ht="14" customHeight="1" x14ac:dyDescent="0.3">
      <c r="B67" s="31">
        <v>0.26400000000000001</v>
      </c>
      <c r="C67" s="5">
        <f>IFERROR($C$60/B67,"N/A")</f>
        <v>2737768.3884543288</v>
      </c>
      <c r="D67" s="14">
        <f>IFERROR(C67/'DCF Model'!C17,"N/A")</f>
        <v>1.2895479787071535</v>
      </c>
    </row>
    <row r="69" spans="2:9" ht="14" customHeight="1" x14ac:dyDescent="0.3">
      <c r="B69" s="8" t="s">
        <v>164</v>
      </c>
      <c r="C69" s="9"/>
      <c r="D69" s="9"/>
      <c r="E69" s="9"/>
      <c r="F69" s="9"/>
      <c r="G69" s="9"/>
      <c r="H69" s="9"/>
      <c r="I69" s="9"/>
    </row>
    <row r="70" spans="2:9" ht="13.5" customHeight="1" x14ac:dyDescent="0.25">
      <c r="B70" s="6" t="s">
        <v>165</v>
      </c>
      <c r="C70" s="14">
        <f>IFERROR(C10/'Comps Analysis'!G5,"N/A")</f>
        <v>16.097867305455246</v>
      </c>
    </row>
    <row r="71" spans="2:9" ht="13.5" customHeight="1" x14ac:dyDescent="0.25">
      <c r="B71" s="6" t="s">
        <v>166</v>
      </c>
      <c r="C71" s="14">
        <f>IFERROR(C10/'Comps Analysis'!F5,"N/A")</f>
        <v>2.3243902623919888</v>
      </c>
    </row>
    <row r="72" spans="2:9" ht="14" customHeight="1" x14ac:dyDescent="0.3">
      <c r="B72" s="4" t="s">
        <v>167</v>
      </c>
      <c r="C72" s="14">
        <f>IFERROR(C10/(C25+'DCF Model'!G42),"N/A")</f>
        <v>6.8484269643109155</v>
      </c>
    </row>
    <row r="73" spans="2:9" ht="14" customHeight="1" x14ac:dyDescent="0.3">
      <c r="B73" s="4" t="s">
        <v>168</v>
      </c>
      <c r="C73" s="14">
        <f>IFERROR(C10/(C60+'DCF Model'!G42),"N/A")</f>
        <v>6.0162401037803868</v>
      </c>
    </row>
    <row r="74" spans="2:9" ht="14" customHeight="1" x14ac:dyDescent="0.3">
      <c r="B74" s="4" t="s">
        <v>169</v>
      </c>
      <c r="C74" s="14">
        <f>IFERROR('Comps Analysis'!D16,"N/A")</f>
        <v>10.79340776052244</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2,794 yen the market is paying for a steady-state operating profit of 722,771 mn JPY - 2.18x the FY2025 cycle peak of 331,925 mn - reached in 5 years and sustained for ever, against 229,089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623,099 mn, or 1.88x the peak. The base case supports an EV of only 2,104,760 mn, leaving 1,555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127.41977913798341</v>
      </c>
      <c r="D5" s="34">
        <f>CHOOSE('DCF Model'!$D$27,D25,D26,D27,D28,D29)</f>
        <v>127</v>
      </c>
      <c r="E5" s="34">
        <f>CHOOSE('DCF Model'!$D$27,E25,E26,E27,E28,E29)</f>
        <v>127</v>
      </c>
      <c r="F5" s="34">
        <f>CHOOSE('DCF Model'!$D$27,F25,F26,F27,F28,F29)</f>
        <v>127</v>
      </c>
      <c r="G5" s="34">
        <f>CHOOSE('DCF Model'!$D$27,G25,G26,G27,G28,G29)</f>
        <v>127</v>
      </c>
      <c r="H5" s="34">
        <f>CHOOSE('DCF Model'!$D$27,H25,H26,H27,H28,H29)</f>
        <v>127</v>
      </c>
    </row>
    <row r="6" spans="2:8" ht="14" customHeight="1" x14ac:dyDescent="0.3">
      <c r="B6" s="33" t="s">
        <v>176</v>
      </c>
      <c r="C6" s="34">
        <f>C13/C10*365</f>
        <v>377.72940534642663</v>
      </c>
      <c r="D6" s="34">
        <f>CHOOSE('DCF Model'!$D$27,D32,D33,D34,D35,D36)</f>
        <v>379</v>
      </c>
      <c r="E6" s="34">
        <f>CHOOSE('DCF Model'!$D$27,E32,E33,E34,E35,E36)</f>
        <v>379</v>
      </c>
      <c r="F6" s="34">
        <f>CHOOSE('DCF Model'!$D$27,F32,F33,F34,F35,F36)</f>
        <v>379</v>
      </c>
      <c r="G6" s="34">
        <f>CHOOSE('DCF Model'!$D$27,G32,G33,G34,G35,G36)</f>
        <v>379</v>
      </c>
      <c r="H6" s="34">
        <f>CHOOSE('DCF Model'!$D$27,H32,H33,H34,H35,H36)</f>
        <v>379</v>
      </c>
    </row>
    <row r="7" spans="2:8" ht="14" customHeight="1" x14ac:dyDescent="0.3">
      <c r="B7" s="33" t="s">
        <v>177</v>
      </c>
      <c r="C7" s="34">
        <f>C15/C10*365</f>
        <v>325.61702127659578</v>
      </c>
      <c r="D7" s="34">
        <f>CHOOSE('DCF Model'!$D$27,D39,D40,D41,D42,D43)</f>
        <v>430</v>
      </c>
      <c r="E7" s="34">
        <f>CHOOSE('DCF Model'!$D$27,E39,E40,E41,E42,E43)</f>
        <v>430</v>
      </c>
      <c r="F7" s="34">
        <f>CHOOSE('DCF Model'!$D$27,F39,F40,F41,F42,F43)</f>
        <v>430</v>
      </c>
      <c r="G7" s="34">
        <f>CHOOSE('DCF Model'!$D$27,G39,G40,G41,G42,G43)</f>
        <v>430</v>
      </c>
      <c r="H7" s="34">
        <f>CHOOSE('DCF Model'!$D$27,H39,H40,H41,H42,H43)</f>
        <v>430</v>
      </c>
    </row>
    <row r="8" spans="2:8" ht="14" customHeight="1" x14ac:dyDescent="0.3">
      <c r="B8" s="8" t="s">
        <v>178</v>
      </c>
      <c r="C8" s="9"/>
      <c r="D8" s="9"/>
      <c r="E8" s="9"/>
      <c r="F8" s="9"/>
      <c r="G8" s="9"/>
      <c r="H8" s="9"/>
    </row>
    <row r="9" spans="2:8" ht="14" customHeight="1" x14ac:dyDescent="0.3">
      <c r="B9" s="33" t="s">
        <v>32</v>
      </c>
      <c r="C9" s="35">
        <v>2123045</v>
      </c>
      <c r="D9" s="35">
        <f>'DCF Model'!C33</f>
        <v>2292888.6</v>
      </c>
      <c r="E9" s="35">
        <f>'DCF Model'!D33</f>
        <v>2430461.9160000002</v>
      </c>
      <c r="F9" s="35">
        <f>'DCF Model'!E33</f>
        <v>2539832.7022199999</v>
      </c>
      <c r="G9" s="35">
        <f>'DCF Model'!F33</f>
        <v>2628726.8467976996</v>
      </c>
      <c r="H9" s="35">
        <f>'DCF Model'!G33</f>
        <v>2707588.6522016306</v>
      </c>
    </row>
    <row r="10" spans="2:8" ht="14" customHeight="1" x14ac:dyDescent="0.3">
      <c r="B10" s="33" t="s">
        <v>33</v>
      </c>
      <c r="C10" s="35">
        <v>669045</v>
      </c>
      <c r="D10" s="35">
        <f>'DCF Model'!C34</f>
        <v>722259.90899999999</v>
      </c>
      <c r="E10" s="35">
        <f>'DCF Model'!D34</f>
        <v>765595.50354000006</v>
      </c>
      <c r="F10" s="35">
        <f>'DCF Model'!E34</f>
        <v>800047.30119929998</v>
      </c>
      <c r="G10" s="35">
        <f>'DCF Model'!F34</f>
        <v>828048.95674127538</v>
      </c>
      <c r="H10" s="35">
        <f>'DCF Model'!G34</f>
        <v>852890.42544351367</v>
      </c>
    </row>
    <row r="11" spans="2:8" ht="14" customHeight="1" x14ac:dyDescent="0.3">
      <c r="B11" s="8" t="s">
        <v>179</v>
      </c>
      <c r="C11" s="9"/>
      <c r="D11" s="9"/>
      <c r="E11" s="9"/>
      <c r="F11" s="9"/>
      <c r="G11" s="9"/>
      <c r="H11" s="9"/>
    </row>
    <row r="12" spans="2:8" ht="14" customHeight="1" x14ac:dyDescent="0.3">
      <c r="B12" s="33" t="s">
        <v>180</v>
      </c>
      <c r="C12" s="35">
        <v>741145</v>
      </c>
      <c r="D12" s="35">
        <f t="shared" ref="D12:H13" si="0">D9*D5/365</f>
        <v>797799.59506849316</v>
      </c>
      <c r="E12" s="35">
        <f t="shared" si="0"/>
        <v>845667.5707726028</v>
      </c>
      <c r="F12" s="35">
        <f t="shared" si="0"/>
        <v>883722.61145736976</v>
      </c>
      <c r="G12" s="35">
        <f t="shared" si="0"/>
        <v>914652.90285837767</v>
      </c>
      <c r="H12" s="35">
        <f t="shared" si="0"/>
        <v>942092.4899441289</v>
      </c>
    </row>
    <row r="13" spans="2:8" ht="14" customHeight="1" x14ac:dyDescent="0.3">
      <c r="B13" s="33" t="s">
        <v>181</v>
      </c>
      <c r="C13" s="35">
        <v>692378</v>
      </c>
      <c r="D13" s="35">
        <f t="shared" si="0"/>
        <v>749963.02879726025</v>
      </c>
      <c r="E13" s="35">
        <f t="shared" si="0"/>
        <v>794960.81052509591</v>
      </c>
      <c r="F13" s="35">
        <f t="shared" si="0"/>
        <v>830734.04699872516</v>
      </c>
      <c r="G13" s="35">
        <f t="shared" si="0"/>
        <v>859809.73864368058</v>
      </c>
      <c r="H13" s="35">
        <f t="shared" si="0"/>
        <v>885604.03080299101</v>
      </c>
    </row>
    <row r="14" spans="2:8" ht="14" customHeight="1" x14ac:dyDescent="0.3">
      <c r="B14" s="33" t="s">
        <v>182</v>
      </c>
      <c r="C14" s="35">
        <f t="shared" ref="C14:H14" si="1">C12+C13</f>
        <v>1433523</v>
      </c>
      <c r="D14" s="35">
        <f t="shared" si="1"/>
        <v>1547762.6238657534</v>
      </c>
      <c r="E14" s="35">
        <f t="shared" si="1"/>
        <v>1640628.3812976987</v>
      </c>
      <c r="F14" s="35">
        <f t="shared" si="1"/>
        <v>1714456.658456095</v>
      </c>
      <c r="G14" s="35">
        <f t="shared" si="1"/>
        <v>1774462.6415020581</v>
      </c>
      <c r="H14" s="35">
        <f t="shared" si="1"/>
        <v>1827696.52074712</v>
      </c>
    </row>
    <row r="15" spans="2:8" ht="14" customHeight="1" x14ac:dyDescent="0.3">
      <c r="B15" s="33" t="s">
        <v>183</v>
      </c>
      <c r="C15" s="35">
        <v>596856</v>
      </c>
      <c r="D15" s="35">
        <f>D10*D7/365</f>
        <v>850881.53663013701</v>
      </c>
      <c r="E15" s="35">
        <f>E10*E7/365</f>
        <v>901934.42882794538</v>
      </c>
      <c r="F15" s="35">
        <f>F10*F7/365</f>
        <v>942521.4781252027</v>
      </c>
      <c r="G15" s="35">
        <f>G10*G7/365</f>
        <v>975509.72985958471</v>
      </c>
      <c r="H15" s="35">
        <f>H10*H7/365</f>
        <v>1004775.0217553723</v>
      </c>
    </row>
    <row r="16" spans="2:8" ht="14" customHeight="1" x14ac:dyDescent="0.3">
      <c r="B16" s="33" t="s">
        <v>184</v>
      </c>
      <c r="C16" s="35">
        <f t="shared" ref="C16:H16" si="2">C15</f>
        <v>596856</v>
      </c>
      <c r="D16" s="35">
        <f t="shared" si="2"/>
        <v>850881.53663013701</v>
      </c>
      <c r="E16" s="35">
        <f t="shared" si="2"/>
        <v>901934.42882794538</v>
      </c>
      <c r="F16" s="35">
        <f t="shared" si="2"/>
        <v>942521.4781252027</v>
      </c>
      <c r="G16" s="35">
        <f t="shared" si="2"/>
        <v>975509.72985958471</v>
      </c>
      <c r="H16" s="35">
        <f t="shared" si="2"/>
        <v>1004775.0217553723</v>
      </c>
    </row>
    <row r="17" spans="2:8" ht="14" customHeight="1" x14ac:dyDescent="0.3">
      <c r="B17" s="22" t="s">
        <v>185</v>
      </c>
      <c r="C17" s="23"/>
      <c r="D17" s="23"/>
      <c r="E17" s="23"/>
      <c r="F17" s="23"/>
      <c r="G17" s="23"/>
      <c r="H17" s="23"/>
    </row>
    <row r="18" spans="2:8" ht="14" customHeight="1" x14ac:dyDescent="0.3">
      <c r="B18" s="33" t="s">
        <v>186</v>
      </c>
      <c r="C18" s="20">
        <f t="shared" ref="C18:H18" si="3">C14-C16</f>
        <v>836667</v>
      </c>
      <c r="D18" s="20">
        <f t="shared" si="3"/>
        <v>696881.0872356164</v>
      </c>
      <c r="E18" s="20">
        <f t="shared" si="3"/>
        <v>738693.95246975333</v>
      </c>
      <c r="F18" s="20">
        <f t="shared" si="3"/>
        <v>771935.18033089233</v>
      </c>
      <c r="G18" s="20">
        <f t="shared" si="3"/>
        <v>798952.91164247342</v>
      </c>
      <c r="H18" s="20">
        <f t="shared" si="3"/>
        <v>822921.49899174774</v>
      </c>
    </row>
    <row r="19" spans="2:8" ht="14" customHeight="1" x14ac:dyDescent="0.3">
      <c r="B19" s="33" t="s">
        <v>95</v>
      </c>
      <c r="C19" s="36" t="s">
        <v>42</v>
      </c>
      <c r="D19" s="24">
        <f>D18-C18</f>
        <v>-139785.9127643836</v>
      </c>
      <c r="E19" s="24">
        <f>E18-D18</f>
        <v>41812.865234136931</v>
      </c>
      <c r="F19" s="24">
        <f>F18-E18</f>
        <v>33241.227861138992</v>
      </c>
      <c r="G19" s="24">
        <f>G18-F18</f>
        <v>27017.731311581098</v>
      </c>
      <c r="H19" s="24">
        <f>H18-G18</f>
        <v>23968.587349274312</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127</v>
      </c>
      <c r="E25" s="30">
        <v>127</v>
      </c>
      <c r="F25" s="30">
        <v>127</v>
      </c>
      <c r="G25" s="30">
        <v>127</v>
      </c>
      <c r="H25" s="30">
        <v>127</v>
      </c>
    </row>
    <row r="26" spans="2:8" ht="14" customHeight="1" x14ac:dyDescent="0.3">
      <c r="B26" s="4" t="s">
        <v>116</v>
      </c>
      <c r="D26" s="30">
        <v>122</v>
      </c>
      <c r="E26" s="30">
        <v>122</v>
      </c>
      <c r="F26" s="30">
        <v>122</v>
      </c>
      <c r="G26" s="30">
        <v>122</v>
      </c>
      <c r="H26" s="30">
        <v>122</v>
      </c>
    </row>
    <row r="27" spans="2:8" ht="14" customHeight="1" x14ac:dyDescent="0.3">
      <c r="B27" s="4" t="s">
        <v>117</v>
      </c>
      <c r="D27" s="30">
        <v>127</v>
      </c>
      <c r="E27" s="30">
        <v>127</v>
      </c>
      <c r="F27" s="30">
        <v>127</v>
      </c>
      <c r="G27" s="30">
        <v>127</v>
      </c>
      <c r="H27" s="30">
        <v>127</v>
      </c>
    </row>
    <row r="28" spans="2:8" ht="14" customHeight="1" x14ac:dyDescent="0.3">
      <c r="B28" s="4" t="s">
        <v>118</v>
      </c>
      <c r="D28" s="30">
        <v>133</v>
      </c>
      <c r="E28" s="30">
        <v>133</v>
      </c>
      <c r="F28" s="30">
        <v>133</v>
      </c>
      <c r="G28" s="30">
        <v>133</v>
      </c>
      <c r="H28" s="30">
        <v>133</v>
      </c>
    </row>
    <row r="29" spans="2:8" ht="14" customHeight="1" x14ac:dyDescent="0.3">
      <c r="B29" s="4" t="s">
        <v>119</v>
      </c>
      <c r="D29" s="30">
        <v>139</v>
      </c>
      <c r="E29" s="30">
        <v>139</v>
      </c>
      <c r="F29" s="30">
        <v>139</v>
      </c>
      <c r="G29" s="30">
        <v>139</v>
      </c>
      <c r="H29" s="30">
        <v>139</v>
      </c>
    </row>
    <row r="31" spans="2:8" ht="14" customHeight="1" x14ac:dyDescent="0.3">
      <c r="B31" s="3" t="s">
        <v>189</v>
      </c>
    </row>
    <row r="32" spans="2:8" ht="14" customHeight="1" x14ac:dyDescent="0.3">
      <c r="B32" s="4" t="s">
        <v>79</v>
      </c>
      <c r="D32" s="30">
        <v>379</v>
      </c>
      <c r="E32" s="30">
        <v>379</v>
      </c>
      <c r="F32" s="30">
        <v>379</v>
      </c>
      <c r="G32" s="30">
        <v>379</v>
      </c>
      <c r="H32" s="30">
        <v>379</v>
      </c>
    </row>
    <row r="33" spans="2:8" ht="14" customHeight="1" x14ac:dyDescent="0.3">
      <c r="B33" s="4" t="s">
        <v>116</v>
      </c>
      <c r="D33" s="30">
        <v>364</v>
      </c>
      <c r="E33" s="30">
        <v>364</v>
      </c>
      <c r="F33" s="30">
        <v>364</v>
      </c>
      <c r="G33" s="30">
        <v>364</v>
      </c>
      <c r="H33" s="30">
        <v>364</v>
      </c>
    </row>
    <row r="34" spans="2:8" ht="14" customHeight="1" x14ac:dyDescent="0.3">
      <c r="B34" s="4" t="s">
        <v>117</v>
      </c>
      <c r="D34" s="30">
        <v>379</v>
      </c>
      <c r="E34" s="30">
        <v>379</v>
      </c>
      <c r="F34" s="30">
        <v>379</v>
      </c>
      <c r="G34" s="30">
        <v>379</v>
      </c>
      <c r="H34" s="30">
        <v>379</v>
      </c>
    </row>
    <row r="35" spans="2:8" ht="14" customHeight="1" x14ac:dyDescent="0.3">
      <c r="B35" s="4" t="s">
        <v>118</v>
      </c>
      <c r="D35" s="30">
        <v>398</v>
      </c>
      <c r="E35" s="30">
        <v>398</v>
      </c>
      <c r="F35" s="30">
        <v>398</v>
      </c>
      <c r="G35" s="30">
        <v>398</v>
      </c>
      <c r="H35" s="30">
        <v>398</v>
      </c>
    </row>
    <row r="36" spans="2:8" ht="14" customHeight="1" x14ac:dyDescent="0.3">
      <c r="B36" s="4" t="s">
        <v>119</v>
      </c>
      <c r="D36" s="30">
        <v>417</v>
      </c>
      <c r="E36" s="30">
        <v>417</v>
      </c>
      <c r="F36" s="30">
        <v>417</v>
      </c>
      <c r="G36" s="30">
        <v>417</v>
      </c>
      <c r="H36" s="30">
        <v>417</v>
      </c>
    </row>
    <row r="38" spans="2:8" ht="14" customHeight="1" x14ac:dyDescent="0.3">
      <c r="B38" s="3" t="s">
        <v>190</v>
      </c>
    </row>
    <row r="39" spans="2:8" ht="14" customHeight="1" x14ac:dyDescent="0.3">
      <c r="B39" s="4" t="s">
        <v>79</v>
      </c>
      <c r="D39" s="30">
        <v>430</v>
      </c>
      <c r="E39" s="30">
        <v>430</v>
      </c>
      <c r="F39" s="30">
        <v>430</v>
      </c>
      <c r="G39" s="30">
        <v>430</v>
      </c>
      <c r="H39" s="30">
        <v>430</v>
      </c>
    </row>
    <row r="40" spans="2:8" ht="14" customHeight="1" x14ac:dyDescent="0.3">
      <c r="B40" s="4" t="s">
        <v>116</v>
      </c>
      <c r="D40" s="30">
        <v>447</v>
      </c>
      <c r="E40" s="30">
        <v>447</v>
      </c>
      <c r="F40" s="30">
        <v>447</v>
      </c>
      <c r="G40" s="30">
        <v>447</v>
      </c>
      <c r="H40" s="30">
        <v>447</v>
      </c>
    </row>
    <row r="41" spans="2:8" ht="14" customHeight="1" x14ac:dyDescent="0.3">
      <c r="B41" s="4" t="s">
        <v>117</v>
      </c>
      <c r="D41" s="30">
        <v>430</v>
      </c>
      <c r="E41" s="30">
        <v>430</v>
      </c>
      <c r="F41" s="30">
        <v>430</v>
      </c>
      <c r="G41" s="30">
        <v>430</v>
      </c>
      <c r="H41" s="30">
        <v>430</v>
      </c>
    </row>
    <row r="42" spans="2:8" ht="14" customHeight="1" x14ac:dyDescent="0.3">
      <c r="B42" s="4" t="s">
        <v>118</v>
      </c>
      <c r="D42" s="30">
        <v>412</v>
      </c>
      <c r="E42" s="30">
        <v>412</v>
      </c>
      <c r="F42" s="30">
        <v>412</v>
      </c>
      <c r="G42" s="30">
        <v>412</v>
      </c>
      <c r="H42" s="30">
        <v>412</v>
      </c>
    </row>
    <row r="43" spans="2:8" ht="14" customHeight="1" x14ac:dyDescent="0.3">
      <c r="B43" s="4" t="s">
        <v>119</v>
      </c>
      <c r="D43" s="30">
        <v>395</v>
      </c>
      <c r="E43" s="30">
        <v>395</v>
      </c>
      <c r="F43" s="30">
        <v>395</v>
      </c>
      <c r="G43" s="30">
        <v>395</v>
      </c>
      <c r="H43" s="30">
        <v>395</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5084111.1246199999</v>
      </c>
      <c r="E5" s="37">
        <f>D5+C24</f>
        <v>4934785.1246199999</v>
      </c>
      <c r="F5" s="37">
        <v>2123045</v>
      </c>
      <c r="G5" s="37">
        <v>306549</v>
      </c>
      <c r="H5" s="37">
        <v>229089</v>
      </c>
      <c r="I5" s="37">
        <v>259874</v>
      </c>
      <c r="J5" s="38">
        <f>IFERROR(E5/G5,"")</f>
        <v>16.097867305455246</v>
      </c>
      <c r="K5" s="38">
        <f>IFERROR(E5/F5,"")</f>
        <v>2.3243902623919888</v>
      </c>
      <c r="L5" s="38">
        <f>IFERROR(D5/I5,"")</f>
        <v>19.563754452619346</v>
      </c>
      <c r="M5" s="38">
        <f>IFERROR(D5/P5,"")</f>
        <v>3.0550266074863339</v>
      </c>
      <c r="N5" s="39">
        <f>IFERROR(H5/F5,"")</f>
        <v>0.10790586162799187</v>
      </c>
      <c r="O5" s="39">
        <f>IFERROR(I5/P5,"")</f>
        <v>0.1561574806556266</v>
      </c>
      <c r="P5" s="37">
        <v>1664179</v>
      </c>
    </row>
    <row r="6" spans="2:17" ht="14" customHeight="1" x14ac:dyDescent="0.3">
      <c r="B6" s="4" t="s">
        <v>209</v>
      </c>
      <c r="C6" t="s">
        <v>210</v>
      </c>
      <c r="D6" s="37">
        <v>9186111</v>
      </c>
      <c r="E6" s="37">
        <v>13472895</v>
      </c>
      <c r="F6" s="37">
        <v>4505720</v>
      </c>
      <c r="G6" s="37">
        <v>1185578</v>
      </c>
      <c r="H6" s="37">
        <v>464451</v>
      </c>
      <c r="I6" s="37">
        <v>-152390</v>
      </c>
      <c r="J6" s="38">
        <f>IFERROR(E6/G6,"")</f>
        <v>11.363988704243837</v>
      </c>
      <c r="K6" s="38">
        <f>IFERROR(E6/F6,"")</f>
        <v>2.9901758209564733</v>
      </c>
      <c r="L6" s="40" t="s">
        <v>211</v>
      </c>
      <c r="M6" s="38">
        <f>IFERROR(D6/P6,"")</f>
        <v>1.2364471297369479</v>
      </c>
      <c r="N6" s="39">
        <f>IFERROR(H6/F6,"")</f>
        <v>0.10308030681001039</v>
      </c>
      <c r="O6" s="39">
        <f>IFERROR(I6/P6,"")</f>
        <v>-2.0511637416597023E-2</v>
      </c>
      <c r="P6" s="37">
        <v>7429441</v>
      </c>
    </row>
    <row r="7" spans="2:17" ht="14" customHeight="1" x14ac:dyDescent="0.3">
      <c r="B7" s="4" t="s">
        <v>212</v>
      </c>
      <c r="C7" t="s">
        <v>213</v>
      </c>
      <c r="D7" s="37">
        <v>4223444</v>
      </c>
      <c r="E7" s="37">
        <v>4507791</v>
      </c>
      <c r="F7" s="37">
        <v>2139245</v>
      </c>
      <c r="G7" s="37">
        <v>574653</v>
      </c>
      <c r="H7" s="37">
        <v>380059</v>
      </c>
      <c r="I7" s="37">
        <v>291535</v>
      </c>
      <c r="J7" s="38">
        <f>IFERROR(E7/G7,"")</f>
        <v>7.8443704287630966</v>
      </c>
      <c r="K7" s="38">
        <f>IFERROR(E7/F7,"")</f>
        <v>2.1071878162622792</v>
      </c>
      <c r="L7" s="38">
        <f>IFERROR(D7/I7,"")</f>
        <v>14.486919237827362</v>
      </c>
      <c r="M7" s="38">
        <f>IFERROR(D7/P7,"")</f>
        <v>2.3090991796807514</v>
      </c>
      <c r="N7" s="39">
        <f>IFERROR(H7/F7,"")</f>
        <v>0.17766034278448706</v>
      </c>
      <c r="O7" s="39">
        <f>IFERROR(I7/P7,"")</f>
        <v>0.15939201025235042</v>
      </c>
      <c r="P7" s="37">
        <v>1829044</v>
      </c>
    </row>
    <row r="8" spans="2:17" ht="14" customHeight="1" x14ac:dyDescent="0.3">
      <c r="B8" s="4" t="s">
        <v>214</v>
      </c>
      <c r="C8" t="s">
        <v>215</v>
      </c>
      <c r="D8" s="37">
        <v>6320483</v>
      </c>
      <c r="E8" s="37">
        <v>6013813</v>
      </c>
      <c r="F8" s="37">
        <v>2468892</v>
      </c>
      <c r="G8" s="37">
        <v>588273</v>
      </c>
      <c r="H8" s="37">
        <v>472106</v>
      </c>
      <c r="I8" s="37">
        <v>363150</v>
      </c>
      <c r="J8" s="38">
        <f>IFERROR(E8/G8,"")</f>
        <v>10.222826816801042</v>
      </c>
      <c r="K8" s="38">
        <f>IFERROR(E8/F8,"")</f>
        <v>2.4358347793261106</v>
      </c>
      <c r="L8" s="38">
        <f>IFERROR(D8/I8,"")</f>
        <v>17.404606911744459</v>
      </c>
      <c r="M8" s="38">
        <f>IFERROR(D8/P8,"")</f>
        <v>2.0835996972418149</v>
      </c>
      <c r="N8" s="39">
        <f>IFERROR(H8/F8,"")</f>
        <v>0.191221811241642</v>
      </c>
      <c r="O8" s="39">
        <f>IFERROR(I8/P8,"")</f>
        <v>0.119715412580552</v>
      </c>
      <c r="P8" s="37">
        <v>3033444</v>
      </c>
    </row>
    <row r="9" spans="2:17" ht="14" customHeight="1" x14ac:dyDescent="0.3">
      <c r="B9" s="4" t="s">
        <v>216</v>
      </c>
      <c r="C9" t="s">
        <v>217</v>
      </c>
      <c r="D9" s="37">
        <v>2476073</v>
      </c>
      <c r="E9" s="37">
        <v>2449070</v>
      </c>
      <c r="F9" s="37">
        <v>499677</v>
      </c>
      <c r="G9" s="37">
        <v>193693</v>
      </c>
      <c r="H9" s="37">
        <v>166725</v>
      </c>
      <c r="I9" s="37">
        <v>205159</v>
      </c>
      <c r="J9" s="38">
        <f>IFERROR(E9/G9,"")</f>
        <v>12.644081097406721</v>
      </c>
      <c r="K9" s="38">
        <f>IFERROR(E9/F9,"")</f>
        <v>4.9013062438335169</v>
      </c>
      <c r="L9" s="38">
        <f>IFERROR(D9/I9,"")</f>
        <v>12.069044009768033</v>
      </c>
      <c r="M9" s="38">
        <f>IFERROR(D9/P9,"")</f>
        <v>1.4692920487890269</v>
      </c>
      <c r="N9" s="39">
        <f>IFERROR(H9/F9,"")</f>
        <v>0.3336655479439718</v>
      </c>
      <c r="O9" s="39">
        <f>IFERROR(I9/P9,"")</f>
        <v>0.12174054942544422</v>
      </c>
      <c r="P9" s="37">
        <v>1685215</v>
      </c>
    </row>
    <row r="14" spans="2:17" ht="14" customHeight="1" x14ac:dyDescent="0.3">
      <c r="B14" s="3" t="s">
        <v>218</v>
      </c>
    </row>
    <row r="15" spans="2:17" ht="14" customHeight="1" x14ac:dyDescent="0.3">
      <c r="B15" s="4" t="s">
        <v>219</v>
      </c>
      <c r="D15" s="38">
        <f t="shared" ref="D15:I15" si="0">PERCENTILE(J6:J9,0.25)</f>
        <v>9.6282127197915557</v>
      </c>
      <c r="E15" s="38">
        <f t="shared" si="0"/>
        <v>2.353673038560153</v>
      </c>
      <c r="F15" s="38">
        <f t="shared" si="0"/>
        <v>13.277981623797697</v>
      </c>
      <c r="G15" s="38">
        <f t="shared" si="0"/>
        <v>1.4110808190260071</v>
      </c>
      <c r="H15" s="39">
        <f t="shared" si="0"/>
        <v>0.15901533379086791</v>
      </c>
      <c r="I15" s="39">
        <f t="shared" si="0"/>
        <v>8.4658650081264747E-2</v>
      </c>
    </row>
    <row r="16" spans="2:17" ht="14" customHeight="1" x14ac:dyDescent="0.3">
      <c r="B16" s="4" t="s">
        <v>220</v>
      </c>
      <c r="D16" s="38">
        <f t="shared" ref="D16:I16" si="1">MEDIAN(J6:J9)</f>
        <v>10.79340776052244</v>
      </c>
      <c r="E16" s="38">
        <f t="shared" si="1"/>
        <v>2.7130053001412922</v>
      </c>
      <c r="F16" s="38">
        <f t="shared" si="1"/>
        <v>14.486919237827362</v>
      </c>
      <c r="G16" s="38">
        <f t="shared" si="1"/>
        <v>1.7764458730154209</v>
      </c>
      <c r="H16" s="39">
        <f t="shared" si="1"/>
        <v>0.18444107701306453</v>
      </c>
      <c r="I16" s="39">
        <f t="shared" si="1"/>
        <v>0.12072798100299811</v>
      </c>
    </row>
    <row r="17" spans="2:9" ht="14" customHeight="1" x14ac:dyDescent="0.3">
      <c r="B17" s="4" t="s">
        <v>221</v>
      </c>
      <c r="D17" s="38">
        <f t="shared" ref="D17:I17" si="2">PERCENTILE(J6:J9,0.75)</f>
        <v>11.684011802534558</v>
      </c>
      <c r="E17" s="38">
        <f t="shared" si="2"/>
        <v>3.4679584266757342</v>
      </c>
      <c r="F17" s="38">
        <f t="shared" si="2"/>
        <v>15.94576307478591</v>
      </c>
      <c r="G17" s="38">
        <f t="shared" si="2"/>
        <v>2.1399745678515489</v>
      </c>
      <c r="H17" s="39">
        <f t="shared" si="2"/>
        <v>0.22683274541722445</v>
      </c>
      <c r="I17" s="39">
        <f t="shared" si="2"/>
        <v>0.13115341463217078</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306549</v>
      </c>
    </row>
    <row r="22" spans="2:9" ht="14" customHeight="1" x14ac:dyDescent="0.3">
      <c r="B22" s="4" t="s">
        <v>225</v>
      </c>
      <c r="C22" s="5">
        <v>259874</v>
      </c>
    </row>
    <row r="23" spans="2:9" ht="14" customHeight="1" x14ac:dyDescent="0.3">
      <c r="B23" s="4" t="s">
        <v>226</v>
      </c>
      <c r="C23" s="15">
        <v>1819653230</v>
      </c>
    </row>
    <row r="24" spans="2:9" ht="14" customHeight="1" x14ac:dyDescent="0.3">
      <c r="B24" s="4" t="s">
        <v>68</v>
      </c>
      <c r="C24" s="5">
        <v>-149326</v>
      </c>
    </row>
    <row r="26" spans="2:9" ht="14" customHeight="1" x14ac:dyDescent="0.3">
      <c r="B26" s="3" t="s">
        <v>227</v>
      </c>
    </row>
    <row r="27" spans="2:9" ht="14" customHeight="1" x14ac:dyDescent="0.3">
      <c r="B27" s="4" t="s">
        <v>228</v>
      </c>
      <c r="C27" s="24">
        <f>ROUND((C21*D16-C24)*1000000/C23,0)</f>
        <v>1900</v>
      </c>
    </row>
    <row r="28" spans="2:9" ht="14" customHeight="1" x14ac:dyDescent="0.3">
      <c r="B28" s="4" t="s">
        <v>229</v>
      </c>
      <c r="C28" s="24">
        <f>ROUND(C22*F16*1000000/C23,0)</f>
        <v>2069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0.1047</v>
      </c>
      <c r="E3" s="4" t="s">
        <v>232</v>
      </c>
      <c r="F3" s="16">
        <f>'DCF Model'!C13</f>
        <v>0.01</v>
      </c>
      <c r="H3" s="4" t="s">
        <v>233</v>
      </c>
      <c r="I3" s="14">
        <f>'DCF Model'!C14</f>
        <v>10.8</v>
      </c>
    </row>
    <row r="5" spans="2:9" ht="14" customHeight="1" x14ac:dyDescent="0.3">
      <c r="B5" s="3" t="s">
        <v>234</v>
      </c>
    </row>
    <row r="6" spans="2:9" ht="14" customHeight="1" x14ac:dyDescent="0.3">
      <c r="B6" s="41" t="s">
        <v>235</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39">
        <f>$C$3-0.015</f>
        <v>8.9700000000000002E-2</v>
      </c>
      <c r="C7" s="37">
        <f>IFERROR(ROUND(('DCF Model'!C45/(1+$B7)^('DCF Model'!C19+0)+'DCF Model'!D45/(1+$B7)^('DCF Model'!C19+1)+'DCF Model'!E45/(1+$B7)^('DCF Model'!C19+2)+'DCF Model'!F45/(1+$B7)^('DCF Model'!C19+3)+'DCF Model'!G45/(1+$B7)^('DCF Model'!C19+4)+'DCF Model'!G45*(1+C$6)/($B7-C$6)/(1+$B7)^('DCF Model'!C19+4)-'DCF Model'!C16)*1000000/'DCF Model'!C15,0),"")</f>
        <v>1372</v>
      </c>
      <c r="D7" s="37">
        <f>IFERROR(ROUND(('DCF Model'!C45/(1+$B7)^('DCF Model'!C19+0)+'DCF Model'!D45/(1+$B7)^('DCF Model'!C19+1)+'DCF Model'!E45/(1+$B7)^('DCF Model'!C19+2)+'DCF Model'!F45/(1+$B7)^('DCF Model'!C19+3)+'DCF Model'!G45/(1+$B7)^('DCF Model'!C19+4)+'DCF Model'!G45*(1+D$6)/($B7-D$6)/(1+$B7)^('DCF Model'!C19+4)-'DCF Model'!C16)*1000000/'DCF Model'!C15,0),"")</f>
        <v>1400</v>
      </c>
      <c r="E7" s="37">
        <f>IFERROR(ROUND(('DCF Model'!C45/(1+$B7)^('DCF Model'!C19+0)+'DCF Model'!D45/(1+$B7)^('DCF Model'!C19+1)+'DCF Model'!E45/(1+$B7)^('DCF Model'!C19+2)+'DCF Model'!F45/(1+$B7)^('DCF Model'!C19+3)+'DCF Model'!G45/(1+$B7)^('DCF Model'!C19+4)+'DCF Model'!G45*(1+E$6)/($B7-E$6)/(1+$B7)^('DCF Model'!C19+4)-'DCF Model'!C16)*1000000/'DCF Model'!C15,0),"")</f>
        <v>1430</v>
      </c>
      <c r="F7" s="37">
        <f>IFERROR(ROUND(('DCF Model'!C45/(1+$B7)^('DCF Model'!C19+0)+'DCF Model'!D45/(1+$B7)^('DCF Model'!C19+1)+'DCF Model'!E45/(1+$B7)^('DCF Model'!C19+2)+'DCF Model'!F45/(1+$B7)^('DCF Model'!C19+3)+'DCF Model'!G45/(1+$B7)^('DCF Model'!C19+4)+'DCF Model'!G45*(1+F$6)/($B7-F$6)/(1+$B7)^('DCF Model'!C19+4)-'DCF Model'!C16)*1000000/'DCF Model'!C15,0),"")</f>
        <v>1462</v>
      </c>
      <c r="G7" s="37">
        <f>IFERROR(ROUND(('DCF Model'!C45/(1+$B7)^('DCF Model'!C19+0)+'DCF Model'!D45/(1+$B7)^('DCF Model'!C19+1)+'DCF Model'!E45/(1+$B7)^('DCF Model'!C19+2)+'DCF Model'!F45/(1+$B7)^('DCF Model'!C19+3)+'DCF Model'!G45/(1+$B7)^('DCF Model'!C19+4)+'DCF Model'!G45*(1+G$6)/($B7-G$6)/(1+$B7)^('DCF Model'!C19+4)-'DCF Model'!C16)*1000000/'DCF Model'!C15,0),"")</f>
        <v>1496</v>
      </c>
      <c r="H7" s="37">
        <f>IFERROR(ROUND(('DCF Model'!C45/(1+$B7)^('DCF Model'!C19+0)+'DCF Model'!D45/(1+$B7)^('DCF Model'!C19+1)+'DCF Model'!E45/(1+$B7)^('DCF Model'!C19+2)+'DCF Model'!F45/(1+$B7)^('DCF Model'!C19+3)+'DCF Model'!G45/(1+$B7)^('DCF Model'!C19+4)+'DCF Model'!G45*(1+H$6)/($B7-H$6)/(1+$B7)^('DCF Model'!C19+4)-'DCF Model'!C16)*1000000/'DCF Model'!C15,0),"")</f>
        <v>1532</v>
      </c>
      <c r="I7" s="37">
        <f>IFERROR(ROUND(('DCF Model'!C45/(1+$B7)^('DCF Model'!C19+0)+'DCF Model'!D45/(1+$B7)^('DCF Model'!C19+1)+'DCF Model'!E45/(1+$B7)^('DCF Model'!C19+2)+'DCF Model'!F45/(1+$B7)^('DCF Model'!C19+3)+'DCF Model'!G45/(1+$B7)^('DCF Model'!C19+4)+'DCF Model'!G45*(1+I$6)/($B7-I$6)/(1+$B7)^('DCF Model'!C19+4)-'DCF Model'!C16)*1000000/'DCF Model'!C15,0),"")</f>
        <v>1571</v>
      </c>
    </row>
    <row r="8" spans="2:9" ht="13.5" customHeight="1" x14ac:dyDescent="0.25">
      <c r="B8" s="39">
        <f>$C$3-0.01</f>
        <v>9.4700000000000006E-2</v>
      </c>
      <c r="C8" s="37">
        <f>IFERROR(ROUND(('DCF Model'!C45/(1+$B8)^('DCF Model'!C19+0)+'DCF Model'!D45/(1+$B8)^('DCF Model'!C19+1)+'DCF Model'!E45/(1+$B8)^('DCF Model'!C19+2)+'DCF Model'!F45/(1+$B8)^('DCF Model'!C19+3)+'DCF Model'!G45/(1+$B8)^('DCF Model'!C19+4)+'DCF Model'!G45*(1+C$6)/($B8-C$6)/(1+$B8)^('DCF Model'!C19+4)-'DCF Model'!C16)*1000000/'DCF Model'!C15,0),"")</f>
        <v>1300</v>
      </c>
      <c r="D8" s="37">
        <f>IFERROR(ROUND(('DCF Model'!C45/(1+$B8)^('DCF Model'!C19+0)+'DCF Model'!D45/(1+$B8)^('DCF Model'!C19+1)+'DCF Model'!E45/(1+$B8)^('DCF Model'!C19+2)+'DCF Model'!F45/(1+$B8)^('DCF Model'!C19+3)+'DCF Model'!G45/(1+$B8)^('DCF Model'!C19+4)+'DCF Model'!G45*(1+D$6)/($B8-D$6)/(1+$B8)^('DCF Model'!C19+4)-'DCF Model'!C16)*1000000/'DCF Model'!C15,0),"")</f>
        <v>1325</v>
      </c>
      <c r="E8" s="37">
        <f>IFERROR(ROUND(('DCF Model'!C45/(1+$B8)^('DCF Model'!C19+0)+'DCF Model'!D45/(1+$B8)^('DCF Model'!C19+1)+'DCF Model'!E45/(1+$B8)^('DCF Model'!C19+2)+'DCF Model'!F45/(1+$B8)^('DCF Model'!C19+3)+'DCF Model'!G45/(1+$B8)^('DCF Model'!C19+4)+'DCF Model'!G45*(1+E$6)/($B8-E$6)/(1+$B8)^('DCF Model'!C19+4)-'DCF Model'!C16)*1000000/'DCF Model'!C15,0),"")</f>
        <v>1351</v>
      </c>
      <c r="F8" s="37">
        <f>IFERROR(ROUND(('DCF Model'!C45/(1+$B8)^('DCF Model'!C19+0)+'DCF Model'!D45/(1+$B8)^('DCF Model'!C19+1)+'DCF Model'!E45/(1+$B8)^('DCF Model'!C19+2)+'DCF Model'!F45/(1+$B8)^('DCF Model'!C19+3)+'DCF Model'!G45/(1+$B8)^('DCF Model'!C19+4)+'DCF Model'!G45*(1+F$6)/($B8-F$6)/(1+$B8)^('DCF Model'!C19+4)-'DCF Model'!C16)*1000000/'DCF Model'!C15,0),"")</f>
        <v>1379</v>
      </c>
      <c r="G8" s="37">
        <f>IFERROR(ROUND(('DCF Model'!C45/(1+$B8)^('DCF Model'!C19+0)+'DCF Model'!D45/(1+$B8)^('DCF Model'!C19+1)+'DCF Model'!E45/(1+$B8)^('DCF Model'!C19+2)+'DCF Model'!F45/(1+$B8)^('DCF Model'!C19+3)+'DCF Model'!G45/(1+$B8)^('DCF Model'!C19+4)+'DCF Model'!G45*(1+G$6)/($B8-G$6)/(1+$B8)^('DCF Model'!C19+4)-'DCF Model'!C16)*1000000/'DCF Model'!C15,0),"")</f>
        <v>1408</v>
      </c>
      <c r="H8" s="37">
        <f>IFERROR(ROUND(('DCF Model'!C45/(1+$B8)^('DCF Model'!C19+0)+'DCF Model'!D45/(1+$B8)^('DCF Model'!C19+1)+'DCF Model'!E45/(1+$B8)^('DCF Model'!C19+2)+'DCF Model'!F45/(1+$B8)^('DCF Model'!C19+3)+'DCF Model'!G45/(1+$B8)^('DCF Model'!C19+4)+'DCF Model'!G45*(1+H$6)/($B8-H$6)/(1+$B8)^('DCF Model'!C19+4)-'DCF Model'!C16)*1000000/'DCF Model'!C15,0),"")</f>
        <v>1440</v>
      </c>
      <c r="I8" s="37">
        <f>IFERROR(ROUND(('DCF Model'!C45/(1+$B8)^('DCF Model'!C19+0)+'DCF Model'!D45/(1+$B8)^('DCF Model'!C19+1)+'DCF Model'!E45/(1+$B8)^('DCF Model'!C19+2)+'DCF Model'!F45/(1+$B8)^('DCF Model'!C19+3)+'DCF Model'!G45/(1+$B8)^('DCF Model'!C19+4)+'DCF Model'!G45*(1+I$6)/($B8-I$6)/(1+$B8)^('DCF Model'!C19+4)-'DCF Model'!C16)*1000000/'DCF Model'!C15,0),"")</f>
        <v>1473</v>
      </c>
    </row>
    <row r="9" spans="2:9" ht="13.5" customHeight="1" x14ac:dyDescent="0.25">
      <c r="B9" s="39">
        <f>$C$3-0.005</f>
        <v>9.9699999999999997E-2</v>
      </c>
      <c r="C9" s="37">
        <f>IFERROR(ROUND(('DCF Model'!C45/(1+$B9)^('DCF Model'!C19+0)+'DCF Model'!D45/(1+$B9)^('DCF Model'!C19+1)+'DCF Model'!E45/(1+$B9)^('DCF Model'!C19+2)+'DCF Model'!F45/(1+$B9)^('DCF Model'!C19+3)+'DCF Model'!G45/(1+$B9)^('DCF Model'!C19+4)+'DCF Model'!G45*(1+C$6)/($B9-C$6)/(1+$B9)^('DCF Model'!C19+4)-'DCF Model'!C16)*1000000/'DCF Model'!C15,0),"")</f>
        <v>1235</v>
      </c>
      <c r="D9" s="37">
        <f>IFERROR(ROUND(('DCF Model'!C45/(1+$B9)^('DCF Model'!C19+0)+'DCF Model'!D45/(1+$B9)^('DCF Model'!C19+1)+'DCF Model'!E45/(1+$B9)^('DCF Model'!C19+2)+'DCF Model'!F45/(1+$B9)^('DCF Model'!C19+3)+'DCF Model'!G45/(1+$B9)^('DCF Model'!C19+4)+'DCF Model'!G45*(1+D$6)/($B9-D$6)/(1+$B9)^('DCF Model'!C19+4)-'DCF Model'!C16)*1000000/'DCF Model'!C15,0),"")</f>
        <v>1257</v>
      </c>
      <c r="E9" s="37">
        <f>IFERROR(ROUND(('DCF Model'!C45/(1+$B9)^('DCF Model'!C19+0)+'DCF Model'!D45/(1+$B9)^('DCF Model'!C19+1)+'DCF Model'!E45/(1+$B9)^('DCF Model'!C19+2)+'DCF Model'!F45/(1+$B9)^('DCF Model'!C19+3)+'DCF Model'!G45/(1+$B9)^('DCF Model'!C19+4)+'DCF Model'!G45*(1+E$6)/($B9-E$6)/(1+$B9)^('DCF Model'!C19+4)-'DCF Model'!C16)*1000000/'DCF Model'!C15,0),"")</f>
        <v>1280</v>
      </c>
      <c r="F9" s="37">
        <f>IFERROR(ROUND(('DCF Model'!C45/(1+$B9)^('DCF Model'!C19+0)+'DCF Model'!D45/(1+$B9)^('DCF Model'!C19+1)+'DCF Model'!E45/(1+$B9)^('DCF Model'!C19+2)+'DCF Model'!F45/(1+$B9)^('DCF Model'!C19+3)+'DCF Model'!G45/(1+$B9)^('DCF Model'!C19+4)+'DCF Model'!G45*(1+F$6)/($B9-F$6)/(1+$B9)^('DCF Model'!C19+4)-'DCF Model'!C16)*1000000/'DCF Model'!C15,0),"")</f>
        <v>1305</v>
      </c>
      <c r="G9" s="37">
        <f>IFERROR(ROUND(('DCF Model'!C45/(1+$B9)^('DCF Model'!C19+0)+'DCF Model'!D45/(1+$B9)^('DCF Model'!C19+1)+'DCF Model'!E45/(1+$B9)^('DCF Model'!C19+2)+'DCF Model'!F45/(1+$B9)^('DCF Model'!C19+3)+'DCF Model'!G45/(1+$B9)^('DCF Model'!C19+4)+'DCF Model'!G45*(1+G$6)/($B9-G$6)/(1+$B9)^('DCF Model'!C19+4)-'DCF Model'!C16)*1000000/'DCF Model'!C15,0),"")</f>
        <v>1331</v>
      </c>
      <c r="H9" s="37">
        <f>IFERROR(ROUND(('DCF Model'!C45/(1+$B9)^('DCF Model'!C19+0)+'DCF Model'!D45/(1+$B9)^('DCF Model'!C19+1)+'DCF Model'!E45/(1+$B9)^('DCF Model'!C19+2)+'DCF Model'!F45/(1+$B9)^('DCF Model'!C19+3)+'DCF Model'!G45/(1+$B9)^('DCF Model'!C19+4)+'DCF Model'!G45*(1+H$6)/($B9-H$6)/(1+$B9)^('DCF Model'!C19+4)-'DCF Model'!C16)*1000000/'DCF Model'!C15,0),"")</f>
        <v>1358</v>
      </c>
      <c r="I9" s="37">
        <f>IFERROR(ROUND(('DCF Model'!C45/(1+$B9)^('DCF Model'!C19+0)+'DCF Model'!D45/(1+$B9)^('DCF Model'!C19+1)+'DCF Model'!E45/(1+$B9)^('DCF Model'!C19+2)+'DCF Model'!F45/(1+$B9)^('DCF Model'!C19+3)+'DCF Model'!G45/(1+$B9)^('DCF Model'!C19+4)+'DCF Model'!G45*(1+I$6)/($B9-I$6)/(1+$B9)^('DCF Model'!C19+4)-'DCF Model'!C16)*1000000/'DCF Model'!C15,0),"")</f>
        <v>1387</v>
      </c>
    </row>
    <row r="10" spans="2:9" ht="13.5" customHeight="1" x14ac:dyDescent="0.25">
      <c r="B10" s="39">
        <f>$C$3</f>
        <v>0.1047</v>
      </c>
      <c r="C10" s="37">
        <f>IFERROR(ROUND(('DCF Model'!C45/(1+$B10)^('DCF Model'!C19+0)+'DCF Model'!D45/(1+$B10)^('DCF Model'!C19+1)+'DCF Model'!E45/(1+$B10)^('DCF Model'!C19+2)+'DCF Model'!F45/(1+$B10)^('DCF Model'!C19+3)+'DCF Model'!G45/(1+$B10)^('DCF Model'!C19+4)+'DCF Model'!G45*(1+C$6)/($B10-C$6)/(1+$B10)^('DCF Model'!C19+4)-'DCF Model'!C16)*1000000/'DCF Model'!C15,0),"")</f>
        <v>1177</v>
      </c>
      <c r="D10" s="37">
        <f>IFERROR(ROUND(('DCF Model'!C45/(1+$B10)^('DCF Model'!C19+0)+'DCF Model'!D45/(1+$B10)^('DCF Model'!C19+1)+'DCF Model'!E45/(1+$B10)^('DCF Model'!C19+2)+'DCF Model'!F45/(1+$B10)^('DCF Model'!C19+3)+'DCF Model'!G45/(1+$B10)^('DCF Model'!C19+4)+'DCF Model'!G45*(1+D$6)/($B10-D$6)/(1+$B10)^('DCF Model'!C19+4)-'DCF Model'!C16)*1000000/'DCF Model'!C15,0),"")</f>
        <v>1197</v>
      </c>
      <c r="E10" s="37">
        <f>IFERROR(ROUND(('DCF Model'!C45/(1+$B10)^('DCF Model'!C19+0)+'DCF Model'!D45/(1+$B10)^('DCF Model'!C19+1)+'DCF Model'!E45/(1+$B10)^('DCF Model'!C19+2)+'DCF Model'!F45/(1+$B10)^('DCF Model'!C19+3)+'DCF Model'!G45/(1+$B10)^('DCF Model'!C19+4)+'DCF Model'!G45*(1+E$6)/($B10-E$6)/(1+$B10)^('DCF Model'!C19+4)-'DCF Model'!C16)*1000000/'DCF Model'!C15,0),"")</f>
        <v>1217</v>
      </c>
      <c r="F10" s="37">
        <f>IFERROR(ROUND(('DCF Model'!C45/(1+$B10)^('DCF Model'!C19+0)+'DCF Model'!D45/(1+$B10)^('DCF Model'!C19+1)+'DCF Model'!E45/(1+$B10)^('DCF Model'!C19+2)+'DCF Model'!F45/(1+$B10)^('DCF Model'!C19+3)+'DCF Model'!G45/(1+$B10)^('DCF Model'!C19+4)+'DCF Model'!G45*(1+F$6)/($B10-F$6)/(1+$B10)^('DCF Model'!C19+4)-'DCF Model'!C16)*1000000/'DCF Model'!C15,0),"")</f>
        <v>1239</v>
      </c>
      <c r="G10" s="37">
        <f>IFERROR(ROUND(('DCF Model'!C45/(1+$B10)^('DCF Model'!C19+0)+'DCF Model'!D45/(1+$B10)^('DCF Model'!C19+1)+'DCF Model'!E45/(1+$B10)^('DCF Model'!C19+2)+'DCF Model'!F45/(1+$B10)^('DCF Model'!C19+3)+'DCF Model'!G45/(1+$B10)^('DCF Model'!C19+4)+'DCF Model'!G45*(1+G$6)/($B10-G$6)/(1+$B10)^('DCF Model'!C19+4)-'DCF Model'!C16)*1000000/'DCF Model'!C15,0),"")</f>
        <v>1261</v>
      </c>
      <c r="H10" s="37">
        <f>IFERROR(ROUND(('DCF Model'!C45/(1+$B10)^('DCF Model'!C19+0)+'DCF Model'!D45/(1+$B10)^('DCF Model'!C19+1)+'DCF Model'!E45/(1+$B10)^('DCF Model'!C19+2)+'DCF Model'!F45/(1+$B10)^('DCF Model'!C19+3)+'DCF Model'!G45/(1+$B10)^('DCF Model'!C19+4)+'DCF Model'!G45*(1+H$6)/($B10-H$6)/(1+$B10)^('DCF Model'!C19+4)-'DCF Model'!C16)*1000000/'DCF Model'!C15,0),"")</f>
        <v>1285</v>
      </c>
      <c r="I10" s="37">
        <f>IFERROR(ROUND(('DCF Model'!C45/(1+$B10)^('DCF Model'!C19+0)+'DCF Model'!D45/(1+$B10)^('DCF Model'!C19+1)+'DCF Model'!E45/(1+$B10)^('DCF Model'!C19+2)+'DCF Model'!F45/(1+$B10)^('DCF Model'!C19+3)+'DCF Model'!G45/(1+$B10)^('DCF Model'!C19+4)+'DCF Model'!G45*(1+I$6)/($B10-I$6)/(1+$B10)^('DCF Model'!C19+4)-'DCF Model'!C16)*1000000/'DCF Model'!C15,0),"")</f>
        <v>1311</v>
      </c>
    </row>
    <row r="11" spans="2:9" ht="13.5" customHeight="1" x14ac:dyDescent="0.25">
      <c r="B11" s="39">
        <f>$C$3+0.005</f>
        <v>0.10970000000000001</v>
      </c>
      <c r="C11" s="37">
        <f>IFERROR(ROUND(('DCF Model'!C45/(1+$B11)^('DCF Model'!C19+0)+'DCF Model'!D45/(1+$B11)^('DCF Model'!C19+1)+'DCF Model'!E45/(1+$B11)^('DCF Model'!C19+2)+'DCF Model'!F45/(1+$B11)^('DCF Model'!C19+3)+'DCF Model'!G45/(1+$B11)^('DCF Model'!C19+4)+'DCF Model'!G45*(1+C$6)/($B11-C$6)/(1+$B11)^('DCF Model'!C19+4)-'DCF Model'!C16)*1000000/'DCF Model'!C15,0),"")</f>
        <v>1125</v>
      </c>
      <c r="D11" s="37">
        <f>IFERROR(ROUND(('DCF Model'!C45/(1+$B11)^('DCF Model'!C19+0)+'DCF Model'!D45/(1+$B11)^('DCF Model'!C19+1)+'DCF Model'!E45/(1+$B11)^('DCF Model'!C19+2)+'DCF Model'!F45/(1+$B11)^('DCF Model'!C19+3)+'DCF Model'!G45/(1+$B11)^('DCF Model'!C19+4)+'DCF Model'!G45*(1+D$6)/($B11-D$6)/(1+$B11)^('DCF Model'!C19+4)-'DCF Model'!C16)*1000000/'DCF Model'!C15,0),"")</f>
        <v>1142</v>
      </c>
      <c r="E11" s="37">
        <f>IFERROR(ROUND(('DCF Model'!C45/(1+$B11)^('DCF Model'!C19+0)+'DCF Model'!D45/(1+$B11)^('DCF Model'!C19+1)+'DCF Model'!E45/(1+$B11)^('DCF Model'!C19+2)+'DCF Model'!F45/(1+$B11)^('DCF Model'!C19+3)+'DCF Model'!G45/(1+$B11)^('DCF Model'!C19+4)+'DCF Model'!G45*(1+E$6)/($B11-E$6)/(1+$B11)^('DCF Model'!C19+4)-'DCF Model'!C16)*1000000/'DCF Model'!C15,0),"")</f>
        <v>1160</v>
      </c>
      <c r="F11" s="37">
        <f>IFERROR(ROUND(('DCF Model'!C45/(1+$B11)^('DCF Model'!C19+0)+'DCF Model'!D45/(1+$B11)^('DCF Model'!C19+1)+'DCF Model'!E45/(1+$B11)^('DCF Model'!C19+2)+'DCF Model'!F45/(1+$B11)^('DCF Model'!C19+3)+'DCF Model'!G45/(1+$B11)^('DCF Model'!C19+4)+'DCF Model'!G45*(1+F$6)/($B11-F$6)/(1+$B11)^('DCF Model'!C19+4)-'DCF Model'!C16)*1000000/'DCF Model'!C15,0),"")</f>
        <v>1179</v>
      </c>
      <c r="G11" s="37">
        <f>IFERROR(ROUND(('DCF Model'!C45/(1+$B11)^('DCF Model'!C19+0)+'DCF Model'!D45/(1+$B11)^('DCF Model'!C19+1)+'DCF Model'!E45/(1+$B11)^('DCF Model'!C19+2)+'DCF Model'!F45/(1+$B11)^('DCF Model'!C19+3)+'DCF Model'!G45/(1+$B11)^('DCF Model'!C19+4)+'DCF Model'!G45*(1+G$6)/($B11-G$6)/(1+$B11)^('DCF Model'!C19+4)-'DCF Model'!C16)*1000000/'DCF Model'!C15,0),"")</f>
        <v>1199</v>
      </c>
      <c r="H11" s="37">
        <f>IFERROR(ROUND(('DCF Model'!C45/(1+$B11)^('DCF Model'!C19+0)+'DCF Model'!D45/(1+$B11)^('DCF Model'!C19+1)+'DCF Model'!E45/(1+$B11)^('DCF Model'!C19+2)+'DCF Model'!F45/(1+$B11)^('DCF Model'!C19+3)+'DCF Model'!G45/(1+$B11)^('DCF Model'!C19+4)+'DCF Model'!G45*(1+H$6)/($B11-H$6)/(1+$B11)^('DCF Model'!C19+4)-'DCF Model'!C16)*1000000/'DCF Model'!C15,0),"")</f>
        <v>1221</v>
      </c>
      <c r="I11" s="37">
        <f>IFERROR(ROUND(('DCF Model'!C45/(1+$B11)^('DCF Model'!C19+0)+'DCF Model'!D45/(1+$B11)^('DCF Model'!C19+1)+'DCF Model'!E45/(1+$B11)^('DCF Model'!C19+2)+'DCF Model'!F45/(1+$B11)^('DCF Model'!C19+3)+'DCF Model'!G45/(1+$B11)^('DCF Model'!C19+4)+'DCF Model'!G45*(1+I$6)/($B11-I$6)/(1+$B11)^('DCF Model'!C19+4)-'DCF Model'!C16)*1000000/'DCF Model'!C15,0),"")</f>
        <v>1243</v>
      </c>
    </row>
    <row r="12" spans="2:9" ht="13.5" customHeight="1" x14ac:dyDescent="0.25">
      <c r="B12" s="39">
        <f>$C$3+0.01</f>
        <v>0.1147</v>
      </c>
      <c r="C12" s="37">
        <f>IFERROR(ROUND(('DCF Model'!C45/(1+$B12)^('DCF Model'!C19+0)+'DCF Model'!D45/(1+$B12)^('DCF Model'!C19+1)+'DCF Model'!E45/(1+$B12)^('DCF Model'!C19+2)+'DCF Model'!F45/(1+$B12)^('DCF Model'!C19+3)+'DCF Model'!G45/(1+$B12)^('DCF Model'!C19+4)+'DCF Model'!G45*(1+C$6)/($B12-C$6)/(1+$B12)^('DCF Model'!C19+4)-'DCF Model'!C16)*1000000/'DCF Model'!C15,0),"")</f>
        <v>1077</v>
      </c>
      <c r="D12" s="37">
        <f>IFERROR(ROUND(('DCF Model'!C45/(1+$B12)^('DCF Model'!C19+0)+'DCF Model'!D45/(1+$B12)^('DCF Model'!C19+1)+'DCF Model'!E45/(1+$B12)^('DCF Model'!C19+2)+'DCF Model'!F45/(1+$B12)^('DCF Model'!C19+3)+'DCF Model'!G45/(1+$B12)^('DCF Model'!C19+4)+'DCF Model'!G45*(1+D$6)/($B12-D$6)/(1+$B12)^('DCF Model'!C19+4)-'DCF Model'!C16)*1000000/'DCF Model'!C15,0),"")</f>
        <v>1092</v>
      </c>
      <c r="E12" s="37">
        <f>IFERROR(ROUND(('DCF Model'!C45/(1+$B12)^('DCF Model'!C19+0)+'DCF Model'!D45/(1+$B12)^('DCF Model'!C19+1)+'DCF Model'!E45/(1+$B12)^('DCF Model'!C19+2)+'DCF Model'!F45/(1+$B12)^('DCF Model'!C19+3)+'DCF Model'!G45/(1+$B12)^('DCF Model'!C19+4)+'DCF Model'!G45*(1+E$6)/($B12-E$6)/(1+$B12)^('DCF Model'!C19+4)-'DCF Model'!C16)*1000000/'DCF Model'!C15,0),"")</f>
        <v>1109</v>
      </c>
      <c r="F12" s="37">
        <f>IFERROR(ROUND(('DCF Model'!C45/(1+$B12)^('DCF Model'!C19+0)+'DCF Model'!D45/(1+$B12)^('DCF Model'!C19+1)+'DCF Model'!E45/(1+$B12)^('DCF Model'!C19+2)+'DCF Model'!F45/(1+$B12)^('DCF Model'!C19+3)+'DCF Model'!G45/(1+$B12)^('DCF Model'!C19+4)+'DCF Model'!G45*(1+F$6)/($B12-F$6)/(1+$B12)^('DCF Model'!C19+4)-'DCF Model'!C16)*1000000/'DCF Model'!C15,0),"")</f>
        <v>1126</v>
      </c>
      <c r="G12" s="37">
        <f>IFERROR(ROUND(('DCF Model'!C45/(1+$B12)^('DCF Model'!C19+0)+'DCF Model'!D45/(1+$B12)^('DCF Model'!C19+1)+'DCF Model'!E45/(1+$B12)^('DCF Model'!C19+2)+'DCF Model'!F45/(1+$B12)^('DCF Model'!C19+3)+'DCF Model'!G45/(1+$B12)^('DCF Model'!C19+4)+'DCF Model'!G45*(1+G$6)/($B12-G$6)/(1+$B12)^('DCF Model'!C19+4)-'DCF Model'!C16)*1000000/'DCF Model'!C15,0),"")</f>
        <v>1144</v>
      </c>
      <c r="H12" s="37">
        <f>IFERROR(ROUND(('DCF Model'!C45/(1+$B12)^('DCF Model'!C19+0)+'DCF Model'!D45/(1+$B12)^('DCF Model'!C19+1)+'DCF Model'!E45/(1+$B12)^('DCF Model'!C19+2)+'DCF Model'!F45/(1+$B12)^('DCF Model'!C19+3)+'DCF Model'!G45/(1+$B12)^('DCF Model'!C19+4)+'DCF Model'!G45*(1+H$6)/($B12-H$6)/(1+$B12)^('DCF Model'!C19+4)-'DCF Model'!C16)*1000000/'DCF Model'!C15,0),"")</f>
        <v>1162</v>
      </c>
      <c r="I12" s="37">
        <f>IFERROR(ROUND(('DCF Model'!C45/(1+$B12)^('DCF Model'!C19+0)+'DCF Model'!D45/(1+$B12)^('DCF Model'!C19+1)+'DCF Model'!E45/(1+$B12)^('DCF Model'!C19+2)+'DCF Model'!F45/(1+$B12)^('DCF Model'!C19+3)+'DCF Model'!G45/(1+$B12)^('DCF Model'!C19+4)+'DCF Model'!G45*(1+I$6)/($B12-I$6)/(1+$B12)^('DCF Model'!C19+4)-'DCF Model'!C16)*1000000/'DCF Model'!C15,0),"")</f>
        <v>1182</v>
      </c>
    </row>
    <row r="13" spans="2:9" ht="13.5" customHeight="1" x14ac:dyDescent="0.25">
      <c r="B13" s="39">
        <f>$C$3+0.015</f>
        <v>0.1197</v>
      </c>
      <c r="C13" s="37">
        <f>IFERROR(ROUND(('DCF Model'!C45/(1+$B13)^('DCF Model'!C19+0)+'DCF Model'!D45/(1+$B13)^('DCF Model'!C19+1)+'DCF Model'!E45/(1+$B13)^('DCF Model'!C19+2)+'DCF Model'!F45/(1+$B13)^('DCF Model'!C19+3)+'DCF Model'!G45/(1+$B13)^('DCF Model'!C19+4)+'DCF Model'!G45*(1+C$6)/($B13-C$6)/(1+$B13)^('DCF Model'!C19+4)-'DCF Model'!C16)*1000000/'DCF Model'!C15,0),"")</f>
        <v>1033</v>
      </c>
      <c r="D13" s="37">
        <f>IFERROR(ROUND(('DCF Model'!C45/(1+$B13)^('DCF Model'!C19+0)+'DCF Model'!D45/(1+$B13)^('DCF Model'!C19+1)+'DCF Model'!E45/(1+$B13)^('DCF Model'!C19+2)+'DCF Model'!F45/(1+$B13)^('DCF Model'!C19+3)+'DCF Model'!G45/(1+$B13)^('DCF Model'!C19+4)+'DCF Model'!G45*(1+D$6)/($B13-D$6)/(1+$B13)^('DCF Model'!C19+4)-'DCF Model'!C16)*1000000/'DCF Model'!C15,0),"")</f>
        <v>1047</v>
      </c>
      <c r="E13" s="37">
        <f>IFERROR(ROUND(('DCF Model'!C45/(1+$B13)^('DCF Model'!C19+0)+'DCF Model'!D45/(1+$B13)^('DCF Model'!C19+1)+'DCF Model'!E45/(1+$B13)^('DCF Model'!C19+2)+'DCF Model'!F45/(1+$B13)^('DCF Model'!C19+3)+'DCF Model'!G45/(1+$B13)^('DCF Model'!C19+4)+'DCF Model'!G45*(1+E$6)/($B13-E$6)/(1+$B13)^('DCF Model'!C19+4)-'DCF Model'!C16)*1000000/'DCF Model'!C15,0),"")</f>
        <v>1062</v>
      </c>
      <c r="F13" s="37">
        <f>IFERROR(ROUND(('DCF Model'!C45/(1+$B13)^('DCF Model'!C19+0)+'DCF Model'!D45/(1+$B13)^('DCF Model'!C19+1)+'DCF Model'!E45/(1+$B13)^('DCF Model'!C19+2)+'DCF Model'!F45/(1+$B13)^('DCF Model'!C19+3)+'DCF Model'!G45/(1+$B13)^('DCF Model'!C19+4)+'DCF Model'!G45*(1+F$6)/($B13-F$6)/(1+$B13)^('DCF Model'!C19+4)-'DCF Model'!C16)*1000000/'DCF Model'!C15,0),"")</f>
        <v>1077</v>
      </c>
      <c r="G13" s="37">
        <f>IFERROR(ROUND(('DCF Model'!C45/(1+$B13)^('DCF Model'!C19+0)+'DCF Model'!D45/(1+$B13)^('DCF Model'!C19+1)+'DCF Model'!E45/(1+$B13)^('DCF Model'!C19+2)+'DCF Model'!F45/(1+$B13)^('DCF Model'!C19+3)+'DCF Model'!G45/(1+$B13)^('DCF Model'!C19+4)+'DCF Model'!G45*(1+G$6)/($B13-G$6)/(1+$B13)^('DCF Model'!C19+4)-'DCF Model'!C16)*1000000/'DCF Model'!C15,0),"")</f>
        <v>1093</v>
      </c>
      <c r="H13" s="37">
        <f>IFERROR(ROUND(('DCF Model'!C45/(1+$B13)^('DCF Model'!C19+0)+'DCF Model'!D45/(1+$B13)^('DCF Model'!C19+1)+'DCF Model'!E45/(1+$B13)^('DCF Model'!C19+2)+'DCF Model'!F45/(1+$B13)^('DCF Model'!C19+3)+'DCF Model'!G45/(1+$B13)^('DCF Model'!C19+4)+'DCF Model'!G45*(1+H$6)/($B13-H$6)/(1+$B13)^('DCF Model'!C19+4)-'DCF Model'!C16)*1000000/'DCF Model'!C15,0),"")</f>
        <v>1110</v>
      </c>
      <c r="I13" s="37">
        <f>IFERROR(ROUND(('DCF Model'!C45/(1+$B13)^('DCF Model'!C19+0)+'DCF Model'!D45/(1+$B13)^('DCF Model'!C19+1)+'DCF Model'!E45/(1+$B13)^('DCF Model'!C19+2)+'DCF Model'!F45/(1+$B13)^('DCF Model'!C19+3)+'DCF Model'!G45/(1+$B13)^('DCF Model'!C19+4)+'DCF Model'!G45*(1+I$6)/($B13-I$6)/(1+$B13)^('DCF Model'!C19+4)-'DCF Model'!C16)*1000000/'DCF Model'!C15,0),"")</f>
        <v>1127</v>
      </c>
    </row>
    <row r="16" spans="2:9" ht="14" customHeight="1" x14ac:dyDescent="0.3">
      <c r="B16" s="3" t="s">
        <v>236</v>
      </c>
    </row>
    <row r="17" spans="2:9" ht="14" customHeight="1" x14ac:dyDescent="0.3">
      <c r="B17" s="41" t="s">
        <v>237</v>
      </c>
      <c r="C17" s="43">
        <f>$I$3-3</f>
        <v>7.8000000000000007</v>
      </c>
      <c r="D17" s="43">
        <f>$I$3-2</f>
        <v>8.8000000000000007</v>
      </c>
      <c r="E17" s="43">
        <f>$I$3-1</f>
        <v>9.8000000000000007</v>
      </c>
      <c r="F17" s="43">
        <f>$I$3</f>
        <v>10.8</v>
      </c>
      <c r="G17" s="43">
        <f>$I$3+1</f>
        <v>11.8</v>
      </c>
      <c r="H17" s="43">
        <f>$I$3+2</f>
        <v>12.8</v>
      </c>
      <c r="I17" s="43">
        <f>$I$3+3</f>
        <v>13.8</v>
      </c>
    </row>
    <row r="18" spans="2:9" ht="13.5" customHeight="1" x14ac:dyDescent="0.25">
      <c r="B18" s="39">
        <f>$C$3-0.015</f>
        <v>8.9700000000000002E-2</v>
      </c>
      <c r="C18" s="37">
        <f>IFERROR(ROUND(('DCF Model'!C45/(1+$B18)^('DCF Model'!C19+0)+'DCF Model'!D45/(1+$B18)^('DCF Model'!C19+1)+'DCF Model'!E45/(1+$B18)^('DCF Model'!C19+2)+'DCF Model'!F45/(1+$B18)^('DCF Model'!C19+3)+'DCF Model'!G45/(1+$B18)^('DCF Model'!C19+4)+('DCF Model'!G39+'DCF Model'!G42)*C$17/(1+$B18)^('DCF Model'!C19+4)-'DCF Model'!C16)*1000000/'DCF Model'!C15,0),"")</f>
        <v>1667</v>
      </c>
      <c r="D18" s="37">
        <f>IFERROR(ROUND(('DCF Model'!C45/(1+$B18)^('DCF Model'!C19+0)+'DCF Model'!D45/(1+$B18)^('DCF Model'!C19+1)+'DCF Model'!E45/(1+$B18)^('DCF Model'!C19+2)+'DCF Model'!F45/(1+$B18)^('DCF Model'!C19+3)+'DCF Model'!G45/(1+$B18)^('DCF Model'!C19+4)+('DCF Model'!G39+'DCF Model'!G42)*D$17/(1+$B18)^('DCF Model'!C19+4)-'DCF Model'!C16)*1000000/'DCF Model'!C15,0),"")</f>
        <v>1818</v>
      </c>
      <c r="E18" s="37">
        <f>IFERROR(ROUND(('DCF Model'!C45/(1+$B18)^('DCF Model'!C19+0)+'DCF Model'!D45/(1+$B18)^('DCF Model'!C19+1)+'DCF Model'!E45/(1+$B18)^('DCF Model'!C19+2)+'DCF Model'!F45/(1+$B18)^('DCF Model'!C19+3)+'DCF Model'!G45/(1+$B18)^('DCF Model'!C19+4)+('DCF Model'!G39+'DCF Model'!G42)*E$17/(1+$B18)^('DCF Model'!C19+4)-'DCF Model'!C16)*1000000/'DCF Model'!C15,0),"")</f>
        <v>1969</v>
      </c>
      <c r="F18" s="37">
        <f>IFERROR(ROUND(('DCF Model'!C45/(1+$B18)^('DCF Model'!C19+0)+'DCF Model'!D45/(1+$B18)^('DCF Model'!C19+1)+'DCF Model'!E45/(1+$B18)^('DCF Model'!C19+2)+'DCF Model'!F45/(1+$B18)^('DCF Model'!C19+3)+'DCF Model'!G45/(1+$B18)^('DCF Model'!C19+4)+('DCF Model'!G39+'DCF Model'!G42)*F$17/(1+$B18)^('DCF Model'!C19+4)-'DCF Model'!C16)*1000000/'DCF Model'!C15,0),"")</f>
        <v>2120</v>
      </c>
      <c r="G18" s="37">
        <f>IFERROR(ROUND(('DCF Model'!C45/(1+$B18)^('DCF Model'!C19+0)+'DCF Model'!D45/(1+$B18)^('DCF Model'!C19+1)+'DCF Model'!E45/(1+$B18)^('DCF Model'!C19+2)+'DCF Model'!F45/(1+$B18)^('DCF Model'!C19+3)+'DCF Model'!G45/(1+$B18)^('DCF Model'!C19+4)+('DCF Model'!G39+'DCF Model'!G42)*G$17/(1+$B18)^('DCF Model'!C19+4)-'DCF Model'!C16)*1000000/'DCF Model'!C15,0),"")</f>
        <v>2271</v>
      </c>
      <c r="H18" s="37">
        <f>IFERROR(ROUND(('DCF Model'!C45/(1+$B18)^('DCF Model'!C19+0)+'DCF Model'!D45/(1+$B18)^('DCF Model'!C19+1)+'DCF Model'!E45/(1+$B18)^('DCF Model'!C19+2)+'DCF Model'!F45/(1+$B18)^('DCF Model'!C19+3)+'DCF Model'!G45/(1+$B18)^('DCF Model'!C19+4)+('DCF Model'!G39+'DCF Model'!G42)*H$17/(1+$B18)^('DCF Model'!C19+4)-'DCF Model'!C16)*1000000/'DCF Model'!C15,0),"")</f>
        <v>2422</v>
      </c>
      <c r="I18" s="37">
        <f>IFERROR(ROUND(('DCF Model'!C45/(1+$B18)^('DCF Model'!C19+0)+'DCF Model'!D45/(1+$B18)^('DCF Model'!C19+1)+'DCF Model'!E45/(1+$B18)^('DCF Model'!C19+2)+'DCF Model'!F45/(1+$B18)^('DCF Model'!C19+3)+'DCF Model'!G45/(1+$B18)^('DCF Model'!C19+4)+('DCF Model'!G39+'DCF Model'!G42)*I$17/(1+$B18)^('DCF Model'!C19+4)-'DCF Model'!C16)*1000000/'DCF Model'!C15,0),"")</f>
        <v>2573</v>
      </c>
    </row>
    <row r="19" spans="2:9" ht="13.5" customHeight="1" x14ac:dyDescent="0.25">
      <c r="B19" s="39">
        <f>$C$3-0.01</f>
        <v>9.4700000000000006E-2</v>
      </c>
      <c r="C19" s="37">
        <f>IFERROR(ROUND(('DCF Model'!C45/(1+$B19)^('DCF Model'!C19+0)+'DCF Model'!D45/(1+$B19)^('DCF Model'!C19+1)+'DCF Model'!E45/(1+$B19)^('DCF Model'!C19+2)+'DCF Model'!F45/(1+$B19)^('DCF Model'!C19+3)+'DCF Model'!G45/(1+$B19)^('DCF Model'!C19+4)+('DCF Model'!G39+'DCF Model'!G42)*C$17/(1+$B19)^('DCF Model'!C19+4)-'DCF Model'!C16)*1000000/'DCF Model'!C15,0),"")</f>
        <v>1635</v>
      </c>
      <c r="D19" s="37">
        <f>IFERROR(ROUND(('DCF Model'!C45/(1+$B19)^('DCF Model'!C19+0)+'DCF Model'!D45/(1+$B19)^('DCF Model'!C19+1)+'DCF Model'!E45/(1+$B19)^('DCF Model'!C19+2)+'DCF Model'!F45/(1+$B19)^('DCF Model'!C19+3)+'DCF Model'!G45/(1+$B19)^('DCF Model'!C19+4)+('DCF Model'!G39+'DCF Model'!G42)*D$17/(1+$B19)^('DCF Model'!C19+4)-'DCF Model'!C16)*1000000/'DCF Model'!C15,0),"")</f>
        <v>1783</v>
      </c>
      <c r="E19" s="37">
        <f>IFERROR(ROUND(('DCF Model'!C45/(1+$B19)^('DCF Model'!C19+0)+'DCF Model'!D45/(1+$B19)^('DCF Model'!C19+1)+'DCF Model'!E45/(1+$B19)^('DCF Model'!C19+2)+'DCF Model'!F45/(1+$B19)^('DCF Model'!C19+3)+'DCF Model'!G45/(1+$B19)^('DCF Model'!C19+4)+('DCF Model'!G39+'DCF Model'!G42)*E$17/(1+$B19)^('DCF Model'!C19+4)-'DCF Model'!C16)*1000000/'DCF Model'!C15,0),"")</f>
        <v>1930</v>
      </c>
      <c r="F19" s="37">
        <f>IFERROR(ROUND(('DCF Model'!C45/(1+$B19)^('DCF Model'!C19+0)+'DCF Model'!D45/(1+$B19)^('DCF Model'!C19+1)+'DCF Model'!E45/(1+$B19)^('DCF Model'!C19+2)+'DCF Model'!F45/(1+$B19)^('DCF Model'!C19+3)+'DCF Model'!G45/(1+$B19)^('DCF Model'!C19+4)+('DCF Model'!G39+'DCF Model'!G42)*F$17/(1+$B19)^('DCF Model'!C19+4)-'DCF Model'!C16)*1000000/'DCF Model'!C15,0),"")</f>
        <v>2078</v>
      </c>
      <c r="G19" s="37">
        <f>IFERROR(ROUND(('DCF Model'!C45/(1+$B19)^('DCF Model'!C19+0)+'DCF Model'!D45/(1+$B19)^('DCF Model'!C19+1)+'DCF Model'!E45/(1+$B19)^('DCF Model'!C19+2)+'DCF Model'!F45/(1+$B19)^('DCF Model'!C19+3)+'DCF Model'!G45/(1+$B19)^('DCF Model'!C19+4)+('DCF Model'!G39+'DCF Model'!G42)*G$17/(1+$B19)^('DCF Model'!C19+4)-'DCF Model'!C16)*1000000/'DCF Model'!C15,0),"")</f>
        <v>2226</v>
      </c>
      <c r="H19" s="37">
        <f>IFERROR(ROUND(('DCF Model'!C45/(1+$B19)^('DCF Model'!C19+0)+'DCF Model'!D45/(1+$B19)^('DCF Model'!C19+1)+'DCF Model'!E45/(1+$B19)^('DCF Model'!C19+2)+'DCF Model'!F45/(1+$B19)^('DCF Model'!C19+3)+'DCF Model'!G45/(1+$B19)^('DCF Model'!C19+4)+('DCF Model'!G39+'DCF Model'!G42)*H$17/(1+$B19)^('DCF Model'!C19+4)-'DCF Model'!C16)*1000000/'DCF Model'!C15,0),"")</f>
        <v>2373</v>
      </c>
      <c r="I19" s="37">
        <f>IFERROR(ROUND(('DCF Model'!C45/(1+$B19)^('DCF Model'!C19+0)+'DCF Model'!D45/(1+$B19)^('DCF Model'!C19+1)+'DCF Model'!E45/(1+$B19)^('DCF Model'!C19+2)+'DCF Model'!F45/(1+$B19)^('DCF Model'!C19+3)+'DCF Model'!G45/(1+$B19)^('DCF Model'!C19+4)+('DCF Model'!G39+'DCF Model'!G42)*I$17/(1+$B19)^('DCF Model'!C19+4)-'DCF Model'!C16)*1000000/'DCF Model'!C15,0),"")</f>
        <v>2521</v>
      </c>
    </row>
    <row r="20" spans="2:9" ht="13.5" customHeight="1" x14ac:dyDescent="0.25">
      <c r="B20" s="39">
        <f>$C$3-0.005</f>
        <v>9.9699999999999997E-2</v>
      </c>
      <c r="C20" s="37">
        <f>IFERROR(ROUND(('DCF Model'!C45/(1+$B20)^('DCF Model'!C19+0)+'DCF Model'!D45/(1+$B20)^('DCF Model'!C19+1)+'DCF Model'!E45/(1+$B20)^('DCF Model'!C19+2)+'DCF Model'!F45/(1+$B20)^('DCF Model'!C19+3)+'DCF Model'!G45/(1+$B20)^('DCF Model'!C19+4)+('DCF Model'!G39+'DCF Model'!G42)*C$17/(1+$B20)^('DCF Model'!C19+4)-'DCF Model'!C16)*1000000/'DCF Model'!C15,0),"")</f>
        <v>1604</v>
      </c>
      <c r="D20" s="37">
        <f>IFERROR(ROUND(('DCF Model'!C45/(1+$B20)^('DCF Model'!C19+0)+'DCF Model'!D45/(1+$B20)^('DCF Model'!C19+1)+'DCF Model'!E45/(1+$B20)^('DCF Model'!C19+2)+'DCF Model'!F45/(1+$B20)^('DCF Model'!C19+3)+'DCF Model'!G45/(1+$B20)^('DCF Model'!C19+4)+('DCF Model'!G39+'DCF Model'!G42)*D$17/(1+$B20)^('DCF Model'!C19+4)-'DCF Model'!C16)*1000000/'DCF Model'!C15,0),"")</f>
        <v>1749</v>
      </c>
      <c r="E20" s="37">
        <f>IFERROR(ROUND(('DCF Model'!C45/(1+$B20)^('DCF Model'!C19+0)+'DCF Model'!D45/(1+$B20)^('DCF Model'!C19+1)+'DCF Model'!E45/(1+$B20)^('DCF Model'!C19+2)+'DCF Model'!F45/(1+$B20)^('DCF Model'!C19+3)+'DCF Model'!G45/(1+$B20)^('DCF Model'!C19+4)+('DCF Model'!G39+'DCF Model'!G42)*E$17/(1+$B20)^('DCF Model'!C19+4)-'DCF Model'!C16)*1000000/'DCF Model'!C15,0),"")</f>
        <v>1893</v>
      </c>
      <c r="F20" s="37">
        <f>IFERROR(ROUND(('DCF Model'!C45/(1+$B20)^('DCF Model'!C19+0)+'DCF Model'!D45/(1+$B20)^('DCF Model'!C19+1)+'DCF Model'!E45/(1+$B20)^('DCF Model'!C19+2)+'DCF Model'!F45/(1+$B20)^('DCF Model'!C19+3)+'DCF Model'!G45/(1+$B20)^('DCF Model'!C19+4)+('DCF Model'!G39+'DCF Model'!G42)*F$17/(1+$B20)^('DCF Model'!C19+4)-'DCF Model'!C16)*1000000/'DCF Model'!C15,0),"")</f>
        <v>2037</v>
      </c>
      <c r="G20" s="37">
        <f>IFERROR(ROUND(('DCF Model'!C45/(1+$B20)^('DCF Model'!C19+0)+'DCF Model'!D45/(1+$B20)^('DCF Model'!C19+1)+'DCF Model'!E45/(1+$B20)^('DCF Model'!C19+2)+'DCF Model'!F45/(1+$B20)^('DCF Model'!C19+3)+'DCF Model'!G45/(1+$B20)^('DCF Model'!C19+4)+('DCF Model'!G39+'DCF Model'!G42)*G$17/(1+$B20)^('DCF Model'!C19+4)-'DCF Model'!C16)*1000000/'DCF Model'!C15,0),"")</f>
        <v>2182</v>
      </c>
      <c r="H20" s="37">
        <f>IFERROR(ROUND(('DCF Model'!C45/(1+$B20)^('DCF Model'!C19+0)+'DCF Model'!D45/(1+$B20)^('DCF Model'!C19+1)+'DCF Model'!E45/(1+$B20)^('DCF Model'!C19+2)+'DCF Model'!F45/(1+$B20)^('DCF Model'!C19+3)+'DCF Model'!G45/(1+$B20)^('DCF Model'!C19+4)+('DCF Model'!G39+'DCF Model'!G42)*H$17/(1+$B20)^('DCF Model'!C19+4)-'DCF Model'!C16)*1000000/'DCF Model'!C15,0),"")</f>
        <v>2326</v>
      </c>
      <c r="I20" s="37">
        <f>IFERROR(ROUND(('DCF Model'!C45/(1+$B20)^('DCF Model'!C19+0)+'DCF Model'!D45/(1+$B20)^('DCF Model'!C19+1)+'DCF Model'!E45/(1+$B20)^('DCF Model'!C19+2)+'DCF Model'!F45/(1+$B20)^('DCF Model'!C19+3)+'DCF Model'!G45/(1+$B20)^('DCF Model'!C19+4)+('DCF Model'!G39+'DCF Model'!G42)*I$17/(1+$B20)^('DCF Model'!C19+4)-'DCF Model'!C16)*1000000/'DCF Model'!C15,0),"")</f>
        <v>2470</v>
      </c>
    </row>
    <row r="21" spans="2:9" ht="13.5" customHeight="1" x14ac:dyDescent="0.25">
      <c r="B21" s="39">
        <f>$C$3</f>
        <v>0.1047</v>
      </c>
      <c r="C21" s="37">
        <f>IFERROR(ROUND(('DCF Model'!C45/(1+$B21)^('DCF Model'!C19+0)+'DCF Model'!D45/(1+$B21)^('DCF Model'!C19+1)+'DCF Model'!E45/(1+$B21)^('DCF Model'!C19+2)+'DCF Model'!F45/(1+$B21)^('DCF Model'!C19+3)+'DCF Model'!G45/(1+$B21)^('DCF Model'!C19+4)+('DCF Model'!G39+'DCF Model'!G42)*C$17/(1+$B21)^('DCF Model'!C19+4)-'DCF Model'!C16)*1000000/'DCF Model'!C15,0),"")</f>
        <v>1574</v>
      </c>
      <c r="D21" s="37">
        <f>IFERROR(ROUND(('DCF Model'!C45/(1+$B21)^('DCF Model'!C19+0)+'DCF Model'!D45/(1+$B21)^('DCF Model'!C19+1)+'DCF Model'!E45/(1+$B21)^('DCF Model'!C19+2)+'DCF Model'!F45/(1+$B21)^('DCF Model'!C19+3)+'DCF Model'!G45/(1+$B21)^('DCF Model'!C19+4)+('DCF Model'!G39+'DCF Model'!G42)*D$17/(1+$B21)^('DCF Model'!C19+4)-'DCF Model'!C16)*1000000/'DCF Model'!C15,0),"")</f>
        <v>1715</v>
      </c>
      <c r="E21" s="37">
        <f>IFERROR(ROUND(('DCF Model'!C45/(1+$B21)^('DCF Model'!C19+0)+'DCF Model'!D45/(1+$B21)^('DCF Model'!C19+1)+'DCF Model'!E45/(1+$B21)^('DCF Model'!C19+2)+'DCF Model'!F45/(1+$B21)^('DCF Model'!C19+3)+'DCF Model'!G45/(1+$B21)^('DCF Model'!C19+4)+('DCF Model'!G39+'DCF Model'!G42)*E$17/(1+$B21)^('DCF Model'!C19+4)-'DCF Model'!C16)*1000000/'DCF Model'!C15,0),"")</f>
        <v>1856</v>
      </c>
      <c r="F21" s="37">
        <f>IFERROR(ROUND(('DCF Model'!C45/(1+$B21)^('DCF Model'!C19+0)+'DCF Model'!D45/(1+$B21)^('DCF Model'!C19+1)+'DCF Model'!E45/(1+$B21)^('DCF Model'!C19+2)+'DCF Model'!F45/(1+$B21)^('DCF Model'!C19+3)+'DCF Model'!G45/(1+$B21)^('DCF Model'!C19+4)+('DCF Model'!G39+'DCF Model'!G42)*F$17/(1+$B21)^('DCF Model'!C19+4)-'DCF Model'!C16)*1000000/'DCF Model'!C15,0),"")</f>
        <v>1997</v>
      </c>
      <c r="G21" s="37">
        <f>IFERROR(ROUND(('DCF Model'!C45/(1+$B21)^('DCF Model'!C19+0)+'DCF Model'!D45/(1+$B21)^('DCF Model'!C19+1)+'DCF Model'!E45/(1+$B21)^('DCF Model'!C19+2)+'DCF Model'!F45/(1+$B21)^('DCF Model'!C19+3)+'DCF Model'!G45/(1+$B21)^('DCF Model'!C19+4)+('DCF Model'!G39+'DCF Model'!G42)*G$17/(1+$B21)^('DCF Model'!C19+4)-'DCF Model'!C16)*1000000/'DCF Model'!C15,0),"")</f>
        <v>2138</v>
      </c>
      <c r="H21" s="37">
        <f>IFERROR(ROUND(('DCF Model'!C45/(1+$B21)^('DCF Model'!C19+0)+'DCF Model'!D45/(1+$B21)^('DCF Model'!C19+1)+'DCF Model'!E45/(1+$B21)^('DCF Model'!C19+2)+'DCF Model'!F45/(1+$B21)^('DCF Model'!C19+3)+'DCF Model'!G45/(1+$B21)^('DCF Model'!C19+4)+('DCF Model'!G39+'DCF Model'!G42)*H$17/(1+$B21)^('DCF Model'!C19+4)-'DCF Model'!C16)*1000000/'DCF Model'!C15,0),"")</f>
        <v>2280</v>
      </c>
      <c r="I21" s="37">
        <f>IFERROR(ROUND(('DCF Model'!C45/(1+$B21)^('DCF Model'!C19+0)+'DCF Model'!D45/(1+$B21)^('DCF Model'!C19+1)+'DCF Model'!E45/(1+$B21)^('DCF Model'!C19+2)+'DCF Model'!F45/(1+$B21)^('DCF Model'!C19+3)+'DCF Model'!G45/(1+$B21)^('DCF Model'!C19+4)+('DCF Model'!G39+'DCF Model'!G42)*I$17/(1+$B21)^('DCF Model'!C19+4)-'DCF Model'!C16)*1000000/'DCF Model'!C15,0),"")</f>
        <v>2421</v>
      </c>
    </row>
    <row r="22" spans="2:9" ht="13.5" customHeight="1" x14ac:dyDescent="0.25">
      <c r="B22" s="39">
        <f>$C$3+0.005</f>
        <v>0.10970000000000001</v>
      </c>
      <c r="C22" s="37">
        <f>IFERROR(ROUND(('DCF Model'!C45/(1+$B22)^('DCF Model'!C19+0)+'DCF Model'!D45/(1+$B22)^('DCF Model'!C19+1)+'DCF Model'!E45/(1+$B22)^('DCF Model'!C19+2)+'DCF Model'!F45/(1+$B22)^('DCF Model'!C19+3)+'DCF Model'!G45/(1+$B22)^('DCF Model'!C19+4)+('DCF Model'!G39+'DCF Model'!G42)*C$17/(1+$B22)^('DCF Model'!C19+4)-'DCF Model'!C16)*1000000/'DCF Model'!C15,0),"")</f>
        <v>1545</v>
      </c>
      <c r="D22" s="37">
        <f>IFERROR(ROUND(('DCF Model'!C45/(1+$B22)^('DCF Model'!C19+0)+'DCF Model'!D45/(1+$B22)^('DCF Model'!C19+1)+'DCF Model'!E45/(1+$B22)^('DCF Model'!C19+2)+'DCF Model'!F45/(1+$B22)^('DCF Model'!C19+3)+'DCF Model'!G45/(1+$B22)^('DCF Model'!C19+4)+('DCF Model'!G39+'DCF Model'!G42)*D$17/(1+$B22)^('DCF Model'!C19+4)-'DCF Model'!C16)*1000000/'DCF Model'!C15,0),"")</f>
        <v>1683</v>
      </c>
      <c r="E22" s="37">
        <f>IFERROR(ROUND(('DCF Model'!C45/(1+$B22)^('DCF Model'!C19+0)+'DCF Model'!D45/(1+$B22)^('DCF Model'!C19+1)+'DCF Model'!E45/(1+$B22)^('DCF Model'!C19+2)+'DCF Model'!F45/(1+$B22)^('DCF Model'!C19+3)+'DCF Model'!G45/(1+$B22)^('DCF Model'!C19+4)+('DCF Model'!G39+'DCF Model'!G42)*E$17/(1+$B22)^('DCF Model'!C19+4)-'DCF Model'!C16)*1000000/'DCF Model'!C15,0),"")</f>
        <v>1821</v>
      </c>
      <c r="F22" s="37">
        <f>IFERROR(ROUND(('DCF Model'!C45/(1+$B22)^('DCF Model'!C19+0)+'DCF Model'!D45/(1+$B22)^('DCF Model'!C19+1)+'DCF Model'!E45/(1+$B22)^('DCF Model'!C19+2)+'DCF Model'!F45/(1+$B22)^('DCF Model'!C19+3)+'DCF Model'!G45/(1+$B22)^('DCF Model'!C19+4)+('DCF Model'!G39+'DCF Model'!G42)*F$17/(1+$B22)^('DCF Model'!C19+4)-'DCF Model'!C16)*1000000/'DCF Model'!C15,0),"")</f>
        <v>1959</v>
      </c>
      <c r="G22" s="37">
        <f>IFERROR(ROUND(('DCF Model'!C45/(1+$B22)^('DCF Model'!C19+0)+'DCF Model'!D45/(1+$B22)^('DCF Model'!C19+1)+'DCF Model'!E45/(1+$B22)^('DCF Model'!C19+2)+'DCF Model'!F45/(1+$B22)^('DCF Model'!C19+3)+'DCF Model'!G45/(1+$B22)^('DCF Model'!C19+4)+('DCF Model'!G39+'DCF Model'!G42)*G$17/(1+$B22)^('DCF Model'!C19+4)-'DCF Model'!C16)*1000000/'DCF Model'!C15,0),"")</f>
        <v>2096</v>
      </c>
      <c r="H22" s="37">
        <f>IFERROR(ROUND(('DCF Model'!C45/(1+$B22)^('DCF Model'!C19+0)+'DCF Model'!D45/(1+$B22)^('DCF Model'!C19+1)+'DCF Model'!E45/(1+$B22)^('DCF Model'!C19+2)+'DCF Model'!F45/(1+$B22)^('DCF Model'!C19+3)+'DCF Model'!G45/(1+$B22)^('DCF Model'!C19+4)+('DCF Model'!G39+'DCF Model'!G42)*H$17/(1+$B22)^('DCF Model'!C19+4)-'DCF Model'!C16)*1000000/'DCF Model'!C15,0),"")</f>
        <v>2234</v>
      </c>
      <c r="I22" s="37">
        <f>IFERROR(ROUND(('DCF Model'!C45/(1+$B22)^('DCF Model'!C19+0)+'DCF Model'!D45/(1+$B22)^('DCF Model'!C19+1)+'DCF Model'!E45/(1+$B22)^('DCF Model'!C19+2)+'DCF Model'!F45/(1+$B22)^('DCF Model'!C19+3)+'DCF Model'!G45/(1+$B22)^('DCF Model'!C19+4)+('DCF Model'!G39+'DCF Model'!G42)*I$17/(1+$B22)^('DCF Model'!C19+4)-'DCF Model'!C16)*1000000/'DCF Model'!C15,0),"")</f>
        <v>2372</v>
      </c>
    </row>
    <row r="23" spans="2:9" ht="13.5" customHeight="1" x14ac:dyDescent="0.25">
      <c r="B23" s="39">
        <f>$C$3+0.01</f>
        <v>0.1147</v>
      </c>
      <c r="C23" s="37">
        <f>IFERROR(ROUND(('DCF Model'!C45/(1+$B23)^('DCF Model'!C19+0)+'DCF Model'!D45/(1+$B23)^('DCF Model'!C19+1)+'DCF Model'!E45/(1+$B23)^('DCF Model'!C19+2)+'DCF Model'!F45/(1+$B23)^('DCF Model'!C19+3)+'DCF Model'!G45/(1+$B23)^('DCF Model'!C19+4)+('DCF Model'!G39+'DCF Model'!G42)*C$17/(1+$B23)^('DCF Model'!C19+4)-'DCF Model'!C16)*1000000/'DCF Model'!C15,0),"")</f>
        <v>1516</v>
      </c>
      <c r="D23" s="37">
        <f>IFERROR(ROUND(('DCF Model'!C45/(1+$B23)^('DCF Model'!C19+0)+'DCF Model'!D45/(1+$B23)^('DCF Model'!C19+1)+'DCF Model'!E45/(1+$B23)^('DCF Model'!C19+2)+'DCF Model'!F45/(1+$B23)^('DCF Model'!C19+3)+'DCF Model'!G45/(1+$B23)^('DCF Model'!C19+4)+('DCF Model'!G39+'DCF Model'!G42)*D$17/(1+$B23)^('DCF Model'!C19+4)-'DCF Model'!C16)*1000000/'DCF Model'!C15,0),"")</f>
        <v>1651</v>
      </c>
      <c r="E23" s="37">
        <f>IFERROR(ROUND(('DCF Model'!C45/(1+$B23)^('DCF Model'!C19+0)+'DCF Model'!D45/(1+$B23)^('DCF Model'!C19+1)+'DCF Model'!E45/(1+$B23)^('DCF Model'!C19+2)+'DCF Model'!F45/(1+$B23)^('DCF Model'!C19+3)+'DCF Model'!G45/(1+$B23)^('DCF Model'!C19+4)+('DCF Model'!G39+'DCF Model'!G42)*E$17/(1+$B23)^('DCF Model'!C19+4)-'DCF Model'!C16)*1000000/'DCF Model'!C15,0),"")</f>
        <v>1786</v>
      </c>
      <c r="F23" s="37">
        <f>IFERROR(ROUND(('DCF Model'!C45/(1+$B23)^('DCF Model'!C19+0)+'DCF Model'!D45/(1+$B23)^('DCF Model'!C19+1)+'DCF Model'!E45/(1+$B23)^('DCF Model'!C19+2)+'DCF Model'!F45/(1+$B23)^('DCF Model'!C19+3)+'DCF Model'!G45/(1+$B23)^('DCF Model'!C19+4)+('DCF Model'!G39+'DCF Model'!G42)*F$17/(1+$B23)^('DCF Model'!C19+4)-'DCF Model'!C16)*1000000/'DCF Model'!C15,0),"")</f>
        <v>1921</v>
      </c>
      <c r="G23" s="37">
        <f>IFERROR(ROUND(('DCF Model'!C45/(1+$B23)^('DCF Model'!C19+0)+'DCF Model'!D45/(1+$B23)^('DCF Model'!C19+1)+'DCF Model'!E45/(1+$B23)^('DCF Model'!C19+2)+'DCF Model'!F45/(1+$B23)^('DCF Model'!C19+3)+'DCF Model'!G45/(1+$B23)^('DCF Model'!C19+4)+('DCF Model'!G39+'DCF Model'!G42)*G$17/(1+$B23)^('DCF Model'!C19+4)-'DCF Model'!C16)*1000000/'DCF Model'!C15,0),"")</f>
        <v>2056</v>
      </c>
      <c r="H23" s="37">
        <f>IFERROR(ROUND(('DCF Model'!C45/(1+$B23)^('DCF Model'!C19+0)+'DCF Model'!D45/(1+$B23)^('DCF Model'!C19+1)+'DCF Model'!E45/(1+$B23)^('DCF Model'!C19+2)+'DCF Model'!F45/(1+$B23)^('DCF Model'!C19+3)+'DCF Model'!G45/(1+$B23)^('DCF Model'!C19+4)+('DCF Model'!G39+'DCF Model'!G42)*H$17/(1+$B23)^('DCF Model'!C19+4)-'DCF Model'!C16)*1000000/'DCF Model'!C15,0),"")</f>
        <v>2190</v>
      </c>
      <c r="I23" s="37">
        <f>IFERROR(ROUND(('DCF Model'!C45/(1+$B23)^('DCF Model'!C19+0)+'DCF Model'!D45/(1+$B23)^('DCF Model'!C19+1)+'DCF Model'!E45/(1+$B23)^('DCF Model'!C19+2)+'DCF Model'!F45/(1+$B23)^('DCF Model'!C19+3)+'DCF Model'!G45/(1+$B23)^('DCF Model'!C19+4)+('DCF Model'!G39+'DCF Model'!G42)*I$17/(1+$B23)^('DCF Model'!C19+4)-'DCF Model'!C16)*1000000/'DCF Model'!C15,0),"")</f>
        <v>2325</v>
      </c>
    </row>
    <row r="24" spans="2:9" ht="13.5" customHeight="1" x14ac:dyDescent="0.25">
      <c r="B24" s="39">
        <f>$C$3+0.015</f>
        <v>0.1197</v>
      </c>
      <c r="C24" s="37">
        <f>IFERROR(ROUND(('DCF Model'!C45/(1+$B24)^('DCF Model'!C19+0)+'DCF Model'!D45/(1+$B24)^('DCF Model'!C19+1)+'DCF Model'!E45/(1+$B24)^('DCF Model'!C19+2)+'DCF Model'!F45/(1+$B24)^('DCF Model'!C19+3)+'DCF Model'!G45/(1+$B24)^('DCF Model'!C19+4)+('DCF Model'!G39+'DCF Model'!G42)*C$17/(1+$B24)^('DCF Model'!C19+4)-'DCF Model'!C16)*1000000/'DCF Model'!C15,0),"")</f>
        <v>1488</v>
      </c>
      <c r="D24" s="37">
        <f>IFERROR(ROUND(('DCF Model'!C45/(1+$B24)^('DCF Model'!C19+0)+'DCF Model'!D45/(1+$B24)^('DCF Model'!C19+1)+'DCF Model'!E45/(1+$B24)^('DCF Model'!C19+2)+'DCF Model'!F45/(1+$B24)^('DCF Model'!C19+3)+'DCF Model'!G45/(1+$B24)^('DCF Model'!C19+4)+('DCF Model'!G39+'DCF Model'!G42)*D$17/(1+$B24)^('DCF Model'!C19+4)-'DCF Model'!C16)*1000000/'DCF Model'!C15,0),"")</f>
        <v>1620</v>
      </c>
      <c r="E24" s="37">
        <f>IFERROR(ROUND(('DCF Model'!C45/(1+$B24)^('DCF Model'!C19+0)+'DCF Model'!D45/(1+$B24)^('DCF Model'!C19+1)+'DCF Model'!E45/(1+$B24)^('DCF Model'!C19+2)+'DCF Model'!F45/(1+$B24)^('DCF Model'!C19+3)+'DCF Model'!G45/(1+$B24)^('DCF Model'!C19+4)+('DCF Model'!G39+'DCF Model'!G42)*E$17/(1+$B24)^('DCF Model'!C19+4)-'DCF Model'!C16)*1000000/'DCF Model'!C15,0),"")</f>
        <v>1752</v>
      </c>
      <c r="F24" s="37">
        <f>IFERROR(ROUND(('DCF Model'!C45/(1+$B24)^('DCF Model'!C19+0)+'DCF Model'!D45/(1+$B24)^('DCF Model'!C19+1)+'DCF Model'!E45/(1+$B24)^('DCF Model'!C19+2)+'DCF Model'!F45/(1+$B24)^('DCF Model'!C19+3)+'DCF Model'!G45/(1+$B24)^('DCF Model'!C19+4)+('DCF Model'!G39+'DCF Model'!G42)*F$17/(1+$B24)^('DCF Model'!C19+4)-'DCF Model'!C16)*1000000/'DCF Model'!C15,0),"")</f>
        <v>1884</v>
      </c>
      <c r="G24" s="37">
        <f>IFERROR(ROUND(('DCF Model'!C45/(1+$B24)^('DCF Model'!C19+0)+'DCF Model'!D45/(1+$B24)^('DCF Model'!C19+1)+'DCF Model'!E45/(1+$B24)^('DCF Model'!C19+2)+'DCF Model'!F45/(1+$B24)^('DCF Model'!C19+3)+'DCF Model'!G45/(1+$B24)^('DCF Model'!C19+4)+('DCF Model'!G39+'DCF Model'!G42)*G$17/(1+$B24)^('DCF Model'!C19+4)-'DCF Model'!C16)*1000000/'DCF Model'!C15,0),"")</f>
        <v>2016</v>
      </c>
      <c r="H24" s="37">
        <f>IFERROR(ROUND(('DCF Model'!C45/(1+$B24)^('DCF Model'!C19+0)+'DCF Model'!D45/(1+$B24)^('DCF Model'!C19+1)+'DCF Model'!E45/(1+$B24)^('DCF Model'!C19+2)+'DCF Model'!F45/(1+$B24)^('DCF Model'!C19+3)+'DCF Model'!G45/(1+$B24)^('DCF Model'!C19+4)+('DCF Model'!G39+'DCF Model'!G42)*H$17/(1+$B24)^('DCF Model'!C19+4)-'DCF Model'!C16)*1000000/'DCF Model'!C15,0),"")</f>
        <v>2148</v>
      </c>
      <c r="I24" s="37">
        <f>IFERROR(ROUND(('DCF Model'!C45/(1+$B24)^('DCF Model'!C19+0)+'DCF Model'!D45/(1+$B24)^('DCF Model'!C19+1)+'DCF Model'!E45/(1+$B24)^('DCF Model'!C19+2)+'DCF Model'!F45/(1+$B24)^('DCF Model'!C19+3)+'DCF Model'!G45/(1+$B24)^('DCF Model'!C19+4)+('DCF Model'!G39+'DCF Model'!G42)*I$17/(1+$B24)^('DCF Model'!C19+4)-'DCF Model'!C16)*1000000/'DCF Model'!C15,0),"")</f>
        <v>2280</v>
      </c>
    </row>
    <row r="26" spans="2:9" ht="14" customHeight="1" x14ac:dyDescent="0.3">
      <c r="B26" s="47" t="s">
        <v>238</v>
      </c>
      <c r="C26" s="46"/>
      <c r="D26" s="46"/>
      <c r="E26" s="46"/>
      <c r="F26" s="46"/>
      <c r="G26" s="46"/>
      <c r="H26" s="46"/>
      <c r="I26" s="46"/>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4" t="s">
        <v>246</v>
      </c>
      <c r="C6" s="4" t="s">
        <v>251</v>
      </c>
      <c r="D6" s="44" t="s">
        <v>252</v>
      </c>
      <c r="E6" s="44" t="s">
        <v>253</v>
      </c>
      <c r="F6" s="44" t="s">
        <v>254</v>
      </c>
      <c r="G6" s="44" t="s">
        <v>255</v>
      </c>
    </row>
    <row r="7" spans="2:7" ht="30" customHeight="1" x14ac:dyDescent="0.3">
      <c r="B7" s="44" t="s">
        <v>246</v>
      </c>
      <c r="C7" s="4" t="s">
        <v>256</v>
      </c>
      <c r="D7" s="44" t="s">
        <v>257</v>
      </c>
      <c r="E7" s="44" t="s">
        <v>258</v>
      </c>
      <c r="F7" s="44" t="s">
        <v>259</v>
      </c>
      <c r="G7" s="44" t="s">
        <v>260</v>
      </c>
    </row>
    <row r="8" spans="2:7" ht="30" customHeight="1" x14ac:dyDescent="0.3">
      <c r="B8" s="44" t="s">
        <v>246</v>
      </c>
      <c r="C8" s="4" t="s">
        <v>261</v>
      </c>
      <c r="D8" s="44" t="s">
        <v>262</v>
      </c>
      <c r="E8" s="44" t="s">
        <v>263</v>
      </c>
      <c r="F8" s="44" t="s">
        <v>264</v>
      </c>
      <c r="G8" s="44" t="s">
        <v>260</v>
      </c>
    </row>
    <row r="9" spans="2:7" ht="30" customHeight="1" x14ac:dyDescent="0.3">
      <c r="B9" s="44" t="s">
        <v>246</v>
      </c>
      <c r="C9" s="4" t="s">
        <v>265</v>
      </c>
      <c r="D9" s="44" t="s">
        <v>266</v>
      </c>
      <c r="E9" s="44" t="s">
        <v>267</v>
      </c>
      <c r="F9" s="44" t="s">
        <v>268</v>
      </c>
      <c r="G9" s="44" t="s">
        <v>269</v>
      </c>
    </row>
    <row r="10" spans="2:7" ht="30" customHeight="1" x14ac:dyDescent="0.3">
      <c r="B10" s="44" t="s">
        <v>246</v>
      </c>
      <c r="C10" s="4" t="s">
        <v>270</v>
      </c>
      <c r="D10" s="44" t="s">
        <v>271</v>
      </c>
      <c r="E10" s="44" t="s">
        <v>272</v>
      </c>
      <c r="F10" s="44" t="s">
        <v>273</v>
      </c>
      <c r="G10" s="44" t="s">
        <v>274</v>
      </c>
    </row>
    <row r="11" spans="2:7" ht="30" customHeight="1" x14ac:dyDescent="0.3">
      <c r="B11" s="44" t="s">
        <v>246</v>
      </c>
      <c r="C11" s="4" t="s">
        <v>275</v>
      </c>
      <c r="D11" s="44" t="s">
        <v>276</v>
      </c>
      <c r="E11" s="44" t="s">
        <v>277</v>
      </c>
      <c r="F11" s="44" t="s">
        <v>278</v>
      </c>
      <c r="G11" s="44" t="s">
        <v>260</v>
      </c>
    </row>
    <row r="12" spans="2:7" ht="30" customHeight="1" x14ac:dyDescent="0.3">
      <c r="B12" s="44" t="s">
        <v>246</v>
      </c>
      <c r="C12" s="4" t="s">
        <v>279</v>
      </c>
      <c r="D12" s="44" t="s">
        <v>280</v>
      </c>
      <c r="E12" s="44" t="s">
        <v>281</v>
      </c>
      <c r="F12" s="44" t="s">
        <v>282</v>
      </c>
      <c r="G12" s="44" t="s">
        <v>260</v>
      </c>
    </row>
    <row r="13" spans="2:7" ht="30" customHeight="1" x14ac:dyDescent="0.3">
      <c r="B13" s="44" t="s">
        <v>246</v>
      </c>
      <c r="C13" s="4" t="s">
        <v>283</v>
      </c>
      <c r="D13" s="44" t="s">
        <v>284</v>
      </c>
      <c r="E13" s="44" t="s">
        <v>285</v>
      </c>
      <c r="F13" s="44" t="s">
        <v>286</v>
      </c>
      <c r="G13" s="44" t="s">
        <v>260</v>
      </c>
    </row>
    <row r="14" spans="2:7" ht="30" customHeight="1" x14ac:dyDescent="0.3">
      <c r="B14" s="44" t="s">
        <v>246</v>
      </c>
      <c r="C14" s="4" t="s">
        <v>287</v>
      </c>
      <c r="D14" s="44" t="s">
        <v>288</v>
      </c>
      <c r="E14" s="44" t="s">
        <v>289</v>
      </c>
      <c r="F14" s="44" t="s">
        <v>247</v>
      </c>
      <c r="G14" s="44" t="s">
        <v>260</v>
      </c>
    </row>
    <row r="15" spans="2:7" ht="30" customHeight="1" x14ac:dyDescent="0.3">
      <c r="B15" s="44" t="s">
        <v>246</v>
      </c>
      <c r="C15" s="4" t="s">
        <v>290</v>
      </c>
      <c r="D15" s="44" t="s">
        <v>291</v>
      </c>
      <c r="E15" s="44" t="s">
        <v>292</v>
      </c>
      <c r="F15" s="44" t="s">
        <v>293</v>
      </c>
      <c r="G15" s="44" t="s">
        <v>260</v>
      </c>
    </row>
    <row r="16" spans="2:7" ht="30" customHeight="1" x14ac:dyDescent="0.3">
      <c r="B16" s="44" t="s">
        <v>246</v>
      </c>
      <c r="C16" s="4" t="s">
        <v>294</v>
      </c>
      <c r="D16" s="44" t="s">
        <v>295</v>
      </c>
      <c r="E16" s="44" t="s">
        <v>296</v>
      </c>
      <c r="F16" s="44" t="s">
        <v>297</v>
      </c>
      <c r="G16" s="44" t="s">
        <v>260</v>
      </c>
    </row>
    <row r="17" spans="2:7" ht="30" customHeight="1" x14ac:dyDescent="0.3">
      <c r="B17" s="44" t="s">
        <v>246</v>
      </c>
      <c r="C17" s="4" t="s">
        <v>298</v>
      </c>
      <c r="D17" s="44" t="s">
        <v>299</v>
      </c>
      <c r="E17" s="44" t="s">
        <v>300</v>
      </c>
      <c r="F17" s="44" t="s">
        <v>301</v>
      </c>
      <c r="G17" s="44" t="s">
        <v>260</v>
      </c>
    </row>
    <row r="18" spans="2:7" ht="30" customHeight="1" x14ac:dyDescent="0.3">
      <c r="B18" s="44" t="s">
        <v>246</v>
      </c>
      <c r="C18" s="4" t="s">
        <v>302</v>
      </c>
      <c r="D18" s="44" t="s">
        <v>303</v>
      </c>
      <c r="E18" s="44" t="s">
        <v>304</v>
      </c>
      <c r="F18" s="44" t="s">
        <v>264</v>
      </c>
      <c r="G18" s="44" t="s">
        <v>260</v>
      </c>
    </row>
    <row r="19" spans="2:7" ht="30" customHeight="1" x14ac:dyDescent="0.3">
      <c r="B19" s="44" t="s">
        <v>246</v>
      </c>
      <c r="C19" s="4" t="s">
        <v>305</v>
      </c>
      <c r="D19" s="44" t="s">
        <v>306</v>
      </c>
      <c r="E19" s="44" t="s">
        <v>307</v>
      </c>
      <c r="F19" s="44" t="s">
        <v>308</v>
      </c>
      <c r="G19" s="44" t="s">
        <v>260</v>
      </c>
    </row>
    <row r="20" spans="2:7" ht="30" customHeight="1" x14ac:dyDescent="0.3">
      <c r="B20" s="44" t="s">
        <v>246</v>
      </c>
      <c r="C20" s="4" t="s">
        <v>309</v>
      </c>
      <c r="D20" s="44" t="s">
        <v>310</v>
      </c>
      <c r="E20" s="44" t="s">
        <v>311</v>
      </c>
      <c r="F20" s="44" t="s">
        <v>247</v>
      </c>
      <c r="G20" s="44" t="s">
        <v>312</v>
      </c>
    </row>
    <row r="21" spans="2:7" ht="30" customHeight="1" x14ac:dyDescent="0.3">
      <c r="B21" s="44" t="s">
        <v>246</v>
      </c>
      <c r="C21" s="4" t="s">
        <v>313</v>
      </c>
      <c r="D21" s="44" t="s">
        <v>314</v>
      </c>
      <c r="E21" s="44" t="s">
        <v>315</v>
      </c>
      <c r="F21" s="44" t="s">
        <v>264</v>
      </c>
      <c r="G21" s="44" t="s">
        <v>260</v>
      </c>
    </row>
    <row r="22" spans="2:7" ht="30" customHeight="1" x14ac:dyDescent="0.3">
      <c r="B22" s="44" t="s">
        <v>246</v>
      </c>
      <c r="C22" s="4" t="s">
        <v>316</v>
      </c>
      <c r="D22" s="44" t="s">
        <v>317</v>
      </c>
      <c r="E22" s="44" t="s">
        <v>318</v>
      </c>
      <c r="F22" s="44" t="s">
        <v>247</v>
      </c>
      <c r="G22" s="44" t="s">
        <v>260</v>
      </c>
    </row>
    <row r="23" spans="2:7" ht="30" customHeight="1" x14ac:dyDescent="0.3">
      <c r="B23" s="44" t="s">
        <v>246</v>
      </c>
      <c r="C23" s="4" t="s">
        <v>319</v>
      </c>
      <c r="D23" s="44" t="s">
        <v>320</v>
      </c>
      <c r="E23" s="44" t="s">
        <v>321</v>
      </c>
      <c r="F23" s="44" t="s">
        <v>247</v>
      </c>
      <c r="G23" s="44" t="s">
        <v>255</v>
      </c>
    </row>
    <row r="24" spans="2:7" ht="30" customHeight="1" x14ac:dyDescent="0.3">
      <c r="B24" s="44" t="s">
        <v>246</v>
      </c>
      <c r="C24" s="4" t="s">
        <v>322</v>
      </c>
      <c r="D24" s="44" t="s">
        <v>323</v>
      </c>
      <c r="E24" s="44" t="s">
        <v>324</v>
      </c>
      <c r="F24" s="44" t="s">
        <v>247</v>
      </c>
      <c r="G24" s="44" t="s">
        <v>325</v>
      </c>
    </row>
    <row r="25" spans="2:7" ht="30" customHeight="1" x14ac:dyDescent="0.3">
      <c r="B25" s="44" t="s">
        <v>246</v>
      </c>
      <c r="C25" s="4" t="s">
        <v>326</v>
      </c>
      <c r="D25" s="44" t="s">
        <v>327</v>
      </c>
      <c r="E25" s="44" t="s">
        <v>328</v>
      </c>
      <c r="F25" s="44" t="s">
        <v>247</v>
      </c>
      <c r="G25" s="44" t="s">
        <v>329</v>
      </c>
    </row>
    <row r="26" spans="2:7" ht="30" customHeight="1" x14ac:dyDescent="0.3">
      <c r="B26" s="44" t="s">
        <v>246</v>
      </c>
      <c r="C26" s="4" t="s">
        <v>326</v>
      </c>
      <c r="D26" s="44" t="s">
        <v>330</v>
      </c>
      <c r="E26" s="44" t="s">
        <v>331</v>
      </c>
      <c r="F26" s="44" t="s">
        <v>247</v>
      </c>
      <c r="G26" s="44" t="s">
        <v>329</v>
      </c>
    </row>
    <row r="27" spans="2:7" ht="30" customHeight="1" x14ac:dyDescent="0.3">
      <c r="B27" s="44" t="s">
        <v>246</v>
      </c>
      <c r="C27" s="4" t="s">
        <v>326</v>
      </c>
      <c r="D27" s="44" t="s">
        <v>332</v>
      </c>
      <c r="E27" s="44" t="s">
        <v>333</v>
      </c>
      <c r="F27" s="44" t="s">
        <v>247</v>
      </c>
      <c r="G27" s="44" t="s">
        <v>329</v>
      </c>
    </row>
    <row r="28" spans="2:7" ht="30" customHeight="1" x14ac:dyDescent="0.3">
      <c r="B28" s="44" t="s">
        <v>246</v>
      </c>
      <c r="C28" s="4" t="s">
        <v>326</v>
      </c>
      <c r="D28" s="44" t="s">
        <v>334</v>
      </c>
      <c r="E28" s="44" t="s">
        <v>335</v>
      </c>
      <c r="F28" s="44" t="s">
        <v>247</v>
      </c>
      <c r="G28" s="44" t="s">
        <v>329</v>
      </c>
    </row>
    <row r="29" spans="2:7" ht="14" customHeight="1" x14ac:dyDescent="0.2"/>
    <row r="30" spans="2:7" ht="14" customHeight="1" x14ac:dyDescent="0.3">
      <c r="B30" s="8" t="s">
        <v>336</v>
      </c>
    </row>
    <row r="31" spans="2:7" ht="14" customHeight="1" x14ac:dyDescent="0.3">
      <c r="B31" s="10" t="s">
        <v>337</v>
      </c>
      <c r="C31" s="10" t="s">
        <v>338</v>
      </c>
    </row>
    <row r="32" spans="2:7" ht="14" customHeight="1" x14ac:dyDescent="0.3">
      <c r="B32" s="4" t="s">
        <v>339</v>
      </c>
      <c r="C32" t="s">
        <v>340</v>
      </c>
    </row>
    <row r="33" spans="2:3" ht="14" customHeight="1" x14ac:dyDescent="0.3">
      <c r="B33" s="4" t="s">
        <v>341</v>
      </c>
      <c r="C33" t="s">
        <v>342</v>
      </c>
    </row>
    <row r="34" spans="2:3" ht="14" customHeight="1" x14ac:dyDescent="0.3">
      <c r="B34" s="4" t="s">
        <v>343</v>
      </c>
      <c r="C34" t="s">
        <v>344</v>
      </c>
    </row>
    <row r="35" spans="2:3" ht="14" customHeight="1" x14ac:dyDescent="0.3">
      <c r="B35" s="4" t="s">
        <v>345</v>
      </c>
      <c r="C35" t="s">
        <v>42</v>
      </c>
    </row>
    <row r="36" spans="2:3" ht="14" customHeight="1" x14ac:dyDescent="0.3">
      <c r="B36" s="4" t="s">
        <v>346</v>
      </c>
      <c r="C36" t="s">
        <v>4</v>
      </c>
    </row>
    <row r="37" spans="2:3" ht="14" customHeight="1" x14ac:dyDescent="0.3">
      <c r="B37" s="4" t="s">
        <v>347</v>
      </c>
      <c r="C37" t="s">
        <v>246</v>
      </c>
    </row>
    <row r="38" spans="2:3" ht="14" customHeight="1" x14ac:dyDescent="0.3">
      <c r="B38" s="4" t="s">
        <v>348</v>
      </c>
      <c r="C38" t="s">
        <v>349</v>
      </c>
    </row>
    <row r="39" spans="2:3" ht="14" customHeight="1" x14ac:dyDescent="0.3">
      <c r="B39" s="4" t="s">
        <v>350</v>
      </c>
      <c r="C39" t="s">
        <v>351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357</v>
      </c>
    </row>
    <row r="43" spans="2:3" ht="14" customHeight="1" x14ac:dyDescent="0.3">
      <c r="B43" s="4" t="s">
        <v>358</v>
      </c>
      <c r="C43" t="s">
        <v>353</v>
      </c>
    </row>
    <row r="44" spans="2:3" ht="14" customHeight="1" x14ac:dyDescent="0.3">
      <c r="B44" s="4" t="s">
        <v>359</v>
      </c>
      <c r="C44" t="s">
        <v>349</v>
      </c>
    </row>
    <row r="45" spans="2:3" ht="14" customHeight="1" x14ac:dyDescent="0.3">
      <c r="B45" s="4" t="s">
        <v>360</v>
      </c>
      <c r="C45" t="s">
        <v>361</v>
      </c>
    </row>
    <row r="46" spans="2:3" ht="14" customHeight="1" x14ac:dyDescent="0.3">
      <c r="B46" s="4" t="s">
        <v>362</v>
      </c>
      <c r="C46" t="s">
        <v>363</v>
      </c>
    </row>
    <row r="47" spans="2:3" ht="14" x14ac:dyDescent="0.3">
      <c r="B47" s="4" t="s">
        <v>364</v>
      </c>
      <c r="C47" t="s">
        <v>365</v>
      </c>
    </row>
    <row r="48" spans="2:3" ht="14" x14ac:dyDescent="0.3">
      <c r="B48" s="4" t="s">
        <v>366</v>
      </c>
      <c r="C48" t="s">
        <v>342</v>
      </c>
    </row>
    <row r="49" spans="2:3" ht="14" x14ac:dyDescent="0.3">
      <c r="B49" s="4" t="s">
        <v>367</v>
      </c>
      <c r="C49" t="s">
        <v>342</v>
      </c>
    </row>
    <row r="50" spans="2:3" ht="14" x14ac:dyDescent="0.3">
      <c r="B50" s="4" t="s">
        <v>368</v>
      </c>
      <c r="C50" t="s">
        <v>369</v>
      </c>
    </row>
    <row r="51" spans="2:3" ht="14" x14ac:dyDescent="0.3">
      <c r="B51" s="4" t="s">
        <v>370</v>
      </c>
      <c r="C51" t="s">
        <v>371</v>
      </c>
    </row>
    <row r="52" spans="2:3" ht="14" x14ac:dyDescent="0.3">
      <c r="B52" s="4" t="s">
        <v>372</v>
      </c>
      <c r="C52" t="s">
        <v>373</v>
      </c>
    </row>
    <row r="53" spans="2:3" ht="14" x14ac:dyDescent="0.3">
      <c r="B53" s="4" t="s">
        <v>374</v>
      </c>
      <c r="C53" t="s">
        <v>375</v>
      </c>
    </row>
    <row r="54" spans="2:3" ht="14" x14ac:dyDescent="0.3">
      <c r="B54" s="4" t="s">
        <v>376</v>
      </c>
      <c r="C54" t="s">
        <v>377</v>
      </c>
    </row>
    <row r="55" spans="2:3" ht="14" x14ac:dyDescent="0.3">
      <c r="B55" s="4" t="s">
        <v>378</v>
      </c>
      <c r="C55" t="s">
        <v>379</v>
      </c>
    </row>
    <row r="56" spans="2:3" ht="14" x14ac:dyDescent="0.3">
      <c r="B56" s="4" t="s">
        <v>380</v>
      </c>
      <c r="C56" t="s">
        <v>381</v>
      </c>
    </row>
    <row r="57" spans="2:3" ht="14" x14ac:dyDescent="0.3">
      <c r="B57" s="4" t="s">
        <v>382</v>
      </c>
      <c r="C57" t="s">
        <v>383</v>
      </c>
    </row>
    <row r="58" spans="2:3" ht="14" x14ac:dyDescent="0.3">
      <c r="B58" s="4" t="s">
        <v>384</v>
      </c>
      <c r="C58" t="s">
        <v>385</v>
      </c>
    </row>
    <row r="59" spans="2:3" ht="14" x14ac:dyDescent="0.3">
      <c r="B59" s="4" t="s">
        <v>386</v>
      </c>
      <c r="C59" t="s">
        <v>387</v>
      </c>
    </row>
    <row r="60" spans="2:3" ht="14" x14ac:dyDescent="0.3">
      <c r="B60" s="4" t="s">
        <v>388</v>
      </c>
      <c r="C60" t="s">
        <v>389</v>
      </c>
    </row>
    <row r="61" spans="2:3" ht="14" x14ac:dyDescent="0.3">
      <c r="B61" s="4" t="s">
        <v>390</v>
      </c>
      <c r="C61" t="s">
        <v>391</v>
      </c>
    </row>
    <row r="62" spans="2:3" ht="14" x14ac:dyDescent="0.3">
      <c r="B62" s="4" t="s">
        <v>392</v>
      </c>
      <c r="C62" t="s">
        <v>393</v>
      </c>
    </row>
    <row r="63" spans="2:3" ht="14" x14ac:dyDescent="0.3">
      <c r="B63" s="4" t="s">
        <v>394</v>
      </c>
      <c r="C63" t="s">
        <v>395</v>
      </c>
    </row>
    <row r="64" spans="2:3" ht="14" x14ac:dyDescent="0.3">
      <c r="B64" s="4" t="s">
        <v>396</v>
      </c>
      <c r="C64"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2026-09-05T07:58:31Z</dcterms:created>
  <dcterms:modified xsi:type="dcterms:W3CDTF">2026-09-05T08:06:44Z</dcterms:modified>
</cp:coreProperties>
</file>