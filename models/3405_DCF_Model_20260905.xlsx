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2E2AF95-D065-45F7-B194-1772BB7A6221}"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G15" i="6" s="1"/>
  <c r="L8" i="6"/>
  <c r="F15" i="6" s="1"/>
  <c r="K8" i="6"/>
  <c r="J8" i="6"/>
  <c r="O7" i="6"/>
  <c r="N7" i="6"/>
  <c r="M7" i="6"/>
  <c r="L7" i="6"/>
  <c r="K7" i="6"/>
  <c r="J7" i="6"/>
  <c r="O6" i="6"/>
  <c r="N6" i="6"/>
  <c r="H15" i="6" s="1"/>
  <c r="M6" i="6"/>
  <c r="L6" i="6"/>
  <c r="K6" i="6"/>
  <c r="J6" i="6"/>
  <c r="O5" i="6"/>
  <c r="N5" i="6"/>
  <c r="D5" i="6"/>
  <c r="C16" i="5"/>
  <c r="C14" i="5"/>
  <c r="C7" i="5"/>
  <c r="C6" i="5"/>
  <c r="C5" i="5"/>
  <c r="C13" i="4"/>
  <c r="C12" i="4"/>
  <c r="C9" i="4"/>
  <c r="C7" i="4"/>
  <c r="C6" i="4"/>
  <c r="C32" i="3"/>
  <c r="E30" i="3"/>
  <c r="D27" i="3"/>
  <c r="G5" i="5" s="1"/>
  <c r="C25" i="3"/>
  <c r="C24" i="3"/>
  <c r="C23" i="3"/>
  <c r="H28" i="2"/>
  <c r="G28" i="2"/>
  <c r="F28" i="2"/>
  <c r="E28" i="2"/>
  <c r="D28" i="2"/>
  <c r="C28" i="2"/>
  <c r="H23" i="2"/>
  <c r="G23" i="2"/>
  <c r="F23" i="2"/>
  <c r="E23" i="2"/>
  <c r="D23" i="2"/>
  <c r="C23" i="2"/>
  <c r="H22" i="2"/>
  <c r="H21" i="2"/>
  <c r="G21" i="2"/>
  <c r="G22" i="2" s="1"/>
  <c r="F21" i="2"/>
  <c r="F22" i="2" s="1"/>
  <c r="E21" i="2"/>
  <c r="E22" i="2" s="1"/>
  <c r="D21" i="2"/>
  <c r="D22" i="2" s="1"/>
  <c r="C21" i="2"/>
  <c r="C22" i="2" s="1"/>
  <c r="H16" i="2"/>
  <c r="G16" i="2"/>
  <c r="F16" i="2"/>
  <c r="E16" i="2"/>
  <c r="D16" i="2"/>
  <c r="H15" i="2"/>
  <c r="G15" i="2"/>
  <c r="F15" i="2"/>
  <c r="E15" i="2"/>
  <c r="D15" i="2"/>
  <c r="H14" i="2"/>
  <c r="G14" i="2"/>
  <c r="F14" i="2"/>
  <c r="E14" i="2"/>
  <c r="D14" i="2"/>
  <c r="C14" i="2"/>
  <c r="H13" i="2"/>
  <c r="G13" i="2"/>
  <c r="F13" i="2"/>
  <c r="E13" i="2"/>
  <c r="D13" i="2"/>
  <c r="C13" i="2"/>
  <c r="G9" i="2"/>
  <c r="F9" i="2"/>
  <c r="H8" i="2"/>
  <c r="H9" i="2" s="1"/>
  <c r="G8" i="2"/>
  <c r="F8" i="2"/>
  <c r="E8" i="2"/>
  <c r="E9" i="2" s="1"/>
  <c r="D8" i="2"/>
  <c r="D9" i="2" s="1"/>
  <c r="C8" i="2"/>
  <c r="C9" i="2" s="1"/>
  <c r="F30" i="3" l="1"/>
  <c r="I16" i="6"/>
  <c r="C26" i="3"/>
  <c r="E36" i="4" s="1"/>
  <c r="E41" i="4" s="1"/>
  <c r="C8" i="4"/>
  <c r="D32" i="3"/>
  <c r="G6" i="5"/>
  <c r="E15" i="6"/>
  <c r="E5" i="5"/>
  <c r="D6" i="7"/>
  <c r="C18" i="5"/>
  <c r="G16" i="6"/>
  <c r="F6" i="7"/>
  <c r="E39" i="4"/>
  <c r="E40" i="4"/>
  <c r="E44" i="4"/>
  <c r="E38" i="4"/>
  <c r="E43" i="4"/>
  <c r="C3" i="7"/>
  <c r="G36" i="4"/>
  <c r="C11" i="4"/>
  <c r="G46" i="3"/>
  <c r="D36" i="4"/>
  <c r="H36" i="4"/>
  <c r="B25" i="1"/>
  <c r="F36" i="4"/>
  <c r="F46" i="3"/>
  <c r="C10" i="4"/>
  <c r="M5" i="6"/>
  <c r="L5" i="6"/>
  <c r="E5" i="6"/>
  <c r="E46" i="4"/>
  <c r="D17" i="6"/>
  <c r="D15" i="6"/>
  <c r="D16" i="6"/>
  <c r="E46" i="3"/>
  <c r="F16" i="6"/>
  <c r="C28" i="6" s="1"/>
  <c r="C19" i="1" s="1"/>
  <c r="D19" i="1" s="1"/>
  <c r="F5" i="5"/>
  <c r="H6" i="5"/>
  <c r="C31" i="3"/>
  <c r="F32" i="3"/>
  <c r="H5" i="5"/>
  <c r="D7" i="5"/>
  <c r="I15" i="6"/>
  <c r="E17" i="6"/>
  <c r="I6" i="7"/>
  <c r="D31" i="3"/>
  <c r="G32" i="3"/>
  <c r="E7" i="5"/>
  <c r="F17" i="6"/>
  <c r="C17" i="7"/>
  <c r="E31" i="3"/>
  <c r="D6" i="5"/>
  <c r="F7" i="5"/>
  <c r="E16" i="6"/>
  <c r="G17" i="6"/>
  <c r="C6" i="7"/>
  <c r="D17" i="7"/>
  <c r="E6" i="5"/>
  <c r="G7" i="5"/>
  <c r="H17" i="6"/>
  <c r="E17" i="7"/>
  <c r="C30" i="3"/>
  <c r="C33" i="3" s="1"/>
  <c r="F31" i="3"/>
  <c r="D30" i="3"/>
  <c r="G31" i="3"/>
  <c r="D5" i="5"/>
  <c r="F6" i="5"/>
  <c r="H7" i="5"/>
  <c r="I17" i="6"/>
  <c r="E6" i="7"/>
  <c r="F17" i="7"/>
  <c r="H16" i="6"/>
  <c r="G17" i="7"/>
  <c r="G6" i="7"/>
  <c r="H17" i="7"/>
  <c r="G30" i="3"/>
  <c r="E32" i="3"/>
  <c r="C46" i="3" l="1"/>
  <c r="E45" i="4"/>
  <c r="D46" i="3"/>
  <c r="B13" i="7"/>
  <c r="B12" i="7"/>
  <c r="B11" i="7"/>
  <c r="B10" i="7"/>
  <c r="B9" i="7"/>
  <c r="B8" i="7"/>
  <c r="B7" i="7"/>
  <c r="B24" i="7"/>
  <c r="B23" i="7"/>
  <c r="B22" i="7"/>
  <c r="B21" i="7"/>
  <c r="B20" i="7"/>
  <c r="B19" i="7"/>
  <c r="B18" i="7"/>
  <c r="H40" i="4"/>
  <c r="H41" i="4"/>
  <c r="H45" i="4"/>
  <c r="H39" i="4"/>
  <c r="H49" i="4" s="1"/>
  <c r="H54" i="4" s="1"/>
  <c r="H43" i="4"/>
  <c r="H46" i="4"/>
  <c r="H44" i="4"/>
  <c r="H38" i="4"/>
  <c r="B24" i="1"/>
  <c r="B29" i="1"/>
  <c r="D45" i="4"/>
  <c r="D46" i="4"/>
  <c r="D40" i="4"/>
  <c r="D44" i="4"/>
  <c r="D38" i="4"/>
  <c r="D41" i="4"/>
  <c r="D39" i="4"/>
  <c r="D49" i="4" s="1"/>
  <c r="D54" i="4" s="1"/>
  <c r="D43" i="4"/>
  <c r="D48" i="4" s="1"/>
  <c r="D53" i="4" s="1"/>
  <c r="J5" i="6"/>
  <c r="K5" i="6"/>
  <c r="H50" i="4"/>
  <c r="H55" i="4" s="1"/>
  <c r="E49" i="4"/>
  <c r="E54" i="4" s="1"/>
  <c r="C70" i="4"/>
  <c r="E50" i="4"/>
  <c r="E55" i="4" s="1"/>
  <c r="D50" i="4"/>
  <c r="D55" i="4" s="1"/>
  <c r="F51" i="4"/>
  <c r="F56" i="4" s="1"/>
  <c r="E48" i="4"/>
  <c r="E53" i="4" s="1"/>
  <c r="E51" i="4"/>
  <c r="E56" i="4" s="1"/>
  <c r="C24" i="4"/>
  <c r="C25" i="4" s="1"/>
  <c r="C71" i="4"/>
  <c r="C27" i="6"/>
  <c r="C18" i="1" s="1"/>
  <c r="D18" i="1" s="1"/>
  <c r="C74" i="4"/>
  <c r="C42" i="3"/>
  <c r="C34" i="3"/>
  <c r="D10" i="5" s="1"/>
  <c r="C43" i="3"/>
  <c r="D33" i="3"/>
  <c r="C37" i="3"/>
  <c r="D9" i="5"/>
  <c r="D12" i="5" s="1"/>
  <c r="F43" i="4"/>
  <c r="F44" i="4"/>
  <c r="F38" i="4"/>
  <c r="F41" i="4"/>
  <c r="F45" i="4"/>
  <c r="F39" i="4"/>
  <c r="F49" i="4" s="1"/>
  <c r="F46" i="4"/>
  <c r="F40" i="4"/>
  <c r="F50" i="4" s="1"/>
  <c r="F55" i="4" s="1"/>
  <c r="G46" i="4"/>
  <c r="G38" i="4"/>
  <c r="G41" i="4"/>
  <c r="G45" i="4"/>
  <c r="G39" i="4"/>
  <c r="G43" i="4"/>
  <c r="G40" i="4"/>
  <c r="G50" i="4" s="1"/>
  <c r="G55" i="4" s="1"/>
  <c r="G44" i="4"/>
  <c r="G49" i="4" l="1"/>
  <c r="G54" i="4" s="1"/>
  <c r="F48" i="4"/>
  <c r="F53" i="4" s="1"/>
  <c r="G51" i="4"/>
  <c r="G56" i="4" s="1"/>
  <c r="G48" i="4"/>
  <c r="G53" i="4" s="1"/>
  <c r="H51" i="4"/>
  <c r="H56" i="4" s="1"/>
  <c r="D51" i="4"/>
  <c r="D56" i="4" s="1"/>
  <c r="H48" i="4"/>
  <c r="H53" i="4" s="1"/>
  <c r="F54" i="4"/>
  <c r="B78" i="4" s="1"/>
  <c r="C60" i="4"/>
  <c r="D37" i="3"/>
  <c r="E33" i="3"/>
  <c r="D42" i="3"/>
  <c r="D34" i="3"/>
  <c r="E10" i="5" s="1"/>
  <c r="E9" i="5"/>
  <c r="E12" i="5" s="1"/>
  <c r="D43" i="3"/>
  <c r="D15" i="5"/>
  <c r="D16" i="5" s="1"/>
  <c r="D13" i="5"/>
  <c r="D14" i="5" s="1"/>
  <c r="C35" i="3"/>
  <c r="C29" i="4"/>
  <c r="C27" i="4"/>
  <c r="C26" i="4"/>
  <c r="D18" i="5" l="1"/>
  <c r="D19" i="5" s="1"/>
  <c r="C44" i="3" s="1"/>
  <c r="F9" i="5"/>
  <c r="F12" i="5" s="1"/>
  <c r="E42" i="3"/>
  <c r="E34" i="3"/>
  <c r="F10" i="5" s="1"/>
  <c r="E37" i="3"/>
  <c r="E43" i="3"/>
  <c r="E35" i="3"/>
  <c r="F33" i="3"/>
  <c r="C64" i="4"/>
  <c r="D64" i="4" s="1"/>
  <c r="C67" i="4"/>
  <c r="D67" i="4" s="1"/>
  <c r="C63" i="4"/>
  <c r="D63" i="4" s="1"/>
  <c r="C66" i="4"/>
  <c r="D66" i="4" s="1"/>
  <c r="C65" i="4"/>
  <c r="D65" i="4" s="1"/>
  <c r="E15" i="5"/>
  <c r="E16" i="5" s="1"/>
  <c r="E13" i="5"/>
  <c r="E14" i="5" s="1"/>
  <c r="E18" i="5" s="1"/>
  <c r="C38" i="3"/>
  <c r="C36" i="3"/>
  <c r="C39" i="3"/>
  <c r="D35" i="3"/>
  <c r="E19" i="5" l="1"/>
  <c r="D44" i="3" s="1"/>
  <c r="D38" i="3"/>
  <c r="D36" i="3"/>
  <c r="D39" i="3"/>
  <c r="F15" i="5"/>
  <c r="F16" i="5" s="1"/>
  <c r="F13" i="5"/>
  <c r="F14" i="5" s="1"/>
  <c r="F18" i="5" s="1"/>
  <c r="F19" i="5" s="1"/>
  <c r="E44" i="3" s="1"/>
  <c r="E36" i="3"/>
  <c r="E39" i="3"/>
  <c r="E38" i="3"/>
  <c r="C40" i="3"/>
  <c r="C41" i="3" s="1"/>
  <c r="C45" i="3" s="1"/>
  <c r="F43" i="3"/>
  <c r="F42" i="3"/>
  <c r="F34" i="3"/>
  <c r="G10" i="5" s="1"/>
  <c r="F37" i="3"/>
  <c r="G9" i="5"/>
  <c r="G12" i="5" s="1"/>
  <c r="G33" i="3"/>
  <c r="C47" i="3" l="1"/>
  <c r="E40" i="3"/>
  <c r="E41" i="3" s="1"/>
  <c r="E45" i="3" s="1"/>
  <c r="E47" i="3" s="1"/>
  <c r="G42" i="3"/>
  <c r="G34" i="3"/>
  <c r="H10" i="5" s="1"/>
  <c r="C16" i="4"/>
  <c r="C28" i="4" s="1"/>
  <c r="G37" i="3"/>
  <c r="H9" i="5"/>
  <c r="H12" i="5" s="1"/>
  <c r="G43" i="3"/>
  <c r="G13" i="5"/>
  <c r="G14" i="5" s="1"/>
  <c r="G15" i="5"/>
  <c r="G16" i="5" s="1"/>
  <c r="F35" i="3"/>
  <c r="D40" i="3"/>
  <c r="D41" i="3" s="1"/>
  <c r="D45" i="3" s="1"/>
  <c r="G18" i="5" l="1"/>
  <c r="G19" i="5" s="1"/>
  <c r="F44" i="3" s="1"/>
  <c r="D47" i="3"/>
  <c r="H15" i="5"/>
  <c r="H16" i="5" s="1"/>
  <c r="H13" i="5"/>
  <c r="H14" i="5" s="1"/>
  <c r="H18" i="5" s="1"/>
  <c r="F36" i="3"/>
  <c r="F39" i="3"/>
  <c r="F38" i="3"/>
  <c r="C72" i="4"/>
  <c r="C73" i="4"/>
  <c r="G35" i="3"/>
  <c r="H19" i="5" l="1"/>
  <c r="G44" i="3" s="1"/>
  <c r="F40" i="3"/>
  <c r="F41" i="3" s="1"/>
  <c r="F45" i="3" s="1"/>
  <c r="G38" i="3"/>
  <c r="G39" i="3"/>
  <c r="G36" i="3"/>
  <c r="C59" i="3" l="1"/>
  <c r="C60" i="3" s="1"/>
  <c r="C61" i="3" s="1"/>
  <c r="G40" i="3"/>
  <c r="G41" i="3"/>
  <c r="G45" i="3" s="1"/>
  <c r="E19" i="7" s="1"/>
  <c r="F47" i="3"/>
  <c r="E24" i="7"/>
  <c r="I13" i="7"/>
  <c r="H11" i="7"/>
  <c r="D21" i="7"/>
  <c r="D19" i="7"/>
  <c r="G24" i="7"/>
  <c r="H7" i="7"/>
  <c r="H23" i="7"/>
  <c r="C12" i="7"/>
  <c r="H18" i="7"/>
  <c r="I24" i="7"/>
  <c r="D12" i="7"/>
  <c r="F22" i="7"/>
  <c r="H21" i="7"/>
  <c r="C9" i="7"/>
  <c r="I22" i="7"/>
  <c r="D10" i="7"/>
  <c r="I21" i="7"/>
  <c r="C13" i="7"/>
  <c r="E20" i="7"/>
  <c r="G13" i="7"/>
  <c r="E7" i="7"/>
  <c r="G21" i="7"/>
  <c r="D23" i="7"/>
  <c r="I11" i="7"/>
  <c r="G12" i="7"/>
  <c r="F18" i="7"/>
  <c r="C24" i="7"/>
  <c r="H12" i="7"/>
  <c r="D22" i="7"/>
  <c r="D18" i="7"/>
  <c r="G9" i="7"/>
  <c r="C19" i="7"/>
  <c r="H10" i="7"/>
  <c r="D20" i="7"/>
  <c r="H9" i="7"/>
  <c r="I10" i="7"/>
  <c r="I12" i="7"/>
  <c r="G23" i="7"/>
  <c r="I18" i="7"/>
  <c r="G11" i="7"/>
  <c r="F11" i="7"/>
  <c r="D11" i="7"/>
  <c r="H22" i="7"/>
  <c r="C10" i="7"/>
  <c r="D7" i="7"/>
  <c r="G19" i="7"/>
  <c r="I7" i="7"/>
  <c r="H20" i="7"/>
  <c r="C18" i="7"/>
  <c r="H19" i="7"/>
  <c r="H24" i="7"/>
  <c r="I19" i="7"/>
  <c r="G10" i="7"/>
  <c r="C20" i="7"/>
  <c r="E18" i="7"/>
  <c r="F7" i="7"/>
  <c r="F12" i="7"/>
  <c r="G8" i="7"/>
  <c r="E11" i="7"/>
  <c r="G7" i="7"/>
  <c r="C11" i="7"/>
  <c r="D24" i="7"/>
  <c r="F21" i="7"/>
  <c r="F9" i="7"/>
  <c r="C22" i="7"/>
  <c r="G20" i="7"/>
  <c r="I8" i="7"/>
  <c r="F19" i="7"/>
  <c r="E13" i="7"/>
  <c r="D8" i="7"/>
  <c r="G18" i="7"/>
  <c r="C7" i="7"/>
  <c r="F13" i="7"/>
  <c r="I20" i="7"/>
  <c r="H13" i="7"/>
  <c r="E9" i="7"/>
  <c r="D9" i="7"/>
  <c r="E21" i="7"/>
  <c r="F8" i="7"/>
  <c r="C8" i="7"/>
  <c r="I9" i="7"/>
  <c r="E23" i="7"/>
  <c r="E8" i="7"/>
  <c r="F24" i="7"/>
  <c r="E10" i="7"/>
  <c r="F23" i="7"/>
  <c r="H8" i="7"/>
  <c r="D13" i="7"/>
  <c r="C23" i="7"/>
  <c r="F10" i="7"/>
  <c r="E12" i="7"/>
  <c r="F20" i="7"/>
  <c r="C50" i="3" l="1"/>
  <c r="G47" i="3"/>
  <c r="C51" i="3"/>
  <c r="C52" i="3" s="1"/>
  <c r="I23" i="7"/>
  <c r="E22" i="7"/>
  <c r="G22" i="7"/>
  <c r="C21" i="7"/>
  <c r="C58" i="3" l="1"/>
  <c r="C62" i="3" s="1"/>
  <c r="C53" i="3"/>
  <c r="C17" i="4" l="1"/>
  <c r="C54" i="3"/>
  <c r="C55" i="3" s="1"/>
  <c r="C16" i="1" s="1"/>
  <c r="C63" i="3"/>
  <c r="C64" i="3" s="1"/>
  <c r="C17" i="1"/>
  <c r="D17" i="1" s="1"/>
  <c r="D16" i="1" l="1"/>
  <c r="C10" i="1"/>
  <c r="C21" i="1"/>
  <c r="C19" i="4"/>
  <c r="C20" i="4" s="1"/>
  <c r="B79" i="4" s="1"/>
  <c r="B31" i="1" l="1"/>
  <c r="C12" i="1"/>
  <c r="C11" i="1" s="1"/>
  <c r="B26" i="1" l="1"/>
</calcChain>
</file>

<file path=xl/sharedStrings.xml><?xml version="1.0" encoding="utf-8"?>
<sst xmlns="http://schemas.openxmlformats.org/spreadsheetml/2006/main" count="522" uniqueCount="398">
  <si>
    <t>DISCLAIMER: This is a sample analysis for demonstration purposes only. It does not constitute investment advice.</t>
  </si>
  <si>
    <t>クラレ (3405.T)</t>
  </si>
  <si>
    <t>Equity Research Report</t>
  </si>
  <si>
    <t>Company</t>
  </si>
  <si>
    <t>クラレ</t>
  </si>
  <si>
    <t>Ticker</t>
  </si>
  <si>
    <t>3405.T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</si>
  <si>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</si>
  <si>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</si>
  <si>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</si>
  <si>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</si>
  <si>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</si>
  <si>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</si>
  <si>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</si>
  <si>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</si>
  <si>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</si>
  <si>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</si>
  <si>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</si>
  <si>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</si>
  <si>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</si>
  <si>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</si>
  <si>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</si>
  <si>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</si>
  <si>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</si>
  <si>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</si>
  <si>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Capital expenditure has risen to above 12% of revenue against depreciation of 10.5%, and the base case assumes the two converge rather than the spending staying elevated.</t>
  </si>
  <si>
    <t>クラレ - Historical Financials (JPY mn)</t>
  </si>
  <si>
    <t>FY2020</t>
  </si>
  <si>
    <t>FY2021</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</si>
  <si>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</si>
  <si>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</si>
  <si>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</si>
  <si>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</si>
  <si>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</si>
  <si>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</si>
  <si>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</si>
  <si>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</si>
  <si>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</si>
  <si>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</si>
  <si>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</si>
  <si>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</si>
  <si>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</si>
  <si>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</si>
  <si>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</si>
  <si>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</si>
  <si>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</si>
  <si>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</si>
  <si>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</si>
  <si>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</si>
  <si>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</si>
  <si>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</si>
  <si>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</si>
  <si>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</si>
  <si>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</si>
  <si>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</si>
  <si>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</si>
  <si>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6/6, Cash 6/6, Debt 6/6 — blank cells are years with no year-key match in the source data (verify against 決算短信 or set hist_ocf / hist_cash / hist_debt in overrides).</t>
  </si>
  <si>
    <t>DCF Valuation Model - クラレ</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</si>
  <si>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</si>
  <si>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</si>
  <si>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</si>
  <si>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</si>
  <si>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</si>
  <si>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</si>
  <si>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</si>
  <si>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</si>
  <si>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</si>
  <si>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</si>
  <si>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</si>
  <si>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</si>
  <si>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</si>
  <si>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</si>
  <si>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</si>
  <si>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</si>
  <si>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</si>
  <si>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</si>
  <si>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</si>
  <si>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</si>
  <si>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</si>
  <si>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</si>
  <si>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</si>
  <si>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</si>
  <si>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</si>
  <si>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</si>
  <si>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</si>
  <si>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</si>
  <si>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</si>
  <si>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</si>
  <si>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</si>
  <si>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</si>
  <si>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</si>
  <si>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</si>
  <si>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</si>
  <si>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</si>
  <si>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</si>
  <si>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</si>
  <si>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</si>
  <si>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</si>
  <si>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</si>
  <si>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</si>
  <si>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</si>
  <si>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</si>
  <si>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</si>
  <si>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</si>
  <si>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</si>
  <si>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</si>
  <si>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</si>
  <si>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</si>
  <si>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</si>
  <si>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</si>
  <si>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</si>
  <si>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</si>
  <si>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</si>
  <si>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</si>
  <si>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</si>
  <si>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</si>
  <si>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</si>
  <si>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</si>
  <si>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</si>
  <si>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</si>
  <si>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</si>
  <si>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クラレ (3405.T)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</si>
  <si>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</si>
  <si>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</si>
  <si>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</si>
  <si>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</si>
  <si>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</si>
  <si>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</si>
  <si>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</si>
  <si>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</si>
  <si>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</si>
  <si>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(FY2022 actual)</t>
  </si>
  <si>
    <t>Terminal-year Revenue, active scenario (JPY mn)</t>
  </si>
  <si>
    <t>Base-case DCF Enterprise Value, PGM (JPY mn)</t>
  </si>
  <si>
    <t>Cycle-peak Operating Margin (FY2022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</si>
  <si>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</si>
  <si>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</si>
  <si>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</si>
  <si>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</si>
  <si>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</si>
  <si>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</si>
  <si>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FY2022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</si>
  <si>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</si>
  <si>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</si>
  <si>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</si>
  <si>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</si>
  <si>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</si>
  <si>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</si>
  <si>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</si>
  <si>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</si>
  <si>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</si>
  <si>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</si>
  <si>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</si>
  <si>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</si>
  <si>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</si>
  <si>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</si>
  <si>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</si>
  <si>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FY2022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</si>
  <si>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</si>
  <si>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</si>
  <si>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</si>
  <si>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</si>
  <si>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</si>
  <si>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</si>
  <si>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(FY2022)</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</si>
  <si>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</si>
  <si>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</si>
  <si>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</si>
  <si>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</si>
  <si>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</si>
  <si>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</si>
  <si>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</si>
  <si>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</si>
  <si>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クラレ</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</si>
  <si>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</si>
  <si>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</si>
  <si>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</si>
  <si>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</si>
  <si>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</si>
  <si>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</si>
  <si>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</si>
  <si>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</si>
  <si>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</si>
  <si>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</si>
  <si>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</si>
  <si>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</si>
  <si>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</si>
  <si>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</si>
  <si>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</si>
  <si>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</si>
  <si>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</si>
  <si>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</si>
  <si>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</si>
  <si>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</si>
  <si>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</si>
  <si>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</si>
  <si>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</si>
  <si>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</si>
  <si>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</si>
  <si>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</si>
  <si>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</si>
  <si>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</si>
  <si>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</si>
  <si>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</si>
  <si>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</si>
  <si>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</si>
  <si>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</si>
  <si>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</si>
  <si>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Kuraray Co., Ltd.</t>
  </si>
  <si>
    <t>3405.T</t>
  </si>
  <si>
    <t>Mitsui Chemicals, Inc.</t>
  </si>
  <si>
    <t>4183.T</t>
  </si>
  <si>
    <t>Sumitomo Chemical Company, Limited</t>
  </si>
  <si>
    <t>4005.T</t>
  </si>
  <si>
    <t>Mitsubishi Chemical Group Corporation</t>
  </si>
  <si>
    <t>4188.T</t>
  </si>
  <si>
    <t>Asahi Kasei Corporation</t>
  </si>
  <si>
    <t>3407.T</t>
  </si>
  <si>
    <t>Nippon Sanso Holdings Corporation</t>
  </si>
  <si>
    <t>4091.T</t>
  </si>
  <si>
    <t>Statistics</t>
  </si>
  <si>
    <t>25th Percentile</t>
  </si>
  <si>
    <t>Median (50th)</t>
  </si>
  <si>
    <t>75th Percentile</t>
  </si>
  <si>
    <t>Implied Valuation for クラレ</t>
  </si>
  <si>
    <t>クラレ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</si>
  <si>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</si>
  <si>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</si>
  <si>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</si>
  <si>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</si>
  <si>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</si>
  <si>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</si>
  <si>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</si>
  <si>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</si>
  <si>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</si>
  <si>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</si>
  <si>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</si>
  <si>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</si>
  <si>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</si>
  <si>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</si>
  <si>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</si>
  <si>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クラレ</t>
  </si>
  <si>
    <t>日付</t>
  </si>
  <si>
    <t>セル</t>
  </si>
  <si>
    <t>変更内容</t>
  </si>
  <si>
    <t>理由</t>
  </si>
  <si>
    <t>元の値</t>
  </si>
  <si>
    <t>状態</t>
  </si>
  <si>
    <t>2026-09-05</t>
  </si>
  <si>
    <t>-</t>
  </si>
  <si>
    <t>Generated by pipeline on 2026-09-05 13:58,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</si>
  <si>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</si>
  <si>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</si>
  <si>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</si>
  <si>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</si>
  <si>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</si>
  <si>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</si>
  <si>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</si>
  <si>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</si>
  <si>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</si>
  <si>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</si>
  <si>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</si>
  <si>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</si>
  <si>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</si>
  <si>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</si>
  <si>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553,900百万円。■テンプレートの自動規則(&gt;=1兆円 -&gt; 0.0%、&gt;=1,000億円 -&gt; 1.5%)とは異なる値であり、明示指定で上書きしている。</t>
  </si>
  <si>
    <t>テンプレ自動値</t>
  </si>
  <si>
    <t>DCF Model!C8</t>
  </si>
  <si>
    <t>Beta = 0.60</t>
  </si>
  <si>
    <t>yfinance実測 0.054 はテンプレのクランプ域 [0.6, 1.75] の下限を下回り、そのまま渡すと【無言で 1.0 に置換】される（templates/dcf_comps_template.py:1819）。追補1 §A に従い max(0.6, min(1.75, 実測)) = 0.60 を明示指定した。**0.60 は実測値ではなくテンプレが受け付ける最小値**であることに注意。</t>
  </si>
  <si>
    <t>yfinance実測 0.054</t>
  </si>
  <si>
    <t>DCF Model!C6</t>
  </si>
  <si>
    <t>Effective Tax Rate = 25%</t>
  </si>
  <si>
    <t>バッチ共通の既定値(v2 §1-3)。当社の実績税負担率を個別に検証したものではない。</t>
  </si>
  <si>
    <t>テンプレ既定 30%</t>
  </si>
  <si>
    <t>推定</t>
  </si>
  <si>
    <t>DCF Model!C11</t>
  </si>
  <si>
    <t>After-tax Cost of Debt = 0.80%(実績ベース)</t>
  </si>
  <si>
    <t>支払利息 2,807百万円 ÷ 平均有利子負債 ((244,282 + 284,919)/2 = 264,601) = 1.06%(税引前)、× (1 − 25%) = 0.80%。schema の interest_expense / debt_beginning / debt_ending 経路で実績値に切替(validate チェック17 PASS)。■マージナルコスト注記: 既存借入の平均コストであり新規調達の限界コストではない。■出所は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</si>
  <si>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</si>
  <si>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</si>
  <si>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</si>
  <si>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</si>
  <si>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</si>
  <si>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</si>
  <si>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</si>
  <si>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8.7x</t>
  </si>
  <si>
    <t>Peer 5社の実測EV/EBITDA中央値 8.70x（4183 8.70 / 4005 6.09 / 4188 10.03 / 3407 6.54 / 4091 9.63）。型Bのため §4-4 により Peer中央値が上限だが、本ルールは中央値そのものを採るため上限は binding しない。 自社の現在倍率 5.12x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</si>
  <si>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</si>
  <si>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</si>
  <si>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型B(シクリカル・化学市況)として処理</t>
  </si>
  <si>
    <t>追補1 §B に従い、型判定の前に batch/prescreen.py で EDINET有報XBRL の金融事業専用科目(ForFinancialBusiness / Banking / Deposits / CallLoan / InstallmentReceivable 系)を機械チェックした。検出結果: **CLEAN**（docID S100XSSZ。ForFinancialBusiness / Banking / Deposits / CallLoan 系の科目は1件も検出されず）。実績OPM 11.52 → 9.66 → 10.29 → **7.28%** と振れ、直近は観測窓の最低。NonOp/OP −66.3% で純利益が 54,307 → 7,468 と急減しており、減損等の一過性要因が大きい。銀行・captive finance なし。</t>
  </si>
  <si>
    <t>DCF Model!C16</t>
  </si>
  <si>
    <t>net_debt = 177,641百万円（EDINET自動算出値を採用）</t>
  </si>
  <si>
    <t>EDINET有報XBRLからの自動算出値。■追補1 §D の数値照合を実施: yfinance ベースの独立計算(有利子負債 284,919 − 現金及び現金同等物 104,102 = 180,817)とは 3,176百万円(1株あたり約11円)の差にとどまり、現金同等物の範囲の差として許容範囲。一次ソースである EDINET 値をそのまま採用した。■生成ログの FS align は hist_years 6期すべてで ocf+cash+debt を報告しており、抽出漏れはない。</t>
  </si>
  <si>
    <t>DCF Model!C5 / C18</t>
  </si>
  <si>
    <t>capex_method / da_method とも revenue_pct(capex 11.02% / D&amp;A 10.50%)</t>
  </si>
  <si>
    <t>実績は capex 7.8-12.1% / D&amp;A 8.7-10.5% で既に近接しており、direct 方式で明示パスを置く必要がない。ターミナル比率 11.02/10.50 = 1.050x でレンジ[0.90,1.15]内(validate チェック9 PASS)。■ただし直近 FY2025/12 の capex は 97,655百万円(売上比12.1%)と D&amp;A 84,702百万円を 15% 上回っており、Base は両者が収束することを仮定している。設備投資が高止まりすればFCFは本モデルより低くなる。</t>
  </si>
  <si>
    <t>DCF Model シナリオ5本</t>
  </si>
  <si>
    <t>実績OPM分布からの導出(min 7.28 / p25 9.07 / med 9.98 / p75 10.60 / max 11.52%)</t>
  </si>
  <si>
    <t>型Bのため §4-4 に従い Base 到達OPM = ピークとトラフの中間 = (11.52 + 7.28)/2 = 9.40%(Y1 7.8% -&gt; Y5 9.40%)。Upside は max(実績max 11.52, 直近+1.0pt = 8.28) = 11.52%(サイクルピークの再現)。Downside 1 は min(p25 9.07, 直近 7.28) = 7.28% を下回る 5.80%。Downside 2 は実績トラフ(7.28%)が直近実績そのものでトラフとして機能しないため、売上-10%+OPM半減アーム(3.5-4.0%)。SGA% は実績20.4-&gt;23.2%の直近水準23.2%を基準に調整し COGS% = 100% - OPM - SGA% で逆算。既存銘柄からの流用なし。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</si>
  <si>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</si>
  <si>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</si>
  <si>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</si>
  <si>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</si>
  <si>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</si>
  <si>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</si>
  <si>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76 / DIH **164** / DPO 37 日</t>
  </si>
  <si>
    <t>実績4期平均。■DIH 164日は本バッチで最長級。特殊樹脂・フィルムは製造リードタイムが長く在庫がFCFを支配する。DPO 37日が短いためNWCは常に大きな資金拘束になる。</t>
  </si>
  <si>
    <t>Comps Analysis</t>
  </si>
  <si>
    <t>Peer 5社 = 4183 三井化学 / 4005 住友化学 / 4188 三菱ケミカルG / 3407 旭化成 / 4091 日本酸素HD</t>
  </si>
  <si>
    <t>■選定理由: TSE33業種『化学』。■**時価総額バンドの逸脱**: v2 §5 の 0.3〜3倍は 0.166〜1.66兆円で、バンド内は 4183(0.80兆) と 4005(0.98兆) の**2社のみ**。3社以上を確保するためバンドを緩和し、4188(1.68兆・境界)・3407(2.16兆)・4091(2.37兆)を業種同一性と事業比較可能性で採用した。■年度混在の開示: **4183 三井化学の D&amp;A は FY2025/3 の値**（yfinance が FY2026/3 の CF計算書を未収録）。営業利益は最新期のため同社の EBITDA が年度混在になっている。D&amp;A は年次変動が小さいため近似として許容したが厳密には同一年度ではない。■D&amp;A取得状況: 全6社で減価償却費を取得でき `EBITDA = 営業利益 + D&amp;A` で統一。**D&amp;A欠損による除外はゼロ**（validate チェック12 PASS）。</t>
  </si>
  <si>
    <t>Executive Summary!C10 / Target</t>
  </si>
  <si>
    <t>Target Price = 3,320円 = PGM 2,580円 と Exit 4,059円 の2本平均。Comps 2本(EV/EBITDA 3,559円 / PER 474円)は [参考・Target不算入]</t>
  </si>
  <si>
    <t>メモ§2 の規約どおり。validate チェック14 PASS(C10 が C16:C17 のみを平均)。EV&lt;net_debt による INVALID 化は発生していない（チェック10・15 とも PASS）。■**Comps の PER 中央値ベース参考値 474円 は分母が歪んだ数値**: 当社の直近純利益 7,468百万円 は減損等で前期比 76% 減しており、PER 倍率を当社EPSに適用すると異常に低い株価が出る。メモ§2 の『分母が歪んだ指標は削除でなく残置+除外+理由記録』に従い [参考] として残置し Target には算入していない。</t>
  </si>
  <si>
    <t>全体(納品状態)</t>
  </si>
  <si>
    <t>本ファイルは DRAFT。_FINAL は付けない</t>
  </si>
  <si>
    <t>バッチモードでの機械生成物であり人間の検証を経ていない。FINAL化は手順書v2 §6 に従い検証後に行う。</t>
  </si>
  <si>
    <t>DRAFT</t>
  </si>
  <si>
    <t>全体(未解決)</t>
  </si>
  <si>
    <t>純利益の急減（54,307 → 7,468）の内訳が未確認</t>
  </si>
  <si>
    <t>営業利益は 85,081 → 58,883（−31%）に対し純利益は −86%。NonOp/OP −66.3%。減損・持分法・税負担のどれが効いているかを会社開示で確認する必要がある。Comps の PER 参考値 474円 が意味を持たないのはこのため。一過性なら Base は妥当、構造的なら Downside 側に寄せる必要がある。</t>
  </si>
  <si>
    <t>未解決</t>
  </si>
  <si>
    <t>Target 3,320円 と現値 1,838.5円 の乖離（+80.6%）をどう読むか</t>
  </si>
  <si>
    <t>逆算DCF が示すとおり、市場は営業利益がサイクルピークの 0.58倍 で定着する前提で値付けしている。本モデルはピークとトラフの中間（9.40%）まで戻ると仮定しており、その差がそのまま乖離になっている。光学用ポバールフィルムの需要が構造的に減退しているかどうかが判断の分かれ目。</t>
  </si>
  <si>
    <t>capex の高止まりリスク</t>
  </si>
  <si>
    <t>直近 capex は D&amp;A を 15% 上回っている。Base は収束を仮定しているが、増設が継続すればターミナルFCFは本モデルより低い。</t>
  </si>
  <si>
    <t>Pipeline Metadata (do not edit — read by scripts/validate_output.py)</t>
  </si>
  <si>
    <t>key</t>
  </si>
  <si>
    <t>value</t>
  </si>
  <si>
    <t>auto_log_entries</t>
  </si>
  <si>
    <t>1</t>
  </si>
  <si>
    <t>capex_pct_basis</t>
  </si>
  <si>
    <t>assumption</t>
  </si>
  <si>
    <t>capex_pct_c5</t>
  </si>
  <si>
    <t>0.1102</t>
  </si>
  <si>
    <t>capex_pct_hist3yr</t>
  </si>
  <si>
    <t>0.106738</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</si>
  <si>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</si>
  <si>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</si>
  <si>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</si>
  <si>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</si>
  <si>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</si>
  <si>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</si>
  <si>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</si>
  <si>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</si>
  <si>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</si>
  <si>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</si>
  <si>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</si>
  <si>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</si>
  <si>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</si>
  <si>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</si>
  <si>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</si>
  <si>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</si>
  <si>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</si>
  <si>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</si>
  <si>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</si>
  <si>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2,807 (expense 2,807 + fees 0) / avg debt 264,600 (debt_beginning/debt_ending) = 0.010608 pre-tax -&gt; 0.008000 after-tax</t>
  </si>
  <si>
    <t>cost_of_debt_at_c11</t>
  </si>
  <si>
    <t>0.008</t>
  </si>
  <si>
    <t>cost_of_debt_avg_debt</t>
  </si>
  <si>
    <t>264600.5</t>
  </si>
  <si>
    <t>cost_of_debt_basis</t>
  </si>
  <si>
    <t>actual</t>
  </si>
  <si>
    <t>cost_of_debt_interest</t>
  </si>
  <si>
    <t>2807.0</t>
  </si>
  <si>
    <t>cost_of_debt_pretax</t>
  </si>
  <si>
    <t>0.01060844556227218</t>
  </si>
  <si>
    <t>da_pct_basis</t>
  </si>
  <si>
    <t>da_pct_c18</t>
  </si>
  <si>
    <t>0.105</t>
  </si>
  <si>
    <t>da_pct_hist3yr</t>
  </si>
  <si>
    <t>0.102229</t>
  </si>
  <si>
    <t>fs_year_coverage</t>
  </si>
  <si>
    <t>OCF 6/6, Cash 6/6, Debt 6/6</t>
  </si>
  <si>
    <t>fs_year_map</t>
  </si>
  <si>
    <t>FY2020&lt;-FY2020[ocf+cash+debt]; FY2021&lt;-FY2021[ocf+cash+debt]; FY2022&lt;-FY2022[ocf+cash+debt]; FY2023&lt;-FY2023[ocf+cash+debt]; FY2024&lt;-FY2024[ocf+cash+debt]; FY2025&lt;-FY2025[ocf+cash+debt]</t>
  </si>
  <si>
    <t>fs_year_sources</t>
  </si>
  <si>
    <t>overrides: none | EDINET year-key match: hist_ocf, hist_cash, hist_debt, hist_capex, hist_depreciation</t>
  </si>
  <si>
    <t>fx_sensitivity</t>
  </si>
  <si>
    <t>not enabled</t>
  </si>
  <si>
    <t>generated_at</t>
  </si>
  <si>
    <t>2026-09-05 13:58:27</t>
  </si>
  <si>
    <t>ltm_revenue_c20</t>
  </si>
  <si>
    <t>839524.0</t>
  </si>
  <si>
    <t>ltm_revenue_source</t>
  </si>
  <si>
    <t>LTM row</t>
  </si>
  <si>
    <t>narrative_tokens_used</t>
  </si>
  <si>
    <t>pb,per,price,target_price,upside_pct,wacc</t>
  </si>
  <si>
    <t>reverse_dcf_sheet</t>
  </si>
  <si>
    <t>op0=58,882(FY2025) peak=87,139(FY2022) peak_opm=0.1152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</si>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</sst>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1838.5</v>
      </c>
    </row>
    <row r="10" spans="2:5" ht="14" customHeight="1" x14ac:dyDescent="0.3">
      <c r="B10" s="4" t="s">
        <v>10</v>
      </c>
      <c r="C10" s="5">
        <f>IF(COUNT(C16:C17)=0,"N/A",ROUND(AVERAGE(C16:C17),0))</f>
        <v>3320</v>
      </c>
    </row>
    <row r="11" spans="2:5" ht="14" customHeight="1" x14ac:dyDescent="0.3">
      <c r="B11" s="4" t="s">
        <v>11</v>
      </c>
      <c r="C11" s="6" t="str">
        <f>IF(NOT(ISNUMBER(C12)),"N/A",IF(C12&gt;0.15,"BUY",IF(C12&gt;0.05,"HOLD","SELL")))</f>
        <v>BUY</v>
      </c>
    </row>
    <row r="12" spans="2:5" ht="14" customHeight="1" x14ac:dyDescent="0.3">
      <c r="B12" s="4" t="s">
        <v>12</v>
      </c>
      <c r="C12" s="7">
        <f>IF(ISNUMBER(C10),(C10-C9)/C9,"N/A")</f>
        <v>0.80581996192548278</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2580</v>
      </c>
      <c r="D16" s="7">
        <f>IF(ISNUMBER(C16),(C16-C9)/C9,"N/A")</f>
        <v>0.40331792221920043</v>
      </c>
    </row>
    <row r="17" spans="2:5" ht="13.5" customHeight="1" x14ac:dyDescent="0.25">
      <c r="B17" t="s">
        <v>18</v>
      </c>
      <c r="C17" s="11">
        <f>IF('DCF Model'!C62&lt;'DCF Model'!C16,"INVALID (EV &lt; net debt)",'DCF Model'!C64)</f>
        <v>4059</v>
      </c>
      <c r="D17" s="7">
        <f>IF(ISNUMBER(C17),(C17-C9)/C9,"N/A")</f>
        <v>1.2077780799564863</v>
      </c>
    </row>
    <row r="18" spans="2:5" ht="13.5" customHeight="1" x14ac:dyDescent="0.25">
      <c r="B18" t="s">
        <v>19</v>
      </c>
      <c r="C18" s="11">
        <f>'Comps Analysis'!C27</f>
        <v>3559</v>
      </c>
      <c r="D18" s="7">
        <f>IF(ISNUMBER(C18),(C18-C9)/C9,"N/A")</f>
        <v>0.93581724231710639</v>
      </c>
    </row>
    <row r="19" spans="2:5" ht="13.5" customHeight="1" x14ac:dyDescent="0.25">
      <c r="B19" t="s">
        <v>20</v>
      </c>
      <c r="C19" s="11">
        <f>'Comps Analysis'!C28</f>
        <v>474</v>
      </c>
      <c r="D19" s="7">
        <f>IF(ISNUMBER(C19),(C19-C9)/C9,"N/A")</f>
        <v>-0.74218112591786778</v>
      </c>
    </row>
    <row r="20" spans="2:5" ht="14" customHeight="1" x14ac:dyDescent="0.3">
      <c r="B20" s="46" t="s">
        <v>21</v>
      </c>
      <c r="C20" s="45"/>
      <c r="D20" s="45"/>
      <c r="E20" s="45"/>
    </row>
    <row r="21" spans="2:5" ht="14" customHeight="1" x14ac:dyDescent="0.3">
      <c r="B21" s="4" t="s">
        <v>22</v>
      </c>
      <c r="C21" s="6" t="str">
        <f>IF(COUNT(C16:C17)=0,"N/A",MIN(C16:C17)&amp;" - "&amp;MAX(C16:C17))</f>
        <v>2580 - 4059</v>
      </c>
    </row>
    <row r="23" spans="2:5" ht="14" customHeight="1" x14ac:dyDescent="0.3">
      <c r="B23" s="8" t="s">
        <v>23</v>
      </c>
      <c r="C23" s="9"/>
      <c r="D23" s="9"/>
    </row>
    <row r="24" spans="2:5" x14ac:dyDescent="0.2">
      <c r="B24" t="str">
        <f>"Kuraray holds dominant global positions in specialty resins and optical film, and the latest year marks the bottom of the observed margin range rather than a loss of those positions; the shares trade at "&amp;TEXT('Comps Analysis'!L5,"0.0""x""")&amp;" earnings and "&amp;TEXT('Comps Analysis'!M5,"0.00""x""")&amp;" book."</f>
        <v>Kuraray holds dominant global positions in specialty resins and optical film, and the latest year marks the bottom of the observed margin range rather than a loss of those positions; the shares trade at 74.2x earnings and 0.75x book.</v>
      </c>
    </row>
    <row r="25" spans="2:5" x14ac:dyDescent="0.2">
      <c r="B25" t="str">
        <f>"The stock changes hands well below the Japanese chemical peer median on EV/EBITDA, which is where the exit leg of this model finds value against a "&amp;TEXT('DCF Model'!C26,"0.00%")&amp;" cost of capital."</f>
        <v>The stock changes hands well below the Japanese chemical peer median on EV/EBITDA, which is where the exit leg of this model finds value against a 6.15% cost of capital.</v>
      </c>
    </row>
    <row r="26" spans="2:5" x14ac:dyDescent="0.2">
      <c r="B26" t="str">
        <f>"At "&amp;TEXT(C9,"#,##0")&amp;" the market prices the trough margin as the new normal; restoring the midpoint between the observed peak and trough supports "&amp;TEXT(C10,"#,##0")&amp;", or "&amp;TEXT(C12,"+0.0%;-0.0%")&amp;" from here."</f>
        <v>At 1,839 the market prices the trough margin as the new normal; restoring the midpoint between the observed peak and trough supports 3,320, or +80.6% from here.</v>
      </c>
    </row>
    <row r="28" spans="2:5" ht="14" customHeight="1" x14ac:dyDescent="0.3">
      <c r="B28" s="8" t="s">
        <v>24</v>
      </c>
      <c r="C28" s="9"/>
      <c r="D28" s="9"/>
    </row>
    <row r="29" spans="2:5" x14ac:dyDescent="0.2">
      <c r="B29" t="str">
        <f>"Reported net income collapsed to a fraction of the prior year while operating income fell far less, so the "&amp;TEXT('Comps Analysis'!L5,"0.0""x""")&amp;" the market pays at "&amp;TEXT(C9,"#,##0")&amp;" is measured against an earnings base distorted by one-off charges."</f>
        <v>Reported net income collapsed to a fraction of the prior year while operating income fell far less, so the 74.2x the market pays at 1,839 is measured against an earnings base distorted by one-off charges.</v>
      </c>
    </row>
    <row r="30" spans="2:5" x14ac:dyDescent="0.2">
      <c r="B30" t="s">
        <v>25</v>
      </c>
    </row>
    <row r="31" spans="2:5" x14ac:dyDescent="0.2">
      <c r="B31" t="str">
        <f>"Demand for optical film and specialty resins is tied to display and automotive cycles, and a further downturn would hold margins at the trough used in the second downside case rather than at the level "&amp;TEXT(C10,"#,##0")&amp;" assumes."</f>
        <v>Demand for optical film and specialty resins is tied to display and automotive cycles, and a further downturn would hold margins at the trough used in the second downside case rather than at the level 3,320 assumes.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H30"/>
  <sheetViews>
    <sheetView workbookViewId="0"/>
  </sheetViews>
  <sheetFormatPr defaultRowHeight="13" x14ac:dyDescent="0.2"/>
  <cols>
    <col min="1" max="1" width="3" customWidth="1"/>
    <col min="2" max="2" width="32" customWidth="1"/>
    <col min="3" max="8" width="18" customWidth="1"/>
  </cols>
  <sheetData>
    <row r="2" spans="2:8" ht="18" customHeight="1" x14ac:dyDescent="0.4">
      <c r="B2" s="2" t="s">
        <v>26</v>
      </c>
    </row>
    <row r="4" spans="2:8" ht="14" customHeight="1" x14ac:dyDescent="0.3">
      <c r="C4" s="10" t="s">
        <v>27</v>
      </c>
      <c r="D4" s="10" t="s">
        <v>28</v>
      </c>
      <c r="E4" s="10" t="s">
        <v>29</v>
      </c>
      <c r="F4" s="10" t="s">
        <v>30</v>
      </c>
      <c r="G4" s="10" t="s">
        <v>31</v>
      </c>
      <c r="H4" s="10" t="s">
        <v>32</v>
      </c>
    </row>
    <row r="5" spans="2:8" ht="14" customHeight="1" x14ac:dyDescent="0.3">
      <c r="B5" s="3" t="s">
        <v>33</v>
      </c>
    </row>
    <row r="6" spans="2:8" ht="14" customHeight="1" x14ac:dyDescent="0.3">
      <c r="B6" s="4" t="s">
        <v>34</v>
      </c>
      <c r="C6" s="5">
        <v>541797</v>
      </c>
      <c r="D6" s="5">
        <v>629370</v>
      </c>
      <c r="E6" s="5">
        <v>756376</v>
      </c>
      <c r="F6" s="5">
        <v>780938</v>
      </c>
      <c r="G6" s="5">
        <v>826895</v>
      </c>
      <c r="H6" s="5">
        <v>808447</v>
      </c>
    </row>
    <row r="7" spans="2:8" ht="14" customHeight="1" x14ac:dyDescent="0.3">
      <c r="B7" s="4" t="s">
        <v>35</v>
      </c>
      <c r="C7" s="5">
        <v>376386</v>
      </c>
      <c r="D7" s="5">
        <v>425234</v>
      </c>
      <c r="E7" s="5">
        <v>514713</v>
      </c>
      <c r="F7" s="5">
        <v>540956</v>
      </c>
      <c r="G7" s="5">
        <v>559374</v>
      </c>
      <c r="H7" s="5">
        <v>561939</v>
      </c>
    </row>
    <row r="8" spans="2:8" ht="14" customHeight="1" x14ac:dyDescent="0.3">
      <c r="B8" s="4" t="s">
        <v>36</v>
      </c>
      <c r="C8" s="5">
        <f t="shared" ref="C8:H8" si="0">C6-C7</f>
        <v>165411</v>
      </c>
      <c r="D8" s="5">
        <f t="shared" si="0"/>
        <v>204136</v>
      </c>
      <c r="E8" s="5">
        <f t="shared" si="0"/>
        <v>241663</v>
      </c>
      <c r="F8" s="5">
        <f t="shared" si="0"/>
        <v>239982</v>
      </c>
      <c r="G8" s="5">
        <f t="shared" si="0"/>
        <v>267521</v>
      </c>
      <c r="H8" s="5">
        <f t="shared" si="0"/>
        <v>246508</v>
      </c>
    </row>
    <row r="9" spans="2:8" ht="13.5" customHeight="1" x14ac:dyDescent="0.25">
      <c r="B9" t="s">
        <v>37</v>
      </c>
      <c r="C9" s="7">
        <f t="shared" ref="C9:H9" si="1">C8/C6</f>
        <v>0.30530069380229125</v>
      </c>
      <c r="D9" s="7">
        <f t="shared" si="1"/>
        <v>0.3243497465719688</v>
      </c>
      <c r="E9" s="7">
        <f t="shared" si="1"/>
        <v>0.31950114757739539</v>
      </c>
      <c r="F9" s="7">
        <f t="shared" si="1"/>
        <v>0.30729968320148332</v>
      </c>
      <c r="G9" s="7">
        <f t="shared" si="1"/>
        <v>0.32352475223577359</v>
      </c>
      <c r="H9" s="7">
        <f t="shared" si="1"/>
        <v>0.30491547374163058</v>
      </c>
    </row>
    <row r="10" spans="2:8" ht="14" customHeight="1" x14ac:dyDescent="0.3">
      <c r="B10" s="4" t="s">
        <v>38</v>
      </c>
      <c r="C10" s="5">
        <v>121069</v>
      </c>
      <c r="D10" s="5">
        <v>131879</v>
      </c>
      <c r="E10" s="5">
        <v>154524</v>
      </c>
      <c r="F10" s="5">
        <v>164506</v>
      </c>
      <c r="G10" s="5">
        <v>182439</v>
      </c>
      <c r="H10" s="5">
        <v>187625</v>
      </c>
    </row>
    <row r="11" spans="2:8" ht="14" customHeight="1" x14ac:dyDescent="0.3">
      <c r="B11" s="4" t="s">
        <v>39</v>
      </c>
      <c r="C11" s="5">
        <v>44341</v>
      </c>
      <c r="D11" s="5">
        <v>72256</v>
      </c>
      <c r="E11" s="5">
        <v>87139</v>
      </c>
      <c r="F11" s="5">
        <v>75475</v>
      </c>
      <c r="G11" s="5">
        <v>85081</v>
      </c>
      <c r="H11" s="5">
        <v>58882</v>
      </c>
    </row>
    <row r="12" spans="2:8" ht="14" customHeight="1" x14ac:dyDescent="0.3">
      <c r="B12" s="4" t="s">
        <v>40</v>
      </c>
      <c r="C12" s="5">
        <v>2570</v>
      </c>
      <c r="D12" s="5">
        <v>37262</v>
      </c>
      <c r="E12" s="5">
        <v>54307</v>
      </c>
      <c r="F12" s="5">
        <v>42446</v>
      </c>
      <c r="G12" s="5">
        <v>31724</v>
      </c>
      <c r="H12" s="5">
        <v>7468</v>
      </c>
    </row>
    <row r="13" spans="2:8" ht="13.5" customHeight="1" x14ac:dyDescent="0.25">
      <c r="B13" t="s">
        <v>41</v>
      </c>
      <c r="C13" s="7">
        <f t="shared" ref="C13:H13" si="2">C11/C6</f>
        <v>8.1840615581112483E-2</v>
      </c>
      <c r="D13" s="7">
        <f t="shared" si="2"/>
        <v>0.11480687036242591</v>
      </c>
      <c r="E13" s="7">
        <f t="shared" si="2"/>
        <v>0.11520592932615524</v>
      </c>
      <c r="F13" s="7">
        <f t="shared" si="2"/>
        <v>9.6646596784892014E-2</v>
      </c>
      <c r="G13" s="7">
        <f t="shared" si="2"/>
        <v>0.10289214471002969</v>
      </c>
      <c r="H13" s="7">
        <f t="shared" si="2"/>
        <v>7.2833469602831102E-2</v>
      </c>
    </row>
    <row r="14" spans="2:8" ht="13.5" customHeight="1" x14ac:dyDescent="0.25">
      <c r="B14" t="s">
        <v>42</v>
      </c>
      <c r="C14" s="7">
        <f t="shared" ref="C14:H14" si="3">C12/C6</f>
        <v>4.7434740317868129E-3</v>
      </c>
      <c r="D14" s="7">
        <f t="shared" si="3"/>
        <v>5.9205236983014761E-2</v>
      </c>
      <c r="E14" s="7">
        <f t="shared" si="3"/>
        <v>7.1798946555681295E-2</v>
      </c>
      <c r="F14" s="7">
        <f t="shared" si="3"/>
        <v>5.4352586248844335E-2</v>
      </c>
      <c r="G14" s="7">
        <f t="shared" si="3"/>
        <v>3.8365209609442556E-2</v>
      </c>
      <c r="H14" s="7">
        <f t="shared" si="3"/>
        <v>9.2374639277528394E-3</v>
      </c>
    </row>
    <row r="15" spans="2:8" ht="13.5" customHeight="1" x14ac:dyDescent="0.25">
      <c r="B15" t="s">
        <v>43</v>
      </c>
      <c r="C15" t="s">
        <v>44</v>
      </c>
      <c r="D15" s="7">
        <f>(D6-C6)/C6</f>
        <v>0.16163433906057065</v>
      </c>
      <c r="E15" s="7">
        <f>(E6-D6)/D6</f>
        <v>0.20179862402084625</v>
      </c>
      <c r="F15" s="7">
        <f>(F6-E6)/E6</f>
        <v>3.2473267263900492E-2</v>
      </c>
      <c r="G15" s="7">
        <f>(G6-F6)/F6</f>
        <v>5.884846172167317E-2</v>
      </c>
      <c r="H15" s="7">
        <f>(H6-G6)/G6</f>
        <v>-2.2309966803524026E-2</v>
      </c>
    </row>
    <row r="16" spans="2:8" ht="13.5" customHeight="1" x14ac:dyDescent="0.25">
      <c r="B16" t="s">
        <v>45</v>
      </c>
      <c r="C16" t="s">
        <v>44</v>
      </c>
      <c r="D16" s="7">
        <f>(D11-C11)/C11</f>
        <v>0.62955278410500437</v>
      </c>
      <c r="E16" s="7">
        <f>(E11-D11)/D11</f>
        <v>0.20597597431355183</v>
      </c>
      <c r="F16" s="7">
        <f>(F11-E11)/E11</f>
        <v>-0.13385510506202733</v>
      </c>
      <c r="G16" s="7">
        <f>(G11-F11)/F11</f>
        <v>0.12727393176548527</v>
      </c>
      <c r="H16" s="7">
        <f>(H11-G11)/G11</f>
        <v>-0.30793009014938705</v>
      </c>
    </row>
    <row r="18" spans="2:8" ht="14" customHeight="1" x14ac:dyDescent="0.3">
      <c r="B18" s="3" t="s">
        <v>46</v>
      </c>
    </row>
    <row r="19" spans="2:8" ht="14" customHeight="1" x14ac:dyDescent="0.3">
      <c r="B19" s="4" t="s">
        <v>47</v>
      </c>
      <c r="C19" s="5">
        <v>79947</v>
      </c>
      <c r="D19" s="5">
        <v>78221</v>
      </c>
      <c r="E19" s="5">
        <v>51727</v>
      </c>
      <c r="F19" s="5">
        <v>129298</v>
      </c>
      <c r="G19" s="5">
        <v>138294</v>
      </c>
      <c r="H19" s="5">
        <v>98591</v>
      </c>
    </row>
    <row r="20" spans="2:8" ht="14" customHeight="1" x14ac:dyDescent="0.3">
      <c r="B20" s="4" t="s">
        <v>48</v>
      </c>
      <c r="C20" s="5">
        <v>76700</v>
      </c>
      <c r="D20" s="5">
        <v>65947</v>
      </c>
      <c r="E20" s="5">
        <v>72599</v>
      </c>
      <c r="F20" s="5">
        <v>67282</v>
      </c>
      <c r="G20" s="5">
        <v>84276</v>
      </c>
      <c r="H20" s="5">
        <v>106829</v>
      </c>
    </row>
    <row r="21" spans="2:8" ht="14" customHeight="1" x14ac:dyDescent="0.3">
      <c r="B21" s="4" t="s">
        <v>49</v>
      </c>
      <c r="C21" s="5">
        <f t="shared" ref="C21:H21" si="4">C19-C20</f>
        <v>3247</v>
      </c>
      <c r="D21" s="5">
        <f t="shared" si="4"/>
        <v>12274</v>
      </c>
      <c r="E21" s="5">
        <f t="shared" si="4"/>
        <v>-20872</v>
      </c>
      <c r="F21" s="5">
        <f t="shared" si="4"/>
        <v>62016</v>
      </c>
      <c r="G21" s="5">
        <f t="shared" si="4"/>
        <v>54018</v>
      </c>
      <c r="H21" s="5">
        <f t="shared" si="4"/>
        <v>-8238</v>
      </c>
    </row>
    <row r="22" spans="2:8" ht="13.5" customHeight="1" x14ac:dyDescent="0.25">
      <c r="B22" t="s">
        <v>50</v>
      </c>
      <c r="C22" s="7">
        <f t="shared" ref="C22:H22" si="5">C21/C6</f>
        <v>5.9930195257633396E-3</v>
      </c>
      <c r="D22" s="7">
        <f t="shared" si="5"/>
        <v>1.9502041724263945E-2</v>
      </c>
      <c r="E22" s="7">
        <f t="shared" si="5"/>
        <v>-2.7594741239806656E-2</v>
      </c>
      <c r="F22" s="7">
        <f t="shared" si="5"/>
        <v>7.9412194053817331E-2</v>
      </c>
      <c r="G22" s="7">
        <f t="shared" si="5"/>
        <v>6.5326311079399443E-2</v>
      </c>
      <c r="H22" s="7">
        <f t="shared" si="5"/>
        <v>-1.0189907316125856E-2</v>
      </c>
    </row>
    <row r="23" spans="2:8" ht="13.5" customHeight="1" x14ac:dyDescent="0.25">
      <c r="B23" t="s">
        <v>51</v>
      </c>
      <c r="C23" s="7">
        <f t="shared" ref="C23:H23" si="6">C20/C6</f>
        <v>0.14156593705760645</v>
      </c>
      <c r="D23" s="7">
        <f t="shared" si="6"/>
        <v>0.10478256033811589</v>
      </c>
      <c r="E23" s="7">
        <f t="shared" si="6"/>
        <v>9.5982685859942671E-2</v>
      </c>
      <c r="F23" s="7">
        <f t="shared" si="6"/>
        <v>8.6155367007368061E-2</v>
      </c>
      <c r="G23" s="7">
        <f t="shared" si="6"/>
        <v>0.10191862328348823</v>
      </c>
      <c r="H23" s="7">
        <f t="shared" si="6"/>
        <v>0.13214100615129995</v>
      </c>
    </row>
    <row r="25" spans="2:8" ht="14" customHeight="1" x14ac:dyDescent="0.3">
      <c r="B25" s="3" t="s">
        <v>52</v>
      </c>
    </row>
    <row r="26" spans="2:8" ht="14" customHeight="1" x14ac:dyDescent="0.3">
      <c r="B26" s="4" t="s">
        <v>53</v>
      </c>
      <c r="C26" s="5">
        <v>182084</v>
      </c>
      <c r="D26" s="5">
        <v>151487</v>
      </c>
      <c r="E26" s="5">
        <v>127616</v>
      </c>
      <c r="F26" s="5">
        <v>133663</v>
      </c>
      <c r="G26" s="5">
        <v>118068</v>
      </c>
      <c r="H26" s="5">
        <v>104102</v>
      </c>
    </row>
    <row r="27" spans="2:8" ht="14" customHeight="1" x14ac:dyDescent="0.3">
      <c r="B27" s="4" t="s">
        <v>54</v>
      </c>
      <c r="C27" s="5">
        <v>301390</v>
      </c>
      <c r="D27" s="5">
        <v>307438</v>
      </c>
      <c r="E27" s="5">
        <v>304405</v>
      </c>
      <c r="F27" s="5">
        <v>282024</v>
      </c>
      <c r="G27" s="5">
        <v>234282</v>
      </c>
      <c r="H27" s="5">
        <v>273919</v>
      </c>
    </row>
    <row r="28" spans="2:8" ht="14" customHeight="1" x14ac:dyDescent="0.3">
      <c r="B28" s="4" t="s">
        <v>55</v>
      </c>
      <c r="C28" s="5">
        <f t="shared" ref="C28:H28" si="7">C27-C26</f>
        <v>119306</v>
      </c>
      <c r="D28" s="5">
        <f t="shared" si="7"/>
        <v>155951</v>
      </c>
      <c r="E28" s="5">
        <f t="shared" si="7"/>
        <v>176789</v>
      </c>
      <c r="F28" s="5">
        <f t="shared" si="7"/>
        <v>148361</v>
      </c>
      <c r="G28" s="5">
        <f t="shared" si="7"/>
        <v>116214</v>
      </c>
      <c r="H28" s="5">
        <f t="shared" si="7"/>
        <v>169817</v>
      </c>
    </row>
    <row r="30" spans="2:8" ht="14" customHeight="1" x14ac:dyDescent="0.3">
      <c r="B30" s="1" t="s">
        <v>56</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57</v>
      </c>
    </row>
    <row r="4" spans="2:7" ht="14" customHeight="1" x14ac:dyDescent="0.3">
      <c r="B4" s="8" t="s">
        <v>58</v>
      </c>
      <c r="C4" s="9"/>
      <c r="D4" s="9"/>
      <c r="E4" s="9"/>
      <c r="F4" s="9"/>
      <c r="G4" s="9"/>
    </row>
    <row r="5" spans="2:7" ht="14" customHeight="1" x14ac:dyDescent="0.3">
      <c r="B5" s="4" t="s">
        <v>51</v>
      </c>
      <c r="C5" s="7">
        <v>0.11020000000000001</v>
      </c>
    </row>
    <row r="6" spans="2:7" ht="14" customHeight="1" x14ac:dyDescent="0.3">
      <c r="B6" s="4" t="s">
        <v>59</v>
      </c>
      <c r="C6" s="7">
        <v>0.25</v>
      </c>
    </row>
    <row r="7" spans="2:7" ht="14" customHeight="1" x14ac:dyDescent="0.3">
      <c r="B7" s="4" t="s">
        <v>60</v>
      </c>
      <c r="C7" s="7">
        <v>2.9700000000000001E-2</v>
      </c>
    </row>
    <row r="8" spans="2:7" ht="14" customHeight="1" x14ac:dyDescent="0.3">
      <c r="B8" s="4" t="s">
        <v>61</v>
      </c>
      <c r="C8" s="12">
        <v>0.6</v>
      </c>
    </row>
    <row r="9" spans="2:7" ht="14" customHeight="1" x14ac:dyDescent="0.3">
      <c r="B9" s="4" t="s">
        <v>62</v>
      </c>
      <c r="C9" s="7">
        <v>6.5000000000000002E-2</v>
      </c>
    </row>
    <row r="10" spans="2:7" ht="14" customHeight="1" x14ac:dyDescent="0.3">
      <c r="B10" s="4" t="s">
        <v>63</v>
      </c>
      <c r="C10" s="7">
        <v>0.01</v>
      </c>
    </row>
    <row r="11" spans="2:7" ht="14" customHeight="1" x14ac:dyDescent="0.3">
      <c r="B11" s="4" t="s">
        <v>64</v>
      </c>
      <c r="C11" s="7">
        <v>8.0000000000000002E-3</v>
      </c>
    </row>
    <row r="12" spans="2:7" ht="14" customHeight="1" x14ac:dyDescent="0.3">
      <c r="B12" s="4" t="s">
        <v>65</v>
      </c>
      <c r="C12" s="13">
        <v>0.32069999999999999</v>
      </c>
    </row>
    <row r="13" spans="2:7" ht="14" customHeight="1" x14ac:dyDescent="0.3">
      <c r="B13" s="4" t="s">
        <v>66</v>
      </c>
      <c r="C13" s="7">
        <v>0.01</v>
      </c>
    </row>
    <row r="14" spans="2:7" ht="14" customHeight="1" x14ac:dyDescent="0.3">
      <c r="B14" s="4" t="s">
        <v>67</v>
      </c>
      <c r="C14" s="14">
        <v>8.6999999999999993</v>
      </c>
    </row>
    <row r="15" spans="2:7" ht="14" customHeight="1" x14ac:dyDescent="0.3">
      <c r="B15" s="4" t="s">
        <v>68</v>
      </c>
      <c r="C15" s="15">
        <v>301296860</v>
      </c>
    </row>
    <row r="16" spans="2:7" ht="14" customHeight="1" x14ac:dyDescent="0.3">
      <c r="B16" s="4" t="s">
        <v>69</v>
      </c>
      <c r="C16" s="5">
        <v>177641</v>
      </c>
    </row>
    <row r="17" spans="2:7" ht="14" customHeight="1" x14ac:dyDescent="0.3">
      <c r="B17" s="4" t="s">
        <v>70</v>
      </c>
      <c r="C17" s="5">
        <v>808447</v>
      </c>
    </row>
    <row r="18" spans="2:7" ht="14" customHeight="1" x14ac:dyDescent="0.3">
      <c r="B18" s="4" t="s">
        <v>71</v>
      </c>
      <c r="C18" s="7">
        <v>0.105</v>
      </c>
    </row>
    <row r="19" spans="2:7" ht="14" customHeight="1" x14ac:dyDescent="0.3">
      <c r="B19" s="4" t="s">
        <v>72</v>
      </c>
      <c r="C19" s="12">
        <v>0.5</v>
      </c>
    </row>
    <row r="20" spans="2:7" ht="14" customHeight="1" x14ac:dyDescent="0.3">
      <c r="B20" s="4" t="s">
        <v>73</v>
      </c>
      <c r="C20" s="5">
        <v>839524</v>
      </c>
    </row>
    <row r="22" spans="2:7" ht="14" customHeight="1" x14ac:dyDescent="0.3">
      <c r="B22" s="8" t="s">
        <v>74</v>
      </c>
      <c r="C22" s="9"/>
      <c r="D22" s="9"/>
      <c r="E22" s="9"/>
      <c r="F22" s="9"/>
      <c r="G22" s="9"/>
    </row>
    <row r="23" spans="2:7" ht="14" customHeight="1" x14ac:dyDescent="0.3">
      <c r="B23" s="4" t="s">
        <v>75</v>
      </c>
      <c r="C23" s="16">
        <f>C7+C8*C9+C10</f>
        <v>7.8699999999999992E-2</v>
      </c>
    </row>
    <row r="24" spans="2:7" ht="14" customHeight="1" x14ac:dyDescent="0.3">
      <c r="B24" s="4" t="s">
        <v>76</v>
      </c>
      <c r="C24" s="16">
        <f>1/(1+C12)</f>
        <v>0.75717422578935412</v>
      </c>
    </row>
    <row r="25" spans="2:7" ht="14" customHeight="1" x14ac:dyDescent="0.3">
      <c r="B25" s="4" t="s">
        <v>77</v>
      </c>
      <c r="C25" s="16">
        <f>C12/(1+C12)</f>
        <v>0.24282577421064586</v>
      </c>
    </row>
    <row r="26" spans="2:7" ht="14" customHeight="1" x14ac:dyDescent="0.3">
      <c r="B26" s="4" t="s">
        <v>78</v>
      </c>
      <c r="C26" s="16">
        <f>C23*C24+C11*C25</f>
        <v>6.1532217763307327E-2</v>
      </c>
    </row>
    <row r="27" spans="2:7" ht="14" customHeight="1" x14ac:dyDescent="0.3">
      <c r="B27" s="4" t="s">
        <v>79</v>
      </c>
      <c r="C27" s="17" t="s">
        <v>80</v>
      </c>
      <c r="D27" s="6">
        <f>MATCH(C27,B69:B73,0)</f>
        <v>1</v>
      </c>
    </row>
    <row r="28" spans="2:7" ht="14" customHeight="1" x14ac:dyDescent="0.3">
      <c r="B28" s="8" t="s">
        <v>81</v>
      </c>
      <c r="C28" s="9"/>
      <c r="D28" s="9"/>
      <c r="E28" s="9"/>
      <c r="F28" s="9"/>
      <c r="G28" s="9"/>
    </row>
    <row r="29" spans="2:7" ht="14" customHeight="1" x14ac:dyDescent="0.3">
      <c r="C29" s="10" t="s">
        <v>82</v>
      </c>
      <c r="D29" s="10" t="s">
        <v>83</v>
      </c>
      <c r="E29" s="10" t="s">
        <v>84</v>
      </c>
      <c r="F29" s="10" t="s">
        <v>85</v>
      </c>
      <c r="G29" s="10" t="s">
        <v>86</v>
      </c>
    </row>
    <row r="30" spans="2:7" ht="14" customHeight="1" x14ac:dyDescent="0.3">
      <c r="B30" s="4" t="s">
        <v>43</v>
      </c>
      <c r="C30" s="18">
        <f>CHOOSE($D$27,C69,C70,C71,C72,C73)</f>
        <v>0.01</v>
      </c>
      <c r="D30" s="18">
        <f>CHOOSE($D$27,D69,D70,D71,D72,D73)</f>
        <v>0.02</v>
      </c>
      <c r="E30" s="18">
        <f>CHOOSE($D$27,E69,E70,E71,E72,E73)</f>
        <v>2.5000000000000001E-2</v>
      </c>
      <c r="F30" s="18">
        <f>CHOOSE($D$27,F69,F70,F71,F72,F73)</f>
        <v>2.5000000000000001E-2</v>
      </c>
      <c r="G30" s="18">
        <f>CHOOSE($D$27,G69,G70,G71,G72,G73)</f>
        <v>2.5000000000000001E-2</v>
      </c>
    </row>
    <row r="31" spans="2:7" ht="14" customHeight="1" x14ac:dyDescent="0.3">
      <c r="B31" s="4" t="s">
        <v>87</v>
      </c>
      <c r="C31" s="18">
        <f>CHOOSE($D$27,C76,C77,C78,C79,C80)</f>
        <v>0.69</v>
      </c>
      <c r="D31" s="18">
        <f>CHOOSE($D$27,D76,D77,D78,D79,D80)</f>
        <v>0.68400000000000005</v>
      </c>
      <c r="E31" s="18">
        <f>CHOOSE($D$27,E76,E77,E78,E79,E80)</f>
        <v>0.67900000000000005</v>
      </c>
      <c r="F31" s="18">
        <f>CHOOSE($D$27,F76,F77,F78,F79,F80)</f>
        <v>0.67600000000000005</v>
      </c>
      <c r="G31" s="18">
        <f>CHOOSE($D$27,G76,G77,G78,G79,G80)</f>
        <v>0.67400000000000004</v>
      </c>
    </row>
    <row r="32" spans="2:7" ht="14" customHeight="1" x14ac:dyDescent="0.3">
      <c r="B32" s="4" t="s">
        <v>88</v>
      </c>
      <c r="C32" s="18">
        <f>CHOOSE($D$27,C83,C84,C85,C86,C87)</f>
        <v>0.23200000000000001</v>
      </c>
      <c r="D32" s="18">
        <f>CHOOSE($D$27,D83,D84,D85,D86,D87)</f>
        <v>0.23200000000000001</v>
      </c>
      <c r="E32" s="18">
        <f>CHOOSE($D$27,E83,E84,E85,E86,E87)</f>
        <v>0.23200000000000001</v>
      </c>
      <c r="F32" s="18">
        <f>CHOOSE($D$27,F83,F84,F85,F86,F87)</f>
        <v>0.23200000000000001</v>
      </c>
      <c r="G32" s="18">
        <f>CHOOSE($D$27,G83,G84,G85,G86,G87)</f>
        <v>0.23200000000000001</v>
      </c>
    </row>
    <row r="33" spans="2:7" ht="14" customHeight="1" x14ac:dyDescent="0.3">
      <c r="B33" s="4" t="s">
        <v>34</v>
      </c>
      <c r="C33" s="5">
        <f>C17*(1+C30)</f>
        <v>816531.47</v>
      </c>
      <c r="D33" s="5">
        <f>C33*(1+D30)</f>
        <v>832862.09939999995</v>
      </c>
      <c r="E33" s="5">
        <f>D33*(1+E30)</f>
        <v>853683.65188499982</v>
      </c>
      <c r="F33" s="5">
        <f>E33*(1+F30)</f>
        <v>875025.74318212469</v>
      </c>
      <c r="G33" s="5">
        <f>F33*(1+G30)</f>
        <v>896901.38676167768</v>
      </c>
    </row>
    <row r="34" spans="2:7" ht="14" customHeight="1" x14ac:dyDescent="0.3">
      <c r="B34" s="4" t="s">
        <v>35</v>
      </c>
      <c r="C34" s="5">
        <f>C33*C31</f>
        <v>563406.71429999999</v>
      </c>
      <c r="D34" s="5">
        <f>D33*D31</f>
        <v>569677.67598960001</v>
      </c>
      <c r="E34" s="5">
        <f>E33*E31</f>
        <v>579651.19962991495</v>
      </c>
      <c r="F34" s="5">
        <f>F33*F31</f>
        <v>591517.40239111637</v>
      </c>
      <c r="G34" s="5">
        <f>G33*G31</f>
        <v>604511.5346773708</v>
      </c>
    </row>
    <row r="35" spans="2:7" ht="14" customHeight="1" x14ac:dyDescent="0.3">
      <c r="B35" s="4" t="s">
        <v>36</v>
      </c>
      <c r="C35" s="19">
        <f>C33-C34</f>
        <v>253124.75569999998</v>
      </c>
      <c r="D35" s="19">
        <f>D33-D34</f>
        <v>263184.42341039993</v>
      </c>
      <c r="E35" s="19">
        <f>E33-E34</f>
        <v>274032.45225508488</v>
      </c>
      <c r="F35" s="19">
        <f>F33-F34</f>
        <v>283508.34079100832</v>
      </c>
      <c r="G35" s="19">
        <f>G33-G34</f>
        <v>292389.85208430688</v>
      </c>
    </row>
    <row r="36" spans="2:7" ht="14" customHeight="1" x14ac:dyDescent="0.3">
      <c r="B36" s="4" t="s">
        <v>37</v>
      </c>
      <c r="C36" s="7">
        <f>C35/C33</f>
        <v>0.31</v>
      </c>
      <c r="D36" s="7">
        <f>D35/D33</f>
        <v>0.31599999999999995</v>
      </c>
      <c r="E36" s="7">
        <f>E35/E33</f>
        <v>0.3209999999999999</v>
      </c>
      <c r="F36" s="7">
        <f>F35/F33</f>
        <v>0.3239999999999999</v>
      </c>
      <c r="G36" s="7">
        <f>G35/G33</f>
        <v>0.32599999999999996</v>
      </c>
    </row>
    <row r="37" spans="2:7" ht="14" customHeight="1" x14ac:dyDescent="0.3">
      <c r="B37" s="4" t="s">
        <v>89</v>
      </c>
      <c r="C37" s="5">
        <f>C33*C32</f>
        <v>189435.30103999999</v>
      </c>
      <c r="D37" s="5">
        <f>D33*D32</f>
        <v>193224.00706080001</v>
      </c>
      <c r="E37" s="5">
        <f>E33*E32</f>
        <v>198054.60723731996</v>
      </c>
      <c r="F37" s="5">
        <f>F33*F32</f>
        <v>203005.97241825293</v>
      </c>
      <c r="G37" s="5">
        <f>G33*G32</f>
        <v>208081.12172870923</v>
      </c>
    </row>
    <row r="38" spans="2:7" ht="14" customHeight="1" x14ac:dyDescent="0.3">
      <c r="B38" s="4" t="s">
        <v>90</v>
      </c>
      <c r="C38" s="7">
        <f>(C35-C37)/C33</f>
        <v>7.7999999999999986E-2</v>
      </c>
      <c r="D38" s="7">
        <f>(D35-D37)/D33</f>
        <v>8.3999999999999908E-2</v>
      </c>
      <c r="E38" s="7">
        <f>(E35-E37)/E33</f>
        <v>8.8999999999999926E-2</v>
      </c>
      <c r="F38" s="7">
        <f>(F35-F37)/F33</f>
        <v>9.1999999999999901E-2</v>
      </c>
      <c r="G38" s="7">
        <f>(G35-G37)/G33</f>
        <v>9.3999999999999945E-2</v>
      </c>
    </row>
    <row r="39" spans="2:7" ht="14" customHeight="1" x14ac:dyDescent="0.3">
      <c r="B39" s="4" t="s">
        <v>91</v>
      </c>
      <c r="C39" s="19">
        <f>C35-C37</f>
        <v>63689.454659999989</v>
      </c>
      <c r="D39" s="19">
        <f>D35-D37</f>
        <v>69960.416349599924</v>
      </c>
      <c r="E39" s="19">
        <f>E35-E37</f>
        <v>75977.845017764921</v>
      </c>
      <c r="F39" s="19">
        <f>F35-F37</f>
        <v>80502.368372755387</v>
      </c>
      <c r="G39" s="19">
        <f>G35-G37</f>
        <v>84308.730355597654</v>
      </c>
    </row>
    <row r="40" spans="2:7" ht="14" customHeight="1" x14ac:dyDescent="0.3">
      <c r="B40" s="4" t="s">
        <v>92</v>
      </c>
      <c r="C40" s="5">
        <f>MAX(0,C39*C6)</f>
        <v>15922.363664999997</v>
      </c>
      <c r="D40" s="5">
        <f>MAX(0,D39*C6)</f>
        <v>17490.104087399981</v>
      </c>
      <c r="E40" s="5">
        <f>MAX(0,E39*C6)</f>
        <v>18994.46125444123</v>
      </c>
      <c r="F40" s="5">
        <f>MAX(0,F39*C6)</f>
        <v>20125.592093188847</v>
      </c>
      <c r="G40" s="5">
        <f>MAX(0,G39*C6)</f>
        <v>21077.182588899414</v>
      </c>
    </row>
    <row r="41" spans="2:7" ht="14" customHeight="1" x14ac:dyDescent="0.3">
      <c r="B41" s="4" t="s">
        <v>93</v>
      </c>
      <c r="C41" s="19">
        <f>C39-C40</f>
        <v>47767.090994999991</v>
      </c>
      <c r="D41" s="19">
        <f>D39-D40</f>
        <v>52470.312262199943</v>
      </c>
      <c r="E41" s="19">
        <f>E39-E40</f>
        <v>56983.383763323691</v>
      </c>
      <c r="F41" s="19">
        <f>F39-F40</f>
        <v>60376.77627956654</v>
      </c>
      <c r="G41" s="19">
        <f>G39-G40</f>
        <v>63231.547766698241</v>
      </c>
    </row>
    <row r="42" spans="2:7" ht="14" customHeight="1" x14ac:dyDescent="0.3">
      <c r="B42" s="4" t="s">
        <v>94</v>
      </c>
      <c r="C42" s="5">
        <f>C33*C18</f>
        <v>85735.804349999991</v>
      </c>
      <c r="D42" s="5">
        <f>D33*C18</f>
        <v>87450.520436999985</v>
      </c>
      <c r="E42" s="5">
        <f>E33*C18</f>
        <v>89636.783447924972</v>
      </c>
      <c r="F42" s="5">
        <f>F33*C18</f>
        <v>91877.703034123086</v>
      </c>
      <c r="G42" s="5">
        <f>G33*C18</f>
        <v>94174.645609976156</v>
      </c>
    </row>
    <row r="43" spans="2:7" ht="14" customHeight="1" x14ac:dyDescent="0.3">
      <c r="B43" s="4" t="s">
        <v>95</v>
      </c>
      <c r="C43" s="5">
        <f>C33*C5</f>
        <v>89981.767994000009</v>
      </c>
      <c r="D43" s="5">
        <f>D33*C5</f>
        <v>91781.403353879999</v>
      </c>
      <c r="E43" s="5">
        <f>E33*C5</f>
        <v>94075.938437726989</v>
      </c>
      <c r="F43" s="5">
        <f>F33*C5</f>
        <v>96427.836898670139</v>
      </c>
      <c r="G43" s="5">
        <f>G33*C5</f>
        <v>98838.532821136891</v>
      </c>
    </row>
    <row r="44" spans="2:7" ht="14" customHeight="1" x14ac:dyDescent="0.3">
      <c r="B44" s="4" t="s">
        <v>96</v>
      </c>
      <c r="C44" s="5">
        <f>'NWC Schedule'!D19</f>
        <v>-18257.823462739761</v>
      </c>
      <c r="D44" s="5">
        <f>'NWC Schedule'!E19</f>
        <v>5582.3012848746148</v>
      </c>
      <c r="E44" s="5">
        <f>'NWC Schedule'!F19</f>
        <v>7805.6862772054155</v>
      </c>
      <c r="F44" s="5">
        <f>'NWC Schedule'!G19</f>
        <v>8572.6210664494429</v>
      </c>
      <c r="G44" s="5">
        <f>'NWC Schedule'!H19</f>
        <v>9076.174554521509</v>
      </c>
    </row>
    <row r="45" spans="2:7" ht="14" customHeight="1" x14ac:dyDescent="0.3">
      <c r="B45" s="4" t="s">
        <v>97</v>
      </c>
      <c r="C45" s="20">
        <f>C41+C42-C43-C44</f>
        <v>61778.950813739721</v>
      </c>
      <c r="D45" s="20">
        <f>D41+D42-D43-D44</f>
        <v>42557.12806044532</v>
      </c>
      <c r="E45" s="20">
        <f>E41+E42-E43-E44</f>
        <v>44738.542496316251</v>
      </c>
      <c r="F45" s="20">
        <f>F41+F42-F43-F44</f>
        <v>47254.021348570051</v>
      </c>
      <c r="G45" s="20">
        <f>G41+G42-G43-G44</f>
        <v>49491.486001016005</v>
      </c>
    </row>
    <row r="46" spans="2:7" ht="14" customHeight="1" x14ac:dyDescent="0.3">
      <c r="B46" s="4" t="s">
        <v>98</v>
      </c>
      <c r="C46" s="21">
        <f>1/(1+C26)^(C19+0)</f>
        <v>0.97058463123114735</v>
      </c>
      <c r="D46" s="21">
        <f>1/(1+C26)^(C19+1)</f>
        <v>0.91432423339558155</v>
      </c>
      <c r="E46" s="21">
        <f>1/(1+C26)^(C19+2)</f>
        <v>0.86132499616648539</v>
      </c>
      <c r="F46" s="21">
        <f>1/(1+C26)^(C19+3)</f>
        <v>0.81139788482476127</v>
      </c>
      <c r="G46" s="21">
        <f>1/(1+C26)^(C19+4)</f>
        <v>0.76436482213833368</v>
      </c>
    </row>
    <row r="47" spans="2:7" ht="14" customHeight="1" x14ac:dyDescent="0.3">
      <c r="B47" s="4" t="s">
        <v>99</v>
      </c>
      <c r="C47" s="19">
        <f>C45*C46</f>
        <v>59961.700193400757</v>
      </c>
      <c r="D47" s="19">
        <f>D45*D46</f>
        <v>38911.013489384262</v>
      </c>
      <c r="E47" s="19">
        <f>E45*E46</f>
        <v>38534.424944133738</v>
      </c>
      <c r="F47" s="19">
        <f>F45*F46</f>
        <v>38341.812971693857</v>
      </c>
      <c r="G47" s="19">
        <f>G45*G46</f>
        <v>37829.550894528431</v>
      </c>
    </row>
    <row r="49" spans="2:7" ht="14" customHeight="1" x14ac:dyDescent="0.3">
      <c r="B49" s="22" t="s">
        <v>100</v>
      </c>
      <c r="C49" s="23"/>
      <c r="D49" s="23"/>
      <c r="E49" s="23"/>
      <c r="F49" s="23"/>
      <c r="G49" s="23"/>
    </row>
    <row r="50" spans="2:7" ht="14" customHeight="1" x14ac:dyDescent="0.3">
      <c r="B50" s="4" t="s">
        <v>101</v>
      </c>
      <c r="C50" s="5">
        <f>SUM(C47:G47)</f>
        <v>213578.50249314102</v>
      </c>
    </row>
    <row r="51" spans="2:7" ht="14" customHeight="1" x14ac:dyDescent="0.3">
      <c r="B51" s="4" t="s">
        <v>102</v>
      </c>
      <c r="C51" s="5">
        <f>G45*(1+C13)/(C26-C13)</f>
        <v>970002.90363241779</v>
      </c>
    </row>
    <row r="52" spans="2:7" ht="14" customHeight="1" x14ac:dyDescent="0.3">
      <c r="B52" s="4" t="s">
        <v>103</v>
      </c>
      <c r="C52" s="5">
        <f>C51*G46</f>
        <v>741436.09690866026</v>
      </c>
    </row>
    <row r="53" spans="2:7" ht="14" customHeight="1" x14ac:dyDescent="0.3">
      <c r="B53" s="4" t="s">
        <v>104</v>
      </c>
      <c r="C53" s="5">
        <f>C50+C52</f>
        <v>955014.59940180124</v>
      </c>
    </row>
    <row r="54" spans="2:7" ht="14" customHeight="1" x14ac:dyDescent="0.3">
      <c r="B54" s="4" t="s">
        <v>105</v>
      </c>
      <c r="C54" s="5">
        <f>C53-C16</f>
        <v>777373.59940180124</v>
      </c>
    </row>
    <row r="55" spans="2:7" ht="14" customHeight="1" x14ac:dyDescent="0.3">
      <c r="B55" s="4" t="s">
        <v>106</v>
      </c>
      <c r="C55" s="24">
        <f>ROUND(C54*1000000/C15,0)</f>
        <v>2580</v>
      </c>
    </row>
    <row r="57" spans="2:7" ht="14" customHeight="1" x14ac:dyDescent="0.3">
      <c r="B57" s="22" t="s">
        <v>107</v>
      </c>
      <c r="C57" s="23"/>
      <c r="D57" s="23"/>
      <c r="E57" s="23"/>
      <c r="F57" s="23"/>
      <c r="G57" s="23"/>
    </row>
    <row r="58" spans="2:7" ht="14" customHeight="1" x14ac:dyDescent="0.3">
      <c r="B58" s="4" t="s">
        <v>101</v>
      </c>
      <c r="C58" s="5">
        <f>C50</f>
        <v>213578.50249314102</v>
      </c>
    </row>
    <row r="59" spans="2:7" ht="14" customHeight="1" x14ac:dyDescent="0.3">
      <c r="B59" s="4" t="s">
        <v>108</v>
      </c>
      <c r="C59" s="5">
        <f>G39+G42</f>
        <v>178483.37596557382</v>
      </c>
    </row>
    <row r="60" spans="2:7" ht="14" customHeight="1" x14ac:dyDescent="0.3">
      <c r="B60" s="4" t="s">
        <v>109</v>
      </c>
      <c r="C60" s="5">
        <f>C59*C14</f>
        <v>1552805.3709004922</v>
      </c>
    </row>
    <row r="61" spans="2:7" ht="14" customHeight="1" x14ac:dyDescent="0.3">
      <c r="B61" s="4" t="s">
        <v>103</v>
      </c>
      <c r="C61" s="5">
        <f>C60*G46</f>
        <v>1186909.8011438039</v>
      </c>
    </row>
    <row r="62" spans="2:7" ht="14" customHeight="1" x14ac:dyDescent="0.3">
      <c r="B62" s="4" t="s">
        <v>104</v>
      </c>
      <c r="C62" s="5">
        <f>C58+C61</f>
        <v>1400488.3036369449</v>
      </c>
    </row>
    <row r="63" spans="2:7" ht="14" customHeight="1" x14ac:dyDescent="0.3">
      <c r="B63" s="4" t="s">
        <v>105</v>
      </c>
      <c r="C63" s="5">
        <f>C62-C16</f>
        <v>1222847.3036369449</v>
      </c>
    </row>
    <row r="64" spans="2:7" ht="14" customHeight="1" x14ac:dyDescent="0.3">
      <c r="B64" s="4" t="s">
        <v>110</v>
      </c>
      <c r="C64" s="24">
        <f>ROUND(C63*1000000/C15,0)</f>
        <v>4059</v>
      </c>
    </row>
    <row r="66" spans="2:7" ht="14" customHeight="1" x14ac:dyDescent="0.3">
      <c r="B66" s="22" t="s">
        <v>111</v>
      </c>
      <c r="C66" s="23"/>
      <c r="D66" s="23"/>
      <c r="E66" s="23"/>
      <c r="F66" s="23"/>
      <c r="G66" s="23"/>
    </row>
    <row r="67" spans="2:7" ht="14" customHeight="1" x14ac:dyDescent="0.3">
      <c r="C67" s="25" t="s">
        <v>112</v>
      </c>
      <c r="D67" s="25" t="s">
        <v>113</v>
      </c>
      <c r="E67" s="25" t="s">
        <v>114</v>
      </c>
      <c r="F67" s="25" t="s">
        <v>115</v>
      </c>
      <c r="G67" s="25" t="s">
        <v>116</v>
      </c>
    </row>
    <row r="68" spans="2:7" ht="14" customHeight="1" x14ac:dyDescent="0.3">
      <c r="B68" s="3" t="s">
        <v>43</v>
      </c>
    </row>
    <row r="69" spans="2:7" ht="14" customHeight="1" x14ac:dyDescent="0.3">
      <c r="B69" s="4" t="s">
        <v>80</v>
      </c>
      <c r="C69" s="26">
        <v>0.01</v>
      </c>
      <c r="D69" s="26">
        <v>0.02</v>
      </c>
      <c r="E69" s="26">
        <v>2.5000000000000001E-2</v>
      </c>
      <c r="F69" s="26">
        <v>2.5000000000000001E-2</v>
      </c>
      <c r="G69" s="26">
        <v>2.5000000000000001E-2</v>
      </c>
    </row>
    <row r="70" spans="2:7" ht="14" customHeight="1" x14ac:dyDescent="0.3">
      <c r="B70" s="4" t="s">
        <v>117</v>
      </c>
      <c r="C70" s="26">
        <v>0.03</v>
      </c>
      <c r="D70" s="26">
        <v>3.5000000000000003E-2</v>
      </c>
      <c r="E70" s="26">
        <v>0.03</v>
      </c>
      <c r="F70" s="26">
        <v>0.03</v>
      </c>
      <c r="G70" s="26">
        <v>0.03</v>
      </c>
    </row>
    <row r="71" spans="2:7" ht="14" customHeight="1" x14ac:dyDescent="0.3">
      <c r="B71" s="4" t="s">
        <v>118</v>
      </c>
      <c r="C71" s="26">
        <v>0.01</v>
      </c>
      <c r="D71" s="26">
        <v>0.02</v>
      </c>
      <c r="E71" s="26">
        <v>2.5000000000000001E-2</v>
      </c>
      <c r="F71" s="26">
        <v>2.5000000000000001E-2</v>
      </c>
      <c r="G71" s="26">
        <v>2.5000000000000001E-2</v>
      </c>
    </row>
    <row r="72" spans="2:7" ht="14" customHeight="1" x14ac:dyDescent="0.3">
      <c r="B72" s="4" t="s">
        <v>119</v>
      </c>
      <c r="C72" s="26">
        <v>0</v>
      </c>
      <c r="D72" s="26">
        <v>0</v>
      </c>
      <c r="E72" s="26">
        <v>5.0000000000000001E-3</v>
      </c>
      <c r="F72" s="26">
        <v>5.0000000000000001E-3</v>
      </c>
      <c r="G72" s="26">
        <v>5.0000000000000001E-3</v>
      </c>
    </row>
    <row r="73" spans="2:7" ht="14" customHeight="1" x14ac:dyDescent="0.3">
      <c r="B73" s="4" t="s">
        <v>120</v>
      </c>
      <c r="C73" s="26">
        <v>-0.1</v>
      </c>
      <c r="D73" s="26">
        <v>-0.02</v>
      </c>
      <c r="E73" s="26">
        <v>5.0000000000000001E-3</v>
      </c>
      <c r="F73" s="26">
        <v>0.01</v>
      </c>
      <c r="G73" s="26">
        <v>1.4999999999999999E-2</v>
      </c>
    </row>
    <row r="75" spans="2:7" ht="14" customHeight="1" x14ac:dyDescent="0.3">
      <c r="B75" s="3" t="s">
        <v>87</v>
      </c>
    </row>
    <row r="76" spans="2:7" ht="14" customHeight="1" x14ac:dyDescent="0.3">
      <c r="B76" s="4" t="s">
        <v>80</v>
      </c>
      <c r="C76" s="26">
        <v>0.69</v>
      </c>
      <c r="D76" s="26">
        <v>0.68400000000000005</v>
      </c>
      <c r="E76" s="26">
        <v>0.67900000000000005</v>
      </c>
      <c r="F76" s="26">
        <v>0.67600000000000005</v>
      </c>
      <c r="G76" s="26">
        <v>0.67400000000000004</v>
      </c>
    </row>
    <row r="77" spans="2:7" ht="14" customHeight="1" x14ac:dyDescent="0.3">
      <c r="B77" s="4" t="s">
        <v>117</v>
      </c>
      <c r="C77" s="26">
        <v>0.68400000000000005</v>
      </c>
      <c r="D77" s="26">
        <v>0.67400000000000004</v>
      </c>
      <c r="E77" s="26">
        <v>0.66600000000000004</v>
      </c>
      <c r="F77" s="26">
        <v>0.66</v>
      </c>
      <c r="G77" s="26">
        <v>0.65680000000000005</v>
      </c>
    </row>
    <row r="78" spans="2:7" ht="14" customHeight="1" x14ac:dyDescent="0.3">
      <c r="B78" s="4" t="s">
        <v>118</v>
      </c>
      <c r="C78" s="26">
        <v>0.69</v>
      </c>
      <c r="D78" s="26">
        <v>0.68400000000000005</v>
      </c>
      <c r="E78" s="26">
        <v>0.67900000000000005</v>
      </c>
      <c r="F78" s="26">
        <v>0.67600000000000005</v>
      </c>
      <c r="G78" s="26">
        <v>0.67400000000000004</v>
      </c>
    </row>
    <row r="79" spans="2:7" ht="14" customHeight="1" x14ac:dyDescent="0.3">
      <c r="B79" s="4" t="s">
        <v>119</v>
      </c>
      <c r="C79" s="26">
        <v>0.69399999999999995</v>
      </c>
      <c r="D79" s="26">
        <v>0.69799999999999995</v>
      </c>
      <c r="E79" s="26">
        <v>0.70199999999999996</v>
      </c>
      <c r="F79" s="26">
        <v>0.70399999999999996</v>
      </c>
      <c r="G79" s="26">
        <v>0.70399999999999996</v>
      </c>
    </row>
    <row r="80" spans="2:7" ht="14" customHeight="1" x14ac:dyDescent="0.3">
      <c r="B80" s="4" t="s">
        <v>120</v>
      </c>
      <c r="C80" s="26">
        <v>0.71</v>
      </c>
      <c r="D80" s="26">
        <v>0.71499999999999997</v>
      </c>
      <c r="E80" s="26">
        <v>0.71399999999999997</v>
      </c>
      <c r="F80" s="26">
        <v>0.71199999999999997</v>
      </c>
      <c r="G80" s="26">
        <v>0.71</v>
      </c>
    </row>
    <row r="82" spans="2:7" ht="14" customHeight="1" x14ac:dyDescent="0.3">
      <c r="B82" s="3" t="s">
        <v>88</v>
      </c>
    </row>
    <row r="83" spans="2:7" ht="14" customHeight="1" x14ac:dyDescent="0.3">
      <c r="B83" s="4" t="s">
        <v>80</v>
      </c>
      <c r="C83" s="26">
        <v>0.23200000000000001</v>
      </c>
      <c r="D83" s="26">
        <v>0.23200000000000001</v>
      </c>
      <c r="E83" s="26">
        <v>0.23200000000000001</v>
      </c>
      <c r="F83" s="26">
        <v>0.23200000000000001</v>
      </c>
      <c r="G83" s="26">
        <v>0.23200000000000001</v>
      </c>
    </row>
    <row r="84" spans="2:7" ht="14" customHeight="1" x14ac:dyDescent="0.3">
      <c r="B84" s="4" t="s">
        <v>117</v>
      </c>
      <c r="C84" s="26">
        <v>0.22800000000000001</v>
      </c>
      <c r="D84" s="26">
        <v>0.22800000000000001</v>
      </c>
      <c r="E84" s="26">
        <v>0.22800000000000001</v>
      </c>
      <c r="F84" s="26">
        <v>0.22800000000000001</v>
      </c>
      <c r="G84" s="26">
        <v>0.22800000000000001</v>
      </c>
    </row>
    <row r="85" spans="2:7" ht="14" customHeight="1" x14ac:dyDescent="0.3">
      <c r="B85" s="4" t="s">
        <v>118</v>
      </c>
      <c r="C85" s="26">
        <v>0.23200000000000001</v>
      </c>
      <c r="D85" s="26">
        <v>0.23200000000000001</v>
      </c>
      <c r="E85" s="26">
        <v>0.23200000000000001</v>
      </c>
      <c r="F85" s="26">
        <v>0.23200000000000001</v>
      </c>
      <c r="G85" s="26">
        <v>0.23200000000000001</v>
      </c>
    </row>
    <row r="86" spans="2:7" ht="14" customHeight="1" x14ac:dyDescent="0.3">
      <c r="B86" s="4" t="s">
        <v>119</v>
      </c>
      <c r="C86" s="26">
        <v>0.23799999999999999</v>
      </c>
      <c r="D86" s="26">
        <v>0.23799999999999999</v>
      </c>
      <c r="E86" s="26">
        <v>0.23799999999999999</v>
      </c>
      <c r="F86" s="26">
        <v>0.23799999999999999</v>
      </c>
      <c r="G86" s="26">
        <v>0.23799999999999999</v>
      </c>
    </row>
    <row r="87" spans="2:7" ht="14" customHeight="1" x14ac:dyDescent="0.3">
      <c r="B87" s="4" t="s">
        <v>120</v>
      </c>
      <c r="C87" s="26">
        <v>0.25</v>
      </c>
      <c r="D87" s="26">
        <v>0.25</v>
      </c>
      <c r="E87" s="26">
        <v>0.25</v>
      </c>
      <c r="F87" s="26">
        <v>0.25</v>
      </c>
      <c r="G87" s="26">
        <v>0.25</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121</v>
      </c>
    </row>
    <row r="3" spans="2:9" ht="14" customHeight="1" x14ac:dyDescent="0.3">
      <c r="B3" s="1" t="s">
        <v>122</v>
      </c>
    </row>
    <row r="5" spans="2:9" ht="14" customHeight="1" x14ac:dyDescent="0.3">
      <c r="B5" s="8" t="s">
        <v>123</v>
      </c>
      <c r="C5" s="9"/>
      <c r="D5" s="9"/>
      <c r="E5" s="9"/>
      <c r="F5" s="9"/>
      <c r="G5" s="9"/>
      <c r="H5" s="9"/>
      <c r="I5" s="9"/>
    </row>
    <row r="6" spans="2:9" ht="14" customHeight="1" x14ac:dyDescent="0.3">
      <c r="B6" s="4" t="s">
        <v>124</v>
      </c>
      <c r="C6" s="15">
        <f>'Executive Summary'!C9</f>
        <v>1838.5</v>
      </c>
    </row>
    <row r="7" spans="2:9" ht="14" customHeight="1" x14ac:dyDescent="0.3">
      <c r="B7" s="4" t="s">
        <v>68</v>
      </c>
      <c r="C7" s="15">
        <f>'DCF Model'!C15</f>
        <v>301296860</v>
      </c>
    </row>
    <row r="8" spans="2:9" ht="14" customHeight="1" x14ac:dyDescent="0.3">
      <c r="B8" s="4" t="s">
        <v>125</v>
      </c>
      <c r="C8" s="5">
        <f>C6*C7/1000000</f>
        <v>553934.27711000002</v>
      </c>
    </row>
    <row r="9" spans="2:9" ht="14" customHeight="1" x14ac:dyDescent="0.3">
      <c r="B9" s="4" t="s">
        <v>69</v>
      </c>
      <c r="C9" s="5">
        <f>'DCF Model'!C16</f>
        <v>177641</v>
      </c>
    </row>
    <row r="10" spans="2:9" ht="14" customHeight="1" x14ac:dyDescent="0.3">
      <c r="B10" s="4" t="s">
        <v>126</v>
      </c>
      <c r="C10" s="5">
        <f>C8+C9</f>
        <v>731575.27711000002</v>
      </c>
    </row>
    <row r="11" spans="2:9" ht="14" customHeight="1" x14ac:dyDescent="0.3">
      <c r="B11" s="4" t="s">
        <v>127</v>
      </c>
      <c r="C11" s="16">
        <f>'DCF Model'!C26</f>
        <v>6.1532217763307327E-2</v>
      </c>
    </row>
    <row r="12" spans="2:9" ht="14" customHeight="1" x14ac:dyDescent="0.3">
      <c r="B12" s="4" t="s">
        <v>128</v>
      </c>
      <c r="C12" s="16">
        <f>'DCF Model'!C13</f>
        <v>0.01</v>
      </c>
    </row>
    <row r="13" spans="2:9" ht="14" customHeight="1" x14ac:dyDescent="0.3">
      <c r="B13" s="4" t="s">
        <v>129</v>
      </c>
      <c r="C13" s="16">
        <f>'DCF Model'!C6</f>
        <v>0.25</v>
      </c>
    </row>
    <row r="14" spans="2:9" ht="14" customHeight="1" x14ac:dyDescent="0.3">
      <c r="B14" s="4" t="s">
        <v>130</v>
      </c>
      <c r="C14" s="27">
        <v>58882</v>
      </c>
    </row>
    <row r="15" spans="2:9" ht="14" customHeight="1" x14ac:dyDescent="0.3">
      <c r="B15" s="4" t="s">
        <v>131</v>
      </c>
      <c r="C15" s="27">
        <v>87139</v>
      </c>
    </row>
    <row r="16" spans="2:9" ht="14" customHeight="1" x14ac:dyDescent="0.3">
      <c r="B16" s="4" t="s">
        <v>132</v>
      </c>
      <c r="C16" s="5">
        <f>'DCF Model'!G33</f>
        <v>896901.38676167768</v>
      </c>
    </row>
    <row r="17" spans="2:9" ht="14" customHeight="1" x14ac:dyDescent="0.3">
      <c r="B17" s="4" t="s">
        <v>133</v>
      </c>
      <c r="C17" s="5">
        <f>'DCF Model'!C53</f>
        <v>955014.59940180124</v>
      </c>
    </row>
    <row r="18" spans="2:9" ht="14" customHeight="1" x14ac:dyDescent="0.3">
      <c r="B18" s="4" t="s">
        <v>134</v>
      </c>
      <c r="C18" s="26">
        <v>0.1152059293261552</v>
      </c>
    </row>
    <row r="19" spans="2:9" ht="14" customHeight="1" x14ac:dyDescent="0.3">
      <c r="B19" s="4" t="s">
        <v>135</v>
      </c>
      <c r="C19" s="5">
        <f>C10-C17</f>
        <v>-223439.32229180122</v>
      </c>
    </row>
    <row r="20" spans="2:9" ht="14" customHeight="1" x14ac:dyDescent="0.3">
      <c r="B20" s="4" t="s">
        <v>136</v>
      </c>
      <c r="C20" s="15">
        <f>IFERROR(ROUND(C19*1000000/C7,0),"N/A")</f>
        <v>-742</v>
      </c>
    </row>
    <row r="22" spans="2:9" ht="14" customHeight="1" x14ac:dyDescent="0.3">
      <c r="B22" s="8" t="s">
        <v>137</v>
      </c>
      <c r="C22" s="9"/>
      <c r="D22" s="9"/>
      <c r="E22" s="9"/>
      <c r="F22" s="9"/>
      <c r="G22" s="9"/>
      <c r="H22" s="9"/>
      <c r="I22" s="9"/>
    </row>
    <row r="23" spans="2:9" ht="14" customHeight="1" x14ac:dyDescent="0.3">
      <c r="B23" s="1" t="s">
        <v>138</v>
      </c>
    </row>
    <row r="24" spans="2:9" ht="14" customHeight="1" x14ac:dyDescent="0.3">
      <c r="B24" s="4" t="s">
        <v>139</v>
      </c>
      <c r="C24" s="5">
        <f>C10*(C11-C12)</f>
        <v>37699.696490284419</v>
      </c>
    </row>
    <row r="25" spans="2:9" ht="14" customHeight="1" x14ac:dyDescent="0.3">
      <c r="B25" s="4" t="s">
        <v>140</v>
      </c>
      <c r="C25" s="5">
        <f>IFERROR(C24/(1-C13),"N/A")</f>
        <v>50266.261987045895</v>
      </c>
    </row>
    <row r="26" spans="2:9" ht="13.5" customHeight="1" x14ac:dyDescent="0.25">
      <c r="B26" s="6" t="s">
        <v>141</v>
      </c>
      <c r="C26" s="14">
        <f>IFERROR(C25/C15,"N/A")</f>
        <v>0.57685148999926439</v>
      </c>
    </row>
    <row r="27" spans="2:9" ht="13.5" customHeight="1" x14ac:dyDescent="0.25">
      <c r="B27" s="6" t="s">
        <v>142</v>
      </c>
      <c r="C27" s="14">
        <f>IFERROR(C25/C14,"N/A")</f>
        <v>0.85367789794921867</v>
      </c>
    </row>
    <row r="28" spans="2:9" ht="13.5" customHeight="1" x14ac:dyDescent="0.25">
      <c r="B28" s="6" t="s">
        <v>143</v>
      </c>
      <c r="C28" s="7">
        <f>IFERROR(C25/C16,"N/A")</f>
        <v>5.6044357528017195E-2</v>
      </c>
    </row>
    <row r="29" spans="2:9" ht="13.5" customHeight="1" x14ac:dyDescent="0.25">
      <c r="B29" s="6" t="s">
        <v>144</v>
      </c>
      <c r="C29" s="5">
        <f>IFERROR(C25/C18,"N/A")</f>
        <v>436316.62259968376</v>
      </c>
    </row>
    <row r="32" spans="2:9" ht="14" customHeight="1" x14ac:dyDescent="0.3">
      <c r="B32" s="8" t="s">
        <v>145</v>
      </c>
      <c r="C32" s="9"/>
      <c r="D32" s="9"/>
      <c r="E32" s="9"/>
      <c r="F32" s="9"/>
      <c r="G32" s="9"/>
      <c r="H32" s="9"/>
      <c r="I32" s="9"/>
    </row>
    <row r="33" spans="2:9" ht="14" customHeight="1" x14ac:dyDescent="0.3">
      <c r="B33" s="1" t="s">
        <v>146</v>
      </c>
    </row>
    <row r="34" spans="2:9" ht="14" customHeight="1" x14ac:dyDescent="0.3">
      <c r="B34" s="1" t="s">
        <v>147</v>
      </c>
    </row>
    <row r="36" spans="2:9" ht="14" customHeight="1" x14ac:dyDescent="0.3">
      <c r="B36" s="28" t="s">
        <v>148</v>
      </c>
      <c r="C36" s="28" t="s">
        <v>149</v>
      </c>
      <c r="D36" s="29">
        <f>'DCF Model'!C26-0.02</f>
        <v>4.153221776330733E-2</v>
      </c>
      <c r="E36" s="29">
        <f>'DCF Model'!C26-0.01</f>
        <v>5.1532217763307325E-2</v>
      </c>
      <c r="F36" s="29">
        <f>'DCF Model'!C26</f>
        <v>6.1532217763307327E-2</v>
      </c>
      <c r="G36" s="29">
        <f>'DCF Model'!C26+0.01</f>
        <v>7.1532217763307329E-2</v>
      </c>
      <c r="H36" s="29">
        <f>'DCF Model'!C26+0.02</f>
        <v>8.1532217763307324E-2</v>
      </c>
    </row>
    <row r="37" spans="2:9" ht="14" customHeight="1" x14ac:dyDescent="0.3">
      <c r="B37" s="3" t="s">
        <v>150</v>
      </c>
    </row>
    <row r="38" spans="2:9" ht="14" customHeight="1" x14ac:dyDescent="0.3">
      <c r="B38" s="4" t="s">
        <v>151</v>
      </c>
      <c r="C38" s="30">
        <v>3</v>
      </c>
      <c r="D38" s="13">
        <f t="shared" ref="D38:H41" si="0">IFERROR((1-(1+D$36)^(-$C38))/D$36-(1+D$36)/(D$36^2*$C38)*(1-($C38+1)/(1+D$36)^$C38+$C38/(1+D$36)^($C38+1)),"N/A")</f>
        <v>0.94736193261537482</v>
      </c>
      <c r="E38" s="13">
        <f t="shared" si="0"/>
        <v>0.93545816949165062</v>
      </c>
      <c r="F38" s="13">
        <f t="shared" si="0"/>
        <v>0.92383270055334354</v>
      </c>
      <c r="G38" s="13">
        <f t="shared" si="0"/>
        <v>0.91247623604372352</v>
      </c>
      <c r="H38" s="13">
        <f t="shared" si="0"/>
        <v>0.90137988468413721</v>
      </c>
    </row>
    <row r="39" spans="2:9" ht="14" customHeight="1" x14ac:dyDescent="0.3">
      <c r="B39" s="4" t="s">
        <v>152</v>
      </c>
      <c r="C39" s="30">
        <v>5</v>
      </c>
      <c r="D39" s="13">
        <f t="shared" si="0"/>
        <v>1.8451904179821486</v>
      </c>
      <c r="E39" s="13">
        <f t="shared" si="0"/>
        <v>1.8110377553639312</v>
      </c>
      <c r="F39" s="13">
        <f t="shared" si="0"/>
        <v>1.777986635317895</v>
      </c>
      <c r="G39" s="13">
        <f t="shared" si="0"/>
        <v>1.745988657739264</v>
      </c>
      <c r="H39" s="13">
        <f t="shared" si="0"/>
        <v>1.7149980604183597</v>
      </c>
    </row>
    <row r="40" spans="2:9" ht="14" customHeight="1" x14ac:dyDescent="0.3">
      <c r="B40" s="4" t="s">
        <v>153</v>
      </c>
      <c r="C40" s="30">
        <v>7</v>
      </c>
      <c r="D40" s="13">
        <f t="shared" si="0"/>
        <v>2.6963951501185903</v>
      </c>
      <c r="E40" s="13">
        <f t="shared" si="0"/>
        <v>2.6310435077103786</v>
      </c>
      <c r="F40" s="13">
        <f t="shared" si="0"/>
        <v>2.568362478060231</v>
      </c>
      <c r="G40" s="13">
        <f t="shared" si="0"/>
        <v>2.5082072598271639</v>
      </c>
      <c r="H40" s="13">
        <f t="shared" si="0"/>
        <v>2.4504425840517228</v>
      </c>
    </row>
    <row r="41" spans="2:9" ht="14" customHeight="1" x14ac:dyDescent="0.3">
      <c r="B41" s="4" t="s">
        <v>154</v>
      </c>
      <c r="C41" s="30">
        <v>10</v>
      </c>
      <c r="D41" s="13">
        <f t="shared" si="0"/>
        <v>3.8917022426370824</v>
      </c>
      <c r="E41" s="13">
        <f t="shared" si="0"/>
        <v>3.7654626703635672</v>
      </c>
      <c r="F41" s="13">
        <f t="shared" si="0"/>
        <v>3.6459520684876083</v>
      </c>
      <c r="G41" s="13">
        <f t="shared" si="0"/>
        <v>3.5327052093081677</v>
      </c>
      <c r="H41" s="13">
        <f t="shared" si="0"/>
        <v>3.4252951593188521</v>
      </c>
    </row>
    <row r="42" spans="2:9" ht="14" customHeight="1" x14ac:dyDescent="0.3">
      <c r="B42" s="3" t="s">
        <v>155</v>
      </c>
    </row>
    <row r="43" spans="2:9" ht="14" customHeight="1" x14ac:dyDescent="0.3">
      <c r="B43" s="4" t="s">
        <v>151</v>
      </c>
      <c r="C43" s="30">
        <v>3</v>
      </c>
      <c r="D43" s="13">
        <f t="shared" ref="D43:H46" si="1">IFERROR((1+D$36)/(D$36^2*$C43)*(1-($C43+1)/(1+D$36)^$C43+$C43/(1+D$36)^($C43+1))+(1+$C$12)/((D$36-$C$12)*(1+D$36)^$C43),"N/A")</f>
        <v>30.169395811089494</v>
      </c>
      <c r="E43" s="13">
        <f t="shared" si="1"/>
        <v>22.695502079639198</v>
      </c>
      <c r="F43" s="13">
        <f t="shared" si="1"/>
        <v>18.126489735719268</v>
      </c>
      <c r="G43" s="13">
        <f t="shared" si="1"/>
        <v>15.045962759960961</v>
      </c>
      <c r="H43" s="13">
        <f t="shared" si="1"/>
        <v>12.829562280164986</v>
      </c>
    </row>
    <row r="44" spans="2:9" ht="14" customHeight="1" x14ac:dyDescent="0.3">
      <c r="B44" s="4" t="s">
        <v>152</v>
      </c>
      <c r="C44" s="30">
        <v>5</v>
      </c>
      <c r="D44" s="13">
        <f t="shared" si="1"/>
        <v>28.721379613583764</v>
      </c>
      <c r="E44" s="13">
        <f t="shared" si="1"/>
        <v>21.415902474435395</v>
      </c>
      <c r="F44" s="13">
        <f t="shared" si="1"/>
        <v>16.957286460742775</v>
      </c>
      <c r="G44" s="13">
        <f t="shared" si="1"/>
        <v>13.957081330095159</v>
      </c>
      <c r="H44" s="13">
        <f t="shared" si="1"/>
        <v>11.803265597587576</v>
      </c>
    </row>
    <row r="45" spans="2:9" ht="14" customHeight="1" x14ac:dyDescent="0.3">
      <c r="B45" s="4" t="s">
        <v>153</v>
      </c>
      <c r="C45" s="30">
        <v>7</v>
      </c>
      <c r="D45" s="13">
        <f t="shared" si="1"/>
        <v>27.362990968973385</v>
      </c>
      <c r="E45" s="13">
        <f t="shared" si="1"/>
        <v>20.230505829723185</v>
      </c>
      <c r="F45" s="13">
        <f t="shared" si="1"/>
        <v>15.887326681660863</v>
      </c>
      <c r="G45" s="13">
        <f t="shared" si="1"/>
        <v>12.972450980341279</v>
      </c>
      <c r="H45" s="13">
        <f t="shared" si="1"/>
        <v>10.885999806748956</v>
      </c>
    </row>
    <row r="46" spans="2:9" ht="14" customHeight="1" x14ac:dyDescent="0.3">
      <c r="B46" s="4" t="s">
        <v>154</v>
      </c>
      <c r="C46" s="30">
        <v>10</v>
      </c>
      <c r="D46" s="13">
        <f t="shared" si="1"/>
        <v>25.480259775805251</v>
      </c>
      <c r="E46" s="13">
        <f t="shared" si="1"/>
        <v>18.612448124758568</v>
      </c>
      <c r="F46" s="13">
        <f t="shared" si="1"/>
        <v>14.448249814032589</v>
      </c>
      <c r="G46" s="13">
        <f t="shared" si="1"/>
        <v>11.666978108303327</v>
      </c>
      <c r="H46" s="13">
        <f t="shared" si="1"/>
        <v>9.6866594313639407</v>
      </c>
    </row>
    <row r="47" spans="2:9" ht="14" customHeight="1" x14ac:dyDescent="0.3">
      <c r="B47" s="22" t="s">
        <v>156</v>
      </c>
      <c r="C47" s="23"/>
      <c r="D47" s="23"/>
      <c r="E47" s="23"/>
      <c r="F47" s="23"/>
      <c r="G47" s="23"/>
      <c r="H47" s="23"/>
      <c r="I47" s="23"/>
    </row>
    <row r="48" spans="2:9" ht="14" customHeight="1" x14ac:dyDescent="0.3">
      <c r="B48" s="4" t="s">
        <v>151</v>
      </c>
      <c r="C48" s="30">
        <v>3</v>
      </c>
      <c r="D48" s="5">
        <f t="shared" ref="D48:H51" si="2">IFERROR(($C$10/(1-$C$13)-$C$14*D38)/D43,"N/A")</f>
        <v>30482.915311119184</v>
      </c>
      <c r="E48" s="5">
        <f t="shared" si="2"/>
        <v>40552.178649662965</v>
      </c>
      <c r="F48" s="5">
        <f t="shared" si="2"/>
        <v>50811.635301036629</v>
      </c>
      <c r="G48" s="5">
        <f t="shared" si="2"/>
        <v>61259.308678828493</v>
      </c>
      <c r="H48" s="5">
        <f t="shared" si="2"/>
        <v>71893.228490683992</v>
      </c>
    </row>
    <row r="49" spans="2:9" ht="14" customHeight="1" x14ac:dyDescent="0.3">
      <c r="B49" s="4" t="s">
        <v>152</v>
      </c>
      <c r="C49" s="30">
        <v>5</v>
      </c>
      <c r="D49" s="5">
        <f t="shared" si="2"/>
        <v>30179.093493536879</v>
      </c>
      <c r="E49" s="5">
        <f t="shared" si="2"/>
        <v>40567.806037550567</v>
      </c>
      <c r="F49" s="5">
        <f t="shared" si="2"/>
        <v>51349.152812177243</v>
      </c>
      <c r="G49" s="5">
        <f t="shared" si="2"/>
        <v>62522.126082816234</v>
      </c>
      <c r="H49" s="5">
        <f t="shared" si="2"/>
        <v>74085.529956938801</v>
      </c>
    </row>
    <row r="50" spans="2:9" ht="14" customHeight="1" x14ac:dyDescent="0.3">
      <c r="B50" s="4" t="s">
        <v>153</v>
      </c>
      <c r="C50" s="30">
        <v>7</v>
      </c>
      <c r="D50" s="5">
        <f t="shared" si="2"/>
        <v>29845.588317083395</v>
      </c>
      <c r="E50" s="5">
        <f t="shared" si="2"/>
        <v>40558.185044825346</v>
      </c>
      <c r="F50" s="5">
        <f t="shared" si="2"/>
        <v>51878.040899831773</v>
      </c>
      <c r="G50" s="5">
        <f t="shared" si="2"/>
        <v>63807.945329265298</v>
      </c>
      <c r="H50" s="5">
        <f t="shared" si="2"/>
        <v>76350.060383421718</v>
      </c>
    </row>
    <row r="51" spans="2:9" ht="14" customHeight="1" x14ac:dyDescent="0.3">
      <c r="B51" s="4" t="s">
        <v>154</v>
      </c>
      <c r="C51" s="30">
        <v>10</v>
      </c>
      <c r="D51" s="5">
        <f t="shared" si="2"/>
        <v>29288.653174211682</v>
      </c>
      <c r="E51" s="5">
        <f t="shared" si="2"/>
        <v>40495.249459117709</v>
      </c>
      <c r="F51" s="5">
        <f t="shared" si="2"/>
        <v>52653.626765075678</v>
      </c>
      <c r="G51" s="5">
        <f t="shared" si="2"/>
        <v>65777.183050740467</v>
      </c>
      <c r="H51" s="5">
        <f t="shared" si="2"/>
        <v>79877.431298663156</v>
      </c>
    </row>
    <row r="52" spans="2:9" ht="14" customHeight="1" x14ac:dyDescent="0.3">
      <c r="B52" s="22" t="s">
        <v>157</v>
      </c>
      <c r="C52" s="23"/>
      <c r="D52" s="23"/>
      <c r="E52" s="23"/>
      <c r="F52" s="23"/>
      <c r="G52" s="23"/>
      <c r="H52" s="23"/>
      <c r="I52" s="23"/>
    </row>
    <row r="53" spans="2:9" ht="14" customHeight="1" x14ac:dyDescent="0.3">
      <c r="B53" s="4" t="s">
        <v>151</v>
      </c>
      <c r="C53" s="30">
        <v>3</v>
      </c>
      <c r="D53" s="14">
        <f t="shared" ref="D53:H56" si="3">IFERROR(D48/$C$15,"N/A")</f>
        <v>0.34981943000400723</v>
      </c>
      <c r="E53" s="14">
        <f t="shared" si="3"/>
        <v>0.46537346824800563</v>
      </c>
      <c r="F53" s="14">
        <f t="shared" si="3"/>
        <v>0.58311014931358662</v>
      </c>
      <c r="G53" s="14">
        <f t="shared" si="3"/>
        <v>0.70300679005759181</v>
      </c>
      <c r="H53" s="14">
        <f t="shared" si="3"/>
        <v>0.82504077956694466</v>
      </c>
    </row>
    <row r="54" spans="2:9" ht="14" customHeight="1" x14ac:dyDescent="0.3">
      <c r="B54" s="4" t="s">
        <v>152</v>
      </c>
      <c r="C54" s="30">
        <v>5</v>
      </c>
      <c r="D54" s="14">
        <f t="shared" si="3"/>
        <v>0.34633279580368009</v>
      </c>
      <c r="E54" s="14">
        <f t="shared" si="3"/>
        <v>0.46555280686662193</v>
      </c>
      <c r="F54" s="14">
        <f t="shared" si="3"/>
        <v>0.58927865608025387</v>
      </c>
      <c r="G54" s="14">
        <f t="shared" si="3"/>
        <v>0.717498778765148</v>
      </c>
      <c r="H54" s="14">
        <f t="shared" si="3"/>
        <v>0.85019945095696303</v>
      </c>
    </row>
    <row r="55" spans="2:9" ht="14" customHeight="1" x14ac:dyDescent="0.3">
      <c r="B55" s="4" t="s">
        <v>153</v>
      </c>
      <c r="C55" s="30">
        <v>7</v>
      </c>
      <c r="D55" s="14">
        <f t="shared" si="3"/>
        <v>0.34250551781731942</v>
      </c>
      <c r="E55" s="14">
        <f t="shared" si="3"/>
        <v>0.46544239714508251</v>
      </c>
      <c r="F55" s="14">
        <f t="shared" si="3"/>
        <v>0.59534813229244965</v>
      </c>
      <c r="G55" s="14">
        <f t="shared" si="3"/>
        <v>0.732254734725729</v>
      </c>
      <c r="H55" s="14">
        <f t="shared" si="3"/>
        <v>0.87618701595636528</v>
      </c>
    </row>
    <row r="56" spans="2:9" ht="14" customHeight="1" x14ac:dyDescent="0.3">
      <c r="B56" s="4" t="s">
        <v>154</v>
      </c>
      <c r="C56" s="30">
        <v>10</v>
      </c>
      <c r="D56" s="14">
        <f t="shared" si="3"/>
        <v>0.33611417590529707</v>
      </c>
      <c r="E56" s="14">
        <f t="shared" si="3"/>
        <v>0.46472015353765489</v>
      </c>
      <c r="F56" s="14">
        <f t="shared" si="3"/>
        <v>0.6042486919183796</v>
      </c>
      <c r="G56" s="14">
        <f t="shared" si="3"/>
        <v>0.75485354491950174</v>
      </c>
      <c r="H56" s="14">
        <f t="shared" si="3"/>
        <v>0.9166668345822554</v>
      </c>
    </row>
    <row r="58" spans="2:9" ht="14" customHeight="1" x14ac:dyDescent="0.3">
      <c r="B58" s="8" t="s">
        <v>158</v>
      </c>
      <c r="C58" s="9"/>
      <c r="D58" s="9"/>
      <c r="E58" s="9"/>
      <c r="F58" s="9"/>
      <c r="G58" s="9"/>
      <c r="H58" s="9"/>
      <c r="I58" s="9"/>
    </row>
    <row r="59" spans="2:9" ht="14" customHeight="1" x14ac:dyDescent="0.3">
      <c r="B59" s="1" t="s">
        <v>159</v>
      </c>
    </row>
    <row r="60" spans="2:9" ht="14" customHeight="1" x14ac:dyDescent="0.3">
      <c r="B60" s="4" t="s">
        <v>160</v>
      </c>
      <c r="C60" s="5">
        <f>F49</f>
        <v>51349.152812177243</v>
      </c>
    </row>
    <row r="62" spans="2:9" ht="14" customHeight="1" x14ac:dyDescent="0.3">
      <c r="B62" s="28" t="s">
        <v>161</v>
      </c>
      <c r="C62" s="28" t="s">
        <v>162</v>
      </c>
      <c r="D62" s="28" t="s">
        <v>163</v>
      </c>
    </row>
    <row r="63" spans="2:9" ht="14" customHeight="1" x14ac:dyDescent="0.3">
      <c r="B63" s="31">
        <v>5.7599999999999998E-2</v>
      </c>
      <c r="C63" s="5">
        <f>IFERROR($C$60/B63,"N/A")</f>
        <v>891478.34743363271</v>
      </c>
      <c r="D63" s="14">
        <f>IFERROR(C63/'DCF Model'!C17,"N/A")</f>
        <v>1.1027047505076186</v>
      </c>
    </row>
    <row r="64" spans="2:9" ht="14" customHeight="1" x14ac:dyDescent="0.3">
      <c r="B64" s="31">
        <v>8.6400000000000005E-2</v>
      </c>
      <c r="C64" s="5">
        <f>IFERROR($C$60/B64,"N/A")</f>
        <v>594318.89828908839</v>
      </c>
      <c r="D64" s="14">
        <f>IFERROR(C64/'DCF Model'!C17,"N/A")</f>
        <v>0.73513650033841227</v>
      </c>
    </row>
    <row r="65" spans="2:9" ht="14" customHeight="1" x14ac:dyDescent="0.3">
      <c r="B65" s="4" t="s">
        <v>164</v>
      </c>
      <c r="C65" s="5">
        <f>IFERROR($C$60/$C$18,"N/A")</f>
        <v>445716.23277135828</v>
      </c>
      <c r="D65" s="14">
        <f>IFERROR(C65/'DCF Model'!C17,"N/A")</f>
        <v>0.5513239986929982</v>
      </c>
    </row>
    <row r="66" spans="2:9" ht="14" customHeight="1" x14ac:dyDescent="0.3">
      <c r="B66" s="31">
        <v>0.14399999999999999</v>
      </c>
      <c r="C66" s="5">
        <f>IFERROR($C$60/B66,"N/A")</f>
        <v>356591.33897345309</v>
      </c>
      <c r="D66" s="14">
        <f>IFERROR(C66/'DCF Model'!C17,"N/A")</f>
        <v>0.44108190020304744</v>
      </c>
    </row>
    <row r="67" spans="2:9" ht="14" customHeight="1" x14ac:dyDescent="0.3">
      <c r="B67" s="31">
        <v>0.17280000000000001</v>
      </c>
      <c r="C67" s="5">
        <f>IFERROR($C$60/B67,"N/A")</f>
        <v>297159.4491445442</v>
      </c>
      <c r="D67" s="14">
        <f>IFERROR(C67/'DCF Model'!C17,"N/A")</f>
        <v>0.36756825016920613</v>
      </c>
    </row>
    <row r="69" spans="2:9" ht="14" customHeight="1" x14ac:dyDescent="0.3">
      <c r="B69" s="8" t="s">
        <v>165</v>
      </c>
      <c r="C69" s="9"/>
      <c r="D69" s="9"/>
      <c r="E69" s="9"/>
      <c r="F69" s="9"/>
      <c r="G69" s="9"/>
      <c r="H69" s="9"/>
      <c r="I69" s="9"/>
    </row>
    <row r="70" spans="2:9" ht="13.5" customHeight="1" x14ac:dyDescent="0.25">
      <c r="B70" s="6" t="s">
        <v>166</v>
      </c>
      <c r="C70" s="14">
        <f>IFERROR(C10/'Comps Analysis'!G5,"N/A")</f>
        <v>5.095067570498311</v>
      </c>
    </row>
    <row r="71" spans="2:9" ht="13.5" customHeight="1" x14ac:dyDescent="0.25">
      <c r="B71" s="6" t="s">
        <v>167</v>
      </c>
      <c r="C71" s="14">
        <f>IFERROR(C10/'Comps Analysis'!F5,"N/A")</f>
        <v>0.90491433218256734</v>
      </c>
    </row>
    <row r="72" spans="2:9" ht="14" customHeight="1" x14ac:dyDescent="0.3">
      <c r="B72" s="4" t="s">
        <v>168</v>
      </c>
      <c r="C72" s="14">
        <f>IFERROR(C10/(C25+'DCF Model'!G42),"N/A")</f>
        <v>5.0648759363312319</v>
      </c>
    </row>
    <row r="73" spans="2:9" ht="14" customHeight="1" x14ac:dyDescent="0.3">
      <c r="B73" s="4" t="s">
        <v>169</v>
      </c>
      <c r="C73" s="14">
        <f>IFERROR(C10/(C60+'DCF Model'!G42),"N/A")</f>
        <v>5.0271865154849529</v>
      </c>
    </row>
    <row r="74" spans="2:9" ht="14" customHeight="1" x14ac:dyDescent="0.3">
      <c r="B74" s="4" t="s">
        <v>170</v>
      </c>
      <c r="C74" s="14">
        <f>IFERROR('Comps Analysis'!D16,"N/A")</f>
        <v>8.7045916735946793</v>
      </c>
    </row>
    <row r="75" spans="2:9" ht="14" customHeight="1" x14ac:dyDescent="0.3">
      <c r="B75" s="1" t="s">
        <v>171</v>
      </c>
    </row>
    <row r="77" spans="2:9" ht="14" customHeight="1" x14ac:dyDescent="0.3">
      <c r="B77" s="22" t="s">
        <v>172</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FY2022 cycle peak of "&amp;TEXT(C15,"#,##0")&amp;" mn - reached in 5 years and sustained for ever, against "&amp;TEXT(C14,"#,##0")&amp;" mn actually earned in FY2025."</f>
        <v>At 1,839 yen the market is paying for a steady-state operating profit of 51,349 mn JPY - 0.59x the FY2022 cycle peak of 87,139 mn - reached in 5 years and sustained for ever, against 58,882 mn actually earned in FY2025.</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50,266 mn, or 0.58x the peak. The base case supports an EV of only 955,015 mn, leaving -742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173</v>
      </c>
    </row>
    <row r="4" spans="2:8" ht="14" customHeight="1" x14ac:dyDescent="0.3">
      <c r="B4" s="8" t="s">
        <v>174</v>
      </c>
      <c r="C4" s="32" t="s">
        <v>175</v>
      </c>
      <c r="D4" s="32" t="s">
        <v>82</v>
      </c>
      <c r="E4" s="32" t="s">
        <v>83</v>
      </c>
      <c r="F4" s="32" t="s">
        <v>84</v>
      </c>
      <c r="G4" s="32" t="s">
        <v>85</v>
      </c>
      <c r="H4" s="32" t="s">
        <v>86</v>
      </c>
    </row>
    <row r="5" spans="2:8" ht="14" customHeight="1" x14ac:dyDescent="0.3">
      <c r="B5" s="33" t="s">
        <v>176</v>
      </c>
      <c r="C5" s="34">
        <f>C12/C9*365</f>
        <v>78.723268191977951</v>
      </c>
      <c r="D5" s="34">
        <f>CHOOSE('DCF Model'!$D$27,D25,D26,D27,D28,D29)</f>
        <v>76</v>
      </c>
      <c r="E5" s="34">
        <f>CHOOSE('DCF Model'!$D$27,E25,E26,E27,E28,E29)</f>
        <v>76</v>
      </c>
      <c r="F5" s="34">
        <f>CHOOSE('DCF Model'!$D$27,F25,F26,F27,F28,F29)</f>
        <v>76</v>
      </c>
      <c r="G5" s="34">
        <f>CHOOSE('DCF Model'!$D$27,G25,G26,G27,G28,G29)</f>
        <v>76</v>
      </c>
      <c r="H5" s="34">
        <f>CHOOSE('DCF Model'!$D$27,H25,H26,H27,H28,H29)</f>
        <v>76</v>
      </c>
    </row>
    <row r="6" spans="2:8" ht="14" customHeight="1" x14ac:dyDescent="0.3">
      <c r="B6" s="33" t="s">
        <v>177</v>
      </c>
      <c r="C6" s="34">
        <f>C13/C10*365</f>
        <v>174.35773277882475</v>
      </c>
      <c r="D6" s="34">
        <f>CHOOSE('DCF Model'!$D$27,D32,D33,D34,D35,D36)</f>
        <v>164</v>
      </c>
      <c r="E6" s="34">
        <f>CHOOSE('DCF Model'!$D$27,E32,E33,E34,E35,E36)</f>
        <v>164</v>
      </c>
      <c r="F6" s="34">
        <f>CHOOSE('DCF Model'!$D$27,F32,F33,F34,F35,F36)</f>
        <v>164</v>
      </c>
      <c r="G6" s="34">
        <f>CHOOSE('DCF Model'!$D$27,G32,G33,G34,G35,G36)</f>
        <v>164</v>
      </c>
      <c r="H6" s="34">
        <f>CHOOSE('DCF Model'!$D$27,H32,H33,H34,H35,H36)</f>
        <v>164</v>
      </c>
    </row>
    <row r="7" spans="2:8" ht="14" customHeight="1" x14ac:dyDescent="0.3">
      <c r="B7" s="33" t="s">
        <v>178</v>
      </c>
      <c r="C7" s="34">
        <f>C15/C10*365</f>
        <v>37.991401201909817</v>
      </c>
      <c r="D7" s="34">
        <f>CHOOSE('DCF Model'!$D$27,D39,D40,D41,D42,D43)</f>
        <v>37</v>
      </c>
      <c r="E7" s="34">
        <f>CHOOSE('DCF Model'!$D$27,E39,E40,E41,E42,E43)</f>
        <v>37</v>
      </c>
      <c r="F7" s="34">
        <f>CHOOSE('DCF Model'!$D$27,F39,F40,F41,F42,F43)</f>
        <v>37</v>
      </c>
      <c r="G7" s="34">
        <f>CHOOSE('DCF Model'!$D$27,G39,G40,G41,G42,G43)</f>
        <v>37</v>
      </c>
      <c r="H7" s="34">
        <f>CHOOSE('DCF Model'!$D$27,H39,H40,H41,H42,H43)</f>
        <v>37</v>
      </c>
    </row>
    <row r="8" spans="2:8" ht="14" customHeight="1" x14ac:dyDescent="0.3">
      <c r="B8" s="8" t="s">
        <v>179</v>
      </c>
      <c r="C8" s="9"/>
      <c r="D8" s="9"/>
      <c r="E8" s="9"/>
      <c r="F8" s="9"/>
      <c r="G8" s="9"/>
      <c r="H8" s="9"/>
    </row>
    <row r="9" spans="2:8" ht="14" customHeight="1" x14ac:dyDescent="0.3">
      <c r="B9" s="33" t="s">
        <v>34</v>
      </c>
      <c r="C9" s="35">
        <v>808447</v>
      </c>
      <c r="D9" s="35">
        <f>'DCF Model'!C33</f>
        <v>816531.47</v>
      </c>
      <c r="E9" s="35">
        <f>'DCF Model'!D33</f>
        <v>832862.09939999995</v>
      </c>
      <c r="F9" s="35">
        <f>'DCF Model'!E33</f>
        <v>853683.65188499982</v>
      </c>
      <c r="G9" s="35">
        <f>'DCF Model'!F33</f>
        <v>875025.74318212469</v>
      </c>
      <c r="H9" s="35">
        <f>'DCF Model'!G33</f>
        <v>896901.38676167768</v>
      </c>
    </row>
    <row r="10" spans="2:8" ht="14" customHeight="1" x14ac:dyDescent="0.3">
      <c r="B10" s="33" t="s">
        <v>35</v>
      </c>
      <c r="C10" s="35">
        <v>561939</v>
      </c>
      <c r="D10" s="35">
        <f>'DCF Model'!C34</f>
        <v>563406.71429999999</v>
      </c>
      <c r="E10" s="35">
        <f>'DCF Model'!D34</f>
        <v>569677.67598960001</v>
      </c>
      <c r="F10" s="35">
        <f>'DCF Model'!E34</f>
        <v>579651.19962991495</v>
      </c>
      <c r="G10" s="35">
        <f>'DCF Model'!F34</f>
        <v>591517.40239111637</v>
      </c>
      <c r="H10" s="35">
        <f>'DCF Model'!G34</f>
        <v>604511.5346773708</v>
      </c>
    </row>
    <row r="11" spans="2:8" ht="14" customHeight="1" x14ac:dyDescent="0.3">
      <c r="B11" s="8" t="s">
        <v>180</v>
      </c>
      <c r="C11" s="9"/>
      <c r="D11" s="9"/>
      <c r="E11" s="9"/>
      <c r="F11" s="9"/>
      <c r="G11" s="9"/>
      <c r="H11" s="9"/>
    </row>
    <row r="12" spans="2:8" ht="14" customHeight="1" x14ac:dyDescent="0.3">
      <c r="B12" s="33" t="s">
        <v>181</v>
      </c>
      <c r="C12" s="35">
        <v>174366</v>
      </c>
      <c r="D12" s="35">
        <f t="shared" ref="D12:H13" si="0">D9*D5/365</f>
        <v>170017.51156164383</v>
      </c>
      <c r="E12" s="35">
        <f t="shared" si="0"/>
        <v>173417.86179287671</v>
      </c>
      <c r="F12" s="35">
        <f t="shared" si="0"/>
        <v>177753.3083376986</v>
      </c>
      <c r="G12" s="35">
        <f t="shared" si="0"/>
        <v>182197.14104614101</v>
      </c>
      <c r="H12" s="35">
        <f t="shared" si="0"/>
        <v>186752.06957229454</v>
      </c>
    </row>
    <row r="13" spans="2:8" ht="14" customHeight="1" x14ac:dyDescent="0.3">
      <c r="B13" s="33" t="s">
        <v>182</v>
      </c>
      <c r="C13" s="35">
        <v>268434</v>
      </c>
      <c r="D13" s="35">
        <f t="shared" si="0"/>
        <v>253147.12642520547</v>
      </c>
      <c r="E13" s="35">
        <f t="shared" si="0"/>
        <v>255964.76400628604</v>
      </c>
      <c r="F13" s="35">
        <f t="shared" si="0"/>
        <v>260446.01846385218</v>
      </c>
      <c r="G13" s="35">
        <f t="shared" si="0"/>
        <v>265777.68217025499</v>
      </c>
      <c r="H13" s="35">
        <f t="shared" si="0"/>
        <v>271616.14160846249</v>
      </c>
    </row>
    <row r="14" spans="2:8" ht="14" customHeight="1" x14ac:dyDescent="0.3">
      <c r="B14" s="33" t="s">
        <v>183</v>
      </c>
      <c r="C14" s="35">
        <f t="shared" ref="C14:H14" si="1">C12+C13</f>
        <v>442800</v>
      </c>
      <c r="D14" s="35">
        <f t="shared" si="1"/>
        <v>423164.63798684929</v>
      </c>
      <c r="E14" s="35">
        <f t="shared" si="1"/>
        <v>429382.62579916278</v>
      </c>
      <c r="F14" s="35">
        <f t="shared" si="1"/>
        <v>438199.32680155081</v>
      </c>
      <c r="G14" s="35">
        <f t="shared" si="1"/>
        <v>447974.82321639603</v>
      </c>
      <c r="H14" s="35">
        <f t="shared" si="1"/>
        <v>458368.21118075703</v>
      </c>
    </row>
    <row r="15" spans="2:8" ht="14" customHeight="1" x14ac:dyDescent="0.3">
      <c r="B15" s="33" t="s">
        <v>184</v>
      </c>
      <c r="C15" s="35">
        <v>58490</v>
      </c>
      <c r="D15" s="35">
        <f>D10*D7/365</f>
        <v>57112.461449589042</v>
      </c>
      <c r="E15" s="35">
        <f>E10*E7/365</f>
        <v>57748.147977027947</v>
      </c>
      <c r="F15" s="35">
        <f>F10*F7/365</f>
        <v>58759.162702210553</v>
      </c>
      <c r="G15" s="35">
        <f>G10*G7/365</f>
        <v>59962.038050606316</v>
      </c>
      <c r="H15" s="35">
        <f>H10*H7/365</f>
        <v>61279.251460445805</v>
      </c>
    </row>
    <row r="16" spans="2:8" ht="14" customHeight="1" x14ac:dyDescent="0.3">
      <c r="B16" s="33" t="s">
        <v>185</v>
      </c>
      <c r="C16" s="35">
        <f t="shared" ref="C16:H16" si="2">C15</f>
        <v>58490</v>
      </c>
      <c r="D16" s="35">
        <f t="shared" si="2"/>
        <v>57112.461449589042</v>
      </c>
      <c r="E16" s="35">
        <f t="shared" si="2"/>
        <v>57748.147977027947</v>
      </c>
      <c r="F16" s="35">
        <f t="shared" si="2"/>
        <v>58759.162702210553</v>
      </c>
      <c r="G16" s="35">
        <f t="shared" si="2"/>
        <v>59962.038050606316</v>
      </c>
      <c r="H16" s="35">
        <f t="shared" si="2"/>
        <v>61279.251460445805</v>
      </c>
    </row>
    <row r="17" spans="2:8" ht="14" customHeight="1" x14ac:dyDescent="0.3">
      <c r="B17" s="22" t="s">
        <v>186</v>
      </c>
      <c r="C17" s="23"/>
      <c r="D17" s="23"/>
      <c r="E17" s="23"/>
      <c r="F17" s="23"/>
      <c r="G17" s="23"/>
      <c r="H17" s="23"/>
    </row>
    <row r="18" spans="2:8" ht="14" customHeight="1" x14ac:dyDescent="0.3">
      <c r="B18" s="33" t="s">
        <v>187</v>
      </c>
      <c r="C18" s="20">
        <f t="shared" ref="C18:H18" si="3">C14-C16</f>
        <v>384310</v>
      </c>
      <c r="D18" s="20">
        <f t="shared" si="3"/>
        <v>366052.17653726024</v>
      </c>
      <c r="E18" s="20">
        <f t="shared" si="3"/>
        <v>371634.47782213485</v>
      </c>
      <c r="F18" s="20">
        <f t="shared" si="3"/>
        <v>379440.16409934027</v>
      </c>
      <c r="G18" s="20">
        <f t="shared" si="3"/>
        <v>388012.78516578971</v>
      </c>
      <c r="H18" s="20">
        <f t="shared" si="3"/>
        <v>397088.95972031122</v>
      </c>
    </row>
    <row r="19" spans="2:8" ht="14" customHeight="1" x14ac:dyDescent="0.3">
      <c r="B19" s="33" t="s">
        <v>96</v>
      </c>
      <c r="C19" s="36" t="s">
        <v>44</v>
      </c>
      <c r="D19" s="24">
        <f>D18-C18</f>
        <v>-18257.823462739761</v>
      </c>
      <c r="E19" s="24">
        <f>E18-D18</f>
        <v>5582.3012848746148</v>
      </c>
      <c r="F19" s="24">
        <f>F18-E18</f>
        <v>7805.6862772054155</v>
      </c>
      <c r="G19" s="24">
        <f>G18-F18</f>
        <v>8572.6210664494429</v>
      </c>
      <c r="H19" s="24">
        <f>H18-G18</f>
        <v>9076.174554521509</v>
      </c>
    </row>
    <row r="22" spans="2:8" ht="14" customHeight="1" x14ac:dyDescent="0.3">
      <c r="B22" s="22" t="s">
        <v>188</v>
      </c>
      <c r="C22" s="23"/>
      <c r="D22" s="23"/>
      <c r="E22" s="23"/>
      <c r="F22" s="23"/>
      <c r="G22" s="23"/>
      <c r="H22" s="23"/>
    </row>
    <row r="23" spans="2:8" ht="14" customHeight="1" x14ac:dyDescent="0.3">
      <c r="D23" s="25" t="s">
        <v>82</v>
      </c>
      <c r="E23" s="25" t="s">
        <v>83</v>
      </c>
      <c r="F23" s="25" t="s">
        <v>84</v>
      </c>
      <c r="G23" s="25" t="s">
        <v>85</v>
      </c>
      <c r="H23" s="25" t="s">
        <v>86</v>
      </c>
    </row>
    <row r="24" spans="2:8" ht="14" customHeight="1" x14ac:dyDescent="0.3">
      <c r="B24" s="3" t="s">
        <v>189</v>
      </c>
    </row>
    <row r="25" spans="2:8" ht="14" customHeight="1" x14ac:dyDescent="0.3">
      <c r="B25" s="4" t="s">
        <v>80</v>
      </c>
      <c r="D25" s="30">
        <v>76</v>
      </c>
      <c r="E25" s="30">
        <v>76</v>
      </c>
      <c r="F25" s="30">
        <v>76</v>
      </c>
      <c r="G25" s="30">
        <v>76</v>
      </c>
      <c r="H25" s="30">
        <v>76</v>
      </c>
    </row>
    <row r="26" spans="2:8" ht="14" customHeight="1" x14ac:dyDescent="0.3">
      <c r="B26" s="4" t="s">
        <v>117</v>
      </c>
      <c r="D26" s="30">
        <v>73</v>
      </c>
      <c r="E26" s="30">
        <v>73</v>
      </c>
      <c r="F26" s="30">
        <v>73</v>
      </c>
      <c r="G26" s="30">
        <v>73</v>
      </c>
      <c r="H26" s="30">
        <v>73</v>
      </c>
    </row>
    <row r="27" spans="2:8" ht="14" customHeight="1" x14ac:dyDescent="0.3">
      <c r="B27" s="4" t="s">
        <v>118</v>
      </c>
      <c r="D27" s="30">
        <v>76</v>
      </c>
      <c r="E27" s="30">
        <v>76</v>
      </c>
      <c r="F27" s="30">
        <v>76</v>
      </c>
      <c r="G27" s="30">
        <v>76</v>
      </c>
      <c r="H27" s="30">
        <v>76</v>
      </c>
    </row>
    <row r="28" spans="2:8" ht="14" customHeight="1" x14ac:dyDescent="0.3">
      <c r="B28" s="4" t="s">
        <v>119</v>
      </c>
      <c r="D28" s="30">
        <v>80</v>
      </c>
      <c r="E28" s="30">
        <v>80</v>
      </c>
      <c r="F28" s="30">
        <v>80</v>
      </c>
      <c r="G28" s="30">
        <v>80</v>
      </c>
      <c r="H28" s="30">
        <v>80</v>
      </c>
    </row>
    <row r="29" spans="2:8" ht="14" customHeight="1" x14ac:dyDescent="0.3">
      <c r="B29" s="4" t="s">
        <v>120</v>
      </c>
      <c r="D29" s="30">
        <v>84</v>
      </c>
      <c r="E29" s="30">
        <v>84</v>
      </c>
      <c r="F29" s="30">
        <v>84</v>
      </c>
      <c r="G29" s="30">
        <v>84</v>
      </c>
      <c r="H29" s="30">
        <v>84</v>
      </c>
    </row>
    <row r="31" spans="2:8" ht="14" customHeight="1" x14ac:dyDescent="0.3">
      <c r="B31" s="3" t="s">
        <v>190</v>
      </c>
    </row>
    <row r="32" spans="2:8" ht="14" customHeight="1" x14ac:dyDescent="0.3">
      <c r="B32" s="4" t="s">
        <v>80</v>
      </c>
      <c r="D32" s="30">
        <v>164</v>
      </c>
      <c r="E32" s="30">
        <v>164</v>
      </c>
      <c r="F32" s="30">
        <v>164</v>
      </c>
      <c r="G32" s="30">
        <v>164</v>
      </c>
      <c r="H32" s="30">
        <v>164</v>
      </c>
    </row>
    <row r="33" spans="2:8" ht="14" customHeight="1" x14ac:dyDescent="0.3">
      <c r="B33" s="4" t="s">
        <v>117</v>
      </c>
      <c r="D33" s="30">
        <v>156</v>
      </c>
      <c r="E33" s="30">
        <v>156</v>
      </c>
      <c r="F33" s="30">
        <v>156</v>
      </c>
      <c r="G33" s="30">
        <v>156</v>
      </c>
      <c r="H33" s="30">
        <v>156</v>
      </c>
    </row>
    <row r="34" spans="2:8" ht="14" customHeight="1" x14ac:dyDescent="0.3">
      <c r="B34" s="4" t="s">
        <v>118</v>
      </c>
      <c r="D34" s="30">
        <v>164</v>
      </c>
      <c r="E34" s="30">
        <v>164</v>
      </c>
      <c r="F34" s="30">
        <v>164</v>
      </c>
      <c r="G34" s="30">
        <v>164</v>
      </c>
      <c r="H34" s="30">
        <v>164</v>
      </c>
    </row>
    <row r="35" spans="2:8" ht="14" customHeight="1" x14ac:dyDescent="0.3">
      <c r="B35" s="4" t="s">
        <v>119</v>
      </c>
      <c r="D35" s="30">
        <v>174</v>
      </c>
      <c r="E35" s="30">
        <v>174</v>
      </c>
      <c r="F35" s="30">
        <v>174</v>
      </c>
      <c r="G35" s="30">
        <v>174</v>
      </c>
      <c r="H35" s="30">
        <v>174</v>
      </c>
    </row>
    <row r="36" spans="2:8" ht="14" customHeight="1" x14ac:dyDescent="0.3">
      <c r="B36" s="4" t="s">
        <v>120</v>
      </c>
      <c r="D36" s="30">
        <v>185</v>
      </c>
      <c r="E36" s="30">
        <v>185</v>
      </c>
      <c r="F36" s="30">
        <v>185</v>
      </c>
      <c r="G36" s="30">
        <v>185</v>
      </c>
      <c r="H36" s="30">
        <v>185</v>
      </c>
    </row>
    <row r="38" spans="2:8" ht="14" customHeight="1" x14ac:dyDescent="0.3">
      <c r="B38" s="3" t="s">
        <v>191</v>
      </c>
    </row>
    <row r="39" spans="2:8" ht="14" customHeight="1" x14ac:dyDescent="0.3">
      <c r="B39" s="4" t="s">
        <v>80</v>
      </c>
      <c r="D39" s="30">
        <v>37</v>
      </c>
      <c r="E39" s="30">
        <v>37</v>
      </c>
      <c r="F39" s="30">
        <v>37</v>
      </c>
      <c r="G39" s="30">
        <v>37</v>
      </c>
      <c r="H39" s="30">
        <v>37</v>
      </c>
    </row>
    <row r="40" spans="2:8" ht="14" customHeight="1" x14ac:dyDescent="0.3">
      <c r="B40" s="4" t="s">
        <v>117</v>
      </c>
      <c r="D40" s="30">
        <v>38</v>
      </c>
      <c r="E40" s="30">
        <v>38</v>
      </c>
      <c r="F40" s="30">
        <v>38</v>
      </c>
      <c r="G40" s="30">
        <v>38</v>
      </c>
      <c r="H40" s="30">
        <v>38</v>
      </c>
    </row>
    <row r="41" spans="2:8" ht="14" customHeight="1" x14ac:dyDescent="0.3">
      <c r="B41" s="4" t="s">
        <v>118</v>
      </c>
      <c r="D41" s="30">
        <v>37</v>
      </c>
      <c r="E41" s="30">
        <v>37</v>
      </c>
      <c r="F41" s="30">
        <v>37</v>
      </c>
      <c r="G41" s="30">
        <v>37</v>
      </c>
      <c r="H41" s="30">
        <v>37</v>
      </c>
    </row>
    <row r="42" spans="2:8" ht="14" customHeight="1" x14ac:dyDescent="0.3">
      <c r="B42" s="4" t="s">
        <v>119</v>
      </c>
      <c r="D42" s="30">
        <v>35</v>
      </c>
      <c r="E42" s="30">
        <v>35</v>
      </c>
      <c r="F42" s="30">
        <v>35</v>
      </c>
      <c r="G42" s="30">
        <v>35</v>
      </c>
      <c r="H42" s="30">
        <v>35</v>
      </c>
    </row>
    <row r="43" spans="2:8" ht="14" customHeight="1" x14ac:dyDescent="0.3">
      <c r="B43" s="4" t="s">
        <v>120</v>
      </c>
      <c r="D43" s="30">
        <v>33</v>
      </c>
      <c r="E43" s="30">
        <v>33</v>
      </c>
      <c r="F43" s="30">
        <v>33</v>
      </c>
      <c r="G43" s="30">
        <v>33</v>
      </c>
      <c r="H43" s="30">
        <v>33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192</v>
      </c>
    </row>
    <row r="3" spans="2:17" ht="14" customHeight="1" x14ac:dyDescent="0.3">
      <c r="B3" s="1" t="s">
        <v>193</v>
      </c>
    </row>
    <row r="4" spans="2:17" ht="28" customHeight="1" x14ac:dyDescent="0.3">
      <c r="B4" s="10" t="s">
        <v>3</v>
      </c>
      <c r="C4" s="10" t="s">
        <v>5</v>
      </c>
      <c r="D4" s="10" t="s">
        <v>194</v>
      </c>
      <c r="E4" s="10" t="s">
        <v>195</v>
      </c>
      <c r="F4" s="10" t="s">
        <v>196</v>
      </c>
      <c r="G4" s="10" t="s">
        <v>197</v>
      </c>
      <c r="H4" s="10" t="s">
        <v>198</v>
      </c>
      <c r="I4" s="10" t="s">
        <v>199</v>
      </c>
      <c r="J4" s="10" t="s">
        <v>200</v>
      </c>
      <c r="K4" s="10" t="s">
        <v>201</v>
      </c>
      <c r="L4" s="10" t="s">
        <v>202</v>
      </c>
      <c r="M4" s="10" t="s">
        <v>203</v>
      </c>
      <c r="N4" s="10" t="s">
        <v>204</v>
      </c>
      <c r="O4" s="10" t="s">
        <v>205</v>
      </c>
      <c r="P4" s="10" t="s">
        <v>206</v>
      </c>
      <c r="Q4" s="10" t="s">
        <v>207</v>
      </c>
    </row>
    <row r="5" spans="2:17" ht="14" customHeight="1" x14ac:dyDescent="0.3">
      <c r="B5" s="4" t="s">
        <v>208</v>
      </c>
      <c r="C5" t="s">
        <v>209</v>
      </c>
      <c r="D5" s="37">
        <f>'Executive Summary'!C9*C23/1000000</f>
        <v>553934.27711000002</v>
      </c>
      <c r="E5" s="37">
        <f>D5+C24</f>
        <v>731575.27711000002</v>
      </c>
      <c r="F5" s="37">
        <v>808447</v>
      </c>
      <c r="G5" s="37">
        <v>143585</v>
      </c>
      <c r="H5" s="37">
        <v>58883</v>
      </c>
      <c r="I5" s="37">
        <v>7468</v>
      </c>
      <c r="J5" s="38">
        <f t="shared" ref="J5:J10" si="0">IFERROR(E5/G5,"")</f>
        <v>5.095067570498311</v>
      </c>
      <c r="K5" s="38">
        <f t="shared" ref="K5:K10" si="1">IFERROR(E5/F5,"")</f>
        <v>0.90491433218256734</v>
      </c>
      <c r="L5" s="38">
        <f t="shared" ref="L5:L10" si="2">IFERROR(D5/I5,"")</f>
        <v>74.174380973486876</v>
      </c>
      <c r="M5" s="38">
        <f t="shared" ref="M5:M10" si="3">IFERROR(D5/P5,"")</f>
        <v>0.74568993537035844</v>
      </c>
      <c r="N5" s="39">
        <f t="shared" ref="N5:N10" si="4">IFERROR(H5/F5,"")</f>
        <v>7.2834706542296526E-2</v>
      </c>
      <c r="O5" s="39">
        <f t="shared" ref="O5:O10" si="5">IFERROR(I5/P5,"")</f>
        <v>1.005320065477729E-2</v>
      </c>
      <c r="P5" s="37">
        <v>742848</v>
      </c>
    </row>
    <row r="6" spans="2:17" ht="14" customHeight="1" x14ac:dyDescent="0.3">
      <c r="B6" s="4" t="s">
        <v>210</v>
      </c>
      <c r="C6" t="s">
        <v>211</v>
      </c>
      <c r="D6" s="37">
        <v>804059</v>
      </c>
      <c r="E6" s="37">
        <v>1361137</v>
      </c>
      <c r="F6" s="37">
        <v>1668754</v>
      </c>
      <c r="G6" s="37">
        <v>156370</v>
      </c>
      <c r="H6" s="37">
        <v>56602</v>
      </c>
      <c r="I6" s="37">
        <v>34378</v>
      </c>
      <c r="J6" s="38">
        <f t="shared" si="0"/>
        <v>8.7045916735946793</v>
      </c>
      <c r="K6" s="38">
        <f t="shared" si="1"/>
        <v>0.81566066658117375</v>
      </c>
      <c r="L6" s="38">
        <f t="shared" si="2"/>
        <v>23.388766071324685</v>
      </c>
      <c r="M6" s="38">
        <f t="shared" si="3"/>
        <v>0.92984144128725021</v>
      </c>
      <c r="N6" s="39">
        <f t="shared" si="4"/>
        <v>3.3918720194828E-2</v>
      </c>
      <c r="O6" s="39">
        <f t="shared" si="5"/>
        <v>3.9755899838908697E-2</v>
      </c>
      <c r="P6" s="37">
        <v>864727</v>
      </c>
    </row>
    <row r="7" spans="2:17" ht="14" customHeight="1" x14ac:dyDescent="0.3">
      <c r="B7" s="4" t="s">
        <v>212</v>
      </c>
      <c r="C7" t="s">
        <v>213</v>
      </c>
      <c r="D7" s="37">
        <v>982369</v>
      </c>
      <c r="E7" s="37">
        <v>1925235</v>
      </c>
      <c r="F7" s="37">
        <v>2328515</v>
      </c>
      <c r="G7" s="37">
        <v>316084</v>
      </c>
      <c r="H7" s="37">
        <v>195015</v>
      </c>
      <c r="I7" s="37">
        <v>60947</v>
      </c>
      <c r="J7" s="38">
        <f t="shared" si="0"/>
        <v>6.090896723655737</v>
      </c>
      <c r="K7" s="38">
        <f t="shared" si="1"/>
        <v>0.82680807295636916</v>
      </c>
      <c r="L7" s="38">
        <f t="shared" si="2"/>
        <v>16.11841436001772</v>
      </c>
      <c r="M7" s="38">
        <f t="shared" si="3"/>
        <v>0.9739501746899798</v>
      </c>
      <c r="N7" s="39">
        <f t="shared" si="4"/>
        <v>8.3750802550123141E-2</v>
      </c>
      <c r="O7" s="39">
        <f t="shared" si="5"/>
        <v>6.0424688988384406E-2</v>
      </c>
      <c r="P7" s="37">
        <v>1008644</v>
      </c>
    </row>
    <row r="8" spans="2:17" ht="14" customHeight="1" x14ac:dyDescent="0.3">
      <c r="B8" s="4" t="s">
        <v>214</v>
      </c>
      <c r="C8" t="s">
        <v>215</v>
      </c>
      <c r="D8" s="37">
        <v>1681376</v>
      </c>
      <c r="E8" s="37">
        <v>3044793</v>
      </c>
      <c r="F8" s="37">
        <v>3703988</v>
      </c>
      <c r="G8" s="37">
        <v>303490</v>
      </c>
      <c r="H8" s="37">
        <v>32333</v>
      </c>
      <c r="I8" s="37">
        <v>11829</v>
      </c>
      <c r="J8" s="38">
        <f t="shared" si="0"/>
        <v>10.032597449668852</v>
      </c>
      <c r="K8" s="38">
        <f t="shared" si="1"/>
        <v>0.8220310108996034</v>
      </c>
      <c r="L8" s="38">
        <f t="shared" si="2"/>
        <v>142.14016400371966</v>
      </c>
      <c r="M8" s="38">
        <f t="shared" si="3"/>
        <v>0.95441894787631087</v>
      </c>
      <c r="N8" s="39">
        <f t="shared" si="4"/>
        <v>8.7292399435419336E-3</v>
      </c>
      <c r="O8" s="39">
        <f t="shared" si="5"/>
        <v>6.7146323811145643E-3</v>
      </c>
      <c r="P8" s="37">
        <v>1761675</v>
      </c>
    </row>
    <row r="9" spans="2:17" ht="14" customHeight="1" x14ac:dyDescent="0.3">
      <c r="B9" s="4" t="s">
        <v>216</v>
      </c>
      <c r="C9" t="s">
        <v>217</v>
      </c>
      <c r="D9" s="37">
        <v>2160016</v>
      </c>
      <c r="E9" s="37">
        <v>2794214</v>
      </c>
      <c r="F9" s="37">
        <v>3074505</v>
      </c>
      <c r="G9" s="37">
        <v>427544</v>
      </c>
      <c r="H9" s="37">
        <v>231200</v>
      </c>
      <c r="I9" s="37">
        <v>158794</v>
      </c>
      <c r="J9" s="38">
        <f t="shared" si="0"/>
        <v>6.5355004397208241</v>
      </c>
      <c r="K9" s="38">
        <f t="shared" si="1"/>
        <v>0.90883377974665835</v>
      </c>
      <c r="L9" s="38">
        <f t="shared" si="2"/>
        <v>13.602629822285477</v>
      </c>
      <c r="M9" s="38">
        <f t="shared" si="3"/>
        <v>1.0342630619035376</v>
      </c>
      <c r="N9" s="39">
        <f t="shared" si="4"/>
        <v>7.5199097090425937E-2</v>
      </c>
      <c r="O9" s="39">
        <f t="shared" si="5"/>
        <v>7.6034051901425884E-2</v>
      </c>
      <c r="P9" s="37">
        <v>2088459</v>
      </c>
    </row>
    <row r="10" spans="2:17" ht="14" customHeight="1" x14ac:dyDescent="0.3">
      <c r="B10" s="4" t="s">
        <v>218</v>
      </c>
      <c r="C10" t="s">
        <v>219</v>
      </c>
      <c r="D10" s="37">
        <v>2368140</v>
      </c>
      <c r="E10" s="37">
        <v>3084852</v>
      </c>
      <c r="F10" s="37">
        <v>1359611</v>
      </c>
      <c r="G10" s="37">
        <v>320233</v>
      </c>
      <c r="H10" s="37">
        <v>193329</v>
      </c>
      <c r="I10" s="37">
        <v>123891</v>
      </c>
      <c r="J10" s="38">
        <f t="shared" si="0"/>
        <v>9.6331483638475728</v>
      </c>
      <c r="K10" s="38">
        <f t="shared" si="1"/>
        <v>2.2689225079820625</v>
      </c>
      <c r="L10" s="38">
        <f t="shared" si="2"/>
        <v>19.11470566869264</v>
      </c>
      <c r="M10" s="38">
        <f t="shared" si="3"/>
        <v>1.9453126732749719</v>
      </c>
      <c r="N10" s="39">
        <f t="shared" si="4"/>
        <v>0.14219434823637056</v>
      </c>
      <c r="O10" s="39">
        <f t="shared" si="5"/>
        <v>0.10177047488945314</v>
      </c>
      <c r="P10" s="37">
        <v>1217357</v>
      </c>
    </row>
    <row r="14" spans="2:17" ht="14" customHeight="1" x14ac:dyDescent="0.3">
      <c r="B14" s="3" t="s">
        <v>220</v>
      </c>
    </row>
    <row r="15" spans="2:17" ht="14" customHeight="1" x14ac:dyDescent="0.3">
      <c r="B15" s="4" t="s">
        <v>221</v>
      </c>
      <c r="D15" s="38">
        <f t="shared" ref="D15:I15" si="6">PERCENTILE(J6:J10,0.25)</f>
        <v>6.5355004397208241</v>
      </c>
      <c r="E15" s="38">
        <f t="shared" si="6"/>
        <v>0.8220310108996034</v>
      </c>
      <c r="F15" s="38">
        <f t="shared" si="6"/>
        <v>16.11841436001772</v>
      </c>
      <c r="G15" s="38">
        <f t="shared" si="6"/>
        <v>0.95441894787631087</v>
      </c>
      <c r="H15" s="39">
        <f t="shared" si="6"/>
        <v>3.3918720194828E-2</v>
      </c>
      <c r="I15" s="39">
        <f t="shared" si="6"/>
        <v>3.9755899838908697E-2</v>
      </c>
    </row>
    <row r="16" spans="2:17" ht="14" customHeight="1" x14ac:dyDescent="0.3">
      <c r="B16" s="4" t="s">
        <v>222</v>
      </c>
      <c r="D16" s="38">
        <f t="shared" ref="D16:I16" si="7">MEDIAN(J6:J10)</f>
        <v>8.7045916735946793</v>
      </c>
      <c r="E16" s="38">
        <f t="shared" si="7"/>
        <v>0.82680807295636916</v>
      </c>
      <c r="F16" s="38">
        <f t="shared" si="7"/>
        <v>19.11470566869264</v>
      </c>
      <c r="G16" s="38">
        <f t="shared" si="7"/>
        <v>0.9739501746899798</v>
      </c>
      <c r="H16" s="39">
        <f t="shared" si="7"/>
        <v>7.5199097090425937E-2</v>
      </c>
      <c r="I16" s="39">
        <f t="shared" si="7"/>
        <v>6.0424688988384406E-2</v>
      </c>
    </row>
    <row r="17" spans="2:9" ht="14" customHeight="1" x14ac:dyDescent="0.3">
      <c r="B17" s="4" t="s">
        <v>223</v>
      </c>
      <c r="D17" s="38">
        <f t="shared" ref="D17:I17" si="8">PERCENTILE(J6:J10,0.75)</f>
        <v>9.6331483638475728</v>
      </c>
      <c r="E17" s="38">
        <f t="shared" si="8"/>
        <v>0.90883377974665835</v>
      </c>
      <c r="F17" s="38">
        <f t="shared" si="8"/>
        <v>23.388766071324685</v>
      </c>
      <c r="G17" s="38">
        <f t="shared" si="8"/>
        <v>1.0342630619035376</v>
      </c>
      <c r="H17" s="39">
        <f t="shared" si="8"/>
        <v>8.3750802550123141E-2</v>
      </c>
      <c r="I17" s="39">
        <f t="shared" si="8"/>
        <v>7.6034051901425884E-2</v>
      </c>
    </row>
    <row r="19" spans="2:9" ht="14" customHeight="1" x14ac:dyDescent="0.3">
      <c r="B19" s="22" t="s">
        <v>224</v>
      </c>
      <c r="C19" s="23"/>
      <c r="D19" s="23"/>
      <c r="E19" s="23"/>
      <c r="F19" s="23"/>
      <c r="G19" s="23"/>
      <c r="H19" s="23"/>
      <c r="I19" s="23"/>
    </row>
    <row r="20" spans="2:9" ht="14" customHeight="1" x14ac:dyDescent="0.3">
      <c r="B20" s="3" t="s">
        <v>225</v>
      </c>
    </row>
    <row r="21" spans="2:9" ht="14" customHeight="1" x14ac:dyDescent="0.3">
      <c r="B21" s="4" t="s">
        <v>226</v>
      </c>
      <c r="C21" s="5">
        <v>143584</v>
      </c>
    </row>
    <row r="22" spans="2:9" ht="14" customHeight="1" x14ac:dyDescent="0.3">
      <c r="B22" s="4" t="s">
        <v>227</v>
      </c>
      <c r="C22" s="5">
        <v>7468</v>
      </c>
    </row>
    <row r="23" spans="2:9" ht="14" customHeight="1" x14ac:dyDescent="0.3">
      <c r="B23" s="4" t="s">
        <v>228</v>
      </c>
      <c r="C23" s="15">
        <v>301296860</v>
      </c>
    </row>
    <row r="24" spans="2:9" ht="14" customHeight="1" x14ac:dyDescent="0.3">
      <c r="B24" s="4" t="s">
        <v>69</v>
      </c>
      <c r="C24" s="5">
        <v>177641</v>
      </c>
    </row>
    <row r="26" spans="2:9" ht="14" customHeight="1" x14ac:dyDescent="0.3">
      <c r="B26" s="3" t="s">
        <v>229</v>
      </c>
    </row>
    <row r="27" spans="2:9" ht="14" customHeight="1" x14ac:dyDescent="0.3">
      <c r="B27" s="4" t="s">
        <v>230</v>
      </c>
      <c r="C27" s="24">
        <f>ROUND((C21*D16-C24)*1000000/C23,0)</f>
        <v>3559</v>
      </c>
    </row>
    <row r="28" spans="2:9" ht="14" customHeight="1" x14ac:dyDescent="0.3">
      <c r="B28" s="4" t="s">
        <v>231</v>
      </c>
      <c r="C28" s="24">
        <f>ROUND(C22*F16*1000000/C23,0)</f>
        <v>474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232</v>
      </c>
    </row>
    <row r="3" spans="2:9" ht="14" customHeight="1" x14ac:dyDescent="0.3">
      <c r="B3" s="4" t="s">
        <v>233</v>
      </c>
      <c r="C3" s="16">
        <f>'DCF Model'!C26</f>
        <v>6.1532217763307327E-2</v>
      </c>
      <c r="E3" s="4" t="s">
        <v>234</v>
      </c>
      <c r="F3" s="16">
        <f>'DCF Model'!C13</f>
        <v>0.01</v>
      </c>
      <c r="H3" s="4" t="s">
        <v>235</v>
      </c>
      <c r="I3" s="14">
        <f>'DCF Model'!C14</f>
        <v>8.6999999999999993</v>
      </c>
    </row>
    <row r="5" spans="2:9" ht="14" customHeight="1" x14ac:dyDescent="0.3">
      <c r="B5" s="3" t="s">
        <v>236</v>
      </c>
    </row>
    <row r="6" spans="2:9" ht="14" customHeight="1"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4.6532217763307328E-2</v>
      </c>
      <c r="C7" s="37">
        <f>IFERROR(ROUND(('DCF Model'!C45/(1+$B7)^('DCF Model'!C19+0)+'DCF Model'!D45/(1+$B7)^('DCF Model'!C19+1)+'DCF Model'!E45/(1+$B7)^('DCF Model'!C19+2)+'DCF Model'!F45/(1+$B7)^('DCF Model'!C19+3)+'DCF Model'!G45/(1+$B7)^('DCF Model'!C19+4)+'DCF Model'!G45*(1+C$6)/($B7-C$6)/(1+$B7)^('DCF Model'!C19+4)-'DCF Model'!C16)*1000000/'DCF Model'!C15,0),"")</f>
        <v>3191</v>
      </c>
      <c r="D7" s="37">
        <f>IFERROR(ROUND(('DCF Model'!C45/(1+$B7)^('DCF Model'!C19+0)+'DCF Model'!D45/(1+$B7)^('DCF Model'!C19+1)+'DCF Model'!E45/(1+$B7)^('DCF Model'!C19+2)+'DCF Model'!F45/(1+$B7)^('DCF Model'!C19+3)+'DCF Model'!G45/(1+$B7)^('DCF Model'!C19+4)+'DCF Model'!G45*(1+D$6)/($B7-D$6)/(1+$B7)^('DCF Model'!C19+4)-'DCF Model'!C16)*1000000/'DCF Model'!C15,0),"")</f>
        <v>3382</v>
      </c>
      <c r="E7" s="37">
        <f>IFERROR(ROUND(('DCF Model'!C45/(1+$B7)^('DCF Model'!C19+0)+'DCF Model'!D45/(1+$B7)^('DCF Model'!C19+1)+'DCF Model'!E45/(1+$B7)^('DCF Model'!C19+2)+'DCF Model'!F45/(1+$B7)^('DCF Model'!C19+3)+'DCF Model'!G45/(1+$B7)^('DCF Model'!C19+4)+'DCF Model'!G45*(1+E$6)/($B7-E$6)/(1+$B7)^('DCF Model'!C19+4)-'DCF Model'!C16)*1000000/'DCF Model'!C15,0),"")</f>
        <v>3598</v>
      </c>
      <c r="F7" s="37">
        <f>IFERROR(ROUND(('DCF Model'!C45/(1+$B7)^('DCF Model'!C19+0)+'DCF Model'!D45/(1+$B7)^('DCF Model'!C19+1)+'DCF Model'!E45/(1+$B7)^('DCF Model'!C19+2)+'DCF Model'!F45/(1+$B7)^('DCF Model'!C19+3)+'DCF Model'!G45/(1+$B7)^('DCF Model'!C19+4)+'DCF Model'!G45*(1+F$6)/($B7-F$6)/(1+$B7)^('DCF Model'!C19+4)-'DCF Model'!C16)*1000000/'DCF Model'!C15,0),"")</f>
        <v>3844</v>
      </c>
      <c r="G7" s="37">
        <f>IFERROR(ROUND(('DCF Model'!C45/(1+$B7)^('DCF Model'!C19+0)+'DCF Model'!D45/(1+$B7)^('DCF Model'!C19+1)+'DCF Model'!E45/(1+$B7)^('DCF Model'!C19+2)+'DCF Model'!F45/(1+$B7)^('DCF Model'!C19+3)+'DCF Model'!G45/(1+$B7)^('DCF Model'!C19+4)+'DCF Model'!G45*(1+G$6)/($B7-G$6)/(1+$B7)^('DCF Model'!C19+4)-'DCF Model'!C16)*1000000/'DCF Model'!C15,0),"")</f>
        <v>4125</v>
      </c>
      <c r="H7" s="37">
        <f>IFERROR(ROUND(('DCF Model'!C45/(1+$B7)^('DCF Model'!C19+0)+'DCF Model'!D45/(1+$B7)^('DCF Model'!C19+1)+'DCF Model'!E45/(1+$B7)^('DCF Model'!C19+2)+'DCF Model'!F45/(1+$B7)^('DCF Model'!C19+3)+'DCF Model'!G45/(1+$B7)^('DCF Model'!C19+4)+'DCF Model'!G45*(1+H$6)/($B7-H$6)/(1+$B7)^('DCF Model'!C19+4)-'DCF Model'!C16)*1000000/'DCF Model'!C15,0),"")</f>
        <v>4452</v>
      </c>
      <c r="I7" s="37">
        <f>IFERROR(ROUND(('DCF Model'!C45/(1+$B7)^('DCF Model'!C19+0)+'DCF Model'!D45/(1+$B7)^('DCF Model'!C19+1)+'DCF Model'!E45/(1+$B7)^('DCF Model'!C19+2)+'DCF Model'!F45/(1+$B7)^('DCF Model'!C19+3)+'DCF Model'!G45/(1+$B7)^('DCF Model'!C19+4)+'DCF Model'!G45*(1+I$6)/($B7-I$6)/(1+$B7)^('DCF Model'!C19+4)-'DCF Model'!C16)*1000000/'DCF Model'!C15,0),"")</f>
        <v>4834</v>
      </c>
    </row>
    <row r="8" spans="2:9" ht="13.5" customHeight="1" x14ac:dyDescent="0.25">
      <c r="B8" s="39">
        <f>$C$3-0.01</f>
        <v>5.1532217763307325E-2</v>
      </c>
      <c r="C8" s="37">
        <f>IFERROR(ROUND(('DCF Model'!C45/(1+$B8)^('DCF Model'!C19+0)+'DCF Model'!D45/(1+$B8)^('DCF Model'!C19+1)+'DCF Model'!E45/(1+$B8)^('DCF Model'!C19+2)+'DCF Model'!F45/(1+$B8)^('DCF Model'!C19+3)+'DCF Model'!G45/(1+$B8)^('DCF Model'!C19+4)+'DCF Model'!G45*(1+C$6)/($B8-C$6)/(1+$B8)^('DCF Model'!C19+4)-'DCF Model'!C16)*1000000/'DCF Model'!C15,0),"")</f>
        <v>2814</v>
      </c>
      <c r="D8" s="37">
        <f>IFERROR(ROUND(('DCF Model'!C45/(1+$B8)^('DCF Model'!C19+0)+'DCF Model'!D45/(1+$B8)^('DCF Model'!C19+1)+'DCF Model'!E45/(1+$B8)^('DCF Model'!C19+2)+'DCF Model'!F45/(1+$B8)^('DCF Model'!C19+3)+'DCF Model'!G45/(1+$B8)^('DCF Model'!C19+4)+'DCF Model'!G45*(1+D$6)/($B8-D$6)/(1+$B8)^('DCF Model'!C19+4)-'DCF Model'!C16)*1000000/'DCF Model'!C15,0),"")</f>
        <v>2965</v>
      </c>
      <c r="E8" s="37">
        <f>IFERROR(ROUND(('DCF Model'!C45/(1+$B8)^('DCF Model'!C19+0)+'DCF Model'!D45/(1+$B8)^('DCF Model'!C19+1)+'DCF Model'!E45/(1+$B8)^('DCF Model'!C19+2)+'DCF Model'!F45/(1+$B8)^('DCF Model'!C19+3)+'DCF Model'!G45/(1+$B8)^('DCF Model'!C19+4)+'DCF Model'!G45*(1+E$6)/($B8-E$6)/(1+$B8)^('DCF Model'!C19+4)-'DCF Model'!C16)*1000000/'DCF Model'!C15,0),"")</f>
        <v>3133</v>
      </c>
      <c r="F8" s="37">
        <f>IFERROR(ROUND(('DCF Model'!C45/(1+$B8)^('DCF Model'!C19+0)+'DCF Model'!D45/(1+$B8)^('DCF Model'!C19+1)+'DCF Model'!E45/(1+$B8)^('DCF Model'!C19+2)+'DCF Model'!F45/(1+$B8)^('DCF Model'!C19+3)+'DCF Model'!G45/(1+$B8)^('DCF Model'!C19+4)+'DCF Model'!G45*(1+F$6)/($B8-F$6)/(1+$B8)^('DCF Model'!C19+4)-'DCF Model'!C16)*1000000/'DCF Model'!C15,0),"")</f>
        <v>3321</v>
      </c>
      <c r="G8" s="37">
        <f>IFERROR(ROUND(('DCF Model'!C45/(1+$B8)^('DCF Model'!C19+0)+'DCF Model'!D45/(1+$B8)^('DCF Model'!C19+1)+'DCF Model'!E45/(1+$B8)^('DCF Model'!C19+2)+'DCF Model'!F45/(1+$B8)^('DCF Model'!C19+3)+'DCF Model'!G45/(1+$B8)^('DCF Model'!C19+4)+'DCF Model'!G45*(1+G$6)/($B8-G$6)/(1+$B8)^('DCF Model'!C19+4)-'DCF Model'!C16)*1000000/'DCF Model'!C15,0),"")</f>
        <v>3534</v>
      </c>
      <c r="H8" s="37">
        <f>IFERROR(ROUND(('DCF Model'!C45/(1+$B8)^('DCF Model'!C19+0)+'DCF Model'!D45/(1+$B8)^('DCF Model'!C19+1)+'DCF Model'!E45/(1+$B8)^('DCF Model'!C19+2)+'DCF Model'!F45/(1+$B8)^('DCF Model'!C19+3)+'DCF Model'!G45/(1+$B8)^('DCF Model'!C19+4)+'DCF Model'!G45*(1+H$6)/($B8-H$6)/(1+$B8)^('DCF Model'!C19+4)-'DCF Model'!C16)*1000000/'DCF Model'!C15,0),"")</f>
        <v>3775</v>
      </c>
      <c r="I8" s="37">
        <f>IFERROR(ROUND(('DCF Model'!C45/(1+$B8)^('DCF Model'!C19+0)+'DCF Model'!D45/(1+$B8)^('DCF Model'!C19+1)+'DCF Model'!E45/(1+$B8)^('DCF Model'!C19+2)+'DCF Model'!F45/(1+$B8)^('DCF Model'!C19+3)+'DCF Model'!G45/(1+$B8)^('DCF Model'!C19+4)+'DCF Model'!G45*(1+I$6)/($B8-I$6)/(1+$B8)^('DCF Model'!C19+4)-'DCF Model'!C16)*1000000/'DCF Model'!C15,0),"")</f>
        <v>4052</v>
      </c>
    </row>
    <row r="9" spans="2:9" ht="13.5" customHeight="1" x14ac:dyDescent="0.25">
      <c r="B9" s="39">
        <f>$C$3-0.005</f>
        <v>5.653221776330733E-2</v>
      </c>
      <c r="C9" s="37">
        <f>IFERROR(ROUND(('DCF Model'!C45/(1+$B9)^('DCF Model'!C19+0)+'DCF Model'!D45/(1+$B9)^('DCF Model'!C19+1)+'DCF Model'!E45/(1+$B9)^('DCF Model'!C19+2)+'DCF Model'!F45/(1+$B9)^('DCF Model'!C19+3)+'DCF Model'!G45/(1+$B9)^('DCF Model'!C19+4)+'DCF Model'!G45*(1+C$6)/($B9-C$6)/(1+$B9)^('DCF Model'!C19+4)-'DCF Model'!C16)*1000000/'DCF Model'!C15,0),"")</f>
        <v>2507</v>
      </c>
      <c r="D9" s="37">
        <f>IFERROR(ROUND(('DCF Model'!C45/(1+$B9)^('DCF Model'!C19+0)+'DCF Model'!D45/(1+$B9)^('DCF Model'!C19+1)+'DCF Model'!E45/(1+$B9)^('DCF Model'!C19+2)+'DCF Model'!F45/(1+$B9)^('DCF Model'!C19+3)+'DCF Model'!G45/(1+$B9)^('DCF Model'!C19+4)+'DCF Model'!G45*(1+D$6)/($B9-D$6)/(1+$B9)^('DCF Model'!C19+4)-'DCF Model'!C16)*1000000/'DCF Model'!C15,0),"")</f>
        <v>2628</v>
      </c>
      <c r="E9" s="37">
        <f>IFERROR(ROUND(('DCF Model'!C45/(1+$B9)^('DCF Model'!C19+0)+'DCF Model'!D45/(1+$B9)^('DCF Model'!C19+1)+'DCF Model'!E45/(1+$B9)^('DCF Model'!C19+2)+'DCF Model'!F45/(1+$B9)^('DCF Model'!C19+3)+'DCF Model'!G45/(1+$B9)^('DCF Model'!C19+4)+'DCF Model'!G45*(1+E$6)/($B9-E$6)/(1+$B9)^('DCF Model'!C19+4)-'DCF Model'!C16)*1000000/'DCF Model'!C15,0),"")</f>
        <v>2762</v>
      </c>
      <c r="F9" s="37">
        <f>IFERROR(ROUND(('DCF Model'!C45/(1+$B9)^('DCF Model'!C19+0)+'DCF Model'!D45/(1+$B9)^('DCF Model'!C19+1)+'DCF Model'!E45/(1+$B9)^('DCF Model'!C19+2)+'DCF Model'!F45/(1+$B9)^('DCF Model'!C19+3)+'DCF Model'!G45/(1+$B9)^('DCF Model'!C19+4)+'DCF Model'!G45*(1+F$6)/($B9-F$6)/(1+$B9)^('DCF Model'!C19+4)-'DCF Model'!C16)*1000000/'DCF Model'!C15,0),"")</f>
        <v>2911</v>
      </c>
      <c r="G9" s="37">
        <f>IFERROR(ROUND(('DCF Model'!C45/(1+$B9)^('DCF Model'!C19+0)+'DCF Model'!D45/(1+$B9)^('DCF Model'!C19+1)+'DCF Model'!E45/(1+$B9)^('DCF Model'!C19+2)+'DCF Model'!F45/(1+$B9)^('DCF Model'!C19+3)+'DCF Model'!G45/(1+$B9)^('DCF Model'!C19+4)+'DCF Model'!G45*(1+G$6)/($B9-G$6)/(1+$B9)^('DCF Model'!C19+4)-'DCF Model'!C16)*1000000/'DCF Model'!C15,0),"")</f>
        <v>3076</v>
      </c>
      <c r="H9" s="37">
        <f>IFERROR(ROUND(('DCF Model'!C45/(1+$B9)^('DCF Model'!C19+0)+'DCF Model'!D45/(1+$B9)^('DCF Model'!C19+1)+'DCF Model'!E45/(1+$B9)^('DCF Model'!C19+2)+'DCF Model'!F45/(1+$B9)^('DCF Model'!C19+3)+'DCF Model'!G45/(1+$B9)^('DCF Model'!C19+4)+'DCF Model'!G45*(1+H$6)/($B9-H$6)/(1+$B9)^('DCF Model'!C19+4)-'DCF Model'!C16)*1000000/'DCF Model'!C15,0),"")</f>
        <v>3261</v>
      </c>
      <c r="I9" s="37">
        <f>IFERROR(ROUND(('DCF Model'!C45/(1+$B9)^('DCF Model'!C19+0)+'DCF Model'!D45/(1+$B9)^('DCF Model'!C19+1)+'DCF Model'!E45/(1+$B9)^('DCF Model'!C19+2)+'DCF Model'!F45/(1+$B9)^('DCF Model'!C19+3)+'DCF Model'!G45/(1+$B9)^('DCF Model'!C19+4)+'DCF Model'!G45*(1+I$6)/($B9-I$6)/(1+$B9)^('DCF Model'!C19+4)-'DCF Model'!C16)*1000000/'DCF Model'!C15,0),"")</f>
        <v>3470</v>
      </c>
    </row>
    <row r="10" spans="2:9" ht="13.5" customHeight="1" x14ac:dyDescent="0.25">
      <c r="B10" s="39">
        <f>$C$3</f>
        <v>6.1532217763307327E-2</v>
      </c>
      <c r="C10" s="37">
        <f>IFERROR(ROUND(('DCF Model'!C45/(1+$B10)^('DCF Model'!C19+0)+'DCF Model'!D45/(1+$B10)^('DCF Model'!C19+1)+'DCF Model'!E45/(1+$B10)^('DCF Model'!C19+2)+'DCF Model'!F45/(1+$B10)^('DCF Model'!C19+3)+'DCF Model'!G45/(1+$B10)^('DCF Model'!C19+4)+'DCF Model'!G45*(1+C$6)/($B10-C$6)/(1+$B10)^('DCF Model'!C19+4)-'DCF Model'!C16)*1000000/'DCF Model'!C15,0),"")</f>
        <v>2251</v>
      </c>
      <c r="D10" s="37">
        <f>IFERROR(ROUND(('DCF Model'!C45/(1+$B10)^('DCF Model'!C19+0)+'DCF Model'!D45/(1+$B10)^('DCF Model'!C19+1)+'DCF Model'!E45/(1+$B10)^('DCF Model'!C19+2)+'DCF Model'!F45/(1+$B10)^('DCF Model'!C19+3)+'DCF Model'!G45/(1+$B10)^('DCF Model'!C19+4)+'DCF Model'!G45*(1+D$6)/($B10-D$6)/(1+$B10)^('DCF Model'!C19+4)-'DCF Model'!C16)*1000000/'DCF Model'!C15,0),"")</f>
        <v>2351</v>
      </c>
      <c r="E10" s="37">
        <f>IFERROR(ROUND(('DCF Model'!C45/(1+$B10)^('DCF Model'!C19+0)+'DCF Model'!D45/(1+$B10)^('DCF Model'!C19+1)+'DCF Model'!E45/(1+$B10)^('DCF Model'!C19+2)+'DCF Model'!F45/(1+$B10)^('DCF Model'!C19+3)+'DCF Model'!G45/(1+$B10)^('DCF Model'!C19+4)+'DCF Model'!G45*(1+E$6)/($B10-E$6)/(1+$B10)^('DCF Model'!C19+4)-'DCF Model'!C16)*1000000/'DCF Model'!C15,0),"")</f>
        <v>2460</v>
      </c>
      <c r="F10" s="37">
        <f>IFERROR(ROUND(('DCF Model'!C45/(1+$B10)^('DCF Model'!C19+0)+'DCF Model'!D45/(1+$B10)^('DCF Model'!C19+1)+'DCF Model'!E45/(1+$B10)^('DCF Model'!C19+2)+'DCF Model'!F45/(1+$B10)^('DCF Model'!C19+3)+'DCF Model'!G45/(1+$B10)^('DCF Model'!C19+4)+'DCF Model'!G45*(1+F$6)/($B10-F$6)/(1+$B10)^('DCF Model'!C19+4)-'DCF Model'!C16)*1000000/'DCF Model'!C15,0),"")</f>
        <v>2580</v>
      </c>
      <c r="G10" s="37">
        <f>IFERROR(ROUND(('DCF Model'!C45/(1+$B10)^('DCF Model'!C19+0)+'DCF Model'!D45/(1+$B10)^('DCF Model'!C19+1)+'DCF Model'!E45/(1+$B10)^('DCF Model'!C19+2)+'DCF Model'!F45/(1+$B10)^('DCF Model'!C19+3)+'DCF Model'!G45/(1+$B10)^('DCF Model'!C19+4)+'DCF Model'!G45*(1+G$6)/($B10-G$6)/(1+$B10)^('DCF Model'!C19+4)-'DCF Model'!C16)*1000000/'DCF Model'!C15,0),"")</f>
        <v>2712</v>
      </c>
      <c r="H10" s="37">
        <f>IFERROR(ROUND(('DCF Model'!C45/(1+$B10)^('DCF Model'!C19+0)+'DCF Model'!D45/(1+$B10)^('DCF Model'!C19+1)+'DCF Model'!E45/(1+$B10)^('DCF Model'!C19+2)+'DCF Model'!F45/(1+$B10)^('DCF Model'!C19+3)+'DCF Model'!G45/(1+$B10)^('DCF Model'!C19+4)+'DCF Model'!G45*(1+H$6)/($B10-H$6)/(1+$B10)^('DCF Model'!C19+4)-'DCF Model'!C16)*1000000/'DCF Model'!C15,0),"")</f>
        <v>2858</v>
      </c>
      <c r="I10" s="37">
        <f>IFERROR(ROUND(('DCF Model'!C45/(1+$B10)^('DCF Model'!C19+0)+'DCF Model'!D45/(1+$B10)^('DCF Model'!C19+1)+'DCF Model'!E45/(1+$B10)^('DCF Model'!C19+2)+'DCF Model'!F45/(1+$B10)^('DCF Model'!C19+3)+'DCF Model'!G45/(1+$B10)^('DCF Model'!C19+4)+'DCF Model'!G45*(1+I$6)/($B10-I$6)/(1+$B10)^('DCF Model'!C19+4)-'DCF Model'!C16)*1000000/'DCF Model'!C15,0),"")</f>
        <v>3021</v>
      </c>
    </row>
    <row r="11" spans="2:9" ht="13.5" customHeight="1" x14ac:dyDescent="0.25">
      <c r="B11" s="39">
        <f>$C$3+0.005</f>
        <v>6.6532217763307325E-2</v>
      </c>
      <c r="C11" s="37">
        <f>IFERROR(ROUND(('DCF Model'!C45/(1+$B11)^('DCF Model'!C19+0)+'DCF Model'!D45/(1+$B11)^('DCF Model'!C19+1)+'DCF Model'!E45/(1+$B11)^('DCF Model'!C19+2)+'DCF Model'!F45/(1+$B11)^('DCF Model'!C19+3)+'DCF Model'!G45/(1+$B11)^('DCF Model'!C19+4)+'DCF Model'!G45*(1+C$6)/($B11-C$6)/(1+$B11)^('DCF Model'!C19+4)-'DCF Model'!C16)*1000000/'DCF Model'!C15,0),"")</f>
        <v>2036</v>
      </c>
      <c r="D11" s="37">
        <f>IFERROR(ROUND(('DCF Model'!C45/(1+$B11)^('DCF Model'!C19+0)+'DCF Model'!D45/(1+$B11)^('DCF Model'!C19+1)+'DCF Model'!E45/(1+$B11)^('DCF Model'!C19+2)+'DCF Model'!F45/(1+$B11)^('DCF Model'!C19+3)+'DCF Model'!G45/(1+$B11)^('DCF Model'!C19+4)+'DCF Model'!G45*(1+D$6)/($B11-D$6)/(1+$B11)^('DCF Model'!C19+4)-'DCF Model'!C16)*1000000/'DCF Model'!C15,0),"")</f>
        <v>2119</v>
      </c>
      <c r="E11" s="37">
        <f>IFERROR(ROUND(('DCF Model'!C45/(1+$B11)^('DCF Model'!C19+0)+'DCF Model'!D45/(1+$B11)^('DCF Model'!C19+1)+'DCF Model'!E45/(1+$B11)^('DCF Model'!C19+2)+'DCF Model'!F45/(1+$B11)^('DCF Model'!C19+3)+'DCF Model'!G45/(1+$B11)^('DCF Model'!C19+4)+'DCF Model'!G45*(1+E$6)/($B11-E$6)/(1+$B11)^('DCF Model'!C19+4)-'DCF Model'!C16)*1000000/'DCF Model'!C15,0),"")</f>
        <v>2210</v>
      </c>
      <c r="F11" s="37">
        <f>IFERROR(ROUND(('DCF Model'!C45/(1+$B11)^('DCF Model'!C19+0)+'DCF Model'!D45/(1+$B11)^('DCF Model'!C19+1)+'DCF Model'!E45/(1+$B11)^('DCF Model'!C19+2)+'DCF Model'!F45/(1+$B11)^('DCF Model'!C19+3)+'DCF Model'!G45/(1+$B11)^('DCF Model'!C19+4)+'DCF Model'!G45*(1+F$6)/($B11-F$6)/(1+$B11)^('DCF Model'!C19+4)-'DCF Model'!C16)*1000000/'DCF Model'!C15,0),"")</f>
        <v>2308</v>
      </c>
      <c r="G11" s="37">
        <f>IFERROR(ROUND(('DCF Model'!C45/(1+$B11)^('DCF Model'!C19+0)+'DCF Model'!D45/(1+$B11)^('DCF Model'!C19+1)+'DCF Model'!E45/(1+$B11)^('DCF Model'!C19+2)+'DCF Model'!F45/(1+$B11)^('DCF Model'!C19+3)+'DCF Model'!G45/(1+$B11)^('DCF Model'!C19+4)+'DCF Model'!G45*(1+G$6)/($B11-G$6)/(1+$B11)^('DCF Model'!C19+4)-'DCF Model'!C16)*1000000/'DCF Model'!C15,0),"")</f>
        <v>2415</v>
      </c>
      <c r="H11" s="37">
        <f>IFERROR(ROUND(('DCF Model'!C45/(1+$B11)^('DCF Model'!C19+0)+'DCF Model'!D45/(1+$B11)^('DCF Model'!C19+1)+'DCF Model'!E45/(1+$B11)^('DCF Model'!C19+2)+'DCF Model'!F45/(1+$B11)^('DCF Model'!C19+3)+'DCF Model'!G45/(1+$B11)^('DCF Model'!C19+4)+'DCF Model'!G45*(1+H$6)/($B11-H$6)/(1+$B11)^('DCF Model'!C19+4)-'DCF Model'!C16)*1000000/'DCF Model'!C15,0),"")</f>
        <v>2533</v>
      </c>
      <c r="I11" s="37">
        <f>IFERROR(ROUND(('DCF Model'!C45/(1+$B11)^('DCF Model'!C19+0)+'DCF Model'!D45/(1+$B11)^('DCF Model'!C19+1)+'DCF Model'!E45/(1+$B11)^('DCF Model'!C19+2)+'DCF Model'!F45/(1+$B11)^('DCF Model'!C19+3)+'DCF Model'!G45/(1+$B11)^('DCF Model'!C19+4)+'DCF Model'!G45*(1+I$6)/($B11-I$6)/(1+$B11)^('DCF Model'!C19+4)-'DCF Model'!C16)*1000000/'DCF Model'!C15,0),"")</f>
        <v>2663</v>
      </c>
    </row>
    <row r="12" spans="2:9" ht="13.5" customHeight="1" x14ac:dyDescent="0.25">
      <c r="B12" s="39">
        <f>$C$3+0.01</f>
        <v>7.1532217763307329E-2</v>
      </c>
      <c r="C12" s="37">
        <f>IFERROR(ROUND(('DCF Model'!C45/(1+$B12)^('DCF Model'!C19+0)+'DCF Model'!D45/(1+$B12)^('DCF Model'!C19+1)+'DCF Model'!E45/(1+$B12)^('DCF Model'!C19+2)+'DCF Model'!F45/(1+$B12)^('DCF Model'!C19+3)+'DCF Model'!G45/(1+$B12)^('DCF Model'!C19+4)+'DCF Model'!G45*(1+C$6)/($B12-C$6)/(1+$B12)^('DCF Model'!C19+4)-'DCF Model'!C16)*1000000/'DCF Model'!C15,0),"")</f>
        <v>1852</v>
      </c>
      <c r="D12" s="37">
        <f>IFERROR(ROUND(('DCF Model'!C45/(1+$B12)^('DCF Model'!C19+0)+'DCF Model'!D45/(1+$B12)^('DCF Model'!C19+1)+'DCF Model'!E45/(1+$B12)^('DCF Model'!C19+2)+'DCF Model'!F45/(1+$B12)^('DCF Model'!C19+3)+'DCF Model'!G45/(1+$B12)^('DCF Model'!C19+4)+'DCF Model'!G45*(1+D$6)/($B12-D$6)/(1+$B12)^('DCF Model'!C19+4)-'DCF Model'!C16)*1000000/'DCF Model'!C15,0),"")</f>
        <v>1923</v>
      </c>
      <c r="E12" s="37">
        <f>IFERROR(ROUND(('DCF Model'!C45/(1+$B12)^('DCF Model'!C19+0)+'DCF Model'!D45/(1+$B12)^('DCF Model'!C19+1)+'DCF Model'!E45/(1+$B12)^('DCF Model'!C19+2)+'DCF Model'!F45/(1+$B12)^('DCF Model'!C19+3)+'DCF Model'!G45/(1+$B12)^('DCF Model'!C19+4)+'DCF Model'!G45*(1+E$6)/($B12-E$6)/(1+$B12)^('DCF Model'!C19+4)-'DCF Model'!C16)*1000000/'DCF Model'!C15,0),"")</f>
        <v>1998</v>
      </c>
      <c r="F12" s="37">
        <f>IFERROR(ROUND(('DCF Model'!C45/(1+$B12)^('DCF Model'!C19+0)+'DCF Model'!D45/(1+$B12)^('DCF Model'!C19+1)+'DCF Model'!E45/(1+$B12)^('DCF Model'!C19+2)+'DCF Model'!F45/(1+$B12)^('DCF Model'!C19+3)+'DCF Model'!G45/(1+$B12)^('DCF Model'!C19+4)+'DCF Model'!G45*(1+F$6)/($B12-F$6)/(1+$B12)^('DCF Model'!C19+4)-'DCF Model'!C16)*1000000/'DCF Model'!C15,0),"")</f>
        <v>2080</v>
      </c>
      <c r="G12" s="37">
        <f>IFERROR(ROUND(('DCF Model'!C45/(1+$B12)^('DCF Model'!C19+0)+'DCF Model'!D45/(1+$B12)^('DCF Model'!C19+1)+'DCF Model'!E45/(1+$B12)^('DCF Model'!C19+2)+'DCF Model'!F45/(1+$B12)^('DCF Model'!C19+3)+'DCF Model'!G45/(1+$B12)^('DCF Model'!C19+4)+'DCF Model'!G45*(1+G$6)/($B12-G$6)/(1+$B12)^('DCF Model'!C19+4)-'DCF Model'!C16)*1000000/'DCF Model'!C15,0),"")</f>
        <v>2169</v>
      </c>
      <c r="H12" s="37">
        <f>IFERROR(ROUND(('DCF Model'!C45/(1+$B12)^('DCF Model'!C19+0)+'DCF Model'!D45/(1+$B12)^('DCF Model'!C19+1)+'DCF Model'!E45/(1+$B12)^('DCF Model'!C19+2)+'DCF Model'!F45/(1+$B12)^('DCF Model'!C19+3)+'DCF Model'!G45/(1+$B12)^('DCF Model'!C19+4)+'DCF Model'!G45*(1+H$6)/($B12-H$6)/(1+$B12)^('DCF Model'!C19+4)-'DCF Model'!C16)*1000000/'DCF Model'!C15,0),"")</f>
        <v>2265</v>
      </c>
      <c r="I12" s="37">
        <f>IFERROR(ROUND(('DCF Model'!C45/(1+$B12)^('DCF Model'!C19+0)+'DCF Model'!D45/(1+$B12)^('DCF Model'!C19+1)+'DCF Model'!E45/(1+$B12)^('DCF Model'!C19+2)+'DCF Model'!F45/(1+$B12)^('DCF Model'!C19+3)+'DCF Model'!G45/(1+$B12)^('DCF Model'!C19+4)+'DCF Model'!G45*(1+I$6)/($B12-I$6)/(1+$B12)^('DCF Model'!C19+4)-'DCF Model'!C16)*1000000/'DCF Model'!C15,0),"")</f>
        <v>2371</v>
      </c>
    </row>
    <row r="13" spans="2:9" ht="13.5" customHeight="1" x14ac:dyDescent="0.25">
      <c r="B13" s="39">
        <f>$C$3+0.015</f>
        <v>7.653221776330732E-2</v>
      </c>
      <c r="C13" s="37">
        <f>IFERROR(ROUND(('DCF Model'!C45/(1+$B13)^('DCF Model'!C19+0)+'DCF Model'!D45/(1+$B13)^('DCF Model'!C19+1)+'DCF Model'!E45/(1+$B13)^('DCF Model'!C19+2)+'DCF Model'!F45/(1+$B13)^('DCF Model'!C19+3)+'DCF Model'!G45/(1+$B13)^('DCF Model'!C19+4)+'DCF Model'!G45*(1+C$6)/($B13-C$6)/(1+$B13)^('DCF Model'!C19+4)-'DCF Model'!C16)*1000000/'DCF Model'!C15,0),"")</f>
        <v>1693</v>
      </c>
      <c r="D13" s="37">
        <f>IFERROR(ROUND(('DCF Model'!C45/(1+$B13)^('DCF Model'!C19+0)+'DCF Model'!D45/(1+$B13)^('DCF Model'!C19+1)+'DCF Model'!E45/(1+$B13)^('DCF Model'!C19+2)+'DCF Model'!F45/(1+$B13)^('DCF Model'!C19+3)+'DCF Model'!G45/(1+$B13)^('DCF Model'!C19+4)+'DCF Model'!G45*(1+D$6)/($B13-D$6)/(1+$B13)^('DCF Model'!C19+4)-'DCF Model'!C16)*1000000/'DCF Model'!C15,0),"")</f>
        <v>1753</v>
      </c>
      <c r="E13" s="37">
        <f>IFERROR(ROUND(('DCF Model'!C45/(1+$B13)^('DCF Model'!C19+0)+'DCF Model'!D45/(1+$B13)^('DCF Model'!C19+1)+'DCF Model'!E45/(1+$B13)^('DCF Model'!C19+2)+'DCF Model'!F45/(1+$B13)^('DCF Model'!C19+3)+'DCF Model'!G45/(1+$B13)^('DCF Model'!C19+4)+'DCF Model'!G45*(1+E$6)/($B13-E$6)/(1+$B13)^('DCF Model'!C19+4)-'DCF Model'!C16)*1000000/'DCF Model'!C15,0),"")</f>
        <v>1817</v>
      </c>
      <c r="F13" s="37">
        <f>IFERROR(ROUND(('DCF Model'!C45/(1+$B13)^('DCF Model'!C19+0)+'DCF Model'!D45/(1+$B13)^('DCF Model'!C19+1)+'DCF Model'!E45/(1+$B13)^('DCF Model'!C19+2)+'DCF Model'!F45/(1+$B13)^('DCF Model'!C19+3)+'DCF Model'!G45/(1+$B13)^('DCF Model'!C19+4)+'DCF Model'!G45*(1+F$6)/($B13-F$6)/(1+$B13)^('DCF Model'!C19+4)-'DCF Model'!C16)*1000000/'DCF Model'!C15,0),"")</f>
        <v>1886</v>
      </c>
      <c r="G13" s="37">
        <f>IFERROR(ROUND(('DCF Model'!C45/(1+$B13)^('DCF Model'!C19+0)+'DCF Model'!D45/(1+$B13)^('DCF Model'!C19+1)+'DCF Model'!E45/(1+$B13)^('DCF Model'!C19+2)+'DCF Model'!F45/(1+$B13)^('DCF Model'!C19+3)+'DCF Model'!G45/(1+$B13)^('DCF Model'!C19+4)+'DCF Model'!G45*(1+G$6)/($B13-G$6)/(1+$B13)^('DCF Model'!C19+4)-'DCF Model'!C16)*1000000/'DCF Model'!C15,0),"")</f>
        <v>1961</v>
      </c>
      <c r="H13" s="37">
        <f>IFERROR(ROUND(('DCF Model'!C45/(1+$B13)^('DCF Model'!C19+0)+'DCF Model'!D45/(1+$B13)^('DCF Model'!C19+1)+'DCF Model'!E45/(1+$B13)^('DCF Model'!C19+2)+'DCF Model'!F45/(1+$B13)^('DCF Model'!C19+3)+'DCF Model'!G45/(1+$B13)^('DCF Model'!C19+4)+'DCF Model'!G45*(1+H$6)/($B13-H$6)/(1+$B13)^('DCF Model'!C19+4)-'DCF Model'!C16)*1000000/'DCF Model'!C15,0),"")</f>
        <v>2041</v>
      </c>
      <c r="I13" s="37">
        <f>IFERROR(ROUND(('DCF Model'!C45/(1+$B13)^('DCF Model'!C19+0)+'DCF Model'!D45/(1+$B13)^('DCF Model'!C19+1)+'DCF Model'!E45/(1+$B13)^('DCF Model'!C19+2)+'DCF Model'!F45/(1+$B13)^('DCF Model'!C19+3)+'DCF Model'!G45/(1+$B13)^('DCF Model'!C19+4)+'DCF Model'!G45*(1+I$6)/($B13-I$6)/(1+$B13)^('DCF Model'!C19+4)-'DCF Model'!C16)*1000000/'DCF Model'!C15,0),"")</f>
        <v>2129</v>
      </c>
    </row>
    <row r="16" spans="2:9" ht="14" customHeight="1" x14ac:dyDescent="0.3">
      <c r="B16" s="3" t="s">
        <v>238</v>
      </c>
    </row>
    <row r="17" spans="2:9" ht="14" customHeight="1" x14ac:dyDescent="0.3">
      <c r="B17" s="40" t="s">
        <v>239</v>
      </c>
      <c r="C17" s="42">
        <f>$I$3-3</f>
        <v>5.6999999999999993</v>
      </c>
      <c r="D17" s="42">
        <f>$I$3-2</f>
        <v>6.6999999999999993</v>
      </c>
      <c r="E17" s="42">
        <f>$I$3-1</f>
        <v>7.6999999999999993</v>
      </c>
      <c r="F17" s="42">
        <f>$I$3</f>
        <v>8.6999999999999993</v>
      </c>
      <c r="G17" s="42">
        <f>$I$3+1</f>
        <v>9.6999999999999993</v>
      </c>
      <c r="H17" s="42">
        <f>$I$3+2</f>
        <v>10.7</v>
      </c>
      <c r="I17" s="42">
        <f>$I$3+3</f>
        <v>11.7</v>
      </c>
    </row>
    <row r="18" spans="2:9" ht="13.5" customHeight="1" x14ac:dyDescent="0.25">
      <c r="B18" s="39">
        <f>$C$3-0.015</f>
        <v>4.6532217763307328E-2</v>
      </c>
      <c r="C18" s="37">
        <f>IFERROR(ROUND(('DCF Model'!C45/(1+$B18)^('DCF Model'!C19+0)+'DCF Model'!D45/(1+$B18)^('DCF Model'!C19+1)+'DCF Model'!E45/(1+$B18)^('DCF Model'!C19+2)+'DCF Model'!F45/(1+$B18)^('DCF Model'!C19+3)+'DCF Model'!G45/(1+$B18)^('DCF Model'!C19+4)+('DCF Model'!G39+'DCF Model'!G42)*C$17/(1+$B18)^('DCF Model'!C19+4)-'DCF Model'!C16)*1000000/'DCF Model'!C15,0),"")</f>
        <v>2895</v>
      </c>
      <c r="D18" s="37">
        <f>IFERROR(ROUND(('DCF Model'!C45/(1+$B18)^('DCF Model'!C19+0)+'DCF Model'!D45/(1+$B18)^('DCF Model'!C19+1)+'DCF Model'!E45/(1+$B18)^('DCF Model'!C19+2)+'DCF Model'!F45/(1+$B18)^('DCF Model'!C19+3)+'DCF Model'!G45/(1+$B18)^('DCF Model'!C19+4)+('DCF Model'!G39+'DCF Model'!G42)*D$17/(1+$B18)^('DCF Model'!C19+4)-'DCF Model'!C16)*1000000/'DCF Model'!C15,0),"")</f>
        <v>3377</v>
      </c>
      <c r="E18" s="37">
        <f>IFERROR(ROUND(('DCF Model'!C45/(1+$B18)^('DCF Model'!C19+0)+'DCF Model'!D45/(1+$B18)^('DCF Model'!C19+1)+'DCF Model'!E45/(1+$B18)^('DCF Model'!C19+2)+'DCF Model'!F45/(1+$B18)^('DCF Model'!C19+3)+'DCF Model'!G45/(1+$B18)^('DCF Model'!C19+4)+('DCF Model'!G39+'DCF Model'!G42)*E$17/(1+$B18)^('DCF Model'!C19+4)-'DCF Model'!C16)*1000000/'DCF Model'!C15,0),"")</f>
        <v>3860</v>
      </c>
      <c r="F18" s="37">
        <f>IFERROR(ROUND(('DCF Model'!C45/(1+$B18)^('DCF Model'!C19+0)+'DCF Model'!D45/(1+$B18)^('DCF Model'!C19+1)+'DCF Model'!E45/(1+$B18)^('DCF Model'!C19+2)+'DCF Model'!F45/(1+$B18)^('DCF Model'!C19+3)+'DCF Model'!G45/(1+$B18)^('DCF Model'!C19+4)+('DCF Model'!G39+'DCF Model'!G42)*F$17/(1+$B18)^('DCF Model'!C19+4)-'DCF Model'!C16)*1000000/'DCF Model'!C15,0),"")</f>
        <v>4343</v>
      </c>
      <c r="G18" s="37">
        <f>IFERROR(ROUND(('DCF Model'!C45/(1+$B18)^('DCF Model'!C19+0)+'DCF Model'!D45/(1+$B18)^('DCF Model'!C19+1)+'DCF Model'!E45/(1+$B18)^('DCF Model'!C19+2)+'DCF Model'!F45/(1+$B18)^('DCF Model'!C19+3)+'DCF Model'!G45/(1+$B18)^('DCF Model'!C19+4)+('DCF Model'!G39+'DCF Model'!G42)*G$17/(1+$B18)^('DCF Model'!C19+4)-'DCF Model'!C16)*1000000/'DCF Model'!C15,0),"")</f>
        <v>4826</v>
      </c>
      <c r="H18" s="37">
        <f>IFERROR(ROUND(('DCF Model'!C45/(1+$B18)^('DCF Model'!C19+0)+'DCF Model'!D45/(1+$B18)^('DCF Model'!C19+1)+'DCF Model'!E45/(1+$B18)^('DCF Model'!C19+2)+'DCF Model'!F45/(1+$B18)^('DCF Model'!C19+3)+'DCF Model'!G45/(1+$B18)^('DCF Model'!C19+4)+('DCF Model'!G39+'DCF Model'!G42)*H$17/(1+$B18)^('DCF Model'!C19+4)-'DCF Model'!C16)*1000000/'DCF Model'!C15,0),"")</f>
        <v>5308</v>
      </c>
      <c r="I18" s="37">
        <f>IFERROR(ROUND(('DCF Model'!C45/(1+$B18)^('DCF Model'!C19+0)+'DCF Model'!D45/(1+$B18)^('DCF Model'!C19+1)+'DCF Model'!E45/(1+$B18)^('DCF Model'!C19+2)+'DCF Model'!F45/(1+$B18)^('DCF Model'!C19+3)+'DCF Model'!G45/(1+$B18)^('DCF Model'!C19+4)+('DCF Model'!G39+'DCF Model'!G42)*I$17/(1+$B18)^('DCF Model'!C19+4)-'DCF Model'!C16)*1000000/'DCF Model'!C15,0),"")</f>
        <v>5791</v>
      </c>
    </row>
    <row r="19" spans="2:9" ht="13.5" customHeight="1" x14ac:dyDescent="0.25">
      <c r="B19" s="39">
        <f>$C$3-0.01</f>
        <v>5.1532217763307325E-2</v>
      </c>
      <c r="C19" s="37">
        <f>IFERROR(ROUND(('DCF Model'!C45/(1+$B19)^('DCF Model'!C19+0)+'DCF Model'!D45/(1+$B19)^('DCF Model'!C19+1)+'DCF Model'!E45/(1+$B19)^('DCF Model'!C19+2)+'DCF Model'!F45/(1+$B19)^('DCF Model'!C19+3)+'DCF Model'!G45/(1+$B19)^('DCF Model'!C19+4)+('DCF Model'!G39+'DCF Model'!G42)*C$17/(1+$B19)^('DCF Model'!C19+4)-'DCF Model'!C16)*1000000/'DCF Model'!C15,0),"")</f>
        <v>2828</v>
      </c>
      <c r="D19" s="37">
        <f>IFERROR(ROUND(('DCF Model'!C45/(1+$B19)^('DCF Model'!C19+0)+'DCF Model'!D45/(1+$B19)^('DCF Model'!C19+1)+'DCF Model'!E45/(1+$B19)^('DCF Model'!C19+2)+'DCF Model'!F45/(1+$B19)^('DCF Model'!C19+3)+'DCF Model'!G45/(1+$B19)^('DCF Model'!C19+4)+('DCF Model'!G39+'DCF Model'!G42)*D$17/(1+$B19)^('DCF Model'!C19+4)-'DCF Model'!C16)*1000000/'DCF Model'!C15,0),"")</f>
        <v>3301</v>
      </c>
      <c r="E19" s="37">
        <f>IFERROR(ROUND(('DCF Model'!C45/(1+$B19)^('DCF Model'!C19+0)+'DCF Model'!D45/(1+$B19)^('DCF Model'!C19+1)+'DCF Model'!E45/(1+$B19)^('DCF Model'!C19+2)+'DCF Model'!F45/(1+$B19)^('DCF Model'!C19+3)+'DCF Model'!G45/(1+$B19)^('DCF Model'!C19+4)+('DCF Model'!G39+'DCF Model'!G42)*E$17/(1+$B19)^('DCF Model'!C19+4)-'DCF Model'!C16)*1000000/'DCF Model'!C15,0),"")</f>
        <v>3773</v>
      </c>
      <c r="F19" s="37">
        <f>IFERROR(ROUND(('DCF Model'!C45/(1+$B19)^('DCF Model'!C19+0)+'DCF Model'!D45/(1+$B19)^('DCF Model'!C19+1)+'DCF Model'!E45/(1+$B19)^('DCF Model'!C19+2)+'DCF Model'!F45/(1+$B19)^('DCF Model'!C19+3)+'DCF Model'!G45/(1+$B19)^('DCF Model'!C19+4)+('DCF Model'!G39+'DCF Model'!G42)*F$17/(1+$B19)^('DCF Model'!C19+4)-'DCF Model'!C16)*1000000/'DCF Model'!C15,0),"")</f>
        <v>4246</v>
      </c>
      <c r="G19" s="37">
        <f>IFERROR(ROUND(('DCF Model'!C45/(1+$B19)^('DCF Model'!C19+0)+'DCF Model'!D45/(1+$B19)^('DCF Model'!C19+1)+'DCF Model'!E45/(1+$B19)^('DCF Model'!C19+2)+'DCF Model'!F45/(1+$B19)^('DCF Model'!C19+3)+'DCF Model'!G45/(1+$B19)^('DCF Model'!C19+4)+('DCF Model'!G39+'DCF Model'!G42)*G$17/(1+$B19)^('DCF Model'!C19+4)-'DCF Model'!C16)*1000000/'DCF Model'!C15,0),"")</f>
        <v>4718</v>
      </c>
      <c r="H19" s="37">
        <f>IFERROR(ROUND(('DCF Model'!C45/(1+$B19)^('DCF Model'!C19+0)+'DCF Model'!D45/(1+$B19)^('DCF Model'!C19+1)+'DCF Model'!E45/(1+$B19)^('DCF Model'!C19+2)+'DCF Model'!F45/(1+$B19)^('DCF Model'!C19+3)+'DCF Model'!G45/(1+$B19)^('DCF Model'!C19+4)+('DCF Model'!G39+'DCF Model'!G42)*H$17/(1+$B19)^('DCF Model'!C19+4)-'DCF Model'!C16)*1000000/'DCF Model'!C15,0),"")</f>
        <v>5191</v>
      </c>
      <c r="I19" s="37">
        <f>IFERROR(ROUND(('DCF Model'!C45/(1+$B19)^('DCF Model'!C19+0)+'DCF Model'!D45/(1+$B19)^('DCF Model'!C19+1)+'DCF Model'!E45/(1+$B19)^('DCF Model'!C19+2)+'DCF Model'!F45/(1+$B19)^('DCF Model'!C19+3)+'DCF Model'!G45/(1+$B19)^('DCF Model'!C19+4)+('DCF Model'!G39+'DCF Model'!G42)*I$17/(1+$B19)^('DCF Model'!C19+4)-'DCF Model'!C16)*1000000/'DCF Model'!C15,0),"")</f>
        <v>5663</v>
      </c>
    </row>
    <row r="20" spans="2:9" ht="13.5" customHeight="1" x14ac:dyDescent="0.25">
      <c r="B20" s="39">
        <f>$C$3-0.005</f>
        <v>5.653221776330733E-2</v>
      </c>
      <c r="C20" s="37">
        <f>IFERROR(ROUND(('DCF Model'!C45/(1+$B20)^('DCF Model'!C19+0)+'DCF Model'!D45/(1+$B20)^('DCF Model'!C19+1)+'DCF Model'!E45/(1+$B20)^('DCF Model'!C19+2)+'DCF Model'!F45/(1+$B20)^('DCF Model'!C19+3)+'DCF Model'!G45/(1+$B20)^('DCF Model'!C19+4)+('DCF Model'!G39+'DCF Model'!G42)*C$17/(1+$B20)^('DCF Model'!C19+4)-'DCF Model'!C16)*1000000/'DCF Model'!C15,0),"")</f>
        <v>2763</v>
      </c>
      <c r="D20" s="37">
        <f>IFERROR(ROUND(('DCF Model'!C45/(1+$B20)^('DCF Model'!C19+0)+'DCF Model'!D45/(1+$B20)^('DCF Model'!C19+1)+'DCF Model'!E45/(1+$B20)^('DCF Model'!C19+2)+'DCF Model'!F45/(1+$B20)^('DCF Model'!C19+3)+'DCF Model'!G45/(1+$B20)^('DCF Model'!C19+4)+('DCF Model'!G39+'DCF Model'!G42)*D$17/(1+$B20)^('DCF Model'!C19+4)-'DCF Model'!C16)*1000000/'DCF Model'!C15,0),"")</f>
        <v>3226</v>
      </c>
      <c r="E20" s="37">
        <f>IFERROR(ROUND(('DCF Model'!C45/(1+$B20)^('DCF Model'!C19+0)+'DCF Model'!D45/(1+$B20)^('DCF Model'!C19+1)+'DCF Model'!E45/(1+$B20)^('DCF Model'!C19+2)+'DCF Model'!F45/(1+$B20)^('DCF Model'!C19+3)+'DCF Model'!G45/(1+$B20)^('DCF Model'!C19+4)+('DCF Model'!G39+'DCF Model'!G42)*E$17/(1+$B20)^('DCF Model'!C19+4)-'DCF Model'!C16)*1000000/'DCF Model'!C15,0),"")</f>
        <v>3688</v>
      </c>
      <c r="F20" s="37">
        <f>IFERROR(ROUND(('DCF Model'!C45/(1+$B20)^('DCF Model'!C19+0)+'DCF Model'!D45/(1+$B20)^('DCF Model'!C19+1)+'DCF Model'!E45/(1+$B20)^('DCF Model'!C19+2)+'DCF Model'!F45/(1+$B20)^('DCF Model'!C19+3)+'DCF Model'!G45/(1+$B20)^('DCF Model'!C19+4)+('DCF Model'!G39+'DCF Model'!G42)*F$17/(1+$B20)^('DCF Model'!C19+4)-'DCF Model'!C16)*1000000/'DCF Model'!C15,0),"")</f>
        <v>4151</v>
      </c>
      <c r="G20" s="37">
        <f>IFERROR(ROUND(('DCF Model'!C45/(1+$B20)^('DCF Model'!C19+0)+'DCF Model'!D45/(1+$B20)^('DCF Model'!C19+1)+'DCF Model'!E45/(1+$B20)^('DCF Model'!C19+2)+'DCF Model'!F45/(1+$B20)^('DCF Model'!C19+3)+'DCF Model'!G45/(1+$B20)^('DCF Model'!C19+4)+('DCF Model'!G39+'DCF Model'!G42)*G$17/(1+$B20)^('DCF Model'!C19+4)-'DCF Model'!C16)*1000000/'DCF Model'!C15,0),"")</f>
        <v>4613</v>
      </c>
      <c r="H20" s="37">
        <f>IFERROR(ROUND(('DCF Model'!C45/(1+$B20)^('DCF Model'!C19+0)+'DCF Model'!D45/(1+$B20)^('DCF Model'!C19+1)+'DCF Model'!E45/(1+$B20)^('DCF Model'!C19+2)+'DCF Model'!F45/(1+$B20)^('DCF Model'!C19+3)+'DCF Model'!G45/(1+$B20)^('DCF Model'!C19+4)+('DCF Model'!G39+'DCF Model'!G42)*H$17/(1+$B20)^('DCF Model'!C19+4)-'DCF Model'!C16)*1000000/'DCF Model'!C15,0),"")</f>
        <v>5076</v>
      </c>
      <c r="I20" s="37">
        <f>IFERROR(ROUND(('DCF Model'!C45/(1+$B20)^('DCF Model'!C19+0)+'DCF Model'!D45/(1+$B20)^('DCF Model'!C19+1)+'DCF Model'!E45/(1+$B20)^('DCF Model'!C19+2)+'DCF Model'!F45/(1+$B20)^('DCF Model'!C19+3)+'DCF Model'!G45/(1+$B20)^('DCF Model'!C19+4)+('DCF Model'!G39+'DCF Model'!G42)*I$17/(1+$B20)^('DCF Model'!C19+4)-'DCF Model'!C16)*1000000/'DCF Model'!C15,0),"")</f>
        <v>5538</v>
      </c>
    </row>
    <row r="21" spans="2:9" ht="13.5" customHeight="1" x14ac:dyDescent="0.25">
      <c r="B21" s="39">
        <f>$C$3</f>
        <v>6.1532217763307327E-2</v>
      </c>
      <c r="C21" s="37">
        <f>IFERROR(ROUND(('DCF Model'!C45/(1+$B21)^('DCF Model'!C19+0)+'DCF Model'!D45/(1+$B21)^('DCF Model'!C19+1)+'DCF Model'!E45/(1+$B21)^('DCF Model'!C19+2)+'DCF Model'!F45/(1+$B21)^('DCF Model'!C19+3)+'DCF Model'!G45/(1+$B21)^('DCF Model'!C19+4)+('DCF Model'!G39+'DCF Model'!G42)*C$17/(1+$B21)^('DCF Model'!C19+4)-'DCF Model'!C16)*1000000/'DCF Model'!C15,0),"")</f>
        <v>2700</v>
      </c>
      <c r="D21" s="37">
        <f>IFERROR(ROUND(('DCF Model'!C45/(1+$B21)^('DCF Model'!C19+0)+'DCF Model'!D45/(1+$B21)^('DCF Model'!C19+1)+'DCF Model'!E45/(1+$B21)^('DCF Model'!C19+2)+'DCF Model'!F45/(1+$B21)^('DCF Model'!C19+3)+'DCF Model'!G45/(1+$B21)^('DCF Model'!C19+4)+('DCF Model'!G39+'DCF Model'!G42)*D$17/(1+$B21)^('DCF Model'!C19+4)-'DCF Model'!C16)*1000000/'DCF Model'!C15,0),"")</f>
        <v>3153</v>
      </c>
      <c r="E21" s="37">
        <f>IFERROR(ROUND(('DCF Model'!C45/(1+$B21)^('DCF Model'!C19+0)+'DCF Model'!D45/(1+$B21)^('DCF Model'!C19+1)+'DCF Model'!E45/(1+$B21)^('DCF Model'!C19+2)+'DCF Model'!F45/(1+$B21)^('DCF Model'!C19+3)+'DCF Model'!G45/(1+$B21)^('DCF Model'!C19+4)+('DCF Model'!G39+'DCF Model'!G42)*E$17/(1+$B21)^('DCF Model'!C19+4)-'DCF Model'!C16)*1000000/'DCF Model'!C15,0),"")</f>
        <v>3606</v>
      </c>
      <c r="F21" s="37">
        <f>IFERROR(ROUND(('DCF Model'!C45/(1+$B21)^('DCF Model'!C19+0)+'DCF Model'!D45/(1+$B21)^('DCF Model'!C19+1)+'DCF Model'!E45/(1+$B21)^('DCF Model'!C19+2)+'DCF Model'!F45/(1+$B21)^('DCF Model'!C19+3)+'DCF Model'!G45/(1+$B21)^('DCF Model'!C19+4)+('DCF Model'!G39+'DCF Model'!G42)*F$17/(1+$B21)^('DCF Model'!C19+4)-'DCF Model'!C16)*1000000/'DCF Model'!C15,0),"")</f>
        <v>4059</v>
      </c>
      <c r="G21" s="37">
        <f>IFERROR(ROUND(('DCF Model'!C45/(1+$B21)^('DCF Model'!C19+0)+'DCF Model'!D45/(1+$B21)^('DCF Model'!C19+1)+'DCF Model'!E45/(1+$B21)^('DCF Model'!C19+2)+'DCF Model'!F45/(1+$B21)^('DCF Model'!C19+3)+'DCF Model'!G45/(1+$B21)^('DCF Model'!C19+4)+('DCF Model'!G39+'DCF Model'!G42)*G$17/(1+$B21)^('DCF Model'!C19+4)-'DCF Model'!C16)*1000000/'DCF Model'!C15,0),"")</f>
        <v>4511</v>
      </c>
      <c r="H21" s="37">
        <f>IFERROR(ROUND(('DCF Model'!C45/(1+$B21)^('DCF Model'!C19+0)+'DCF Model'!D45/(1+$B21)^('DCF Model'!C19+1)+'DCF Model'!E45/(1+$B21)^('DCF Model'!C19+2)+'DCF Model'!F45/(1+$B21)^('DCF Model'!C19+3)+'DCF Model'!G45/(1+$B21)^('DCF Model'!C19+4)+('DCF Model'!G39+'DCF Model'!G42)*H$17/(1+$B21)^('DCF Model'!C19+4)-'DCF Model'!C16)*1000000/'DCF Model'!C15,0),"")</f>
        <v>4964</v>
      </c>
      <c r="I21" s="37">
        <f>IFERROR(ROUND(('DCF Model'!C45/(1+$B21)^('DCF Model'!C19+0)+'DCF Model'!D45/(1+$B21)^('DCF Model'!C19+1)+'DCF Model'!E45/(1+$B21)^('DCF Model'!C19+2)+'DCF Model'!F45/(1+$B21)^('DCF Model'!C19+3)+'DCF Model'!G45/(1+$B21)^('DCF Model'!C19+4)+('DCF Model'!G39+'DCF Model'!G42)*I$17/(1+$B21)^('DCF Model'!C19+4)-'DCF Model'!C16)*1000000/'DCF Model'!C15,0),"")</f>
        <v>5417</v>
      </c>
    </row>
    <row r="22" spans="2:9" ht="13.5" customHeight="1" x14ac:dyDescent="0.25">
      <c r="B22" s="39">
        <f>$C$3+0.005</f>
        <v>6.6532217763307325E-2</v>
      </c>
      <c r="C22" s="37">
        <f>IFERROR(ROUND(('DCF Model'!C45/(1+$B22)^('DCF Model'!C19+0)+'DCF Model'!D45/(1+$B22)^('DCF Model'!C19+1)+'DCF Model'!E45/(1+$B22)^('DCF Model'!C19+2)+'DCF Model'!F45/(1+$B22)^('DCF Model'!C19+3)+'DCF Model'!G45/(1+$B22)^('DCF Model'!C19+4)+('DCF Model'!G39+'DCF Model'!G42)*C$17/(1+$B22)^('DCF Model'!C19+4)-'DCF Model'!C16)*1000000/'DCF Model'!C15,0),"")</f>
        <v>2639</v>
      </c>
      <c r="D22" s="37">
        <f>IFERROR(ROUND(('DCF Model'!C45/(1+$B22)^('DCF Model'!C19+0)+'DCF Model'!D45/(1+$B22)^('DCF Model'!C19+1)+'DCF Model'!E45/(1+$B22)^('DCF Model'!C19+2)+'DCF Model'!F45/(1+$B22)^('DCF Model'!C19+3)+'DCF Model'!G45/(1+$B22)^('DCF Model'!C19+4)+('DCF Model'!G39+'DCF Model'!G42)*D$17/(1+$B22)^('DCF Model'!C19+4)-'DCF Model'!C16)*1000000/'DCF Model'!C15,0),"")</f>
        <v>3082</v>
      </c>
      <c r="E22" s="37">
        <f>IFERROR(ROUND(('DCF Model'!C45/(1+$B22)^('DCF Model'!C19+0)+'DCF Model'!D45/(1+$B22)^('DCF Model'!C19+1)+'DCF Model'!E45/(1+$B22)^('DCF Model'!C19+2)+'DCF Model'!F45/(1+$B22)^('DCF Model'!C19+3)+'DCF Model'!G45/(1+$B22)^('DCF Model'!C19+4)+('DCF Model'!G39+'DCF Model'!G42)*E$17/(1+$B22)^('DCF Model'!C19+4)-'DCF Model'!C16)*1000000/'DCF Model'!C15,0),"")</f>
        <v>3525</v>
      </c>
      <c r="F22" s="37">
        <f>IFERROR(ROUND(('DCF Model'!C45/(1+$B22)^('DCF Model'!C19+0)+'DCF Model'!D45/(1+$B22)^('DCF Model'!C19+1)+'DCF Model'!E45/(1+$B22)^('DCF Model'!C19+2)+'DCF Model'!F45/(1+$B22)^('DCF Model'!C19+3)+'DCF Model'!G45/(1+$B22)^('DCF Model'!C19+4)+('DCF Model'!G39+'DCF Model'!G42)*F$17/(1+$B22)^('DCF Model'!C19+4)-'DCF Model'!C16)*1000000/'DCF Model'!C15,0),"")</f>
        <v>3969</v>
      </c>
      <c r="G22" s="37">
        <f>IFERROR(ROUND(('DCF Model'!C45/(1+$B22)^('DCF Model'!C19+0)+'DCF Model'!D45/(1+$B22)^('DCF Model'!C19+1)+'DCF Model'!E45/(1+$B22)^('DCF Model'!C19+2)+'DCF Model'!F45/(1+$B22)^('DCF Model'!C19+3)+'DCF Model'!G45/(1+$B22)^('DCF Model'!C19+4)+('DCF Model'!G39+'DCF Model'!G42)*G$17/(1+$B22)^('DCF Model'!C19+4)-'DCF Model'!C16)*1000000/'DCF Model'!C15,0),"")</f>
        <v>4412</v>
      </c>
      <c r="H22" s="37">
        <f>IFERROR(ROUND(('DCF Model'!C45/(1+$B22)^('DCF Model'!C19+0)+'DCF Model'!D45/(1+$B22)^('DCF Model'!C19+1)+'DCF Model'!E45/(1+$B22)^('DCF Model'!C19+2)+'DCF Model'!F45/(1+$B22)^('DCF Model'!C19+3)+'DCF Model'!G45/(1+$B22)^('DCF Model'!C19+4)+('DCF Model'!G39+'DCF Model'!G42)*H$17/(1+$B22)^('DCF Model'!C19+4)-'DCF Model'!C16)*1000000/'DCF Model'!C15,0),"")</f>
        <v>4855</v>
      </c>
      <c r="I22" s="37">
        <f>IFERROR(ROUND(('DCF Model'!C45/(1+$B22)^('DCF Model'!C19+0)+'DCF Model'!D45/(1+$B22)^('DCF Model'!C19+1)+'DCF Model'!E45/(1+$B22)^('DCF Model'!C19+2)+'DCF Model'!F45/(1+$B22)^('DCF Model'!C19+3)+'DCF Model'!G45/(1+$B22)^('DCF Model'!C19+4)+('DCF Model'!G39+'DCF Model'!G42)*I$17/(1+$B22)^('DCF Model'!C19+4)-'DCF Model'!C16)*1000000/'DCF Model'!C15,0),"")</f>
        <v>5299</v>
      </c>
    </row>
    <row r="23" spans="2:9" ht="13.5" customHeight="1" x14ac:dyDescent="0.25">
      <c r="B23" s="39">
        <f>$C$3+0.01</f>
        <v>7.1532217763307329E-2</v>
      </c>
      <c r="C23" s="37">
        <f>IFERROR(ROUND(('DCF Model'!C45/(1+$B23)^('DCF Model'!C19+0)+'DCF Model'!D45/(1+$B23)^('DCF Model'!C19+1)+'DCF Model'!E45/(1+$B23)^('DCF Model'!C19+2)+'DCF Model'!F45/(1+$B23)^('DCF Model'!C19+3)+'DCF Model'!G45/(1+$B23)^('DCF Model'!C19+4)+('DCF Model'!G39+'DCF Model'!G42)*C$17/(1+$B23)^('DCF Model'!C19+4)-'DCF Model'!C16)*1000000/'DCF Model'!C15,0),"")</f>
        <v>2579</v>
      </c>
      <c r="D23" s="37">
        <f>IFERROR(ROUND(('DCF Model'!C45/(1+$B23)^('DCF Model'!C19+0)+'DCF Model'!D45/(1+$B23)^('DCF Model'!C19+1)+'DCF Model'!E45/(1+$B23)^('DCF Model'!C19+2)+'DCF Model'!F45/(1+$B23)^('DCF Model'!C19+3)+'DCF Model'!G45/(1+$B23)^('DCF Model'!C19+4)+('DCF Model'!G39+'DCF Model'!G42)*D$17/(1+$B23)^('DCF Model'!C19+4)-'DCF Model'!C16)*1000000/'DCF Model'!C15,0),"")</f>
        <v>3013</v>
      </c>
      <c r="E23" s="37">
        <f>IFERROR(ROUND(('DCF Model'!C45/(1+$B23)^('DCF Model'!C19+0)+'DCF Model'!D45/(1+$B23)^('DCF Model'!C19+1)+'DCF Model'!E45/(1+$B23)^('DCF Model'!C19+2)+'DCF Model'!F45/(1+$B23)^('DCF Model'!C19+3)+'DCF Model'!G45/(1+$B23)^('DCF Model'!C19+4)+('DCF Model'!G39+'DCF Model'!G42)*E$17/(1+$B23)^('DCF Model'!C19+4)-'DCF Model'!C16)*1000000/'DCF Model'!C15,0),"")</f>
        <v>3447</v>
      </c>
      <c r="F23" s="37">
        <f>IFERROR(ROUND(('DCF Model'!C45/(1+$B23)^('DCF Model'!C19+0)+'DCF Model'!D45/(1+$B23)^('DCF Model'!C19+1)+'DCF Model'!E45/(1+$B23)^('DCF Model'!C19+2)+'DCF Model'!F45/(1+$B23)^('DCF Model'!C19+3)+'DCF Model'!G45/(1+$B23)^('DCF Model'!C19+4)+('DCF Model'!G39+'DCF Model'!G42)*F$17/(1+$B23)^('DCF Model'!C19+4)-'DCF Model'!C16)*1000000/'DCF Model'!C15,0),"")</f>
        <v>3881</v>
      </c>
      <c r="G23" s="37">
        <f>IFERROR(ROUND(('DCF Model'!C45/(1+$B23)^('DCF Model'!C19+0)+'DCF Model'!D45/(1+$B23)^('DCF Model'!C19+1)+'DCF Model'!E45/(1+$B23)^('DCF Model'!C19+2)+'DCF Model'!F45/(1+$B23)^('DCF Model'!C19+3)+'DCF Model'!G45/(1+$B23)^('DCF Model'!C19+4)+('DCF Model'!G39+'DCF Model'!G42)*G$17/(1+$B23)^('DCF Model'!C19+4)-'DCF Model'!C16)*1000000/'DCF Model'!C15,0),"")</f>
        <v>4315</v>
      </c>
      <c r="H23" s="37">
        <f>IFERROR(ROUND(('DCF Model'!C45/(1+$B23)^('DCF Model'!C19+0)+'DCF Model'!D45/(1+$B23)^('DCF Model'!C19+1)+'DCF Model'!E45/(1+$B23)^('DCF Model'!C19+2)+'DCF Model'!F45/(1+$B23)^('DCF Model'!C19+3)+'DCF Model'!G45/(1+$B23)^('DCF Model'!C19+4)+('DCF Model'!G39+'DCF Model'!G42)*H$17/(1+$B23)^('DCF Model'!C19+4)-'DCF Model'!C16)*1000000/'DCF Model'!C15,0),"")</f>
        <v>4749</v>
      </c>
      <c r="I23" s="37">
        <f>IFERROR(ROUND(('DCF Model'!C45/(1+$B23)^('DCF Model'!C19+0)+'DCF Model'!D45/(1+$B23)^('DCF Model'!C19+1)+'DCF Model'!E45/(1+$B23)^('DCF Model'!C19+2)+'DCF Model'!F45/(1+$B23)^('DCF Model'!C19+3)+'DCF Model'!G45/(1+$B23)^('DCF Model'!C19+4)+('DCF Model'!G39+'DCF Model'!G42)*I$17/(1+$B23)^('DCF Model'!C19+4)-'DCF Model'!C16)*1000000/'DCF Model'!C15,0),"")</f>
        <v>5183</v>
      </c>
    </row>
    <row r="24" spans="2:9" ht="13.5" customHeight="1" x14ac:dyDescent="0.25">
      <c r="B24" s="39">
        <f>$C$3+0.015</f>
        <v>7.653221776330732E-2</v>
      </c>
      <c r="C24" s="37">
        <f>IFERROR(ROUND(('DCF Model'!C45/(1+$B24)^('DCF Model'!C19+0)+'DCF Model'!D45/(1+$B24)^('DCF Model'!C19+1)+'DCF Model'!E45/(1+$B24)^('DCF Model'!C19+2)+'DCF Model'!F45/(1+$B24)^('DCF Model'!C19+3)+'DCF Model'!G45/(1+$B24)^('DCF Model'!C19+4)+('DCF Model'!G39+'DCF Model'!G42)*C$17/(1+$B24)^('DCF Model'!C19+4)-'DCF Model'!C16)*1000000/'DCF Model'!C15,0),"")</f>
        <v>2520</v>
      </c>
      <c r="D24" s="37">
        <f>IFERROR(ROUND(('DCF Model'!C45/(1+$B24)^('DCF Model'!C19+0)+'DCF Model'!D45/(1+$B24)^('DCF Model'!C19+1)+'DCF Model'!E45/(1+$B24)^('DCF Model'!C19+2)+'DCF Model'!F45/(1+$B24)^('DCF Model'!C19+3)+'DCF Model'!G45/(1+$B24)^('DCF Model'!C19+4)+('DCF Model'!G39+'DCF Model'!G42)*D$17/(1+$B24)^('DCF Model'!C19+4)-'DCF Model'!C16)*1000000/'DCF Model'!C15,0),"")</f>
        <v>2945</v>
      </c>
      <c r="E24" s="37">
        <f>IFERROR(ROUND(('DCF Model'!C45/(1+$B24)^('DCF Model'!C19+0)+'DCF Model'!D45/(1+$B24)^('DCF Model'!C19+1)+'DCF Model'!E45/(1+$B24)^('DCF Model'!C19+2)+'DCF Model'!F45/(1+$B24)^('DCF Model'!C19+3)+'DCF Model'!G45/(1+$B24)^('DCF Model'!C19+4)+('DCF Model'!G39+'DCF Model'!G42)*E$17/(1+$B24)^('DCF Model'!C19+4)-'DCF Model'!C16)*1000000/'DCF Model'!C15,0),"")</f>
        <v>3370</v>
      </c>
      <c r="F24" s="37">
        <f>IFERROR(ROUND(('DCF Model'!C45/(1+$B24)^('DCF Model'!C19+0)+'DCF Model'!D45/(1+$B24)^('DCF Model'!C19+1)+'DCF Model'!E45/(1+$B24)^('DCF Model'!C19+2)+'DCF Model'!F45/(1+$B24)^('DCF Model'!C19+3)+'DCF Model'!G45/(1+$B24)^('DCF Model'!C19+4)+('DCF Model'!G39+'DCF Model'!G42)*F$17/(1+$B24)^('DCF Model'!C19+4)-'DCF Model'!C16)*1000000/'DCF Model'!C15,0),"")</f>
        <v>3795</v>
      </c>
      <c r="G24" s="37">
        <f>IFERROR(ROUND(('DCF Model'!C45/(1+$B24)^('DCF Model'!C19+0)+'DCF Model'!D45/(1+$B24)^('DCF Model'!C19+1)+'DCF Model'!E45/(1+$B24)^('DCF Model'!C19+2)+'DCF Model'!F45/(1+$B24)^('DCF Model'!C19+3)+'DCF Model'!G45/(1+$B24)^('DCF Model'!C19+4)+('DCF Model'!G39+'DCF Model'!G42)*G$17/(1+$B24)^('DCF Model'!C19+4)-'DCF Model'!C16)*1000000/'DCF Model'!C15,0),"")</f>
        <v>4220</v>
      </c>
      <c r="H24" s="37">
        <f>IFERROR(ROUND(('DCF Model'!C45/(1+$B24)^('DCF Model'!C19+0)+'DCF Model'!D45/(1+$B24)^('DCF Model'!C19+1)+'DCF Model'!E45/(1+$B24)^('DCF Model'!C19+2)+'DCF Model'!F45/(1+$B24)^('DCF Model'!C19+3)+'DCF Model'!G45/(1+$B24)^('DCF Model'!C19+4)+('DCF Model'!G39+'DCF Model'!G42)*H$17/(1+$B24)^('DCF Model'!C19+4)-'DCF Model'!C16)*1000000/'DCF Model'!C15,0),"")</f>
        <v>4645</v>
      </c>
      <c r="I24" s="37">
        <f>IFERROR(ROUND(('DCF Model'!C45/(1+$B24)^('DCF Model'!C19+0)+'DCF Model'!D45/(1+$B24)^('DCF Model'!C19+1)+'DCF Model'!E45/(1+$B24)^('DCF Model'!C19+2)+'DCF Model'!F45/(1+$B24)^('DCF Model'!C19+3)+'DCF Model'!G45/(1+$B24)^('DCF Model'!C19+4)+('DCF Model'!G39+'DCF Model'!G42)*I$17/(1+$B24)^('DCF Model'!C19+4)-'DCF Model'!C16)*1000000/'DCF Model'!C15,0),"")</f>
        <v>5071</v>
      </c>
    </row>
    <row r="26" spans="2:9" ht="14" customHeight="1" x14ac:dyDescent="0.3">
      <c r="B26" s="46" t="s">
        <v>240</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5"/>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241</v>
      </c>
    </row>
    <row r="4" spans="2:7" ht="14" customHeight="1"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s="43" t="s">
        <v>248</v>
      </c>
      <c r="C6" s="4" t="s">
        <v>253</v>
      </c>
      <c r="D6" s="43" t="s">
        <v>254</v>
      </c>
      <c r="E6" s="43" t="s">
        <v>255</v>
      </c>
      <c r="F6" s="43" t="s">
        <v>256</v>
      </c>
      <c r="G6" s="43" t="s">
        <v>257</v>
      </c>
    </row>
    <row r="7" spans="2:7" ht="30" customHeight="1" x14ac:dyDescent="0.3">
      <c r="B7" s="43" t="s">
        <v>248</v>
      </c>
      <c r="C7" s="4" t="s">
        <v>258</v>
      </c>
      <c r="D7" s="43" t="s">
        <v>259</v>
      </c>
      <c r="E7" s="43" t="s">
        <v>260</v>
      </c>
      <c r="F7" s="43" t="s">
        <v>261</v>
      </c>
      <c r="G7" s="43" t="s">
        <v>262</v>
      </c>
    </row>
    <row r="8" spans="2:7" ht="30" customHeight="1" x14ac:dyDescent="0.3">
      <c r="B8" s="43" t="s">
        <v>248</v>
      </c>
      <c r="C8" s="4" t="s">
        <v>263</v>
      </c>
      <c r="D8" s="43" t="s">
        <v>264</v>
      </c>
      <c r="E8" s="43" t="s">
        <v>265</v>
      </c>
      <c r="F8" s="43" t="s">
        <v>266</v>
      </c>
      <c r="G8" s="43" t="s">
        <v>262</v>
      </c>
    </row>
    <row r="9" spans="2:7" ht="30" customHeight="1" x14ac:dyDescent="0.3">
      <c r="B9" s="43" t="s">
        <v>248</v>
      </c>
      <c r="C9" s="4" t="s">
        <v>267</v>
      </c>
      <c r="D9" s="43" t="s">
        <v>268</v>
      </c>
      <c r="E9" s="43" t="s">
        <v>269</v>
      </c>
      <c r="F9" s="43" t="s">
        <v>270</v>
      </c>
      <c r="G9" s="43" t="s">
        <v>262</v>
      </c>
    </row>
    <row r="10" spans="2:7" ht="30" customHeight="1" x14ac:dyDescent="0.3">
      <c r="B10" s="43" t="s">
        <v>248</v>
      </c>
      <c r="C10" s="4" t="s">
        <v>271</v>
      </c>
      <c r="D10" s="43" t="s">
        <v>272</v>
      </c>
      <c r="E10" s="43" t="s">
        <v>273</v>
      </c>
      <c r="F10" s="43" t="s">
        <v>274</v>
      </c>
      <c r="G10" s="43" t="s">
        <v>275</v>
      </c>
    </row>
    <row r="11" spans="2:7" ht="30" customHeight="1" x14ac:dyDescent="0.3">
      <c r="B11" s="43" t="s">
        <v>248</v>
      </c>
      <c r="C11" s="4" t="s">
        <v>276</v>
      </c>
      <c r="D11" s="43" t="s">
        <v>277</v>
      </c>
      <c r="E11" s="43" t="s">
        <v>278</v>
      </c>
      <c r="F11" s="43" t="s">
        <v>279</v>
      </c>
      <c r="G11" s="43" t="s">
        <v>280</v>
      </c>
    </row>
    <row r="12" spans="2:7" ht="30" customHeight="1" x14ac:dyDescent="0.3">
      <c r="B12" s="43" t="s">
        <v>248</v>
      </c>
      <c r="C12" s="4" t="s">
        <v>281</v>
      </c>
      <c r="D12" s="43" t="s">
        <v>282</v>
      </c>
      <c r="E12" s="43" t="s">
        <v>283</v>
      </c>
      <c r="F12" s="43" t="s">
        <v>284</v>
      </c>
      <c r="G12" s="43" t="s">
        <v>262</v>
      </c>
    </row>
    <row r="13" spans="2:7" ht="30" customHeight="1" x14ac:dyDescent="0.3">
      <c r="B13" s="43" t="s">
        <v>248</v>
      </c>
      <c r="C13" s="4" t="s">
        <v>285</v>
      </c>
      <c r="D13" s="43" t="s">
        <v>286</v>
      </c>
      <c r="E13" s="43" t="s">
        <v>287</v>
      </c>
      <c r="F13" s="43" t="s">
        <v>288</v>
      </c>
      <c r="G13" s="43" t="s">
        <v>262</v>
      </c>
    </row>
    <row r="14" spans="2:7" ht="30" customHeight="1" x14ac:dyDescent="0.3">
      <c r="B14" s="43" t="s">
        <v>248</v>
      </c>
      <c r="C14" s="4" t="s">
        <v>289</v>
      </c>
      <c r="D14" s="43" t="s">
        <v>290</v>
      </c>
      <c r="E14" s="43" t="s">
        <v>291</v>
      </c>
      <c r="F14" s="43" t="s">
        <v>249</v>
      </c>
      <c r="G14" s="43" t="s">
        <v>262</v>
      </c>
    </row>
    <row r="15" spans="2:7" ht="30" customHeight="1" x14ac:dyDescent="0.3">
      <c r="B15" s="43" t="s">
        <v>248</v>
      </c>
      <c r="C15" s="4" t="s">
        <v>292</v>
      </c>
      <c r="D15" s="43" t="s">
        <v>293</v>
      </c>
      <c r="E15" s="43" t="s">
        <v>294</v>
      </c>
      <c r="F15" s="43" t="s">
        <v>249</v>
      </c>
      <c r="G15" s="43" t="s">
        <v>257</v>
      </c>
    </row>
    <row r="16" spans="2:7" ht="30" customHeight="1" x14ac:dyDescent="0.3">
      <c r="B16" s="43" t="s">
        <v>248</v>
      </c>
      <c r="C16" s="4" t="s">
        <v>295</v>
      </c>
      <c r="D16" s="43" t="s">
        <v>296</v>
      </c>
      <c r="E16" s="43" t="s">
        <v>297</v>
      </c>
      <c r="F16" s="43" t="s">
        <v>266</v>
      </c>
      <c r="G16" s="43" t="s">
        <v>262</v>
      </c>
    </row>
    <row r="17" spans="2:7" ht="30" customHeight="1" x14ac:dyDescent="0.3">
      <c r="B17" s="43" t="s">
        <v>248</v>
      </c>
      <c r="C17" s="4" t="s">
        <v>298</v>
      </c>
      <c r="D17" s="43" t="s">
        <v>299</v>
      </c>
      <c r="E17" s="43" t="s">
        <v>300</v>
      </c>
      <c r="F17" s="43" t="s">
        <v>301</v>
      </c>
      <c r="G17" s="43" t="s">
        <v>262</v>
      </c>
    </row>
    <row r="18" spans="2:7" ht="30" customHeight="1" x14ac:dyDescent="0.3">
      <c r="B18" s="43" t="s">
        <v>248</v>
      </c>
      <c r="C18" s="4" t="s">
        <v>302</v>
      </c>
      <c r="D18" s="43" t="s">
        <v>303</v>
      </c>
      <c r="E18" s="43" t="s">
        <v>304</v>
      </c>
      <c r="F18" s="43" t="s">
        <v>249</v>
      </c>
      <c r="G18" s="43" t="s">
        <v>305</v>
      </c>
    </row>
    <row r="19" spans="2:7" ht="30" customHeight="1" x14ac:dyDescent="0.3">
      <c r="B19" s="43" t="s">
        <v>248</v>
      </c>
      <c r="C19" s="4" t="s">
        <v>306</v>
      </c>
      <c r="D19" s="43" t="s">
        <v>307</v>
      </c>
      <c r="E19" s="43" t="s">
        <v>308</v>
      </c>
      <c r="F19" s="43" t="s">
        <v>266</v>
      </c>
      <c r="G19" s="43" t="s">
        <v>262</v>
      </c>
    </row>
    <row r="20" spans="2:7" ht="30" customHeight="1" x14ac:dyDescent="0.3">
      <c r="B20" s="43" t="s">
        <v>248</v>
      </c>
      <c r="C20" s="4" t="s">
        <v>309</v>
      </c>
      <c r="D20" s="43" t="s">
        <v>310</v>
      </c>
      <c r="E20" s="43" t="s">
        <v>311</v>
      </c>
      <c r="F20" s="43" t="s">
        <v>249</v>
      </c>
      <c r="G20" s="43" t="s">
        <v>262</v>
      </c>
    </row>
    <row r="21" spans="2:7" ht="30" customHeight="1" x14ac:dyDescent="0.3">
      <c r="B21" s="43" t="s">
        <v>248</v>
      </c>
      <c r="C21" s="4" t="s">
        <v>312</v>
      </c>
      <c r="D21" s="43" t="s">
        <v>313</v>
      </c>
      <c r="E21" s="43" t="s">
        <v>314</v>
      </c>
      <c r="F21" s="43" t="s">
        <v>249</v>
      </c>
      <c r="G21" s="43" t="s">
        <v>257</v>
      </c>
    </row>
    <row r="22" spans="2:7" ht="30" customHeight="1" x14ac:dyDescent="0.3">
      <c r="B22" s="43" t="s">
        <v>248</v>
      </c>
      <c r="C22" s="4" t="s">
        <v>315</v>
      </c>
      <c r="D22" s="43" t="s">
        <v>316</v>
      </c>
      <c r="E22" s="43" t="s">
        <v>317</v>
      </c>
      <c r="F22" s="43" t="s">
        <v>249</v>
      </c>
      <c r="G22" s="43" t="s">
        <v>318</v>
      </c>
    </row>
    <row r="23" spans="2:7" ht="30" customHeight="1" x14ac:dyDescent="0.3">
      <c r="B23" s="43" t="s">
        <v>248</v>
      </c>
      <c r="C23" s="4" t="s">
        <v>319</v>
      </c>
      <c r="D23" s="43" t="s">
        <v>320</v>
      </c>
      <c r="E23" s="43" t="s">
        <v>321</v>
      </c>
      <c r="F23" s="43" t="s">
        <v>249</v>
      </c>
      <c r="G23" s="43" t="s">
        <v>322</v>
      </c>
    </row>
    <row r="24" spans="2:7" ht="30" customHeight="1" x14ac:dyDescent="0.3">
      <c r="B24" s="43" t="s">
        <v>248</v>
      </c>
      <c r="C24" s="4" t="s">
        <v>319</v>
      </c>
      <c r="D24" s="43" t="s">
        <v>323</v>
      </c>
      <c r="E24" s="43" t="s">
        <v>324</v>
      </c>
      <c r="F24" s="43" t="s">
        <v>249</v>
      </c>
      <c r="G24" s="43" t="s">
        <v>322</v>
      </c>
    </row>
    <row r="25" spans="2:7" ht="30" customHeight="1" x14ac:dyDescent="0.3">
      <c r="B25" s="43" t="s">
        <v>248</v>
      </c>
      <c r="C25" s="4" t="s">
        <v>319</v>
      </c>
      <c r="D25" s="43" t="s">
        <v>325</v>
      </c>
      <c r="E25" s="43" t="s">
        <v>326</v>
      </c>
      <c r="F25" s="43" t="s">
        <v>249</v>
      </c>
      <c r="G25" s="43" t="s">
        <v>322</v>
      </c>
    </row>
    <row r="26" spans="2:7" ht="14" customHeight="1" x14ac:dyDescent="0.2"/>
    <row r="27" spans="2:7" ht="14" customHeight="1" x14ac:dyDescent="0.3">
      <c r="B27" s="8" t="s">
        <v>327</v>
      </c>
    </row>
    <row r="28" spans="2:7" ht="14" customHeight="1" x14ac:dyDescent="0.3">
      <c r="B28" s="10" t="s">
        <v>328</v>
      </c>
      <c r="C28" s="10" t="s">
        <v>329</v>
      </c>
    </row>
    <row r="29" spans="2:7" ht="14" customHeight="1" x14ac:dyDescent="0.3">
      <c r="B29" s="4" t="s">
        <v>330</v>
      </c>
      <c r="C29" t="s">
        <v>331</v>
      </c>
    </row>
    <row r="30" spans="2:7" ht="14" customHeight="1" x14ac:dyDescent="0.3">
      <c r="B30" s="4" t="s">
        <v>332</v>
      </c>
      <c r="C30" t="s">
        <v>333</v>
      </c>
    </row>
    <row r="31" spans="2:7" ht="14" customHeight="1" x14ac:dyDescent="0.3">
      <c r="B31" s="4" t="s">
        <v>334</v>
      </c>
      <c r="C31" t="s">
        <v>335</v>
      </c>
    </row>
    <row r="32" spans="2:7" ht="14" customHeight="1" x14ac:dyDescent="0.3">
      <c r="B32" s="4" t="s">
        <v>336</v>
      </c>
      <c r="C32" t="s">
        <v>337</v>
      </c>
    </row>
    <row r="33" spans="2:3" ht="14" customHeight="1" x14ac:dyDescent="0.3">
      <c r="B33" s="4" t="s">
        <v>338</v>
      </c>
      <c r="C33" t="s">
        <v>4</v>
      </c>
    </row>
    <row r="34" spans="2:3" ht="14" customHeight="1" x14ac:dyDescent="0.3">
      <c r="B34" s="4" t="s">
        <v>339</v>
      </c>
      <c r="C34" t="s">
        <v>248</v>
      </c>
    </row>
    <row r="35" spans="2:3" ht="14" customHeight="1" x14ac:dyDescent="0.3">
      <c r="B35" s="4" t="s">
        <v>340</v>
      </c>
      <c r="C35" t="s">
        <v>341</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345</v>
      </c>
    </row>
    <row r="41" spans="2:3" ht="14" customHeight="1" x14ac:dyDescent="0.3">
      <c r="B41" s="4" t="s">
        <v>351</v>
      </c>
      <c r="C41" t="s">
        <v>341</v>
      </c>
    </row>
    <row r="42" spans="2:3" ht="14" customHeight="1" x14ac:dyDescent="0.3">
      <c r="B42" s="4" t="s">
        <v>352</v>
      </c>
      <c r="C42" t="s">
        <v>353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361</v>
      </c>
    </row>
    <row r="47" spans="2:3" ht="14" customHeight="1" x14ac:dyDescent="0.3">
      <c r="B47" s="4" t="s">
        <v>362</v>
      </c>
      <c r="C47" t="s">
        <v>363</v>
      </c>
    </row>
    <row r="48" spans="2:3" ht="14" customHeight="1" x14ac:dyDescent="0.3">
      <c r="B48" s="4" t="s">
        <v>364</v>
      </c>
      <c r="C48" t="s">
        <v>365</v>
      </c>
    </row>
    <row r="49" spans="2:3" ht="14" customHeight="1" x14ac:dyDescent="0.3">
      <c r="B49" s="4" t="s">
        <v>366</v>
      </c>
      <c r="C49" t="s">
        <v>367</v>
      </c>
    </row>
    <row r="50" spans="2:3" ht="14" customHeight="1" x14ac:dyDescent="0.3">
      <c r="B50" s="4" t="s">
        <v>368</v>
      </c>
      <c r="C50" t="s">
        <v>333</v>
      </c>
    </row>
    <row r="51" spans="2:3" ht="14" x14ac:dyDescent="0.3">
      <c r="B51" s="4" t="s">
        <v>369</v>
      </c>
      <c r="C51" t="s">
        <v>370</v>
      </c>
    </row>
    <row r="52" spans="2:3" ht="14" x14ac:dyDescent="0.3">
      <c r="B52" s="4" t="s">
        <v>371</v>
      </c>
      <c r="C52" t="s">
        <v>372</v>
      </c>
    </row>
    <row r="53" spans="2:3" ht="14" x14ac:dyDescent="0.3">
      <c r="B53" s="4" t="s">
        <v>373</v>
      </c>
      <c r="C53" t="s">
        <v>374</v>
      </c>
    </row>
    <row r="54" spans="2:3" ht="14" x14ac:dyDescent="0.3">
      <c r="B54" s="4" t="s">
        <v>375</v>
      </c>
      <c r="C54" t="s">
        <v>376</v>
      </c>
    </row>
    <row r="55" spans="2:3" ht="14" x14ac:dyDescent="0.3">
      <c r="B55" s="4" t="s">
        <v>377</v>
      </c>
      <c r="C55" t="s">
        <v>378</v>
      </c>
    </row>
    <row r="56" spans="2:3" ht="14" x14ac:dyDescent="0.3">
      <c r="B56" s="4" t="s">
        <v>379</v>
      </c>
      <c r="C56" t="s">
        <v>380</v>
      </c>
    </row>
    <row r="57" spans="2:3" ht="14" x14ac:dyDescent="0.3">
      <c r="B57" s="4" t="s">
        <v>381</v>
      </c>
      <c r="C57" t="s">
        <v>382</v>
      </c>
    </row>
    <row r="58" spans="2:3" ht="14" x14ac:dyDescent="0.3">
      <c r="B58" s="4" t="s">
        <v>383</v>
      </c>
      <c r="C58" t="s">
        <v>384</v>
      </c>
    </row>
    <row r="59" spans="2:3" ht="14" x14ac:dyDescent="0.3">
      <c r="B59" s="4" t="s">
        <v>385</v>
      </c>
      <c r="C59" t="s">
        <v>386</v>
      </c>
    </row>
    <row r="60" spans="2:3" ht="14" x14ac:dyDescent="0.3">
      <c r="B60" s="4" t="s">
        <v>387</v>
      </c>
      <c r="C60" t="s">
        <v>388</v>
      </c>
    </row>
    <row r="61" spans="2:3" ht="14" x14ac:dyDescent="0.3">
      <c r="B61" s="4" t="s">
        <v>389</v>
      </c>
      <c r="C61" t="s">
        <v>390</v>
      </c>
    </row>
    <row r="62" spans="2:3" ht="14" x14ac:dyDescent="0.3">
      <c r="B62" s="4" t="s">
        <v>391</v>
      </c>
      <c r="C62" t="s">
        <v>392</v>
      </c>
    </row>
    <row r="63" spans="2:3" ht="14" x14ac:dyDescent="0.3">
      <c r="B63" s="4" t="s">
        <v>393</v>
      </c>
      <c r="C63" t="s">
        <v>394</v>
      </c>
    </row>
    <row r="64" spans="2:3" ht="14" x14ac:dyDescent="0.3">
      <c r="B64" s="4" t="s">
        <v>395</v>
      </c>
      <c r="C64" t="s">
        <v>396</v>
      </c>
    </row>
    <row r="65" spans="2:3" ht="14" x14ac:dyDescent="0.3">
      <c r="B65" s="4" t="s">
        <v>397</v>
      </c>
      <c r="C65" t="s">
        <v>209</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2026-09-05T04:58:27Z</dcterms:created>
  <dcterms:modified xsi:type="dcterms:W3CDTF">2026-09-05T05:34:00Z</dcterms:modified>
</cp:coreProperties>
</file>