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D9C0ED49-816C-40BD-920D-E66863B6EE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F16" i="6" s="1"/>
  <c r="C28" i="6" s="1"/>
  <c r="C19" i="1" s="1"/>
  <c r="D19" i="1" s="1"/>
  <c r="K6" i="6"/>
  <c r="E15" i="6" s="1"/>
  <c r="J6" i="6"/>
  <c r="O5" i="6"/>
  <c r="N5" i="6"/>
  <c r="D5" i="6"/>
  <c r="E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G5" i="5" s="1"/>
  <c r="C25" i="3"/>
  <c r="C24" i="3"/>
  <c r="C23" i="3"/>
  <c r="F28" i="2"/>
  <c r="E28" i="2"/>
  <c r="D28" i="2"/>
  <c r="C28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C9" i="2"/>
  <c r="F8" i="2"/>
  <c r="F9" i="2" s="1"/>
  <c r="E8" i="2"/>
  <c r="E9" i="2" s="1"/>
  <c r="D8" i="2"/>
  <c r="D9" i="2" s="1"/>
  <c r="C8" i="2"/>
  <c r="G15" i="6" l="1"/>
  <c r="H15" i="6"/>
  <c r="I16" i="6"/>
  <c r="C26" i="3"/>
  <c r="D36" i="4" s="1"/>
  <c r="H16" i="6"/>
  <c r="F15" i="6"/>
  <c r="D17" i="6"/>
  <c r="C70" i="4"/>
  <c r="C71" i="4"/>
  <c r="J5" i="6"/>
  <c r="K5" i="6"/>
  <c r="C3" i="7"/>
  <c r="G36" i="4"/>
  <c r="C11" i="4"/>
  <c r="C24" i="4" s="1"/>
  <c r="C25" i="4" s="1"/>
  <c r="G46" i="3"/>
  <c r="F36" i="4"/>
  <c r="F46" i="3"/>
  <c r="E36" i="4"/>
  <c r="C46" i="3"/>
  <c r="E46" i="3"/>
  <c r="H36" i="4"/>
  <c r="C30" i="3"/>
  <c r="C33" i="3" s="1"/>
  <c r="F31" i="3"/>
  <c r="H5" i="5"/>
  <c r="D7" i="5"/>
  <c r="I15" i="6"/>
  <c r="E17" i="6"/>
  <c r="I6" i="7"/>
  <c r="D30" i="3"/>
  <c r="G31" i="3"/>
  <c r="E7" i="5"/>
  <c r="L5" i="6"/>
  <c r="D16" i="6"/>
  <c r="F17" i="6"/>
  <c r="C17" i="7"/>
  <c r="F32" i="3"/>
  <c r="G6" i="5"/>
  <c r="E30" i="3"/>
  <c r="C32" i="3"/>
  <c r="D6" i="5"/>
  <c r="F7" i="5"/>
  <c r="M5" i="6"/>
  <c r="E16" i="6"/>
  <c r="G17" i="6"/>
  <c r="C6" i="7"/>
  <c r="D17" i="7"/>
  <c r="C31" i="3"/>
  <c r="E5" i="5"/>
  <c r="F30" i="3"/>
  <c r="D32" i="3"/>
  <c r="E6" i="5"/>
  <c r="G7" i="5"/>
  <c r="D15" i="6"/>
  <c r="H17" i="6"/>
  <c r="D6" i="7"/>
  <c r="E17" i="7"/>
  <c r="G30" i="3"/>
  <c r="E32" i="3"/>
  <c r="D5" i="5"/>
  <c r="F6" i="5"/>
  <c r="H7" i="5"/>
  <c r="G16" i="6"/>
  <c r="I17" i="6"/>
  <c r="E6" i="7"/>
  <c r="F17" i="7"/>
  <c r="F6" i="7"/>
  <c r="G17" i="7"/>
  <c r="D31" i="3"/>
  <c r="G32" i="3"/>
  <c r="F5" i="5"/>
  <c r="H6" i="5"/>
  <c r="G6" i="7"/>
  <c r="H17" i="7"/>
  <c r="E31" i="3"/>
  <c r="D46" i="3" l="1"/>
  <c r="C29" i="4"/>
  <c r="C27" i="4"/>
  <c r="C26" i="4"/>
  <c r="G46" i="4"/>
  <c r="G40" i="4"/>
  <c r="G50" i="4" s="1"/>
  <c r="G55" i="4" s="1"/>
  <c r="G38" i="4"/>
  <c r="G41" i="4"/>
  <c r="G44" i="4"/>
  <c r="G45" i="4"/>
  <c r="G39" i="4"/>
  <c r="G49" i="4" s="1"/>
  <c r="G54" i="4" s="1"/>
  <c r="G43" i="4"/>
  <c r="C27" i="6"/>
  <c r="C18" i="1" s="1"/>
  <c r="D18" i="1" s="1"/>
  <c r="C74" i="4"/>
  <c r="E39" i="4"/>
  <c r="E43" i="4"/>
  <c r="E40" i="4"/>
  <c r="E44" i="4"/>
  <c r="E38" i="4"/>
  <c r="E46" i="4"/>
  <c r="E41" i="4"/>
  <c r="E51" i="4" s="1"/>
  <c r="E56" i="4" s="1"/>
  <c r="E45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D45" i="4"/>
  <c r="D39" i="4"/>
  <c r="D49" i="4" s="1"/>
  <c r="D54" i="4" s="1"/>
  <c r="D46" i="4"/>
  <c r="D40" i="4"/>
  <c r="D44" i="4"/>
  <c r="D43" i="4"/>
  <c r="D38" i="4"/>
  <c r="D41" i="4"/>
  <c r="H40" i="4"/>
  <c r="H44" i="4"/>
  <c r="H41" i="4"/>
  <c r="H45" i="4"/>
  <c r="H39" i="4"/>
  <c r="H38" i="4"/>
  <c r="H43" i="4"/>
  <c r="H46" i="4"/>
  <c r="C42" i="3"/>
  <c r="C34" i="3"/>
  <c r="D10" i="5" s="1"/>
  <c r="C37" i="3"/>
  <c r="D9" i="5"/>
  <c r="D12" i="5" s="1"/>
  <c r="D33" i="3"/>
  <c r="F43" i="4"/>
  <c r="F46" i="4"/>
  <c r="F44" i="4"/>
  <c r="F38" i="4"/>
  <c r="F48" i="4" s="1"/>
  <c r="F53" i="4" s="1"/>
  <c r="F40" i="4"/>
  <c r="F41" i="4"/>
  <c r="F45" i="4"/>
  <c r="F39" i="4"/>
  <c r="H50" i="4" l="1"/>
  <c r="H55" i="4" s="1"/>
  <c r="D51" i="4"/>
  <c r="D56" i="4" s="1"/>
  <c r="E48" i="4"/>
  <c r="E53" i="4" s="1"/>
  <c r="D48" i="4"/>
  <c r="D53" i="4" s="1"/>
  <c r="E50" i="4"/>
  <c r="E55" i="4" s="1"/>
  <c r="H48" i="4"/>
  <c r="H53" i="4" s="1"/>
  <c r="H49" i="4"/>
  <c r="H54" i="4" s="1"/>
  <c r="C35" i="3"/>
  <c r="D50" i="4"/>
  <c r="D55" i="4" s="1"/>
  <c r="G51" i="4"/>
  <c r="G56" i="4" s="1"/>
  <c r="D15" i="5"/>
  <c r="D16" i="5" s="1"/>
  <c r="D13" i="5"/>
  <c r="F49" i="4"/>
  <c r="E9" i="5"/>
  <c r="E12" i="5" s="1"/>
  <c r="D37" i="3"/>
  <c r="D34" i="3"/>
  <c r="E10" i="5" s="1"/>
  <c r="D42" i="3"/>
  <c r="E33" i="3"/>
  <c r="D14" i="5"/>
  <c r="D18" i="5" s="1"/>
  <c r="D19" i="5" s="1"/>
  <c r="C44" i="3" s="1"/>
  <c r="F51" i="4"/>
  <c r="F56" i="4" s="1"/>
  <c r="F50" i="4"/>
  <c r="F55" i="4" s="1"/>
  <c r="H51" i="4"/>
  <c r="H56" i="4" s="1"/>
  <c r="E49" i="4"/>
  <c r="E54" i="4" s="1"/>
  <c r="G48" i="4"/>
  <c r="G53" i="4" s="1"/>
  <c r="D35" i="3" l="1"/>
  <c r="D36" i="3"/>
  <c r="D39" i="3"/>
  <c r="D38" i="3"/>
  <c r="C36" i="3"/>
  <c r="C39" i="3"/>
  <c r="C38" i="3"/>
  <c r="E14" i="5"/>
  <c r="E18" i="5" s="1"/>
  <c r="E19" i="5" s="1"/>
  <c r="D44" i="3" s="1"/>
  <c r="F54" i="4"/>
  <c r="B78" i="4" s="1"/>
  <c r="C60" i="4"/>
  <c r="E13" i="5"/>
  <c r="E15" i="5"/>
  <c r="E16" i="5" s="1"/>
  <c r="F9" i="5"/>
  <c r="F12" i="5" s="1"/>
  <c r="E42" i="3"/>
  <c r="E34" i="3"/>
  <c r="F10" i="5" s="1"/>
  <c r="E35" i="3"/>
  <c r="F33" i="3"/>
  <c r="E37" i="3"/>
  <c r="F13" i="5" l="1"/>
  <c r="F14" i="5" s="1"/>
  <c r="F18" i="5" s="1"/>
  <c r="F19" i="5" s="1"/>
  <c r="E44" i="3" s="1"/>
  <c r="F15" i="5"/>
  <c r="F16" i="5" s="1"/>
  <c r="E39" i="3"/>
  <c r="E38" i="3"/>
  <c r="E36" i="3"/>
  <c r="C40" i="3"/>
  <c r="C41" i="3" s="1"/>
  <c r="C45" i="3" s="1"/>
  <c r="D40" i="3"/>
  <c r="D41" i="3" s="1"/>
  <c r="D45" i="3" s="1"/>
  <c r="D47" i="3" s="1"/>
  <c r="F42" i="3"/>
  <c r="F34" i="3"/>
  <c r="G10" i="5" s="1"/>
  <c r="F37" i="3"/>
  <c r="F35" i="3"/>
  <c r="G33" i="3"/>
  <c r="G9" i="5"/>
  <c r="G12" i="5" s="1"/>
  <c r="C65" i="4"/>
  <c r="D65" i="4" s="1"/>
  <c r="C64" i="4"/>
  <c r="D64" i="4" s="1"/>
  <c r="C67" i="4"/>
  <c r="D67" i="4" s="1"/>
  <c r="C63" i="4"/>
  <c r="D63" i="4" s="1"/>
  <c r="C66" i="4"/>
  <c r="D66" i="4" s="1"/>
  <c r="C47" i="3" l="1"/>
  <c r="G37" i="3"/>
  <c r="C16" i="4"/>
  <c r="C28" i="4" s="1"/>
  <c r="H9" i="5"/>
  <c r="H12" i="5" s="1"/>
  <c r="G42" i="3"/>
  <c r="G34" i="3"/>
  <c r="H10" i="5" s="1"/>
  <c r="G13" i="5"/>
  <c r="G14" i="5" s="1"/>
  <c r="G18" i="5" s="1"/>
  <c r="G19" i="5" s="1"/>
  <c r="F44" i="3" s="1"/>
  <c r="G15" i="5"/>
  <c r="G16" i="5" s="1"/>
  <c r="E40" i="3"/>
  <c r="E41" i="3" s="1"/>
  <c r="E45" i="3" s="1"/>
  <c r="F38" i="3"/>
  <c r="F36" i="3"/>
  <c r="F39" i="3"/>
  <c r="E47" i="3" l="1"/>
  <c r="F40" i="3"/>
  <c r="F41" i="3" s="1"/>
  <c r="F45" i="3" s="1"/>
  <c r="C72" i="4"/>
  <c r="C73" i="4"/>
  <c r="H15" i="5"/>
  <c r="H16" i="5" s="1"/>
  <c r="H13" i="5"/>
  <c r="H14" i="5"/>
  <c r="G35" i="3"/>
  <c r="F47" i="3" l="1"/>
  <c r="G38" i="3"/>
  <c r="G36" i="3"/>
  <c r="G39" i="3"/>
  <c r="H18" i="5"/>
  <c r="H19" i="5" s="1"/>
  <c r="G44" i="3" s="1"/>
  <c r="G40" i="3" l="1"/>
  <c r="G41" i="3" s="1"/>
  <c r="G45" i="3" s="1"/>
  <c r="C59" i="3"/>
  <c r="C60" i="3" s="1"/>
  <c r="C61" i="3" s="1"/>
  <c r="C51" i="3" l="1"/>
  <c r="C52" i="3" s="1"/>
  <c r="G47" i="3"/>
  <c r="C50" i="3" s="1"/>
  <c r="D22" i="7"/>
  <c r="G19" i="7"/>
  <c r="F19" i="7"/>
  <c r="F20" i="7"/>
  <c r="D11" i="7"/>
  <c r="H10" i="7"/>
  <c r="F22" i="7"/>
  <c r="G22" i="7"/>
  <c r="D24" i="7"/>
  <c r="E20" i="7"/>
  <c r="I20" i="7"/>
  <c r="C8" i="7"/>
  <c r="E10" i="7"/>
  <c r="C20" i="7"/>
  <c r="E12" i="7"/>
  <c r="I8" i="7"/>
  <c r="G12" i="7"/>
  <c r="F18" i="7"/>
  <c r="H18" i="7"/>
  <c r="E11" i="7"/>
  <c r="E18" i="7"/>
  <c r="G18" i="7"/>
  <c r="G9" i="7"/>
  <c r="C21" i="7"/>
  <c r="G23" i="7"/>
  <c r="H12" i="7"/>
  <c r="F13" i="7"/>
  <c r="G8" i="7"/>
  <c r="D12" i="7"/>
  <c r="D8" i="7"/>
  <c r="H8" i="7"/>
  <c r="F23" i="7"/>
  <c r="E9" i="7"/>
  <c r="F21" i="7"/>
  <c r="D18" i="7"/>
  <c r="C24" i="7"/>
  <c r="E7" i="7"/>
  <c r="C11" i="7"/>
  <c r="G24" i="7"/>
  <c r="D19" i="7"/>
  <c r="C12" i="7"/>
  <c r="I11" i="7"/>
  <c r="D10" i="7"/>
  <c r="I7" i="7"/>
  <c r="F8" i="7"/>
  <c r="D20" i="7"/>
  <c r="C22" i="7"/>
  <c r="E13" i="7"/>
  <c r="C10" i="7"/>
  <c r="G11" i="7"/>
  <c r="I12" i="7"/>
  <c r="D13" i="7"/>
  <c r="I19" i="7"/>
  <c r="E8" i="7"/>
  <c r="F11" i="7"/>
  <c r="G10" i="7"/>
  <c r="I13" i="7"/>
  <c r="H7" i="7"/>
  <c r="G7" i="7"/>
  <c r="H24" i="7"/>
  <c r="C19" i="7"/>
  <c r="E21" i="7"/>
  <c r="H19" i="7"/>
  <c r="D23" i="7"/>
  <c r="I24" i="7"/>
  <c r="C18" i="7"/>
  <c r="F24" i="7"/>
  <c r="E24" i="7"/>
  <c r="E19" i="7"/>
  <c r="D7" i="7"/>
  <c r="C13" i="7"/>
  <c r="H21" i="7"/>
  <c r="I22" i="7"/>
  <c r="G13" i="7"/>
  <c r="H13" i="7"/>
  <c r="I21" i="7"/>
  <c r="F9" i="7"/>
  <c r="E22" i="7"/>
  <c r="I9" i="7"/>
  <c r="G21" i="7"/>
  <c r="F7" i="7"/>
  <c r="H20" i="7"/>
  <c r="H22" i="7"/>
  <c r="C23" i="7"/>
  <c r="C7" i="7"/>
  <c r="F12" i="7"/>
  <c r="H11" i="7"/>
  <c r="H23" i="7"/>
  <c r="G20" i="7"/>
  <c r="D9" i="7"/>
  <c r="F10" i="7"/>
  <c r="E23" i="7"/>
  <c r="I23" i="7"/>
  <c r="C9" i="7"/>
  <c r="D21" i="7"/>
  <c r="I10" i="7"/>
  <c r="H9" i="7"/>
  <c r="I18" i="7"/>
  <c r="C58" i="3" l="1"/>
  <c r="C62" i="3" s="1"/>
  <c r="C53" i="3"/>
  <c r="C17" i="4" l="1"/>
  <c r="C54" i="3"/>
  <c r="C55" i="3" s="1"/>
  <c r="C16" i="1"/>
  <c r="C63" i="3"/>
  <c r="C64" i="3" s="1"/>
  <c r="C17" i="1" s="1"/>
  <c r="D17" i="1" s="1"/>
  <c r="C10" i="1" l="1"/>
  <c r="C12" i="1" s="1"/>
  <c r="C11" i="1" s="1"/>
  <c r="D16" i="1"/>
  <c r="C21" i="1"/>
  <c r="C19" i="4"/>
  <c r="C20" i="4" s="1"/>
  <c r="B79" i="4"/>
</calcChain>
</file>

<file path=xl/sharedStrings.xml><?xml version="1.0" encoding="utf-8"?>
<sst xmlns="http://schemas.openxmlformats.org/spreadsheetml/2006/main" count="445" uniqueCount="360">
  <si>
    <t>DISCLAIMER: This is a sample analysis for demonstration purposes only. It does not constitute investment advice.</t>
  </si>
  <si>
    <t>アイシン (7259.T)</t>
  </si>
  <si>
    <t>Equity Research Report</t>
  </si>
  <si>
    <t>Company</t>
  </si>
  <si>
    <t>アイシン</t>
  </si>
  <si>
    <t>Ticker</t>
  </si>
  <si>
    <t>7259.T (TSE Prime)</t>
  </si>
  <si>
    <t>Sector</t>
  </si>
  <si>
    <t>輸送用機器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</si>
  <si>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</si>
  <si>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</si>
  <si>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</si>
  <si>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</si>
  <si>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</si>
  <si>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</si>
  <si>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</si>
  <si>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</si>
  <si>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</si>
  <si>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</si>
  <si>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</si>
  <si>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</si>
  <si>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</si>
  <si>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</si>
  <si>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</si>
  <si>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</si>
  <si>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</si>
  <si>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</si>
  <si>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</si>
  <si>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</si>
  <si>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</si>
  <si>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</si>
  <si>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アイシン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</si>
  <si>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</si>
  <si>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</si>
  <si>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</si>
  <si>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</si>
  <si>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</si>
  <si>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</si>
  <si>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</si>
  <si>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</si>
  <si>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</si>
  <si>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</si>
  <si>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</si>
  <si>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</si>
  <si>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</si>
  <si>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</si>
  <si>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</si>
  <si>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</si>
  <si>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</si>
  <si>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</si>
  <si>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</si>
  <si>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</si>
  <si>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</si>
  <si>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</si>
  <si>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</si>
  <si>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</si>
  <si>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</si>
  <si>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</si>
  <si>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</si>
  <si>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</si>
  <si>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アイシン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</si>
  <si>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</si>
  <si>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</si>
  <si>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</si>
  <si>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</si>
  <si>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</si>
  <si>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</si>
  <si>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</si>
  <si>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</si>
  <si>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</si>
  <si>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</si>
  <si>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</si>
  <si>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</si>
  <si>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</si>
  <si>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</si>
  <si>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</si>
  <si>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</si>
  <si>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</si>
  <si>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</si>
  <si>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</si>
  <si>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</si>
  <si>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</si>
  <si>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</si>
  <si>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</si>
  <si>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</si>
  <si>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</si>
  <si>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</si>
  <si>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</si>
  <si>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</si>
  <si>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</si>
  <si>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</si>
  <si>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</si>
  <si>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</si>
  <si>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</si>
  <si>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</si>
  <si>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</si>
  <si>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</si>
  <si>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</si>
  <si>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</si>
  <si>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</si>
  <si>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</si>
  <si>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</si>
  <si>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</si>
  <si>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</si>
  <si>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</si>
  <si>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</si>
  <si>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</si>
  <si>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</si>
  <si>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</si>
  <si>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</si>
  <si>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</si>
  <si>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</si>
  <si>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</si>
  <si>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</si>
  <si>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</si>
  <si>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</si>
  <si>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</si>
  <si>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</si>
  <si>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</si>
  <si>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</si>
  <si>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</si>
  <si>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</si>
  <si>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</si>
  <si>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</si>
  <si>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</si>
  <si>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アイシン (7259.T)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</si>
  <si>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</si>
  <si>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</si>
  <si>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</si>
  <si>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</si>
  <si>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</si>
  <si>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</si>
  <si>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</si>
  <si>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</si>
  <si>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</si>
  <si>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</si>
  <si>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</si>
  <si>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</si>
  <si>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</si>
  <si>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</si>
  <si>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</si>
  <si>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</si>
  <si>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</si>
  <si>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</si>
  <si>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</si>
  <si>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</si>
  <si>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</si>
  <si>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</si>
  <si>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</si>
  <si>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</si>
  <si>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</si>
  <si>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</si>
  <si>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</si>
  <si>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</si>
  <si>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</si>
  <si>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</si>
  <si>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</si>
  <si>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</si>
  <si>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</si>
  <si>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</si>
  <si>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</si>
  <si>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</si>
  <si>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</si>
  <si>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</si>
  <si>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</si>
  <si>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</si>
  <si>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</si>
  <si>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</si>
  <si>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</si>
  <si>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</si>
  <si>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</si>
  <si>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</si>
  <si>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</si>
  <si>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</si>
  <si>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</si>
  <si>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</si>
  <si>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</si>
  <si>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アイシン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</si>
  <si>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</si>
  <si>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</si>
  <si>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</si>
  <si>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</si>
  <si>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</si>
  <si>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</si>
  <si>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</si>
  <si>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</si>
  <si>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</si>
  <si>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</si>
  <si>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</si>
  <si>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</si>
  <si>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</si>
  <si>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</si>
  <si>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</si>
  <si>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</si>
  <si>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</si>
  <si>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</si>
  <si>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</si>
  <si>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</si>
  <si>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</si>
  <si>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</si>
  <si>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</si>
  <si>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</si>
  <si>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</si>
  <si>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</si>
  <si>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</si>
  <si>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</si>
  <si>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</si>
  <si>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</si>
  <si>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</si>
  <si>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</si>
  <si>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</si>
  <si>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</si>
  <si>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Aisin Corporation</t>
  </si>
  <si>
    <t>7259.T</t>
  </si>
  <si>
    <t>DENSO Corporation</t>
  </si>
  <si>
    <t>6902.T</t>
  </si>
  <si>
    <t>Koito Manufacturing Co., Ltd.</t>
  </si>
  <si>
    <t>7276.T</t>
  </si>
  <si>
    <t>Toyoda Gosei Co., Ltd.</t>
  </si>
  <si>
    <t>7282.T</t>
  </si>
  <si>
    <t>Toyota Boshoku Corporation</t>
  </si>
  <si>
    <t>3116.T</t>
  </si>
  <si>
    <t>Bridgestone Corporation</t>
  </si>
  <si>
    <t>5108.T</t>
  </si>
  <si>
    <t>Statistics</t>
  </si>
  <si>
    <t>25th Percentile</t>
  </si>
  <si>
    <t>Median (50th)</t>
  </si>
  <si>
    <t>75th Percentile</t>
  </si>
  <si>
    <t>Implied Valuation for アイシン</t>
  </si>
  <si>
    <t>アイシン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</si>
  <si>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</si>
  <si>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</si>
  <si>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</si>
  <si>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</si>
  <si>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</si>
  <si>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</si>
  <si>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</si>
  <si>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</si>
  <si>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</si>
  <si>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</si>
  <si>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</si>
  <si>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</si>
  <si>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</si>
  <si>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</si>
  <si>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</si>
  <si>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アイシン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</si>
  <si>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</si>
  <si>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</si>
  <si>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</si>
  <si>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</si>
  <si>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</si>
  <si>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</si>
  <si>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</si>
  <si>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</si>
  <si>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19:24, template rev 63983ab</t>
  </si>
  <si>
    <t>初期生成（手修正なし）</t>
  </si>
  <si>
    <t>generated</t>
  </si>
  <si>
    <t>DCF Model!C11</t>
  </si>
  <si>
    <t>After-tax Cost of Debt = 1.65% (実績ベース)</t>
  </si>
  <si>
    <t>実績Kd = 支払利息15,221 ÷ 平均有利子負債691,648(期首697,295/期末686,002、debt_beginning/debt_ending) = 税引前2.20% × (1−25.0%) = 1.65%。【マージナルコスト注記】これは既存借入の実績平均コストであり、新規調達の限界コストではない。テンプレ既定(税引前2.8%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</si>
  <si>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</si>
  <si>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</si>
  <si>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</si>
  <si>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1.128（採用値）</t>
  </si>
  <si>
    <t>実測β(raw) = 1.191 → Blume調整 0.67×raw + 0.33×1.00 = 1.128 → 採用 1.128。クランプ域 [0.3, 2.0] の内側。置換なし。回帰βは平均回帰するため Blume 調整を既定とする（2026-09-05 バッチで85件中57件が旧下限 0.60 に張り付き、両裾の歪みが実証された）。</t>
  </si>
  <si>
    <t>実測 1.191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</si>
  <si>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</si>
  <si>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</si>
  <si>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</si>
  <si>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</si>
  <si>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</si>
  <si>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</si>
  <si>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</si>
  <si>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1.128</t>
  </si>
  <si>
    <t>beta_basis</t>
  </si>
  <si>
    <t>Blume: 0.67 x 1.191 + 0.33 x 1.00 = 1.128</t>
  </si>
  <si>
    <t>beta_blume_adjusted</t>
  </si>
  <si>
    <t>beta_clamped</t>
  </si>
  <si>
    <t>no</t>
  </si>
  <si>
    <t>beta_raw</t>
  </si>
  <si>
    <t>1.191</t>
  </si>
  <si>
    <t>capex_pct_basis</t>
  </si>
  <si>
    <t>explicit_override</t>
  </si>
  <si>
    <t>capex_pct_c5</t>
  </si>
  <si>
    <t>0.054285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</si>
  <si>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</si>
  <si>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</si>
  <si>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</si>
  <si>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</si>
  <si>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</si>
  <si>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</si>
  <si>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</si>
  <si>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</si>
  <si>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</si>
  <si>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</si>
  <si>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</si>
  <si>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</si>
  <si>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</si>
  <si>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</si>
  <si>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</si>
  <si>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</si>
  <si>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</si>
  <si>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</si>
  <si>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</si>
  <si>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</si>
  <si>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</si>
  <si>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493431.0</t>
  </si>
  <si>
    <t>core_net_income</t>
  </si>
  <si>
    <t>171697.0</t>
  </si>
  <si>
    <t>cost_of_debt_actual</t>
  </si>
  <si>
    <t>interest 15,221 (expense 15,221 + fees 0) / avg debt 691,648 (debt_beginning/debt_ending) = 0.022007 pre-tax -&gt; 0.016500 after-tax</t>
  </si>
  <si>
    <t>cost_of_debt_at_c11</t>
  </si>
  <si>
    <t>0.0165</t>
  </si>
  <si>
    <t>cost_of_debt_avg_debt</t>
  </si>
  <si>
    <t>691648.5</t>
  </si>
  <si>
    <t>cost_of_debt_basis</t>
  </si>
  <si>
    <t>actual</t>
  </si>
  <si>
    <t>cost_of_debt_interest</t>
  </si>
  <si>
    <t>15221.0</t>
  </si>
  <si>
    <t>cost_of_debt_pretax</t>
  </si>
  <si>
    <t>0.022006843071299943</t>
  </si>
  <si>
    <t>da_pct_basis</t>
  </si>
  <si>
    <t>da_pct_c18</t>
  </si>
  <si>
    <t>0.0517</t>
  </si>
  <si>
    <t>da_pct_hist3yr</t>
  </si>
  <si>
    <t>0.054435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</si>
  <si>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</si>
  <si>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</si>
  <si>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</si>
  <si>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</si>
  <si>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</si>
  <si>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</si>
  <si>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</si>
  <si>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</si>
  <si>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</si>
  <si>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19:24:11</t>
  </si>
  <si>
    <t>guidance_note</t>
  </si>
  <si>
    <t>TDnet 決算短信 via screener guidance table: FY2027 disclosed 2026-07-31 (net_income=150,000mn, operating_income=235,000mn, revenue=5,250,000mn)</t>
  </si>
  <si>
    <t>guidance_source</t>
  </si>
  <si>
    <t>tdnet_screener_db</t>
  </si>
  <si>
    <t>latest_operating_income</t>
  </si>
  <si>
    <t>228797.0</t>
  </si>
  <si>
    <t>ltm_revenue_c20</t>
  </si>
  <si>
    <t>5117764.0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</si>
  <si>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</si>
  <si>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</si>
  <si>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</si>
  <si>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</si>
  <si>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</si>
  <si>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</si>
  <si>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</si>
  <si>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</si>
  <si>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op0=228,797(FY2026) peak=228,797(FY2026) peak_opm=0.0447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</si>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</sst>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2249.5</v>
      </c>
    </row>
    <row r="10" spans="2:5" ht="14" x14ac:dyDescent="0.3">
      <c r="B10" s="4" t="s">
        <v>10</v>
      </c>
      <c r="C10" s="5">
        <f>IF(COUNT(C16:C17)=0,"N/A",ROUND(AVERAGE(C16:C17),0))</f>
        <v>2630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0.1691486997110469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2278</v>
      </c>
      <c r="D16" s="7">
        <f>IF(ISNUMBER(C16),(C16-C9)/C9,"N/A")</f>
        <v>1.2669482107134918E-2</v>
      </c>
    </row>
    <row r="17" spans="2:5" ht="13.5" x14ac:dyDescent="0.25">
      <c r="B17" t="s">
        <v>18</v>
      </c>
      <c r="C17" s="11">
        <f>IF('DCF Model'!C62&lt;'DCF Model'!C16,"INVALID (EV &lt; net debt)",'DCF Model'!C64)</f>
        <v>2982</v>
      </c>
      <c r="D17" s="7">
        <f>IF(ISNUMBER(C17),(C17-C9)/C9,"N/A")</f>
        <v>0.32562791731495888</v>
      </c>
    </row>
    <row r="18" spans="2:5" ht="13.5" x14ac:dyDescent="0.25">
      <c r="B18" t="s">
        <v>19</v>
      </c>
      <c r="C18" s="11">
        <f>'Comps Analysis'!C27</f>
        <v>3185</v>
      </c>
      <c r="D18" s="7">
        <f>IF(ISNUMBER(C18),(C18-C9)/C9,"N/A")</f>
        <v>0.41587019337630582</v>
      </c>
    </row>
    <row r="19" spans="2:5" ht="13.5" x14ac:dyDescent="0.25">
      <c r="B19" t="s">
        <v>20</v>
      </c>
      <c r="C19" s="11">
        <f>'Comps Analysis'!C28</f>
        <v>3693</v>
      </c>
      <c r="D19" s="7">
        <f>IF(ISNUMBER(C19),(C19-C9)/C9,"N/A")</f>
        <v>0.64169815514558792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2278 - 2982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4402823</v>
      </c>
      <c r="D6" s="5">
        <v>4909557</v>
      </c>
      <c r="E6" s="5">
        <v>4896104</v>
      </c>
      <c r="F6" s="5">
        <v>5117764</v>
      </c>
    </row>
    <row r="7" spans="2:6" ht="14" x14ac:dyDescent="0.3">
      <c r="B7" s="4" t="s">
        <v>38</v>
      </c>
      <c r="C7" s="5">
        <v>4001434</v>
      </c>
      <c r="D7" s="5">
        <v>4358900</v>
      </c>
      <c r="E7" s="5">
        <v>4332615</v>
      </c>
      <c r="F7" s="5">
        <v>4498831</v>
      </c>
    </row>
    <row r="8" spans="2:6" ht="14" x14ac:dyDescent="0.3">
      <c r="B8" s="4" t="s">
        <v>39</v>
      </c>
      <c r="C8" s="5">
        <f>C6-C7</f>
        <v>401389</v>
      </c>
      <c r="D8" s="5">
        <f>D6-D7</f>
        <v>550657</v>
      </c>
      <c r="E8" s="5">
        <f>E6-E7</f>
        <v>563489</v>
      </c>
      <c r="F8" s="5">
        <f>F6-F7</f>
        <v>618933</v>
      </c>
    </row>
    <row r="9" spans="2:6" ht="13.5" x14ac:dyDescent="0.25">
      <c r="B9" t="s">
        <v>40</v>
      </c>
      <c r="C9" s="7">
        <f>C8/C6</f>
        <v>9.1166281269994279E-2</v>
      </c>
      <c r="D9" s="7">
        <f>D8/D6</f>
        <v>0.11216022138046264</v>
      </c>
      <c r="E9" s="7">
        <f>E8/E6</f>
        <v>0.11508926280977691</v>
      </c>
      <c r="F9" s="7">
        <f>F8/F6</f>
        <v>0.12093816752785005</v>
      </c>
    </row>
    <row r="10" spans="2:6" ht="14" x14ac:dyDescent="0.3">
      <c r="B10" s="4" t="s">
        <v>41</v>
      </c>
      <c r="C10" s="5">
        <v>343445</v>
      </c>
      <c r="D10" s="5">
        <v>407261</v>
      </c>
      <c r="E10" s="5">
        <v>360547</v>
      </c>
      <c r="F10" s="5">
        <v>390136</v>
      </c>
    </row>
    <row r="11" spans="2:6" ht="14" x14ac:dyDescent="0.3">
      <c r="B11" s="4" t="s">
        <v>42</v>
      </c>
      <c r="C11" s="5">
        <v>57944</v>
      </c>
      <c r="D11" s="5">
        <v>143396</v>
      </c>
      <c r="E11" s="5">
        <v>202942</v>
      </c>
      <c r="F11" s="5">
        <v>228797</v>
      </c>
    </row>
    <row r="12" spans="2:6" ht="14" x14ac:dyDescent="0.3">
      <c r="B12" s="4" t="s">
        <v>43</v>
      </c>
      <c r="C12" s="5">
        <v>37670</v>
      </c>
      <c r="D12" s="5">
        <v>90813</v>
      </c>
      <c r="E12" s="5">
        <v>107586</v>
      </c>
      <c r="F12" s="5">
        <v>171697</v>
      </c>
    </row>
    <row r="13" spans="2:6" ht="13.5" x14ac:dyDescent="0.25">
      <c r="B13" t="s">
        <v>44</v>
      </c>
      <c r="C13" s="7">
        <f>C11/C6</f>
        <v>1.3160647157516893E-2</v>
      </c>
      <c r="D13" s="7">
        <f>D11/D6</f>
        <v>2.9207523204232071E-2</v>
      </c>
      <c r="E13" s="7">
        <f>E11/E6</f>
        <v>4.1449691428123256E-2</v>
      </c>
      <c r="F13" s="7">
        <f>F11/F6</f>
        <v>4.4706438202308664E-2</v>
      </c>
    </row>
    <row r="14" spans="2:6" ht="13.5" x14ac:dyDescent="0.25">
      <c r="B14" t="s">
        <v>45</v>
      </c>
      <c r="C14" s="7">
        <f>C12/C6</f>
        <v>8.5558742652157484E-3</v>
      </c>
      <c r="D14" s="7">
        <f>D12/D6</f>
        <v>1.8497188239183292E-2</v>
      </c>
      <c r="E14" s="7">
        <f>E12/E6</f>
        <v>2.1973797942200574E-2</v>
      </c>
      <c r="F14" s="7">
        <f>F12/F6</f>
        <v>3.3549221886745854E-2</v>
      </c>
    </row>
    <row r="15" spans="2:6" ht="13.5" x14ac:dyDescent="0.25">
      <c r="B15" t="s">
        <v>46</v>
      </c>
      <c r="C15" t="s">
        <v>47</v>
      </c>
      <c r="D15" s="7">
        <f>(D6-C6)/C6</f>
        <v>0.11509297557498904</v>
      </c>
      <c r="E15" s="7">
        <f>(E6-D6)/D6</f>
        <v>-2.7401657624099283E-3</v>
      </c>
      <c r="F15" s="7">
        <f>(F6-E6)/E6</f>
        <v>4.5272731134796157E-2</v>
      </c>
    </row>
    <row r="16" spans="2:6" ht="13.5" x14ac:dyDescent="0.25">
      <c r="B16" t="s">
        <v>48</v>
      </c>
      <c r="C16" t="s">
        <v>47</v>
      </c>
      <c r="D16" s="7">
        <f>(D11-C11)/C11</f>
        <v>1.4747342261493857</v>
      </c>
      <c r="E16" s="7">
        <f>(E11-D11)/D11</f>
        <v>0.41525565566682476</v>
      </c>
      <c r="F16" s="7">
        <f>(F11-E11)/E11</f>
        <v>0.12740093228607188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237970</v>
      </c>
      <c r="D19" s="5">
        <v>499740</v>
      </c>
      <c r="E19" s="5">
        <v>339870</v>
      </c>
      <c r="F19" s="5">
        <v>376084</v>
      </c>
    </row>
    <row r="20" spans="2:6" ht="14" x14ac:dyDescent="0.3">
      <c r="B20" s="4" t="s">
        <v>51</v>
      </c>
      <c r="C20" s="5"/>
      <c r="D20" s="5"/>
      <c r="E20" s="5"/>
      <c r="F20" s="5"/>
    </row>
    <row r="21" spans="2:6" ht="14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317693</v>
      </c>
      <c r="D26" s="5">
        <v>527191</v>
      </c>
      <c r="E26" s="5">
        <v>451690</v>
      </c>
      <c r="F26" s="5">
        <v>592398</v>
      </c>
    </row>
    <row r="27" spans="2:6" ht="14" x14ac:dyDescent="0.3">
      <c r="B27" s="4" t="s">
        <v>57</v>
      </c>
      <c r="C27" s="5">
        <v>848695</v>
      </c>
      <c r="D27" s="5">
        <v>726294</v>
      </c>
      <c r="E27" s="5">
        <v>629861</v>
      </c>
      <c r="F27" s="5">
        <v>621277</v>
      </c>
    </row>
    <row r="28" spans="2:6" ht="14" x14ac:dyDescent="0.3">
      <c r="B28" s="4" t="s">
        <v>58</v>
      </c>
      <c r="C28" s="5">
        <f>C27-C26</f>
        <v>531002</v>
      </c>
      <c r="D28" s="5">
        <f>D27-D26</f>
        <v>199103</v>
      </c>
      <c r="E28" s="5">
        <f>E27-E26</f>
        <v>178171</v>
      </c>
      <c r="F28" s="5">
        <f>F27-F26</f>
        <v>28879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5.4285E-2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1.1279999999999999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1.6500000000000001E-2</v>
      </c>
    </row>
    <row r="12" spans="2:7" ht="14" x14ac:dyDescent="0.3">
      <c r="B12" s="4" t="s">
        <v>69</v>
      </c>
      <c r="C12" s="13">
        <v>5.9700000000000003E-2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4.7</v>
      </c>
    </row>
    <row r="15" spans="2:7" ht="14" x14ac:dyDescent="0.3">
      <c r="B15" s="4" t="s">
        <v>72</v>
      </c>
      <c r="C15" s="15">
        <v>697464378</v>
      </c>
    </row>
    <row r="16" spans="2:7" ht="14" x14ac:dyDescent="0.3">
      <c r="B16" s="4" t="s">
        <v>73</v>
      </c>
      <c r="C16" s="5">
        <v>93604</v>
      </c>
    </row>
    <row r="17" spans="2:7" ht="14" x14ac:dyDescent="0.3">
      <c r="B17" s="4" t="s">
        <v>74</v>
      </c>
      <c r="C17" s="5">
        <v>5117764</v>
      </c>
    </row>
    <row r="18" spans="2:7" ht="14" x14ac:dyDescent="0.3">
      <c r="B18" s="4" t="s">
        <v>75</v>
      </c>
      <c r="C18" s="7">
        <v>5.1700000000000003E-2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5117764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0.11302</v>
      </c>
    </row>
    <row r="24" spans="2:7" ht="14" x14ac:dyDescent="0.3">
      <c r="B24" s="4" t="s">
        <v>80</v>
      </c>
      <c r="C24" s="16">
        <f>1/(1+C12)</f>
        <v>0.94366330093422657</v>
      </c>
    </row>
    <row r="25" spans="2:7" ht="14" x14ac:dyDescent="0.3">
      <c r="B25" s="4" t="s">
        <v>81</v>
      </c>
      <c r="C25" s="16">
        <f>C12/(1+C12)</f>
        <v>5.6336699065773328E-2</v>
      </c>
    </row>
    <row r="26" spans="2:7" ht="14" x14ac:dyDescent="0.3">
      <c r="B26" s="4" t="s">
        <v>82</v>
      </c>
      <c r="C26" s="16">
        <f>C23*C24+C11*C25</f>
        <v>0.10758238180617155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0.02</v>
      </c>
      <c r="D30" s="18">
        <f>CHOOSE($D$27,D69,D70,D71,D72,D73)</f>
        <v>0.02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x14ac:dyDescent="0.3">
      <c r="B31" s="4" t="s">
        <v>91</v>
      </c>
      <c r="C31" s="18">
        <f>CHOOSE($D$27,C76,C77,C78,C79,C80)</f>
        <v>0.879</v>
      </c>
      <c r="D31" s="18">
        <f>CHOOSE($D$27,D76,D77,D78,D79,D80)</f>
        <v>0.879</v>
      </c>
      <c r="E31" s="18">
        <f>CHOOSE($D$27,E76,E77,E78,E79,E80)</f>
        <v>0.879</v>
      </c>
      <c r="F31" s="18">
        <f>CHOOSE($D$27,F76,F77,F78,F79,F80)</f>
        <v>0.879</v>
      </c>
      <c r="G31" s="18">
        <f>CHOOSE($D$27,G76,G77,G78,G79,G80)</f>
        <v>0.879</v>
      </c>
    </row>
    <row r="32" spans="2:7" ht="14" x14ac:dyDescent="0.3">
      <c r="B32" s="4" t="s">
        <v>92</v>
      </c>
      <c r="C32" s="18">
        <f>CHOOSE($D$27,C83,C84,C85,C86,C87)</f>
        <v>7.6300000000000007E-2</v>
      </c>
      <c r="D32" s="18">
        <f>CHOOSE($D$27,D83,D84,D85,D86,D87)</f>
        <v>7.6300000000000007E-2</v>
      </c>
      <c r="E32" s="18">
        <f>CHOOSE($D$27,E83,E84,E85,E86,E87)</f>
        <v>7.6300000000000007E-2</v>
      </c>
      <c r="F32" s="18">
        <f>CHOOSE($D$27,F83,F84,F85,F86,F87)</f>
        <v>7.6300000000000007E-2</v>
      </c>
      <c r="G32" s="18">
        <f>CHOOSE($D$27,G83,G84,G85,G86,G87)</f>
        <v>7.6300000000000007E-2</v>
      </c>
    </row>
    <row r="33" spans="2:7" ht="14" x14ac:dyDescent="0.3">
      <c r="B33" s="4" t="s">
        <v>37</v>
      </c>
      <c r="C33" s="5">
        <f>C17*(1+C30)</f>
        <v>5220119.28</v>
      </c>
      <c r="D33" s="5">
        <f>C33*(1+D30)</f>
        <v>5324521.6655999999</v>
      </c>
      <c r="E33" s="5">
        <f>D33*(1+E30)</f>
        <v>5431012.0989119997</v>
      </c>
      <c r="F33" s="5">
        <f>E33*(1+F30)</f>
        <v>5539632.3408902399</v>
      </c>
      <c r="G33" s="5">
        <f>F33*(1+G30)</f>
        <v>5622726.8260035934</v>
      </c>
    </row>
    <row r="34" spans="2:7" ht="14" x14ac:dyDescent="0.3">
      <c r="B34" s="4" t="s">
        <v>38</v>
      </c>
      <c r="C34" s="5">
        <f>C33*C31</f>
        <v>4588484.84712</v>
      </c>
      <c r="D34" s="5">
        <f>D33*D31</f>
        <v>4680254.5440624002</v>
      </c>
      <c r="E34" s="5">
        <f>E33*E31</f>
        <v>4773859.6349436482</v>
      </c>
      <c r="F34" s="5">
        <f>F33*F31</f>
        <v>4869336.8276425209</v>
      </c>
      <c r="G34" s="5">
        <f>G33*G31</f>
        <v>4942376.8800571589</v>
      </c>
    </row>
    <row r="35" spans="2:7" ht="14" x14ac:dyDescent="0.3">
      <c r="B35" s="4" t="s">
        <v>39</v>
      </c>
      <c r="C35" s="19">
        <f>C33-C34</f>
        <v>631634.43288000021</v>
      </c>
      <c r="D35" s="19">
        <f>D33-D34</f>
        <v>644267.12153759971</v>
      </c>
      <c r="E35" s="19">
        <f>E33-E34</f>
        <v>657152.46396835148</v>
      </c>
      <c r="F35" s="19">
        <f>F33-F34</f>
        <v>670295.51324771903</v>
      </c>
      <c r="G35" s="19">
        <f>G33-G34</f>
        <v>680349.94594643451</v>
      </c>
    </row>
    <row r="36" spans="2:7" ht="14" x14ac:dyDescent="0.3">
      <c r="B36" s="4" t="s">
        <v>40</v>
      </c>
      <c r="C36" s="7">
        <f>C35/C33</f>
        <v>0.12100000000000004</v>
      </c>
      <c r="D36" s="7">
        <f>D35/D33</f>
        <v>0.12099999999999994</v>
      </c>
      <c r="E36" s="7">
        <f>E35/E33</f>
        <v>0.12099999999999991</v>
      </c>
      <c r="F36" s="7">
        <f>F35/F33</f>
        <v>0.121</v>
      </c>
      <c r="G36" s="7">
        <f>G35/G33</f>
        <v>0.12099999999999995</v>
      </c>
    </row>
    <row r="37" spans="2:7" ht="14" x14ac:dyDescent="0.3">
      <c r="B37" s="4" t="s">
        <v>93</v>
      </c>
      <c r="C37" s="5">
        <f>C33*C32</f>
        <v>398295.10106400005</v>
      </c>
      <c r="D37" s="5">
        <f>D33*D32</f>
        <v>406261.00308528001</v>
      </c>
      <c r="E37" s="5">
        <f>E33*E32</f>
        <v>414386.22314698563</v>
      </c>
      <c r="F37" s="5">
        <f>F33*F32</f>
        <v>422673.94760992535</v>
      </c>
      <c r="G37" s="5">
        <f>G33*G32</f>
        <v>429014.05682407418</v>
      </c>
    </row>
    <row r="38" spans="2:7" ht="14" x14ac:dyDescent="0.3">
      <c r="B38" s="4" t="s">
        <v>94</v>
      </c>
      <c r="C38" s="7">
        <f>(C35-C37)/C33</f>
        <v>4.4700000000000031E-2</v>
      </c>
      <c r="D38" s="7">
        <f>(D35-D37)/D33</f>
        <v>4.4699999999999941E-2</v>
      </c>
      <c r="E38" s="7">
        <f>(E35-E37)/E33</f>
        <v>4.46999999999999E-2</v>
      </c>
      <c r="F38" s="7">
        <f>(F35-F37)/F33</f>
        <v>4.469999999999999E-2</v>
      </c>
      <c r="G38" s="7">
        <f>(G35-G37)/G33</f>
        <v>4.4699999999999948E-2</v>
      </c>
    </row>
    <row r="39" spans="2:7" ht="14" x14ac:dyDescent="0.3">
      <c r="B39" s="4" t="s">
        <v>95</v>
      </c>
      <c r="C39" s="19">
        <f>C35-C37</f>
        <v>233339.33181600017</v>
      </c>
      <c r="D39" s="19">
        <f>D35-D37</f>
        <v>238006.1184523197</v>
      </c>
      <c r="E39" s="19">
        <f>E35-E37</f>
        <v>242766.24082136585</v>
      </c>
      <c r="F39" s="19">
        <f>F35-F37</f>
        <v>247621.56563779368</v>
      </c>
      <c r="G39" s="19">
        <f>G35-G37</f>
        <v>251335.88912236033</v>
      </c>
    </row>
    <row r="40" spans="2:7" ht="14" x14ac:dyDescent="0.3">
      <c r="B40" s="4" t="s">
        <v>96</v>
      </c>
      <c r="C40" s="5">
        <f>MAX(0,C39*C6)</f>
        <v>58334.832954000041</v>
      </c>
      <c r="D40" s="5">
        <f>MAX(0,D39*C6)</f>
        <v>59501.529613079925</v>
      </c>
      <c r="E40" s="5">
        <f>MAX(0,E39*C6)</f>
        <v>60691.560205341462</v>
      </c>
      <c r="F40" s="5">
        <f>MAX(0,F39*C6)</f>
        <v>61905.391409448421</v>
      </c>
      <c r="G40" s="5">
        <f>MAX(0,G39*C6)</f>
        <v>62833.972280590082</v>
      </c>
    </row>
    <row r="41" spans="2:7" ht="14" x14ac:dyDescent="0.3">
      <c r="B41" s="4" t="s">
        <v>97</v>
      </c>
      <c r="C41" s="19">
        <f>C39-C40</f>
        <v>175004.49886200012</v>
      </c>
      <c r="D41" s="19">
        <f>D39-D40</f>
        <v>178504.58883923979</v>
      </c>
      <c r="E41" s="19">
        <f>E39-E40</f>
        <v>182074.68061602439</v>
      </c>
      <c r="F41" s="19">
        <f>F39-F40</f>
        <v>185716.17422834528</v>
      </c>
      <c r="G41" s="19">
        <f>G39-G40</f>
        <v>188501.91684177023</v>
      </c>
    </row>
    <row r="42" spans="2:7" ht="14" x14ac:dyDescent="0.3">
      <c r="B42" s="4" t="s">
        <v>98</v>
      </c>
      <c r="C42" s="5">
        <f>C33*C18</f>
        <v>269880.16677600006</v>
      </c>
      <c r="D42" s="5">
        <f>D33*C18</f>
        <v>275277.77011152002</v>
      </c>
      <c r="E42" s="5">
        <f>E33*C18</f>
        <v>280783.32551375037</v>
      </c>
      <c r="F42" s="5">
        <f>F33*C18</f>
        <v>286398.99202402541</v>
      </c>
      <c r="G42" s="5">
        <f>G33*C18</f>
        <v>290694.97690438578</v>
      </c>
    </row>
    <row r="43" spans="2:7" ht="14" x14ac:dyDescent="0.3">
      <c r="B43" s="4" t="s">
        <v>99</v>
      </c>
      <c r="C43" s="5">
        <v>277000</v>
      </c>
      <c r="D43" s="5">
        <v>284100</v>
      </c>
      <c r="E43" s="5">
        <v>291100</v>
      </c>
      <c r="F43" s="5">
        <v>298200</v>
      </c>
      <c r="G43" s="5">
        <v>305200</v>
      </c>
    </row>
    <row r="44" spans="2:7" ht="14" x14ac:dyDescent="0.3">
      <c r="B44" s="4" t="s">
        <v>100</v>
      </c>
      <c r="C44" s="5">
        <f>'NWC Schedule'!D19</f>
        <v>-36479.031379726133</v>
      </c>
      <c r="D44" s="5">
        <f>'NWC Schedule'!E19</f>
        <v>8761.2193724055542</v>
      </c>
      <c r="E44" s="5">
        <f>'NWC Schedule'!F19</f>
        <v>8936.4437598537188</v>
      </c>
      <c r="F44" s="5">
        <f>'NWC Schedule'!G19</f>
        <v>9115.1726350506069</v>
      </c>
      <c r="G44" s="5">
        <f>'NWC Schedule'!H19</f>
        <v>6973.1070658134995</v>
      </c>
    </row>
    <row r="45" spans="2:7" ht="14" x14ac:dyDescent="0.3">
      <c r="B45" s="4" t="s">
        <v>101</v>
      </c>
      <c r="C45" s="20">
        <f>C41+C42-C43-C44</f>
        <v>204363.69701772631</v>
      </c>
      <c r="D45" s="20">
        <f>D41+D42-D43-D44</f>
        <v>160921.13957835425</v>
      </c>
      <c r="E45" s="20">
        <f>E41+E42-E43-E44</f>
        <v>162821.56236992101</v>
      </c>
      <c r="F45" s="20">
        <f>F41+F42-F43-F44</f>
        <v>164799.99361732008</v>
      </c>
      <c r="G45" s="20">
        <f>G41+G42-G43-G44</f>
        <v>167023.78668034251</v>
      </c>
    </row>
    <row r="46" spans="2:7" ht="14" x14ac:dyDescent="0.3">
      <c r="B46" s="4" t="s">
        <v>102</v>
      </c>
      <c r="C46" s="21">
        <f>1/(1+C26)^(C19+0)</f>
        <v>0.90286737711488929</v>
      </c>
      <c r="D46" s="21">
        <f>1/(1+C26)^(C19+1)</f>
        <v>0.81516950065831961</v>
      </c>
      <c r="E46" s="21">
        <f>1/(1+C26)^(C19+2)</f>
        <v>0.73598994896343095</v>
      </c>
      <c r="F46" s="21">
        <f>1/(1+C26)^(C19+3)</f>
        <v>0.66450131480353425</v>
      </c>
      <c r="G46" s="21">
        <f>1/(1+C26)^(C19+4)</f>
        <v>0.59995655918606228</v>
      </c>
    </row>
    <row r="47" spans="2:7" ht="14" x14ac:dyDescent="0.3">
      <c r="B47" s="4" t="s">
        <v>103</v>
      </c>
      <c r="C47" s="19">
        <f>C45*C46</f>
        <v>184513.31510389649</v>
      </c>
      <c r="D47" s="19">
        <f>D45*D46</f>
        <v>131178.0049954548</v>
      </c>
      <c r="E47" s="19">
        <f>E45*E46</f>
        <v>119835.03337878425</v>
      </c>
      <c r="F47" s="19">
        <f>F45*F46</f>
        <v>109509.81243832325</v>
      </c>
      <c r="G47" s="19">
        <f>G45*G46</f>
        <v>100207.01635896515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645243.18227542401</v>
      </c>
    </row>
    <row r="51" spans="2:7" ht="14" x14ac:dyDescent="0.3">
      <c r="B51" s="4" t="s">
        <v>106</v>
      </c>
      <c r="C51" s="5">
        <f>G45*(1+C13)/(C26-C13)</f>
        <v>1728734.4439104164</v>
      </c>
    </row>
    <row r="52" spans="2:7" ht="14" x14ac:dyDescent="0.3">
      <c r="B52" s="4" t="s">
        <v>107</v>
      </c>
      <c r="C52" s="5">
        <f>C51*G46</f>
        <v>1037165.5687149243</v>
      </c>
    </row>
    <row r="53" spans="2:7" ht="14" x14ac:dyDescent="0.3">
      <c r="B53" s="4" t="s">
        <v>108</v>
      </c>
      <c r="C53" s="5">
        <f>C50+C52</f>
        <v>1682408.7509903484</v>
      </c>
    </row>
    <row r="54" spans="2:7" ht="14" x14ac:dyDescent="0.3">
      <c r="B54" s="4" t="s">
        <v>109</v>
      </c>
      <c r="C54" s="5">
        <f>C53-C16</f>
        <v>1588804.7509903484</v>
      </c>
    </row>
    <row r="55" spans="2:7" ht="14" x14ac:dyDescent="0.3">
      <c r="B55" s="4" t="s">
        <v>110</v>
      </c>
      <c r="C55" s="24">
        <f>ROUND(C54*1000000/C15,0)</f>
        <v>2278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645243.18227542401</v>
      </c>
    </row>
    <row r="59" spans="2:7" ht="14" x14ac:dyDescent="0.3">
      <c r="B59" s="4" t="s">
        <v>112</v>
      </c>
      <c r="C59" s="5">
        <f>G39+G42</f>
        <v>542030.86602674611</v>
      </c>
    </row>
    <row r="60" spans="2:7" ht="14" x14ac:dyDescent="0.3">
      <c r="B60" s="4" t="s">
        <v>113</v>
      </c>
      <c r="C60" s="5">
        <f>C59*C14</f>
        <v>2547545.0703257066</v>
      </c>
    </row>
    <row r="61" spans="2:7" ht="14" x14ac:dyDescent="0.3">
      <c r="B61" s="4" t="s">
        <v>107</v>
      </c>
      <c r="C61" s="5">
        <f>C60*G46</f>
        <v>1528416.3747640259</v>
      </c>
    </row>
    <row r="62" spans="2:7" ht="14" x14ac:dyDescent="0.3">
      <c r="B62" s="4" t="s">
        <v>108</v>
      </c>
      <c r="C62" s="5">
        <f>C58+C61</f>
        <v>2173659.5570394499</v>
      </c>
    </row>
    <row r="63" spans="2:7" ht="14" x14ac:dyDescent="0.3">
      <c r="B63" s="4" t="s">
        <v>109</v>
      </c>
      <c r="C63" s="5">
        <f>C62-C16</f>
        <v>2080055.5570394499</v>
      </c>
    </row>
    <row r="64" spans="2:7" ht="14" x14ac:dyDescent="0.3">
      <c r="B64" s="4" t="s">
        <v>114</v>
      </c>
      <c r="C64" s="24">
        <f>ROUND(C63*1000000/C15,0)</f>
        <v>2982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0.02</v>
      </c>
      <c r="D69" s="26">
        <v>0.02</v>
      </c>
      <c r="E69" s="26">
        <v>0.02</v>
      </c>
      <c r="F69" s="26">
        <v>0.02</v>
      </c>
      <c r="G69" s="26">
        <v>1.4999999999999999E-2</v>
      </c>
    </row>
    <row r="70" spans="2:7" ht="14" x14ac:dyDescent="0.3">
      <c r="B70" s="4" t="s">
        <v>121</v>
      </c>
      <c r="C70" s="26">
        <v>3.5000000000000003E-2</v>
      </c>
      <c r="D70" s="26">
        <v>0.03</v>
      </c>
      <c r="E70" s="26">
        <v>0.03</v>
      </c>
      <c r="F70" s="26">
        <v>2.5000000000000001E-2</v>
      </c>
      <c r="G70" s="26">
        <v>0.02</v>
      </c>
    </row>
    <row r="71" spans="2:7" ht="14" x14ac:dyDescent="0.3">
      <c r="B71" s="4" t="s">
        <v>122</v>
      </c>
      <c r="C71" s="26">
        <v>0.02</v>
      </c>
      <c r="D71" s="26">
        <v>0.02</v>
      </c>
      <c r="E71" s="26">
        <v>0.02</v>
      </c>
      <c r="F71" s="26">
        <v>0.02</v>
      </c>
      <c r="G71" s="26">
        <v>1.4999999999999999E-2</v>
      </c>
    </row>
    <row r="72" spans="2:7" ht="14" x14ac:dyDescent="0.3">
      <c r="B72" s="4" t="s">
        <v>123</v>
      </c>
      <c r="C72" s="26">
        <v>0</v>
      </c>
      <c r="D72" s="26">
        <v>0.01</v>
      </c>
      <c r="E72" s="26">
        <v>1.4999999999999999E-2</v>
      </c>
      <c r="F72" s="26">
        <v>1.4999999999999999E-2</v>
      </c>
      <c r="G72" s="26">
        <v>1.4999999999999999E-2</v>
      </c>
    </row>
    <row r="73" spans="2:7" ht="14" x14ac:dyDescent="0.3">
      <c r="B73" s="4" t="s">
        <v>124</v>
      </c>
      <c r="C73" s="26">
        <v>-0.08</v>
      </c>
      <c r="D73" s="26">
        <v>-0.02</v>
      </c>
      <c r="E73" s="26">
        <v>1.4999999999999999E-2</v>
      </c>
      <c r="F73" s="26">
        <v>0.02</v>
      </c>
      <c r="G73" s="26">
        <v>0.02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0.879</v>
      </c>
      <c r="D76" s="26">
        <v>0.879</v>
      </c>
      <c r="E76" s="26">
        <v>0.879</v>
      </c>
      <c r="F76" s="26">
        <v>0.879</v>
      </c>
      <c r="G76" s="26">
        <v>0.879</v>
      </c>
    </row>
    <row r="77" spans="2:7" ht="14" x14ac:dyDescent="0.3">
      <c r="B77" s="4" t="s">
        <v>121</v>
      </c>
      <c r="C77" s="26">
        <v>0.86899999999999999</v>
      </c>
      <c r="D77" s="26">
        <v>0.86899999999999999</v>
      </c>
      <c r="E77" s="26">
        <v>0.86899999999999999</v>
      </c>
      <c r="F77" s="26">
        <v>0.86899999999999999</v>
      </c>
      <c r="G77" s="26">
        <v>0.86899999999999999</v>
      </c>
    </row>
    <row r="78" spans="2:7" ht="14" x14ac:dyDescent="0.3">
      <c r="B78" s="4" t="s">
        <v>122</v>
      </c>
      <c r="C78" s="26">
        <v>0.879</v>
      </c>
      <c r="D78" s="26">
        <v>0.879</v>
      </c>
      <c r="E78" s="26">
        <v>0.879</v>
      </c>
      <c r="F78" s="26">
        <v>0.879</v>
      </c>
      <c r="G78" s="26">
        <v>0.879</v>
      </c>
    </row>
    <row r="79" spans="2:7" ht="14" x14ac:dyDescent="0.3">
      <c r="B79" s="4" t="s">
        <v>123</v>
      </c>
      <c r="C79" s="26">
        <v>0.88900000000000001</v>
      </c>
      <c r="D79" s="26">
        <v>0.88900000000000001</v>
      </c>
      <c r="E79" s="26">
        <v>0.88900000000000001</v>
      </c>
      <c r="F79" s="26">
        <v>0.88900000000000001</v>
      </c>
      <c r="G79" s="26">
        <v>0.88900000000000001</v>
      </c>
    </row>
    <row r="80" spans="2:7" ht="14" x14ac:dyDescent="0.3">
      <c r="B80" s="4" t="s">
        <v>124</v>
      </c>
      <c r="C80" s="26">
        <v>0.89900000000000002</v>
      </c>
      <c r="D80" s="26">
        <v>0.89900000000000002</v>
      </c>
      <c r="E80" s="26">
        <v>0.89900000000000002</v>
      </c>
      <c r="F80" s="26">
        <v>0.89900000000000002</v>
      </c>
      <c r="G80" s="26">
        <v>0.89900000000000002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7.6300000000000007E-2</v>
      </c>
      <c r="D83" s="26">
        <v>7.6300000000000007E-2</v>
      </c>
      <c r="E83" s="26">
        <v>7.6300000000000007E-2</v>
      </c>
      <c r="F83" s="26">
        <v>7.6300000000000007E-2</v>
      </c>
      <c r="G83" s="26">
        <v>7.6300000000000007E-2</v>
      </c>
    </row>
    <row r="84" spans="2:7" ht="14" x14ac:dyDescent="0.3">
      <c r="B84" s="4" t="s">
        <v>121</v>
      </c>
      <c r="C84" s="26">
        <v>8.3000000000000004E-2</v>
      </c>
      <c r="D84" s="26">
        <v>8.0500000000000002E-2</v>
      </c>
      <c r="E84" s="26">
        <v>7.85E-2</v>
      </c>
      <c r="F84" s="26">
        <v>7.7200000000000005E-2</v>
      </c>
      <c r="G84" s="26">
        <v>7.6300000000000007E-2</v>
      </c>
    </row>
    <row r="85" spans="2:7" ht="14" x14ac:dyDescent="0.3">
      <c r="B85" s="4" t="s">
        <v>122</v>
      </c>
      <c r="C85" s="26">
        <v>7.6300000000000007E-2</v>
      </c>
      <c r="D85" s="26">
        <v>7.6300000000000007E-2</v>
      </c>
      <c r="E85" s="26">
        <v>7.6300000000000007E-2</v>
      </c>
      <c r="F85" s="26">
        <v>7.6300000000000007E-2</v>
      </c>
      <c r="G85" s="26">
        <v>7.6300000000000007E-2</v>
      </c>
    </row>
    <row r="86" spans="2:7" ht="14" x14ac:dyDescent="0.3">
      <c r="B86" s="4" t="s">
        <v>123</v>
      </c>
      <c r="C86" s="26">
        <v>7.0999999999999994E-2</v>
      </c>
      <c r="D86" s="26">
        <v>7.5999999999999998E-2</v>
      </c>
      <c r="E86" s="26">
        <v>8.0500000000000002E-2</v>
      </c>
      <c r="F86" s="26">
        <v>8.3799999999999999E-2</v>
      </c>
      <c r="G86" s="26">
        <v>8.5800000000000001E-2</v>
      </c>
    </row>
    <row r="87" spans="2:7" ht="14" x14ac:dyDescent="0.3">
      <c r="B87" s="4" t="s">
        <v>124</v>
      </c>
      <c r="C87" s="26">
        <v>7.5999999999999998E-2</v>
      </c>
      <c r="D87" s="26">
        <v>8.5999999999999993E-2</v>
      </c>
      <c r="E87" s="26">
        <v>8.7999999999999995E-2</v>
      </c>
      <c r="F87" s="26">
        <v>8.7999999999999995E-2</v>
      </c>
      <c r="G87" s="26">
        <v>8.6999999999999994E-2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2249.5</v>
      </c>
    </row>
    <row r="7" spans="2:9" ht="14" x14ac:dyDescent="0.3">
      <c r="B7" s="4" t="s">
        <v>72</v>
      </c>
      <c r="C7" s="15">
        <f>'DCF Model'!C15</f>
        <v>697464378</v>
      </c>
    </row>
    <row r="8" spans="2:9" ht="14" x14ac:dyDescent="0.3">
      <c r="B8" s="4" t="s">
        <v>129</v>
      </c>
      <c r="C8" s="5">
        <f>C6*C7/1000000</f>
        <v>1568946.1183110001</v>
      </c>
    </row>
    <row r="9" spans="2:9" ht="14" x14ac:dyDescent="0.3">
      <c r="B9" s="4" t="s">
        <v>73</v>
      </c>
      <c r="C9" s="5">
        <f>'DCF Model'!C16</f>
        <v>93604</v>
      </c>
    </row>
    <row r="10" spans="2:9" ht="14" x14ac:dyDescent="0.3">
      <c r="B10" s="4" t="s">
        <v>130</v>
      </c>
      <c r="C10" s="5">
        <f>C8+C9</f>
        <v>1662550.1183110001</v>
      </c>
    </row>
    <row r="11" spans="2:9" ht="14" x14ac:dyDescent="0.3">
      <c r="B11" s="4" t="s">
        <v>131</v>
      </c>
      <c r="C11" s="16">
        <f>'DCF Model'!C26</f>
        <v>0.10758238180617155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228797</v>
      </c>
    </row>
    <row r="15" spans="2:9" ht="14" x14ac:dyDescent="0.3">
      <c r="B15" s="4" t="s">
        <v>135</v>
      </c>
      <c r="C15" s="27">
        <v>228797</v>
      </c>
    </row>
    <row r="16" spans="2:9" ht="14" x14ac:dyDescent="0.3">
      <c r="B16" s="4" t="s">
        <v>136</v>
      </c>
      <c r="C16" s="5">
        <f>'DCF Model'!G33</f>
        <v>5622726.8260035934</v>
      </c>
    </row>
    <row r="17" spans="2:9" ht="14" x14ac:dyDescent="0.3">
      <c r="B17" s="4" t="s">
        <v>137</v>
      </c>
      <c r="C17" s="5">
        <f>'DCF Model'!C53</f>
        <v>1682408.7509903484</v>
      </c>
    </row>
    <row r="18" spans="2:9" ht="14" x14ac:dyDescent="0.3">
      <c r="B18" s="4" t="s">
        <v>138</v>
      </c>
      <c r="C18" s="26">
        <v>4.4706438202308657E-2</v>
      </c>
    </row>
    <row r="19" spans="2:9" ht="14" x14ac:dyDescent="0.3">
      <c r="B19" s="4" t="s">
        <v>139</v>
      </c>
      <c r="C19" s="5">
        <f>C10-C17</f>
        <v>-19858.632679348346</v>
      </c>
    </row>
    <row r="20" spans="2:9" ht="14" x14ac:dyDescent="0.3">
      <c r="B20" s="4" t="s">
        <v>140</v>
      </c>
      <c r="C20" s="15">
        <f>IFERROR(ROUND(C19*1000000/C7,0),"N/A")</f>
        <v>-28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162235.60041691971</v>
      </c>
    </row>
    <row r="25" spans="2:9" ht="14" x14ac:dyDescent="0.3">
      <c r="B25" s="4" t="s">
        <v>144</v>
      </c>
      <c r="C25" s="5">
        <f>IFERROR(C24/(1-C13),"N/A")</f>
        <v>216314.13388922627</v>
      </c>
    </row>
    <row r="26" spans="2:9" ht="13.5" x14ac:dyDescent="0.25">
      <c r="B26" s="6" t="s">
        <v>145</v>
      </c>
      <c r="C26" s="14">
        <f>IFERROR(C25/C15,"N/A")</f>
        <v>0.94544130337909271</v>
      </c>
    </row>
    <row r="27" spans="2:9" ht="13.5" x14ac:dyDescent="0.25">
      <c r="B27" s="6" t="s">
        <v>146</v>
      </c>
      <c r="C27" s="14">
        <f>IFERROR(C25/C14,"N/A")</f>
        <v>0.94544130337909271</v>
      </c>
    </row>
    <row r="28" spans="2:9" ht="13.5" x14ac:dyDescent="0.25">
      <c r="B28" s="6" t="s">
        <v>147</v>
      </c>
      <c r="C28" s="7">
        <f>IFERROR(C25/C16,"N/A")</f>
        <v>3.8471393077257783E-2</v>
      </c>
    </row>
    <row r="29" spans="2:9" ht="13.5" x14ac:dyDescent="0.25">
      <c r="B29" s="6" t="s">
        <v>148</v>
      </c>
      <c r="C29" s="5">
        <f>IFERROR(C25/C18,"N/A")</f>
        <v>4838545.4665465998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8.7582381806171547E-2</v>
      </c>
      <c r="E36" s="29">
        <f>'DCF Model'!C26-0.01</f>
        <v>9.7582381806171556E-2</v>
      </c>
      <c r="F36" s="29">
        <f>'DCF Model'!C26</f>
        <v>0.10758238180617155</v>
      </c>
      <c r="G36" s="29">
        <f>'DCF Model'!C26+0.01</f>
        <v>0.11758238180617155</v>
      </c>
      <c r="H36" s="29">
        <f>'DCF Model'!C26+0.02</f>
        <v>0.12758238180617154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0.89478909849815413</v>
      </c>
      <c r="E38" s="13">
        <f t="shared" si="0"/>
        <v>0.88409258686090531</v>
      </c>
      <c r="F38" s="13">
        <f t="shared" si="0"/>
        <v>0.87363475162935234</v>
      </c>
      <c r="G38" s="13">
        <f t="shared" si="0"/>
        <v>0.86340797471215391</v>
      </c>
      <c r="H38" s="13">
        <f t="shared" si="0"/>
        <v>0.85340495084624801</v>
      </c>
    </row>
    <row r="39" spans="2:9" ht="14" x14ac:dyDescent="0.3">
      <c r="B39" s="4" t="s">
        <v>156</v>
      </c>
      <c r="C39" s="30">
        <v>5</v>
      </c>
      <c r="D39" s="13">
        <f t="shared" si="0"/>
        <v>1.6967190036755047</v>
      </c>
      <c r="E39" s="13">
        <f t="shared" si="0"/>
        <v>1.6672557403646313</v>
      </c>
      <c r="F39" s="13">
        <f t="shared" si="0"/>
        <v>1.6386918446329735</v>
      </c>
      <c r="G39" s="13">
        <f t="shared" si="0"/>
        <v>1.610989742029223</v>
      </c>
      <c r="H39" s="13">
        <f t="shared" si="0"/>
        <v>1.5841138109156419</v>
      </c>
    </row>
    <row r="40" spans="2:9" ht="14" x14ac:dyDescent="0.3">
      <c r="B40" s="4" t="s">
        <v>157</v>
      </c>
      <c r="C40" s="30">
        <v>7</v>
      </c>
      <c r="D40" s="13">
        <f t="shared" si="0"/>
        <v>2.4166010249215719</v>
      </c>
      <c r="E40" s="13">
        <f t="shared" si="0"/>
        <v>2.3624122862837105</v>
      </c>
      <c r="F40" s="13">
        <f t="shared" si="0"/>
        <v>2.310301404227507</v>
      </c>
      <c r="G40" s="13">
        <f t="shared" si="0"/>
        <v>2.2601618664449759</v>
      </c>
      <c r="H40" s="13">
        <f t="shared" si="0"/>
        <v>2.2118938199534686</v>
      </c>
    </row>
    <row r="41" spans="2:9" ht="14" x14ac:dyDescent="0.3">
      <c r="B41" s="4" t="s">
        <v>158</v>
      </c>
      <c r="C41" s="30">
        <v>10</v>
      </c>
      <c r="D41" s="13">
        <f t="shared" si="0"/>
        <v>3.3629775530988382</v>
      </c>
      <c r="E41" s="13">
        <f t="shared" si="0"/>
        <v>3.2641290881798946</v>
      </c>
      <c r="F41" s="13">
        <f t="shared" si="0"/>
        <v>3.1701602330157495</v>
      </c>
      <c r="G41" s="13">
        <f t="shared" si="0"/>
        <v>3.0807548455867724</v>
      </c>
      <c r="H41" s="13">
        <f t="shared" si="0"/>
        <v>2.9956213434790149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11.767248466526377</v>
      </c>
      <c r="E43" s="13">
        <f t="shared" si="1"/>
        <v>10.334923561677465</v>
      </c>
      <c r="F43" s="13">
        <f t="shared" si="1"/>
        <v>9.1980566032142725</v>
      </c>
      <c r="G43" s="13">
        <f t="shared" si="1"/>
        <v>8.2742001585158427</v>
      </c>
      <c r="H43" s="13">
        <f t="shared" si="1"/>
        <v>7.5089565525045519</v>
      </c>
    </row>
    <row r="44" spans="2:9" ht="14" x14ac:dyDescent="0.3">
      <c r="B44" s="4" t="s">
        <v>156</v>
      </c>
      <c r="C44" s="30">
        <v>5</v>
      </c>
      <c r="D44" s="13">
        <f t="shared" si="1"/>
        <v>10.772995280127617</v>
      </c>
      <c r="E44" s="13">
        <f t="shared" si="1"/>
        <v>9.386733878846881</v>
      </c>
      <c r="F44" s="13">
        <f t="shared" si="1"/>
        <v>8.28948064565283</v>
      </c>
      <c r="G44" s="13">
        <f t="shared" si="1"/>
        <v>7.400441165805919</v>
      </c>
      <c r="H44" s="13">
        <f t="shared" si="1"/>
        <v>6.6663165320553111</v>
      </c>
    </row>
    <row r="45" spans="2:9" ht="14" x14ac:dyDescent="0.3">
      <c r="B45" s="4" t="s">
        <v>157</v>
      </c>
      <c r="C45" s="30">
        <v>7</v>
      </c>
      <c r="D45" s="13">
        <f t="shared" si="1"/>
        <v>9.8905181292714595</v>
      </c>
      <c r="E45" s="13">
        <f t="shared" si="1"/>
        <v>8.554590283425874</v>
      </c>
      <c r="F45" s="13">
        <f t="shared" si="1"/>
        <v>7.5008788849016472</v>
      </c>
      <c r="G45" s="13">
        <f t="shared" si="1"/>
        <v>6.6502456649087769</v>
      </c>
      <c r="H45" s="13">
        <f t="shared" si="1"/>
        <v>5.9505017106264919</v>
      </c>
    </row>
    <row r="46" spans="2:9" ht="14" x14ac:dyDescent="0.3">
      <c r="B46" s="4" t="s">
        <v>158</v>
      </c>
      <c r="C46" s="30">
        <v>10</v>
      </c>
      <c r="D46" s="13">
        <f t="shared" si="1"/>
        <v>8.7461345485790805</v>
      </c>
      <c r="E46" s="13">
        <f t="shared" si="1"/>
        <v>7.4897706079844752</v>
      </c>
      <c r="F46" s="13">
        <f t="shared" si="1"/>
        <v>6.5047966739880785</v>
      </c>
      <c r="G46" s="13">
        <f t="shared" si="1"/>
        <v>5.7145909476983014</v>
      </c>
      <c r="H46" s="13">
        <f t="shared" si="1"/>
        <v>5.068672269505754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170983.76357359131</v>
      </c>
      <c r="E48" s="5">
        <f t="shared" si="2"/>
        <v>194917.33513686014</v>
      </c>
      <c r="F48" s="5">
        <f t="shared" si="2"/>
        <v>219268.97906977459</v>
      </c>
      <c r="G48" s="5">
        <f t="shared" si="2"/>
        <v>244034.26289040869</v>
      </c>
      <c r="H48" s="5">
        <f t="shared" si="2"/>
        <v>269208.77546805312</v>
      </c>
    </row>
    <row r="49" spans="2:9" ht="14" x14ac:dyDescent="0.3">
      <c r="B49" s="4" t="s">
        <v>156</v>
      </c>
      <c r="C49" s="30">
        <v>5</v>
      </c>
      <c r="D49" s="5">
        <f t="shared" si="2"/>
        <v>169732.67189398862</v>
      </c>
      <c r="E49" s="5">
        <f t="shared" si="2"/>
        <v>195517.4614664352</v>
      </c>
      <c r="F49" s="5">
        <f t="shared" si="2"/>
        <v>222185.89943517421</v>
      </c>
      <c r="G49" s="5">
        <f t="shared" si="2"/>
        <v>249734.28335782298</v>
      </c>
      <c r="H49" s="5">
        <f t="shared" si="2"/>
        <v>278158.55946365703</v>
      </c>
    </row>
    <row r="50" spans="2:9" ht="14" x14ac:dyDescent="0.3">
      <c r="B50" s="4" t="s">
        <v>157</v>
      </c>
      <c r="C50" s="30">
        <v>7</v>
      </c>
      <c r="D50" s="5">
        <f t="shared" si="2"/>
        <v>168223.99035478139</v>
      </c>
      <c r="E50" s="5">
        <f t="shared" si="2"/>
        <v>195944.00101943864</v>
      </c>
      <c r="F50" s="5">
        <f t="shared" si="2"/>
        <v>225059.42124946436</v>
      </c>
      <c r="G50" s="5">
        <f t="shared" si="2"/>
        <v>255571.79721835678</v>
      </c>
      <c r="H50" s="5">
        <f t="shared" si="2"/>
        <v>287481.44340543932</v>
      </c>
    </row>
    <row r="51" spans="2:9" ht="14" x14ac:dyDescent="0.3">
      <c r="B51" s="4" t="s">
        <v>158</v>
      </c>
      <c r="C51" s="30">
        <v>10</v>
      </c>
      <c r="D51" s="5">
        <f t="shared" si="2"/>
        <v>165478.1672779216</v>
      </c>
      <c r="E51" s="5">
        <f t="shared" si="2"/>
        <v>196255.75001269582</v>
      </c>
      <c r="F51" s="5">
        <f t="shared" si="2"/>
        <v>229278.54858430923</v>
      </c>
      <c r="G51" s="5">
        <f t="shared" si="2"/>
        <v>264562.42249229748</v>
      </c>
      <c r="H51" s="5">
        <f t="shared" si="2"/>
        <v>302119.41769647825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0.74731645770526411</v>
      </c>
      <c r="E53" s="14">
        <f t="shared" si="3"/>
        <v>0.85192260010778176</v>
      </c>
      <c r="F53" s="14">
        <f t="shared" si="3"/>
        <v>0.95835600584699354</v>
      </c>
      <c r="G53" s="14">
        <f t="shared" si="3"/>
        <v>1.0665973019331927</v>
      </c>
      <c r="H53" s="14">
        <f t="shared" si="3"/>
        <v>1.1766272086961505</v>
      </c>
    </row>
    <row r="54" spans="2:9" ht="14" x14ac:dyDescent="0.3">
      <c r="B54" s="4" t="s">
        <v>156</v>
      </c>
      <c r="C54" s="30">
        <v>5</v>
      </c>
      <c r="D54" s="14">
        <f t="shared" si="3"/>
        <v>0.7418483279675373</v>
      </c>
      <c r="E54" s="14">
        <f t="shared" si="3"/>
        <v>0.85454556426192296</v>
      </c>
      <c r="F54" s="14">
        <f t="shared" si="3"/>
        <v>0.97110495083053627</v>
      </c>
      <c r="G54" s="14">
        <f t="shared" si="3"/>
        <v>1.0915103054577768</v>
      </c>
      <c r="H54" s="14">
        <f t="shared" si="3"/>
        <v>1.2157439103819414</v>
      </c>
    </row>
    <row r="55" spans="2:9" ht="14" x14ac:dyDescent="0.3">
      <c r="B55" s="4" t="s">
        <v>157</v>
      </c>
      <c r="C55" s="30">
        <v>7</v>
      </c>
      <c r="D55" s="14">
        <f t="shared" si="3"/>
        <v>0.73525435366189851</v>
      </c>
      <c r="E55" s="14">
        <f t="shared" si="3"/>
        <v>0.85640983500412438</v>
      </c>
      <c r="F55" s="14">
        <f t="shared" si="3"/>
        <v>0.98366421434487494</v>
      </c>
      <c r="G55" s="14">
        <f t="shared" si="3"/>
        <v>1.1170242495240619</v>
      </c>
      <c r="H55" s="14">
        <f t="shared" si="3"/>
        <v>1.2564913150322745</v>
      </c>
    </row>
    <row r="56" spans="2:9" ht="14" x14ac:dyDescent="0.3">
      <c r="B56" s="4" t="s">
        <v>158</v>
      </c>
      <c r="C56" s="30">
        <v>10</v>
      </c>
      <c r="D56" s="14">
        <f t="shared" si="3"/>
        <v>0.72325322131811864</v>
      </c>
      <c r="E56" s="14">
        <f t="shared" si="3"/>
        <v>0.85777239217601553</v>
      </c>
      <c r="F56" s="14">
        <f t="shared" si="3"/>
        <v>1.0021046979825314</v>
      </c>
      <c r="G56" s="14">
        <f t="shared" si="3"/>
        <v>1.1563194556410157</v>
      </c>
      <c r="H56" s="14">
        <f t="shared" si="3"/>
        <v>1.3204693142675745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222185.89943517421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2.24E-2</v>
      </c>
      <c r="C63" s="5">
        <f>IFERROR($C$60/B63,"N/A")</f>
        <v>9919013.367641706</v>
      </c>
      <c r="D63" s="14">
        <f>IFERROR(C63/'DCF Model'!C17,"N/A")</f>
        <v>1.9381537264402395</v>
      </c>
    </row>
    <row r="64" spans="2:9" ht="14" x14ac:dyDescent="0.3">
      <c r="B64" s="31">
        <v>3.3500000000000002E-2</v>
      </c>
      <c r="C64" s="5">
        <f>IFERROR($C$60/B64,"N/A")</f>
        <v>6632414.9085126631</v>
      </c>
      <c r="D64" s="14">
        <f>IFERROR(C64/'DCF Model'!C17,"N/A")</f>
        <v>1.2959595066346676</v>
      </c>
    </row>
    <row r="65" spans="2:9" ht="14" x14ac:dyDescent="0.3">
      <c r="B65" s="4" t="s">
        <v>168</v>
      </c>
      <c r="C65" s="5">
        <f>IFERROR($C$60/$C$18,"N/A")</f>
        <v>4969885.9575822894</v>
      </c>
      <c r="D65" s="14">
        <f>IFERROR(C65/'DCF Model'!C17,"N/A")</f>
        <v>0.97110495083053638</v>
      </c>
    </row>
    <row r="66" spans="2:9" ht="14" x14ac:dyDescent="0.3">
      <c r="B66" s="31">
        <v>5.5899999999999998E-2</v>
      </c>
      <c r="C66" s="5">
        <f>IFERROR($C$60/B66,"N/A")</f>
        <v>3974703.0310406839</v>
      </c>
      <c r="D66" s="14">
        <f>IFERROR(C66/'DCF Model'!C17,"N/A")</f>
        <v>0.77664836265226056</v>
      </c>
    </row>
    <row r="67" spans="2:9" ht="14" x14ac:dyDescent="0.3">
      <c r="B67" s="31">
        <v>6.7100000000000007E-2</v>
      </c>
      <c r="C67" s="5">
        <f>IFERROR($C$60/B67,"N/A")</f>
        <v>3311265.2672902262</v>
      </c>
      <c r="D67" s="14">
        <f>IFERROR(C67/'DCF Model'!C17,"N/A")</f>
        <v>0.64701406068943901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3.3693669800053097</v>
      </c>
    </row>
    <row r="71" spans="2:9" ht="13.5" x14ac:dyDescent="0.25">
      <c r="B71" s="6" t="s">
        <v>171</v>
      </c>
      <c r="C71" s="14">
        <f>IFERROR(C10/'Comps Analysis'!F5,"N/A")</f>
        <v>0.32485869186445487</v>
      </c>
    </row>
    <row r="72" spans="2:9" ht="14" x14ac:dyDescent="0.3">
      <c r="B72" s="4" t="s">
        <v>172</v>
      </c>
      <c r="C72" s="14">
        <f>IFERROR(C10/(C25+'DCF Model'!G42),"N/A")</f>
        <v>3.2791326288173419</v>
      </c>
    </row>
    <row r="73" spans="2:9" ht="14" x14ac:dyDescent="0.3">
      <c r="B73" s="4" t="s">
        <v>173</v>
      </c>
      <c r="C73" s="14">
        <f>IFERROR(C10/(C60+'DCF Model'!G42),"N/A")</f>
        <v>3.2415911666986883</v>
      </c>
    </row>
    <row r="74" spans="2:9" ht="14" x14ac:dyDescent="0.3">
      <c r="B74" s="4" t="s">
        <v>174</v>
      </c>
      <c r="C74" s="14">
        <f>IFERROR('Comps Analysis'!D16,"N/A")</f>
        <v>4.6917279121968063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2,250 yen the market is paying for a steady-state operating profit of 222,186 mn JPY - 0.97x the FY2026 cycle peak of 228,797 mn - reached in 5 years and sustained for ever, against 228,797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216,314 mn, or 0.95x the peak. The base case supports an EV of only 1,682,409 mn, leaving -28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55.187578012585178</v>
      </c>
      <c r="D5" s="34">
        <f>CHOOSE('DCF Model'!$D$27,D25,D26,D27,D28,D29)</f>
        <v>57</v>
      </c>
      <c r="E5" s="34">
        <f>CHOOSE('DCF Model'!$D$27,E25,E26,E27,E28,E29)</f>
        <v>57</v>
      </c>
      <c r="F5" s="34">
        <f>CHOOSE('DCF Model'!$D$27,F25,F26,F27,F28,F29)</f>
        <v>57</v>
      </c>
      <c r="G5" s="34">
        <f>CHOOSE('DCF Model'!$D$27,G25,G26,G27,G28,G29)</f>
        <v>57</v>
      </c>
      <c r="H5" s="34">
        <f>CHOOSE('DCF Model'!$D$27,H25,H26,H27,H28,H29)</f>
        <v>57</v>
      </c>
    </row>
    <row r="6" spans="2:8" ht="14" x14ac:dyDescent="0.3">
      <c r="B6" s="33" t="s">
        <v>181</v>
      </c>
      <c r="C6" s="34">
        <f>C13/C10*365</f>
        <v>47.078736676261009</v>
      </c>
      <c r="D6" s="34">
        <f>CHOOSE('DCF Model'!$D$27,D32,D33,D34,D35,D36)</f>
        <v>46</v>
      </c>
      <c r="E6" s="34">
        <f>CHOOSE('DCF Model'!$D$27,E32,E33,E34,E35,E36)</f>
        <v>46</v>
      </c>
      <c r="F6" s="34">
        <f>CHOOSE('DCF Model'!$D$27,F32,F33,F34,F35,F36)</f>
        <v>46</v>
      </c>
      <c r="G6" s="34">
        <f>CHOOSE('DCF Model'!$D$27,G32,G33,G34,G35,G36)</f>
        <v>46</v>
      </c>
      <c r="H6" s="34">
        <f>CHOOSE('DCF Model'!$D$27,H32,H33,H34,H35,H36)</f>
        <v>46</v>
      </c>
    </row>
    <row r="7" spans="2:8" ht="14" x14ac:dyDescent="0.3">
      <c r="B7" s="33" t="s">
        <v>182</v>
      </c>
      <c r="C7" s="34">
        <f>C15/C10*365</f>
        <v>71.358355092689635</v>
      </c>
      <c r="D7" s="34">
        <f>CHOOSE('DCF Model'!$D$27,D39,D40,D41,D42,D43)</f>
        <v>76</v>
      </c>
      <c r="E7" s="34">
        <f>CHOOSE('DCF Model'!$D$27,E39,E40,E41,E42,E43)</f>
        <v>76</v>
      </c>
      <c r="F7" s="34">
        <f>CHOOSE('DCF Model'!$D$27,F39,F40,F41,F42,F43)</f>
        <v>76</v>
      </c>
      <c r="G7" s="34">
        <f>CHOOSE('DCF Model'!$D$27,G39,G40,G41,G42,G43)</f>
        <v>76</v>
      </c>
      <c r="H7" s="34">
        <f>CHOOSE('DCF Model'!$D$27,H39,H40,H41,H42,H43)</f>
        <v>76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5117764</v>
      </c>
      <c r="D9" s="35">
        <f>'DCF Model'!C33</f>
        <v>5220119.28</v>
      </c>
      <c r="E9" s="35">
        <f>'DCF Model'!D33</f>
        <v>5324521.6655999999</v>
      </c>
      <c r="F9" s="35">
        <f>'DCF Model'!E33</f>
        <v>5431012.0989119997</v>
      </c>
      <c r="G9" s="35">
        <f>'DCF Model'!F33</f>
        <v>5539632.3408902399</v>
      </c>
      <c r="H9" s="35">
        <f>'DCF Model'!G33</f>
        <v>5622726.8260035934</v>
      </c>
    </row>
    <row r="10" spans="2:8" ht="14" x14ac:dyDescent="0.3">
      <c r="B10" s="33" t="s">
        <v>38</v>
      </c>
      <c r="C10" s="35">
        <v>4498831</v>
      </c>
      <c r="D10" s="35">
        <f>'DCF Model'!C34</f>
        <v>4588484.84712</v>
      </c>
      <c r="E10" s="35">
        <f>'DCF Model'!D34</f>
        <v>4680254.5440624002</v>
      </c>
      <c r="F10" s="35">
        <f>'DCF Model'!E34</f>
        <v>4773859.6349436482</v>
      </c>
      <c r="G10" s="35">
        <f>'DCF Model'!F34</f>
        <v>4869336.8276425209</v>
      </c>
      <c r="H10" s="35">
        <f>'DCF Model'!G34</f>
        <v>4942376.8800571589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773800</v>
      </c>
      <c r="D12" s="35">
        <f t="shared" ref="D12:H13" si="0">D9*D5/365</f>
        <v>815196.70947945211</v>
      </c>
      <c r="E12" s="35">
        <f t="shared" si="0"/>
        <v>831500.64366904111</v>
      </c>
      <c r="F12" s="35">
        <f t="shared" si="0"/>
        <v>848130.6565424219</v>
      </c>
      <c r="G12" s="35">
        <f t="shared" si="0"/>
        <v>865093.26967327041</v>
      </c>
      <c r="H12" s="35">
        <f t="shared" si="0"/>
        <v>878069.66871836933</v>
      </c>
    </row>
    <row r="13" spans="2:8" ht="14" x14ac:dyDescent="0.3">
      <c r="B13" s="33" t="s">
        <v>186</v>
      </c>
      <c r="C13" s="35">
        <v>580272</v>
      </c>
      <c r="D13" s="35">
        <f t="shared" si="0"/>
        <v>578274.80265073967</v>
      </c>
      <c r="E13" s="35">
        <f t="shared" si="0"/>
        <v>589840.29870375455</v>
      </c>
      <c r="F13" s="35">
        <f t="shared" si="0"/>
        <v>601637.10467782966</v>
      </c>
      <c r="G13" s="35">
        <f t="shared" si="0"/>
        <v>613669.84677138622</v>
      </c>
      <c r="H13" s="35">
        <f t="shared" si="0"/>
        <v>622874.89447295701</v>
      </c>
    </row>
    <row r="14" spans="2:8" ht="14" x14ac:dyDescent="0.3">
      <c r="B14" s="33" t="s">
        <v>187</v>
      </c>
      <c r="C14" s="35">
        <f t="shared" ref="C14:H14" si="1">C12+C13</f>
        <v>1354072</v>
      </c>
      <c r="D14" s="35">
        <f t="shared" si="1"/>
        <v>1393471.5121301918</v>
      </c>
      <c r="E14" s="35">
        <f t="shared" si="1"/>
        <v>1421340.9423727957</v>
      </c>
      <c r="F14" s="35">
        <f t="shared" si="1"/>
        <v>1449767.7612202517</v>
      </c>
      <c r="G14" s="35">
        <f t="shared" si="1"/>
        <v>1478763.1164446566</v>
      </c>
      <c r="H14" s="35">
        <f t="shared" si="1"/>
        <v>1500944.5631913263</v>
      </c>
    </row>
    <row r="15" spans="2:8" ht="14" x14ac:dyDescent="0.3">
      <c r="B15" s="33" t="s">
        <v>188</v>
      </c>
      <c r="C15" s="35">
        <v>879532</v>
      </c>
      <c r="D15" s="35">
        <f>D10*D7/365</f>
        <v>955410.54350991792</v>
      </c>
      <c r="E15" s="35">
        <f>E10*E7/365</f>
        <v>974518.75438011624</v>
      </c>
      <c r="F15" s="35">
        <f>F10*F7/365</f>
        <v>994009.12946771854</v>
      </c>
      <c r="G15" s="35">
        <f>G10*G7/365</f>
        <v>1013889.3120570729</v>
      </c>
      <c r="H15" s="35">
        <f>H10*H7/365</f>
        <v>1029097.6517379291</v>
      </c>
    </row>
    <row r="16" spans="2:8" ht="14" x14ac:dyDescent="0.3">
      <c r="B16" s="33" t="s">
        <v>189</v>
      </c>
      <c r="C16" s="35">
        <f t="shared" ref="C16:H16" si="2">C15</f>
        <v>879532</v>
      </c>
      <c r="D16" s="35">
        <f t="shared" si="2"/>
        <v>955410.54350991792</v>
      </c>
      <c r="E16" s="35">
        <f t="shared" si="2"/>
        <v>974518.75438011624</v>
      </c>
      <c r="F16" s="35">
        <f t="shared" si="2"/>
        <v>994009.12946771854</v>
      </c>
      <c r="G16" s="35">
        <f t="shared" si="2"/>
        <v>1013889.3120570729</v>
      </c>
      <c r="H16" s="35">
        <f t="shared" si="2"/>
        <v>1029097.6517379291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474540</v>
      </c>
      <c r="D18" s="20">
        <f t="shared" si="3"/>
        <v>438060.96862027387</v>
      </c>
      <c r="E18" s="20">
        <f t="shared" si="3"/>
        <v>446822.18799267942</v>
      </c>
      <c r="F18" s="20">
        <f t="shared" si="3"/>
        <v>455758.63175253314</v>
      </c>
      <c r="G18" s="20">
        <f t="shared" si="3"/>
        <v>464873.80438758375</v>
      </c>
      <c r="H18" s="20">
        <f t="shared" si="3"/>
        <v>471846.91145339725</v>
      </c>
    </row>
    <row r="19" spans="2:8" ht="14" x14ac:dyDescent="0.3">
      <c r="B19" s="33" t="s">
        <v>100</v>
      </c>
      <c r="C19" s="36" t="s">
        <v>47</v>
      </c>
      <c r="D19" s="24">
        <f>D18-C18</f>
        <v>-36479.031379726133</v>
      </c>
      <c r="E19" s="24">
        <f>E18-D18</f>
        <v>8761.2193724055542</v>
      </c>
      <c r="F19" s="24">
        <f>F18-E18</f>
        <v>8936.4437598537188</v>
      </c>
      <c r="G19" s="24">
        <f>G18-F18</f>
        <v>9115.1726350506069</v>
      </c>
      <c r="H19" s="24">
        <f>H18-G18</f>
        <v>6973.1070658134995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57</v>
      </c>
      <c r="E25" s="30">
        <v>57</v>
      </c>
      <c r="F25" s="30">
        <v>57</v>
      </c>
      <c r="G25" s="30">
        <v>57</v>
      </c>
      <c r="H25" s="30">
        <v>57</v>
      </c>
    </row>
    <row r="26" spans="2:8" ht="14" x14ac:dyDescent="0.3">
      <c r="B26" s="4" t="s">
        <v>121</v>
      </c>
      <c r="D26" s="30">
        <v>54</v>
      </c>
      <c r="E26" s="30">
        <v>54</v>
      </c>
      <c r="F26" s="30">
        <v>54</v>
      </c>
      <c r="G26" s="30">
        <v>54</v>
      </c>
      <c r="H26" s="30">
        <v>54</v>
      </c>
    </row>
    <row r="27" spans="2:8" ht="14" x14ac:dyDescent="0.3">
      <c r="B27" s="4" t="s">
        <v>122</v>
      </c>
      <c r="D27" s="30">
        <v>57</v>
      </c>
      <c r="E27" s="30">
        <v>57</v>
      </c>
      <c r="F27" s="30">
        <v>57</v>
      </c>
      <c r="G27" s="30">
        <v>57</v>
      </c>
      <c r="H27" s="30">
        <v>57</v>
      </c>
    </row>
    <row r="28" spans="2:8" ht="14" x14ac:dyDescent="0.3">
      <c r="B28" s="4" t="s">
        <v>123</v>
      </c>
      <c r="D28" s="30">
        <v>61</v>
      </c>
      <c r="E28" s="30">
        <v>61</v>
      </c>
      <c r="F28" s="30">
        <v>61</v>
      </c>
      <c r="G28" s="30">
        <v>61</v>
      </c>
      <c r="H28" s="30">
        <v>61</v>
      </c>
    </row>
    <row r="29" spans="2:8" ht="14" x14ac:dyDescent="0.3">
      <c r="B29" s="4" t="s">
        <v>124</v>
      </c>
      <c r="D29" s="30">
        <v>65</v>
      </c>
      <c r="E29" s="30">
        <v>65</v>
      </c>
      <c r="F29" s="30">
        <v>65</v>
      </c>
      <c r="G29" s="30">
        <v>65</v>
      </c>
      <c r="H29" s="30">
        <v>65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46</v>
      </c>
      <c r="E32" s="30">
        <v>46</v>
      </c>
      <c r="F32" s="30">
        <v>46</v>
      </c>
      <c r="G32" s="30">
        <v>46</v>
      </c>
      <c r="H32" s="30">
        <v>46</v>
      </c>
    </row>
    <row r="33" spans="2:8" ht="14" x14ac:dyDescent="0.3">
      <c r="B33" s="4" t="s">
        <v>121</v>
      </c>
      <c r="D33" s="30">
        <v>40</v>
      </c>
      <c r="E33" s="30">
        <v>40</v>
      </c>
      <c r="F33" s="30">
        <v>40</v>
      </c>
      <c r="G33" s="30">
        <v>40</v>
      </c>
      <c r="H33" s="30">
        <v>40</v>
      </c>
    </row>
    <row r="34" spans="2:8" ht="14" x14ac:dyDescent="0.3">
      <c r="B34" s="4" t="s">
        <v>122</v>
      </c>
      <c r="D34" s="30">
        <v>46</v>
      </c>
      <c r="E34" s="30">
        <v>46</v>
      </c>
      <c r="F34" s="30">
        <v>46</v>
      </c>
      <c r="G34" s="30">
        <v>46</v>
      </c>
      <c r="H34" s="30">
        <v>46</v>
      </c>
    </row>
    <row r="35" spans="2:8" ht="14" x14ac:dyDescent="0.3">
      <c r="B35" s="4" t="s">
        <v>123</v>
      </c>
      <c r="D35" s="30">
        <v>53</v>
      </c>
      <c r="E35" s="30">
        <v>53</v>
      </c>
      <c r="F35" s="30">
        <v>53</v>
      </c>
      <c r="G35" s="30">
        <v>53</v>
      </c>
      <c r="H35" s="30">
        <v>53</v>
      </c>
    </row>
    <row r="36" spans="2:8" ht="14" x14ac:dyDescent="0.3">
      <c r="B36" s="4" t="s">
        <v>124</v>
      </c>
      <c r="D36" s="30">
        <v>60</v>
      </c>
      <c r="E36" s="30">
        <v>60</v>
      </c>
      <c r="F36" s="30">
        <v>60</v>
      </c>
      <c r="G36" s="30">
        <v>60</v>
      </c>
      <c r="H36" s="30">
        <v>60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76</v>
      </c>
      <c r="E39" s="30">
        <v>76</v>
      </c>
      <c r="F39" s="30">
        <v>76</v>
      </c>
      <c r="G39" s="30">
        <v>76</v>
      </c>
      <c r="H39" s="30">
        <v>76</v>
      </c>
    </row>
    <row r="40" spans="2:8" ht="14" x14ac:dyDescent="0.3">
      <c r="B40" s="4" t="s">
        <v>121</v>
      </c>
      <c r="D40" s="30">
        <v>78</v>
      </c>
      <c r="E40" s="30">
        <v>78</v>
      </c>
      <c r="F40" s="30">
        <v>78</v>
      </c>
      <c r="G40" s="30">
        <v>78</v>
      </c>
      <c r="H40" s="30">
        <v>78</v>
      </c>
    </row>
    <row r="41" spans="2:8" ht="14" x14ac:dyDescent="0.3">
      <c r="B41" s="4" t="s">
        <v>122</v>
      </c>
      <c r="D41" s="30">
        <v>76</v>
      </c>
      <c r="E41" s="30">
        <v>76</v>
      </c>
      <c r="F41" s="30">
        <v>76</v>
      </c>
      <c r="G41" s="30">
        <v>76</v>
      </c>
      <c r="H41" s="30">
        <v>76</v>
      </c>
    </row>
    <row r="42" spans="2:8" ht="14" x14ac:dyDescent="0.3">
      <c r="B42" s="4" t="s">
        <v>123</v>
      </c>
      <c r="D42" s="30">
        <v>73</v>
      </c>
      <c r="E42" s="30">
        <v>73</v>
      </c>
      <c r="F42" s="30">
        <v>73</v>
      </c>
      <c r="G42" s="30">
        <v>73</v>
      </c>
      <c r="H42" s="30">
        <v>73</v>
      </c>
    </row>
    <row r="43" spans="2:8" ht="14" x14ac:dyDescent="0.3">
      <c r="B43" s="4" t="s">
        <v>124</v>
      </c>
      <c r="D43" s="30">
        <v>70</v>
      </c>
      <c r="E43" s="30">
        <v>70</v>
      </c>
      <c r="F43" s="30">
        <v>70</v>
      </c>
      <c r="G43" s="30">
        <v>70</v>
      </c>
      <c r="H43" s="30">
        <v>70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1568946.1183110001</v>
      </c>
      <c r="E5" s="37">
        <f>D5+C24</f>
        <v>1662550.1183110001</v>
      </c>
      <c r="F5" s="37">
        <v>5117764</v>
      </c>
      <c r="G5" s="37">
        <v>493431</v>
      </c>
      <c r="H5" s="37">
        <v>228797</v>
      </c>
      <c r="I5" s="37">
        <v>171697</v>
      </c>
      <c r="J5" s="38">
        <f t="shared" ref="J5:J10" si="0">IFERROR(E5/G5,"")</f>
        <v>3.3693669800053097</v>
      </c>
      <c r="K5" s="38">
        <f t="shared" ref="K5:K10" si="1">IFERROR(E5/F5,"")</f>
        <v>0.32485869186445487</v>
      </c>
      <c r="L5" s="38">
        <f t="shared" ref="L5:L10" si="2">IFERROR(D5/I5,"")</f>
        <v>9.1378772972795108</v>
      </c>
      <c r="M5" s="38">
        <f t="shared" ref="M5:M10" si="3">IFERROR(D5/P5,"")</f>
        <v>0.71297162980323758</v>
      </c>
      <c r="N5" s="39">
        <f t="shared" ref="N5:N10" si="4">IFERROR(H5/F5,"")</f>
        <v>4.4706438202308664E-2</v>
      </c>
      <c r="O5" s="39">
        <f t="shared" ref="O5:O10" si="5">IFERROR(I5/P5,"")</f>
        <v>7.8023769263732667E-2</v>
      </c>
      <c r="P5" s="37">
        <v>2200573</v>
      </c>
    </row>
    <row r="6" spans="2:17" ht="14" x14ac:dyDescent="0.3">
      <c r="B6" s="4" t="s">
        <v>214</v>
      </c>
      <c r="C6" t="s">
        <v>215</v>
      </c>
      <c r="D6" s="37">
        <v>4804935</v>
      </c>
      <c r="E6" s="37">
        <v>4427091</v>
      </c>
      <c r="F6" s="37">
        <v>7539975</v>
      </c>
      <c r="G6" s="37">
        <v>930612</v>
      </c>
      <c r="H6" s="37">
        <v>552538</v>
      </c>
      <c r="I6" s="37">
        <v>443755</v>
      </c>
      <c r="J6" s="38">
        <f t="shared" si="0"/>
        <v>4.75718237031115</v>
      </c>
      <c r="K6" s="38">
        <f t="shared" si="1"/>
        <v>0.5871492942615858</v>
      </c>
      <c r="L6" s="38">
        <f t="shared" si="2"/>
        <v>10.827900530698246</v>
      </c>
      <c r="M6" s="38">
        <f t="shared" si="3"/>
        <v>0.87478737645623117</v>
      </c>
      <c r="N6" s="39">
        <f t="shared" si="4"/>
        <v>7.3281144831382067E-2</v>
      </c>
      <c r="O6" s="39">
        <f t="shared" si="5"/>
        <v>8.0790119375045627E-2</v>
      </c>
      <c r="P6" s="37">
        <v>5492689</v>
      </c>
    </row>
    <row r="7" spans="2:17" ht="14" x14ac:dyDescent="0.3">
      <c r="B7" s="4" t="s">
        <v>216</v>
      </c>
      <c r="C7" t="s">
        <v>217</v>
      </c>
      <c r="D7" s="37">
        <v>694192</v>
      </c>
      <c r="E7" s="37">
        <v>431194</v>
      </c>
      <c r="F7" s="37">
        <v>947610</v>
      </c>
      <c r="G7" s="37">
        <v>98142</v>
      </c>
      <c r="H7" s="37">
        <v>51439</v>
      </c>
      <c r="I7" s="37">
        <v>16539</v>
      </c>
      <c r="J7" s="38">
        <f t="shared" si="0"/>
        <v>4.3935725785086914</v>
      </c>
      <c r="K7" s="38">
        <f t="shared" si="1"/>
        <v>0.45503318875908866</v>
      </c>
      <c r="L7" s="38">
        <f t="shared" si="2"/>
        <v>41.973033436120687</v>
      </c>
      <c r="M7" s="38">
        <f t="shared" si="3"/>
        <v>1.1254350938116569</v>
      </c>
      <c r="N7" s="39">
        <f t="shared" si="4"/>
        <v>5.4282880087799835E-2</v>
      </c>
      <c r="O7" s="39">
        <f t="shared" si="5"/>
        <v>2.6813289430807317E-2</v>
      </c>
      <c r="P7" s="37">
        <v>616821</v>
      </c>
    </row>
    <row r="8" spans="2:17" ht="14" x14ac:dyDescent="0.3">
      <c r="B8" s="4" t="s">
        <v>218</v>
      </c>
      <c r="C8" t="s">
        <v>219</v>
      </c>
      <c r="D8" s="37">
        <v>633448</v>
      </c>
      <c r="E8" s="37">
        <v>624971</v>
      </c>
      <c r="F8" s="37">
        <v>1146772</v>
      </c>
      <c r="G8" s="37">
        <v>133207</v>
      </c>
      <c r="H8" s="37">
        <v>79552</v>
      </c>
      <c r="I8" s="37">
        <v>62009</v>
      </c>
      <c r="J8" s="38">
        <f t="shared" si="0"/>
        <v>4.6917279121968063</v>
      </c>
      <c r="K8" s="38">
        <f t="shared" si="1"/>
        <v>0.54498278646496423</v>
      </c>
      <c r="L8" s="38">
        <f t="shared" si="2"/>
        <v>10.21542034220839</v>
      </c>
      <c r="M8" s="38">
        <f t="shared" si="3"/>
        <v>1.114121038477706</v>
      </c>
      <c r="N8" s="39">
        <f t="shared" si="4"/>
        <v>6.9370371791428465E-2</v>
      </c>
      <c r="O8" s="39">
        <f t="shared" si="5"/>
        <v>0.10906267203458543</v>
      </c>
      <c r="P8" s="37">
        <v>568563</v>
      </c>
    </row>
    <row r="9" spans="2:17" ht="14" x14ac:dyDescent="0.3">
      <c r="B9" s="4" t="s">
        <v>220</v>
      </c>
      <c r="C9" t="s">
        <v>221</v>
      </c>
      <c r="D9" s="37">
        <v>409309</v>
      </c>
      <c r="E9" s="37">
        <v>320137</v>
      </c>
      <c r="F9" s="37">
        <v>2037063</v>
      </c>
      <c r="G9" s="37">
        <v>106916</v>
      </c>
      <c r="H9" s="37">
        <v>53949</v>
      </c>
      <c r="I9" s="37">
        <v>23271</v>
      </c>
      <c r="J9" s="38">
        <f t="shared" si="0"/>
        <v>2.9942852332672376</v>
      </c>
      <c r="K9" s="38">
        <f t="shared" si="1"/>
        <v>0.15715616060966206</v>
      </c>
      <c r="L9" s="38">
        <f t="shared" si="2"/>
        <v>17.588801512612264</v>
      </c>
      <c r="M9" s="38">
        <f t="shared" si="3"/>
        <v>0.8434908584334867</v>
      </c>
      <c r="N9" s="39">
        <f t="shared" si="4"/>
        <v>2.6483716998443346E-2</v>
      </c>
      <c r="O9" s="39">
        <f t="shared" si="5"/>
        <v>4.7956130372421982E-2</v>
      </c>
      <c r="P9" s="37">
        <v>485256</v>
      </c>
    </row>
    <row r="10" spans="2:17" ht="14" x14ac:dyDescent="0.3">
      <c r="B10" s="4" t="s">
        <v>222</v>
      </c>
      <c r="C10" t="s">
        <v>223</v>
      </c>
      <c r="D10" s="37">
        <v>4908944</v>
      </c>
      <c r="E10" s="37">
        <v>5022149</v>
      </c>
      <c r="F10" s="37">
        <v>4429452</v>
      </c>
      <c r="G10" s="37">
        <v>734466</v>
      </c>
      <c r="H10" s="37">
        <v>381237</v>
      </c>
      <c r="I10" s="37">
        <v>327264</v>
      </c>
      <c r="J10" s="38">
        <f t="shared" si="0"/>
        <v>6.8378236705306987</v>
      </c>
      <c r="K10" s="38">
        <f t="shared" si="1"/>
        <v>1.1338082002017404</v>
      </c>
      <c r="L10" s="38">
        <f t="shared" si="2"/>
        <v>14.999951109807373</v>
      </c>
      <c r="M10" s="38">
        <f t="shared" si="3"/>
        <v>1.3405847900195342</v>
      </c>
      <c r="N10" s="39">
        <f t="shared" si="4"/>
        <v>8.6068660412168374E-2</v>
      </c>
      <c r="O10" s="39">
        <f t="shared" si="5"/>
        <v>8.937261063091223E-2</v>
      </c>
      <c r="P10" s="37">
        <v>3661793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4.3935725785086914</v>
      </c>
      <c r="E15" s="38">
        <f t="shared" si="6"/>
        <v>0.45503318875908866</v>
      </c>
      <c r="F15" s="38">
        <f t="shared" si="6"/>
        <v>10.827900530698246</v>
      </c>
      <c r="G15" s="38">
        <f t="shared" si="6"/>
        <v>0.87478737645623117</v>
      </c>
      <c r="H15" s="39">
        <f t="shared" si="6"/>
        <v>5.4282880087799835E-2</v>
      </c>
      <c r="I15" s="39">
        <f t="shared" si="6"/>
        <v>4.7956130372421982E-2</v>
      </c>
    </row>
    <row r="16" spans="2:17" ht="14" x14ac:dyDescent="0.3">
      <c r="B16" s="4" t="s">
        <v>226</v>
      </c>
      <c r="D16" s="38">
        <f t="shared" ref="D16:I16" si="7">MEDIAN(J6:J10)</f>
        <v>4.6917279121968063</v>
      </c>
      <c r="E16" s="38">
        <f t="shared" si="7"/>
        <v>0.54498278646496423</v>
      </c>
      <c r="F16" s="38">
        <f t="shared" si="7"/>
        <v>14.999951109807373</v>
      </c>
      <c r="G16" s="38">
        <f t="shared" si="7"/>
        <v>1.114121038477706</v>
      </c>
      <c r="H16" s="39">
        <f t="shared" si="7"/>
        <v>6.9370371791428465E-2</v>
      </c>
      <c r="I16" s="39">
        <f t="shared" si="7"/>
        <v>8.0790119375045627E-2</v>
      </c>
    </row>
    <row r="17" spans="2:9" ht="14" x14ac:dyDescent="0.3">
      <c r="B17" s="4" t="s">
        <v>227</v>
      </c>
      <c r="D17" s="38">
        <f t="shared" ref="D17:I17" si="8">PERCENTILE(J6:J10,0.75)</f>
        <v>4.75718237031115</v>
      </c>
      <c r="E17" s="38">
        <f t="shared" si="8"/>
        <v>0.5871492942615858</v>
      </c>
      <c r="F17" s="38">
        <f t="shared" si="8"/>
        <v>17.588801512612264</v>
      </c>
      <c r="G17" s="38">
        <f t="shared" si="8"/>
        <v>1.1254350938116569</v>
      </c>
      <c r="H17" s="39">
        <f t="shared" si="8"/>
        <v>7.3281144831382067E-2</v>
      </c>
      <c r="I17" s="39">
        <f t="shared" si="8"/>
        <v>8.937261063091223E-2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493431</v>
      </c>
    </row>
    <row r="22" spans="2:9" ht="14" x14ac:dyDescent="0.3">
      <c r="B22" s="4" t="s">
        <v>231</v>
      </c>
      <c r="C22" s="5">
        <v>171697</v>
      </c>
    </row>
    <row r="23" spans="2:9" ht="14" x14ac:dyDescent="0.3">
      <c r="B23" s="4" t="s">
        <v>232</v>
      </c>
      <c r="C23" s="15">
        <v>697464378</v>
      </c>
    </row>
    <row r="24" spans="2:9" ht="14" x14ac:dyDescent="0.3">
      <c r="B24" s="4" t="s">
        <v>73</v>
      </c>
      <c r="C24" s="5">
        <v>93604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3185</v>
      </c>
    </row>
    <row r="28" spans="2:9" ht="14" x14ac:dyDescent="0.3">
      <c r="B28" s="4" t="s">
        <v>235</v>
      </c>
      <c r="C28" s="24">
        <f>ROUND(C22*F16*1000000/C23,0)</f>
        <v>3693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0.10758238180617155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4.7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9.2582381806171551E-2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2538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2591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2647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2707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2771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2838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2910</v>
      </c>
    </row>
    <row r="8" spans="2:9" ht="13.5" x14ac:dyDescent="0.25">
      <c r="B8" s="39">
        <f>$C$3-0.01</f>
        <v>9.7582381806171556E-2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2399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2446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2495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2548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2603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2662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2724</v>
      </c>
    </row>
    <row r="9" spans="2:9" ht="13.5" x14ac:dyDescent="0.25">
      <c r="B9" s="39">
        <f>$C$3-0.005</f>
        <v>0.10258238180617155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2274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2316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2360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2406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2454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2505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2560</v>
      </c>
    </row>
    <row r="10" spans="2:9" ht="13.5" x14ac:dyDescent="0.25">
      <c r="B10" s="39">
        <f>$C$3</f>
        <v>0.10758238180617155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2162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2198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2237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2278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2321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2366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2414</v>
      </c>
    </row>
    <row r="11" spans="2:9" ht="13.5" x14ac:dyDescent="0.25">
      <c r="B11" s="39">
        <f>$C$3+0.005</f>
        <v>0.11258238180617156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2059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2092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2127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2163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2201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2241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2283</v>
      </c>
    </row>
    <row r="12" spans="2:9" ht="13.5" x14ac:dyDescent="0.25">
      <c r="B12" s="39">
        <f>$C$3+0.01</f>
        <v>0.11758238180617155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1965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1995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2026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2058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2092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2128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2165</v>
      </c>
    </row>
    <row r="13" spans="2:9" ht="13.5" x14ac:dyDescent="0.25">
      <c r="B13" s="39">
        <f>$C$3+0.015</f>
        <v>0.12258238180617155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1879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1906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1934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1963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1994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2025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2059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1.7000000000000002</v>
      </c>
      <c r="D17" s="42">
        <f>$I$3-2</f>
        <v>2.7</v>
      </c>
      <c r="E17" s="42">
        <f>$I$3-1</f>
        <v>3.7</v>
      </c>
      <c r="F17" s="42">
        <f>$I$3</f>
        <v>4.7</v>
      </c>
      <c r="G17" s="42">
        <f>$I$3+1</f>
        <v>5.7</v>
      </c>
      <c r="H17" s="42">
        <f>$I$3+2</f>
        <v>6.7</v>
      </c>
      <c r="I17" s="42">
        <f>$I$3+3</f>
        <v>7.7</v>
      </c>
    </row>
    <row r="18" spans="2:9" ht="13.5" x14ac:dyDescent="0.25">
      <c r="B18" s="39">
        <f>$C$3-0.015</f>
        <v>9.2582381806171551E-2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1674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2174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2673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3172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3671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4170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4669</v>
      </c>
    </row>
    <row r="19" spans="2:9" ht="13.5" x14ac:dyDescent="0.25">
      <c r="B19" s="39">
        <f>$C$3-0.01</f>
        <v>9.7582381806171556E-2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1643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2131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2619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3107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3595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4083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4571</v>
      </c>
    </row>
    <row r="20" spans="2:9" ht="13.5" x14ac:dyDescent="0.25">
      <c r="B20" s="39">
        <f>$C$3-0.005</f>
        <v>0.10258238180617155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1613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2090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2567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3044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3521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3998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4475</v>
      </c>
    </row>
    <row r="21" spans="2:9" ht="13.5" x14ac:dyDescent="0.25">
      <c r="B21" s="39">
        <f>$C$3</f>
        <v>0.10758238180617155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1584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2050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2516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2982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3449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3915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4381</v>
      </c>
    </row>
    <row r="22" spans="2:9" ht="13.5" x14ac:dyDescent="0.25">
      <c r="B22" s="39">
        <f>$C$3+0.005</f>
        <v>0.11258238180617156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1555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2011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2466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2922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3378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3834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4290</v>
      </c>
    </row>
    <row r="23" spans="2:9" ht="13.5" x14ac:dyDescent="0.25">
      <c r="B23" s="39">
        <f>$C$3+0.01</f>
        <v>0.11758238180617155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1527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1972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2418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2864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3310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3755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4201</v>
      </c>
    </row>
    <row r="24" spans="2:9" ht="13.5" x14ac:dyDescent="0.25">
      <c r="B24" s="39">
        <f>$C$3+0.015</f>
        <v>0.12258238180617155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1499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1935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2371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2807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3243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3679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4115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7" spans="2:7" ht="30" customHeight="1" x14ac:dyDescent="0.3">
      <c r="B7" t="s">
        <v>252</v>
      </c>
      <c r="C7" s="4" t="s">
        <v>262</v>
      </c>
      <c r="D7" t="s">
        <v>263</v>
      </c>
      <c r="E7" t="s">
        <v>264</v>
      </c>
      <c r="F7" t="s">
        <v>265</v>
      </c>
      <c r="G7" t="s">
        <v>266</v>
      </c>
    </row>
    <row r="12" spans="2:7" ht="14" x14ac:dyDescent="0.3">
      <c r="B12" s="8" t="s">
        <v>267</v>
      </c>
    </row>
    <row r="13" spans="2:7" ht="14" x14ac:dyDescent="0.3">
      <c r="B13" s="10" t="s">
        <v>268</v>
      </c>
      <c r="C13" s="10" t="s">
        <v>269</v>
      </c>
    </row>
    <row r="14" spans="2:7" ht="14" x14ac:dyDescent="0.3">
      <c r="B14" s="4" t="s">
        <v>270</v>
      </c>
      <c r="C14" t="s">
        <v>271</v>
      </c>
    </row>
    <row r="15" spans="2:7" ht="14" x14ac:dyDescent="0.3">
      <c r="B15" s="4" t="s">
        <v>272</v>
      </c>
      <c r="C15" t="s">
        <v>273</v>
      </c>
    </row>
    <row r="16" spans="2:7" ht="14" x14ac:dyDescent="0.3">
      <c r="B16" s="4" t="s">
        <v>274</v>
      </c>
      <c r="C16" t="s">
        <v>275</v>
      </c>
    </row>
    <row r="17" spans="2:3" ht="14" x14ac:dyDescent="0.3">
      <c r="B17" s="4" t="s">
        <v>276</v>
      </c>
      <c r="C17" t="s">
        <v>273</v>
      </c>
    </row>
    <row r="18" spans="2:3" ht="14" x14ac:dyDescent="0.3">
      <c r="B18" s="4" t="s">
        <v>277</v>
      </c>
      <c r="C18" t="s">
        <v>278</v>
      </c>
    </row>
    <row r="19" spans="2:3" ht="14" x14ac:dyDescent="0.3">
      <c r="B19" s="4" t="s">
        <v>279</v>
      </c>
      <c r="C19" t="s">
        <v>280</v>
      </c>
    </row>
    <row r="20" spans="2:3" ht="14" x14ac:dyDescent="0.3">
      <c r="B20" s="4" t="s">
        <v>281</v>
      </c>
      <c r="C20" t="s">
        <v>282</v>
      </c>
    </row>
    <row r="21" spans="2:3" ht="14" x14ac:dyDescent="0.3">
      <c r="B21" s="4" t="s">
        <v>283</v>
      </c>
      <c r="C21" t="s">
        <v>284</v>
      </c>
    </row>
    <row r="22" spans="2:3" ht="14" x14ac:dyDescent="0.3">
      <c r="B22" s="4" t="s">
        <v>285</v>
      </c>
      <c r="C22" t="s">
        <v>47</v>
      </c>
    </row>
    <row r="23" spans="2:3" ht="14" x14ac:dyDescent="0.3">
      <c r="B23" s="4" t="s">
        <v>286</v>
      </c>
      <c r="C23" t="s">
        <v>4</v>
      </c>
    </row>
    <row r="24" spans="2:3" ht="14" x14ac:dyDescent="0.3">
      <c r="B24" s="4" t="s">
        <v>287</v>
      </c>
      <c r="C24" t="s">
        <v>252</v>
      </c>
    </row>
    <row r="25" spans="2:3" ht="14" x14ac:dyDescent="0.3">
      <c r="B25" s="4" t="s">
        <v>288</v>
      </c>
      <c r="C25" t="s">
        <v>289</v>
      </c>
    </row>
    <row r="26" spans="2:3" ht="14" x14ac:dyDescent="0.3">
      <c r="B26" s="4" t="s">
        <v>290</v>
      </c>
      <c r="C26" t="s">
        <v>278</v>
      </c>
    </row>
    <row r="27" spans="2:3" ht="14" x14ac:dyDescent="0.3">
      <c r="B27" s="4" t="s">
        <v>291</v>
      </c>
      <c r="C27" t="s">
        <v>278</v>
      </c>
    </row>
    <row r="28" spans="2:3" ht="14" x14ac:dyDescent="0.3">
      <c r="B28" s="4" t="s">
        <v>292</v>
      </c>
      <c r="C28" t="s">
        <v>293</v>
      </c>
    </row>
    <row r="29" spans="2:3" ht="14" x14ac:dyDescent="0.3">
      <c r="B29" s="4" t="s">
        <v>294</v>
      </c>
      <c r="C29" t="s">
        <v>295</v>
      </c>
    </row>
    <row r="30" spans="2:3" ht="14" x14ac:dyDescent="0.3">
      <c r="B30" s="4" t="s">
        <v>296</v>
      </c>
      <c r="C30" t="s">
        <v>297</v>
      </c>
    </row>
    <row r="31" spans="2:3" ht="14" x14ac:dyDescent="0.3">
      <c r="B31" s="4" t="s">
        <v>298</v>
      </c>
      <c r="C31" t="s">
        <v>293</v>
      </c>
    </row>
    <row r="32" spans="2:3" ht="14" x14ac:dyDescent="0.3">
      <c r="B32" s="4" t="s">
        <v>299</v>
      </c>
      <c r="C32" t="s">
        <v>278</v>
      </c>
    </row>
    <row r="33" spans="2:3" ht="14" x14ac:dyDescent="0.3">
      <c r="B33" s="4" t="s">
        <v>300</v>
      </c>
      <c r="C33" t="s">
        <v>289</v>
      </c>
    </row>
    <row r="34" spans="2:3" ht="14" x14ac:dyDescent="0.3">
      <c r="B34" s="4" t="s">
        <v>301</v>
      </c>
      <c r="C34" t="s">
        <v>302</v>
      </c>
    </row>
    <row r="35" spans="2:3" ht="14" x14ac:dyDescent="0.3">
      <c r="B35" s="4" t="s">
        <v>303</v>
      </c>
      <c r="C35" t="s">
        <v>304</v>
      </c>
    </row>
    <row r="36" spans="2:3" ht="14" x14ac:dyDescent="0.3">
      <c r="B36" s="4" t="s">
        <v>305</v>
      </c>
      <c r="C36" t="s">
        <v>306</v>
      </c>
    </row>
    <row r="37" spans="2:3" ht="14" x14ac:dyDescent="0.3">
      <c r="B37" s="4" t="s">
        <v>307</v>
      </c>
      <c r="C37" t="s">
        <v>308</v>
      </c>
    </row>
    <row r="38" spans="2:3" ht="14" x14ac:dyDescent="0.3">
      <c r="B38" s="4" t="s">
        <v>309</v>
      </c>
      <c r="C38" t="s">
        <v>310</v>
      </c>
    </row>
    <row r="39" spans="2:3" ht="14" x14ac:dyDescent="0.3">
      <c r="B39" s="4" t="s">
        <v>311</v>
      </c>
      <c r="C39" t="s">
        <v>312</v>
      </c>
    </row>
    <row r="40" spans="2:3" ht="14" x14ac:dyDescent="0.3">
      <c r="B40" s="4" t="s">
        <v>313</v>
      </c>
      <c r="C40" t="s">
        <v>314</v>
      </c>
    </row>
    <row r="41" spans="2:3" ht="14" x14ac:dyDescent="0.3">
      <c r="B41" s="4" t="s">
        <v>315</v>
      </c>
      <c r="C41" t="s">
        <v>316</v>
      </c>
    </row>
    <row r="42" spans="2:3" ht="14" x14ac:dyDescent="0.3">
      <c r="B42" s="4" t="s">
        <v>317</v>
      </c>
      <c r="C42" t="s">
        <v>318</v>
      </c>
    </row>
    <row r="43" spans="2:3" ht="14" x14ac:dyDescent="0.3">
      <c r="B43" s="4" t="s">
        <v>319</v>
      </c>
      <c r="C43" t="s">
        <v>320</v>
      </c>
    </row>
    <row r="44" spans="2:3" ht="14" x14ac:dyDescent="0.3">
      <c r="B44" s="4" t="s">
        <v>321</v>
      </c>
      <c r="C44" t="s">
        <v>282</v>
      </c>
    </row>
    <row r="45" spans="2:3" ht="14" x14ac:dyDescent="0.3">
      <c r="B45" s="4" t="s">
        <v>322</v>
      </c>
      <c r="C45" t="s">
        <v>323</v>
      </c>
    </row>
    <row r="46" spans="2:3" ht="14" x14ac:dyDescent="0.3">
      <c r="B46" s="4" t="s">
        <v>324</v>
      </c>
      <c r="C46" t="s">
        <v>325</v>
      </c>
    </row>
    <row r="47" spans="2:3" ht="14" x14ac:dyDescent="0.3">
      <c r="B47" s="4" t="s">
        <v>326</v>
      </c>
      <c r="C47" t="s">
        <v>327</v>
      </c>
    </row>
    <row r="48" spans="2:3" ht="14" x14ac:dyDescent="0.3">
      <c r="B48" s="4" t="s">
        <v>328</v>
      </c>
      <c r="C48" t="s">
        <v>329</v>
      </c>
    </row>
    <row r="49" spans="2:3" ht="14" x14ac:dyDescent="0.3">
      <c r="B49" s="4" t="s">
        <v>330</v>
      </c>
      <c r="C49" t="s">
        <v>331</v>
      </c>
    </row>
    <row r="50" spans="2:3" ht="14" x14ac:dyDescent="0.3">
      <c r="B50" s="4" t="s">
        <v>332</v>
      </c>
      <c r="C50" t="s">
        <v>333</v>
      </c>
    </row>
    <row r="51" spans="2:3" ht="14" x14ac:dyDescent="0.3">
      <c r="B51" s="4" t="s">
        <v>334</v>
      </c>
      <c r="C51" t="s">
        <v>335</v>
      </c>
    </row>
    <row r="52" spans="2:3" ht="14" x14ac:dyDescent="0.3">
      <c r="B52" s="4" t="s">
        <v>336</v>
      </c>
      <c r="C52" t="s">
        <v>337</v>
      </c>
    </row>
    <row r="53" spans="2:3" ht="14" x14ac:dyDescent="0.3">
      <c r="B53" s="4" t="s">
        <v>338</v>
      </c>
      <c r="C53" t="s">
        <v>339</v>
      </c>
    </row>
    <row r="54" spans="2:3" ht="14" x14ac:dyDescent="0.3">
      <c r="B54" s="4" t="s">
        <v>340</v>
      </c>
      <c r="C54" t="s">
        <v>341</v>
      </c>
    </row>
    <row r="55" spans="2:3" ht="14" x14ac:dyDescent="0.3">
      <c r="B55" s="4" t="s">
        <v>342</v>
      </c>
      <c r="C55" t="s">
        <v>343</v>
      </c>
    </row>
    <row r="56" spans="2:3" ht="14" x14ac:dyDescent="0.3">
      <c r="B56" s="4" t="s">
        <v>344</v>
      </c>
      <c r="C56" t="s">
        <v>345</v>
      </c>
    </row>
    <row r="57" spans="2:3" ht="14" x14ac:dyDescent="0.3">
      <c r="B57" s="4" t="s">
        <v>346</v>
      </c>
      <c r="C57" t="s">
        <v>347</v>
      </c>
    </row>
    <row r="58" spans="2:3" ht="14" x14ac:dyDescent="0.3">
      <c r="B58" s="4" t="s">
        <v>348</v>
      </c>
      <c r="C58" t="s">
        <v>289</v>
      </c>
    </row>
    <row r="59" spans="2:3" ht="14" x14ac:dyDescent="0.3">
      <c r="B59" s="4" t="s">
        <v>349</v>
      </c>
      <c r="C59" t="s">
        <v>350</v>
      </c>
    </row>
    <row r="60" spans="2:3" ht="14" x14ac:dyDescent="0.3">
      <c r="B60" s="4" t="s">
        <v>351</v>
      </c>
      <c r="C60" t="s">
        <v>352</v>
      </c>
    </row>
    <row r="61" spans="2:3" ht="14" x14ac:dyDescent="0.3">
      <c r="B61" s="4" t="s">
        <v>353</v>
      </c>
      <c r="C61" t="s">
        <v>354</v>
      </c>
    </row>
    <row r="62" spans="2:3" ht="14" x14ac:dyDescent="0.3">
      <c r="B62" s="4" t="s">
        <v>355</v>
      </c>
      <c r="C62" t="s">
        <v>356</v>
      </c>
    </row>
    <row r="63" spans="2:3" ht="14" x14ac:dyDescent="0.3">
      <c r="B63" s="4" t="s">
        <v>357</v>
      </c>
      <c r="C63" t="s">
        <v>358</v>
      </c>
    </row>
    <row r="64" spans="2:3" ht="14" x14ac:dyDescent="0.3">
      <c r="B64" s="4" t="s">
        <v>359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2026-09-06T10:24:11Z</dcterms:created>
  <dcterms:modified xsi:type="dcterms:W3CDTF">2026-09-06T10:24:14Z</dcterms:modified>
</cp:coreProperties>
</file>