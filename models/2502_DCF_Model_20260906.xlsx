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E51200DF-BC48-43A8-9E87-8704E16265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D17" i="7" s="1"/>
  <c r="F3" i="7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L7" i="6"/>
  <c r="K7" i="6"/>
  <c r="J7" i="6"/>
  <c r="O6" i="6"/>
  <c r="N6" i="6"/>
  <c r="M6" i="6"/>
  <c r="L6" i="6"/>
  <c r="K6" i="6"/>
  <c r="J6" i="6"/>
  <c r="O5" i="6"/>
  <c r="N5" i="6"/>
  <c r="M5" i="6"/>
  <c r="D5" i="6"/>
  <c r="E5" i="6" s="1"/>
  <c r="J5" i="6" s="1"/>
  <c r="C16" i="5"/>
  <c r="C14" i="5"/>
  <c r="C18" i="5" s="1"/>
  <c r="C7" i="5"/>
  <c r="C6" i="5"/>
  <c r="C5" i="5"/>
  <c r="C13" i="4"/>
  <c r="C12" i="4"/>
  <c r="C9" i="4"/>
  <c r="C7" i="4"/>
  <c r="C6" i="4"/>
  <c r="C8" i="4" s="1"/>
  <c r="D27" i="3"/>
  <c r="G5" i="5" s="1"/>
  <c r="C25" i="3"/>
  <c r="C24" i="3"/>
  <c r="C23" i="3"/>
  <c r="C26" i="3" s="1"/>
  <c r="H36" i="4" s="1"/>
  <c r="F28" i="2"/>
  <c r="E28" i="2"/>
  <c r="D28" i="2"/>
  <c r="C28" i="2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F8" i="2"/>
  <c r="F9" i="2" s="1"/>
  <c r="E8" i="2"/>
  <c r="E9" i="2" s="1"/>
  <c r="D8" i="2"/>
  <c r="D9" i="2" s="1"/>
  <c r="C8" i="2"/>
  <c r="C9" i="2" s="1"/>
  <c r="E7" i="5" l="1"/>
  <c r="G31" i="3"/>
  <c r="F7" i="5"/>
  <c r="D32" i="3"/>
  <c r="H5" i="5"/>
  <c r="C32" i="3"/>
  <c r="C30" i="3"/>
  <c r="C33" i="3" s="1"/>
  <c r="C37" i="3" s="1"/>
  <c r="C10" i="4"/>
  <c r="D30" i="3"/>
  <c r="D6" i="5"/>
  <c r="L5" i="6"/>
  <c r="B29" i="1" s="1"/>
  <c r="D16" i="6"/>
  <c r="F17" i="6"/>
  <c r="F31" i="3"/>
  <c r="E30" i="3"/>
  <c r="I15" i="6"/>
  <c r="E17" i="6"/>
  <c r="F30" i="3"/>
  <c r="D7" i="5"/>
  <c r="C27" i="6"/>
  <c r="C18" i="1" s="1"/>
  <c r="D18" i="1" s="1"/>
  <c r="C74" i="4"/>
  <c r="C3" i="7"/>
  <c r="G36" i="4"/>
  <c r="C11" i="4"/>
  <c r="C24" i="4" s="1"/>
  <c r="C25" i="4" s="1"/>
  <c r="G46" i="3"/>
  <c r="F36" i="4"/>
  <c r="F46" i="3"/>
  <c r="E36" i="4"/>
  <c r="E46" i="3"/>
  <c r="B25" i="1"/>
  <c r="D36" i="4"/>
  <c r="D46" i="3"/>
  <c r="H15" i="6"/>
  <c r="H16" i="6"/>
  <c r="H17" i="6"/>
  <c r="H6" i="7"/>
  <c r="G6" i="7"/>
  <c r="F6" i="7"/>
  <c r="E6" i="7"/>
  <c r="D6" i="7"/>
  <c r="D15" i="6"/>
  <c r="F16" i="6"/>
  <c r="C28" i="6" s="1"/>
  <c r="C19" i="1" s="1"/>
  <c r="D19" i="1" s="1"/>
  <c r="C6" i="7"/>
  <c r="H40" i="4"/>
  <c r="H44" i="4"/>
  <c r="H38" i="4"/>
  <c r="H41" i="4"/>
  <c r="I16" i="6"/>
  <c r="I17" i="6"/>
  <c r="I17" i="7"/>
  <c r="H17" i="7"/>
  <c r="G17" i="7"/>
  <c r="F17" i="7"/>
  <c r="E17" i="7"/>
  <c r="C17" i="7"/>
  <c r="C46" i="3"/>
  <c r="I6" i="7"/>
  <c r="H45" i="4"/>
  <c r="H50" i="4" s="1"/>
  <c r="H55" i="4" s="1"/>
  <c r="D17" i="6"/>
  <c r="F15" i="6"/>
  <c r="E16" i="6"/>
  <c r="H46" i="4"/>
  <c r="E15" i="6"/>
  <c r="C71" i="4"/>
  <c r="C70" i="4"/>
  <c r="H43" i="4"/>
  <c r="H48" i="4" s="1"/>
  <c r="H53" i="4" s="1"/>
  <c r="B30" i="1"/>
  <c r="H39" i="4"/>
  <c r="H49" i="4" s="1"/>
  <c r="H54" i="4" s="1"/>
  <c r="K5" i="6"/>
  <c r="G15" i="6"/>
  <c r="G16" i="6"/>
  <c r="G17" i="6"/>
  <c r="G7" i="5"/>
  <c r="G30" i="3"/>
  <c r="E32" i="3"/>
  <c r="D5" i="5"/>
  <c r="F6" i="5"/>
  <c r="H7" i="5"/>
  <c r="G6" i="5"/>
  <c r="E6" i="5"/>
  <c r="C31" i="3"/>
  <c r="F32" i="3"/>
  <c r="E5" i="5"/>
  <c r="D31" i="3"/>
  <c r="G32" i="3"/>
  <c r="F5" i="5"/>
  <c r="H6" i="5"/>
  <c r="E31" i="3"/>
  <c r="H51" i="4" l="1"/>
  <c r="H56" i="4" s="1"/>
  <c r="C34" i="3"/>
  <c r="D33" i="3"/>
  <c r="D34" i="3" s="1"/>
  <c r="E10" i="5" s="1"/>
  <c r="C42" i="3"/>
  <c r="D9" i="5"/>
  <c r="D12" i="5" s="1"/>
  <c r="B24" i="1"/>
  <c r="E9" i="5"/>
  <c r="E12" i="5" s="1"/>
  <c r="D42" i="3"/>
  <c r="E33" i="3"/>
  <c r="F43" i="4"/>
  <c r="F46" i="4"/>
  <c r="F40" i="4"/>
  <c r="F44" i="4"/>
  <c r="F39" i="4"/>
  <c r="F38" i="4"/>
  <c r="F41" i="4"/>
  <c r="F45" i="4"/>
  <c r="D10" i="5"/>
  <c r="C35" i="3"/>
  <c r="C27" i="4"/>
  <c r="C26" i="4"/>
  <c r="C29" i="4"/>
  <c r="D45" i="4"/>
  <c r="D39" i="4"/>
  <c r="D43" i="4"/>
  <c r="D46" i="4"/>
  <c r="D44" i="4"/>
  <c r="D38" i="4"/>
  <c r="D48" i="4" s="1"/>
  <c r="D53" i="4" s="1"/>
  <c r="D41" i="4"/>
  <c r="D40" i="4"/>
  <c r="G46" i="4"/>
  <c r="G40" i="4"/>
  <c r="G50" i="4" s="1"/>
  <c r="G55" i="4" s="1"/>
  <c r="G44" i="4"/>
  <c r="G38" i="4"/>
  <c r="G39" i="4"/>
  <c r="G49" i="4" s="1"/>
  <c r="G54" i="4" s="1"/>
  <c r="G43" i="4"/>
  <c r="G41" i="4"/>
  <c r="G45" i="4"/>
  <c r="B22" i="7"/>
  <c r="B8" i="7"/>
  <c r="B19" i="7"/>
  <c r="B13" i="7"/>
  <c r="B24" i="7"/>
  <c r="B10" i="7"/>
  <c r="B21" i="7"/>
  <c r="B7" i="7"/>
  <c r="B18" i="7"/>
  <c r="B12" i="7"/>
  <c r="B23" i="7"/>
  <c r="B9" i="7"/>
  <c r="B20" i="7"/>
  <c r="B11" i="7"/>
  <c r="E39" i="4"/>
  <c r="E43" i="4"/>
  <c r="E46" i="4"/>
  <c r="E40" i="4"/>
  <c r="E45" i="4"/>
  <c r="E38" i="4"/>
  <c r="E41" i="4"/>
  <c r="E44" i="4"/>
  <c r="D49" i="4" l="1"/>
  <c r="D54" i="4" s="1"/>
  <c r="D35" i="3"/>
  <c r="D37" i="3"/>
  <c r="E49" i="4"/>
  <c r="E54" i="4" s="1"/>
  <c r="D51" i="4"/>
  <c r="D56" i="4" s="1"/>
  <c r="F49" i="4"/>
  <c r="C60" i="4" s="1"/>
  <c r="C36" i="3"/>
  <c r="C39" i="3"/>
  <c r="C38" i="3"/>
  <c r="D50" i="4"/>
  <c r="D55" i="4" s="1"/>
  <c r="D36" i="3"/>
  <c r="D39" i="3"/>
  <c r="D38" i="3"/>
  <c r="D15" i="5"/>
  <c r="D16" i="5" s="1"/>
  <c r="D13" i="5"/>
  <c r="D14" i="5" s="1"/>
  <c r="D18" i="5" s="1"/>
  <c r="D19" i="5" s="1"/>
  <c r="C44" i="3" s="1"/>
  <c r="F51" i="4"/>
  <c r="F56" i="4" s="1"/>
  <c r="F9" i="5"/>
  <c r="F12" i="5" s="1"/>
  <c r="E42" i="3"/>
  <c r="E34" i="3"/>
  <c r="F10" i="5" s="1"/>
  <c r="E37" i="3"/>
  <c r="F33" i="3"/>
  <c r="F48" i="4"/>
  <c r="F53" i="4" s="1"/>
  <c r="G51" i="4"/>
  <c r="G56" i="4" s="1"/>
  <c r="E48" i="4"/>
  <c r="E53" i="4" s="1"/>
  <c r="E13" i="5"/>
  <c r="E14" i="5" s="1"/>
  <c r="E15" i="5"/>
  <c r="E16" i="5" s="1"/>
  <c r="G48" i="4"/>
  <c r="G53" i="4" s="1"/>
  <c r="E51" i="4"/>
  <c r="E56" i="4" s="1"/>
  <c r="E50" i="4"/>
  <c r="E55" i="4" s="1"/>
  <c r="F50" i="4"/>
  <c r="F55" i="4" s="1"/>
  <c r="E18" i="5" l="1"/>
  <c r="E19" i="5" s="1"/>
  <c r="D44" i="3" s="1"/>
  <c r="F54" i="4"/>
  <c r="B78" i="4" s="1"/>
  <c r="F42" i="3"/>
  <c r="F34" i="3"/>
  <c r="G10" i="5" s="1"/>
  <c r="F37" i="3"/>
  <c r="F35" i="3"/>
  <c r="G33" i="3"/>
  <c r="G9" i="5"/>
  <c r="G12" i="5" s="1"/>
  <c r="F13" i="5"/>
  <c r="F14" i="5" s="1"/>
  <c r="F15" i="5"/>
  <c r="F16" i="5" s="1"/>
  <c r="C65" i="4"/>
  <c r="D65" i="4" s="1"/>
  <c r="C64" i="4"/>
  <c r="D64" i="4" s="1"/>
  <c r="C67" i="4"/>
  <c r="D67" i="4" s="1"/>
  <c r="C66" i="4"/>
  <c r="D66" i="4" s="1"/>
  <c r="C63" i="4"/>
  <c r="D63" i="4" s="1"/>
  <c r="D40" i="3"/>
  <c r="D41" i="3" s="1"/>
  <c r="D45" i="3" s="1"/>
  <c r="D47" i="3" s="1"/>
  <c r="C40" i="3"/>
  <c r="C41" i="3" s="1"/>
  <c r="C45" i="3" s="1"/>
  <c r="E35" i="3"/>
  <c r="F18" i="5" l="1"/>
  <c r="F19" i="5" s="1"/>
  <c r="E44" i="3" s="1"/>
  <c r="C47" i="3"/>
  <c r="G37" i="3"/>
  <c r="H9" i="5"/>
  <c r="H12" i="5" s="1"/>
  <c r="G42" i="3"/>
  <c r="C16" i="4"/>
  <c r="C28" i="4" s="1"/>
  <c r="G34" i="3"/>
  <c r="H10" i="5" s="1"/>
  <c r="E39" i="3"/>
  <c r="E36" i="3"/>
  <c r="E38" i="3"/>
  <c r="F36" i="3"/>
  <c r="F39" i="3"/>
  <c r="F38" i="3"/>
  <c r="G13" i="5"/>
  <c r="G14" i="5" s="1"/>
  <c r="G15" i="5"/>
  <c r="G16" i="5" s="1"/>
  <c r="G18" i="5" l="1"/>
  <c r="G19" i="5" s="1"/>
  <c r="F44" i="3" s="1"/>
  <c r="H15" i="5"/>
  <c r="H16" i="5" s="1"/>
  <c r="H13" i="5"/>
  <c r="F40" i="3"/>
  <c r="F41" i="3"/>
  <c r="F45" i="3" s="1"/>
  <c r="F47" i="3" s="1"/>
  <c r="C72" i="4"/>
  <c r="C73" i="4"/>
  <c r="H14" i="5"/>
  <c r="H18" i="5" s="1"/>
  <c r="H19" i="5" s="1"/>
  <c r="G44" i="3" s="1"/>
  <c r="G35" i="3"/>
  <c r="E40" i="3"/>
  <c r="E41" i="3"/>
  <c r="E45" i="3" s="1"/>
  <c r="E47" i="3" l="1"/>
  <c r="G38" i="3"/>
  <c r="G36" i="3"/>
  <c r="G39" i="3"/>
  <c r="G40" i="3" l="1"/>
  <c r="G41" i="3" s="1"/>
  <c r="G45" i="3" s="1"/>
  <c r="C59" i="3"/>
  <c r="C60" i="3" s="1"/>
  <c r="C61" i="3" s="1"/>
  <c r="C51" i="3" l="1"/>
  <c r="C52" i="3" s="1"/>
  <c r="G47" i="3"/>
  <c r="C50" i="3" s="1"/>
  <c r="E23" i="7"/>
  <c r="F13" i="7"/>
  <c r="E10" i="7"/>
  <c r="H10" i="7"/>
  <c r="C24" i="7"/>
  <c r="C18" i="7"/>
  <c r="D12" i="7"/>
  <c r="E19" i="7"/>
  <c r="D13" i="7"/>
  <c r="G12" i="7"/>
  <c r="I8" i="7"/>
  <c r="F18" i="7"/>
  <c r="G22" i="7"/>
  <c r="I12" i="7"/>
  <c r="F10" i="7"/>
  <c r="E8" i="7"/>
  <c r="E18" i="7"/>
  <c r="H19" i="7"/>
  <c r="E9" i="7"/>
  <c r="I23" i="7"/>
  <c r="D11" i="7"/>
  <c r="E11" i="7"/>
  <c r="E20" i="7"/>
  <c r="H20" i="7"/>
  <c r="D23" i="7"/>
  <c r="H8" i="7"/>
  <c r="I19" i="7"/>
  <c r="D7" i="7"/>
  <c r="C19" i="7"/>
  <c r="H13" i="7"/>
  <c r="C23" i="7"/>
  <c r="D19" i="7"/>
  <c r="G23" i="7"/>
  <c r="C22" i="7"/>
  <c r="D9" i="7"/>
  <c r="H11" i="7"/>
  <c r="I10" i="7"/>
  <c r="E21" i="7"/>
  <c r="C10" i="7"/>
  <c r="G8" i="7"/>
  <c r="D22" i="7"/>
  <c r="G24" i="7"/>
  <c r="H7" i="7"/>
  <c r="I7" i="7"/>
  <c r="G11" i="7"/>
  <c r="I11" i="7"/>
  <c r="H23" i="7"/>
  <c r="E13" i="7"/>
  <c r="F19" i="7"/>
  <c r="H21" i="7"/>
  <c r="C7" i="7"/>
  <c r="D21" i="7"/>
  <c r="C20" i="7"/>
  <c r="G18" i="7"/>
  <c r="C8" i="7"/>
  <c r="F22" i="7"/>
  <c r="G13" i="7"/>
  <c r="I9" i="7"/>
  <c r="H22" i="7"/>
  <c r="F20" i="7"/>
  <c r="F9" i="7"/>
  <c r="F8" i="7"/>
  <c r="C13" i="7"/>
  <c r="D10" i="7"/>
  <c r="H12" i="7"/>
  <c r="G9" i="7"/>
  <c r="C9" i="7"/>
  <c r="C11" i="7"/>
  <c r="G10" i="7"/>
  <c r="F24" i="7"/>
  <c r="H9" i="7"/>
  <c r="D8" i="7"/>
  <c r="E7" i="7"/>
  <c r="D24" i="7"/>
  <c r="G20" i="7"/>
  <c r="G19" i="7"/>
  <c r="I13" i="7"/>
  <c r="I20" i="7"/>
  <c r="E24" i="7"/>
  <c r="E12" i="7"/>
  <c r="G7" i="7"/>
  <c r="C12" i="7"/>
  <c r="F11" i="7"/>
  <c r="D18" i="7"/>
  <c r="I22" i="7"/>
  <c r="H24" i="7"/>
  <c r="F7" i="7"/>
  <c r="I21" i="7"/>
  <c r="H18" i="7"/>
  <c r="D20" i="7"/>
  <c r="E22" i="7"/>
  <c r="F23" i="7"/>
  <c r="I24" i="7"/>
  <c r="F21" i="7"/>
  <c r="G21" i="7"/>
  <c r="I18" i="7"/>
  <c r="F12" i="7"/>
  <c r="C21" i="7"/>
  <c r="C58" i="3" l="1"/>
  <c r="C62" i="3" s="1"/>
  <c r="C53" i="3"/>
  <c r="C17" i="4" l="1"/>
  <c r="C54" i="3"/>
  <c r="C55" i="3" s="1"/>
  <c r="C16" i="1"/>
  <c r="C63" i="3"/>
  <c r="C64" i="3" s="1"/>
  <c r="C17" i="1" s="1"/>
  <c r="D17" i="1" s="1"/>
  <c r="D16" i="1" l="1"/>
  <c r="C10" i="1"/>
  <c r="C21" i="1"/>
  <c r="C19" i="4"/>
  <c r="C20" i="4" s="1"/>
  <c r="B79" i="4" s="1"/>
  <c r="B26" i="1" l="1"/>
  <c r="C12" i="1"/>
  <c r="C11" i="1" s="1"/>
</calcChain>
</file>

<file path=xl/sharedStrings.xml><?xml version="1.0" encoding="utf-8"?>
<sst xmlns="http://schemas.openxmlformats.org/spreadsheetml/2006/main" count="440" uniqueCount="356">
  <si>
    <t>DISCLAIMER: This is a sample analysis for demonstration purposes only. It does not constitute investment advice.</t>
  </si>
  <si>
    <t>アサヒグループホールディングス (2502.T)</t>
  </si>
  <si>
    <t>Equity Research Report</t>
  </si>
  <si>
    <t>Company</t>
  </si>
  <si>
    <t>アサヒグループホールディングス</t>
  </si>
  <si>
    <t>Ticker</t>
  </si>
  <si>
    <t>2502.T (TSE Prime)</t>
  </si>
  <si>
    <t>Sector</t>
  </si>
  <si>
    <t>食料品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</si>
  <si>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</si>
  <si>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</si>
  <si>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</si>
  <si>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</si>
  <si>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</si>
  <si>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</si>
  <si>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</si>
  <si>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</si>
  <si>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</si>
  <si>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</si>
  <si>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</si>
  <si>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</si>
  <si>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</si>
  <si>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</si>
  <si>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</si>
  <si>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Key Risks</t>
  </si>
  <si>
    <t>Beer volumes in the domestic market decline structurally, so the modelled growth depends on overseas premiumisation and price increases holding.</t>
  </si>
  <si>
    <t>アサヒグループホールディングス - Historical Financials (JPY mn)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</si>
  <si>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</si>
  <si>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</si>
  <si>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</si>
  <si>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</si>
  <si>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</si>
  <si>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</si>
  <si>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</si>
  <si>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</si>
  <si>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</si>
  <si>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</si>
  <si>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</si>
  <si>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</si>
  <si>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</si>
  <si>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</si>
  <si>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</si>
  <si>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</si>
  <si>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</si>
  <si>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</si>
  <si>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</si>
  <si>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</si>
  <si>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</si>
  <si>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</si>
  <si>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</si>
  <si>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</si>
  <si>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</si>
  <si>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</si>
  <si>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</si>
  <si>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4/4 — blank cells are years with no year-key match in the source data (verify against 決算短信 or set hist_ocf / hist_cash / hist_debt in overrides).</t>
  </si>
  <si>
    <t>DCF Valuation Model - アサヒグループホールディングス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</si>
  <si>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</si>
  <si>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</si>
  <si>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</si>
  <si>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</si>
  <si>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</si>
  <si>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</si>
  <si>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</si>
  <si>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</si>
  <si>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</si>
  <si>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</si>
  <si>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</si>
  <si>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</si>
  <si>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</si>
  <si>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</si>
  <si>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</si>
  <si>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</si>
  <si>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</si>
  <si>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</si>
  <si>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</si>
  <si>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</si>
  <si>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</si>
  <si>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</si>
  <si>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</si>
  <si>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</si>
  <si>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</si>
  <si>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</si>
  <si>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</si>
  <si>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</si>
  <si>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</si>
  <si>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</si>
  <si>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</si>
  <si>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</si>
  <si>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</si>
  <si>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</si>
  <si>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</si>
  <si>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</si>
  <si>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</si>
  <si>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</si>
  <si>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</si>
  <si>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</si>
  <si>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</si>
  <si>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</si>
  <si>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</si>
  <si>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</si>
  <si>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</si>
  <si>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</si>
  <si>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</si>
  <si>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</si>
  <si>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</si>
  <si>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</si>
  <si>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</si>
  <si>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</si>
  <si>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</si>
  <si>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</si>
  <si>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</si>
  <si>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</si>
  <si>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</si>
  <si>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</si>
  <si>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</si>
  <si>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</si>
  <si>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</si>
  <si>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</si>
  <si>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</si>
  <si>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</si>
  <si>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アサヒグループホールディングス (2502.T)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</si>
  <si>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</si>
  <si>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</si>
  <si>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</si>
  <si>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</si>
  <si>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</si>
  <si>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</si>
  <si>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</si>
  <si>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</si>
  <si>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(FY2025 actual)</t>
  </si>
  <si>
    <t>Cycle-peak Operating Profit (FY2024 actual)</t>
  </si>
  <si>
    <t>Terminal-year Revenue, active scenario (JPY mn)</t>
  </si>
  <si>
    <t>Base-case DCF Enterprise Value, PGM (JPY mn)</t>
  </si>
  <si>
    <t>Cycle-peak Operating Margin (FY2024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</si>
  <si>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</si>
  <si>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</si>
  <si>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</si>
  <si>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</si>
  <si>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</si>
  <si>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</si>
  <si>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FY2024 peak</t>
  </si>
  <si>
    <t>... as a multiple of FY2025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</si>
  <si>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</si>
  <si>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</si>
  <si>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</si>
  <si>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</si>
  <si>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</si>
  <si>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</si>
  <si>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</si>
  <si>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</si>
  <si>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</si>
  <si>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</si>
  <si>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</si>
  <si>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</si>
  <si>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</si>
  <si>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</si>
  <si>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FY2024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</si>
  <si>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</si>
  <si>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</si>
  <si>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</si>
  <si>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</si>
  <si>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</si>
  <si>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</si>
  <si>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(FY2024)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</si>
  <si>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</si>
  <si>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</si>
  <si>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</si>
  <si>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</si>
  <si>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</si>
  <si>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</si>
  <si>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</si>
  <si>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</si>
  <si>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アサヒグループホールディングス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</si>
  <si>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</si>
  <si>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</si>
  <si>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</si>
  <si>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</si>
  <si>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</si>
  <si>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</si>
  <si>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</si>
  <si>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</si>
  <si>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</si>
  <si>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</si>
  <si>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</si>
  <si>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</si>
  <si>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</si>
  <si>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</si>
  <si>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</si>
  <si>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</si>
  <si>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</si>
  <si>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</si>
  <si>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</si>
  <si>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</si>
  <si>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</si>
  <si>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</si>
  <si>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</si>
  <si>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</si>
  <si>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</si>
  <si>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</si>
  <si>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</si>
  <si>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</si>
  <si>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</si>
  <si>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</si>
  <si>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</si>
  <si>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</si>
  <si>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</si>
  <si>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</si>
  <si>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Asahi Group Holdings, Ltd.</t>
  </si>
  <si>
    <t>2502.T</t>
  </si>
  <si>
    <t>Kirin Holdings Company, Limited</t>
  </si>
  <si>
    <t>2503.T</t>
  </si>
  <si>
    <t>Ajinomoto Co., Inc.</t>
  </si>
  <si>
    <t>2802.T</t>
  </si>
  <si>
    <t>Kikkoman Corporation</t>
  </si>
  <si>
    <t>2801.T</t>
  </si>
  <si>
    <t>Meiji Holdings Co., Ltd.</t>
  </si>
  <si>
    <t>2269.T</t>
  </si>
  <si>
    <t>Nissin Foods Holdings Co.,Ltd.</t>
  </si>
  <si>
    <t>2897.T</t>
  </si>
  <si>
    <t>Statistics</t>
  </si>
  <si>
    <t>25th Percentile</t>
  </si>
  <si>
    <t>Median (50th)</t>
  </si>
  <si>
    <t>75th Percentile</t>
  </si>
  <si>
    <t>Implied Valuation for アサヒグループホールディングス</t>
  </si>
  <si>
    <t>アサヒグループホールディングス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</si>
  <si>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</si>
  <si>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</si>
  <si>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</si>
  <si>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</si>
  <si>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</si>
  <si>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</si>
  <si>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</si>
  <si>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</si>
  <si>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</si>
  <si>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</si>
  <si>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</si>
  <si>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</si>
  <si>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</si>
  <si>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</si>
  <si>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</si>
  <si>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アサヒグループホールディングス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</si>
  <si>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</si>
  <si>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</si>
  <si>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</si>
  <si>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</si>
  <si>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</si>
  <si>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</si>
  <si>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</si>
  <si>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</si>
  <si>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18:39, template rev 63983ab</t>
  </si>
  <si>
    <t>初期生成（手修正なし）</t>
  </si>
  <si>
    <t>generated</t>
  </si>
  <si>
    <t>DCF Model!C11</t>
  </si>
  <si>
    <t>After-tax Cost of Debt = 1.46% (実績ベース)</t>
  </si>
  <si>
    <t>実績Kd = 支払利息28,522 ÷ 平均有利子負債1,461,676(期首1,279,176/期末1,644,177、debt_beginning/debt_ending) = 税引前1.95% × (1−25.0%) = 1.46%。【マージナルコスト注記】これは既存借入の実績平均コストであり、新規調達の限界コストではない。テンプレ既定(税引前2.8%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</si>
  <si>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</si>
  <si>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</si>
  <si>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DCF Model!C8</t>
  </si>
  <si>
    <t>Beta = 0.626（採用値）</t>
  </si>
  <si>
    <t>実測β(raw) = 0.441 → Blume調整 0.67×raw + 0.33×1.00 = 0.626 → 採用 0.626。クランプ域 [0.3, 2.0] の内側。置換なし。回帰βは平均回帰するため Blume 調整を既定とする（2026-09-05 バッチで85件中57件が旧下限 0.60 に張り付き、両裾の歪みが実証された）。</t>
  </si>
  <si>
    <t>実測 0.441</t>
  </si>
  <si>
    <t>確定</t>
  </si>
  <si>
    <t>Pipeline Metadata (do not edit — read by scripts/validate_output.py)</t>
  </si>
  <si>
    <t>key</t>
  </si>
  <si>
    <t>value</t>
  </si>
  <si>
    <t>auto_log_entries</t>
  </si>
  <si>
    <t>2</t>
  </si>
  <si>
    <t>beta_adopted_c8</t>
  </si>
  <si>
    <t>0.6257</t>
  </si>
  <si>
    <t>beta_basis</t>
  </si>
  <si>
    <t>Blume: 0.67 x 0.441 + 0.33 x 1.00 = 0.626</t>
  </si>
  <si>
    <t>beta_blume_adjusted</t>
  </si>
  <si>
    <t>beta_clamped</t>
  </si>
  <si>
    <t>no</t>
  </si>
  <si>
    <t>beta_raw</t>
  </si>
  <si>
    <t>0.4413</t>
  </si>
  <si>
    <t>capex_pct_basis</t>
  </si>
  <si>
    <t>explicit_override</t>
  </si>
  <si>
    <t>capex_pct_c5</t>
  </si>
  <si>
    <t>0.0586</t>
  </si>
  <si>
    <t>capex_pct_hist3yr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</si>
  <si>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</si>
  <si>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</si>
  <si>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</si>
  <si>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</si>
  <si>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</si>
  <si>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</si>
  <si>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</si>
  <si>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</si>
  <si>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</si>
  <si>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</si>
  <si>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</si>
  <si>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</si>
  <si>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</si>
  <si>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</si>
  <si>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</si>
  <si>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</si>
  <si>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</si>
  <si>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</si>
  <si>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</si>
  <si>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</si>
  <si>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348957</t>
  </si>
  <si>
    <t>core_net_income</t>
  </si>
  <si>
    <t>121574</t>
  </si>
  <si>
    <t>cost_of_debt_actual</t>
  </si>
  <si>
    <t>interest 28,522 (expense 28,522 + fees 0) / avg debt 1,461,676 (debt_beginning/debt_ending) = 0.019513 pre-tax -&gt; 0.014600 after-tax</t>
  </si>
  <si>
    <t>cost_of_debt_at_c11</t>
  </si>
  <si>
    <t>0.0146</t>
  </si>
  <si>
    <t>cost_of_debt_avg_debt</t>
  </si>
  <si>
    <t>1461676.5</t>
  </si>
  <si>
    <t>cost_of_debt_basis</t>
  </si>
  <si>
    <t>actual</t>
  </si>
  <si>
    <t>cost_of_debt_interest</t>
  </si>
  <si>
    <t>28522.0</t>
  </si>
  <si>
    <t>cost_of_debt_pretax</t>
  </si>
  <si>
    <t>0.019513209660277087</t>
  </si>
  <si>
    <t>da_pct_basis</t>
  </si>
  <si>
    <t>da_pct_c18</t>
  </si>
  <si>
    <t>0.056</t>
  </si>
  <si>
    <t>da_pct_hist3yr</t>
  </si>
  <si>
    <t>0.054505</t>
  </si>
  <si>
    <t>fs_year_coverage</t>
  </si>
  <si>
    <t>OCF 4/4, Cash 4/4, Debt 4/4</t>
  </si>
  <si>
    <t>fs_year_map</t>
  </si>
  <si>
    <t>FY2022&lt;-FY2022[ocf+cash+debt]; FY2023&lt;-FY2023[ocf+cash+debt]; FY2024&lt;-FY2024[ocf+cash+debt]; FY2025&lt;-FY2025[ocf+cash+debt]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</si>
  <si>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</si>
  <si>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</si>
  <si>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</si>
  <si>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</si>
  <si>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</si>
  <si>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18:39:33</t>
  </si>
  <si>
    <t>guidance_note</t>
  </si>
  <si>
    <t>TDnet 決算短信 via screener guidance table: FY2026 disclosed 2026-08-14 (net_income=194,000mn, operating_income=297,000mn, revenue=3,220,000mn)</t>
  </si>
  <si>
    <t>guidance_source</t>
  </si>
  <si>
    <t>tdnet_screener_db</t>
  </si>
  <si>
    <t>latest_operating_income</t>
  </si>
  <si>
    <t>185870</t>
  </si>
  <si>
    <t>ltm_revenue_c20</t>
  </si>
  <si>
    <t>2999088.0</t>
  </si>
  <si>
    <t>ltm_revenue_source</t>
  </si>
  <si>
    <t>LTM row</t>
  </si>
  <si>
    <t>market_data_source</t>
  </si>
  <si>
    <t>yfinance; from overrides: beta</t>
  </si>
  <si>
    <t>narrative_tokens_used</t>
  </si>
  <si>
    <t>pb,per,price,target_price,upside_pct,wacc</t>
  </si>
  <si>
    <t>net_debt_source</t>
  </si>
  <si>
    <t>EDINET net_debt</t>
  </si>
  <si>
    <t>reverse_dcf_sheet</t>
  </si>
  <si>
    <t>op0=185,870(FY2025) peak=269,053(FY2024) peak_opm=0.0915 N=3/5/7/10</t>
  </si>
  <si>
    <t>scenario_index_range</t>
  </si>
  <si>
    <t>B69:B73</t>
  </si>
  <si>
    <t>tax_rate_c6</t>
  </si>
  <si>
    <t>0.25</t>
  </si>
  <si>
    <t>template_rev</t>
  </si>
  <si>
    <t>63983ab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</si>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</sst>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1639</v>
      </c>
    </row>
    <row r="10" spans="2:5" ht="14" x14ac:dyDescent="0.3">
      <c r="B10" s="4" t="s">
        <v>10</v>
      </c>
      <c r="C10" s="5">
        <f>IF(COUNT(C16:C17)=0,"N/A",ROUND(AVERAGE(C16:C17),0))</f>
        <v>2266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0.3825503355704698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2117</v>
      </c>
      <c r="D16" s="7">
        <f>IF(ISNUMBER(C16),(C16-C9)/C9,"N/A")</f>
        <v>0.29164124466137886</v>
      </c>
    </row>
    <row r="17" spans="2:5" ht="13.5" x14ac:dyDescent="0.25">
      <c r="B17" t="s">
        <v>18</v>
      </c>
      <c r="C17" s="11">
        <f>IF('DCF Model'!C62&lt;'DCF Model'!C16,"INVALID (EV &lt; net debt)",'DCF Model'!C64)</f>
        <v>2415</v>
      </c>
      <c r="D17" s="7">
        <f>IF(ISNUMBER(C17),(C17-C9)/C9,"N/A")</f>
        <v>0.47345942647956069</v>
      </c>
    </row>
    <row r="18" spans="2:5" ht="13.5" x14ac:dyDescent="0.25">
      <c r="B18" t="s">
        <v>19</v>
      </c>
      <c r="C18" s="11">
        <f>'Comps Analysis'!C27</f>
        <v>1588</v>
      </c>
      <c r="D18" s="7">
        <f>IF(ISNUMBER(C18),(C18-C9)/C9,"N/A")</f>
        <v>-3.1116534472239169E-2</v>
      </c>
    </row>
    <row r="19" spans="2:5" ht="13.5" x14ac:dyDescent="0.25">
      <c r="B19" t="s">
        <v>20</v>
      </c>
      <c r="C19" s="11">
        <f>'Comps Analysis'!C28</f>
        <v>2233</v>
      </c>
      <c r="D19" s="7">
        <f>IF(ISNUMBER(C19),(C19-C9)/C9,"N/A")</f>
        <v>0.36241610738255031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2117 - 2415</v>
      </c>
    </row>
    <row r="23" spans="2:5" ht="14" x14ac:dyDescent="0.3">
      <c r="B23" s="8" t="s">
        <v>23</v>
      </c>
      <c r="C23" s="9"/>
      <c r="D23" s="9"/>
    </row>
    <row r="24" spans="2:5" x14ac:dyDescent="0.2">
      <c r="B24" t="str">
        <f>"Asahi is a scale beer and beverage group whose margin fell to a four-year low in the latest year on an operational disruption rather than on structural pricing pressure; the shares trade at "&amp;TEXT('Comps Analysis'!L5,"0.0""x""")&amp;" earnings and "&amp;TEXT('Comps Analysis'!M5,"0.00""x""")&amp;" book."</f>
        <v>Asahi is a scale beer and beverage group whose margin fell to a four-year low in the latest year on an operational disruption rather than on structural pricing pressure; the shares trade at 19.7x earnings and 0.80x book.</v>
      </c>
    </row>
    <row r="25" spans="2:5" x14ac:dyDescent="0.2">
      <c r="B25" t="str">
        <f>"Interest-bearing debt is large relative to the equity value, so the "&amp;TEXT('DCF Model'!C26,"0.00%")&amp;" discount rate leans heavily on an actual, filing-derived cost of debt rather than on an assumed spread."</f>
        <v>Interest-bearing debt is large relative to the equity value, so the 5.52% discount rate leans heavily on an actual, filing-derived cost of debt rather than on an assumed spread.</v>
      </c>
    </row>
    <row r="26" spans="2:5" x14ac:dyDescent="0.2">
      <c r="B26" t="str">
        <f>"At "&amp;TEXT(C9,"#,##0")&amp;" the market has not restored the pre-disruption margin; a base case that normalises back to the four-year median supports "&amp;TEXT(C10,"#,##0")&amp;", or "&amp;TEXT(C12,"+0.0%;-0.0%")&amp;" from here."</f>
        <v>At 1,639 the market has not restored the pre-disruption margin; a base case that normalises back to the four-year median supports 2,266, or +38.3% from here.</v>
      </c>
    </row>
    <row r="28" spans="2:5" ht="14" x14ac:dyDescent="0.3">
      <c r="B28" s="8" t="s">
        <v>24</v>
      </c>
      <c r="C28" s="9"/>
      <c r="D28" s="9"/>
    </row>
    <row r="29" spans="2:5" x14ac:dyDescent="0.2">
      <c r="B29" t="str">
        <f>"The margin recovery in the base case assumes the latest-year disruption does not repeat or leave a lasting cost; if it does, earnings stay near the trough the second downside case describes rather than at the "&amp;TEXT('Comps Analysis'!L5,"0.0""x""")&amp;" implied by "&amp;TEXT(C9,"#,##0")&amp;"."</f>
        <v>The margin recovery in the base case assumes the latest-year disruption does not repeat or leave a lasting cost; if it does, earnings stay near the trough the second downside case describes rather than at the 19.7x implied by 1,639.</v>
      </c>
    </row>
    <row r="30" spans="2:5" x14ac:dyDescent="0.2">
      <c r="B30" t="str">
        <f>"Leverage magnifies any shortfall: with debt of this size, a refinancing at higher long-dated yields raises the cost of debt inside the "&amp;TEXT('DCF Model'!C26,"0.00%")&amp;" used here."</f>
        <v>Leverage magnifies any shortfall: with debt of this size, a refinancing at higher long-dated yields raises the cost of debt inside the 5.52% used here.</v>
      </c>
    </row>
    <row r="31" spans="2:5" x14ac:dyDescent="0.2">
      <c r="B31" t="s">
        <v>25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26</v>
      </c>
    </row>
    <row r="4" spans="2:6" ht="14" x14ac:dyDescent="0.3">
      <c r="C4" s="10" t="s">
        <v>27</v>
      </c>
      <c r="D4" s="10" t="s">
        <v>28</v>
      </c>
      <c r="E4" s="10" t="s">
        <v>29</v>
      </c>
      <c r="F4" s="10" t="s">
        <v>30</v>
      </c>
    </row>
    <row r="5" spans="2:6" ht="14" x14ac:dyDescent="0.3">
      <c r="B5" s="3" t="s">
        <v>31</v>
      </c>
    </row>
    <row r="6" spans="2:6" ht="14" x14ac:dyDescent="0.3">
      <c r="B6" s="4" t="s">
        <v>32</v>
      </c>
      <c r="C6" s="5">
        <v>2511108</v>
      </c>
      <c r="D6" s="5">
        <v>2769091</v>
      </c>
      <c r="E6" s="5">
        <v>2939422</v>
      </c>
      <c r="F6" s="5">
        <v>2894676</v>
      </c>
    </row>
    <row r="7" spans="2:6" ht="14" x14ac:dyDescent="0.3">
      <c r="B7" s="4" t="s">
        <v>33</v>
      </c>
      <c r="C7" s="5">
        <v>1589272</v>
      </c>
      <c r="D7" s="5">
        <v>1770157</v>
      </c>
      <c r="E7" s="5">
        <v>1841741</v>
      </c>
      <c r="F7" s="5">
        <v>1801835</v>
      </c>
    </row>
    <row r="8" spans="2:6" ht="14" x14ac:dyDescent="0.3">
      <c r="B8" s="4" t="s">
        <v>34</v>
      </c>
      <c r="C8" s="5">
        <f>C6-C7</f>
        <v>921836</v>
      </c>
      <c r="D8" s="5">
        <f>D6-D7</f>
        <v>998934</v>
      </c>
      <c r="E8" s="5">
        <f>E6-E7</f>
        <v>1097681</v>
      </c>
      <c r="F8" s="5">
        <f>F6-F7</f>
        <v>1092841</v>
      </c>
    </row>
    <row r="9" spans="2:6" ht="13.5" x14ac:dyDescent="0.25">
      <c r="B9" t="s">
        <v>35</v>
      </c>
      <c r="C9" s="7">
        <f>C8/C6</f>
        <v>0.36710328667663839</v>
      </c>
      <c r="D9" s="7">
        <f>D8/D6</f>
        <v>0.36074437423688854</v>
      </c>
      <c r="E9" s="7">
        <f>E8/E6</f>
        <v>0.37343430102924996</v>
      </c>
      <c r="F9" s="7">
        <f>F8/F6</f>
        <v>0.37753482600470656</v>
      </c>
    </row>
    <row r="10" spans="2:6" ht="14" x14ac:dyDescent="0.3">
      <c r="B10" s="4" t="s">
        <v>36</v>
      </c>
      <c r="C10" s="5">
        <v>704788</v>
      </c>
      <c r="D10" s="5">
        <v>753934</v>
      </c>
      <c r="E10" s="5">
        <v>828628</v>
      </c>
      <c r="F10" s="5">
        <v>906971</v>
      </c>
    </row>
    <row r="11" spans="2:6" ht="14" x14ac:dyDescent="0.3">
      <c r="B11" s="4" t="s">
        <v>37</v>
      </c>
      <c r="C11" s="5">
        <v>217048</v>
      </c>
      <c r="D11" s="5">
        <v>245000</v>
      </c>
      <c r="E11" s="5">
        <v>269053</v>
      </c>
      <c r="F11" s="5">
        <v>185870</v>
      </c>
    </row>
    <row r="12" spans="2:6" ht="14" x14ac:dyDescent="0.3">
      <c r="B12" s="4" t="s">
        <v>38</v>
      </c>
      <c r="C12" s="5">
        <v>151555</v>
      </c>
      <c r="D12" s="5">
        <v>164073</v>
      </c>
      <c r="E12" s="5">
        <v>192080</v>
      </c>
      <c r="F12" s="5">
        <v>121574</v>
      </c>
    </row>
    <row r="13" spans="2:6" ht="13.5" x14ac:dyDescent="0.25">
      <c r="B13" t="s">
        <v>39</v>
      </c>
      <c r="C13" s="7">
        <f>C11/C6</f>
        <v>8.6435151335585728E-2</v>
      </c>
      <c r="D13" s="7">
        <f>D11/D6</f>
        <v>8.8476687837272236E-2</v>
      </c>
      <c r="E13" s="7">
        <f>E11/E6</f>
        <v>9.1532621039102244E-2</v>
      </c>
      <c r="F13" s="7">
        <f>F11/F6</f>
        <v>6.4210985961814029E-2</v>
      </c>
    </row>
    <row r="14" spans="2:6" ht="13.5" x14ac:dyDescent="0.25">
      <c r="B14" t="s">
        <v>40</v>
      </c>
      <c r="C14" s="7">
        <f>C12/C6</f>
        <v>6.0353835836610768E-2</v>
      </c>
      <c r="D14" s="7">
        <f>D12/D6</f>
        <v>5.9251573891937824E-2</v>
      </c>
      <c r="E14" s="7">
        <f>E12/E6</f>
        <v>6.5346180303474624E-2</v>
      </c>
      <c r="F14" s="7">
        <f>F12/F6</f>
        <v>4.1999173655359011E-2</v>
      </c>
    </row>
    <row r="15" spans="2:6" ht="13.5" x14ac:dyDescent="0.25">
      <c r="B15" t="s">
        <v>41</v>
      </c>
      <c r="C15" t="s">
        <v>42</v>
      </c>
      <c r="D15" s="7">
        <f>(D6-C6)/C6</f>
        <v>0.10273672020478609</v>
      </c>
      <c r="E15" s="7">
        <f>(E6-D6)/D6</f>
        <v>6.1511521289838438E-2</v>
      </c>
      <c r="F15" s="7">
        <f>(F6-E6)/E6</f>
        <v>-1.5222720657326508E-2</v>
      </c>
    </row>
    <row r="16" spans="2:6" ht="13.5" x14ac:dyDescent="0.25">
      <c r="B16" t="s">
        <v>43</v>
      </c>
      <c r="C16" t="s">
        <v>42</v>
      </c>
      <c r="D16" s="7">
        <f>(D11-C11)/C11</f>
        <v>0.1287825734399764</v>
      </c>
      <c r="E16" s="7">
        <f>(E11-D11)/D11</f>
        <v>9.8175510204081634E-2</v>
      </c>
      <c r="F16" s="7">
        <f>(F11-E11)/E11</f>
        <v>-0.30916956882101299</v>
      </c>
    </row>
    <row r="18" spans="2:6" ht="14" x14ac:dyDescent="0.3">
      <c r="B18" s="3" t="s">
        <v>44</v>
      </c>
    </row>
    <row r="19" spans="2:6" ht="14" x14ac:dyDescent="0.3">
      <c r="B19" s="4" t="s">
        <v>45</v>
      </c>
      <c r="C19" s="5">
        <v>265991</v>
      </c>
      <c r="D19" s="5">
        <v>347547</v>
      </c>
      <c r="E19" s="5">
        <v>403723</v>
      </c>
      <c r="F19" s="5">
        <v>104816</v>
      </c>
    </row>
    <row r="20" spans="2:6" ht="14" x14ac:dyDescent="0.3">
      <c r="B20" s="4" t="s">
        <v>46</v>
      </c>
      <c r="C20" s="5"/>
      <c r="D20" s="5"/>
      <c r="E20" s="5"/>
      <c r="F20" s="5"/>
    </row>
    <row r="21" spans="2:6" ht="14" x14ac:dyDescent="0.3">
      <c r="B21" s="4" t="s">
        <v>47</v>
      </c>
    </row>
    <row r="22" spans="2:6" x14ac:dyDescent="0.2">
      <c r="B22" t="s">
        <v>48</v>
      </c>
    </row>
    <row r="23" spans="2:6" x14ac:dyDescent="0.2">
      <c r="B23" t="s">
        <v>49</v>
      </c>
    </row>
    <row r="25" spans="2:6" ht="14" x14ac:dyDescent="0.3">
      <c r="B25" s="3" t="s">
        <v>50</v>
      </c>
    </row>
    <row r="26" spans="2:6" ht="14" x14ac:dyDescent="0.3">
      <c r="B26" s="4" t="s">
        <v>51</v>
      </c>
      <c r="C26" s="5">
        <v>37438</v>
      </c>
      <c r="D26" s="5">
        <v>59945</v>
      </c>
      <c r="E26" s="5">
        <v>83961</v>
      </c>
      <c r="F26" s="5">
        <v>156380</v>
      </c>
    </row>
    <row r="27" spans="2:6" ht="14" x14ac:dyDescent="0.3">
      <c r="B27" s="4" t="s">
        <v>52</v>
      </c>
      <c r="C27" s="5">
        <v>1497309</v>
      </c>
      <c r="D27" s="5">
        <v>1410798</v>
      </c>
      <c r="E27" s="5">
        <v>1279176</v>
      </c>
      <c r="F27" s="5">
        <v>1644177</v>
      </c>
    </row>
    <row r="28" spans="2:6" ht="14" x14ac:dyDescent="0.3">
      <c r="B28" s="4" t="s">
        <v>53</v>
      </c>
      <c r="C28" s="5">
        <f>C27-C26</f>
        <v>1459871</v>
      </c>
      <c r="D28" s="5">
        <f>D27-D26</f>
        <v>1350853</v>
      </c>
      <c r="E28" s="5">
        <f>E27-E26</f>
        <v>1195215</v>
      </c>
      <c r="F28" s="5">
        <f>F27-F26</f>
        <v>1487797</v>
      </c>
    </row>
    <row r="30" spans="2:6" ht="14" x14ac:dyDescent="0.3">
      <c r="B30" s="1" t="s">
        <v>54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55</v>
      </c>
    </row>
    <row r="4" spans="2:7" ht="14" x14ac:dyDescent="0.3">
      <c r="B4" s="8" t="s">
        <v>56</v>
      </c>
      <c r="C4" s="9"/>
      <c r="D4" s="9"/>
      <c r="E4" s="9"/>
      <c r="F4" s="9"/>
      <c r="G4" s="9"/>
    </row>
    <row r="5" spans="2:7" ht="14" x14ac:dyDescent="0.3">
      <c r="B5" s="4" t="s">
        <v>57</v>
      </c>
      <c r="C5" s="7">
        <v>5.8599999999999999E-2</v>
      </c>
    </row>
    <row r="6" spans="2:7" ht="14" x14ac:dyDescent="0.3">
      <c r="B6" s="4" t="s">
        <v>58</v>
      </c>
      <c r="C6" s="7">
        <v>0.25</v>
      </c>
    </row>
    <row r="7" spans="2:7" ht="14" x14ac:dyDescent="0.3">
      <c r="B7" s="4" t="s">
        <v>59</v>
      </c>
      <c r="C7" s="7">
        <v>2.9700000000000001E-2</v>
      </c>
    </row>
    <row r="8" spans="2:7" ht="14" x14ac:dyDescent="0.3">
      <c r="B8" s="4" t="s">
        <v>60</v>
      </c>
      <c r="C8" s="12">
        <v>0.62570000000000003</v>
      </c>
    </row>
    <row r="9" spans="2:7" ht="14" x14ac:dyDescent="0.3">
      <c r="B9" s="4" t="s">
        <v>61</v>
      </c>
      <c r="C9" s="7">
        <v>6.5000000000000002E-2</v>
      </c>
    </row>
    <row r="10" spans="2:7" ht="14" x14ac:dyDescent="0.3">
      <c r="B10" s="4" t="s">
        <v>62</v>
      </c>
      <c r="C10" s="7">
        <v>0.01</v>
      </c>
    </row>
    <row r="11" spans="2:7" ht="14" x14ac:dyDescent="0.3">
      <c r="B11" s="4" t="s">
        <v>63</v>
      </c>
      <c r="C11" s="7">
        <v>1.46E-2</v>
      </c>
    </row>
    <row r="12" spans="2:7" ht="14" x14ac:dyDescent="0.3">
      <c r="B12" s="4" t="s">
        <v>64</v>
      </c>
      <c r="C12" s="13">
        <v>0.62060000000000004</v>
      </c>
    </row>
    <row r="13" spans="2:7" ht="14" x14ac:dyDescent="0.3">
      <c r="B13" s="4" t="s">
        <v>65</v>
      </c>
      <c r="C13" s="7">
        <v>0.01</v>
      </c>
    </row>
    <row r="14" spans="2:7" ht="14" x14ac:dyDescent="0.3">
      <c r="B14" s="4" t="s">
        <v>66</v>
      </c>
      <c r="C14" s="14">
        <v>10.9</v>
      </c>
    </row>
    <row r="15" spans="2:7" ht="14" x14ac:dyDescent="0.3">
      <c r="B15" s="4" t="s">
        <v>67</v>
      </c>
      <c r="C15" s="15">
        <v>1462662258</v>
      </c>
    </row>
    <row r="16" spans="2:7" ht="14" x14ac:dyDescent="0.3">
      <c r="B16" s="4" t="s">
        <v>68</v>
      </c>
      <c r="C16" s="5">
        <v>1487797</v>
      </c>
    </row>
    <row r="17" spans="2:7" ht="14" x14ac:dyDescent="0.3">
      <c r="B17" s="4" t="s">
        <v>69</v>
      </c>
      <c r="C17" s="5">
        <v>2894676</v>
      </c>
    </row>
    <row r="18" spans="2:7" ht="14" x14ac:dyDescent="0.3">
      <c r="B18" s="4" t="s">
        <v>70</v>
      </c>
      <c r="C18" s="7">
        <v>5.6000000000000001E-2</v>
      </c>
    </row>
    <row r="19" spans="2:7" ht="14" x14ac:dyDescent="0.3">
      <c r="B19" s="4" t="s">
        <v>71</v>
      </c>
      <c r="C19" s="12">
        <v>0.5</v>
      </c>
    </row>
    <row r="20" spans="2:7" ht="14" x14ac:dyDescent="0.3">
      <c r="B20" s="4" t="s">
        <v>72</v>
      </c>
      <c r="C20" s="5">
        <v>2999088</v>
      </c>
    </row>
    <row r="22" spans="2:7" ht="14" x14ac:dyDescent="0.3">
      <c r="B22" s="8" t="s">
        <v>73</v>
      </c>
      <c r="C22" s="9"/>
      <c r="D22" s="9"/>
      <c r="E22" s="9"/>
      <c r="F22" s="9"/>
      <c r="G22" s="9"/>
    </row>
    <row r="23" spans="2:7" ht="14" x14ac:dyDescent="0.3">
      <c r="B23" s="4" t="s">
        <v>74</v>
      </c>
      <c r="C23" s="16">
        <f>C7+C8*C9+C10</f>
        <v>8.0370499999999997E-2</v>
      </c>
    </row>
    <row r="24" spans="2:7" ht="14" x14ac:dyDescent="0.3">
      <c r="B24" s="4" t="s">
        <v>75</v>
      </c>
      <c r="C24" s="16">
        <f>1/(1+C12)</f>
        <v>0.61705541157595956</v>
      </c>
    </row>
    <row r="25" spans="2:7" ht="14" x14ac:dyDescent="0.3">
      <c r="B25" s="4" t="s">
        <v>76</v>
      </c>
      <c r="C25" s="16">
        <f>C12/(1+C12)</f>
        <v>0.3829445884240405</v>
      </c>
    </row>
    <row r="26" spans="2:7" ht="14" x14ac:dyDescent="0.3">
      <c r="B26" s="4" t="s">
        <v>77</v>
      </c>
      <c r="C26" s="16">
        <f>C23*C24+C11*C25</f>
        <v>5.5184042947056644E-2</v>
      </c>
    </row>
    <row r="27" spans="2:7" ht="14" x14ac:dyDescent="0.3">
      <c r="B27" s="4" t="s">
        <v>78</v>
      </c>
      <c r="C27" s="17" t="s">
        <v>79</v>
      </c>
      <c r="D27" s="6">
        <f>MATCH(C27,B69:B73,0)</f>
        <v>1</v>
      </c>
    </row>
    <row r="28" spans="2:7" ht="14" x14ac:dyDescent="0.3">
      <c r="B28" s="8" t="s">
        <v>80</v>
      </c>
      <c r="C28" s="9"/>
      <c r="D28" s="9"/>
      <c r="E28" s="9"/>
      <c r="F28" s="9"/>
      <c r="G28" s="9"/>
    </row>
    <row r="29" spans="2:7" ht="14" x14ac:dyDescent="0.3">
      <c r="C29" s="10" t="s">
        <v>81</v>
      </c>
      <c r="D29" s="10" t="s">
        <v>82</v>
      </c>
      <c r="E29" s="10" t="s">
        <v>83</v>
      </c>
      <c r="F29" s="10" t="s">
        <v>84</v>
      </c>
      <c r="G29" s="10" t="s">
        <v>85</v>
      </c>
    </row>
    <row r="30" spans="2:7" ht="14" x14ac:dyDescent="0.3">
      <c r="B30" s="4" t="s">
        <v>41</v>
      </c>
      <c r="C30" s="18">
        <f>CHOOSE($D$27,C69,C70,C71,C72,C73)</f>
        <v>0.04</v>
      </c>
      <c r="D30" s="18">
        <f>CHOOSE($D$27,D69,D70,D71,D72,D73)</f>
        <v>0.03</v>
      </c>
      <c r="E30" s="18">
        <f>CHOOSE($D$27,E69,E70,E71,E72,E73)</f>
        <v>2.5000000000000001E-2</v>
      </c>
      <c r="F30" s="18">
        <f>CHOOSE($D$27,F69,F70,F71,F72,F73)</f>
        <v>2.5000000000000001E-2</v>
      </c>
      <c r="G30" s="18">
        <f>CHOOSE($D$27,G69,G70,G71,G72,G73)</f>
        <v>2.5000000000000001E-2</v>
      </c>
    </row>
    <row r="31" spans="2:7" ht="14" x14ac:dyDescent="0.3">
      <c r="B31" s="4" t="s">
        <v>86</v>
      </c>
      <c r="C31" s="18">
        <f>CHOOSE($D$27,C76,C77,C78,C79,C80)</f>
        <v>0.63700000000000001</v>
      </c>
      <c r="D31" s="18">
        <f>CHOOSE($D$27,D76,D77,D78,D79,D80)</f>
        <v>0.63200000000000001</v>
      </c>
      <c r="E31" s="18">
        <f>CHOOSE($D$27,E76,E77,E78,E79,E80)</f>
        <v>0.629</v>
      </c>
      <c r="F31" s="18">
        <f>CHOOSE($D$27,F76,F77,F78,F79,F80)</f>
        <v>0.62749999999999995</v>
      </c>
      <c r="G31" s="18">
        <f>CHOOSE($D$27,G76,G77,G78,G79,G80)</f>
        <v>0.62749999999999995</v>
      </c>
    </row>
    <row r="32" spans="2:7" ht="14" x14ac:dyDescent="0.3">
      <c r="B32" s="4" t="s">
        <v>87</v>
      </c>
      <c r="C32" s="18">
        <f>CHOOSE($D$27,C83,C84,C85,C86,C87)</f>
        <v>0.28499999999999998</v>
      </c>
      <c r="D32" s="18">
        <f>CHOOSE($D$27,D83,D84,D85,D86,D87)</f>
        <v>0.28499999999999998</v>
      </c>
      <c r="E32" s="18">
        <f>CHOOSE($D$27,E83,E84,E85,E86,E87)</f>
        <v>0.28499999999999998</v>
      </c>
      <c r="F32" s="18">
        <f>CHOOSE($D$27,F83,F84,F85,F86,F87)</f>
        <v>0.28499999999999998</v>
      </c>
      <c r="G32" s="18">
        <f>CHOOSE($D$27,G83,G84,G85,G86,G87)</f>
        <v>0.28499999999999998</v>
      </c>
    </row>
    <row r="33" spans="2:7" ht="14" x14ac:dyDescent="0.3">
      <c r="B33" s="4" t="s">
        <v>32</v>
      </c>
      <c r="C33" s="5">
        <f>C17*(1+C30)</f>
        <v>3010463.04</v>
      </c>
      <c r="D33" s="5">
        <f>C33*(1+D30)</f>
        <v>3100776.9312</v>
      </c>
      <c r="E33" s="5">
        <f>D33*(1+E30)</f>
        <v>3178296.3544799997</v>
      </c>
      <c r="F33" s="5">
        <f>E33*(1+F30)</f>
        <v>3257753.7633419996</v>
      </c>
      <c r="G33" s="5">
        <f>F33*(1+G30)</f>
        <v>3339197.6074255495</v>
      </c>
    </row>
    <row r="34" spans="2:7" ht="14" x14ac:dyDescent="0.3">
      <c r="B34" s="4" t="s">
        <v>33</v>
      </c>
      <c r="C34" s="5">
        <f>C33*C31</f>
        <v>1917664.9564800002</v>
      </c>
      <c r="D34" s="5">
        <f>D33*D31</f>
        <v>1959691.0205184</v>
      </c>
      <c r="E34" s="5">
        <f>E33*E31</f>
        <v>1999148.4069679198</v>
      </c>
      <c r="F34" s="5">
        <f>F33*F31</f>
        <v>2044240.4864971046</v>
      </c>
      <c r="G34" s="5">
        <f>G33*G31</f>
        <v>2095346.4986595321</v>
      </c>
    </row>
    <row r="35" spans="2:7" ht="14" x14ac:dyDescent="0.3">
      <c r="B35" s="4" t="s">
        <v>34</v>
      </c>
      <c r="C35" s="19">
        <f>C33-C34</f>
        <v>1092798.0835199999</v>
      </c>
      <c r="D35" s="19">
        <f>D33-D34</f>
        <v>1141085.9106816</v>
      </c>
      <c r="E35" s="19">
        <f>E33-E34</f>
        <v>1179147.94751208</v>
      </c>
      <c r="F35" s="19">
        <f>F33-F34</f>
        <v>1213513.276844895</v>
      </c>
      <c r="G35" s="19">
        <f>G33-G34</f>
        <v>1243851.1087660175</v>
      </c>
    </row>
    <row r="36" spans="2:7" ht="14" x14ac:dyDescent="0.3">
      <c r="B36" s="4" t="s">
        <v>35</v>
      </c>
      <c r="C36" s="7">
        <f>C35/C33</f>
        <v>0.36299999999999993</v>
      </c>
      <c r="D36" s="7">
        <f>D35/D33</f>
        <v>0.36799999999999999</v>
      </c>
      <c r="E36" s="7">
        <f>E35/E33</f>
        <v>0.371</v>
      </c>
      <c r="F36" s="7">
        <f>F35/F33</f>
        <v>0.37250000000000005</v>
      </c>
      <c r="G36" s="7">
        <f>G35/G33</f>
        <v>0.37250000000000011</v>
      </c>
    </row>
    <row r="37" spans="2:7" ht="14" x14ac:dyDescent="0.3">
      <c r="B37" s="4" t="s">
        <v>88</v>
      </c>
      <c r="C37" s="5">
        <f>C33*C32</f>
        <v>857981.96639999992</v>
      </c>
      <c r="D37" s="5">
        <f>D33*D32</f>
        <v>883721.42539199989</v>
      </c>
      <c r="E37" s="5">
        <f>E33*E32</f>
        <v>905814.46102679987</v>
      </c>
      <c r="F37" s="5">
        <f>F33*F32</f>
        <v>928459.82255246979</v>
      </c>
      <c r="G37" s="5">
        <f>G33*G32</f>
        <v>951671.31811628153</v>
      </c>
    </row>
    <row r="38" spans="2:7" ht="14" x14ac:dyDescent="0.3">
      <c r="B38" s="4" t="s">
        <v>89</v>
      </c>
      <c r="C38" s="7">
        <f>(C35-C37)/C33</f>
        <v>7.7999999999999986E-2</v>
      </c>
      <c r="D38" s="7">
        <f>(D35-D37)/D33</f>
        <v>8.3000000000000032E-2</v>
      </c>
      <c r="E38" s="7">
        <f>(E35-E37)/E33</f>
        <v>8.6000000000000035E-2</v>
      </c>
      <c r="F38" s="7">
        <f>(F35-F37)/F33</f>
        <v>8.7500000000000064E-2</v>
      </c>
      <c r="G38" s="7">
        <f>(G35-G37)/G33</f>
        <v>8.7500000000000105E-2</v>
      </c>
    </row>
    <row r="39" spans="2:7" ht="14" x14ac:dyDescent="0.3">
      <c r="B39" s="4" t="s">
        <v>90</v>
      </c>
      <c r="C39" s="19">
        <f>C35-C37</f>
        <v>234816.11711999995</v>
      </c>
      <c r="D39" s="19">
        <f>D35-D37</f>
        <v>257364.4852896001</v>
      </c>
      <c r="E39" s="19">
        <f>E35-E37</f>
        <v>273333.4864852801</v>
      </c>
      <c r="F39" s="19">
        <f>F35-F37</f>
        <v>285053.45429242519</v>
      </c>
      <c r="G39" s="19">
        <f>G35-G37</f>
        <v>292179.79064973595</v>
      </c>
    </row>
    <row r="40" spans="2:7" ht="14" x14ac:dyDescent="0.3">
      <c r="B40" s="4" t="s">
        <v>91</v>
      </c>
      <c r="C40" s="5">
        <f>MAX(0,C39*C6)</f>
        <v>58704.029279999988</v>
      </c>
      <c r="D40" s="5">
        <f>MAX(0,D39*C6)</f>
        <v>64341.121322400024</v>
      </c>
      <c r="E40" s="5">
        <f>MAX(0,E39*C6)</f>
        <v>68333.371621320024</v>
      </c>
      <c r="F40" s="5">
        <f>MAX(0,F39*C6)</f>
        <v>71263.363573106297</v>
      </c>
      <c r="G40" s="5">
        <f>MAX(0,G39*C6)</f>
        <v>73044.947662433988</v>
      </c>
    </row>
    <row r="41" spans="2:7" ht="14" x14ac:dyDescent="0.3">
      <c r="B41" s="4" t="s">
        <v>92</v>
      </c>
      <c r="C41" s="19">
        <f>C39-C40</f>
        <v>176112.08783999996</v>
      </c>
      <c r="D41" s="19">
        <f>D39-D40</f>
        <v>193023.36396720007</v>
      </c>
      <c r="E41" s="19">
        <f>E39-E40</f>
        <v>205000.11486396007</v>
      </c>
      <c r="F41" s="19">
        <f>F39-F40</f>
        <v>213790.09071931889</v>
      </c>
      <c r="G41" s="19">
        <f>G39-G40</f>
        <v>219134.84298730196</v>
      </c>
    </row>
    <row r="42" spans="2:7" ht="14" x14ac:dyDescent="0.3">
      <c r="B42" s="4" t="s">
        <v>93</v>
      </c>
      <c r="C42" s="5">
        <f>C33*C18</f>
        <v>168585.93024000002</v>
      </c>
      <c r="D42" s="5">
        <f>D33*C18</f>
        <v>173643.50814720002</v>
      </c>
      <c r="E42" s="5">
        <f>E33*C18</f>
        <v>177984.59585088</v>
      </c>
      <c r="F42" s="5">
        <f>F33*C18</f>
        <v>182434.21074715198</v>
      </c>
      <c r="G42" s="5">
        <f>G33*C18</f>
        <v>186995.06601583079</v>
      </c>
    </row>
    <row r="43" spans="2:7" ht="14" x14ac:dyDescent="0.3">
      <c r="B43" s="4" t="s">
        <v>94</v>
      </c>
      <c r="C43" s="5">
        <v>160000</v>
      </c>
      <c r="D43" s="5">
        <v>170000</v>
      </c>
      <c r="E43" s="5">
        <v>180000</v>
      </c>
      <c r="F43" s="5">
        <v>190000</v>
      </c>
      <c r="G43" s="5">
        <v>196000</v>
      </c>
    </row>
    <row r="44" spans="2:7" ht="14" x14ac:dyDescent="0.3">
      <c r="B44" s="4" t="s">
        <v>95</v>
      </c>
      <c r="C44" s="5">
        <f>'NWC Schedule'!D19</f>
        <v>-56515.750293917838</v>
      </c>
      <c r="D44" s="5">
        <f>'NWC Schedule'!E19</f>
        <v>4944.0875745140947</v>
      </c>
      <c r="E44" s="5">
        <f>'NWC Schedule'!F19</f>
        <v>3446.1100332636852</v>
      </c>
      <c r="F44" s="5">
        <f>'NWC Schedule'!G19</f>
        <v>2437.0566909866175</v>
      </c>
      <c r="G44" s="5">
        <f>'NWC Schedule'!H19</f>
        <v>1346.612600121065</v>
      </c>
    </row>
    <row r="45" spans="2:7" ht="14" x14ac:dyDescent="0.3">
      <c r="B45" s="4" t="s">
        <v>96</v>
      </c>
      <c r="C45" s="20">
        <f>C41+C42-C43-C44</f>
        <v>241213.76837391779</v>
      </c>
      <c r="D45" s="20">
        <f>D41+D42-D43-D44</f>
        <v>191722.78453988599</v>
      </c>
      <c r="E45" s="20">
        <f>E41+E42-E43-E44</f>
        <v>199538.60068157641</v>
      </c>
      <c r="F45" s="20">
        <f>F41+F42-F43-F44</f>
        <v>203787.24477548426</v>
      </c>
      <c r="G45" s="20">
        <f>G41+G42-G43-G44</f>
        <v>208783.29640301166</v>
      </c>
    </row>
    <row r="46" spans="2:7" ht="14" x14ac:dyDescent="0.3">
      <c r="B46" s="4" t="s">
        <v>97</v>
      </c>
      <c r="C46" s="21">
        <f>1/(1+C26)^(C19+0)</f>
        <v>0.97349985803208139</v>
      </c>
      <c r="D46" s="21">
        <f>1/(1+C26)^(C19+1)</f>
        <v>0.92258773674511152</v>
      </c>
      <c r="E46" s="21">
        <f>1/(1+C26)^(C19+2)</f>
        <v>0.87433821892187369</v>
      </c>
      <c r="F46" s="21">
        <f>1/(1+C26)^(C19+3)</f>
        <v>0.82861205565609863</v>
      </c>
      <c r="G46" s="21">
        <f>1/(1+C26)^(C19+4)</f>
        <v>0.78527728048449441</v>
      </c>
    </row>
    <row r="47" spans="2:7" ht="14" x14ac:dyDescent="0.3">
      <c r="B47" s="4" t="s">
        <v>98</v>
      </c>
      <c r="C47" s="19">
        <f>C45*C46</f>
        <v>234821.56926739233</v>
      </c>
      <c r="D47" s="19">
        <f>D45*D46</f>
        <v>176881.08987112407</v>
      </c>
      <c r="E47" s="19">
        <f>E45*E46</f>
        <v>174464.22472609248</v>
      </c>
      <c r="F47" s="19">
        <f>F45*F46</f>
        <v>168860.56780990656</v>
      </c>
      <c r="G47" s="19">
        <f>G45*G46</f>
        <v>163952.77920994512</v>
      </c>
    </row>
    <row r="49" spans="2:7" ht="14" x14ac:dyDescent="0.3">
      <c r="B49" s="22" t="s">
        <v>99</v>
      </c>
      <c r="C49" s="23"/>
      <c r="D49" s="23"/>
      <c r="E49" s="23"/>
      <c r="F49" s="23"/>
      <c r="G49" s="23"/>
    </row>
    <row r="50" spans="2:7" ht="14" x14ac:dyDescent="0.3">
      <c r="B50" s="4" t="s">
        <v>100</v>
      </c>
      <c r="C50" s="5">
        <f>SUM(C47:G47)</f>
        <v>918980.2308844605</v>
      </c>
    </row>
    <row r="51" spans="2:7" ht="14" x14ac:dyDescent="0.3">
      <c r="B51" s="4" t="s">
        <v>101</v>
      </c>
      <c r="C51" s="5">
        <f>G45*(1+C13)/(C26-C13)</f>
        <v>4666938.0518720988</v>
      </c>
    </row>
    <row r="52" spans="2:7" ht="14" x14ac:dyDescent="0.3">
      <c r="B52" s="4" t="s">
        <v>102</v>
      </c>
      <c r="C52" s="5">
        <f>C51*G46</f>
        <v>3664840.4215637259</v>
      </c>
    </row>
    <row r="53" spans="2:7" ht="14" x14ac:dyDescent="0.3">
      <c r="B53" s="4" t="s">
        <v>103</v>
      </c>
      <c r="C53" s="5">
        <f>C50+C52</f>
        <v>4583820.6524481867</v>
      </c>
    </row>
    <row r="54" spans="2:7" ht="14" x14ac:dyDescent="0.3">
      <c r="B54" s="4" t="s">
        <v>104</v>
      </c>
      <c r="C54" s="5">
        <f>C53-C16</f>
        <v>3096023.6524481867</v>
      </c>
    </row>
    <row r="55" spans="2:7" ht="14" x14ac:dyDescent="0.3">
      <c r="B55" s="4" t="s">
        <v>105</v>
      </c>
      <c r="C55" s="24">
        <f>ROUND(C54*1000000/C15,0)</f>
        <v>2117</v>
      </c>
    </row>
    <row r="57" spans="2:7" ht="14" x14ac:dyDescent="0.3">
      <c r="B57" s="22" t="s">
        <v>106</v>
      </c>
      <c r="C57" s="23"/>
      <c r="D57" s="23"/>
      <c r="E57" s="23"/>
      <c r="F57" s="23"/>
      <c r="G57" s="23"/>
    </row>
    <row r="58" spans="2:7" ht="14" x14ac:dyDescent="0.3">
      <c r="B58" s="4" t="s">
        <v>100</v>
      </c>
      <c r="C58" s="5">
        <f>C50</f>
        <v>918980.2308844605</v>
      </c>
    </row>
    <row r="59" spans="2:7" ht="14" x14ac:dyDescent="0.3">
      <c r="B59" s="4" t="s">
        <v>107</v>
      </c>
      <c r="C59" s="5">
        <f>G39+G42</f>
        <v>479174.85666556674</v>
      </c>
    </row>
    <row r="60" spans="2:7" ht="14" x14ac:dyDescent="0.3">
      <c r="B60" s="4" t="s">
        <v>108</v>
      </c>
      <c r="C60" s="5">
        <f>C59*C14</f>
        <v>5223005.9376546778</v>
      </c>
    </row>
    <row r="61" spans="2:7" ht="14" x14ac:dyDescent="0.3">
      <c r="B61" s="4" t="s">
        <v>102</v>
      </c>
      <c r="C61" s="5">
        <f>C60*G46</f>
        <v>4101507.898675832</v>
      </c>
    </row>
    <row r="62" spans="2:7" ht="14" x14ac:dyDescent="0.3">
      <c r="B62" s="4" t="s">
        <v>103</v>
      </c>
      <c r="C62" s="5">
        <f>C58+C61</f>
        <v>5020488.1295602927</v>
      </c>
    </row>
    <row r="63" spans="2:7" ht="14" x14ac:dyDescent="0.3">
      <c r="B63" s="4" t="s">
        <v>104</v>
      </c>
      <c r="C63" s="5">
        <f>C62-C16</f>
        <v>3532691.1295602927</v>
      </c>
    </row>
    <row r="64" spans="2:7" ht="14" x14ac:dyDescent="0.3">
      <c r="B64" s="4" t="s">
        <v>109</v>
      </c>
      <c r="C64" s="24">
        <f>ROUND(C63*1000000/C15,0)</f>
        <v>2415</v>
      </c>
    </row>
    <row r="66" spans="2:7" ht="14" x14ac:dyDescent="0.3">
      <c r="B66" s="22" t="s">
        <v>110</v>
      </c>
      <c r="C66" s="23"/>
      <c r="D66" s="23"/>
      <c r="E66" s="23"/>
      <c r="F66" s="23"/>
      <c r="G66" s="23"/>
    </row>
    <row r="67" spans="2:7" ht="14" x14ac:dyDescent="0.3">
      <c r="C67" s="25" t="s">
        <v>111</v>
      </c>
      <c r="D67" s="25" t="s">
        <v>112</v>
      </c>
      <c r="E67" s="25" t="s">
        <v>113</v>
      </c>
      <c r="F67" s="25" t="s">
        <v>114</v>
      </c>
      <c r="G67" s="25" t="s">
        <v>115</v>
      </c>
    </row>
    <row r="68" spans="2:7" ht="14" x14ac:dyDescent="0.3">
      <c r="B68" s="3" t="s">
        <v>41</v>
      </c>
    </row>
    <row r="69" spans="2:7" ht="14" x14ac:dyDescent="0.3">
      <c r="B69" s="4" t="s">
        <v>79</v>
      </c>
      <c r="C69" s="26">
        <v>0.04</v>
      </c>
      <c r="D69" s="26">
        <v>0.03</v>
      </c>
      <c r="E69" s="26">
        <v>2.5000000000000001E-2</v>
      </c>
      <c r="F69" s="26">
        <v>2.5000000000000001E-2</v>
      </c>
      <c r="G69" s="26">
        <v>2.5000000000000001E-2</v>
      </c>
    </row>
    <row r="70" spans="2:7" ht="14" x14ac:dyDescent="0.3">
      <c r="B70" s="4" t="s">
        <v>116</v>
      </c>
      <c r="C70" s="26">
        <v>5.5E-2</v>
      </c>
      <c r="D70" s="26">
        <v>4.4999999999999998E-2</v>
      </c>
      <c r="E70" s="26">
        <v>3.5000000000000003E-2</v>
      </c>
      <c r="F70" s="26">
        <v>3.5000000000000003E-2</v>
      </c>
      <c r="G70" s="26">
        <v>3.5000000000000003E-2</v>
      </c>
    </row>
    <row r="71" spans="2:7" ht="14" x14ac:dyDescent="0.3">
      <c r="B71" s="4" t="s">
        <v>117</v>
      </c>
      <c r="C71" s="26">
        <v>0.04</v>
      </c>
      <c r="D71" s="26">
        <v>0.03</v>
      </c>
      <c r="E71" s="26">
        <v>2.5000000000000001E-2</v>
      </c>
      <c r="F71" s="26">
        <v>2.5000000000000001E-2</v>
      </c>
      <c r="G71" s="26">
        <v>2.5000000000000001E-2</v>
      </c>
    </row>
    <row r="72" spans="2:7" ht="14" x14ac:dyDescent="0.3">
      <c r="B72" s="4" t="s">
        <v>118</v>
      </c>
      <c r="C72" s="26">
        <v>5.0000000000000001E-3</v>
      </c>
      <c r="D72" s="26">
        <v>5.0000000000000001E-3</v>
      </c>
      <c r="E72" s="26">
        <v>5.0000000000000001E-3</v>
      </c>
      <c r="F72" s="26">
        <v>5.0000000000000001E-3</v>
      </c>
      <c r="G72" s="26">
        <v>5.0000000000000001E-3</v>
      </c>
    </row>
    <row r="73" spans="2:7" ht="14" x14ac:dyDescent="0.3">
      <c r="B73" s="4" t="s">
        <v>119</v>
      </c>
      <c r="C73" s="26">
        <v>-0.08</v>
      </c>
      <c r="D73" s="26">
        <v>-0.01</v>
      </c>
      <c r="E73" s="26">
        <v>5.0000000000000001E-3</v>
      </c>
      <c r="F73" s="26">
        <v>0.01</v>
      </c>
      <c r="G73" s="26">
        <v>1.4999999999999999E-2</v>
      </c>
    </row>
    <row r="75" spans="2:7" ht="14" x14ac:dyDescent="0.3">
      <c r="B75" s="3" t="s">
        <v>86</v>
      </c>
    </row>
    <row r="76" spans="2:7" ht="14" x14ac:dyDescent="0.3">
      <c r="B76" s="4" t="s">
        <v>79</v>
      </c>
      <c r="C76" s="26">
        <v>0.63700000000000001</v>
      </c>
      <c r="D76" s="26">
        <v>0.63200000000000001</v>
      </c>
      <c r="E76" s="26">
        <v>0.629</v>
      </c>
      <c r="F76" s="26">
        <v>0.62749999999999995</v>
      </c>
      <c r="G76" s="26">
        <v>0.62749999999999995</v>
      </c>
    </row>
    <row r="77" spans="2:7" ht="14" x14ac:dyDescent="0.3">
      <c r="B77" s="4" t="s">
        <v>116</v>
      </c>
      <c r="C77" s="26">
        <v>0.63600000000000001</v>
      </c>
      <c r="D77" s="26">
        <v>0.63200000000000001</v>
      </c>
      <c r="E77" s="26">
        <v>0.63</v>
      </c>
      <c r="F77" s="26">
        <v>0.62880000000000003</v>
      </c>
      <c r="G77" s="26">
        <v>0.62880000000000003</v>
      </c>
    </row>
    <row r="78" spans="2:7" ht="14" x14ac:dyDescent="0.3">
      <c r="B78" s="4" t="s">
        <v>117</v>
      </c>
      <c r="C78" s="26">
        <v>0.63700000000000001</v>
      </c>
      <c r="D78" s="26">
        <v>0.63200000000000001</v>
      </c>
      <c r="E78" s="26">
        <v>0.629</v>
      </c>
      <c r="F78" s="26">
        <v>0.62749999999999995</v>
      </c>
      <c r="G78" s="26">
        <v>0.62749999999999995</v>
      </c>
    </row>
    <row r="79" spans="2:7" ht="14" x14ac:dyDescent="0.3">
      <c r="B79" s="4" t="s">
        <v>118</v>
      </c>
      <c r="C79" s="26">
        <v>0.64200000000000002</v>
      </c>
      <c r="D79" s="26">
        <v>0.64300000000000002</v>
      </c>
      <c r="E79" s="26">
        <v>0.64400000000000002</v>
      </c>
      <c r="F79" s="26">
        <v>0.64400000000000002</v>
      </c>
      <c r="G79" s="26">
        <v>0.64400000000000002</v>
      </c>
    </row>
    <row r="80" spans="2:7" ht="14" x14ac:dyDescent="0.3">
      <c r="B80" s="4" t="s">
        <v>119</v>
      </c>
      <c r="C80" s="26">
        <v>0.66</v>
      </c>
      <c r="D80" s="26">
        <v>0.66500000000000004</v>
      </c>
      <c r="E80" s="26">
        <v>0.66500000000000004</v>
      </c>
      <c r="F80" s="26">
        <v>0.66200000000000003</v>
      </c>
      <c r="G80" s="26">
        <v>0.66</v>
      </c>
    </row>
    <row r="82" spans="2:7" ht="14" x14ac:dyDescent="0.3">
      <c r="B82" s="3" t="s">
        <v>87</v>
      </c>
    </row>
    <row r="83" spans="2:7" ht="14" x14ac:dyDescent="0.3">
      <c r="B83" s="4" t="s">
        <v>79</v>
      </c>
      <c r="C83" s="26">
        <v>0.28499999999999998</v>
      </c>
      <c r="D83" s="26">
        <v>0.28499999999999998</v>
      </c>
      <c r="E83" s="26">
        <v>0.28499999999999998</v>
      </c>
      <c r="F83" s="26">
        <v>0.28499999999999998</v>
      </c>
      <c r="G83" s="26">
        <v>0.28499999999999998</v>
      </c>
    </row>
    <row r="84" spans="2:7" ht="14" x14ac:dyDescent="0.3">
      <c r="B84" s="4" t="s">
        <v>116</v>
      </c>
      <c r="C84" s="26">
        <v>0.28199999999999997</v>
      </c>
      <c r="D84" s="26">
        <v>0.28199999999999997</v>
      </c>
      <c r="E84" s="26">
        <v>0.28199999999999997</v>
      </c>
      <c r="F84" s="26">
        <v>0.28199999999999997</v>
      </c>
      <c r="G84" s="26">
        <v>0.28199999999999997</v>
      </c>
    </row>
    <row r="85" spans="2:7" ht="14" x14ac:dyDescent="0.3">
      <c r="B85" s="4" t="s">
        <v>117</v>
      </c>
      <c r="C85" s="26">
        <v>0.28499999999999998</v>
      </c>
      <c r="D85" s="26">
        <v>0.28499999999999998</v>
      </c>
      <c r="E85" s="26">
        <v>0.28499999999999998</v>
      </c>
      <c r="F85" s="26">
        <v>0.28499999999999998</v>
      </c>
      <c r="G85" s="26">
        <v>0.28499999999999998</v>
      </c>
    </row>
    <row r="86" spans="2:7" ht="14" x14ac:dyDescent="0.3">
      <c r="B86" s="4" t="s">
        <v>118</v>
      </c>
      <c r="C86" s="26">
        <v>0.29199999999999998</v>
      </c>
      <c r="D86" s="26">
        <v>0.29199999999999998</v>
      </c>
      <c r="E86" s="26">
        <v>0.29199999999999998</v>
      </c>
      <c r="F86" s="26">
        <v>0.29199999999999998</v>
      </c>
      <c r="G86" s="26">
        <v>0.29199999999999998</v>
      </c>
    </row>
    <row r="87" spans="2:7" ht="14" x14ac:dyDescent="0.3">
      <c r="B87" s="4" t="s">
        <v>119</v>
      </c>
      <c r="C87" s="26">
        <v>0.3</v>
      </c>
      <c r="D87" s="26">
        <v>0.3</v>
      </c>
      <c r="E87" s="26">
        <v>0.3</v>
      </c>
      <c r="F87" s="26">
        <v>0.3</v>
      </c>
      <c r="G87" s="26">
        <v>0.3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120</v>
      </c>
    </row>
    <row r="3" spans="2:9" ht="14" x14ac:dyDescent="0.3">
      <c r="B3" s="1" t="s">
        <v>121</v>
      </c>
    </row>
    <row r="5" spans="2:9" ht="14" x14ac:dyDescent="0.3">
      <c r="B5" s="8" t="s">
        <v>122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123</v>
      </c>
      <c r="C6" s="15">
        <f>'Executive Summary'!C9</f>
        <v>1639</v>
      </c>
    </row>
    <row r="7" spans="2:9" ht="14" x14ac:dyDescent="0.3">
      <c r="B7" s="4" t="s">
        <v>67</v>
      </c>
      <c r="C7" s="15">
        <f>'DCF Model'!C15</f>
        <v>1462662258</v>
      </c>
    </row>
    <row r="8" spans="2:9" ht="14" x14ac:dyDescent="0.3">
      <c r="B8" s="4" t="s">
        <v>124</v>
      </c>
      <c r="C8" s="5">
        <f>C6*C7/1000000</f>
        <v>2397303.440862</v>
      </c>
    </row>
    <row r="9" spans="2:9" ht="14" x14ac:dyDescent="0.3">
      <c r="B9" s="4" t="s">
        <v>68</v>
      </c>
      <c r="C9" s="5">
        <f>'DCF Model'!C16</f>
        <v>1487797</v>
      </c>
    </row>
    <row r="10" spans="2:9" ht="14" x14ac:dyDescent="0.3">
      <c r="B10" s="4" t="s">
        <v>125</v>
      </c>
      <c r="C10" s="5">
        <f>C8+C9</f>
        <v>3885100.440862</v>
      </c>
    </row>
    <row r="11" spans="2:9" ht="14" x14ac:dyDescent="0.3">
      <c r="B11" s="4" t="s">
        <v>126</v>
      </c>
      <c r="C11" s="16">
        <f>'DCF Model'!C26</f>
        <v>5.5184042947056644E-2</v>
      </c>
    </row>
    <row r="12" spans="2:9" ht="14" x14ac:dyDescent="0.3">
      <c r="B12" s="4" t="s">
        <v>127</v>
      </c>
      <c r="C12" s="16">
        <f>'DCF Model'!C13</f>
        <v>0.01</v>
      </c>
    </row>
    <row r="13" spans="2:9" ht="14" x14ac:dyDescent="0.3">
      <c r="B13" s="4" t="s">
        <v>128</v>
      </c>
      <c r="C13" s="16">
        <f>'DCF Model'!C6</f>
        <v>0.25</v>
      </c>
    </row>
    <row r="14" spans="2:9" ht="14" x14ac:dyDescent="0.3">
      <c r="B14" s="4" t="s">
        <v>129</v>
      </c>
      <c r="C14" s="27">
        <v>185870</v>
      </c>
    </row>
    <row r="15" spans="2:9" ht="14" x14ac:dyDescent="0.3">
      <c r="B15" s="4" t="s">
        <v>130</v>
      </c>
      <c r="C15" s="27">
        <v>269053</v>
      </c>
    </row>
    <row r="16" spans="2:9" ht="14" x14ac:dyDescent="0.3">
      <c r="B16" s="4" t="s">
        <v>131</v>
      </c>
      <c r="C16" s="5">
        <f>'DCF Model'!G33</f>
        <v>3339197.6074255495</v>
      </c>
    </row>
    <row r="17" spans="2:9" ht="14" x14ac:dyDescent="0.3">
      <c r="B17" s="4" t="s">
        <v>132</v>
      </c>
      <c r="C17" s="5">
        <f>'DCF Model'!C53</f>
        <v>4583820.6524481867</v>
      </c>
    </row>
    <row r="18" spans="2:9" ht="14" x14ac:dyDescent="0.3">
      <c r="B18" s="4" t="s">
        <v>133</v>
      </c>
      <c r="C18" s="26">
        <v>9.1532621039102244E-2</v>
      </c>
    </row>
    <row r="19" spans="2:9" ht="14" x14ac:dyDescent="0.3">
      <c r="B19" s="4" t="s">
        <v>134</v>
      </c>
      <c r="C19" s="5">
        <f>C10-C17</f>
        <v>-698720.21158618666</v>
      </c>
    </row>
    <row r="20" spans="2:9" ht="14" x14ac:dyDescent="0.3">
      <c r="B20" s="4" t="s">
        <v>135</v>
      </c>
      <c r="C20" s="15">
        <f>IFERROR(ROUND(C19*1000000/C7,0),"N/A")</f>
        <v>-478</v>
      </c>
    </row>
    <row r="22" spans="2:9" ht="14" x14ac:dyDescent="0.3">
      <c r="B22" s="8" t="s">
        <v>136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137</v>
      </c>
    </row>
    <row r="24" spans="2:9" ht="14" x14ac:dyDescent="0.3">
      <c r="B24" s="4" t="s">
        <v>138</v>
      </c>
      <c r="C24" s="5">
        <f>C10*(C11-C12)</f>
        <v>175544.54517353731</v>
      </c>
    </row>
    <row r="25" spans="2:9" ht="14" x14ac:dyDescent="0.3">
      <c r="B25" s="4" t="s">
        <v>139</v>
      </c>
      <c r="C25" s="5">
        <f>IFERROR(C24/(1-C13),"N/A")</f>
        <v>234059.39356471642</v>
      </c>
    </row>
    <row r="26" spans="2:9" ht="13.5" x14ac:dyDescent="0.25">
      <c r="B26" s="6" t="s">
        <v>140</v>
      </c>
      <c r="C26" s="14">
        <f>IFERROR(C25/C15,"N/A")</f>
        <v>0.86993786935925788</v>
      </c>
    </row>
    <row r="27" spans="2:9" ht="13.5" x14ac:dyDescent="0.25">
      <c r="B27" s="6" t="s">
        <v>141</v>
      </c>
      <c r="C27" s="14">
        <f>IFERROR(C25/C14,"N/A")</f>
        <v>1.2592639670991361</v>
      </c>
    </row>
    <row r="28" spans="2:9" ht="13.5" x14ac:dyDescent="0.25">
      <c r="B28" s="6" t="s">
        <v>142</v>
      </c>
      <c r="C28" s="7">
        <f>IFERROR(C25/C16,"N/A")</f>
        <v>7.0094502057687816E-2</v>
      </c>
    </row>
    <row r="29" spans="2:9" ht="13.5" x14ac:dyDescent="0.25">
      <c r="B29" s="6" t="s">
        <v>143</v>
      </c>
      <c r="C29" s="5">
        <f>IFERROR(C25/C18,"N/A")</f>
        <v>2557114.5118277287</v>
      </c>
    </row>
    <row r="32" spans="2:9" ht="14" x14ac:dyDescent="0.3">
      <c r="B32" s="8" t="s">
        <v>144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145</v>
      </c>
    </row>
    <row r="34" spans="2:9" ht="14" x14ac:dyDescent="0.3">
      <c r="B34" s="1" t="s">
        <v>146</v>
      </c>
    </row>
    <row r="36" spans="2:9" ht="14" x14ac:dyDescent="0.3">
      <c r="B36" s="28" t="s">
        <v>147</v>
      </c>
      <c r="C36" s="28" t="s">
        <v>148</v>
      </c>
      <c r="D36" s="29">
        <f>'DCF Model'!C26-0.02</f>
        <v>3.518404294705664E-2</v>
      </c>
      <c r="E36" s="29">
        <f>'DCF Model'!C26-0.01</f>
        <v>4.5184042947056642E-2</v>
      </c>
      <c r="F36" s="29">
        <f>'DCF Model'!C26</f>
        <v>5.5184042947056644E-2</v>
      </c>
      <c r="G36" s="29">
        <f>'DCF Model'!C26+0.01</f>
        <v>6.5184042947056639E-2</v>
      </c>
      <c r="H36" s="29">
        <f>'DCF Model'!C26+0.02</f>
        <v>7.5184042947056648E-2</v>
      </c>
    </row>
    <row r="37" spans="2:9" ht="14" x14ac:dyDescent="0.3">
      <c r="B37" s="3" t="s">
        <v>149</v>
      </c>
    </row>
    <row r="38" spans="2:9" ht="14" x14ac:dyDescent="0.3">
      <c r="B38" s="4" t="s">
        <v>150</v>
      </c>
      <c r="C38" s="30">
        <v>3</v>
      </c>
      <c r="D38" s="13">
        <f t="shared" ref="D38:H41" si="0">IFERROR((1-(1+D$36)^(-$C38))/D$36-(1+D$36)/(D$36^2*$C38)*(1-($C38+1)/(1+D$36)^$C38+$C38/(1+D$36)^($C38+1)),"N/A")</f>
        <v>0.95506746507905005</v>
      </c>
      <c r="E38" s="13">
        <f t="shared" si="0"/>
        <v>0.94298202472343107</v>
      </c>
      <c r="F38" s="13">
        <f t="shared" si="0"/>
        <v>0.93118099264017085</v>
      </c>
      <c r="G38" s="13">
        <f t="shared" si="0"/>
        <v>0.91965481473123756</v>
      </c>
      <c r="H38" s="13">
        <f t="shared" si="0"/>
        <v>0.90839434924553664</v>
      </c>
    </row>
    <row r="39" spans="2:9" ht="14" x14ac:dyDescent="0.3">
      <c r="B39" s="4" t="s">
        <v>151</v>
      </c>
      <c r="C39" s="30">
        <v>5</v>
      </c>
      <c r="D39" s="13">
        <f t="shared" si="0"/>
        <v>1.8674659419864046</v>
      </c>
      <c r="E39" s="13">
        <f t="shared" si="0"/>
        <v>1.8325876081007415</v>
      </c>
      <c r="F39" s="13">
        <f t="shared" si="0"/>
        <v>1.7988429938228809</v>
      </c>
      <c r="G39" s="13">
        <f t="shared" si="0"/>
        <v>1.766181930203508</v>
      </c>
      <c r="H39" s="13">
        <f t="shared" si="0"/>
        <v>1.734557000965244</v>
      </c>
    </row>
    <row r="40" spans="2:9" ht="14" x14ac:dyDescent="0.3">
      <c r="B40" s="4" t="s">
        <v>152</v>
      </c>
      <c r="C40" s="30">
        <v>7</v>
      </c>
      <c r="D40" s="13">
        <f t="shared" si="0"/>
        <v>2.7393375542949898</v>
      </c>
      <c r="E40" s="13">
        <f t="shared" si="0"/>
        <v>2.6722107497597616</v>
      </c>
      <c r="F40" s="13">
        <f t="shared" si="0"/>
        <v>2.6078517871296163</v>
      </c>
      <c r="G40" s="13">
        <f t="shared" si="0"/>
        <v>2.5461094046278827</v>
      </c>
      <c r="H40" s="13">
        <f t="shared" si="0"/>
        <v>2.4868423705911007</v>
      </c>
    </row>
    <row r="41" spans="2:9" ht="14" x14ac:dyDescent="0.3">
      <c r="B41" s="4" t="s">
        <v>153</v>
      </c>
      <c r="C41" s="30">
        <v>10</v>
      </c>
      <c r="D41" s="13">
        <f t="shared" si="0"/>
        <v>3.9755624428274539</v>
      </c>
      <c r="E41" s="13">
        <f t="shared" si="0"/>
        <v>3.844790690609841</v>
      </c>
      <c r="F41" s="13">
        <f t="shared" si="0"/>
        <v>3.7210649271342158</v>
      </c>
      <c r="G41" s="13">
        <f t="shared" si="0"/>
        <v>3.6038935581217033</v>
      </c>
      <c r="H41" s="13">
        <f t="shared" si="0"/>
        <v>3.4928257826516202</v>
      </c>
    </row>
    <row r="42" spans="2:9" ht="14" x14ac:dyDescent="0.3">
      <c r="B42" s="3" t="s">
        <v>154</v>
      </c>
    </row>
    <row r="43" spans="2:9" ht="14" x14ac:dyDescent="0.3">
      <c r="B43" s="4" t="s">
        <v>150</v>
      </c>
      <c r="C43" s="30">
        <v>3</v>
      </c>
      <c r="D43" s="13">
        <f t="shared" ref="D43:H46" si="1">IFERROR((1+D$36)/(D$36^2*$C43)*(1-($C43+1)/(1+D$36)^$C43+$C43/(1+D$36)^($C43+1))+(1+$C$12)/((D$36-$C$12)*(1+D$36)^$C43),"N/A")</f>
        <v>37.998491187262545</v>
      </c>
      <c r="E43" s="13">
        <f t="shared" si="1"/>
        <v>26.946883664836051</v>
      </c>
      <c r="F43" s="13">
        <f t="shared" si="1"/>
        <v>20.792009893726036</v>
      </c>
      <c r="G43" s="13">
        <f t="shared" si="1"/>
        <v>16.871691236338833</v>
      </c>
      <c r="H43" s="13">
        <f t="shared" si="1"/>
        <v>14.157392588680812</v>
      </c>
    </row>
    <row r="44" spans="2:9" ht="14" x14ac:dyDescent="0.3">
      <c r="B44" s="4" t="s">
        <v>151</v>
      </c>
      <c r="C44" s="30">
        <v>5</v>
      </c>
      <c r="D44" s="13">
        <f t="shared" si="1"/>
        <v>36.382359636866241</v>
      </c>
      <c r="E44" s="13">
        <f t="shared" si="1"/>
        <v>25.570180951221111</v>
      </c>
      <c r="F44" s="13">
        <f t="shared" si="1"/>
        <v>19.557443617846204</v>
      </c>
      <c r="G44" s="13">
        <f t="shared" si="1"/>
        <v>15.734463045484084</v>
      </c>
      <c r="H44" s="13">
        <f t="shared" si="1"/>
        <v>13.093006720231909</v>
      </c>
    </row>
    <row r="45" spans="2:9" ht="14" x14ac:dyDescent="0.3">
      <c r="B45" s="4" t="s">
        <v>152</v>
      </c>
      <c r="C45" s="30">
        <v>7</v>
      </c>
      <c r="D45" s="13">
        <f t="shared" si="1"/>
        <v>34.853779241974863</v>
      </c>
      <c r="E45" s="13">
        <f t="shared" si="1"/>
        <v>24.284665451103198</v>
      </c>
      <c r="F45" s="13">
        <f t="shared" si="1"/>
        <v>18.41890377488734</v>
      </c>
      <c r="G45" s="13">
        <f t="shared" si="1"/>
        <v>14.698324828788472</v>
      </c>
      <c r="H45" s="13">
        <f t="shared" si="1"/>
        <v>12.13464959831955</v>
      </c>
    </row>
    <row r="46" spans="2:9" ht="14" x14ac:dyDescent="0.3">
      <c r="B46" s="4" t="s">
        <v>153</v>
      </c>
      <c r="C46" s="30">
        <v>10</v>
      </c>
      <c r="D46" s="13">
        <f t="shared" si="1"/>
        <v>32.713845922428881</v>
      </c>
      <c r="E46" s="13">
        <f t="shared" si="1"/>
        <v>22.512962458002548</v>
      </c>
      <c r="F46" s="13">
        <f t="shared" si="1"/>
        <v>16.873248462774431</v>
      </c>
      <c r="G46" s="13">
        <f t="shared" si="1"/>
        <v>13.312076809299745</v>
      </c>
      <c r="H46" s="13">
        <f t="shared" si="1"/>
        <v>10.870512759043161</v>
      </c>
    </row>
    <row r="47" spans="2:9" ht="14" x14ac:dyDescent="0.3">
      <c r="B47" s="22" t="s">
        <v>155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150</v>
      </c>
      <c r="C48" s="30">
        <v>3</v>
      </c>
      <c r="D48" s="5">
        <f t="shared" ref="D48:H51" si="2">IFERROR(($C$10/(1-$C$13)-$C$14*D38)/D43,"N/A")</f>
        <v>131653.00450382131</v>
      </c>
      <c r="E48" s="5">
        <f t="shared" si="2"/>
        <v>185730.63640546353</v>
      </c>
      <c r="F48" s="5">
        <f t="shared" si="2"/>
        <v>240816.32009795154</v>
      </c>
      <c r="G48" s="5">
        <f t="shared" si="2"/>
        <v>296899.55858996842</v>
      </c>
      <c r="H48" s="5">
        <f t="shared" si="2"/>
        <v>353969.88760922803</v>
      </c>
    </row>
    <row r="49" spans="2:9" ht="14" x14ac:dyDescent="0.3">
      <c r="B49" s="4" t="s">
        <v>151</v>
      </c>
      <c r="C49" s="30">
        <v>5</v>
      </c>
      <c r="D49" s="5">
        <f t="shared" si="2"/>
        <v>132839.87280514411</v>
      </c>
      <c r="E49" s="5">
        <f t="shared" si="2"/>
        <v>189263.84884267062</v>
      </c>
      <c r="F49" s="5">
        <f t="shared" si="2"/>
        <v>247771.79822549448</v>
      </c>
      <c r="G49" s="5">
        <f t="shared" si="2"/>
        <v>308358.38959086232</v>
      </c>
      <c r="H49" s="5">
        <f t="shared" si="2"/>
        <v>371017.28542409861</v>
      </c>
    </row>
    <row r="50" spans="2:9" ht="14" x14ac:dyDescent="0.3">
      <c r="B50" s="4" t="s">
        <v>152</v>
      </c>
      <c r="C50" s="30">
        <v>7</v>
      </c>
      <c r="D50" s="5">
        <f t="shared" si="2"/>
        <v>134016.26312899831</v>
      </c>
      <c r="E50" s="5">
        <f t="shared" si="2"/>
        <v>192856.27461171086</v>
      </c>
      <c r="F50" s="5">
        <f t="shared" si="2"/>
        <v>254923.55934218844</v>
      </c>
      <c r="G50" s="5">
        <f t="shared" si="2"/>
        <v>320232.99395942927</v>
      </c>
      <c r="H50" s="5">
        <f t="shared" si="2"/>
        <v>388796.10750201781</v>
      </c>
    </row>
    <row r="51" spans="2:9" ht="14" x14ac:dyDescent="0.3">
      <c r="B51" s="4" t="s">
        <v>153</v>
      </c>
      <c r="C51" s="30">
        <v>10</v>
      </c>
      <c r="D51" s="5">
        <f t="shared" si="2"/>
        <v>135758.91200416986</v>
      </c>
      <c r="E51" s="5">
        <f t="shared" si="2"/>
        <v>198352.51286080107</v>
      </c>
      <c r="F51" s="5">
        <f t="shared" si="2"/>
        <v>266012.77122454357</v>
      </c>
      <c r="G51" s="5">
        <f t="shared" si="2"/>
        <v>338811.01274523872</v>
      </c>
      <c r="H51" s="5">
        <f t="shared" si="2"/>
        <v>416808.52535301156</v>
      </c>
    </row>
    <row r="52" spans="2:9" ht="14" x14ac:dyDescent="0.3">
      <c r="B52" s="22" t="s">
        <v>156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150</v>
      </c>
      <c r="C53" s="30">
        <v>3</v>
      </c>
      <c r="D53" s="14">
        <f t="shared" ref="D53:H56" si="3">IFERROR(D48/$C$15,"N/A")</f>
        <v>0.4893199648538441</v>
      </c>
      <c r="E53" s="14">
        <f t="shared" si="3"/>
        <v>0.69031245295708854</v>
      </c>
      <c r="F53" s="14">
        <f t="shared" si="3"/>
        <v>0.89505160729652355</v>
      </c>
      <c r="G53" s="14">
        <f t="shared" si="3"/>
        <v>1.1034984132864842</v>
      </c>
      <c r="H53" s="14">
        <f t="shared" si="3"/>
        <v>1.31561397794943</v>
      </c>
    </row>
    <row r="54" spans="2:9" ht="14" x14ac:dyDescent="0.3">
      <c r="B54" s="4" t="s">
        <v>151</v>
      </c>
      <c r="C54" s="30">
        <v>5</v>
      </c>
      <c r="D54" s="14">
        <f t="shared" si="3"/>
        <v>0.49373124553580194</v>
      </c>
      <c r="E54" s="14">
        <f t="shared" si="3"/>
        <v>0.70344448433085904</v>
      </c>
      <c r="F54" s="14">
        <f t="shared" si="3"/>
        <v>0.9209033098515701</v>
      </c>
      <c r="G54" s="14">
        <f t="shared" si="3"/>
        <v>1.1460879068096708</v>
      </c>
      <c r="H54" s="14">
        <f t="shared" si="3"/>
        <v>1.378974720311978</v>
      </c>
    </row>
    <row r="55" spans="2:9" ht="14" x14ac:dyDescent="0.3">
      <c r="B55" s="4" t="s">
        <v>152</v>
      </c>
      <c r="C55" s="30">
        <v>7</v>
      </c>
      <c r="D55" s="14">
        <f t="shared" si="3"/>
        <v>0.49810358230162205</v>
      </c>
      <c r="E55" s="14">
        <f t="shared" si="3"/>
        <v>0.71679659625319492</v>
      </c>
      <c r="F55" s="14">
        <f t="shared" si="3"/>
        <v>0.94748454520926528</v>
      </c>
      <c r="G55" s="14">
        <f t="shared" si="3"/>
        <v>1.1902227217664523</v>
      </c>
      <c r="H55" s="14">
        <f t="shared" si="3"/>
        <v>1.4450539763616008</v>
      </c>
    </row>
    <row r="56" spans="2:9" ht="14" x14ac:dyDescent="0.3">
      <c r="B56" s="4" t="s">
        <v>153</v>
      </c>
      <c r="C56" s="30">
        <v>10</v>
      </c>
      <c r="D56" s="14">
        <f t="shared" si="3"/>
        <v>0.50458055477608454</v>
      </c>
      <c r="E56" s="14">
        <f t="shared" si="3"/>
        <v>0.73722468383850415</v>
      </c>
      <c r="F56" s="14">
        <f t="shared" si="3"/>
        <v>0.98870026063468375</v>
      </c>
      <c r="G56" s="14">
        <f t="shared" si="3"/>
        <v>1.2592723840478965</v>
      </c>
      <c r="H56" s="14">
        <f t="shared" si="3"/>
        <v>1.5491688453687993</v>
      </c>
    </row>
    <row r="58" spans="2:9" ht="14" x14ac:dyDescent="0.3">
      <c r="B58" s="8" t="s">
        <v>157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158</v>
      </c>
    </row>
    <row r="60" spans="2:9" ht="14" x14ac:dyDescent="0.3">
      <c r="B60" s="4" t="s">
        <v>159</v>
      </c>
      <c r="C60" s="5">
        <f>F49</f>
        <v>247771.79822549448</v>
      </c>
    </row>
    <row r="62" spans="2:9" ht="14" x14ac:dyDescent="0.3">
      <c r="B62" s="28" t="s">
        <v>160</v>
      </c>
      <c r="C62" s="28" t="s">
        <v>161</v>
      </c>
      <c r="D62" s="28" t="s">
        <v>162</v>
      </c>
    </row>
    <row r="63" spans="2:9" ht="14" x14ac:dyDescent="0.3">
      <c r="B63" s="31">
        <v>4.58E-2</v>
      </c>
      <c r="C63" s="5">
        <f>IFERROR($C$60/B63,"N/A")</f>
        <v>5409864.5900762985</v>
      </c>
      <c r="D63" s="14">
        <f>IFERROR(C63/'DCF Model'!C17,"N/A")</f>
        <v>1.8689015938489484</v>
      </c>
    </row>
    <row r="64" spans="2:9" ht="14" x14ac:dyDescent="0.3">
      <c r="B64" s="31">
        <v>6.8599999999999994E-2</v>
      </c>
      <c r="C64" s="5">
        <f>IFERROR($C$60/B64,"N/A")</f>
        <v>3611833.7933745552</v>
      </c>
      <c r="D64" s="14">
        <f>IFERROR(C64/'DCF Model'!C17,"N/A")</f>
        <v>1.2477506267971115</v>
      </c>
    </row>
    <row r="65" spans="2:9" ht="14" x14ac:dyDescent="0.3">
      <c r="B65" s="4" t="s">
        <v>163</v>
      </c>
      <c r="C65" s="5">
        <f>IFERROR($C$60/$C$18,"N/A")</f>
        <v>2706923.4488505218</v>
      </c>
      <c r="D65" s="14">
        <f>IFERROR(C65/'DCF Model'!C17,"N/A")</f>
        <v>0.93513866451738359</v>
      </c>
    </row>
    <row r="66" spans="2:9" ht="14" x14ac:dyDescent="0.3">
      <c r="B66" s="31">
        <v>0.1144</v>
      </c>
      <c r="C66" s="5">
        <f>IFERROR($C$60/B66,"N/A")</f>
        <v>2165837.3970760005</v>
      </c>
      <c r="D66" s="14">
        <f>IFERROR(C66/'DCF Model'!C17,"N/A")</f>
        <v>0.7482140996353307</v>
      </c>
    </row>
    <row r="67" spans="2:9" ht="14" x14ac:dyDescent="0.3">
      <c r="B67" s="31">
        <v>0.13730000000000001</v>
      </c>
      <c r="C67" s="5">
        <f>IFERROR($C$60/B67,"N/A")</f>
        <v>1804601.589406369</v>
      </c>
      <c r="D67" s="14">
        <f>IFERROR(C67/'DCF Model'!C17,"N/A")</f>
        <v>0.6234209249692777</v>
      </c>
    </row>
    <row r="69" spans="2:9" ht="14" x14ac:dyDescent="0.3">
      <c r="B69" s="8" t="s">
        <v>164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165</v>
      </c>
      <c r="C70" s="14">
        <f>IFERROR(C10/'Comps Analysis'!G5,"N/A")</f>
        <v>11.133464698693535</v>
      </c>
    </row>
    <row r="71" spans="2:9" ht="13.5" x14ac:dyDescent="0.25">
      <c r="B71" s="6" t="s">
        <v>166</v>
      </c>
      <c r="C71" s="14">
        <f>IFERROR(C10/'Comps Analysis'!F5,"N/A")</f>
        <v>1.342153816476179</v>
      </c>
    </row>
    <row r="72" spans="2:9" ht="14" x14ac:dyDescent="0.3">
      <c r="B72" s="4" t="s">
        <v>167</v>
      </c>
      <c r="C72" s="14">
        <f>IFERROR(C10/(C25+'DCF Model'!G42),"N/A")</f>
        <v>9.2270734876726443</v>
      </c>
    </row>
    <row r="73" spans="2:9" ht="14" x14ac:dyDescent="0.3">
      <c r="B73" s="4" t="s">
        <v>168</v>
      </c>
      <c r="C73" s="14">
        <f>IFERROR(C10/(C60+'DCF Model'!G42),"N/A")</f>
        <v>8.9360546085809887</v>
      </c>
    </row>
    <row r="74" spans="2:9" ht="14" x14ac:dyDescent="0.3">
      <c r="B74" s="4" t="s">
        <v>169</v>
      </c>
      <c r="C74" s="14">
        <f>IFERROR('Comps Analysis'!D16,"N/A")</f>
        <v>10.92142078168791</v>
      </c>
    </row>
    <row r="75" spans="2:9" ht="14" x14ac:dyDescent="0.3">
      <c r="B75" s="1" t="s">
        <v>170</v>
      </c>
    </row>
    <row r="77" spans="2:9" ht="14" x14ac:dyDescent="0.3">
      <c r="B77" s="22" t="s">
        <v>171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FY2024 cycle peak of "&amp;TEXT(C15,"#,##0")&amp;" mn - reached in 5 years and sustained for ever, against "&amp;TEXT(C14,"#,##0")&amp;" mn actually earned in FY2025."</f>
        <v>At 1,639 yen the market is paying for a steady-state operating profit of 247,772 mn JPY - 0.92x the FY2024 cycle peak of 269,053 mn - reached in 5 years and sustained for ever, against 185,870 mn actually earned in FY2025.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234,059 mn, or 0.87x the peak. The base case supports an EV of only 4,583,821 mn, leaving -478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172</v>
      </c>
    </row>
    <row r="4" spans="2:8" ht="14" x14ac:dyDescent="0.3">
      <c r="B4" s="8" t="s">
        <v>173</v>
      </c>
      <c r="C4" s="32" t="s">
        <v>174</v>
      </c>
      <c r="D4" s="32" t="s">
        <v>81</v>
      </c>
      <c r="E4" s="32" t="s">
        <v>82</v>
      </c>
      <c r="F4" s="32" t="s">
        <v>83</v>
      </c>
      <c r="G4" s="32" t="s">
        <v>84</v>
      </c>
      <c r="H4" s="32" t="s">
        <v>85</v>
      </c>
    </row>
    <row r="5" spans="2:8" ht="14" x14ac:dyDescent="0.3">
      <c r="B5" s="33" t="s">
        <v>175</v>
      </c>
      <c r="C5" s="34">
        <f>C12/C9*365</f>
        <v>63.30199303825367</v>
      </c>
      <c r="D5" s="34">
        <f>CHOOSE('DCF Model'!$D$27,D25,D26,D27,D28,D29)</f>
        <v>60</v>
      </c>
      <c r="E5" s="34">
        <f>CHOOSE('DCF Model'!$D$27,E25,E26,E27,E28,E29)</f>
        <v>60</v>
      </c>
      <c r="F5" s="34">
        <f>CHOOSE('DCF Model'!$D$27,F25,F26,F27,F28,F29)</f>
        <v>60</v>
      </c>
      <c r="G5" s="34">
        <f>CHOOSE('DCF Model'!$D$27,G25,G26,G27,G28,G29)</f>
        <v>60</v>
      </c>
      <c r="H5" s="34">
        <f>CHOOSE('DCF Model'!$D$27,H25,H26,H27,H28,H29)</f>
        <v>60</v>
      </c>
    </row>
    <row r="6" spans="2:8" ht="14" x14ac:dyDescent="0.3">
      <c r="B6" s="33" t="s">
        <v>176</v>
      </c>
      <c r="C6" s="34">
        <f>C13/C10*365</f>
        <v>61.429129193294614</v>
      </c>
      <c r="D6" s="34">
        <f>CHOOSE('DCF Model'!$D$27,D32,D33,D34,D35,D36)</f>
        <v>56</v>
      </c>
      <c r="E6" s="34">
        <f>CHOOSE('DCF Model'!$D$27,E32,E33,E34,E35,E36)</f>
        <v>56</v>
      </c>
      <c r="F6" s="34">
        <f>CHOOSE('DCF Model'!$D$27,F32,F33,F34,F35,F36)</f>
        <v>56</v>
      </c>
      <c r="G6" s="34">
        <f>CHOOSE('DCF Model'!$D$27,G32,G33,G34,G35,G36)</f>
        <v>56</v>
      </c>
      <c r="H6" s="34">
        <f>CHOOSE('DCF Model'!$D$27,H32,H33,H34,H35,H36)</f>
        <v>56</v>
      </c>
    </row>
    <row r="7" spans="2:8" ht="14" x14ac:dyDescent="0.3">
      <c r="B7" s="33" t="s">
        <v>177</v>
      </c>
      <c r="C7" s="34">
        <f>C15/C10*365</f>
        <v>142.95818984535211</v>
      </c>
      <c r="D7" s="34">
        <f>CHOOSE('DCF Model'!$D$27,D39,D40,D41,D42,D43)</f>
        <v>142</v>
      </c>
      <c r="E7" s="34">
        <f>CHOOSE('DCF Model'!$D$27,E39,E40,E41,E42,E43)</f>
        <v>142</v>
      </c>
      <c r="F7" s="34">
        <f>CHOOSE('DCF Model'!$D$27,F39,F40,F41,F42,F43)</f>
        <v>142</v>
      </c>
      <c r="G7" s="34">
        <f>CHOOSE('DCF Model'!$D$27,G39,G40,G41,G42,G43)</f>
        <v>142</v>
      </c>
      <c r="H7" s="34">
        <f>CHOOSE('DCF Model'!$D$27,H39,H40,H41,H42,H43)</f>
        <v>142</v>
      </c>
    </row>
    <row r="8" spans="2:8" ht="14" x14ac:dyDescent="0.3">
      <c r="B8" s="8" t="s">
        <v>178</v>
      </c>
      <c r="C8" s="9"/>
      <c r="D8" s="9"/>
      <c r="E8" s="9"/>
      <c r="F8" s="9"/>
      <c r="G8" s="9"/>
      <c r="H8" s="9"/>
    </row>
    <row r="9" spans="2:8" ht="14" x14ac:dyDescent="0.3">
      <c r="B9" s="33" t="s">
        <v>32</v>
      </c>
      <c r="C9" s="35">
        <v>2894676</v>
      </c>
      <c r="D9" s="35">
        <f>'DCF Model'!C33</f>
        <v>3010463.04</v>
      </c>
      <c r="E9" s="35">
        <f>'DCF Model'!D33</f>
        <v>3100776.9312</v>
      </c>
      <c r="F9" s="35">
        <f>'DCF Model'!E33</f>
        <v>3178296.3544799997</v>
      </c>
      <c r="G9" s="35">
        <f>'DCF Model'!F33</f>
        <v>3257753.7633419996</v>
      </c>
      <c r="H9" s="35">
        <f>'DCF Model'!G33</f>
        <v>3339197.6074255495</v>
      </c>
    </row>
    <row r="10" spans="2:8" ht="14" x14ac:dyDescent="0.3">
      <c r="B10" s="33" t="s">
        <v>33</v>
      </c>
      <c r="C10" s="35">
        <v>1801835</v>
      </c>
      <c r="D10" s="35">
        <f>'DCF Model'!C34</f>
        <v>1917664.9564800002</v>
      </c>
      <c r="E10" s="35">
        <f>'DCF Model'!D34</f>
        <v>1959691.0205184</v>
      </c>
      <c r="F10" s="35">
        <f>'DCF Model'!E34</f>
        <v>1999148.4069679198</v>
      </c>
      <c r="G10" s="35">
        <f>'DCF Model'!F34</f>
        <v>2044240.4864971046</v>
      </c>
      <c r="H10" s="35">
        <f>'DCF Model'!G34</f>
        <v>2095346.4986595321</v>
      </c>
    </row>
    <row r="11" spans="2:8" ht="14" x14ac:dyDescent="0.3">
      <c r="B11" s="8" t="s">
        <v>179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180</v>
      </c>
      <c r="C12" s="35">
        <v>502024</v>
      </c>
      <c r="D12" s="35">
        <f t="shared" ref="D12:H13" si="0">D9*D5/365</f>
        <v>494870.63671232876</v>
      </c>
      <c r="E12" s="35">
        <f t="shared" si="0"/>
        <v>509716.75581369863</v>
      </c>
      <c r="F12" s="35">
        <f t="shared" si="0"/>
        <v>522459.67470904108</v>
      </c>
      <c r="G12" s="35">
        <f t="shared" si="0"/>
        <v>535521.16657676711</v>
      </c>
      <c r="H12" s="35">
        <f t="shared" si="0"/>
        <v>548909.19574118627</v>
      </c>
    </row>
    <row r="13" spans="2:8" ht="14" x14ac:dyDescent="0.3">
      <c r="B13" s="33" t="s">
        <v>181</v>
      </c>
      <c r="C13" s="35">
        <v>303247</v>
      </c>
      <c r="D13" s="35">
        <f t="shared" si="0"/>
        <v>294217.08921336988</v>
      </c>
      <c r="E13" s="35">
        <f t="shared" si="0"/>
        <v>300664.9236959737</v>
      </c>
      <c r="F13" s="35">
        <f t="shared" si="0"/>
        <v>306718.65969918773</v>
      </c>
      <c r="G13" s="35">
        <f t="shared" si="0"/>
        <v>313636.89655845991</v>
      </c>
      <c r="H13" s="35">
        <f t="shared" si="0"/>
        <v>321477.81897242134</v>
      </c>
    </row>
    <row r="14" spans="2:8" ht="14" x14ac:dyDescent="0.3">
      <c r="B14" s="33" t="s">
        <v>182</v>
      </c>
      <c r="C14" s="35">
        <f t="shared" ref="C14:H14" si="1">C12+C13</f>
        <v>805271</v>
      </c>
      <c r="D14" s="35">
        <f t="shared" si="1"/>
        <v>789087.72592569864</v>
      </c>
      <c r="E14" s="35">
        <f t="shared" si="1"/>
        <v>810381.67950967234</v>
      </c>
      <c r="F14" s="35">
        <f t="shared" si="1"/>
        <v>829178.33440822875</v>
      </c>
      <c r="G14" s="35">
        <f t="shared" si="1"/>
        <v>849158.06313522696</v>
      </c>
      <c r="H14" s="35">
        <f t="shared" si="1"/>
        <v>870387.01471360761</v>
      </c>
    </row>
    <row r="15" spans="2:8" ht="14" x14ac:dyDescent="0.3">
      <c r="B15" s="33" t="s">
        <v>183</v>
      </c>
      <c r="C15" s="35">
        <v>705718</v>
      </c>
      <c r="D15" s="35">
        <f>D10*D7/365</f>
        <v>746050.47621961648</v>
      </c>
      <c r="E15" s="35">
        <f>E10*E7/365</f>
        <v>762400.34222907608</v>
      </c>
      <c r="F15" s="35">
        <f>F10*F7/365</f>
        <v>777750.88709436881</v>
      </c>
      <c r="G15" s="35">
        <f>G10*G7/365</f>
        <v>795293.5591303804</v>
      </c>
      <c r="H15" s="35">
        <f>H10*H7/365</f>
        <v>815175.89810863999</v>
      </c>
    </row>
    <row r="16" spans="2:8" ht="14" x14ac:dyDescent="0.3">
      <c r="B16" s="33" t="s">
        <v>184</v>
      </c>
      <c r="C16" s="35">
        <f t="shared" ref="C16:H16" si="2">C15</f>
        <v>705718</v>
      </c>
      <c r="D16" s="35">
        <f t="shared" si="2"/>
        <v>746050.47621961648</v>
      </c>
      <c r="E16" s="35">
        <f t="shared" si="2"/>
        <v>762400.34222907608</v>
      </c>
      <c r="F16" s="35">
        <f t="shared" si="2"/>
        <v>777750.88709436881</v>
      </c>
      <c r="G16" s="35">
        <f t="shared" si="2"/>
        <v>795293.5591303804</v>
      </c>
      <c r="H16" s="35">
        <f t="shared" si="2"/>
        <v>815175.89810863999</v>
      </c>
    </row>
    <row r="17" spans="2:8" ht="14" x14ac:dyDescent="0.3">
      <c r="B17" s="22" t="s">
        <v>185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186</v>
      </c>
      <c r="C18" s="20">
        <f t="shared" ref="C18:H18" si="3">C14-C16</f>
        <v>99553</v>
      </c>
      <c r="D18" s="20">
        <f t="shared" si="3"/>
        <v>43037.249706082162</v>
      </c>
      <c r="E18" s="20">
        <f t="shared" si="3"/>
        <v>47981.337280596257</v>
      </c>
      <c r="F18" s="20">
        <f t="shared" si="3"/>
        <v>51427.447313859942</v>
      </c>
      <c r="G18" s="20">
        <f t="shared" si="3"/>
        <v>53864.50400484656</v>
      </c>
      <c r="H18" s="20">
        <f t="shared" si="3"/>
        <v>55211.116604967625</v>
      </c>
    </row>
    <row r="19" spans="2:8" ht="14" x14ac:dyDescent="0.3">
      <c r="B19" s="33" t="s">
        <v>95</v>
      </c>
      <c r="C19" s="36" t="s">
        <v>42</v>
      </c>
      <c r="D19" s="24">
        <f>D18-C18</f>
        <v>-56515.750293917838</v>
      </c>
      <c r="E19" s="24">
        <f>E18-D18</f>
        <v>4944.0875745140947</v>
      </c>
      <c r="F19" s="24">
        <f>F18-E18</f>
        <v>3446.1100332636852</v>
      </c>
      <c r="G19" s="24">
        <f>G18-F18</f>
        <v>2437.0566909866175</v>
      </c>
      <c r="H19" s="24">
        <f>H18-G18</f>
        <v>1346.612600121065</v>
      </c>
    </row>
    <row r="22" spans="2:8" ht="14" x14ac:dyDescent="0.3">
      <c r="B22" s="22" t="s">
        <v>187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81</v>
      </c>
      <c r="E23" s="25" t="s">
        <v>82</v>
      </c>
      <c r="F23" s="25" t="s">
        <v>83</v>
      </c>
      <c r="G23" s="25" t="s">
        <v>84</v>
      </c>
      <c r="H23" s="25" t="s">
        <v>85</v>
      </c>
    </row>
    <row r="24" spans="2:8" ht="14" x14ac:dyDescent="0.3">
      <c r="B24" s="3" t="s">
        <v>188</v>
      </c>
    </row>
    <row r="25" spans="2:8" ht="14" x14ac:dyDescent="0.3">
      <c r="B25" s="4" t="s">
        <v>79</v>
      </c>
      <c r="D25" s="30">
        <v>60</v>
      </c>
      <c r="E25" s="30">
        <v>60</v>
      </c>
      <c r="F25" s="30">
        <v>60</v>
      </c>
      <c r="G25" s="30">
        <v>60</v>
      </c>
      <c r="H25" s="30">
        <v>60</v>
      </c>
    </row>
    <row r="26" spans="2:8" ht="14" x14ac:dyDescent="0.3">
      <c r="B26" s="4" t="s">
        <v>116</v>
      </c>
      <c r="D26" s="30">
        <v>58</v>
      </c>
      <c r="E26" s="30">
        <v>58</v>
      </c>
      <c r="F26" s="30">
        <v>58</v>
      </c>
      <c r="G26" s="30">
        <v>58</v>
      </c>
      <c r="H26" s="30">
        <v>58</v>
      </c>
    </row>
    <row r="27" spans="2:8" ht="14" x14ac:dyDescent="0.3">
      <c r="B27" s="4" t="s">
        <v>117</v>
      </c>
      <c r="D27" s="30">
        <v>60</v>
      </c>
      <c r="E27" s="30">
        <v>60</v>
      </c>
      <c r="F27" s="30">
        <v>60</v>
      </c>
      <c r="G27" s="30">
        <v>60</v>
      </c>
      <c r="H27" s="30">
        <v>60</v>
      </c>
    </row>
    <row r="28" spans="2:8" ht="14" x14ac:dyDescent="0.3">
      <c r="B28" s="4" t="s">
        <v>118</v>
      </c>
      <c r="D28" s="30">
        <v>63</v>
      </c>
      <c r="E28" s="30">
        <v>63</v>
      </c>
      <c r="F28" s="30">
        <v>63</v>
      </c>
      <c r="G28" s="30">
        <v>63</v>
      </c>
      <c r="H28" s="30">
        <v>63</v>
      </c>
    </row>
    <row r="29" spans="2:8" ht="14" x14ac:dyDescent="0.3">
      <c r="B29" s="4" t="s">
        <v>119</v>
      </c>
      <c r="D29" s="30">
        <v>66</v>
      </c>
      <c r="E29" s="30">
        <v>66</v>
      </c>
      <c r="F29" s="30">
        <v>66</v>
      </c>
      <c r="G29" s="30">
        <v>66</v>
      </c>
      <c r="H29" s="30">
        <v>66</v>
      </c>
    </row>
    <row r="31" spans="2:8" ht="14" x14ac:dyDescent="0.3">
      <c r="B31" s="3" t="s">
        <v>189</v>
      </c>
    </row>
    <row r="32" spans="2:8" ht="14" x14ac:dyDescent="0.3">
      <c r="B32" s="4" t="s">
        <v>79</v>
      </c>
      <c r="D32" s="30">
        <v>56</v>
      </c>
      <c r="E32" s="30">
        <v>56</v>
      </c>
      <c r="F32" s="30">
        <v>56</v>
      </c>
      <c r="G32" s="30">
        <v>56</v>
      </c>
      <c r="H32" s="30">
        <v>56</v>
      </c>
    </row>
    <row r="33" spans="2:8" ht="14" x14ac:dyDescent="0.3">
      <c r="B33" s="4" t="s">
        <v>116</v>
      </c>
      <c r="D33" s="30">
        <v>53</v>
      </c>
      <c r="E33" s="30">
        <v>53</v>
      </c>
      <c r="F33" s="30">
        <v>53</v>
      </c>
      <c r="G33" s="30">
        <v>53</v>
      </c>
      <c r="H33" s="30">
        <v>53</v>
      </c>
    </row>
    <row r="34" spans="2:8" ht="14" x14ac:dyDescent="0.3">
      <c r="B34" s="4" t="s">
        <v>117</v>
      </c>
      <c r="D34" s="30">
        <v>56</v>
      </c>
      <c r="E34" s="30">
        <v>56</v>
      </c>
      <c r="F34" s="30">
        <v>56</v>
      </c>
      <c r="G34" s="30">
        <v>56</v>
      </c>
      <c r="H34" s="30">
        <v>56</v>
      </c>
    </row>
    <row r="35" spans="2:8" ht="14" x14ac:dyDescent="0.3">
      <c r="B35" s="4" t="s">
        <v>118</v>
      </c>
      <c r="D35" s="30">
        <v>60</v>
      </c>
      <c r="E35" s="30">
        <v>60</v>
      </c>
      <c r="F35" s="30">
        <v>60</v>
      </c>
      <c r="G35" s="30">
        <v>60</v>
      </c>
      <c r="H35" s="30">
        <v>60</v>
      </c>
    </row>
    <row r="36" spans="2:8" ht="14" x14ac:dyDescent="0.3">
      <c r="B36" s="4" t="s">
        <v>119</v>
      </c>
      <c r="D36" s="30">
        <v>66</v>
      </c>
      <c r="E36" s="30">
        <v>66</v>
      </c>
      <c r="F36" s="30">
        <v>66</v>
      </c>
      <c r="G36" s="30">
        <v>66</v>
      </c>
      <c r="H36" s="30">
        <v>66</v>
      </c>
    </row>
    <row r="38" spans="2:8" ht="14" x14ac:dyDescent="0.3">
      <c r="B38" s="3" t="s">
        <v>190</v>
      </c>
    </row>
    <row r="39" spans="2:8" ht="14" x14ac:dyDescent="0.3">
      <c r="B39" s="4" t="s">
        <v>79</v>
      </c>
      <c r="D39" s="30">
        <v>142</v>
      </c>
      <c r="E39" s="30">
        <v>142</v>
      </c>
      <c r="F39" s="30">
        <v>142</v>
      </c>
      <c r="G39" s="30">
        <v>142</v>
      </c>
      <c r="H39" s="30">
        <v>142</v>
      </c>
    </row>
    <row r="40" spans="2:8" ht="14" x14ac:dyDescent="0.3">
      <c r="B40" s="4" t="s">
        <v>116</v>
      </c>
      <c r="D40" s="30">
        <v>145</v>
      </c>
      <c r="E40" s="30">
        <v>145</v>
      </c>
      <c r="F40" s="30">
        <v>145</v>
      </c>
      <c r="G40" s="30">
        <v>145</v>
      </c>
      <c r="H40" s="30">
        <v>145</v>
      </c>
    </row>
    <row r="41" spans="2:8" ht="14" x14ac:dyDescent="0.3">
      <c r="B41" s="4" t="s">
        <v>117</v>
      </c>
      <c r="D41" s="30">
        <v>142</v>
      </c>
      <c r="E41" s="30">
        <v>142</v>
      </c>
      <c r="F41" s="30">
        <v>142</v>
      </c>
      <c r="G41" s="30">
        <v>142</v>
      </c>
      <c r="H41" s="30">
        <v>142</v>
      </c>
    </row>
    <row r="42" spans="2:8" ht="14" x14ac:dyDescent="0.3">
      <c r="B42" s="4" t="s">
        <v>118</v>
      </c>
      <c r="D42" s="30">
        <v>138</v>
      </c>
      <c r="E42" s="30">
        <v>138</v>
      </c>
      <c r="F42" s="30">
        <v>138</v>
      </c>
      <c r="G42" s="30">
        <v>138</v>
      </c>
      <c r="H42" s="30">
        <v>138</v>
      </c>
    </row>
    <row r="43" spans="2:8" ht="14" x14ac:dyDescent="0.3">
      <c r="B43" s="4" t="s">
        <v>119</v>
      </c>
      <c r="D43" s="30">
        <v>132</v>
      </c>
      <c r="E43" s="30">
        <v>132</v>
      </c>
      <c r="F43" s="30">
        <v>132</v>
      </c>
      <c r="G43" s="30">
        <v>132</v>
      </c>
      <c r="H43" s="30">
        <v>132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191</v>
      </c>
    </row>
    <row r="3" spans="2:17" ht="14" x14ac:dyDescent="0.3">
      <c r="B3" s="1" t="s">
        <v>192</v>
      </c>
    </row>
    <row r="4" spans="2:17" ht="28" x14ac:dyDescent="0.3">
      <c r="B4" s="10" t="s">
        <v>3</v>
      </c>
      <c r="C4" s="10" t="s">
        <v>5</v>
      </c>
      <c r="D4" s="10" t="s">
        <v>193</v>
      </c>
      <c r="E4" s="10" t="s">
        <v>194</v>
      </c>
      <c r="F4" s="10" t="s">
        <v>195</v>
      </c>
      <c r="G4" s="10" t="s">
        <v>196</v>
      </c>
      <c r="H4" s="10" t="s">
        <v>197</v>
      </c>
      <c r="I4" s="10" t="s">
        <v>198</v>
      </c>
      <c r="J4" s="10" t="s">
        <v>199</v>
      </c>
      <c r="K4" s="10" t="s">
        <v>200</v>
      </c>
      <c r="L4" s="10" t="s">
        <v>201</v>
      </c>
      <c r="M4" s="10" t="s">
        <v>202</v>
      </c>
      <c r="N4" s="10" t="s">
        <v>203</v>
      </c>
      <c r="O4" s="10" t="s">
        <v>204</v>
      </c>
      <c r="P4" s="10" t="s">
        <v>205</v>
      </c>
      <c r="Q4" s="10" t="s">
        <v>206</v>
      </c>
    </row>
    <row r="5" spans="2:17" ht="14" x14ac:dyDescent="0.3">
      <c r="B5" s="4" t="s">
        <v>207</v>
      </c>
      <c r="C5" t="s">
        <v>208</v>
      </c>
      <c r="D5" s="37">
        <f>'Executive Summary'!C9*C23/1000000</f>
        <v>2397303.440862</v>
      </c>
      <c r="E5" s="37">
        <f>D5+C24</f>
        <v>3885100.440862</v>
      </c>
      <c r="F5" s="37">
        <v>2894676</v>
      </c>
      <c r="G5" s="37">
        <v>348957</v>
      </c>
      <c r="H5" s="37">
        <v>185870</v>
      </c>
      <c r="I5" s="37">
        <v>121574</v>
      </c>
      <c r="J5" s="38">
        <f t="shared" ref="J5:J10" si="0">IFERROR(E5/G5,"")</f>
        <v>11.133464698693535</v>
      </c>
      <c r="K5" s="38">
        <f t="shared" ref="K5:K10" si="1">IFERROR(E5/F5,"")</f>
        <v>1.342153816476179</v>
      </c>
      <c r="L5" s="38">
        <f t="shared" ref="L5:L10" si="2">IFERROR(D5/I5,"")</f>
        <v>19.718882662921349</v>
      </c>
      <c r="M5" s="38">
        <f t="shared" ref="M5:M10" si="3">IFERROR(D5/P5,"")</f>
        <v>0.79828902092338061</v>
      </c>
      <c r="N5" s="39">
        <f t="shared" ref="N5:N10" si="4">IFERROR(H5/F5,"")</f>
        <v>6.4210985961814029E-2</v>
      </c>
      <c r="O5" s="39">
        <f t="shared" ref="O5:O10" si="5">IFERROR(I5/P5,"")</f>
        <v>4.0483481471516314E-2</v>
      </c>
      <c r="P5" s="37">
        <v>3003052</v>
      </c>
    </row>
    <row r="6" spans="2:17" ht="14" x14ac:dyDescent="0.3">
      <c r="B6" s="4" t="s">
        <v>209</v>
      </c>
      <c r="C6" t="s">
        <v>210</v>
      </c>
      <c r="D6" s="37">
        <v>2320547</v>
      </c>
      <c r="E6" s="37">
        <v>3118689</v>
      </c>
      <c r="F6" s="37">
        <v>2433363</v>
      </c>
      <c r="G6" s="37">
        <v>305379</v>
      </c>
      <c r="H6" s="37">
        <v>209677</v>
      </c>
      <c r="I6" s="37">
        <v>147542</v>
      </c>
      <c r="J6" s="38">
        <f t="shared" si="0"/>
        <v>10.212519524918216</v>
      </c>
      <c r="K6" s="38">
        <f t="shared" si="1"/>
        <v>1.2816373882564993</v>
      </c>
      <c r="L6" s="38">
        <f t="shared" si="2"/>
        <v>15.728043540144501</v>
      </c>
      <c r="M6" s="38">
        <f t="shared" si="3"/>
        <v>1.803079431013892</v>
      </c>
      <c r="N6" s="39">
        <f t="shared" si="4"/>
        <v>8.6167579600741853E-2</v>
      </c>
      <c r="O6" s="39">
        <f t="shared" si="5"/>
        <v>0.11464105032591526</v>
      </c>
      <c r="P6" s="37">
        <v>1286991</v>
      </c>
    </row>
    <row r="7" spans="2:17" ht="14" x14ac:dyDescent="0.3">
      <c r="B7" s="4" t="s">
        <v>211</v>
      </c>
      <c r="C7" t="s">
        <v>212</v>
      </c>
      <c r="D7" s="37">
        <v>4932560</v>
      </c>
      <c r="E7" s="37">
        <v>5247222</v>
      </c>
      <c r="F7" s="37">
        <v>1583719</v>
      </c>
      <c r="G7" s="37">
        <v>277762</v>
      </c>
      <c r="H7" s="37">
        <v>191301</v>
      </c>
      <c r="I7" s="37">
        <v>134675</v>
      </c>
      <c r="J7" s="38">
        <f t="shared" si="0"/>
        <v>18.891072212901694</v>
      </c>
      <c r="K7" s="38">
        <f t="shared" si="1"/>
        <v>3.3132279148005424</v>
      </c>
      <c r="L7" s="38">
        <f t="shared" si="2"/>
        <v>36.625654353072214</v>
      </c>
      <c r="M7" s="38">
        <f t="shared" si="3"/>
        <v>6.3991157457198122</v>
      </c>
      <c r="N7" s="39">
        <f t="shared" si="4"/>
        <v>0.12079226175855691</v>
      </c>
      <c r="O7" s="39">
        <f t="shared" si="5"/>
        <v>0.17471676230087738</v>
      </c>
      <c r="P7" s="37">
        <v>770819</v>
      </c>
    </row>
    <row r="8" spans="2:17" ht="14" x14ac:dyDescent="0.3">
      <c r="B8" s="4" t="s">
        <v>213</v>
      </c>
      <c r="C8" t="s">
        <v>214</v>
      </c>
      <c r="D8" s="37">
        <v>1655551</v>
      </c>
      <c r="E8" s="37">
        <v>1605210</v>
      </c>
      <c r="F8" s="37">
        <v>745539</v>
      </c>
      <c r="G8" s="37">
        <v>102686</v>
      </c>
      <c r="H8" s="37">
        <v>75940</v>
      </c>
      <c r="I8" s="37">
        <v>61615</v>
      </c>
      <c r="J8" s="38">
        <f t="shared" si="0"/>
        <v>15.632218608184173</v>
      </c>
      <c r="K8" s="38">
        <f t="shared" si="1"/>
        <v>2.1530865588520518</v>
      </c>
      <c r="L8" s="38">
        <f t="shared" si="2"/>
        <v>26.869285076685873</v>
      </c>
      <c r="M8" s="38">
        <f t="shared" si="3"/>
        <v>2.9514711440409038</v>
      </c>
      <c r="N8" s="39">
        <f t="shared" si="4"/>
        <v>0.1018591918061966</v>
      </c>
      <c r="O8" s="39">
        <f t="shared" si="5"/>
        <v>0.10984554057234135</v>
      </c>
      <c r="P8" s="37">
        <v>560924</v>
      </c>
    </row>
    <row r="9" spans="2:17" ht="14" x14ac:dyDescent="0.3">
      <c r="B9" s="4" t="s">
        <v>215</v>
      </c>
      <c r="C9" t="s">
        <v>216</v>
      </c>
      <c r="D9" s="37">
        <v>1195303</v>
      </c>
      <c r="E9" s="37">
        <v>1238638</v>
      </c>
      <c r="F9" s="37">
        <v>1173688</v>
      </c>
      <c r="G9" s="37">
        <v>148261</v>
      </c>
      <c r="H9" s="37">
        <v>93307</v>
      </c>
      <c r="I9" s="37">
        <v>35076</v>
      </c>
      <c r="J9" s="38">
        <f t="shared" si="0"/>
        <v>8.3544425034230176</v>
      </c>
      <c r="K9" s="38">
        <f t="shared" si="1"/>
        <v>1.0553383863513983</v>
      </c>
      <c r="L9" s="38">
        <f t="shared" si="2"/>
        <v>34.077517390808531</v>
      </c>
      <c r="M9" s="38">
        <f t="shared" si="3"/>
        <v>1.5471475630513147</v>
      </c>
      <c r="N9" s="39">
        <f t="shared" si="4"/>
        <v>7.9498980989837167E-2</v>
      </c>
      <c r="O9" s="39">
        <f t="shared" si="5"/>
        <v>4.5400829682170893E-2</v>
      </c>
      <c r="P9" s="37">
        <v>772585</v>
      </c>
    </row>
    <row r="10" spans="2:17" ht="14" x14ac:dyDescent="0.3">
      <c r="B10" s="4" t="s">
        <v>217</v>
      </c>
      <c r="C10" t="s">
        <v>218</v>
      </c>
      <c r="D10" s="37">
        <v>854146</v>
      </c>
      <c r="E10" s="37">
        <v>931346</v>
      </c>
      <c r="F10" s="37">
        <v>788131</v>
      </c>
      <c r="G10" s="37">
        <v>85277</v>
      </c>
      <c r="H10" s="37">
        <v>49380</v>
      </c>
      <c r="I10" s="37">
        <v>45380</v>
      </c>
      <c r="J10" s="38">
        <f t="shared" si="0"/>
        <v>10.92142078168791</v>
      </c>
      <c r="K10" s="38">
        <f t="shared" si="1"/>
        <v>1.1817147149395215</v>
      </c>
      <c r="L10" s="38">
        <f t="shared" si="2"/>
        <v>18.822080211546936</v>
      </c>
      <c r="M10" s="38">
        <f t="shared" si="3"/>
        <v>1.6515832379420228</v>
      </c>
      <c r="N10" s="39">
        <f t="shared" si="4"/>
        <v>6.2654558696460361E-2</v>
      </c>
      <c r="O10" s="39">
        <f t="shared" si="5"/>
        <v>8.7747115057389469E-2</v>
      </c>
      <c r="P10" s="37">
        <v>517168</v>
      </c>
    </row>
    <row r="14" spans="2:17" ht="14" x14ac:dyDescent="0.3">
      <c r="B14" s="3" t="s">
        <v>219</v>
      </c>
    </row>
    <row r="15" spans="2:17" ht="14" x14ac:dyDescent="0.3">
      <c r="B15" s="4" t="s">
        <v>220</v>
      </c>
      <c r="D15" s="38">
        <f t="shared" ref="D15:I15" si="6">PERCENTILE(J6:J10,0.25)</f>
        <v>10.212519524918216</v>
      </c>
      <c r="E15" s="38">
        <f t="shared" si="6"/>
        <v>1.1817147149395215</v>
      </c>
      <c r="F15" s="38">
        <f t="shared" si="6"/>
        <v>18.822080211546936</v>
      </c>
      <c r="G15" s="38">
        <f t="shared" si="6"/>
        <v>1.6515832379420228</v>
      </c>
      <c r="H15" s="39">
        <f t="shared" si="6"/>
        <v>7.9498980989837167E-2</v>
      </c>
      <c r="I15" s="39">
        <f t="shared" si="6"/>
        <v>8.7747115057389469E-2</v>
      </c>
    </row>
    <row r="16" spans="2:17" ht="14" x14ac:dyDescent="0.3">
      <c r="B16" s="4" t="s">
        <v>221</v>
      </c>
      <c r="D16" s="38">
        <f t="shared" ref="D16:I16" si="7">MEDIAN(J6:J10)</f>
        <v>10.92142078168791</v>
      </c>
      <c r="E16" s="38">
        <f t="shared" si="7"/>
        <v>1.2816373882564993</v>
      </c>
      <c r="F16" s="38">
        <f t="shared" si="7"/>
        <v>26.869285076685873</v>
      </c>
      <c r="G16" s="38">
        <f t="shared" si="7"/>
        <v>1.803079431013892</v>
      </c>
      <c r="H16" s="39">
        <f t="shared" si="7"/>
        <v>8.6167579600741853E-2</v>
      </c>
      <c r="I16" s="39">
        <f t="shared" si="7"/>
        <v>0.10984554057234135</v>
      </c>
    </row>
    <row r="17" spans="2:9" ht="14" x14ac:dyDescent="0.3">
      <c r="B17" s="4" t="s">
        <v>222</v>
      </c>
      <c r="D17" s="38">
        <f t="shared" ref="D17:I17" si="8">PERCENTILE(J6:J10,0.75)</f>
        <v>15.632218608184173</v>
      </c>
      <c r="E17" s="38">
        <f t="shared" si="8"/>
        <v>2.1530865588520518</v>
      </c>
      <c r="F17" s="38">
        <f t="shared" si="8"/>
        <v>34.077517390808531</v>
      </c>
      <c r="G17" s="38">
        <f t="shared" si="8"/>
        <v>2.9514711440409038</v>
      </c>
      <c r="H17" s="39">
        <f t="shared" si="8"/>
        <v>0.1018591918061966</v>
      </c>
      <c r="I17" s="39">
        <f t="shared" si="8"/>
        <v>0.11464105032591526</v>
      </c>
    </row>
    <row r="19" spans="2:9" ht="14" x14ac:dyDescent="0.3">
      <c r="B19" s="22" t="s">
        <v>223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224</v>
      </c>
    </row>
    <row r="21" spans="2:9" ht="14" x14ac:dyDescent="0.3">
      <c r="B21" s="4" t="s">
        <v>225</v>
      </c>
      <c r="C21" s="5">
        <v>348957</v>
      </c>
    </row>
    <row r="22" spans="2:9" ht="14" x14ac:dyDescent="0.3">
      <c r="B22" s="4" t="s">
        <v>226</v>
      </c>
      <c r="C22" s="5">
        <v>121574</v>
      </c>
    </row>
    <row r="23" spans="2:9" ht="14" x14ac:dyDescent="0.3">
      <c r="B23" s="4" t="s">
        <v>227</v>
      </c>
      <c r="C23" s="15">
        <v>1462662258</v>
      </c>
    </row>
    <row r="24" spans="2:9" ht="14" x14ac:dyDescent="0.3">
      <c r="B24" s="4" t="s">
        <v>68</v>
      </c>
      <c r="C24" s="5">
        <v>1487797</v>
      </c>
    </row>
    <row r="26" spans="2:9" ht="14" x14ac:dyDescent="0.3">
      <c r="B26" s="3" t="s">
        <v>228</v>
      </c>
    </row>
    <row r="27" spans="2:9" ht="14" x14ac:dyDescent="0.3">
      <c r="B27" s="4" t="s">
        <v>229</v>
      </c>
      <c r="C27" s="24">
        <f>ROUND((C21*D16-C24)*1000000/C23,0)</f>
        <v>1588</v>
      </c>
    </row>
    <row r="28" spans="2:9" ht="14" x14ac:dyDescent="0.3">
      <c r="B28" s="4" t="s">
        <v>230</v>
      </c>
      <c r="C28" s="24">
        <f>ROUND(C22*F16*1000000/C23,0)</f>
        <v>2233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231</v>
      </c>
    </row>
    <row r="3" spans="2:9" ht="14" x14ac:dyDescent="0.3">
      <c r="B3" s="4" t="s">
        <v>232</v>
      </c>
      <c r="C3" s="16">
        <f>'DCF Model'!C26</f>
        <v>5.5184042947056644E-2</v>
      </c>
      <c r="E3" s="4" t="s">
        <v>233</v>
      </c>
      <c r="F3" s="16">
        <f>'DCF Model'!C13</f>
        <v>0.01</v>
      </c>
      <c r="H3" s="4" t="s">
        <v>234</v>
      </c>
      <c r="I3" s="14">
        <f>'DCF Model'!C14</f>
        <v>10.9</v>
      </c>
    </row>
    <row r="5" spans="2:9" ht="14" x14ac:dyDescent="0.3">
      <c r="B5" s="3" t="s">
        <v>235</v>
      </c>
    </row>
    <row r="6" spans="2:9" ht="14" x14ac:dyDescent="0.3">
      <c r="B6" s="40" t="s">
        <v>236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4.0184042947056645E-2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2813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3048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3318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3633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4005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4451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4995</v>
      </c>
    </row>
    <row r="8" spans="2:9" ht="13.5" x14ac:dyDescent="0.25">
      <c r="B8" s="39">
        <f>$C$3-0.01</f>
        <v>4.5184042947056642E-2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2373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2551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2753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2984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3250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3560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3926</v>
      </c>
    </row>
    <row r="9" spans="2:9" ht="13.5" x14ac:dyDescent="0.25">
      <c r="B9" s="39">
        <f>$C$3-0.005</f>
        <v>5.0184042947056647E-2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2026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2165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2321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2496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2695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2922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3183</v>
      </c>
    </row>
    <row r="10" spans="2:9" ht="13.5" x14ac:dyDescent="0.25">
      <c r="B10" s="39">
        <f>$C$3</f>
        <v>5.5184042947056644E-2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1744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1856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1979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2117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2270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2442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2638</v>
      </c>
    </row>
    <row r="11" spans="2:9" ht="13.5" x14ac:dyDescent="0.25">
      <c r="B11" s="39">
        <f>$C$3+0.005</f>
        <v>6.0184042947056642E-2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1511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1603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1703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1813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1934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2069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2220</v>
      </c>
    </row>
    <row r="12" spans="2:9" ht="13.5" x14ac:dyDescent="0.25">
      <c r="B12" s="39">
        <f>$C$3+0.01</f>
        <v>6.5184042947056639E-2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1316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1391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1474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1564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1662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1770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1890</v>
      </c>
    </row>
    <row r="13" spans="2:9" ht="13.5" x14ac:dyDescent="0.25">
      <c r="B13" s="39">
        <f>$C$3+0.015</f>
        <v>7.0184042947056643E-2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1149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1213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1282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1356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1437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1526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1622</v>
      </c>
    </row>
    <row r="16" spans="2:9" ht="14" x14ac:dyDescent="0.3">
      <c r="B16" s="3" t="s">
        <v>237</v>
      </c>
    </row>
    <row r="17" spans="2:9" ht="14" x14ac:dyDescent="0.3">
      <c r="B17" s="40" t="s">
        <v>238</v>
      </c>
      <c r="C17" s="42">
        <f>$I$3-3</f>
        <v>7.9</v>
      </c>
      <c r="D17" s="42">
        <f>$I$3-2</f>
        <v>8.9</v>
      </c>
      <c r="E17" s="42">
        <f>$I$3-1</f>
        <v>9.9</v>
      </c>
      <c r="F17" s="42">
        <f>$I$3</f>
        <v>10.9</v>
      </c>
      <c r="G17" s="42">
        <f>$I$3+1</f>
        <v>11.9</v>
      </c>
      <c r="H17" s="42">
        <f>$I$3+2</f>
        <v>12.9</v>
      </c>
      <c r="I17" s="42">
        <f>$I$3+3</f>
        <v>13.9</v>
      </c>
    </row>
    <row r="18" spans="2:9" ht="13.5" x14ac:dyDescent="0.25">
      <c r="B18" s="39">
        <f>$C$3-0.015</f>
        <v>4.0184042947056645E-2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1800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2075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2349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2623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2898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3172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3447</v>
      </c>
    </row>
    <row r="19" spans="2:9" ht="13.5" x14ac:dyDescent="0.25">
      <c r="B19" s="39">
        <f>$C$3-0.01</f>
        <v>4.5184042947056642E-2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1747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2015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2284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2552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2821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3089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3358</v>
      </c>
    </row>
    <row r="20" spans="2:9" ht="13.5" x14ac:dyDescent="0.25">
      <c r="B20" s="39">
        <f>$C$3-0.005</f>
        <v>5.0184042947056647E-2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1694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1957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2220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2483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2746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3008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3271</v>
      </c>
    </row>
    <row r="21" spans="2:9" ht="13.5" x14ac:dyDescent="0.25">
      <c r="B21" s="39">
        <f>$C$3</f>
        <v>5.5184042947056644E-2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1643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1901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2158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2415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2673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2930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3187</v>
      </c>
    </row>
    <row r="22" spans="2:9" ht="13.5" x14ac:dyDescent="0.25">
      <c r="B22" s="39">
        <f>$C$3+0.005</f>
        <v>6.0184042947056642E-2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1594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1846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2097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2349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2601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2853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3105</v>
      </c>
    </row>
    <row r="23" spans="2:9" ht="13.5" x14ac:dyDescent="0.25">
      <c r="B23" s="39">
        <f>$C$3+0.01</f>
        <v>6.5184042947056639E-2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1545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1792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2039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2285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2532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2778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3025</v>
      </c>
    </row>
    <row r="24" spans="2:9" ht="13.5" x14ac:dyDescent="0.25">
      <c r="B24" s="39">
        <f>$C$3+0.015</f>
        <v>7.0184042947056643E-2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1498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1740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1981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2222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2464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2705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2947</v>
      </c>
    </row>
    <row r="26" spans="2:9" ht="14" x14ac:dyDescent="0.3">
      <c r="B26" s="45" t="s">
        <v>239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4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240</v>
      </c>
    </row>
    <row r="4" spans="2:7" ht="14" x14ac:dyDescent="0.3">
      <c r="B4" s="10" t="s">
        <v>241</v>
      </c>
      <c r="C4" s="10" t="s">
        <v>242</v>
      </c>
      <c r="D4" s="10" t="s">
        <v>243</v>
      </c>
      <c r="E4" s="10" t="s">
        <v>244</v>
      </c>
      <c r="F4" s="10" t="s">
        <v>245</v>
      </c>
      <c r="G4" s="10" t="s">
        <v>246</v>
      </c>
    </row>
    <row r="5" spans="2:7" x14ac:dyDescent="0.2">
      <c r="B5" t="s">
        <v>247</v>
      </c>
      <c r="C5" t="s">
        <v>248</v>
      </c>
      <c r="D5" t="s">
        <v>249</v>
      </c>
      <c r="E5" t="s">
        <v>250</v>
      </c>
      <c r="F5" t="s">
        <v>248</v>
      </c>
      <c r="G5" t="s">
        <v>251</v>
      </c>
    </row>
    <row r="6" spans="2:7" ht="30" customHeight="1" x14ac:dyDescent="0.3">
      <c r="B6" t="s">
        <v>247</v>
      </c>
      <c r="C6" s="4" t="s">
        <v>252</v>
      </c>
      <c r="D6" t="s">
        <v>253</v>
      </c>
      <c r="E6" t="s">
        <v>254</v>
      </c>
      <c r="F6" t="s">
        <v>255</v>
      </c>
      <c r="G6" t="s">
        <v>256</v>
      </c>
    </row>
    <row r="7" spans="2:7" ht="30" customHeight="1" x14ac:dyDescent="0.3">
      <c r="B7" t="s">
        <v>247</v>
      </c>
      <c r="C7" s="4" t="s">
        <v>257</v>
      </c>
      <c r="D7" t="s">
        <v>258</v>
      </c>
      <c r="E7" t="s">
        <v>259</v>
      </c>
      <c r="F7" t="s">
        <v>260</v>
      </c>
      <c r="G7" t="s">
        <v>261</v>
      </c>
    </row>
    <row r="12" spans="2:7" ht="14" x14ac:dyDescent="0.3">
      <c r="B12" s="8" t="s">
        <v>262</v>
      </c>
    </row>
    <row r="13" spans="2:7" ht="14" x14ac:dyDescent="0.3">
      <c r="B13" s="10" t="s">
        <v>263</v>
      </c>
      <c r="C13" s="10" t="s">
        <v>264</v>
      </c>
    </row>
    <row r="14" spans="2:7" ht="14" x14ac:dyDescent="0.3">
      <c r="B14" s="4" t="s">
        <v>265</v>
      </c>
      <c r="C14" t="s">
        <v>266</v>
      </c>
    </row>
    <row r="15" spans="2:7" ht="14" x14ac:dyDescent="0.3">
      <c r="B15" s="4" t="s">
        <v>267</v>
      </c>
      <c r="C15" t="s">
        <v>268</v>
      </c>
    </row>
    <row r="16" spans="2:7" ht="14" x14ac:dyDescent="0.3">
      <c r="B16" s="4" t="s">
        <v>269</v>
      </c>
      <c r="C16" t="s">
        <v>270</v>
      </c>
    </row>
    <row r="17" spans="2:3" ht="14" x14ac:dyDescent="0.3">
      <c r="B17" s="4" t="s">
        <v>271</v>
      </c>
      <c r="C17" t="s">
        <v>268</v>
      </c>
    </row>
    <row r="18" spans="2:3" ht="14" x14ac:dyDescent="0.3">
      <c r="B18" s="4" t="s">
        <v>272</v>
      </c>
      <c r="C18" t="s">
        <v>273</v>
      </c>
    </row>
    <row r="19" spans="2:3" ht="14" x14ac:dyDescent="0.3">
      <c r="B19" s="4" t="s">
        <v>274</v>
      </c>
      <c r="C19" t="s">
        <v>275</v>
      </c>
    </row>
    <row r="20" spans="2:3" ht="14" x14ac:dyDescent="0.3">
      <c r="B20" s="4" t="s">
        <v>276</v>
      </c>
      <c r="C20" t="s">
        <v>277</v>
      </c>
    </row>
    <row r="21" spans="2:3" ht="14" x14ac:dyDescent="0.3">
      <c r="B21" s="4" t="s">
        <v>278</v>
      </c>
      <c r="C21" t="s">
        <v>279</v>
      </c>
    </row>
    <row r="22" spans="2:3" ht="14" x14ac:dyDescent="0.3">
      <c r="B22" s="4" t="s">
        <v>280</v>
      </c>
      <c r="C22" t="s">
        <v>42</v>
      </c>
    </row>
    <row r="23" spans="2:3" ht="14" x14ac:dyDescent="0.3">
      <c r="B23" s="4" t="s">
        <v>281</v>
      </c>
      <c r="C23" t="s">
        <v>4</v>
      </c>
    </row>
    <row r="24" spans="2:3" ht="14" x14ac:dyDescent="0.3">
      <c r="B24" s="4" t="s">
        <v>282</v>
      </c>
      <c r="C24" t="s">
        <v>247</v>
      </c>
    </row>
    <row r="25" spans="2:3" ht="14" x14ac:dyDescent="0.3">
      <c r="B25" s="4" t="s">
        <v>283</v>
      </c>
      <c r="C25" t="s">
        <v>284</v>
      </c>
    </row>
    <row r="26" spans="2:3" ht="14" x14ac:dyDescent="0.3">
      <c r="B26" s="4" t="s">
        <v>285</v>
      </c>
      <c r="C26" t="s">
        <v>273</v>
      </c>
    </row>
    <row r="27" spans="2:3" ht="14" x14ac:dyDescent="0.3">
      <c r="B27" s="4" t="s">
        <v>286</v>
      </c>
      <c r="C27" t="s">
        <v>273</v>
      </c>
    </row>
    <row r="28" spans="2:3" ht="14" x14ac:dyDescent="0.3">
      <c r="B28" s="4" t="s">
        <v>287</v>
      </c>
      <c r="C28" t="s">
        <v>288</v>
      </c>
    </row>
    <row r="29" spans="2:3" ht="14" x14ac:dyDescent="0.3">
      <c r="B29" s="4" t="s">
        <v>289</v>
      </c>
      <c r="C29" t="s">
        <v>290</v>
      </c>
    </row>
    <row r="30" spans="2:3" ht="14" x14ac:dyDescent="0.3">
      <c r="B30" s="4" t="s">
        <v>291</v>
      </c>
      <c r="C30" t="s">
        <v>292</v>
      </c>
    </row>
    <row r="31" spans="2:3" ht="14" x14ac:dyDescent="0.3">
      <c r="B31" s="4" t="s">
        <v>293</v>
      </c>
      <c r="C31" t="s">
        <v>288</v>
      </c>
    </row>
    <row r="32" spans="2:3" ht="14" x14ac:dyDescent="0.3">
      <c r="B32" s="4" t="s">
        <v>294</v>
      </c>
      <c r="C32" t="s">
        <v>273</v>
      </c>
    </row>
    <row r="33" spans="2:3" ht="14" x14ac:dyDescent="0.3">
      <c r="B33" s="4" t="s">
        <v>295</v>
      </c>
      <c r="C33" t="s">
        <v>284</v>
      </c>
    </row>
    <row r="34" spans="2:3" ht="14" x14ac:dyDescent="0.3">
      <c r="B34" s="4" t="s">
        <v>296</v>
      </c>
      <c r="C34" t="s">
        <v>297</v>
      </c>
    </row>
    <row r="35" spans="2:3" ht="14" x14ac:dyDescent="0.3">
      <c r="B35" s="4" t="s">
        <v>298</v>
      </c>
      <c r="C35" t="s">
        <v>299</v>
      </c>
    </row>
    <row r="36" spans="2:3" ht="14" x14ac:dyDescent="0.3">
      <c r="B36" s="4" t="s">
        <v>300</v>
      </c>
      <c r="C36" t="s">
        <v>301</v>
      </c>
    </row>
    <row r="37" spans="2:3" ht="14" x14ac:dyDescent="0.3">
      <c r="B37" s="4" t="s">
        <v>302</v>
      </c>
      <c r="C37" t="s">
        <v>303</v>
      </c>
    </row>
    <row r="38" spans="2:3" ht="14" x14ac:dyDescent="0.3">
      <c r="B38" s="4" t="s">
        <v>304</v>
      </c>
      <c r="C38" t="s">
        <v>305</v>
      </c>
    </row>
    <row r="39" spans="2:3" ht="14" x14ac:dyDescent="0.3">
      <c r="B39" s="4" t="s">
        <v>306</v>
      </c>
      <c r="C39" t="s">
        <v>307</v>
      </c>
    </row>
    <row r="40" spans="2:3" ht="14" x14ac:dyDescent="0.3">
      <c r="B40" s="4" t="s">
        <v>308</v>
      </c>
      <c r="C40" t="s">
        <v>309</v>
      </c>
    </row>
    <row r="41" spans="2:3" ht="14" x14ac:dyDescent="0.3">
      <c r="B41" s="4" t="s">
        <v>310</v>
      </c>
      <c r="C41" t="s">
        <v>311</v>
      </c>
    </row>
    <row r="42" spans="2:3" ht="14" x14ac:dyDescent="0.3">
      <c r="B42" s="4" t="s">
        <v>312</v>
      </c>
      <c r="C42" t="s">
        <v>313</v>
      </c>
    </row>
    <row r="43" spans="2:3" ht="14" x14ac:dyDescent="0.3">
      <c r="B43" s="4" t="s">
        <v>314</v>
      </c>
      <c r="C43" t="s">
        <v>315</v>
      </c>
    </row>
    <row r="44" spans="2:3" ht="14" x14ac:dyDescent="0.3">
      <c r="B44" s="4" t="s">
        <v>316</v>
      </c>
      <c r="C44" t="s">
        <v>277</v>
      </c>
    </row>
    <row r="45" spans="2:3" ht="14" x14ac:dyDescent="0.3">
      <c r="B45" s="4" t="s">
        <v>317</v>
      </c>
      <c r="C45" t="s">
        <v>318</v>
      </c>
    </row>
    <row r="46" spans="2:3" ht="14" x14ac:dyDescent="0.3">
      <c r="B46" s="4" t="s">
        <v>319</v>
      </c>
      <c r="C46" t="s">
        <v>320</v>
      </c>
    </row>
    <row r="47" spans="2:3" ht="14" x14ac:dyDescent="0.3">
      <c r="B47" s="4" t="s">
        <v>321</v>
      </c>
      <c r="C47" t="s">
        <v>322</v>
      </c>
    </row>
    <row r="48" spans="2:3" ht="14" x14ac:dyDescent="0.3">
      <c r="B48" s="4" t="s">
        <v>323</v>
      </c>
      <c r="C48" t="s">
        <v>324</v>
      </c>
    </row>
    <row r="49" spans="2:3" ht="14" x14ac:dyDescent="0.3">
      <c r="B49" s="4" t="s">
        <v>325</v>
      </c>
      <c r="C49" t="s">
        <v>326</v>
      </c>
    </row>
    <row r="50" spans="2:3" ht="14" x14ac:dyDescent="0.3">
      <c r="B50" s="4" t="s">
        <v>327</v>
      </c>
      <c r="C50" t="s">
        <v>328</v>
      </c>
    </row>
    <row r="51" spans="2:3" ht="14" x14ac:dyDescent="0.3">
      <c r="B51" s="4" t="s">
        <v>329</v>
      </c>
      <c r="C51" t="s">
        <v>330</v>
      </c>
    </row>
    <row r="52" spans="2:3" ht="14" x14ac:dyDescent="0.3">
      <c r="B52" s="4" t="s">
        <v>331</v>
      </c>
      <c r="C52" t="s">
        <v>332</v>
      </c>
    </row>
    <row r="53" spans="2:3" ht="14" x14ac:dyDescent="0.3">
      <c r="B53" s="4" t="s">
        <v>333</v>
      </c>
      <c r="C53" t="s">
        <v>334</v>
      </c>
    </row>
    <row r="54" spans="2:3" ht="14" x14ac:dyDescent="0.3">
      <c r="B54" s="4" t="s">
        <v>335</v>
      </c>
      <c r="C54" t="s">
        <v>336</v>
      </c>
    </row>
    <row r="55" spans="2:3" ht="14" x14ac:dyDescent="0.3">
      <c r="B55" s="4" t="s">
        <v>337</v>
      </c>
      <c r="C55" t="s">
        <v>338</v>
      </c>
    </row>
    <row r="56" spans="2:3" ht="14" x14ac:dyDescent="0.3">
      <c r="B56" s="4" t="s">
        <v>339</v>
      </c>
      <c r="C56" t="s">
        <v>340</v>
      </c>
    </row>
    <row r="57" spans="2:3" ht="14" x14ac:dyDescent="0.3">
      <c r="B57" s="4" t="s">
        <v>341</v>
      </c>
      <c r="C57" t="s">
        <v>342</v>
      </c>
    </row>
    <row r="58" spans="2:3" ht="14" x14ac:dyDescent="0.3">
      <c r="B58" s="4" t="s">
        <v>343</v>
      </c>
      <c r="C58" t="s">
        <v>344</v>
      </c>
    </row>
    <row r="59" spans="2:3" ht="14" x14ac:dyDescent="0.3">
      <c r="B59" s="4" t="s">
        <v>345</v>
      </c>
      <c r="C59" t="s">
        <v>346</v>
      </c>
    </row>
    <row r="60" spans="2:3" ht="14" x14ac:dyDescent="0.3">
      <c r="B60" s="4" t="s">
        <v>347</v>
      </c>
      <c r="C60" t="s">
        <v>348</v>
      </c>
    </row>
    <row r="61" spans="2:3" ht="14" x14ac:dyDescent="0.3">
      <c r="B61" s="4" t="s">
        <v>349</v>
      </c>
      <c r="C61" t="s">
        <v>350</v>
      </c>
    </row>
    <row r="62" spans="2:3" ht="14" x14ac:dyDescent="0.3">
      <c r="B62" s="4" t="s">
        <v>351</v>
      </c>
      <c r="C62" t="s">
        <v>352</v>
      </c>
    </row>
    <row r="63" spans="2:3" ht="14" x14ac:dyDescent="0.3">
      <c r="B63" s="4" t="s">
        <v>353</v>
      </c>
      <c r="C63" t="s">
        <v>354</v>
      </c>
    </row>
    <row r="64" spans="2:3" ht="14" x14ac:dyDescent="0.3">
      <c r="B64" s="4" t="s">
        <v>355</v>
      </c>
      <c r="C64" t="s">
        <v>208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2026-09-06T09:39:33Z</dcterms:created>
  <dcterms:modified xsi:type="dcterms:W3CDTF">2026-09-06T09:39:36Z</dcterms:modified>
</cp:coreProperties>
</file>