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2D89AFD6-E69A-42FB-9DA6-77A8FD0E4E17}" xr6:coauthVersionLast="47" xr6:coauthVersionMax="47" xr10:uidLastSave="{00000000-0000-0000-0000-000000000000}"/>
  <bookViews>
    <workbookView xWindow="-110" yWindow="-110" windowWidth="19420" windowHeight="103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 name="Segment Bridge" sheetId="9" r:id="rId9"/>
  </sheets>
  <calcPr calcId="181029"/>
</workbook>
</file>

<file path=xl/calcChain.xml><?xml version="1.0" encoding="utf-8"?>
<calcChain xmlns="http://schemas.openxmlformats.org/spreadsheetml/2006/main">
  <c r="E80" i="9" l="1"/>
  <c r="C76" i="9"/>
  <c r="C73" i="9"/>
  <c r="D41" i="9"/>
  <c r="D36" i="9"/>
  <c r="D38" i="9" s="1"/>
  <c r="D40" i="9" s="1"/>
  <c r="D30" i="9"/>
  <c r="C30" i="9"/>
  <c r="D29" i="9"/>
  <c r="C29" i="9"/>
  <c r="D28" i="9"/>
  <c r="C28" i="9"/>
  <c r="D20" i="9"/>
  <c r="D22" i="9" s="1"/>
  <c r="D24" i="9" s="1"/>
  <c r="C20" i="9"/>
  <c r="C22" i="9" s="1"/>
  <c r="C24" i="9" s="1"/>
  <c r="D12" i="9"/>
  <c r="D13" i="9" s="1"/>
  <c r="C12" i="9"/>
  <c r="C13" i="9" s="1"/>
  <c r="F17" i="7"/>
  <c r="I6" i="7"/>
  <c r="F6" i="7"/>
  <c r="E6" i="7"/>
  <c r="I3" i="7"/>
  <c r="G17" i="7" s="1"/>
  <c r="F3" i="7"/>
  <c r="O10" i="6"/>
  <c r="N10" i="6"/>
  <c r="M10" i="6"/>
  <c r="K10" i="6"/>
  <c r="O9" i="6"/>
  <c r="N9" i="6"/>
  <c r="M9" i="6"/>
  <c r="K9" i="6"/>
  <c r="O8" i="6"/>
  <c r="N8" i="6"/>
  <c r="M8" i="6"/>
  <c r="L8" i="6"/>
  <c r="K8" i="6"/>
  <c r="J8" i="6"/>
  <c r="O7" i="6"/>
  <c r="N7" i="6"/>
  <c r="H16" i="6" s="1"/>
  <c r="M7" i="6"/>
  <c r="K7" i="6"/>
  <c r="J7" i="6"/>
  <c r="O6" i="6"/>
  <c r="N6" i="6"/>
  <c r="M6" i="6"/>
  <c r="K6" i="6"/>
  <c r="O5" i="6"/>
  <c r="N5" i="6"/>
  <c r="D5" i="6"/>
  <c r="M5" i="6" s="1"/>
  <c r="C16" i="5"/>
  <c r="C14" i="5"/>
  <c r="C18" i="5" s="1"/>
  <c r="C7" i="5"/>
  <c r="C6" i="5"/>
  <c r="C5" i="5"/>
  <c r="C13" i="4"/>
  <c r="C12" i="4"/>
  <c r="C9" i="4"/>
  <c r="C7" i="4"/>
  <c r="C6" i="4"/>
  <c r="D27" i="3"/>
  <c r="G7" i="5" s="1"/>
  <c r="C25" i="3"/>
  <c r="C24" i="3"/>
  <c r="C23" i="3"/>
  <c r="C26" i="3" s="1"/>
  <c r="E28" i="2"/>
  <c r="D28" i="2"/>
  <c r="C28" i="2"/>
  <c r="E23" i="2"/>
  <c r="D23" i="2"/>
  <c r="C23" i="2"/>
  <c r="C22" i="2"/>
  <c r="E21" i="2"/>
  <c r="E22" i="2" s="1"/>
  <c r="D21" i="2"/>
  <c r="D22" i="2" s="1"/>
  <c r="C21" i="2"/>
  <c r="E16" i="2"/>
  <c r="D16" i="2"/>
  <c r="E15" i="2"/>
  <c r="D15" i="2"/>
  <c r="E14" i="2"/>
  <c r="D14" i="2"/>
  <c r="C14" i="2"/>
  <c r="E13" i="2"/>
  <c r="D13" i="2"/>
  <c r="C13" i="2"/>
  <c r="E8" i="2"/>
  <c r="E9" i="2" s="1"/>
  <c r="D8" i="2"/>
  <c r="D9" i="2" s="1"/>
  <c r="C8" i="2"/>
  <c r="C9" i="2" s="1"/>
  <c r="B25" i="1"/>
  <c r="B24" i="1"/>
  <c r="C19" i="1"/>
  <c r="D19" i="1" s="1"/>
  <c r="E32" i="3" l="1"/>
  <c r="I30" i="3"/>
  <c r="F32" i="3"/>
  <c r="I6" i="5"/>
  <c r="D31" i="3"/>
  <c r="H32" i="3"/>
  <c r="J6" i="5"/>
  <c r="D16" i="6"/>
  <c r="C74" i="4" s="1"/>
  <c r="G16" i="6"/>
  <c r="E31" i="3"/>
  <c r="I32" i="3"/>
  <c r="G5" i="5"/>
  <c r="E5" i="6"/>
  <c r="K5" i="6" s="1"/>
  <c r="J5" i="5"/>
  <c r="F31" i="3"/>
  <c r="H31" i="3"/>
  <c r="E7" i="5"/>
  <c r="E30" i="3"/>
  <c r="I31" i="3"/>
  <c r="H7" i="5"/>
  <c r="E16" i="6"/>
  <c r="C27" i="6" s="1"/>
  <c r="F30" i="3"/>
  <c r="D32" i="3"/>
  <c r="E6" i="5"/>
  <c r="I7" i="5"/>
  <c r="D7" i="5"/>
  <c r="K5" i="5"/>
  <c r="H30" i="3"/>
  <c r="F6" i="5"/>
  <c r="D30" i="3"/>
  <c r="I15" i="6"/>
  <c r="F5" i="5"/>
  <c r="C3" i="7"/>
  <c r="G46" i="3"/>
  <c r="E36" i="4"/>
  <c r="C46" i="3"/>
  <c r="D36" i="4"/>
  <c r="J46" i="3"/>
  <c r="G36" i="4"/>
  <c r="E46" i="3"/>
  <c r="D46" i="3"/>
  <c r="C11" i="4"/>
  <c r="I46" i="3"/>
  <c r="H46" i="3"/>
  <c r="H36" i="4"/>
  <c r="F46" i="3"/>
  <c r="F36" i="4"/>
  <c r="C8" i="4"/>
  <c r="C10" i="4" s="1"/>
  <c r="I17" i="7"/>
  <c r="H17" i="7"/>
  <c r="E17" i="7"/>
  <c r="C17" i="7"/>
  <c r="D17" i="7"/>
  <c r="I16" i="6"/>
  <c r="F15" i="6"/>
  <c r="F17" i="6"/>
  <c r="F16" i="6"/>
  <c r="D17" i="6"/>
  <c r="E17" i="6"/>
  <c r="D15" i="6"/>
  <c r="H17" i="6"/>
  <c r="C18" i="1"/>
  <c r="D18" i="1" s="1"/>
  <c r="C77" i="9"/>
  <c r="I17" i="6"/>
  <c r="E15" i="6"/>
  <c r="G15" i="6"/>
  <c r="H15" i="6"/>
  <c r="H6" i="7"/>
  <c r="G6" i="7"/>
  <c r="D6" i="7"/>
  <c r="C6" i="7"/>
  <c r="J30" i="3"/>
  <c r="J31" i="3"/>
  <c r="J32" i="3"/>
  <c r="D5" i="5"/>
  <c r="K6" i="5"/>
  <c r="J7" i="5"/>
  <c r="C30" i="3"/>
  <c r="C33" i="3" s="1"/>
  <c r="C31" i="3"/>
  <c r="C32" i="3"/>
  <c r="E5" i="5"/>
  <c r="D6" i="5"/>
  <c r="K7" i="5"/>
  <c r="G17" i="6"/>
  <c r="H5" i="5"/>
  <c r="G6" i="5"/>
  <c r="F7" i="5"/>
  <c r="G30" i="3"/>
  <c r="G31" i="3"/>
  <c r="G32" i="3"/>
  <c r="I5" i="5"/>
  <c r="H6" i="5"/>
  <c r="H43" i="4" l="1"/>
  <c r="H46" i="4"/>
  <c r="H38" i="4"/>
  <c r="H41" i="4"/>
  <c r="H39" i="4"/>
  <c r="H49" i="4" s="1"/>
  <c r="H54" i="4" s="1"/>
  <c r="H45" i="4"/>
  <c r="H50" i="4" s="1"/>
  <c r="H55" i="4" s="1"/>
  <c r="H44" i="4"/>
  <c r="H40" i="4"/>
  <c r="B13" i="7"/>
  <c r="B12" i="7"/>
  <c r="B11" i="7"/>
  <c r="B10" i="7"/>
  <c r="B9" i="7"/>
  <c r="B8" i="7"/>
  <c r="B7" i="7"/>
  <c r="B22" i="7"/>
  <c r="B19" i="7"/>
  <c r="B24" i="7"/>
  <c r="B21" i="7"/>
  <c r="B18" i="7"/>
  <c r="B23" i="7"/>
  <c r="B20" i="7"/>
  <c r="D38" i="4"/>
  <c r="D43" i="4"/>
  <c r="D46" i="4"/>
  <c r="D44" i="4"/>
  <c r="D40" i="4"/>
  <c r="D41" i="4"/>
  <c r="D51" i="4" s="1"/>
  <c r="D56" i="4" s="1"/>
  <c r="D39" i="4"/>
  <c r="D45" i="4"/>
  <c r="E41" i="4"/>
  <c r="E45" i="4"/>
  <c r="E46" i="4"/>
  <c r="E40" i="4"/>
  <c r="E50" i="4" s="1"/>
  <c r="E55" i="4" s="1"/>
  <c r="E39" i="4"/>
  <c r="E49" i="4" s="1"/>
  <c r="E54" i="4" s="1"/>
  <c r="E38" i="4"/>
  <c r="E48" i="4" s="1"/>
  <c r="E53" i="4" s="1"/>
  <c r="E44" i="4"/>
  <c r="E43" i="4"/>
  <c r="D48" i="4"/>
  <c r="D53" i="4" s="1"/>
  <c r="C71" i="4"/>
  <c r="C70" i="4"/>
  <c r="D50" i="4"/>
  <c r="D55" i="4" s="1"/>
  <c r="C24" i="4"/>
  <c r="C25" i="4" s="1"/>
  <c r="C43" i="3"/>
  <c r="C42" i="3"/>
  <c r="C37" i="3"/>
  <c r="C34" i="3"/>
  <c r="D10" i="5" s="1"/>
  <c r="D9" i="5"/>
  <c r="D12" i="5" s="1"/>
  <c r="D33" i="3"/>
  <c r="F45" i="4"/>
  <c r="F40" i="4"/>
  <c r="F50" i="4" s="1"/>
  <c r="F55" i="4" s="1"/>
  <c r="F44" i="4"/>
  <c r="F43" i="4"/>
  <c r="F48" i="4" s="1"/>
  <c r="F53" i="4" s="1"/>
  <c r="F46" i="4"/>
  <c r="F39" i="4"/>
  <c r="F49" i="4" s="1"/>
  <c r="F38" i="4"/>
  <c r="F41" i="4"/>
  <c r="G39" i="4"/>
  <c r="G43" i="4"/>
  <c r="G44" i="4"/>
  <c r="G38" i="4"/>
  <c r="G48" i="4" s="1"/>
  <c r="G53" i="4" s="1"/>
  <c r="G41" i="4"/>
  <c r="G45" i="4"/>
  <c r="G40" i="4"/>
  <c r="G46" i="4"/>
  <c r="H51" i="4" l="1"/>
  <c r="H56" i="4" s="1"/>
  <c r="G51" i="4"/>
  <c r="G56" i="4" s="1"/>
  <c r="F51" i="4"/>
  <c r="F56" i="4" s="1"/>
  <c r="G49" i="4"/>
  <c r="G54" i="4" s="1"/>
  <c r="G50" i="4"/>
  <c r="G55" i="4" s="1"/>
  <c r="E51" i="4"/>
  <c r="E56" i="4" s="1"/>
  <c r="D49" i="4"/>
  <c r="D54" i="4" s="1"/>
  <c r="H48" i="4"/>
  <c r="H53" i="4" s="1"/>
  <c r="C60" i="4"/>
  <c r="F54" i="4"/>
  <c r="B78" i="4" s="1"/>
  <c r="D14" i="5"/>
  <c r="D43" i="3"/>
  <c r="E9" i="5"/>
  <c r="E12" i="5" s="1"/>
  <c r="D34" i="3"/>
  <c r="E10" i="5" s="1"/>
  <c r="D42" i="3"/>
  <c r="D37" i="3"/>
  <c r="E33" i="3"/>
  <c r="C27" i="4"/>
  <c r="C26" i="4"/>
  <c r="C29" i="4"/>
  <c r="C35" i="3"/>
  <c r="D13" i="5"/>
  <c r="D15" i="5"/>
  <c r="D16" i="5" s="1"/>
  <c r="D35" i="3" l="1"/>
  <c r="F9" i="5"/>
  <c r="F12" i="5" s="1"/>
  <c r="F33" i="3"/>
  <c r="E37" i="3"/>
  <c r="E42" i="3"/>
  <c r="E34" i="3"/>
  <c r="F10" i="5" s="1"/>
  <c r="E43" i="3"/>
  <c r="E35" i="3"/>
  <c r="E15" i="5"/>
  <c r="E16" i="5" s="1"/>
  <c r="E13" i="5"/>
  <c r="E14" i="5" s="1"/>
  <c r="E18" i="5" s="1"/>
  <c r="D18" i="5"/>
  <c r="D19" i="5" s="1"/>
  <c r="C44" i="3" s="1"/>
  <c r="C39" i="3"/>
  <c r="C38" i="3"/>
  <c r="C36" i="3"/>
  <c r="C66" i="4"/>
  <c r="D66" i="4" s="1"/>
  <c r="C64" i="4"/>
  <c r="D64" i="4" s="1"/>
  <c r="C67" i="4"/>
  <c r="D67" i="4" s="1"/>
  <c r="C63" i="4"/>
  <c r="D63" i="4" s="1"/>
  <c r="C65" i="4"/>
  <c r="D65" i="4" s="1"/>
  <c r="E19" i="5" l="1"/>
  <c r="D44" i="3" s="1"/>
  <c r="G9" i="5"/>
  <c r="G12" i="5" s="1"/>
  <c r="G33" i="3"/>
  <c r="F42" i="3"/>
  <c r="F34" i="3"/>
  <c r="G10" i="5" s="1"/>
  <c r="F35" i="3"/>
  <c r="F37" i="3"/>
  <c r="F43" i="3"/>
  <c r="F15" i="5"/>
  <c r="F16" i="5" s="1"/>
  <c r="F13" i="5"/>
  <c r="F14" i="5" s="1"/>
  <c r="F18" i="5" s="1"/>
  <c r="F19" i="5" s="1"/>
  <c r="E44" i="3" s="1"/>
  <c r="E38" i="3"/>
  <c r="E39" i="3"/>
  <c r="E36" i="3"/>
  <c r="C40" i="3"/>
  <c r="C41" i="3" s="1"/>
  <c r="C45" i="3" s="1"/>
  <c r="D38" i="3"/>
  <c r="D36" i="3"/>
  <c r="D39" i="3"/>
  <c r="C47" i="3" l="1"/>
  <c r="E40" i="3"/>
  <c r="E41" i="3" s="1"/>
  <c r="E45" i="3" s="1"/>
  <c r="F38" i="3"/>
  <c r="F36" i="3"/>
  <c r="F39" i="3"/>
  <c r="G13" i="5"/>
  <c r="G15" i="5"/>
  <c r="G16" i="5" s="1"/>
  <c r="D40" i="3"/>
  <c r="D41" i="3"/>
  <c r="D45" i="3" s="1"/>
  <c r="D47" i="3" s="1"/>
  <c r="G43" i="3"/>
  <c r="G42" i="3"/>
  <c r="G37" i="3"/>
  <c r="G34" i="3"/>
  <c r="H10" i="5" s="1"/>
  <c r="H9" i="5"/>
  <c r="H12" i="5" s="1"/>
  <c r="H33" i="3"/>
  <c r="G14" i="5"/>
  <c r="G18" i="5" s="1"/>
  <c r="G19" i="5" s="1"/>
  <c r="F44" i="3" s="1"/>
  <c r="E47" i="3" l="1"/>
  <c r="I9" i="5"/>
  <c r="I12" i="5" s="1"/>
  <c r="H37" i="3"/>
  <c r="H43" i="3"/>
  <c r="I33" i="3"/>
  <c r="H34" i="3"/>
  <c r="I10" i="5" s="1"/>
  <c r="H42" i="3"/>
  <c r="H15" i="5"/>
  <c r="H16" i="5" s="1"/>
  <c r="H13" i="5"/>
  <c r="H14" i="5" s="1"/>
  <c r="G35" i="3"/>
  <c r="F40" i="3"/>
  <c r="F41" i="3" s="1"/>
  <c r="F45" i="3" s="1"/>
  <c r="F47" i="3" s="1"/>
  <c r="H18" i="5" l="1"/>
  <c r="H19" i="5" s="1"/>
  <c r="G44" i="3" s="1"/>
  <c r="I15" i="5"/>
  <c r="I16" i="5" s="1"/>
  <c r="I13" i="5"/>
  <c r="I14" i="5" s="1"/>
  <c r="I18" i="5" s="1"/>
  <c r="I19" i="5" s="1"/>
  <c r="H44" i="3" s="1"/>
  <c r="J9" i="5"/>
  <c r="J12" i="5" s="1"/>
  <c r="J33" i="3"/>
  <c r="I34" i="3"/>
  <c r="J10" i="5" s="1"/>
  <c r="I37" i="3"/>
  <c r="I43" i="3"/>
  <c r="I42" i="3"/>
  <c r="H35" i="3"/>
  <c r="G39" i="3"/>
  <c r="G38" i="3"/>
  <c r="G36" i="3"/>
  <c r="K9" i="5" l="1"/>
  <c r="K12" i="5" s="1"/>
  <c r="C59" i="3"/>
  <c r="C60" i="3" s="1"/>
  <c r="C61" i="3" s="1"/>
  <c r="J43" i="3"/>
  <c r="J42" i="3"/>
  <c r="J37" i="3"/>
  <c r="J34" i="3"/>
  <c r="K10" i="5" s="1"/>
  <c r="C16" i="4"/>
  <c r="C28" i="4" s="1"/>
  <c r="J15" i="5"/>
  <c r="J16" i="5" s="1"/>
  <c r="J13" i="5"/>
  <c r="H36" i="3"/>
  <c r="H38" i="3"/>
  <c r="H39" i="3"/>
  <c r="I35" i="3"/>
  <c r="J14" i="5"/>
  <c r="G40" i="3"/>
  <c r="G41" i="3" s="1"/>
  <c r="G45" i="3" s="1"/>
  <c r="J18" i="5" l="1"/>
  <c r="J19" i="5" s="1"/>
  <c r="I44" i="3" s="1"/>
  <c r="G47" i="3"/>
  <c r="J35" i="3"/>
  <c r="H40" i="3"/>
  <c r="H41" i="3" s="1"/>
  <c r="H45" i="3" s="1"/>
  <c r="K13" i="5"/>
  <c r="K15" i="5"/>
  <c r="K16" i="5" s="1"/>
  <c r="I39" i="3"/>
  <c r="I38" i="3"/>
  <c r="I36" i="3"/>
  <c r="C72" i="4"/>
  <c r="C73" i="4"/>
  <c r="K14" i="5"/>
  <c r="K18" i="5" s="1"/>
  <c r="K19" i="5" s="1"/>
  <c r="J44" i="3" s="1"/>
  <c r="H47" i="3" l="1"/>
  <c r="J39" i="3"/>
  <c r="J38" i="3"/>
  <c r="J36" i="3"/>
  <c r="I40" i="3"/>
  <c r="I41" i="3" s="1"/>
  <c r="I45" i="3" s="1"/>
  <c r="I47" i="3" l="1"/>
  <c r="J40" i="3"/>
  <c r="J41" i="3" s="1"/>
  <c r="J45" i="3" s="1"/>
  <c r="J47" i="3" l="1"/>
  <c r="C50" i="3" s="1"/>
  <c r="C51" i="3"/>
  <c r="C52" i="3" s="1"/>
  <c r="G19" i="7"/>
  <c r="G12" i="7"/>
  <c r="G18" i="7"/>
  <c r="C19" i="7"/>
  <c r="C9" i="7"/>
  <c r="D12" i="7"/>
  <c r="C11" i="7"/>
  <c r="E23" i="7"/>
  <c r="E24" i="7"/>
  <c r="D23" i="7"/>
  <c r="I10" i="7"/>
  <c r="D7" i="7"/>
  <c r="F24" i="7"/>
  <c r="H7" i="7"/>
  <c r="F21" i="7"/>
  <c r="F9" i="7"/>
  <c r="G7" i="7"/>
  <c r="H9" i="7"/>
  <c r="D22" i="7"/>
  <c r="D20" i="7"/>
  <c r="E7" i="7"/>
  <c r="C7" i="7"/>
  <c r="I19" i="7"/>
  <c r="F13" i="7"/>
  <c r="I23" i="7"/>
  <c r="C24" i="7"/>
  <c r="F18" i="7"/>
  <c r="D19" i="7"/>
  <c r="H10" i="7"/>
  <c r="C8" i="7"/>
  <c r="C21" i="7"/>
  <c r="F20" i="7"/>
  <c r="F22" i="7"/>
  <c r="I9" i="7"/>
  <c r="E8" i="7"/>
  <c r="G22" i="7"/>
  <c r="C22" i="7"/>
  <c r="F7" i="7"/>
  <c r="G11" i="7"/>
  <c r="I18" i="7"/>
  <c r="G10" i="7"/>
  <c r="C72" i="9"/>
  <c r="C75" i="9" s="1"/>
  <c r="C10" i="7"/>
  <c r="G23" i="7"/>
  <c r="G8" i="7"/>
  <c r="H19" i="7"/>
  <c r="E18" i="7"/>
  <c r="I11" i="7"/>
  <c r="I20" i="7"/>
  <c r="H21" i="7"/>
  <c r="H12" i="7"/>
  <c r="D18" i="7"/>
  <c r="G20" i="7"/>
  <c r="E20" i="7"/>
  <c r="H8" i="7"/>
  <c r="C12" i="7"/>
  <c r="F23" i="7"/>
  <c r="I22" i="7"/>
  <c r="G21" i="7"/>
  <c r="I13" i="7"/>
  <c r="H11" i="7"/>
  <c r="G9" i="7"/>
  <c r="I12" i="7"/>
  <c r="H23" i="7"/>
  <c r="I24" i="7"/>
  <c r="E10" i="7"/>
  <c r="E11" i="7"/>
  <c r="F10" i="7"/>
  <c r="G24" i="7"/>
  <c r="H22" i="7"/>
  <c r="E13" i="7"/>
  <c r="E12" i="7"/>
  <c r="G13" i="7"/>
  <c r="C20" i="7"/>
  <c r="E19" i="7"/>
  <c r="C18" i="7"/>
  <c r="I7" i="7"/>
  <c r="E22" i="7"/>
  <c r="F19" i="7"/>
  <c r="H13" i="7"/>
  <c r="H24" i="7"/>
  <c r="C13" i="7"/>
  <c r="I8" i="7"/>
  <c r="E9" i="7"/>
  <c r="D13" i="7"/>
  <c r="D9" i="7"/>
  <c r="F12" i="7"/>
  <c r="D24" i="7"/>
  <c r="H20" i="7"/>
  <c r="D10" i="7"/>
  <c r="C23" i="7"/>
  <c r="F8" i="7"/>
  <c r="H18" i="7"/>
  <c r="D11" i="7"/>
  <c r="D8" i="7"/>
  <c r="I21" i="7"/>
  <c r="D21" i="7"/>
  <c r="E21" i="7"/>
  <c r="F11" i="7"/>
  <c r="D76" i="9" l="1"/>
  <c r="D77" i="9"/>
  <c r="E77" i="9" s="1"/>
  <c r="C58" i="3"/>
  <c r="C62" i="3" s="1"/>
  <c r="C53" i="3"/>
  <c r="C54" i="3" l="1"/>
  <c r="C17" i="4"/>
  <c r="C63" i="3"/>
  <c r="E76" i="9"/>
  <c r="D81" i="9"/>
  <c r="E81" i="9" s="1"/>
  <c r="C19" i="4" l="1"/>
  <c r="C20" i="4" s="1"/>
  <c r="B79" i="4" s="1"/>
  <c r="C64" i="3"/>
  <c r="C79" i="9"/>
  <c r="C55" i="3"/>
  <c r="C83" i="9" l="1"/>
  <c r="C16" i="1"/>
  <c r="C85" i="9"/>
  <c r="C78" i="9"/>
  <c r="D78" i="9" s="1"/>
  <c r="C17" i="1"/>
  <c r="D17" i="1" s="1"/>
  <c r="C10" i="1" l="1"/>
  <c r="D16" i="1"/>
  <c r="C21" i="1"/>
  <c r="E78" i="9"/>
  <c r="D82" i="9"/>
  <c r="C12" i="1" l="1"/>
  <c r="C11" i="1" s="1"/>
  <c r="E82" i="9"/>
  <c r="C86" i="9"/>
  <c r="C84" i="9"/>
  <c r="B26" i="1" l="1"/>
</calcChain>
</file>

<file path=xl/sharedStrings.xml><?xml version="1.0" encoding="utf-8"?>
<sst xmlns="http://schemas.openxmlformats.org/spreadsheetml/2006/main" count="799" uniqueCount="567">
  <si>
    <t>DISCLAIMER: This is a sample analysis for demonstration purposes only. It does not constitute investment advice.</t>
  </si>
  <si>
    <t>Terra Drone (278A)</t>
  </si>
  <si>
    <t>Equity Research Report</t>
  </si>
  <si>
    <t>Company</t>
  </si>
  <si>
    <t>Terra Drone</t>
  </si>
  <si>
    <t>Ticker</t>
  </si>
  <si>
    <t>278A (TSE Growth)</t>
  </si>
  <si>
    <t>Sector</t>
  </si>
  <si>
    <t>Industrial Drone Services / UTM</t>
  </si>
  <si>
    <t>Current Price</t>
  </si>
  <si>
    <t>Target Price (DCF Mid)</t>
  </si>
  <si>
    <t>Recommendation</t>
  </si>
  <si>
    <t>Upside / Downside</t>
  </si>
  <si>
    <t>Valuation Summary</t>
  </si>
  <si>
    <t>Methodology</t>
  </si>
  <si>
    <t>Implied Value (JPY)</t>
  </si>
  <si>
    <t>vs Current Price</t>
  </si>
  <si>
    <t>DCF - Perpetuity Growth</t>
  </si>
  <si>
    <t>DCF - Exit Multiple</t>
  </si>
  <si>
    <t>Comps - EV/Sales Median [参考・Target不算入]</t>
  </si>
  <si>
    <t>Comps - PER Median [参考・Target不算入]</t>
  </si>
  <si>
    <t>Note: Target Mid は DCF 2法（PGM / Exit）の平均のみ。Comps 2法は [参考] で Target 不算入；PER法は赤字（純利益≦0）のため除外（EV&lt;ネットデットで株式価値が負になる手法は INVALID として平均から除外）</t>
  </si>
  <si>
    <t>DCF Valuation Range (PGM - Exit)</t>
  </si>
  <si>
    <t>Key Investment Thesis</t>
  </si>
  <si>
    <t>Key Risks</t>
  </si>
  <si>
    <t>Runway and dilution: FY1/26 burned JPY716mn of operating cash and JPY1,718mn of investing cash, and cash was JPY2,258mn at the end of April 2026 - roughly one year without external funding. Every prior year was funded by equity (JPY2,497mn at IPO, JPY617mn in FY1/26), so continued issuance is the base case and every per-share number in this workbook is pre-dilution and therefore flattering.</t>
  </si>
  <si>
    <t>The defence contract has no disclosed value, volume or schedule. Every defence assumption in this model is an estimate at JPY5.0mn per unit, and the whole re-rating rests on a programme whose economics are unknown; the second-quarter results due in mid-September 2026 and any follow-on disclosure are the near-term catalysts in both directions.</t>
  </si>
  <si>
    <t>Both segments were loss-making and getting worse before the contract: Drone Solutions swung from a JPY194mn to a JPY435mn segment loss and UTM from JPY433mn to JPY709mn, with a further JPY439mn of equity-method losses below the line, and the whole business carries theme-stock volatility of about 115% annualised.</t>
  </si>
  <si>
    <t>Terra Drone - Historical Financials (JPY mn)</t>
  </si>
  <si>
    <t>FY2024/1</t>
  </si>
  <si>
    <t>FY2025/1</t>
  </si>
  <si>
    <t>FY2026/1</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</si>
  <si>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</si>
  <si>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</si>
  <si>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</si>
  <si>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</si>
  <si>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</si>
  <si>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</si>
  <si>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</si>
  <si>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</si>
  <si>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</si>
  <si>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</si>
  <si>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</si>
  <si>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</si>
  <si>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</si>
  <si>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</si>
  <si>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</si>
  <si>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</si>
  <si>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</si>
  <si>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</si>
  <si>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</si>
  <si>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</si>
  <si>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</si>
  <si>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</si>
  <si>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</si>
  <si>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3/3, Cash 3/3, Debt 3/3 — blank cells are years with no year-key match in the source data (verify against 決算短信 or set hist_ocf / hist_cash / hist_debt in overrides).</t>
  </si>
  <si>
    <t>DCF Valuation Model - Terra Drone</t>
  </si>
  <si>
    <t>Assumptions</t>
  </si>
  <si>
    <t>Effective Tax Rate</t>
  </si>
  <si>
    <t>Risk-Free Rate</t>
  </si>
  <si>
    <t>Beta</t>
  </si>
  <si>
    <t>Equity Risk Premium</t>
  </si>
  <si>
    <t>Size Premium</t>
  </si>
  <si>
    <t>After-tax Cost of Debt</t>
  </si>
  <si>
    <t>D/E Ratio</t>
  </si>
  <si>
    <t>Terminal Growth Rate</t>
  </si>
  <si>
    <t>Exit Multiple (EV/Sales)</t>
  </si>
  <si>
    <t>Fully Diluted Shares</t>
  </si>
  <si>
    <t>Net Debt (JPY mn)</t>
  </si>
  <si>
    <t>Base Year Revenue (JPY mn)</t>
  </si>
  <si>
    <t>D&amp;A / Revenue</t>
  </si>
  <si>
    <t>Stub Fraction (yr remaining)</t>
  </si>
  <si>
    <t>LTM Revenue (JPY mn) (override)</t>
  </si>
  <si>
    <t>WACC Calculation</t>
  </si>
  <si>
    <t>Cost of Equity (Ke)</t>
  </si>
  <si>
    <t>Weight of Equity</t>
  </si>
  <si>
    <t>Weight of Debt</t>
  </si>
  <si>
    <t>WACC</t>
  </si>
  <si>
    <t>Active Scenario</t>
  </si>
  <si>
    <t>Base</t>
  </si>
  <si>
    <t>Projected Free Cash Flow</t>
  </si>
  <si>
    <t>FY2027(E)</t>
  </si>
  <si>
    <t>FY2028(E)</t>
  </si>
  <si>
    <t>FY2029(E)</t>
  </si>
  <si>
    <t>FY2030(E)</t>
  </si>
  <si>
    <t>FY2031(E)</t>
  </si>
  <si>
    <t>FY2032(E)</t>
  </si>
  <si>
    <t>FY2033(E)</t>
  </si>
  <si>
    <t>FY2034(E)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</si>
  <si>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</si>
  <si>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</si>
  <si>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</si>
  <si>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</si>
  <si>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</si>
  <si>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</si>
  <si>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</si>
  <si>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</si>
  <si>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</si>
  <si>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</si>
  <si>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</si>
  <si>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</si>
  <si>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</si>
  <si>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</si>
  <si>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</si>
  <si>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</si>
  <si>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</si>
  <si>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</si>
  <si>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</si>
  <si>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</si>
  <si>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</si>
  <si>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Revenue</t>
  </si>
  <si>
    <t>Terminal Value (Exit Multiple)</t>
  </si>
  <si>
    <t>Implied Share Price (Exit Multiple)</t>
  </si>
  <si>
    <t>Scenario Input Matrix</t>
  </si>
  <si>
    <t>Year 1</t>
  </si>
  <si>
    <t>Year 2</t>
  </si>
  <si>
    <t>Year 3</t>
  </si>
  <si>
    <t>Year 4</t>
  </si>
  <si>
    <t>Year 5</t>
  </si>
  <si>
    <t>Year 6</t>
  </si>
  <si>
    <t>Year 7</t>
  </si>
  <si>
    <t>Year 8</t>
  </si>
  <si>
    <t>Upside</t>
  </si>
  <si>
    <t>Management</t>
  </si>
  <si>
    <t>Downside 1</t>
  </si>
  <si>
    <t>Downside 2</t>
  </si>
  <si>
    <t>Reverse DCF - Terra Drone (278A)</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</si>
  <si>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</si>
  <si>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</si>
  <si>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</si>
  <si>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</si>
  <si>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</si>
  <si>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</si>
  <si>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</si>
  <si>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</si>
  <si>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(FY2026/1 actual)</t>
  </si>
  <si>
    <t>Cycle-peak Operating Profit (Upside scenario FY2034/1 - model, not actual)</t>
  </si>
  <si>
    <t>Terminal-year Revenue, active scenario (JPY mn)</t>
  </si>
  <si>
    <t>Base-case DCF Enterprise Value, PGM (JPY mn)</t>
  </si>
  <si>
    <t>Cycle-peak Operating Margin (Upside scenario FY2034/1 - model, not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</si>
  <si>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</si>
  <si>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</si>
  <si>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</si>
  <si>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</si>
  <si>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</si>
  <si>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</si>
  <si>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Upside scenario FY2034/1 - model, not peak</t>
  </si>
  <si>
    <t>... as a multiple of FY2026/1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</si>
  <si>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</si>
  <si>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</si>
  <si>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</si>
  <si>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</si>
  <si>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</si>
  <si>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</si>
  <si>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</si>
  <si>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</si>
  <si>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5 years</t>
  </si>
  <si>
    <t>N = 8 years</t>
  </si>
  <si>
    <t>N = 10 years</t>
  </si>
  <si>
    <t>N = 15 years</t>
  </si>
  <si>
    <t>B-2  PV weight on the STEADY STATE OP*   (B + terminal factor)</t>
  </si>
  <si>
    <t>B-3  REQUIRED steady-state Operating Profit (JPY mn)</t>
  </si>
  <si>
    <t>B-4  ... as a multiple of the Upside scenario FY2034/1 - model, not peak operating profit</t>
  </si>
  <si>
    <t>Block C: Decomposing the required profit into revenue x margin (N = 8 years, model WACC)</t>
  </si>
  <si>
    <t>The revenue the company must run at, for a given steady-state operating margin, to earn the Block B-3 profit.</t>
  </si>
  <si>
    <t>Required steady-state Operating Profit (N=8, model WACC)</t>
  </si>
  <si>
    <t>Assumed steady-state OPM</t>
  </si>
  <si>
    <t>Required Revenue</t>
  </si>
  <si>
    <t>x base-year revenue</t>
  </si>
  <si>
    <t>cycle-peak OPM (Upside scenario FY2034/1 - model, not)</t>
  </si>
  <si>
    <t>Block D: The same question expressed as multiples</t>
  </si>
  <si>
    <t>Current EV / latest-FY EBITDA (actual)</t>
  </si>
  <si>
    <t>Current EV / latest-FY Revenue (actual)</t>
  </si>
  <si>
    <t>EV / EBITDA if the Block A profit were already earned</t>
  </si>
  <si>
    <t>EV / EBITDA if the Block B-3 (N=8) profit were already earned</t>
  </si>
  <si>
    <t>Peer median EV / EBITDA (statistics rows)</t>
  </si>
  <si>
    <t>Rows 3-4 answer: what multiple would today's EV be paying IF the company already earned the profit the price requires?</t>
  </si>
  <si>
    <t>Block F: The one-line answer</t>
  </si>
  <si>
    <t>NWC Schedule - Terra Drone</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</si>
  <si>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</si>
  <si>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</si>
  <si>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</si>
  <si>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</si>
  <si>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</si>
  <si>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</si>
  <si>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</si>
  <si>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</si>
  <si>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</si>
  <si>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</si>
  <si>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</si>
  <si>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</si>
  <si>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</si>
  <si>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</si>
  <si>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</si>
  <si>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</si>
  <si>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</si>
  <si>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</si>
  <si>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</si>
  <si>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2026-08-29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</si>
  <si>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</si>
  <si>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</si>
  <si>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</si>
  <si>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</si>
  <si>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</si>
  <si>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</si>
  <si>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</si>
  <si>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</si>
  <si>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</si>
  <si>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</si>
  <si>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</si>
  <si>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</si>
  <si>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</si>
  <si>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</si>
  <si>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Terra Drone (278A) [subject]</t>
  </si>
  <si>
    <t>278A.T</t>
  </si>
  <si>
    <t>N/A</t>
  </si>
  <si>
    <t>ACSL (6232)</t>
  </si>
  <si>
    <t>6232.T</t>
  </si>
  <si>
    <t>AeroVironment (AVAV)</t>
  </si>
  <si>
    <t>AVAV</t>
  </si>
  <si>
    <t>Kratos Defense (KTOS)</t>
  </si>
  <si>
    <t>KTOS</t>
  </si>
  <si>
    <t>Red Cat Holdings (RCAT)</t>
  </si>
  <si>
    <t>RCAT</t>
  </si>
  <si>
    <t>Ondas Holdings (ONDS)</t>
  </si>
  <si>
    <t>ONDS</t>
  </si>
  <si>
    <t>Statistics</t>
  </si>
  <si>
    <t>25th Percentile</t>
  </si>
  <si>
    <t>Median (50th)</t>
  </si>
  <si>
    <t>75th Percentile</t>
  </si>
  <si>
    <t>Implied Valuation for Terra Drone</t>
  </si>
  <si>
    <t>Terra Drone Financials</t>
  </si>
  <si>
    <t>Revenue (JPY mn)</t>
  </si>
  <si>
    <t>Net Income (JPY mn)</t>
  </si>
  <si>
    <t>Shares Outstanding</t>
  </si>
  <si>
    <t>Implied Share Price (Median Multiples)</t>
  </si>
  <si>
    <t>Via EV/Sales (Median)</t>
  </si>
  <si>
    <t>Via PER (Median)</t>
  </si>
  <si>
    <t>Net income &lt;= 0 — PER not meaningful</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</si>
  <si>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</si>
  <si>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</si>
  <si>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</si>
  <si>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</si>
  <si>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</si>
  <si>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</si>
  <si>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</si>
  <si>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</si>
  <si>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</si>
  <si>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Terra Drone</t>
  </si>
  <si>
    <t>日付</t>
  </si>
  <si>
    <t>セル</t>
  </si>
  <si>
    <t>変更内容</t>
  </si>
  <si>
    <t>理由</t>
  </si>
  <si>
    <t>元の値</t>
  </si>
  <si>
    <t>状態</t>
  </si>
  <si>
    <t>2026-08-29</t>
  </si>
  <si>
    <t>-</t>
  </si>
  <si>
    <t>Generated by pipeline on 2026-08-29 18:39, template rev 672e3c3</t>
  </si>
  <si>
    <t>初期生成（手修正なし）</t>
  </si>
  <si>
    <t>generated</t>
  </si>
  <si>
    <t>全シート(単位)</t>
  </si>
  <si>
    <t>原典の決算短信は【千円】表記。本モデルは全て【百万円】に換算済み</t>
  </si>
  <si>
    <t>桁事故の温床であるため冒頭に明示する。EDINET有報のXBRLは円単位で取得し、パイプラインが百万円に換算している。プロンプト提供の入力表も百万円換算済みのものを受領した。相互検算: EDINET FY2026/1 売上 4,782,585,000円 = 4,782.585百万円 = プロンプト転記値4,783 と一致。同 営業損失 △1,143,791,000円 = △1,143.791百万円 = △1,144 と一致。以下このログの数値は全て百万円。</t>
  </si>
  <si>
    <t>確定</t>
  </si>
  <si>
    <t>全シート(モデルの目的)</t>
  </si>
  <si>
    <t>本モデルは Target を主要アウトプットとしない。逆算(Reverse DCF)と Downside 測定が目的</t>
  </si>
  <si>
    <t>銘柄タイプは【物語先行型 = 3905型の極端例】(標準メモ §4)。2026/8/25の防衛装備庁「迎撃ドローン早期取得プログラム」量産調達契約で株価が約13,000円→21,620円へ急騰したテーマ株であり、契約金額・数量・納期はいずれも未開示。DCF の Target(529円)は『現在の事業計画が生む価値』であって『株価がどこへ行くか』の予測ではない。読む順序は (1) Reverse DCF シート、(2) Downside 1 / Downside 2 のシナリオ切替、(3) Segment Bridge シートの Table 7(希薄化)、最後に Executive Summary。</t>
  </si>
  <si>
    <t>設計判断</t>
  </si>
  <si>
    <t>DCF Model!C15 / Comps Analysis 株数</t>
  </si>
  <si>
    <t>Fully Diluted Shares = 10,397,100株(プロンプト指定値を採用)</t>
  </si>
  <si>
    <t>【要確認】EDINET FY2026/1有報(2026-04-30提出)の発行済株式総数は 期末(2026/1/31) 9,718,000株 / 提出日(2026/4/30) 9,745,300株。同報告書のBPS 497.57 × 9,718,000 = 4,835.4百万 = 純資産5,008.6 − 新株予約権38.0 − 非支配持分135.2 と完全一致し、自己株式は無い(BPSの分母 = 発行済総数)ことを確認した。yfinance の sharesOutstanding も 9,745,300 で提出日時点と一致する。差分 10,397,100 − 9,745,300 = 651,800株(+6.7%)は2026年5〜8月の新株予約権行使ないし新株発行と推定されるが、EDINET上の一次資料では確認できていない。■感応度: 実際の株数が 9,745,300 なら時価総額は 224,785 → 210,693百万(−6.3%)、EV は 222,528 → 208,436百万、1株価値は全て +6.7%(Target 529 → 564円)。逆算DCFが要求する定常営業利益は約6%減る。結論(SELL、逆算の桁)は変わらない。</t>
  </si>
  <si>
    <t>EDINET提出日時点 9,745,300株</t>
  </si>
  <si>
    <t>要確認</t>
  </si>
  <si>
    <t>DCF Model!C15(潜在株式)</t>
  </si>
  <si>
    <t>新株予約権による潜在株式数 1,142,200株(発行済+潜在の合計10,887,500株の10.49%)</t>
  </si>
  <si>
    <t>FY2026/1有報の【事業等のリスク】に明記。2026/4/30時点。現行株数10,397,100が既に651,800株の行使後だとすれば残存は約490,400株(現行比 +4.7%)、完全希薄化後は10,887,500株。Segment Bridge シート Table 7 の希薄化計算はこの490,400株を使っている【推定】。C15 の1株価値は全て希薄化前(=楽観側)である点に注意。</t>
  </si>
  <si>
    <t>推定・要確認</t>
  </si>
  <si>
    <t>DCF Model!C15(株式分割)</t>
  </si>
  <si>
    <t>株式分割は発表済み・効力発生前。モデルは全て【分割前ベース】で統一</t>
  </si>
  <si>
    <t>株価21,620円・株数10,397,100株とも分割前。株式分割はバリュエーション中立であり、1株価値・Target・逆算の結論はいずれも分割比率で機械的に割り戻せる。効力発生後にモデルを更新する場合は current_price と shares_outstanding を同じ比率で同時に変更すること(片方だけ変えると時価総額が比率倍ずれる)。</t>
  </si>
  <si>
    <t>DCF Model!C16</t>
  </si>
  <si>
    <t>Net Debt = △2,257(ネットキャッシュ2,257)</t>
  </si>
  <si>
    <t>内訳: 現金及び預金 2,258 − 長期借入 0.6(いずれも2026/4/30)。FY2026/1中に長期借入560.5を完済しており実質無借金。■リース債務の扱い【設計判断】: FY2026/1末のリース債務は流動75.8 + 固定141.9 = 217.8。EVに算入すると net_debt は △2,039 になるが、(a) 2026/4/30時点のリース残高が開示されておらず現金と基準日が揃わない、(b) 差額218はEV 222,528の0.1%で結論に影響しない、の2点からプロンプト定義(借入のみ)を採用した。非支配株主持分135もEVに算入していない(時価総額の0.06%)。</t>
  </si>
  <si>
    <t>プロンプト指定と同一</t>
  </si>
  <si>
    <t>Financial Statements!E列 / Comps Analysis!C22</t>
  </si>
  <si>
    <t>FY2026/1 の親会社株主に帰属する当期純損失 = △2,497.9(プロンプトの△2,327から変更)</t>
  </si>
  <si>
    <t>EDINET有報(S100XY8O)の ProfitLossAttributableToOwnersOfParent は △2,497,915千円。検算: 利益剰余金が △1,812,673千円(FY2025/1末) → △4,310,589千円(FY2026/1末)へ 2,497,916千円 減少しており(配当なし)、親会社帰属損失と完全に一致する。非支配株主帰属分は別途 △344,778千円で、両者合計の当期純損失は △2,842.7。プロンプトの△2,327 はいずれの開示値とも一致しないため採用しなかった。</t>
  </si>
  <si>
    <t>プロンプト記載 △2,327</t>
  </si>
  <si>
    <t>確定(訂正)</t>
  </si>
  <si>
    <t>Financial Statements!C-E列(営業CF)</t>
  </si>
  <si>
    <t>営業CF = △15.6(FY2024/1) / △927.9(FY2025/1) / △716.5(FY2026/1)</t>
  </si>
  <si>
    <t>プロンプトは FY2026/1 を △747・前期を『△904規模(要確認)』としているが、EDINET有報の NetCashProvidedByUsedInOperatingActivities は △716.459 / △927.897。有報値を採用した。投資CFも同様に FY2026/1 △1,717.9(プロンプト△1,707)。■年間の現金燃焼は 営業CF △716.5 + 投資CF △1,717.9 = △2,434(プロンプトの『年約2,454』とほぼ一致)。2026/4/30の現金2,258に対し、外部調達なしのランウェイは約11ヶ月。</t>
  </si>
  <si>
    <t>プロンプト記載 △747 / △904規模</t>
  </si>
  <si>
    <t>Financial Statements!C列(FY2024/1)</t>
  </si>
  <si>
    <t>FY2024/1 の純損失△353.9・営業CF△15.6・capex 249.9・D&amp;A 156.8・現金5,008.7 をEDINETから補完</t>
  </si>
  <si>
    <t>2024/11上場のため EDINET上の有報は FY2025/1期(S100VOQD)と FY2026/1期(S100XY8O)の2期のみだが、FY2025/1有報の前期比較列から FY2024/1 の実績を取得できた。プロンプトの入力表では FY2024/1 の経常・純損益が未記載(ハイフン)だった。</t>
  </si>
  <si>
    <t>空欄</t>
  </si>
  <si>
    <t>Financial Statements!C-E列(有利子負債)</t>
  </si>
  <si>
    <t>hist_debt は【借入金のみ】: 965.1 / 570.5 / 0.0。FY2026/1のゼロは欠測ではなく実質無借金という事実</t>
  </si>
  <si>
    <t>FY2024/1 短期11.4 + 長期953.7 = 965.1、FY2025/1 短期139.9 + 長期430.6 = 570.5、FY2026/1 は完済でゼロ(2026/4/30時点で長期0.6のみ)。net_debt の定義と揃えている。リース債務(FY2025/1 199.8、FY2026/1 217.8)は含めていない。■現金の2系列: BSの現金及び預金(本モデルが使用、FY2026/1 2,019.0)とCF計算書の現金及び現金同等物期末残高(1,802)は3ヶ月超の定期預金等の分だけ定義が異なる。</t>
  </si>
  <si>
    <t>DCF Model!C6</t>
  </si>
  <si>
    <t>Tax Rate = 30.6%(国内法定実効税率)</t>
  </si>
  <si>
    <t>テンプレの税計算は Less: Tax = MAX(0, EBIT × 税率) で、営業赤字の年の税額はゼロに床止めされる(赤字年に架空の税還付は立たない — 生成物の DCF Model!C40:J40 で確認済み)。■繰越欠損金【モデルは保守側】: 2026/4/30の利益剰余金は △4,405 で相当額の繰越欠損金があると見られるが、本モデルは黒字化年以降を初年度から満額30.6%で課税しており軽減を一切織り込んでいない。Base では黒字化後(Y5〜Y8)の累計課税所得3,605に対し、日本の税制(繰越10年・資本金1億円超は課税所得の50%まで控除)を当てはめると最大約1,802が相殺され、税額で約551・現在価値で約280百万(1株あたり約27円)だけ株主価値を過小評価している。Target 529円に対しては約5%の上振れ要因、現値21,620円に対しては誤差。金額・期限が開示から確定できないため織り込まなかった。</t>
  </si>
  <si>
    <t>テンプレ既定 30%</t>
  </si>
  <si>
    <t>DCF Model!C7</t>
  </si>
  <si>
    <t>Risk-Free Rate = 2.90%</t>
  </si>
  <si>
    <t>財務省「国債金利情報」jgbcm.csv の10年債 2.897%(基準日 R8.8.27 = 2026-08-27。取得日2026-08-29、当日時点の最新掲載日)。yfinance では日本国債利回りは取得できない。</t>
  </si>
  <si>
    <t>テンプレ既定 2.2%</t>
  </si>
  <si>
    <t>DCF Model!C8</t>
  </si>
  <si>
    <t>Beta = 1.55【設計判断】。実測回帰は使用不能</t>
  </si>
  <si>
    <t>278A.T の週次リターン(上場後91週、2026-08-28まで)を TOPIX連動ETF 1306.T に回帰すると beta = △0.30、相関 △0.04。年率ボラティリティは 278A 115% に対し TOPIX 16% で、値動きはほぼ全て個別材料由来であり市場感応度として意味を持たない。実測値はテンプレのクランプ範囲[0.6, 1.75]外のため、放置すると自動値1.0になる。■2つのアンカーから1.55を置いた: (1) ピア実測β(週次2年) — ACSL 6232.T vs 1306.T が1.11、AeroVironment 2.19 / Red Cat 1.77 / Ondas 2.11 / Kratos 1.87(いずれも vs SPY)。国内小型ドローン株1.11とグローバル防衛ドローン株1.8〜2.2の中間。(2) ボラティリティ比 — β = 相関 × (σ株/σ市場)、σ比 7.2倍に小型グロース株として妥当な相関0.20〜0.25を当てると 1.44〜1.80。両アンカーとも1.5〜1.8を示すため保守側の1.55を採用。</t>
  </si>
  <si>
    <t>yfinance/実測回帰 △0.30 → テンプレ自動代替値 1.0</t>
  </si>
  <si>
    <t>DCF Model!C10</t>
  </si>
  <si>
    <t>Size Premium = 1.5%(自動判定と同値だが明示指定)</t>
  </si>
  <si>
    <t>時価総額2,248億円のためテンプレの自動判定は「1,000億円以上 → 1.5%」。自動値と同一だが _override_keys に入れて固定した — 株価が急落して時価総額1,000億円を割ると自動判定が3.0%に跳ね、WACCが1.5pt動いて Downside シナリオの評価が二重に悪化するため。■留保: この1.5%は【株価が作った】時価総額に基づく区分であり、事業の実態(売上48億・営業赤字11億・グロース市場・ランウェイ約11ヶ月)はむしろ最小型株の区分に相当する。テーマ剥落局面ではサイズプレミアム3.0%(WACC 14.4%)側で読むのが妥当で、Sensitivity Analysis Table 1 の高WACC側がその領域をカバーする。</t>
  </si>
  <si>
    <t>テンプレ自動判定 1.5%(同値)</t>
  </si>
  <si>
    <t>DCF Model!C11 / C12</t>
  </si>
  <si>
    <t>After-tax Cost of Debt = 1.4%(名目)、D/E Ratio = 0.0 を明示指定 → WACC = Ke</t>
  </si>
  <si>
    <t>実質無借金かつネットキャッシュのため、負債コストのWACCウェイトはゼロ。cost_of_debt_at 1.4% は形式上の入力値で評価に影響しない。■実績Kdモジュール(interest_expense / debt_beginning / debt_ending)は使用しない — 借入をFY2026/1中に完済しており、平均残高で割った実績Kdは将来の資金調達コストを何も語らない。本銘柄の資金調達は借入ではなく株式発行であり、そのコストは Ke と希薄化(Segment Bridge Table 7)で表現される。■結果 WACC = Ke = 2.9% + 1.55 × 5.5% + 1.5% = 12.93%。</t>
  </si>
  <si>
    <t>自動計算 0.0(同値)</t>
  </si>
  <si>
    <t>DCF Model!C13</t>
  </si>
  <si>
    <t>Terminal Growth = 2.0%</t>
  </si>
  <si>
    <t>【設計判断】予測最終年(Y8 = FY2034/1)には各シナリオとも売上成長を5〜9%まで減速させてあり、そこから名目GDP並みの2.0%へ移行する想定。プロンプトの参考手計算(WACC10% / g2.5%)より g は低く w は高いため、逆算で要求される定常営業利益は参考値(約240億)より大きく出る(本モデルでは約350億)。</t>
  </si>
  <si>
    <t>テンプレ既定 2.0%(同値)</t>
  </si>
  <si>
    <t>DCF Model!C14 / primary_multiple</t>
  </si>
  <si>
    <t>主倍率を EV/Sales に切替、Exit倍率 = 2.0x(EV/Sales)</t>
  </si>
  <si>
    <t>【設計判断】予測期の大半で EBITDA が負(FY2026/1 実績も △616.5)であり EV/EBITDA が定義できないため、primary_multiple を EV/Sales にした。Exit法のターミナル価値は Y8売上 × 2.0x となる。■2.0xの根拠: ピア5社の実績EV/Sales は AeroVironment 3.91x / Kratos 6.94x / ACSL 11.97x / Red Cat 28.17x / Ondas 78.54x で中央値11.97xだが、この中央値は赤字の物語銘柄(RCAT/ONDS)に押し上げられている。ターミナル年は成熟した黒字企業として評価すべきであり、黒字で規模のある AVAV 3.91x / KTOS 6.94x の下限側、さらに Base の経済性(定常OPM10%・成長2%・NWC売上比36%から逆算した定常FCF/売上 ≈ 5% ÷ (w−g)10.93% ≈ 0.5x)を踏まえ 2.0x とした。■exit_multiple 10.0x(EV/EBITDA)はスキーマ上フォールバックとして必須のため残置。評価には入らない。</t>
  </si>
  <si>
    <t>テンプレ既定 10.0x(EV/EBITDA)</t>
  </si>
  <si>
    <t>validate_output チェック11(WARN 1件)</t>
  </si>
  <si>
    <t>PGM逆算EV/Sales 0.45x vs 仮定Exit倍率 2.00x の乖離4.44倍 — 意図的に受容</t>
  </si>
  <si>
    <t>手順書v2 §5-1 の『2つの手法の世界観が食い違っている』警告。本銘柄では【この乖離自体が答え】であり、修正しない。乖離の理由: EV/Sales 2.0x は『定常OPM10%・低成長・運転資本負担が軽い』世界を暗黙に前提するのに対し、モデルのターミナル年FCFは売上比36%のNWCと売上比7.5%のcapexに食われて FCF/売上が約5%しか残らない。すなわち Base の事業計画が本当に実現しても、EV/Sales 2.0x に値する現金創出力には届かない。■読み方: Target Mid 529円は PGM 59円と Exit 999円の平均であって『中心値』ではない。59〜999円という【レンジ】として読むこと。現値21,620円はそのレンジの上端の22倍。</t>
  </si>
  <si>
    <t>設計判断(WARN受容)</t>
  </si>
  <si>
    <t>DCF Model!C19 / C20 / 予測期間</t>
  </si>
  <si>
    <t>予測期間8年(FY2027/1〜FY2034/1)、Stub Fraction = 0.42(経過7ヶ月)、LTM Revenue = 4,845.6</t>
  </si>
  <si>
    <t>【設計判断】予測期間を標準の5年ではなく8年とした。プロンプトのシナリオ定義自体が『黒字化年』(Upside FY2029 / Management FY2030 / Base FY2031)で分岐しており、5年ではBaseの黒字化年(Y5)がそのままターミナル年になる。営業利益率がゼロ近傍の年を永久成長で資本還元すると、ターミナル価値がシナリオの経済性ではなく予測期間の長さという人工物で決まってしまう。8年にすることで各シナリオが定常営業利益率(Upside 15% / Management 12.5% / Base 10%)に到達したうえでターミナルに入る。■stub: 分析日2026-08-29 は FY2027/1期(2026/02/01開始)の7ヶ月目。予測Y1 = FY2027/1 の期末2027-01-31までは155日 = 0.42年。■LTM = FY2026/1 4,782.6 − 前年同期Q1 948 + 当期Q1 1,011 = 4,845.6。EDINETに四半期・半期報告書が無いためテンプレは自動構築できず明示指定した。■留保: net_debt は 2026/4/30 の現金で測っている一方、Y1のFCFには 2026/02-04(Q1)分が含まれ、Q1の資金流出(営業赤字△435)が二重計上される。負の二重計上なので評価は保守側に振れる。金額は△400前後でEV 222,528に対して無視できる。</t>
  </si>
  <si>
    <t>テンプレ自動値: 予測5年 / stub 1.00 / LTM = 基準年売上</t>
  </si>
  <si>
    <t>DCF Model!C5 / C18</t>
  </si>
  <si>
    <t>capex / D&amp;A は revenue_pct 方式。capex 7.5% / D&amp;A 7.0% を全期間・全シナリオに適用</t>
  </si>
  <si>
    <t>【設計判断・推定】direct(絶対額)方式ではなく revenue_pct を採用した。シナリオ間で Y8売上が 4,850(Downside 2)〜42,566(Upside)と8.8倍開くため、絶対額配列を全シナリオ共通で当てると Upside は過小投資・Downside は過大投資になりシナリオ比較が壊れる。■実績比率: capex/売上 = 8.4%(FY2024/1) / 15.4%(FY2025/1) / 18.3%(FY2026/1)、D&amp;A/売上 = 5.3% / 7.4% / 11.0%(直近3年平均 capex 14.0% / D&amp;A 7.9%)。実績の高比率は上場前後の先行投資期(ソフトウェア資産計上・M&amp;A)によるもので、売上が3〜9倍に拡大する局面では比率として低下すると置いた。ターミナル年の capex/D&amp;A = 7.5/7.0 = 1.07倍(g=2.0% &gt; 1.5% のため validate チェック9は steady-state テスト自体を適用対象外とする)。会社の設備投資計画・償却計画は未開示。</t>
  </si>
  <si>
    <t>テンプレ自動値(実績3年平均 capex 14.0% / D&amp;A 7.9%)</t>
  </si>
  <si>
    <t>推定</t>
  </si>
  <si>
    <t>NWC Schedule!C4:C6</t>
  </si>
  <si>
    <t>基準年 AR 1,516.1 / 在庫 597.8 / AP 399.2(DSO 115.7日 / DIH 88.3日 / DPO 59.0日)</t>
  </si>
  <si>
    <t>FY2026/1末(2026/1/31)のBS。AR = 売掛金1,034.2 + 契約資産481.9 = 1,516.1(EDINET の trade_receivables_total)でプロンプトの『売掛・契約資産1,516』と一致。■契約資産を含める判断【設計判断】: CLAUDE.md には進行基準の装置メーカーで契約資産を除外する運用が書かれているが、本銘柄は測量・点検の役務提供であり進行に伴う契約資産は実質的な営業債権。除外すると DSO は 115.7日 → 78.9日 となり運転資本負担を過小評価する。基準年NWC = 1,714.7(売上比35.9%)。■FCFの支配項は NWC ではなく販管費の先行投資(Base Y1: ΔNWC +281 に対し営業赤字△1,428)。ただし Upside では売上が8年で8.9倍になるため ΔNWC の累計が資金調達所要額の主要因になる。</t>
  </si>
  <si>
    <t>テンプレ自動算出(同値)</t>
  </si>
  <si>
    <t>DCF Model!C29:J53(シナリオ入力マトリクス)</t>
  </si>
  <si>
    <t>シナリオ5本の軸は『防衛事業の規模 × 黒字化年』。Y8営業利益は D2 △1,406 &lt; D1 △1,144 &lt; Base 1,554 &lt; Mgmt 2,179 &lt; Upside 6,385 で単調</t>
  </si>
  <si>
    <t>基準年 FY2026/1(売上4,782.6 / 粗利率48.4% / 営業損失△1,143.8 = OPM △23.9%)を起点に、Upside 黒字化FY2029・定常OPM15% / Management 黒字化FY2030・定常OPM12.5% / Base 黒字化FY2031・定常OPM10% / Downside 1 黒字化なし(Y8 OPM △15.7%) / Downside 2 黒字化なし(Y8 OPM △18.8%)。テンプレは営業利益率を直接受け取らないため、粗利率を置いたうえで sga_pct = 粗利率 − 目標営業利益率、cogs_pct = 1 − 粗利率 として逆算した。■Y1のみ Management(△1,659)が Downside 2(△1,441)より赤字が大きい。異常ではなく、会社予想(FY2027/1 営業損失△1,658)が防衛量産の立ち上げ費用を織り込んだ『積極投資下の赤字拡大』であるのに対し Downside 2 はテーマ剥落後のコスト削減を想定しているため。Y2以降は全シナリオ単調。■防衛売上の前提(単価×台数)は Segment Bridge シート Table 6 に明示セルとして置いた。</t>
  </si>
  <si>
    <t>テンプレ自動生成シナリオ</t>
  </si>
  <si>
    <t>Segment Bridge!Table 6(防衛前提)</t>
  </si>
  <si>
    <t>Terra B1 単価 5.0百万円/台、Base 年40→1,260台 / Upside 年100→4,500台。全て推定</t>
  </si>
  <si>
    <t>【推定・要確認】2026/8/25の防衛装備庁「迎撃ドローン早期取得プログラム」量産調達契約について公表されているのは契約締結の事実のみで、金額・数量・納期はいずれも未開示。単価5.0百万円は、プロンプトのシナリオ定義(Upside『年数百億規模』= 年200〜260億、Base『年数十億規模』= 年50〜63億)を満たすよう逆算的に置いた値。8年累計は Base 5,760台(8万台構想の約7%)/ Upside 20,200台(同約25%)。■感応度: 単価が2.0百万円なら両シナリオの防衛売上は40%に縮み、Upsideのターミナル営業利益は約半減する。9月中旬のQ2決算と後続の適時開示が最初の検証機会。</t>
  </si>
  <si>
    <t>Segment Bridge!Table 7(希薄化)</t>
  </si>
  <si>
    <t>希薄化分析: Base計画の必要調達額5,050百万。現値なら希薄化+2.8%、DCF Exit値なら+60.8%</t>
  </si>
  <si>
    <t>【推定】前提: (a) 予測期間中の負のUFCFの累計6,307(Base、シナリオ切替に追随)、(b) ネットキャッシュ2,257(2026/4/30)、(c) 最低運転現金1,000(現行の四半期販管費884の約1期分)、(d) 発行価格は各参照値の80%(グロース市場のディスカウント慣行は通常3〜10%だが、テーマ剥落局面での調達を想定し保守的に20%)、(e) 既存新株予約権490,400株。■結果: 21,620円の80%(17,296円)で調達すれば新株291,981株 = +2.8%。Comps EV/Sales 実装値5,725円の80%なら+10.6%。DCF Exit値999円の80%(799円)なら6,320,525株 = +60.8%、完全希薄化後17,208,025株(+65.5%)。■finding: 希薄化リスクは株価と独立ではなく株価の関数であり、エクイティストーリーが崩れた時に最も強く効く。現値では希薄化は事実上無視できる(テーマ価格自体が資金調達問題を解いている)。■Executive Summary と DCF Model の1株価値は全て希薄化前(=楽観側)。</t>
  </si>
  <si>
    <t>Comps Analysis(基準)</t>
  </si>
  <si>
    <t>EV/Sales を主倍率に。ピア5社、取得日 2026-08-29、USD/JPY = 160.038</t>
  </si>
  <si>
    <t>ピア: ACSL(6232.T、国産ドローン・赤字)、AeroVironment(AVAV、米防衛ドローン)、Kratos Defense(KTOS、米防衛・黒字)、Red Cat Holdings(RCAT、米軍用小型ドローン・赤字)、Ondas Holdings(ONDS、米ドローン/ネットワーク・赤字)。プロンプト第一候補の ACSL・AVAV に加え、comps_fetcher 相当の探索で KTOS(規模ある黒字防衛の参照点)、RCAT・ONDS(同種の物語銘柄)を追加した。財務は各社の直近本決算実績(AVAV は FY2026/4、他は FY2025/12)、時価総額は2026-08-29の yfinance 値を Market_Cap 列に静的記入(再現性のため)。USD建て4社は 160.038円/USD で全項目を換算。■EBITDA は全社『営業利益 + 減価償却費(CF)』で統一。5社中3社(ACSL・RCAT・ONDS)と自社は EBITDA が負であり EV/EBITDA は意味を持たない — これが EV/Sales を主倍率にした理由。</t>
  </si>
  <si>
    <t>Comps Analysis(織り込み測定)</t>
  </si>
  <si>
    <t>自社 EV/Sales 46.5x はピア中央値11.97xの3.9倍、AeroVironment 3.91xの11.9倍</t>
  </si>
  <si>
    <t>本銘柄で最も雄弁な数字。AeroVironment は米国の防衛ドローンで世界的に成功した企業で、FY2026/4の売上は3,164億円(278Aの66倍)。その EV/Sales が 3.91x であるのに対し、278A は 46.5x。すなわち市場は『防衛ドローンで世界的に成功した会社』より1桁高い売上倍率を、売上48億・営業赤字11億の段階で払っている。■EV/Sales 中央値11.97xを当てた implied price は 5,725円(現値比 △73.5%)。ただし中央値自体が RCAT 28.2x・ONDS 78.5x という同種の物語銘柄に押し上げられており、『物語銘柄の相場』であって『事業価値』ではない。Comps は規約どおり Target 不算入。</t>
  </si>
  <si>
    <t>Comps Analysis!PER行</t>
  </si>
  <si>
    <t>PER は N/A(自動除外)。normalized_net_income の参考行も作らない</t>
  </si>
  <si>
    <t>core_net_income が △2,497.9 と負のため、テンプレが自動的に『N/A(Net income &lt;= 0)』とし Target からも除外する(規約どおり)。■正常化しても成立しない: FY2026/1の特別損失(減損593 + 投資有価証券評価損259 + 火災損失342 + 事業譲渡関連損157)と持分法投資損失△439を全て戻しても、これらは全て営業利益より下の項目であり営業損失△1,143.8は1円も変わらない。『一過性を除けば黒字』という読み方は成立しないため、標準メモ §1『Comps は正常化純利益の参考行を持つ』は本銘柄では適用外とした(プロンプト要件4に合致)。この論点は Segment Bridge シート Table 5 に表として残した。</t>
  </si>
  <si>
    <t>Comps Analysis / Financial Statements(補助金)</t>
  </si>
  <si>
    <t>補助金収入が営業外に恒常計上(FY2025/1 107 / FY2026/1 255 / FY2027/1 Q1 44)</t>
  </si>
  <si>
    <t>国策依存の収益補助であり、経常損益の期間比較では控除して読む必要がある。FY2026/1 の経常損失△1,285 は補助金255を含んでおり、除くと△1,540。営業利益ベースの本DCFには影響しない。持分法投資損失(FY2025/1 △152 / FY2026/1 △439)も同様に営業外で、UTM事業(Unifly系)に紐づく恒常的な出血。両者とも Segment Bridge シート Table 5 に明示した。</t>
  </si>
  <si>
    <t>Sensitivity Analysis Table 3</t>
  </si>
  <si>
    <t>為替感応度 Table 3 は生成しない(fx_sensitivity を enabled にしない)</t>
  </si>
  <si>
    <t>【設計判断】海外売上(欧州・アジア・中東等)は存在するが、(a) 地域別売上が開示されておらず、(b) 現地法人が現地通貨で費用も負担するため純エクスポージャーをUSD連動比率として推定できない。fx_sensitivity の必須キー usd_revenue_ratio / usd_cogs_ratio に確定値を与える根拠が無いため、手順書v2の禁止事項『未検証の比率を置かない』に従い Table 3 を生成しなかった(プロンプト要件4に合致)。</t>
  </si>
  <si>
    <t>Reverse DCF!C14 / C15 / C18</t>
  </si>
  <si>
    <t>op0 = △1,143.8(FY2026/1実績)、peak_op = 6,385(Upsideのターミナル営業利益)、peak_opm = 15%</t>
  </si>
  <si>
    <t>【設計判断】本モデルの最重要シート。■op0 は FY2026/1 の営業損失。損失からのランプなので Block B の必要定常OP* は Block A(即時到達)より必ず大きく出る — 赤字を埋める分だけ余計に稼がねばならない構造がそのまま数式に出る。■peak_op: テンプレは peak_op ≤ 0 だとシート自体を生成しないが、本銘柄は実績にプラスの営業利益が一度も無い。そこで本モデルで最も強気な Upside シナリオのターミナル年営業利益 6,385(FY2034/1、売上42,566 × OPM15%)を『到達しうる上限』として置いた。したがって Block A / B の『... as a multiple of the peak』行は【現値が当社の最強気ケースの何倍を要求しているか】と読む。■n_years は [5, 8, 10, 15](標準の[3,5,7,10]では本銘柄の想定ランプに対して短すぎる)。見出し値は2番目の8年。■opm_grid は 5% / 10%(Base定常) / live 15%(Upside定常) / 20% / 25%。</t>
  </si>
  <si>
    <t>テンプレ自動導出(実績営業利益が全て負のためシート生成不可)</t>
  </si>
  <si>
    <t>Reverse DCF Block E</t>
  </si>
  <si>
    <t>取引ベンチマーク(Block E)は生成しない</t>
  </si>
  <si>
    <t>reverse_dcf.benchmark_ticker を指定していない。国産防衛ドローン・産業用ドローンサービスの領域で、EV/Sales を語れる直近のM&amp;A・TOB事例を特定できなかったため。参照可能な取引事例が見つかった場合は overrides に benchmark_ticker(comps CSV 上のティッカー)と deal_note を追加すれば Block E が生成される。</t>
  </si>
  <si>
    <t>未解決(該当事例なし)</t>
  </si>
  <si>
    <t>テンプレート起因の問題(1) — 重大</t>
  </si>
  <si>
    <t>investment_thesis / key_risks の文字列リテラルが255文字を超えるとブックがExcelで開けなくなる</t>
  </si>
  <si>
    <t>【初回生成時に実際に発生】テンプレはトークン({price}等)を含む行を 等号+文字列リテラル+TEXT()の連結数式に変換するが、Excel は数式内の文字列定数を255文字までしか受け付けない。openpyxl は書き込めてしまうため生成は成功し validate_output も通るが、recalc_excel_com.py が com_error で落ち、Excelでファイルを開けない。二分探索で Executive Summary の B24/B25 と特定し、最小再現(リテラル255文字はOK、256文字でNG)で確認した。テンプレは1セル8,192文字での分割は行うがリテラル255文字での分割は行わない。■本モデルの対処: thesis 各行をトークン区切りの各セグメントが255文字以内に収まるよう書き直した(key_risks はトークンを含まないため素のテキストセルとなり本制約を受けない)。■テンプレ修正候補: リテラルを255文字ごとに文字列連結演算子で分割して書き出す。tasks/lessons.md に記録済み。</t>
  </si>
  <si>
    <t>未解決(テンプレ修正候補)</t>
  </si>
  <si>
    <t>テンプレート起因の問題(2) — 軽微</t>
  </si>
  <si>
    <t>DCF Model!B59 のラベルが予測期間8年でも『Year 5 Revenue』と表示される</t>
  </si>
  <si>
    <t>数式は =J33(= Year 8 の売上)で正しく、評価結果に誤りはない。ラベル文字列が予測5年を前提にハードコードされているだけの表示バグ。予測期間を5年以外にする銘柄で再発する。■テンプレ修正候補: ラベルを『Year {proj_years} Revenue』に変更する。</t>
  </si>
  <si>
    <t>未解決(テンプレ修正候補・表示のみ)</t>
  </si>
  <si>
    <t>Executive Summary(直近触媒)</t>
  </si>
  <si>
    <t>9月中旬の FY2027/1 第2四半期決算と、防衛契約の後続開示が検証イベント</t>
  </si>
  <si>
    <t>(1) 防衛売上が Q2(2026/2-7)にいくら計上されたか、あるいはまだゼロか。(2) 計上されたセグメントと粗利率 — 本モデルは防衛をドローンソリューション内で粗利率43〜45%と置いているが、ハードウェア量産なら大きく下振れうる。(3) 会社予想(FY2027/1 営業損失△1,658)の修正の有無。(4) 現金残高とランウェイの更新、増資・新株予約権の動き。(5) 契約金額・数量の開示があれば Segment Bridge Table 6 の単価5.0百万円/台という最大の推定が置き換わる。以上が判明した時点で本モデルは再生成すべきである。</t>
  </si>
  <si>
    <t>未解決(2026年9月中旬)</t>
  </si>
  <si>
    <t>Reverse DCF!Block D</t>
  </si>
  <si>
    <t>Block D の EV/EBITDA 3行(C70 / C72 / C74)は本銘柄では意味を持たない</t>
  </si>
  <si>
    <t>自社の実績EBITDAが △616.5 と負のため C70『Current EV / latest-FY EBITDA』は △360.7 という無意味な数字になり、ピア5社中3社(ACSL・Red Cat・Ondas)もEBITDAが負のため C74『Peer median EV/EBITDA』の 73.5x も統計として成立しない。Block D で読むべきは C71『Current EV / latest-FY Revenue = 46.52x』のみ。これは primary_multiple を EV/Sales に切り替えた理由そのものであり、テンプレの Block D は EV/EBITDA 行を無条件で出力する仕様のため残置し、ここに理由を記録する(標準メモ §2『削除でなく残置+除外+理由記録』)。</t>
  </si>
  <si>
    <t>Segment Bridge!Table 7(Downside時のガード)</t>
  </si>
  <si>
    <t>希薄化行は、モデル上の1株価値がゼロ以下になるシナリオでは n/a を表示する</t>
  </si>
  <si>
    <t>初回作成時、Downside 2 に切り替えると『DCF Exit値の80%で発行』行が負の発行価格を参照して希薄化 △917.8% という無意味な値を返した(Downside 1 では +1,277.7%)。IF / IFERROR ガードを入れて n/a 表示に変更した。■そのうえで『External funding required as a multiple of the DCF Exit equity value』行を新設した — Base 0.49倍に対し Downside 1 では10倍超になる。これは『その評価水準では計画を株式で賄えない』ことを1つの数字で示すもので、無意味な希薄化率より情報量が多い。</t>
  </si>
  <si>
    <t>Reverse DCF!C14 / C15(ラベル)</t>
  </si>
  <si>
    <t>Block 0 の行ラベルは『(&lt;label&gt; actual)』形式で組み立てられるため、peak_label を調整した</t>
  </si>
  <si>
    <t>テンプレは op0 / peak の行ラベルを『Starting Operating Profit OP0 (&lt;op0_label&gt; actual)』『Cycle-peak Operating Profit (&lt;peak_label&gt; actual)』と機械的に組む。peak_op はモデル値(Upsideシナリオのターミナル営業利益6,385)であり実績ではないため、peak_label を 'Upside scenario FY2034/1 - model, not' として『(Upside scenario FY2034/1 - model, not actual)』と読めるようにした。op0_label は 'FY2026/1' で『(FY2026/1 actual)』= 実績、と正しく読める。</t>
  </si>
  <si>
    <t>全シート</t>
  </si>
  <si>
    <t>納品状態 = DRAFT</t>
  </si>
  <si>
    <t>手順書v2 §6-3 / 標準メモ §2 に従い DRAFT 納品。チャット側での検証 → 手修正の記録 → ユーザー承認を経て FINAL 化する。■本モデルの弱点(Target への感応度が大きい順): (1) 防衛単価5.0百万円/台という全くの推定、(2) 予測8年という期間設定、(3) Exit倍率 EV/Sales 2.0x(PGM逆算0.45xと4.4倍乖離)、(4) 株数10,397,100(EDINET未確認、±6.7%)、(5) β1.55(回帰不能・ピアアンカー)、(6) 税率30.6%(繰越欠損金未織込)。■ただし本モデルの結論(現値は Base DCF の約40倍、逆算が要求する定常営業利益は約350億で FY2026/1 実績売上の7.3倍)は、これら全てを最も楽観的に振っても桁が変わらない。</t>
  </si>
  <si>
    <t>DRAFT</t>
  </si>
  <si>
    <t>Pipeline Metadata (do not edit — read by scripts/validate_output.py)</t>
  </si>
  <si>
    <t>key</t>
  </si>
  <si>
    <t>value</t>
  </si>
  <si>
    <t>auto_log_entries</t>
  </si>
  <si>
    <t>0</t>
  </si>
  <si>
    <t>capex_pct_basis</t>
  </si>
  <si>
    <t>assumption</t>
  </si>
  <si>
    <t>capex_pct_c5</t>
  </si>
  <si>
    <t>0.075</t>
  </si>
  <si>
    <t>capex_pct_hist3yr</t>
  </si>
  <si>
    <t>0.140515</t>
  </si>
  <si>
    <t>company_name</t>
  </si>
  <si>
    <t>comps_asof</t>
  </si>
  <si>
    <t>comps_da_missing</t>
  </si>
  <si>
    <t>none</t>
  </si>
  <si>
    <t>comps_ev_ebitda_invalid</t>
  </si>
  <si>
    <t>no</t>
  </si>
  <si>
    <t>comps_ev_ebitda_rows</t>
  </si>
  <si>
    <t>7,8</t>
  </si>
  <si>
    <t>comps_impl_mult_row</t>
  </si>
  <si>
    <t>27</t>
  </si>
  <si>
    <t>comps_impl_per_row</t>
  </si>
  <si>
    <t>28</t>
  </si>
  <si>
    <t>comps_peer_rows</t>
  </si>
  <si>
    <t>6,7,8,9,10</t>
  </si>
  <si>
    <t>comps_stale_excluded</t>
  </si>
  <si>
    <t>comps_stat_median_row</t>
  </si>
  <si>
    <t>16</t>
  </si>
  <si>
    <t>comps_subject_row</t>
  </si>
  <si>
    <t>5</t>
  </si>
  <si>
    <t>cost_of_debt_at_c11</t>
  </si>
  <si>
    <t>0.014</t>
  </si>
  <si>
    <t>cost_of_debt_basis</t>
  </si>
  <si>
    <t>da_pct_basis</t>
  </si>
  <si>
    <t>da_pct_c18</t>
  </si>
  <si>
    <t>0.07</t>
  </si>
  <si>
    <t>da_pct_hist3yr</t>
  </si>
  <si>
    <t>0.079196</t>
  </si>
  <si>
    <t>fs_year_coverage</t>
  </si>
  <si>
    <t>OCF 3/3, Cash 3/3, Debt 3/3</t>
  </si>
  <si>
    <t>fs_year_map</t>
  </si>
  <si>
    <t>FY2024/1&lt;-FY2024[ocf+cash+debt]; FY2025/1&lt;-FY2025[ocf+cash+debt]; FY2026/1&lt;-FY2026[ocf+cash+debt]</t>
  </si>
  <si>
    <t>fs_year_sources</t>
  </si>
  <si>
    <t>overrides: hist_ocf, hist_cash, hist_debt, hist_capex, hist_depreciation | EDINET year-key match: none</t>
  </si>
  <si>
    <t>fx_sensitivity</t>
  </si>
  <si>
    <t>not enabled</t>
  </si>
  <si>
    <t>generated_at</t>
  </si>
  <si>
    <t>2026-08-29 18:39:08</t>
  </si>
  <si>
    <t>ltm_revenue_c20</t>
  </si>
  <si>
    <t>4845.6</t>
  </si>
  <si>
    <t>ltm_revenue_source</t>
  </si>
  <si>
    <t>override</t>
  </si>
  <si>
    <t>narrative_tokens_used</t>
  </si>
  <si>
    <t>pb,price,target_price,upside_pct,wacc</t>
  </si>
  <si>
    <t>reverse_dcf_sheet</t>
  </si>
  <si>
    <t>op0=-1,144(FY2026/1) peak=6,385(Upside scenario FY2034/1 - model, not) peak_opm=0.1500 N=5/8/10/15</t>
  </si>
  <si>
    <t>scenario_index_range</t>
  </si>
  <si>
    <t>B69:B73</t>
  </si>
  <si>
    <t>tax_rate_c6</t>
  </si>
  <si>
    <t>0.306</t>
  </si>
  <si>
    <t>template_rev</t>
  </si>
  <si>
    <t>672e3c3</t>
  </si>
  <si>
    <t>ticker</t>
  </si>
  <si>
    <t>278A</t>
  </si>
  <si>
    <t>Segment Bridge, Loss Normalisation, Defence Assumptions and Dilution - Terra Drone (278A)</t>
  </si>
  <si>
    <t>All figures JPY mn. Two reportable segments: Drone Solutions (survey and inspection services) and UTM (unmanned traffic management, built around the Unifly equity-method holding).</t>
  </si>
  <si>
    <t>The point of the first table: BOTH segments were loss-making and getting worse before the August 2026 defence contract. Drone Solutions went from a JPY194mn to a JPY435mn segment loss; UTM from JPY433mn to JPY709mn on almost flat revenue of about JPY620mn. UTM also carries a further JPY439mn of equity-method losses below the operating line, so it bleeds twice.</t>
  </si>
  <si>
    <t>Tables 5 to 7 hold the analysis the standard eight sheets have no place for: what the FY1/26 special losses do and do not change, the explicit unit-price x volume assumptions behind the defence revenue in the Base and Upside scenarios, and how much equity has to be issued to fund the plan.</t>
  </si>
  <si>
    <t>Tables 5 and 7 are live formulas off 'DCF Model' and follow the scenario selector in 'DCF Model'!C27. Table 6 is a set of blue input cells: they are estimates, not disclosure.</t>
  </si>
  <si>
    <t>1. Segment Revenue (JPY mn)</t>
  </si>
  <si>
    <t>Segment</t>
  </si>
  <si>
    <t>Drone Solutions  ドローンソリューション</t>
  </si>
  <si>
    <t>External sales. 87% of FY1/26 group revenue. Segment loss more than doubled on 9.3% revenue growth. Impairment of 405 was booked in this segment in FY1/26.</t>
  </si>
  <si>
    <t>UTM  運航管理</t>
  </si>
  <si>
    <t>Revenue fell 1.3% while the segment loss grew 64%. Impairment of 188 in FY1/26. Equity-method losses (Unifly and related) of 439 in FY1/26 (152 in FY1/25) sit below the operating line and are NOT in this row.</t>
  </si>
  <si>
    <t>Segment total  セグメント計</t>
  </si>
  <si>
    <t>Adjustment  調整額 (内部売上高消去等)</t>
  </si>
  <si>
    <t>Derived as (consolidated - segment total). Near zero because the segment rows are external-customer sales.</t>
  </si>
  <si>
    <t>Consolidated revenue  連結売上高</t>
  </si>
  <si>
    <t>Ties to the Financial Statements sheet (FY2024/1, FY2025/1, FY2026/1 columns) and to EDINET.</t>
  </si>
  <si>
    <t>2. Segment Profit to Consolidated Operating Profit (JPY mn)</t>
  </si>
  <si>
    <t>Segment profit total  セグメント利益計</t>
  </si>
  <si>
    <t>Adjustment  調整額 (全社費用・消去)</t>
  </si>
  <si>
    <t>Bridged total  計算値</t>
  </si>
  <si>
    <t>Consolidated operating profit  連結営業利益 (開示値)</t>
  </si>
  <si>
    <t>Disclosed consolidated operating loss (EDINET: -627.159 / -1,143.791).</t>
  </si>
  <si>
    <t>Variance  差異 (計算値 - 開示値)</t>
  </si>
  <si>
    <t>Rounding of the disclosed JPY mn figures. A non-zero variance is shown rather than forced to zero.</t>
  </si>
  <si>
    <t>3. Segment Operating Margin</t>
  </si>
  <si>
    <t>Consolidated  連結</t>
  </si>
  <si>
    <t>4. Depreciation &amp; Amortisation by Segment (JPY mn)</t>
  </si>
  <si>
    <t>Segment D&amp;A total  計</t>
  </si>
  <si>
    <t>Adjustment  調整額 (D&amp;A)</t>
  </si>
  <si>
    <t>Consolidated D&amp;A  連結減価償却費 (開示値)</t>
  </si>
  <si>
    <t>CF-statement D&amp;A. FY2025/1 consolidated D&amp;A was 330.1 but is NOT disclosed by segment, so that column is left blank rather than bridged against nothing (the FY2026/1 segment total 414+113=527 ties to 527.3).</t>
  </si>
  <si>
    <t>Consolidated EBITDA  (連結営業利益 + 連結D&amp;A)</t>
  </si>
  <si>
    <t>This is the core_ebitda basis used on 'Comps Analysis'.</t>
  </si>
  <si>
    <t>5. FY2026/1 Special Losses - what normalisation does and does not change</t>
  </si>
  <si>
    <t>Item</t>
  </si>
  <si>
    <t>Operating loss as reported  営業損失</t>
  </si>
  <si>
    <t>This is the line the DCF forecasts. None of the items below sit above it.</t>
  </si>
  <si>
    <t>Impairment  減損損失</t>
  </si>
  <si>
    <t>Drone Solutions 405 + UTM 188. Special loss, below operating.</t>
  </si>
  <si>
    <t>Loss on valuation of investment securities  投資有価証券評価損</t>
  </si>
  <si>
    <t>Special loss.</t>
  </si>
  <si>
    <t>Fire loss  火災損失</t>
  </si>
  <si>
    <t>Special loss. A related provision of 177 sits in current liabilities at 2026/4/30.</t>
  </si>
  <si>
    <t>Loss on business transfer  事業譲渡関連損</t>
  </si>
  <si>
    <t>Total special losses  特別損失計</t>
  </si>
  <si>
    <t>Sum of the four rows above (the prompt quotes 1,361; the four disclosed components sum to 1,351).</t>
  </si>
  <si>
    <t>Equity-method investment loss  持分法投資損失</t>
  </si>
  <si>
    <t>Non-operating, recurring (FY1/25: -152). Attaches to the UTM segment.</t>
  </si>
  <si>
    <t>Government grant income  補助金収入</t>
  </si>
  <si>
    <t>Non-operating, recurring (FY1/25: 107; Q1 FY1/27: 44). Flatters recurring profit, not operating profit.</t>
  </si>
  <si>
    <t>Profit attributable to owners of parent  親会社株主に帰属する当期純損失</t>
  </si>
  <si>
    <t>EDINET. Cross-check: retained earnings moved -1,812.7 to -4,310.6, a fall of 2,497.9, with no dividend.</t>
  </si>
  <si>
    <t>Operating loss after removing every one-off  正常化後の営業損失</t>
  </si>
  <si>
    <t>UNCHANGED. Every special item is below the operating line, so there is no reading of FY1/26 in which the operating business breaks even.</t>
  </si>
  <si>
    <t>This table exists to close off the 'strip out the one-offs and it is profitable' reading. The special losses are real and large, but they are all below the operating line; the operating loss of 1,143.8 stands on its own. This is why the Comps sheet shows PER as N/A and why no normalised-net-income reference row was built.</t>
  </si>
  <si>
    <t>6. Defence Programme Assumptions (estimates - the contract value is not disclosed)</t>
  </si>
  <si>
    <t>Assumption</t>
  </si>
  <si>
    <t>Unit / basis</t>
  </si>
  <si>
    <t>Terra B1 unit price</t>
  </si>
  <si>
    <t>JPY mn per unit. ESTIMATE. The Acquisition, Technology &amp; Logistics Agency contract value is undisclosed.</t>
  </si>
  <si>
    <t>Units delivered, FY2028/1</t>
  </si>
  <si>
    <t>units</t>
  </si>
  <si>
    <t>Units delivered, FY2031/1</t>
  </si>
  <si>
    <t>Units delivered, FY2034/1</t>
  </si>
  <si>
    <t>Defence revenue, FY2028/1</t>
  </si>
  <si>
    <t>JPY mn = unit price x units</t>
  </si>
  <si>
    <t>Defence revenue, FY2031/1</t>
  </si>
  <si>
    <t>JPY mn</t>
  </si>
  <si>
    <t>Defence revenue, FY2034/1</t>
  </si>
  <si>
    <t>Cumulative units, FY2027/1 to FY2034/1</t>
  </si>
  <si>
    <t>Implied share of the 80,000-unit programme concept (%)</t>
  </si>
  <si>
    <t>% (approx). Base = a niche supplier; Upside = a quarter of the whole programme.</t>
  </si>
  <si>
    <t>Every cell in this table is an estimate. The unit price of JPY5.0mn is the single most important unmodelled variable: at JPY2.0mn per unit the defence revenue in both scenarios falls to 40% of the amounts above, and the Upside case loses roughly half its terminal operating profit. Nothing here is company guidance.</t>
  </si>
  <si>
    <t>7. Cash Runway, Funding Requirement and Dilution (live off the active scenario)</t>
  </si>
  <si>
    <t>JPY mn / price</t>
  </si>
  <si>
    <t>Shares</t>
  </si>
  <si>
    <t>% of current shares</t>
  </si>
  <si>
    <t>Cumulative negative unlevered FCF over FY2027/1-FY2034/1</t>
  </si>
  <si>
    <t>Net cash at 2026-04-30</t>
  </si>
  <si>
    <t>Minimum operating cash buffer (assumption)</t>
  </si>
  <si>
    <t>External equity funding required</t>
  </si>
  <si>
    <t>Issue price at 80% of the current price</t>
  </si>
  <si>
    <t>Issue price at 80% of the Comps EV/Sales implied value</t>
  </si>
  <si>
    <t>Issue price at 80% of the DCF Exit-multiple implied value</t>
  </si>
  <si>
    <t>Funding required as a multiple of the DCF Exit equity value</t>
  </si>
  <si>
    <t>Outstanding stock-option shares not yet exercised</t>
  </si>
  <si>
    <t>Fully diluted shares if funded at 80% of the current price</t>
  </si>
  <si>
    <t>Fully diluted shares if funded at 80% of the DCF Exit value</t>
  </si>
  <si>
    <t>Equity value per share, PGM leg, pre-dilution</t>
  </si>
  <si>
    <t>Equity value per share, PGM leg, after dilution at 80% of the DCF Exit value</t>
  </si>
  <si>
    <t>Equity value per share, Exit leg, pre-dilution</t>
  </si>
  <si>
    <t>Equity value per share, Exit leg, after dilution at 80% of the DCF Exit value</t>
  </si>
  <si>
    <t>The asymmetry is the finding. At today's price the whole Base plan is funded for about 3% dilution - the theme price itself solves the funding problem. If the theme deflates towards the DCF or Comps values, the SAME cash requirement costs 40-60% of the company. Dilution risk here is a function of the share price, and it bites hardest exactly when the equity story has already failed. Switch 'DCF Model'!C27 to Downside 1 and the 'funding required as a multiple of the DCF Exit equity value' row goes above 10x: the plan is not financeable at that valuation at all, which is itself the answer. Read that ratio by scenario: Upside 0.11x, Management 0.31x, Base 0.49x, Downside 1 10.25x (not financeable), Downside 2 negative (there is no positive modelled equity value to fund against). Rows that would divide by a zero or negative modelled value show n/a rather than a spurious number. Every per-share figure on 'Executive Summary' and 'DCF Model' is PRE-dilution and therefore flattering.</t>
  </si>
  <si>
    <t>Notes</t>
  </si>
  <si>
    <t>Segment profit is the disclosed segment operating profit; the adjustment row carries corporate costs and eliminations and is close to zero in both years, so the bridge closes cleanly.</t>
  </si>
  <si>
    <t>Segment operating margin: Drone Solutions -5.1% (FY1/25) -&gt; -10.4% (FY1/26); UTM -69.0% -&gt; -114.4%. Consolidated -14.1% -&gt; -23.9%.</t>
  </si>
  <si>
    <t>Segment D&amp;A is only disclosed for FY1/26, so the D&amp;A bridge has one usable column. The FY1/26 segment total (414 + 113 = 527) ties to consolidated D&amp;A of 527.3.</t>
  </si>
  <si>
    <t>Consolidated EBITDA is negative in both years (-297.1 and -616.5). This is why the model uses EV/Sales rather than EV/EBITDA as the primary multiple.</t>
  </si>
  <si>
    <t>No segment data has been published for FY1/27 Q1 or for the defence contract. The mid-September 2026 second-quarter results are the first chance to see whether defence revenue lands in Drone Solutions or in a new segment, and at what margin.</t>
  </si>
  <si>
    <t>This sheet is informational except where noted: tables 5 and 7 contain live references INTO 'DCF Model' and 'Comps Analysis', but no cell on 'DCF Model' references this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</si>
</sst>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76" formatCode="#,##0;\(#,##0\)"/>
    <numFmt numFmtId="177" formatCode="0.0%;\(0.0%\)"/>
    <numFmt numFmtId="178" formatCode="0.000"/>
    <numFmt numFmtId="179" formatCode="0.00&quot;x&quot;"/>
    <numFmt numFmtId="180" formatCode="0.00%;\(0.00%\)"/>
    <numFmt numFmtId="181" formatCode="0.0000"/>
    <numFmt numFmtId="182" formatCode="0.\1%;\(0.\1%\)"/>
    <numFmt numFmtId="183" formatCode="0.00\x"/>
  </numFmts>
  <fonts count="15"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b/>
      <sz val="14"/>
      <color rgb="FF1F4E79"/>
      <name val="Arial"/>
    </font>
    <font>
      <i/>
      <sz val="9"/>
      <color rgb="FF808080"/>
      <name val="Arial"/>
    </font>
    <font>
      <b/>
      <sz val="11"/>
      <color rgb="FF1F4E79"/>
      <name val="Arial"/>
    </font>
    <font>
      <b/>
      <sz val="11"/>
      <color rgb="FFFFFFFF"/>
      <name val="Arial"/>
    </font>
    <font>
      <sz val="10"/>
      <name val="Arial"/>
    </font>
    <font>
      <sz val="10"/>
      <color rgb="FF0070C0"/>
      <name val="Arial"/>
    </font>
  </fonts>
  <fills count="9">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
      <patternFill patternType="solid">
        <fgColor rgb="FF000080"/>
        <bgColor rgb="FF000080"/>
      </patternFill>
    </fill>
    <fill>
      <patternFill patternType="solid">
        <fgColor rgb="FFE2EFDA"/>
        <bgColor rgb="FFE2EFDA"/>
      </patternFill>
    </fill>
    <fill>
      <patternFill patternType="solid">
        <fgColor rgb="FFFFF2CC"/>
        <bgColor rgb="FFFFF2CC"/>
      </patternFill>
    </fill>
  </fills>
  <borders count="10">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
      <left/>
      <right/>
      <top/>
      <bottom style="thin">
        <color auto="1"/>
      </bottom>
      <diagonal/>
    </border>
    <border>
      <left/>
      <right/>
      <top style="thin">
        <color auto="1"/>
      </top>
      <bottom style="double">
        <color auto="1"/>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7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0" fontId="5" fillId="0" borderId="6" xfId="0" applyFont="1" applyBorder="1" applyAlignment="1">
      <alignment horizontal="right"/>
    </xf>
    <xf numFmtId="179" fontId="5" fillId="0" borderId="6" xfId="0" applyNumberFormat="1" applyFont="1" applyBorder="1"/>
    <xf numFmtId="177" fontId="5" fillId="0" borderId="6" xfId="0" applyNumberFormat="1" applyFont="1" applyBorder="1"/>
    <xf numFmtId="0" fontId="5" fillId="0" borderId="4" xfId="0" applyFont="1" applyBorder="1" applyAlignment="1">
      <alignment horizontal="right"/>
    </xf>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13" fillId="0" borderId="0" xfId="0" applyFont="1"/>
    <xf numFmtId="0" fontId="9" fillId="0" borderId="0" xfId="0" applyFont="1"/>
    <xf numFmtId="0" fontId="10" fillId="0" borderId="0" xfId="0" applyFont="1"/>
    <xf numFmtId="0" fontId="11" fillId="0" borderId="7" xfId="0" applyFont="1" applyBorder="1"/>
    <xf numFmtId="0" fontId="0" fillId="0" borderId="7" xfId="0" applyBorder="1"/>
    <xf numFmtId="0" fontId="12" fillId="6" borderId="0" xfId="0" applyFont="1" applyFill="1"/>
    <xf numFmtId="176" fontId="14" fillId="0" borderId="0" xfId="0" applyNumberFormat="1" applyFont="1"/>
    <xf numFmtId="176" fontId="4" fillId="0" borderId="7" xfId="0" applyNumberFormat="1" applyFont="1" applyBorder="1"/>
    <xf numFmtId="176" fontId="13" fillId="0" borderId="0" xfId="0" applyNumberFormat="1" applyFont="1"/>
    <xf numFmtId="176" fontId="4" fillId="7" borderId="8" xfId="0" applyNumberFormat="1" applyFont="1" applyFill="1" applyBorder="1"/>
    <xf numFmtId="176" fontId="4" fillId="0" borderId="0" xfId="0" applyNumberFormat="1" applyFont="1"/>
    <xf numFmtId="176" fontId="4" fillId="7" borderId="0" xfId="0" applyNumberFormat="1" applyFont="1" applyFill="1"/>
    <xf numFmtId="176" fontId="4" fillId="8" borderId="8" xfId="0" applyNumberFormat="1" applyFont="1" applyFill="1" applyBorder="1"/>
    <xf numFmtId="182" fontId="13" fillId="0" borderId="0" xfId="0" applyNumberFormat="1" applyFont="1"/>
    <xf numFmtId="182" fontId="4" fillId="7" borderId="8" xfId="0" applyNumberFormat="1" applyFont="1" applyFill="1" applyBorder="1"/>
    <xf numFmtId="176" fontId="14" fillId="0" borderId="9" xfId="0" applyNumberFormat="1" applyFont="1" applyBorder="1"/>
    <xf numFmtId="0" fontId="10" fillId="0" borderId="0" xfId="0" applyFont="1" applyAlignment="1">
      <alignment horizontal="right"/>
    </xf>
    <xf numFmtId="3" fontId="13" fillId="0" borderId="0" xfId="0" applyNumberFormat="1" applyFont="1"/>
    <xf numFmtId="183" fontId="4" fillId="0" borderId="0" xfId="0" applyNumberFormat="1" applyFont="1"/>
    <xf numFmtId="3" fontId="14" fillId="0" borderId="9" xfId="0" applyNumberFormat="1" applyFont="1" applyBorder="1"/>
    <xf numFmtId="3" fontId="4" fillId="0" borderId="0" xfId="0" applyNumberFormat="1" applyFont="1"/>
    <xf numFmtId="182" fontId="4" fillId="0" borderId="0" xfId="0" applyNumberFormat="1" applyFont="1"/>
    <xf numFmtId="0" fontId="11"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70" t="s">
        <v>0</v>
      </c>
      <c r="C1" s="69"/>
      <c r="D1" s="69"/>
      <c r="E1" s="69"/>
    </row>
    <row r="3" spans="2:5" ht="18" customHeight="1" x14ac:dyDescent="0.4">
      <c r="B3" s="68" t="s">
        <v>1</v>
      </c>
      <c r="C3" s="69"/>
      <c r="D3" s="69"/>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21620</v>
      </c>
    </row>
    <row r="10" spans="2:5" ht="14" customHeight="1" x14ac:dyDescent="0.3">
      <c r="B10" s="4" t="s">
        <v>10</v>
      </c>
      <c r="C10" s="5">
        <f>IF(COUNT(C16:C17)=0,"N/A",ROUND(AVERAGE(C16:C17),0))</f>
        <v>529</v>
      </c>
    </row>
    <row r="11" spans="2:5" ht="14" customHeight="1" x14ac:dyDescent="0.3">
      <c r="B11" s="4" t="s">
        <v>11</v>
      </c>
      <c r="C11" s="6" t="str">
        <f>IF(NOT(ISNUMBER(C12)),"N/A",IF(C12&gt;0.15,"BUY",IF(C12&gt;0.05,"HOLD","SELL")))</f>
        <v>SELL</v>
      </c>
    </row>
    <row r="12" spans="2:5" ht="14" customHeight="1" x14ac:dyDescent="0.3">
      <c r="B12" s="4" t="s">
        <v>12</v>
      </c>
      <c r="C12" s="7">
        <f>IF(ISNUMBER(C10),(C10-C9)/C9,"N/A")</f>
        <v>-0.97553191489361701</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59</v>
      </c>
      <c r="D16" s="7">
        <f>IF(ISNUMBER(C16),(C16-C9)/C9,"N/A")</f>
        <v>-0.99727104532839961</v>
      </c>
    </row>
    <row r="17" spans="2:5" ht="13.5" customHeight="1" x14ac:dyDescent="0.25">
      <c r="B17" t="s">
        <v>18</v>
      </c>
      <c r="C17" s="11">
        <f>IF('DCF Model'!C62&lt;'DCF Model'!C16,"INVALID (EV &lt; net debt)",'DCF Model'!C64)</f>
        <v>999</v>
      </c>
      <c r="D17" s="7">
        <f>IF(ISNUMBER(C17),(C17-C9)/C9,"N/A")</f>
        <v>-0.95379278445883442</v>
      </c>
    </row>
    <row r="18" spans="2:5" ht="13.5" customHeight="1" x14ac:dyDescent="0.25">
      <c r="B18" t="s">
        <v>19</v>
      </c>
      <c r="C18" s="11">
        <f>'Comps Analysis'!C27</f>
        <v>5725</v>
      </c>
      <c r="D18" s="7">
        <f>IF(ISNUMBER(C18),(C18-C9)/C9,"N/A")</f>
        <v>-0.73519888991674376</v>
      </c>
    </row>
    <row r="19" spans="2:5" ht="13.5" customHeight="1" x14ac:dyDescent="0.25">
      <c r="B19" t="s">
        <v>20</v>
      </c>
      <c r="C19" s="11" t="str">
        <f>'Comps Analysis'!C28</f>
        <v>N/A</v>
      </c>
      <c r="D19" s="7" t="str">
        <f>IF(ISNUMBER(C19),(C19-C9)/C9,"N/A")</f>
        <v>N/A</v>
      </c>
    </row>
    <row r="20" spans="2:5" ht="14" customHeight="1" x14ac:dyDescent="0.3">
      <c r="B20" s="70" t="s">
        <v>21</v>
      </c>
      <c r="C20" s="69"/>
      <c r="D20" s="69"/>
      <c r="E20" s="69"/>
    </row>
    <row r="21" spans="2:5" ht="14" customHeight="1" x14ac:dyDescent="0.3">
      <c r="B21" s="4" t="s">
        <v>22</v>
      </c>
      <c r="C21" s="6" t="str">
        <f>IF(COUNT(C16:C17)=0,"N/A",MIN(C16:C17)&amp;" - "&amp;MAX(C16:C17))</f>
        <v>59 - 999</v>
      </c>
    </row>
    <row r="23" spans="2:5" ht="14" customHeight="1" x14ac:dyDescent="0.3">
      <c r="B23" s="8" t="s">
        <v>23</v>
      </c>
      <c r="C23" s="9"/>
      <c r="D23" s="9"/>
    </row>
    <row r="24" spans="2:5" x14ac:dyDescent="0.2">
      <c r="B24" t="str">
        <f>"The August 2026 defence contract for the Terra B1 intercept drone re-rated the shares to "&amp;TEXT(C9,"#,##0")&amp;" from about 13,000 a month earlier. Its value, volume and schedule are all undisclosed, so this model measures two things only: what the price requires, and how far it can fall."</f>
        <v>The August 2026 defence contract for the Terra B1 intercept drone re-rated the shares to 21,620 from about 13,000 a month earlier. Its value, volume and schedule are all undisclosed, so this model measures two things only: what the price requires, and how far it can fall.</v>
      </c>
    </row>
    <row r="25" spans="2:5" x14ac:dyDescent="0.2">
      <c r="B25" t="str">
        <f>"At "&amp;TEXT(C9,"#,##0")&amp;" the enterprise value is about JPY222bn against FY1/26 revenue of JPY4,783mn. Growth is slowing as losses widen: sales rose 49.7%, then 7.8%, then 6.6%, while the operating loss went from JPY243mn to JPY627mn to JPY1,144mn."</f>
        <v>At 21,620 the enterprise value is about JPY222bn against FY1/26 revenue of JPY4,783mn. Growth is slowing as losses widen: sales rose 49.7%, then 7.8%, then 6.6%, while the operating loss went from JPY243mn to JPY627mn to JPY1,144mn.</v>
      </c>
    </row>
    <row r="26" spans="2:5" x14ac:dyDescent="0.2">
      <c r="B26" t="str">
        <f>"The DCF target of "&amp;TEXT(C10,"#,##0")&amp;" implies "&amp;TEXT(C12,"+0.0%;-0.0%")&amp;" at a WACC of "&amp;TEXT('DCF Model'!C26,"0.00%")&amp;", and the shares trade at "&amp;TEXT('Comps Analysis'!M5,"0.00""x""")&amp;" PBR. For a story-led name the target is not the point: the Reverse DCF sheet and the two downside scenarios are."</f>
        <v>The DCF target of 529 implies -97.6% at a WACC of 12.93%, and the shares trade at 50.19x PBR. For a story-led name the target is not the point: the Reverse DCF sheet and the two downside scenarios are.</v>
      </c>
    </row>
    <row r="28" spans="2:5" ht="14" customHeight="1" x14ac:dyDescent="0.3">
      <c r="B28" s="8" t="s">
        <v>24</v>
      </c>
      <c r="C28" s="9"/>
      <c r="D28" s="9"/>
    </row>
    <row r="29" spans="2:5" x14ac:dyDescent="0.2">
      <c r="B29" t="s">
        <v>25</v>
      </c>
    </row>
    <row r="30" spans="2:5" x14ac:dyDescent="0.2">
      <c r="B30" t="s">
        <v>26</v>
      </c>
    </row>
    <row r="31" spans="2:5" x14ac:dyDescent="0.2">
      <c r="B31" t="s">
        <v>27</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E30"/>
  <sheetViews>
    <sheetView workbookViewId="0"/>
  </sheetViews>
  <sheetFormatPr defaultRowHeight="13" x14ac:dyDescent="0.2"/>
  <cols>
    <col min="1" max="1" width="3" customWidth="1"/>
    <col min="2" max="2" width="32" customWidth="1"/>
    <col min="3" max="5" width="18" customWidth="1"/>
  </cols>
  <sheetData>
    <row r="2" spans="2:5" ht="18" customHeight="1" x14ac:dyDescent="0.4">
      <c r="B2" s="2" t="s">
        <v>28</v>
      </c>
    </row>
    <row r="4" spans="2:5" ht="14" customHeight="1" x14ac:dyDescent="0.3">
      <c r="C4" s="10" t="s">
        <v>29</v>
      </c>
      <c r="D4" s="10" t="s">
        <v>30</v>
      </c>
      <c r="E4" s="10" t="s">
        <v>31</v>
      </c>
    </row>
    <row r="5" spans="2:5" ht="14" customHeight="1" x14ac:dyDescent="0.3">
      <c r="B5" s="3" t="s">
        <v>32</v>
      </c>
    </row>
    <row r="6" spans="2:5" ht="14" customHeight="1" x14ac:dyDescent="0.3">
      <c r="B6" s="4" t="s">
        <v>33</v>
      </c>
      <c r="C6" s="5">
        <v>2963.3</v>
      </c>
      <c r="D6" s="5">
        <v>4435.6000000000004</v>
      </c>
      <c r="E6" s="5">
        <v>4782.6000000000004</v>
      </c>
    </row>
    <row r="7" spans="2:5" ht="14" customHeight="1" x14ac:dyDescent="0.3">
      <c r="B7" s="4" t="s">
        <v>34</v>
      </c>
      <c r="C7" s="5">
        <v>1424.1</v>
      </c>
      <c r="D7" s="5">
        <v>2144</v>
      </c>
      <c r="E7" s="5">
        <v>2469.6999999999998</v>
      </c>
    </row>
    <row r="8" spans="2:5" ht="14" customHeight="1" x14ac:dyDescent="0.3">
      <c r="B8" s="4" t="s">
        <v>35</v>
      </c>
      <c r="C8" s="5">
        <f>C6-C7</f>
        <v>1539.2000000000003</v>
      </c>
      <c r="D8" s="5">
        <f>D6-D7</f>
        <v>2291.6000000000004</v>
      </c>
      <c r="E8" s="5">
        <f>E6-E7</f>
        <v>2312.9000000000005</v>
      </c>
    </row>
    <row r="9" spans="2:5" ht="13.5" customHeight="1" x14ac:dyDescent="0.25">
      <c r="B9" t="s">
        <v>36</v>
      </c>
      <c r="C9" s="7">
        <f>C8/C6</f>
        <v>0.51942091587081973</v>
      </c>
      <c r="D9" s="7">
        <f>D8/D6</f>
        <v>0.51663810983857883</v>
      </c>
      <c r="E9" s="7">
        <f>E8/E6</f>
        <v>0.48360724292225993</v>
      </c>
    </row>
    <row r="10" spans="2:5" ht="14" customHeight="1" x14ac:dyDescent="0.3">
      <c r="B10" s="4" t="s">
        <v>37</v>
      </c>
      <c r="C10" s="5">
        <v>1782.3</v>
      </c>
      <c r="D10" s="5">
        <v>2918.8</v>
      </c>
      <c r="E10" s="5">
        <v>3456.7</v>
      </c>
    </row>
    <row r="11" spans="2:5" ht="14" customHeight="1" x14ac:dyDescent="0.3">
      <c r="B11" s="4" t="s">
        <v>38</v>
      </c>
      <c r="C11" s="5">
        <v>-243.1</v>
      </c>
      <c r="D11" s="5">
        <v>-627.20000000000005</v>
      </c>
      <c r="E11" s="5">
        <v>-1143.8</v>
      </c>
    </row>
    <row r="12" spans="2:5" ht="14" customHeight="1" x14ac:dyDescent="0.3">
      <c r="B12" s="4" t="s">
        <v>39</v>
      </c>
      <c r="C12" s="5">
        <v>-353.9</v>
      </c>
      <c r="D12" s="5">
        <v>-474.8</v>
      </c>
      <c r="E12" s="5">
        <v>-2497.9</v>
      </c>
    </row>
    <row r="13" spans="2:5" ht="13.5" customHeight="1" x14ac:dyDescent="0.25">
      <c r="B13" t="s">
        <v>40</v>
      </c>
      <c r="C13" s="7">
        <f>C11/C6</f>
        <v>-8.2036918300543313E-2</v>
      </c>
      <c r="D13" s="7">
        <f>D11/D6</f>
        <v>-0.14140138876363964</v>
      </c>
      <c r="E13" s="7">
        <f>E11/E6</f>
        <v>-0.23915861665203025</v>
      </c>
    </row>
    <row r="14" spans="2:5" ht="13.5" customHeight="1" x14ac:dyDescent="0.25">
      <c r="B14" t="s">
        <v>41</v>
      </c>
      <c r="C14" s="7">
        <f>C12/C6</f>
        <v>-0.11942766510309451</v>
      </c>
      <c r="D14" s="7">
        <f>D12/D6</f>
        <v>-0.10704301560104608</v>
      </c>
      <c r="E14" s="7">
        <f>E12/E6</f>
        <v>-0.52228913143478439</v>
      </c>
    </row>
    <row r="15" spans="2:5" ht="13.5" customHeight="1" x14ac:dyDescent="0.25">
      <c r="B15" t="s">
        <v>42</v>
      </c>
      <c r="C15" t="s">
        <v>43</v>
      </c>
      <c r="D15" s="7">
        <f>(D6-C6)/C6</f>
        <v>0.49684473391151762</v>
      </c>
      <c r="E15" s="7">
        <f>(E6-D6)/D6</f>
        <v>7.8230679051312105E-2</v>
      </c>
    </row>
    <row r="16" spans="2:5" ht="13.5" customHeight="1" x14ac:dyDescent="0.25">
      <c r="B16" t="s">
        <v>44</v>
      </c>
      <c r="C16" t="s">
        <v>43</v>
      </c>
      <c r="D16" s="7">
        <f>(D11-C11)/C11</f>
        <v>1.5800082270670508</v>
      </c>
      <c r="E16" s="7">
        <f>(E11-D11)/D11</f>
        <v>0.82366071428571408</v>
      </c>
    </row>
    <row r="18" spans="2:5" ht="14" customHeight="1" x14ac:dyDescent="0.3">
      <c r="B18" s="3" t="s">
        <v>45</v>
      </c>
    </row>
    <row r="19" spans="2:5" ht="14" customHeight="1" x14ac:dyDescent="0.3">
      <c r="B19" s="4" t="s">
        <v>46</v>
      </c>
      <c r="C19" s="5">
        <v>-15.6</v>
      </c>
      <c r="D19" s="5">
        <v>-927.9</v>
      </c>
      <c r="E19" s="5">
        <v>-716.5</v>
      </c>
    </row>
    <row r="20" spans="2:5" ht="14" customHeight="1" x14ac:dyDescent="0.3">
      <c r="B20" s="4" t="s">
        <v>47</v>
      </c>
      <c r="C20" s="5">
        <v>249.9</v>
      </c>
      <c r="D20" s="5">
        <v>683.4</v>
      </c>
      <c r="E20" s="5">
        <v>875.9</v>
      </c>
    </row>
    <row r="21" spans="2:5" ht="14" customHeight="1" x14ac:dyDescent="0.3">
      <c r="B21" s="4" t="s">
        <v>48</v>
      </c>
      <c r="C21" s="5">
        <f>C19-C20</f>
        <v>-265.5</v>
      </c>
      <c r="D21" s="5">
        <f>D19-D20</f>
        <v>-1611.3</v>
      </c>
      <c r="E21" s="5">
        <f>E19-E20</f>
        <v>-1592.4</v>
      </c>
    </row>
    <row r="22" spans="2:5" ht="13.5" customHeight="1" x14ac:dyDescent="0.25">
      <c r="B22" t="s">
        <v>49</v>
      </c>
      <c r="C22" s="7">
        <f>C21/C6</f>
        <v>-8.9596058448351501E-2</v>
      </c>
      <c r="D22" s="7">
        <f>D21/D6</f>
        <v>-0.36326539814230313</v>
      </c>
      <c r="E22" s="7">
        <f>E21/E6</f>
        <v>-0.33295696901267091</v>
      </c>
    </row>
    <row r="23" spans="2:5" ht="13.5" customHeight="1" x14ac:dyDescent="0.25">
      <c r="B23" t="s">
        <v>50</v>
      </c>
      <c r="C23" s="7">
        <f>C20/C6</f>
        <v>8.4331657273985075E-2</v>
      </c>
      <c r="D23" s="7">
        <f>D20/D6</f>
        <v>0.15407160248895299</v>
      </c>
      <c r="E23" s="7">
        <f>E20/E6</f>
        <v>0.18314306026010954</v>
      </c>
    </row>
    <row r="25" spans="2:5" ht="14" customHeight="1" x14ac:dyDescent="0.3">
      <c r="B25" s="3" t="s">
        <v>51</v>
      </c>
    </row>
    <row r="26" spans="2:5" ht="14" customHeight="1" x14ac:dyDescent="0.3">
      <c r="B26" s="4" t="s">
        <v>52</v>
      </c>
      <c r="C26" s="5">
        <v>5008.7</v>
      </c>
      <c r="D26" s="5">
        <v>4145.6000000000004</v>
      </c>
      <c r="E26" s="5">
        <v>2019</v>
      </c>
    </row>
    <row r="27" spans="2:5" ht="14" customHeight="1" x14ac:dyDescent="0.3">
      <c r="B27" s="4" t="s">
        <v>53</v>
      </c>
      <c r="C27" s="5">
        <v>965.1</v>
      </c>
      <c r="D27" s="5">
        <v>570.5</v>
      </c>
      <c r="E27" s="5">
        <v>0</v>
      </c>
    </row>
    <row r="28" spans="2:5" ht="14" customHeight="1" x14ac:dyDescent="0.3">
      <c r="B28" s="4" t="s">
        <v>54</v>
      </c>
      <c r="C28" s="5">
        <f>C27-C26</f>
        <v>-4043.6</v>
      </c>
      <c r="D28" s="5">
        <f>D27-D26</f>
        <v>-3575.1000000000004</v>
      </c>
      <c r="E28" s="5">
        <f>E27-E26</f>
        <v>-2019</v>
      </c>
    </row>
    <row r="30" spans="2:5" ht="14" customHeight="1" x14ac:dyDescent="0.3">
      <c r="B30" s="1" t="s">
        <v>55</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J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56</v>
      </c>
    </row>
    <row r="4" spans="2:7" ht="14" customHeight="1" x14ac:dyDescent="0.3">
      <c r="B4" s="8" t="s">
        <v>57</v>
      </c>
      <c r="C4" s="9"/>
      <c r="D4" s="9"/>
      <c r="E4" s="9"/>
      <c r="F4" s="9"/>
      <c r="G4" s="9"/>
    </row>
    <row r="5" spans="2:7" ht="14" customHeight="1" x14ac:dyDescent="0.3">
      <c r="B5" s="4" t="s">
        <v>50</v>
      </c>
      <c r="C5" s="7">
        <v>7.4999999999999997E-2</v>
      </c>
    </row>
    <row r="6" spans="2:7" ht="14" customHeight="1" x14ac:dyDescent="0.3">
      <c r="B6" s="4" t="s">
        <v>58</v>
      </c>
      <c r="C6" s="7">
        <v>0.30599999999999999</v>
      </c>
    </row>
    <row r="7" spans="2:7" ht="14" customHeight="1" x14ac:dyDescent="0.3">
      <c r="B7" s="4" t="s">
        <v>59</v>
      </c>
      <c r="C7" s="7">
        <v>2.9000000000000001E-2</v>
      </c>
    </row>
    <row r="8" spans="2:7" ht="14" customHeight="1" x14ac:dyDescent="0.3">
      <c r="B8" s="4" t="s">
        <v>60</v>
      </c>
      <c r="C8" s="12">
        <v>1.55</v>
      </c>
    </row>
    <row r="9" spans="2:7" ht="14" customHeight="1" x14ac:dyDescent="0.3">
      <c r="B9" s="4" t="s">
        <v>61</v>
      </c>
      <c r="C9" s="7">
        <v>5.5E-2</v>
      </c>
    </row>
    <row r="10" spans="2:7" ht="14" customHeight="1" x14ac:dyDescent="0.3">
      <c r="B10" s="4" t="s">
        <v>62</v>
      </c>
      <c r="C10" s="7">
        <v>1.4999999999999999E-2</v>
      </c>
    </row>
    <row r="11" spans="2:7" ht="14" customHeight="1" x14ac:dyDescent="0.3">
      <c r="B11" s="4" t="s">
        <v>63</v>
      </c>
      <c r="C11" s="7">
        <v>1.4E-2</v>
      </c>
    </row>
    <row r="12" spans="2:7" ht="14" customHeight="1" x14ac:dyDescent="0.3">
      <c r="B12" s="4" t="s">
        <v>64</v>
      </c>
      <c r="C12" s="13">
        <v>0</v>
      </c>
    </row>
    <row r="13" spans="2:7" ht="14" customHeight="1" x14ac:dyDescent="0.3">
      <c r="B13" s="4" t="s">
        <v>65</v>
      </c>
      <c r="C13" s="7">
        <v>0.02</v>
      </c>
    </row>
    <row r="14" spans="2:7" ht="14" customHeight="1" x14ac:dyDescent="0.3">
      <c r="B14" s="4" t="s">
        <v>66</v>
      </c>
      <c r="C14" s="14">
        <v>2</v>
      </c>
    </row>
    <row r="15" spans="2:7" ht="14" customHeight="1" x14ac:dyDescent="0.3">
      <c r="B15" s="4" t="s">
        <v>67</v>
      </c>
      <c r="C15" s="15">
        <v>10397100</v>
      </c>
    </row>
    <row r="16" spans="2:7" ht="14" customHeight="1" x14ac:dyDescent="0.3">
      <c r="B16" s="4" t="s">
        <v>68</v>
      </c>
      <c r="C16" s="5">
        <v>-2257</v>
      </c>
    </row>
    <row r="17" spans="2:10" ht="14" customHeight="1" x14ac:dyDescent="0.3">
      <c r="B17" s="4" t="s">
        <v>69</v>
      </c>
      <c r="C17" s="5">
        <v>4782.6000000000004</v>
      </c>
    </row>
    <row r="18" spans="2:10" ht="14" customHeight="1" x14ac:dyDescent="0.3">
      <c r="B18" s="4" t="s">
        <v>70</v>
      </c>
      <c r="C18" s="7">
        <v>7.0000000000000007E-2</v>
      </c>
    </row>
    <row r="19" spans="2:10" ht="14" customHeight="1" x14ac:dyDescent="0.3">
      <c r="B19" s="4" t="s">
        <v>71</v>
      </c>
      <c r="C19" s="12">
        <v>0.42</v>
      </c>
    </row>
    <row r="20" spans="2:10" ht="14" customHeight="1" x14ac:dyDescent="0.3">
      <c r="B20" s="4" t="s">
        <v>72</v>
      </c>
      <c r="C20" s="5">
        <v>4845.6000000000004</v>
      </c>
    </row>
    <row r="22" spans="2:10" ht="14" customHeight="1" x14ac:dyDescent="0.3">
      <c r="B22" s="8" t="s">
        <v>73</v>
      </c>
      <c r="C22" s="9"/>
      <c r="D22" s="9"/>
      <c r="E22" s="9"/>
      <c r="F22" s="9"/>
      <c r="G22" s="9"/>
    </row>
    <row r="23" spans="2:10" ht="14" customHeight="1" x14ac:dyDescent="0.3">
      <c r="B23" s="4" t="s">
        <v>74</v>
      </c>
      <c r="C23" s="16">
        <f>C7+C8*C9+C10</f>
        <v>0.12925</v>
      </c>
    </row>
    <row r="24" spans="2:10" ht="14" customHeight="1" x14ac:dyDescent="0.3">
      <c r="B24" s="4" t="s">
        <v>75</v>
      </c>
      <c r="C24" s="16">
        <f>1/(1+C12)</f>
        <v>1</v>
      </c>
    </row>
    <row r="25" spans="2:10" ht="14" customHeight="1" x14ac:dyDescent="0.3">
      <c r="B25" s="4" t="s">
        <v>76</v>
      </c>
      <c r="C25" s="16">
        <f>C12/(1+C12)</f>
        <v>0</v>
      </c>
    </row>
    <row r="26" spans="2:10" ht="14" customHeight="1" x14ac:dyDescent="0.3">
      <c r="B26" s="4" t="s">
        <v>77</v>
      </c>
      <c r="C26" s="16">
        <f>C23*C24+C11*C25</f>
        <v>0.12925</v>
      </c>
    </row>
    <row r="27" spans="2:10" ht="14" customHeight="1" x14ac:dyDescent="0.3">
      <c r="B27" s="4" t="s">
        <v>78</v>
      </c>
      <c r="C27" s="17" t="s">
        <v>79</v>
      </c>
      <c r="D27" s="6">
        <f>MATCH(C27,B69:B73,0)</f>
        <v>1</v>
      </c>
    </row>
    <row r="28" spans="2:10" ht="14" customHeight="1" x14ac:dyDescent="0.3">
      <c r="B28" s="8" t="s">
        <v>80</v>
      </c>
      <c r="C28" s="9"/>
      <c r="D28" s="9"/>
      <c r="E28" s="9"/>
      <c r="F28" s="9"/>
      <c r="G28" s="9"/>
    </row>
    <row r="29" spans="2:10" ht="28" customHeight="1" x14ac:dyDescent="0.3">
      <c r="C29" s="10" t="s">
        <v>81</v>
      </c>
      <c r="D29" s="10" t="s">
        <v>82</v>
      </c>
      <c r="E29" s="10" t="s">
        <v>83</v>
      </c>
      <c r="F29" s="10" t="s">
        <v>84</v>
      </c>
      <c r="G29" s="10" t="s">
        <v>85</v>
      </c>
      <c r="H29" s="10" t="s">
        <v>86</v>
      </c>
      <c r="I29" s="10" t="s">
        <v>87</v>
      </c>
      <c r="J29" s="10" t="s">
        <v>88</v>
      </c>
    </row>
    <row r="30" spans="2:10" ht="14" customHeight="1" x14ac:dyDescent="0.3">
      <c r="B30" s="4" t="s">
        <v>42</v>
      </c>
      <c r="C30" s="18">
        <f t="shared" ref="C30:J30" si="0">CHOOSE($D$27,C69,C70,C71,C72,C73)</f>
        <v>0.16189999999999999</v>
      </c>
      <c r="D30" s="18">
        <f t="shared" si="0"/>
        <v>0.25969999999999999</v>
      </c>
      <c r="E30" s="18">
        <f t="shared" si="0"/>
        <v>0.27429999999999999</v>
      </c>
      <c r="F30" s="18">
        <f t="shared" si="0"/>
        <v>0.2099</v>
      </c>
      <c r="G30" s="18">
        <f t="shared" si="0"/>
        <v>0.15670000000000001</v>
      </c>
      <c r="H30" s="18">
        <f t="shared" si="0"/>
        <v>0.10249999999999999</v>
      </c>
      <c r="I30" s="18">
        <f t="shared" si="0"/>
        <v>7.4300000000000005E-2</v>
      </c>
      <c r="J30" s="18">
        <f t="shared" si="0"/>
        <v>5.11E-2</v>
      </c>
    </row>
    <row r="31" spans="2:10" ht="14" customHeight="1" x14ac:dyDescent="0.3">
      <c r="B31" s="4" t="s">
        <v>89</v>
      </c>
      <c r="C31" s="18">
        <f t="shared" ref="C31:J31" si="1">CHOOSE($D$27,C76,C77,C78,C79,C80)</f>
        <v>0.55500000000000005</v>
      </c>
      <c r="D31" s="18">
        <f t="shared" si="1"/>
        <v>0.56000000000000005</v>
      </c>
      <c r="E31" s="18">
        <f t="shared" si="1"/>
        <v>0.56999999999999995</v>
      </c>
      <c r="F31" s="18">
        <f t="shared" si="1"/>
        <v>0.56999999999999995</v>
      </c>
      <c r="G31" s="18">
        <f t="shared" si="1"/>
        <v>0.56999999999999995</v>
      </c>
      <c r="H31" s="18">
        <f t="shared" si="1"/>
        <v>0.56999999999999995</v>
      </c>
      <c r="I31" s="18">
        <f t="shared" si="1"/>
        <v>0.56999999999999995</v>
      </c>
      <c r="J31" s="18">
        <f t="shared" si="1"/>
        <v>0.56999999999999995</v>
      </c>
    </row>
    <row r="32" spans="2:10" ht="14" customHeight="1" x14ac:dyDescent="0.3">
      <c r="B32" s="4" t="s">
        <v>90</v>
      </c>
      <c r="C32" s="18">
        <f t="shared" ref="C32:J32" si="2">CHOOSE($D$27,C83,C84,C85,C86,C87)</f>
        <v>0.70199999999999996</v>
      </c>
      <c r="D32" s="18">
        <f t="shared" si="2"/>
        <v>0.60399999999999998</v>
      </c>
      <c r="E32" s="18">
        <f t="shared" si="2"/>
        <v>0.51400000000000001</v>
      </c>
      <c r="F32" s="18">
        <f t="shared" si="2"/>
        <v>0.45600000000000002</v>
      </c>
      <c r="G32" s="18">
        <f t="shared" si="2"/>
        <v>0.42</v>
      </c>
      <c r="H32" s="18">
        <f t="shared" si="2"/>
        <v>0.376</v>
      </c>
      <c r="I32" s="18">
        <f t="shared" si="2"/>
        <v>0.35</v>
      </c>
      <c r="J32" s="18">
        <f t="shared" si="2"/>
        <v>0.33</v>
      </c>
    </row>
    <row r="33" spans="2:10" ht="14" customHeight="1" x14ac:dyDescent="0.3">
      <c r="B33" s="4" t="s">
        <v>33</v>
      </c>
      <c r="C33" s="5">
        <f>C17*(1+C30)</f>
        <v>5556.9029399999999</v>
      </c>
      <c r="D33" s="5">
        <f t="shared" ref="D33:J33" si="3">C33*(1+D30)</f>
        <v>7000.0306335180003</v>
      </c>
      <c r="E33" s="5">
        <f t="shared" si="3"/>
        <v>8920.1390362919883</v>
      </c>
      <c r="F33" s="5">
        <f t="shared" si="3"/>
        <v>10792.476220009676</v>
      </c>
      <c r="G33" s="5">
        <f t="shared" si="3"/>
        <v>12483.657243685193</v>
      </c>
      <c r="H33" s="5">
        <f t="shared" si="3"/>
        <v>13763.232111162926</v>
      </c>
      <c r="I33" s="5">
        <f t="shared" si="3"/>
        <v>14785.840257022332</v>
      </c>
      <c r="J33" s="5">
        <f t="shared" si="3"/>
        <v>15541.396694156172</v>
      </c>
    </row>
    <row r="34" spans="2:10" ht="14" customHeight="1" x14ac:dyDescent="0.3">
      <c r="B34" s="4" t="s">
        <v>34</v>
      </c>
      <c r="C34" s="5">
        <f t="shared" ref="C34:J34" si="4">C33*C31</f>
        <v>3084.0811317000002</v>
      </c>
      <c r="D34" s="5">
        <f t="shared" si="4"/>
        <v>3920.0171547700807</v>
      </c>
      <c r="E34" s="5">
        <f t="shared" si="4"/>
        <v>5084.4792506864333</v>
      </c>
      <c r="F34" s="5">
        <f t="shared" si="4"/>
        <v>6151.7114454055145</v>
      </c>
      <c r="G34" s="5">
        <f t="shared" si="4"/>
        <v>7115.6846289005598</v>
      </c>
      <c r="H34" s="5">
        <f t="shared" si="4"/>
        <v>7845.0423033628676</v>
      </c>
      <c r="I34" s="5">
        <f t="shared" si="4"/>
        <v>8427.9289465027286</v>
      </c>
      <c r="J34" s="5">
        <f t="shared" si="4"/>
        <v>8858.5961156690173</v>
      </c>
    </row>
    <row r="35" spans="2:10" ht="14" customHeight="1" x14ac:dyDescent="0.3">
      <c r="B35" s="4" t="s">
        <v>35</v>
      </c>
      <c r="C35" s="19">
        <f t="shared" ref="C35:J35" si="5">C33-C34</f>
        <v>2472.8218082999997</v>
      </c>
      <c r="D35" s="19">
        <f t="shared" si="5"/>
        <v>3080.0134787479196</v>
      </c>
      <c r="E35" s="19">
        <f t="shared" si="5"/>
        <v>3835.659785605555</v>
      </c>
      <c r="F35" s="19">
        <f t="shared" si="5"/>
        <v>4640.7647746041612</v>
      </c>
      <c r="G35" s="19">
        <f t="shared" si="5"/>
        <v>5367.9726147846332</v>
      </c>
      <c r="H35" s="19">
        <f t="shared" si="5"/>
        <v>5918.1898078000586</v>
      </c>
      <c r="I35" s="19">
        <f t="shared" si="5"/>
        <v>6357.9113105196029</v>
      </c>
      <c r="J35" s="19">
        <f t="shared" si="5"/>
        <v>6682.8005784871548</v>
      </c>
    </row>
    <row r="36" spans="2:10" ht="14" customHeight="1" x14ac:dyDescent="0.3">
      <c r="B36" s="4" t="s">
        <v>36</v>
      </c>
      <c r="C36" s="7">
        <f t="shared" ref="C36:J36" si="6">C35/C33</f>
        <v>0.44499999999999995</v>
      </c>
      <c r="D36" s="7">
        <f t="shared" si="6"/>
        <v>0.43999999999999995</v>
      </c>
      <c r="E36" s="7">
        <f t="shared" si="6"/>
        <v>0.43</v>
      </c>
      <c r="F36" s="7">
        <f t="shared" si="6"/>
        <v>0.43000000000000005</v>
      </c>
      <c r="G36" s="7">
        <f t="shared" si="6"/>
        <v>0.43</v>
      </c>
      <c r="H36" s="7">
        <f t="shared" si="6"/>
        <v>0.43000000000000005</v>
      </c>
      <c r="I36" s="7">
        <f t="shared" si="6"/>
        <v>0.43000000000000005</v>
      </c>
      <c r="J36" s="7">
        <f t="shared" si="6"/>
        <v>0.43000000000000005</v>
      </c>
    </row>
    <row r="37" spans="2:10" ht="14" customHeight="1" x14ac:dyDescent="0.3">
      <c r="B37" s="4" t="s">
        <v>91</v>
      </c>
      <c r="C37" s="5">
        <f t="shared" ref="C37:J37" si="7">C33*C32</f>
        <v>3900.9458638799997</v>
      </c>
      <c r="D37" s="5">
        <f t="shared" si="7"/>
        <v>4228.0185026448717</v>
      </c>
      <c r="E37" s="5">
        <f t="shared" si="7"/>
        <v>4584.951464654082</v>
      </c>
      <c r="F37" s="5">
        <f t="shared" si="7"/>
        <v>4921.369156324412</v>
      </c>
      <c r="G37" s="5">
        <f t="shared" si="7"/>
        <v>5243.1360423477809</v>
      </c>
      <c r="H37" s="5">
        <f t="shared" si="7"/>
        <v>5174.9752737972603</v>
      </c>
      <c r="I37" s="5">
        <f t="shared" si="7"/>
        <v>5175.0440899578161</v>
      </c>
      <c r="J37" s="5">
        <f t="shared" si="7"/>
        <v>5128.6609090715374</v>
      </c>
    </row>
    <row r="38" spans="2:10" ht="14" customHeight="1" x14ac:dyDescent="0.3">
      <c r="B38" s="4" t="s">
        <v>92</v>
      </c>
      <c r="C38" s="7">
        <f t="shared" ref="C38:J38" si="8">(C35-C37)/C33</f>
        <v>-0.25700000000000001</v>
      </c>
      <c r="D38" s="7">
        <f t="shared" si="8"/>
        <v>-0.16400000000000001</v>
      </c>
      <c r="E38" s="7">
        <f t="shared" si="8"/>
        <v>-8.3999999999999991E-2</v>
      </c>
      <c r="F38" s="7">
        <f t="shared" si="8"/>
        <v>-2.5999999999999926E-2</v>
      </c>
      <c r="G38" s="7">
        <f t="shared" si="8"/>
        <v>1.000000000000003E-2</v>
      </c>
      <c r="H38" s="7">
        <f t="shared" si="8"/>
        <v>5.4000000000000013E-2</v>
      </c>
      <c r="I38" s="7">
        <f t="shared" si="8"/>
        <v>8.0000000000000016E-2</v>
      </c>
      <c r="J38" s="7">
        <f t="shared" si="8"/>
        <v>0.1</v>
      </c>
    </row>
    <row r="39" spans="2:10" ht="14" customHeight="1" x14ac:dyDescent="0.3">
      <c r="B39" s="4" t="s">
        <v>93</v>
      </c>
      <c r="C39" s="19">
        <f t="shared" ref="C39:J39" si="9">C35-C37</f>
        <v>-1428.12405558</v>
      </c>
      <c r="D39" s="19">
        <f t="shared" si="9"/>
        <v>-1148.005023896952</v>
      </c>
      <c r="E39" s="19">
        <f t="shared" si="9"/>
        <v>-749.29167904852693</v>
      </c>
      <c r="F39" s="19">
        <f t="shared" si="9"/>
        <v>-280.60438172025079</v>
      </c>
      <c r="G39" s="19">
        <f t="shared" si="9"/>
        <v>124.83657243685229</v>
      </c>
      <c r="H39" s="19">
        <f t="shared" si="9"/>
        <v>743.21453400279825</v>
      </c>
      <c r="I39" s="19">
        <f t="shared" si="9"/>
        <v>1182.8672205617868</v>
      </c>
      <c r="J39" s="19">
        <f t="shared" si="9"/>
        <v>1554.1396694156174</v>
      </c>
    </row>
    <row r="40" spans="2:10" ht="14" customHeight="1" x14ac:dyDescent="0.3">
      <c r="B40" s="4" t="s">
        <v>94</v>
      </c>
      <c r="C40" s="5">
        <f>MAX(0,C39*C6)</f>
        <v>0</v>
      </c>
      <c r="D40" s="5">
        <f>MAX(0,D39*C6)</f>
        <v>0</v>
      </c>
      <c r="E40" s="5">
        <f>MAX(0,E39*C6)</f>
        <v>0</v>
      </c>
      <c r="F40" s="5">
        <f>MAX(0,F39*C6)</f>
        <v>0</v>
      </c>
      <c r="G40" s="5">
        <f>MAX(0,G39*C6)</f>
        <v>38.199991165676799</v>
      </c>
      <c r="H40" s="5">
        <f>MAX(0,H39*C6)</f>
        <v>227.42364740485627</v>
      </c>
      <c r="I40" s="5">
        <f>MAX(0,I39*C6)</f>
        <v>361.95736949190677</v>
      </c>
      <c r="J40" s="5">
        <f>MAX(0,J39*C6)</f>
        <v>475.5667388411789</v>
      </c>
    </row>
    <row r="41" spans="2:10" ht="14" customHeight="1" x14ac:dyDescent="0.3">
      <c r="B41" s="4" t="s">
        <v>95</v>
      </c>
      <c r="C41" s="19">
        <f t="shared" ref="C41:J41" si="10">C39-C40</f>
        <v>-1428.12405558</v>
      </c>
      <c r="D41" s="19">
        <f t="shared" si="10"/>
        <v>-1148.005023896952</v>
      </c>
      <c r="E41" s="19">
        <f t="shared" si="10"/>
        <v>-749.29167904852693</v>
      </c>
      <c r="F41" s="19">
        <f t="shared" si="10"/>
        <v>-280.60438172025079</v>
      </c>
      <c r="G41" s="19">
        <f t="shared" si="10"/>
        <v>86.636581271175487</v>
      </c>
      <c r="H41" s="19">
        <f t="shared" si="10"/>
        <v>515.79088659794195</v>
      </c>
      <c r="I41" s="19">
        <f t="shared" si="10"/>
        <v>820.90985106988001</v>
      </c>
      <c r="J41" s="19">
        <f t="shared" si="10"/>
        <v>1078.5729305744385</v>
      </c>
    </row>
    <row r="42" spans="2:10" ht="14" customHeight="1" x14ac:dyDescent="0.3">
      <c r="B42" s="4" t="s">
        <v>96</v>
      </c>
      <c r="C42" s="5">
        <f>C33*C18</f>
        <v>388.98320580000001</v>
      </c>
      <c r="D42" s="5">
        <f>D33*C18</f>
        <v>490.00214434626008</v>
      </c>
      <c r="E42" s="5">
        <f>E33*C18</f>
        <v>624.40973254043922</v>
      </c>
      <c r="F42" s="5">
        <f>F33*C18</f>
        <v>755.47333540067734</v>
      </c>
      <c r="G42" s="5">
        <f>G33*C18</f>
        <v>873.85600705796355</v>
      </c>
      <c r="H42" s="5">
        <f>H33*C18</f>
        <v>963.42624778140498</v>
      </c>
      <c r="I42" s="5">
        <f>I33*C18</f>
        <v>1035.0088179915633</v>
      </c>
      <c r="J42" s="5">
        <f>J33*C18</f>
        <v>1087.8977685909322</v>
      </c>
    </row>
    <row r="43" spans="2:10" ht="14" customHeight="1" x14ac:dyDescent="0.3">
      <c r="B43" s="4" t="s">
        <v>97</v>
      </c>
      <c r="C43" s="5">
        <f>C33*C5</f>
        <v>416.7677205</v>
      </c>
      <c r="D43" s="5">
        <f>D33*C5</f>
        <v>525.00229751384995</v>
      </c>
      <c r="E43" s="5">
        <f>E33*C5</f>
        <v>669.01042772189908</v>
      </c>
      <c r="F43" s="5">
        <f>F33*C5</f>
        <v>809.43571650072568</v>
      </c>
      <c r="G43" s="5">
        <f>G33*C5</f>
        <v>936.27429327638947</v>
      </c>
      <c r="H43" s="5">
        <f>H33*C5</f>
        <v>1032.2424083372193</v>
      </c>
      <c r="I43" s="5">
        <f>I33*C5</f>
        <v>1108.9380192766748</v>
      </c>
      <c r="J43" s="5">
        <f>J33*C5</f>
        <v>1165.6047520617128</v>
      </c>
    </row>
    <row r="44" spans="2:10" ht="14" customHeight="1" x14ac:dyDescent="0.3">
      <c r="B44" s="4" t="s">
        <v>98</v>
      </c>
      <c r="C44" s="5">
        <f>'NWC Schedule'!D19</f>
        <v>281.1416189569868</v>
      </c>
      <c r="D44" s="5">
        <f>'NWC Schedule'!E19</f>
        <v>482.74457029196196</v>
      </c>
      <c r="E44" s="5">
        <f>'NWC Schedule'!F19</f>
        <v>627.57729434752173</v>
      </c>
      <c r="F44" s="5">
        <f>'NWC Schedule'!G19</f>
        <v>651.98371520689807</v>
      </c>
      <c r="G44" s="5">
        <f>'NWC Schedule'!H19</f>
        <v>520.49806471722877</v>
      </c>
      <c r="H44" s="5">
        <f>'NWC Schedule'!I19</f>
        <v>395.57460634175004</v>
      </c>
      <c r="I44" s="5">
        <f>'NWC Schedule'!J19</f>
        <v>225.76708216346469</v>
      </c>
      <c r="J44" s="5">
        <f>'NWC Schedule'!K19</f>
        <v>250.3893332485186</v>
      </c>
    </row>
    <row r="45" spans="2:10" ht="14" customHeight="1" x14ac:dyDescent="0.3">
      <c r="B45" s="4" t="s">
        <v>99</v>
      </c>
      <c r="C45" s="20">
        <f t="shared" ref="C45:J45" si="11">C41+C42-C43-C44</f>
        <v>-1737.0501892369869</v>
      </c>
      <c r="D45" s="20">
        <f t="shared" si="11"/>
        <v>-1665.7497473565038</v>
      </c>
      <c r="E45" s="20">
        <f t="shared" si="11"/>
        <v>-1421.4696685775084</v>
      </c>
      <c r="F45" s="20">
        <f t="shared" si="11"/>
        <v>-986.55047802719719</v>
      </c>
      <c r="G45" s="20">
        <f t="shared" si="11"/>
        <v>-496.2797696644792</v>
      </c>
      <c r="H45" s="20">
        <f t="shared" si="11"/>
        <v>51.400119700377672</v>
      </c>
      <c r="I45" s="20">
        <f t="shared" si="11"/>
        <v>521.21356762130381</v>
      </c>
      <c r="J45" s="20">
        <f t="shared" si="11"/>
        <v>750.47661385513925</v>
      </c>
    </row>
    <row r="46" spans="2:10" ht="14" customHeight="1" x14ac:dyDescent="0.3">
      <c r="B46" s="4" t="s">
        <v>100</v>
      </c>
      <c r="C46" s="21">
        <f>1/(1+C26)^(C19+0)</f>
        <v>0.95022873267440022</v>
      </c>
      <c r="D46" s="21">
        <f>1/(1+C26)^(C19+1)</f>
        <v>0.84146887994190844</v>
      </c>
      <c r="E46" s="21">
        <f>1/(1+C26)^(C19+2)</f>
        <v>0.74515729904087524</v>
      </c>
      <c r="F46" s="21">
        <f>1/(1+C26)^(C19+3)</f>
        <v>0.6598692043753599</v>
      </c>
      <c r="G46" s="21">
        <f>1/(1+C26)^(C19+4)</f>
        <v>0.58434288631867159</v>
      </c>
      <c r="H46" s="21">
        <f>1/(1+C26)^(C19+5)</f>
        <v>0.51746104610907373</v>
      </c>
      <c r="I46" s="21">
        <f>1/(1+C26)^(C19+6)</f>
        <v>0.45823426708795545</v>
      </c>
      <c r="J46" s="21">
        <f>1/(1+C26)^(C19+7)</f>
        <v>0.40578637776219206</v>
      </c>
    </row>
    <row r="47" spans="2:10" ht="14" customHeight="1" x14ac:dyDescent="0.3">
      <c r="B47" s="4" t="s">
        <v>101</v>
      </c>
      <c r="C47" s="19">
        <f t="shared" ref="C47:J47" si="12">C45*C46</f>
        <v>-1650.5949999104892</v>
      </c>
      <c r="D47" s="19">
        <f t="shared" si="12"/>
        <v>-1401.6765741715942</v>
      </c>
      <c r="E47" s="19">
        <f t="shared" si="12"/>
        <v>-1059.2184989057444</v>
      </c>
      <c r="F47" s="19">
        <f t="shared" si="12"/>
        <v>-650.99427901193758</v>
      </c>
      <c r="G47" s="19">
        <f t="shared" si="12"/>
        <v>-289.99755302730728</v>
      </c>
      <c r="H47" s="19">
        <f t="shared" si="12"/>
        <v>26.59755971028904</v>
      </c>
      <c r="I47" s="19">
        <f t="shared" si="12"/>
        <v>238.83791715524666</v>
      </c>
      <c r="J47" s="19">
        <f t="shared" si="12"/>
        <v>304.53318673151227</v>
      </c>
    </row>
    <row r="49" spans="2:7" ht="14" customHeight="1" x14ac:dyDescent="0.3">
      <c r="B49" s="22" t="s">
        <v>102</v>
      </c>
      <c r="C49" s="23"/>
      <c r="D49" s="23"/>
      <c r="E49" s="23"/>
      <c r="F49" s="23"/>
      <c r="G49" s="23"/>
    </row>
    <row r="50" spans="2:7" ht="14" customHeight="1" x14ac:dyDescent="0.3">
      <c r="B50" s="4" t="s">
        <v>103</v>
      </c>
      <c r="C50" s="5">
        <f>SUM(C47:J47)</f>
        <v>-4482.5132414300242</v>
      </c>
    </row>
    <row r="51" spans="2:7" ht="14" customHeight="1" x14ac:dyDescent="0.3">
      <c r="B51" s="4" t="s">
        <v>104</v>
      </c>
      <c r="C51" s="5">
        <f>J45*(1+C13)/(C26-C13)</f>
        <v>7006.7381797001563</v>
      </c>
    </row>
    <row r="52" spans="2:7" ht="14" customHeight="1" x14ac:dyDescent="0.3">
      <c r="B52" s="4" t="s">
        <v>105</v>
      </c>
      <c r="C52" s="5">
        <f>C51*J46</f>
        <v>2843.2389058685817</v>
      </c>
    </row>
    <row r="53" spans="2:7" ht="14" customHeight="1" x14ac:dyDescent="0.3">
      <c r="B53" s="4" t="s">
        <v>106</v>
      </c>
      <c r="C53" s="5">
        <f>C50+C52</f>
        <v>-1639.2743355614425</v>
      </c>
    </row>
    <row r="54" spans="2:7" ht="14" customHeight="1" x14ac:dyDescent="0.3">
      <c r="B54" s="4" t="s">
        <v>107</v>
      </c>
      <c r="C54" s="5">
        <f>C53-C16</f>
        <v>617.72566443855749</v>
      </c>
    </row>
    <row r="55" spans="2:7" ht="14" customHeight="1" x14ac:dyDescent="0.3">
      <c r="B55" s="4" t="s">
        <v>108</v>
      </c>
      <c r="C55" s="24">
        <f>ROUND(C54*1000000/C15,0)</f>
        <v>59</v>
      </c>
    </row>
    <row r="57" spans="2:7" ht="14" customHeight="1" x14ac:dyDescent="0.3">
      <c r="B57" s="22" t="s">
        <v>109</v>
      </c>
      <c r="C57" s="23"/>
      <c r="D57" s="23"/>
      <c r="E57" s="23"/>
      <c r="F57" s="23"/>
      <c r="G57" s="23"/>
    </row>
    <row r="58" spans="2:7" ht="14" customHeight="1" x14ac:dyDescent="0.3">
      <c r="B58" s="4" t="s">
        <v>103</v>
      </c>
      <c r="C58" s="5">
        <f>C50</f>
        <v>-4482.5132414300242</v>
      </c>
    </row>
    <row r="59" spans="2:7" ht="14" customHeight="1" x14ac:dyDescent="0.3">
      <c r="B59" s="4" t="s">
        <v>110</v>
      </c>
      <c r="C59" s="5">
        <f>J33</f>
        <v>15541.396694156172</v>
      </c>
    </row>
    <row r="60" spans="2:7" ht="14" customHeight="1" x14ac:dyDescent="0.3">
      <c r="B60" s="4" t="s">
        <v>111</v>
      </c>
      <c r="C60" s="5">
        <f>C59*C14</f>
        <v>31082.793388312344</v>
      </c>
    </row>
    <row r="61" spans="2:7" ht="14" customHeight="1" x14ac:dyDescent="0.3">
      <c r="B61" s="4" t="s">
        <v>105</v>
      </c>
      <c r="C61" s="5">
        <f>C60*J46</f>
        <v>12612.974139773878</v>
      </c>
    </row>
    <row r="62" spans="2:7" ht="14" customHeight="1" x14ac:dyDescent="0.3">
      <c r="B62" s="4" t="s">
        <v>106</v>
      </c>
      <c r="C62" s="5">
        <f>C58+C61</f>
        <v>8130.4608983438538</v>
      </c>
    </row>
    <row r="63" spans="2:7" ht="14" customHeight="1" x14ac:dyDescent="0.3">
      <c r="B63" s="4" t="s">
        <v>107</v>
      </c>
      <c r="C63" s="5">
        <f>C62-C16</f>
        <v>10387.460898343854</v>
      </c>
    </row>
    <row r="64" spans="2:7" ht="14" customHeight="1" x14ac:dyDescent="0.3">
      <c r="B64" s="4" t="s">
        <v>112</v>
      </c>
      <c r="C64" s="24">
        <f>ROUND(C63*1000000/C15,0)</f>
        <v>999</v>
      </c>
    </row>
    <row r="66" spans="2:10" ht="14" customHeight="1" x14ac:dyDescent="0.3">
      <c r="B66" s="22" t="s">
        <v>113</v>
      </c>
      <c r="C66" s="23"/>
      <c r="D66" s="23"/>
      <c r="E66" s="23"/>
      <c r="F66" s="23"/>
      <c r="G66" s="23"/>
    </row>
    <row r="67" spans="2:10" ht="14" customHeight="1" x14ac:dyDescent="0.3">
      <c r="C67" s="25" t="s">
        <v>114</v>
      </c>
      <c r="D67" s="25" t="s">
        <v>115</v>
      </c>
      <c r="E67" s="25" t="s">
        <v>116</v>
      </c>
      <c r="F67" s="25" t="s">
        <v>117</v>
      </c>
      <c r="G67" s="25" t="s">
        <v>118</v>
      </c>
      <c r="H67" s="25" t="s">
        <v>119</v>
      </c>
      <c r="I67" s="25" t="s">
        <v>120</v>
      </c>
      <c r="J67" s="25" t="s">
        <v>121</v>
      </c>
    </row>
    <row r="68" spans="2:10" ht="14" customHeight="1" x14ac:dyDescent="0.3">
      <c r="B68" s="3" t="s">
        <v>42</v>
      </c>
    </row>
    <row r="69" spans="2:10" ht="14" customHeight="1" x14ac:dyDescent="0.3">
      <c r="B69" s="4" t="s">
        <v>79</v>
      </c>
      <c r="C69" s="26">
        <v>0.16189999999999999</v>
      </c>
      <c r="D69" s="26">
        <v>0.25969999999999999</v>
      </c>
      <c r="E69" s="26">
        <v>0.27429999999999999</v>
      </c>
      <c r="F69" s="26">
        <v>0.2099</v>
      </c>
      <c r="G69" s="26">
        <v>0.15670000000000001</v>
      </c>
      <c r="H69" s="26">
        <v>0.10249999999999999</v>
      </c>
      <c r="I69" s="26">
        <v>7.4300000000000005E-2</v>
      </c>
      <c r="J69" s="26">
        <v>5.11E-2</v>
      </c>
    </row>
    <row r="70" spans="2:10" ht="14" customHeight="1" x14ac:dyDescent="0.3">
      <c r="B70" s="4" t="s">
        <v>122</v>
      </c>
      <c r="C70" s="26">
        <v>0.30470000000000003</v>
      </c>
      <c r="D70" s="26">
        <v>0.50449999999999995</v>
      </c>
      <c r="E70" s="26">
        <v>0.51949999999999996</v>
      </c>
      <c r="F70" s="26">
        <v>0.46639999999999998</v>
      </c>
      <c r="G70" s="26">
        <v>0.35780000000000001</v>
      </c>
      <c r="H70" s="26">
        <v>0.20699999999999999</v>
      </c>
      <c r="I70" s="26">
        <v>0.14169999999999999</v>
      </c>
      <c r="J70" s="26">
        <v>8.7599999999999997E-2</v>
      </c>
    </row>
    <row r="71" spans="2:10" ht="14" customHeight="1" x14ac:dyDescent="0.3">
      <c r="B71" s="4" t="s">
        <v>123</v>
      </c>
      <c r="C71" s="26">
        <v>6.0699999999999997E-2</v>
      </c>
      <c r="D71" s="26">
        <v>0.30099999999999999</v>
      </c>
      <c r="E71" s="26">
        <v>0.30299999999999999</v>
      </c>
      <c r="F71" s="26">
        <v>0.26740000000000003</v>
      </c>
      <c r="G71" s="26">
        <v>0.19270000000000001</v>
      </c>
      <c r="H71" s="26">
        <v>0.15</v>
      </c>
      <c r="I71" s="26">
        <v>0.1</v>
      </c>
      <c r="J71" s="26">
        <v>0.06</v>
      </c>
    </row>
    <row r="72" spans="2:10" ht="14" customHeight="1" x14ac:dyDescent="0.3">
      <c r="B72" s="4" t="s">
        <v>124</v>
      </c>
      <c r="C72" s="26">
        <v>0.1019</v>
      </c>
      <c r="D72" s="26">
        <v>4.82E-2</v>
      </c>
      <c r="E72" s="26">
        <v>3.1300000000000001E-2</v>
      </c>
      <c r="F72" s="26">
        <v>0.06</v>
      </c>
      <c r="G72" s="26">
        <v>5.9900000000000002E-2</v>
      </c>
      <c r="H72" s="26">
        <v>0.06</v>
      </c>
      <c r="I72" s="26">
        <v>0.06</v>
      </c>
      <c r="J72" s="26">
        <v>6.0100000000000001E-2</v>
      </c>
    </row>
    <row r="73" spans="2:10" ht="14" customHeight="1" x14ac:dyDescent="0.3">
      <c r="B73" s="4" t="s">
        <v>125</v>
      </c>
      <c r="C73" s="26">
        <v>2.4500000000000001E-2</v>
      </c>
      <c r="D73" s="26">
        <v>-1.0200000000000001E-2</v>
      </c>
      <c r="E73" s="26">
        <v>-2.06E-2</v>
      </c>
      <c r="F73" s="26">
        <v>-1.0500000000000001E-2</v>
      </c>
      <c r="G73" s="26">
        <v>0</v>
      </c>
      <c r="H73" s="26">
        <v>1.06E-2</v>
      </c>
      <c r="I73" s="26">
        <v>1.0500000000000001E-2</v>
      </c>
      <c r="J73" s="26">
        <v>1.04E-2</v>
      </c>
    </row>
    <row r="75" spans="2:10" ht="14" customHeight="1" x14ac:dyDescent="0.3">
      <c r="B75" s="3" t="s">
        <v>89</v>
      </c>
    </row>
    <row r="76" spans="2:10" ht="14" customHeight="1" x14ac:dyDescent="0.3">
      <c r="B76" s="4" t="s">
        <v>79</v>
      </c>
      <c r="C76" s="26">
        <v>0.55500000000000005</v>
      </c>
      <c r="D76" s="26">
        <v>0.56000000000000005</v>
      </c>
      <c r="E76" s="26">
        <v>0.56999999999999995</v>
      </c>
      <c r="F76" s="26">
        <v>0.56999999999999995</v>
      </c>
      <c r="G76" s="26">
        <v>0.56999999999999995</v>
      </c>
      <c r="H76" s="26">
        <v>0.56999999999999995</v>
      </c>
      <c r="I76" s="26">
        <v>0.56999999999999995</v>
      </c>
      <c r="J76" s="26">
        <v>0.56999999999999995</v>
      </c>
    </row>
    <row r="77" spans="2:10" ht="14" customHeight="1" x14ac:dyDescent="0.3">
      <c r="B77" s="4" t="s">
        <v>122</v>
      </c>
      <c r="C77" s="26">
        <v>0.55000000000000004</v>
      </c>
      <c r="D77" s="26">
        <v>0.55000000000000004</v>
      </c>
      <c r="E77" s="26">
        <v>0.56000000000000005</v>
      </c>
      <c r="F77" s="26">
        <v>0.56000000000000005</v>
      </c>
      <c r="G77" s="26">
        <v>0.56000000000000005</v>
      </c>
      <c r="H77" s="26">
        <v>0.56000000000000005</v>
      </c>
      <c r="I77" s="26">
        <v>0.56000000000000005</v>
      </c>
      <c r="J77" s="26">
        <v>0.56000000000000005</v>
      </c>
    </row>
    <row r="78" spans="2:10" ht="14" customHeight="1" x14ac:dyDescent="0.3">
      <c r="B78" s="4" t="s">
        <v>123</v>
      </c>
      <c r="C78" s="26">
        <v>0.55500000000000005</v>
      </c>
      <c r="D78" s="26">
        <v>0.56000000000000005</v>
      </c>
      <c r="E78" s="26">
        <v>0.56499999999999995</v>
      </c>
      <c r="F78" s="26">
        <v>0.56999999999999995</v>
      </c>
      <c r="G78" s="26">
        <v>0.56999999999999995</v>
      </c>
      <c r="H78" s="26">
        <v>0.56999999999999995</v>
      </c>
      <c r="I78" s="26">
        <v>0.56999999999999995</v>
      </c>
      <c r="J78" s="26">
        <v>0.56999999999999995</v>
      </c>
    </row>
    <row r="79" spans="2:10" ht="14" customHeight="1" x14ac:dyDescent="0.3">
      <c r="B79" s="4" t="s">
        <v>124</v>
      </c>
      <c r="C79" s="26">
        <v>0.56000000000000005</v>
      </c>
      <c r="D79" s="26">
        <v>0.56000000000000005</v>
      </c>
      <c r="E79" s="26">
        <v>0.56000000000000005</v>
      </c>
      <c r="F79" s="26">
        <v>0.56000000000000005</v>
      </c>
      <c r="G79" s="26">
        <v>0.56000000000000005</v>
      </c>
      <c r="H79" s="26">
        <v>0.56000000000000005</v>
      </c>
      <c r="I79" s="26">
        <v>0.56000000000000005</v>
      </c>
      <c r="J79" s="26">
        <v>0.56000000000000005</v>
      </c>
    </row>
    <row r="80" spans="2:10" ht="14" customHeight="1" x14ac:dyDescent="0.3">
      <c r="B80" s="4" t="s">
        <v>125</v>
      </c>
      <c r="C80" s="26">
        <v>0.57999999999999996</v>
      </c>
      <c r="D80" s="26">
        <v>0.57999999999999996</v>
      </c>
      <c r="E80" s="26">
        <v>0.57999999999999996</v>
      </c>
      <c r="F80" s="26">
        <v>0.57999999999999996</v>
      </c>
      <c r="G80" s="26">
        <v>0.57999999999999996</v>
      </c>
      <c r="H80" s="26">
        <v>0.57999999999999996</v>
      </c>
      <c r="I80" s="26">
        <v>0.57999999999999996</v>
      </c>
      <c r="J80" s="26">
        <v>0.57999999999999996</v>
      </c>
    </row>
    <row r="82" spans="2:10" ht="14" customHeight="1" x14ac:dyDescent="0.3">
      <c r="B82" s="3" t="s">
        <v>90</v>
      </c>
    </row>
    <row r="83" spans="2:10" ht="14" customHeight="1" x14ac:dyDescent="0.3">
      <c r="B83" s="4" t="s">
        <v>79</v>
      </c>
      <c r="C83" s="26">
        <v>0.70199999999999996</v>
      </c>
      <c r="D83" s="26">
        <v>0.60399999999999998</v>
      </c>
      <c r="E83" s="26">
        <v>0.51400000000000001</v>
      </c>
      <c r="F83" s="26">
        <v>0.45600000000000002</v>
      </c>
      <c r="G83" s="26">
        <v>0.42</v>
      </c>
      <c r="H83" s="26">
        <v>0.376</v>
      </c>
      <c r="I83" s="26">
        <v>0.35</v>
      </c>
      <c r="J83" s="26">
        <v>0.33</v>
      </c>
    </row>
    <row r="84" spans="2:10" ht="14" customHeight="1" x14ac:dyDescent="0.3">
      <c r="B84" s="4" t="s">
        <v>122</v>
      </c>
      <c r="C84" s="26">
        <v>0.64100000000000001</v>
      </c>
      <c r="D84" s="26">
        <v>0.51100000000000001</v>
      </c>
      <c r="E84" s="26">
        <v>0.4</v>
      </c>
      <c r="F84" s="26">
        <v>0.32500000000000001</v>
      </c>
      <c r="G84" s="26">
        <v>0.28999999999999998</v>
      </c>
      <c r="H84" s="26">
        <v>0.28999999999999998</v>
      </c>
      <c r="I84" s="26">
        <v>0.28999999999999998</v>
      </c>
      <c r="J84" s="26">
        <v>0.28999999999999998</v>
      </c>
    </row>
    <row r="85" spans="2:10" ht="14" customHeight="1" x14ac:dyDescent="0.3">
      <c r="B85" s="4" t="s">
        <v>123</v>
      </c>
      <c r="C85" s="26">
        <v>0.77200000000000002</v>
      </c>
      <c r="D85" s="26">
        <v>0.60699999999999998</v>
      </c>
      <c r="E85" s="26">
        <v>0.48199999999999998</v>
      </c>
      <c r="F85" s="26">
        <v>0.40699999999999997</v>
      </c>
      <c r="G85" s="26">
        <v>0.36099999999999999</v>
      </c>
      <c r="H85" s="26">
        <v>0.33</v>
      </c>
      <c r="I85" s="26">
        <v>0.31</v>
      </c>
      <c r="J85" s="26">
        <v>0.30499999999999999</v>
      </c>
    </row>
    <row r="86" spans="2:10" ht="14" customHeight="1" x14ac:dyDescent="0.3">
      <c r="B86" s="4" t="s">
        <v>124</v>
      </c>
      <c r="C86" s="26">
        <v>0.70199999999999996</v>
      </c>
      <c r="D86" s="26">
        <v>0.68</v>
      </c>
      <c r="E86" s="26">
        <v>0.66</v>
      </c>
      <c r="F86" s="26">
        <v>0.64</v>
      </c>
      <c r="G86" s="26">
        <v>0.625</v>
      </c>
      <c r="H86" s="26">
        <v>0.61</v>
      </c>
      <c r="I86" s="26">
        <v>0.6</v>
      </c>
      <c r="J86" s="26">
        <v>0.59</v>
      </c>
    </row>
    <row r="87" spans="2:10" ht="14" customHeight="1" x14ac:dyDescent="0.3">
      <c r="B87" s="4" t="s">
        <v>125</v>
      </c>
      <c r="C87" s="26">
        <v>0.71399999999999997</v>
      </c>
      <c r="D87" s="26">
        <v>0.71</v>
      </c>
      <c r="E87" s="26">
        <v>0.71</v>
      </c>
      <c r="F87" s="26">
        <v>0.71</v>
      </c>
      <c r="G87" s="26">
        <v>0.71</v>
      </c>
      <c r="H87" s="26">
        <v>0.71</v>
      </c>
      <c r="I87" s="26">
        <v>0.71</v>
      </c>
      <c r="J87" s="26">
        <v>0.71</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126</v>
      </c>
    </row>
    <row r="3" spans="2:9" ht="14" customHeight="1" x14ac:dyDescent="0.3">
      <c r="B3" s="1" t="s">
        <v>127</v>
      </c>
    </row>
    <row r="5" spans="2:9" ht="14" customHeight="1" x14ac:dyDescent="0.3">
      <c r="B5" s="8" t="s">
        <v>128</v>
      </c>
      <c r="C5" s="9"/>
      <c r="D5" s="9"/>
      <c r="E5" s="9"/>
      <c r="F5" s="9"/>
      <c r="G5" s="9"/>
      <c r="H5" s="9"/>
      <c r="I5" s="9"/>
    </row>
    <row r="6" spans="2:9" ht="14" customHeight="1" x14ac:dyDescent="0.3">
      <c r="B6" s="4" t="s">
        <v>129</v>
      </c>
      <c r="C6" s="15">
        <f>'Executive Summary'!C9</f>
        <v>21620</v>
      </c>
    </row>
    <row r="7" spans="2:9" ht="14" customHeight="1" x14ac:dyDescent="0.3">
      <c r="B7" s="4" t="s">
        <v>67</v>
      </c>
      <c r="C7" s="15">
        <f>'DCF Model'!C15</f>
        <v>10397100</v>
      </c>
    </row>
    <row r="8" spans="2:9" ht="14" customHeight="1" x14ac:dyDescent="0.3">
      <c r="B8" s="4" t="s">
        <v>130</v>
      </c>
      <c r="C8" s="5">
        <f>C6*C7/1000000</f>
        <v>224785.302</v>
      </c>
    </row>
    <row r="9" spans="2:9" ht="14" customHeight="1" x14ac:dyDescent="0.3">
      <c r="B9" s="4" t="s">
        <v>68</v>
      </c>
      <c r="C9" s="5">
        <f>'DCF Model'!C16</f>
        <v>-2257</v>
      </c>
    </row>
    <row r="10" spans="2:9" ht="14" customHeight="1" x14ac:dyDescent="0.3">
      <c r="B10" s="4" t="s">
        <v>131</v>
      </c>
      <c r="C10" s="5">
        <f>C8+C9</f>
        <v>222528.302</v>
      </c>
    </row>
    <row r="11" spans="2:9" ht="14" customHeight="1" x14ac:dyDescent="0.3">
      <c r="B11" s="4" t="s">
        <v>132</v>
      </c>
      <c r="C11" s="16">
        <f>'DCF Model'!C26</f>
        <v>0.12925</v>
      </c>
    </row>
    <row r="12" spans="2:9" ht="14" customHeight="1" x14ac:dyDescent="0.3">
      <c r="B12" s="4" t="s">
        <v>133</v>
      </c>
      <c r="C12" s="16">
        <f>'DCF Model'!C13</f>
        <v>0.02</v>
      </c>
    </row>
    <row r="13" spans="2:9" ht="14" customHeight="1" x14ac:dyDescent="0.3">
      <c r="B13" s="4" t="s">
        <v>134</v>
      </c>
      <c r="C13" s="16">
        <f>'DCF Model'!C6</f>
        <v>0.30599999999999999</v>
      </c>
    </row>
    <row r="14" spans="2:9" ht="14" customHeight="1" x14ac:dyDescent="0.3">
      <c r="B14" s="4" t="s">
        <v>135</v>
      </c>
      <c r="C14" s="27">
        <v>-1143.8</v>
      </c>
    </row>
    <row r="15" spans="2:9" ht="14" customHeight="1" x14ac:dyDescent="0.3">
      <c r="B15" s="4" t="s">
        <v>136</v>
      </c>
      <c r="C15" s="27">
        <v>6385</v>
      </c>
    </row>
    <row r="16" spans="2:9" ht="14" customHeight="1" x14ac:dyDescent="0.3">
      <c r="B16" s="4" t="s">
        <v>137</v>
      </c>
      <c r="C16" s="5">
        <f>'DCF Model'!J33</f>
        <v>15541.396694156172</v>
      </c>
    </row>
    <row r="17" spans="2:9" ht="14" customHeight="1" x14ac:dyDescent="0.3">
      <c r="B17" s="4" t="s">
        <v>138</v>
      </c>
      <c r="C17" s="5">
        <f>'DCF Model'!C53</f>
        <v>-1639.2743355614425</v>
      </c>
    </row>
    <row r="18" spans="2:9" ht="14" customHeight="1" x14ac:dyDescent="0.3">
      <c r="B18" s="4" t="s">
        <v>139</v>
      </c>
      <c r="C18" s="26">
        <v>0.15</v>
      </c>
    </row>
    <row r="19" spans="2:9" ht="14" customHeight="1" x14ac:dyDescent="0.3">
      <c r="B19" s="4" t="s">
        <v>140</v>
      </c>
      <c r="C19" s="5">
        <f>C10-C17</f>
        <v>224167.57633556143</v>
      </c>
    </row>
    <row r="20" spans="2:9" ht="14" customHeight="1" x14ac:dyDescent="0.3">
      <c r="B20" s="4" t="s">
        <v>141</v>
      </c>
      <c r="C20" s="15">
        <f>IFERROR(ROUND(C19*1000000/C7,0),"N/A")</f>
        <v>21561</v>
      </c>
    </row>
    <row r="22" spans="2:9" ht="14" customHeight="1" x14ac:dyDescent="0.3">
      <c r="B22" s="8" t="s">
        <v>142</v>
      </c>
      <c r="C22" s="9"/>
      <c r="D22" s="9"/>
      <c r="E22" s="9"/>
      <c r="F22" s="9"/>
      <c r="G22" s="9"/>
      <c r="H22" s="9"/>
      <c r="I22" s="9"/>
    </row>
    <row r="23" spans="2:9" ht="14" customHeight="1" x14ac:dyDescent="0.3">
      <c r="B23" s="1" t="s">
        <v>143</v>
      </c>
    </row>
    <row r="24" spans="2:9" ht="14" customHeight="1" x14ac:dyDescent="0.3">
      <c r="B24" s="4" t="s">
        <v>144</v>
      </c>
      <c r="C24" s="5">
        <f>C10*(C11-C12)</f>
        <v>24311.216993499998</v>
      </c>
    </row>
    <row r="25" spans="2:9" ht="14" customHeight="1" x14ac:dyDescent="0.3">
      <c r="B25" s="4" t="s">
        <v>145</v>
      </c>
      <c r="C25" s="5">
        <f>IFERROR(C24/(1-C13),"N/A")</f>
        <v>35030.572036743513</v>
      </c>
    </row>
    <row r="26" spans="2:9" ht="13.5" customHeight="1" x14ac:dyDescent="0.25">
      <c r="B26" s="6" t="s">
        <v>146</v>
      </c>
      <c r="C26" s="14">
        <f>IFERROR(C25/C15,"N/A")</f>
        <v>5.4863855969841051</v>
      </c>
    </row>
    <row r="27" spans="2:9" ht="13.5" customHeight="1" x14ac:dyDescent="0.25">
      <c r="B27" s="6" t="s">
        <v>147</v>
      </c>
      <c r="C27" s="14">
        <f>IFERROR(C25/C14,"N/A")</f>
        <v>-30.626483683112006</v>
      </c>
    </row>
    <row r="28" spans="2:9" ht="13.5" customHeight="1" x14ac:dyDescent="0.25">
      <c r="B28" s="6" t="s">
        <v>148</v>
      </c>
      <c r="C28" s="7">
        <f>IFERROR(C25/C16,"N/A")</f>
        <v>2.2540169796911238</v>
      </c>
    </row>
    <row r="29" spans="2:9" ht="13.5" customHeight="1" x14ac:dyDescent="0.25">
      <c r="B29" s="6" t="s">
        <v>149</v>
      </c>
      <c r="C29" s="5">
        <f>IFERROR(C25/C18,"N/A")</f>
        <v>233537.14691162342</v>
      </c>
    </row>
    <row r="32" spans="2:9" ht="14" customHeight="1" x14ac:dyDescent="0.3">
      <c r="B32" s="8" t="s">
        <v>150</v>
      </c>
      <c r="C32" s="9"/>
      <c r="D32" s="9"/>
      <c r="E32" s="9"/>
      <c r="F32" s="9"/>
      <c r="G32" s="9"/>
      <c r="H32" s="9"/>
      <c r="I32" s="9"/>
    </row>
    <row r="33" spans="2:9" ht="14" customHeight="1" x14ac:dyDescent="0.3">
      <c r="B33" s="1" t="s">
        <v>151</v>
      </c>
    </row>
    <row r="34" spans="2:9" ht="14" customHeight="1" x14ac:dyDescent="0.3">
      <c r="B34" s="1" t="s">
        <v>152</v>
      </c>
    </row>
    <row r="36" spans="2:9" ht="14" customHeight="1" x14ac:dyDescent="0.3">
      <c r="B36" s="28" t="s">
        <v>153</v>
      </c>
      <c r="C36" s="28" t="s">
        <v>154</v>
      </c>
      <c r="D36" s="29">
        <f>'DCF Model'!C26-0.02</f>
        <v>0.10925</v>
      </c>
      <c r="E36" s="29">
        <f>'DCF Model'!C26-0.01</f>
        <v>0.11925000000000001</v>
      </c>
      <c r="F36" s="29">
        <f>'DCF Model'!C26</f>
        <v>0.12925</v>
      </c>
      <c r="G36" s="29">
        <f>'DCF Model'!C26+0.01</f>
        <v>0.13925000000000001</v>
      </c>
      <c r="H36" s="29">
        <f>'DCF Model'!C26+0.02</f>
        <v>0.14924999999999999</v>
      </c>
    </row>
    <row r="37" spans="2:9" ht="14" customHeight="1" x14ac:dyDescent="0.3">
      <c r="B37" s="3" t="s">
        <v>155</v>
      </c>
    </row>
    <row r="38" spans="2:9" ht="14" customHeight="1" x14ac:dyDescent="0.3">
      <c r="B38" s="4" t="s">
        <v>156</v>
      </c>
      <c r="C38" s="30">
        <v>5</v>
      </c>
      <c r="D38" s="13">
        <f t="shared" ref="D38:H41" si="0">IFERROR((1-(1+D$36)^(-$C38))/D$36-(1+D$36)/(D$36^2*$C38)*(1-($C38+1)/(1+D$36)^$C38+$C38/(1+D$36)^($C38+1)),"N/A")</f>
        <v>1.6340133035654154</v>
      </c>
      <c r="E38" s="13">
        <f t="shared" si="0"/>
        <v>1.6064513987153184</v>
      </c>
      <c r="F38" s="13">
        <f t="shared" si="0"/>
        <v>1.5797099064423739</v>
      </c>
      <c r="G38" s="13">
        <f t="shared" si="0"/>
        <v>1.5537553324038518</v>
      </c>
      <c r="H38" s="13">
        <f t="shared" si="0"/>
        <v>1.5285558855561776</v>
      </c>
    </row>
    <row r="39" spans="2:9" ht="14" customHeight="1" x14ac:dyDescent="0.3">
      <c r="B39" s="4" t="s">
        <v>157</v>
      </c>
      <c r="C39" s="30">
        <v>8</v>
      </c>
      <c r="D39" s="13">
        <f t="shared" si="0"/>
        <v>2.6045347104835788</v>
      </c>
      <c r="E39" s="13">
        <f t="shared" si="0"/>
        <v>2.542315865852133</v>
      </c>
      <c r="F39" s="13">
        <f t="shared" si="0"/>
        <v>2.4826366697704048</v>
      </c>
      <c r="G39" s="13">
        <f t="shared" si="0"/>
        <v>2.4253590528428783</v>
      </c>
      <c r="H39" s="13">
        <f t="shared" si="0"/>
        <v>2.3703540603221875</v>
      </c>
    </row>
    <row r="40" spans="2:9" ht="14" customHeight="1" x14ac:dyDescent="0.3">
      <c r="B40" s="4" t="s">
        <v>158</v>
      </c>
      <c r="C40" s="30">
        <v>10</v>
      </c>
      <c r="D40" s="13">
        <f t="shared" si="0"/>
        <v>3.1549419463295587</v>
      </c>
      <c r="E40" s="13">
        <f t="shared" si="0"/>
        <v>3.0662685739076809</v>
      </c>
      <c r="F40" s="13">
        <f t="shared" si="0"/>
        <v>2.9818206943528196</v>
      </c>
      <c r="G40" s="13">
        <f t="shared" si="0"/>
        <v>2.9013326324069801</v>
      </c>
      <c r="H40" s="13">
        <f t="shared" si="0"/>
        <v>2.824558807854042</v>
      </c>
    </row>
    <row r="41" spans="2:9" ht="14" customHeight="1" x14ac:dyDescent="0.3">
      <c r="B41" s="4" t="s">
        <v>159</v>
      </c>
      <c r="C41" s="30">
        <v>15</v>
      </c>
      <c r="D41" s="13">
        <f t="shared" si="0"/>
        <v>4.2656865794751919</v>
      </c>
      <c r="E41" s="13">
        <f t="shared" si="0"/>
        <v>4.1069533043622242</v>
      </c>
      <c r="F41" s="13">
        <f t="shared" si="0"/>
        <v>3.9582176717336681</v>
      </c>
      <c r="G41" s="13">
        <f t="shared" si="0"/>
        <v>3.8186558932049421</v>
      </c>
      <c r="H41" s="13">
        <f t="shared" si="0"/>
        <v>3.6875249391823894</v>
      </c>
    </row>
    <row r="42" spans="2:9" ht="14" customHeight="1" x14ac:dyDescent="0.3">
      <c r="B42" s="3" t="s">
        <v>160</v>
      </c>
    </row>
    <row r="43" spans="2:9" ht="14" customHeight="1" x14ac:dyDescent="0.3">
      <c r="B43" s="4" t="s">
        <v>156</v>
      </c>
      <c r="C43" s="30">
        <v>5</v>
      </c>
      <c r="D43" s="13">
        <f t="shared" ref="D43:H46" si="1">IFERROR((1+D$36)/(D$36^2*$C43)*(1-($C43+1)/(1+D$36)^$C43+$C43/(1+D$36)^($C43+1))+(1+$C$12)/((D$36-$C$12)*(1+D$36)^$C43),"N/A")</f>
        <v>8.8741278207085585</v>
      </c>
      <c r="E43" s="13">
        <f t="shared" si="1"/>
        <v>7.8560869683343544</v>
      </c>
      <c r="F43" s="13">
        <f t="shared" si="1"/>
        <v>7.0282328902694573</v>
      </c>
      <c r="G43" s="13">
        <f t="shared" si="1"/>
        <v>6.3425636864952972</v>
      </c>
      <c r="H43" s="13">
        <f t="shared" si="1"/>
        <v>5.7659407998745849</v>
      </c>
    </row>
    <row r="44" spans="2:9" ht="14" customHeight="1" x14ac:dyDescent="0.3">
      <c r="B44" s="4" t="s">
        <v>157</v>
      </c>
      <c r="C44" s="30">
        <v>8</v>
      </c>
      <c r="D44" s="13">
        <f t="shared" si="1"/>
        <v>7.5414290625052489</v>
      </c>
      <c r="E44" s="13">
        <f t="shared" si="1"/>
        <v>6.6114109524900186</v>
      </c>
      <c r="F44" s="13">
        <f t="shared" si="1"/>
        <v>5.8591567062557006</v>
      </c>
      <c r="G44" s="13">
        <f t="shared" si="1"/>
        <v>5.2395214477637388</v>
      </c>
      <c r="H44" s="13">
        <f t="shared" si="1"/>
        <v>4.7213600979795061</v>
      </c>
    </row>
    <row r="45" spans="2:9" ht="14" customHeight="1" x14ac:dyDescent="0.3">
      <c r="B45" s="4" t="s">
        <v>158</v>
      </c>
      <c r="C45" s="30">
        <v>10</v>
      </c>
      <c r="D45" s="13">
        <f t="shared" si="1"/>
        <v>6.8051194713432821</v>
      </c>
      <c r="E45" s="13">
        <f t="shared" si="1"/>
        <v>5.932527451157287</v>
      </c>
      <c r="F45" s="13">
        <f t="shared" si="1"/>
        <v>5.229438481381921</v>
      </c>
      <c r="G45" s="13">
        <f t="shared" si="1"/>
        <v>4.6525635001928887</v>
      </c>
      <c r="H45" s="13">
        <f t="shared" si="1"/>
        <v>4.1720607698205665</v>
      </c>
    </row>
    <row r="46" spans="2:9" ht="14" customHeight="1" x14ac:dyDescent="0.3">
      <c r="B46" s="4" t="s">
        <v>159</v>
      </c>
      <c r="C46" s="30">
        <v>15</v>
      </c>
      <c r="D46" s="13">
        <f t="shared" si="1"/>
        <v>5.3680151308026733</v>
      </c>
      <c r="E46" s="13">
        <f t="shared" si="1"/>
        <v>4.6278200403587686</v>
      </c>
      <c r="F46" s="13">
        <f t="shared" si="1"/>
        <v>4.0370215980280992</v>
      </c>
      <c r="G46" s="13">
        <f t="shared" si="1"/>
        <v>3.5568103536599329</v>
      </c>
      <c r="H46" s="13">
        <f t="shared" si="1"/>
        <v>3.1605131973893048</v>
      </c>
    </row>
    <row r="47" spans="2:9" ht="14" customHeight="1" x14ac:dyDescent="0.3">
      <c r="B47" s="22" t="s">
        <v>161</v>
      </c>
      <c r="C47" s="23"/>
      <c r="D47" s="23"/>
      <c r="E47" s="23"/>
      <c r="F47" s="23"/>
      <c r="G47" s="23"/>
      <c r="H47" s="23"/>
      <c r="I47" s="23"/>
    </row>
    <row r="48" spans="2:9" ht="14" customHeight="1" x14ac:dyDescent="0.3">
      <c r="B48" s="4" t="s">
        <v>156</v>
      </c>
      <c r="C48" s="30">
        <v>5</v>
      </c>
      <c r="D48" s="5">
        <f t="shared" ref="D48:H51" si="2">IFERROR(($C$10/(1-$C$13)-$C$14*D38)/D43,"N/A")</f>
        <v>36343.284572001874</v>
      </c>
      <c r="E48" s="5">
        <f t="shared" si="2"/>
        <v>41048.861692774168</v>
      </c>
      <c r="F48" s="5">
        <f t="shared" si="2"/>
        <v>45879.646495086192</v>
      </c>
      <c r="G48" s="5">
        <f t="shared" si="2"/>
        <v>50834.831085011356</v>
      </c>
      <c r="H48" s="5">
        <f t="shared" si="2"/>
        <v>55913.569304877943</v>
      </c>
    </row>
    <row r="49" spans="2:9" ht="14" customHeight="1" x14ac:dyDescent="0.3">
      <c r="B49" s="4" t="s">
        <v>157</v>
      </c>
      <c r="C49" s="30">
        <v>8</v>
      </c>
      <c r="D49" s="5">
        <f t="shared" si="2"/>
        <v>42912.958859558014</v>
      </c>
      <c r="E49" s="5">
        <f t="shared" si="2"/>
        <v>48938.701816019347</v>
      </c>
      <c r="F49" s="5">
        <f t="shared" si="2"/>
        <v>55210.267337143639</v>
      </c>
      <c r="G49" s="5">
        <f t="shared" si="2"/>
        <v>61727.029311501588</v>
      </c>
      <c r="H49" s="5">
        <f t="shared" si="2"/>
        <v>68488.14167177974</v>
      </c>
    </row>
    <row r="50" spans="2:9" ht="14" customHeight="1" x14ac:dyDescent="0.3">
      <c r="B50" s="4" t="s">
        <v>158</v>
      </c>
      <c r="C50" s="30">
        <v>10</v>
      </c>
      <c r="D50" s="5">
        <f t="shared" si="2"/>
        <v>47648.625753504668</v>
      </c>
      <c r="E50" s="5">
        <f t="shared" si="2"/>
        <v>54639.977473903353</v>
      </c>
      <c r="F50" s="5">
        <f t="shared" si="2"/>
        <v>61967.757334488815</v>
      </c>
      <c r="G50" s="5">
        <f t="shared" si="2"/>
        <v>69631.400528166429</v>
      </c>
      <c r="H50" s="5">
        <f t="shared" si="2"/>
        <v>77629.909182282761</v>
      </c>
    </row>
    <row r="51" spans="2:9" ht="14" customHeight="1" x14ac:dyDescent="0.3">
      <c r="B51" s="4" t="s">
        <v>159</v>
      </c>
      <c r="C51" s="30">
        <v>15</v>
      </c>
      <c r="D51" s="5">
        <f t="shared" si="2"/>
        <v>60641.606380986508</v>
      </c>
      <c r="E51" s="5">
        <f t="shared" si="2"/>
        <v>70301.675227634667</v>
      </c>
      <c r="F51" s="5">
        <f t="shared" si="2"/>
        <v>80547.84196137893</v>
      </c>
      <c r="G51" s="5">
        <f t="shared" si="2"/>
        <v>91377.86797542432</v>
      </c>
      <c r="H51" s="5">
        <f t="shared" si="2"/>
        <v>102788.29387375998</v>
      </c>
    </row>
    <row r="52" spans="2:9" ht="14" customHeight="1" x14ac:dyDescent="0.3">
      <c r="B52" s="22" t="s">
        <v>162</v>
      </c>
      <c r="C52" s="23"/>
      <c r="D52" s="23"/>
      <c r="E52" s="23"/>
      <c r="F52" s="23"/>
      <c r="G52" s="23"/>
      <c r="H52" s="23"/>
      <c r="I52" s="23"/>
    </row>
    <row r="53" spans="2:9" ht="14" customHeight="1" x14ac:dyDescent="0.3">
      <c r="B53" s="4" t="s">
        <v>156</v>
      </c>
      <c r="C53" s="30">
        <v>5</v>
      </c>
      <c r="D53" s="14">
        <f t="shared" ref="D53:H56" si="3">IFERROR(D48/$C$15,"N/A")</f>
        <v>5.6919787896635672</v>
      </c>
      <c r="E53" s="14">
        <f t="shared" si="3"/>
        <v>6.4289524969105978</v>
      </c>
      <c r="F53" s="14">
        <f t="shared" si="3"/>
        <v>7.1855358645397329</v>
      </c>
      <c r="G53" s="14">
        <f t="shared" si="3"/>
        <v>7.9616023625702983</v>
      </c>
      <c r="H53" s="14">
        <f t="shared" si="3"/>
        <v>8.757019468265927</v>
      </c>
    </row>
    <row r="54" spans="2:9" ht="14" customHeight="1" x14ac:dyDescent="0.3">
      <c r="B54" s="4" t="s">
        <v>157</v>
      </c>
      <c r="C54" s="30">
        <v>8</v>
      </c>
      <c r="D54" s="14">
        <f t="shared" si="3"/>
        <v>6.7209019357177784</v>
      </c>
      <c r="E54" s="14">
        <f t="shared" si="3"/>
        <v>7.6646361497289499</v>
      </c>
      <c r="F54" s="14">
        <f t="shared" si="3"/>
        <v>8.6468703738674453</v>
      </c>
      <c r="G54" s="14">
        <f t="shared" si="3"/>
        <v>9.6675065483949236</v>
      </c>
      <c r="H54" s="14">
        <f t="shared" si="3"/>
        <v>10.726412164726662</v>
      </c>
    </row>
    <row r="55" spans="2:9" ht="14" customHeight="1" x14ac:dyDescent="0.3">
      <c r="B55" s="4" t="s">
        <v>158</v>
      </c>
      <c r="C55" s="30">
        <v>10</v>
      </c>
      <c r="D55" s="14">
        <f t="shared" si="3"/>
        <v>7.4625882151142786</v>
      </c>
      <c r="E55" s="14">
        <f t="shared" si="3"/>
        <v>8.5575532457170489</v>
      </c>
      <c r="F55" s="14">
        <f t="shared" si="3"/>
        <v>9.7052086663255785</v>
      </c>
      <c r="G55" s="14">
        <f t="shared" si="3"/>
        <v>10.90546601850688</v>
      </c>
      <c r="H55" s="14">
        <f t="shared" si="3"/>
        <v>12.158169018368483</v>
      </c>
    </row>
    <row r="56" spans="2:9" ht="14" customHeight="1" x14ac:dyDescent="0.3">
      <c r="B56" s="4" t="s">
        <v>159</v>
      </c>
      <c r="C56" s="30">
        <v>15</v>
      </c>
      <c r="D56" s="14">
        <f t="shared" si="3"/>
        <v>9.4975107879383724</v>
      </c>
      <c r="E56" s="14">
        <f t="shared" si="3"/>
        <v>11.010442478877787</v>
      </c>
      <c r="F56" s="14">
        <f t="shared" si="3"/>
        <v>12.615167104366316</v>
      </c>
      <c r="G56" s="14">
        <f t="shared" si="3"/>
        <v>14.311334060364029</v>
      </c>
      <c r="H56" s="14">
        <f t="shared" si="3"/>
        <v>16.098401546399369</v>
      </c>
    </row>
    <row r="58" spans="2:9" ht="14" customHeight="1" x14ac:dyDescent="0.3">
      <c r="B58" s="8" t="s">
        <v>163</v>
      </c>
      <c r="C58" s="9"/>
      <c r="D58" s="9"/>
      <c r="E58" s="9"/>
      <c r="F58" s="9"/>
      <c r="G58" s="9"/>
      <c r="H58" s="9"/>
      <c r="I58" s="9"/>
    </row>
    <row r="59" spans="2:9" ht="14" customHeight="1" x14ac:dyDescent="0.3">
      <c r="B59" s="1" t="s">
        <v>164</v>
      </c>
    </row>
    <row r="60" spans="2:9" ht="14" customHeight="1" x14ac:dyDescent="0.3">
      <c r="B60" s="4" t="s">
        <v>165</v>
      </c>
      <c r="C60" s="5">
        <f>F49</f>
        <v>55210.267337143639</v>
      </c>
    </row>
    <row r="62" spans="2:9" ht="14" customHeight="1" x14ac:dyDescent="0.3">
      <c r="B62" s="28" t="s">
        <v>166</v>
      </c>
      <c r="C62" s="28" t="s">
        <v>167</v>
      </c>
      <c r="D62" s="28" t="s">
        <v>168</v>
      </c>
    </row>
    <row r="63" spans="2:9" ht="14" customHeight="1" x14ac:dyDescent="0.3">
      <c r="B63" s="31">
        <v>0.05</v>
      </c>
      <c r="C63" s="5">
        <f>IFERROR($C$60/B63,"N/A")</f>
        <v>1104205.3467428726</v>
      </c>
      <c r="D63" s="14">
        <f>IFERROR(C63/'DCF Model'!C17,"N/A")</f>
        <v>230.879719554818</v>
      </c>
    </row>
    <row r="64" spans="2:9" ht="14" customHeight="1" x14ac:dyDescent="0.3">
      <c r="B64" s="31">
        <v>0.1</v>
      </c>
      <c r="C64" s="5">
        <f>IFERROR($C$60/B64,"N/A")</f>
        <v>552102.67337143631</v>
      </c>
      <c r="D64" s="14">
        <f>IFERROR(C64/'DCF Model'!C17,"N/A")</f>
        <v>115.439859777409</v>
      </c>
    </row>
    <row r="65" spans="2:9" ht="14" customHeight="1" x14ac:dyDescent="0.3">
      <c r="B65" s="4" t="s">
        <v>169</v>
      </c>
      <c r="C65" s="5">
        <f>IFERROR($C$60/$C$18,"N/A")</f>
        <v>368068.44891429093</v>
      </c>
      <c r="D65" s="14">
        <f>IFERROR(C65/'DCF Model'!C17,"N/A")</f>
        <v>76.959906518272675</v>
      </c>
    </row>
    <row r="66" spans="2:9" ht="14" customHeight="1" x14ac:dyDescent="0.3">
      <c r="B66" s="31">
        <v>0.2</v>
      </c>
      <c r="C66" s="5">
        <f>IFERROR($C$60/B66,"N/A")</f>
        <v>276051.33668571815</v>
      </c>
      <c r="D66" s="14">
        <f>IFERROR(C66/'DCF Model'!C17,"N/A")</f>
        <v>57.719929888704499</v>
      </c>
    </row>
    <row r="67" spans="2:9" ht="14" customHeight="1" x14ac:dyDescent="0.3">
      <c r="B67" s="31">
        <v>0.25</v>
      </c>
      <c r="C67" s="5">
        <f>IFERROR($C$60/B67,"N/A")</f>
        <v>220841.06934857456</v>
      </c>
      <c r="D67" s="14">
        <f>IFERROR(C67/'DCF Model'!C17,"N/A")</f>
        <v>46.175943910963603</v>
      </c>
    </row>
    <row r="69" spans="2:9" ht="14" customHeight="1" x14ac:dyDescent="0.3">
      <c r="B69" s="8" t="s">
        <v>170</v>
      </c>
      <c r="C69" s="9"/>
      <c r="D69" s="9"/>
      <c r="E69" s="9"/>
      <c r="F69" s="9"/>
      <c r="G69" s="9"/>
      <c r="H69" s="9"/>
      <c r="I69" s="9"/>
    </row>
    <row r="70" spans="2:9" ht="13.5" customHeight="1" x14ac:dyDescent="0.25">
      <c r="B70" s="6" t="s">
        <v>171</v>
      </c>
      <c r="C70" s="14">
        <f>IFERROR(C10/'Comps Analysis'!G5,"N/A")</f>
        <v>-360.66175364667748</v>
      </c>
    </row>
    <row r="71" spans="2:9" ht="13.5" customHeight="1" x14ac:dyDescent="0.25">
      <c r="B71" s="6" t="s">
        <v>172</v>
      </c>
      <c r="C71" s="14">
        <f>IFERROR(C10/'Comps Analysis'!F5,"N/A")</f>
        <v>46.52483838595024</v>
      </c>
    </row>
    <row r="72" spans="2:9" ht="14" customHeight="1" x14ac:dyDescent="0.3">
      <c r="B72" s="4" t="s">
        <v>173</v>
      </c>
      <c r="C72" s="14">
        <f>IFERROR(C10/(C25+'DCF Model'!J42),"N/A")</f>
        <v>6.1610667118332376</v>
      </c>
    </row>
    <row r="73" spans="2:9" ht="14" customHeight="1" x14ac:dyDescent="0.3">
      <c r="B73" s="4" t="s">
        <v>174</v>
      </c>
      <c r="C73" s="14">
        <f>IFERROR(C10/(C60+'DCF Model'!J42),"N/A")</f>
        <v>3.952674151672007</v>
      </c>
    </row>
    <row r="74" spans="2:9" ht="14" customHeight="1" x14ac:dyDescent="0.3">
      <c r="B74" s="4" t="s">
        <v>175</v>
      </c>
      <c r="C74" s="14">
        <f>IFERROR('Comps Analysis'!D16,"N/A")</f>
        <v>73.541456321305475</v>
      </c>
    </row>
    <row r="75" spans="2:9" ht="14" customHeight="1" x14ac:dyDescent="0.3">
      <c r="B75" s="1" t="s">
        <v>176</v>
      </c>
    </row>
    <row r="77" spans="2:9" ht="14" customHeight="1" x14ac:dyDescent="0.3">
      <c r="B77" s="22" t="s">
        <v>177</v>
      </c>
      <c r="C77" s="23"/>
      <c r="D77" s="23"/>
      <c r="E77" s="23"/>
      <c r="F77" s="23"/>
      <c r="G77" s="23"/>
      <c r="H77" s="23"/>
      <c r="I77" s="23"/>
    </row>
    <row r="78" spans="2:9" ht="14" customHeight="1" x14ac:dyDescent="0.3">
      <c r="B78" s="4" t="str">
        <f>"At "&amp;TEXT(C6,"#,##0")&amp;" yen the market is paying for a steady-state operating profit of "&amp;TEXT(F49,"#,##0")&amp;" mn JPY - "&amp;TEXT(F54,"0.00")&amp;"x the Upside scenario FY2034/1 - model, not cycle peak of "&amp;TEXT(C15,"#,##0")&amp;" mn - reached in 8 years and sustained for ever, against "&amp;TEXT(C14,"#,##0")&amp;" mn actually earned in FY2026/1."</f>
        <v>At 21,620 yen the market is paying for a steady-state operating profit of 55,210 mn JPY - 8.65x the Upside scenario FY2034/1 - model, not cycle peak of 6,385 mn - reached in 8 years and sustained for ever, against -1,144 mn actually earned in FY2026/1.</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35,031 mn, or 5.49x the peak. The base case supports an EV of only -1,639 mn, leaving 21,561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K43"/>
  <sheetViews>
    <sheetView workbookViewId="0"/>
  </sheetViews>
  <sheetFormatPr defaultRowHeight="13" x14ac:dyDescent="0.2"/>
  <cols>
    <col min="1" max="1" width="3" customWidth="1"/>
    <col min="2" max="2" width="28" customWidth="1"/>
    <col min="3" max="8" width="16" customWidth="1"/>
  </cols>
  <sheetData>
    <row r="2" spans="2:11" ht="18" customHeight="1" x14ac:dyDescent="0.4">
      <c r="B2" s="2" t="s">
        <v>178</v>
      </c>
    </row>
    <row r="4" spans="2:11" ht="28" customHeight="1" x14ac:dyDescent="0.3">
      <c r="B4" s="8" t="s">
        <v>179</v>
      </c>
      <c r="C4" s="32" t="s">
        <v>180</v>
      </c>
      <c r="D4" s="32" t="s">
        <v>81</v>
      </c>
      <c r="E4" s="32" t="s">
        <v>82</v>
      </c>
      <c r="F4" s="32" t="s">
        <v>83</v>
      </c>
      <c r="G4" s="32" t="s">
        <v>84</v>
      </c>
      <c r="H4" s="32" t="s">
        <v>85</v>
      </c>
      <c r="I4" s="32" t="s">
        <v>86</v>
      </c>
      <c r="J4" s="32" t="s">
        <v>87</v>
      </c>
      <c r="K4" s="32" t="s">
        <v>88</v>
      </c>
    </row>
    <row r="5" spans="2:11" ht="14" customHeight="1" x14ac:dyDescent="0.3">
      <c r="B5" s="33" t="s">
        <v>181</v>
      </c>
      <c r="C5" s="34">
        <f>C12/C9*365</f>
        <v>115.70620582946513</v>
      </c>
      <c r="D5" s="34">
        <f>CHOOSE('DCF Model'!$D$27,D25,D26,D27,D28,D29)</f>
        <v>115</v>
      </c>
      <c r="E5" s="34">
        <f>CHOOSE('DCF Model'!$D$27,E25,E26,E27,E28,E29)</f>
        <v>113</v>
      </c>
      <c r="F5" s="34">
        <f>CHOOSE('DCF Model'!$D$27,F25,F26,F27,F28,F29)</f>
        <v>110</v>
      </c>
      <c r="G5" s="34">
        <f>CHOOSE('DCF Model'!$D$27,G25,G26,G27,G28,G29)</f>
        <v>110</v>
      </c>
      <c r="H5" s="34">
        <f>CHOOSE('DCF Model'!$D$27,H25,H26,H27,H28,H29)</f>
        <v>108</v>
      </c>
      <c r="I5" s="34">
        <f>CHOOSE('DCF Model'!$D$27,I25,I26,I27,I28,I29)</f>
        <v>108</v>
      </c>
      <c r="J5" s="34">
        <f>CHOOSE('DCF Model'!$D$27,J25,J26,J27,J28,J29)</f>
        <v>105</v>
      </c>
      <c r="K5" s="34">
        <f>CHOOSE('DCF Model'!$D$27,K25,K26,K27,K28,K29)</f>
        <v>105</v>
      </c>
    </row>
    <row r="6" spans="2:11" ht="14" customHeight="1" x14ac:dyDescent="0.3">
      <c r="B6" s="33" t="s">
        <v>182</v>
      </c>
      <c r="C6" s="34">
        <f>C13/C10*365</f>
        <v>88.34959711705875</v>
      </c>
      <c r="D6" s="34">
        <f>CHOOSE('DCF Model'!$D$27,D32,D33,D34,D35,D36)</f>
        <v>88</v>
      </c>
      <c r="E6" s="34">
        <f>CHOOSE('DCF Model'!$D$27,E32,E33,E34,E35,E36)</f>
        <v>88</v>
      </c>
      <c r="F6" s="34">
        <f>CHOOSE('DCF Model'!$D$27,F32,F33,F34,F35,F36)</f>
        <v>90</v>
      </c>
      <c r="G6" s="34">
        <f>CHOOSE('DCF Model'!$D$27,G32,G33,G34,G35,G36)</f>
        <v>90</v>
      </c>
      <c r="H6" s="34">
        <f>CHOOSE('DCF Model'!$D$27,H32,H33,H34,H35,H36)</f>
        <v>90</v>
      </c>
      <c r="I6" s="34">
        <f>CHOOSE('DCF Model'!$D$27,I32,I33,I34,I35,I36)</f>
        <v>88</v>
      </c>
      <c r="J6" s="34">
        <f>CHOOSE('DCF Model'!$D$27,J32,J33,J34,J35,J36)</f>
        <v>88</v>
      </c>
      <c r="K6" s="34">
        <f>CHOOSE('DCF Model'!$D$27,K32,K33,K34,K35,K36)</f>
        <v>88</v>
      </c>
    </row>
    <row r="7" spans="2:11" ht="14" customHeight="1" x14ac:dyDescent="0.3">
      <c r="B7" s="33" t="s">
        <v>183</v>
      </c>
      <c r="C7" s="34">
        <f>C15/C10*365</f>
        <v>58.998258897841851</v>
      </c>
      <c r="D7" s="34">
        <f>CHOOSE('DCF Model'!$D$27,D39,D40,D41,D42,D43)</f>
        <v>59</v>
      </c>
      <c r="E7" s="34">
        <f>CHOOSE('DCF Model'!$D$27,E39,E40,E41,E42,E43)</f>
        <v>59</v>
      </c>
      <c r="F7" s="34">
        <f>CHOOSE('DCF Model'!$D$27,F39,F40,F41,F42,F43)</f>
        <v>60</v>
      </c>
      <c r="G7" s="34">
        <f>CHOOSE('DCF Model'!$D$27,G39,G40,G41,G42,G43)</f>
        <v>60</v>
      </c>
      <c r="H7" s="34">
        <f>CHOOSE('DCF Model'!$D$27,H39,H40,H41,H42,H43)</f>
        <v>60</v>
      </c>
      <c r="I7" s="34">
        <f>CHOOSE('DCF Model'!$D$27,I39,I40,I41,I42,I43)</f>
        <v>60</v>
      </c>
      <c r="J7" s="34">
        <f>CHOOSE('DCF Model'!$D$27,J39,J40,J41,J42,J43)</f>
        <v>60</v>
      </c>
      <c r="K7" s="34">
        <f>CHOOSE('DCF Model'!$D$27,K39,K40,K41,K42,K43)</f>
        <v>60</v>
      </c>
    </row>
    <row r="8" spans="2:11" ht="14" customHeight="1" x14ac:dyDescent="0.3">
      <c r="B8" s="8" t="s">
        <v>184</v>
      </c>
      <c r="C8" s="9"/>
      <c r="D8" s="9"/>
      <c r="E8" s="9"/>
      <c r="F8" s="9"/>
      <c r="G8" s="9"/>
      <c r="H8" s="9"/>
      <c r="I8" s="9"/>
      <c r="J8" s="9"/>
      <c r="K8" s="9"/>
    </row>
    <row r="9" spans="2:11" ht="14" customHeight="1" x14ac:dyDescent="0.3">
      <c r="B9" s="33" t="s">
        <v>33</v>
      </c>
      <c r="C9" s="35">
        <v>4782.6000000000004</v>
      </c>
      <c r="D9" s="35">
        <f>'DCF Model'!C33</f>
        <v>5556.9029399999999</v>
      </c>
      <c r="E9" s="35">
        <f>'DCF Model'!D33</f>
        <v>7000.0306335180003</v>
      </c>
      <c r="F9" s="35">
        <f>'DCF Model'!E33</f>
        <v>8920.1390362919883</v>
      </c>
      <c r="G9" s="35">
        <f>'DCF Model'!F33</f>
        <v>10792.476220009676</v>
      </c>
      <c r="H9" s="35">
        <f>'DCF Model'!G33</f>
        <v>12483.657243685193</v>
      </c>
      <c r="I9" s="35">
        <f>'DCF Model'!H33</f>
        <v>13763.232111162926</v>
      </c>
      <c r="J9" s="35">
        <f>'DCF Model'!I33</f>
        <v>14785.840257022332</v>
      </c>
      <c r="K9" s="35">
        <f>'DCF Model'!J33</f>
        <v>15541.396694156172</v>
      </c>
    </row>
    <row r="10" spans="2:11" ht="14" customHeight="1" x14ac:dyDescent="0.3">
      <c r="B10" s="33" t="s">
        <v>34</v>
      </c>
      <c r="C10" s="35">
        <v>2469.6999999999998</v>
      </c>
      <c r="D10" s="35">
        <f>'DCF Model'!C34</f>
        <v>3084.0811317000002</v>
      </c>
      <c r="E10" s="35">
        <f>'DCF Model'!D34</f>
        <v>3920.0171547700807</v>
      </c>
      <c r="F10" s="35">
        <f>'DCF Model'!E34</f>
        <v>5084.4792506864333</v>
      </c>
      <c r="G10" s="35">
        <f>'DCF Model'!F34</f>
        <v>6151.7114454055145</v>
      </c>
      <c r="H10" s="35">
        <f>'DCF Model'!G34</f>
        <v>7115.6846289005598</v>
      </c>
      <c r="I10" s="35">
        <f>'DCF Model'!H34</f>
        <v>7845.0423033628676</v>
      </c>
      <c r="J10" s="35">
        <f>'DCF Model'!I34</f>
        <v>8427.9289465027286</v>
      </c>
      <c r="K10" s="35">
        <f>'DCF Model'!J34</f>
        <v>8858.5961156690173</v>
      </c>
    </row>
    <row r="11" spans="2:11" ht="14" customHeight="1" x14ac:dyDescent="0.3">
      <c r="B11" s="8" t="s">
        <v>185</v>
      </c>
      <c r="C11" s="9"/>
      <c r="D11" s="9"/>
      <c r="E11" s="9"/>
      <c r="F11" s="9"/>
      <c r="G11" s="9"/>
      <c r="H11" s="9"/>
      <c r="I11" s="9"/>
      <c r="J11" s="9"/>
      <c r="K11" s="9"/>
    </row>
    <row r="12" spans="2:11" ht="14" customHeight="1" x14ac:dyDescent="0.3">
      <c r="B12" s="33" t="s">
        <v>186</v>
      </c>
      <c r="C12" s="35">
        <v>1516.1</v>
      </c>
      <c r="D12" s="35">
        <f t="shared" ref="D12:K13" si="0">D9*D5/365</f>
        <v>1750.8050358904111</v>
      </c>
      <c r="E12" s="35">
        <f t="shared" si="0"/>
        <v>2167.1327714726958</v>
      </c>
      <c r="F12" s="35">
        <f t="shared" si="0"/>
        <v>2688.2610794304619</v>
      </c>
      <c r="G12" s="35">
        <f t="shared" si="0"/>
        <v>3252.5270800029157</v>
      </c>
      <c r="H12" s="35">
        <f t="shared" si="0"/>
        <v>3693.7944721041122</v>
      </c>
      <c r="I12" s="35">
        <f t="shared" si="0"/>
        <v>4072.4084054947839</v>
      </c>
      <c r="J12" s="35">
        <f t="shared" si="0"/>
        <v>4253.4608958557392</v>
      </c>
      <c r="K12" s="35">
        <f t="shared" si="0"/>
        <v>4470.8127476339678</v>
      </c>
    </row>
    <row r="13" spans="2:11" ht="14" customHeight="1" x14ac:dyDescent="0.3">
      <c r="B13" s="33" t="s">
        <v>187</v>
      </c>
      <c r="C13" s="35">
        <v>597.79999999999995</v>
      </c>
      <c r="D13" s="35">
        <f t="shared" si="0"/>
        <v>743.55928654684942</v>
      </c>
      <c r="E13" s="35">
        <f t="shared" si="0"/>
        <v>945.10002635552621</v>
      </c>
      <c r="F13" s="35">
        <f t="shared" si="0"/>
        <v>1253.7072124980245</v>
      </c>
      <c r="G13" s="35">
        <f t="shared" si="0"/>
        <v>1516.8603564013597</v>
      </c>
      <c r="H13" s="35">
        <f t="shared" si="0"/>
        <v>1754.5523742494531</v>
      </c>
      <c r="I13" s="35">
        <f t="shared" si="0"/>
        <v>1891.4074594409105</v>
      </c>
      <c r="J13" s="35">
        <f t="shared" si="0"/>
        <v>2031.9390336773702</v>
      </c>
      <c r="K13" s="35">
        <f t="shared" si="0"/>
        <v>2135.7711182982835</v>
      </c>
    </row>
    <row r="14" spans="2:11" ht="14" customHeight="1" x14ac:dyDescent="0.3">
      <c r="B14" s="33" t="s">
        <v>188</v>
      </c>
      <c r="C14" s="35">
        <f t="shared" ref="C14:K14" si="1">C12+C13</f>
        <v>2113.8999999999996</v>
      </c>
      <c r="D14" s="35">
        <f t="shared" si="1"/>
        <v>2494.3643224372604</v>
      </c>
      <c r="E14" s="35">
        <f t="shared" si="1"/>
        <v>3112.2327978282219</v>
      </c>
      <c r="F14" s="35">
        <f t="shared" si="1"/>
        <v>3941.9682919284865</v>
      </c>
      <c r="G14" s="35">
        <f t="shared" si="1"/>
        <v>4769.3874364042749</v>
      </c>
      <c r="H14" s="35">
        <f t="shared" si="1"/>
        <v>5448.3468463535655</v>
      </c>
      <c r="I14" s="35">
        <f t="shared" si="1"/>
        <v>5963.8158649356947</v>
      </c>
      <c r="J14" s="35">
        <f t="shared" si="1"/>
        <v>6285.3999295331096</v>
      </c>
      <c r="K14" s="35">
        <f t="shared" si="1"/>
        <v>6606.5838659322508</v>
      </c>
    </row>
    <row r="15" spans="2:11" ht="14" customHeight="1" x14ac:dyDescent="0.3">
      <c r="B15" s="33" t="s">
        <v>189</v>
      </c>
      <c r="C15" s="35">
        <v>399.2</v>
      </c>
      <c r="D15" s="35">
        <f t="shared" ref="D15:K15" si="2">D10*D7/365</f>
        <v>498.522703480274</v>
      </c>
      <c r="E15" s="35">
        <f t="shared" si="2"/>
        <v>633.64660857927333</v>
      </c>
      <c r="F15" s="35">
        <f t="shared" si="2"/>
        <v>835.80480833201648</v>
      </c>
      <c r="G15" s="35">
        <f t="shared" si="2"/>
        <v>1011.2402376009065</v>
      </c>
      <c r="H15" s="35">
        <f t="shared" si="2"/>
        <v>1169.7015828329686</v>
      </c>
      <c r="I15" s="35">
        <f t="shared" si="2"/>
        <v>1289.5959950733481</v>
      </c>
      <c r="J15" s="35">
        <f t="shared" si="2"/>
        <v>1385.4129775072979</v>
      </c>
      <c r="K15" s="35">
        <f t="shared" si="2"/>
        <v>1456.2075806579207</v>
      </c>
    </row>
    <row r="16" spans="2:11" ht="14" customHeight="1" x14ac:dyDescent="0.3">
      <c r="B16" s="33" t="s">
        <v>190</v>
      </c>
      <c r="C16" s="35">
        <f t="shared" ref="C16:K16" si="3">C15</f>
        <v>399.2</v>
      </c>
      <c r="D16" s="35">
        <f t="shared" si="3"/>
        <v>498.522703480274</v>
      </c>
      <c r="E16" s="35">
        <f t="shared" si="3"/>
        <v>633.64660857927333</v>
      </c>
      <c r="F16" s="35">
        <f t="shared" si="3"/>
        <v>835.80480833201648</v>
      </c>
      <c r="G16" s="35">
        <f t="shared" si="3"/>
        <v>1011.2402376009065</v>
      </c>
      <c r="H16" s="35">
        <f t="shared" si="3"/>
        <v>1169.7015828329686</v>
      </c>
      <c r="I16" s="35">
        <f t="shared" si="3"/>
        <v>1289.5959950733481</v>
      </c>
      <c r="J16" s="35">
        <f t="shared" si="3"/>
        <v>1385.4129775072979</v>
      </c>
      <c r="K16" s="35">
        <f t="shared" si="3"/>
        <v>1456.2075806579207</v>
      </c>
    </row>
    <row r="17" spans="2:11" ht="14" customHeight="1" x14ac:dyDescent="0.3">
      <c r="B17" s="22" t="s">
        <v>191</v>
      </c>
      <c r="C17" s="23"/>
      <c r="D17" s="23"/>
      <c r="E17" s="23"/>
      <c r="F17" s="23"/>
      <c r="G17" s="23"/>
      <c r="H17" s="23"/>
      <c r="I17" s="23"/>
      <c r="J17" s="23"/>
      <c r="K17" s="23"/>
    </row>
    <row r="18" spans="2:11" ht="14" customHeight="1" x14ac:dyDescent="0.3">
      <c r="B18" s="33" t="s">
        <v>192</v>
      </c>
      <c r="C18" s="20">
        <f t="shared" ref="C18:K18" si="4">C14-C16</f>
        <v>1714.6999999999996</v>
      </c>
      <c r="D18" s="20">
        <f t="shared" si="4"/>
        <v>1995.8416189569864</v>
      </c>
      <c r="E18" s="20">
        <f t="shared" si="4"/>
        <v>2478.5861892489484</v>
      </c>
      <c r="F18" s="20">
        <f t="shared" si="4"/>
        <v>3106.1634835964701</v>
      </c>
      <c r="G18" s="20">
        <f t="shared" si="4"/>
        <v>3758.1471988033682</v>
      </c>
      <c r="H18" s="20">
        <f t="shared" si="4"/>
        <v>4278.6452635205969</v>
      </c>
      <c r="I18" s="20">
        <f t="shared" si="4"/>
        <v>4674.219869862347</v>
      </c>
      <c r="J18" s="20">
        <f t="shared" si="4"/>
        <v>4899.9869520258117</v>
      </c>
      <c r="K18" s="20">
        <f t="shared" si="4"/>
        <v>5150.3762852743303</v>
      </c>
    </row>
    <row r="19" spans="2:11" ht="14" customHeight="1" x14ac:dyDescent="0.3">
      <c r="B19" s="33" t="s">
        <v>98</v>
      </c>
      <c r="C19" s="36" t="s">
        <v>43</v>
      </c>
      <c r="D19" s="24">
        <f t="shared" ref="D19:K19" si="5">D18-C18</f>
        <v>281.1416189569868</v>
      </c>
      <c r="E19" s="24">
        <f t="shared" si="5"/>
        <v>482.74457029196196</v>
      </c>
      <c r="F19" s="24">
        <f t="shared" si="5"/>
        <v>627.57729434752173</v>
      </c>
      <c r="G19" s="24">
        <f t="shared" si="5"/>
        <v>651.98371520689807</v>
      </c>
      <c r="H19" s="24">
        <f t="shared" si="5"/>
        <v>520.49806471722877</v>
      </c>
      <c r="I19" s="24">
        <f t="shared" si="5"/>
        <v>395.57460634175004</v>
      </c>
      <c r="J19" s="24">
        <f t="shared" si="5"/>
        <v>225.76708216346469</v>
      </c>
      <c r="K19" s="24">
        <f t="shared" si="5"/>
        <v>250.3893332485186</v>
      </c>
    </row>
    <row r="22" spans="2:11" ht="14" customHeight="1" x14ac:dyDescent="0.3">
      <c r="B22" s="22" t="s">
        <v>193</v>
      </c>
      <c r="C22" s="23"/>
      <c r="D22" s="23"/>
      <c r="E22" s="23"/>
      <c r="F22" s="23"/>
      <c r="G22" s="23"/>
      <c r="H22" s="23"/>
      <c r="I22" s="23"/>
      <c r="J22" s="23"/>
      <c r="K22" s="23"/>
    </row>
    <row r="23" spans="2:11" ht="14" customHeight="1" x14ac:dyDescent="0.3">
      <c r="D23" s="25" t="s">
        <v>81</v>
      </c>
      <c r="E23" s="25" t="s">
        <v>82</v>
      </c>
      <c r="F23" s="25" t="s">
        <v>83</v>
      </c>
      <c r="G23" s="25" t="s">
        <v>84</v>
      </c>
      <c r="H23" s="25" t="s">
        <v>85</v>
      </c>
      <c r="I23" s="25" t="s">
        <v>86</v>
      </c>
      <c r="J23" s="25" t="s">
        <v>87</v>
      </c>
      <c r="K23" s="25" t="s">
        <v>88</v>
      </c>
    </row>
    <row r="24" spans="2:11" ht="14" customHeight="1" x14ac:dyDescent="0.3">
      <c r="B24" s="3" t="s">
        <v>194</v>
      </c>
    </row>
    <row r="25" spans="2:11" ht="14" customHeight="1" x14ac:dyDescent="0.3">
      <c r="B25" s="4" t="s">
        <v>79</v>
      </c>
      <c r="D25" s="30">
        <v>115</v>
      </c>
      <c r="E25" s="30">
        <v>113</v>
      </c>
      <c r="F25" s="30">
        <v>110</v>
      </c>
      <c r="G25" s="30">
        <v>110</v>
      </c>
      <c r="H25" s="30">
        <v>108</v>
      </c>
      <c r="I25" s="30">
        <v>108</v>
      </c>
      <c r="J25" s="30">
        <v>105</v>
      </c>
      <c r="K25" s="30">
        <v>105</v>
      </c>
    </row>
    <row r="26" spans="2:11" ht="14" customHeight="1" x14ac:dyDescent="0.3">
      <c r="B26" s="4" t="s">
        <v>122</v>
      </c>
      <c r="D26" s="30">
        <v>112</v>
      </c>
      <c r="E26" s="30">
        <v>110</v>
      </c>
      <c r="F26" s="30">
        <v>108</v>
      </c>
      <c r="G26" s="30">
        <v>105</v>
      </c>
      <c r="H26" s="30">
        <v>105</v>
      </c>
      <c r="I26" s="30">
        <v>103</v>
      </c>
      <c r="J26" s="30">
        <v>100</v>
      </c>
      <c r="K26" s="30">
        <v>100</v>
      </c>
    </row>
    <row r="27" spans="2:11" ht="14" customHeight="1" x14ac:dyDescent="0.3">
      <c r="B27" s="4" t="s">
        <v>123</v>
      </c>
      <c r="D27" s="30">
        <v>115</v>
      </c>
      <c r="E27" s="30">
        <v>113</v>
      </c>
      <c r="F27" s="30">
        <v>110</v>
      </c>
      <c r="G27" s="30">
        <v>110</v>
      </c>
      <c r="H27" s="30">
        <v>108</v>
      </c>
      <c r="I27" s="30">
        <v>108</v>
      </c>
      <c r="J27" s="30">
        <v>105</v>
      </c>
      <c r="K27" s="30">
        <v>105</v>
      </c>
    </row>
    <row r="28" spans="2:11" ht="14" customHeight="1" x14ac:dyDescent="0.3">
      <c r="B28" s="4" t="s">
        <v>124</v>
      </c>
      <c r="D28" s="30">
        <v>118</v>
      </c>
      <c r="E28" s="30">
        <v>120</v>
      </c>
      <c r="F28" s="30">
        <v>122</v>
      </c>
      <c r="G28" s="30">
        <v>122</v>
      </c>
      <c r="H28" s="30">
        <v>122</v>
      </c>
      <c r="I28" s="30">
        <v>122</v>
      </c>
      <c r="J28" s="30">
        <v>122</v>
      </c>
      <c r="K28" s="30">
        <v>122</v>
      </c>
    </row>
    <row r="29" spans="2:11" ht="14" customHeight="1" x14ac:dyDescent="0.3">
      <c r="B29" s="4" t="s">
        <v>125</v>
      </c>
      <c r="D29" s="30">
        <v>122</v>
      </c>
      <c r="E29" s="30">
        <v>125</v>
      </c>
      <c r="F29" s="30">
        <v>128</v>
      </c>
      <c r="G29" s="30">
        <v>128</v>
      </c>
      <c r="H29" s="30">
        <v>128</v>
      </c>
      <c r="I29" s="30">
        <v>128</v>
      </c>
      <c r="J29" s="30">
        <v>128</v>
      </c>
      <c r="K29" s="30">
        <v>128</v>
      </c>
    </row>
    <row r="31" spans="2:11" ht="14" customHeight="1" x14ac:dyDescent="0.3">
      <c r="B31" s="3" t="s">
        <v>195</v>
      </c>
    </row>
    <row r="32" spans="2:11" ht="14" customHeight="1" x14ac:dyDescent="0.3">
      <c r="B32" s="4" t="s">
        <v>79</v>
      </c>
      <c r="D32" s="30">
        <v>88</v>
      </c>
      <c r="E32" s="30">
        <v>88</v>
      </c>
      <c r="F32" s="30">
        <v>90</v>
      </c>
      <c r="G32" s="30">
        <v>90</v>
      </c>
      <c r="H32" s="30">
        <v>90</v>
      </c>
      <c r="I32" s="30">
        <v>88</v>
      </c>
      <c r="J32" s="30">
        <v>88</v>
      </c>
      <c r="K32" s="30">
        <v>88</v>
      </c>
    </row>
    <row r="33" spans="2:11" ht="14" customHeight="1" x14ac:dyDescent="0.3">
      <c r="B33" s="4" t="s">
        <v>122</v>
      </c>
      <c r="D33" s="30">
        <v>90</v>
      </c>
      <c r="E33" s="30">
        <v>92</v>
      </c>
      <c r="F33" s="30">
        <v>95</v>
      </c>
      <c r="G33" s="30">
        <v>95</v>
      </c>
      <c r="H33" s="30">
        <v>95</v>
      </c>
      <c r="I33" s="30">
        <v>92</v>
      </c>
      <c r="J33" s="30">
        <v>90</v>
      </c>
      <c r="K33" s="30">
        <v>90</v>
      </c>
    </row>
    <row r="34" spans="2:11" ht="14" customHeight="1" x14ac:dyDescent="0.3">
      <c r="B34" s="4" t="s">
        <v>123</v>
      </c>
      <c r="D34" s="30">
        <v>88</v>
      </c>
      <c r="E34" s="30">
        <v>88</v>
      </c>
      <c r="F34" s="30">
        <v>90</v>
      </c>
      <c r="G34" s="30">
        <v>90</v>
      </c>
      <c r="H34" s="30">
        <v>90</v>
      </c>
      <c r="I34" s="30">
        <v>88</v>
      </c>
      <c r="J34" s="30">
        <v>88</v>
      </c>
      <c r="K34" s="30">
        <v>88</v>
      </c>
    </row>
    <row r="35" spans="2:11" ht="14" customHeight="1" x14ac:dyDescent="0.3">
      <c r="B35" s="4" t="s">
        <v>124</v>
      </c>
      <c r="D35" s="30">
        <v>90</v>
      </c>
      <c r="E35" s="30">
        <v>92</v>
      </c>
      <c r="F35" s="30">
        <v>95</v>
      </c>
      <c r="G35" s="30">
        <v>95</v>
      </c>
      <c r="H35" s="30">
        <v>95</v>
      </c>
      <c r="I35" s="30">
        <v>95</v>
      </c>
      <c r="J35" s="30">
        <v>95</v>
      </c>
      <c r="K35" s="30">
        <v>95</v>
      </c>
    </row>
    <row r="36" spans="2:11" ht="14" customHeight="1" x14ac:dyDescent="0.3">
      <c r="B36" s="4" t="s">
        <v>125</v>
      </c>
      <c r="D36" s="30">
        <v>92</v>
      </c>
      <c r="E36" s="30">
        <v>95</v>
      </c>
      <c r="F36" s="30">
        <v>98</v>
      </c>
      <c r="G36" s="30">
        <v>98</v>
      </c>
      <c r="H36" s="30">
        <v>98</v>
      </c>
      <c r="I36" s="30">
        <v>98</v>
      </c>
      <c r="J36" s="30">
        <v>98</v>
      </c>
      <c r="K36" s="30">
        <v>98</v>
      </c>
    </row>
    <row r="38" spans="2:11" ht="14" customHeight="1" x14ac:dyDescent="0.3">
      <c r="B38" s="3" t="s">
        <v>196</v>
      </c>
    </row>
    <row r="39" spans="2:11" ht="14" customHeight="1" x14ac:dyDescent="0.3">
      <c r="B39" s="4" t="s">
        <v>79</v>
      </c>
      <c r="D39" s="30">
        <v>59</v>
      </c>
      <c r="E39" s="30">
        <v>59</v>
      </c>
      <c r="F39" s="30">
        <v>60</v>
      </c>
      <c r="G39" s="30">
        <v>60</v>
      </c>
      <c r="H39" s="30">
        <v>60</v>
      </c>
      <c r="I39" s="30">
        <v>60</v>
      </c>
      <c r="J39" s="30">
        <v>60</v>
      </c>
      <c r="K39" s="30">
        <v>60</v>
      </c>
    </row>
    <row r="40" spans="2:11" ht="14" customHeight="1" x14ac:dyDescent="0.3">
      <c r="B40" s="4" t="s">
        <v>122</v>
      </c>
      <c r="D40" s="30">
        <v>62</v>
      </c>
      <c r="E40" s="30">
        <v>62</v>
      </c>
      <c r="F40" s="30">
        <v>65</v>
      </c>
      <c r="G40" s="30">
        <v>65</v>
      </c>
      <c r="H40" s="30">
        <v>65</v>
      </c>
      <c r="I40" s="30">
        <v>65</v>
      </c>
      <c r="J40" s="30">
        <v>65</v>
      </c>
      <c r="K40" s="30">
        <v>65</v>
      </c>
    </row>
    <row r="41" spans="2:11" ht="14" customHeight="1" x14ac:dyDescent="0.3">
      <c r="B41" s="4" t="s">
        <v>123</v>
      </c>
      <c r="D41" s="30">
        <v>59</v>
      </c>
      <c r="E41" s="30">
        <v>59</v>
      </c>
      <c r="F41" s="30">
        <v>60</v>
      </c>
      <c r="G41" s="30">
        <v>60</v>
      </c>
      <c r="H41" s="30">
        <v>60</v>
      </c>
      <c r="I41" s="30">
        <v>60</v>
      </c>
      <c r="J41" s="30">
        <v>60</v>
      </c>
      <c r="K41" s="30">
        <v>60</v>
      </c>
    </row>
    <row r="42" spans="2:11" ht="14" customHeight="1" x14ac:dyDescent="0.3">
      <c r="B42" s="4" t="s">
        <v>124</v>
      </c>
      <c r="D42" s="30">
        <v>57</v>
      </c>
      <c r="E42" s="30">
        <v>56</v>
      </c>
      <c r="F42" s="30">
        <v>55</v>
      </c>
      <c r="G42" s="30">
        <v>55</v>
      </c>
      <c r="H42" s="30">
        <v>55</v>
      </c>
      <c r="I42" s="30">
        <v>55</v>
      </c>
      <c r="J42" s="30">
        <v>55</v>
      </c>
      <c r="K42" s="30">
        <v>55</v>
      </c>
    </row>
    <row r="43" spans="2:11" ht="14" customHeight="1" x14ac:dyDescent="0.3">
      <c r="B43" s="4" t="s">
        <v>125</v>
      </c>
      <c r="D43" s="30">
        <v>55</v>
      </c>
      <c r="E43" s="30">
        <v>54</v>
      </c>
      <c r="F43" s="30">
        <v>52</v>
      </c>
      <c r="G43" s="30">
        <v>52</v>
      </c>
      <c r="H43" s="30">
        <v>52</v>
      </c>
      <c r="I43" s="30">
        <v>52</v>
      </c>
      <c r="J43" s="30">
        <v>52</v>
      </c>
      <c r="K43" s="30">
        <v>52</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197</v>
      </c>
    </row>
    <row r="3" spans="2:17" ht="14" customHeight="1" x14ac:dyDescent="0.3">
      <c r="B3" s="1" t="s">
        <v>198</v>
      </c>
    </row>
    <row r="4" spans="2:17" ht="28" customHeight="1" x14ac:dyDescent="0.3">
      <c r="B4" s="10" t="s">
        <v>3</v>
      </c>
      <c r="C4" s="10" t="s">
        <v>5</v>
      </c>
      <c r="D4" s="10" t="s">
        <v>199</v>
      </c>
      <c r="E4" s="10" t="s">
        <v>200</v>
      </c>
      <c r="F4" s="10" t="s">
        <v>201</v>
      </c>
      <c r="G4" s="10" t="s">
        <v>202</v>
      </c>
      <c r="H4" s="10" t="s">
        <v>203</v>
      </c>
      <c r="I4" s="10" t="s">
        <v>204</v>
      </c>
      <c r="J4" s="10" t="s">
        <v>205</v>
      </c>
      <c r="K4" s="10" t="s">
        <v>206</v>
      </c>
      <c r="L4" s="10" t="s">
        <v>207</v>
      </c>
      <c r="M4" s="10" t="s">
        <v>208</v>
      </c>
      <c r="N4" s="10" t="s">
        <v>209</v>
      </c>
      <c r="O4" s="10" t="s">
        <v>210</v>
      </c>
      <c r="P4" s="10" t="s">
        <v>211</v>
      </c>
      <c r="Q4" s="10" t="s">
        <v>212</v>
      </c>
    </row>
    <row r="5" spans="2:17" ht="14" customHeight="1" x14ac:dyDescent="0.3">
      <c r="B5" s="4" t="s">
        <v>213</v>
      </c>
      <c r="C5" t="s">
        <v>214</v>
      </c>
      <c r="D5" s="37">
        <f>'Executive Summary'!C9*C23/1000000</f>
        <v>224785.302</v>
      </c>
      <c r="E5" s="37">
        <f>D5+C24</f>
        <v>222528.302</v>
      </c>
      <c r="F5" s="37">
        <v>4783</v>
      </c>
      <c r="G5" s="37">
        <v>-617</v>
      </c>
      <c r="H5" s="37">
        <v>-1144</v>
      </c>
      <c r="I5" s="37">
        <v>-2498</v>
      </c>
      <c r="J5" s="38" t="s">
        <v>215</v>
      </c>
      <c r="K5" s="39">
        <f t="shared" ref="K5:K10" si="0">IFERROR(E5/F5,"")</f>
        <v>46.52483838595024</v>
      </c>
      <c r="L5" s="38" t="s">
        <v>215</v>
      </c>
      <c r="M5" s="39">
        <f t="shared" ref="M5:M10" si="1">IFERROR(D5/P5,"")</f>
        <v>50.186492967180172</v>
      </c>
      <c r="N5" s="40">
        <f t="shared" ref="N5:N10" si="2">IFERROR(H5/F5,"")</f>
        <v>-0.23918043069203429</v>
      </c>
      <c r="O5" s="40">
        <f t="shared" ref="O5:O10" si="3">IFERROR(I5/P5,"")</f>
        <v>-0.55771377539629385</v>
      </c>
      <c r="P5" s="37">
        <v>4479</v>
      </c>
    </row>
    <row r="6" spans="2:17" ht="14" customHeight="1" x14ac:dyDescent="0.3">
      <c r="B6" s="4" t="s">
        <v>216</v>
      </c>
      <c r="C6" t="s">
        <v>217</v>
      </c>
      <c r="D6" s="37">
        <v>30278</v>
      </c>
      <c r="E6" s="37">
        <v>31123</v>
      </c>
      <c r="F6" s="37">
        <v>2599</v>
      </c>
      <c r="G6" s="37">
        <v>-1768</v>
      </c>
      <c r="H6" s="37">
        <v>-1840</v>
      </c>
      <c r="I6" s="37">
        <v>-1364</v>
      </c>
      <c r="J6" s="38" t="s">
        <v>215</v>
      </c>
      <c r="K6" s="39">
        <f t="shared" si="0"/>
        <v>11.974990380915736</v>
      </c>
      <c r="L6" s="38" t="s">
        <v>215</v>
      </c>
      <c r="M6" s="39">
        <f t="shared" si="1"/>
        <v>17.242596810933939</v>
      </c>
      <c r="N6" s="40">
        <f t="shared" si="2"/>
        <v>-0.70796460176991149</v>
      </c>
      <c r="O6" s="40">
        <f t="shared" si="3"/>
        <v>-0.77676537585421412</v>
      </c>
      <c r="P6" s="37">
        <v>1756</v>
      </c>
    </row>
    <row r="7" spans="2:17" ht="14" customHeight="1" x14ac:dyDescent="0.3">
      <c r="B7" s="4" t="s">
        <v>218</v>
      </c>
      <c r="C7" t="s">
        <v>219</v>
      </c>
      <c r="D7" s="37">
        <v>1203277</v>
      </c>
      <c r="E7" s="37">
        <v>1235683</v>
      </c>
      <c r="F7" s="37">
        <v>316370</v>
      </c>
      <c r="G7" s="37">
        <v>31167</v>
      </c>
      <c r="H7" s="37">
        <v>-11249</v>
      </c>
      <c r="I7" s="37">
        <v>-42430</v>
      </c>
      <c r="J7" s="39">
        <f>IFERROR(E7/G7,"")</f>
        <v>39.647158853916004</v>
      </c>
      <c r="K7" s="39">
        <f t="shared" si="0"/>
        <v>3.9058159749660208</v>
      </c>
      <c r="L7" s="38" t="s">
        <v>215</v>
      </c>
      <c r="M7" s="39">
        <f t="shared" si="1"/>
        <v>1.7086396367101135</v>
      </c>
      <c r="N7" s="40">
        <f t="shared" si="2"/>
        <v>-3.5556468691721715E-2</v>
      </c>
      <c r="O7" s="40">
        <f t="shared" si="3"/>
        <v>-6.0250116794063314E-2</v>
      </c>
      <c r="P7" s="37">
        <v>704231</v>
      </c>
    </row>
    <row r="8" spans="2:17" ht="14" customHeight="1" x14ac:dyDescent="0.3">
      <c r="B8" s="4" t="s">
        <v>220</v>
      </c>
      <c r="C8" t="s">
        <v>221</v>
      </c>
      <c r="D8" s="37">
        <v>1562212</v>
      </c>
      <c r="E8" s="37">
        <v>1495828</v>
      </c>
      <c r="F8" s="37">
        <v>215539</v>
      </c>
      <c r="G8" s="37">
        <v>13923</v>
      </c>
      <c r="H8" s="37">
        <v>4433</v>
      </c>
      <c r="I8" s="37">
        <v>3521</v>
      </c>
      <c r="J8" s="39">
        <f>IFERROR(E8/G8,"")</f>
        <v>107.43575378869497</v>
      </c>
      <c r="K8" s="39">
        <f t="shared" si="0"/>
        <v>6.9399412635300344</v>
      </c>
      <c r="L8" s="39">
        <f>IFERROR(D8/I8,"")</f>
        <v>443.68418063050268</v>
      </c>
      <c r="M8" s="39">
        <f t="shared" si="1"/>
        <v>4.8897972981432556</v>
      </c>
      <c r="N8" s="40">
        <f t="shared" si="2"/>
        <v>2.0567043551283061E-2</v>
      </c>
      <c r="O8" s="40">
        <f t="shared" si="3"/>
        <v>1.1020896195114623E-2</v>
      </c>
      <c r="P8" s="37">
        <v>319484</v>
      </c>
    </row>
    <row r="9" spans="2:17" ht="14" customHeight="1" x14ac:dyDescent="0.3">
      <c r="B9" s="4" t="s">
        <v>222</v>
      </c>
      <c r="C9" t="s">
        <v>223</v>
      </c>
      <c r="D9" s="37">
        <v>207496</v>
      </c>
      <c r="E9" s="37">
        <v>183582</v>
      </c>
      <c r="F9" s="37">
        <v>6518</v>
      </c>
      <c r="G9" s="37">
        <v>-10296</v>
      </c>
      <c r="H9" s="37">
        <v>-10658</v>
      </c>
      <c r="I9" s="37">
        <v>-11535</v>
      </c>
      <c r="J9" s="38" t="s">
        <v>215</v>
      </c>
      <c r="K9" s="39">
        <f t="shared" si="0"/>
        <v>28.165388155876034</v>
      </c>
      <c r="L9" s="38" t="s">
        <v>215</v>
      </c>
      <c r="M9" s="39">
        <f t="shared" si="1"/>
        <v>5.274159930862691</v>
      </c>
      <c r="N9" s="40">
        <f t="shared" si="2"/>
        <v>-1.635164160785517</v>
      </c>
      <c r="O9" s="40">
        <f t="shared" si="3"/>
        <v>-0.29319810889126124</v>
      </c>
      <c r="P9" s="37">
        <v>39342</v>
      </c>
    </row>
    <row r="10" spans="2:17" ht="14" customHeight="1" x14ac:dyDescent="0.3">
      <c r="B10" s="4" t="s">
        <v>224</v>
      </c>
      <c r="C10" t="s">
        <v>225</v>
      </c>
      <c r="D10" s="37">
        <v>721349</v>
      </c>
      <c r="E10" s="37">
        <v>637629</v>
      </c>
      <c r="F10" s="37">
        <v>8119</v>
      </c>
      <c r="G10" s="37">
        <v>-8066</v>
      </c>
      <c r="H10" s="37">
        <v>-9344</v>
      </c>
      <c r="I10" s="37">
        <v>-21128</v>
      </c>
      <c r="J10" s="38" t="s">
        <v>215</v>
      </c>
      <c r="K10" s="39">
        <f t="shared" si="0"/>
        <v>78.535410764872523</v>
      </c>
      <c r="L10" s="38" t="s">
        <v>215</v>
      </c>
      <c r="M10" s="39">
        <f t="shared" si="1"/>
        <v>10.29527873719065</v>
      </c>
      <c r="N10" s="40">
        <f t="shared" si="2"/>
        <v>-1.1508806503263949</v>
      </c>
      <c r="O10" s="40">
        <f t="shared" si="3"/>
        <v>-0.30154425827077325</v>
      </c>
      <c r="P10" s="37">
        <v>70066</v>
      </c>
    </row>
    <row r="14" spans="2:17" ht="14" customHeight="1" x14ac:dyDescent="0.3">
      <c r="B14" s="3" t="s">
        <v>226</v>
      </c>
    </row>
    <row r="15" spans="2:17" ht="14" customHeight="1" x14ac:dyDescent="0.3">
      <c r="B15" s="4" t="s">
        <v>227</v>
      </c>
      <c r="D15" s="39">
        <f>PERCENTILE(J7:J8,0.25)</f>
        <v>56.594307587610743</v>
      </c>
      <c r="E15" s="39">
        <f>PERCENTILE(K6:K10,0.25)</f>
        <v>6.9399412635300344</v>
      </c>
      <c r="F15" s="39">
        <f>PERCENTILE(L6:L10,0.25)</f>
        <v>443.68418063050268</v>
      </c>
      <c r="G15" s="39">
        <f>PERCENTILE(M6:M10,0.25)</f>
        <v>4.8897972981432556</v>
      </c>
      <c r="H15" s="40">
        <f>PERCENTILE(N6:N10,0.25)</f>
        <v>-1.1508806503263949</v>
      </c>
      <c r="I15" s="40">
        <f>PERCENTILE(O6:O10,0.25)</f>
        <v>-0.30154425827077325</v>
      </c>
    </row>
    <row r="16" spans="2:17" ht="14" customHeight="1" x14ac:dyDescent="0.3">
      <c r="B16" s="4" t="s">
        <v>228</v>
      </c>
      <c r="D16" s="39">
        <f>MEDIAN(J7:J8)</f>
        <v>73.541456321305475</v>
      </c>
      <c r="E16" s="39">
        <f>MEDIAN(K6:K10)</f>
        <v>11.974990380915736</v>
      </c>
      <c r="F16" s="39">
        <f>MEDIAN(L6:L10)</f>
        <v>443.68418063050268</v>
      </c>
      <c r="G16" s="39">
        <f>MEDIAN(M6:M10)</f>
        <v>5.274159930862691</v>
      </c>
      <c r="H16" s="40">
        <f>MEDIAN(N6:N10)</f>
        <v>-0.70796460176991149</v>
      </c>
      <c r="I16" s="40">
        <f>MEDIAN(O6:O10)</f>
        <v>-0.29319810889126124</v>
      </c>
    </row>
    <row r="17" spans="2:9" ht="14" customHeight="1" x14ac:dyDescent="0.3">
      <c r="B17" s="4" t="s">
        <v>229</v>
      </c>
      <c r="D17" s="39">
        <f>PERCENTILE(J7:J8,0.75)</f>
        <v>90.488605055000221</v>
      </c>
      <c r="E17" s="39">
        <f>PERCENTILE(K6:K10,0.75)</f>
        <v>28.165388155876034</v>
      </c>
      <c r="F17" s="39">
        <f>PERCENTILE(L6:L10,0.75)</f>
        <v>443.68418063050268</v>
      </c>
      <c r="G17" s="39">
        <f>PERCENTILE(M6:M10,0.75)</f>
        <v>10.29527873719065</v>
      </c>
      <c r="H17" s="40">
        <f>PERCENTILE(N6:N10,0.75)</f>
        <v>-3.5556468691721715E-2</v>
      </c>
      <c r="I17" s="40">
        <f>PERCENTILE(O6:O10,0.75)</f>
        <v>-6.0250116794063314E-2</v>
      </c>
    </row>
    <row r="19" spans="2:9" ht="14" customHeight="1" x14ac:dyDescent="0.3">
      <c r="B19" s="22" t="s">
        <v>230</v>
      </c>
      <c r="C19" s="23"/>
      <c r="D19" s="23"/>
      <c r="E19" s="23"/>
      <c r="F19" s="23"/>
      <c r="G19" s="23"/>
      <c r="H19" s="23"/>
      <c r="I19" s="23"/>
    </row>
    <row r="20" spans="2:9" ht="14" customHeight="1" x14ac:dyDescent="0.3">
      <c r="B20" s="3" t="s">
        <v>231</v>
      </c>
    </row>
    <row r="21" spans="2:9" ht="14" customHeight="1" x14ac:dyDescent="0.3">
      <c r="B21" s="4" t="s">
        <v>232</v>
      </c>
      <c r="C21" s="5">
        <v>4782.6000000000004</v>
      </c>
    </row>
    <row r="22" spans="2:9" ht="14" customHeight="1" x14ac:dyDescent="0.3">
      <c r="B22" s="4" t="s">
        <v>233</v>
      </c>
      <c r="C22" s="5">
        <v>-2497.9</v>
      </c>
    </row>
    <row r="23" spans="2:9" ht="14" customHeight="1" x14ac:dyDescent="0.3">
      <c r="B23" s="4" t="s">
        <v>234</v>
      </c>
      <c r="C23" s="15">
        <v>10397100</v>
      </c>
    </row>
    <row r="24" spans="2:9" ht="14" customHeight="1" x14ac:dyDescent="0.3">
      <c r="B24" s="4" t="s">
        <v>68</v>
      </c>
      <c r="C24" s="5">
        <v>-2257</v>
      </c>
    </row>
    <row r="26" spans="2:9" ht="14" customHeight="1" x14ac:dyDescent="0.3">
      <c r="B26" s="3" t="s">
        <v>235</v>
      </c>
    </row>
    <row r="27" spans="2:9" ht="14" customHeight="1" x14ac:dyDescent="0.3">
      <c r="B27" s="4" t="s">
        <v>236</v>
      </c>
      <c r="C27" s="24">
        <f>ROUND((C21*E16-C24)*1000000/C23,0)</f>
        <v>5725</v>
      </c>
    </row>
    <row r="28" spans="2:9" ht="14" customHeight="1" x14ac:dyDescent="0.3">
      <c r="B28" s="4" t="s">
        <v>237</v>
      </c>
      <c r="C28" s="41" t="s">
        <v>215</v>
      </c>
      <c r="D28" s="1" t="s">
        <v>238</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239</v>
      </c>
    </row>
    <row r="3" spans="2:9" ht="14" customHeight="1" x14ac:dyDescent="0.3">
      <c r="B3" s="4" t="s">
        <v>240</v>
      </c>
      <c r="C3" s="16">
        <f>'DCF Model'!C26</f>
        <v>0.12925</v>
      </c>
      <c r="E3" s="4" t="s">
        <v>241</v>
      </c>
      <c r="F3" s="16">
        <f>'DCF Model'!C13</f>
        <v>0.02</v>
      </c>
      <c r="H3" s="4" t="s">
        <v>242</v>
      </c>
      <c r="I3" s="14">
        <f>'DCF Model'!C14</f>
        <v>2</v>
      </c>
    </row>
    <row r="5" spans="2:9" ht="14" customHeight="1" x14ac:dyDescent="0.3">
      <c r="B5" s="3" t="s">
        <v>243</v>
      </c>
    </row>
    <row r="6" spans="2:9" ht="14" customHeight="1" x14ac:dyDescent="0.3">
      <c r="B6" s="42" t="s">
        <v>244</v>
      </c>
      <c r="C6" s="43">
        <f>$F$3-0.0075</f>
        <v>1.2500000000000001E-2</v>
      </c>
      <c r="D6" s="43">
        <f>$F$3-0.005</f>
        <v>1.4999999999999999E-2</v>
      </c>
      <c r="E6" s="43">
        <f>$F$3-0.0025</f>
        <v>1.7500000000000002E-2</v>
      </c>
      <c r="F6" s="43">
        <f>$F$3</f>
        <v>0.02</v>
      </c>
      <c r="G6" s="43">
        <f>$F$3+0.0025</f>
        <v>2.2499999999999999E-2</v>
      </c>
      <c r="H6" s="43">
        <f>$F$3+0.005</f>
        <v>2.5000000000000001E-2</v>
      </c>
      <c r="I6" s="43">
        <f>$F$3+0.0075</f>
        <v>2.75E-2</v>
      </c>
    </row>
    <row r="7" spans="2:9" ht="13.5" customHeight="1" x14ac:dyDescent="0.25">
      <c r="B7" s="40">
        <f>$C$3-0.015</f>
        <v>0.11425</v>
      </c>
      <c r="C7" s="37">
        <f>IFERROR(ROUND(('DCF Model'!C45/(1+$B7)^('DCF Model'!C19+0)+'DCF Model'!D45/(1+$B7)^('DCF Model'!C19+1)+'DCF Model'!E45/(1+$B7)^('DCF Model'!C19+2)+'DCF Model'!F45/(1+$B7)^('DCF Model'!C19+3)+'DCF Model'!G45/(1+$B7)^('DCF Model'!C19+4)+'DCF Model'!H45/(1+$B7)^('DCF Model'!C19+5)+'DCF Model'!I45/(1+$B7)^('DCF Model'!C19+6)+'DCF Model'!J45/(1+$B7)^('DCF Model'!C19+7)+'DCF Model'!J45*(1+C$6)/($B7-C$6)/(1+$B7)^('DCF Model'!C19+7)-'DCF Model'!C16)*1000000/'DCF Model'!C15,0),"")</f>
        <v>102</v>
      </c>
      <c r="D7" s="37">
        <f>IFERROR(ROUND(('DCF Model'!C45/(1+$B7)^('DCF Model'!C19+0)+'DCF Model'!D45/(1+$B7)^('DCF Model'!C19+1)+'DCF Model'!E45/(1+$B7)^('DCF Model'!C19+2)+'DCF Model'!F45/(1+$B7)^('DCF Model'!C19+3)+'DCF Model'!G45/(1+$B7)^('DCF Model'!C19+4)+'DCF Model'!H45/(1+$B7)^('DCF Model'!C19+5)+'DCF Model'!I45/(1+$B7)^('DCF Model'!C19+6)+'DCF Model'!J45/(1+$B7)^('DCF Model'!C19+7)+'DCF Model'!J45*(1+D$6)/($B7-D$6)/(1+$B7)^('DCF Model'!C19+7)-'DCF Model'!C16)*1000000/'DCF Model'!C15,0),"")</f>
        <v>111</v>
      </c>
      <c r="E7" s="37">
        <f>IFERROR(ROUND(('DCF Model'!C45/(1+$B7)^('DCF Model'!C19+0)+'DCF Model'!D45/(1+$B7)^('DCF Model'!C19+1)+'DCF Model'!E45/(1+$B7)^('DCF Model'!C19+2)+'DCF Model'!F45/(1+$B7)^('DCF Model'!C19+3)+'DCF Model'!G45/(1+$B7)^('DCF Model'!C19+4)+'DCF Model'!H45/(1+$B7)^('DCF Model'!C19+5)+'DCF Model'!I45/(1+$B7)^('DCF Model'!C19+6)+'DCF Model'!J45/(1+$B7)^('DCF Model'!C19+7)+'DCF Model'!J45*(1+E$6)/($B7-E$6)/(1+$B7)^('DCF Model'!C19+7)-'DCF Model'!C16)*1000000/'DCF Model'!C15,0),"")</f>
        <v>120</v>
      </c>
      <c r="F7" s="37">
        <f>IFERROR(ROUND(('DCF Model'!C45/(1+$B7)^('DCF Model'!C19+0)+'DCF Model'!D45/(1+$B7)^('DCF Model'!C19+1)+'DCF Model'!E45/(1+$B7)^('DCF Model'!C19+2)+'DCF Model'!F45/(1+$B7)^('DCF Model'!C19+3)+'DCF Model'!G45/(1+$B7)^('DCF Model'!C19+4)+'DCF Model'!H45/(1+$B7)^('DCF Model'!C19+5)+'DCF Model'!I45/(1+$B7)^('DCF Model'!C19+6)+'DCF Model'!J45/(1+$B7)^('DCF Model'!C19+7)+'DCF Model'!J45*(1+F$6)/($B7-F$6)/(1+$B7)^('DCF Model'!C19+7)-'DCF Model'!C16)*1000000/'DCF Model'!C15,0),"")</f>
        <v>130</v>
      </c>
      <c r="G7" s="37">
        <f>IFERROR(ROUND(('DCF Model'!C45/(1+$B7)^('DCF Model'!C19+0)+'DCF Model'!D45/(1+$B7)^('DCF Model'!C19+1)+'DCF Model'!E45/(1+$B7)^('DCF Model'!C19+2)+'DCF Model'!F45/(1+$B7)^('DCF Model'!C19+3)+'DCF Model'!G45/(1+$B7)^('DCF Model'!C19+4)+'DCF Model'!H45/(1+$B7)^('DCF Model'!C19+5)+'DCF Model'!I45/(1+$B7)^('DCF Model'!C19+6)+'DCF Model'!J45/(1+$B7)^('DCF Model'!C19+7)+'DCF Model'!J45*(1+G$6)/($B7-G$6)/(1+$B7)^('DCF Model'!C19+7)-'DCF Model'!C16)*1000000/'DCF Model'!C15,0),"")</f>
        <v>140</v>
      </c>
      <c r="H7" s="37">
        <f>IFERROR(ROUND(('DCF Model'!C45/(1+$B7)^('DCF Model'!C19+0)+'DCF Model'!D45/(1+$B7)^('DCF Model'!C19+1)+'DCF Model'!E45/(1+$B7)^('DCF Model'!C19+2)+'DCF Model'!F45/(1+$B7)^('DCF Model'!C19+3)+'DCF Model'!G45/(1+$B7)^('DCF Model'!C19+4)+'DCF Model'!H45/(1+$B7)^('DCF Model'!C19+5)+'DCF Model'!I45/(1+$B7)^('DCF Model'!C19+6)+'DCF Model'!J45/(1+$B7)^('DCF Model'!C19+7)+'DCF Model'!J45*(1+H$6)/($B7-H$6)/(1+$B7)^('DCF Model'!C19+7)-'DCF Model'!C16)*1000000/'DCF Model'!C15,0),"")</f>
        <v>151</v>
      </c>
      <c r="I7" s="37">
        <f>IFERROR(ROUND(('DCF Model'!C45/(1+$B7)^('DCF Model'!C19+0)+'DCF Model'!D45/(1+$B7)^('DCF Model'!C19+1)+'DCF Model'!E45/(1+$B7)^('DCF Model'!C19+2)+'DCF Model'!F45/(1+$B7)^('DCF Model'!C19+3)+'DCF Model'!G45/(1+$B7)^('DCF Model'!C19+4)+'DCF Model'!H45/(1+$B7)^('DCF Model'!C19+5)+'DCF Model'!I45/(1+$B7)^('DCF Model'!C19+6)+'DCF Model'!J45/(1+$B7)^('DCF Model'!C19+7)+'DCF Model'!J45*(1+I$6)/($B7-I$6)/(1+$B7)^('DCF Model'!C19+7)-'DCF Model'!C16)*1000000/'DCF Model'!C15,0),"")</f>
        <v>163</v>
      </c>
    </row>
    <row r="8" spans="2:9" ht="13.5" customHeight="1" x14ac:dyDescent="0.25">
      <c r="B8" s="40">
        <f>$C$3-0.01</f>
        <v>0.11925000000000001</v>
      </c>
      <c r="C8" s="37">
        <f>IFERROR(ROUND(('DCF Model'!C45/(1+$B8)^('DCF Model'!C19+0)+'DCF Model'!D45/(1+$B8)^('DCF Model'!C19+1)+'DCF Model'!E45/(1+$B8)^('DCF Model'!C19+2)+'DCF Model'!F45/(1+$B8)^('DCF Model'!C19+3)+'DCF Model'!G45/(1+$B8)^('DCF Model'!C19+4)+'DCF Model'!H45/(1+$B8)^('DCF Model'!C19+5)+'DCF Model'!I45/(1+$B8)^('DCF Model'!C19+6)+'DCF Model'!J45/(1+$B8)^('DCF Model'!C19+7)+'DCF Model'!J45*(1+C$6)/($B8-C$6)/(1+$B8)^('DCF Model'!C19+7)-'DCF Model'!C16)*1000000/'DCF Model'!C15,0),"")</f>
        <v>79</v>
      </c>
      <c r="D8" s="37">
        <f>IFERROR(ROUND(('DCF Model'!C45/(1+$B8)^('DCF Model'!C19+0)+'DCF Model'!D45/(1+$B8)^('DCF Model'!C19+1)+'DCF Model'!E45/(1+$B8)^('DCF Model'!C19+2)+'DCF Model'!F45/(1+$B8)^('DCF Model'!C19+3)+'DCF Model'!G45/(1+$B8)^('DCF Model'!C19+4)+'DCF Model'!H45/(1+$B8)^('DCF Model'!C19+5)+'DCF Model'!I45/(1+$B8)^('DCF Model'!C19+6)+'DCF Model'!J45/(1+$B8)^('DCF Model'!C19+7)+'DCF Model'!J45*(1+D$6)/($B8-D$6)/(1+$B8)^('DCF Model'!C19+7)-'DCF Model'!C16)*1000000/'DCF Model'!C15,0),"")</f>
        <v>86</v>
      </c>
      <c r="E8" s="37">
        <f>IFERROR(ROUND(('DCF Model'!C45/(1+$B8)^('DCF Model'!C19+0)+'DCF Model'!D45/(1+$B8)^('DCF Model'!C19+1)+'DCF Model'!E45/(1+$B8)^('DCF Model'!C19+2)+'DCF Model'!F45/(1+$B8)^('DCF Model'!C19+3)+'DCF Model'!G45/(1+$B8)^('DCF Model'!C19+4)+'DCF Model'!H45/(1+$B8)^('DCF Model'!C19+5)+'DCF Model'!I45/(1+$B8)^('DCF Model'!C19+6)+'DCF Model'!J45/(1+$B8)^('DCF Model'!C19+7)+'DCF Model'!J45*(1+E$6)/($B8-E$6)/(1+$B8)^('DCF Model'!C19+7)-'DCF Model'!C16)*1000000/'DCF Model'!C15,0),"")</f>
        <v>95</v>
      </c>
      <c r="F8" s="37">
        <f>IFERROR(ROUND(('DCF Model'!C45/(1+$B8)^('DCF Model'!C19+0)+'DCF Model'!D45/(1+$B8)^('DCF Model'!C19+1)+'DCF Model'!E45/(1+$B8)^('DCF Model'!C19+2)+'DCF Model'!F45/(1+$B8)^('DCF Model'!C19+3)+'DCF Model'!G45/(1+$B8)^('DCF Model'!C19+4)+'DCF Model'!H45/(1+$B8)^('DCF Model'!C19+5)+'DCF Model'!I45/(1+$B8)^('DCF Model'!C19+6)+'DCF Model'!J45/(1+$B8)^('DCF Model'!C19+7)+'DCF Model'!J45*(1+F$6)/($B8-F$6)/(1+$B8)^('DCF Model'!C19+7)-'DCF Model'!C16)*1000000/'DCF Model'!C15,0),"")</f>
        <v>103</v>
      </c>
      <c r="G8" s="37">
        <f>IFERROR(ROUND(('DCF Model'!C45/(1+$B8)^('DCF Model'!C19+0)+'DCF Model'!D45/(1+$B8)^('DCF Model'!C19+1)+'DCF Model'!E45/(1+$B8)^('DCF Model'!C19+2)+'DCF Model'!F45/(1+$B8)^('DCF Model'!C19+3)+'DCF Model'!G45/(1+$B8)^('DCF Model'!C19+4)+'DCF Model'!H45/(1+$B8)^('DCF Model'!C19+5)+'DCF Model'!I45/(1+$B8)^('DCF Model'!C19+6)+'DCF Model'!J45/(1+$B8)^('DCF Model'!C19+7)+'DCF Model'!J45*(1+G$6)/($B8-G$6)/(1+$B8)^('DCF Model'!C19+7)-'DCF Model'!C16)*1000000/'DCF Model'!C15,0),"")</f>
        <v>113</v>
      </c>
      <c r="H8" s="37">
        <f>IFERROR(ROUND(('DCF Model'!C45/(1+$B8)^('DCF Model'!C19+0)+'DCF Model'!D45/(1+$B8)^('DCF Model'!C19+1)+'DCF Model'!E45/(1+$B8)^('DCF Model'!C19+2)+'DCF Model'!F45/(1+$B8)^('DCF Model'!C19+3)+'DCF Model'!G45/(1+$B8)^('DCF Model'!C19+4)+'DCF Model'!H45/(1+$B8)^('DCF Model'!C19+5)+'DCF Model'!I45/(1+$B8)^('DCF Model'!C19+6)+'DCF Model'!J45/(1+$B8)^('DCF Model'!C19+7)+'DCF Model'!J45*(1+H$6)/($B8-H$6)/(1+$B8)^('DCF Model'!C19+7)-'DCF Model'!C16)*1000000/'DCF Model'!C15,0),"")</f>
        <v>122</v>
      </c>
      <c r="I8" s="37">
        <f>IFERROR(ROUND(('DCF Model'!C45/(1+$B8)^('DCF Model'!C19+0)+'DCF Model'!D45/(1+$B8)^('DCF Model'!C19+1)+'DCF Model'!E45/(1+$B8)^('DCF Model'!C19+2)+'DCF Model'!F45/(1+$B8)^('DCF Model'!C19+3)+'DCF Model'!G45/(1+$B8)^('DCF Model'!C19+4)+'DCF Model'!H45/(1+$B8)^('DCF Model'!C19+5)+'DCF Model'!I45/(1+$B8)^('DCF Model'!C19+6)+'DCF Model'!J45/(1+$B8)^('DCF Model'!C19+7)+'DCF Model'!J45*(1+I$6)/($B8-I$6)/(1+$B8)^('DCF Model'!C19+7)-'DCF Model'!C16)*1000000/'DCF Model'!C15,0),"")</f>
        <v>132</v>
      </c>
    </row>
    <row r="9" spans="2:9" ht="13.5" customHeight="1" x14ac:dyDescent="0.25">
      <c r="B9" s="40">
        <f>$C$3-0.005</f>
        <v>0.12425</v>
      </c>
      <c r="C9" s="37">
        <f>IFERROR(ROUND(('DCF Model'!C45/(1+$B9)^('DCF Model'!C19+0)+'DCF Model'!D45/(1+$B9)^('DCF Model'!C19+1)+'DCF Model'!E45/(1+$B9)^('DCF Model'!C19+2)+'DCF Model'!F45/(1+$B9)^('DCF Model'!C19+3)+'DCF Model'!G45/(1+$B9)^('DCF Model'!C19+4)+'DCF Model'!H45/(1+$B9)^('DCF Model'!C19+5)+'DCF Model'!I45/(1+$B9)^('DCF Model'!C19+6)+'DCF Model'!J45/(1+$B9)^('DCF Model'!C19+7)+'DCF Model'!J45*(1+C$6)/($B9-C$6)/(1+$B9)^('DCF Model'!C19+7)-'DCF Model'!C16)*1000000/'DCF Model'!C15,0),"")</f>
        <v>58</v>
      </c>
      <c r="D9" s="37">
        <f>IFERROR(ROUND(('DCF Model'!C45/(1+$B9)^('DCF Model'!C19+0)+'DCF Model'!D45/(1+$B9)^('DCF Model'!C19+1)+'DCF Model'!E45/(1+$B9)^('DCF Model'!C19+2)+'DCF Model'!F45/(1+$B9)^('DCF Model'!C19+3)+'DCF Model'!G45/(1+$B9)^('DCF Model'!C19+4)+'DCF Model'!H45/(1+$B9)^('DCF Model'!C19+5)+'DCF Model'!I45/(1+$B9)^('DCF Model'!C19+6)+'DCF Model'!J45/(1+$B9)^('DCF Model'!C19+7)+'DCF Model'!J45*(1+D$6)/($B9-D$6)/(1+$B9)^('DCF Model'!C19+7)-'DCF Model'!C16)*1000000/'DCF Model'!C15,0),"")</f>
        <v>65</v>
      </c>
      <c r="E9" s="37">
        <f>IFERROR(ROUND(('DCF Model'!C45/(1+$B9)^('DCF Model'!C19+0)+'DCF Model'!D45/(1+$B9)^('DCF Model'!C19+1)+'DCF Model'!E45/(1+$B9)^('DCF Model'!C19+2)+'DCF Model'!F45/(1+$B9)^('DCF Model'!C19+3)+'DCF Model'!G45/(1+$B9)^('DCF Model'!C19+4)+'DCF Model'!H45/(1+$B9)^('DCF Model'!C19+5)+'DCF Model'!I45/(1+$B9)^('DCF Model'!C19+6)+'DCF Model'!J45/(1+$B9)^('DCF Model'!C19+7)+'DCF Model'!J45*(1+E$6)/($B9-E$6)/(1+$B9)^('DCF Model'!C19+7)-'DCF Model'!C16)*1000000/'DCF Model'!C15,0),"")</f>
        <v>72</v>
      </c>
      <c r="F9" s="37">
        <f>IFERROR(ROUND(('DCF Model'!C45/(1+$B9)^('DCF Model'!C19+0)+'DCF Model'!D45/(1+$B9)^('DCF Model'!C19+1)+'DCF Model'!E45/(1+$B9)^('DCF Model'!C19+2)+'DCF Model'!F45/(1+$B9)^('DCF Model'!C19+3)+'DCF Model'!G45/(1+$B9)^('DCF Model'!C19+4)+'DCF Model'!H45/(1+$B9)^('DCF Model'!C19+5)+'DCF Model'!I45/(1+$B9)^('DCF Model'!C19+6)+'DCF Model'!J45/(1+$B9)^('DCF Model'!C19+7)+'DCF Model'!J45*(1+F$6)/($B9-F$6)/(1+$B9)^('DCF Model'!C19+7)-'DCF Model'!C16)*1000000/'DCF Model'!C15,0),"")</f>
        <v>80</v>
      </c>
      <c r="G9" s="37">
        <f>IFERROR(ROUND(('DCF Model'!C45/(1+$B9)^('DCF Model'!C19+0)+'DCF Model'!D45/(1+$B9)^('DCF Model'!C19+1)+'DCF Model'!E45/(1+$B9)^('DCF Model'!C19+2)+'DCF Model'!F45/(1+$B9)^('DCF Model'!C19+3)+'DCF Model'!G45/(1+$B9)^('DCF Model'!C19+4)+'DCF Model'!H45/(1+$B9)^('DCF Model'!C19+5)+'DCF Model'!I45/(1+$B9)^('DCF Model'!C19+6)+'DCF Model'!J45/(1+$B9)^('DCF Model'!C19+7)+'DCF Model'!J45*(1+G$6)/($B9-G$6)/(1+$B9)^('DCF Model'!C19+7)-'DCF Model'!C16)*1000000/'DCF Model'!C15,0),"")</f>
        <v>88</v>
      </c>
      <c r="H9" s="37">
        <f>IFERROR(ROUND(('DCF Model'!C45/(1+$B9)^('DCF Model'!C19+0)+'DCF Model'!D45/(1+$B9)^('DCF Model'!C19+1)+'DCF Model'!E45/(1+$B9)^('DCF Model'!C19+2)+'DCF Model'!F45/(1+$B9)^('DCF Model'!C19+3)+'DCF Model'!G45/(1+$B9)^('DCF Model'!C19+4)+'DCF Model'!H45/(1+$B9)^('DCF Model'!C19+5)+'DCF Model'!I45/(1+$B9)^('DCF Model'!C19+6)+'DCF Model'!J45/(1+$B9)^('DCF Model'!C19+7)+'DCF Model'!J45*(1+H$6)/($B9-H$6)/(1+$B9)^('DCF Model'!C19+7)-'DCF Model'!C16)*1000000/'DCF Model'!C15,0),"")</f>
        <v>97</v>
      </c>
      <c r="I9" s="37">
        <f>IFERROR(ROUND(('DCF Model'!C45/(1+$B9)^('DCF Model'!C19+0)+'DCF Model'!D45/(1+$B9)^('DCF Model'!C19+1)+'DCF Model'!E45/(1+$B9)^('DCF Model'!C19+2)+'DCF Model'!F45/(1+$B9)^('DCF Model'!C19+3)+'DCF Model'!G45/(1+$B9)^('DCF Model'!C19+4)+'DCF Model'!H45/(1+$B9)^('DCF Model'!C19+5)+'DCF Model'!I45/(1+$B9)^('DCF Model'!C19+6)+'DCF Model'!J45/(1+$B9)^('DCF Model'!C19+7)+'DCF Model'!J45*(1+I$6)/($B9-I$6)/(1+$B9)^('DCF Model'!C19+7)-'DCF Model'!C16)*1000000/'DCF Model'!C15,0),"")</f>
        <v>105</v>
      </c>
    </row>
    <row r="10" spans="2:9" ht="13.5" customHeight="1" x14ac:dyDescent="0.25">
      <c r="B10" s="40">
        <f>$C$3</f>
        <v>0.12925</v>
      </c>
      <c r="C10" s="37">
        <f>IFERROR(ROUND(('DCF Model'!C45/(1+$B10)^('DCF Model'!C19+0)+'DCF Model'!D45/(1+$B10)^('DCF Model'!C19+1)+'DCF Model'!E45/(1+$B10)^('DCF Model'!C19+2)+'DCF Model'!F45/(1+$B10)^('DCF Model'!C19+3)+'DCF Model'!G45/(1+$B10)^('DCF Model'!C19+4)+'DCF Model'!H45/(1+$B10)^('DCF Model'!C19+5)+'DCF Model'!I45/(1+$B10)^('DCF Model'!C19+6)+'DCF Model'!J45/(1+$B10)^('DCF Model'!C19+7)+'DCF Model'!J45*(1+C$6)/($B10-C$6)/(1+$B10)^('DCF Model'!C19+7)-'DCF Model'!C16)*1000000/'DCF Model'!C15,0),"")</f>
        <v>40</v>
      </c>
      <c r="D10" s="37">
        <f>IFERROR(ROUND(('DCF Model'!C45/(1+$B10)^('DCF Model'!C19+0)+'DCF Model'!D45/(1+$B10)^('DCF Model'!C19+1)+'DCF Model'!E45/(1+$B10)^('DCF Model'!C19+2)+'DCF Model'!F45/(1+$B10)^('DCF Model'!C19+3)+'DCF Model'!G45/(1+$B10)^('DCF Model'!C19+4)+'DCF Model'!H45/(1+$B10)^('DCF Model'!C19+5)+'DCF Model'!I45/(1+$B10)^('DCF Model'!C19+6)+'DCF Model'!J45/(1+$B10)^('DCF Model'!C19+7)+'DCF Model'!J45*(1+D$6)/($B10-D$6)/(1+$B10)^('DCF Model'!C19+7)-'DCF Model'!C16)*1000000/'DCF Model'!C15,0),"")</f>
        <v>46</v>
      </c>
      <c r="E10" s="37">
        <f>IFERROR(ROUND(('DCF Model'!C45/(1+$B10)^('DCF Model'!C19+0)+'DCF Model'!D45/(1+$B10)^('DCF Model'!C19+1)+'DCF Model'!E45/(1+$B10)^('DCF Model'!C19+2)+'DCF Model'!F45/(1+$B10)^('DCF Model'!C19+3)+'DCF Model'!G45/(1+$B10)^('DCF Model'!C19+4)+'DCF Model'!H45/(1+$B10)^('DCF Model'!C19+5)+'DCF Model'!I45/(1+$B10)^('DCF Model'!C19+6)+'DCF Model'!J45/(1+$B10)^('DCF Model'!C19+7)+'DCF Model'!J45*(1+E$6)/($B10-E$6)/(1+$B10)^('DCF Model'!C19+7)-'DCF Model'!C16)*1000000/'DCF Model'!C15,0),"")</f>
        <v>53</v>
      </c>
      <c r="F10" s="37">
        <f>IFERROR(ROUND(('DCF Model'!C45/(1+$B10)^('DCF Model'!C19+0)+'DCF Model'!D45/(1+$B10)^('DCF Model'!C19+1)+'DCF Model'!E45/(1+$B10)^('DCF Model'!C19+2)+'DCF Model'!F45/(1+$B10)^('DCF Model'!C19+3)+'DCF Model'!G45/(1+$B10)^('DCF Model'!C19+4)+'DCF Model'!H45/(1+$B10)^('DCF Model'!C19+5)+'DCF Model'!I45/(1+$B10)^('DCF Model'!C19+6)+'DCF Model'!J45/(1+$B10)^('DCF Model'!C19+7)+'DCF Model'!J45*(1+F$6)/($B10-F$6)/(1+$B10)^('DCF Model'!C19+7)-'DCF Model'!C16)*1000000/'DCF Model'!C15,0),"")</f>
        <v>59</v>
      </c>
      <c r="G10" s="37">
        <f>IFERROR(ROUND(('DCF Model'!C45/(1+$B10)^('DCF Model'!C19+0)+'DCF Model'!D45/(1+$B10)^('DCF Model'!C19+1)+'DCF Model'!E45/(1+$B10)^('DCF Model'!C19+2)+'DCF Model'!F45/(1+$B10)^('DCF Model'!C19+3)+'DCF Model'!G45/(1+$B10)^('DCF Model'!C19+4)+'DCF Model'!H45/(1+$B10)^('DCF Model'!C19+5)+'DCF Model'!I45/(1+$B10)^('DCF Model'!C19+6)+'DCF Model'!J45/(1+$B10)^('DCF Model'!C19+7)+'DCF Model'!J45*(1+G$6)/($B10-G$6)/(1+$B10)^('DCF Model'!C19+7)-'DCF Model'!C16)*1000000/'DCF Model'!C15,0),"")</f>
        <v>67</v>
      </c>
      <c r="H10" s="37">
        <f>IFERROR(ROUND(('DCF Model'!C45/(1+$B10)^('DCF Model'!C19+0)+'DCF Model'!D45/(1+$B10)^('DCF Model'!C19+1)+'DCF Model'!E45/(1+$B10)^('DCF Model'!C19+2)+'DCF Model'!F45/(1+$B10)^('DCF Model'!C19+3)+'DCF Model'!G45/(1+$B10)^('DCF Model'!C19+4)+'DCF Model'!H45/(1+$B10)^('DCF Model'!C19+5)+'DCF Model'!I45/(1+$B10)^('DCF Model'!C19+6)+'DCF Model'!J45/(1+$B10)^('DCF Model'!C19+7)+'DCF Model'!J45*(1+H$6)/($B10-H$6)/(1+$B10)^('DCF Model'!C19+7)-'DCF Model'!C16)*1000000/'DCF Model'!C15,0),"")</f>
        <v>74</v>
      </c>
      <c r="I10" s="37">
        <f>IFERROR(ROUND(('DCF Model'!C45/(1+$B10)^('DCF Model'!C19+0)+'DCF Model'!D45/(1+$B10)^('DCF Model'!C19+1)+'DCF Model'!E45/(1+$B10)^('DCF Model'!C19+2)+'DCF Model'!F45/(1+$B10)^('DCF Model'!C19+3)+'DCF Model'!G45/(1+$B10)^('DCF Model'!C19+4)+'DCF Model'!H45/(1+$B10)^('DCF Model'!C19+5)+'DCF Model'!I45/(1+$B10)^('DCF Model'!C19+6)+'DCF Model'!J45/(1+$B10)^('DCF Model'!C19+7)+'DCF Model'!J45*(1+I$6)/($B10-I$6)/(1+$B10)^('DCF Model'!C19+7)-'DCF Model'!C16)*1000000/'DCF Model'!C15,0),"")</f>
        <v>82</v>
      </c>
    </row>
    <row r="11" spans="2:9" ht="13.5" customHeight="1" x14ac:dyDescent="0.25">
      <c r="B11" s="40">
        <f>$C$3+0.005</f>
        <v>0.13425000000000001</v>
      </c>
      <c r="C11" s="37">
        <f>IFERROR(ROUND(('DCF Model'!C45/(1+$B11)^('DCF Model'!C19+0)+'DCF Model'!D45/(1+$B11)^('DCF Model'!C19+1)+'DCF Model'!E45/(1+$B11)^('DCF Model'!C19+2)+'DCF Model'!F45/(1+$B11)^('DCF Model'!C19+3)+'DCF Model'!G45/(1+$B11)^('DCF Model'!C19+4)+'DCF Model'!H45/(1+$B11)^('DCF Model'!C19+5)+'DCF Model'!I45/(1+$B11)^('DCF Model'!C19+6)+'DCF Model'!J45/(1+$B11)^('DCF Model'!C19+7)+'DCF Model'!J45*(1+C$6)/($B11-C$6)/(1+$B11)^('DCF Model'!C19+7)-'DCF Model'!C16)*1000000/'DCF Model'!C15,0),"")</f>
        <v>24</v>
      </c>
      <c r="D11" s="37">
        <f>IFERROR(ROUND(('DCF Model'!C45/(1+$B11)^('DCF Model'!C19+0)+'DCF Model'!D45/(1+$B11)^('DCF Model'!C19+1)+'DCF Model'!E45/(1+$B11)^('DCF Model'!C19+2)+'DCF Model'!F45/(1+$B11)^('DCF Model'!C19+3)+'DCF Model'!G45/(1+$B11)^('DCF Model'!C19+4)+'DCF Model'!H45/(1+$B11)^('DCF Model'!C19+5)+'DCF Model'!I45/(1+$B11)^('DCF Model'!C19+6)+'DCF Model'!J45/(1+$B11)^('DCF Model'!C19+7)+'DCF Model'!J45*(1+D$6)/($B11-D$6)/(1+$B11)^('DCF Model'!C19+7)-'DCF Model'!C16)*1000000/'DCF Model'!C15,0),"")</f>
        <v>29</v>
      </c>
      <c r="E11" s="37">
        <f>IFERROR(ROUND(('DCF Model'!C45/(1+$B11)^('DCF Model'!C19+0)+'DCF Model'!D45/(1+$B11)^('DCF Model'!C19+1)+'DCF Model'!E45/(1+$B11)^('DCF Model'!C19+2)+'DCF Model'!F45/(1+$B11)^('DCF Model'!C19+3)+'DCF Model'!G45/(1+$B11)^('DCF Model'!C19+4)+'DCF Model'!H45/(1+$B11)^('DCF Model'!C19+5)+'DCF Model'!I45/(1+$B11)^('DCF Model'!C19+6)+'DCF Model'!J45/(1+$B11)^('DCF Model'!C19+7)+'DCF Model'!J45*(1+E$6)/($B11-E$6)/(1+$B11)^('DCF Model'!C19+7)-'DCF Model'!C16)*1000000/'DCF Model'!C15,0),"")</f>
        <v>35</v>
      </c>
      <c r="F11" s="37">
        <f>IFERROR(ROUND(('DCF Model'!C45/(1+$B11)^('DCF Model'!C19+0)+'DCF Model'!D45/(1+$B11)^('DCF Model'!C19+1)+'DCF Model'!E45/(1+$B11)^('DCF Model'!C19+2)+'DCF Model'!F45/(1+$B11)^('DCF Model'!C19+3)+'DCF Model'!G45/(1+$B11)^('DCF Model'!C19+4)+'DCF Model'!H45/(1+$B11)^('DCF Model'!C19+5)+'DCF Model'!I45/(1+$B11)^('DCF Model'!C19+6)+'DCF Model'!J45/(1+$B11)^('DCF Model'!C19+7)+'DCF Model'!J45*(1+F$6)/($B11-F$6)/(1+$B11)^('DCF Model'!C19+7)-'DCF Model'!C16)*1000000/'DCF Model'!C15,0),"")</f>
        <v>41</v>
      </c>
      <c r="G11" s="37">
        <f>IFERROR(ROUND(('DCF Model'!C45/(1+$B11)^('DCF Model'!C19+0)+'DCF Model'!D45/(1+$B11)^('DCF Model'!C19+1)+'DCF Model'!E45/(1+$B11)^('DCF Model'!C19+2)+'DCF Model'!F45/(1+$B11)^('DCF Model'!C19+3)+'DCF Model'!G45/(1+$B11)^('DCF Model'!C19+4)+'DCF Model'!H45/(1+$B11)^('DCF Model'!C19+5)+'DCF Model'!I45/(1+$B11)^('DCF Model'!C19+6)+'DCF Model'!J45/(1+$B11)^('DCF Model'!C19+7)+'DCF Model'!J45*(1+G$6)/($B11-G$6)/(1+$B11)^('DCF Model'!C19+7)-'DCF Model'!C16)*1000000/'DCF Model'!C15,0),"")</f>
        <v>47</v>
      </c>
      <c r="H11" s="37">
        <f>IFERROR(ROUND(('DCF Model'!C45/(1+$B11)^('DCF Model'!C19+0)+'DCF Model'!D45/(1+$B11)^('DCF Model'!C19+1)+'DCF Model'!E45/(1+$B11)^('DCF Model'!C19+2)+'DCF Model'!F45/(1+$B11)^('DCF Model'!C19+3)+'DCF Model'!G45/(1+$B11)^('DCF Model'!C19+4)+'DCF Model'!H45/(1+$B11)^('DCF Model'!C19+5)+'DCF Model'!I45/(1+$B11)^('DCF Model'!C19+6)+'DCF Model'!J45/(1+$B11)^('DCF Model'!C19+7)+'DCF Model'!J45*(1+H$6)/($B11-H$6)/(1+$B11)^('DCF Model'!C19+7)-'DCF Model'!C16)*1000000/'DCF Model'!C15,0),"")</f>
        <v>54</v>
      </c>
      <c r="I11" s="37">
        <f>IFERROR(ROUND(('DCF Model'!C45/(1+$B11)^('DCF Model'!C19+0)+'DCF Model'!D45/(1+$B11)^('DCF Model'!C19+1)+'DCF Model'!E45/(1+$B11)^('DCF Model'!C19+2)+'DCF Model'!F45/(1+$B11)^('DCF Model'!C19+3)+'DCF Model'!G45/(1+$B11)^('DCF Model'!C19+4)+'DCF Model'!H45/(1+$B11)^('DCF Model'!C19+5)+'DCF Model'!I45/(1+$B11)^('DCF Model'!C19+6)+'DCF Model'!J45/(1+$B11)^('DCF Model'!C19+7)+'DCF Model'!J45*(1+I$6)/($B11-I$6)/(1+$B11)^('DCF Model'!C19+7)-'DCF Model'!C16)*1000000/'DCF Model'!C15,0),"")</f>
        <v>61</v>
      </c>
    </row>
    <row r="12" spans="2:9" ht="13.5" customHeight="1" x14ac:dyDescent="0.25">
      <c r="B12" s="40">
        <f>$C$3+0.01</f>
        <v>0.13925000000000001</v>
      </c>
      <c r="C12" s="37">
        <f>IFERROR(ROUND(('DCF Model'!C45/(1+$B12)^('DCF Model'!C19+0)+'DCF Model'!D45/(1+$B12)^('DCF Model'!C19+1)+'DCF Model'!E45/(1+$B12)^('DCF Model'!C19+2)+'DCF Model'!F45/(1+$B12)^('DCF Model'!C19+3)+'DCF Model'!G45/(1+$B12)^('DCF Model'!C19+4)+'DCF Model'!H45/(1+$B12)^('DCF Model'!C19+5)+'DCF Model'!I45/(1+$B12)^('DCF Model'!C19+6)+'DCF Model'!J45/(1+$B12)^('DCF Model'!C19+7)+'DCF Model'!J45*(1+C$6)/($B12-C$6)/(1+$B12)^('DCF Model'!C19+7)-'DCF Model'!C16)*1000000/'DCF Model'!C15,0),"")</f>
        <v>9</v>
      </c>
      <c r="D12" s="37">
        <f>IFERROR(ROUND(('DCF Model'!C45/(1+$B12)^('DCF Model'!C19+0)+'DCF Model'!D45/(1+$B12)^('DCF Model'!C19+1)+'DCF Model'!E45/(1+$B12)^('DCF Model'!C19+2)+'DCF Model'!F45/(1+$B12)^('DCF Model'!C19+3)+'DCF Model'!G45/(1+$B12)^('DCF Model'!C19+4)+'DCF Model'!H45/(1+$B12)^('DCF Model'!C19+5)+'DCF Model'!I45/(1+$B12)^('DCF Model'!C19+6)+'DCF Model'!J45/(1+$B12)^('DCF Model'!C19+7)+'DCF Model'!J45*(1+D$6)/($B12-D$6)/(1+$B12)^('DCF Model'!C19+7)-'DCF Model'!C16)*1000000/'DCF Model'!C15,0),"")</f>
        <v>14</v>
      </c>
      <c r="E12" s="37">
        <f>IFERROR(ROUND(('DCF Model'!C45/(1+$B12)^('DCF Model'!C19+0)+'DCF Model'!D45/(1+$B12)^('DCF Model'!C19+1)+'DCF Model'!E45/(1+$B12)^('DCF Model'!C19+2)+'DCF Model'!F45/(1+$B12)^('DCF Model'!C19+3)+'DCF Model'!G45/(1+$B12)^('DCF Model'!C19+4)+'DCF Model'!H45/(1+$B12)^('DCF Model'!C19+5)+'DCF Model'!I45/(1+$B12)^('DCF Model'!C19+6)+'DCF Model'!J45/(1+$B12)^('DCF Model'!C19+7)+'DCF Model'!J45*(1+E$6)/($B12-E$6)/(1+$B12)^('DCF Model'!C19+7)-'DCF Model'!C16)*1000000/'DCF Model'!C15,0),"")</f>
        <v>19</v>
      </c>
      <c r="F12" s="37">
        <f>IFERROR(ROUND(('DCF Model'!C45/(1+$B12)^('DCF Model'!C19+0)+'DCF Model'!D45/(1+$B12)^('DCF Model'!C19+1)+'DCF Model'!E45/(1+$B12)^('DCF Model'!C19+2)+'DCF Model'!F45/(1+$B12)^('DCF Model'!C19+3)+'DCF Model'!G45/(1+$B12)^('DCF Model'!C19+4)+'DCF Model'!H45/(1+$B12)^('DCF Model'!C19+5)+'DCF Model'!I45/(1+$B12)^('DCF Model'!C19+6)+'DCF Model'!J45/(1+$B12)^('DCF Model'!C19+7)+'DCF Model'!J45*(1+F$6)/($B12-F$6)/(1+$B12)^('DCF Model'!C19+7)-'DCF Model'!C16)*1000000/'DCF Model'!C15,0),"")</f>
        <v>25</v>
      </c>
      <c r="G12" s="37">
        <f>IFERROR(ROUND(('DCF Model'!C45/(1+$B12)^('DCF Model'!C19+0)+'DCF Model'!D45/(1+$B12)^('DCF Model'!C19+1)+'DCF Model'!E45/(1+$B12)^('DCF Model'!C19+2)+'DCF Model'!F45/(1+$B12)^('DCF Model'!C19+3)+'DCF Model'!G45/(1+$B12)^('DCF Model'!C19+4)+'DCF Model'!H45/(1+$B12)^('DCF Model'!C19+5)+'DCF Model'!I45/(1+$B12)^('DCF Model'!C19+6)+'DCF Model'!J45/(1+$B12)^('DCF Model'!C19+7)+'DCF Model'!J45*(1+G$6)/($B12-G$6)/(1+$B12)^('DCF Model'!C19+7)-'DCF Model'!C16)*1000000/'DCF Model'!C15,0),"")</f>
        <v>30</v>
      </c>
      <c r="H12" s="37">
        <f>IFERROR(ROUND(('DCF Model'!C45/(1+$B12)^('DCF Model'!C19+0)+'DCF Model'!D45/(1+$B12)^('DCF Model'!C19+1)+'DCF Model'!E45/(1+$B12)^('DCF Model'!C19+2)+'DCF Model'!F45/(1+$B12)^('DCF Model'!C19+3)+'DCF Model'!G45/(1+$B12)^('DCF Model'!C19+4)+'DCF Model'!H45/(1+$B12)^('DCF Model'!C19+5)+'DCF Model'!I45/(1+$B12)^('DCF Model'!C19+6)+'DCF Model'!J45/(1+$B12)^('DCF Model'!C19+7)+'DCF Model'!J45*(1+H$6)/($B12-H$6)/(1+$B12)^('DCF Model'!C19+7)-'DCF Model'!C16)*1000000/'DCF Model'!C15,0),"")</f>
        <v>36</v>
      </c>
      <c r="I12" s="37">
        <f>IFERROR(ROUND(('DCF Model'!C45/(1+$B12)^('DCF Model'!C19+0)+'DCF Model'!D45/(1+$B12)^('DCF Model'!C19+1)+'DCF Model'!E45/(1+$B12)^('DCF Model'!C19+2)+'DCF Model'!F45/(1+$B12)^('DCF Model'!C19+3)+'DCF Model'!G45/(1+$B12)^('DCF Model'!C19+4)+'DCF Model'!H45/(1+$B12)^('DCF Model'!C19+5)+'DCF Model'!I45/(1+$B12)^('DCF Model'!C19+6)+'DCF Model'!J45/(1+$B12)^('DCF Model'!C19+7)+'DCF Model'!J45*(1+I$6)/($B12-I$6)/(1+$B12)^('DCF Model'!C19+7)-'DCF Model'!C16)*1000000/'DCF Model'!C15,0),"")</f>
        <v>42</v>
      </c>
    </row>
    <row r="13" spans="2:9" ht="13.5" customHeight="1" x14ac:dyDescent="0.25">
      <c r="B13" s="40">
        <f>$C$3+0.015</f>
        <v>0.14424999999999999</v>
      </c>
      <c r="C13" s="37">
        <f>IFERROR(ROUND(('DCF Model'!C45/(1+$B13)^('DCF Model'!C19+0)+'DCF Model'!D45/(1+$B13)^('DCF Model'!C19+1)+'DCF Model'!E45/(1+$B13)^('DCF Model'!C19+2)+'DCF Model'!F45/(1+$B13)^('DCF Model'!C19+3)+'DCF Model'!G45/(1+$B13)^('DCF Model'!C19+4)+'DCF Model'!H45/(1+$B13)^('DCF Model'!C19+5)+'DCF Model'!I45/(1+$B13)^('DCF Model'!C19+6)+'DCF Model'!J45/(1+$B13)^('DCF Model'!C19+7)+'DCF Model'!J45*(1+C$6)/($B13-C$6)/(1+$B13)^('DCF Model'!C19+7)-'DCF Model'!C16)*1000000/'DCF Model'!C15,0),"")</f>
        <v>-4</v>
      </c>
      <c r="D13" s="37">
        <f>IFERROR(ROUND(('DCF Model'!C45/(1+$B13)^('DCF Model'!C19+0)+'DCF Model'!D45/(1+$B13)^('DCF Model'!C19+1)+'DCF Model'!E45/(1+$B13)^('DCF Model'!C19+2)+'DCF Model'!F45/(1+$B13)^('DCF Model'!C19+3)+'DCF Model'!G45/(1+$B13)^('DCF Model'!C19+4)+'DCF Model'!H45/(1+$B13)^('DCF Model'!C19+5)+'DCF Model'!I45/(1+$B13)^('DCF Model'!C19+6)+'DCF Model'!J45/(1+$B13)^('DCF Model'!C19+7)+'DCF Model'!J45*(1+D$6)/($B13-D$6)/(1+$B13)^('DCF Model'!C19+7)-'DCF Model'!C16)*1000000/'DCF Model'!C15,0),"")</f>
        <v>1</v>
      </c>
      <c r="E13" s="37">
        <f>IFERROR(ROUND(('DCF Model'!C45/(1+$B13)^('DCF Model'!C19+0)+'DCF Model'!D45/(1+$B13)^('DCF Model'!C19+1)+'DCF Model'!E45/(1+$B13)^('DCF Model'!C19+2)+'DCF Model'!F45/(1+$B13)^('DCF Model'!C19+3)+'DCF Model'!G45/(1+$B13)^('DCF Model'!C19+4)+'DCF Model'!H45/(1+$B13)^('DCF Model'!C19+5)+'DCF Model'!I45/(1+$B13)^('DCF Model'!C19+6)+'DCF Model'!J45/(1+$B13)^('DCF Model'!C19+7)+'DCF Model'!J45*(1+E$6)/($B13-E$6)/(1+$B13)^('DCF Model'!C19+7)-'DCF Model'!C16)*1000000/'DCF Model'!C15,0),"")</f>
        <v>5</v>
      </c>
      <c r="F13" s="37">
        <f>IFERROR(ROUND(('DCF Model'!C45/(1+$B13)^('DCF Model'!C19+0)+'DCF Model'!D45/(1+$B13)^('DCF Model'!C19+1)+'DCF Model'!E45/(1+$B13)^('DCF Model'!C19+2)+'DCF Model'!F45/(1+$B13)^('DCF Model'!C19+3)+'DCF Model'!G45/(1+$B13)^('DCF Model'!C19+4)+'DCF Model'!H45/(1+$B13)^('DCF Model'!C19+5)+'DCF Model'!I45/(1+$B13)^('DCF Model'!C19+6)+'DCF Model'!J45/(1+$B13)^('DCF Model'!C19+7)+'DCF Model'!J45*(1+F$6)/($B13-F$6)/(1+$B13)^('DCF Model'!C19+7)-'DCF Model'!C16)*1000000/'DCF Model'!C15,0),"")</f>
        <v>10</v>
      </c>
      <c r="G13" s="37">
        <f>IFERROR(ROUND(('DCF Model'!C45/(1+$B13)^('DCF Model'!C19+0)+'DCF Model'!D45/(1+$B13)^('DCF Model'!C19+1)+'DCF Model'!E45/(1+$B13)^('DCF Model'!C19+2)+'DCF Model'!F45/(1+$B13)^('DCF Model'!C19+3)+'DCF Model'!G45/(1+$B13)^('DCF Model'!C19+4)+'DCF Model'!H45/(1+$B13)^('DCF Model'!C19+5)+'DCF Model'!I45/(1+$B13)^('DCF Model'!C19+6)+'DCF Model'!J45/(1+$B13)^('DCF Model'!C19+7)+'DCF Model'!J45*(1+G$6)/($B13-G$6)/(1+$B13)^('DCF Model'!C19+7)-'DCF Model'!C16)*1000000/'DCF Model'!C15,0),"")</f>
        <v>15</v>
      </c>
      <c r="H13" s="37">
        <f>IFERROR(ROUND(('DCF Model'!C45/(1+$B13)^('DCF Model'!C19+0)+'DCF Model'!D45/(1+$B13)^('DCF Model'!C19+1)+'DCF Model'!E45/(1+$B13)^('DCF Model'!C19+2)+'DCF Model'!F45/(1+$B13)^('DCF Model'!C19+3)+'DCF Model'!G45/(1+$B13)^('DCF Model'!C19+4)+'DCF Model'!H45/(1+$B13)^('DCF Model'!C19+5)+'DCF Model'!I45/(1+$B13)^('DCF Model'!C19+6)+'DCF Model'!J45/(1+$B13)^('DCF Model'!C19+7)+'DCF Model'!J45*(1+H$6)/($B13-H$6)/(1+$B13)^('DCF Model'!C19+7)-'DCF Model'!C16)*1000000/'DCF Model'!C15,0),"")</f>
        <v>20</v>
      </c>
      <c r="I13" s="37">
        <f>IFERROR(ROUND(('DCF Model'!C45/(1+$B13)^('DCF Model'!C19+0)+'DCF Model'!D45/(1+$B13)^('DCF Model'!C19+1)+'DCF Model'!E45/(1+$B13)^('DCF Model'!C19+2)+'DCF Model'!F45/(1+$B13)^('DCF Model'!C19+3)+'DCF Model'!G45/(1+$B13)^('DCF Model'!C19+4)+'DCF Model'!H45/(1+$B13)^('DCF Model'!C19+5)+'DCF Model'!I45/(1+$B13)^('DCF Model'!C19+6)+'DCF Model'!J45/(1+$B13)^('DCF Model'!C19+7)+'DCF Model'!J45*(1+I$6)/($B13-I$6)/(1+$B13)^('DCF Model'!C19+7)-'DCF Model'!C16)*1000000/'DCF Model'!C15,0),"")</f>
        <v>26</v>
      </c>
    </row>
    <row r="16" spans="2:9" ht="14" customHeight="1" x14ac:dyDescent="0.3">
      <c r="B16" s="3" t="s">
        <v>245</v>
      </c>
    </row>
    <row r="17" spans="2:9" ht="14" customHeight="1" x14ac:dyDescent="0.3">
      <c r="B17" s="42" t="s">
        <v>246</v>
      </c>
      <c r="C17" s="44">
        <f>$I$3-3</f>
        <v>-1</v>
      </c>
      <c r="D17" s="44">
        <f>$I$3-2</f>
        <v>0</v>
      </c>
      <c r="E17" s="44">
        <f>$I$3-1</f>
        <v>1</v>
      </c>
      <c r="F17" s="44">
        <f>$I$3</f>
        <v>2</v>
      </c>
      <c r="G17" s="44">
        <f>$I$3+1</f>
        <v>3</v>
      </c>
      <c r="H17" s="44">
        <f>$I$3+2</f>
        <v>4</v>
      </c>
      <c r="I17" s="44">
        <f>$I$3+3</f>
        <v>5</v>
      </c>
    </row>
    <row r="18" spans="2:9" ht="13.5" customHeight="1" x14ac:dyDescent="0.25">
      <c r="B18" s="40">
        <f>$C$3-0.015</f>
        <v>0.11425</v>
      </c>
      <c r="C18" s="37">
        <f>IFERROR(ROUND(('DCF Model'!C45/(1+$B18)^('DCF Model'!C19+0)+'DCF Model'!D45/(1+$B18)^('DCF Model'!C19+1)+'DCF Model'!E45/(1+$B18)^('DCF Model'!C19+2)+'DCF Model'!F45/(1+$B18)^('DCF Model'!C19+3)+'DCF Model'!G45/(1+$B18)^('DCF Model'!C19+4)+'DCF Model'!H45/(1+$B18)^('DCF Model'!C19+5)+'DCF Model'!I45/(1+$B18)^('DCF Model'!C19+6)+'DCF Model'!J45/(1+$B18)^('DCF Model'!C19+7)+'DCF Model'!J33*C$17/(1+$B18)^('DCF Model'!C19+7)-'DCF Model'!C16)*1000000/'DCF Model'!C15,0),"")</f>
        <v>-890</v>
      </c>
      <c r="D18" s="37">
        <f>IFERROR(ROUND(('DCF Model'!C45/(1+$B18)^('DCF Model'!C19+0)+'DCF Model'!D45/(1+$B18)^('DCF Model'!C19+1)+'DCF Model'!E45/(1+$B18)^('DCF Model'!C19+2)+'DCF Model'!F45/(1+$B18)^('DCF Model'!C19+3)+'DCF Model'!G45/(1+$B18)^('DCF Model'!C19+4)+'DCF Model'!H45/(1+$B18)^('DCF Model'!C19+5)+'DCF Model'!I45/(1+$B18)^('DCF Model'!C19+6)+'DCF Model'!J45/(1+$B18)^('DCF Model'!C19+7)+'DCF Model'!J33*D$17/(1+$B18)^('DCF Model'!C19+7)-'DCF Model'!C16)*1000000/'DCF Model'!C15,0),"")</f>
        <v>-220</v>
      </c>
      <c r="E18" s="37">
        <f>IFERROR(ROUND(('DCF Model'!C45/(1+$B18)^('DCF Model'!C19+0)+'DCF Model'!D45/(1+$B18)^('DCF Model'!C19+1)+'DCF Model'!E45/(1+$B18)^('DCF Model'!C19+2)+'DCF Model'!F45/(1+$B18)^('DCF Model'!C19+3)+'DCF Model'!G45/(1+$B18)^('DCF Model'!C19+4)+'DCF Model'!H45/(1+$B18)^('DCF Model'!C19+5)+'DCF Model'!I45/(1+$B18)^('DCF Model'!C19+6)+'DCF Model'!J45/(1+$B18)^('DCF Model'!C19+7)+'DCF Model'!J33*E$17/(1+$B18)^('DCF Model'!C19+7)-'DCF Model'!C16)*1000000/'DCF Model'!C15,0),"")</f>
        <v>450</v>
      </c>
      <c r="F18" s="37">
        <f>IFERROR(ROUND(('DCF Model'!C45/(1+$B18)^('DCF Model'!C19+0)+'DCF Model'!D45/(1+$B18)^('DCF Model'!C19+1)+'DCF Model'!E45/(1+$B18)^('DCF Model'!C19+2)+'DCF Model'!F45/(1+$B18)^('DCF Model'!C19+3)+'DCF Model'!G45/(1+$B18)^('DCF Model'!C19+4)+'DCF Model'!H45/(1+$B18)^('DCF Model'!C19+5)+'DCF Model'!I45/(1+$B18)^('DCF Model'!C19+6)+'DCF Model'!J45/(1+$B18)^('DCF Model'!C19+7)+'DCF Model'!J33*F$17/(1+$B18)^('DCF Model'!C19+7)-'DCF Model'!C16)*1000000/'DCF Model'!C15,0),"")</f>
        <v>1119</v>
      </c>
      <c r="G18" s="37">
        <f>IFERROR(ROUND(('DCF Model'!C45/(1+$B18)^('DCF Model'!C19+0)+'DCF Model'!D45/(1+$B18)^('DCF Model'!C19+1)+'DCF Model'!E45/(1+$B18)^('DCF Model'!C19+2)+'DCF Model'!F45/(1+$B18)^('DCF Model'!C19+3)+'DCF Model'!G45/(1+$B18)^('DCF Model'!C19+4)+'DCF Model'!H45/(1+$B18)^('DCF Model'!C19+5)+'DCF Model'!I45/(1+$B18)^('DCF Model'!C19+6)+'DCF Model'!J45/(1+$B18)^('DCF Model'!C19+7)+'DCF Model'!J33*G$17/(1+$B18)^('DCF Model'!C19+7)-'DCF Model'!C16)*1000000/'DCF Model'!C15,0),"")</f>
        <v>1789</v>
      </c>
      <c r="H18" s="37">
        <f>IFERROR(ROUND(('DCF Model'!C45/(1+$B18)^('DCF Model'!C19+0)+'DCF Model'!D45/(1+$B18)^('DCF Model'!C19+1)+'DCF Model'!E45/(1+$B18)^('DCF Model'!C19+2)+'DCF Model'!F45/(1+$B18)^('DCF Model'!C19+3)+'DCF Model'!G45/(1+$B18)^('DCF Model'!C19+4)+'DCF Model'!H45/(1+$B18)^('DCF Model'!C19+5)+'DCF Model'!I45/(1+$B18)^('DCF Model'!C19+6)+'DCF Model'!J45/(1+$B18)^('DCF Model'!C19+7)+'DCF Model'!J33*H$17/(1+$B18)^('DCF Model'!C19+7)-'DCF Model'!C16)*1000000/'DCF Model'!C15,0),"")</f>
        <v>2459</v>
      </c>
      <c r="I18" s="37">
        <f>IFERROR(ROUND(('DCF Model'!C45/(1+$B18)^('DCF Model'!C19+0)+'DCF Model'!D45/(1+$B18)^('DCF Model'!C19+1)+'DCF Model'!E45/(1+$B18)^('DCF Model'!C19+2)+'DCF Model'!F45/(1+$B18)^('DCF Model'!C19+3)+'DCF Model'!G45/(1+$B18)^('DCF Model'!C19+4)+'DCF Model'!H45/(1+$B18)^('DCF Model'!C19+5)+'DCF Model'!I45/(1+$B18)^('DCF Model'!C19+6)+'DCF Model'!J45/(1+$B18)^('DCF Model'!C19+7)+'DCF Model'!J33*I$17/(1+$B18)^('DCF Model'!C19+7)-'DCF Model'!C16)*1000000/'DCF Model'!C15,0),"")</f>
        <v>3129</v>
      </c>
    </row>
    <row r="19" spans="2:9" ht="13.5" customHeight="1" x14ac:dyDescent="0.25">
      <c r="B19" s="40">
        <f>$C$3-0.01</f>
        <v>0.11925000000000001</v>
      </c>
      <c r="C19" s="37">
        <f>IFERROR(ROUND(('DCF Model'!C45/(1+$B19)^('DCF Model'!C19+0)+'DCF Model'!D45/(1+$B19)^('DCF Model'!C19+1)+'DCF Model'!E45/(1+$B19)^('DCF Model'!C19+2)+'DCF Model'!F45/(1+$B19)^('DCF Model'!C19+3)+'DCF Model'!G45/(1+$B19)^('DCF Model'!C19+4)+'DCF Model'!H45/(1+$B19)^('DCF Model'!C19+5)+'DCF Model'!I45/(1+$B19)^('DCF Model'!C19+6)+'DCF Model'!J45/(1+$B19)^('DCF Model'!C19+7)+'DCF Model'!J33*C$17/(1+$B19)^('DCF Model'!C19+7)-'DCF Model'!C16)*1000000/'DCF Model'!C15,0),"")</f>
        <v>-866</v>
      </c>
      <c r="D19" s="37">
        <f>IFERROR(ROUND(('DCF Model'!C45/(1+$B19)^('DCF Model'!C19+0)+'DCF Model'!D45/(1+$B19)^('DCF Model'!C19+1)+'DCF Model'!E45/(1+$B19)^('DCF Model'!C19+2)+'DCF Model'!F45/(1+$B19)^('DCF Model'!C19+3)+'DCF Model'!G45/(1+$B19)^('DCF Model'!C19+4)+'DCF Model'!H45/(1+$B19)^('DCF Model'!C19+5)+'DCF Model'!I45/(1+$B19)^('DCF Model'!C19+6)+'DCF Model'!J45/(1+$B19)^('DCF Model'!C19+7)+'DCF Model'!J33*D$17/(1+$B19)^('DCF Model'!C19+7)-'DCF Model'!C16)*1000000/'DCF Model'!C15,0),"")</f>
        <v>-218</v>
      </c>
      <c r="E19" s="37">
        <f>IFERROR(ROUND(('DCF Model'!C45/(1+$B19)^('DCF Model'!C19+0)+'DCF Model'!D45/(1+$B19)^('DCF Model'!C19+1)+'DCF Model'!E45/(1+$B19)^('DCF Model'!C19+2)+'DCF Model'!F45/(1+$B19)^('DCF Model'!C19+3)+'DCF Model'!G45/(1+$B19)^('DCF Model'!C19+4)+'DCF Model'!H45/(1+$B19)^('DCF Model'!C19+5)+'DCF Model'!I45/(1+$B19)^('DCF Model'!C19+6)+'DCF Model'!J45/(1+$B19)^('DCF Model'!C19+7)+'DCF Model'!J33*E$17/(1+$B19)^('DCF Model'!C19+7)-'DCF Model'!C16)*1000000/'DCF Model'!C15,0),"")</f>
        <v>430</v>
      </c>
      <c r="F19" s="37">
        <f>IFERROR(ROUND(('DCF Model'!C45/(1+$B19)^('DCF Model'!C19+0)+'DCF Model'!D45/(1+$B19)^('DCF Model'!C19+1)+'DCF Model'!E45/(1+$B19)^('DCF Model'!C19+2)+'DCF Model'!F45/(1+$B19)^('DCF Model'!C19+3)+'DCF Model'!G45/(1+$B19)^('DCF Model'!C19+4)+'DCF Model'!H45/(1+$B19)^('DCF Model'!C19+5)+'DCF Model'!I45/(1+$B19)^('DCF Model'!C19+6)+'DCF Model'!J45/(1+$B19)^('DCF Model'!C19+7)+'DCF Model'!J33*F$17/(1+$B19)^('DCF Model'!C19+7)-'DCF Model'!C16)*1000000/'DCF Model'!C15,0),"")</f>
        <v>1078</v>
      </c>
      <c r="G19" s="37">
        <f>IFERROR(ROUND(('DCF Model'!C45/(1+$B19)^('DCF Model'!C19+0)+'DCF Model'!D45/(1+$B19)^('DCF Model'!C19+1)+'DCF Model'!E45/(1+$B19)^('DCF Model'!C19+2)+'DCF Model'!F45/(1+$B19)^('DCF Model'!C19+3)+'DCF Model'!G45/(1+$B19)^('DCF Model'!C19+4)+'DCF Model'!H45/(1+$B19)^('DCF Model'!C19+5)+'DCF Model'!I45/(1+$B19)^('DCF Model'!C19+6)+'DCF Model'!J45/(1+$B19)^('DCF Model'!C19+7)+'DCF Model'!J33*G$17/(1+$B19)^('DCF Model'!C19+7)-'DCF Model'!C16)*1000000/'DCF Model'!C15,0),"")</f>
        <v>1726</v>
      </c>
      <c r="H19" s="37">
        <f>IFERROR(ROUND(('DCF Model'!C45/(1+$B19)^('DCF Model'!C19+0)+'DCF Model'!D45/(1+$B19)^('DCF Model'!C19+1)+'DCF Model'!E45/(1+$B19)^('DCF Model'!C19+2)+'DCF Model'!F45/(1+$B19)^('DCF Model'!C19+3)+'DCF Model'!G45/(1+$B19)^('DCF Model'!C19+4)+'DCF Model'!H45/(1+$B19)^('DCF Model'!C19+5)+'DCF Model'!I45/(1+$B19)^('DCF Model'!C19+6)+'DCF Model'!J45/(1+$B19)^('DCF Model'!C19+7)+'DCF Model'!J33*H$17/(1+$B19)^('DCF Model'!C19+7)-'DCF Model'!C16)*1000000/'DCF Model'!C15,0),"")</f>
        <v>2374</v>
      </c>
      <c r="I19" s="37">
        <f>IFERROR(ROUND(('DCF Model'!C45/(1+$B19)^('DCF Model'!C19+0)+'DCF Model'!D45/(1+$B19)^('DCF Model'!C19+1)+'DCF Model'!E45/(1+$B19)^('DCF Model'!C19+2)+'DCF Model'!F45/(1+$B19)^('DCF Model'!C19+3)+'DCF Model'!G45/(1+$B19)^('DCF Model'!C19+4)+'DCF Model'!H45/(1+$B19)^('DCF Model'!C19+5)+'DCF Model'!I45/(1+$B19)^('DCF Model'!C19+6)+'DCF Model'!J45/(1+$B19)^('DCF Model'!C19+7)+'DCF Model'!J33*I$17/(1+$B19)^('DCF Model'!C19+7)-'DCF Model'!C16)*1000000/'DCF Model'!C15,0),"")</f>
        <v>3022</v>
      </c>
    </row>
    <row r="20" spans="2:9" ht="13.5" customHeight="1" x14ac:dyDescent="0.25">
      <c r="B20" s="40">
        <f>$C$3-0.005</f>
        <v>0.12425</v>
      </c>
      <c r="C20" s="37">
        <f>IFERROR(ROUND(('DCF Model'!C45/(1+$B20)^('DCF Model'!C19+0)+'DCF Model'!D45/(1+$B20)^('DCF Model'!C19+1)+'DCF Model'!E45/(1+$B20)^('DCF Model'!C19+2)+'DCF Model'!F45/(1+$B20)^('DCF Model'!C19+3)+'DCF Model'!G45/(1+$B20)^('DCF Model'!C19+4)+'DCF Model'!H45/(1+$B20)^('DCF Model'!C19+5)+'DCF Model'!I45/(1+$B20)^('DCF Model'!C19+6)+'DCF Model'!J45/(1+$B20)^('DCF Model'!C19+7)+'DCF Model'!J33*C$17/(1+$B20)^('DCF Model'!C19+7)-'DCF Model'!C16)*1000000/'DCF Model'!C15,0),"")</f>
        <v>-843</v>
      </c>
      <c r="D20" s="37">
        <f>IFERROR(ROUND(('DCF Model'!C45/(1+$B20)^('DCF Model'!C19+0)+'DCF Model'!D45/(1+$B20)^('DCF Model'!C19+1)+'DCF Model'!E45/(1+$B20)^('DCF Model'!C19+2)+'DCF Model'!F45/(1+$B20)^('DCF Model'!C19+3)+'DCF Model'!G45/(1+$B20)^('DCF Model'!C19+4)+'DCF Model'!H45/(1+$B20)^('DCF Model'!C19+5)+'DCF Model'!I45/(1+$B20)^('DCF Model'!C19+6)+'DCF Model'!J45/(1+$B20)^('DCF Model'!C19+7)+'DCF Model'!J33*D$17/(1+$B20)^('DCF Model'!C19+7)-'DCF Model'!C16)*1000000/'DCF Model'!C15,0),"")</f>
        <v>-216</v>
      </c>
      <c r="E20" s="37">
        <f>IFERROR(ROUND(('DCF Model'!C45/(1+$B20)^('DCF Model'!C19+0)+'DCF Model'!D45/(1+$B20)^('DCF Model'!C19+1)+'DCF Model'!E45/(1+$B20)^('DCF Model'!C19+2)+'DCF Model'!F45/(1+$B20)^('DCF Model'!C19+3)+'DCF Model'!G45/(1+$B20)^('DCF Model'!C19+4)+'DCF Model'!H45/(1+$B20)^('DCF Model'!C19+5)+'DCF Model'!I45/(1+$B20)^('DCF Model'!C19+6)+'DCF Model'!J45/(1+$B20)^('DCF Model'!C19+7)+'DCF Model'!J33*E$17/(1+$B20)^('DCF Model'!C19+7)-'DCF Model'!C16)*1000000/'DCF Model'!C15,0),"")</f>
        <v>411</v>
      </c>
      <c r="F20" s="37">
        <f>IFERROR(ROUND(('DCF Model'!C45/(1+$B20)^('DCF Model'!C19+0)+'DCF Model'!D45/(1+$B20)^('DCF Model'!C19+1)+'DCF Model'!E45/(1+$B20)^('DCF Model'!C19+2)+'DCF Model'!F45/(1+$B20)^('DCF Model'!C19+3)+'DCF Model'!G45/(1+$B20)^('DCF Model'!C19+4)+'DCF Model'!H45/(1+$B20)^('DCF Model'!C19+5)+'DCF Model'!I45/(1+$B20)^('DCF Model'!C19+6)+'DCF Model'!J45/(1+$B20)^('DCF Model'!C19+7)+'DCF Model'!J33*F$17/(1+$B20)^('DCF Model'!C19+7)-'DCF Model'!C16)*1000000/'DCF Model'!C15,0),"")</f>
        <v>1038</v>
      </c>
      <c r="G20" s="37">
        <f>IFERROR(ROUND(('DCF Model'!C45/(1+$B20)^('DCF Model'!C19+0)+'DCF Model'!D45/(1+$B20)^('DCF Model'!C19+1)+'DCF Model'!E45/(1+$B20)^('DCF Model'!C19+2)+'DCF Model'!F45/(1+$B20)^('DCF Model'!C19+3)+'DCF Model'!G45/(1+$B20)^('DCF Model'!C19+4)+'DCF Model'!H45/(1+$B20)^('DCF Model'!C19+5)+'DCF Model'!I45/(1+$B20)^('DCF Model'!C19+6)+'DCF Model'!J45/(1+$B20)^('DCF Model'!C19+7)+'DCF Model'!J33*G$17/(1+$B20)^('DCF Model'!C19+7)-'DCF Model'!C16)*1000000/'DCF Model'!C15,0),"")</f>
        <v>1664</v>
      </c>
      <c r="H20" s="37">
        <f>IFERROR(ROUND(('DCF Model'!C45/(1+$B20)^('DCF Model'!C19+0)+'DCF Model'!D45/(1+$B20)^('DCF Model'!C19+1)+'DCF Model'!E45/(1+$B20)^('DCF Model'!C19+2)+'DCF Model'!F45/(1+$B20)^('DCF Model'!C19+3)+'DCF Model'!G45/(1+$B20)^('DCF Model'!C19+4)+'DCF Model'!H45/(1+$B20)^('DCF Model'!C19+5)+'DCF Model'!I45/(1+$B20)^('DCF Model'!C19+6)+'DCF Model'!J45/(1+$B20)^('DCF Model'!C19+7)+'DCF Model'!J33*H$17/(1+$B20)^('DCF Model'!C19+7)-'DCF Model'!C16)*1000000/'DCF Model'!C15,0),"")</f>
        <v>2291</v>
      </c>
      <c r="I20" s="37">
        <f>IFERROR(ROUND(('DCF Model'!C45/(1+$B20)^('DCF Model'!C19+0)+'DCF Model'!D45/(1+$B20)^('DCF Model'!C19+1)+'DCF Model'!E45/(1+$B20)^('DCF Model'!C19+2)+'DCF Model'!F45/(1+$B20)^('DCF Model'!C19+3)+'DCF Model'!G45/(1+$B20)^('DCF Model'!C19+4)+'DCF Model'!H45/(1+$B20)^('DCF Model'!C19+5)+'DCF Model'!I45/(1+$B20)^('DCF Model'!C19+6)+'DCF Model'!J45/(1+$B20)^('DCF Model'!C19+7)+'DCF Model'!J33*I$17/(1+$B20)^('DCF Model'!C19+7)-'DCF Model'!C16)*1000000/'DCF Model'!C15,0),"")</f>
        <v>2918</v>
      </c>
    </row>
    <row r="21" spans="2:9" ht="13.5" customHeight="1" x14ac:dyDescent="0.25">
      <c r="B21" s="40">
        <f>$C$3</f>
        <v>0.12925</v>
      </c>
      <c r="C21" s="37">
        <f>IFERROR(ROUND(('DCF Model'!C45/(1+$B21)^('DCF Model'!C19+0)+'DCF Model'!D45/(1+$B21)^('DCF Model'!C19+1)+'DCF Model'!E45/(1+$B21)^('DCF Model'!C19+2)+'DCF Model'!F45/(1+$B21)^('DCF Model'!C19+3)+'DCF Model'!G45/(1+$B21)^('DCF Model'!C19+4)+'DCF Model'!H45/(1+$B21)^('DCF Model'!C19+5)+'DCF Model'!I45/(1+$B21)^('DCF Model'!C19+6)+'DCF Model'!J45/(1+$B21)^('DCF Model'!C19+7)+'DCF Model'!J33*C$17/(1+$B21)^('DCF Model'!C19+7)-'DCF Model'!C16)*1000000/'DCF Model'!C15,0),"")</f>
        <v>-821</v>
      </c>
      <c r="D21" s="37">
        <f>IFERROR(ROUND(('DCF Model'!C45/(1+$B21)^('DCF Model'!C19+0)+'DCF Model'!D45/(1+$B21)^('DCF Model'!C19+1)+'DCF Model'!E45/(1+$B21)^('DCF Model'!C19+2)+'DCF Model'!F45/(1+$B21)^('DCF Model'!C19+3)+'DCF Model'!G45/(1+$B21)^('DCF Model'!C19+4)+'DCF Model'!H45/(1+$B21)^('DCF Model'!C19+5)+'DCF Model'!I45/(1+$B21)^('DCF Model'!C19+6)+'DCF Model'!J45/(1+$B21)^('DCF Model'!C19+7)+'DCF Model'!J33*D$17/(1+$B21)^('DCF Model'!C19+7)-'DCF Model'!C16)*1000000/'DCF Model'!C15,0),"")</f>
        <v>-214</v>
      </c>
      <c r="E21" s="37">
        <f>IFERROR(ROUND(('DCF Model'!C45/(1+$B21)^('DCF Model'!C19+0)+'DCF Model'!D45/(1+$B21)^('DCF Model'!C19+1)+'DCF Model'!E45/(1+$B21)^('DCF Model'!C19+2)+'DCF Model'!F45/(1+$B21)^('DCF Model'!C19+3)+'DCF Model'!G45/(1+$B21)^('DCF Model'!C19+4)+'DCF Model'!H45/(1+$B21)^('DCF Model'!C19+5)+'DCF Model'!I45/(1+$B21)^('DCF Model'!C19+6)+'DCF Model'!J45/(1+$B21)^('DCF Model'!C19+7)+'DCF Model'!J33*E$17/(1+$B21)^('DCF Model'!C19+7)-'DCF Model'!C16)*1000000/'DCF Model'!C15,0),"")</f>
        <v>393</v>
      </c>
      <c r="F21" s="37">
        <f>IFERROR(ROUND(('DCF Model'!C45/(1+$B21)^('DCF Model'!C19+0)+'DCF Model'!D45/(1+$B21)^('DCF Model'!C19+1)+'DCF Model'!E45/(1+$B21)^('DCF Model'!C19+2)+'DCF Model'!F45/(1+$B21)^('DCF Model'!C19+3)+'DCF Model'!G45/(1+$B21)^('DCF Model'!C19+4)+'DCF Model'!H45/(1+$B21)^('DCF Model'!C19+5)+'DCF Model'!I45/(1+$B21)^('DCF Model'!C19+6)+'DCF Model'!J45/(1+$B21)^('DCF Model'!C19+7)+'DCF Model'!J33*F$17/(1+$B21)^('DCF Model'!C19+7)-'DCF Model'!C16)*1000000/'DCF Model'!C15,0),"")</f>
        <v>999</v>
      </c>
      <c r="G21" s="37">
        <f>IFERROR(ROUND(('DCF Model'!C45/(1+$B21)^('DCF Model'!C19+0)+'DCF Model'!D45/(1+$B21)^('DCF Model'!C19+1)+'DCF Model'!E45/(1+$B21)^('DCF Model'!C19+2)+'DCF Model'!F45/(1+$B21)^('DCF Model'!C19+3)+'DCF Model'!G45/(1+$B21)^('DCF Model'!C19+4)+'DCF Model'!H45/(1+$B21)^('DCF Model'!C19+5)+'DCF Model'!I45/(1+$B21)^('DCF Model'!C19+6)+'DCF Model'!J45/(1+$B21)^('DCF Model'!C19+7)+'DCF Model'!J33*G$17/(1+$B21)^('DCF Model'!C19+7)-'DCF Model'!C16)*1000000/'DCF Model'!C15,0),"")</f>
        <v>1606</v>
      </c>
      <c r="H21" s="37">
        <f>IFERROR(ROUND(('DCF Model'!C45/(1+$B21)^('DCF Model'!C19+0)+'DCF Model'!D45/(1+$B21)^('DCF Model'!C19+1)+'DCF Model'!E45/(1+$B21)^('DCF Model'!C19+2)+'DCF Model'!F45/(1+$B21)^('DCF Model'!C19+3)+'DCF Model'!G45/(1+$B21)^('DCF Model'!C19+4)+'DCF Model'!H45/(1+$B21)^('DCF Model'!C19+5)+'DCF Model'!I45/(1+$B21)^('DCF Model'!C19+6)+'DCF Model'!J45/(1+$B21)^('DCF Model'!C19+7)+'DCF Model'!J33*H$17/(1+$B21)^('DCF Model'!C19+7)-'DCF Model'!C16)*1000000/'DCF Model'!C15,0),"")</f>
        <v>2212</v>
      </c>
      <c r="I21" s="37">
        <f>IFERROR(ROUND(('DCF Model'!C45/(1+$B21)^('DCF Model'!C19+0)+'DCF Model'!D45/(1+$B21)^('DCF Model'!C19+1)+'DCF Model'!E45/(1+$B21)^('DCF Model'!C19+2)+'DCF Model'!F45/(1+$B21)^('DCF Model'!C19+3)+'DCF Model'!G45/(1+$B21)^('DCF Model'!C19+4)+'DCF Model'!H45/(1+$B21)^('DCF Model'!C19+5)+'DCF Model'!I45/(1+$B21)^('DCF Model'!C19+6)+'DCF Model'!J45/(1+$B21)^('DCF Model'!C19+7)+'DCF Model'!J33*I$17/(1+$B21)^('DCF Model'!C19+7)-'DCF Model'!C16)*1000000/'DCF Model'!C15,0),"")</f>
        <v>2819</v>
      </c>
    </row>
    <row r="22" spans="2:9" ht="13.5" customHeight="1" x14ac:dyDescent="0.25">
      <c r="B22" s="40">
        <f>$C$3+0.005</f>
        <v>0.13425000000000001</v>
      </c>
      <c r="C22" s="37">
        <f>IFERROR(ROUND(('DCF Model'!C45/(1+$B22)^('DCF Model'!C19+0)+'DCF Model'!D45/(1+$B22)^('DCF Model'!C19+1)+'DCF Model'!E45/(1+$B22)^('DCF Model'!C19+2)+'DCF Model'!F45/(1+$B22)^('DCF Model'!C19+3)+'DCF Model'!G45/(1+$B22)^('DCF Model'!C19+4)+'DCF Model'!H45/(1+$B22)^('DCF Model'!C19+5)+'DCF Model'!I45/(1+$B22)^('DCF Model'!C19+6)+'DCF Model'!J45/(1+$B22)^('DCF Model'!C19+7)+'DCF Model'!J33*C$17/(1+$B22)^('DCF Model'!C19+7)-'DCF Model'!C16)*1000000/'DCF Model'!C15,0),"")</f>
        <v>-799</v>
      </c>
      <c r="D22" s="37">
        <f>IFERROR(ROUND(('DCF Model'!C45/(1+$B22)^('DCF Model'!C19+0)+'DCF Model'!D45/(1+$B22)^('DCF Model'!C19+1)+'DCF Model'!E45/(1+$B22)^('DCF Model'!C19+2)+'DCF Model'!F45/(1+$B22)^('DCF Model'!C19+3)+'DCF Model'!G45/(1+$B22)^('DCF Model'!C19+4)+'DCF Model'!H45/(1+$B22)^('DCF Model'!C19+5)+'DCF Model'!I45/(1+$B22)^('DCF Model'!C19+6)+'DCF Model'!J45/(1+$B22)^('DCF Model'!C19+7)+'DCF Model'!J33*D$17/(1+$B22)^('DCF Model'!C19+7)-'DCF Model'!C16)*1000000/'DCF Model'!C15,0),"")</f>
        <v>-212</v>
      </c>
      <c r="E22" s="37">
        <f>IFERROR(ROUND(('DCF Model'!C45/(1+$B22)^('DCF Model'!C19+0)+'DCF Model'!D45/(1+$B22)^('DCF Model'!C19+1)+'DCF Model'!E45/(1+$B22)^('DCF Model'!C19+2)+'DCF Model'!F45/(1+$B22)^('DCF Model'!C19+3)+'DCF Model'!G45/(1+$B22)^('DCF Model'!C19+4)+'DCF Model'!H45/(1+$B22)^('DCF Model'!C19+5)+'DCF Model'!I45/(1+$B22)^('DCF Model'!C19+6)+'DCF Model'!J45/(1+$B22)^('DCF Model'!C19+7)+'DCF Model'!J33*E$17/(1+$B22)^('DCF Model'!C19+7)-'DCF Model'!C16)*1000000/'DCF Model'!C15,0),"")</f>
        <v>375</v>
      </c>
      <c r="F22" s="37">
        <f>IFERROR(ROUND(('DCF Model'!C45/(1+$B22)^('DCF Model'!C19+0)+'DCF Model'!D45/(1+$B22)^('DCF Model'!C19+1)+'DCF Model'!E45/(1+$B22)^('DCF Model'!C19+2)+'DCF Model'!F45/(1+$B22)^('DCF Model'!C19+3)+'DCF Model'!G45/(1+$B22)^('DCF Model'!C19+4)+'DCF Model'!H45/(1+$B22)^('DCF Model'!C19+5)+'DCF Model'!I45/(1+$B22)^('DCF Model'!C19+6)+'DCF Model'!J45/(1+$B22)^('DCF Model'!C19+7)+'DCF Model'!J33*F$17/(1+$B22)^('DCF Model'!C19+7)-'DCF Model'!C16)*1000000/'DCF Model'!C15,0),"")</f>
        <v>962</v>
      </c>
      <c r="G22" s="37">
        <f>IFERROR(ROUND(('DCF Model'!C45/(1+$B22)^('DCF Model'!C19+0)+'DCF Model'!D45/(1+$B22)^('DCF Model'!C19+1)+'DCF Model'!E45/(1+$B22)^('DCF Model'!C19+2)+'DCF Model'!F45/(1+$B22)^('DCF Model'!C19+3)+'DCF Model'!G45/(1+$B22)^('DCF Model'!C19+4)+'DCF Model'!H45/(1+$B22)^('DCF Model'!C19+5)+'DCF Model'!I45/(1+$B22)^('DCF Model'!C19+6)+'DCF Model'!J45/(1+$B22)^('DCF Model'!C19+7)+'DCF Model'!J33*G$17/(1+$B22)^('DCF Model'!C19+7)-'DCF Model'!C16)*1000000/'DCF Model'!C15,0),"")</f>
        <v>1549</v>
      </c>
      <c r="H22" s="37">
        <f>IFERROR(ROUND(('DCF Model'!C45/(1+$B22)^('DCF Model'!C19+0)+'DCF Model'!D45/(1+$B22)^('DCF Model'!C19+1)+'DCF Model'!E45/(1+$B22)^('DCF Model'!C19+2)+'DCF Model'!F45/(1+$B22)^('DCF Model'!C19+3)+'DCF Model'!G45/(1+$B22)^('DCF Model'!C19+4)+'DCF Model'!H45/(1+$B22)^('DCF Model'!C19+5)+'DCF Model'!I45/(1+$B22)^('DCF Model'!C19+6)+'DCF Model'!J45/(1+$B22)^('DCF Model'!C19+7)+'DCF Model'!J33*H$17/(1+$B22)^('DCF Model'!C19+7)-'DCF Model'!C16)*1000000/'DCF Model'!C15,0),"")</f>
        <v>2136</v>
      </c>
      <c r="I22" s="37">
        <f>IFERROR(ROUND(('DCF Model'!C45/(1+$B22)^('DCF Model'!C19+0)+'DCF Model'!D45/(1+$B22)^('DCF Model'!C19+1)+'DCF Model'!E45/(1+$B22)^('DCF Model'!C19+2)+'DCF Model'!F45/(1+$B22)^('DCF Model'!C19+3)+'DCF Model'!G45/(1+$B22)^('DCF Model'!C19+4)+'DCF Model'!H45/(1+$B22)^('DCF Model'!C19+5)+'DCF Model'!I45/(1+$B22)^('DCF Model'!C19+6)+'DCF Model'!J45/(1+$B22)^('DCF Model'!C19+7)+'DCF Model'!J33*I$17/(1+$B22)^('DCF Model'!C19+7)-'DCF Model'!C16)*1000000/'DCF Model'!C15,0),"")</f>
        <v>2723</v>
      </c>
    </row>
    <row r="23" spans="2:9" ht="13.5" customHeight="1" x14ac:dyDescent="0.25">
      <c r="B23" s="40">
        <f>$C$3+0.01</f>
        <v>0.13925000000000001</v>
      </c>
      <c r="C23" s="37">
        <f>IFERROR(ROUND(('DCF Model'!C45/(1+$B23)^('DCF Model'!C19+0)+'DCF Model'!D45/(1+$B23)^('DCF Model'!C19+1)+'DCF Model'!E45/(1+$B23)^('DCF Model'!C19+2)+'DCF Model'!F45/(1+$B23)^('DCF Model'!C19+3)+'DCF Model'!G45/(1+$B23)^('DCF Model'!C19+4)+'DCF Model'!H45/(1+$B23)^('DCF Model'!C19+5)+'DCF Model'!I45/(1+$B23)^('DCF Model'!C19+6)+'DCF Model'!J45/(1+$B23)^('DCF Model'!C19+7)+'DCF Model'!J33*C$17/(1+$B23)^('DCF Model'!C19+7)-'DCF Model'!C16)*1000000/'DCF Model'!C15,0),"")</f>
        <v>-778</v>
      </c>
      <c r="D23" s="37">
        <f>IFERROR(ROUND(('DCF Model'!C45/(1+$B23)^('DCF Model'!C19+0)+'DCF Model'!D45/(1+$B23)^('DCF Model'!C19+1)+'DCF Model'!E45/(1+$B23)^('DCF Model'!C19+2)+'DCF Model'!F45/(1+$B23)^('DCF Model'!C19+3)+'DCF Model'!G45/(1+$B23)^('DCF Model'!C19+4)+'DCF Model'!H45/(1+$B23)^('DCF Model'!C19+5)+'DCF Model'!I45/(1+$B23)^('DCF Model'!C19+6)+'DCF Model'!J45/(1+$B23)^('DCF Model'!C19+7)+'DCF Model'!J33*D$17/(1+$B23)^('DCF Model'!C19+7)-'DCF Model'!C16)*1000000/'DCF Model'!C15,0),"")</f>
        <v>-210</v>
      </c>
      <c r="E23" s="37">
        <f>IFERROR(ROUND(('DCF Model'!C45/(1+$B23)^('DCF Model'!C19+0)+'DCF Model'!D45/(1+$B23)^('DCF Model'!C19+1)+'DCF Model'!E45/(1+$B23)^('DCF Model'!C19+2)+'DCF Model'!F45/(1+$B23)^('DCF Model'!C19+3)+'DCF Model'!G45/(1+$B23)^('DCF Model'!C19+4)+'DCF Model'!H45/(1+$B23)^('DCF Model'!C19+5)+'DCF Model'!I45/(1+$B23)^('DCF Model'!C19+6)+'DCF Model'!J45/(1+$B23)^('DCF Model'!C19+7)+'DCF Model'!J33*E$17/(1+$B23)^('DCF Model'!C19+7)-'DCF Model'!C16)*1000000/'DCF Model'!C15,0),"")</f>
        <v>358</v>
      </c>
      <c r="F23" s="37">
        <f>IFERROR(ROUND(('DCF Model'!C45/(1+$B23)^('DCF Model'!C19+0)+'DCF Model'!D45/(1+$B23)^('DCF Model'!C19+1)+'DCF Model'!E45/(1+$B23)^('DCF Model'!C19+2)+'DCF Model'!F45/(1+$B23)^('DCF Model'!C19+3)+'DCF Model'!G45/(1+$B23)^('DCF Model'!C19+4)+'DCF Model'!H45/(1+$B23)^('DCF Model'!C19+5)+'DCF Model'!I45/(1+$B23)^('DCF Model'!C19+6)+'DCF Model'!J45/(1+$B23)^('DCF Model'!C19+7)+'DCF Model'!J33*F$17/(1+$B23)^('DCF Model'!C19+7)-'DCF Model'!C16)*1000000/'DCF Model'!C15,0),"")</f>
        <v>926</v>
      </c>
      <c r="G23" s="37">
        <f>IFERROR(ROUND(('DCF Model'!C45/(1+$B23)^('DCF Model'!C19+0)+'DCF Model'!D45/(1+$B23)^('DCF Model'!C19+1)+'DCF Model'!E45/(1+$B23)^('DCF Model'!C19+2)+'DCF Model'!F45/(1+$B23)^('DCF Model'!C19+3)+'DCF Model'!G45/(1+$B23)^('DCF Model'!C19+4)+'DCF Model'!H45/(1+$B23)^('DCF Model'!C19+5)+'DCF Model'!I45/(1+$B23)^('DCF Model'!C19+6)+'DCF Model'!J45/(1+$B23)^('DCF Model'!C19+7)+'DCF Model'!J33*G$17/(1+$B23)^('DCF Model'!C19+7)-'DCF Model'!C16)*1000000/'DCF Model'!C15,0),"")</f>
        <v>1495</v>
      </c>
      <c r="H23" s="37">
        <f>IFERROR(ROUND(('DCF Model'!C45/(1+$B23)^('DCF Model'!C19+0)+'DCF Model'!D45/(1+$B23)^('DCF Model'!C19+1)+'DCF Model'!E45/(1+$B23)^('DCF Model'!C19+2)+'DCF Model'!F45/(1+$B23)^('DCF Model'!C19+3)+'DCF Model'!G45/(1+$B23)^('DCF Model'!C19+4)+'DCF Model'!H45/(1+$B23)^('DCF Model'!C19+5)+'DCF Model'!I45/(1+$B23)^('DCF Model'!C19+6)+'DCF Model'!J45/(1+$B23)^('DCF Model'!C19+7)+'DCF Model'!J33*H$17/(1+$B23)^('DCF Model'!C19+7)-'DCF Model'!C16)*1000000/'DCF Model'!C15,0),"")</f>
        <v>2063</v>
      </c>
      <c r="I23" s="37">
        <f>IFERROR(ROUND(('DCF Model'!C45/(1+$B23)^('DCF Model'!C19+0)+'DCF Model'!D45/(1+$B23)^('DCF Model'!C19+1)+'DCF Model'!E45/(1+$B23)^('DCF Model'!C19+2)+'DCF Model'!F45/(1+$B23)^('DCF Model'!C19+3)+'DCF Model'!G45/(1+$B23)^('DCF Model'!C19+4)+'DCF Model'!H45/(1+$B23)^('DCF Model'!C19+5)+'DCF Model'!I45/(1+$B23)^('DCF Model'!C19+6)+'DCF Model'!J45/(1+$B23)^('DCF Model'!C19+7)+'DCF Model'!J33*I$17/(1+$B23)^('DCF Model'!C19+7)-'DCF Model'!C16)*1000000/'DCF Model'!C15,0),"")</f>
        <v>2631</v>
      </c>
    </row>
    <row r="24" spans="2:9" ht="13.5" customHeight="1" x14ac:dyDescent="0.25">
      <c r="B24" s="40">
        <f>$C$3+0.015</f>
        <v>0.14424999999999999</v>
      </c>
      <c r="C24" s="37">
        <f>IFERROR(ROUND(('DCF Model'!C45/(1+$B24)^('DCF Model'!C19+0)+'DCF Model'!D45/(1+$B24)^('DCF Model'!C19+1)+'DCF Model'!E45/(1+$B24)^('DCF Model'!C19+2)+'DCF Model'!F45/(1+$B24)^('DCF Model'!C19+3)+'DCF Model'!G45/(1+$B24)^('DCF Model'!C19+4)+'DCF Model'!H45/(1+$B24)^('DCF Model'!C19+5)+'DCF Model'!I45/(1+$B24)^('DCF Model'!C19+6)+'DCF Model'!J45/(1+$B24)^('DCF Model'!C19+7)+'DCF Model'!J33*C$17/(1+$B24)^('DCF Model'!C19+7)-'DCF Model'!C16)*1000000/'DCF Model'!C15,0),"")</f>
        <v>-758</v>
      </c>
      <c r="D24" s="37">
        <f>IFERROR(ROUND(('DCF Model'!C45/(1+$B24)^('DCF Model'!C19+0)+'DCF Model'!D45/(1+$B24)^('DCF Model'!C19+1)+'DCF Model'!E45/(1+$B24)^('DCF Model'!C19+2)+'DCF Model'!F45/(1+$B24)^('DCF Model'!C19+3)+'DCF Model'!G45/(1+$B24)^('DCF Model'!C19+4)+'DCF Model'!H45/(1+$B24)^('DCF Model'!C19+5)+'DCF Model'!I45/(1+$B24)^('DCF Model'!C19+6)+'DCF Model'!J45/(1+$B24)^('DCF Model'!C19+7)+'DCF Model'!J33*D$17/(1+$B24)^('DCF Model'!C19+7)-'DCF Model'!C16)*1000000/'DCF Model'!C15,0),"")</f>
        <v>-208</v>
      </c>
      <c r="E24" s="37">
        <f>IFERROR(ROUND(('DCF Model'!C45/(1+$B24)^('DCF Model'!C19+0)+'DCF Model'!D45/(1+$B24)^('DCF Model'!C19+1)+'DCF Model'!E45/(1+$B24)^('DCF Model'!C19+2)+'DCF Model'!F45/(1+$B24)^('DCF Model'!C19+3)+'DCF Model'!G45/(1+$B24)^('DCF Model'!C19+4)+'DCF Model'!H45/(1+$B24)^('DCF Model'!C19+5)+'DCF Model'!I45/(1+$B24)^('DCF Model'!C19+6)+'DCF Model'!J45/(1+$B24)^('DCF Model'!C19+7)+'DCF Model'!J33*E$17/(1+$B24)^('DCF Model'!C19+7)-'DCF Model'!C16)*1000000/'DCF Model'!C15,0),"")</f>
        <v>342</v>
      </c>
      <c r="F24" s="37">
        <f>IFERROR(ROUND(('DCF Model'!C45/(1+$B24)^('DCF Model'!C19+0)+'DCF Model'!D45/(1+$B24)^('DCF Model'!C19+1)+'DCF Model'!E45/(1+$B24)^('DCF Model'!C19+2)+'DCF Model'!F45/(1+$B24)^('DCF Model'!C19+3)+'DCF Model'!G45/(1+$B24)^('DCF Model'!C19+4)+'DCF Model'!H45/(1+$B24)^('DCF Model'!C19+5)+'DCF Model'!I45/(1+$B24)^('DCF Model'!C19+6)+'DCF Model'!J45/(1+$B24)^('DCF Model'!C19+7)+'DCF Model'!J33*F$17/(1+$B24)^('DCF Model'!C19+7)-'DCF Model'!C16)*1000000/'DCF Model'!C15,0),"")</f>
        <v>892</v>
      </c>
      <c r="G24" s="37">
        <f>IFERROR(ROUND(('DCF Model'!C45/(1+$B24)^('DCF Model'!C19+0)+'DCF Model'!D45/(1+$B24)^('DCF Model'!C19+1)+'DCF Model'!E45/(1+$B24)^('DCF Model'!C19+2)+'DCF Model'!F45/(1+$B24)^('DCF Model'!C19+3)+'DCF Model'!G45/(1+$B24)^('DCF Model'!C19+4)+'DCF Model'!H45/(1+$B24)^('DCF Model'!C19+5)+'DCF Model'!I45/(1+$B24)^('DCF Model'!C19+6)+'DCF Model'!J45/(1+$B24)^('DCF Model'!C19+7)+'DCF Model'!J33*G$17/(1+$B24)^('DCF Model'!C19+7)-'DCF Model'!C16)*1000000/'DCF Model'!C15,0),"")</f>
        <v>1442</v>
      </c>
      <c r="H24" s="37">
        <f>IFERROR(ROUND(('DCF Model'!C45/(1+$B24)^('DCF Model'!C19+0)+'DCF Model'!D45/(1+$B24)^('DCF Model'!C19+1)+'DCF Model'!E45/(1+$B24)^('DCF Model'!C19+2)+'DCF Model'!F45/(1+$B24)^('DCF Model'!C19+3)+'DCF Model'!G45/(1+$B24)^('DCF Model'!C19+4)+'DCF Model'!H45/(1+$B24)^('DCF Model'!C19+5)+'DCF Model'!I45/(1+$B24)^('DCF Model'!C19+6)+'DCF Model'!J45/(1+$B24)^('DCF Model'!C19+7)+'DCF Model'!J33*H$17/(1+$B24)^('DCF Model'!C19+7)-'DCF Model'!C16)*1000000/'DCF Model'!C15,0),"")</f>
        <v>1992</v>
      </c>
      <c r="I24" s="37">
        <f>IFERROR(ROUND(('DCF Model'!C45/(1+$B24)^('DCF Model'!C19+0)+'DCF Model'!D45/(1+$B24)^('DCF Model'!C19+1)+'DCF Model'!E45/(1+$B24)^('DCF Model'!C19+2)+'DCF Model'!F45/(1+$B24)^('DCF Model'!C19+3)+'DCF Model'!G45/(1+$B24)^('DCF Model'!C19+4)+'DCF Model'!H45/(1+$B24)^('DCF Model'!C19+5)+'DCF Model'!I45/(1+$B24)^('DCF Model'!C19+6)+'DCF Model'!J45/(1+$B24)^('DCF Model'!C19+7)+'DCF Model'!J33*I$17/(1+$B24)^('DCF Model'!C19+7)-'DCF Model'!C16)*1000000/'DCF Model'!C15,0),"")</f>
        <v>2542</v>
      </c>
    </row>
    <row r="26" spans="2:9" ht="14" customHeight="1" x14ac:dyDescent="0.3">
      <c r="B26" s="70" t="s">
        <v>247</v>
      </c>
      <c r="C26" s="69"/>
      <c r="D26" s="69"/>
      <c r="E26" s="69"/>
      <c r="F26" s="69"/>
      <c r="G26" s="69"/>
      <c r="H26" s="69"/>
      <c r="I26" s="69"/>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79"/>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248</v>
      </c>
    </row>
    <row r="4" spans="2:7" ht="14" customHeight="1" x14ac:dyDescent="0.3">
      <c r="B4" s="10" t="s">
        <v>249</v>
      </c>
      <c r="C4" s="10" t="s">
        <v>250</v>
      </c>
      <c r="D4" s="10" t="s">
        <v>251</v>
      </c>
      <c r="E4" s="10" t="s">
        <v>252</v>
      </c>
      <c r="F4" s="10" t="s">
        <v>253</v>
      </c>
      <c r="G4" s="10" t="s">
        <v>254</v>
      </c>
    </row>
    <row r="5" spans="2:7" x14ac:dyDescent="0.2">
      <c r="B5" t="s">
        <v>255</v>
      </c>
      <c r="C5" t="s">
        <v>256</v>
      </c>
      <c r="D5" t="s">
        <v>257</v>
      </c>
      <c r="E5" t="s">
        <v>258</v>
      </c>
      <c r="F5" t="s">
        <v>256</v>
      </c>
      <c r="G5" t="s">
        <v>259</v>
      </c>
    </row>
    <row r="6" spans="2:7" ht="30" customHeight="1" x14ac:dyDescent="0.3">
      <c r="B6" s="45" t="s">
        <v>255</v>
      </c>
      <c r="C6" s="4" t="s">
        <v>260</v>
      </c>
      <c r="D6" s="45" t="s">
        <v>261</v>
      </c>
      <c r="E6" s="45" t="s">
        <v>262</v>
      </c>
      <c r="F6" s="45" t="s">
        <v>256</v>
      </c>
      <c r="G6" s="45" t="s">
        <v>263</v>
      </c>
    </row>
    <row r="7" spans="2:7" ht="30" customHeight="1" x14ac:dyDescent="0.3">
      <c r="B7" s="45" t="s">
        <v>255</v>
      </c>
      <c r="C7" s="4" t="s">
        <v>264</v>
      </c>
      <c r="D7" s="45" t="s">
        <v>265</v>
      </c>
      <c r="E7" s="45" t="s">
        <v>266</v>
      </c>
      <c r="F7" s="45" t="s">
        <v>256</v>
      </c>
      <c r="G7" s="45" t="s">
        <v>267</v>
      </c>
    </row>
    <row r="8" spans="2:7" ht="30" customHeight="1" x14ac:dyDescent="0.3">
      <c r="B8" s="45" t="s">
        <v>255</v>
      </c>
      <c r="C8" s="4" t="s">
        <v>268</v>
      </c>
      <c r="D8" s="45" t="s">
        <v>269</v>
      </c>
      <c r="E8" s="45" t="s">
        <v>270</v>
      </c>
      <c r="F8" s="45" t="s">
        <v>271</v>
      </c>
      <c r="G8" s="45" t="s">
        <v>272</v>
      </c>
    </row>
    <row r="9" spans="2:7" ht="30" customHeight="1" x14ac:dyDescent="0.3">
      <c r="B9" s="45" t="s">
        <v>255</v>
      </c>
      <c r="C9" s="4" t="s">
        <v>273</v>
      </c>
      <c r="D9" s="45" t="s">
        <v>274</v>
      </c>
      <c r="E9" s="45" t="s">
        <v>275</v>
      </c>
      <c r="F9" s="45" t="s">
        <v>256</v>
      </c>
      <c r="G9" s="45" t="s">
        <v>276</v>
      </c>
    </row>
    <row r="10" spans="2:7" ht="30" customHeight="1" x14ac:dyDescent="0.3">
      <c r="B10" s="45" t="s">
        <v>255</v>
      </c>
      <c r="C10" s="4" t="s">
        <v>277</v>
      </c>
      <c r="D10" s="45" t="s">
        <v>278</v>
      </c>
      <c r="E10" s="45" t="s">
        <v>279</v>
      </c>
      <c r="F10" s="45" t="s">
        <v>256</v>
      </c>
      <c r="G10" s="45" t="s">
        <v>267</v>
      </c>
    </row>
    <row r="11" spans="2:7" ht="30" customHeight="1" x14ac:dyDescent="0.3">
      <c r="B11" s="45" t="s">
        <v>255</v>
      </c>
      <c r="C11" s="4" t="s">
        <v>280</v>
      </c>
      <c r="D11" s="45" t="s">
        <v>281</v>
      </c>
      <c r="E11" s="45" t="s">
        <v>282</v>
      </c>
      <c r="F11" s="45" t="s">
        <v>283</v>
      </c>
      <c r="G11" s="45" t="s">
        <v>267</v>
      </c>
    </row>
    <row r="12" spans="2:7" ht="30" customHeight="1" x14ac:dyDescent="0.3">
      <c r="B12" s="45" t="s">
        <v>255</v>
      </c>
      <c r="C12" s="4" t="s">
        <v>284</v>
      </c>
      <c r="D12" s="45" t="s">
        <v>285</v>
      </c>
      <c r="E12" s="45" t="s">
        <v>286</v>
      </c>
      <c r="F12" s="45" t="s">
        <v>287</v>
      </c>
      <c r="G12" s="45" t="s">
        <v>288</v>
      </c>
    </row>
    <row r="13" spans="2:7" ht="30" customHeight="1" x14ac:dyDescent="0.3">
      <c r="B13" s="45" t="s">
        <v>255</v>
      </c>
      <c r="C13" s="4" t="s">
        <v>289</v>
      </c>
      <c r="D13" s="45" t="s">
        <v>290</v>
      </c>
      <c r="E13" s="45" t="s">
        <v>291</v>
      </c>
      <c r="F13" s="45" t="s">
        <v>292</v>
      </c>
      <c r="G13" s="45" t="s">
        <v>288</v>
      </c>
    </row>
    <row r="14" spans="2:7" ht="30" customHeight="1" x14ac:dyDescent="0.3">
      <c r="B14" s="45" t="s">
        <v>255</v>
      </c>
      <c r="C14" s="4" t="s">
        <v>293</v>
      </c>
      <c r="D14" s="45" t="s">
        <v>294</v>
      </c>
      <c r="E14" s="45" t="s">
        <v>295</v>
      </c>
      <c r="F14" s="45" t="s">
        <v>296</v>
      </c>
      <c r="G14" s="45" t="s">
        <v>263</v>
      </c>
    </row>
    <row r="15" spans="2:7" ht="30" customHeight="1" x14ac:dyDescent="0.3">
      <c r="B15" s="45" t="s">
        <v>255</v>
      </c>
      <c r="C15" s="4" t="s">
        <v>297</v>
      </c>
      <c r="D15" s="45" t="s">
        <v>298</v>
      </c>
      <c r="E15" s="45" t="s">
        <v>299</v>
      </c>
      <c r="F15" s="45" t="s">
        <v>256</v>
      </c>
      <c r="G15" s="45" t="s">
        <v>263</v>
      </c>
    </row>
    <row r="16" spans="2:7" ht="30" customHeight="1" x14ac:dyDescent="0.3">
      <c r="B16" s="45" t="s">
        <v>255</v>
      </c>
      <c r="C16" s="4" t="s">
        <v>300</v>
      </c>
      <c r="D16" s="45" t="s">
        <v>301</v>
      </c>
      <c r="E16" s="45" t="s">
        <v>302</v>
      </c>
      <c r="F16" s="45" t="s">
        <v>303</v>
      </c>
      <c r="G16" s="45" t="s">
        <v>276</v>
      </c>
    </row>
    <row r="17" spans="2:7" ht="30" customHeight="1" x14ac:dyDescent="0.3">
      <c r="B17" s="45" t="s">
        <v>255</v>
      </c>
      <c r="C17" s="4" t="s">
        <v>304</v>
      </c>
      <c r="D17" s="45" t="s">
        <v>305</v>
      </c>
      <c r="E17" s="45" t="s">
        <v>306</v>
      </c>
      <c r="F17" s="45" t="s">
        <v>307</v>
      </c>
      <c r="G17" s="45" t="s">
        <v>263</v>
      </c>
    </row>
    <row r="18" spans="2:7" ht="30" customHeight="1" x14ac:dyDescent="0.3">
      <c r="B18" s="45" t="s">
        <v>255</v>
      </c>
      <c r="C18" s="4" t="s">
        <v>308</v>
      </c>
      <c r="D18" s="45" t="s">
        <v>309</v>
      </c>
      <c r="E18" s="45" t="s">
        <v>310</v>
      </c>
      <c r="F18" s="45" t="s">
        <v>311</v>
      </c>
      <c r="G18" s="45" t="s">
        <v>267</v>
      </c>
    </row>
    <row r="19" spans="2:7" ht="30" customHeight="1" x14ac:dyDescent="0.3">
      <c r="B19" s="45" t="s">
        <v>255</v>
      </c>
      <c r="C19" s="4" t="s">
        <v>312</v>
      </c>
      <c r="D19" s="45" t="s">
        <v>313</v>
      </c>
      <c r="E19" s="45" t="s">
        <v>314</v>
      </c>
      <c r="F19" s="45" t="s">
        <v>315</v>
      </c>
      <c r="G19" s="45" t="s">
        <v>267</v>
      </c>
    </row>
    <row r="20" spans="2:7" ht="30" customHeight="1" x14ac:dyDescent="0.3">
      <c r="B20" s="45" t="s">
        <v>255</v>
      </c>
      <c r="C20" s="4" t="s">
        <v>316</v>
      </c>
      <c r="D20" s="45" t="s">
        <v>317</v>
      </c>
      <c r="E20" s="45" t="s">
        <v>318</v>
      </c>
      <c r="F20" s="45" t="s">
        <v>319</v>
      </c>
      <c r="G20" s="45" t="s">
        <v>267</v>
      </c>
    </row>
    <row r="21" spans="2:7" ht="30" customHeight="1" x14ac:dyDescent="0.3">
      <c r="B21" s="45" t="s">
        <v>255</v>
      </c>
      <c r="C21" s="4" t="s">
        <v>320</v>
      </c>
      <c r="D21" s="45" t="s">
        <v>321</v>
      </c>
      <c r="E21" s="45" t="s">
        <v>322</v>
      </c>
      <c r="F21" s="45" t="s">
        <v>323</v>
      </c>
      <c r="G21" s="45" t="s">
        <v>267</v>
      </c>
    </row>
    <row r="22" spans="2:7" ht="30" customHeight="1" x14ac:dyDescent="0.3">
      <c r="B22" s="45" t="s">
        <v>255</v>
      </c>
      <c r="C22" s="4" t="s">
        <v>324</v>
      </c>
      <c r="D22" s="45" t="s">
        <v>325</v>
      </c>
      <c r="E22" s="45" t="s">
        <v>326</v>
      </c>
      <c r="F22" s="45" t="s">
        <v>327</v>
      </c>
      <c r="G22" s="45" t="s">
        <v>267</v>
      </c>
    </row>
    <row r="23" spans="2:7" ht="30" customHeight="1" x14ac:dyDescent="0.3">
      <c r="B23" s="45" t="s">
        <v>255</v>
      </c>
      <c r="C23" s="4" t="s">
        <v>328</v>
      </c>
      <c r="D23" s="45" t="s">
        <v>329</v>
      </c>
      <c r="E23" s="45" t="s">
        <v>330</v>
      </c>
      <c r="F23" s="45" t="s">
        <v>256</v>
      </c>
      <c r="G23" s="45" t="s">
        <v>331</v>
      </c>
    </row>
    <row r="24" spans="2:7" ht="30" customHeight="1" x14ac:dyDescent="0.3">
      <c r="B24" s="45" t="s">
        <v>255</v>
      </c>
      <c r="C24" s="4" t="s">
        <v>332</v>
      </c>
      <c r="D24" s="45" t="s">
        <v>333</v>
      </c>
      <c r="E24" s="45" t="s">
        <v>334</v>
      </c>
      <c r="F24" s="45" t="s">
        <v>335</v>
      </c>
      <c r="G24" s="45" t="s">
        <v>267</v>
      </c>
    </row>
    <row r="25" spans="2:7" ht="30" customHeight="1" x14ac:dyDescent="0.3">
      <c r="B25" s="45" t="s">
        <v>255</v>
      </c>
      <c r="C25" s="4" t="s">
        <v>336</v>
      </c>
      <c r="D25" s="45" t="s">
        <v>337</v>
      </c>
      <c r="E25" s="45" t="s">
        <v>338</v>
      </c>
      <c r="F25" s="45" t="s">
        <v>339</v>
      </c>
      <c r="G25" s="45" t="s">
        <v>340</v>
      </c>
    </row>
    <row r="26" spans="2:7" ht="30" customHeight="1" x14ac:dyDescent="0.3">
      <c r="B26" s="45" t="s">
        <v>255</v>
      </c>
      <c r="C26" s="4" t="s">
        <v>341</v>
      </c>
      <c r="D26" s="45" t="s">
        <v>342</v>
      </c>
      <c r="E26" s="45" t="s">
        <v>343</v>
      </c>
      <c r="F26" s="45" t="s">
        <v>344</v>
      </c>
      <c r="G26" s="45" t="s">
        <v>263</v>
      </c>
    </row>
    <row r="27" spans="2:7" ht="30" customHeight="1" x14ac:dyDescent="0.3">
      <c r="B27" s="45" t="s">
        <v>255</v>
      </c>
      <c r="C27" s="4" t="s">
        <v>345</v>
      </c>
      <c r="D27" s="45" t="s">
        <v>346</v>
      </c>
      <c r="E27" s="45" t="s">
        <v>347</v>
      </c>
      <c r="F27" s="45" t="s">
        <v>348</v>
      </c>
      <c r="G27" s="45" t="s">
        <v>267</v>
      </c>
    </row>
    <row r="28" spans="2:7" ht="30" customHeight="1" x14ac:dyDescent="0.3">
      <c r="B28" s="45" t="s">
        <v>255</v>
      </c>
      <c r="C28" s="4" t="s">
        <v>349</v>
      </c>
      <c r="D28" s="45" t="s">
        <v>350</v>
      </c>
      <c r="E28" s="45" t="s">
        <v>351</v>
      </c>
      <c r="F28" s="45" t="s">
        <v>256</v>
      </c>
      <c r="G28" s="45" t="s">
        <v>276</v>
      </c>
    </row>
    <row r="29" spans="2:7" ht="30" customHeight="1" x14ac:dyDescent="0.3">
      <c r="B29" s="45" t="s">
        <v>255</v>
      </c>
      <c r="C29" s="4" t="s">
        <v>352</v>
      </c>
      <c r="D29" s="45" t="s">
        <v>353</v>
      </c>
      <c r="E29" s="45" t="s">
        <v>354</v>
      </c>
      <c r="F29" s="45" t="s">
        <v>256</v>
      </c>
      <c r="G29" s="45" t="s">
        <v>340</v>
      </c>
    </row>
    <row r="30" spans="2:7" ht="30" customHeight="1" x14ac:dyDescent="0.3">
      <c r="B30" s="45" t="s">
        <v>255</v>
      </c>
      <c r="C30" s="4" t="s">
        <v>355</v>
      </c>
      <c r="D30" s="45" t="s">
        <v>356</v>
      </c>
      <c r="E30" s="45" t="s">
        <v>357</v>
      </c>
      <c r="F30" s="45" t="s">
        <v>256</v>
      </c>
      <c r="G30" s="45" t="s">
        <v>263</v>
      </c>
    </row>
    <row r="31" spans="2:7" ht="30" customHeight="1" x14ac:dyDescent="0.3">
      <c r="B31" s="45" t="s">
        <v>255</v>
      </c>
      <c r="C31" s="4" t="s">
        <v>358</v>
      </c>
      <c r="D31" s="45" t="s">
        <v>359</v>
      </c>
      <c r="E31" s="45" t="s">
        <v>360</v>
      </c>
      <c r="F31" s="45" t="s">
        <v>256</v>
      </c>
      <c r="G31" s="45" t="s">
        <v>263</v>
      </c>
    </row>
    <row r="32" spans="2:7" ht="30" customHeight="1" x14ac:dyDescent="0.3">
      <c r="B32" s="45" t="s">
        <v>255</v>
      </c>
      <c r="C32" s="4" t="s">
        <v>361</v>
      </c>
      <c r="D32" s="45" t="s">
        <v>362</v>
      </c>
      <c r="E32" s="45" t="s">
        <v>363</v>
      </c>
      <c r="F32" s="45" t="s">
        <v>256</v>
      </c>
      <c r="G32" s="45" t="s">
        <v>267</v>
      </c>
    </row>
    <row r="33" spans="2:7" ht="30" customHeight="1" x14ac:dyDescent="0.3">
      <c r="B33" s="45" t="s">
        <v>255</v>
      </c>
      <c r="C33" s="4" t="s">
        <v>364</v>
      </c>
      <c r="D33" s="45" t="s">
        <v>365</v>
      </c>
      <c r="E33" s="45" t="s">
        <v>366</v>
      </c>
      <c r="F33" s="45" t="s">
        <v>256</v>
      </c>
      <c r="G33" s="45" t="s">
        <v>272</v>
      </c>
    </row>
    <row r="34" spans="2:7" ht="30" customHeight="1" x14ac:dyDescent="0.3">
      <c r="B34" s="45" t="s">
        <v>255</v>
      </c>
      <c r="C34" s="4" t="s">
        <v>367</v>
      </c>
      <c r="D34" s="45" t="s">
        <v>368</v>
      </c>
      <c r="E34" s="45" t="s">
        <v>369</v>
      </c>
      <c r="F34" s="45" t="s">
        <v>256</v>
      </c>
      <c r="G34" s="45" t="s">
        <v>267</v>
      </c>
    </row>
    <row r="35" spans="2:7" ht="30" customHeight="1" x14ac:dyDescent="0.3">
      <c r="B35" s="45" t="s">
        <v>255</v>
      </c>
      <c r="C35" s="4" t="s">
        <v>370</v>
      </c>
      <c r="D35" s="45" t="s">
        <v>371</v>
      </c>
      <c r="E35" s="45" t="s">
        <v>372</v>
      </c>
      <c r="F35" s="45" t="s">
        <v>373</v>
      </c>
      <c r="G35" s="45" t="s">
        <v>267</v>
      </c>
    </row>
    <row r="36" spans="2:7" ht="30" customHeight="1" x14ac:dyDescent="0.3">
      <c r="B36" s="45" t="s">
        <v>255</v>
      </c>
      <c r="C36" s="4" t="s">
        <v>374</v>
      </c>
      <c r="D36" s="45" t="s">
        <v>375</v>
      </c>
      <c r="E36" s="45" t="s">
        <v>376</v>
      </c>
      <c r="F36" s="45" t="s">
        <v>256</v>
      </c>
      <c r="G36" s="45" t="s">
        <v>377</v>
      </c>
    </row>
    <row r="37" spans="2:7" ht="30" customHeight="1" x14ac:dyDescent="0.3">
      <c r="B37" s="45" t="s">
        <v>255</v>
      </c>
      <c r="C37" s="4" t="s">
        <v>378</v>
      </c>
      <c r="D37" s="45" t="s">
        <v>379</v>
      </c>
      <c r="E37" s="45" t="s">
        <v>380</v>
      </c>
      <c r="F37" s="45" t="s">
        <v>256</v>
      </c>
      <c r="G37" s="45" t="s">
        <v>381</v>
      </c>
    </row>
    <row r="38" spans="2:7" ht="30" customHeight="1" x14ac:dyDescent="0.3">
      <c r="B38" s="45" t="s">
        <v>255</v>
      </c>
      <c r="C38" s="4" t="s">
        <v>382</v>
      </c>
      <c r="D38" s="45" t="s">
        <v>383</v>
      </c>
      <c r="E38" s="45" t="s">
        <v>384</v>
      </c>
      <c r="F38" s="45" t="s">
        <v>256</v>
      </c>
      <c r="G38" s="45" t="s">
        <v>385</v>
      </c>
    </row>
    <row r="39" spans="2:7" ht="30" customHeight="1" x14ac:dyDescent="0.3">
      <c r="B39" s="45" t="s">
        <v>255</v>
      </c>
      <c r="C39" s="4" t="s">
        <v>386</v>
      </c>
      <c r="D39" s="45" t="s">
        <v>387</v>
      </c>
      <c r="E39" s="45" t="s">
        <v>388</v>
      </c>
      <c r="F39" s="45" t="s">
        <v>256</v>
      </c>
      <c r="G39" s="45" t="s">
        <v>389</v>
      </c>
    </row>
    <row r="40" spans="2:7" ht="30" customHeight="1" x14ac:dyDescent="0.3">
      <c r="B40" s="45" t="s">
        <v>255</v>
      </c>
      <c r="C40" s="4" t="s">
        <v>390</v>
      </c>
      <c r="D40" s="45" t="s">
        <v>391</v>
      </c>
      <c r="E40" s="45" t="s">
        <v>392</v>
      </c>
      <c r="F40" s="45" t="s">
        <v>256</v>
      </c>
      <c r="G40" s="45" t="s">
        <v>267</v>
      </c>
    </row>
    <row r="41" spans="2:7" ht="30" customHeight="1" x14ac:dyDescent="0.3">
      <c r="B41" s="45" t="s">
        <v>255</v>
      </c>
      <c r="C41" s="4" t="s">
        <v>393</v>
      </c>
      <c r="D41" s="45" t="s">
        <v>394</v>
      </c>
      <c r="E41" s="45" t="s">
        <v>395</v>
      </c>
      <c r="F41" s="45" t="s">
        <v>256</v>
      </c>
      <c r="G41" s="45" t="s">
        <v>267</v>
      </c>
    </row>
    <row r="42" spans="2:7" ht="30" customHeight="1" x14ac:dyDescent="0.3">
      <c r="B42" s="45" t="s">
        <v>255</v>
      </c>
      <c r="C42" s="4" t="s">
        <v>396</v>
      </c>
      <c r="D42" s="45" t="s">
        <v>397</v>
      </c>
      <c r="E42" s="45" t="s">
        <v>398</v>
      </c>
      <c r="F42" s="45" t="s">
        <v>256</v>
      </c>
      <c r="G42" s="45" t="s">
        <v>267</v>
      </c>
    </row>
    <row r="43" spans="2:7" ht="30" customHeight="1" x14ac:dyDescent="0.3">
      <c r="B43" s="45" t="s">
        <v>255</v>
      </c>
      <c r="C43" s="4" t="s">
        <v>399</v>
      </c>
      <c r="D43" s="45" t="s">
        <v>400</v>
      </c>
      <c r="E43" s="45" t="s">
        <v>401</v>
      </c>
      <c r="F43" s="45" t="s">
        <v>256</v>
      </c>
      <c r="G43" s="45" t="s">
        <v>402</v>
      </c>
    </row>
    <row r="44" spans="2:7" ht="14" customHeight="1" x14ac:dyDescent="0.2"/>
    <row r="45" spans="2:7" ht="14" customHeight="1" x14ac:dyDescent="0.3">
      <c r="B45" s="8" t="s">
        <v>403</v>
      </c>
    </row>
    <row r="46" spans="2:7" ht="14" customHeight="1" x14ac:dyDescent="0.3">
      <c r="B46" s="10" t="s">
        <v>404</v>
      </c>
      <c r="C46" s="10" t="s">
        <v>405</v>
      </c>
    </row>
    <row r="47" spans="2:7" ht="14" x14ac:dyDescent="0.3">
      <c r="B47" s="4" t="s">
        <v>406</v>
      </c>
      <c r="C47" t="s">
        <v>407</v>
      </c>
    </row>
    <row r="48" spans="2:7" ht="14" x14ac:dyDescent="0.3">
      <c r="B48" s="4" t="s">
        <v>408</v>
      </c>
      <c r="C48" t="s">
        <v>409</v>
      </c>
    </row>
    <row r="49" spans="2:3" ht="14" x14ac:dyDescent="0.3">
      <c r="B49" s="4" t="s">
        <v>410</v>
      </c>
      <c r="C49" t="s">
        <v>411</v>
      </c>
    </row>
    <row r="50" spans="2:3" ht="14" x14ac:dyDescent="0.3">
      <c r="B50" s="4" t="s">
        <v>412</v>
      </c>
      <c r="C50" t="s">
        <v>413</v>
      </c>
    </row>
    <row r="51" spans="2:3" ht="14" x14ac:dyDescent="0.3">
      <c r="B51" s="4" t="s">
        <v>414</v>
      </c>
      <c r="C51" t="s">
        <v>4</v>
      </c>
    </row>
    <row r="52" spans="2:3" ht="14" x14ac:dyDescent="0.3">
      <c r="B52" s="4" t="s">
        <v>415</v>
      </c>
      <c r="C52" t="s">
        <v>255</v>
      </c>
    </row>
    <row r="53" spans="2:3" ht="14" x14ac:dyDescent="0.3">
      <c r="B53" s="4" t="s">
        <v>416</v>
      </c>
      <c r="C53" t="s">
        <v>417</v>
      </c>
    </row>
    <row r="54" spans="2:3" ht="14" x14ac:dyDescent="0.3">
      <c r="B54" s="4" t="s">
        <v>418</v>
      </c>
      <c r="C54" t="s">
        <v>419</v>
      </c>
    </row>
    <row r="55" spans="2:3" ht="14" x14ac:dyDescent="0.3">
      <c r="B55" s="4" t="s">
        <v>420</v>
      </c>
      <c r="C55" t="s">
        <v>421</v>
      </c>
    </row>
    <row r="56" spans="2:3" ht="14" x14ac:dyDescent="0.3">
      <c r="B56" s="4" t="s">
        <v>422</v>
      </c>
      <c r="C56" t="s">
        <v>423</v>
      </c>
    </row>
    <row r="57" spans="2:3" ht="14" x14ac:dyDescent="0.3">
      <c r="B57" s="4" t="s">
        <v>424</v>
      </c>
      <c r="C57" t="s">
        <v>425</v>
      </c>
    </row>
    <row r="58" spans="2:3" ht="14" x14ac:dyDescent="0.3">
      <c r="B58" s="4" t="s">
        <v>426</v>
      </c>
      <c r="C58" t="s">
        <v>427</v>
      </c>
    </row>
    <row r="59" spans="2:3" ht="14" x14ac:dyDescent="0.3">
      <c r="B59" s="4" t="s">
        <v>428</v>
      </c>
      <c r="C59" t="s">
        <v>417</v>
      </c>
    </row>
    <row r="60" spans="2:3" ht="14" x14ac:dyDescent="0.3">
      <c r="B60" s="4" t="s">
        <v>429</v>
      </c>
      <c r="C60" t="s">
        <v>430</v>
      </c>
    </row>
    <row r="61" spans="2:3" ht="14" x14ac:dyDescent="0.3">
      <c r="B61" s="4" t="s">
        <v>431</v>
      </c>
      <c r="C61" t="s">
        <v>432</v>
      </c>
    </row>
    <row r="62" spans="2:3" ht="14" x14ac:dyDescent="0.3">
      <c r="B62" s="4" t="s">
        <v>433</v>
      </c>
      <c r="C62" t="s">
        <v>434</v>
      </c>
    </row>
    <row r="63" spans="2:3" ht="14" x14ac:dyDescent="0.3">
      <c r="B63" s="4" t="s">
        <v>435</v>
      </c>
      <c r="C63" t="s">
        <v>409</v>
      </c>
    </row>
    <row r="64" spans="2:3" ht="14" x14ac:dyDescent="0.3">
      <c r="B64" s="4" t="s">
        <v>436</v>
      </c>
      <c r="C64" t="s">
        <v>409</v>
      </c>
    </row>
    <row r="65" spans="2:3" ht="14" x14ac:dyDescent="0.3">
      <c r="B65" s="4" t="s">
        <v>437</v>
      </c>
      <c r="C65" t="s">
        <v>438</v>
      </c>
    </row>
    <row r="66" spans="2:3" ht="14" x14ac:dyDescent="0.3">
      <c r="B66" s="4" t="s">
        <v>439</v>
      </c>
      <c r="C66" t="s">
        <v>440</v>
      </c>
    </row>
    <row r="67" spans="2:3" ht="14" x14ac:dyDescent="0.3">
      <c r="B67" s="4" t="s">
        <v>441</v>
      </c>
      <c r="C67" t="s">
        <v>442</v>
      </c>
    </row>
    <row r="68" spans="2:3" ht="14" x14ac:dyDescent="0.3">
      <c r="B68" s="4" t="s">
        <v>443</v>
      </c>
      <c r="C68" t="s">
        <v>444</v>
      </c>
    </row>
    <row r="69" spans="2:3" ht="14" x14ac:dyDescent="0.3">
      <c r="B69" s="4" t="s">
        <v>445</v>
      </c>
      <c r="C69" t="s">
        <v>446</v>
      </c>
    </row>
    <row r="70" spans="2:3" ht="14" x14ac:dyDescent="0.3">
      <c r="B70" s="4" t="s">
        <v>447</v>
      </c>
      <c r="C70" t="s">
        <v>448</v>
      </c>
    </row>
    <row r="71" spans="2:3" ht="14" x14ac:dyDescent="0.3">
      <c r="B71" s="4" t="s">
        <v>449</v>
      </c>
      <c r="C71" t="s">
        <v>450</v>
      </c>
    </row>
    <row r="72" spans="2:3" ht="14" x14ac:dyDescent="0.3">
      <c r="B72" s="4" t="s">
        <v>451</v>
      </c>
      <c r="C72" t="s">
        <v>452</v>
      </c>
    </row>
    <row r="73" spans="2:3" ht="14" x14ac:dyDescent="0.3">
      <c r="B73" s="4" t="s">
        <v>453</v>
      </c>
      <c r="C73" t="s">
        <v>454</v>
      </c>
    </row>
    <row r="74" spans="2:3" ht="14" x14ac:dyDescent="0.3">
      <c r="B74" s="4" t="s">
        <v>455</v>
      </c>
      <c r="C74" t="s">
        <v>456</v>
      </c>
    </row>
    <row r="75" spans="2:3" ht="14" x14ac:dyDescent="0.3">
      <c r="B75" s="4" t="s">
        <v>457</v>
      </c>
      <c r="C75" t="s">
        <v>458</v>
      </c>
    </row>
    <row r="76" spans="2:3" ht="14" x14ac:dyDescent="0.3">
      <c r="B76" s="4" t="s">
        <v>459</v>
      </c>
      <c r="C76" t="s">
        <v>460</v>
      </c>
    </row>
    <row r="77" spans="2:3" ht="14" x14ac:dyDescent="0.3">
      <c r="B77" s="4" t="s">
        <v>461</v>
      </c>
      <c r="C77" t="s">
        <v>462</v>
      </c>
    </row>
    <row r="78" spans="2:3" ht="14" x14ac:dyDescent="0.3">
      <c r="B78" s="4" t="s">
        <v>463</v>
      </c>
      <c r="C78" t="s">
        <v>464</v>
      </c>
    </row>
    <row r="79" spans="2:3" ht="14" x14ac:dyDescent="0.3">
      <c r="B79" s="4" t="s">
        <v>465</v>
      </c>
      <c r="C79" t="s">
        <v>466</v>
      </c>
    </row>
  </sheetData>
  <phoneticPr fontId="8"/>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7030A0"/>
  </sheetPr>
  <dimension ref="B2:E95"/>
  <sheetViews>
    <sheetView workbookViewId="0">
      <pane xSplit="2" ySplit="5" topLeftCell="C6" activePane="bottomRight" state="frozen"/>
      <selection pane="topRight"/>
      <selection pane="bottomLeft"/>
      <selection pane="bottomRight"/>
    </sheetView>
  </sheetViews>
  <sheetFormatPr defaultRowHeight="13" x14ac:dyDescent="0.2"/>
  <cols>
    <col min="1" max="1" width="3" customWidth="1"/>
    <col min="2" max="2" width="36" customWidth="1"/>
    <col min="3" max="4" width="16" customWidth="1"/>
    <col min="5" max="5" width="46" customWidth="1"/>
  </cols>
  <sheetData>
    <row r="2" spans="2:5" ht="18" x14ac:dyDescent="0.4">
      <c r="B2" s="46" t="s">
        <v>467</v>
      </c>
    </row>
    <row r="3" spans="2:5" ht="14" x14ac:dyDescent="0.3">
      <c r="B3" s="47" t="s">
        <v>468</v>
      </c>
    </row>
    <row r="4" spans="2:5" ht="14" x14ac:dyDescent="0.3">
      <c r="B4" s="47" t="s">
        <v>469</v>
      </c>
    </row>
    <row r="5" spans="2:5" ht="14" x14ac:dyDescent="0.3">
      <c r="B5" s="47" t="s">
        <v>470</v>
      </c>
    </row>
    <row r="6" spans="2:5" ht="14" x14ac:dyDescent="0.3">
      <c r="B6" s="47" t="s">
        <v>471</v>
      </c>
    </row>
    <row r="8" spans="2:5" ht="14" x14ac:dyDescent="0.3">
      <c r="B8" s="48" t="s">
        <v>472</v>
      </c>
      <c r="C8" s="49"/>
      <c r="D8" s="49"/>
      <c r="E8" s="49"/>
    </row>
    <row r="9" spans="2:5" ht="14" x14ac:dyDescent="0.3">
      <c r="B9" s="50" t="s">
        <v>473</v>
      </c>
      <c r="C9" s="50" t="s">
        <v>30</v>
      </c>
      <c r="D9" s="50" t="s">
        <v>31</v>
      </c>
      <c r="E9" s="50" t="s">
        <v>212</v>
      </c>
    </row>
    <row r="10" spans="2:5" ht="14" x14ac:dyDescent="0.3">
      <c r="B10" s="45" t="s">
        <v>474</v>
      </c>
      <c r="C10" s="51">
        <v>3807</v>
      </c>
      <c r="D10" s="51">
        <v>4163</v>
      </c>
      <c r="E10" s="47" t="s">
        <v>475</v>
      </c>
    </row>
    <row r="11" spans="2:5" ht="14" x14ac:dyDescent="0.3">
      <c r="B11" s="45" t="s">
        <v>476</v>
      </c>
      <c r="C11" s="51">
        <v>628</v>
      </c>
      <c r="D11" s="51">
        <v>620</v>
      </c>
      <c r="E11" s="47" t="s">
        <v>477</v>
      </c>
    </row>
    <row r="12" spans="2:5" ht="14" x14ac:dyDescent="0.3">
      <c r="B12" s="4" t="s">
        <v>478</v>
      </c>
      <c r="C12" s="52">
        <f>SUM(C10:C11)</f>
        <v>4435</v>
      </c>
      <c r="D12" s="52">
        <f>SUM(D10:D11)</f>
        <v>4783</v>
      </c>
    </row>
    <row r="13" spans="2:5" ht="14" x14ac:dyDescent="0.3">
      <c r="B13" s="45" t="s">
        <v>479</v>
      </c>
      <c r="C13" s="53">
        <f>4435.6-C12</f>
        <v>0.6000000000003638</v>
      </c>
      <c r="D13" s="53">
        <f>4782.6-D12</f>
        <v>-0.3999999999996362</v>
      </c>
      <c r="E13" s="47" t="s">
        <v>480</v>
      </c>
    </row>
    <row r="14" spans="2:5" ht="14" x14ac:dyDescent="0.3">
      <c r="B14" s="4" t="s">
        <v>481</v>
      </c>
      <c r="C14" s="54">
        <v>4435.6000000000004</v>
      </c>
      <c r="D14" s="54">
        <v>4782.6000000000004</v>
      </c>
      <c r="E14" s="47" t="s">
        <v>482</v>
      </c>
    </row>
    <row r="16" spans="2:5" ht="14" x14ac:dyDescent="0.3">
      <c r="B16" s="48" t="s">
        <v>483</v>
      </c>
      <c r="C16" s="49"/>
      <c r="D16" s="49"/>
      <c r="E16" s="49"/>
    </row>
    <row r="17" spans="2:5" ht="14" x14ac:dyDescent="0.3">
      <c r="B17" s="50" t="s">
        <v>473</v>
      </c>
      <c r="C17" s="50" t="s">
        <v>30</v>
      </c>
      <c r="D17" s="50" t="s">
        <v>31</v>
      </c>
      <c r="E17" s="50" t="s">
        <v>212</v>
      </c>
    </row>
    <row r="18" spans="2:5" ht="13.5" x14ac:dyDescent="0.25">
      <c r="B18" s="45" t="s">
        <v>474</v>
      </c>
      <c r="C18" s="51">
        <v>-194</v>
      </c>
      <c r="D18" s="51">
        <v>-435</v>
      </c>
    </row>
    <row r="19" spans="2:5" ht="13.5" x14ac:dyDescent="0.25">
      <c r="B19" s="45" t="s">
        <v>476</v>
      </c>
      <c r="C19" s="51">
        <v>-433</v>
      </c>
      <c r="D19" s="51">
        <v>-709</v>
      </c>
    </row>
    <row r="20" spans="2:5" ht="14" x14ac:dyDescent="0.3">
      <c r="B20" s="4" t="s">
        <v>484</v>
      </c>
      <c r="C20" s="52">
        <f>SUM(C18:C19)</f>
        <v>-627</v>
      </c>
      <c r="D20" s="52">
        <f>SUM(D18:D19)</f>
        <v>-1144</v>
      </c>
    </row>
    <row r="21" spans="2:5" ht="13.5" x14ac:dyDescent="0.25">
      <c r="B21" s="45" t="s">
        <v>485</v>
      </c>
      <c r="C21" s="51">
        <v>-0.2</v>
      </c>
      <c r="D21" s="51">
        <v>0.2</v>
      </c>
    </row>
    <row r="22" spans="2:5" ht="14" x14ac:dyDescent="0.3">
      <c r="B22" s="4" t="s">
        <v>486</v>
      </c>
      <c r="C22" s="55">
        <f>C20+C21</f>
        <v>-627.20000000000005</v>
      </c>
      <c r="D22" s="55">
        <f>D20+D21</f>
        <v>-1143.8</v>
      </c>
    </row>
    <row r="23" spans="2:5" ht="14" x14ac:dyDescent="0.3">
      <c r="B23" s="4" t="s">
        <v>487</v>
      </c>
      <c r="C23" s="56">
        <v>-627.20000000000005</v>
      </c>
      <c r="D23" s="56">
        <v>-1143.8</v>
      </c>
      <c r="E23" s="47" t="s">
        <v>488</v>
      </c>
    </row>
    <row r="24" spans="2:5" ht="14" x14ac:dyDescent="0.3">
      <c r="B24" s="4" t="s">
        <v>489</v>
      </c>
      <c r="C24" s="57">
        <f>C22-C23</f>
        <v>0</v>
      </c>
      <c r="D24" s="57">
        <f>D22-D23</f>
        <v>0</v>
      </c>
      <c r="E24" s="47" t="s">
        <v>490</v>
      </c>
    </row>
    <row r="26" spans="2:5" ht="14" x14ac:dyDescent="0.3">
      <c r="B26" s="48" t="s">
        <v>491</v>
      </c>
      <c r="C26" s="49"/>
      <c r="D26" s="49"/>
      <c r="E26" s="49"/>
    </row>
    <row r="27" spans="2:5" ht="14" x14ac:dyDescent="0.3">
      <c r="B27" s="50" t="s">
        <v>473</v>
      </c>
      <c r="C27" s="50" t="s">
        <v>30</v>
      </c>
      <c r="D27" s="50" t="s">
        <v>31</v>
      </c>
      <c r="E27" s="50" t="s">
        <v>212</v>
      </c>
    </row>
    <row r="28" spans="2:5" ht="13.5" x14ac:dyDescent="0.25">
      <c r="B28" s="45" t="s">
        <v>474</v>
      </c>
      <c r="C28" s="58">
        <f>IFERROR(C18/C10,"N/A")</f>
        <v>-5.0958760178618334E-2</v>
      </c>
      <c r="D28" s="58">
        <f>IFERROR(D18/D10,"N/A")</f>
        <v>-0.10449195291856835</v>
      </c>
    </row>
    <row r="29" spans="2:5" ht="13.5" x14ac:dyDescent="0.25">
      <c r="B29" s="45" t="s">
        <v>476</v>
      </c>
      <c r="C29" s="58">
        <f>IFERROR(C19/C11,"N/A")</f>
        <v>-0.68949044585987262</v>
      </c>
      <c r="D29" s="58">
        <f>IFERROR(D19/D11,"N/A")</f>
        <v>-1.1435483870967742</v>
      </c>
    </row>
    <row r="30" spans="2:5" ht="14" x14ac:dyDescent="0.3">
      <c r="B30" s="4" t="s">
        <v>492</v>
      </c>
      <c r="C30" s="59">
        <f>IFERROR(C23/C14,"N/A")</f>
        <v>-0.14140138876363964</v>
      </c>
      <c r="D30" s="59">
        <f>IFERROR(D23/D14,"N/A")</f>
        <v>-0.23915861665203025</v>
      </c>
    </row>
    <row r="32" spans="2:5" ht="14" x14ac:dyDescent="0.3">
      <c r="B32" s="48" t="s">
        <v>493</v>
      </c>
      <c r="C32" s="49"/>
      <c r="D32" s="49"/>
      <c r="E32" s="49"/>
    </row>
    <row r="33" spans="2:5" ht="14" x14ac:dyDescent="0.3">
      <c r="B33" s="50" t="s">
        <v>473</v>
      </c>
      <c r="C33" s="50" t="s">
        <v>30</v>
      </c>
      <c r="D33" s="50" t="s">
        <v>31</v>
      </c>
      <c r="E33" s="50" t="s">
        <v>212</v>
      </c>
    </row>
    <row r="34" spans="2:5" ht="13.5" x14ac:dyDescent="0.25">
      <c r="B34" s="45" t="s">
        <v>474</v>
      </c>
      <c r="D34" s="51">
        <v>414</v>
      </c>
    </row>
    <row r="35" spans="2:5" ht="13.5" x14ac:dyDescent="0.25">
      <c r="B35" s="45" t="s">
        <v>476</v>
      </c>
      <c r="D35" s="51">
        <v>113</v>
      </c>
    </row>
    <row r="36" spans="2:5" ht="14" x14ac:dyDescent="0.3">
      <c r="B36" s="4" t="s">
        <v>494</v>
      </c>
      <c r="D36" s="52">
        <f>SUM(D34:D35)</f>
        <v>527</v>
      </c>
    </row>
    <row r="37" spans="2:5" ht="13.5" x14ac:dyDescent="0.25">
      <c r="B37" s="45" t="s">
        <v>495</v>
      </c>
      <c r="D37" s="51">
        <v>0.3</v>
      </c>
    </row>
    <row r="38" spans="2:5" ht="14" x14ac:dyDescent="0.3">
      <c r="B38" s="4" t="s">
        <v>486</v>
      </c>
      <c r="D38" s="55">
        <f>D36+D37</f>
        <v>527.29999999999995</v>
      </c>
    </row>
    <row r="39" spans="2:5" ht="14" x14ac:dyDescent="0.3">
      <c r="B39" s="4" t="s">
        <v>496</v>
      </c>
      <c r="D39" s="56">
        <v>527.29999999999995</v>
      </c>
      <c r="E39" s="47" t="s">
        <v>497</v>
      </c>
    </row>
    <row r="40" spans="2:5" ht="14" x14ac:dyDescent="0.3">
      <c r="B40" s="4" t="s">
        <v>489</v>
      </c>
      <c r="C40" s="57"/>
      <c r="D40" s="57">
        <f>D38-D39</f>
        <v>0</v>
      </c>
      <c r="E40" s="47" t="s">
        <v>490</v>
      </c>
    </row>
    <row r="41" spans="2:5" ht="14" x14ac:dyDescent="0.3">
      <c r="B41" s="4" t="s">
        <v>498</v>
      </c>
      <c r="D41" s="56">
        <f>IFERROR(D23+D39,"N/A")</f>
        <v>-616.5</v>
      </c>
      <c r="E41" s="47" t="s">
        <v>499</v>
      </c>
    </row>
    <row r="43" spans="2:5" ht="14" x14ac:dyDescent="0.3">
      <c r="B43" s="48" t="s">
        <v>500</v>
      </c>
      <c r="C43" s="49"/>
      <c r="D43" s="49"/>
      <c r="E43" s="49"/>
    </row>
    <row r="44" spans="2:5" ht="14" x14ac:dyDescent="0.3">
      <c r="B44" s="50" t="s">
        <v>501</v>
      </c>
      <c r="C44" s="50" t="s">
        <v>31</v>
      </c>
      <c r="D44" s="50" t="s">
        <v>212</v>
      </c>
    </row>
    <row r="45" spans="2:5" ht="14" x14ac:dyDescent="0.3">
      <c r="B45" s="4" t="s">
        <v>502</v>
      </c>
      <c r="C45" s="60">
        <v>-1143.8</v>
      </c>
      <c r="D45" s="45" t="s">
        <v>503</v>
      </c>
    </row>
    <row r="46" spans="2:5" ht="14" x14ac:dyDescent="0.3">
      <c r="B46" s="4" t="s">
        <v>504</v>
      </c>
      <c r="C46" s="60">
        <v>593</v>
      </c>
      <c r="D46" s="45" t="s">
        <v>505</v>
      </c>
    </row>
    <row r="47" spans="2:5" ht="14" x14ac:dyDescent="0.3">
      <c r="B47" s="4" t="s">
        <v>506</v>
      </c>
      <c r="C47" s="60">
        <v>259</v>
      </c>
      <c r="D47" s="45" t="s">
        <v>507</v>
      </c>
    </row>
    <row r="48" spans="2:5" ht="14" x14ac:dyDescent="0.3">
      <c r="B48" s="4" t="s">
        <v>508</v>
      </c>
      <c r="C48" s="60">
        <v>342</v>
      </c>
      <c r="D48" s="45" t="s">
        <v>509</v>
      </c>
    </row>
    <row r="49" spans="2:5" ht="14" x14ac:dyDescent="0.3">
      <c r="B49" s="4" t="s">
        <v>510</v>
      </c>
      <c r="C49" s="60">
        <v>157</v>
      </c>
      <c r="D49" s="45" t="s">
        <v>507</v>
      </c>
    </row>
    <row r="50" spans="2:5" ht="14" x14ac:dyDescent="0.3">
      <c r="B50" s="4" t="s">
        <v>511</v>
      </c>
      <c r="C50" s="60">
        <v>1351</v>
      </c>
      <c r="D50" s="45" t="s">
        <v>512</v>
      </c>
    </row>
    <row r="51" spans="2:5" ht="14" x14ac:dyDescent="0.3">
      <c r="B51" s="4" t="s">
        <v>513</v>
      </c>
      <c r="C51" s="60">
        <v>-439</v>
      </c>
      <c r="D51" s="45" t="s">
        <v>514</v>
      </c>
    </row>
    <row r="52" spans="2:5" ht="14" x14ac:dyDescent="0.3">
      <c r="B52" s="4" t="s">
        <v>515</v>
      </c>
      <c r="C52" s="60">
        <v>255</v>
      </c>
      <c r="D52" s="45" t="s">
        <v>516</v>
      </c>
    </row>
    <row r="53" spans="2:5" ht="14" x14ac:dyDescent="0.3">
      <c r="B53" s="4" t="s">
        <v>517</v>
      </c>
      <c r="C53" s="60">
        <v>-2497.9</v>
      </c>
      <c r="D53" s="45" t="s">
        <v>518</v>
      </c>
    </row>
    <row r="54" spans="2:5" ht="14" x14ac:dyDescent="0.3">
      <c r="B54" s="4" t="s">
        <v>519</v>
      </c>
      <c r="C54" s="60">
        <v>-1143.8</v>
      </c>
      <c r="D54" s="45" t="s">
        <v>520</v>
      </c>
    </row>
    <row r="55" spans="2:5" ht="45" customHeight="1" x14ac:dyDescent="0.3">
      <c r="B55" s="47" t="s">
        <v>521</v>
      </c>
    </row>
    <row r="57" spans="2:5" ht="14" x14ac:dyDescent="0.3">
      <c r="B57" s="48" t="s">
        <v>522</v>
      </c>
      <c r="C57" s="49"/>
      <c r="D57" s="49"/>
      <c r="E57" s="49"/>
    </row>
    <row r="58" spans="2:5" ht="14" x14ac:dyDescent="0.3">
      <c r="B58" s="50" t="s">
        <v>523</v>
      </c>
      <c r="C58" s="50" t="s">
        <v>79</v>
      </c>
      <c r="D58" s="50" t="s">
        <v>122</v>
      </c>
      <c r="E58" s="50" t="s">
        <v>524</v>
      </c>
    </row>
    <row r="59" spans="2:5" ht="14" x14ac:dyDescent="0.3">
      <c r="B59" s="4" t="s">
        <v>525</v>
      </c>
      <c r="C59" s="60">
        <v>5</v>
      </c>
      <c r="D59" s="60">
        <v>5</v>
      </c>
      <c r="E59" s="45" t="s">
        <v>526</v>
      </c>
    </row>
    <row r="60" spans="2:5" ht="14" x14ac:dyDescent="0.3">
      <c r="B60" s="4" t="s">
        <v>527</v>
      </c>
      <c r="C60" s="60">
        <v>200</v>
      </c>
      <c r="D60" s="60">
        <v>500</v>
      </c>
      <c r="E60" s="45" t="s">
        <v>528</v>
      </c>
    </row>
    <row r="61" spans="2:5" ht="14" x14ac:dyDescent="0.3">
      <c r="B61" s="4" t="s">
        <v>529</v>
      </c>
      <c r="C61" s="60">
        <v>900</v>
      </c>
      <c r="D61" s="60">
        <v>3300</v>
      </c>
      <c r="E61" s="45" t="s">
        <v>528</v>
      </c>
    </row>
    <row r="62" spans="2:5" ht="14" x14ac:dyDescent="0.3">
      <c r="B62" s="4" t="s">
        <v>530</v>
      </c>
      <c r="C62" s="60">
        <v>1260</v>
      </c>
      <c r="D62" s="60">
        <v>4500</v>
      </c>
      <c r="E62" s="45" t="s">
        <v>528</v>
      </c>
    </row>
    <row r="63" spans="2:5" ht="14" x14ac:dyDescent="0.3">
      <c r="B63" s="4" t="s">
        <v>531</v>
      </c>
      <c r="C63" s="60">
        <v>1000</v>
      </c>
      <c r="D63" s="60">
        <v>2500</v>
      </c>
      <c r="E63" s="45" t="s">
        <v>532</v>
      </c>
    </row>
    <row r="64" spans="2:5" ht="14" x14ac:dyDescent="0.3">
      <c r="B64" s="4" t="s">
        <v>533</v>
      </c>
      <c r="C64" s="60">
        <v>4500</v>
      </c>
      <c r="D64" s="60">
        <v>16500</v>
      </c>
      <c r="E64" s="45" t="s">
        <v>534</v>
      </c>
    </row>
    <row r="65" spans="2:5" ht="14" x14ac:dyDescent="0.3">
      <c r="B65" s="4" t="s">
        <v>535</v>
      </c>
      <c r="C65" s="60">
        <v>6300</v>
      </c>
      <c r="D65" s="60">
        <v>22500</v>
      </c>
      <c r="E65" s="45" t="s">
        <v>534</v>
      </c>
    </row>
    <row r="66" spans="2:5" ht="14" x14ac:dyDescent="0.3">
      <c r="B66" s="4" t="s">
        <v>536</v>
      </c>
      <c r="C66" s="60">
        <v>5760</v>
      </c>
      <c r="D66" s="60">
        <v>20200</v>
      </c>
      <c r="E66" s="45" t="s">
        <v>528</v>
      </c>
    </row>
    <row r="67" spans="2:5" ht="14" x14ac:dyDescent="0.3">
      <c r="B67" s="4" t="s">
        <v>537</v>
      </c>
      <c r="C67" s="60">
        <v>7</v>
      </c>
      <c r="D67" s="60">
        <v>25</v>
      </c>
      <c r="E67" s="45" t="s">
        <v>538</v>
      </c>
    </row>
    <row r="68" spans="2:5" ht="45" customHeight="1" x14ac:dyDescent="0.3">
      <c r="B68" s="47" t="s">
        <v>539</v>
      </c>
    </row>
    <row r="70" spans="2:5" ht="14" x14ac:dyDescent="0.3">
      <c r="B70" s="48" t="s">
        <v>540</v>
      </c>
      <c r="C70" s="49"/>
      <c r="D70" s="49"/>
      <c r="E70" s="49"/>
    </row>
    <row r="71" spans="2:5" ht="14" x14ac:dyDescent="0.3">
      <c r="B71" s="50" t="s">
        <v>501</v>
      </c>
      <c r="C71" s="50" t="s">
        <v>541</v>
      </c>
      <c r="D71" s="50" t="s">
        <v>542</v>
      </c>
      <c r="E71" s="50" t="s">
        <v>543</v>
      </c>
    </row>
    <row r="72" spans="2:5" ht="14" x14ac:dyDescent="0.3">
      <c r="B72" s="4" t="s">
        <v>544</v>
      </c>
      <c r="C72" s="53">
        <f>-SUMIF('DCF Model'!C45:J45,"&lt;0")</f>
        <v>6307.0998528626751</v>
      </c>
      <c r="D72" s="61" t="s">
        <v>256</v>
      </c>
      <c r="E72" s="61" t="s">
        <v>256</v>
      </c>
    </row>
    <row r="73" spans="2:5" ht="14" x14ac:dyDescent="0.3">
      <c r="B73" s="4" t="s">
        <v>545</v>
      </c>
      <c r="C73" s="53">
        <f>-'DCF Model'!C16</f>
        <v>2257</v>
      </c>
      <c r="D73" s="61" t="s">
        <v>256</v>
      </c>
      <c r="E73" s="61" t="s">
        <v>256</v>
      </c>
    </row>
    <row r="74" spans="2:5" ht="14" x14ac:dyDescent="0.3">
      <c r="B74" s="4" t="s">
        <v>546</v>
      </c>
      <c r="C74" s="60">
        <v>1000</v>
      </c>
      <c r="D74" s="61" t="s">
        <v>256</v>
      </c>
      <c r="E74" s="61" t="s">
        <v>256</v>
      </c>
    </row>
    <row r="75" spans="2:5" ht="14" x14ac:dyDescent="0.3">
      <c r="B75" s="4" t="s">
        <v>547</v>
      </c>
      <c r="C75" s="56">
        <f>MAX(0,C72-C73+C74)</f>
        <v>5050.0998528626751</v>
      </c>
      <c r="D75" s="61" t="s">
        <v>256</v>
      </c>
      <c r="E75" s="61" t="s">
        <v>256</v>
      </c>
    </row>
    <row r="76" spans="2:5" ht="14" x14ac:dyDescent="0.3">
      <c r="B76" s="4" t="s">
        <v>548</v>
      </c>
      <c r="C76" s="53">
        <f>ROUND(0.8*'Executive Summary'!C9,0)</f>
        <v>17296</v>
      </c>
      <c r="D76" s="62">
        <f>IFERROR(ROUND(C75*1000000/C76,0),"n/a")</f>
        <v>291981</v>
      </c>
      <c r="E76" s="58">
        <f>IFERROR(D76/'DCF Model'!C15,"n/a")</f>
        <v>2.8082926970020485E-2</v>
      </c>
    </row>
    <row r="77" spans="2:5" ht="14" x14ac:dyDescent="0.3">
      <c r="B77" s="4" t="s">
        <v>549</v>
      </c>
      <c r="C77" s="53">
        <f>IF('Comps Analysis'!C27&lt;=0,"n/a",ROUND(0.8*'Comps Analysis'!C27,0))</f>
        <v>4580</v>
      </c>
      <c r="D77" s="62">
        <f>IFERROR(ROUND(C75*1000000/C77,0),"n/a")</f>
        <v>1102642</v>
      </c>
      <c r="E77" s="58">
        <f>IFERROR(D77/'DCF Model'!C15,"n/a")</f>
        <v>0.10605284165776996</v>
      </c>
    </row>
    <row r="78" spans="2:5" ht="14" x14ac:dyDescent="0.3">
      <c r="B78" s="4" t="s">
        <v>550</v>
      </c>
      <c r="C78" s="53">
        <f>IF('DCF Model'!C64&lt;=0,"n/a",ROUND(0.8*'DCF Model'!C64,0))</f>
        <v>799</v>
      </c>
      <c r="D78" s="62">
        <f>IFERROR(ROUND(C75*1000000/C78,0),"n/a")</f>
        <v>6320525</v>
      </c>
      <c r="E78" s="58">
        <f>IFERROR(D78/'DCF Model'!C15,"n/a")</f>
        <v>0.60791230246895767</v>
      </c>
    </row>
    <row r="79" spans="2:5" ht="14" x14ac:dyDescent="0.3">
      <c r="B79" s="4" t="s">
        <v>551</v>
      </c>
      <c r="C79" s="63">
        <f>IFERROR(ROUND(C75/'DCF Model'!C63,2),"n/a")</f>
        <v>0.49</v>
      </c>
      <c r="D79" s="61" t="s">
        <v>256</v>
      </c>
      <c r="E79" s="61" t="s">
        <v>256</v>
      </c>
    </row>
    <row r="80" spans="2:5" ht="14" x14ac:dyDescent="0.3">
      <c r="B80" s="4" t="s">
        <v>552</v>
      </c>
      <c r="C80" s="61" t="s">
        <v>256</v>
      </c>
      <c r="D80" s="64">
        <v>490400</v>
      </c>
      <c r="E80" s="58">
        <f>D80/'DCF Model'!C15</f>
        <v>4.7166998489963551E-2</v>
      </c>
    </row>
    <row r="81" spans="2:5" ht="14" x14ac:dyDescent="0.3">
      <c r="B81" s="4" t="s">
        <v>553</v>
      </c>
      <c r="C81" s="61" t="s">
        <v>256</v>
      </c>
      <c r="D81" s="65">
        <f>IFERROR('DCF Model'!C15+D76+D80,"n/a")</f>
        <v>11179481</v>
      </c>
      <c r="E81" s="66">
        <f>IFERROR(D81/'DCF Model'!C15-1,"n/a")</f>
        <v>7.5249925459984102E-2</v>
      </c>
    </row>
    <row r="82" spans="2:5" ht="14" x14ac:dyDescent="0.3">
      <c r="B82" s="4" t="s">
        <v>554</v>
      </c>
      <c r="C82" s="61" t="s">
        <v>256</v>
      </c>
      <c r="D82" s="65">
        <f>IFERROR('DCF Model'!C15+D78+D80,"n/a")</f>
        <v>17208025</v>
      </c>
      <c r="E82" s="66">
        <f>IFERROR(D82/'DCF Model'!C15-1,"n/a")</f>
        <v>0.65507930095892131</v>
      </c>
    </row>
    <row r="83" spans="2:5" ht="14" x14ac:dyDescent="0.3">
      <c r="B83" s="4" t="s">
        <v>555</v>
      </c>
      <c r="C83" s="53">
        <f>'DCF Model'!C55</f>
        <v>59</v>
      </c>
      <c r="D83" s="61" t="s">
        <v>256</v>
      </c>
      <c r="E83" s="61" t="s">
        <v>256</v>
      </c>
    </row>
    <row r="84" spans="2:5" ht="14" x14ac:dyDescent="0.3">
      <c r="B84" s="4" t="s">
        <v>556</v>
      </c>
      <c r="C84" s="55">
        <f>IFERROR(ROUND('DCF Model'!C54*1000000/D82,0),"n/a")</f>
        <v>36</v>
      </c>
      <c r="D84" s="61" t="s">
        <v>256</v>
      </c>
      <c r="E84" s="61" t="s">
        <v>256</v>
      </c>
    </row>
    <row r="85" spans="2:5" ht="14" x14ac:dyDescent="0.3">
      <c r="B85" s="4" t="s">
        <v>557</v>
      </c>
      <c r="C85" s="53">
        <f>'DCF Model'!C64</f>
        <v>999</v>
      </c>
      <c r="D85" s="61" t="s">
        <v>256</v>
      </c>
      <c r="E85" s="61" t="s">
        <v>256</v>
      </c>
    </row>
    <row r="86" spans="2:5" ht="14" x14ac:dyDescent="0.3">
      <c r="B86" s="4" t="s">
        <v>558</v>
      </c>
      <c r="C86" s="55">
        <f>IFERROR(ROUND('DCF Model'!C63*1000000/D82,0),"n/a")</f>
        <v>604</v>
      </c>
      <c r="D86" s="61" t="s">
        <v>256</v>
      </c>
      <c r="E86" s="61" t="s">
        <v>256</v>
      </c>
    </row>
    <row r="87" spans="2:5" ht="45" customHeight="1" x14ac:dyDescent="0.3">
      <c r="B87" s="47" t="s">
        <v>559</v>
      </c>
    </row>
    <row r="89" spans="2:5" ht="14" x14ac:dyDescent="0.3">
      <c r="B89" s="67" t="s">
        <v>560</v>
      </c>
    </row>
    <row r="90" spans="2:5" ht="14" x14ac:dyDescent="0.3">
      <c r="B90" s="47" t="s">
        <v>561</v>
      </c>
    </row>
    <row r="91" spans="2:5" ht="14" x14ac:dyDescent="0.3">
      <c r="B91" s="47" t="s">
        <v>562</v>
      </c>
    </row>
    <row r="92" spans="2:5" ht="14" x14ac:dyDescent="0.3">
      <c r="B92" s="47" t="s">
        <v>563</v>
      </c>
    </row>
    <row r="93" spans="2:5" ht="14" x14ac:dyDescent="0.3">
      <c r="B93" s="47" t="s">
        <v>564</v>
      </c>
    </row>
    <row r="94" spans="2:5" ht="14" x14ac:dyDescent="0.3">
      <c r="B94" s="47" t="s">
        <v>565</v>
      </c>
    </row>
    <row r="95" spans="2:5" ht="14" x14ac:dyDescent="0.3">
      <c r="B95" s="47" t="s">
        <v>566</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Executive Summary</vt:lpstr>
      <vt:lpstr>Financial Statements</vt:lpstr>
      <vt:lpstr>DCF Model</vt:lpstr>
      <vt:lpstr>Reverse DCF</vt:lpstr>
      <vt:lpstr>NWC Schedule</vt:lpstr>
      <vt:lpstr>Comps Analysis</vt:lpstr>
      <vt:lpstr>Sensitivity Analysis</vt:lpstr>
      <vt:lpstr>Adjustments Log</vt:lpstr>
      <vt:lpstr>Segment Bridge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2026-08-29T09:39:08Z</dcterms:created>
  <dcterms:modified xsi:type="dcterms:W3CDTF">2026-08-29T09:39:20Z</dcterms:modified>
</cp:coreProperties>
</file>