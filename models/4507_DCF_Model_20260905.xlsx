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71A4A7C6-8909-449B-A905-4B83A7F71E23}"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G15" i="6" s="1"/>
  <c r="L7" i="6"/>
  <c r="K7" i="6"/>
  <c r="J7" i="6"/>
  <c r="O6" i="6"/>
  <c r="N6" i="6"/>
  <c r="M6" i="6"/>
  <c r="L6" i="6"/>
  <c r="K6" i="6"/>
  <c r="E16" i="6" s="1"/>
  <c r="J6" i="6"/>
  <c r="O5" i="6"/>
  <c r="N5" i="6"/>
  <c r="M5" i="6"/>
  <c r="E5" i="6"/>
  <c r="D5" i="6"/>
  <c r="L5" i="6" s="1"/>
  <c r="C16" i="5"/>
  <c r="C14" i="5"/>
  <c r="C7" i="5"/>
  <c r="C6" i="5"/>
  <c r="C5" i="5"/>
  <c r="C13" i="4"/>
  <c r="C12" i="4"/>
  <c r="C9" i="4"/>
  <c r="C10" i="4" s="1"/>
  <c r="C7" i="4"/>
  <c r="C6" i="4"/>
  <c r="C8" i="4" s="1"/>
  <c r="D27" i="3"/>
  <c r="C25" i="3"/>
  <c r="C24" i="3"/>
  <c r="C23" i="3"/>
  <c r="C26" i="3" s="1"/>
  <c r="F28" i="2"/>
  <c r="F16" i="2"/>
  <c r="E16" i="2"/>
  <c r="D16" i="2"/>
  <c r="F15" i="2"/>
  <c r="E15" i="2"/>
  <c r="D15" i="2"/>
  <c r="F14" i="2"/>
  <c r="E14" i="2"/>
  <c r="D14" i="2"/>
  <c r="C14" i="2"/>
  <c r="F13" i="2"/>
  <c r="E13" i="2"/>
  <c r="D13" i="2"/>
  <c r="C13" i="2"/>
  <c r="F9" i="2"/>
  <c r="E9" i="2"/>
  <c r="C9" i="2"/>
  <c r="F8" i="2"/>
  <c r="E8" i="2"/>
  <c r="D8" i="2"/>
  <c r="D9" i="2" s="1"/>
  <c r="C8" i="2"/>
  <c r="B29" i="1" l="1"/>
  <c r="B24" i="1"/>
  <c r="D15" i="6"/>
  <c r="C18" i="5"/>
  <c r="C3" i="7"/>
  <c r="E36" i="4"/>
  <c r="D36" i="4"/>
  <c r="D46" i="3"/>
  <c r="C46" i="3"/>
  <c r="H36" i="4"/>
  <c r="B25" i="1"/>
  <c r="G46" i="3"/>
  <c r="G36" i="4"/>
  <c r="F46" i="3"/>
  <c r="F36" i="4"/>
  <c r="C11" i="4"/>
  <c r="C24" i="4" s="1"/>
  <c r="C25" i="4" s="1"/>
  <c r="E46" i="3"/>
  <c r="B30" i="1"/>
  <c r="G6" i="5"/>
  <c r="E5" i="5"/>
  <c r="H7" i="5"/>
  <c r="F6" i="5"/>
  <c r="D5" i="5"/>
  <c r="E32" i="3"/>
  <c r="G30" i="3"/>
  <c r="G7" i="5"/>
  <c r="E6" i="5"/>
  <c r="D7" i="5"/>
  <c r="H5" i="5"/>
  <c r="F31" i="3"/>
  <c r="C30" i="3"/>
  <c r="C33" i="3" s="1"/>
  <c r="G5" i="5"/>
  <c r="C32" i="3"/>
  <c r="F5" i="5"/>
  <c r="D17" i="6"/>
  <c r="D30" i="3"/>
  <c r="F32" i="3"/>
  <c r="D6" i="5"/>
  <c r="F15" i="6"/>
  <c r="F30" i="3"/>
  <c r="G32" i="3"/>
  <c r="H6" i="5"/>
  <c r="K5" i="6"/>
  <c r="J5" i="6"/>
  <c r="G16" i="6"/>
  <c r="C71" i="4"/>
  <c r="C70" i="4"/>
  <c r="H16" i="6"/>
  <c r="H17" i="6"/>
  <c r="H15" i="6"/>
  <c r="C31" i="3"/>
  <c r="D31" i="3"/>
  <c r="E7" i="5"/>
  <c r="I16" i="6"/>
  <c r="I17" i="6"/>
  <c r="I15" i="6"/>
  <c r="E31" i="3"/>
  <c r="F7" i="5"/>
  <c r="G31" i="3"/>
  <c r="D16" i="6"/>
  <c r="D32" i="3"/>
  <c r="E15" i="6"/>
  <c r="E17" i="6"/>
  <c r="E30" i="3"/>
  <c r="I6" i="7"/>
  <c r="F17" i="6"/>
  <c r="C17" i="7"/>
  <c r="G17" i="6"/>
  <c r="C6" i="7"/>
  <c r="D17" i="7"/>
  <c r="F16" i="6"/>
  <c r="C28" i="6" s="1"/>
  <c r="C19" i="1" s="1"/>
  <c r="D19" i="1" s="1"/>
  <c r="D6" i="7"/>
  <c r="E17" i="7"/>
  <c r="E6" i="7"/>
  <c r="F17" i="7"/>
  <c r="F6" i="7"/>
  <c r="G17" i="7"/>
  <c r="G6" i="7"/>
  <c r="H17" i="7"/>
  <c r="C29" i="4" l="1"/>
  <c r="C26" i="4"/>
  <c r="C27" i="4"/>
  <c r="H38" i="4"/>
  <c r="H41" i="4"/>
  <c r="H45" i="4"/>
  <c r="H46" i="4"/>
  <c r="H43" i="4"/>
  <c r="H40" i="4"/>
  <c r="H44" i="4"/>
  <c r="H39" i="4"/>
  <c r="C27" i="6"/>
  <c r="C18" i="1" s="1"/>
  <c r="D18" i="1" s="1"/>
  <c r="C74" i="4"/>
  <c r="D9" i="5"/>
  <c r="D12" i="5" s="1"/>
  <c r="C42" i="3"/>
  <c r="C34" i="3"/>
  <c r="D10" i="5" s="1"/>
  <c r="D33" i="3"/>
  <c r="C37" i="3"/>
  <c r="F40" i="4"/>
  <c r="F50" i="4" s="1"/>
  <c r="F55" i="4" s="1"/>
  <c r="F44" i="4"/>
  <c r="F38" i="4"/>
  <c r="F39" i="4"/>
  <c r="F43" i="4"/>
  <c r="F46" i="4"/>
  <c r="F45" i="4"/>
  <c r="F41" i="4"/>
  <c r="F51" i="4" s="1"/>
  <c r="F56" i="4" s="1"/>
  <c r="D43" i="4"/>
  <c r="D46" i="4"/>
  <c r="D40" i="4"/>
  <c r="D41" i="4"/>
  <c r="D45" i="4"/>
  <c r="D39" i="4"/>
  <c r="D38" i="4"/>
  <c r="D44" i="4"/>
  <c r="E46" i="4"/>
  <c r="E40" i="4"/>
  <c r="E44" i="4"/>
  <c r="E45" i="4"/>
  <c r="E41" i="4"/>
  <c r="E39" i="4"/>
  <c r="E43" i="4"/>
  <c r="E38" i="4"/>
  <c r="E48" i="4" s="1"/>
  <c r="E53" i="4" s="1"/>
  <c r="G44" i="4"/>
  <c r="G38" i="4"/>
  <c r="G48" i="4" s="1"/>
  <c r="G53" i="4" s="1"/>
  <c r="G41" i="4"/>
  <c r="G43" i="4"/>
  <c r="G46" i="4"/>
  <c r="G45" i="4"/>
  <c r="G40" i="4"/>
  <c r="G50" i="4" s="1"/>
  <c r="G55" i="4" s="1"/>
  <c r="G39" i="4"/>
  <c r="B13" i="7"/>
  <c r="B12" i="7"/>
  <c r="B11" i="7"/>
  <c r="B10" i="7"/>
  <c r="B9" i="7"/>
  <c r="B8" i="7"/>
  <c r="B7" i="7"/>
  <c r="B24" i="7"/>
  <c r="B23" i="7"/>
  <c r="B22" i="7"/>
  <c r="B21" i="7"/>
  <c r="B20" i="7"/>
  <c r="B19" i="7"/>
  <c r="B18" i="7"/>
  <c r="G51" i="4" l="1"/>
  <c r="G56" i="4" s="1"/>
  <c r="E50" i="4"/>
  <c r="E55" i="4" s="1"/>
  <c r="H51" i="4"/>
  <c r="H56" i="4" s="1"/>
  <c r="H48" i="4"/>
  <c r="H53" i="4" s="1"/>
  <c r="F48" i="4"/>
  <c r="F53" i="4" s="1"/>
  <c r="C35" i="3"/>
  <c r="C36" i="3" s="1"/>
  <c r="D50" i="4"/>
  <c r="D55" i="4" s="1"/>
  <c r="C38" i="3"/>
  <c r="H49" i="4"/>
  <c r="H54" i="4" s="1"/>
  <c r="G49" i="4"/>
  <c r="G54" i="4" s="1"/>
  <c r="D48" i="4"/>
  <c r="D53" i="4" s="1"/>
  <c r="E49" i="4"/>
  <c r="E54" i="4" s="1"/>
  <c r="D49" i="4"/>
  <c r="D54" i="4" s="1"/>
  <c r="D37" i="3"/>
  <c r="E9" i="5"/>
  <c r="E12" i="5" s="1"/>
  <c r="E33" i="3"/>
  <c r="D42" i="3"/>
  <c r="D34" i="3"/>
  <c r="E10" i="5" s="1"/>
  <c r="H50" i="4"/>
  <c r="H55" i="4" s="1"/>
  <c r="E51" i="4"/>
  <c r="E56" i="4" s="1"/>
  <c r="D13" i="5"/>
  <c r="D14" i="5" s="1"/>
  <c r="D18" i="5" s="1"/>
  <c r="D19" i="5" s="1"/>
  <c r="C44" i="3" s="1"/>
  <c r="D15" i="5"/>
  <c r="D16" i="5" s="1"/>
  <c r="D51" i="4"/>
  <c r="D56" i="4" s="1"/>
  <c r="F49" i="4"/>
  <c r="C39" i="3" l="1"/>
  <c r="F54" i="4"/>
  <c r="B78" i="4" s="1"/>
  <c r="C60" i="4"/>
  <c r="D35" i="3"/>
  <c r="F9" i="5"/>
  <c r="F12" i="5" s="1"/>
  <c r="F33" i="3"/>
  <c r="E42" i="3"/>
  <c r="E37" i="3"/>
  <c r="E34" i="3"/>
  <c r="F10" i="5" s="1"/>
  <c r="E13" i="5"/>
  <c r="E15" i="5"/>
  <c r="E16" i="5" s="1"/>
  <c r="E14" i="5"/>
  <c r="E18" i="5" s="1"/>
  <c r="E19" i="5" s="1"/>
  <c r="D44" i="3" s="1"/>
  <c r="C40" i="3"/>
  <c r="C41" i="3" s="1"/>
  <c r="C45" i="3" s="1"/>
  <c r="C47" i="3" l="1"/>
  <c r="E35" i="3"/>
  <c r="G9" i="5"/>
  <c r="G12" i="5" s="1"/>
  <c r="F34" i="3"/>
  <c r="G10" i="5" s="1"/>
  <c r="G33" i="3"/>
  <c r="F42" i="3"/>
  <c r="F37" i="3"/>
  <c r="F13" i="5"/>
  <c r="F15" i="5"/>
  <c r="F16" i="5" s="1"/>
  <c r="F14" i="5"/>
  <c r="F18" i="5" s="1"/>
  <c r="F19" i="5" s="1"/>
  <c r="E44" i="3" s="1"/>
  <c r="D39" i="3"/>
  <c r="D38" i="3"/>
  <c r="D36" i="3"/>
  <c r="C64" i="4"/>
  <c r="D64" i="4" s="1"/>
  <c r="C66" i="4"/>
  <c r="D66" i="4" s="1"/>
  <c r="C67" i="4"/>
  <c r="D67" i="4" s="1"/>
  <c r="C65" i="4"/>
  <c r="D65" i="4" s="1"/>
  <c r="C63" i="4"/>
  <c r="D63" i="4" s="1"/>
  <c r="G42" i="3" l="1"/>
  <c r="G34" i="3"/>
  <c r="H10" i="5" s="1"/>
  <c r="G37" i="3"/>
  <c r="G35" i="3"/>
  <c r="H9" i="5"/>
  <c r="H12" i="5" s="1"/>
  <c r="C16" i="4"/>
  <c r="C28" i="4" s="1"/>
  <c r="G13" i="5"/>
  <c r="G14" i="5" s="1"/>
  <c r="G18" i="5" s="1"/>
  <c r="G19" i="5" s="1"/>
  <c r="F44" i="3" s="1"/>
  <c r="G15" i="5"/>
  <c r="G16" i="5" s="1"/>
  <c r="F35" i="3"/>
  <c r="E36" i="3"/>
  <c r="E39" i="3"/>
  <c r="E38" i="3"/>
  <c r="D40" i="3"/>
  <c r="D41" i="3" s="1"/>
  <c r="D45" i="3" s="1"/>
  <c r="D47" i="3" l="1"/>
  <c r="E40" i="3"/>
  <c r="E41" i="3"/>
  <c r="E45" i="3" s="1"/>
  <c r="E47" i="3" s="1"/>
  <c r="G38" i="3"/>
  <c r="G39" i="3"/>
  <c r="G36" i="3"/>
  <c r="F38" i="3"/>
  <c r="F39" i="3"/>
  <c r="F36" i="3"/>
  <c r="H15" i="5"/>
  <c r="H16" i="5" s="1"/>
  <c r="H13" i="5"/>
  <c r="H14" i="5" s="1"/>
  <c r="H18" i="5" s="1"/>
  <c r="H19" i="5" s="1"/>
  <c r="G44" i="3" s="1"/>
  <c r="C72" i="4"/>
  <c r="C73" i="4"/>
  <c r="C59" i="3" l="1"/>
  <c r="C60" i="3" s="1"/>
  <c r="C61" i="3" s="1"/>
  <c r="G40" i="3"/>
  <c r="G41" i="3" s="1"/>
  <c r="G45" i="3" s="1"/>
  <c r="F40" i="3"/>
  <c r="F41" i="3" s="1"/>
  <c r="F45" i="3" s="1"/>
  <c r="F47" i="3" l="1"/>
  <c r="E11" i="7"/>
  <c r="F19" i="7"/>
  <c r="G13" i="7"/>
  <c r="C23" i="7"/>
  <c r="G22" i="7"/>
  <c r="D22" i="7"/>
  <c r="C21" i="7"/>
  <c r="F10" i="7"/>
  <c r="H11" i="7"/>
  <c r="F13" i="7"/>
  <c r="H24" i="7"/>
  <c r="H12" i="7"/>
  <c r="D20" i="7"/>
  <c r="I11" i="7"/>
  <c r="F18" i="7"/>
  <c r="G21" i="7"/>
  <c r="F12" i="7"/>
  <c r="C12" i="7"/>
  <c r="G19" i="7"/>
  <c r="I9" i="7"/>
  <c r="E12" i="7"/>
  <c r="I19" i="7"/>
  <c r="I7" i="7"/>
  <c r="G23" i="7"/>
  <c r="D21" i="7"/>
  <c r="I12" i="7"/>
  <c r="D7" i="7"/>
  <c r="I10" i="7"/>
  <c r="H10" i="7"/>
  <c r="E21" i="7"/>
  <c r="F9" i="7"/>
  <c r="G7" i="7"/>
  <c r="C11" i="7"/>
  <c r="E23" i="7"/>
  <c r="G24" i="7"/>
  <c r="G10" i="7"/>
  <c r="H20" i="7"/>
  <c r="C19" i="7"/>
  <c r="G11" i="7"/>
  <c r="D8" i="7"/>
  <c r="E9" i="7"/>
  <c r="I8" i="7"/>
  <c r="D19" i="7"/>
  <c r="F20" i="7"/>
  <c r="H8" i="7"/>
  <c r="G9" i="7"/>
  <c r="F23" i="7"/>
  <c r="F24" i="7"/>
  <c r="E20" i="7"/>
  <c r="G20" i="7"/>
  <c r="H9" i="7"/>
  <c r="H13" i="7"/>
  <c r="F7" i="7"/>
  <c r="D12" i="7"/>
  <c r="H23" i="7"/>
  <c r="D24" i="7"/>
  <c r="D18" i="7"/>
  <c r="C7" i="7"/>
  <c r="C18" i="7"/>
  <c r="F11" i="7"/>
  <c r="C10" i="7"/>
  <c r="I24" i="7"/>
  <c r="E22" i="7"/>
  <c r="E18" i="7"/>
  <c r="C8" i="7"/>
  <c r="I18" i="7"/>
  <c r="D11" i="7"/>
  <c r="H19" i="7"/>
  <c r="G8" i="7"/>
  <c r="I20" i="7"/>
  <c r="H22" i="7"/>
  <c r="C22" i="7"/>
  <c r="D23" i="7"/>
  <c r="E19" i="7"/>
  <c r="I23" i="7"/>
  <c r="F22" i="7"/>
  <c r="E8" i="7"/>
  <c r="H18" i="7"/>
  <c r="D9" i="7"/>
  <c r="D13" i="7"/>
  <c r="G12" i="7"/>
  <c r="C9" i="7"/>
  <c r="E10" i="7"/>
  <c r="C20" i="7"/>
  <c r="I22" i="7"/>
  <c r="E24" i="7"/>
  <c r="C24" i="7"/>
  <c r="F8" i="7"/>
  <c r="G18" i="7"/>
  <c r="E7" i="7"/>
  <c r="E13" i="7"/>
  <c r="I21" i="7"/>
  <c r="D10" i="7"/>
  <c r="C13" i="7"/>
  <c r="H21" i="7"/>
  <c r="I13" i="7"/>
  <c r="F21" i="7"/>
  <c r="H7" i="7"/>
  <c r="G47" i="3"/>
  <c r="C51" i="3"/>
  <c r="C52" i="3" s="1"/>
  <c r="C50" i="3" l="1"/>
  <c r="C58" i="3" l="1"/>
  <c r="C62" i="3" s="1"/>
  <c r="C53" i="3"/>
  <c r="C17" i="4" l="1"/>
  <c r="C54" i="3"/>
  <c r="C55" i="3" s="1"/>
  <c r="C16" i="1" s="1"/>
  <c r="C63" i="3"/>
  <c r="C64" i="3" s="1"/>
  <c r="C17" i="1"/>
  <c r="D17" i="1" s="1"/>
  <c r="C10" i="1" l="1"/>
  <c r="C21" i="1"/>
  <c r="D16" i="1"/>
  <c r="C19" i="4"/>
  <c r="C20" i="4" s="1"/>
  <c r="B79" i="4"/>
  <c r="C12" i="1" l="1"/>
  <c r="C11" i="1" s="1"/>
  <c r="B26" i="1"/>
  <c r="B31" i="1"/>
</calcChain>
</file>

<file path=xl/sharedStrings.xml><?xml version="1.0" encoding="utf-8"?>
<sst xmlns="http://schemas.openxmlformats.org/spreadsheetml/2006/main" count="517" uniqueCount="389">
  <si>
    <t>DISCLAIMER: This is a sample analysis for demonstration purposes only. It does not constitute investment advice.</t>
  </si>
  <si>
    <t>塩野義製薬 (4507.T)</t>
  </si>
  <si>
    <t>Equity Research Report</t>
  </si>
  <si>
    <t>Company</t>
  </si>
  <si>
    <t>塩野義製薬</t>
  </si>
  <si>
    <t>Ticker</t>
  </si>
  <si>
    <t>4507.T (TSE Prime)</t>
  </si>
  <si>
    <t>Sector</t>
  </si>
  <si>
    <t>医薬品</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</si>
  <si>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</si>
  <si>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</si>
  <si>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</si>
  <si>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</si>
  <si>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</si>
  <si>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</si>
  <si>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</si>
  <si>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</si>
  <si>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</si>
  <si>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</si>
  <si>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</si>
  <si>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</si>
  <si>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</si>
  <si>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</si>
  <si>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</si>
  <si>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</si>
  <si>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塩野義製薬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</si>
  <si>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</si>
  <si>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</si>
  <si>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</si>
  <si>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</si>
  <si>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</si>
  <si>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</si>
  <si>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</si>
  <si>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</si>
  <si>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</si>
  <si>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</si>
  <si>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</si>
  <si>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</si>
  <si>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</si>
  <si>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</si>
  <si>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</si>
  <si>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</si>
  <si>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</si>
  <si>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</si>
  <si>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</si>
  <si>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</si>
  <si>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</si>
  <si>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</si>
  <si>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</si>
  <si>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</si>
  <si>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</si>
  <si>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</si>
  <si>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</si>
  <si>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1/4 — blank cells are years with no year-key match in the source data (verify against 決算短信 or set hist_ocf / hist_cash / hist_debt in overrides).</t>
  </si>
  <si>
    <t>DCF Valuation Model - 塩野義製薬</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</si>
  <si>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</si>
  <si>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</si>
  <si>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</si>
  <si>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</si>
  <si>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</si>
  <si>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</si>
  <si>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</si>
  <si>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</si>
  <si>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</si>
  <si>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</si>
  <si>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</si>
  <si>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</si>
  <si>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</si>
  <si>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</si>
  <si>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</si>
  <si>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</si>
  <si>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</si>
  <si>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</si>
  <si>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</si>
  <si>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</si>
  <si>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</si>
  <si>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</si>
  <si>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</si>
  <si>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</si>
  <si>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</si>
  <si>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</si>
  <si>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</si>
  <si>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</si>
  <si>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</si>
  <si>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</si>
  <si>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</si>
  <si>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</si>
  <si>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</si>
  <si>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</si>
  <si>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</si>
  <si>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</si>
  <si>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</si>
  <si>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</si>
  <si>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</si>
  <si>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</si>
  <si>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</si>
  <si>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</si>
  <si>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</si>
  <si>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</si>
  <si>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</si>
  <si>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</si>
  <si>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</si>
  <si>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</si>
  <si>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</si>
  <si>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</si>
  <si>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</si>
  <si>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</si>
  <si>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</si>
  <si>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</si>
  <si>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</si>
  <si>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</si>
  <si>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</si>
  <si>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</si>
  <si>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</si>
  <si>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</si>
  <si>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</si>
  <si>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</si>
  <si>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</si>
  <si>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</si>
  <si>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塩野義製薬 (4507.T)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</si>
  <si>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</si>
  <si>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</si>
  <si>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</si>
  <si>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</si>
  <si>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</si>
  <si>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</si>
  <si>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</si>
  <si>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</si>
  <si>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</si>
  <si>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</si>
  <si>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</si>
  <si>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</si>
  <si>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</si>
  <si>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</si>
  <si>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</si>
  <si>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</si>
  <si>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</si>
  <si>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</si>
  <si>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</si>
  <si>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</si>
  <si>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</si>
  <si>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</si>
  <si>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</si>
  <si>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</si>
  <si>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</si>
  <si>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</si>
  <si>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</si>
  <si>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</si>
  <si>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</si>
  <si>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</si>
  <si>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</si>
  <si>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</si>
  <si>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</si>
  <si>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</si>
  <si>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</si>
  <si>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</si>
  <si>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</si>
  <si>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</si>
  <si>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</si>
  <si>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</si>
  <si>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</si>
  <si>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</si>
  <si>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</si>
  <si>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</si>
  <si>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</si>
  <si>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</si>
  <si>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</si>
  <si>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</si>
  <si>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</si>
  <si>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</si>
  <si>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</si>
  <si>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塩野義製薬</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</si>
  <si>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</si>
  <si>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</si>
  <si>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</si>
  <si>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</si>
  <si>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</si>
  <si>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</si>
  <si>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</si>
  <si>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</si>
  <si>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</si>
  <si>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</si>
  <si>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</si>
  <si>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</si>
  <si>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</si>
  <si>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</si>
  <si>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</si>
  <si>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</si>
  <si>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</si>
  <si>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</si>
  <si>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</si>
  <si>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2026-09-05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</si>
  <si>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</si>
  <si>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</si>
  <si>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</si>
  <si>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</si>
  <si>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</si>
  <si>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</si>
  <si>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</si>
  <si>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</si>
  <si>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</si>
  <si>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</si>
  <si>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</si>
  <si>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</si>
  <si>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</si>
  <si>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</si>
  <si>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Shionogi &amp; Co., Ltd.</t>
  </si>
  <si>
    <t>4507.T</t>
  </si>
  <si>
    <t>Eisai Co., Ltd.</t>
  </si>
  <si>
    <t>4523.T</t>
  </si>
  <si>
    <t>Kyowa Kirin Co., Ltd.</t>
  </si>
  <si>
    <t>4151.T</t>
  </si>
  <si>
    <t>Astellas Pharma Inc.</t>
  </si>
  <si>
    <t>4503.T</t>
  </si>
  <si>
    <t>Daiichi Sankyo Company, Limited</t>
  </si>
  <si>
    <t>4568.T</t>
  </si>
  <si>
    <t>Otsuka Holdings Co., Ltd.</t>
  </si>
  <si>
    <t>4578.T</t>
  </si>
  <si>
    <t>Statistics</t>
  </si>
  <si>
    <t>25th Percentile</t>
  </si>
  <si>
    <t>Median (50th)</t>
  </si>
  <si>
    <t>75th Percentile</t>
  </si>
  <si>
    <t>Implied Valuation for 塩野義製薬</t>
  </si>
  <si>
    <t>塩野義製薬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</si>
  <si>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</si>
  <si>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</si>
  <si>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</si>
  <si>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</si>
  <si>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</si>
  <si>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</si>
  <si>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</si>
  <si>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</si>
  <si>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</si>
  <si>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</si>
  <si>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</si>
  <si>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</si>
  <si>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</si>
  <si>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</si>
  <si>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</si>
  <si>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塩野義製薬</t>
  </si>
  <si>
    <t>日付</t>
  </si>
  <si>
    <t>セル</t>
  </si>
  <si>
    <t>変更内容</t>
  </si>
  <si>
    <t>理由</t>
  </si>
  <si>
    <t>元の値</t>
  </si>
  <si>
    <t>状態</t>
  </si>
  <si>
    <t>2026-09-05</t>
  </si>
  <si>
    <t>-</t>
  </si>
  <si>
    <t>Generated by pipeline on 2026-09-05 16:35, template rev c9b5dd9</t>
  </si>
  <si>
    <t>初期生成（手修正なし）</t>
  </si>
  <si>
    <t>generated</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</si>
  <si>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</si>
  <si>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</si>
  <si>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</si>
  <si>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</si>
  <si>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</si>
  <si>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</si>
  <si>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</si>
  <si>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</si>
  <si>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</si>
  <si>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</si>
  <si>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</si>
  <si>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</si>
  <si>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2,476,073百万円。■テンプレートの自動規則(&gt;=1兆円 -&gt; 0.0%、&gt;=1,000億円 -&gt; 1.5%)とは異なる値であり、明示指定で上書きしている。</t>
  </si>
  <si>
    <t>テンプレ自動値</t>
  </si>
  <si>
    <t>DCF Model!C8</t>
  </si>
  <si>
    <t>Beta = 0.60</t>
  </si>
  <si>
    <t>yfinance実測 0.028 はテンプレのクランプ域 [0.6, 1.75] の下限を大きく下回り、そのまま渡すと【無言で 1.0 に置換】される（templates/dcf_comps_template.py:1819）。追補1 §A に従い max(0.6, min(1.75, 実測)) = 0.60 を明示指定した。**0.60 は実測値ではなくテンプレが受け付ける最小値**であることに注意。</t>
  </si>
  <si>
    <t>yfinance実測 0.028</t>
  </si>
  <si>
    <t>DCF Model!C6</t>
  </si>
  <si>
    <t>Effective Tax Rate = 25%</t>
  </si>
  <si>
    <t>バッチ共通の既定値(v2 §1-3)。当社の実績税負担率を個別に検証したものではない。</t>
  </si>
  <si>
    <t>テンプレ既定 30%</t>
  </si>
  <si>
    <t>推定</t>
  </si>
  <si>
    <t>DCF Model!C11</t>
  </si>
  <si>
    <t>After-tax Cost of Debt = 1.0%(テンプレ既定値のまま)</t>
  </si>
  <si>
    <t>net_debt がネットキャッシュ（−51,397百万円）で D/E = 0 のため、負債コストは WACC に一切寄与しない（WACC = Ke = 7.87%）。■ただし当社は FY2026/3 に有利子負債を 21,882 → 684,394百万円 へ急増させており、実績Kd は 支払利息 8,605 ÷ 平均有利子負債 ((21,882+684,394)/2 = 353,138) = 2.44%（税引前）である。型A の net_debt 定義の帰結として WACC には現れないが、グロス・レバレッジは無視できない水準にある。</t>
  </si>
  <si>
    <t>テンプレ既定</t>
  </si>
  <si>
    <t>DCF Model!C13</t>
  </si>
  <si>
    <t>Terminal Growth = 1.0%</t>
  </si>
  <si>
    <t>バッチ共通の固定前提(v2 §1-3)。</t>
  </si>
  <si>
    <t>テンプレ既定 2.0%</t>
  </si>
  <si>
    <t>DCF Model!C14</t>
  </si>
  <si>
    <t>Exit Multiple (EV/EBITDA) = 10.2x</t>
  </si>
  <si>
    <t>Peer 5社の実測EV/EBITDA中央値 10.22x（4523 15.12 / 4151 8.10 / 4503 7.84 / 4568 16.10 / 4578 10.22）。 自社の現在倍率 12.64x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</si>
  <si>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</si>
  <si>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</si>
  <si>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</si>
  <si>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**CLEAN**（docID S100YF57。ForFinancialBusiness / Banking / Deposits / CallLoan 系の科目は1件も検出されず）。銀行・captive finance なし。NonOp/OP +43.3% はロイヤリティ収入・受取利息によるもので持分法主導ではない。OPMレンジ2.4pt・赤字年なしで型Bにも該当しない。</t>
  </si>
  <si>
    <t>Financial Statements / hist_* 系列</t>
  </si>
  <si>
    <t>hist_years を FY2023-FY2026 の4期に置換し P/L 5系列を yfinance連結財務諸表から供給（予防的）</t>
  </si>
  <si>
    <t>【追補2 §F-2 の予防的 EDINET 補完（生成前適用・必須）】根本原因は scripts/generate_dcf.py:66 の _val(data_dict, key, default=0) が欠損値を None ではなく 0 に落とすことで、hist_* 全系列・net_debt・core_ebitda に波及する。バッチ中はパイプラインを変更しない方針（追補2 §F-1）のため、回避策を**発生を待たず生成前に適用**した: hist_years を直近4期（P/L 4項目がすべて揃う年）に置換し、hist_revenue / hist_operating_income / hist_net_income / hist_cogs / hist_sga を yfinance連結財務諸表から供給（配列長は全て4で hist_years と一致、契約遵守）。■hist_ocf / hist_cash / hist_debt / hist_capex / hist_depreciation は【供給していない】 — Step 4.6 の align_hist_series_to_years() が最終 hist_years に会計年度キーで再マッピングするため EDINET を一次ソースのまま使える。■hist_sga = 売上 − COGS − 営業利益 で逆算。■**結果として初回生成で合格した（リトライ0回）**。</t>
  </si>
  <si>
    <t>EDINET自動抽出値</t>
  </si>
  <si>
    <t>Comps Analysis / core_ebitda</t>
  </si>
  <si>
    <t>core_ebitda = 193,693百万円 を明示指定（営業利益 166,725 + D&amp;A 26,968）</t>
  </si>
  <si>
    <t>【追補2 §G】core_ebitda を明示指定（= 直近営業利益 + 直近CF計算書D&amp;A）。Comps の『自社 Financials』EBITDA と Via EV/EBITDA 参考株価は comps CSV ではなく config の core_ebitda を使うが、EDINET 由来の D&amp;A は銘柄により信頼できず、破綻しても validate は FAIL 0 のまま通る（4502 で参考株価が −2,761円 の負値、4151 で N/A になった実例）。Peer と同一定義（EBITDA = 営業利益 + CF計算書の減価償却費）に揃えるため予防的に明示指定した。生成後に batch/check_core_ebitda.py で comps CSV 自社行との一致を確認済み（追補2 §G の品質ゲート）。</t>
  </si>
  <si>
    <t>EDINET由来の自動計算値</t>
  </si>
  <si>
    <t>DCF Model!C5 / capex_direct</t>
  </si>
  <si>
    <t>capex_method=direct、投影 [40,000 / 38,000 / 36,000 / 35,000 / 34,400]百万円</t>
  </si>
  <si>
    <t>実績capexは売上比 6.3-11.9% と振れが大きい（FY2025/3 は 11.9%、FY2026/3 は 6.3%）。5年で緩やかに逓減させ、ターミナル年 34,400 ÷ D&amp;A(Y5売上607,336 × 5.4% = 32,796) = 1.049x でレンジ[0.90,1.15]に収束（validate チェック9 PASS）。</t>
  </si>
  <si>
    <t>DCF Model シナリオ5本</t>
  </si>
  <si>
    <t>実績OPM分布からの導出(min 33.37 / p25 34.53 / med 35.08 / p75 35.36 / max 35.73%)</t>
  </si>
  <si>
    <t>直近 33.37%(観測窓の最低)が中央値を下回るため Base は実績中央値 35.08% へ収束(Y1 33.8% -&gt; Y5 35.08%)。Upside は max(p75 35.36, 直近+1.0pt = 34.37) = 35.36%。Downside 1 は min(p25 34.53, 直近 33.37) = 33.37% を下回る 30.0%。Downside 2 は実績トラフ(33.37%)が直近実績そのものでトラフとして機能しないため、売上-8%+OPM半減アーム(16.7-20.0%)。■製薬の恒等式: COGS% を実績 16.5% に固定し SGA% = 100% - COGS% - 目標OPM で逆算した。既存銘柄からの流用なし。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</si>
  <si>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</si>
  <si>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</si>
  <si>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</si>
  <si>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</si>
  <si>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</si>
  <si>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</si>
  <si>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104 / DIH **391** / DPO 88 日</t>
  </si>
  <si>
    <t>実績4期平均。DIH 391日は本バッチ最長級で、医薬品の製造リードタイムと在庫方針を反映している。運転資本の資金拘束が非常に大きい。</t>
  </si>
  <si>
    <t>Comps Analysis</t>
  </si>
  <si>
    <t>Peer 5社 = 4523 エーザイ / 4151 協和キリン / 4503 アステラス製薬 / 4568 第一三共 / 4578 大塚HD</t>
  </si>
  <si>
    <t>■選定理由: TSE33業種『医薬品』。■時価総額バンド: v2 §5 の 0.3〜3倍は 0.743〜7.43兆円で、**採用5社すべてがバンド内**（バンド緩和は不要）。■**除外: 4519 中外製薬**（11.18兆円でバンド外に加え、減価償却費が EDINET・yfinance のいずれからも取得できず EBITDA を算出できない。v2 §5『D&amp;Aが取れない社はCSVに入れない』に従い除外。4519 自体も要手動レビューキューへ送っている）。■海外Peer は v2 §5 により不使用。■D&amp;A取得状況: 採用6社すべてで減価償却費を取得でき統一。**D&amp;A欠損による除外はゼロ**（validate チェック12 PASS）。</t>
  </si>
  <si>
    <t>Executive Summary!C10 / Target</t>
  </si>
  <si>
    <t>Target Price = 2,606円 = PGM 2,495円 と Exit 2,716円 の2本平均。Comps 2本(EV/EBITDA 2,387円 / PER 4,524円)は [参考・Target不算入]</t>
  </si>
  <si>
    <t>メモ§2 の規約どおり。validate チェック14 PASS(C10 が C16:C17 のみを平均)。EV&lt;net_debt による INVALID 化は発生していない（ネットキャッシュのため、チェック10・15 とも PASS）。**PGM 2,495円 と Exit 2,716円 の開きが小さく（1.09倍）、2法が整合している数少ない銘柄**。</t>
  </si>
  <si>
    <t>全体(納品状態)</t>
  </si>
  <si>
    <t>本ファイルは DRAFT。_FINAL は付けない</t>
  </si>
  <si>
    <t>バッチモードでの機械生成物であり人間の検証を経ていない。FINAL化は手順書v2 §6 に従い検証後に行う。</t>
  </si>
  <si>
    <t>DRAFT</t>
  </si>
  <si>
    <t>全体(未解決)</t>
  </si>
  <si>
    <t>**有利子負債の31倍増（21,882 → 684,394百万円）の使途と、型A net_debt 定義の限界**</t>
  </si>
  <si>
    <t>現金も同時に 374,795 → 711,397百万円 へ積み上がっているためネットキャッシュ判定となり D/E = 0 → WACC = Ke となるが、グロス・レバレッジは無視できない水準にある。資金使途（M&amp;A 準備か借換か）を確認し、調達資金が事業に投下されれば net_debt はプラスに転じ WACC も変わる。</t>
  </si>
  <si>
    <t>未解決</t>
  </si>
  <si>
    <t>ロイヤリティ収入への依存（NonOp/OP +43.3%）</t>
  </si>
  <si>
    <t>営業外に計上されるロイヤリティは本モデルの営業利益ベース DCF には入っていない。その分 Target は保守的だが、逆にロイヤリティの逓減リスクも表現されていない。</t>
  </si>
  <si>
    <t>Target 2,606円 と現値 2,909円 の乖離（−10.4%）</t>
  </si>
  <si>
    <t>逆算DCF は現値がサイクルピークの 1.43倍 の定常営業利益を織り込むことを示す。Base は実績中央値までの回復にとどめており、その差が乖離になっている。</t>
  </si>
  <si>
    <t>Pipeline Metadata (do not edit — read by scripts/validate_output.py)</t>
  </si>
  <si>
    <t>key</t>
  </si>
  <si>
    <t>value</t>
  </si>
  <si>
    <t>auto_log_entries</t>
  </si>
  <si>
    <t>0</t>
  </si>
  <si>
    <t>capex_pct_basis</t>
  </si>
  <si>
    <t>assumption</t>
  </si>
  <si>
    <t>capex_pct_c5</t>
  </si>
  <si>
    <t>0.0566</t>
  </si>
  <si>
    <t>capex_pct_hist3yr</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</si>
  <si>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</si>
  <si>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</si>
  <si>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</si>
  <si>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</si>
  <si>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</si>
  <si>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</si>
  <si>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</si>
  <si>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</si>
  <si>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</si>
  <si>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</si>
  <si>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</si>
  <si>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</si>
  <si>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</si>
  <si>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</si>
  <si>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</si>
  <si>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</si>
  <si>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</si>
  <si>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</si>
  <si>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cost_of_debt_at_c11</t>
  </si>
  <si>
    <t>0.01</t>
  </si>
  <si>
    <t>cost_of_debt_basis</t>
  </si>
  <si>
    <t>da_pct_basis</t>
  </si>
  <si>
    <t>da_pct_c18</t>
  </si>
  <si>
    <t>0.054</t>
  </si>
  <si>
    <t>da_pct_hist3yr</t>
  </si>
  <si>
    <t>fs_year_coverage</t>
  </si>
  <si>
    <t>OCF 4/4, Cash 4/4, Debt 1/4</t>
  </si>
  <si>
    <t>fs_year_map</t>
  </si>
  <si>
    <t>FY2023&lt;-FY2023[ocf+cash]; FY2024&lt;-FY2024[ocf+cash]; FY2025&lt;-FY2025[ocf+cash]; FY2026&lt;-FY2026[ocf+cash+debt]</t>
  </si>
  <si>
    <t>fs_year_sources</t>
  </si>
  <si>
    <t>overrides: none | EDINET year-key match: hist_ocf, hist_cash, hist_debt, hist_capex, hist_depreciation</t>
  </si>
  <si>
    <t>fx_sensitivity</t>
  </si>
  <si>
    <t>not enabled</t>
  </si>
  <si>
    <t>generated_at</t>
  </si>
  <si>
    <t>2026-09-05 16:35:48</t>
  </si>
  <si>
    <t>ltm_revenue_c20</t>
  </si>
  <si>
    <t>499677.0</t>
  </si>
  <si>
    <t>ltm_revenue_source</t>
  </si>
  <si>
    <t>latest FY (no LTM)</t>
  </si>
  <si>
    <t>narrative_tokens_used</t>
  </si>
  <si>
    <t>pb,per,price,target_price,upside_pct,wacc</t>
  </si>
  <si>
    <t>reverse_dcf_sheet</t>
  </si>
  <si>
    <t>op0=166,725(FY2026) peak=166,725(FY2026) peak_opm=0.3337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</si>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</sst>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2909</v>
      </c>
    </row>
    <row r="10" spans="2:5" ht="14" customHeight="1" x14ac:dyDescent="0.3">
      <c r="B10" s="4" t="s">
        <v>10</v>
      </c>
      <c r="C10" s="5">
        <f>IF(COUNT(C16:C17)=0,"N/A",ROUND(AVERAGE(C16:C17),0))</f>
        <v>2606</v>
      </c>
    </row>
    <row r="11" spans="2:5" ht="14" customHeight="1" x14ac:dyDescent="0.3">
      <c r="B11" s="4" t="s">
        <v>11</v>
      </c>
      <c r="C11" s="6" t="str">
        <f>IF(NOT(ISNUMBER(C12)),"N/A",IF(C12&gt;0.15,"BUY",IF(C12&gt;0.05,"HOLD","SELL")))</f>
        <v>SELL</v>
      </c>
    </row>
    <row r="12" spans="2:5" ht="14" customHeight="1" x14ac:dyDescent="0.3">
      <c r="B12" s="4" t="s">
        <v>12</v>
      </c>
      <c r="C12" s="7">
        <f>IF(ISNUMBER(C10),(C10-C9)/C9,"N/A")</f>
        <v>-0.10415950498453076</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2495</v>
      </c>
      <c r="D16" s="7">
        <f>IF(ISNUMBER(C16),(C16-C9)/C9,"N/A")</f>
        <v>-0.1423169474046064</v>
      </c>
    </row>
    <row r="17" spans="2:5" ht="13.5" customHeight="1" x14ac:dyDescent="0.25">
      <c r="B17" t="s">
        <v>18</v>
      </c>
      <c r="C17" s="11">
        <f>IF('DCF Model'!C62&lt;'DCF Model'!C16,"INVALID (EV &lt; net debt)",'DCF Model'!C64)</f>
        <v>2716</v>
      </c>
      <c r="D17" s="7">
        <f>IF(ISNUMBER(C17),(C17-C9)/C9,"N/A")</f>
        <v>-6.6345823306978344E-2</v>
      </c>
    </row>
    <row r="18" spans="2:5" ht="13.5" customHeight="1" x14ac:dyDescent="0.25">
      <c r="B18" t="s">
        <v>19</v>
      </c>
      <c r="C18" s="11">
        <f>'Comps Analysis'!C27</f>
        <v>2387</v>
      </c>
      <c r="D18" s="7">
        <f>IF(ISNUMBER(C18),(C18-C9)/C9,"N/A")</f>
        <v>-0.17944310759711241</v>
      </c>
    </row>
    <row r="19" spans="2:5" ht="13.5" customHeight="1" x14ac:dyDescent="0.25">
      <c r="B19" t="s">
        <v>20</v>
      </c>
      <c r="C19" s="11">
        <f>'Comps Analysis'!C28</f>
        <v>4524</v>
      </c>
      <c r="D19" s="7">
        <f>IF(ISNUMBER(C19),(C19-C9)/C9,"N/A")</f>
        <v>0.55517359917497422</v>
      </c>
    </row>
    <row r="20" spans="2:5" ht="14" customHeight="1" x14ac:dyDescent="0.3">
      <c r="B20" s="46" t="s">
        <v>21</v>
      </c>
      <c r="C20" s="45"/>
      <c r="D20" s="45"/>
      <c r="E20" s="45"/>
    </row>
    <row r="21" spans="2:5" ht="14" customHeight="1" x14ac:dyDescent="0.3">
      <c r="B21" s="4" t="s">
        <v>22</v>
      </c>
      <c r="C21" s="6" t="str">
        <f>IF(COUNT(C16:C17)=0,"N/A",MIN(C16:C17)&amp;" - "&amp;MAX(C16:C17))</f>
        <v>2495 - 2716</v>
      </c>
    </row>
    <row r="23" spans="2:5" ht="14" customHeight="1" x14ac:dyDescent="0.3">
      <c r="B23" s="8" t="s">
        <v>23</v>
      </c>
      <c r="C23" s="9"/>
      <c r="D23" s="9"/>
    </row>
    <row r="24" spans="2:5" x14ac:dyDescent="0.2">
      <c r="B24" t="str">
        <f>"Shionogi earns an operating margin above thirty percent from a royalty-rich portfolio and the Cefiderocol and Xocova franchises; the shares trade at "&amp;TEXT('Comps Analysis'!L5,"0.0""x""")&amp;" earnings and "&amp;TEXT('Comps Analysis'!M5,"0.00""x""")&amp;" book."</f>
        <v>Shionogi earns an operating margin above thirty percent from a royalty-rich portfolio and the Cefiderocol and Xocova franchises; the shares trade at 12.1x earnings and 1.47x book.</v>
      </c>
    </row>
    <row r="25" spans="2:5" x14ac:dyDescent="0.2">
      <c r="B25" t="str">
        <f>"The balance sheet is net cash even after a large debt raise in the latest year, so the "&amp;TEXT('DCF Model'!C26,"0.00%")&amp;" discount rate is the cost of equity with no leverage benefit assumed."</f>
        <v>The balance sheet is net cash even after a large debt raise in the latest year, so the 7.87% discount rate is the cost of equity with no leverage benefit assumed.</v>
      </c>
    </row>
    <row r="26" spans="2:5" x14ac:dyDescent="0.2">
      <c r="B26" t="str">
        <f>"At "&amp;TEXT(C9,"#,##0")&amp;" the market capitalises the latest-year margin dip; a base case that returns to the four-year median margin supports "&amp;TEXT(C10,"#,##0")&amp;", or "&amp;TEXT(C12,"+0.0%;-0.0%")&amp;" from here."</f>
        <v>At 2,909 the market capitalises the latest-year margin dip; a base case that returns to the four-year median margin supports 2,606, or -10.4% from here.</v>
      </c>
    </row>
    <row r="28" spans="2:5" ht="14" customHeight="1" x14ac:dyDescent="0.3">
      <c r="B28" s="8" t="s">
        <v>24</v>
      </c>
      <c r="C28" s="9"/>
      <c r="D28" s="9"/>
    </row>
    <row r="29" spans="2:5" x14ac:dyDescent="0.2">
      <c r="B29" t="str">
        <f>"Royalty income is concentrated and finite, and the "&amp;TEXT('Comps Analysis'!L5,"0.0""x""")&amp;" the market pays at "&amp;TEXT(C9,"#,##0")&amp;" rests on an earnings base that includes payments the company does not control."</f>
        <v>Royalty income is concentrated and finite, and the 12.1x the market pays at 2,909 rests on an earnings base that includes payments the company does not control.</v>
      </c>
    </row>
    <row r="30" spans="2:5" x14ac:dyDescent="0.2">
      <c r="B30" t="str">
        <f>"The company raised interest-bearing debt roughly thirty-fold in the latest year while holding the cash; the net-cash treatment behind "&amp;TEXT('DCF Model'!C26,"0.00%")&amp;" understates the gross leverage now on the balance sheet."</f>
        <v>The company raised interest-bearing debt roughly thirty-fold in the latest year while holding the cash; the net-cash treatment behind 7.87% understates the gross leverage now on the balance sheet.</v>
      </c>
    </row>
    <row r="31" spans="2:5" x14ac:dyDescent="0.2">
      <c r="B31" t="str">
        <f>"Inventory days sit far above the medical-device and food peers used elsewhere in this batch, so a demand miss ties up working capital before it shows in the "&amp;TEXT(C10,"#,##0")&amp;" margin path."</f>
        <v>Inventory days sit far above the medical-device and food peers used elsewhere in this batch, so a demand miss ties up working capital before it shows in the 2,606 margin path.</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25</v>
      </c>
    </row>
    <row r="4" spans="2:6" ht="14" customHeight="1" x14ac:dyDescent="0.3">
      <c r="C4" s="10" t="s">
        <v>26</v>
      </c>
      <c r="D4" s="10" t="s">
        <v>27</v>
      </c>
      <c r="E4" s="10" t="s">
        <v>28</v>
      </c>
      <c r="F4" s="10" t="s">
        <v>29</v>
      </c>
    </row>
    <row r="5" spans="2:6" ht="14" customHeight="1" x14ac:dyDescent="0.3">
      <c r="B5" s="3" t="s">
        <v>30</v>
      </c>
    </row>
    <row r="6" spans="2:6" ht="14" customHeight="1" x14ac:dyDescent="0.3">
      <c r="B6" s="4" t="s">
        <v>31</v>
      </c>
      <c r="C6" s="5">
        <v>426684</v>
      </c>
      <c r="D6" s="5">
        <v>435081</v>
      </c>
      <c r="E6" s="5">
        <v>438268</v>
      </c>
      <c r="F6" s="5">
        <v>499677</v>
      </c>
    </row>
    <row r="7" spans="2:6" ht="14" customHeight="1" x14ac:dyDescent="0.3">
      <c r="B7" s="4" t="s">
        <v>32</v>
      </c>
      <c r="C7" s="5">
        <v>62246</v>
      </c>
      <c r="D7" s="5">
        <v>57602</v>
      </c>
      <c r="E7" s="5">
        <v>63826</v>
      </c>
      <c r="F7" s="5">
        <v>82450</v>
      </c>
    </row>
    <row r="8" spans="2:6" ht="14" customHeight="1" x14ac:dyDescent="0.3">
      <c r="B8" s="4" t="s">
        <v>33</v>
      </c>
      <c r="C8" s="5">
        <f>C6-C7</f>
        <v>364438</v>
      </c>
      <c r="D8" s="5">
        <f>D6-D7</f>
        <v>377479</v>
      </c>
      <c r="E8" s="5">
        <f>E6-E7</f>
        <v>374442</v>
      </c>
      <c r="F8" s="5">
        <f>F6-F7</f>
        <v>417227</v>
      </c>
    </row>
    <row r="9" spans="2:6" ht="13.5" customHeight="1" x14ac:dyDescent="0.25">
      <c r="B9" t="s">
        <v>34</v>
      </c>
      <c r="C9" s="7">
        <f>C8/C6</f>
        <v>0.85411686400239994</v>
      </c>
      <c r="D9" s="7">
        <f>D8/D6</f>
        <v>0.86760626182251122</v>
      </c>
      <c r="E9" s="7">
        <f>E8/E6</f>
        <v>0.8543676471930417</v>
      </c>
      <c r="F9" s="7">
        <f>F8/F6</f>
        <v>0.83499340574010816</v>
      </c>
    </row>
    <row r="10" spans="2:6" ht="14" customHeight="1" x14ac:dyDescent="0.3">
      <c r="B10" s="4" t="s">
        <v>35</v>
      </c>
      <c r="C10" s="5">
        <v>215434</v>
      </c>
      <c r="D10" s="5">
        <v>224167</v>
      </c>
      <c r="E10" s="5">
        <v>217838</v>
      </c>
      <c r="F10" s="5">
        <v>250502</v>
      </c>
    </row>
    <row r="11" spans="2:6" ht="14" customHeight="1" x14ac:dyDescent="0.3">
      <c r="B11" s="4" t="s">
        <v>36</v>
      </c>
      <c r="C11" s="5">
        <v>149004</v>
      </c>
      <c r="D11" s="5">
        <v>153312</v>
      </c>
      <c r="E11" s="5">
        <v>156604</v>
      </c>
      <c r="F11" s="5">
        <v>166725</v>
      </c>
    </row>
    <row r="12" spans="2:6" ht="14" customHeight="1" x14ac:dyDescent="0.3">
      <c r="B12" s="4" t="s">
        <v>37</v>
      </c>
      <c r="C12" s="5">
        <v>184965</v>
      </c>
      <c r="D12" s="5">
        <v>162030</v>
      </c>
      <c r="E12" s="5">
        <v>170435</v>
      </c>
      <c r="F12" s="5">
        <v>205159</v>
      </c>
    </row>
    <row r="13" spans="2:6" ht="13.5" customHeight="1" x14ac:dyDescent="0.25">
      <c r="B13" t="s">
        <v>38</v>
      </c>
      <c r="C13" s="7">
        <f>C11/C6</f>
        <v>0.34921393818376129</v>
      </c>
      <c r="D13" s="7">
        <f>D11/D6</f>
        <v>0.35237576451281488</v>
      </c>
      <c r="E13" s="7">
        <f>E11/E6</f>
        <v>0.35732474193872243</v>
      </c>
      <c r="F13" s="7">
        <f>F11/F6</f>
        <v>0.3336655479439718</v>
      </c>
    </row>
    <row r="14" spans="2:6" ht="13.5" customHeight="1" x14ac:dyDescent="0.25">
      <c r="B14" t="s">
        <v>39</v>
      </c>
      <c r="C14" s="7">
        <f>C12/C6</f>
        <v>0.43349410805186039</v>
      </c>
      <c r="D14" s="7">
        <f>D12/D6</f>
        <v>0.37241341267488121</v>
      </c>
      <c r="E14" s="7">
        <f>E12/E6</f>
        <v>0.38888305785501109</v>
      </c>
      <c r="F14" s="7">
        <f>F12/F6</f>
        <v>0.41058323677095404</v>
      </c>
    </row>
    <row r="15" spans="2:6" ht="13.5" customHeight="1" x14ac:dyDescent="0.25">
      <c r="B15" t="s">
        <v>40</v>
      </c>
      <c r="C15" t="s">
        <v>41</v>
      </c>
      <c r="D15" s="7">
        <f>(D6-C6)/C6</f>
        <v>1.9679669263436173E-2</v>
      </c>
      <c r="E15" s="7">
        <f>(E6-D6)/D6</f>
        <v>7.3250728025356197E-3</v>
      </c>
      <c r="F15" s="7">
        <f>(F6-E6)/E6</f>
        <v>0.14011746237462008</v>
      </c>
    </row>
    <row r="16" spans="2:6" ht="13.5" customHeight="1" x14ac:dyDescent="0.25">
      <c r="B16" t="s">
        <v>42</v>
      </c>
      <c r="C16" t="s">
        <v>41</v>
      </c>
      <c r="D16" s="7">
        <f>(D11-C11)/C11</f>
        <v>2.8911975517435774E-2</v>
      </c>
      <c r="E16" s="7">
        <f>(E11-D11)/D11</f>
        <v>2.1472552702984763E-2</v>
      </c>
      <c r="F16" s="7">
        <f>(F11-E11)/E11</f>
        <v>6.4627978851114917E-2</v>
      </c>
    </row>
    <row r="18" spans="2:6" ht="14" customHeight="1" x14ac:dyDescent="0.3">
      <c r="B18" s="3" t="s">
        <v>43</v>
      </c>
    </row>
    <row r="19" spans="2:6" ht="14" customHeight="1" x14ac:dyDescent="0.3">
      <c r="B19" s="4" t="s">
        <v>44</v>
      </c>
      <c r="C19" s="5">
        <v>177867</v>
      </c>
      <c r="D19" s="5">
        <v>154284</v>
      </c>
      <c r="E19" s="5">
        <v>195460</v>
      </c>
      <c r="F19" s="5">
        <v>213572</v>
      </c>
    </row>
    <row r="20" spans="2:6" ht="14" customHeight="1" x14ac:dyDescent="0.3">
      <c r="B20" s="4" t="s">
        <v>45</v>
      </c>
      <c r="C20" s="5"/>
      <c r="D20" s="5"/>
      <c r="E20" s="5"/>
      <c r="F20" s="5"/>
    </row>
    <row r="21" spans="2:6" ht="14" customHeight="1" x14ac:dyDescent="0.3">
      <c r="B21" s="4" t="s">
        <v>46</v>
      </c>
    </row>
    <row r="22" spans="2:6" x14ac:dyDescent="0.2">
      <c r="B22" t="s">
        <v>47</v>
      </c>
    </row>
    <row r="23" spans="2:6" x14ac:dyDescent="0.2">
      <c r="B23" t="s">
        <v>48</v>
      </c>
    </row>
    <row r="25" spans="2:6" ht="14" customHeight="1" x14ac:dyDescent="0.3">
      <c r="B25" s="3" t="s">
        <v>49</v>
      </c>
    </row>
    <row r="26" spans="2:6" ht="14" customHeight="1" x14ac:dyDescent="0.3">
      <c r="B26" s="4" t="s">
        <v>50</v>
      </c>
      <c r="C26" s="5">
        <v>309224</v>
      </c>
      <c r="D26" s="5">
        <v>358090</v>
      </c>
      <c r="E26" s="5">
        <v>374795</v>
      </c>
      <c r="F26" s="5">
        <v>711397</v>
      </c>
    </row>
    <row r="27" spans="2:6" ht="14" customHeight="1" x14ac:dyDescent="0.3">
      <c r="B27" s="4" t="s">
        <v>51</v>
      </c>
      <c r="C27" s="5"/>
      <c r="D27" s="5"/>
      <c r="E27" s="5"/>
      <c r="F27" s="5">
        <v>660000</v>
      </c>
    </row>
    <row r="28" spans="2:6" ht="14" customHeight="1" x14ac:dyDescent="0.3">
      <c r="B28" s="4" t="s">
        <v>52</v>
      </c>
      <c r="F28" s="5">
        <f>F27-F26</f>
        <v>-51397</v>
      </c>
    </row>
    <row r="30" spans="2:6" ht="14" customHeight="1" x14ac:dyDescent="0.3">
      <c r="B30" s="1" t="s">
        <v>53</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54</v>
      </c>
    </row>
    <row r="4" spans="2:7" ht="14" customHeight="1" x14ac:dyDescent="0.3">
      <c r="B4" s="8" t="s">
        <v>55</v>
      </c>
      <c r="C4" s="9"/>
      <c r="D4" s="9"/>
      <c r="E4" s="9"/>
      <c r="F4" s="9"/>
      <c r="G4" s="9"/>
    </row>
    <row r="5" spans="2:7" ht="14" customHeight="1" x14ac:dyDescent="0.3">
      <c r="B5" s="4" t="s">
        <v>56</v>
      </c>
      <c r="C5" s="7">
        <v>5.6599999999999998E-2</v>
      </c>
    </row>
    <row r="6" spans="2:7" ht="14" customHeight="1" x14ac:dyDescent="0.3">
      <c r="B6" s="4" t="s">
        <v>57</v>
      </c>
      <c r="C6" s="7">
        <v>0.25</v>
      </c>
    </row>
    <row r="7" spans="2:7" ht="14" customHeight="1" x14ac:dyDescent="0.3">
      <c r="B7" s="4" t="s">
        <v>58</v>
      </c>
      <c r="C7" s="7">
        <v>2.9700000000000001E-2</v>
      </c>
    </row>
    <row r="8" spans="2:7" ht="14" customHeight="1" x14ac:dyDescent="0.3">
      <c r="B8" s="4" t="s">
        <v>59</v>
      </c>
      <c r="C8" s="12">
        <v>0.6</v>
      </c>
    </row>
    <row r="9" spans="2:7" ht="14" customHeight="1" x14ac:dyDescent="0.3">
      <c r="B9" s="4" t="s">
        <v>60</v>
      </c>
      <c r="C9" s="7">
        <v>6.5000000000000002E-2</v>
      </c>
    </row>
    <row r="10" spans="2:7" ht="14" customHeight="1" x14ac:dyDescent="0.3">
      <c r="B10" s="4" t="s">
        <v>61</v>
      </c>
      <c r="C10" s="7">
        <v>0.01</v>
      </c>
    </row>
    <row r="11" spans="2:7" ht="14" customHeight="1" x14ac:dyDescent="0.3">
      <c r="B11" s="4" t="s">
        <v>62</v>
      </c>
      <c r="C11" s="7">
        <v>0.01</v>
      </c>
    </row>
    <row r="12" spans="2:7" ht="14" customHeight="1" x14ac:dyDescent="0.3">
      <c r="B12" s="4" t="s">
        <v>63</v>
      </c>
      <c r="C12" s="13">
        <v>0</v>
      </c>
    </row>
    <row r="13" spans="2:7" ht="14" customHeight="1" x14ac:dyDescent="0.3">
      <c r="B13" s="4" t="s">
        <v>64</v>
      </c>
      <c r="C13" s="7">
        <v>0.01</v>
      </c>
    </row>
    <row r="14" spans="2:7" ht="14" customHeight="1" x14ac:dyDescent="0.3">
      <c r="B14" s="4" t="s">
        <v>65</v>
      </c>
      <c r="C14" s="14">
        <v>10.199999999999999</v>
      </c>
    </row>
    <row r="15" spans="2:7" ht="14" customHeight="1" x14ac:dyDescent="0.3">
      <c r="B15" s="4" t="s">
        <v>66</v>
      </c>
      <c r="C15" s="15">
        <v>851176737</v>
      </c>
    </row>
    <row r="16" spans="2:7" ht="14" customHeight="1" x14ac:dyDescent="0.3">
      <c r="B16" s="4" t="s">
        <v>67</v>
      </c>
      <c r="C16" s="5">
        <v>-51397</v>
      </c>
    </row>
    <row r="17" spans="2:7" ht="14" customHeight="1" x14ac:dyDescent="0.3">
      <c r="B17" s="4" t="s">
        <v>68</v>
      </c>
      <c r="C17" s="5">
        <v>499677</v>
      </c>
    </row>
    <row r="18" spans="2:7" ht="14" customHeight="1" x14ac:dyDescent="0.3">
      <c r="B18" s="4" t="s">
        <v>69</v>
      </c>
      <c r="C18" s="7">
        <v>5.3999999999999999E-2</v>
      </c>
    </row>
    <row r="19" spans="2:7" ht="14" customHeight="1" x14ac:dyDescent="0.3">
      <c r="B19" s="4" t="s">
        <v>70</v>
      </c>
      <c r="C19" s="12">
        <v>1</v>
      </c>
    </row>
    <row r="20" spans="2:7" ht="14" customHeight="1" x14ac:dyDescent="0.3">
      <c r="B20" s="4" t="s">
        <v>71</v>
      </c>
      <c r="C20" s="5">
        <v>499677</v>
      </c>
    </row>
    <row r="22" spans="2:7" ht="14" customHeight="1" x14ac:dyDescent="0.3">
      <c r="B22" s="8" t="s">
        <v>72</v>
      </c>
      <c r="C22" s="9"/>
      <c r="D22" s="9"/>
      <c r="E22" s="9"/>
      <c r="F22" s="9"/>
      <c r="G22" s="9"/>
    </row>
    <row r="23" spans="2:7" ht="14" customHeight="1" x14ac:dyDescent="0.3">
      <c r="B23" s="4" t="s">
        <v>73</v>
      </c>
      <c r="C23" s="16">
        <f>C7+C8*C9+C10</f>
        <v>7.8699999999999992E-2</v>
      </c>
    </row>
    <row r="24" spans="2:7" ht="14" customHeight="1" x14ac:dyDescent="0.3">
      <c r="B24" s="4" t="s">
        <v>74</v>
      </c>
      <c r="C24" s="16">
        <f>1/(1+C12)</f>
        <v>1</v>
      </c>
    </row>
    <row r="25" spans="2:7" ht="14" customHeight="1" x14ac:dyDescent="0.3">
      <c r="B25" s="4" t="s">
        <v>75</v>
      </c>
      <c r="C25" s="16">
        <f>C12/(1+C12)</f>
        <v>0</v>
      </c>
    </row>
    <row r="26" spans="2:7" ht="14" customHeight="1" x14ac:dyDescent="0.3">
      <c r="B26" s="4" t="s">
        <v>76</v>
      </c>
      <c r="C26" s="16">
        <f>C23*C24+C11*C25</f>
        <v>7.8699999999999992E-2</v>
      </c>
    </row>
    <row r="27" spans="2:7" ht="14" customHeight="1" x14ac:dyDescent="0.3">
      <c r="B27" s="4" t="s">
        <v>77</v>
      </c>
      <c r="C27" s="17" t="s">
        <v>78</v>
      </c>
      <c r="D27" s="6">
        <f>MATCH(C27,B69:B73,0)</f>
        <v>1</v>
      </c>
    </row>
    <row r="28" spans="2:7" ht="14" customHeight="1" x14ac:dyDescent="0.3">
      <c r="B28" s="8" t="s">
        <v>79</v>
      </c>
      <c r="C28" s="9"/>
      <c r="D28" s="9"/>
      <c r="E28" s="9"/>
      <c r="F28" s="9"/>
      <c r="G28" s="9"/>
    </row>
    <row r="29" spans="2:7" ht="14" customHeight="1" x14ac:dyDescent="0.3">
      <c r="C29" s="10" t="s">
        <v>80</v>
      </c>
      <c r="D29" s="10" t="s">
        <v>81</v>
      </c>
      <c r="E29" s="10" t="s">
        <v>82</v>
      </c>
      <c r="F29" s="10" t="s">
        <v>83</v>
      </c>
      <c r="G29" s="10" t="s">
        <v>84</v>
      </c>
    </row>
    <row r="30" spans="2:7" ht="14" customHeight="1" x14ac:dyDescent="0.3">
      <c r="B30" s="4" t="s">
        <v>40</v>
      </c>
      <c r="C30" s="18">
        <f>CHOOSE($D$27,C69,C70,C71,C72,C73)</f>
        <v>0.06</v>
      </c>
      <c r="D30" s="18">
        <f>CHOOSE($D$27,D69,D70,D71,D72,D73)</f>
        <v>4.4999999999999998E-2</v>
      </c>
      <c r="E30" s="18">
        <f>CHOOSE($D$27,E69,E70,E71,E72,E73)</f>
        <v>3.5000000000000003E-2</v>
      </c>
      <c r="F30" s="18">
        <f>CHOOSE($D$27,F69,F70,F71,F72,F73)</f>
        <v>0.03</v>
      </c>
      <c r="G30" s="18">
        <f>CHOOSE($D$27,G69,G70,G71,G72,G73)</f>
        <v>2.5000000000000001E-2</v>
      </c>
    </row>
    <row r="31" spans="2:7" ht="14" customHeight="1" x14ac:dyDescent="0.3">
      <c r="B31" s="4" t="s">
        <v>85</v>
      </c>
      <c r="C31" s="18">
        <f>CHOOSE($D$27,C76,C77,C78,C79,C80)</f>
        <v>0.16500000000000001</v>
      </c>
      <c r="D31" s="18">
        <f>CHOOSE($D$27,D76,D77,D78,D79,D80)</f>
        <v>0.16500000000000001</v>
      </c>
      <c r="E31" s="18">
        <f>CHOOSE($D$27,E76,E77,E78,E79,E80)</f>
        <v>0.16500000000000001</v>
      </c>
      <c r="F31" s="18">
        <f>CHOOSE($D$27,F76,F77,F78,F79,F80)</f>
        <v>0.16500000000000001</v>
      </c>
      <c r="G31" s="18">
        <f>CHOOSE($D$27,G76,G77,G78,G79,G80)</f>
        <v>0.16500000000000001</v>
      </c>
    </row>
    <row r="32" spans="2:7" ht="14" customHeight="1" x14ac:dyDescent="0.3">
      <c r="B32" s="4" t="s">
        <v>86</v>
      </c>
      <c r="C32" s="18">
        <f>CHOOSE($D$27,C83,C84,C85,C86,C87)</f>
        <v>0.497</v>
      </c>
      <c r="D32" s="18">
        <f>CHOOSE($D$27,D83,D84,D85,D86,D87)</f>
        <v>0.49299999999999999</v>
      </c>
      <c r="E32" s="18">
        <f>CHOOSE($D$27,E83,E84,E85,E86,E87)</f>
        <v>0.48899999999999999</v>
      </c>
      <c r="F32" s="18">
        <f>CHOOSE($D$27,F83,F84,F85,F86,F87)</f>
        <v>0.48599999999999999</v>
      </c>
      <c r="G32" s="18">
        <f>CHOOSE($D$27,G83,G84,G85,G86,G87)</f>
        <v>0.48420000000000002</v>
      </c>
    </row>
    <row r="33" spans="2:7" ht="14" customHeight="1" x14ac:dyDescent="0.3">
      <c r="B33" s="4" t="s">
        <v>31</v>
      </c>
      <c r="C33" s="5">
        <f>C17*(1+C30)</f>
        <v>529657.62</v>
      </c>
      <c r="D33" s="5">
        <f>C33*(1+D30)</f>
        <v>553492.21289999993</v>
      </c>
      <c r="E33" s="5">
        <f>D33*(1+E30)</f>
        <v>572864.44035149983</v>
      </c>
      <c r="F33" s="5">
        <f>E33*(1+F30)</f>
        <v>590050.37356204481</v>
      </c>
      <c r="G33" s="5">
        <f>F33*(1+G30)</f>
        <v>604801.6329010959</v>
      </c>
    </row>
    <row r="34" spans="2:7" ht="14" customHeight="1" x14ac:dyDescent="0.3">
      <c r="B34" s="4" t="s">
        <v>32</v>
      </c>
      <c r="C34" s="5">
        <f>C33*C31</f>
        <v>87393.507299999997</v>
      </c>
      <c r="D34" s="5">
        <f>D33*D31</f>
        <v>91326.215128499985</v>
      </c>
      <c r="E34" s="5">
        <f>E33*E31</f>
        <v>94522.63265799747</v>
      </c>
      <c r="F34" s="5">
        <f>F33*F31</f>
        <v>97358.311637737395</v>
      </c>
      <c r="G34" s="5">
        <f>G33*G31</f>
        <v>99792.269428680826</v>
      </c>
    </row>
    <row r="35" spans="2:7" ht="14" customHeight="1" x14ac:dyDescent="0.3">
      <c r="B35" s="4" t="s">
        <v>33</v>
      </c>
      <c r="C35" s="19">
        <f>C33-C34</f>
        <v>442264.1127</v>
      </c>
      <c r="D35" s="19">
        <f>D33-D34</f>
        <v>462165.99777149991</v>
      </c>
      <c r="E35" s="19">
        <f>E33-E34</f>
        <v>478341.80769350234</v>
      </c>
      <c r="F35" s="19">
        <f>F33-F34</f>
        <v>492692.06192430743</v>
      </c>
      <c r="G35" s="19">
        <f>G33-G34</f>
        <v>505009.36347241508</v>
      </c>
    </row>
    <row r="36" spans="2:7" ht="14" customHeight="1" x14ac:dyDescent="0.3">
      <c r="B36" s="4" t="s">
        <v>34</v>
      </c>
      <c r="C36" s="7">
        <f>C35/C33</f>
        <v>0.83499999999999996</v>
      </c>
      <c r="D36" s="7">
        <f>D35/D33</f>
        <v>0.83499999999999996</v>
      </c>
      <c r="E36" s="7">
        <f>E35/E33</f>
        <v>0.83499999999999996</v>
      </c>
      <c r="F36" s="7">
        <f>F35/F33</f>
        <v>0.83500000000000008</v>
      </c>
      <c r="G36" s="7">
        <f>G35/G33</f>
        <v>0.83499999999999996</v>
      </c>
    </row>
    <row r="37" spans="2:7" ht="14" customHeight="1" x14ac:dyDescent="0.3">
      <c r="B37" s="4" t="s">
        <v>87</v>
      </c>
      <c r="C37" s="5">
        <f>C33*C32</f>
        <v>263239.83714000002</v>
      </c>
      <c r="D37" s="5">
        <f>D33*D32</f>
        <v>272871.66095969995</v>
      </c>
      <c r="E37" s="5">
        <f>E33*E32</f>
        <v>280130.71133188339</v>
      </c>
      <c r="F37" s="5">
        <f>F33*F32</f>
        <v>286764.48155115376</v>
      </c>
      <c r="G37" s="5">
        <f>G33*G32</f>
        <v>292844.95065071067</v>
      </c>
    </row>
    <row r="38" spans="2:7" ht="14" customHeight="1" x14ac:dyDescent="0.3">
      <c r="B38" s="4" t="s">
        <v>88</v>
      </c>
      <c r="C38" s="7">
        <f>(C35-C37)/C33</f>
        <v>0.33799999999999997</v>
      </c>
      <c r="D38" s="7">
        <f>(D35-D37)/D33</f>
        <v>0.34199999999999997</v>
      </c>
      <c r="E38" s="7">
        <f>(E35-E37)/E33</f>
        <v>0.34600000000000003</v>
      </c>
      <c r="F38" s="7">
        <f>(F35-F37)/F33</f>
        <v>0.34900000000000003</v>
      </c>
      <c r="G38" s="7">
        <f>(G35-G37)/G33</f>
        <v>0.35079999999999995</v>
      </c>
    </row>
    <row r="39" spans="2:7" ht="14" customHeight="1" x14ac:dyDescent="0.3">
      <c r="B39" s="4" t="s">
        <v>89</v>
      </c>
      <c r="C39" s="19">
        <f>C35-C37</f>
        <v>179024.27555999998</v>
      </c>
      <c r="D39" s="19">
        <f>D35-D37</f>
        <v>189294.33681179996</v>
      </c>
      <c r="E39" s="19">
        <f>E35-E37</f>
        <v>198211.09636161895</v>
      </c>
      <c r="F39" s="19">
        <f>F35-F37</f>
        <v>205927.58037315367</v>
      </c>
      <c r="G39" s="19">
        <f>G35-G37</f>
        <v>212164.41282170441</v>
      </c>
    </row>
    <row r="40" spans="2:7" ht="14" customHeight="1" x14ac:dyDescent="0.3">
      <c r="B40" s="4" t="s">
        <v>90</v>
      </c>
      <c r="C40" s="5">
        <f>MAX(0,C39*C6)</f>
        <v>44756.068889999995</v>
      </c>
      <c r="D40" s="5">
        <f>MAX(0,D39*C6)</f>
        <v>47323.584202949991</v>
      </c>
      <c r="E40" s="5">
        <f>MAX(0,E39*C6)</f>
        <v>49552.774090404739</v>
      </c>
      <c r="F40" s="5">
        <f>MAX(0,F39*C6)</f>
        <v>51481.895093288418</v>
      </c>
      <c r="G40" s="5">
        <f>MAX(0,G39*C6)</f>
        <v>53041.103205426101</v>
      </c>
    </row>
    <row r="41" spans="2:7" ht="14" customHeight="1" x14ac:dyDescent="0.3">
      <c r="B41" s="4" t="s">
        <v>91</v>
      </c>
      <c r="C41" s="19">
        <f>C39-C40</f>
        <v>134268.20666999999</v>
      </c>
      <c r="D41" s="19">
        <f>D39-D40</f>
        <v>141970.75260884996</v>
      </c>
      <c r="E41" s="19">
        <f>E39-E40</f>
        <v>148658.32227121422</v>
      </c>
      <c r="F41" s="19">
        <f>F39-F40</f>
        <v>154445.68527986525</v>
      </c>
      <c r="G41" s="19">
        <f>G39-G40</f>
        <v>159123.3096162783</v>
      </c>
    </row>
    <row r="42" spans="2:7" ht="14" customHeight="1" x14ac:dyDescent="0.3">
      <c r="B42" s="4" t="s">
        <v>92</v>
      </c>
      <c r="C42" s="5">
        <f>C33*C18</f>
        <v>28601.511480000001</v>
      </c>
      <c r="D42" s="5">
        <f>D33*C18</f>
        <v>29888.579496599996</v>
      </c>
      <c r="E42" s="5">
        <f>E33*C18</f>
        <v>30934.67977898099</v>
      </c>
      <c r="F42" s="5">
        <f>F33*C18</f>
        <v>31862.720172350419</v>
      </c>
      <c r="G42" s="5">
        <f>G33*C18</f>
        <v>32659.288176659178</v>
      </c>
    </row>
    <row r="43" spans="2:7" ht="14" customHeight="1" x14ac:dyDescent="0.3">
      <c r="B43" s="4" t="s">
        <v>93</v>
      </c>
      <c r="C43" s="5">
        <v>40000</v>
      </c>
      <c r="D43" s="5">
        <v>38000</v>
      </c>
      <c r="E43" s="5">
        <v>36000</v>
      </c>
      <c r="F43" s="5">
        <v>35000</v>
      </c>
      <c r="G43" s="5">
        <v>34400</v>
      </c>
    </row>
    <row r="44" spans="2:7" ht="14" customHeight="1" x14ac:dyDescent="0.3">
      <c r="B44" s="4" t="s">
        <v>94</v>
      </c>
      <c r="C44" s="5">
        <f>'NWC Schedule'!D19</f>
        <v>-13555.273446849344</v>
      </c>
      <c r="D44" s="5">
        <f>'NWC Schedule'!E19</f>
        <v>10055.912694891798</v>
      </c>
      <c r="E44" s="5">
        <f>'NWC Schedule'!F19</f>
        <v>8173.222373681434</v>
      </c>
      <c r="F44" s="5">
        <f>'NWC Schedule'!G19</f>
        <v>7250.8158486516913</v>
      </c>
      <c r="G44" s="5">
        <f>'NWC Schedule'!H19</f>
        <v>6223.6169367593538</v>
      </c>
    </row>
    <row r="45" spans="2:7" ht="14" customHeight="1" x14ac:dyDescent="0.3">
      <c r="B45" s="4" t="s">
        <v>95</v>
      </c>
      <c r="C45" s="20">
        <f>C41+C42-C43-C44</f>
        <v>136424.99159684932</v>
      </c>
      <c r="D45" s="20">
        <f>D41+D42-D43-D44</f>
        <v>123803.41941055816</v>
      </c>
      <c r="E45" s="20">
        <f>E41+E42-E43-E44</f>
        <v>135419.77967651378</v>
      </c>
      <c r="F45" s="20">
        <f>F41+F42-F43-F44</f>
        <v>144057.58960356397</v>
      </c>
      <c r="G45" s="20">
        <f>G41+G42-G43-G44</f>
        <v>151158.98085617812</v>
      </c>
    </row>
    <row r="46" spans="2:7" ht="14" customHeight="1" x14ac:dyDescent="0.3">
      <c r="B46" s="4" t="s">
        <v>96</v>
      </c>
      <c r="C46" s="21">
        <f>1/(1+C26)^(C19+0)</f>
        <v>0.92704180958561233</v>
      </c>
      <c r="D46" s="21">
        <f>1/(1+C26)^(C19+1)</f>
        <v>0.85940651671976676</v>
      </c>
      <c r="E46" s="21">
        <f>1/(1+C26)^(C19+2)</f>
        <v>0.79670577242956031</v>
      </c>
      <c r="F46" s="21">
        <f>1/(1+C26)^(C19+3)</f>
        <v>0.73857956098040267</v>
      </c>
      <c r="G46" s="21">
        <f>1/(1+C26)^(C19+4)</f>
        <v>0.68469413273421964</v>
      </c>
    </row>
    <row r="47" spans="2:7" ht="14" customHeight="1" x14ac:dyDescent="0.3">
      <c r="B47" s="4" t="s">
        <v>97</v>
      </c>
      <c r="C47" s="19">
        <f>C45*C46</f>
        <v>126471.67108264515</v>
      </c>
      <c r="D47" s="19">
        <f>D45*D46</f>
        <v>106397.46543362414</v>
      </c>
      <c r="E47" s="19">
        <f>E45*E46</f>
        <v>107889.72016941778</v>
      </c>
      <c r="F47" s="19">
        <f>F45*F46</f>
        <v>106397.9912852953</v>
      </c>
      <c r="G47" s="19">
        <f>G45*G46</f>
        <v>103497.66730230939</v>
      </c>
    </row>
    <row r="49" spans="2:7" ht="14" customHeight="1" x14ac:dyDescent="0.3">
      <c r="B49" s="22" t="s">
        <v>98</v>
      </c>
      <c r="C49" s="23"/>
      <c r="D49" s="23"/>
      <c r="E49" s="23"/>
      <c r="F49" s="23"/>
      <c r="G49" s="23"/>
    </row>
    <row r="50" spans="2:7" ht="14" customHeight="1" x14ac:dyDescent="0.3">
      <c r="B50" s="4" t="s">
        <v>99</v>
      </c>
      <c r="C50" s="5">
        <f>SUM(C47:G47)</f>
        <v>550654.51527329173</v>
      </c>
    </row>
    <row r="51" spans="2:7" ht="14" customHeight="1" x14ac:dyDescent="0.3">
      <c r="B51" s="4" t="s">
        <v>100</v>
      </c>
      <c r="C51" s="5">
        <f>G45*(1+C13)/(C26-C13)</f>
        <v>2222279.0489772912</v>
      </c>
    </row>
    <row r="52" spans="2:7" ht="14" customHeight="1" x14ac:dyDescent="0.3">
      <c r="B52" s="4" t="s">
        <v>101</v>
      </c>
      <c r="C52" s="5">
        <f>C51*G46</f>
        <v>1521581.4261329328</v>
      </c>
    </row>
    <row r="53" spans="2:7" ht="14" customHeight="1" x14ac:dyDescent="0.3">
      <c r="B53" s="4" t="s">
        <v>102</v>
      </c>
      <c r="C53" s="5">
        <f>C50+C52</f>
        <v>2072235.9414062244</v>
      </c>
    </row>
    <row r="54" spans="2:7" ht="14" customHeight="1" x14ac:dyDescent="0.3">
      <c r="B54" s="4" t="s">
        <v>103</v>
      </c>
      <c r="C54" s="5">
        <f>C53-C16</f>
        <v>2123632.9414062244</v>
      </c>
    </row>
    <row r="55" spans="2:7" ht="14" customHeight="1" x14ac:dyDescent="0.3">
      <c r="B55" s="4" t="s">
        <v>104</v>
      </c>
      <c r="C55" s="24">
        <f>ROUND(C54*1000000/C15,0)</f>
        <v>2495</v>
      </c>
    </row>
    <row r="57" spans="2:7" ht="14" customHeight="1" x14ac:dyDescent="0.3">
      <c r="B57" s="22" t="s">
        <v>105</v>
      </c>
      <c r="C57" s="23"/>
      <c r="D57" s="23"/>
      <c r="E57" s="23"/>
      <c r="F57" s="23"/>
      <c r="G57" s="23"/>
    </row>
    <row r="58" spans="2:7" ht="14" customHeight="1" x14ac:dyDescent="0.3">
      <c r="B58" s="4" t="s">
        <v>99</v>
      </c>
      <c r="C58" s="5">
        <f>C50</f>
        <v>550654.51527329173</v>
      </c>
    </row>
    <row r="59" spans="2:7" ht="14" customHeight="1" x14ac:dyDescent="0.3">
      <c r="B59" s="4" t="s">
        <v>106</v>
      </c>
      <c r="C59" s="5">
        <f>G39+G42</f>
        <v>244823.70099836358</v>
      </c>
    </row>
    <row r="60" spans="2:7" ht="14" customHeight="1" x14ac:dyDescent="0.3">
      <c r="B60" s="4" t="s">
        <v>107</v>
      </c>
      <c r="C60" s="5">
        <f>C59*C14</f>
        <v>2497201.7501833085</v>
      </c>
    </row>
    <row r="61" spans="2:7" ht="14" customHeight="1" x14ac:dyDescent="0.3">
      <c r="B61" s="4" t="s">
        <v>101</v>
      </c>
      <c r="C61" s="5">
        <f>C60*G46</f>
        <v>1709819.3866041359</v>
      </c>
    </row>
    <row r="62" spans="2:7" ht="14" customHeight="1" x14ac:dyDescent="0.3">
      <c r="B62" s="4" t="s">
        <v>102</v>
      </c>
      <c r="C62" s="5">
        <f>C58+C61</f>
        <v>2260473.9018774275</v>
      </c>
    </row>
    <row r="63" spans="2:7" ht="14" customHeight="1" x14ac:dyDescent="0.3">
      <c r="B63" s="4" t="s">
        <v>103</v>
      </c>
      <c r="C63" s="5">
        <f>C62-C16</f>
        <v>2311870.9018774275</v>
      </c>
    </row>
    <row r="64" spans="2:7" ht="14" customHeight="1" x14ac:dyDescent="0.3">
      <c r="B64" s="4" t="s">
        <v>108</v>
      </c>
      <c r="C64" s="24">
        <f>ROUND(C63*1000000/C15,0)</f>
        <v>2716</v>
      </c>
    </row>
    <row r="66" spans="2:7" ht="14" customHeight="1" x14ac:dyDescent="0.3">
      <c r="B66" s="22" t="s">
        <v>109</v>
      </c>
      <c r="C66" s="23"/>
      <c r="D66" s="23"/>
      <c r="E66" s="23"/>
      <c r="F66" s="23"/>
      <c r="G66" s="23"/>
    </row>
    <row r="67" spans="2:7" ht="14" customHeight="1" x14ac:dyDescent="0.3">
      <c r="C67" s="25" t="s">
        <v>110</v>
      </c>
      <c r="D67" s="25" t="s">
        <v>111</v>
      </c>
      <c r="E67" s="25" t="s">
        <v>112</v>
      </c>
      <c r="F67" s="25" t="s">
        <v>113</v>
      </c>
      <c r="G67" s="25" t="s">
        <v>114</v>
      </c>
    </row>
    <row r="68" spans="2:7" ht="14" customHeight="1" x14ac:dyDescent="0.3">
      <c r="B68" s="3" t="s">
        <v>40</v>
      </c>
    </row>
    <row r="69" spans="2:7" ht="14" customHeight="1" x14ac:dyDescent="0.3">
      <c r="B69" s="4" t="s">
        <v>78</v>
      </c>
      <c r="C69" s="26">
        <v>0.06</v>
      </c>
      <c r="D69" s="26">
        <v>4.4999999999999998E-2</v>
      </c>
      <c r="E69" s="26">
        <v>3.5000000000000003E-2</v>
      </c>
      <c r="F69" s="26">
        <v>0.03</v>
      </c>
      <c r="G69" s="26">
        <v>2.5000000000000001E-2</v>
      </c>
    </row>
    <row r="70" spans="2:7" ht="14" customHeight="1" x14ac:dyDescent="0.3">
      <c r="B70" s="4" t="s">
        <v>115</v>
      </c>
      <c r="C70" s="26">
        <v>7.4999999999999997E-2</v>
      </c>
      <c r="D70" s="26">
        <v>0.06</v>
      </c>
      <c r="E70" s="26">
        <v>0.05</v>
      </c>
      <c r="F70" s="26">
        <v>4.4999999999999998E-2</v>
      </c>
      <c r="G70" s="26">
        <v>0.04</v>
      </c>
    </row>
    <row r="71" spans="2:7" ht="14" customHeight="1" x14ac:dyDescent="0.3">
      <c r="B71" s="4" t="s">
        <v>116</v>
      </c>
      <c r="C71" s="26">
        <v>0.06</v>
      </c>
      <c r="D71" s="26">
        <v>4.4999999999999998E-2</v>
      </c>
      <c r="E71" s="26">
        <v>3.5000000000000003E-2</v>
      </c>
      <c r="F71" s="26">
        <v>0.03</v>
      </c>
      <c r="G71" s="26">
        <v>2.5000000000000001E-2</v>
      </c>
    </row>
    <row r="72" spans="2:7" ht="14" customHeight="1" x14ac:dyDescent="0.3">
      <c r="B72" s="4" t="s">
        <v>117</v>
      </c>
      <c r="C72" s="26">
        <v>5.0000000000000001E-3</v>
      </c>
      <c r="D72" s="26">
        <v>5.0000000000000001E-3</v>
      </c>
      <c r="E72" s="26">
        <v>5.0000000000000001E-3</v>
      </c>
      <c r="F72" s="26">
        <v>5.0000000000000001E-3</v>
      </c>
      <c r="G72" s="26">
        <v>5.0000000000000001E-3</v>
      </c>
    </row>
    <row r="73" spans="2:7" ht="14" customHeight="1" x14ac:dyDescent="0.3">
      <c r="B73" s="4" t="s">
        <v>118</v>
      </c>
      <c r="C73" s="26">
        <v>-0.08</v>
      </c>
      <c r="D73" s="26">
        <v>-0.01</v>
      </c>
      <c r="E73" s="26">
        <v>5.0000000000000001E-3</v>
      </c>
      <c r="F73" s="26">
        <v>0.01</v>
      </c>
      <c r="G73" s="26">
        <v>1.4999999999999999E-2</v>
      </c>
    </row>
    <row r="75" spans="2:7" ht="14" customHeight="1" x14ac:dyDescent="0.3">
      <c r="B75" s="3" t="s">
        <v>85</v>
      </c>
    </row>
    <row r="76" spans="2:7" ht="14" customHeight="1" x14ac:dyDescent="0.3">
      <c r="B76" s="4" t="s">
        <v>78</v>
      </c>
      <c r="C76" s="26">
        <v>0.16500000000000001</v>
      </c>
      <c r="D76" s="26">
        <v>0.16500000000000001</v>
      </c>
      <c r="E76" s="26">
        <v>0.16500000000000001</v>
      </c>
      <c r="F76" s="26">
        <v>0.16500000000000001</v>
      </c>
      <c r="G76" s="26">
        <v>0.16500000000000001</v>
      </c>
    </row>
    <row r="77" spans="2:7" ht="14" customHeight="1" x14ac:dyDescent="0.3">
      <c r="B77" s="4" t="s">
        <v>115</v>
      </c>
      <c r="C77" s="26">
        <v>0.16200000000000001</v>
      </c>
      <c r="D77" s="26">
        <v>0.16200000000000001</v>
      </c>
      <c r="E77" s="26">
        <v>0.16200000000000001</v>
      </c>
      <c r="F77" s="26">
        <v>0.16200000000000001</v>
      </c>
      <c r="G77" s="26">
        <v>0.16200000000000001</v>
      </c>
    </row>
    <row r="78" spans="2:7" ht="14" customHeight="1" x14ac:dyDescent="0.3">
      <c r="B78" s="4" t="s">
        <v>116</v>
      </c>
      <c r="C78" s="26">
        <v>0.16500000000000001</v>
      </c>
      <c r="D78" s="26">
        <v>0.16500000000000001</v>
      </c>
      <c r="E78" s="26">
        <v>0.16500000000000001</v>
      </c>
      <c r="F78" s="26">
        <v>0.16500000000000001</v>
      </c>
      <c r="G78" s="26">
        <v>0.16500000000000001</v>
      </c>
    </row>
    <row r="79" spans="2:7" ht="14" customHeight="1" x14ac:dyDescent="0.3">
      <c r="B79" s="4" t="s">
        <v>117</v>
      </c>
      <c r="C79" s="26">
        <v>0.17</v>
      </c>
      <c r="D79" s="26">
        <v>0.17</v>
      </c>
      <c r="E79" s="26">
        <v>0.17</v>
      </c>
      <c r="F79" s="26">
        <v>0.17</v>
      </c>
      <c r="G79" s="26">
        <v>0.17</v>
      </c>
    </row>
    <row r="80" spans="2:7" ht="14" customHeight="1" x14ac:dyDescent="0.3">
      <c r="B80" s="4" t="s">
        <v>118</v>
      </c>
      <c r="C80" s="26">
        <v>0.18</v>
      </c>
      <c r="D80" s="26">
        <v>0.18</v>
      </c>
      <c r="E80" s="26">
        <v>0.18</v>
      </c>
      <c r="F80" s="26">
        <v>0.18</v>
      </c>
      <c r="G80" s="26">
        <v>0.18</v>
      </c>
    </row>
    <row r="82" spans="2:7" ht="14" customHeight="1" x14ac:dyDescent="0.3">
      <c r="B82" s="3" t="s">
        <v>86</v>
      </c>
    </row>
    <row r="83" spans="2:7" ht="14" customHeight="1" x14ac:dyDescent="0.3">
      <c r="B83" s="4" t="s">
        <v>78</v>
      </c>
      <c r="C83" s="26">
        <v>0.497</v>
      </c>
      <c r="D83" s="26">
        <v>0.49299999999999999</v>
      </c>
      <c r="E83" s="26">
        <v>0.48899999999999999</v>
      </c>
      <c r="F83" s="26">
        <v>0.48599999999999999</v>
      </c>
      <c r="G83" s="26">
        <v>0.48420000000000002</v>
      </c>
    </row>
    <row r="84" spans="2:7" ht="14" customHeight="1" x14ac:dyDescent="0.3">
      <c r="B84" s="4" t="s">
        <v>115</v>
      </c>
      <c r="C84" s="26">
        <v>0.496</v>
      </c>
      <c r="D84" s="26">
        <v>0.49199999999999999</v>
      </c>
      <c r="E84" s="26">
        <v>0.48799999999999999</v>
      </c>
      <c r="F84" s="26">
        <v>0.48499999999999999</v>
      </c>
      <c r="G84" s="26">
        <v>0.4844</v>
      </c>
    </row>
    <row r="85" spans="2:7" ht="14" customHeight="1" x14ac:dyDescent="0.3">
      <c r="B85" s="4" t="s">
        <v>116</v>
      </c>
      <c r="C85" s="26">
        <v>0.497</v>
      </c>
      <c r="D85" s="26">
        <v>0.49299999999999999</v>
      </c>
      <c r="E85" s="26">
        <v>0.48899999999999999</v>
      </c>
      <c r="F85" s="26">
        <v>0.48599999999999999</v>
      </c>
      <c r="G85" s="26">
        <v>0.48420000000000002</v>
      </c>
    </row>
    <row r="86" spans="2:7" ht="14" customHeight="1" x14ac:dyDescent="0.3">
      <c r="B86" s="4" t="s">
        <v>117</v>
      </c>
      <c r="C86" s="26">
        <v>0.505</v>
      </c>
      <c r="D86" s="26">
        <v>0.51500000000000001</v>
      </c>
      <c r="E86" s="26">
        <v>0.52500000000000002</v>
      </c>
      <c r="F86" s="26">
        <v>0.53</v>
      </c>
      <c r="G86" s="26">
        <v>0.53</v>
      </c>
    </row>
    <row r="87" spans="2:7" ht="14" customHeight="1" x14ac:dyDescent="0.3">
      <c r="B87" s="4" t="s">
        <v>118</v>
      </c>
      <c r="C87" s="26">
        <v>0.62</v>
      </c>
      <c r="D87" s="26">
        <v>0.65</v>
      </c>
      <c r="E87" s="26">
        <v>0.65300000000000002</v>
      </c>
      <c r="F87" s="26">
        <v>0.65</v>
      </c>
      <c r="G87" s="26">
        <v>0.64</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119</v>
      </c>
    </row>
    <row r="3" spans="2:9" ht="14" customHeight="1" x14ac:dyDescent="0.3">
      <c r="B3" s="1" t="s">
        <v>120</v>
      </c>
    </row>
    <row r="5" spans="2:9" ht="14" customHeight="1" x14ac:dyDescent="0.3">
      <c r="B5" s="8" t="s">
        <v>121</v>
      </c>
      <c r="C5" s="9"/>
      <c r="D5" s="9"/>
      <c r="E5" s="9"/>
      <c r="F5" s="9"/>
      <c r="G5" s="9"/>
      <c r="H5" s="9"/>
      <c r="I5" s="9"/>
    </row>
    <row r="6" spans="2:9" ht="14" customHeight="1" x14ac:dyDescent="0.3">
      <c r="B6" s="4" t="s">
        <v>122</v>
      </c>
      <c r="C6" s="15">
        <f>'Executive Summary'!C9</f>
        <v>2909</v>
      </c>
    </row>
    <row r="7" spans="2:9" ht="14" customHeight="1" x14ac:dyDescent="0.3">
      <c r="B7" s="4" t="s">
        <v>66</v>
      </c>
      <c r="C7" s="15">
        <f>'DCF Model'!C15</f>
        <v>851176737</v>
      </c>
    </row>
    <row r="8" spans="2:9" ht="14" customHeight="1" x14ac:dyDescent="0.3">
      <c r="B8" s="4" t="s">
        <v>123</v>
      </c>
      <c r="C8" s="5">
        <f>C6*C7/1000000</f>
        <v>2476073.1279330002</v>
      </c>
    </row>
    <row r="9" spans="2:9" ht="14" customHeight="1" x14ac:dyDescent="0.3">
      <c r="B9" s="4" t="s">
        <v>67</v>
      </c>
      <c r="C9" s="5">
        <f>'DCF Model'!C16</f>
        <v>-51397</v>
      </c>
    </row>
    <row r="10" spans="2:9" ht="14" customHeight="1" x14ac:dyDescent="0.3">
      <c r="B10" s="4" t="s">
        <v>124</v>
      </c>
      <c r="C10" s="5">
        <f>C8+C9</f>
        <v>2424676.1279330002</v>
      </c>
    </row>
    <row r="11" spans="2:9" ht="14" customHeight="1" x14ac:dyDescent="0.3">
      <c r="B11" s="4" t="s">
        <v>125</v>
      </c>
      <c r="C11" s="16">
        <f>'DCF Model'!C26</f>
        <v>7.8699999999999992E-2</v>
      </c>
    </row>
    <row r="12" spans="2:9" ht="14" customHeight="1" x14ac:dyDescent="0.3">
      <c r="B12" s="4" t="s">
        <v>126</v>
      </c>
      <c r="C12" s="16">
        <f>'DCF Model'!C13</f>
        <v>0.01</v>
      </c>
    </row>
    <row r="13" spans="2:9" ht="14" customHeight="1" x14ac:dyDescent="0.3">
      <c r="B13" s="4" t="s">
        <v>127</v>
      </c>
      <c r="C13" s="16">
        <f>'DCF Model'!C6</f>
        <v>0.25</v>
      </c>
    </row>
    <row r="14" spans="2:9" ht="14" customHeight="1" x14ac:dyDescent="0.3">
      <c r="B14" s="4" t="s">
        <v>128</v>
      </c>
      <c r="C14" s="27">
        <v>166725</v>
      </c>
    </row>
    <row r="15" spans="2:9" ht="14" customHeight="1" x14ac:dyDescent="0.3">
      <c r="B15" s="4" t="s">
        <v>129</v>
      </c>
      <c r="C15" s="27">
        <v>166725</v>
      </c>
    </row>
    <row r="16" spans="2:9" ht="14" customHeight="1" x14ac:dyDescent="0.3">
      <c r="B16" s="4" t="s">
        <v>130</v>
      </c>
      <c r="C16" s="5">
        <f>'DCF Model'!G33</f>
        <v>604801.6329010959</v>
      </c>
    </row>
    <row r="17" spans="2:9" ht="14" customHeight="1" x14ac:dyDescent="0.3">
      <c r="B17" s="4" t="s">
        <v>131</v>
      </c>
      <c r="C17" s="5">
        <f>'DCF Model'!C53</f>
        <v>2072235.9414062244</v>
      </c>
    </row>
    <row r="18" spans="2:9" ht="14" customHeight="1" x14ac:dyDescent="0.3">
      <c r="B18" s="4" t="s">
        <v>132</v>
      </c>
      <c r="C18" s="26">
        <v>0.3336655479439718</v>
      </c>
    </row>
    <row r="19" spans="2:9" ht="14" customHeight="1" x14ac:dyDescent="0.3">
      <c r="B19" s="4" t="s">
        <v>133</v>
      </c>
      <c r="C19" s="5">
        <f>C10-C17</f>
        <v>352440.18652677583</v>
      </c>
    </row>
    <row r="20" spans="2:9" ht="14" customHeight="1" x14ac:dyDescent="0.3">
      <c r="B20" s="4" t="s">
        <v>134</v>
      </c>
      <c r="C20" s="15">
        <f>IFERROR(ROUND(C19*1000000/C7,0),"N/A")</f>
        <v>414</v>
      </c>
    </row>
    <row r="22" spans="2:9" ht="14" customHeight="1" x14ac:dyDescent="0.3">
      <c r="B22" s="8" t="s">
        <v>135</v>
      </c>
      <c r="C22" s="9"/>
      <c r="D22" s="9"/>
      <c r="E22" s="9"/>
      <c r="F22" s="9"/>
      <c r="G22" s="9"/>
      <c r="H22" s="9"/>
      <c r="I22" s="9"/>
    </row>
    <row r="23" spans="2:9" ht="14" customHeight="1" x14ac:dyDescent="0.3">
      <c r="B23" s="1" t="s">
        <v>136</v>
      </c>
    </row>
    <row r="24" spans="2:9" ht="14" customHeight="1" x14ac:dyDescent="0.3">
      <c r="B24" s="4" t="s">
        <v>137</v>
      </c>
      <c r="C24" s="5">
        <f>C10*(C11-C12)</f>
        <v>166575.24998899712</v>
      </c>
    </row>
    <row r="25" spans="2:9" ht="14" customHeight="1" x14ac:dyDescent="0.3">
      <c r="B25" s="4" t="s">
        <v>138</v>
      </c>
      <c r="C25" s="5">
        <f>IFERROR(C24/(1-C13),"N/A")</f>
        <v>222100.33331866283</v>
      </c>
    </row>
    <row r="26" spans="2:9" ht="13.5" customHeight="1" x14ac:dyDescent="0.25">
      <c r="B26" s="6" t="s">
        <v>139</v>
      </c>
      <c r="C26" s="14">
        <f>IFERROR(C25/C15,"N/A")</f>
        <v>1.3321357523986375</v>
      </c>
    </row>
    <row r="27" spans="2:9" ht="13.5" customHeight="1" x14ac:dyDescent="0.25">
      <c r="B27" s="6" t="s">
        <v>140</v>
      </c>
      <c r="C27" s="14">
        <f>IFERROR(C25/C14,"N/A")</f>
        <v>1.3321357523986375</v>
      </c>
    </row>
    <row r="28" spans="2:9" ht="13.5" customHeight="1" x14ac:dyDescent="0.25">
      <c r="B28" s="6" t="s">
        <v>141</v>
      </c>
      <c r="C28" s="7">
        <f>IFERROR(C25/C16,"N/A")</f>
        <v>0.36722839562006149</v>
      </c>
    </row>
    <row r="29" spans="2:9" ht="13.5" customHeight="1" x14ac:dyDescent="0.25">
      <c r="B29" s="6" t="s">
        <v>142</v>
      </c>
      <c r="C29" s="5">
        <f>IFERROR(C25/C18,"N/A")</f>
        <v>665637.59635129396</v>
      </c>
    </row>
    <row r="32" spans="2:9" ht="14" customHeight="1" x14ac:dyDescent="0.3">
      <c r="B32" s="8" t="s">
        <v>143</v>
      </c>
      <c r="C32" s="9"/>
      <c r="D32" s="9"/>
      <c r="E32" s="9"/>
      <c r="F32" s="9"/>
      <c r="G32" s="9"/>
      <c r="H32" s="9"/>
      <c r="I32" s="9"/>
    </row>
    <row r="33" spans="2:9" ht="14" customHeight="1" x14ac:dyDescent="0.3">
      <c r="B33" s="1" t="s">
        <v>144</v>
      </c>
    </row>
    <row r="34" spans="2:9" ht="14" customHeight="1" x14ac:dyDescent="0.3">
      <c r="B34" s="1" t="s">
        <v>145</v>
      </c>
    </row>
    <row r="36" spans="2:9" ht="14" customHeight="1" x14ac:dyDescent="0.3">
      <c r="B36" s="28" t="s">
        <v>146</v>
      </c>
      <c r="C36" s="28" t="s">
        <v>147</v>
      </c>
      <c r="D36" s="29">
        <f>'DCF Model'!C26-0.02</f>
        <v>5.8699999999999988E-2</v>
      </c>
      <c r="E36" s="29">
        <f>'DCF Model'!C26-0.01</f>
        <v>6.8699999999999997E-2</v>
      </c>
      <c r="F36" s="29">
        <f>'DCF Model'!C26</f>
        <v>7.8699999999999992E-2</v>
      </c>
      <c r="G36" s="29">
        <f>'DCF Model'!C26+0.01</f>
        <v>8.8699999999999987E-2</v>
      </c>
      <c r="H36" s="29">
        <f>'DCF Model'!C26+0.02</f>
        <v>9.8699999999999996E-2</v>
      </c>
    </row>
    <row r="37" spans="2:9" ht="14" customHeight="1" x14ac:dyDescent="0.3">
      <c r="B37" s="3" t="s">
        <v>148</v>
      </c>
    </row>
    <row r="38" spans="2:9" ht="14" customHeight="1" x14ac:dyDescent="0.3">
      <c r="B38" s="4" t="s">
        <v>149</v>
      </c>
      <c r="C38" s="30">
        <v>3</v>
      </c>
      <c r="D38" s="13">
        <f t="shared" ref="D38:H41" si="0">IFERROR((1-(1+D$36)^(-$C38))/D$36-(1+D$36)/(D$36^2*$C38)*(1-($C38+1)/(1+D$36)^$C38+$C38/(1+D$36)^($C38+1)),"N/A")</f>
        <v>0.92709758587143232</v>
      </c>
      <c r="E38" s="13">
        <f t="shared" si="0"/>
        <v>0.91566585284944635</v>
      </c>
      <c r="F38" s="13">
        <f t="shared" si="0"/>
        <v>0.90449671196365755</v>
      </c>
      <c r="G38" s="13">
        <f t="shared" si="0"/>
        <v>0.89358154471701523</v>
      </c>
      <c r="H38" s="13">
        <f t="shared" si="0"/>
        <v>0.88291209625937972</v>
      </c>
    </row>
    <row r="39" spans="2:9" ht="14" customHeight="1" x14ac:dyDescent="0.3">
      <c r="B39" s="4" t="s">
        <v>150</v>
      </c>
      <c r="C39" s="30">
        <v>5</v>
      </c>
      <c r="D39" s="13">
        <f t="shared" si="0"/>
        <v>1.7872384837584874</v>
      </c>
      <c r="E39" s="13">
        <f t="shared" si="0"/>
        <v>1.7549469895836154</v>
      </c>
      <c r="F39" s="13">
        <f t="shared" si="0"/>
        <v>1.7236755788682676</v>
      </c>
      <c r="G39" s="13">
        <f t="shared" si="0"/>
        <v>1.6933802749910432</v>
      </c>
      <c r="H39" s="13">
        <f t="shared" si="0"/>
        <v>1.6640194555418164</v>
      </c>
    </row>
    <row r="40" spans="2:9" ht="14" customHeight="1" x14ac:dyDescent="0.3">
      <c r="B40" s="4" t="s">
        <v>151</v>
      </c>
      <c r="C40" s="30">
        <v>7</v>
      </c>
      <c r="D40" s="13">
        <f t="shared" si="0"/>
        <v>2.5858526289316472</v>
      </c>
      <c r="E40" s="13">
        <f t="shared" si="0"/>
        <v>2.5249961759284361</v>
      </c>
      <c r="F40" s="13">
        <f t="shared" si="0"/>
        <v>2.4665676524375546</v>
      </c>
      <c r="G40" s="13">
        <f t="shared" si="0"/>
        <v>2.4104381704157212</v>
      </c>
      <c r="H40" s="13">
        <f t="shared" si="0"/>
        <v>2.3564871633383597</v>
      </c>
    </row>
    <row r="41" spans="2:9" ht="14" customHeight="1" x14ac:dyDescent="0.3">
      <c r="B41" s="4" t="s">
        <v>152</v>
      </c>
      <c r="C41" s="30">
        <v>10</v>
      </c>
      <c r="D41" s="13">
        <f t="shared" si="0"/>
        <v>3.6791448281785812</v>
      </c>
      <c r="E41" s="13">
        <f t="shared" si="0"/>
        <v>3.564168868174971</v>
      </c>
      <c r="F41" s="13">
        <f t="shared" si="0"/>
        <v>3.4551469634530938</v>
      </c>
      <c r="G41" s="13">
        <f t="shared" si="0"/>
        <v>3.3516773942026385</v>
      </c>
      <c r="H41" s="13">
        <f t="shared" si="0"/>
        <v>3.2533907960108661</v>
      </c>
    </row>
    <row r="42" spans="2:9" ht="14" customHeight="1" x14ac:dyDescent="0.3">
      <c r="B42" s="3" t="s">
        <v>153</v>
      </c>
    </row>
    <row r="43" spans="2:9" ht="14" customHeight="1" x14ac:dyDescent="0.3">
      <c r="B43" s="4" t="s">
        <v>149</v>
      </c>
      <c r="C43" s="30">
        <v>3</v>
      </c>
      <c r="D43" s="13">
        <f t="shared" ref="D43:H46" si="1">IFERROR((1+D$36)/(D$36^2*$C43)*(1-($C43+1)/(1+D$36)^$C43+$C43/(1+D$36)^($C43+1))+(1+$C$12)/((D$36-$C$12)*(1+D$36)^$C43),"N/A")</f>
        <v>19.229629700549918</v>
      </c>
      <c r="E43" s="13">
        <f t="shared" si="1"/>
        <v>15.81154347121738</v>
      </c>
      <c r="F43" s="13">
        <f t="shared" si="1"/>
        <v>13.39150789847224</v>
      </c>
      <c r="G43" s="13">
        <f t="shared" si="1"/>
        <v>11.588982883370557</v>
      </c>
      <c r="H43" s="13">
        <f t="shared" si="1"/>
        <v>10.195039456356449</v>
      </c>
    </row>
    <row r="44" spans="2:9" ht="14" customHeight="1" x14ac:dyDescent="0.3">
      <c r="B44" s="4" t="s">
        <v>150</v>
      </c>
      <c r="C44" s="30">
        <v>5</v>
      </c>
      <c r="D44" s="13">
        <f t="shared" si="1"/>
        <v>18.032998578866387</v>
      </c>
      <c r="E44" s="13">
        <f t="shared" si="1"/>
        <v>14.702092923690998</v>
      </c>
      <c r="F44" s="13">
        <f t="shared" si="1"/>
        <v>12.348852272701555</v>
      </c>
      <c r="G44" s="13">
        <f t="shared" si="1"/>
        <v>10.600268283072305</v>
      </c>
      <c r="H44" s="13">
        <f t="shared" si="1"/>
        <v>9.2515604318662881</v>
      </c>
    </row>
    <row r="45" spans="2:9" ht="14" customHeight="1" x14ac:dyDescent="0.3">
      <c r="B45" s="4" t="s">
        <v>151</v>
      </c>
      <c r="C45" s="30">
        <v>7</v>
      </c>
      <c r="D45" s="13">
        <f t="shared" si="1"/>
        <v>16.934173417316408</v>
      </c>
      <c r="E45" s="13">
        <f t="shared" si="1"/>
        <v>13.695492863424885</v>
      </c>
      <c r="F45" s="13">
        <f t="shared" si="1"/>
        <v>11.413902816227345</v>
      </c>
      <c r="G45" s="13">
        <f t="shared" si="1"/>
        <v>9.7238237177686653</v>
      </c>
      <c r="H45" s="13">
        <f t="shared" si="1"/>
        <v>8.424583522247941</v>
      </c>
    </row>
    <row r="46" spans="2:9" ht="14" customHeight="1" x14ac:dyDescent="0.3">
      <c r="B46" s="4" t="s">
        <v>152</v>
      </c>
      <c r="C46" s="30">
        <v>10</v>
      </c>
      <c r="D46" s="13">
        <f t="shared" si="1"/>
        <v>15.450148398544387</v>
      </c>
      <c r="E46" s="13">
        <f t="shared" si="1"/>
        <v>12.355521764267314</v>
      </c>
      <c r="F46" s="13">
        <f t="shared" si="1"/>
        <v>10.186658081705215</v>
      </c>
      <c r="G46" s="13">
        <f t="shared" si="1"/>
        <v>8.5889754455251577</v>
      </c>
      <c r="H46" s="13">
        <f t="shared" si="1"/>
        <v>7.3679278867019544</v>
      </c>
    </row>
    <row r="47" spans="2:9" ht="14" customHeight="1" x14ac:dyDescent="0.3">
      <c r="B47" s="22" t="s">
        <v>154</v>
      </c>
      <c r="C47" s="23"/>
      <c r="D47" s="23"/>
      <c r="E47" s="23"/>
      <c r="F47" s="23"/>
      <c r="G47" s="23"/>
      <c r="H47" s="23"/>
      <c r="I47" s="23"/>
    </row>
    <row r="48" spans="2:9" ht="14" customHeight="1" x14ac:dyDescent="0.3">
      <c r="B48" s="4" t="s">
        <v>149</v>
      </c>
      <c r="C48" s="30">
        <v>3</v>
      </c>
      <c r="D48" s="5">
        <f t="shared" ref="D48:H51" si="2">IFERROR(($C$10/(1-$C$13)-$C$14*D38)/D43,"N/A")</f>
        <v>160082.70605534437</v>
      </c>
      <c r="E48" s="5">
        <f t="shared" si="2"/>
        <v>194809.38848262772</v>
      </c>
      <c r="F48" s="5">
        <f t="shared" si="2"/>
        <v>230153.26675498171</v>
      </c>
      <c r="G48" s="5">
        <f t="shared" si="2"/>
        <v>266107.83292233071</v>
      </c>
      <c r="H48" s="5">
        <f t="shared" si="2"/>
        <v>302666.60544780304</v>
      </c>
    </row>
    <row r="49" spans="2:9" ht="14" customHeight="1" x14ac:dyDescent="0.3">
      <c r="B49" s="4" t="s">
        <v>150</v>
      </c>
      <c r="C49" s="30">
        <v>5</v>
      </c>
      <c r="D49" s="5">
        <f t="shared" si="2"/>
        <v>162752.97504573598</v>
      </c>
      <c r="E49" s="5">
        <f t="shared" si="2"/>
        <v>199992.47605994361</v>
      </c>
      <c r="F49" s="5">
        <f t="shared" si="2"/>
        <v>238525.94783526906</v>
      </c>
      <c r="G49" s="5">
        <f t="shared" si="2"/>
        <v>278348.86804465036</v>
      </c>
      <c r="H49" s="5">
        <f t="shared" si="2"/>
        <v>319456.14817642822</v>
      </c>
    </row>
    <row r="50" spans="2:9" ht="14" customHeight="1" x14ac:dyDescent="0.3">
      <c r="B50" s="4" t="s">
        <v>151</v>
      </c>
      <c r="C50" s="30">
        <v>7</v>
      </c>
      <c r="D50" s="5">
        <f t="shared" si="2"/>
        <v>165450.95856211215</v>
      </c>
      <c r="E50" s="5">
        <f t="shared" si="2"/>
        <v>205317.29266848817</v>
      </c>
      <c r="F50" s="5">
        <f t="shared" si="2"/>
        <v>247212.81208443511</v>
      </c>
      <c r="G50" s="5">
        <f t="shared" si="2"/>
        <v>291142.79342342319</v>
      </c>
      <c r="H50" s="5">
        <f t="shared" si="2"/>
        <v>337110.57337173552</v>
      </c>
    </row>
    <row r="51" spans="2:9" ht="14" customHeight="1" x14ac:dyDescent="0.3">
      <c r="B51" s="4" t="s">
        <v>152</v>
      </c>
      <c r="C51" s="30">
        <v>10</v>
      </c>
      <c r="D51" s="5">
        <f t="shared" si="2"/>
        <v>169545.04350776234</v>
      </c>
      <c r="E51" s="5">
        <f t="shared" si="2"/>
        <v>213561.63662754619</v>
      </c>
      <c r="F51" s="5">
        <f t="shared" si="2"/>
        <v>260815.87357884526</v>
      </c>
      <c r="G51" s="5">
        <f t="shared" si="2"/>
        <v>311340.17174952221</v>
      </c>
      <c r="H51" s="5">
        <f t="shared" si="2"/>
        <v>365161.00114140403</v>
      </c>
    </row>
    <row r="52" spans="2:9" ht="14" customHeight="1" x14ac:dyDescent="0.3">
      <c r="B52" s="22" t="s">
        <v>155</v>
      </c>
      <c r="C52" s="23"/>
      <c r="D52" s="23"/>
      <c r="E52" s="23"/>
      <c r="F52" s="23"/>
      <c r="G52" s="23"/>
      <c r="H52" s="23"/>
      <c r="I52" s="23"/>
    </row>
    <row r="53" spans="2:9" ht="14" customHeight="1" x14ac:dyDescent="0.3">
      <c r="B53" s="4" t="s">
        <v>149</v>
      </c>
      <c r="C53" s="30">
        <v>3</v>
      </c>
      <c r="D53" s="14">
        <f t="shared" ref="D53:H56" si="3">IFERROR(D48/$C$15,"N/A")</f>
        <v>0.9601601802689721</v>
      </c>
      <c r="E53" s="14">
        <f t="shared" si="3"/>
        <v>1.1684473743147561</v>
      </c>
      <c r="F53" s="14">
        <f t="shared" si="3"/>
        <v>1.3804364477731697</v>
      </c>
      <c r="G53" s="14">
        <f t="shared" si="3"/>
        <v>1.5960883666056722</v>
      </c>
      <c r="H53" s="14">
        <f t="shared" si="3"/>
        <v>1.8153642551974991</v>
      </c>
    </row>
    <row r="54" spans="2:9" ht="14" customHeight="1" x14ac:dyDescent="0.3">
      <c r="B54" s="4" t="s">
        <v>150</v>
      </c>
      <c r="C54" s="30">
        <v>5</v>
      </c>
      <c r="D54" s="14">
        <f t="shared" si="3"/>
        <v>0.97617618860840294</v>
      </c>
      <c r="E54" s="14">
        <f t="shared" si="3"/>
        <v>1.1995350191029757</v>
      </c>
      <c r="F54" s="14">
        <f t="shared" si="3"/>
        <v>1.4306549577763927</v>
      </c>
      <c r="G54" s="14">
        <f t="shared" si="3"/>
        <v>1.6695088801598461</v>
      </c>
      <c r="H54" s="14">
        <f t="shared" si="3"/>
        <v>1.9160662658655163</v>
      </c>
    </row>
    <row r="55" spans="2:9" ht="14" customHeight="1" x14ac:dyDescent="0.3">
      <c r="B55" s="4" t="s">
        <v>151</v>
      </c>
      <c r="C55" s="30">
        <v>7</v>
      </c>
      <c r="D55" s="14">
        <f t="shared" si="3"/>
        <v>0.99235842592359969</v>
      </c>
      <c r="E55" s="14">
        <f t="shared" si="3"/>
        <v>1.2314727405517358</v>
      </c>
      <c r="F55" s="14">
        <f t="shared" si="3"/>
        <v>1.4827579072390769</v>
      </c>
      <c r="G55" s="14">
        <f t="shared" si="3"/>
        <v>1.746245574589433</v>
      </c>
      <c r="H55" s="14">
        <f t="shared" si="3"/>
        <v>2.0219557557159127</v>
      </c>
    </row>
    <row r="56" spans="2:9" ht="14" customHeight="1" x14ac:dyDescent="0.3">
      <c r="B56" s="4" t="s">
        <v>152</v>
      </c>
      <c r="C56" s="30">
        <v>10</v>
      </c>
      <c r="D56" s="14">
        <f t="shared" si="3"/>
        <v>1.0169143410272146</v>
      </c>
      <c r="E56" s="14">
        <f t="shared" si="3"/>
        <v>1.2809214972412428</v>
      </c>
      <c r="F56" s="14">
        <f t="shared" si="3"/>
        <v>1.5643477197711517</v>
      </c>
      <c r="G56" s="14">
        <f t="shared" si="3"/>
        <v>1.8673874448914212</v>
      </c>
      <c r="H56" s="14">
        <f t="shared" si="3"/>
        <v>2.1901994370454583</v>
      </c>
    </row>
    <row r="58" spans="2:9" ht="14" customHeight="1" x14ac:dyDescent="0.3">
      <c r="B58" s="8" t="s">
        <v>156</v>
      </c>
      <c r="C58" s="9"/>
      <c r="D58" s="9"/>
      <c r="E58" s="9"/>
      <c r="F58" s="9"/>
      <c r="G58" s="9"/>
      <c r="H58" s="9"/>
      <c r="I58" s="9"/>
    </row>
    <row r="59" spans="2:9" ht="14" customHeight="1" x14ac:dyDescent="0.3">
      <c r="B59" s="1" t="s">
        <v>157</v>
      </c>
    </row>
    <row r="60" spans="2:9" ht="14" customHeight="1" x14ac:dyDescent="0.3">
      <c r="B60" s="4" t="s">
        <v>158</v>
      </c>
      <c r="C60" s="5">
        <f>F49</f>
        <v>238525.94783526906</v>
      </c>
    </row>
    <row r="62" spans="2:9" ht="14" customHeight="1" x14ac:dyDescent="0.3">
      <c r="B62" s="28" t="s">
        <v>159</v>
      </c>
      <c r="C62" s="28" t="s">
        <v>160</v>
      </c>
      <c r="D62" s="28" t="s">
        <v>161</v>
      </c>
    </row>
    <row r="63" spans="2:9" ht="14" customHeight="1" x14ac:dyDescent="0.3">
      <c r="B63" s="31">
        <v>0.1668</v>
      </c>
      <c r="C63" s="5">
        <f>IFERROR($C$60/B63,"N/A")</f>
        <v>1430011.6776694788</v>
      </c>
      <c r="D63" s="14">
        <f>IFERROR(C63/'DCF Model'!C17,"N/A")</f>
        <v>2.8618721247315344</v>
      </c>
    </row>
    <row r="64" spans="2:9" ht="14" customHeight="1" x14ac:dyDescent="0.3">
      <c r="B64" s="31">
        <v>0.25019999999999998</v>
      </c>
      <c r="C64" s="5">
        <f>IFERROR($C$60/B64,"N/A")</f>
        <v>953341.11844631925</v>
      </c>
      <c r="D64" s="14">
        <f>IFERROR(C64/'DCF Model'!C17,"N/A")</f>
        <v>1.9079147498210229</v>
      </c>
    </row>
    <row r="65" spans="2:9" ht="14" customHeight="1" x14ac:dyDescent="0.3">
      <c r="B65" s="4" t="s">
        <v>162</v>
      </c>
      <c r="C65" s="5">
        <f>IFERROR($C$60/$C$18,"N/A")</f>
        <v>714865.37733683456</v>
      </c>
      <c r="D65" s="14">
        <f>IFERROR(C65/'DCF Model'!C17,"N/A")</f>
        <v>1.4306549577763927</v>
      </c>
    </row>
    <row r="66" spans="2:9" ht="14" customHeight="1" x14ac:dyDescent="0.3">
      <c r="B66" s="31">
        <v>0.41710000000000003</v>
      </c>
      <c r="C66" s="5">
        <f>IFERROR($C$60/B66,"N/A")</f>
        <v>571867.53257077211</v>
      </c>
      <c r="D66" s="14">
        <f>IFERROR(C66/'DCF Model'!C17,"N/A")</f>
        <v>1.1444743956011025</v>
      </c>
    </row>
    <row r="67" spans="2:9" ht="14" customHeight="1" x14ac:dyDescent="0.3">
      <c r="B67" s="31">
        <v>0.50049999999999994</v>
      </c>
      <c r="C67" s="5">
        <f>IFERROR($C$60/B67,"N/A")</f>
        <v>476575.32035018801</v>
      </c>
      <c r="D67" s="14">
        <f>IFERROR(C67/'DCF Model'!C17,"N/A")</f>
        <v>0.95376677403640353</v>
      </c>
    </row>
    <row r="69" spans="2:9" ht="14" customHeight="1" x14ac:dyDescent="0.3">
      <c r="B69" s="8" t="s">
        <v>163</v>
      </c>
      <c r="C69" s="9"/>
      <c r="D69" s="9"/>
      <c r="E69" s="9"/>
      <c r="F69" s="9"/>
      <c r="G69" s="9"/>
      <c r="H69" s="9"/>
      <c r="I69" s="9"/>
    </row>
    <row r="70" spans="2:9" ht="13.5" customHeight="1" x14ac:dyDescent="0.25">
      <c r="B70" s="6" t="s">
        <v>164</v>
      </c>
      <c r="C70" s="14">
        <f>IFERROR(C10/'Comps Analysis'!G5,"N/A")</f>
        <v>12.518140190574776</v>
      </c>
    </row>
    <row r="71" spans="2:9" ht="13.5" customHeight="1" x14ac:dyDescent="0.25">
      <c r="B71" s="6" t="s">
        <v>165</v>
      </c>
      <c r="C71" s="14">
        <f>IFERROR(C10/'Comps Analysis'!F5,"N/A")</f>
        <v>4.8524869624437388</v>
      </c>
    </row>
    <row r="72" spans="2:9" ht="14" customHeight="1" x14ac:dyDescent="0.3">
      <c r="B72" s="4" t="s">
        <v>166</v>
      </c>
      <c r="C72" s="14">
        <f>IFERROR(C10/(C25+'DCF Model'!G42),"N/A")</f>
        <v>9.5175056145132597</v>
      </c>
    </row>
    <row r="73" spans="2:9" ht="14" customHeight="1" x14ac:dyDescent="0.3">
      <c r="B73" s="4" t="s">
        <v>167</v>
      </c>
      <c r="C73" s="14">
        <f>IFERROR(C10/(C60+'DCF Model'!G42),"N/A")</f>
        <v>8.9410329396632395</v>
      </c>
    </row>
    <row r="74" spans="2:9" ht="14" customHeight="1" x14ac:dyDescent="0.3">
      <c r="B74" s="4" t="s">
        <v>168</v>
      </c>
      <c r="C74" s="14">
        <f>IFERROR('Comps Analysis'!D16,"N/A")</f>
        <v>10.222826816801042</v>
      </c>
    </row>
    <row r="75" spans="2:9" ht="14" customHeight="1" x14ac:dyDescent="0.3">
      <c r="B75" s="1" t="s">
        <v>169</v>
      </c>
    </row>
    <row r="77" spans="2:9" ht="14" customHeight="1" x14ac:dyDescent="0.3">
      <c r="B77" s="22" t="s">
        <v>170</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2,909 yen the market is paying for a steady-state operating profit of 238,526 mn JPY - 1.43x the FY2026 cycle peak of 166,725 mn - reached in 5 years and sustained for ever, against 166,725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222,100 mn, or 1.33x the peak. The base case supports an EV of only 2,072,236 mn, leaving 414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171</v>
      </c>
    </row>
    <row r="4" spans="2:8" ht="14" customHeight="1" x14ac:dyDescent="0.3">
      <c r="B4" s="8" t="s">
        <v>172</v>
      </c>
      <c r="C4" s="32" t="s">
        <v>173</v>
      </c>
      <c r="D4" s="32" t="s">
        <v>80</v>
      </c>
      <c r="E4" s="32" t="s">
        <v>81</v>
      </c>
      <c r="F4" s="32" t="s">
        <v>82</v>
      </c>
      <c r="G4" s="32" t="s">
        <v>83</v>
      </c>
      <c r="H4" s="32" t="s">
        <v>84</v>
      </c>
    </row>
    <row r="5" spans="2:8" ht="14" customHeight="1" x14ac:dyDescent="0.3">
      <c r="B5" s="33" t="s">
        <v>174</v>
      </c>
      <c r="C5" s="34">
        <f>C12/C9*365</f>
        <v>116.70968445615868</v>
      </c>
      <c r="D5" s="34">
        <f>CHOOSE('DCF Model'!$D$27,D25,D26,D27,D28,D29)</f>
        <v>104</v>
      </c>
      <c r="E5" s="34">
        <f>CHOOSE('DCF Model'!$D$27,E25,E26,E27,E28,E29)</f>
        <v>104</v>
      </c>
      <c r="F5" s="34">
        <f>CHOOSE('DCF Model'!$D$27,F25,F26,F27,F28,F29)</f>
        <v>104</v>
      </c>
      <c r="G5" s="34">
        <f>CHOOSE('DCF Model'!$D$27,G25,G26,G27,G28,G29)</f>
        <v>104</v>
      </c>
      <c r="H5" s="34">
        <f>CHOOSE('DCF Model'!$D$27,H25,H26,H27,H28,H29)</f>
        <v>104</v>
      </c>
    </row>
    <row r="6" spans="2:8" ht="14" customHeight="1" x14ac:dyDescent="0.3">
      <c r="B6" s="33" t="s">
        <v>175</v>
      </c>
      <c r="C6" s="34">
        <f>C13/C10*365</f>
        <v>440.01867798665859</v>
      </c>
      <c r="D6" s="34">
        <f>CHOOSE('DCF Model'!$D$27,D32,D33,D34,D35,D36)</f>
        <v>391</v>
      </c>
      <c r="E6" s="34">
        <f>CHOOSE('DCF Model'!$D$27,E32,E33,E34,E35,E36)</f>
        <v>391</v>
      </c>
      <c r="F6" s="34">
        <f>CHOOSE('DCF Model'!$D$27,F32,F33,F34,F35,F36)</f>
        <v>391</v>
      </c>
      <c r="G6" s="34">
        <f>CHOOSE('DCF Model'!$D$27,G32,G33,G34,G35,G36)</f>
        <v>391</v>
      </c>
      <c r="H6" s="34">
        <f>CHOOSE('DCF Model'!$D$27,H32,H33,H34,H35,H36)</f>
        <v>391</v>
      </c>
    </row>
    <row r="7" spans="2:8" ht="14" customHeight="1" x14ac:dyDescent="0.3">
      <c r="B7" s="33" t="s">
        <v>176</v>
      </c>
      <c r="C7" s="34">
        <f>C15/C10*365</f>
        <v>98.051970891449372</v>
      </c>
      <c r="D7" s="34">
        <f>CHOOSE('DCF Model'!$D$27,D39,D40,D41,D42,D43)</f>
        <v>88</v>
      </c>
      <c r="E7" s="34">
        <f>CHOOSE('DCF Model'!$D$27,E39,E40,E41,E42,E43)</f>
        <v>88</v>
      </c>
      <c r="F7" s="34">
        <f>CHOOSE('DCF Model'!$D$27,F39,F40,F41,F42,F43)</f>
        <v>88</v>
      </c>
      <c r="G7" s="34">
        <f>CHOOSE('DCF Model'!$D$27,G39,G40,G41,G42,G43)</f>
        <v>88</v>
      </c>
      <c r="H7" s="34">
        <f>CHOOSE('DCF Model'!$D$27,H39,H40,H41,H42,H43)</f>
        <v>88</v>
      </c>
    </row>
    <row r="8" spans="2:8" ht="14" customHeight="1" x14ac:dyDescent="0.3">
      <c r="B8" s="8" t="s">
        <v>177</v>
      </c>
      <c r="C8" s="9"/>
      <c r="D8" s="9"/>
      <c r="E8" s="9"/>
      <c r="F8" s="9"/>
      <c r="G8" s="9"/>
      <c r="H8" s="9"/>
    </row>
    <row r="9" spans="2:8" ht="14" customHeight="1" x14ac:dyDescent="0.3">
      <c r="B9" s="33" t="s">
        <v>31</v>
      </c>
      <c r="C9" s="35">
        <v>499677</v>
      </c>
      <c r="D9" s="35">
        <f>'DCF Model'!C33</f>
        <v>529657.62</v>
      </c>
      <c r="E9" s="35">
        <f>'DCF Model'!D33</f>
        <v>553492.21289999993</v>
      </c>
      <c r="F9" s="35">
        <f>'DCF Model'!E33</f>
        <v>572864.44035149983</v>
      </c>
      <c r="G9" s="35">
        <f>'DCF Model'!F33</f>
        <v>590050.37356204481</v>
      </c>
      <c r="H9" s="35">
        <f>'DCF Model'!G33</f>
        <v>604801.6329010959</v>
      </c>
    </row>
    <row r="10" spans="2:8" ht="14" customHeight="1" x14ac:dyDescent="0.3">
      <c r="B10" s="33" t="s">
        <v>32</v>
      </c>
      <c r="C10" s="35">
        <v>82450</v>
      </c>
      <c r="D10" s="35">
        <f>'DCF Model'!C34</f>
        <v>87393.507299999997</v>
      </c>
      <c r="E10" s="35">
        <f>'DCF Model'!D34</f>
        <v>91326.215128499985</v>
      </c>
      <c r="F10" s="35">
        <f>'DCF Model'!E34</f>
        <v>94522.63265799747</v>
      </c>
      <c r="G10" s="35">
        <f>'DCF Model'!F34</f>
        <v>97358.311637737395</v>
      </c>
      <c r="H10" s="35">
        <f>'DCF Model'!G34</f>
        <v>99792.269428680826</v>
      </c>
    </row>
    <row r="11" spans="2:8" ht="14" customHeight="1" x14ac:dyDescent="0.3">
      <c r="B11" s="8" t="s">
        <v>178</v>
      </c>
      <c r="C11" s="9"/>
      <c r="D11" s="9"/>
      <c r="E11" s="9"/>
      <c r="F11" s="9"/>
      <c r="G11" s="9"/>
      <c r="H11" s="9"/>
    </row>
    <row r="12" spans="2:8" ht="14" customHeight="1" x14ac:dyDescent="0.3">
      <c r="B12" s="33" t="s">
        <v>179</v>
      </c>
      <c r="C12" s="35">
        <v>159773</v>
      </c>
      <c r="D12" s="35">
        <f t="shared" ref="D12:H13" si="0">D9*D5/365</f>
        <v>150916.14378082191</v>
      </c>
      <c r="E12" s="35">
        <f t="shared" si="0"/>
        <v>157707.37025095889</v>
      </c>
      <c r="F12" s="35">
        <f t="shared" si="0"/>
        <v>163227.12820974243</v>
      </c>
      <c r="G12" s="35">
        <f t="shared" si="0"/>
        <v>168123.94205603469</v>
      </c>
      <c r="H12" s="35">
        <f t="shared" si="0"/>
        <v>172327.04060743554</v>
      </c>
    </row>
    <row r="13" spans="2:8" ht="14" customHeight="1" x14ac:dyDescent="0.3">
      <c r="B13" s="33" t="s">
        <v>180</v>
      </c>
      <c r="C13" s="35">
        <v>99396</v>
      </c>
      <c r="D13" s="35">
        <f t="shared" si="0"/>
        <v>93618.798230958899</v>
      </c>
      <c r="E13" s="35">
        <f t="shared" si="0"/>
        <v>97831.64415135204</v>
      </c>
      <c r="F13" s="35">
        <f t="shared" si="0"/>
        <v>101255.75169664934</v>
      </c>
      <c r="G13" s="35">
        <f t="shared" si="0"/>
        <v>104293.42424754883</v>
      </c>
      <c r="H13" s="35">
        <f t="shared" si="0"/>
        <v>106900.75985373755</v>
      </c>
    </row>
    <row r="14" spans="2:8" ht="14" customHeight="1" x14ac:dyDescent="0.3">
      <c r="B14" s="33" t="s">
        <v>181</v>
      </c>
      <c r="C14" s="35">
        <f t="shared" ref="C14:H14" si="1">C12+C13</f>
        <v>259169</v>
      </c>
      <c r="D14" s="35">
        <f t="shared" si="1"/>
        <v>244534.9420117808</v>
      </c>
      <c r="E14" s="35">
        <f t="shared" si="1"/>
        <v>255539.01440231095</v>
      </c>
      <c r="F14" s="35">
        <f t="shared" si="1"/>
        <v>264482.87990639178</v>
      </c>
      <c r="G14" s="35">
        <f t="shared" si="1"/>
        <v>272417.36630358349</v>
      </c>
      <c r="H14" s="35">
        <f t="shared" si="1"/>
        <v>279227.80046117306</v>
      </c>
    </row>
    <row r="15" spans="2:8" ht="14" customHeight="1" x14ac:dyDescent="0.3">
      <c r="B15" s="33" t="s">
        <v>182</v>
      </c>
      <c r="C15" s="35">
        <v>22149</v>
      </c>
      <c r="D15" s="35">
        <f>D10*D7/365</f>
        <v>21070.215458630137</v>
      </c>
      <c r="E15" s="35">
        <f>E10*E7/365</f>
        <v>22018.375154268488</v>
      </c>
      <c r="F15" s="35">
        <f>F10*F7/365</f>
        <v>22789.018284667884</v>
      </c>
      <c r="G15" s="35">
        <f>G10*G7/365</f>
        <v>23472.688833207918</v>
      </c>
      <c r="H15" s="35">
        <f>H10*H7/365</f>
        <v>24059.506054038116</v>
      </c>
    </row>
    <row r="16" spans="2:8" ht="14" customHeight="1" x14ac:dyDescent="0.3">
      <c r="B16" s="33" t="s">
        <v>183</v>
      </c>
      <c r="C16" s="35">
        <f t="shared" ref="C16:H16" si="2">C15</f>
        <v>22149</v>
      </c>
      <c r="D16" s="35">
        <f t="shared" si="2"/>
        <v>21070.215458630137</v>
      </c>
      <c r="E16" s="35">
        <f t="shared" si="2"/>
        <v>22018.375154268488</v>
      </c>
      <c r="F16" s="35">
        <f t="shared" si="2"/>
        <v>22789.018284667884</v>
      </c>
      <c r="G16" s="35">
        <f t="shared" si="2"/>
        <v>23472.688833207918</v>
      </c>
      <c r="H16" s="35">
        <f t="shared" si="2"/>
        <v>24059.506054038116</v>
      </c>
    </row>
    <row r="17" spans="2:8" ht="14" customHeight="1" x14ac:dyDescent="0.3">
      <c r="B17" s="22" t="s">
        <v>184</v>
      </c>
      <c r="C17" s="23"/>
      <c r="D17" s="23"/>
      <c r="E17" s="23"/>
      <c r="F17" s="23"/>
      <c r="G17" s="23"/>
      <c r="H17" s="23"/>
    </row>
    <row r="18" spans="2:8" ht="14" customHeight="1" x14ac:dyDescent="0.3">
      <c r="B18" s="33" t="s">
        <v>185</v>
      </c>
      <c r="C18" s="20">
        <f t="shared" ref="C18:H18" si="3">C14-C16</f>
        <v>237020</v>
      </c>
      <c r="D18" s="20">
        <f t="shared" si="3"/>
        <v>223464.72655315066</v>
      </c>
      <c r="E18" s="20">
        <f t="shared" si="3"/>
        <v>233520.63924804245</v>
      </c>
      <c r="F18" s="20">
        <f t="shared" si="3"/>
        <v>241693.86162172389</v>
      </c>
      <c r="G18" s="20">
        <f t="shared" si="3"/>
        <v>248944.67747037558</v>
      </c>
      <c r="H18" s="20">
        <f t="shared" si="3"/>
        <v>255168.29440713493</v>
      </c>
    </row>
    <row r="19" spans="2:8" ht="14" customHeight="1" x14ac:dyDescent="0.3">
      <c r="B19" s="33" t="s">
        <v>94</v>
      </c>
      <c r="C19" s="36" t="s">
        <v>41</v>
      </c>
      <c r="D19" s="24">
        <f>D18-C18</f>
        <v>-13555.273446849344</v>
      </c>
      <c r="E19" s="24">
        <f>E18-D18</f>
        <v>10055.912694891798</v>
      </c>
      <c r="F19" s="24">
        <f>F18-E18</f>
        <v>8173.222373681434</v>
      </c>
      <c r="G19" s="24">
        <f>G18-F18</f>
        <v>7250.8158486516913</v>
      </c>
      <c r="H19" s="24">
        <f>H18-G18</f>
        <v>6223.6169367593538</v>
      </c>
    </row>
    <row r="22" spans="2:8" ht="14" customHeight="1" x14ac:dyDescent="0.3">
      <c r="B22" s="22" t="s">
        <v>186</v>
      </c>
      <c r="C22" s="23"/>
      <c r="D22" s="23"/>
      <c r="E22" s="23"/>
      <c r="F22" s="23"/>
      <c r="G22" s="23"/>
      <c r="H22" s="23"/>
    </row>
    <row r="23" spans="2:8" ht="14" customHeight="1" x14ac:dyDescent="0.3">
      <c r="D23" s="25" t="s">
        <v>80</v>
      </c>
      <c r="E23" s="25" t="s">
        <v>81</v>
      </c>
      <c r="F23" s="25" t="s">
        <v>82</v>
      </c>
      <c r="G23" s="25" t="s">
        <v>83</v>
      </c>
      <c r="H23" s="25" t="s">
        <v>84</v>
      </c>
    </row>
    <row r="24" spans="2:8" ht="14" customHeight="1" x14ac:dyDescent="0.3">
      <c r="B24" s="3" t="s">
        <v>187</v>
      </c>
    </row>
    <row r="25" spans="2:8" ht="14" customHeight="1" x14ac:dyDescent="0.3">
      <c r="B25" s="4" t="s">
        <v>78</v>
      </c>
      <c r="D25" s="30">
        <v>104</v>
      </c>
      <c r="E25" s="30">
        <v>104</v>
      </c>
      <c r="F25" s="30">
        <v>104</v>
      </c>
      <c r="G25" s="30">
        <v>104</v>
      </c>
      <c r="H25" s="30">
        <v>104</v>
      </c>
    </row>
    <row r="26" spans="2:8" ht="14" customHeight="1" x14ac:dyDescent="0.3">
      <c r="B26" s="4" t="s">
        <v>115</v>
      </c>
      <c r="D26" s="30">
        <v>100</v>
      </c>
      <c r="E26" s="30">
        <v>100</v>
      </c>
      <c r="F26" s="30">
        <v>100</v>
      </c>
      <c r="G26" s="30">
        <v>100</v>
      </c>
      <c r="H26" s="30">
        <v>100</v>
      </c>
    </row>
    <row r="27" spans="2:8" ht="14" customHeight="1" x14ac:dyDescent="0.3">
      <c r="B27" s="4" t="s">
        <v>116</v>
      </c>
      <c r="D27" s="30">
        <v>104</v>
      </c>
      <c r="E27" s="30">
        <v>104</v>
      </c>
      <c r="F27" s="30">
        <v>104</v>
      </c>
      <c r="G27" s="30">
        <v>104</v>
      </c>
      <c r="H27" s="30">
        <v>104</v>
      </c>
    </row>
    <row r="28" spans="2:8" ht="14" customHeight="1" x14ac:dyDescent="0.3">
      <c r="B28" s="4" t="s">
        <v>117</v>
      </c>
      <c r="D28" s="30">
        <v>109</v>
      </c>
      <c r="E28" s="30">
        <v>109</v>
      </c>
      <c r="F28" s="30">
        <v>109</v>
      </c>
      <c r="G28" s="30">
        <v>109</v>
      </c>
      <c r="H28" s="30">
        <v>109</v>
      </c>
    </row>
    <row r="29" spans="2:8" ht="14" customHeight="1" x14ac:dyDescent="0.3">
      <c r="B29" s="4" t="s">
        <v>118</v>
      </c>
      <c r="D29" s="30">
        <v>114</v>
      </c>
      <c r="E29" s="30">
        <v>114</v>
      </c>
      <c r="F29" s="30">
        <v>114</v>
      </c>
      <c r="G29" s="30">
        <v>114</v>
      </c>
      <c r="H29" s="30">
        <v>114</v>
      </c>
    </row>
    <row r="31" spans="2:8" ht="14" customHeight="1" x14ac:dyDescent="0.3">
      <c r="B31" s="3" t="s">
        <v>188</v>
      </c>
    </row>
    <row r="32" spans="2:8" ht="14" customHeight="1" x14ac:dyDescent="0.3">
      <c r="B32" s="4" t="s">
        <v>78</v>
      </c>
      <c r="D32" s="30">
        <v>391</v>
      </c>
      <c r="E32" s="30">
        <v>391</v>
      </c>
      <c r="F32" s="30">
        <v>391</v>
      </c>
      <c r="G32" s="30">
        <v>391</v>
      </c>
      <c r="H32" s="30">
        <v>391</v>
      </c>
    </row>
    <row r="33" spans="2:8" ht="14" customHeight="1" x14ac:dyDescent="0.3">
      <c r="B33" s="4" t="s">
        <v>115</v>
      </c>
      <c r="D33" s="30">
        <v>375</v>
      </c>
      <c r="E33" s="30">
        <v>375</v>
      </c>
      <c r="F33" s="30">
        <v>375</v>
      </c>
      <c r="G33" s="30">
        <v>375</v>
      </c>
      <c r="H33" s="30">
        <v>375</v>
      </c>
    </row>
    <row r="34" spans="2:8" ht="14" customHeight="1" x14ac:dyDescent="0.3">
      <c r="B34" s="4" t="s">
        <v>116</v>
      </c>
      <c r="D34" s="30">
        <v>391</v>
      </c>
      <c r="E34" s="30">
        <v>391</v>
      </c>
      <c r="F34" s="30">
        <v>391</v>
      </c>
      <c r="G34" s="30">
        <v>391</v>
      </c>
      <c r="H34" s="30">
        <v>391</v>
      </c>
    </row>
    <row r="35" spans="2:8" ht="14" customHeight="1" x14ac:dyDescent="0.3">
      <c r="B35" s="4" t="s">
        <v>117</v>
      </c>
      <c r="D35" s="30">
        <v>411</v>
      </c>
      <c r="E35" s="30">
        <v>411</v>
      </c>
      <c r="F35" s="30">
        <v>411</v>
      </c>
      <c r="G35" s="30">
        <v>411</v>
      </c>
      <c r="H35" s="30">
        <v>411</v>
      </c>
    </row>
    <row r="36" spans="2:8" ht="14" customHeight="1" x14ac:dyDescent="0.3">
      <c r="B36" s="4" t="s">
        <v>118</v>
      </c>
      <c r="D36" s="30">
        <v>430</v>
      </c>
      <c r="E36" s="30">
        <v>430</v>
      </c>
      <c r="F36" s="30">
        <v>430</v>
      </c>
      <c r="G36" s="30">
        <v>430</v>
      </c>
      <c r="H36" s="30">
        <v>430</v>
      </c>
    </row>
    <row r="38" spans="2:8" ht="14" customHeight="1" x14ac:dyDescent="0.3">
      <c r="B38" s="3" t="s">
        <v>189</v>
      </c>
    </row>
    <row r="39" spans="2:8" ht="14" customHeight="1" x14ac:dyDescent="0.3">
      <c r="B39" s="4" t="s">
        <v>78</v>
      </c>
      <c r="D39" s="30">
        <v>88</v>
      </c>
      <c r="E39" s="30">
        <v>88</v>
      </c>
      <c r="F39" s="30">
        <v>88</v>
      </c>
      <c r="G39" s="30">
        <v>88</v>
      </c>
      <c r="H39" s="30">
        <v>88</v>
      </c>
    </row>
    <row r="40" spans="2:8" ht="14" customHeight="1" x14ac:dyDescent="0.3">
      <c r="B40" s="4" t="s">
        <v>115</v>
      </c>
      <c r="D40" s="30">
        <v>91</v>
      </c>
      <c r="E40" s="30">
        <v>91</v>
      </c>
      <c r="F40" s="30">
        <v>91</v>
      </c>
      <c r="G40" s="30">
        <v>91</v>
      </c>
      <c r="H40" s="30">
        <v>91</v>
      </c>
    </row>
    <row r="41" spans="2:8" ht="14" customHeight="1" x14ac:dyDescent="0.3">
      <c r="B41" s="4" t="s">
        <v>116</v>
      </c>
      <c r="D41" s="30">
        <v>88</v>
      </c>
      <c r="E41" s="30">
        <v>88</v>
      </c>
      <c r="F41" s="30">
        <v>88</v>
      </c>
      <c r="G41" s="30">
        <v>88</v>
      </c>
      <c r="H41" s="30">
        <v>88</v>
      </c>
    </row>
    <row r="42" spans="2:8" ht="14" customHeight="1" x14ac:dyDescent="0.3">
      <c r="B42" s="4" t="s">
        <v>117</v>
      </c>
      <c r="D42" s="30">
        <v>84</v>
      </c>
      <c r="E42" s="30">
        <v>84</v>
      </c>
      <c r="F42" s="30">
        <v>84</v>
      </c>
      <c r="G42" s="30">
        <v>84</v>
      </c>
      <c r="H42" s="30">
        <v>84</v>
      </c>
    </row>
    <row r="43" spans="2:8" ht="14" customHeight="1" x14ac:dyDescent="0.3">
      <c r="B43" s="4" t="s">
        <v>118</v>
      </c>
      <c r="D43" s="30">
        <v>80</v>
      </c>
      <c r="E43" s="30">
        <v>80</v>
      </c>
      <c r="F43" s="30">
        <v>80</v>
      </c>
      <c r="G43" s="30">
        <v>80</v>
      </c>
      <c r="H43" s="30">
        <v>80</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190</v>
      </c>
    </row>
    <row r="3" spans="2:17" ht="14" customHeight="1" x14ac:dyDescent="0.3">
      <c r="B3" s="1" t="s">
        <v>191</v>
      </c>
    </row>
    <row r="4" spans="2:17" ht="28" customHeight="1" x14ac:dyDescent="0.3">
      <c r="B4" s="10" t="s">
        <v>3</v>
      </c>
      <c r="C4" s="10" t="s">
        <v>5</v>
      </c>
      <c r="D4" s="10" t="s">
        <v>192</v>
      </c>
      <c r="E4" s="10" t="s">
        <v>193</v>
      </c>
      <c r="F4" s="10" t="s">
        <v>194</v>
      </c>
      <c r="G4" s="10" t="s">
        <v>195</v>
      </c>
      <c r="H4" s="10" t="s">
        <v>196</v>
      </c>
      <c r="I4" s="10" t="s">
        <v>197</v>
      </c>
      <c r="J4" s="10" t="s">
        <v>198</v>
      </c>
      <c r="K4" s="10" t="s">
        <v>199</v>
      </c>
      <c r="L4" s="10" t="s">
        <v>200</v>
      </c>
      <c r="M4" s="10" t="s">
        <v>201</v>
      </c>
      <c r="N4" s="10" t="s">
        <v>202</v>
      </c>
      <c r="O4" s="10" t="s">
        <v>203</v>
      </c>
      <c r="P4" s="10" t="s">
        <v>204</v>
      </c>
      <c r="Q4" s="10" t="s">
        <v>205</v>
      </c>
    </row>
    <row r="5" spans="2:17" ht="14" customHeight="1" x14ac:dyDescent="0.3">
      <c r="B5" s="4" t="s">
        <v>206</v>
      </c>
      <c r="C5" t="s">
        <v>207</v>
      </c>
      <c r="D5" s="37">
        <f>'Executive Summary'!C9*C23/1000000</f>
        <v>2476073.1279330002</v>
      </c>
      <c r="E5" s="37">
        <f>D5+C24</f>
        <v>2424676.1279330002</v>
      </c>
      <c r="F5" s="37">
        <v>499677</v>
      </c>
      <c r="G5" s="37">
        <v>193693</v>
      </c>
      <c r="H5" s="37">
        <v>166725</v>
      </c>
      <c r="I5" s="37">
        <v>205159</v>
      </c>
      <c r="J5" s="38">
        <f t="shared" ref="J5:J10" si="0">IFERROR(E5/G5,"")</f>
        <v>12.518140190574776</v>
      </c>
      <c r="K5" s="38">
        <f t="shared" ref="K5:K10" si="1">IFERROR(E5/F5,"")</f>
        <v>4.8524869624437388</v>
      </c>
      <c r="L5" s="38">
        <f t="shared" ref="L5:L10" si="2">IFERROR(D5/I5,"")</f>
        <v>12.069044633347795</v>
      </c>
      <c r="M5" s="38">
        <f t="shared" ref="M5:M10" si="3">IFERROR(D5/P5,"")</f>
        <v>1.4692921247039696</v>
      </c>
      <c r="N5" s="39">
        <f t="shared" ref="N5:N10" si="4">IFERROR(H5/F5,"")</f>
        <v>0.3336655479439718</v>
      </c>
      <c r="O5" s="39">
        <f t="shared" ref="O5:O10" si="5">IFERROR(I5/P5,"")</f>
        <v>0.12174054942544422</v>
      </c>
      <c r="P5" s="37">
        <v>1685215</v>
      </c>
    </row>
    <row r="6" spans="2:17" ht="14" customHeight="1" x14ac:dyDescent="0.3">
      <c r="B6" s="4" t="s">
        <v>208</v>
      </c>
      <c r="C6" t="s">
        <v>209</v>
      </c>
      <c r="D6" s="37">
        <v>1324816</v>
      </c>
      <c r="E6" s="37">
        <v>1265474</v>
      </c>
      <c r="F6" s="37">
        <v>825378</v>
      </c>
      <c r="G6" s="37">
        <v>83689</v>
      </c>
      <c r="H6" s="37">
        <v>44139</v>
      </c>
      <c r="I6" s="37">
        <v>38558</v>
      </c>
      <c r="J6" s="38">
        <f t="shared" si="0"/>
        <v>15.121150927839979</v>
      </c>
      <c r="K6" s="38">
        <f t="shared" si="1"/>
        <v>1.5332053919537472</v>
      </c>
      <c r="L6" s="38">
        <f t="shared" si="2"/>
        <v>34.359043518854712</v>
      </c>
      <c r="M6" s="38">
        <f t="shared" si="3"/>
        <v>1.4736682862583872</v>
      </c>
      <c r="N6" s="39">
        <f t="shared" si="4"/>
        <v>5.3477315848011457E-2</v>
      </c>
      <c r="O6" s="39">
        <f t="shared" si="5"/>
        <v>4.289025931265239E-2</v>
      </c>
      <c r="P6" s="37">
        <v>898992</v>
      </c>
    </row>
    <row r="7" spans="2:17" ht="14" customHeight="1" x14ac:dyDescent="0.3">
      <c r="B7" s="4" t="s">
        <v>210</v>
      </c>
      <c r="C7" t="s">
        <v>211</v>
      </c>
      <c r="D7" s="37">
        <v>1258440</v>
      </c>
      <c r="E7" s="37">
        <v>1039671</v>
      </c>
      <c r="F7" s="37">
        <v>496826</v>
      </c>
      <c r="G7" s="37">
        <v>128419</v>
      </c>
      <c r="H7" s="37">
        <v>102275</v>
      </c>
      <c r="I7" s="37">
        <v>67040</v>
      </c>
      <c r="J7" s="38">
        <f t="shared" si="0"/>
        <v>8.0959281726224308</v>
      </c>
      <c r="K7" s="38">
        <f t="shared" si="1"/>
        <v>2.0926259897831434</v>
      </c>
      <c r="L7" s="38">
        <f t="shared" si="2"/>
        <v>18.771479713603817</v>
      </c>
      <c r="M7" s="38">
        <f t="shared" si="3"/>
        <v>1.4087035950799927</v>
      </c>
      <c r="N7" s="39">
        <f t="shared" si="4"/>
        <v>0.20585677883202569</v>
      </c>
      <c r="O7" s="39">
        <f t="shared" si="5"/>
        <v>7.5044888126698697E-2</v>
      </c>
      <c r="P7" s="37">
        <v>893332</v>
      </c>
    </row>
    <row r="8" spans="2:17" ht="14" customHeight="1" x14ac:dyDescent="0.3">
      <c r="B8" s="4" t="s">
        <v>212</v>
      </c>
      <c r="C8" t="s">
        <v>213</v>
      </c>
      <c r="D8" s="37">
        <v>4223444</v>
      </c>
      <c r="E8" s="37">
        <v>4507791</v>
      </c>
      <c r="F8" s="37">
        <v>2139245</v>
      </c>
      <c r="G8" s="37">
        <v>574653</v>
      </c>
      <c r="H8" s="37">
        <v>380059</v>
      </c>
      <c r="I8" s="37">
        <v>291535</v>
      </c>
      <c r="J8" s="38">
        <f t="shared" si="0"/>
        <v>7.8443704287630966</v>
      </c>
      <c r="K8" s="38">
        <f t="shared" si="1"/>
        <v>2.1071878162622792</v>
      </c>
      <c r="L8" s="38">
        <f t="shared" si="2"/>
        <v>14.486919237827362</v>
      </c>
      <c r="M8" s="38">
        <f t="shared" si="3"/>
        <v>2.3090991796807514</v>
      </c>
      <c r="N8" s="39">
        <f t="shared" si="4"/>
        <v>0.17766034278448706</v>
      </c>
      <c r="O8" s="39">
        <f t="shared" si="5"/>
        <v>0.15939201025235042</v>
      </c>
      <c r="P8" s="37">
        <v>1829044</v>
      </c>
    </row>
    <row r="9" spans="2:17" ht="14" customHeight="1" x14ac:dyDescent="0.3">
      <c r="B9" s="4" t="s">
        <v>214</v>
      </c>
      <c r="C9" t="s">
        <v>215</v>
      </c>
      <c r="D9" s="37">
        <v>5084111</v>
      </c>
      <c r="E9" s="37">
        <v>4934785</v>
      </c>
      <c r="F9" s="37">
        <v>2123045</v>
      </c>
      <c r="G9" s="37">
        <v>306549</v>
      </c>
      <c r="H9" s="37">
        <v>229089</v>
      </c>
      <c r="I9" s="37">
        <v>259874</v>
      </c>
      <c r="J9" s="38">
        <f t="shared" si="0"/>
        <v>16.097866898929698</v>
      </c>
      <c r="K9" s="38">
        <f t="shared" si="1"/>
        <v>2.3243902036932802</v>
      </c>
      <c r="L9" s="38">
        <f t="shared" si="2"/>
        <v>19.563753973079262</v>
      </c>
      <c r="M9" s="38">
        <f t="shared" si="3"/>
        <v>3.0550265326025627</v>
      </c>
      <c r="N9" s="39">
        <f t="shared" si="4"/>
        <v>0.10790586162799187</v>
      </c>
      <c r="O9" s="39">
        <f t="shared" si="5"/>
        <v>0.1561574806556266</v>
      </c>
      <c r="P9" s="37">
        <v>1664179</v>
      </c>
    </row>
    <row r="10" spans="2:17" ht="14" customHeight="1" x14ac:dyDescent="0.3">
      <c r="B10" s="4" t="s">
        <v>216</v>
      </c>
      <c r="C10" t="s">
        <v>217</v>
      </c>
      <c r="D10" s="37">
        <v>6320483</v>
      </c>
      <c r="E10" s="37">
        <v>6013813</v>
      </c>
      <c r="F10" s="37">
        <v>2468892</v>
      </c>
      <c r="G10" s="37">
        <v>588273</v>
      </c>
      <c r="H10" s="37">
        <v>472106</v>
      </c>
      <c r="I10" s="37">
        <v>363150</v>
      </c>
      <c r="J10" s="38">
        <f t="shared" si="0"/>
        <v>10.222826816801042</v>
      </c>
      <c r="K10" s="38">
        <f t="shared" si="1"/>
        <v>2.4358347793261106</v>
      </c>
      <c r="L10" s="38">
        <f t="shared" si="2"/>
        <v>17.404606911744459</v>
      </c>
      <c r="M10" s="38">
        <f t="shared" si="3"/>
        <v>2.0835996972418149</v>
      </c>
      <c r="N10" s="39">
        <f t="shared" si="4"/>
        <v>0.191221811241642</v>
      </c>
      <c r="O10" s="39">
        <f t="shared" si="5"/>
        <v>0.119715412580552</v>
      </c>
      <c r="P10" s="37">
        <v>3033444</v>
      </c>
    </row>
    <row r="14" spans="2:17" ht="14" customHeight="1" x14ac:dyDescent="0.3">
      <c r="B14" s="3" t="s">
        <v>218</v>
      </c>
    </row>
    <row r="15" spans="2:17" ht="14" customHeight="1" x14ac:dyDescent="0.3">
      <c r="B15" s="4" t="s">
        <v>219</v>
      </c>
      <c r="D15" s="38">
        <f t="shared" ref="D15:I15" si="6">PERCENTILE(J6:J10,0.25)</f>
        <v>8.0959281726224308</v>
      </c>
      <c r="E15" s="38">
        <f t="shared" si="6"/>
        <v>2.0926259897831434</v>
      </c>
      <c r="F15" s="38">
        <f t="shared" si="6"/>
        <v>17.404606911744459</v>
      </c>
      <c r="G15" s="38">
        <f t="shared" si="6"/>
        <v>1.4736682862583872</v>
      </c>
      <c r="H15" s="39">
        <f t="shared" si="6"/>
        <v>0.10790586162799187</v>
      </c>
      <c r="I15" s="39">
        <f t="shared" si="6"/>
        <v>7.5044888126698697E-2</v>
      </c>
    </row>
    <row r="16" spans="2:17" ht="14" customHeight="1" x14ac:dyDescent="0.3">
      <c r="B16" s="4" t="s">
        <v>220</v>
      </c>
      <c r="D16" s="38">
        <f t="shared" ref="D16:I16" si="7">MEDIAN(J6:J10)</f>
        <v>10.222826816801042</v>
      </c>
      <c r="E16" s="38">
        <f t="shared" si="7"/>
        <v>2.1071878162622792</v>
      </c>
      <c r="F16" s="38">
        <f t="shared" si="7"/>
        <v>18.771479713603817</v>
      </c>
      <c r="G16" s="38">
        <f t="shared" si="7"/>
        <v>2.0835996972418149</v>
      </c>
      <c r="H16" s="39">
        <f t="shared" si="7"/>
        <v>0.17766034278448706</v>
      </c>
      <c r="I16" s="39">
        <f t="shared" si="7"/>
        <v>0.119715412580552</v>
      </c>
    </row>
    <row r="17" spans="2:9" ht="14" customHeight="1" x14ac:dyDescent="0.3">
      <c r="B17" s="4" t="s">
        <v>221</v>
      </c>
      <c r="D17" s="38">
        <f t="shared" ref="D17:I17" si="8">PERCENTILE(J6:J10,0.75)</f>
        <v>15.121150927839979</v>
      </c>
      <c r="E17" s="38">
        <f t="shared" si="8"/>
        <v>2.3243902036932802</v>
      </c>
      <c r="F17" s="38">
        <f t="shared" si="8"/>
        <v>19.563753973079262</v>
      </c>
      <c r="G17" s="38">
        <f t="shared" si="8"/>
        <v>2.3090991796807514</v>
      </c>
      <c r="H17" s="39">
        <f t="shared" si="8"/>
        <v>0.191221811241642</v>
      </c>
      <c r="I17" s="39">
        <f t="shared" si="8"/>
        <v>0.1561574806556266</v>
      </c>
    </row>
    <row r="19" spans="2:9" ht="14" customHeight="1" x14ac:dyDescent="0.3">
      <c r="B19" s="22" t="s">
        <v>222</v>
      </c>
      <c r="C19" s="23"/>
      <c r="D19" s="23"/>
      <c r="E19" s="23"/>
      <c r="F19" s="23"/>
      <c r="G19" s="23"/>
      <c r="H19" s="23"/>
      <c r="I19" s="23"/>
    </row>
    <row r="20" spans="2:9" ht="14" customHeight="1" x14ac:dyDescent="0.3">
      <c r="B20" s="3" t="s">
        <v>223</v>
      </c>
    </row>
    <row r="21" spans="2:9" ht="14" customHeight="1" x14ac:dyDescent="0.3">
      <c r="B21" s="4" t="s">
        <v>224</v>
      </c>
      <c r="C21" s="5">
        <v>193693</v>
      </c>
    </row>
    <row r="22" spans="2:9" ht="14" customHeight="1" x14ac:dyDescent="0.3">
      <c r="B22" s="4" t="s">
        <v>225</v>
      </c>
      <c r="C22" s="5">
        <v>205159</v>
      </c>
    </row>
    <row r="23" spans="2:9" ht="14" customHeight="1" x14ac:dyDescent="0.3">
      <c r="B23" s="4" t="s">
        <v>226</v>
      </c>
      <c r="C23" s="15">
        <v>851176737</v>
      </c>
    </row>
    <row r="24" spans="2:9" ht="14" customHeight="1" x14ac:dyDescent="0.3">
      <c r="B24" s="4" t="s">
        <v>67</v>
      </c>
      <c r="C24" s="5">
        <v>-51397</v>
      </c>
    </row>
    <row r="26" spans="2:9" ht="14" customHeight="1" x14ac:dyDescent="0.3">
      <c r="B26" s="3" t="s">
        <v>227</v>
      </c>
    </row>
    <row r="27" spans="2:9" ht="14" customHeight="1" x14ac:dyDescent="0.3">
      <c r="B27" s="4" t="s">
        <v>228</v>
      </c>
      <c r="C27" s="24">
        <f>ROUND((C21*D16-C24)*1000000/C23,0)</f>
        <v>2387</v>
      </c>
    </row>
    <row r="28" spans="2:9" ht="14" customHeight="1" x14ac:dyDescent="0.3">
      <c r="B28" s="4" t="s">
        <v>229</v>
      </c>
      <c r="C28" s="24">
        <f>ROUND(C22*F16*1000000/C23,0)</f>
        <v>4524</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230</v>
      </c>
    </row>
    <row r="3" spans="2:9" ht="14" customHeight="1" x14ac:dyDescent="0.3">
      <c r="B3" s="4" t="s">
        <v>231</v>
      </c>
      <c r="C3" s="16">
        <f>'DCF Model'!C26</f>
        <v>7.8699999999999992E-2</v>
      </c>
      <c r="E3" s="4" t="s">
        <v>232</v>
      </c>
      <c r="F3" s="16">
        <f>'DCF Model'!C13</f>
        <v>0.01</v>
      </c>
      <c r="H3" s="4" t="s">
        <v>233</v>
      </c>
      <c r="I3" s="14">
        <f>'DCF Model'!C14</f>
        <v>10.199999999999999</v>
      </c>
    </row>
    <row r="5" spans="2:9" ht="14" customHeight="1" x14ac:dyDescent="0.3">
      <c r="B5" s="3" t="s">
        <v>234</v>
      </c>
    </row>
    <row r="6" spans="2:9" ht="14" customHeight="1" x14ac:dyDescent="0.3">
      <c r="B6" s="40" t="s">
        <v>235</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6.3699999999999993E-2</v>
      </c>
      <c r="C7" s="37">
        <f>IFERROR(ROUND(('DCF Model'!C45/(1+$B7)^('DCF Model'!C19+0)+'DCF Model'!D45/(1+$B7)^('DCF Model'!C19+1)+'DCF Model'!E45/(1+$B7)^('DCF Model'!C19+2)+'DCF Model'!F45/(1+$B7)^('DCF Model'!C19+3)+'DCF Model'!G45/(1+$B7)^('DCF Model'!C19+4)+'DCF Model'!G45*(1+C$6)/($B7-C$6)/(1+$B7)^('DCF Model'!C19+4)-'DCF Model'!C16)*1000000/'DCF Model'!C15,0),"")</f>
        <v>2871</v>
      </c>
      <c r="D7" s="37">
        <f>IFERROR(ROUND(('DCF Model'!C45/(1+$B7)^('DCF Model'!C19+0)+'DCF Model'!D45/(1+$B7)^('DCF Model'!C19+1)+'DCF Model'!E45/(1+$B7)^('DCF Model'!C19+2)+'DCF Model'!F45/(1+$B7)^('DCF Model'!C19+3)+'DCF Model'!G45/(1+$B7)^('DCF Model'!C19+4)+'DCF Model'!G45*(1+D$6)/($B7-D$6)/(1+$B7)^('DCF Model'!C19+4)-'DCF Model'!C16)*1000000/'DCF Model'!C15,0),"")</f>
        <v>2967</v>
      </c>
      <c r="E7" s="37">
        <f>IFERROR(ROUND(('DCF Model'!C45/(1+$B7)^('DCF Model'!C19+0)+'DCF Model'!D45/(1+$B7)^('DCF Model'!C19+1)+'DCF Model'!E45/(1+$B7)^('DCF Model'!C19+2)+'DCF Model'!F45/(1+$B7)^('DCF Model'!C19+3)+'DCF Model'!G45/(1+$B7)^('DCF Model'!C19+4)+'DCF Model'!G45*(1+E$6)/($B7-E$6)/(1+$B7)^('DCF Model'!C19+4)-'DCF Model'!C16)*1000000/'DCF Model'!C15,0),"")</f>
        <v>3072</v>
      </c>
      <c r="F7" s="37">
        <f>IFERROR(ROUND(('DCF Model'!C45/(1+$B7)^('DCF Model'!C19+0)+'DCF Model'!D45/(1+$B7)^('DCF Model'!C19+1)+'DCF Model'!E45/(1+$B7)^('DCF Model'!C19+2)+'DCF Model'!F45/(1+$B7)^('DCF Model'!C19+3)+'DCF Model'!G45/(1+$B7)^('DCF Model'!C19+4)+'DCF Model'!G45*(1+F$6)/($B7-F$6)/(1+$B7)^('DCF Model'!C19+4)-'DCF Model'!C16)*1000000/'DCF Model'!C15,0),"")</f>
        <v>3187</v>
      </c>
      <c r="G7" s="37">
        <f>IFERROR(ROUND(('DCF Model'!C45/(1+$B7)^('DCF Model'!C19+0)+'DCF Model'!D45/(1+$B7)^('DCF Model'!C19+1)+'DCF Model'!E45/(1+$B7)^('DCF Model'!C19+2)+'DCF Model'!F45/(1+$B7)^('DCF Model'!C19+3)+'DCF Model'!G45/(1+$B7)^('DCF Model'!C19+4)+'DCF Model'!G45*(1+G$6)/($B7-G$6)/(1+$B7)^('DCF Model'!C19+4)-'DCF Model'!C16)*1000000/'DCF Model'!C15,0),"")</f>
        <v>3313</v>
      </c>
      <c r="H7" s="37">
        <f>IFERROR(ROUND(('DCF Model'!C45/(1+$B7)^('DCF Model'!C19+0)+'DCF Model'!D45/(1+$B7)^('DCF Model'!C19+1)+'DCF Model'!E45/(1+$B7)^('DCF Model'!C19+2)+'DCF Model'!F45/(1+$B7)^('DCF Model'!C19+3)+'DCF Model'!G45/(1+$B7)^('DCF Model'!C19+4)+'DCF Model'!G45*(1+H$6)/($B7-H$6)/(1+$B7)^('DCF Model'!C19+4)-'DCF Model'!C16)*1000000/'DCF Model'!C15,0),"")</f>
        <v>3452</v>
      </c>
      <c r="I7" s="37">
        <f>IFERROR(ROUND(('DCF Model'!C45/(1+$B7)^('DCF Model'!C19+0)+'DCF Model'!D45/(1+$B7)^('DCF Model'!C19+1)+'DCF Model'!E45/(1+$B7)^('DCF Model'!C19+2)+'DCF Model'!F45/(1+$B7)^('DCF Model'!C19+3)+'DCF Model'!G45/(1+$B7)^('DCF Model'!C19+4)+'DCF Model'!G45*(1+I$6)/($B7-I$6)/(1+$B7)^('DCF Model'!C19+4)-'DCF Model'!C16)*1000000/'DCF Model'!C15,0),"")</f>
        <v>3607</v>
      </c>
    </row>
    <row r="8" spans="2:9" ht="13.5" customHeight="1" x14ac:dyDescent="0.25">
      <c r="B8" s="39">
        <f>$C$3-0.01</f>
        <v>6.8699999999999997E-2</v>
      </c>
      <c r="C8" s="37">
        <f>IFERROR(ROUND(('DCF Model'!C45/(1+$B8)^('DCF Model'!C19+0)+'DCF Model'!D45/(1+$B8)^('DCF Model'!C19+1)+'DCF Model'!E45/(1+$B8)^('DCF Model'!C19+2)+'DCF Model'!F45/(1+$B8)^('DCF Model'!C19+3)+'DCF Model'!G45/(1+$B8)^('DCF Model'!C19+4)+'DCF Model'!G45*(1+C$6)/($B8-C$6)/(1+$B8)^('DCF Model'!C19+4)-'DCF Model'!C16)*1000000/'DCF Model'!C15,0),"")</f>
        <v>2654</v>
      </c>
      <c r="D8" s="37">
        <f>IFERROR(ROUND(('DCF Model'!C45/(1+$B8)^('DCF Model'!C19+0)+'DCF Model'!D45/(1+$B8)^('DCF Model'!C19+1)+'DCF Model'!E45/(1+$B8)^('DCF Model'!C19+2)+'DCF Model'!F45/(1+$B8)^('DCF Model'!C19+3)+'DCF Model'!G45/(1+$B8)^('DCF Model'!C19+4)+'DCF Model'!G45*(1+D$6)/($B8-D$6)/(1+$B8)^('DCF Model'!C19+4)-'DCF Model'!C16)*1000000/'DCF Model'!C15,0),"")</f>
        <v>2735</v>
      </c>
      <c r="E8" s="37">
        <f>IFERROR(ROUND(('DCF Model'!C45/(1+$B8)^('DCF Model'!C19+0)+'DCF Model'!D45/(1+$B8)^('DCF Model'!C19+1)+'DCF Model'!E45/(1+$B8)^('DCF Model'!C19+2)+'DCF Model'!F45/(1+$B8)^('DCF Model'!C19+3)+'DCF Model'!G45/(1+$B8)^('DCF Model'!C19+4)+'DCF Model'!G45*(1+E$6)/($B8-E$6)/(1+$B8)^('DCF Model'!C19+4)-'DCF Model'!C16)*1000000/'DCF Model'!C15,0),"")</f>
        <v>2822</v>
      </c>
      <c r="F8" s="37">
        <f>IFERROR(ROUND(('DCF Model'!C45/(1+$B8)^('DCF Model'!C19+0)+'DCF Model'!D45/(1+$B8)^('DCF Model'!C19+1)+'DCF Model'!E45/(1+$B8)^('DCF Model'!C19+2)+'DCF Model'!F45/(1+$B8)^('DCF Model'!C19+3)+'DCF Model'!G45/(1+$B8)^('DCF Model'!C19+4)+'DCF Model'!G45*(1+F$6)/($B8-F$6)/(1+$B8)^('DCF Model'!C19+4)-'DCF Model'!C16)*1000000/'DCF Model'!C15,0),"")</f>
        <v>2917</v>
      </c>
      <c r="G8" s="37">
        <f>IFERROR(ROUND(('DCF Model'!C45/(1+$B8)^('DCF Model'!C19+0)+'DCF Model'!D45/(1+$B8)^('DCF Model'!C19+1)+'DCF Model'!E45/(1+$B8)^('DCF Model'!C19+2)+'DCF Model'!F45/(1+$B8)^('DCF Model'!C19+3)+'DCF Model'!G45/(1+$B8)^('DCF Model'!C19+4)+'DCF Model'!G45*(1+G$6)/($B8-G$6)/(1+$B8)^('DCF Model'!C19+4)-'DCF Model'!C16)*1000000/'DCF Model'!C15,0),"")</f>
        <v>3020</v>
      </c>
      <c r="H8" s="37">
        <f>IFERROR(ROUND(('DCF Model'!C45/(1+$B8)^('DCF Model'!C19+0)+'DCF Model'!D45/(1+$B8)^('DCF Model'!C19+1)+'DCF Model'!E45/(1+$B8)^('DCF Model'!C19+2)+'DCF Model'!F45/(1+$B8)^('DCF Model'!C19+3)+'DCF Model'!G45/(1+$B8)^('DCF Model'!C19+4)+'DCF Model'!G45*(1+H$6)/($B8-H$6)/(1+$B8)^('DCF Model'!C19+4)-'DCF Model'!C16)*1000000/'DCF Model'!C15,0),"")</f>
        <v>3133</v>
      </c>
      <c r="I8" s="37">
        <f>IFERROR(ROUND(('DCF Model'!C45/(1+$B8)^('DCF Model'!C19+0)+'DCF Model'!D45/(1+$B8)^('DCF Model'!C19+1)+'DCF Model'!E45/(1+$B8)^('DCF Model'!C19+2)+'DCF Model'!F45/(1+$B8)^('DCF Model'!C19+3)+'DCF Model'!G45/(1+$B8)^('DCF Model'!C19+4)+'DCF Model'!G45*(1+I$6)/($B8-I$6)/(1+$B8)^('DCF Model'!C19+4)-'DCF Model'!C16)*1000000/'DCF Model'!C15,0),"")</f>
        <v>3257</v>
      </c>
    </row>
    <row r="9" spans="2:9" ht="13.5" customHeight="1" x14ac:dyDescent="0.25">
      <c r="B9" s="39">
        <f>$C$3-0.005</f>
        <v>7.3699999999999988E-2</v>
      </c>
      <c r="C9" s="37">
        <f>IFERROR(ROUND(('DCF Model'!C45/(1+$B9)^('DCF Model'!C19+0)+'DCF Model'!D45/(1+$B9)^('DCF Model'!C19+1)+'DCF Model'!E45/(1+$B9)^('DCF Model'!C19+2)+'DCF Model'!F45/(1+$B9)^('DCF Model'!C19+3)+'DCF Model'!G45/(1+$B9)^('DCF Model'!C19+4)+'DCF Model'!G45*(1+C$6)/($B9-C$6)/(1+$B9)^('DCF Model'!C19+4)-'DCF Model'!C16)*1000000/'DCF Model'!C15,0),"")</f>
        <v>2468</v>
      </c>
      <c r="D9" s="37">
        <f>IFERROR(ROUND(('DCF Model'!C45/(1+$B9)^('DCF Model'!C19+0)+'DCF Model'!D45/(1+$B9)^('DCF Model'!C19+1)+'DCF Model'!E45/(1+$B9)^('DCF Model'!C19+2)+'DCF Model'!F45/(1+$B9)^('DCF Model'!C19+3)+'DCF Model'!G45/(1+$B9)^('DCF Model'!C19+4)+'DCF Model'!G45*(1+D$6)/($B9-D$6)/(1+$B9)^('DCF Model'!C19+4)-'DCF Model'!C16)*1000000/'DCF Model'!C15,0),"")</f>
        <v>2537</v>
      </c>
      <c r="E9" s="37">
        <f>IFERROR(ROUND(('DCF Model'!C45/(1+$B9)^('DCF Model'!C19+0)+'DCF Model'!D45/(1+$B9)^('DCF Model'!C19+1)+'DCF Model'!E45/(1+$B9)^('DCF Model'!C19+2)+'DCF Model'!F45/(1+$B9)^('DCF Model'!C19+3)+'DCF Model'!G45/(1+$B9)^('DCF Model'!C19+4)+'DCF Model'!G45*(1+E$6)/($B9-E$6)/(1+$B9)^('DCF Model'!C19+4)-'DCF Model'!C16)*1000000/'DCF Model'!C15,0),"")</f>
        <v>2610</v>
      </c>
      <c r="F9" s="37">
        <f>IFERROR(ROUND(('DCF Model'!C45/(1+$B9)^('DCF Model'!C19+0)+'DCF Model'!D45/(1+$B9)^('DCF Model'!C19+1)+'DCF Model'!E45/(1+$B9)^('DCF Model'!C19+2)+'DCF Model'!F45/(1+$B9)^('DCF Model'!C19+3)+'DCF Model'!G45/(1+$B9)^('DCF Model'!C19+4)+'DCF Model'!G45*(1+F$6)/($B9-F$6)/(1+$B9)^('DCF Model'!C19+4)-'DCF Model'!C16)*1000000/'DCF Model'!C15,0),"")</f>
        <v>2689</v>
      </c>
      <c r="G9" s="37">
        <f>IFERROR(ROUND(('DCF Model'!C45/(1+$B9)^('DCF Model'!C19+0)+'DCF Model'!D45/(1+$B9)^('DCF Model'!C19+1)+'DCF Model'!E45/(1+$B9)^('DCF Model'!C19+2)+'DCF Model'!F45/(1+$B9)^('DCF Model'!C19+3)+'DCF Model'!G45/(1+$B9)^('DCF Model'!C19+4)+'DCF Model'!G45*(1+G$6)/($B9-G$6)/(1+$B9)^('DCF Model'!C19+4)-'DCF Model'!C16)*1000000/'DCF Model'!C15,0),"")</f>
        <v>2775</v>
      </c>
      <c r="H9" s="37">
        <f>IFERROR(ROUND(('DCF Model'!C45/(1+$B9)^('DCF Model'!C19+0)+'DCF Model'!D45/(1+$B9)^('DCF Model'!C19+1)+'DCF Model'!E45/(1+$B9)^('DCF Model'!C19+2)+'DCF Model'!F45/(1+$B9)^('DCF Model'!C19+3)+'DCF Model'!G45/(1+$B9)^('DCF Model'!C19+4)+'DCF Model'!G45*(1+H$6)/($B9-H$6)/(1+$B9)^('DCF Model'!C19+4)-'DCF Model'!C16)*1000000/'DCF Model'!C15,0),"")</f>
        <v>2868</v>
      </c>
      <c r="I9" s="37">
        <f>IFERROR(ROUND(('DCF Model'!C45/(1+$B9)^('DCF Model'!C19+0)+'DCF Model'!D45/(1+$B9)^('DCF Model'!C19+1)+'DCF Model'!E45/(1+$B9)^('DCF Model'!C19+2)+'DCF Model'!F45/(1+$B9)^('DCF Model'!C19+3)+'DCF Model'!G45/(1+$B9)^('DCF Model'!C19+4)+'DCF Model'!G45*(1+I$6)/($B9-I$6)/(1+$B9)^('DCF Model'!C19+4)-'DCF Model'!C16)*1000000/'DCF Model'!C15,0),"")</f>
        <v>2969</v>
      </c>
    </row>
    <row r="10" spans="2:9" ht="13.5" customHeight="1" x14ac:dyDescent="0.25">
      <c r="B10" s="39">
        <f>$C$3</f>
        <v>7.8699999999999992E-2</v>
      </c>
      <c r="C10" s="37">
        <f>IFERROR(ROUND(('DCF Model'!C45/(1+$B10)^('DCF Model'!C19+0)+'DCF Model'!D45/(1+$B10)^('DCF Model'!C19+1)+'DCF Model'!E45/(1+$B10)^('DCF Model'!C19+2)+'DCF Model'!F45/(1+$B10)^('DCF Model'!C19+3)+'DCF Model'!G45/(1+$B10)^('DCF Model'!C19+4)+'DCF Model'!G45*(1+C$6)/($B10-C$6)/(1+$B10)^('DCF Model'!C19+4)-'DCF Model'!C16)*1000000/'DCF Model'!C15,0),"")</f>
        <v>2307</v>
      </c>
      <c r="D10" s="37">
        <f>IFERROR(ROUND(('DCF Model'!C45/(1+$B10)^('DCF Model'!C19+0)+'DCF Model'!D45/(1+$B10)^('DCF Model'!C19+1)+'DCF Model'!E45/(1+$B10)^('DCF Model'!C19+2)+'DCF Model'!F45/(1+$B10)^('DCF Model'!C19+3)+'DCF Model'!G45/(1+$B10)^('DCF Model'!C19+4)+'DCF Model'!G45*(1+D$6)/($B10-D$6)/(1+$B10)^('DCF Model'!C19+4)-'DCF Model'!C16)*1000000/'DCF Model'!C15,0),"")</f>
        <v>2365</v>
      </c>
      <c r="E10" s="37">
        <f>IFERROR(ROUND(('DCF Model'!C45/(1+$B10)^('DCF Model'!C19+0)+'DCF Model'!D45/(1+$B10)^('DCF Model'!C19+1)+'DCF Model'!E45/(1+$B10)^('DCF Model'!C19+2)+'DCF Model'!F45/(1+$B10)^('DCF Model'!C19+3)+'DCF Model'!G45/(1+$B10)^('DCF Model'!C19+4)+'DCF Model'!G45*(1+E$6)/($B10-E$6)/(1+$B10)^('DCF Model'!C19+4)-'DCF Model'!C16)*1000000/'DCF Model'!C15,0),"")</f>
        <v>2428</v>
      </c>
      <c r="F10" s="37">
        <f>IFERROR(ROUND(('DCF Model'!C45/(1+$B10)^('DCF Model'!C19+0)+'DCF Model'!D45/(1+$B10)^('DCF Model'!C19+1)+'DCF Model'!E45/(1+$B10)^('DCF Model'!C19+2)+'DCF Model'!F45/(1+$B10)^('DCF Model'!C19+3)+'DCF Model'!G45/(1+$B10)^('DCF Model'!C19+4)+'DCF Model'!G45*(1+F$6)/($B10-F$6)/(1+$B10)^('DCF Model'!C19+4)-'DCF Model'!C16)*1000000/'DCF Model'!C15,0),"")</f>
        <v>2495</v>
      </c>
      <c r="G10" s="37">
        <f>IFERROR(ROUND(('DCF Model'!C45/(1+$B10)^('DCF Model'!C19+0)+'DCF Model'!D45/(1+$B10)^('DCF Model'!C19+1)+'DCF Model'!E45/(1+$B10)^('DCF Model'!C19+2)+'DCF Model'!F45/(1+$B10)^('DCF Model'!C19+3)+'DCF Model'!G45/(1+$B10)^('DCF Model'!C19+4)+'DCF Model'!G45*(1+G$6)/($B10-G$6)/(1+$B10)^('DCF Model'!C19+4)-'DCF Model'!C16)*1000000/'DCF Model'!C15,0),"")</f>
        <v>2567</v>
      </c>
      <c r="H10" s="37">
        <f>IFERROR(ROUND(('DCF Model'!C45/(1+$B10)^('DCF Model'!C19+0)+'DCF Model'!D45/(1+$B10)^('DCF Model'!C19+1)+'DCF Model'!E45/(1+$B10)^('DCF Model'!C19+2)+'DCF Model'!F45/(1+$B10)^('DCF Model'!C19+3)+'DCF Model'!G45/(1+$B10)^('DCF Model'!C19+4)+'DCF Model'!G45*(1+H$6)/($B10-H$6)/(1+$B10)^('DCF Model'!C19+4)-'DCF Model'!C16)*1000000/'DCF Model'!C15,0),"")</f>
        <v>2645</v>
      </c>
      <c r="I10" s="37">
        <f>IFERROR(ROUND(('DCF Model'!C45/(1+$B10)^('DCF Model'!C19+0)+'DCF Model'!D45/(1+$B10)^('DCF Model'!C19+1)+'DCF Model'!E45/(1+$B10)^('DCF Model'!C19+2)+'DCF Model'!F45/(1+$B10)^('DCF Model'!C19+3)+'DCF Model'!G45/(1+$B10)^('DCF Model'!C19+4)+'DCF Model'!G45*(1+I$6)/($B10-I$6)/(1+$B10)^('DCF Model'!C19+4)-'DCF Model'!C16)*1000000/'DCF Model'!C15,0),"")</f>
        <v>2729</v>
      </c>
    </row>
    <row r="11" spans="2:9" ht="13.5" customHeight="1" x14ac:dyDescent="0.25">
      <c r="B11" s="39">
        <f>$C$3+0.005</f>
        <v>8.3699999999999997E-2</v>
      </c>
      <c r="C11" s="37">
        <f>IFERROR(ROUND(('DCF Model'!C45/(1+$B11)^('DCF Model'!C19+0)+'DCF Model'!D45/(1+$B11)^('DCF Model'!C19+1)+'DCF Model'!E45/(1+$B11)^('DCF Model'!C19+2)+'DCF Model'!F45/(1+$B11)^('DCF Model'!C19+3)+'DCF Model'!G45/(1+$B11)^('DCF Model'!C19+4)+'DCF Model'!G45*(1+C$6)/($B11-C$6)/(1+$B11)^('DCF Model'!C19+4)-'DCF Model'!C16)*1000000/'DCF Model'!C15,0),"")</f>
        <v>2166</v>
      </c>
      <c r="D11" s="37">
        <f>IFERROR(ROUND(('DCF Model'!C45/(1+$B11)^('DCF Model'!C19+0)+'DCF Model'!D45/(1+$B11)^('DCF Model'!C19+1)+'DCF Model'!E45/(1+$B11)^('DCF Model'!C19+2)+'DCF Model'!F45/(1+$B11)^('DCF Model'!C19+3)+'DCF Model'!G45/(1+$B11)^('DCF Model'!C19+4)+'DCF Model'!G45*(1+D$6)/($B11-D$6)/(1+$B11)^('DCF Model'!C19+4)-'DCF Model'!C16)*1000000/'DCF Model'!C15,0),"")</f>
        <v>2216</v>
      </c>
      <c r="E11" s="37">
        <f>IFERROR(ROUND(('DCF Model'!C45/(1+$B11)^('DCF Model'!C19+0)+'DCF Model'!D45/(1+$B11)^('DCF Model'!C19+1)+'DCF Model'!E45/(1+$B11)^('DCF Model'!C19+2)+'DCF Model'!F45/(1+$B11)^('DCF Model'!C19+3)+'DCF Model'!G45/(1+$B11)^('DCF Model'!C19+4)+'DCF Model'!G45*(1+E$6)/($B11-E$6)/(1+$B11)^('DCF Model'!C19+4)-'DCF Model'!C16)*1000000/'DCF Model'!C15,0),"")</f>
        <v>2270</v>
      </c>
      <c r="F11" s="37">
        <f>IFERROR(ROUND(('DCF Model'!C45/(1+$B11)^('DCF Model'!C19+0)+'DCF Model'!D45/(1+$B11)^('DCF Model'!C19+1)+'DCF Model'!E45/(1+$B11)^('DCF Model'!C19+2)+'DCF Model'!F45/(1+$B11)^('DCF Model'!C19+3)+'DCF Model'!G45/(1+$B11)^('DCF Model'!C19+4)+'DCF Model'!G45*(1+F$6)/($B11-F$6)/(1+$B11)^('DCF Model'!C19+4)-'DCF Model'!C16)*1000000/'DCF Model'!C15,0),"")</f>
        <v>2327</v>
      </c>
      <c r="G11" s="37">
        <f>IFERROR(ROUND(('DCF Model'!C45/(1+$B11)^('DCF Model'!C19+0)+'DCF Model'!D45/(1+$B11)^('DCF Model'!C19+1)+'DCF Model'!E45/(1+$B11)^('DCF Model'!C19+2)+'DCF Model'!F45/(1+$B11)^('DCF Model'!C19+3)+'DCF Model'!G45/(1+$B11)^('DCF Model'!C19+4)+'DCF Model'!G45*(1+G$6)/($B11-G$6)/(1+$B11)^('DCF Model'!C19+4)-'DCF Model'!C16)*1000000/'DCF Model'!C15,0),"")</f>
        <v>2388</v>
      </c>
      <c r="H11" s="37">
        <f>IFERROR(ROUND(('DCF Model'!C45/(1+$B11)^('DCF Model'!C19+0)+'DCF Model'!D45/(1+$B11)^('DCF Model'!C19+1)+'DCF Model'!E45/(1+$B11)^('DCF Model'!C19+2)+'DCF Model'!F45/(1+$B11)^('DCF Model'!C19+3)+'DCF Model'!G45/(1+$B11)^('DCF Model'!C19+4)+'DCF Model'!G45*(1+H$6)/($B11-H$6)/(1+$B11)^('DCF Model'!C19+4)-'DCF Model'!C16)*1000000/'DCF Model'!C15,0),"")</f>
        <v>2454</v>
      </c>
      <c r="I11" s="37">
        <f>IFERROR(ROUND(('DCF Model'!C45/(1+$B11)^('DCF Model'!C19+0)+'DCF Model'!D45/(1+$B11)^('DCF Model'!C19+1)+'DCF Model'!E45/(1+$B11)^('DCF Model'!C19+2)+'DCF Model'!F45/(1+$B11)^('DCF Model'!C19+3)+'DCF Model'!G45/(1+$B11)^('DCF Model'!C19+4)+'DCF Model'!G45*(1+I$6)/($B11-I$6)/(1+$B11)^('DCF Model'!C19+4)-'DCF Model'!C16)*1000000/'DCF Model'!C15,0),"")</f>
        <v>2525</v>
      </c>
    </row>
    <row r="12" spans="2:9" ht="13.5" customHeight="1" x14ac:dyDescent="0.25">
      <c r="B12" s="39">
        <f>$C$3+0.01</f>
        <v>8.8699999999999987E-2</v>
      </c>
      <c r="C12" s="37">
        <f>IFERROR(ROUND(('DCF Model'!C45/(1+$B12)^('DCF Model'!C19+0)+'DCF Model'!D45/(1+$B12)^('DCF Model'!C19+1)+'DCF Model'!E45/(1+$B12)^('DCF Model'!C19+2)+'DCF Model'!F45/(1+$B12)^('DCF Model'!C19+3)+'DCF Model'!G45/(1+$B12)^('DCF Model'!C19+4)+'DCF Model'!G45*(1+C$6)/($B12-C$6)/(1+$B12)^('DCF Model'!C19+4)-'DCF Model'!C16)*1000000/'DCF Model'!C15,0),"")</f>
        <v>2041</v>
      </c>
      <c r="D12" s="37">
        <f>IFERROR(ROUND(('DCF Model'!C45/(1+$B12)^('DCF Model'!C19+0)+'DCF Model'!D45/(1+$B12)^('DCF Model'!C19+1)+'DCF Model'!E45/(1+$B12)^('DCF Model'!C19+2)+'DCF Model'!F45/(1+$B12)^('DCF Model'!C19+3)+'DCF Model'!G45/(1+$B12)^('DCF Model'!C19+4)+'DCF Model'!G45*(1+D$6)/($B12-D$6)/(1+$B12)^('DCF Model'!C19+4)-'DCF Model'!C16)*1000000/'DCF Model'!C15,0),"")</f>
        <v>2084</v>
      </c>
      <c r="E12" s="37">
        <f>IFERROR(ROUND(('DCF Model'!C45/(1+$B12)^('DCF Model'!C19+0)+'DCF Model'!D45/(1+$B12)^('DCF Model'!C19+1)+'DCF Model'!E45/(1+$B12)^('DCF Model'!C19+2)+'DCF Model'!F45/(1+$B12)^('DCF Model'!C19+3)+'DCF Model'!G45/(1+$B12)^('DCF Model'!C19+4)+'DCF Model'!G45*(1+E$6)/($B12-E$6)/(1+$B12)^('DCF Model'!C19+4)-'DCF Model'!C16)*1000000/'DCF Model'!C15,0),"")</f>
        <v>2131</v>
      </c>
      <c r="F12" s="37">
        <f>IFERROR(ROUND(('DCF Model'!C45/(1+$B12)^('DCF Model'!C19+0)+'DCF Model'!D45/(1+$B12)^('DCF Model'!C19+1)+'DCF Model'!E45/(1+$B12)^('DCF Model'!C19+2)+'DCF Model'!F45/(1+$B12)^('DCF Model'!C19+3)+'DCF Model'!G45/(1+$B12)^('DCF Model'!C19+4)+'DCF Model'!G45*(1+F$6)/($B12-F$6)/(1+$B12)^('DCF Model'!C19+4)-'DCF Model'!C16)*1000000/'DCF Model'!C15,0),"")</f>
        <v>2180</v>
      </c>
      <c r="G12" s="37">
        <f>IFERROR(ROUND(('DCF Model'!C45/(1+$B12)^('DCF Model'!C19+0)+'DCF Model'!D45/(1+$B12)^('DCF Model'!C19+1)+'DCF Model'!E45/(1+$B12)^('DCF Model'!C19+2)+'DCF Model'!F45/(1+$B12)^('DCF Model'!C19+3)+'DCF Model'!G45/(1+$B12)^('DCF Model'!C19+4)+'DCF Model'!G45*(1+G$6)/($B12-G$6)/(1+$B12)^('DCF Model'!C19+4)-'DCF Model'!C16)*1000000/'DCF Model'!C15,0),"")</f>
        <v>2233</v>
      </c>
      <c r="H12" s="37">
        <f>IFERROR(ROUND(('DCF Model'!C45/(1+$B12)^('DCF Model'!C19+0)+'DCF Model'!D45/(1+$B12)^('DCF Model'!C19+1)+'DCF Model'!E45/(1+$B12)^('DCF Model'!C19+2)+'DCF Model'!F45/(1+$B12)^('DCF Model'!C19+3)+'DCF Model'!G45/(1+$B12)^('DCF Model'!C19+4)+'DCF Model'!G45*(1+H$6)/($B12-H$6)/(1+$B12)^('DCF Model'!C19+4)-'DCF Model'!C16)*1000000/'DCF Model'!C15,0),"")</f>
        <v>2289</v>
      </c>
      <c r="I12" s="37">
        <f>IFERROR(ROUND(('DCF Model'!C45/(1+$B12)^('DCF Model'!C19+0)+'DCF Model'!D45/(1+$B12)^('DCF Model'!C19+1)+'DCF Model'!E45/(1+$B12)^('DCF Model'!C19+2)+'DCF Model'!F45/(1+$B12)^('DCF Model'!C19+3)+'DCF Model'!G45/(1+$B12)^('DCF Model'!C19+4)+'DCF Model'!G45*(1+I$6)/($B12-I$6)/(1+$B12)^('DCF Model'!C19+4)-'DCF Model'!C16)*1000000/'DCF Model'!C15,0),"")</f>
        <v>2350</v>
      </c>
    </row>
    <row r="13" spans="2:9" ht="13.5" customHeight="1" x14ac:dyDescent="0.25">
      <c r="B13" s="39">
        <f>$C$3+0.015</f>
        <v>9.3699999999999992E-2</v>
      </c>
      <c r="C13" s="37">
        <f>IFERROR(ROUND(('DCF Model'!C45/(1+$B13)^('DCF Model'!C19+0)+'DCF Model'!D45/(1+$B13)^('DCF Model'!C19+1)+'DCF Model'!E45/(1+$B13)^('DCF Model'!C19+2)+'DCF Model'!F45/(1+$B13)^('DCF Model'!C19+3)+'DCF Model'!G45/(1+$B13)^('DCF Model'!C19+4)+'DCF Model'!G45*(1+C$6)/($B13-C$6)/(1+$B13)^('DCF Model'!C19+4)-'DCF Model'!C16)*1000000/'DCF Model'!C15,0),"")</f>
        <v>1929</v>
      </c>
      <c r="D13" s="37">
        <f>IFERROR(ROUND(('DCF Model'!C45/(1+$B13)^('DCF Model'!C19+0)+'DCF Model'!D45/(1+$B13)^('DCF Model'!C19+1)+'DCF Model'!E45/(1+$B13)^('DCF Model'!C19+2)+'DCF Model'!F45/(1+$B13)^('DCF Model'!C19+3)+'DCF Model'!G45/(1+$B13)^('DCF Model'!C19+4)+'DCF Model'!G45*(1+D$6)/($B13-D$6)/(1+$B13)^('DCF Model'!C19+4)-'DCF Model'!C16)*1000000/'DCF Model'!C15,0),"")</f>
        <v>1968</v>
      </c>
      <c r="E13" s="37">
        <f>IFERROR(ROUND(('DCF Model'!C45/(1+$B13)^('DCF Model'!C19+0)+'DCF Model'!D45/(1+$B13)^('DCF Model'!C19+1)+'DCF Model'!E45/(1+$B13)^('DCF Model'!C19+2)+'DCF Model'!F45/(1+$B13)^('DCF Model'!C19+3)+'DCF Model'!G45/(1+$B13)^('DCF Model'!C19+4)+'DCF Model'!G45*(1+E$6)/($B13-E$6)/(1+$B13)^('DCF Model'!C19+4)-'DCF Model'!C16)*1000000/'DCF Model'!C15,0),"")</f>
        <v>2008</v>
      </c>
      <c r="F13" s="37">
        <f>IFERROR(ROUND(('DCF Model'!C45/(1+$B13)^('DCF Model'!C19+0)+'DCF Model'!D45/(1+$B13)^('DCF Model'!C19+1)+'DCF Model'!E45/(1+$B13)^('DCF Model'!C19+2)+'DCF Model'!F45/(1+$B13)^('DCF Model'!C19+3)+'DCF Model'!G45/(1+$B13)^('DCF Model'!C19+4)+'DCF Model'!G45*(1+F$6)/($B13-F$6)/(1+$B13)^('DCF Model'!C19+4)-'DCF Model'!C16)*1000000/'DCF Model'!C15,0),"")</f>
        <v>2051</v>
      </c>
      <c r="G13" s="37">
        <f>IFERROR(ROUND(('DCF Model'!C45/(1+$B13)^('DCF Model'!C19+0)+'DCF Model'!D45/(1+$B13)^('DCF Model'!C19+1)+'DCF Model'!E45/(1+$B13)^('DCF Model'!C19+2)+'DCF Model'!F45/(1+$B13)^('DCF Model'!C19+3)+'DCF Model'!G45/(1+$B13)^('DCF Model'!C19+4)+'DCF Model'!G45*(1+G$6)/($B13-G$6)/(1+$B13)^('DCF Model'!C19+4)-'DCF Model'!C16)*1000000/'DCF Model'!C15,0),"")</f>
        <v>2097</v>
      </c>
      <c r="H13" s="37">
        <f>IFERROR(ROUND(('DCF Model'!C45/(1+$B13)^('DCF Model'!C19+0)+'DCF Model'!D45/(1+$B13)^('DCF Model'!C19+1)+'DCF Model'!E45/(1+$B13)^('DCF Model'!C19+2)+'DCF Model'!F45/(1+$B13)^('DCF Model'!C19+3)+'DCF Model'!G45/(1+$B13)^('DCF Model'!C19+4)+'DCF Model'!G45*(1+H$6)/($B13-H$6)/(1+$B13)^('DCF Model'!C19+4)-'DCF Model'!C16)*1000000/'DCF Model'!C15,0),"")</f>
        <v>2145</v>
      </c>
      <c r="I13" s="37">
        <f>IFERROR(ROUND(('DCF Model'!C45/(1+$B13)^('DCF Model'!C19+0)+'DCF Model'!D45/(1+$B13)^('DCF Model'!C19+1)+'DCF Model'!E45/(1+$B13)^('DCF Model'!C19+2)+'DCF Model'!F45/(1+$B13)^('DCF Model'!C19+3)+'DCF Model'!G45/(1+$B13)^('DCF Model'!C19+4)+'DCF Model'!G45*(1+I$6)/($B13-I$6)/(1+$B13)^('DCF Model'!C19+4)-'DCF Model'!C16)*1000000/'DCF Model'!C15,0),"")</f>
        <v>2197</v>
      </c>
    </row>
    <row r="16" spans="2:9" ht="14" customHeight="1" x14ac:dyDescent="0.3">
      <c r="B16" s="3" t="s">
        <v>236</v>
      </c>
    </row>
    <row r="17" spans="2:9" ht="14" customHeight="1" x14ac:dyDescent="0.3">
      <c r="B17" s="40" t="s">
        <v>237</v>
      </c>
      <c r="C17" s="42">
        <f>$I$3-3</f>
        <v>7.1999999999999993</v>
      </c>
      <c r="D17" s="42">
        <f>$I$3-2</f>
        <v>8.1999999999999993</v>
      </c>
      <c r="E17" s="42">
        <f>$I$3-1</f>
        <v>9.1999999999999993</v>
      </c>
      <c r="F17" s="42">
        <f>$I$3</f>
        <v>10.199999999999999</v>
      </c>
      <c r="G17" s="42">
        <f>$I$3+1</f>
        <v>11.2</v>
      </c>
      <c r="H17" s="42">
        <f>$I$3+2</f>
        <v>12.2</v>
      </c>
      <c r="I17" s="42">
        <f>$I$3+3</f>
        <v>13.2</v>
      </c>
    </row>
    <row r="18" spans="2:9" ht="13.5" customHeight="1" x14ac:dyDescent="0.25">
      <c r="B18" s="39">
        <f>$C$3-0.015</f>
        <v>6.3699999999999993E-2</v>
      </c>
      <c r="C18" s="37">
        <f>IFERROR(ROUND(('DCF Model'!C45/(1+$B18)^('DCF Model'!C19+0)+'DCF Model'!D45/(1+$B18)^('DCF Model'!C19+1)+'DCF Model'!E45/(1+$B18)^('DCF Model'!C19+2)+'DCF Model'!F45/(1+$B18)^('DCF Model'!C19+3)+'DCF Model'!G45/(1+$B18)^('DCF Model'!C19+4)+('DCF Model'!G39+'DCF Model'!G42)*C$17/(1+$B18)^('DCF Model'!C19+4)-'DCF Model'!C16)*1000000/'DCF Model'!C15,0),"")</f>
        <v>2255</v>
      </c>
      <c r="D18" s="37">
        <f>IFERROR(ROUND(('DCF Model'!C45/(1+$B18)^('DCF Model'!C19+0)+'DCF Model'!D45/(1+$B18)^('DCF Model'!C19+1)+'DCF Model'!E45/(1+$B18)^('DCF Model'!C19+2)+'DCF Model'!F45/(1+$B18)^('DCF Model'!C19+3)+'DCF Model'!G45/(1+$B18)^('DCF Model'!C19+4)+('DCF Model'!G39+'DCF Model'!G42)*D$17/(1+$B18)^('DCF Model'!C19+4)-'DCF Model'!C16)*1000000/'DCF Model'!C15,0),"")</f>
        <v>2466</v>
      </c>
      <c r="E18" s="37">
        <f>IFERROR(ROUND(('DCF Model'!C45/(1+$B18)^('DCF Model'!C19+0)+'DCF Model'!D45/(1+$B18)^('DCF Model'!C19+1)+'DCF Model'!E45/(1+$B18)^('DCF Model'!C19+2)+'DCF Model'!F45/(1+$B18)^('DCF Model'!C19+3)+'DCF Model'!G45/(1+$B18)^('DCF Model'!C19+4)+('DCF Model'!G39+'DCF Model'!G42)*E$17/(1+$B18)^('DCF Model'!C19+4)-'DCF Model'!C16)*1000000/'DCF Model'!C15,0),"")</f>
        <v>2678</v>
      </c>
      <c r="F18" s="37">
        <f>IFERROR(ROUND(('DCF Model'!C45/(1+$B18)^('DCF Model'!C19+0)+'DCF Model'!D45/(1+$B18)^('DCF Model'!C19+1)+'DCF Model'!E45/(1+$B18)^('DCF Model'!C19+2)+'DCF Model'!F45/(1+$B18)^('DCF Model'!C19+3)+'DCF Model'!G45/(1+$B18)^('DCF Model'!C19+4)+('DCF Model'!G39+'DCF Model'!G42)*F$17/(1+$B18)^('DCF Model'!C19+4)-'DCF Model'!C16)*1000000/'DCF Model'!C15,0),"")</f>
        <v>2889</v>
      </c>
      <c r="G18" s="37">
        <f>IFERROR(ROUND(('DCF Model'!C45/(1+$B18)^('DCF Model'!C19+0)+'DCF Model'!D45/(1+$B18)^('DCF Model'!C19+1)+'DCF Model'!E45/(1+$B18)^('DCF Model'!C19+2)+'DCF Model'!F45/(1+$B18)^('DCF Model'!C19+3)+'DCF Model'!G45/(1+$B18)^('DCF Model'!C19+4)+('DCF Model'!G39+'DCF Model'!G42)*G$17/(1+$B18)^('DCF Model'!C19+4)-'DCF Model'!C16)*1000000/'DCF Model'!C15,0),"")</f>
        <v>3100</v>
      </c>
      <c r="H18" s="37">
        <f>IFERROR(ROUND(('DCF Model'!C45/(1+$B18)^('DCF Model'!C19+0)+'DCF Model'!D45/(1+$B18)^('DCF Model'!C19+1)+'DCF Model'!E45/(1+$B18)^('DCF Model'!C19+2)+'DCF Model'!F45/(1+$B18)^('DCF Model'!C19+3)+'DCF Model'!G45/(1+$B18)^('DCF Model'!C19+4)+('DCF Model'!G39+'DCF Model'!G42)*H$17/(1+$B18)^('DCF Model'!C19+4)-'DCF Model'!C16)*1000000/'DCF Model'!C15,0),"")</f>
        <v>3311</v>
      </c>
      <c r="I18" s="37">
        <f>IFERROR(ROUND(('DCF Model'!C45/(1+$B18)^('DCF Model'!C19+0)+'DCF Model'!D45/(1+$B18)^('DCF Model'!C19+1)+'DCF Model'!E45/(1+$B18)^('DCF Model'!C19+2)+'DCF Model'!F45/(1+$B18)^('DCF Model'!C19+3)+'DCF Model'!G45/(1+$B18)^('DCF Model'!C19+4)+('DCF Model'!G39+'DCF Model'!G42)*I$17/(1+$B18)^('DCF Model'!C19+4)-'DCF Model'!C16)*1000000/'DCF Model'!C15,0),"")</f>
        <v>3523</v>
      </c>
    </row>
    <row r="19" spans="2:9" ht="13.5" customHeight="1" x14ac:dyDescent="0.25">
      <c r="B19" s="39">
        <f>$C$3-0.01</f>
        <v>6.8699999999999997E-2</v>
      </c>
      <c r="C19" s="37">
        <f>IFERROR(ROUND(('DCF Model'!C45/(1+$B19)^('DCF Model'!C19+0)+'DCF Model'!D45/(1+$B19)^('DCF Model'!C19+1)+'DCF Model'!E45/(1+$B19)^('DCF Model'!C19+2)+'DCF Model'!F45/(1+$B19)^('DCF Model'!C19+3)+'DCF Model'!G45/(1+$B19)^('DCF Model'!C19+4)+('DCF Model'!G39+'DCF Model'!G42)*C$17/(1+$B19)^('DCF Model'!C19+4)-'DCF Model'!C16)*1000000/'DCF Model'!C15,0),"")</f>
        <v>2211</v>
      </c>
      <c r="D19" s="37">
        <f>IFERROR(ROUND(('DCF Model'!C45/(1+$B19)^('DCF Model'!C19+0)+'DCF Model'!D45/(1+$B19)^('DCF Model'!C19+1)+'DCF Model'!E45/(1+$B19)^('DCF Model'!C19+2)+'DCF Model'!F45/(1+$B19)^('DCF Model'!C19+3)+'DCF Model'!G45/(1+$B19)^('DCF Model'!C19+4)+('DCF Model'!G39+'DCF Model'!G42)*D$17/(1+$B19)^('DCF Model'!C19+4)-'DCF Model'!C16)*1000000/'DCF Model'!C15,0),"")</f>
        <v>2417</v>
      </c>
      <c r="E19" s="37">
        <f>IFERROR(ROUND(('DCF Model'!C45/(1+$B19)^('DCF Model'!C19+0)+'DCF Model'!D45/(1+$B19)^('DCF Model'!C19+1)+'DCF Model'!E45/(1+$B19)^('DCF Model'!C19+2)+'DCF Model'!F45/(1+$B19)^('DCF Model'!C19+3)+'DCF Model'!G45/(1+$B19)^('DCF Model'!C19+4)+('DCF Model'!G39+'DCF Model'!G42)*E$17/(1+$B19)^('DCF Model'!C19+4)-'DCF Model'!C16)*1000000/'DCF Model'!C15,0),"")</f>
        <v>2623</v>
      </c>
      <c r="F19" s="37">
        <f>IFERROR(ROUND(('DCF Model'!C45/(1+$B19)^('DCF Model'!C19+0)+'DCF Model'!D45/(1+$B19)^('DCF Model'!C19+1)+'DCF Model'!E45/(1+$B19)^('DCF Model'!C19+2)+'DCF Model'!F45/(1+$B19)^('DCF Model'!C19+3)+'DCF Model'!G45/(1+$B19)^('DCF Model'!C19+4)+('DCF Model'!G39+'DCF Model'!G42)*F$17/(1+$B19)^('DCF Model'!C19+4)-'DCF Model'!C16)*1000000/'DCF Model'!C15,0),"")</f>
        <v>2830</v>
      </c>
      <c r="G19" s="37">
        <f>IFERROR(ROUND(('DCF Model'!C45/(1+$B19)^('DCF Model'!C19+0)+'DCF Model'!D45/(1+$B19)^('DCF Model'!C19+1)+'DCF Model'!E45/(1+$B19)^('DCF Model'!C19+2)+'DCF Model'!F45/(1+$B19)^('DCF Model'!C19+3)+'DCF Model'!G45/(1+$B19)^('DCF Model'!C19+4)+('DCF Model'!G39+'DCF Model'!G42)*G$17/(1+$B19)^('DCF Model'!C19+4)-'DCF Model'!C16)*1000000/'DCF Model'!C15,0),"")</f>
        <v>3036</v>
      </c>
      <c r="H19" s="37">
        <f>IFERROR(ROUND(('DCF Model'!C45/(1+$B19)^('DCF Model'!C19+0)+'DCF Model'!D45/(1+$B19)^('DCF Model'!C19+1)+'DCF Model'!E45/(1+$B19)^('DCF Model'!C19+2)+'DCF Model'!F45/(1+$B19)^('DCF Model'!C19+3)+'DCF Model'!G45/(1+$B19)^('DCF Model'!C19+4)+('DCF Model'!G39+'DCF Model'!G42)*H$17/(1+$B19)^('DCF Model'!C19+4)-'DCF Model'!C16)*1000000/'DCF Model'!C15,0),"")</f>
        <v>3242</v>
      </c>
      <c r="I19" s="37">
        <f>IFERROR(ROUND(('DCF Model'!C45/(1+$B19)^('DCF Model'!C19+0)+'DCF Model'!D45/(1+$B19)^('DCF Model'!C19+1)+'DCF Model'!E45/(1+$B19)^('DCF Model'!C19+2)+'DCF Model'!F45/(1+$B19)^('DCF Model'!C19+3)+'DCF Model'!G45/(1+$B19)^('DCF Model'!C19+4)+('DCF Model'!G39+'DCF Model'!G42)*I$17/(1+$B19)^('DCF Model'!C19+4)-'DCF Model'!C16)*1000000/'DCF Model'!C15,0),"")</f>
        <v>3449</v>
      </c>
    </row>
    <row r="20" spans="2:9" ht="13.5" customHeight="1" x14ac:dyDescent="0.25">
      <c r="B20" s="39">
        <f>$C$3-0.005</f>
        <v>7.3699999999999988E-2</v>
      </c>
      <c r="C20" s="37">
        <f>IFERROR(ROUND(('DCF Model'!C45/(1+$B20)^('DCF Model'!C19+0)+'DCF Model'!D45/(1+$B20)^('DCF Model'!C19+1)+'DCF Model'!E45/(1+$B20)^('DCF Model'!C19+2)+'DCF Model'!F45/(1+$B20)^('DCF Model'!C19+3)+'DCF Model'!G45/(1+$B20)^('DCF Model'!C19+4)+('DCF Model'!G39+'DCF Model'!G42)*C$17/(1+$B20)^('DCF Model'!C19+4)-'DCF Model'!C16)*1000000/'DCF Model'!C15,0),"")</f>
        <v>2167</v>
      </c>
      <c r="D20" s="37">
        <f>IFERROR(ROUND(('DCF Model'!C45/(1+$B20)^('DCF Model'!C19+0)+'DCF Model'!D45/(1+$B20)^('DCF Model'!C19+1)+'DCF Model'!E45/(1+$B20)^('DCF Model'!C19+2)+'DCF Model'!F45/(1+$B20)^('DCF Model'!C19+3)+'DCF Model'!G45/(1+$B20)^('DCF Model'!C19+4)+('DCF Model'!G39+'DCF Model'!G42)*D$17/(1+$B20)^('DCF Model'!C19+4)-'DCF Model'!C16)*1000000/'DCF Model'!C15,0),"")</f>
        <v>2369</v>
      </c>
      <c r="E20" s="37">
        <f>IFERROR(ROUND(('DCF Model'!C45/(1+$B20)^('DCF Model'!C19+0)+'DCF Model'!D45/(1+$B20)^('DCF Model'!C19+1)+'DCF Model'!E45/(1+$B20)^('DCF Model'!C19+2)+'DCF Model'!F45/(1+$B20)^('DCF Model'!C19+3)+'DCF Model'!G45/(1+$B20)^('DCF Model'!C19+4)+('DCF Model'!G39+'DCF Model'!G42)*E$17/(1+$B20)^('DCF Model'!C19+4)-'DCF Model'!C16)*1000000/'DCF Model'!C15,0),"")</f>
        <v>2571</v>
      </c>
      <c r="F20" s="37">
        <f>IFERROR(ROUND(('DCF Model'!C45/(1+$B20)^('DCF Model'!C19+0)+'DCF Model'!D45/(1+$B20)^('DCF Model'!C19+1)+'DCF Model'!E45/(1+$B20)^('DCF Model'!C19+2)+'DCF Model'!F45/(1+$B20)^('DCF Model'!C19+3)+'DCF Model'!G45/(1+$B20)^('DCF Model'!C19+4)+('DCF Model'!G39+'DCF Model'!G42)*F$17/(1+$B20)^('DCF Model'!C19+4)-'DCF Model'!C16)*1000000/'DCF Model'!C15,0),"")</f>
        <v>2772</v>
      </c>
      <c r="G20" s="37">
        <f>IFERROR(ROUND(('DCF Model'!C45/(1+$B20)^('DCF Model'!C19+0)+'DCF Model'!D45/(1+$B20)^('DCF Model'!C19+1)+'DCF Model'!E45/(1+$B20)^('DCF Model'!C19+2)+'DCF Model'!F45/(1+$B20)^('DCF Model'!C19+3)+'DCF Model'!G45/(1+$B20)^('DCF Model'!C19+4)+('DCF Model'!G39+'DCF Model'!G42)*G$17/(1+$B20)^('DCF Model'!C19+4)-'DCF Model'!C16)*1000000/'DCF Model'!C15,0),"")</f>
        <v>2974</v>
      </c>
      <c r="H20" s="37">
        <f>IFERROR(ROUND(('DCF Model'!C45/(1+$B20)^('DCF Model'!C19+0)+'DCF Model'!D45/(1+$B20)^('DCF Model'!C19+1)+'DCF Model'!E45/(1+$B20)^('DCF Model'!C19+2)+'DCF Model'!F45/(1+$B20)^('DCF Model'!C19+3)+'DCF Model'!G45/(1+$B20)^('DCF Model'!C19+4)+('DCF Model'!G39+'DCF Model'!G42)*H$17/(1+$B20)^('DCF Model'!C19+4)-'DCF Model'!C16)*1000000/'DCF Model'!C15,0),"")</f>
        <v>3175</v>
      </c>
      <c r="I20" s="37">
        <f>IFERROR(ROUND(('DCF Model'!C45/(1+$B20)^('DCF Model'!C19+0)+'DCF Model'!D45/(1+$B20)^('DCF Model'!C19+1)+'DCF Model'!E45/(1+$B20)^('DCF Model'!C19+2)+'DCF Model'!F45/(1+$B20)^('DCF Model'!C19+3)+'DCF Model'!G45/(1+$B20)^('DCF Model'!C19+4)+('DCF Model'!G39+'DCF Model'!G42)*I$17/(1+$B20)^('DCF Model'!C19+4)-'DCF Model'!C16)*1000000/'DCF Model'!C15,0),"")</f>
        <v>3377</v>
      </c>
    </row>
    <row r="21" spans="2:9" ht="13.5" customHeight="1" x14ac:dyDescent="0.25">
      <c r="B21" s="39">
        <f>$C$3</f>
        <v>7.8699999999999992E-2</v>
      </c>
      <c r="C21" s="37">
        <f>IFERROR(ROUND(('DCF Model'!C45/(1+$B21)^('DCF Model'!C19+0)+'DCF Model'!D45/(1+$B21)^('DCF Model'!C19+1)+'DCF Model'!E45/(1+$B21)^('DCF Model'!C19+2)+'DCF Model'!F45/(1+$B21)^('DCF Model'!C19+3)+'DCF Model'!G45/(1+$B21)^('DCF Model'!C19+4)+('DCF Model'!G39+'DCF Model'!G42)*C$17/(1+$B21)^('DCF Model'!C19+4)-'DCF Model'!C16)*1000000/'DCF Model'!C15,0),"")</f>
        <v>2125</v>
      </c>
      <c r="D21" s="37">
        <f>IFERROR(ROUND(('DCF Model'!C45/(1+$B21)^('DCF Model'!C19+0)+'DCF Model'!D45/(1+$B21)^('DCF Model'!C19+1)+'DCF Model'!E45/(1+$B21)^('DCF Model'!C19+2)+'DCF Model'!F45/(1+$B21)^('DCF Model'!C19+3)+'DCF Model'!G45/(1+$B21)^('DCF Model'!C19+4)+('DCF Model'!G39+'DCF Model'!G42)*D$17/(1+$B21)^('DCF Model'!C19+4)-'DCF Model'!C16)*1000000/'DCF Model'!C15,0),"")</f>
        <v>2322</v>
      </c>
      <c r="E21" s="37">
        <f>IFERROR(ROUND(('DCF Model'!C45/(1+$B21)^('DCF Model'!C19+0)+'DCF Model'!D45/(1+$B21)^('DCF Model'!C19+1)+'DCF Model'!E45/(1+$B21)^('DCF Model'!C19+2)+'DCF Model'!F45/(1+$B21)^('DCF Model'!C19+3)+'DCF Model'!G45/(1+$B21)^('DCF Model'!C19+4)+('DCF Model'!G39+'DCF Model'!G42)*E$17/(1+$B21)^('DCF Model'!C19+4)-'DCF Model'!C16)*1000000/'DCF Model'!C15,0),"")</f>
        <v>2519</v>
      </c>
      <c r="F21" s="37">
        <f>IFERROR(ROUND(('DCF Model'!C45/(1+$B21)^('DCF Model'!C19+0)+'DCF Model'!D45/(1+$B21)^('DCF Model'!C19+1)+'DCF Model'!E45/(1+$B21)^('DCF Model'!C19+2)+'DCF Model'!F45/(1+$B21)^('DCF Model'!C19+3)+'DCF Model'!G45/(1+$B21)^('DCF Model'!C19+4)+('DCF Model'!G39+'DCF Model'!G42)*F$17/(1+$B21)^('DCF Model'!C19+4)-'DCF Model'!C16)*1000000/'DCF Model'!C15,0),"")</f>
        <v>2716</v>
      </c>
      <c r="G21" s="37">
        <f>IFERROR(ROUND(('DCF Model'!C45/(1+$B21)^('DCF Model'!C19+0)+'DCF Model'!D45/(1+$B21)^('DCF Model'!C19+1)+'DCF Model'!E45/(1+$B21)^('DCF Model'!C19+2)+'DCF Model'!F45/(1+$B21)^('DCF Model'!C19+3)+'DCF Model'!G45/(1+$B21)^('DCF Model'!C19+4)+('DCF Model'!G39+'DCF Model'!G42)*G$17/(1+$B21)^('DCF Model'!C19+4)-'DCF Model'!C16)*1000000/'DCF Model'!C15,0),"")</f>
        <v>2913</v>
      </c>
      <c r="H21" s="37">
        <f>IFERROR(ROUND(('DCF Model'!C45/(1+$B21)^('DCF Model'!C19+0)+'DCF Model'!D45/(1+$B21)^('DCF Model'!C19+1)+'DCF Model'!E45/(1+$B21)^('DCF Model'!C19+2)+'DCF Model'!F45/(1+$B21)^('DCF Model'!C19+3)+'DCF Model'!G45/(1+$B21)^('DCF Model'!C19+4)+('DCF Model'!G39+'DCF Model'!G42)*H$17/(1+$B21)^('DCF Model'!C19+4)-'DCF Model'!C16)*1000000/'DCF Model'!C15,0),"")</f>
        <v>3110</v>
      </c>
      <c r="I21" s="37">
        <f>IFERROR(ROUND(('DCF Model'!C45/(1+$B21)^('DCF Model'!C19+0)+'DCF Model'!D45/(1+$B21)^('DCF Model'!C19+1)+'DCF Model'!E45/(1+$B21)^('DCF Model'!C19+2)+'DCF Model'!F45/(1+$B21)^('DCF Model'!C19+3)+'DCF Model'!G45/(1+$B21)^('DCF Model'!C19+4)+('DCF Model'!G39+'DCF Model'!G42)*I$17/(1+$B21)^('DCF Model'!C19+4)-'DCF Model'!C16)*1000000/'DCF Model'!C15,0),"")</f>
        <v>3307</v>
      </c>
    </row>
    <row r="22" spans="2:9" ht="13.5" customHeight="1" x14ac:dyDescent="0.25">
      <c r="B22" s="39">
        <f>$C$3+0.005</f>
        <v>8.3699999999999997E-2</v>
      </c>
      <c r="C22" s="37">
        <f>IFERROR(ROUND(('DCF Model'!C45/(1+$B22)^('DCF Model'!C19+0)+'DCF Model'!D45/(1+$B22)^('DCF Model'!C19+1)+'DCF Model'!E45/(1+$B22)^('DCF Model'!C19+2)+'DCF Model'!F45/(1+$B22)^('DCF Model'!C19+3)+'DCF Model'!G45/(1+$B22)^('DCF Model'!C19+4)+('DCF Model'!G39+'DCF Model'!G42)*C$17/(1+$B22)^('DCF Model'!C19+4)-'DCF Model'!C16)*1000000/'DCF Model'!C15,0),"")</f>
        <v>2084</v>
      </c>
      <c r="D22" s="37">
        <f>IFERROR(ROUND(('DCF Model'!C45/(1+$B22)^('DCF Model'!C19+0)+'DCF Model'!D45/(1+$B22)^('DCF Model'!C19+1)+'DCF Model'!E45/(1+$B22)^('DCF Model'!C19+2)+'DCF Model'!F45/(1+$B22)^('DCF Model'!C19+3)+'DCF Model'!G45/(1+$B22)^('DCF Model'!C19+4)+('DCF Model'!G39+'DCF Model'!G42)*D$17/(1+$B22)^('DCF Model'!C19+4)-'DCF Model'!C16)*1000000/'DCF Model'!C15,0),"")</f>
        <v>2277</v>
      </c>
      <c r="E22" s="37">
        <f>IFERROR(ROUND(('DCF Model'!C45/(1+$B22)^('DCF Model'!C19+0)+'DCF Model'!D45/(1+$B22)^('DCF Model'!C19+1)+'DCF Model'!E45/(1+$B22)^('DCF Model'!C19+2)+'DCF Model'!F45/(1+$B22)^('DCF Model'!C19+3)+'DCF Model'!G45/(1+$B22)^('DCF Model'!C19+4)+('DCF Model'!G39+'DCF Model'!G42)*E$17/(1+$B22)^('DCF Model'!C19+4)-'DCF Model'!C16)*1000000/'DCF Model'!C15,0),"")</f>
        <v>2469</v>
      </c>
      <c r="F22" s="37">
        <f>IFERROR(ROUND(('DCF Model'!C45/(1+$B22)^('DCF Model'!C19+0)+'DCF Model'!D45/(1+$B22)^('DCF Model'!C19+1)+'DCF Model'!E45/(1+$B22)^('DCF Model'!C19+2)+'DCF Model'!F45/(1+$B22)^('DCF Model'!C19+3)+'DCF Model'!G45/(1+$B22)^('DCF Model'!C19+4)+('DCF Model'!G39+'DCF Model'!G42)*F$17/(1+$B22)^('DCF Model'!C19+4)-'DCF Model'!C16)*1000000/'DCF Model'!C15,0),"")</f>
        <v>2662</v>
      </c>
      <c r="G22" s="37">
        <f>IFERROR(ROUND(('DCF Model'!C45/(1+$B22)^('DCF Model'!C19+0)+'DCF Model'!D45/(1+$B22)^('DCF Model'!C19+1)+'DCF Model'!E45/(1+$B22)^('DCF Model'!C19+2)+'DCF Model'!F45/(1+$B22)^('DCF Model'!C19+3)+'DCF Model'!G45/(1+$B22)^('DCF Model'!C19+4)+('DCF Model'!G39+'DCF Model'!G42)*G$17/(1+$B22)^('DCF Model'!C19+4)-'DCF Model'!C16)*1000000/'DCF Model'!C15,0),"")</f>
        <v>2854</v>
      </c>
      <c r="H22" s="37">
        <f>IFERROR(ROUND(('DCF Model'!C45/(1+$B22)^('DCF Model'!C19+0)+'DCF Model'!D45/(1+$B22)^('DCF Model'!C19+1)+'DCF Model'!E45/(1+$B22)^('DCF Model'!C19+2)+'DCF Model'!F45/(1+$B22)^('DCF Model'!C19+3)+'DCF Model'!G45/(1+$B22)^('DCF Model'!C19+4)+('DCF Model'!G39+'DCF Model'!G42)*H$17/(1+$B22)^('DCF Model'!C19+4)-'DCF Model'!C16)*1000000/'DCF Model'!C15,0),"")</f>
        <v>3046</v>
      </c>
      <c r="I22" s="37">
        <f>IFERROR(ROUND(('DCF Model'!C45/(1+$B22)^('DCF Model'!C19+0)+'DCF Model'!D45/(1+$B22)^('DCF Model'!C19+1)+'DCF Model'!E45/(1+$B22)^('DCF Model'!C19+2)+'DCF Model'!F45/(1+$B22)^('DCF Model'!C19+3)+'DCF Model'!G45/(1+$B22)^('DCF Model'!C19+4)+('DCF Model'!G39+'DCF Model'!G42)*I$17/(1+$B22)^('DCF Model'!C19+4)-'DCF Model'!C16)*1000000/'DCF Model'!C15,0),"")</f>
        <v>3239</v>
      </c>
    </row>
    <row r="23" spans="2:9" ht="13.5" customHeight="1" x14ac:dyDescent="0.25">
      <c r="B23" s="39">
        <f>$C$3+0.01</f>
        <v>8.8699999999999987E-2</v>
      </c>
      <c r="C23" s="37">
        <f>IFERROR(ROUND(('DCF Model'!C45/(1+$B23)^('DCF Model'!C19+0)+'DCF Model'!D45/(1+$B23)^('DCF Model'!C19+1)+'DCF Model'!E45/(1+$B23)^('DCF Model'!C19+2)+'DCF Model'!F45/(1+$B23)^('DCF Model'!C19+3)+'DCF Model'!G45/(1+$B23)^('DCF Model'!C19+4)+('DCF Model'!G39+'DCF Model'!G42)*C$17/(1+$B23)^('DCF Model'!C19+4)-'DCF Model'!C16)*1000000/'DCF Model'!C15,0),"")</f>
        <v>2044</v>
      </c>
      <c r="D23" s="37">
        <f>IFERROR(ROUND(('DCF Model'!C45/(1+$B23)^('DCF Model'!C19+0)+'DCF Model'!D45/(1+$B23)^('DCF Model'!C19+1)+'DCF Model'!E45/(1+$B23)^('DCF Model'!C19+2)+'DCF Model'!F45/(1+$B23)^('DCF Model'!C19+3)+'DCF Model'!G45/(1+$B23)^('DCF Model'!C19+4)+('DCF Model'!G39+'DCF Model'!G42)*D$17/(1+$B23)^('DCF Model'!C19+4)-'DCF Model'!C16)*1000000/'DCF Model'!C15,0),"")</f>
        <v>2232</v>
      </c>
      <c r="E23" s="37">
        <f>IFERROR(ROUND(('DCF Model'!C45/(1+$B23)^('DCF Model'!C19+0)+'DCF Model'!D45/(1+$B23)^('DCF Model'!C19+1)+'DCF Model'!E45/(1+$B23)^('DCF Model'!C19+2)+'DCF Model'!F45/(1+$B23)^('DCF Model'!C19+3)+'DCF Model'!G45/(1+$B23)^('DCF Model'!C19+4)+('DCF Model'!G39+'DCF Model'!G42)*E$17/(1+$B23)^('DCF Model'!C19+4)-'DCF Model'!C16)*1000000/'DCF Model'!C15,0),"")</f>
        <v>2420</v>
      </c>
      <c r="F23" s="37">
        <f>IFERROR(ROUND(('DCF Model'!C45/(1+$B23)^('DCF Model'!C19+0)+'DCF Model'!D45/(1+$B23)^('DCF Model'!C19+1)+'DCF Model'!E45/(1+$B23)^('DCF Model'!C19+2)+'DCF Model'!F45/(1+$B23)^('DCF Model'!C19+3)+'DCF Model'!G45/(1+$B23)^('DCF Model'!C19+4)+('DCF Model'!G39+'DCF Model'!G42)*F$17/(1+$B23)^('DCF Model'!C19+4)-'DCF Model'!C16)*1000000/'DCF Model'!C15,0),"")</f>
        <v>2608</v>
      </c>
      <c r="G23" s="37">
        <f>IFERROR(ROUND(('DCF Model'!C45/(1+$B23)^('DCF Model'!C19+0)+'DCF Model'!D45/(1+$B23)^('DCF Model'!C19+1)+'DCF Model'!E45/(1+$B23)^('DCF Model'!C19+2)+'DCF Model'!F45/(1+$B23)^('DCF Model'!C19+3)+'DCF Model'!G45/(1+$B23)^('DCF Model'!C19+4)+('DCF Model'!G39+'DCF Model'!G42)*G$17/(1+$B23)^('DCF Model'!C19+4)-'DCF Model'!C16)*1000000/'DCF Model'!C15,0),"")</f>
        <v>2796</v>
      </c>
      <c r="H23" s="37">
        <f>IFERROR(ROUND(('DCF Model'!C45/(1+$B23)^('DCF Model'!C19+0)+'DCF Model'!D45/(1+$B23)^('DCF Model'!C19+1)+'DCF Model'!E45/(1+$B23)^('DCF Model'!C19+2)+'DCF Model'!F45/(1+$B23)^('DCF Model'!C19+3)+'DCF Model'!G45/(1+$B23)^('DCF Model'!C19+4)+('DCF Model'!G39+'DCF Model'!G42)*H$17/(1+$B23)^('DCF Model'!C19+4)-'DCF Model'!C16)*1000000/'DCF Model'!C15,0),"")</f>
        <v>2985</v>
      </c>
      <c r="I23" s="37">
        <f>IFERROR(ROUND(('DCF Model'!C45/(1+$B23)^('DCF Model'!C19+0)+'DCF Model'!D45/(1+$B23)^('DCF Model'!C19+1)+'DCF Model'!E45/(1+$B23)^('DCF Model'!C19+2)+'DCF Model'!F45/(1+$B23)^('DCF Model'!C19+3)+'DCF Model'!G45/(1+$B23)^('DCF Model'!C19+4)+('DCF Model'!G39+'DCF Model'!G42)*I$17/(1+$B23)^('DCF Model'!C19+4)-'DCF Model'!C16)*1000000/'DCF Model'!C15,0),"")</f>
        <v>3173</v>
      </c>
    </row>
    <row r="24" spans="2:9" ht="13.5" customHeight="1" x14ac:dyDescent="0.25">
      <c r="B24" s="39">
        <f>$C$3+0.015</f>
        <v>9.3699999999999992E-2</v>
      </c>
      <c r="C24" s="37">
        <f>IFERROR(ROUND(('DCF Model'!C45/(1+$B24)^('DCF Model'!C19+0)+'DCF Model'!D45/(1+$B24)^('DCF Model'!C19+1)+'DCF Model'!E45/(1+$B24)^('DCF Model'!C19+2)+'DCF Model'!F45/(1+$B24)^('DCF Model'!C19+3)+'DCF Model'!G45/(1+$B24)^('DCF Model'!C19+4)+('DCF Model'!G39+'DCF Model'!G42)*C$17/(1+$B24)^('DCF Model'!C19+4)-'DCF Model'!C16)*1000000/'DCF Model'!C15,0),"")</f>
        <v>2005</v>
      </c>
      <c r="D24" s="37">
        <f>IFERROR(ROUND(('DCF Model'!C45/(1+$B24)^('DCF Model'!C19+0)+'DCF Model'!D45/(1+$B24)^('DCF Model'!C19+1)+'DCF Model'!E45/(1+$B24)^('DCF Model'!C19+2)+'DCF Model'!F45/(1+$B24)^('DCF Model'!C19+3)+'DCF Model'!G45/(1+$B24)^('DCF Model'!C19+4)+('DCF Model'!G39+'DCF Model'!G42)*D$17/(1+$B24)^('DCF Model'!C19+4)-'DCF Model'!C16)*1000000/'DCF Model'!C15,0),"")</f>
        <v>2189</v>
      </c>
      <c r="E24" s="37">
        <f>IFERROR(ROUND(('DCF Model'!C45/(1+$B24)^('DCF Model'!C19+0)+'DCF Model'!D45/(1+$B24)^('DCF Model'!C19+1)+'DCF Model'!E45/(1+$B24)^('DCF Model'!C19+2)+'DCF Model'!F45/(1+$B24)^('DCF Model'!C19+3)+'DCF Model'!G45/(1+$B24)^('DCF Model'!C19+4)+('DCF Model'!G39+'DCF Model'!G42)*E$17/(1+$B24)^('DCF Model'!C19+4)-'DCF Model'!C16)*1000000/'DCF Model'!C15,0),"")</f>
        <v>2373</v>
      </c>
      <c r="F24" s="37">
        <f>IFERROR(ROUND(('DCF Model'!C45/(1+$B24)^('DCF Model'!C19+0)+'DCF Model'!D45/(1+$B24)^('DCF Model'!C19+1)+'DCF Model'!E45/(1+$B24)^('DCF Model'!C19+2)+'DCF Model'!F45/(1+$B24)^('DCF Model'!C19+3)+'DCF Model'!G45/(1+$B24)^('DCF Model'!C19+4)+('DCF Model'!G39+'DCF Model'!G42)*F$17/(1+$B24)^('DCF Model'!C19+4)-'DCF Model'!C16)*1000000/'DCF Model'!C15,0),"")</f>
        <v>2557</v>
      </c>
      <c r="G24" s="37">
        <f>IFERROR(ROUND(('DCF Model'!C45/(1+$B24)^('DCF Model'!C19+0)+'DCF Model'!D45/(1+$B24)^('DCF Model'!C19+1)+'DCF Model'!E45/(1+$B24)^('DCF Model'!C19+2)+'DCF Model'!F45/(1+$B24)^('DCF Model'!C19+3)+'DCF Model'!G45/(1+$B24)^('DCF Model'!C19+4)+('DCF Model'!G39+'DCF Model'!G42)*G$17/(1+$B24)^('DCF Model'!C19+4)-'DCF Model'!C16)*1000000/'DCF Model'!C15,0),"")</f>
        <v>2740</v>
      </c>
      <c r="H24" s="37">
        <f>IFERROR(ROUND(('DCF Model'!C45/(1+$B24)^('DCF Model'!C19+0)+'DCF Model'!D45/(1+$B24)^('DCF Model'!C19+1)+'DCF Model'!E45/(1+$B24)^('DCF Model'!C19+2)+'DCF Model'!F45/(1+$B24)^('DCF Model'!C19+3)+'DCF Model'!G45/(1+$B24)^('DCF Model'!C19+4)+('DCF Model'!G39+'DCF Model'!G42)*H$17/(1+$B24)^('DCF Model'!C19+4)-'DCF Model'!C16)*1000000/'DCF Model'!C15,0),"")</f>
        <v>2924</v>
      </c>
      <c r="I24" s="37">
        <f>IFERROR(ROUND(('DCF Model'!C45/(1+$B24)^('DCF Model'!C19+0)+'DCF Model'!D45/(1+$B24)^('DCF Model'!C19+1)+'DCF Model'!E45/(1+$B24)^('DCF Model'!C19+2)+'DCF Model'!F45/(1+$B24)^('DCF Model'!C19+3)+'DCF Model'!G45/(1+$B24)^('DCF Model'!C19+4)+('DCF Model'!G39+'DCF Model'!G42)*I$17/(1+$B24)^('DCF Model'!C19+4)-'DCF Model'!C16)*1000000/'DCF Model'!C15,0),"")</f>
        <v>3108</v>
      </c>
    </row>
    <row r="26" spans="2:9" ht="14" customHeight="1" x14ac:dyDescent="0.3">
      <c r="B26" s="46" t="s">
        <v>238</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2"/>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239</v>
      </c>
    </row>
    <row r="4" spans="2:7" ht="14" customHeight="1" x14ac:dyDescent="0.3">
      <c r="B4" s="10" t="s">
        <v>240</v>
      </c>
      <c r="C4" s="10" t="s">
        <v>241</v>
      </c>
      <c r="D4" s="10" t="s">
        <v>242</v>
      </c>
      <c r="E4" s="10" t="s">
        <v>243</v>
      </c>
      <c r="F4" s="10" t="s">
        <v>244</v>
      </c>
      <c r="G4" s="10" t="s">
        <v>245</v>
      </c>
    </row>
    <row r="5" spans="2:7" x14ac:dyDescent="0.2">
      <c r="B5" t="s">
        <v>246</v>
      </c>
      <c r="C5" t="s">
        <v>247</v>
      </c>
      <c r="D5" t="s">
        <v>248</v>
      </c>
      <c r="E5" t="s">
        <v>249</v>
      </c>
      <c r="F5" t="s">
        <v>247</v>
      </c>
      <c r="G5" t="s">
        <v>250</v>
      </c>
    </row>
    <row r="6" spans="2:7" ht="30" customHeight="1" x14ac:dyDescent="0.3">
      <c r="B6" s="43" t="s">
        <v>246</v>
      </c>
      <c r="C6" s="4" t="s">
        <v>251</v>
      </c>
      <c r="D6" s="43" t="s">
        <v>252</v>
      </c>
      <c r="E6" s="43" t="s">
        <v>253</v>
      </c>
      <c r="F6" s="43" t="s">
        <v>254</v>
      </c>
      <c r="G6" s="43" t="s">
        <v>255</v>
      </c>
    </row>
    <row r="7" spans="2:7" ht="30" customHeight="1" x14ac:dyDescent="0.3">
      <c r="B7" s="43" t="s">
        <v>246</v>
      </c>
      <c r="C7" s="4" t="s">
        <v>256</v>
      </c>
      <c r="D7" s="43" t="s">
        <v>257</v>
      </c>
      <c r="E7" s="43" t="s">
        <v>258</v>
      </c>
      <c r="F7" s="43" t="s">
        <v>259</v>
      </c>
      <c r="G7" s="43" t="s">
        <v>260</v>
      </c>
    </row>
    <row r="8" spans="2:7" ht="30" customHeight="1" x14ac:dyDescent="0.3">
      <c r="B8" s="43" t="s">
        <v>246</v>
      </c>
      <c r="C8" s="4" t="s">
        <v>261</v>
      </c>
      <c r="D8" s="43" t="s">
        <v>262</v>
      </c>
      <c r="E8" s="43" t="s">
        <v>263</v>
      </c>
      <c r="F8" s="43" t="s">
        <v>264</v>
      </c>
      <c r="G8" s="43" t="s">
        <v>260</v>
      </c>
    </row>
    <row r="9" spans="2:7" ht="30" customHeight="1" x14ac:dyDescent="0.3">
      <c r="B9" s="43" t="s">
        <v>246</v>
      </c>
      <c r="C9" s="4" t="s">
        <v>265</v>
      </c>
      <c r="D9" s="43" t="s">
        <v>266</v>
      </c>
      <c r="E9" s="43" t="s">
        <v>267</v>
      </c>
      <c r="F9" s="43" t="s">
        <v>268</v>
      </c>
      <c r="G9" s="43" t="s">
        <v>260</v>
      </c>
    </row>
    <row r="10" spans="2:7" ht="30" customHeight="1" x14ac:dyDescent="0.3">
      <c r="B10" s="43" t="s">
        <v>246</v>
      </c>
      <c r="C10" s="4" t="s">
        <v>269</v>
      </c>
      <c r="D10" s="43" t="s">
        <v>270</v>
      </c>
      <c r="E10" s="43" t="s">
        <v>271</v>
      </c>
      <c r="F10" s="43" t="s">
        <v>272</v>
      </c>
      <c r="G10" s="43" t="s">
        <v>273</v>
      </c>
    </row>
    <row r="11" spans="2:7" ht="30" customHeight="1" x14ac:dyDescent="0.3">
      <c r="B11" s="43" t="s">
        <v>246</v>
      </c>
      <c r="C11" s="4" t="s">
        <v>274</v>
      </c>
      <c r="D11" s="43" t="s">
        <v>275</v>
      </c>
      <c r="E11" s="43" t="s">
        <v>276</v>
      </c>
      <c r="F11" s="43" t="s">
        <v>277</v>
      </c>
      <c r="G11" s="43" t="s">
        <v>260</v>
      </c>
    </row>
    <row r="12" spans="2:7" ht="30" customHeight="1" x14ac:dyDescent="0.3">
      <c r="B12" s="43" t="s">
        <v>246</v>
      </c>
      <c r="C12" s="4" t="s">
        <v>278</v>
      </c>
      <c r="D12" s="43" t="s">
        <v>279</v>
      </c>
      <c r="E12" s="43" t="s">
        <v>280</v>
      </c>
      <c r="F12" s="43" t="s">
        <v>281</v>
      </c>
      <c r="G12" s="43" t="s">
        <v>260</v>
      </c>
    </row>
    <row r="13" spans="2:7" ht="30" customHeight="1" x14ac:dyDescent="0.3">
      <c r="B13" s="43" t="s">
        <v>246</v>
      </c>
      <c r="C13" s="4" t="s">
        <v>282</v>
      </c>
      <c r="D13" s="43" t="s">
        <v>283</v>
      </c>
      <c r="E13" s="43" t="s">
        <v>284</v>
      </c>
      <c r="F13" s="43" t="s">
        <v>285</v>
      </c>
      <c r="G13" s="43" t="s">
        <v>260</v>
      </c>
    </row>
    <row r="14" spans="2:7" ht="30" customHeight="1" x14ac:dyDescent="0.3">
      <c r="B14" s="43" t="s">
        <v>246</v>
      </c>
      <c r="C14" s="4" t="s">
        <v>286</v>
      </c>
      <c r="D14" s="43" t="s">
        <v>287</v>
      </c>
      <c r="E14" s="43" t="s">
        <v>288</v>
      </c>
      <c r="F14" s="43" t="s">
        <v>247</v>
      </c>
      <c r="G14" s="43" t="s">
        <v>260</v>
      </c>
    </row>
    <row r="15" spans="2:7" ht="30" customHeight="1" x14ac:dyDescent="0.3">
      <c r="B15" s="43" t="s">
        <v>246</v>
      </c>
      <c r="C15" s="4" t="s">
        <v>289</v>
      </c>
      <c r="D15" s="43" t="s">
        <v>290</v>
      </c>
      <c r="E15" s="43" t="s">
        <v>291</v>
      </c>
      <c r="F15" s="43" t="s">
        <v>292</v>
      </c>
      <c r="G15" s="43" t="s">
        <v>260</v>
      </c>
    </row>
    <row r="16" spans="2:7" ht="30" customHeight="1" x14ac:dyDescent="0.3">
      <c r="B16" s="43" t="s">
        <v>246</v>
      </c>
      <c r="C16" s="4" t="s">
        <v>293</v>
      </c>
      <c r="D16" s="43" t="s">
        <v>294</v>
      </c>
      <c r="E16" s="43" t="s">
        <v>295</v>
      </c>
      <c r="F16" s="43" t="s">
        <v>296</v>
      </c>
      <c r="G16" s="43" t="s">
        <v>260</v>
      </c>
    </row>
    <row r="17" spans="2:7" ht="30" customHeight="1" x14ac:dyDescent="0.3">
      <c r="B17" s="43" t="s">
        <v>246</v>
      </c>
      <c r="C17" s="4" t="s">
        <v>297</v>
      </c>
      <c r="D17" s="43" t="s">
        <v>298</v>
      </c>
      <c r="E17" s="43" t="s">
        <v>299</v>
      </c>
      <c r="F17" s="43" t="s">
        <v>264</v>
      </c>
      <c r="G17" s="43" t="s">
        <v>260</v>
      </c>
    </row>
    <row r="18" spans="2:7" ht="30" customHeight="1" x14ac:dyDescent="0.3">
      <c r="B18" s="43" t="s">
        <v>246</v>
      </c>
      <c r="C18" s="4" t="s">
        <v>300</v>
      </c>
      <c r="D18" s="43" t="s">
        <v>301</v>
      </c>
      <c r="E18" s="43" t="s">
        <v>302</v>
      </c>
      <c r="F18" s="43" t="s">
        <v>303</v>
      </c>
      <c r="G18" s="43" t="s">
        <v>260</v>
      </c>
    </row>
    <row r="19" spans="2:7" ht="30" customHeight="1" x14ac:dyDescent="0.3">
      <c r="B19" s="43" t="s">
        <v>246</v>
      </c>
      <c r="C19" s="4" t="s">
        <v>304</v>
      </c>
      <c r="D19" s="43" t="s">
        <v>305</v>
      </c>
      <c r="E19" s="43" t="s">
        <v>306</v>
      </c>
      <c r="F19" s="43" t="s">
        <v>247</v>
      </c>
      <c r="G19" s="43" t="s">
        <v>307</v>
      </c>
    </row>
    <row r="20" spans="2:7" ht="30" customHeight="1" x14ac:dyDescent="0.3">
      <c r="B20" s="43" t="s">
        <v>246</v>
      </c>
      <c r="C20" s="4" t="s">
        <v>308</v>
      </c>
      <c r="D20" s="43" t="s">
        <v>309</v>
      </c>
      <c r="E20" s="43" t="s">
        <v>310</v>
      </c>
      <c r="F20" s="43" t="s">
        <v>264</v>
      </c>
      <c r="G20" s="43" t="s">
        <v>260</v>
      </c>
    </row>
    <row r="21" spans="2:7" ht="30" customHeight="1" x14ac:dyDescent="0.3">
      <c r="B21" s="43" t="s">
        <v>246</v>
      </c>
      <c r="C21" s="4" t="s">
        <v>311</v>
      </c>
      <c r="D21" s="43" t="s">
        <v>312</v>
      </c>
      <c r="E21" s="43" t="s">
        <v>313</v>
      </c>
      <c r="F21" s="43" t="s">
        <v>247</v>
      </c>
      <c r="G21" s="43" t="s">
        <v>260</v>
      </c>
    </row>
    <row r="22" spans="2:7" ht="30" customHeight="1" x14ac:dyDescent="0.3">
      <c r="B22" s="43" t="s">
        <v>246</v>
      </c>
      <c r="C22" s="4" t="s">
        <v>314</v>
      </c>
      <c r="D22" s="43" t="s">
        <v>315</v>
      </c>
      <c r="E22" s="43" t="s">
        <v>316</v>
      </c>
      <c r="F22" s="43" t="s">
        <v>247</v>
      </c>
      <c r="G22" s="43" t="s">
        <v>255</v>
      </c>
    </row>
    <row r="23" spans="2:7" ht="30" customHeight="1" x14ac:dyDescent="0.3">
      <c r="B23" s="43" t="s">
        <v>246</v>
      </c>
      <c r="C23" s="4" t="s">
        <v>317</v>
      </c>
      <c r="D23" s="43" t="s">
        <v>318</v>
      </c>
      <c r="E23" s="43" t="s">
        <v>319</v>
      </c>
      <c r="F23" s="43" t="s">
        <v>247</v>
      </c>
      <c r="G23" s="43" t="s">
        <v>320</v>
      </c>
    </row>
    <row r="24" spans="2:7" ht="30" customHeight="1" x14ac:dyDescent="0.3">
      <c r="B24" s="43" t="s">
        <v>246</v>
      </c>
      <c r="C24" s="4" t="s">
        <v>321</v>
      </c>
      <c r="D24" s="43" t="s">
        <v>322</v>
      </c>
      <c r="E24" s="43" t="s">
        <v>323</v>
      </c>
      <c r="F24" s="43" t="s">
        <v>247</v>
      </c>
      <c r="G24" s="43" t="s">
        <v>324</v>
      </c>
    </row>
    <row r="25" spans="2:7" ht="30" customHeight="1" x14ac:dyDescent="0.3">
      <c r="B25" s="43" t="s">
        <v>246</v>
      </c>
      <c r="C25" s="4" t="s">
        <v>321</v>
      </c>
      <c r="D25" s="43" t="s">
        <v>325</v>
      </c>
      <c r="E25" s="43" t="s">
        <v>326</v>
      </c>
      <c r="F25" s="43" t="s">
        <v>247</v>
      </c>
      <c r="G25" s="43" t="s">
        <v>324</v>
      </c>
    </row>
    <row r="26" spans="2:7" ht="30" customHeight="1" x14ac:dyDescent="0.3">
      <c r="B26" s="43" t="s">
        <v>246</v>
      </c>
      <c r="C26" s="4" t="s">
        <v>321</v>
      </c>
      <c r="D26" s="43" t="s">
        <v>327</v>
      </c>
      <c r="E26" s="43" t="s">
        <v>328</v>
      </c>
      <c r="F26" s="43" t="s">
        <v>247</v>
      </c>
      <c r="G26" s="43" t="s">
        <v>324</v>
      </c>
    </row>
    <row r="27" spans="2:7" ht="14" customHeight="1" x14ac:dyDescent="0.2"/>
    <row r="28" spans="2:7" ht="14" customHeight="1" x14ac:dyDescent="0.3">
      <c r="B28" s="8" t="s">
        <v>329</v>
      </c>
    </row>
    <row r="29" spans="2:7" ht="14" customHeight="1" x14ac:dyDescent="0.3">
      <c r="B29" s="10" t="s">
        <v>330</v>
      </c>
      <c r="C29" s="10" t="s">
        <v>331</v>
      </c>
    </row>
    <row r="30" spans="2:7" ht="14" customHeight="1" x14ac:dyDescent="0.3">
      <c r="B30" s="4" t="s">
        <v>332</v>
      </c>
      <c r="C30" t="s">
        <v>333</v>
      </c>
    </row>
    <row r="31" spans="2:7" ht="14" customHeight="1" x14ac:dyDescent="0.3">
      <c r="B31" s="4" t="s">
        <v>334</v>
      </c>
      <c r="C31" t="s">
        <v>335</v>
      </c>
    </row>
    <row r="32" spans="2:7" ht="14" customHeight="1" x14ac:dyDescent="0.3">
      <c r="B32" s="4" t="s">
        <v>336</v>
      </c>
      <c r="C32" t="s">
        <v>337</v>
      </c>
    </row>
    <row r="33" spans="2:3" ht="14" customHeight="1" x14ac:dyDescent="0.3">
      <c r="B33" s="4" t="s">
        <v>338</v>
      </c>
      <c r="C33" t="s">
        <v>41</v>
      </c>
    </row>
    <row r="34" spans="2:3" ht="14" customHeight="1" x14ac:dyDescent="0.3">
      <c r="B34" s="4" t="s">
        <v>339</v>
      </c>
      <c r="C34" t="s">
        <v>4</v>
      </c>
    </row>
    <row r="35" spans="2:3" ht="14" customHeight="1" x14ac:dyDescent="0.3">
      <c r="B35" s="4" t="s">
        <v>340</v>
      </c>
      <c r="C35" t="s">
        <v>246</v>
      </c>
    </row>
    <row r="36" spans="2:3" ht="14" customHeight="1" x14ac:dyDescent="0.3">
      <c r="B36" s="4" t="s">
        <v>341</v>
      </c>
      <c r="C36" t="s">
        <v>342</v>
      </c>
    </row>
    <row r="37" spans="2:3" ht="14" customHeight="1" x14ac:dyDescent="0.3">
      <c r="B37" s="4" t="s">
        <v>343</v>
      </c>
      <c r="C37" t="s">
        <v>344</v>
      </c>
    </row>
    <row r="38" spans="2:3" ht="14" customHeight="1" x14ac:dyDescent="0.3">
      <c r="B38" s="4" t="s">
        <v>345</v>
      </c>
      <c r="C38" t="s">
        <v>346</v>
      </c>
    </row>
    <row r="39" spans="2:3" ht="14" customHeight="1" x14ac:dyDescent="0.3">
      <c r="B39" s="4" t="s">
        <v>347</v>
      </c>
      <c r="C39" t="s">
        <v>348</v>
      </c>
    </row>
    <row r="40" spans="2:3" ht="14" customHeight="1" x14ac:dyDescent="0.3">
      <c r="B40" s="4" t="s">
        <v>349</v>
      </c>
      <c r="C40" t="s">
        <v>350</v>
      </c>
    </row>
    <row r="41" spans="2:3" ht="14" customHeight="1" x14ac:dyDescent="0.3">
      <c r="B41" s="4" t="s">
        <v>351</v>
      </c>
      <c r="C41" t="s">
        <v>346</v>
      </c>
    </row>
    <row r="42" spans="2:3" ht="14" customHeight="1" x14ac:dyDescent="0.3">
      <c r="B42" s="4" t="s">
        <v>352</v>
      </c>
      <c r="C42" t="s">
        <v>342</v>
      </c>
    </row>
    <row r="43" spans="2:3" ht="14" customHeight="1" x14ac:dyDescent="0.3">
      <c r="B43" s="4" t="s">
        <v>353</v>
      </c>
      <c r="C43" t="s">
        <v>354</v>
      </c>
    </row>
    <row r="44" spans="2:3" ht="14" customHeight="1" x14ac:dyDescent="0.3">
      <c r="B44" s="4" t="s">
        <v>355</v>
      </c>
      <c r="C44" t="s">
        <v>356</v>
      </c>
    </row>
    <row r="45" spans="2:3" ht="14" customHeight="1" x14ac:dyDescent="0.3">
      <c r="B45" s="4" t="s">
        <v>357</v>
      </c>
      <c r="C45" t="s">
        <v>358</v>
      </c>
    </row>
    <row r="46" spans="2:3" ht="14" customHeight="1" x14ac:dyDescent="0.3">
      <c r="B46" s="4" t="s">
        <v>359</v>
      </c>
      <c r="C46" t="s">
        <v>335</v>
      </c>
    </row>
    <row r="47" spans="2:3" ht="14" x14ac:dyDescent="0.3">
      <c r="B47" s="4" t="s">
        <v>360</v>
      </c>
      <c r="C47" t="s">
        <v>335</v>
      </c>
    </row>
    <row r="48" spans="2:3" ht="14" x14ac:dyDescent="0.3">
      <c r="B48" s="4" t="s">
        <v>361</v>
      </c>
      <c r="C48" t="s">
        <v>362</v>
      </c>
    </row>
    <row r="49" spans="2:3" ht="14" x14ac:dyDescent="0.3">
      <c r="B49" s="4" t="s">
        <v>363</v>
      </c>
      <c r="C49" t="s">
        <v>41</v>
      </c>
    </row>
    <row r="50" spans="2:3" ht="14" x14ac:dyDescent="0.3">
      <c r="B50" s="4" t="s">
        <v>364</v>
      </c>
      <c r="C50" t="s">
        <v>365</v>
      </c>
    </row>
    <row r="51" spans="2:3" ht="14" x14ac:dyDescent="0.3">
      <c r="B51" s="4" t="s">
        <v>366</v>
      </c>
      <c r="C51" t="s">
        <v>367</v>
      </c>
    </row>
    <row r="52" spans="2:3" ht="14" x14ac:dyDescent="0.3">
      <c r="B52" s="4" t="s">
        <v>368</v>
      </c>
      <c r="C52" t="s">
        <v>369</v>
      </c>
    </row>
    <row r="53" spans="2:3" ht="14" x14ac:dyDescent="0.3">
      <c r="B53" s="4" t="s">
        <v>370</v>
      </c>
      <c r="C53" t="s">
        <v>371</v>
      </c>
    </row>
    <row r="54" spans="2:3" ht="14" x14ac:dyDescent="0.3">
      <c r="B54" s="4" t="s">
        <v>372</v>
      </c>
      <c r="C54" t="s">
        <v>373</v>
      </c>
    </row>
    <row r="55" spans="2:3" ht="14" x14ac:dyDescent="0.3">
      <c r="B55" s="4" t="s">
        <v>374</v>
      </c>
      <c r="C55" t="s">
        <v>375</v>
      </c>
    </row>
    <row r="56" spans="2:3" ht="14" x14ac:dyDescent="0.3">
      <c r="B56" s="4" t="s">
        <v>376</v>
      </c>
      <c r="C56" t="s">
        <v>377</v>
      </c>
    </row>
    <row r="57" spans="2:3" ht="14" x14ac:dyDescent="0.3">
      <c r="B57" s="4" t="s">
        <v>378</v>
      </c>
      <c r="C57" t="s">
        <v>379</v>
      </c>
    </row>
    <row r="58" spans="2:3" ht="14" x14ac:dyDescent="0.3">
      <c r="B58" s="4" t="s">
        <v>380</v>
      </c>
      <c r="C58" t="s">
        <v>381</v>
      </c>
    </row>
    <row r="59" spans="2:3" ht="14" x14ac:dyDescent="0.3">
      <c r="B59" s="4" t="s">
        <v>382</v>
      </c>
      <c r="C59" t="s">
        <v>383</v>
      </c>
    </row>
    <row r="60" spans="2:3" ht="14" x14ac:dyDescent="0.3">
      <c r="B60" s="4" t="s">
        <v>384</v>
      </c>
      <c r="C60" t="s">
        <v>385</v>
      </c>
    </row>
    <row r="61" spans="2:3" ht="14" x14ac:dyDescent="0.3">
      <c r="B61" s="4" t="s">
        <v>386</v>
      </c>
      <c r="C61" t="s">
        <v>387</v>
      </c>
    </row>
    <row r="62" spans="2:3" ht="14" x14ac:dyDescent="0.3">
      <c r="B62" s="4" t="s">
        <v>388</v>
      </c>
      <c r="C62" t="s">
        <v>207</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2026-09-05T07:35:48Z</dcterms:created>
  <dcterms:modified xsi:type="dcterms:W3CDTF">2026-09-05T07:57:53Z</dcterms:modified>
</cp:coreProperties>
</file>