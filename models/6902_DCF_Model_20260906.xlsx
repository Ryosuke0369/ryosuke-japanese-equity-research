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36970F19-0FC8-41B6-B558-B776FE777DB4}"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C6" i="7" l="1"/>
  <c r="I3" i="7"/>
  <c r="I17" i="7" s="1"/>
  <c r="F3" i="7"/>
  <c r="I6" i="7" s="1"/>
  <c r="O10" i="6"/>
  <c r="N10" i="6"/>
  <c r="M10" i="6"/>
  <c r="L10" i="6"/>
  <c r="K10" i="6"/>
  <c r="J10" i="6"/>
  <c r="O9" i="6"/>
  <c r="N9" i="6"/>
  <c r="M9" i="6"/>
  <c r="G17" i="6" s="1"/>
  <c r="L9" i="6"/>
  <c r="K9" i="6"/>
  <c r="J9" i="6"/>
  <c r="O8" i="6"/>
  <c r="N8" i="6"/>
  <c r="M8" i="6"/>
  <c r="L8" i="6"/>
  <c r="F16" i="6" s="1"/>
  <c r="C28" i="6" s="1"/>
  <c r="C19" i="1" s="1"/>
  <c r="D19" i="1" s="1"/>
  <c r="K8" i="6"/>
  <c r="E17" i="6" s="1"/>
  <c r="J8" i="6"/>
  <c r="O7" i="6"/>
  <c r="N7" i="6"/>
  <c r="M7" i="6"/>
  <c r="L7" i="6"/>
  <c r="K7" i="6"/>
  <c r="J7" i="6"/>
  <c r="D15" i="6" s="1"/>
  <c r="O6" i="6"/>
  <c r="I15" i="6" s="1"/>
  <c r="N6" i="6"/>
  <c r="M6" i="6"/>
  <c r="L6" i="6"/>
  <c r="K6" i="6"/>
  <c r="J6" i="6"/>
  <c r="O5" i="6"/>
  <c r="N5" i="6"/>
  <c r="M5" i="6"/>
  <c r="D5" i="6"/>
  <c r="L5" i="6" s="1"/>
  <c r="C16" i="5"/>
  <c r="C14" i="5"/>
  <c r="C18" i="5" s="1"/>
  <c r="C7" i="5"/>
  <c r="C6" i="5"/>
  <c r="C5" i="5"/>
  <c r="C13" i="4"/>
  <c r="C12" i="4"/>
  <c r="C9" i="4"/>
  <c r="C7" i="4"/>
  <c r="C6" i="4"/>
  <c r="D27" i="3"/>
  <c r="D7" i="5" s="1"/>
  <c r="C25" i="3"/>
  <c r="C24" i="3"/>
  <c r="C23" i="3"/>
  <c r="F28" i="2"/>
  <c r="E28" i="2"/>
  <c r="D28" i="2"/>
  <c r="C28" i="2"/>
  <c r="F16" i="2"/>
  <c r="E16" i="2"/>
  <c r="D16" i="2"/>
  <c r="F15" i="2"/>
  <c r="E15" i="2"/>
  <c r="D15" i="2"/>
  <c r="F14" i="2"/>
  <c r="E14" i="2"/>
  <c r="D14" i="2"/>
  <c r="C14" i="2"/>
  <c r="F13" i="2"/>
  <c r="E13" i="2"/>
  <c r="D13" i="2"/>
  <c r="C13" i="2"/>
  <c r="F9" i="2"/>
  <c r="E9" i="2"/>
  <c r="C9" i="2"/>
  <c r="F8" i="2"/>
  <c r="E8" i="2"/>
  <c r="D8" i="2"/>
  <c r="D9" i="2" s="1"/>
  <c r="C8" i="2"/>
  <c r="B24" i="1" l="1"/>
  <c r="B29" i="1"/>
  <c r="D17" i="6"/>
  <c r="E5" i="6"/>
  <c r="F15" i="6"/>
  <c r="D17" i="7"/>
  <c r="C26" i="3"/>
  <c r="G36" i="4" s="1"/>
  <c r="H15" i="6"/>
  <c r="E17" i="7"/>
  <c r="C3" i="7"/>
  <c r="C11" i="4"/>
  <c r="F36" i="4"/>
  <c r="F46" i="3"/>
  <c r="E46" i="3"/>
  <c r="E36" i="4"/>
  <c r="D36" i="4"/>
  <c r="C46" i="3"/>
  <c r="B31" i="1"/>
  <c r="B25" i="1"/>
  <c r="H36" i="4"/>
  <c r="C31" i="3"/>
  <c r="D31" i="3"/>
  <c r="H5" i="5"/>
  <c r="I16" i="6"/>
  <c r="I17" i="6"/>
  <c r="E31" i="3"/>
  <c r="C32" i="3"/>
  <c r="D6" i="5"/>
  <c r="E16" i="6"/>
  <c r="F32" i="3"/>
  <c r="G32" i="3"/>
  <c r="E15" i="6"/>
  <c r="H6" i="7"/>
  <c r="G6" i="7"/>
  <c r="F6" i="7"/>
  <c r="E6" i="7"/>
  <c r="D6" i="7"/>
  <c r="G5" i="5"/>
  <c r="E32" i="3"/>
  <c r="G30" i="3"/>
  <c r="F30" i="3"/>
  <c r="H6" i="5"/>
  <c r="F5" i="5"/>
  <c r="D32" i="3"/>
  <c r="G6" i="5"/>
  <c r="E5" i="5"/>
  <c r="H7" i="5"/>
  <c r="F6" i="5"/>
  <c r="D5" i="5"/>
  <c r="G31" i="3"/>
  <c r="D30" i="3"/>
  <c r="G7" i="5"/>
  <c r="F31" i="3"/>
  <c r="C30" i="3"/>
  <c r="C33" i="3" s="1"/>
  <c r="E6" i="5"/>
  <c r="E7" i="5"/>
  <c r="F7" i="5"/>
  <c r="E30" i="3"/>
  <c r="C8" i="4"/>
  <c r="C10" i="4" s="1"/>
  <c r="G15" i="6"/>
  <c r="G16" i="6"/>
  <c r="D16" i="6"/>
  <c r="F17" i="6"/>
  <c r="C17" i="7"/>
  <c r="H17" i="6"/>
  <c r="F17" i="7"/>
  <c r="H16" i="6"/>
  <c r="G17" i="7"/>
  <c r="H17" i="7"/>
  <c r="G46" i="3" l="1"/>
  <c r="J5" i="6"/>
  <c r="K5" i="6"/>
  <c r="D46" i="3"/>
  <c r="F43" i="4"/>
  <c r="F48" i="4" s="1"/>
  <c r="F53" i="4" s="1"/>
  <c r="F46" i="4"/>
  <c r="F40" i="4"/>
  <c r="F44" i="4"/>
  <c r="F49" i="4" s="1"/>
  <c r="F38" i="4"/>
  <c r="F45" i="4"/>
  <c r="F39" i="4"/>
  <c r="F41" i="4"/>
  <c r="C42" i="3"/>
  <c r="C34" i="3"/>
  <c r="D10" i="5" s="1"/>
  <c r="C37" i="3"/>
  <c r="D9" i="5"/>
  <c r="D12" i="5" s="1"/>
  <c r="C43" i="3"/>
  <c r="D33" i="3"/>
  <c r="E39" i="4"/>
  <c r="E43" i="4"/>
  <c r="E46" i="4"/>
  <c r="E51" i="4" s="1"/>
  <c r="E56" i="4" s="1"/>
  <c r="E40" i="4"/>
  <c r="E44" i="4"/>
  <c r="E41" i="4"/>
  <c r="E45" i="4"/>
  <c r="E38" i="4"/>
  <c r="C24" i="4"/>
  <c r="C25" i="4" s="1"/>
  <c r="C71" i="4"/>
  <c r="F50" i="4"/>
  <c r="F55" i="4" s="1"/>
  <c r="C70" i="4"/>
  <c r="E50" i="4"/>
  <c r="E55" i="4" s="1"/>
  <c r="E48" i="4"/>
  <c r="E53" i="4" s="1"/>
  <c r="H40" i="4"/>
  <c r="H50" i="4" s="1"/>
  <c r="H55" i="4" s="1"/>
  <c r="H44" i="4"/>
  <c r="H38" i="4"/>
  <c r="H48" i="4" s="1"/>
  <c r="H53" i="4" s="1"/>
  <c r="H41" i="4"/>
  <c r="H51" i="4" s="1"/>
  <c r="H56" i="4" s="1"/>
  <c r="H45" i="4"/>
  <c r="H46" i="4"/>
  <c r="H39" i="4"/>
  <c r="H43" i="4"/>
  <c r="G46" i="4"/>
  <c r="G40" i="4"/>
  <c r="G44" i="4"/>
  <c r="G38" i="4"/>
  <c r="G48" i="4" s="1"/>
  <c r="G53" i="4" s="1"/>
  <c r="G41" i="4"/>
  <c r="G45" i="4"/>
  <c r="G39" i="4"/>
  <c r="G43" i="4"/>
  <c r="C27" i="6"/>
  <c r="C18" i="1" s="1"/>
  <c r="D18" i="1" s="1"/>
  <c r="C74" i="4"/>
  <c r="D45" i="4"/>
  <c r="D39" i="4"/>
  <c r="D49" i="4" s="1"/>
  <c r="D54" i="4" s="1"/>
  <c r="D43" i="4"/>
  <c r="D46" i="4"/>
  <c r="D40" i="4"/>
  <c r="D41" i="4"/>
  <c r="D51" i="4" s="1"/>
  <c r="D56" i="4" s="1"/>
  <c r="D44" i="4"/>
  <c r="D38" i="4"/>
  <c r="D48" i="4" s="1"/>
  <c r="D53" i="4" s="1"/>
  <c r="B13" i="7"/>
  <c r="B12" i="7"/>
  <c r="B11" i="7"/>
  <c r="B10" i="7"/>
  <c r="B9" i="7"/>
  <c r="B8" i="7"/>
  <c r="B7" i="7"/>
  <c r="B24" i="7"/>
  <c r="B20" i="7"/>
  <c r="B23" i="7"/>
  <c r="B19" i="7"/>
  <c r="B22" i="7"/>
  <c r="B18" i="7"/>
  <c r="B21" i="7"/>
  <c r="E49" i="4" l="1"/>
  <c r="E54" i="4" s="1"/>
  <c r="F51" i="4"/>
  <c r="F56" i="4" s="1"/>
  <c r="G49" i="4"/>
  <c r="G54" i="4" s="1"/>
  <c r="H49" i="4"/>
  <c r="H54" i="4" s="1"/>
  <c r="D50" i="4"/>
  <c r="D55" i="4" s="1"/>
  <c r="G50" i="4"/>
  <c r="G55" i="4" s="1"/>
  <c r="C35" i="3"/>
  <c r="C38" i="3" s="1"/>
  <c r="G51" i="4"/>
  <c r="G56" i="4" s="1"/>
  <c r="F54" i="4"/>
  <c r="C60" i="4"/>
  <c r="B78" i="4"/>
  <c r="D37" i="3"/>
  <c r="E9" i="5"/>
  <c r="E12" i="5" s="1"/>
  <c r="D43" i="3"/>
  <c r="D35" i="3"/>
  <c r="E33" i="3"/>
  <c r="D34" i="3"/>
  <c r="E10" i="5" s="1"/>
  <c r="D42" i="3"/>
  <c r="C29" i="4"/>
  <c r="C27" i="4"/>
  <c r="C26" i="4"/>
  <c r="C39" i="3"/>
  <c r="D15" i="5"/>
  <c r="D16" i="5" s="1"/>
  <c r="D13" i="5"/>
  <c r="D14" i="5" s="1"/>
  <c r="D18" i="5" s="1"/>
  <c r="D19" i="5" s="1"/>
  <c r="C44" i="3" s="1"/>
  <c r="C36" i="3" l="1"/>
  <c r="F9" i="5"/>
  <c r="F12" i="5" s="1"/>
  <c r="F33" i="3"/>
  <c r="E43" i="3"/>
  <c r="E42" i="3"/>
  <c r="E37" i="3"/>
  <c r="E34" i="3"/>
  <c r="F10" i="5" s="1"/>
  <c r="D38" i="3"/>
  <c r="D36" i="3"/>
  <c r="D39" i="3"/>
  <c r="C40" i="3"/>
  <c r="C41" i="3" s="1"/>
  <c r="C45" i="3" s="1"/>
  <c r="C65" i="4"/>
  <c r="D65" i="4" s="1"/>
  <c r="C64" i="4"/>
  <c r="D64" i="4" s="1"/>
  <c r="C67" i="4"/>
  <c r="D67" i="4" s="1"/>
  <c r="C66" i="4"/>
  <c r="D66" i="4" s="1"/>
  <c r="C63" i="4"/>
  <c r="D63" i="4" s="1"/>
  <c r="E13" i="5"/>
  <c r="E14" i="5" s="1"/>
  <c r="E18" i="5" s="1"/>
  <c r="E19" i="5" s="1"/>
  <c r="D44" i="3" s="1"/>
  <c r="E15" i="5"/>
  <c r="E16" i="5" s="1"/>
  <c r="C47" i="3" l="1"/>
  <c r="E35" i="3"/>
  <c r="F13" i="5"/>
  <c r="F14" i="5" s="1"/>
  <c r="F15" i="5"/>
  <c r="F16" i="5" s="1"/>
  <c r="D40" i="3"/>
  <c r="D41" i="3" s="1"/>
  <c r="D45" i="3" s="1"/>
  <c r="D47" i="3" s="1"/>
  <c r="F43" i="3"/>
  <c r="G33" i="3"/>
  <c r="G9" i="5"/>
  <c r="G12" i="5" s="1"/>
  <c r="F37" i="3"/>
  <c r="F42" i="3"/>
  <c r="F34" i="3"/>
  <c r="G10" i="5" s="1"/>
  <c r="F18" i="5" l="1"/>
  <c r="F19" i="5" s="1"/>
  <c r="E44" i="3" s="1"/>
  <c r="G13" i="5"/>
  <c r="G15" i="5"/>
  <c r="G16" i="5" s="1"/>
  <c r="G42" i="3"/>
  <c r="G34" i="3"/>
  <c r="H10" i="5" s="1"/>
  <c r="H9" i="5"/>
  <c r="H12" i="5" s="1"/>
  <c r="G37" i="3"/>
  <c r="C16" i="4"/>
  <c r="C28" i="4" s="1"/>
  <c r="G43" i="3"/>
  <c r="G14" i="5"/>
  <c r="E38" i="3"/>
  <c r="E36" i="3"/>
  <c r="E39" i="3"/>
  <c r="F35" i="3"/>
  <c r="G18" i="5" l="1"/>
  <c r="G19" i="5" s="1"/>
  <c r="F44" i="3" s="1"/>
  <c r="H15" i="5"/>
  <c r="H16" i="5" s="1"/>
  <c r="H13" i="5"/>
  <c r="H14" i="5" s="1"/>
  <c r="H18" i="5" s="1"/>
  <c r="H19" i="5" s="1"/>
  <c r="G44" i="3" s="1"/>
  <c r="C72" i="4"/>
  <c r="C73" i="4"/>
  <c r="E40" i="3"/>
  <c r="E41" i="3"/>
  <c r="E45" i="3" s="1"/>
  <c r="F38" i="3"/>
  <c r="F36" i="3"/>
  <c r="F39" i="3"/>
  <c r="G35" i="3"/>
  <c r="E47" i="3" l="1"/>
  <c r="G38" i="3"/>
  <c r="G36" i="3"/>
  <c r="G39" i="3"/>
  <c r="F40" i="3"/>
  <c r="F41" i="3" s="1"/>
  <c r="F45" i="3" s="1"/>
  <c r="F47" i="3" l="1"/>
  <c r="C59" i="3"/>
  <c r="C60" i="3" s="1"/>
  <c r="C61" i="3" s="1"/>
  <c r="G40" i="3"/>
  <c r="G41" i="3" s="1"/>
  <c r="G45" i="3" s="1"/>
  <c r="C51" i="3" l="1"/>
  <c r="C52" i="3" s="1"/>
  <c r="G47" i="3"/>
  <c r="C50" i="3" s="1"/>
  <c r="D8" i="7"/>
  <c r="D18" i="7"/>
  <c r="C10" i="7"/>
  <c r="E12" i="7"/>
  <c r="D21" i="7"/>
  <c r="D13" i="7"/>
  <c r="F23" i="7"/>
  <c r="H12" i="7"/>
  <c r="F24" i="7"/>
  <c r="F18" i="7"/>
  <c r="H24" i="7"/>
  <c r="I18" i="7"/>
  <c r="I12" i="7"/>
  <c r="F8" i="7"/>
  <c r="D22" i="7"/>
  <c r="H13" i="7"/>
  <c r="I20" i="7"/>
  <c r="G13" i="7"/>
  <c r="G8" i="7"/>
  <c r="D19" i="7"/>
  <c r="F9" i="7"/>
  <c r="E9" i="7"/>
  <c r="F21" i="7"/>
  <c r="C24" i="7"/>
  <c r="I8" i="7"/>
  <c r="G22" i="7"/>
  <c r="D10" i="7"/>
  <c r="C11" i="7"/>
  <c r="E8" i="7"/>
  <c r="E10" i="7"/>
  <c r="E22" i="7"/>
  <c r="C23" i="7"/>
  <c r="C9" i="7"/>
  <c r="F13" i="7"/>
  <c r="I7" i="7"/>
  <c r="G9" i="7"/>
  <c r="I10" i="7"/>
  <c r="D20" i="7"/>
  <c r="H7" i="7"/>
  <c r="D9" i="7"/>
  <c r="E24" i="7"/>
  <c r="H23" i="7"/>
  <c r="H9" i="7"/>
  <c r="I11" i="7"/>
  <c r="E19" i="7"/>
  <c r="G7" i="7"/>
  <c r="H10" i="7"/>
  <c r="F22" i="7"/>
  <c r="I19" i="7"/>
  <c r="F7" i="7"/>
  <c r="C19" i="7"/>
  <c r="G21" i="7"/>
  <c r="H8" i="7"/>
  <c r="H21" i="7"/>
  <c r="G24" i="7"/>
  <c r="I24" i="7"/>
  <c r="F20" i="7"/>
  <c r="G11" i="7"/>
  <c r="C7" i="7"/>
  <c r="I22" i="7"/>
  <c r="G19" i="7"/>
  <c r="H19" i="7"/>
  <c r="C21" i="7"/>
  <c r="D23" i="7"/>
  <c r="F19" i="7"/>
  <c r="G23" i="7"/>
  <c r="D24" i="7"/>
  <c r="C20" i="7"/>
  <c r="C22" i="7"/>
  <c r="E21" i="7"/>
  <c r="C18" i="7"/>
  <c r="H11" i="7"/>
  <c r="I9" i="7"/>
  <c r="C8" i="7"/>
  <c r="G10" i="7"/>
  <c r="I21" i="7"/>
  <c r="F12" i="7"/>
  <c r="D7" i="7"/>
  <c r="H20" i="7"/>
  <c r="E20" i="7"/>
  <c r="D11" i="7"/>
  <c r="C12" i="7"/>
  <c r="G18" i="7"/>
  <c r="E7" i="7"/>
  <c r="G12" i="7"/>
  <c r="E18" i="7"/>
  <c r="H18" i="7"/>
  <c r="G20" i="7"/>
  <c r="H22" i="7"/>
  <c r="E23" i="7"/>
  <c r="F11" i="7"/>
  <c r="D12" i="7"/>
  <c r="E13" i="7"/>
  <c r="C13" i="7"/>
  <c r="I23" i="7"/>
  <c r="E11" i="7"/>
  <c r="I13" i="7"/>
  <c r="F10" i="7"/>
  <c r="C58" i="3" l="1"/>
  <c r="C62" i="3" s="1"/>
  <c r="C53" i="3"/>
  <c r="C17" i="4" l="1"/>
  <c r="C54" i="3"/>
  <c r="C55" i="3" s="1"/>
  <c r="C16" i="1" s="1"/>
  <c r="C63" i="3"/>
  <c r="C64" i="3" s="1"/>
  <c r="C17" i="1" s="1"/>
  <c r="D17" i="1" s="1"/>
  <c r="D16" i="1" l="1"/>
  <c r="C21" i="1"/>
  <c r="C10" i="1"/>
  <c r="C19" i="4"/>
  <c r="C20" i="4" s="1"/>
  <c r="B79" i="4" s="1"/>
  <c r="B26" i="1" l="1"/>
  <c r="C12" i="1"/>
  <c r="C11" i="1" s="1"/>
</calcChain>
</file>

<file path=xl/sharedStrings.xml><?xml version="1.0" encoding="utf-8"?>
<sst xmlns="http://schemas.openxmlformats.org/spreadsheetml/2006/main" count="426" uniqueCount="342">
  <si>
    <t>DISCLAIMER: This is a sample analysis for demonstration purposes only. It does not constitute investment advice.</t>
  </si>
  <si>
    <t>デンソー (6902.T)</t>
  </si>
  <si>
    <t>Equity Research Report</t>
  </si>
  <si>
    <t>Company</t>
  </si>
  <si>
    <t>デンソー</t>
  </si>
  <si>
    <t>Ticker</t>
  </si>
  <si>
    <t>6902.T (TSE Prime)</t>
  </si>
  <si>
    <t>Sector</t>
  </si>
  <si>
    <t>輸送用機器</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</si>
  <si>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</si>
  <si>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</si>
  <si>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</si>
  <si>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</si>
  <si>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</si>
  <si>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</si>
  <si>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</si>
  <si>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</si>
  <si>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</si>
  <si>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</si>
  <si>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</si>
  <si>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</si>
  <si>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</si>
  <si>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</si>
  <si>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</si>
  <si>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</si>
  <si>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The electrification transition requires sustained investment in new product lines while internal-combustion components decline, and the base case assumes capital expenditure converges on depreciation rather than stepping up.</t>
  </si>
  <si>
    <t>デンソー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</si>
  <si>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</si>
  <si>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</si>
  <si>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</si>
  <si>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</si>
  <si>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</si>
  <si>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</si>
  <si>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</si>
  <si>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</si>
  <si>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</si>
  <si>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</si>
  <si>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</si>
  <si>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</si>
  <si>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</si>
  <si>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</si>
  <si>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</si>
  <si>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</si>
  <si>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</si>
  <si>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</si>
  <si>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</si>
  <si>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</si>
  <si>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</si>
  <si>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</si>
  <si>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</si>
  <si>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</si>
  <si>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</si>
  <si>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</si>
  <si>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</si>
  <si>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</si>
  <si>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デンソー</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</si>
  <si>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</si>
  <si>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</si>
  <si>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</si>
  <si>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</si>
  <si>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</si>
  <si>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</si>
  <si>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</si>
  <si>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</si>
  <si>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</si>
  <si>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</si>
  <si>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</si>
  <si>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</si>
  <si>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</si>
  <si>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</si>
  <si>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</si>
  <si>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</si>
  <si>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</si>
  <si>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</si>
  <si>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</si>
  <si>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</si>
  <si>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</si>
  <si>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</si>
  <si>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</si>
  <si>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</si>
  <si>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</si>
  <si>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</si>
  <si>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</si>
  <si>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</si>
  <si>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</si>
  <si>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</si>
  <si>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</si>
  <si>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</si>
  <si>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</si>
  <si>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</si>
  <si>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</si>
  <si>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</si>
  <si>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</si>
  <si>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</si>
  <si>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</si>
  <si>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</si>
  <si>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</si>
  <si>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</si>
  <si>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</si>
  <si>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</si>
  <si>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</si>
  <si>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</si>
  <si>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</si>
  <si>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</si>
  <si>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</si>
  <si>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</si>
  <si>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</si>
  <si>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</si>
  <si>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</si>
  <si>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</si>
  <si>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</si>
  <si>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</si>
  <si>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</si>
  <si>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</si>
  <si>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</si>
  <si>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</si>
  <si>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</si>
  <si>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</si>
  <si>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</si>
  <si>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デンソー (6902.T)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</si>
  <si>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</si>
  <si>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</si>
  <si>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</si>
  <si>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</si>
  <si>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</si>
  <si>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</si>
  <si>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</si>
  <si>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</si>
  <si>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</si>
  <si>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</si>
  <si>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</si>
  <si>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</si>
  <si>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</si>
  <si>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</si>
  <si>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</si>
  <si>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</si>
  <si>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</si>
  <si>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</si>
  <si>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</si>
  <si>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</si>
  <si>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</si>
  <si>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</si>
  <si>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</si>
  <si>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</si>
  <si>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</si>
  <si>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</si>
  <si>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</si>
  <si>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</si>
  <si>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</si>
  <si>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</si>
  <si>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</si>
  <si>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</si>
  <si>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</si>
  <si>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</si>
  <si>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</si>
  <si>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</si>
  <si>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</si>
  <si>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</si>
  <si>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</si>
  <si>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</si>
  <si>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</si>
  <si>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</si>
  <si>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</si>
  <si>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</si>
  <si>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</si>
  <si>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</si>
  <si>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</si>
  <si>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</si>
  <si>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</si>
  <si>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</si>
  <si>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</si>
  <si>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デンソー</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</si>
  <si>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</si>
  <si>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</si>
  <si>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</si>
  <si>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</si>
  <si>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</si>
  <si>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</si>
  <si>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</si>
  <si>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</si>
  <si>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</si>
  <si>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</si>
  <si>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</si>
  <si>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</si>
  <si>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</si>
  <si>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</si>
  <si>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</si>
  <si>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</si>
  <si>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</si>
  <si>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</si>
  <si>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</si>
  <si>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</si>
  <si>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</si>
  <si>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</si>
  <si>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</si>
  <si>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</si>
  <si>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</si>
  <si>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</si>
  <si>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</si>
  <si>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</si>
  <si>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</si>
  <si>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</si>
  <si>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</si>
  <si>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</si>
  <si>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</si>
  <si>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</si>
  <si>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DENSO Corporation</t>
  </si>
  <si>
    <t>6902.T</t>
  </si>
  <si>
    <t>Aisin Corporation</t>
  </si>
  <si>
    <t>7259.T</t>
  </si>
  <si>
    <t>Bridgestone Corporation</t>
  </si>
  <si>
    <t>5108.T</t>
  </si>
  <si>
    <t>Sumitomo Electric Industries, Ltd.</t>
  </si>
  <si>
    <t>5802.T</t>
  </si>
  <si>
    <t>Toyoda Gosei Co., Ltd.</t>
  </si>
  <si>
    <t>7282.T</t>
  </si>
  <si>
    <t>Mitsubishi Electric Corporation</t>
  </si>
  <si>
    <t>6503.T</t>
  </si>
  <si>
    <t>Statistics</t>
  </si>
  <si>
    <t>25th Percentile</t>
  </si>
  <si>
    <t>Median (50th)</t>
  </si>
  <si>
    <t>75th Percentile</t>
  </si>
  <si>
    <t>Implied Valuation for デンソー</t>
  </si>
  <si>
    <t>デンソー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</si>
  <si>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</si>
  <si>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</si>
  <si>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</si>
  <si>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</si>
  <si>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</si>
  <si>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</si>
  <si>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</si>
  <si>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</si>
  <si>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</si>
  <si>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</si>
  <si>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</si>
  <si>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</si>
  <si>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</si>
  <si>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</si>
  <si>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</si>
  <si>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デンソー</t>
  </si>
  <si>
    <t>日付</t>
  </si>
  <si>
    <t>セル</t>
  </si>
  <si>
    <t>変更内容</t>
  </si>
  <si>
    <t>理由</t>
  </si>
  <si>
    <t>元の値</t>
  </si>
  <si>
    <t>状態</t>
  </si>
  <si>
    <t>2026-09-06</t>
  </si>
  <si>
    <t>-</t>
  </si>
  <si>
    <t>Generated by pipeline on 2026-09-06 19:20, template rev 63983ab</t>
  </si>
  <si>
    <t>初期生成（手修正なし）</t>
  </si>
  <si>
    <t>generated</t>
  </si>
  <si>
    <t>DCF Model!C8</t>
  </si>
  <si>
    <t>Beta = 1.063（採用値）</t>
  </si>
  <si>
    <t>実測β(raw) = 1.094 → Blume調整 0.67×raw + 0.33×1.00 = 1.063 → 採用 1.063。クランプ域 [0.3, 2.0] の内側。置換なし。回帰βは平均回帰するため Blume 調整を既定とする（2026-09-05 バッチで85件中57件が旧下限 0.60 に張り付き、両裾の歪みが実証された）。</t>
  </si>
  <si>
    <t>実測 1.094</t>
  </si>
  <si>
    <t>確定</t>
  </si>
  <si>
    <t>Pipeline Metadata (do not edit — read by scripts/validate_output.py)</t>
  </si>
  <si>
    <t>key</t>
  </si>
  <si>
    <t>value</t>
  </si>
  <si>
    <t>auto_log_entries</t>
  </si>
  <si>
    <t>1</t>
  </si>
  <si>
    <t>beta_adopted_c8</t>
  </si>
  <si>
    <t>1.0629</t>
  </si>
  <si>
    <t>beta_basis</t>
  </si>
  <si>
    <t>Blume: 0.67 x 1.094 + 0.33 x 1.00 = 1.063</t>
  </si>
  <si>
    <t>beta_blume_adjusted</t>
  </si>
  <si>
    <t>beta_clamped</t>
  </si>
  <si>
    <t>no</t>
  </si>
  <si>
    <t>beta_raw</t>
  </si>
  <si>
    <t>1.0939</t>
  </si>
  <si>
    <t>capex_pct_basis</t>
  </si>
  <si>
    <t>explicit_override</t>
  </si>
  <si>
    <t>capex_pct_c5</t>
  </si>
  <si>
    <t>0.0525</t>
  </si>
  <si>
    <t>capex_pct_hist3yr</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</si>
  <si>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</si>
  <si>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</si>
  <si>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</si>
  <si>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</si>
  <si>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</si>
  <si>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</si>
  <si>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</si>
  <si>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</si>
  <si>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</si>
  <si>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</si>
  <si>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</si>
  <si>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</si>
  <si>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</si>
  <si>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</si>
  <si>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</si>
  <si>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</si>
  <si>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</si>
  <si>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</si>
  <si>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</si>
  <si>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</si>
  <si>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930612.0</t>
  </si>
  <si>
    <t>core_net_income</t>
  </si>
  <si>
    <t>443755.0</t>
  </si>
  <si>
    <t>cost_of_debt_at_c11</t>
  </si>
  <si>
    <t>0.01</t>
  </si>
  <si>
    <t>cost_of_debt_basis</t>
  </si>
  <si>
    <t>assumption</t>
  </si>
  <si>
    <t>da_pct_basis</t>
  </si>
  <si>
    <t>da_pct_c18</t>
  </si>
  <si>
    <t>0.05</t>
  </si>
  <si>
    <t>da_pct_hist3yr</t>
  </si>
  <si>
    <t>0.057017</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</si>
  <si>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</si>
  <si>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</si>
  <si>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</si>
  <si>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</si>
  <si>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</si>
  <si>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</si>
  <si>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</si>
  <si>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</si>
  <si>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</si>
  <si>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19:20:41</t>
  </si>
  <si>
    <t>guidance_note</t>
  </si>
  <si>
    <t>TDnet 決算短信 via screener guidance table: FY2027 disclosed 2026-07-31 (net_income=382,000mn, operating_income=500,000mn, revenue=7,750,000mn)</t>
  </si>
  <si>
    <t>guidance_source</t>
  </si>
  <si>
    <t>tdnet_screener_db</t>
  </si>
  <si>
    <t>latest_operating_income</t>
  </si>
  <si>
    <t>552538.0</t>
  </si>
  <si>
    <t>ltm_revenue_c20</t>
  </si>
  <si>
    <t>7539975.0</t>
  </si>
  <si>
    <t>ltm_revenue_source</t>
  </si>
  <si>
    <t>latest FY (no LTM)</t>
  </si>
  <si>
    <t>market_data_source</t>
  </si>
  <si>
    <t>yfinance; from overrides: beta, current_price, shares_outstanding</t>
  </si>
  <si>
    <t>narrative_tokens_used</t>
  </si>
  <si>
    <t>pb,per,price,target_price,upside_pct,wacc</t>
  </si>
  <si>
    <t>net_debt_source</t>
  </si>
  <si>
    <t>EDINET net_debt</t>
  </si>
  <si>
    <t>reverse_dcf_sheet</t>
  </si>
  <si>
    <t>op0=552,538(FY2026) peak=552,538(FY2026) peak_opm=0.0733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</si>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</sst>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1916.5</v>
      </c>
    </row>
    <row r="10" spans="2:5" ht="14" x14ac:dyDescent="0.3">
      <c r="B10" s="4" t="s">
        <v>10</v>
      </c>
      <c r="C10" s="5">
        <f>IF(COUNT(C16:C17)=0,"N/A",ROUND(AVERAGE(C16:C17),0))</f>
        <v>2157</v>
      </c>
    </row>
    <row r="11" spans="2:5" ht="14" x14ac:dyDescent="0.3">
      <c r="B11" s="4" t="s">
        <v>11</v>
      </c>
      <c r="C11" s="6" t="str">
        <f>IF(NOT(ISNUMBER(C12)),"N/A",IF(C12&gt;0.15,"BUY",IF(C12&gt;0.05,"HOLD","SELL")))</f>
        <v>HOLD</v>
      </c>
    </row>
    <row r="12" spans="2:5" ht="14" x14ac:dyDescent="0.3">
      <c r="B12" s="4" t="s">
        <v>12</v>
      </c>
      <c r="C12" s="7">
        <f>IF(ISNUMBER(C10),(C10-C9)/C9,"N/A")</f>
        <v>0.12548917297156276</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1795</v>
      </c>
      <c r="D16" s="7">
        <f>IF(ISNUMBER(C16),(C16-C9)/C9,"N/A")</f>
        <v>-6.3396817114531698E-2</v>
      </c>
    </row>
    <row r="17" spans="2:5" ht="13.5" x14ac:dyDescent="0.25">
      <c r="B17" t="s">
        <v>18</v>
      </c>
      <c r="C17" s="11">
        <f>IF('DCF Model'!C62&lt;'DCF Model'!C16,"INVALID (EV &lt; net debt)",'DCF Model'!C64)</f>
        <v>2519</v>
      </c>
      <c r="D17" s="7">
        <f>IF(ISNUMBER(C17),(C17-C9)/C9,"N/A")</f>
        <v>0.31437516305765717</v>
      </c>
    </row>
    <row r="18" spans="2:5" ht="13.5" x14ac:dyDescent="0.25">
      <c r="B18" t="s">
        <v>19</v>
      </c>
      <c r="C18" s="11">
        <f>'Comps Analysis'!C27</f>
        <v>2689</v>
      </c>
      <c r="D18" s="7">
        <f>IF(ISNUMBER(C18),(C18-C9)/C9,"N/A")</f>
        <v>0.40307852856770154</v>
      </c>
    </row>
    <row r="19" spans="2:5" ht="13.5" x14ac:dyDescent="0.25">
      <c r="B19" t="s">
        <v>20</v>
      </c>
      <c r="C19" s="11">
        <f>'Comps Analysis'!C28</f>
        <v>2655</v>
      </c>
      <c r="D19" s="7">
        <f>IF(ISNUMBER(C19),(C19-C9)/C9,"N/A")</f>
        <v>0.38533785546569266</v>
      </c>
    </row>
    <row r="20" spans="2:5" ht="14" x14ac:dyDescent="0.3">
      <c r="B20" s="45" t="s">
        <v>21</v>
      </c>
      <c r="C20" s="44"/>
      <c r="D20" s="44"/>
      <c r="E20" s="44"/>
    </row>
    <row r="21" spans="2:5" ht="14" x14ac:dyDescent="0.3">
      <c r="B21" s="4" t="s">
        <v>22</v>
      </c>
      <c r="C21" s="6" t="str">
        <f>IF(COUNT(C16:C17)=0,"N/A",MIN(C16:C17)&amp;" - "&amp;MAX(C16:C17))</f>
        <v>1795 - 2519</v>
      </c>
    </row>
    <row r="23" spans="2:5" ht="14" x14ac:dyDescent="0.3">
      <c r="B23" s="8" t="s">
        <v>23</v>
      </c>
      <c r="C23" s="9"/>
      <c r="D23" s="9"/>
    </row>
    <row r="24" spans="2:5" x14ac:dyDescent="0.2">
      <c r="B24" t="str">
        <f>"Denso supplies thermal, powertrain and electrification systems across the Toyota group and beyond, and the operating margin has recovered to the top of its four-year range; the shares trade at "&amp;TEXT('Comps Analysis'!L5,"0.0""x""")&amp;" earnings and "&amp;TEXT('Comps Analysis'!M5,"0.00""x""")&amp;" book."</f>
        <v>Denso supplies thermal, powertrain and electrification systems across the Toyota group and beyond, and the operating margin has recovered to the top of its four-year range; the shares trade at 10.8x earnings and 0.87x book.</v>
      </c>
    </row>
    <row r="25" spans="2:5" x14ac:dyDescent="0.2">
      <c r="B25" t="str">
        <f>"Unlike the automotive OEMs, Denso carries no captive finance operation, so the balance sheet is a clean industrial one and the "&amp;TEXT('DCF Model'!C26,"0.00%")&amp;" discount rate applies to net cash rather than to a finance book."</f>
        <v>Unlike the automotive OEMs, Denso carries no captive finance operation, so the balance sheet is a clean industrial one and the 10.88% discount rate applies to net cash rather than to a finance book.</v>
      </c>
    </row>
    <row r="26" spans="2:5" x14ac:dyDescent="0.2">
      <c r="B26" t="str">
        <f>"At "&amp;TEXT(C9,"#,##0")&amp;" the shares are valued below the auto-parts and industrial peer median on EV/EBITDA; valuing the exit on that peer median supports "&amp;TEXT(C10,"#,##0")&amp;", or "&amp;TEXT(C12,"+0.0%;-0.0%")&amp;" from here."</f>
        <v>At 1,917 the shares are valued below the auto-parts and industrial peer median on EV/EBITDA; valuing the exit on that peer median supports 2,157, or +12.5% from here.</v>
      </c>
    </row>
    <row r="28" spans="2:5" ht="14" x14ac:dyDescent="0.3">
      <c r="B28" s="8" t="s">
        <v>24</v>
      </c>
      <c r="C28" s="9"/>
      <c r="D28" s="9"/>
    </row>
    <row r="29" spans="2:5" x14ac:dyDescent="0.2">
      <c r="B29" t="str">
        <f>"Revenue tracks Toyota group build rates, and a volume decline of the kind seen two years ago would take the margin back to the trough case rather than the level implied by today's "&amp;TEXT(C9,"#,##0")&amp;" and "&amp;TEXT('Comps Analysis'!L5,"0.0""x""")&amp;"."</f>
        <v>Revenue tracks Toyota group build rates, and a volume decline of the kind seen two years ago would take the margin back to the trough case rather than the level implied by today's 1,917 and 10.8x.</v>
      </c>
    </row>
    <row r="30" spans="2:5" x14ac:dyDescent="0.2">
      <c r="B30" t="s">
        <v>25</v>
      </c>
    </row>
    <row r="31" spans="2:5" x14ac:dyDescent="0.2">
      <c r="B31" t="str">
        <f>"Customer concentration inside a single group is not reflected in the "&amp;TEXT('DCF Model'!C26,"0.00%")&amp;" used here, and pricing is negotiated annually rather than set in the market."</f>
        <v>Customer concentration inside a single group is not reflected in the 10.88% used here, and pricing is negotiated annually rather than set in the market.</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26</v>
      </c>
    </row>
    <row r="4" spans="2:6" ht="14" x14ac:dyDescent="0.3">
      <c r="C4" s="10" t="s">
        <v>27</v>
      </c>
      <c r="D4" s="10" t="s">
        <v>28</v>
      </c>
      <c r="E4" s="10" t="s">
        <v>29</v>
      </c>
      <c r="F4" s="10" t="s">
        <v>30</v>
      </c>
    </row>
    <row r="5" spans="2:6" ht="14" x14ac:dyDescent="0.3">
      <c r="B5" s="3" t="s">
        <v>31</v>
      </c>
    </row>
    <row r="6" spans="2:6" ht="14" x14ac:dyDescent="0.3">
      <c r="B6" s="4" t="s">
        <v>32</v>
      </c>
      <c r="C6" s="5">
        <v>6401320</v>
      </c>
      <c r="D6" s="5">
        <v>7144733</v>
      </c>
      <c r="E6" s="5">
        <v>7161777</v>
      </c>
      <c r="F6" s="5">
        <v>7539975</v>
      </c>
    </row>
    <row r="7" spans="2:6" ht="14" x14ac:dyDescent="0.3">
      <c r="B7" s="4" t="s">
        <v>33</v>
      </c>
      <c r="C7" s="5">
        <v>5490176</v>
      </c>
      <c r="D7" s="5">
        <v>6054780</v>
      </c>
      <c r="E7" s="5">
        <v>6058910</v>
      </c>
      <c r="F7" s="5">
        <v>6370364</v>
      </c>
    </row>
    <row r="8" spans="2:6" ht="14" x14ac:dyDescent="0.3">
      <c r="B8" s="4" t="s">
        <v>34</v>
      </c>
      <c r="C8" s="5">
        <f>C6-C7</f>
        <v>911144</v>
      </c>
      <c r="D8" s="5">
        <f>D6-D7</f>
        <v>1089953</v>
      </c>
      <c r="E8" s="5">
        <f>E6-E7</f>
        <v>1102867</v>
      </c>
      <c r="F8" s="5">
        <f>F6-F7</f>
        <v>1169611</v>
      </c>
    </row>
    <row r="9" spans="2:6" ht="13.5" x14ac:dyDescent="0.25">
      <c r="B9" t="s">
        <v>35</v>
      </c>
      <c r="C9" s="7">
        <f>C8/C6</f>
        <v>0.14233689301581548</v>
      </c>
      <c r="D9" s="7">
        <f>D8/D6</f>
        <v>0.15255335643753237</v>
      </c>
      <c r="E9" s="7">
        <f>E8/E6</f>
        <v>0.15399348513644029</v>
      </c>
      <c r="F9" s="7">
        <f>F8/F6</f>
        <v>0.15512133660920627</v>
      </c>
    </row>
    <row r="10" spans="2:6" ht="14" x14ac:dyDescent="0.3">
      <c r="B10" s="4" t="s">
        <v>36</v>
      </c>
      <c r="C10" s="5">
        <v>485045</v>
      </c>
      <c r="D10" s="5">
        <v>709354</v>
      </c>
      <c r="E10" s="5">
        <v>583914</v>
      </c>
      <c r="F10" s="5">
        <v>617073</v>
      </c>
    </row>
    <row r="11" spans="2:6" ht="14" x14ac:dyDescent="0.3">
      <c r="B11" s="4" t="s">
        <v>37</v>
      </c>
      <c r="C11" s="5">
        <v>426099</v>
      </c>
      <c r="D11" s="5">
        <v>380599</v>
      </c>
      <c r="E11" s="5">
        <v>518953</v>
      </c>
      <c r="F11" s="5">
        <v>552538</v>
      </c>
    </row>
    <row r="12" spans="2:6" ht="14" x14ac:dyDescent="0.3">
      <c r="B12" s="4" t="s">
        <v>38</v>
      </c>
      <c r="C12" s="5">
        <v>314633</v>
      </c>
      <c r="D12" s="5">
        <v>312791</v>
      </c>
      <c r="E12" s="5">
        <v>419081</v>
      </c>
      <c r="F12" s="5">
        <v>443755</v>
      </c>
    </row>
    <row r="13" spans="2:6" ht="13.5" x14ac:dyDescent="0.25">
      <c r="B13" t="s">
        <v>39</v>
      </c>
      <c r="C13" s="7">
        <f>C11/C6</f>
        <v>6.6564239875525677E-2</v>
      </c>
      <c r="D13" s="7">
        <f>D11/D6</f>
        <v>5.3269870266670565E-2</v>
      </c>
      <c r="E13" s="7">
        <f>E11/E6</f>
        <v>7.2461485466525977E-2</v>
      </c>
      <c r="F13" s="7">
        <f>F11/F6</f>
        <v>7.3281144831382067E-2</v>
      </c>
    </row>
    <row r="14" spans="2:6" ht="13.5" x14ac:dyDescent="0.25">
      <c r="B14" t="s">
        <v>40</v>
      </c>
      <c r="C14" s="7">
        <f>C12/C6</f>
        <v>4.9151268800809833E-2</v>
      </c>
      <c r="D14" s="7">
        <f>D12/D6</f>
        <v>4.3779242695283362E-2</v>
      </c>
      <c r="E14" s="7">
        <f>E12/E6</f>
        <v>5.8516343080774504E-2</v>
      </c>
      <c r="F14" s="7">
        <f>F12/F6</f>
        <v>5.8853643413937048E-2</v>
      </c>
    </row>
    <row r="15" spans="2:6" ht="13.5" x14ac:dyDescent="0.25">
      <c r="B15" t="s">
        <v>41</v>
      </c>
      <c r="C15" t="s">
        <v>42</v>
      </c>
      <c r="D15" s="7">
        <f>(D6-C6)/C6</f>
        <v>0.11613432854473765</v>
      </c>
      <c r="E15" s="7">
        <f>(E6-D6)/D6</f>
        <v>2.3855335111892914E-3</v>
      </c>
      <c r="F15" s="7">
        <f>(F6-E6)/E6</f>
        <v>5.2807843639923441E-2</v>
      </c>
    </row>
    <row r="16" spans="2:6" ht="13.5" x14ac:dyDescent="0.25">
      <c r="B16" t="s">
        <v>43</v>
      </c>
      <c r="C16" t="s">
        <v>42</v>
      </c>
      <c r="D16" s="7">
        <f>(D11-C11)/C11</f>
        <v>-0.10678269604012214</v>
      </c>
      <c r="E16" s="7">
        <f>(E11-D11)/D11</f>
        <v>0.36351645695338136</v>
      </c>
      <c r="F16" s="7">
        <f>(F11-E11)/E11</f>
        <v>6.4716843336487126E-2</v>
      </c>
    </row>
    <row r="18" spans="2:6" ht="14" x14ac:dyDescent="0.3">
      <c r="B18" s="3" t="s">
        <v>44</v>
      </c>
    </row>
    <row r="19" spans="2:6" ht="14" x14ac:dyDescent="0.3">
      <c r="B19" s="4" t="s">
        <v>45</v>
      </c>
      <c r="C19" s="5">
        <v>602720</v>
      </c>
      <c r="D19" s="5">
        <v>961826</v>
      </c>
      <c r="E19" s="5">
        <v>758743</v>
      </c>
      <c r="F19" s="5">
        <v>511025</v>
      </c>
    </row>
    <row r="20" spans="2:6" ht="14" x14ac:dyDescent="0.3">
      <c r="B20" s="4" t="s">
        <v>46</v>
      </c>
      <c r="C20" s="5"/>
      <c r="D20" s="5"/>
      <c r="E20" s="5"/>
      <c r="F20" s="5"/>
    </row>
    <row r="21" spans="2:6" ht="14" x14ac:dyDescent="0.3">
      <c r="B21" s="4" t="s">
        <v>47</v>
      </c>
    </row>
    <row r="22" spans="2:6" x14ac:dyDescent="0.2">
      <c r="B22" t="s">
        <v>48</v>
      </c>
    </row>
    <row r="23" spans="2:6" x14ac:dyDescent="0.2">
      <c r="B23" t="s">
        <v>49</v>
      </c>
    </row>
    <row r="25" spans="2:6" ht="14" x14ac:dyDescent="0.3">
      <c r="B25" s="3" t="s">
        <v>50</v>
      </c>
    </row>
    <row r="26" spans="2:6" ht="14" x14ac:dyDescent="0.3">
      <c r="B26" s="4" t="s">
        <v>51</v>
      </c>
      <c r="C26" s="5">
        <v>733850</v>
      </c>
      <c r="D26" s="5">
        <v>789390</v>
      </c>
      <c r="E26" s="5">
        <v>986531</v>
      </c>
      <c r="F26" s="5">
        <v>1189126</v>
      </c>
    </row>
    <row r="27" spans="2:6" ht="14" x14ac:dyDescent="0.3">
      <c r="B27" s="4" t="s">
        <v>52</v>
      </c>
      <c r="C27" s="5">
        <v>889274</v>
      </c>
      <c r="D27" s="5">
        <v>850721</v>
      </c>
      <c r="E27" s="5">
        <v>699384</v>
      </c>
      <c r="F27" s="5">
        <v>811282</v>
      </c>
    </row>
    <row r="28" spans="2:6" ht="14" x14ac:dyDescent="0.3">
      <c r="B28" s="4" t="s">
        <v>53</v>
      </c>
      <c r="C28" s="5">
        <f>C27-C26</f>
        <v>155424</v>
      </c>
      <c r="D28" s="5">
        <f>D27-D26</f>
        <v>61331</v>
      </c>
      <c r="E28" s="5">
        <f>E27-E26</f>
        <v>-287147</v>
      </c>
      <c r="F28" s="5">
        <f>F27-F26</f>
        <v>-377844</v>
      </c>
    </row>
    <row r="30" spans="2:6" ht="14" x14ac:dyDescent="0.3">
      <c r="B30" s="1" t="s">
        <v>54</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55</v>
      </c>
    </row>
    <row r="4" spans="2:7" ht="14" x14ac:dyDescent="0.3">
      <c r="B4" s="8" t="s">
        <v>56</v>
      </c>
      <c r="C4" s="9"/>
      <c r="D4" s="9"/>
      <c r="E4" s="9"/>
      <c r="F4" s="9"/>
      <c r="G4" s="9"/>
    </row>
    <row r="5" spans="2:7" ht="14" x14ac:dyDescent="0.3">
      <c r="B5" s="4" t="s">
        <v>49</v>
      </c>
      <c r="C5" s="7">
        <v>5.2499999999999998E-2</v>
      </c>
    </row>
    <row r="6" spans="2:7" ht="14" x14ac:dyDescent="0.3">
      <c r="B6" s="4" t="s">
        <v>57</v>
      </c>
      <c r="C6" s="7">
        <v>0.25</v>
      </c>
    </row>
    <row r="7" spans="2:7" ht="14" x14ac:dyDescent="0.3">
      <c r="B7" s="4" t="s">
        <v>58</v>
      </c>
      <c r="C7" s="7">
        <v>2.9700000000000001E-2</v>
      </c>
    </row>
    <row r="8" spans="2:7" ht="14" x14ac:dyDescent="0.3">
      <c r="B8" s="4" t="s">
        <v>59</v>
      </c>
      <c r="C8" s="12">
        <v>1.0629</v>
      </c>
    </row>
    <row r="9" spans="2:7" ht="14" x14ac:dyDescent="0.3">
      <c r="B9" s="4" t="s">
        <v>60</v>
      </c>
      <c r="C9" s="7">
        <v>6.5000000000000002E-2</v>
      </c>
    </row>
    <row r="10" spans="2:7" ht="14" x14ac:dyDescent="0.3">
      <c r="B10" s="4" t="s">
        <v>61</v>
      </c>
      <c r="C10" s="7">
        <v>0.01</v>
      </c>
    </row>
    <row r="11" spans="2:7" ht="14" x14ac:dyDescent="0.3">
      <c r="B11" s="4" t="s">
        <v>62</v>
      </c>
      <c r="C11" s="7">
        <v>0.01</v>
      </c>
    </row>
    <row r="12" spans="2:7" ht="14" x14ac:dyDescent="0.3">
      <c r="B12" s="4" t="s">
        <v>63</v>
      </c>
      <c r="C12" s="13">
        <v>0</v>
      </c>
    </row>
    <row r="13" spans="2:7" ht="14" x14ac:dyDescent="0.3">
      <c r="B13" s="4" t="s">
        <v>64</v>
      </c>
      <c r="C13" s="7">
        <v>0.01</v>
      </c>
    </row>
    <row r="14" spans="2:7" ht="14" x14ac:dyDescent="0.3">
      <c r="B14" s="4" t="s">
        <v>65</v>
      </c>
      <c r="C14" s="14">
        <v>6.8</v>
      </c>
    </row>
    <row r="15" spans="2:7" ht="14" x14ac:dyDescent="0.3">
      <c r="B15" s="4" t="s">
        <v>66</v>
      </c>
      <c r="C15" s="15">
        <v>2507140573</v>
      </c>
    </row>
    <row r="16" spans="2:7" ht="14" x14ac:dyDescent="0.3">
      <c r="B16" s="4" t="s">
        <v>67</v>
      </c>
      <c r="C16" s="5">
        <v>-377844</v>
      </c>
    </row>
    <row r="17" spans="2:7" ht="14" x14ac:dyDescent="0.3">
      <c r="B17" s="4" t="s">
        <v>68</v>
      </c>
      <c r="C17" s="5">
        <v>7539975</v>
      </c>
    </row>
    <row r="18" spans="2:7" ht="14" x14ac:dyDescent="0.3">
      <c r="B18" s="4" t="s">
        <v>69</v>
      </c>
      <c r="C18" s="7">
        <v>0.05</v>
      </c>
    </row>
    <row r="19" spans="2:7" ht="14" x14ac:dyDescent="0.3">
      <c r="B19" s="4" t="s">
        <v>70</v>
      </c>
      <c r="C19" s="12">
        <v>1</v>
      </c>
    </row>
    <row r="20" spans="2:7" ht="14" x14ac:dyDescent="0.3">
      <c r="B20" s="4" t="s">
        <v>71</v>
      </c>
      <c r="C20" s="5">
        <v>7539975</v>
      </c>
    </row>
    <row r="22" spans="2:7" ht="14" x14ac:dyDescent="0.3">
      <c r="B22" s="8" t="s">
        <v>72</v>
      </c>
      <c r="C22" s="9"/>
      <c r="D22" s="9"/>
      <c r="E22" s="9"/>
      <c r="F22" s="9"/>
      <c r="G22" s="9"/>
    </row>
    <row r="23" spans="2:7" ht="14" x14ac:dyDescent="0.3">
      <c r="B23" s="4" t="s">
        <v>73</v>
      </c>
      <c r="C23" s="16">
        <f>C7+C8*C9+C10</f>
        <v>0.1087885</v>
      </c>
    </row>
    <row r="24" spans="2:7" ht="14" x14ac:dyDescent="0.3">
      <c r="B24" s="4" t="s">
        <v>74</v>
      </c>
      <c r="C24" s="16">
        <f>1/(1+C12)</f>
        <v>1</v>
      </c>
    </row>
    <row r="25" spans="2:7" ht="14" x14ac:dyDescent="0.3">
      <c r="B25" s="4" t="s">
        <v>75</v>
      </c>
      <c r="C25" s="16">
        <f>C12/(1+C12)</f>
        <v>0</v>
      </c>
    </row>
    <row r="26" spans="2:7" ht="14" x14ac:dyDescent="0.3">
      <c r="B26" s="4" t="s">
        <v>76</v>
      </c>
      <c r="C26" s="16">
        <f>C23*C24+C11*C25</f>
        <v>0.1087885</v>
      </c>
    </row>
    <row r="27" spans="2:7" ht="14" x14ac:dyDescent="0.3">
      <c r="B27" s="4" t="s">
        <v>77</v>
      </c>
      <c r="C27" s="17" t="s">
        <v>78</v>
      </c>
      <c r="D27" s="6">
        <f>MATCH(C27,B69:B73,0)</f>
        <v>1</v>
      </c>
    </row>
    <row r="28" spans="2:7" ht="14" x14ac:dyDescent="0.3">
      <c r="B28" s="8" t="s">
        <v>79</v>
      </c>
      <c r="C28" s="9"/>
      <c r="D28" s="9"/>
      <c r="E28" s="9"/>
      <c r="F28" s="9"/>
      <c r="G28" s="9"/>
    </row>
    <row r="29" spans="2:7" ht="14" x14ac:dyDescent="0.3">
      <c r="C29" s="10" t="s">
        <v>80</v>
      </c>
      <c r="D29" s="10" t="s">
        <v>81</v>
      </c>
      <c r="E29" s="10" t="s">
        <v>82</v>
      </c>
      <c r="F29" s="10" t="s">
        <v>83</v>
      </c>
      <c r="G29" s="10" t="s">
        <v>84</v>
      </c>
    </row>
    <row r="30" spans="2:7" ht="14" x14ac:dyDescent="0.3">
      <c r="B30" s="4" t="s">
        <v>41</v>
      </c>
      <c r="C30" s="18">
        <f>CHOOSE($D$27,C69,C70,C71,C72,C73)</f>
        <v>0.04</v>
      </c>
      <c r="D30" s="18">
        <f>CHOOSE($D$27,D69,D70,D71,D72,D73)</f>
        <v>3.5000000000000003E-2</v>
      </c>
      <c r="E30" s="18">
        <f>CHOOSE($D$27,E69,E70,E71,E72,E73)</f>
        <v>0.03</v>
      </c>
      <c r="F30" s="18">
        <f>CHOOSE($D$27,F69,F70,F71,F72,F73)</f>
        <v>2.5000000000000001E-2</v>
      </c>
      <c r="G30" s="18">
        <f>CHOOSE($D$27,G69,G70,G71,G72,G73)</f>
        <v>2.5000000000000001E-2</v>
      </c>
    </row>
    <row r="31" spans="2:7" ht="14" x14ac:dyDescent="0.3">
      <c r="B31" s="4" t="s">
        <v>85</v>
      </c>
      <c r="C31" s="18">
        <f>CHOOSE($D$27,C76,C77,C78,C79,C80)</f>
        <v>0.84499999999999997</v>
      </c>
      <c r="D31" s="18">
        <f>CHOOSE($D$27,D76,D77,D78,D79,D80)</f>
        <v>0.84499999999999997</v>
      </c>
      <c r="E31" s="18">
        <f>CHOOSE($D$27,E76,E77,E78,E79,E80)</f>
        <v>0.84499999999999997</v>
      </c>
      <c r="F31" s="18">
        <f>CHOOSE($D$27,F76,F77,F78,F79,F80)</f>
        <v>0.84499999999999997</v>
      </c>
      <c r="G31" s="18">
        <f>CHOOSE($D$27,G76,G77,G78,G79,G80)</f>
        <v>0.84499999999999997</v>
      </c>
    </row>
    <row r="32" spans="2:7" ht="14" x14ac:dyDescent="0.3">
      <c r="B32" s="4" t="s">
        <v>86</v>
      </c>
      <c r="C32" s="18">
        <f>CHOOSE($D$27,C83,C84,C85,C86,C87)</f>
        <v>8.1799999999999998E-2</v>
      </c>
      <c r="D32" s="18">
        <f>CHOOSE($D$27,D83,D84,D85,D86,D87)</f>
        <v>8.1900000000000001E-2</v>
      </c>
      <c r="E32" s="18">
        <f>CHOOSE($D$27,E83,E84,E85,E86,E87)</f>
        <v>8.1900000000000001E-2</v>
      </c>
      <c r="F32" s="18">
        <f>CHOOSE($D$27,F83,F84,F85,F86,F87)</f>
        <v>8.2000000000000003E-2</v>
      </c>
      <c r="G32" s="18">
        <f>CHOOSE($D$27,G83,G84,G85,G86,G87)</f>
        <v>8.2000000000000003E-2</v>
      </c>
    </row>
    <row r="33" spans="2:7" ht="14" x14ac:dyDescent="0.3">
      <c r="B33" s="4" t="s">
        <v>32</v>
      </c>
      <c r="C33" s="5">
        <f>C17*(1+C30)</f>
        <v>7841574</v>
      </c>
      <c r="D33" s="5">
        <f>C33*(1+D30)</f>
        <v>8116029.0899999989</v>
      </c>
      <c r="E33" s="5">
        <f>D33*(1+E30)</f>
        <v>8359509.9626999991</v>
      </c>
      <c r="F33" s="5">
        <f>E33*(1+F30)</f>
        <v>8568497.7117674984</v>
      </c>
      <c r="G33" s="5">
        <f>F33*(1+G30)</f>
        <v>8782710.1545616854</v>
      </c>
    </row>
    <row r="34" spans="2:7" ht="14" x14ac:dyDescent="0.3">
      <c r="B34" s="4" t="s">
        <v>33</v>
      </c>
      <c r="C34" s="5">
        <f>C33*C31</f>
        <v>6626130.0299999993</v>
      </c>
      <c r="D34" s="5">
        <f>D33*D31</f>
        <v>6858044.5810499992</v>
      </c>
      <c r="E34" s="5">
        <f>E33*E31</f>
        <v>7063785.918481499</v>
      </c>
      <c r="F34" s="5">
        <f>F33*F31</f>
        <v>7240380.5664435355</v>
      </c>
      <c r="G34" s="5">
        <f>G33*G31</f>
        <v>7421390.080604624</v>
      </c>
    </row>
    <row r="35" spans="2:7" ht="14" x14ac:dyDescent="0.3">
      <c r="B35" s="4" t="s">
        <v>34</v>
      </c>
      <c r="C35" s="19">
        <f>C33-C34</f>
        <v>1215443.9700000007</v>
      </c>
      <c r="D35" s="19">
        <f>D33-D34</f>
        <v>1257984.5089499997</v>
      </c>
      <c r="E35" s="19">
        <f>E33-E34</f>
        <v>1295724.0442185001</v>
      </c>
      <c r="F35" s="19">
        <f>F33-F34</f>
        <v>1328117.1453239629</v>
      </c>
      <c r="G35" s="19">
        <f>G33-G34</f>
        <v>1361320.0739570614</v>
      </c>
    </row>
    <row r="36" spans="2:7" ht="14" x14ac:dyDescent="0.3">
      <c r="B36" s="4" t="s">
        <v>35</v>
      </c>
      <c r="C36" s="7">
        <f>C35/C33</f>
        <v>0.15500000000000008</v>
      </c>
      <c r="D36" s="7">
        <f>D35/D33</f>
        <v>0.15499999999999997</v>
      </c>
      <c r="E36" s="7">
        <f>E35/E33</f>
        <v>0.15500000000000003</v>
      </c>
      <c r="F36" s="7">
        <f>F35/F33</f>
        <v>0.15500000000000008</v>
      </c>
      <c r="G36" s="7">
        <f>G35/G33</f>
        <v>0.15500000000000003</v>
      </c>
    </row>
    <row r="37" spans="2:7" ht="14" x14ac:dyDescent="0.3">
      <c r="B37" s="4" t="s">
        <v>87</v>
      </c>
      <c r="C37" s="5">
        <f>C33*C32</f>
        <v>641440.75320000004</v>
      </c>
      <c r="D37" s="5">
        <f>D33*D32</f>
        <v>664702.78247099987</v>
      </c>
      <c r="E37" s="5">
        <f>E33*E32</f>
        <v>684643.86594512989</v>
      </c>
      <c r="F37" s="5">
        <f>F33*F32</f>
        <v>702616.81236493494</v>
      </c>
      <c r="G37" s="5">
        <f>G33*G32</f>
        <v>720182.23267405818</v>
      </c>
    </row>
    <row r="38" spans="2:7" ht="14" x14ac:dyDescent="0.3">
      <c r="B38" s="4" t="s">
        <v>88</v>
      </c>
      <c r="C38" s="7">
        <f>(C35-C37)/C33</f>
        <v>7.3200000000000084E-2</v>
      </c>
      <c r="D38" s="7">
        <f>(D35-D37)/D33</f>
        <v>7.3099999999999984E-2</v>
      </c>
      <c r="E38" s="7">
        <f>(E35-E37)/E33</f>
        <v>7.310000000000004E-2</v>
      </c>
      <c r="F38" s="7">
        <f>(F35-F37)/F33</f>
        <v>7.3000000000000065E-2</v>
      </c>
      <c r="G38" s="7">
        <f>(G35-G37)/G33</f>
        <v>7.3000000000000023E-2</v>
      </c>
    </row>
    <row r="39" spans="2:7" ht="14" x14ac:dyDescent="0.3">
      <c r="B39" s="4" t="s">
        <v>89</v>
      </c>
      <c r="C39" s="19">
        <f>C35-C37</f>
        <v>574003.21680000063</v>
      </c>
      <c r="D39" s="19">
        <f>D35-D37</f>
        <v>593281.72647899983</v>
      </c>
      <c r="E39" s="19">
        <f>E35-E37</f>
        <v>611080.17827337026</v>
      </c>
      <c r="F39" s="19">
        <f>F35-F37</f>
        <v>625500.33295902796</v>
      </c>
      <c r="G39" s="19">
        <f>G35-G37</f>
        <v>641137.84128300322</v>
      </c>
    </row>
    <row r="40" spans="2:7" ht="14" x14ac:dyDescent="0.3">
      <c r="B40" s="4" t="s">
        <v>90</v>
      </c>
      <c r="C40" s="5">
        <f>MAX(0,C39*C6)</f>
        <v>143500.80420000016</v>
      </c>
      <c r="D40" s="5">
        <f>MAX(0,D39*C6)</f>
        <v>148320.43161974996</v>
      </c>
      <c r="E40" s="5">
        <f>MAX(0,E39*C6)</f>
        <v>152770.04456834256</v>
      </c>
      <c r="F40" s="5">
        <f>MAX(0,F39*C6)</f>
        <v>156375.08323975699</v>
      </c>
      <c r="G40" s="5">
        <f>MAX(0,G39*C6)</f>
        <v>160284.4603207508</v>
      </c>
    </row>
    <row r="41" spans="2:7" ht="14" x14ac:dyDescent="0.3">
      <c r="B41" s="4" t="s">
        <v>91</v>
      </c>
      <c r="C41" s="19">
        <f>C39-C40</f>
        <v>430502.41260000051</v>
      </c>
      <c r="D41" s="19">
        <f>D39-D40</f>
        <v>444961.29485924984</v>
      </c>
      <c r="E41" s="19">
        <f>E39-E40</f>
        <v>458310.13370502769</v>
      </c>
      <c r="F41" s="19">
        <f>F39-F40</f>
        <v>469125.24971927097</v>
      </c>
      <c r="G41" s="19">
        <f>G39-G40</f>
        <v>480853.38096225238</v>
      </c>
    </row>
    <row r="42" spans="2:7" ht="14" x14ac:dyDescent="0.3">
      <c r="B42" s="4" t="s">
        <v>92</v>
      </c>
      <c r="C42" s="5">
        <f>C33*C18</f>
        <v>392078.7</v>
      </c>
      <c r="D42" s="5">
        <f>D33*C18</f>
        <v>405801.45449999999</v>
      </c>
      <c r="E42" s="5">
        <f>E33*C18</f>
        <v>417975.498135</v>
      </c>
      <c r="F42" s="5">
        <f>F33*C18</f>
        <v>428424.88558837492</v>
      </c>
      <c r="G42" s="5">
        <f>G33*C18</f>
        <v>439135.50772808428</v>
      </c>
    </row>
    <row r="43" spans="2:7" ht="14" x14ac:dyDescent="0.3">
      <c r="B43" s="4" t="s">
        <v>93</v>
      </c>
      <c r="C43" s="5">
        <f>C33*C5</f>
        <v>411682.63500000001</v>
      </c>
      <c r="D43" s="5">
        <f>D33*C5</f>
        <v>426091.52722499991</v>
      </c>
      <c r="E43" s="5">
        <f>E33*C5</f>
        <v>438874.27304174996</v>
      </c>
      <c r="F43" s="5">
        <f>F33*C5</f>
        <v>449846.12986779364</v>
      </c>
      <c r="G43" s="5">
        <f>G33*C5</f>
        <v>461092.28311448847</v>
      </c>
    </row>
    <row r="44" spans="2:7" ht="14" x14ac:dyDescent="0.3">
      <c r="B44" s="4" t="s">
        <v>94</v>
      </c>
      <c r="C44" s="5">
        <f>'NWC Schedule'!D19</f>
        <v>-71397.129013698315</v>
      </c>
      <c r="D44" s="5">
        <f>'NWC Schedule'!E19</f>
        <v>48473.280484520365</v>
      </c>
      <c r="E44" s="5">
        <f>'NWC Schedule'!F19</f>
        <v>43002.724544124445</v>
      </c>
      <c r="F44" s="5">
        <f>'NWC Schedule'!G19</f>
        <v>36910.671900373185</v>
      </c>
      <c r="G44" s="5">
        <f>'NWC Schedule'!H19</f>
        <v>37833.438697883161</v>
      </c>
    </row>
    <row r="45" spans="2:7" ht="14" x14ac:dyDescent="0.3">
      <c r="B45" s="4" t="s">
        <v>95</v>
      </c>
      <c r="C45" s="20">
        <f>C41+C42-C43-C44</f>
        <v>482295.60661369888</v>
      </c>
      <c r="D45" s="20">
        <f>D41+D42-D43-D44</f>
        <v>376197.94164972956</v>
      </c>
      <c r="E45" s="20">
        <f>E41+E42-E43-E44</f>
        <v>394408.63425415324</v>
      </c>
      <c r="F45" s="20">
        <f>F41+F42-F43-F44</f>
        <v>410793.33353947906</v>
      </c>
      <c r="G45" s="20">
        <f>G41+G42-G43-G44</f>
        <v>421063.16687796498</v>
      </c>
    </row>
    <row r="46" spans="2:7" ht="14" x14ac:dyDescent="0.3">
      <c r="B46" s="4" t="s">
        <v>96</v>
      </c>
      <c r="C46" s="21">
        <f>1/(1+C26)^(C19+0)</f>
        <v>0.9018852558445547</v>
      </c>
      <c r="D46" s="21">
        <f>1/(1+C26)^(C19+1)</f>
        <v>0.81339701470979786</v>
      </c>
      <c r="E46" s="21">
        <f>1/(1+C26)^(C19+2)</f>
        <v>0.7335907747147431</v>
      </c>
      <c r="F46" s="21">
        <f>1/(1+C26)^(C19+3)</f>
        <v>0.66161470353881124</v>
      </c>
      <c r="G46" s="21">
        <f>1/(1+C26)^(C19+4)</f>
        <v>0.59670054617161994</v>
      </c>
    </row>
    <row r="47" spans="2:7" ht="14" x14ac:dyDescent="0.3">
      <c r="B47" s="4" t="s">
        <v>97</v>
      </c>
      <c r="C47" s="19">
        <f>C45*C46</f>
        <v>434975.29656350054</v>
      </c>
      <c r="D47" s="19">
        <f>D45*D46</f>
        <v>305998.28267786076</v>
      </c>
      <c r="E47" s="19">
        <f>E45*E46</f>
        <v>289334.53555668803</v>
      </c>
      <c r="F47" s="19">
        <f>F45*F46</f>
        <v>271786.90958544245</v>
      </c>
      <c r="G47" s="19">
        <f>G45*G46</f>
        <v>251248.62164883365</v>
      </c>
    </row>
    <row r="49" spans="2:7" ht="14" x14ac:dyDescent="0.3">
      <c r="B49" s="22" t="s">
        <v>98</v>
      </c>
      <c r="C49" s="23"/>
      <c r="D49" s="23"/>
      <c r="E49" s="23"/>
      <c r="F49" s="23"/>
      <c r="G49" s="23"/>
    </row>
    <row r="50" spans="2:7" ht="14" x14ac:dyDescent="0.3">
      <c r="B50" s="4" t="s">
        <v>99</v>
      </c>
      <c r="C50" s="5">
        <f>SUM(C47:G47)</f>
        <v>1553343.6460323252</v>
      </c>
    </row>
    <row r="51" spans="2:7" ht="14" x14ac:dyDescent="0.3">
      <c r="B51" s="4" t="s">
        <v>100</v>
      </c>
      <c r="C51" s="5">
        <f>G45*(1+C13)/(C26-C13)</f>
        <v>4304891.7490066616</v>
      </c>
    </row>
    <row r="52" spans="2:7" ht="14" x14ac:dyDescent="0.3">
      <c r="B52" s="4" t="s">
        <v>101</v>
      </c>
      <c r="C52" s="5">
        <f>C51*G46</f>
        <v>2568731.257841975</v>
      </c>
    </row>
    <row r="53" spans="2:7" ht="14" x14ac:dyDescent="0.3">
      <c r="B53" s="4" t="s">
        <v>102</v>
      </c>
      <c r="C53" s="5">
        <f>C50+C52</f>
        <v>4122074.9038743004</v>
      </c>
    </row>
    <row r="54" spans="2:7" ht="14" x14ac:dyDescent="0.3">
      <c r="B54" s="4" t="s">
        <v>103</v>
      </c>
      <c r="C54" s="5">
        <f>C53-C16</f>
        <v>4499918.9038743004</v>
      </c>
    </row>
    <row r="55" spans="2:7" ht="14" x14ac:dyDescent="0.3">
      <c r="B55" s="4" t="s">
        <v>104</v>
      </c>
      <c r="C55" s="24">
        <f>ROUND(C54*1000000/C15,0)</f>
        <v>1795</v>
      </c>
    </row>
    <row r="57" spans="2:7" ht="14" x14ac:dyDescent="0.3">
      <c r="B57" s="22" t="s">
        <v>105</v>
      </c>
      <c r="C57" s="23"/>
      <c r="D57" s="23"/>
      <c r="E57" s="23"/>
      <c r="F57" s="23"/>
      <c r="G57" s="23"/>
    </row>
    <row r="58" spans="2:7" ht="14" x14ac:dyDescent="0.3">
      <c r="B58" s="4" t="s">
        <v>99</v>
      </c>
      <c r="C58" s="5">
        <f>C50</f>
        <v>1553343.6460323252</v>
      </c>
    </row>
    <row r="59" spans="2:7" ht="14" x14ac:dyDescent="0.3">
      <c r="B59" s="4" t="s">
        <v>106</v>
      </c>
      <c r="C59" s="5">
        <f>G39+G42</f>
        <v>1080273.3490110876</v>
      </c>
    </row>
    <row r="60" spans="2:7" ht="14" x14ac:dyDescent="0.3">
      <c r="B60" s="4" t="s">
        <v>107</v>
      </c>
      <c r="C60" s="5">
        <f>C59*C14</f>
        <v>7345858.7732753949</v>
      </c>
    </row>
    <row r="61" spans="2:7" ht="14" x14ac:dyDescent="0.3">
      <c r="B61" s="4" t="s">
        <v>101</v>
      </c>
      <c r="C61" s="5">
        <f>C60*G46</f>
        <v>4383277.9421130139</v>
      </c>
    </row>
    <row r="62" spans="2:7" ht="14" x14ac:dyDescent="0.3">
      <c r="B62" s="4" t="s">
        <v>102</v>
      </c>
      <c r="C62" s="5">
        <f>C58+C61</f>
        <v>5936621.5881453389</v>
      </c>
    </row>
    <row r="63" spans="2:7" ht="14" x14ac:dyDescent="0.3">
      <c r="B63" s="4" t="s">
        <v>103</v>
      </c>
      <c r="C63" s="5">
        <f>C62-C16</f>
        <v>6314465.5881453389</v>
      </c>
    </row>
    <row r="64" spans="2:7" ht="14" x14ac:dyDescent="0.3">
      <c r="B64" s="4" t="s">
        <v>108</v>
      </c>
      <c r="C64" s="24">
        <f>ROUND(C63*1000000/C15,0)</f>
        <v>2519</v>
      </c>
    </row>
    <row r="66" spans="2:7" ht="14" x14ac:dyDescent="0.3">
      <c r="B66" s="22" t="s">
        <v>109</v>
      </c>
      <c r="C66" s="23"/>
      <c r="D66" s="23"/>
      <c r="E66" s="23"/>
      <c r="F66" s="23"/>
      <c r="G66" s="23"/>
    </row>
    <row r="67" spans="2:7" ht="14" x14ac:dyDescent="0.3">
      <c r="C67" s="25" t="s">
        <v>110</v>
      </c>
      <c r="D67" s="25" t="s">
        <v>111</v>
      </c>
      <c r="E67" s="25" t="s">
        <v>112</v>
      </c>
      <c r="F67" s="25" t="s">
        <v>113</v>
      </c>
      <c r="G67" s="25" t="s">
        <v>114</v>
      </c>
    </row>
    <row r="68" spans="2:7" ht="14" x14ac:dyDescent="0.3">
      <c r="B68" s="3" t="s">
        <v>41</v>
      </c>
    </row>
    <row r="69" spans="2:7" ht="14" x14ac:dyDescent="0.3">
      <c r="B69" s="4" t="s">
        <v>78</v>
      </c>
      <c r="C69" s="26">
        <v>0.04</v>
      </c>
      <c r="D69" s="26">
        <v>3.5000000000000003E-2</v>
      </c>
      <c r="E69" s="26">
        <v>0.03</v>
      </c>
      <c r="F69" s="26">
        <v>2.5000000000000001E-2</v>
      </c>
      <c r="G69" s="26">
        <v>2.5000000000000001E-2</v>
      </c>
    </row>
    <row r="70" spans="2:7" ht="14" x14ac:dyDescent="0.3">
      <c r="B70" s="4" t="s">
        <v>115</v>
      </c>
      <c r="C70" s="26">
        <v>5.5E-2</v>
      </c>
      <c r="D70" s="26">
        <v>0.05</v>
      </c>
      <c r="E70" s="26">
        <v>0.04</v>
      </c>
      <c r="F70" s="26">
        <v>3.5000000000000003E-2</v>
      </c>
      <c r="G70" s="26">
        <v>0.03</v>
      </c>
    </row>
    <row r="71" spans="2:7" ht="14" x14ac:dyDescent="0.3">
      <c r="B71" s="4" t="s">
        <v>116</v>
      </c>
      <c r="C71" s="26">
        <v>0.04</v>
      </c>
      <c r="D71" s="26">
        <v>3.5000000000000003E-2</v>
      </c>
      <c r="E71" s="26">
        <v>0.03</v>
      </c>
      <c r="F71" s="26">
        <v>2.5000000000000001E-2</v>
      </c>
      <c r="G71" s="26">
        <v>2.5000000000000001E-2</v>
      </c>
    </row>
    <row r="72" spans="2:7" ht="14" x14ac:dyDescent="0.3">
      <c r="B72" s="4" t="s">
        <v>117</v>
      </c>
      <c r="C72" s="26">
        <v>0.01</v>
      </c>
      <c r="D72" s="26">
        <v>0.01</v>
      </c>
      <c r="E72" s="26">
        <v>5.0000000000000001E-3</v>
      </c>
      <c r="F72" s="26">
        <v>5.0000000000000001E-3</v>
      </c>
      <c r="G72" s="26">
        <v>5.0000000000000001E-3</v>
      </c>
    </row>
    <row r="73" spans="2:7" ht="14" x14ac:dyDescent="0.3">
      <c r="B73" s="4" t="s">
        <v>118</v>
      </c>
      <c r="C73" s="26">
        <v>-0.08</v>
      </c>
      <c r="D73" s="26">
        <v>-0.01</v>
      </c>
      <c r="E73" s="26">
        <v>5.0000000000000001E-3</v>
      </c>
      <c r="F73" s="26">
        <v>0.01</v>
      </c>
      <c r="G73" s="26">
        <v>1.4999999999999999E-2</v>
      </c>
    </row>
    <row r="75" spans="2:7" ht="14" x14ac:dyDescent="0.3">
      <c r="B75" s="3" t="s">
        <v>85</v>
      </c>
    </row>
    <row r="76" spans="2:7" ht="14" x14ac:dyDescent="0.3">
      <c r="B76" s="4" t="s">
        <v>78</v>
      </c>
      <c r="C76" s="26">
        <v>0.84499999999999997</v>
      </c>
      <c r="D76" s="26">
        <v>0.84499999999999997</v>
      </c>
      <c r="E76" s="26">
        <v>0.84499999999999997</v>
      </c>
      <c r="F76" s="26">
        <v>0.84499999999999997</v>
      </c>
      <c r="G76" s="26">
        <v>0.84499999999999997</v>
      </c>
    </row>
    <row r="77" spans="2:7" ht="14" x14ac:dyDescent="0.3">
      <c r="B77" s="4" t="s">
        <v>115</v>
      </c>
      <c r="C77" s="26">
        <v>0.84</v>
      </c>
      <c r="D77" s="26">
        <v>0.84</v>
      </c>
      <c r="E77" s="26">
        <v>0.84</v>
      </c>
      <c r="F77" s="26">
        <v>0.84</v>
      </c>
      <c r="G77" s="26">
        <v>0.84</v>
      </c>
    </row>
    <row r="78" spans="2:7" ht="14" x14ac:dyDescent="0.3">
      <c r="B78" s="4" t="s">
        <v>116</v>
      </c>
      <c r="C78" s="26">
        <v>0.84499999999999997</v>
      </c>
      <c r="D78" s="26">
        <v>0.84499999999999997</v>
      </c>
      <c r="E78" s="26">
        <v>0.84499999999999997</v>
      </c>
      <c r="F78" s="26">
        <v>0.84499999999999997</v>
      </c>
      <c r="G78" s="26">
        <v>0.84499999999999997</v>
      </c>
    </row>
    <row r="79" spans="2:7" ht="14" x14ac:dyDescent="0.3">
      <c r="B79" s="4" t="s">
        <v>117</v>
      </c>
      <c r="C79" s="26">
        <v>0.85199999999999998</v>
      </c>
      <c r="D79" s="26">
        <v>0.85199999999999998</v>
      </c>
      <c r="E79" s="26">
        <v>0.85199999999999998</v>
      </c>
      <c r="F79" s="26">
        <v>0.85199999999999998</v>
      </c>
      <c r="G79" s="26">
        <v>0.85199999999999998</v>
      </c>
    </row>
    <row r="80" spans="2:7" ht="14" x14ac:dyDescent="0.3">
      <c r="B80" s="4" t="s">
        <v>118</v>
      </c>
      <c r="C80" s="26">
        <v>0.86499999999999999</v>
      </c>
      <c r="D80" s="26">
        <v>0.86499999999999999</v>
      </c>
      <c r="E80" s="26">
        <v>0.86499999999999999</v>
      </c>
      <c r="F80" s="26">
        <v>0.86499999999999999</v>
      </c>
      <c r="G80" s="26">
        <v>0.86499999999999999</v>
      </c>
    </row>
    <row r="82" spans="2:7" ht="14" x14ac:dyDescent="0.3">
      <c r="B82" s="3" t="s">
        <v>86</v>
      </c>
    </row>
    <row r="83" spans="2:7" ht="14" x14ac:dyDescent="0.3">
      <c r="B83" s="4" t="s">
        <v>78</v>
      </c>
      <c r="C83" s="26">
        <v>8.1799999999999998E-2</v>
      </c>
      <c r="D83" s="26">
        <v>8.1900000000000001E-2</v>
      </c>
      <c r="E83" s="26">
        <v>8.1900000000000001E-2</v>
      </c>
      <c r="F83" s="26">
        <v>8.2000000000000003E-2</v>
      </c>
      <c r="G83" s="26">
        <v>8.2000000000000003E-2</v>
      </c>
    </row>
    <row r="84" spans="2:7" ht="14" x14ac:dyDescent="0.3">
      <c r="B84" s="4" t="s">
        <v>115</v>
      </c>
      <c r="C84" s="26">
        <v>8.5000000000000006E-2</v>
      </c>
      <c r="D84" s="26">
        <v>8.3000000000000004E-2</v>
      </c>
      <c r="E84" s="26">
        <v>8.1000000000000003E-2</v>
      </c>
      <c r="F84" s="26">
        <v>7.9000000000000001E-2</v>
      </c>
      <c r="G84" s="26">
        <v>7.6700000000000004E-2</v>
      </c>
    </row>
    <row r="85" spans="2:7" ht="14" x14ac:dyDescent="0.3">
      <c r="B85" s="4" t="s">
        <v>116</v>
      </c>
      <c r="C85" s="26">
        <v>8.1799999999999998E-2</v>
      </c>
      <c r="D85" s="26">
        <v>8.1900000000000001E-2</v>
      </c>
      <c r="E85" s="26">
        <v>8.1900000000000001E-2</v>
      </c>
      <c r="F85" s="26">
        <v>8.2000000000000003E-2</v>
      </c>
      <c r="G85" s="26">
        <v>8.2000000000000003E-2</v>
      </c>
    </row>
    <row r="86" spans="2:7" ht="14" x14ac:dyDescent="0.3">
      <c r="B86" s="4" t="s">
        <v>117</v>
      </c>
      <c r="C86" s="26">
        <v>7.8E-2</v>
      </c>
      <c r="D86" s="26">
        <v>0.08</v>
      </c>
      <c r="E86" s="26">
        <v>8.3000000000000004E-2</v>
      </c>
      <c r="F86" s="26">
        <v>8.4500000000000006E-2</v>
      </c>
      <c r="G86" s="26">
        <v>8.48E-2</v>
      </c>
    </row>
    <row r="87" spans="2:7" ht="14" x14ac:dyDescent="0.3">
      <c r="B87" s="4" t="s">
        <v>118</v>
      </c>
      <c r="C87" s="26">
        <v>0.09</v>
      </c>
      <c r="D87" s="26">
        <v>9.5000000000000001E-2</v>
      </c>
      <c r="E87" s="26">
        <v>0.09</v>
      </c>
      <c r="F87" s="26">
        <v>8.5000000000000006E-2</v>
      </c>
      <c r="G87" s="26">
        <v>8.1699999999999995E-2</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119</v>
      </c>
    </row>
    <row r="3" spans="2:9" ht="14" x14ac:dyDescent="0.3">
      <c r="B3" s="1" t="s">
        <v>120</v>
      </c>
    </row>
    <row r="5" spans="2:9" ht="14" x14ac:dyDescent="0.3">
      <c r="B5" s="8" t="s">
        <v>121</v>
      </c>
      <c r="C5" s="9"/>
      <c r="D5" s="9"/>
      <c r="E5" s="9"/>
      <c r="F5" s="9"/>
      <c r="G5" s="9"/>
      <c r="H5" s="9"/>
      <c r="I5" s="9"/>
    </row>
    <row r="6" spans="2:9" ht="14" x14ac:dyDescent="0.3">
      <c r="B6" s="4" t="s">
        <v>122</v>
      </c>
      <c r="C6" s="15">
        <f>'Executive Summary'!C9</f>
        <v>1916.5</v>
      </c>
    </row>
    <row r="7" spans="2:9" ht="14" x14ac:dyDescent="0.3">
      <c r="B7" s="4" t="s">
        <v>66</v>
      </c>
      <c r="C7" s="15">
        <f>'DCF Model'!C15</f>
        <v>2507140573</v>
      </c>
    </row>
    <row r="8" spans="2:9" ht="14" x14ac:dyDescent="0.3">
      <c r="B8" s="4" t="s">
        <v>123</v>
      </c>
      <c r="C8" s="5">
        <f>C6*C7/1000000</f>
        <v>4804934.9081544997</v>
      </c>
    </row>
    <row r="9" spans="2:9" ht="14" x14ac:dyDescent="0.3">
      <c r="B9" s="4" t="s">
        <v>67</v>
      </c>
      <c r="C9" s="5">
        <f>'DCF Model'!C16</f>
        <v>-377844</v>
      </c>
    </row>
    <row r="10" spans="2:9" ht="14" x14ac:dyDescent="0.3">
      <c r="B10" s="4" t="s">
        <v>124</v>
      </c>
      <c r="C10" s="5">
        <f>C8+C9</f>
        <v>4427090.9081544997</v>
      </c>
    </row>
    <row r="11" spans="2:9" ht="14" x14ac:dyDescent="0.3">
      <c r="B11" s="4" t="s">
        <v>125</v>
      </c>
      <c r="C11" s="16">
        <f>'DCF Model'!C26</f>
        <v>0.1087885</v>
      </c>
    </row>
    <row r="12" spans="2:9" ht="14" x14ac:dyDescent="0.3">
      <c r="B12" s="4" t="s">
        <v>126</v>
      </c>
      <c r="C12" s="16">
        <f>'DCF Model'!C13</f>
        <v>0.01</v>
      </c>
    </row>
    <row r="13" spans="2:9" ht="14" x14ac:dyDescent="0.3">
      <c r="B13" s="4" t="s">
        <v>127</v>
      </c>
      <c r="C13" s="16">
        <f>'DCF Model'!C6</f>
        <v>0.25</v>
      </c>
    </row>
    <row r="14" spans="2:9" ht="14" x14ac:dyDescent="0.3">
      <c r="B14" s="4" t="s">
        <v>128</v>
      </c>
      <c r="C14" s="27">
        <v>552538</v>
      </c>
    </row>
    <row r="15" spans="2:9" ht="14" x14ac:dyDescent="0.3">
      <c r="B15" s="4" t="s">
        <v>129</v>
      </c>
      <c r="C15" s="27">
        <v>552538</v>
      </c>
    </row>
    <row r="16" spans="2:9" ht="14" x14ac:dyDescent="0.3">
      <c r="B16" s="4" t="s">
        <v>130</v>
      </c>
      <c r="C16" s="5">
        <f>'DCF Model'!G33</f>
        <v>8782710.1545616854</v>
      </c>
    </row>
    <row r="17" spans="2:9" ht="14" x14ac:dyDescent="0.3">
      <c r="B17" s="4" t="s">
        <v>131</v>
      </c>
      <c r="C17" s="5">
        <f>'DCF Model'!C53</f>
        <v>4122074.9038743004</v>
      </c>
    </row>
    <row r="18" spans="2:9" ht="14" x14ac:dyDescent="0.3">
      <c r="B18" s="4" t="s">
        <v>132</v>
      </c>
      <c r="C18" s="26">
        <v>7.3281144831382067E-2</v>
      </c>
    </row>
    <row r="19" spans="2:9" ht="14" x14ac:dyDescent="0.3">
      <c r="B19" s="4" t="s">
        <v>133</v>
      </c>
      <c r="C19" s="5">
        <f>C10-C17</f>
        <v>305016.0042801993</v>
      </c>
    </row>
    <row r="20" spans="2:9" ht="14" x14ac:dyDescent="0.3">
      <c r="B20" s="4" t="s">
        <v>134</v>
      </c>
      <c r="C20" s="15">
        <f>IFERROR(ROUND(C19*1000000/C7,0),"N/A")</f>
        <v>122</v>
      </c>
    </row>
    <row r="22" spans="2:9" ht="14" x14ac:dyDescent="0.3">
      <c r="B22" s="8" t="s">
        <v>135</v>
      </c>
      <c r="C22" s="9"/>
      <c r="D22" s="9"/>
      <c r="E22" s="9"/>
      <c r="F22" s="9"/>
      <c r="G22" s="9"/>
      <c r="H22" s="9"/>
      <c r="I22" s="9"/>
    </row>
    <row r="23" spans="2:9" ht="14" x14ac:dyDescent="0.3">
      <c r="B23" s="1" t="s">
        <v>136</v>
      </c>
    </row>
    <row r="24" spans="2:9" ht="14" x14ac:dyDescent="0.3">
      <c r="B24" s="4" t="s">
        <v>137</v>
      </c>
      <c r="C24" s="5">
        <f>C10*(C11-C12)</f>
        <v>437345.6701802208</v>
      </c>
    </row>
    <row r="25" spans="2:9" ht="14" x14ac:dyDescent="0.3">
      <c r="B25" s="4" t="s">
        <v>138</v>
      </c>
      <c r="C25" s="5">
        <f>IFERROR(C24/(1-C13),"N/A")</f>
        <v>583127.56024029444</v>
      </c>
    </row>
    <row r="26" spans="2:9" ht="13.5" x14ac:dyDescent="0.25">
      <c r="B26" s="6" t="s">
        <v>139</v>
      </c>
      <c r="C26" s="14">
        <f>IFERROR(C25/C15,"N/A")</f>
        <v>1.0553619121948072</v>
      </c>
    </row>
    <row r="27" spans="2:9" ht="13.5" x14ac:dyDescent="0.25">
      <c r="B27" s="6" t="s">
        <v>140</v>
      </c>
      <c r="C27" s="14">
        <f>IFERROR(C25/C14,"N/A")</f>
        <v>1.0553619121948072</v>
      </c>
    </row>
    <row r="28" spans="2:9" ht="13.5" x14ac:dyDescent="0.25">
      <c r="B28" s="6" t="s">
        <v>141</v>
      </c>
      <c r="C28" s="7">
        <f>IFERROR(C25/C16,"N/A")</f>
        <v>6.6394945293443572E-2</v>
      </c>
    </row>
    <row r="29" spans="2:9" ht="13.5" x14ac:dyDescent="0.25">
      <c r="B29" s="6" t="s">
        <v>142</v>
      </c>
      <c r="C29" s="5">
        <f>IFERROR(C25/C18,"N/A")</f>
        <v>7957402.4339010417</v>
      </c>
    </row>
    <row r="32" spans="2:9" ht="14" x14ac:dyDescent="0.3">
      <c r="B32" s="8" t="s">
        <v>143</v>
      </c>
      <c r="C32" s="9"/>
      <c r="D32" s="9"/>
      <c r="E32" s="9"/>
      <c r="F32" s="9"/>
      <c r="G32" s="9"/>
      <c r="H32" s="9"/>
      <c r="I32" s="9"/>
    </row>
    <row r="33" spans="2:9" ht="14" x14ac:dyDescent="0.3">
      <c r="B33" s="1" t="s">
        <v>144</v>
      </c>
    </row>
    <row r="34" spans="2:9" ht="14" x14ac:dyDescent="0.3">
      <c r="B34" s="1" t="s">
        <v>145</v>
      </c>
    </row>
    <row r="36" spans="2:9" ht="14" x14ac:dyDescent="0.3">
      <c r="B36" s="28" t="s">
        <v>146</v>
      </c>
      <c r="C36" s="28" t="s">
        <v>147</v>
      </c>
      <c r="D36" s="29">
        <f>'DCF Model'!C26-0.02</f>
        <v>8.8788499999999992E-2</v>
      </c>
      <c r="E36" s="29">
        <f>'DCF Model'!C26-0.01</f>
        <v>9.8788500000000001E-2</v>
      </c>
      <c r="F36" s="29">
        <f>'DCF Model'!C26</f>
        <v>0.1087885</v>
      </c>
      <c r="G36" s="29">
        <f>'DCF Model'!C26+0.01</f>
        <v>0.11878849999999999</v>
      </c>
      <c r="H36" s="29">
        <f>'DCF Model'!C26+0.02</f>
        <v>0.1287885</v>
      </c>
    </row>
    <row r="37" spans="2:9" ht="14" x14ac:dyDescent="0.3">
      <c r="B37" s="3" t="s">
        <v>148</v>
      </c>
    </row>
    <row r="38" spans="2:9" ht="14" x14ac:dyDescent="0.3">
      <c r="B38" s="4" t="s">
        <v>149</v>
      </c>
      <c r="C38" s="30">
        <v>3</v>
      </c>
      <c r="D38" s="13">
        <f t="shared" ref="D38:H41" si="0">IFERROR((1-(1+D$36)^(-$C38))/D$36-(1+D$36)/(D$36^2*$C38)*(1-($C38+1)/(1+D$36)^$C38+$C38/(1+D$36)^($C38+1)),"N/A")</f>
        <v>0.89348605432921024</v>
      </c>
      <c r="E38" s="13">
        <f t="shared" si="0"/>
        <v>0.88281874467657895</v>
      </c>
      <c r="F38" s="13">
        <f t="shared" si="0"/>
        <v>0.87238917546629891</v>
      </c>
      <c r="G38" s="13">
        <f t="shared" si="0"/>
        <v>0.86218976719724982</v>
      </c>
      <c r="H38" s="13">
        <f t="shared" si="0"/>
        <v>0.85221325126396774</v>
      </c>
    </row>
    <row r="39" spans="2:9" ht="14" x14ac:dyDescent="0.3">
      <c r="B39" s="4" t="s">
        <v>150</v>
      </c>
      <c r="C39" s="30">
        <v>5</v>
      </c>
      <c r="D39" s="13">
        <f t="shared" si="0"/>
        <v>1.6931163929533888</v>
      </c>
      <c r="E39" s="13">
        <f t="shared" si="0"/>
        <v>1.6637636645798004</v>
      </c>
      <c r="F39" s="13">
        <f t="shared" si="0"/>
        <v>1.6353056640951795</v>
      </c>
      <c r="G39" s="13">
        <f t="shared" si="0"/>
        <v>1.6077050592469488</v>
      </c>
      <c r="H39" s="13">
        <f t="shared" si="0"/>
        <v>1.5809264556409379</v>
      </c>
    </row>
    <row r="40" spans="2:9" ht="14" x14ac:dyDescent="0.3">
      <c r="B40" s="4" t="s">
        <v>151</v>
      </c>
      <c r="C40" s="30">
        <v>7</v>
      </c>
      <c r="D40" s="13">
        <f t="shared" si="0"/>
        <v>2.4099513215074273</v>
      </c>
      <c r="E40" s="13">
        <f t="shared" si="0"/>
        <v>2.356019079152821</v>
      </c>
      <c r="F40" s="13">
        <f t="shared" si="0"/>
        <v>2.3041514764545061</v>
      </c>
      <c r="G40" s="13">
        <f t="shared" si="0"/>
        <v>2.254242831409845</v>
      </c>
      <c r="H40" s="13">
        <f t="shared" si="0"/>
        <v>2.2061940606628268</v>
      </c>
    </row>
    <row r="41" spans="2:9" ht="14" x14ac:dyDescent="0.3">
      <c r="B41" s="4" t="s">
        <v>152</v>
      </c>
      <c r="C41" s="30">
        <v>10</v>
      </c>
      <c r="D41" s="13">
        <f t="shared" si="0"/>
        <v>3.3507853483119936</v>
      </c>
      <c r="E41" s="13">
        <f t="shared" si="0"/>
        <v>3.2525430603943928</v>
      </c>
      <c r="F41" s="13">
        <f t="shared" si="0"/>
        <v>3.1591408709989168</v>
      </c>
      <c r="G41" s="13">
        <f t="shared" si="0"/>
        <v>3.0702657240700364</v>
      </c>
      <c r="H41" s="13">
        <f t="shared" si="0"/>
        <v>2.9856288470809238</v>
      </c>
    </row>
    <row r="42" spans="2:9" ht="14" x14ac:dyDescent="0.3">
      <c r="B42" s="3" t="s">
        <v>153</v>
      </c>
    </row>
    <row r="43" spans="2:9" ht="14" x14ac:dyDescent="0.3">
      <c r="B43" s="4" t="s">
        <v>149</v>
      </c>
      <c r="C43" s="30">
        <v>3</v>
      </c>
      <c r="D43" s="13">
        <f t="shared" ref="D43:H46" si="1">IFERROR((1+D$36)/(D$36^2*$C43)*(1-($C43+1)/(1+D$36)^$C43+$C43/(1+D$36)^($C43+1))+(1+$C$12)/((D$36-$C$12)*(1+D$36)^$C43),"N/A")</f>
        <v>11.575084087202161</v>
      </c>
      <c r="E43" s="13">
        <f t="shared" si="1"/>
        <v>10.184114137247931</v>
      </c>
      <c r="F43" s="13">
        <f t="shared" si="1"/>
        <v>9.0766147804036308</v>
      </c>
      <c r="G43" s="13">
        <f t="shared" si="1"/>
        <v>8.1743586443979215</v>
      </c>
      <c r="H43" s="13">
        <f t="shared" si="1"/>
        <v>7.4254622643735919</v>
      </c>
    </row>
    <row r="44" spans="2:9" ht="14" x14ac:dyDescent="0.3">
      <c r="B44" s="4" t="s">
        <v>150</v>
      </c>
      <c r="C44" s="30">
        <v>5</v>
      </c>
      <c r="D44" s="13">
        <f t="shared" si="1"/>
        <v>10.586803433452587</v>
      </c>
      <c r="E44" s="13">
        <f t="shared" si="1"/>
        <v>9.2410048115056949</v>
      </c>
      <c r="F44" s="13">
        <f t="shared" si="1"/>
        <v>8.1724667234997437</v>
      </c>
      <c r="G44" s="13">
        <f t="shared" si="1"/>
        <v>7.3045314696280501</v>
      </c>
      <c r="H44" s="13">
        <f t="shared" si="1"/>
        <v>6.5863646318095777</v>
      </c>
    </row>
    <row r="45" spans="2:9" ht="14" x14ac:dyDescent="0.3">
      <c r="B45" s="4" t="s">
        <v>151</v>
      </c>
      <c r="C45" s="30">
        <v>7</v>
      </c>
      <c r="D45" s="13">
        <f t="shared" si="1"/>
        <v>9.7108317547495968</v>
      </c>
      <c r="E45" s="13">
        <f t="shared" si="1"/>
        <v>8.414433528516664</v>
      </c>
      <c r="F45" s="13">
        <f t="shared" si="1"/>
        <v>7.3887435751227422</v>
      </c>
      <c r="G45" s="13">
        <f t="shared" si="1"/>
        <v>6.5586782836025428</v>
      </c>
      <c r="H45" s="13">
        <f t="shared" si="1"/>
        <v>5.8744641652152438</v>
      </c>
    </row>
    <row r="46" spans="2:9" ht="14" x14ac:dyDescent="0.3">
      <c r="B46" s="4" t="s">
        <v>152</v>
      </c>
      <c r="C46" s="30">
        <v>10</v>
      </c>
      <c r="D46" s="13">
        <f t="shared" si="1"/>
        <v>8.5767309832574625</v>
      </c>
      <c r="E46" s="13">
        <f t="shared" si="1"/>
        <v>7.3584187760165953</v>
      </c>
      <c r="F46" s="13">
        <f t="shared" si="1"/>
        <v>6.4003505643854322</v>
      </c>
      <c r="G46" s="13">
        <f t="shared" si="1"/>
        <v>5.6298379265581948</v>
      </c>
      <c r="H46" s="13">
        <f t="shared" si="1"/>
        <v>4.9987422500979122</v>
      </c>
    </row>
    <row r="47" spans="2:9" ht="14" x14ac:dyDescent="0.3">
      <c r="B47" s="22" t="s">
        <v>154</v>
      </c>
      <c r="C47" s="23"/>
      <c r="D47" s="23"/>
      <c r="E47" s="23"/>
      <c r="F47" s="23"/>
      <c r="G47" s="23"/>
      <c r="H47" s="23"/>
      <c r="I47" s="23"/>
    </row>
    <row r="48" spans="2:9" ht="14" x14ac:dyDescent="0.3">
      <c r="B48" s="4" t="s">
        <v>149</v>
      </c>
      <c r="C48" s="30">
        <v>3</v>
      </c>
      <c r="D48" s="5">
        <f t="shared" ref="D48:H51" si="2">IFERROR(($C$10/(1-$C$13)-$C$14*D38)/D43,"N/A")</f>
        <v>467305.70934105641</v>
      </c>
      <c r="E48" s="5">
        <f t="shared" si="2"/>
        <v>531710.16163184203</v>
      </c>
      <c r="F48" s="5">
        <f t="shared" si="2"/>
        <v>597222.625224652</v>
      </c>
      <c r="G48" s="5">
        <f t="shared" si="2"/>
        <v>663831.3174172428</v>
      </c>
      <c r="H48" s="5">
        <f t="shared" si="2"/>
        <v>731524.5137227393</v>
      </c>
    </row>
    <row r="49" spans="2:9" ht="14" x14ac:dyDescent="0.3">
      <c r="B49" s="4" t="s">
        <v>150</v>
      </c>
      <c r="C49" s="30">
        <v>5</v>
      </c>
      <c r="D49" s="5">
        <f t="shared" si="2"/>
        <v>469195.14121834561</v>
      </c>
      <c r="E49" s="5">
        <f t="shared" si="2"/>
        <v>539280.66606295248</v>
      </c>
      <c r="F49" s="5">
        <f t="shared" si="2"/>
        <v>611714.8623115673</v>
      </c>
      <c r="G49" s="5">
        <f t="shared" si="2"/>
        <v>686487.52632021741</v>
      </c>
      <c r="H49" s="5">
        <f t="shared" si="2"/>
        <v>763587.53526991245</v>
      </c>
    </row>
    <row r="50" spans="2:9" ht="14" x14ac:dyDescent="0.3">
      <c r="B50" s="4" t="s">
        <v>151</v>
      </c>
      <c r="C50" s="30">
        <v>7</v>
      </c>
      <c r="D50" s="5">
        <f t="shared" si="2"/>
        <v>470731.89091351267</v>
      </c>
      <c r="E50" s="5">
        <f t="shared" si="2"/>
        <v>546798.28321057244</v>
      </c>
      <c r="F50" s="5">
        <f t="shared" si="2"/>
        <v>626582.39279405563</v>
      </c>
      <c r="G50" s="5">
        <f t="shared" si="2"/>
        <v>710087.13197618234</v>
      </c>
      <c r="H50" s="5">
        <f t="shared" si="2"/>
        <v>797312.17893593188</v>
      </c>
    </row>
    <row r="51" spans="2:9" ht="14" x14ac:dyDescent="0.3">
      <c r="B51" s="4" t="s">
        <v>152</v>
      </c>
      <c r="C51" s="30">
        <v>10</v>
      </c>
      <c r="D51" s="5">
        <f t="shared" si="2"/>
        <v>472365.47941894381</v>
      </c>
      <c r="E51" s="5">
        <f t="shared" si="2"/>
        <v>557950.6093641601</v>
      </c>
      <c r="F51" s="5">
        <f t="shared" si="2"/>
        <v>649533.56181647151</v>
      </c>
      <c r="G51" s="5">
        <f t="shared" si="2"/>
        <v>747152.83988018415</v>
      </c>
      <c r="H51" s="5">
        <f t="shared" si="2"/>
        <v>850836.92513804371</v>
      </c>
    </row>
    <row r="52" spans="2:9" ht="14" x14ac:dyDescent="0.3">
      <c r="B52" s="22" t="s">
        <v>155</v>
      </c>
      <c r="C52" s="23"/>
      <c r="D52" s="23"/>
      <c r="E52" s="23"/>
      <c r="F52" s="23"/>
      <c r="G52" s="23"/>
      <c r="H52" s="23"/>
      <c r="I52" s="23"/>
    </row>
    <row r="53" spans="2:9" ht="14" x14ac:dyDescent="0.3">
      <c r="B53" s="4" t="s">
        <v>149</v>
      </c>
      <c r="C53" s="30">
        <v>3</v>
      </c>
      <c r="D53" s="14">
        <f t="shared" ref="D53:H56" si="3">IFERROR(D48/$C$15,"N/A")</f>
        <v>0.84574402003311344</v>
      </c>
      <c r="E53" s="14">
        <f t="shared" si="3"/>
        <v>0.96230514757689434</v>
      </c>
      <c r="F53" s="14">
        <f t="shared" si="3"/>
        <v>1.0808715875191426</v>
      </c>
      <c r="G53" s="14">
        <f t="shared" si="3"/>
        <v>1.201422015168627</v>
      </c>
      <c r="H53" s="14">
        <f t="shared" si="3"/>
        <v>1.3239352111940523</v>
      </c>
    </row>
    <row r="54" spans="2:9" ht="14" x14ac:dyDescent="0.3">
      <c r="B54" s="4" t="s">
        <v>150</v>
      </c>
      <c r="C54" s="30">
        <v>5</v>
      </c>
      <c r="D54" s="14">
        <f t="shared" si="3"/>
        <v>0.84916357104551288</v>
      </c>
      <c r="E54" s="14">
        <f t="shared" si="3"/>
        <v>0.97600647568665411</v>
      </c>
      <c r="F54" s="14">
        <f t="shared" si="3"/>
        <v>1.1071000769387216</v>
      </c>
      <c r="G54" s="14">
        <f t="shared" si="3"/>
        <v>1.2424259079379472</v>
      </c>
      <c r="H54" s="14">
        <f t="shared" si="3"/>
        <v>1.3819638382697885</v>
      </c>
    </row>
    <row r="55" spans="2:9" ht="14" x14ac:dyDescent="0.3">
      <c r="B55" s="4" t="s">
        <v>151</v>
      </c>
      <c r="C55" s="30">
        <v>7</v>
      </c>
      <c r="D55" s="14">
        <f t="shared" si="3"/>
        <v>0.85194482716756614</v>
      </c>
      <c r="E55" s="14">
        <f t="shared" si="3"/>
        <v>0.98961208678963697</v>
      </c>
      <c r="F55" s="14">
        <f t="shared" si="3"/>
        <v>1.1340077837072846</v>
      </c>
      <c r="G55" s="14">
        <f t="shared" si="3"/>
        <v>1.2851371887113328</v>
      </c>
      <c r="H55" s="14">
        <f t="shared" si="3"/>
        <v>1.442999719360355</v>
      </c>
    </row>
    <row r="56" spans="2:9" ht="14" x14ac:dyDescent="0.3">
      <c r="B56" s="4" t="s">
        <v>152</v>
      </c>
      <c r="C56" s="30">
        <v>10</v>
      </c>
      <c r="D56" s="14">
        <f t="shared" si="3"/>
        <v>0.85490134510014482</v>
      </c>
      <c r="E56" s="14">
        <f t="shared" si="3"/>
        <v>1.0097959042892255</v>
      </c>
      <c r="F56" s="14">
        <f t="shared" si="3"/>
        <v>1.1755455042304268</v>
      </c>
      <c r="G56" s="14">
        <f t="shared" si="3"/>
        <v>1.3522198290075691</v>
      </c>
      <c r="H56" s="14">
        <f t="shared" si="3"/>
        <v>1.5398704254513602</v>
      </c>
    </row>
    <row r="58" spans="2:9" ht="14" x14ac:dyDescent="0.3">
      <c r="B58" s="8" t="s">
        <v>156</v>
      </c>
      <c r="C58" s="9"/>
      <c r="D58" s="9"/>
      <c r="E58" s="9"/>
      <c r="F58" s="9"/>
      <c r="G58" s="9"/>
      <c r="H58" s="9"/>
      <c r="I58" s="9"/>
    </row>
    <row r="59" spans="2:9" ht="14" x14ac:dyDescent="0.3">
      <c r="B59" s="1" t="s">
        <v>157</v>
      </c>
    </row>
    <row r="60" spans="2:9" ht="14" x14ac:dyDescent="0.3">
      <c r="B60" s="4" t="s">
        <v>158</v>
      </c>
      <c r="C60" s="5">
        <f>F49</f>
        <v>611714.8623115673</v>
      </c>
    </row>
    <row r="62" spans="2:9" ht="14" x14ac:dyDescent="0.3">
      <c r="B62" s="28" t="s">
        <v>159</v>
      </c>
      <c r="C62" s="28" t="s">
        <v>160</v>
      </c>
      <c r="D62" s="28" t="s">
        <v>161</v>
      </c>
    </row>
    <row r="63" spans="2:9" ht="14" x14ac:dyDescent="0.3">
      <c r="B63" s="31">
        <v>3.6600000000000001E-2</v>
      </c>
      <c r="C63" s="5">
        <f>IFERROR($C$60/B63,"N/A")</f>
        <v>16713520.828184899</v>
      </c>
      <c r="D63" s="14">
        <f>IFERROR(C63/'DCF Model'!C17,"N/A")</f>
        <v>2.2166546743437343</v>
      </c>
    </row>
    <row r="64" spans="2:9" ht="14" x14ac:dyDescent="0.3">
      <c r="B64" s="31">
        <v>5.5E-2</v>
      </c>
      <c r="C64" s="5">
        <f>IFERROR($C$60/B64,"N/A")</f>
        <v>11122088.405664859</v>
      </c>
      <c r="D64" s="14">
        <f>IFERROR(C64/'DCF Model'!C17,"N/A")</f>
        <v>1.4750829287451033</v>
      </c>
    </row>
    <row r="65" spans="2:9" ht="14" x14ac:dyDescent="0.3">
      <c r="B65" s="4" t="s">
        <v>162</v>
      </c>
      <c r="C65" s="5">
        <f>IFERROR($C$60/$C$18,"N/A")</f>
        <v>8347506.9026160371</v>
      </c>
      <c r="D65" s="14">
        <f>IFERROR(C65/'DCF Model'!C17,"N/A")</f>
        <v>1.1071000769387216</v>
      </c>
    </row>
    <row r="66" spans="2:9" ht="14" x14ac:dyDescent="0.3">
      <c r="B66" s="31">
        <v>9.1600000000000001E-2</v>
      </c>
      <c r="C66" s="5">
        <f>IFERROR($C$60/B66,"N/A")</f>
        <v>6678109.8505629618</v>
      </c>
      <c r="D66" s="14">
        <f>IFERROR(C66/'DCF Model'!C17,"N/A")</f>
        <v>0.88569389826398126</v>
      </c>
    </row>
    <row r="67" spans="2:9" ht="14" x14ac:dyDescent="0.3">
      <c r="B67" s="31">
        <v>0.1099</v>
      </c>
      <c r="C67" s="5">
        <f>IFERROR($C$60/B67,"N/A")</f>
        <v>5566104.2976484746</v>
      </c>
      <c r="D67" s="14">
        <f>IFERROR(C67/'DCF Model'!C17,"N/A")</f>
        <v>0.73821256670592073</v>
      </c>
    </row>
    <row r="69" spans="2:9" ht="14" x14ac:dyDescent="0.3">
      <c r="B69" s="8" t="s">
        <v>163</v>
      </c>
      <c r="C69" s="9"/>
      <c r="D69" s="9"/>
      <c r="E69" s="9"/>
      <c r="F69" s="9"/>
      <c r="G69" s="9"/>
      <c r="H69" s="9"/>
      <c r="I69" s="9"/>
    </row>
    <row r="70" spans="2:9" ht="13.5" x14ac:dyDescent="0.25">
      <c r="B70" s="6" t="s">
        <v>164</v>
      </c>
      <c r="C70" s="14">
        <f>IFERROR(C10/'Comps Analysis'!G5,"N/A")</f>
        <v>4.7571822716174941</v>
      </c>
    </row>
    <row r="71" spans="2:9" ht="13.5" x14ac:dyDescent="0.25">
      <c r="B71" s="6" t="s">
        <v>165</v>
      </c>
      <c r="C71" s="14">
        <f>IFERROR(C10/'Comps Analysis'!F5,"N/A")</f>
        <v>0.58714928208044448</v>
      </c>
    </row>
    <row r="72" spans="2:9" ht="14" x14ac:dyDescent="0.3">
      <c r="B72" s="4" t="s">
        <v>166</v>
      </c>
      <c r="C72" s="14">
        <f>IFERROR(C10/(C25+'DCF Model'!G42),"N/A")</f>
        <v>4.3306767571607514</v>
      </c>
    </row>
    <row r="73" spans="2:9" ht="14" x14ac:dyDescent="0.3">
      <c r="B73" s="4" t="s">
        <v>167</v>
      </c>
      <c r="C73" s="14">
        <f>IFERROR(C10/(C60+'DCF Model'!G42),"N/A")</f>
        <v>4.2128651560425796</v>
      </c>
    </row>
    <row r="74" spans="2:9" ht="14" x14ac:dyDescent="0.3">
      <c r="B74" s="4" t="s">
        <v>168</v>
      </c>
      <c r="C74" s="14">
        <f>IFERROR('Comps Analysis'!D16,"N/A")</f>
        <v>6.8378236705306987</v>
      </c>
    </row>
    <row r="75" spans="2:9" ht="14" x14ac:dyDescent="0.3">
      <c r="B75" s="1" t="s">
        <v>169</v>
      </c>
    </row>
    <row r="77" spans="2:9" ht="14" x14ac:dyDescent="0.3">
      <c r="B77" s="22" t="s">
        <v>170</v>
      </c>
      <c r="C77" s="23"/>
      <c r="D77" s="23"/>
      <c r="E77" s="23"/>
      <c r="F77" s="23"/>
      <c r="G77" s="23"/>
      <c r="H77" s="23"/>
      <c r="I77" s="23"/>
    </row>
    <row r="78" spans="2:9" ht="14"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1,917 yen the market is paying for a steady-state operating profit of 611,715 mn JPY - 1.11x the FY2026 cycle peak of 552,538 mn - reached in 5 years and sustained for ever, against 552,538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583,128 mn, or 1.06x the peak. The base case supports an EV of only 4,122,075 mn, leaving 122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171</v>
      </c>
    </row>
    <row r="4" spans="2:8" ht="14" x14ac:dyDescent="0.3">
      <c r="B4" s="8" t="s">
        <v>172</v>
      </c>
      <c r="C4" s="32" t="s">
        <v>173</v>
      </c>
      <c r="D4" s="32" t="s">
        <v>80</v>
      </c>
      <c r="E4" s="32" t="s">
        <v>81</v>
      </c>
      <c r="F4" s="32" t="s">
        <v>82</v>
      </c>
      <c r="G4" s="32" t="s">
        <v>83</v>
      </c>
      <c r="H4" s="32" t="s">
        <v>84</v>
      </c>
    </row>
    <row r="5" spans="2:8" ht="14" x14ac:dyDescent="0.3">
      <c r="B5" s="33" t="s">
        <v>174</v>
      </c>
      <c r="C5" s="34">
        <f>C12/C9*365</f>
        <v>68.364629856199784</v>
      </c>
      <c r="D5" s="34">
        <f>CHOOSE('DCF Model'!$D$27,D25,D26,D27,D28,D29)</f>
        <v>67</v>
      </c>
      <c r="E5" s="34">
        <f>CHOOSE('DCF Model'!$D$27,E25,E26,E27,E28,E29)</f>
        <v>67</v>
      </c>
      <c r="F5" s="34">
        <f>CHOOSE('DCF Model'!$D$27,F25,F26,F27,F28,F29)</f>
        <v>67</v>
      </c>
      <c r="G5" s="34">
        <f>CHOOSE('DCF Model'!$D$27,G25,G26,G27,G28,G29)</f>
        <v>67</v>
      </c>
      <c r="H5" s="34">
        <f>CHOOSE('DCF Model'!$D$27,H25,H26,H27,H28,H29)</f>
        <v>67</v>
      </c>
    </row>
    <row r="6" spans="2:8" ht="14" x14ac:dyDescent="0.3">
      <c r="B6" s="33" t="s">
        <v>175</v>
      </c>
      <c r="C6" s="34">
        <f>C13/C10*365</f>
        <v>76.596574387272057</v>
      </c>
      <c r="D6" s="34">
        <f>CHOOSE('DCF Model'!$D$27,D32,D33,D34,D35,D36)</f>
        <v>74</v>
      </c>
      <c r="E6" s="34">
        <f>CHOOSE('DCF Model'!$D$27,E32,E33,E34,E35,E36)</f>
        <v>74</v>
      </c>
      <c r="F6" s="34">
        <f>CHOOSE('DCF Model'!$D$27,F32,F33,F34,F35,F36)</f>
        <v>74</v>
      </c>
      <c r="G6" s="34">
        <f>CHOOSE('DCF Model'!$D$27,G32,G33,G34,G35,G36)</f>
        <v>74</v>
      </c>
      <c r="H6" s="34">
        <f>CHOOSE('DCF Model'!$D$27,H32,H33,H34,H35,H36)</f>
        <v>74</v>
      </c>
    </row>
    <row r="7" spans="2:8" ht="14" x14ac:dyDescent="0.3">
      <c r="B7" s="33" t="s">
        <v>176</v>
      </c>
      <c r="C7" s="34">
        <f>C15/C10*365</f>
        <v>74.069337325151281</v>
      </c>
      <c r="D7" s="34">
        <f>CHOOSE('DCF Model'!$D$27,D39,D40,D41,D42,D43)</f>
        <v>77</v>
      </c>
      <c r="E7" s="34">
        <f>CHOOSE('DCF Model'!$D$27,E39,E40,E41,E42,E43)</f>
        <v>77</v>
      </c>
      <c r="F7" s="34">
        <f>CHOOSE('DCF Model'!$D$27,F39,F40,F41,F42,F43)</f>
        <v>77</v>
      </c>
      <c r="G7" s="34">
        <f>CHOOSE('DCF Model'!$D$27,G39,G40,G41,G42,G43)</f>
        <v>77</v>
      </c>
      <c r="H7" s="34">
        <f>CHOOSE('DCF Model'!$D$27,H39,H40,H41,H42,H43)</f>
        <v>77</v>
      </c>
    </row>
    <row r="8" spans="2:8" ht="14" x14ac:dyDescent="0.3">
      <c r="B8" s="8" t="s">
        <v>177</v>
      </c>
      <c r="C8" s="9"/>
      <c r="D8" s="9"/>
      <c r="E8" s="9"/>
      <c r="F8" s="9"/>
      <c r="G8" s="9"/>
      <c r="H8" s="9"/>
    </row>
    <row r="9" spans="2:8" ht="14" x14ac:dyDescent="0.3">
      <c r="B9" s="33" t="s">
        <v>32</v>
      </c>
      <c r="C9" s="35">
        <v>7539975</v>
      </c>
      <c r="D9" s="35">
        <f>'DCF Model'!C33</f>
        <v>7841574</v>
      </c>
      <c r="E9" s="35">
        <f>'DCF Model'!D33</f>
        <v>8116029.0899999989</v>
      </c>
      <c r="F9" s="35">
        <f>'DCF Model'!E33</f>
        <v>8359509.9626999991</v>
      </c>
      <c r="G9" s="35">
        <f>'DCF Model'!F33</f>
        <v>8568497.7117674984</v>
      </c>
      <c r="H9" s="35">
        <f>'DCF Model'!G33</f>
        <v>8782710.1545616854</v>
      </c>
    </row>
    <row r="10" spans="2:8" ht="14" x14ac:dyDescent="0.3">
      <c r="B10" s="33" t="s">
        <v>33</v>
      </c>
      <c r="C10" s="35">
        <v>6370364</v>
      </c>
      <c r="D10" s="35">
        <f>'DCF Model'!C34</f>
        <v>6626130.0299999993</v>
      </c>
      <c r="E10" s="35">
        <f>'DCF Model'!D34</f>
        <v>6858044.5810499992</v>
      </c>
      <c r="F10" s="35">
        <f>'DCF Model'!E34</f>
        <v>7063785.918481499</v>
      </c>
      <c r="G10" s="35">
        <f>'DCF Model'!F34</f>
        <v>7240380.5664435355</v>
      </c>
      <c r="H10" s="35">
        <f>'DCF Model'!G34</f>
        <v>7421390.080604624</v>
      </c>
    </row>
    <row r="11" spans="2:8" ht="14" x14ac:dyDescent="0.3">
      <c r="B11" s="8" t="s">
        <v>178</v>
      </c>
      <c r="C11" s="9"/>
      <c r="D11" s="9"/>
      <c r="E11" s="9"/>
      <c r="F11" s="9"/>
      <c r="G11" s="9"/>
      <c r="H11" s="9"/>
    </row>
    <row r="12" spans="2:8" ht="14" x14ac:dyDescent="0.3">
      <c r="B12" s="33" t="s">
        <v>179</v>
      </c>
      <c r="C12" s="35">
        <v>1412240</v>
      </c>
      <c r="D12" s="35">
        <f t="shared" ref="D12:H13" si="0">D9*D5/365</f>
        <v>1439412.2136986302</v>
      </c>
      <c r="E12" s="35">
        <f t="shared" si="0"/>
        <v>1489791.6411780822</v>
      </c>
      <c r="F12" s="35">
        <f t="shared" si="0"/>
        <v>1534485.3904134245</v>
      </c>
      <c r="G12" s="35">
        <f t="shared" si="0"/>
        <v>1572847.52517376</v>
      </c>
      <c r="H12" s="35">
        <f t="shared" si="0"/>
        <v>1612168.7133031038</v>
      </c>
    </row>
    <row r="13" spans="2:8" ht="14" x14ac:dyDescent="0.3">
      <c r="B13" s="33" t="s">
        <v>180</v>
      </c>
      <c r="C13" s="35">
        <v>1336844</v>
      </c>
      <c r="D13" s="35">
        <f t="shared" si="0"/>
        <v>1343379.7869041094</v>
      </c>
      <c r="E13" s="35">
        <f t="shared" si="0"/>
        <v>1390398.0794457532</v>
      </c>
      <c r="F13" s="35">
        <f t="shared" si="0"/>
        <v>1432110.0218291257</v>
      </c>
      <c r="G13" s="35">
        <f t="shared" si="0"/>
        <v>1467912.7723748537</v>
      </c>
      <c r="H13" s="35">
        <f t="shared" si="0"/>
        <v>1504610.5916842252</v>
      </c>
    </row>
    <row r="14" spans="2:8" ht="14" x14ac:dyDescent="0.3">
      <c r="B14" s="33" t="s">
        <v>181</v>
      </c>
      <c r="C14" s="35">
        <f t="shared" ref="C14:H14" si="1">C12+C13</f>
        <v>2749084</v>
      </c>
      <c r="D14" s="35">
        <f t="shared" si="1"/>
        <v>2782792.0006027399</v>
      </c>
      <c r="E14" s="35">
        <f t="shared" si="1"/>
        <v>2880189.7206238355</v>
      </c>
      <c r="F14" s="35">
        <f t="shared" si="1"/>
        <v>2966595.4122425504</v>
      </c>
      <c r="G14" s="35">
        <f t="shared" si="1"/>
        <v>3040760.2975486135</v>
      </c>
      <c r="H14" s="35">
        <f t="shared" si="1"/>
        <v>3116779.3049873291</v>
      </c>
    </row>
    <row r="15" spans="2:8" ht="14" x14ac:dyDescent="0.3">
      <c r="B15" s="33" t="s">
        <v>182</v>
      </c>
      <c r="C15" s="35">
        <v>1292736</v>
      </c>
      <c r="D15" s="35">
        <f>D10*D7/365</f>
        <v>1397841.1296164382</v>
      </c>
      <c r="E15" s="35">
        <f>E10*E7/365</f>
        <v>1446765.5691530134</v>
      </c>
      <c r="F15" s="35">
        <f>F10*F7/365</f>
        <v>1490168.5362276039</v>
      </c>
      <c r="G15" s="35">
        <f>G10*G7/365</f>
        <v>1527422.7496332938</v>
      </c>
      <c r="H15" s="35">
        <f>H10*H7/365</f>
        <v>1565608.3183741262</v>
      </c>
    </row>
    <row r="16" spans="2:8" ht="14" x14ac:dyDescent="0.3">
      <c r="B16" s="33" t="s">
        <v>183</v>
      </c>
      <c r="C16" s="35">
        <f t="shared" ref="C16:H16" si="2">C15</f>
        <v>1292736</v>
      </c>
      <c r="D16" s="35">
        <f t="shared" si="2"/>
        <v>1397841.1296164382</v>
      </c>
      <c r="E16" s="35">
        <f t="shared" si="2"/>
        <v>1446765.5691530134</v>
      </c>
      <c r="F16" s="35">
        <f t="shared" si="2"/>
        <v>1490168.5362276039</v>
      </c>
      <c r="G16" s="35">
        <f t="shared" si="2"/>
        <v>1527422.7496332938</v>
      </c>
      <c r="H16" s="35">
        <f t="shared" si="2"/>
        <v>1565608.3183741262</v>
      </c>
    </row>
    <row r="17" spans="2:8" ht="14" x14ac:dyDescent="0.3">
      <c r="B17" s="22" t="s">
        <v>184</v>
      </c>
      <c r="C17" s="23"/>
      <c r="D17" s="23"/>
      <c r="E17" s="23"/>
      <c r="F17" s="23"/>
      <c r="G17" s="23"/>
      <c r="H17" s="23"/>
    </row>
    <row r="18" spans="2:8" ht="14" x14ac:dyDescent="0.3">
      <c r="B18" s="33" t="s">
        <v>185</v>
      </c>
      <c r="C18" s="20">
        <f t="shared" ref="C18:H18" si="3">C14-C16</f>
        <v>1456348</v>
      </c>
      <c r="D18" s="20">
        <f t="shared" si="3"/>
        <v>1384950.8709863017</v>
      </c>
      <c r="E18" s="20">
        <f t="shared" si="3"/>
        <v>1433424.151470822</v>
      </c>
      <c r="F18" s="20">
        <f t="shared" si="3"/>
        <v>1476426.8760149465</v>
      </c>
      <c r="G18" s="20">
        <f t="shared" si="3"/>
        <v>1513337.5479153197</v>
      </c>
      <c r="H18" s="20">
        <f t="shared" si="3"/>
        <v>1551170.9866132028</v>
      </c>
    </row>
    <row r="19" spans="2:8" ht="14" x14ac:dyDescent="0.3">
      <c r="B19" s="33" t="s">
        <v>94</v>
      </c>
      <c r="C19" s="36" t="s">
        <v>42</v>
      </c>
      <c r="D19" s="24">
        <f>D18-C18</f>
        <v>-71397.129013698315</v>
      </c>
      <c r="E19" s="24">
        <f>E18-D18</f>
        <v>48473.280484520365</v>
      </c>
      <c r="F19" s="24">
        <f>F18-E18</f>
        <v>43002.724544124445</v>
      </c>
      <c r="G19" s="24">
        <f>G18-F18</f>
        <v>36910.671900373185</v>
      </c>
      <c r="H19" s="24">
        <f>H18-G18</f>
        <v>37833.438697883161</v>
      </c>
    </row>
    <row r="22" spans="2:8" ht="14" x14ac:dyDescent="0.3">
      <c r="B22" s="22" t="s">
        <v>186</v>
      </c>
      <c r="C22" s="23"/>
      <c r="D22" s="23"/>
      <c r="E22" s="23"/>
      <c r="F22" s="23"/>
      <c r="G22" s="23"/>
      <c r="H22" s="23"/>
    </row>
    <row r="23" spans="2:8" ht="14" x14ac:dyDescent="0.3">
      <c r="D23" s="25" t="s">
        <v>80</v>
      </c>
      <c r="E23" s="25" t="s">
        <v>81</v>
      </c>
      <c r="F23" s="25" t="s">
        <v>82</v>
      </c>
      <c r="G23" s="25" t="s">
        <v>83</v>
      </c>
      <c r="H23" s="25" t="s">
        <v>84</v>
      </c>
    </row>
    <row r="24" spans="2:8" ht="14" x14ac:dyDescent="0.3">
      <c r="B24" s="3" t="s">
        <v>187</v>
      </c>
    </row>
    <row r="25" spans="2:8" ht="14" x14ac:dyDescent="0.3">
      <c r="B25" s="4" t="s">
        <v>78</v>
      </c>
      <c r="D25" s="30">
        <v>67</v>
      </c>
      <c r="E25" s="30">
        <v>67</v>
      </c>
      <c r="F25" s="30">
        <v>67</v>
      </c>
      <c r="G25" s="30">
        <v>67</v>
      </c>
      <c r="H25" s="30">
        <v>67</v>
      </c>
    </row>
    <row r="26" spans="2:8" ht="14" x14ac:dyDescent="0.3">
      <c r="B26" s="4" t="s">
        <v>115</v>
      </c>
      <c r="D26" s="30">
        <v>64</v>
      </c>
      <c r="E26" s="30">
        <v>64</v>
      </c>
      <c r="F26" s="30">
        <v>64</v>
      </c>
      <c r="G26" s="30">
        <v>64</v>
      </c>
      <c r="H26" s="30">
        <v>64</v>
      </c>
    </row>
    <row r="27" spans="2:8" ht="14" x14ac:dyDescent="0.3">
      <c r="B27" s="4" t="s">
        <v>116</v>
      </c>
      <c r="D27" s="30">
        <v>67</v>
      </c>
      <c r="E27" s="30">
        <v>67</v>
      </c>
      <c r="F27" s="30">
        <v>67</v>
      </c>
      <c r="G27" s="30">
        <v>67</v>
      </c>
      <c r="H27" s="30">
        <v>67</v>
      </c>
    </row>
    <row r="28" spans="2:8" ht="14" x14ac:dyDescent="0.3">
      <c r="B28" s="4" t="s">
        <v>117</v>
      </c>
      <c r="D28" s="30">
        <v>70</v>
      </c>
      <c r="E28" s="30">
        <v>70</v>
      </c>
      <c r="F28" s="30">
        <v>70</v>
      </c>
      <c r="G28" s="30">
        <v>70</v>
      </c>
      <c r="H28" s="30">
        <v>70</v>
      </c>
    </row>
    <row r="29" spans="2:8" ht="14" x14ac:dyDescent="0.3">
      <c r="B29" s="4" t="s">
        <v>118</v>
      </c>
      <c r="D29" s="30">
        <v>74</v>
      </c>
      <c r="E29" s="30">
        <v>74</v>
      </c>
      <c r="F29" s="30">
        <v>74</v>
      </c>
      <c r="G29" s="30">
        <v>74</v>
      </c>
      <c r="H29" s="30">
        <v>74</v>
      </c>
    </row>
    <row r="31" spans="2:8" ht="14" x14ac:dyDescent="0.3">
      <c r="B31" s="3" t="s">
        <v>188</v>
      </c>
    </row>
    <row r="32" spans="2:8" ht="14" x14ac:dyDescent="0.3">
      <c r="B32" s="4" t="s">
        <v>78</v>
      </c>
      <c r="D32" s="30">
        <v>74</v>
      </c>
      <c r="E32" s="30">
        <v>74</v>
      </c>
      <c r="F32" s="30">
        <v>74</v>
      </c>
      <c r="G32" s="30">
        <v>74</v>
      </c>
      <c r="H32" s="30">
        <v>74</v>
      </c>
    </row>
    <row r="33" spans="2:8" ht="14" x14ac:dyDescent="0.3">
      <c r="B33" s="4" t="s">
        <v>115</v>
      </c>
      <c r="D33" s="30">
        <v>70</v>
      </c>
      <c r="E33" s="30">
        <v>70</v>
      </c>
      <c r="F33" s="30">
        <v>70</v>
      </c>
      <c r="G33" s="30">
        <v>70</v>
      </c>
      <c r="H33" s="30">
        <v>70</v>
      </c>
    </row>
    <row r="34" spans="2:8" ht="14" x14ac:dyDescent="0.3">
      <c r="B34" s="4" t="s">
        <v>116</v>
      </c>
      <c r="D34" s="30">
        <v>74</v>
      </c>
      <c r="E34" s="30">
        <v>74</v>
      </c>
      <c r="F34" s="30">
        <v>74</v>
      </c>
      <c r="G34" s="30">
        <v>74</v>
      </c>
      <c r="H34" s="30">
        <v>74</v>
      </c>
    </row>
    <row r="35" spans="2:8" ht="14" x14ac:dyDescent="0.3">
      <c r="B35" s="4" t="s">
        <v>117</v>
      </c>
      <c r="D35" s="30">
        <v>78</v>
      </c>
      <c r="E35" s="30">
        <v>78</v>
      </c>
      <c r="F35" s="30">
        <v>78</v>
      </c>
      <c r="G35" s="30">
        <v>78</v>
      </c>
      <c r="H35" s="30">
        <v>78</v>
      </c>
    </row>
    <row r="36" spans="2:8" ht="14" x14ac:dyDescent="0.3">
      <c r="B36" s="4" t="s">
        <v>118</v>
      </c>
      <c r="D36" s="30">
        <v>82</v>
      </c>
      <c r="E36" s="30">
        <v>82</v>
      </c>
      <c r="F36" s="30">
        <v>82</v>
      </c>
      <c r="G36" s="30">
        <v>82</v>
      </c>
      <c r="H36" s="30">
        <v>82</v>
      </c>
    </row>
    <row r="38" spans="2:8" ht="14" x14ac:dyDescent="0.3">
      <c r="B38" s="3" t="s">
        <v>189</v>
      </c>
    </row>
    <row r="39" spans="2:8" ht="14" x14ac:dyDescent="0.3">
      <c r="B39" s="4" t="s">
        <v>78</v>
      </c>
      <c r="D39" s="30">
        <v>77</v>
      </c>
      <c r="E39" s="30">
        <v>77</v>
      </c>
      <c r="F39" s="30">
        <v>77</v>
      </c>
      <c r="G39" s="30">
        <v>77</v>
      </c>
      <c r="H39" s="30">
        <v>77</v>
      </c>
    </row>
    <row r="40" spans="2:8" ht="14" x14ac:dyDescent="0.3">
      <c r="B40" s="4" t="s">
        <v>115</v>
      </c>
      <c r="D40" s="30">
        <v>80</v>
      </c>
      <c r="E40" s="30">
        <v>80</v>
      </c>
      <c r="F40" s="30">
        <v>80</v>
      </c>
      <c r="G40" s="30">
        <v>80</v>
      </c>
      <c r="H40" s="30">
        <v>80</v>
      </c>
    </row>
    <row r="41" spans="2:8" ht="14" x14ac:dyDescent="0.3">
      <c r="B41" s="4" t="s">
        <v>116</v>
      </c>
      <c r="D41" s="30">
        <v>77</v>
      </c>
      <c r="E41" s="30">
        <v>77</v>
      </c>
      <c r="F41" s="30">
        <v>77</v>
      </c>
      <c r="G41" s="30">
        <v>77</v>
      </c>
      <c r="H41" s="30">
        <v>77</v>
      </c>
    </row>
    <row r="42" spans="2:8" ht="14" x14ac:dyDescent="0.3">
      <c r="B42" s="4" t="s">
        <v>117</v>
      </c>
      <c r="D42" s="30">
        <v>73</v>
      </c>
      <c r="E42" s="30">
        <v>73</v>
      </c>
      <c r="F42" s="30">
        <v>73</v>
      </c>
      <c r="G42" s="30">
        <v>73</v>
      </c>
      <c r="H42" s="30">
        <v>73</v>
      </c>
    </row>
    <row r="43" spans="2:8" ht="14" x14ac:dyDescent="0.3">
      <c r="B43" s="4" t="s">
        <v>118</v>
      </c>
      <c r="D43" s="30">
        <v>70</v>
      </c>
      <c r="E43" s="30">
        <v>70</v>
      </c>
      <c r="F43" s="30">
        <v>70</v>
      </c>
      <c r="G43" s="30">
        <v>70</v>
      </c>
      <c r="H43" s="30">
        <v>70</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190</v>
      </c>
    </row>
    <row r="3" spans="2:17" ht="14" x14ac:dyDescent="0.3">
      <c r="B3" s="1" t="s">
        <v>191</v>
      </c>
    </row>
    <row r="4" spans="2:17" ht="28" x14ac:dyDescent="0.3">
      <c r="B4" s="10" t="s">
        <v>3</v>
      </c>
      <c r="C4" s="10" t="s">
        <v>5</v>
      </c>
      <c r="D4" s="10" t="s">
        <v>192</v>
      </c>
      <c r="E4" s="10" t="s">
        <v>193</v>
      </c>
      <c r="F4" s="10" t="s">
        <v>194</v>
      </c>
      <c r="G4" s="10" t="s">
        <v>195</v>
      </c>
      <c r="H4" s="10" t="s">
        <v>196</v>
      </c>
      <c r="I4" s="10" t="s">
        <v>197</v>
      </c>
      <c r="J4" s="10" t="s">
        <v>198</v>
      </c>
      <c r="K4" s="10" t="s">
        <v>199</v>
      </c>
      <c r="L4" s="10" t="s">
        <v>200</v>
      </c>
      <c r="M4" s="10" t="s">
        <v>201</v>
      </c>
      <c r="N4" s="10" t="s">
        <v>202</v>
      </c>
      <c r="O4" s="10" t="s">
        <v>203</v>
      </c>
      <c r="P4" s="10" t="s">
        <v>204</v>
      </c>
      <c r="Q4" s="10" t="s">
        <v>205</v>
      </c>
    </row>
    <row r="5" spans="2:17" ht="14" x14ac:dyDescent="0.3">
      <c r="B5" s="4" t="s">
        <v>206</v>
      </c>
      <c r="C5" t="s">
        <v>207</v>
      </c>
      <c r="D5" s="37">
        <f>'Executive Summary'!C9*C23/1000000</f>
        <v>4804934.9081544997</v>
      </c>
      <c r="E5" s="37">
        <f>D5+C24</f>
        <v>4427090.9081544997</v>
      </c>
      <c r="F5" s="37">
        <v>7539975</v>
      </c>
      <c r="G5" s="37">
        <v>930612</v>
      </c>
      <c r="H5" s="37">
        <v>552538</v>
      </c>
      <c r="I5" s="37">
        <v>443755</v>
      </c>
      <c r="J5" s="38">
        <f t="shared" ref="J5:J10" si="0">IFERROR(E5/G5,"")</f>
        <v>4.7571822716174941</v>
      </c>
      <c r="K5" s="38">
        <f t="shared" ref="K5:K10" si="1">IFERROR(E5/F5,"")</f>
        <v>0.58714928208044448</v>
      </c>
      <c r="L5" s="38">
        <f t="shared" ref="L5:L10" si="2">IFERROR(D5/I5,"")</f>
        <v>10.827900323724803</v>
      </c>
      <c r="M5" s="38">
        <f t="shared" ref="M5:M10" si="3">IFERROR(D5/P5,"")</f>
        <v>0.87478735973482202</v>
      </c>
      <c r="N5" s="39">
        <f t="shared" ref="N5:N10" si="4">IFERROR(H5/F5,"")</f>
        <v>7.3281144831382067E-2</v>
      </c>
      <c r="O5" s="39">
        <f t="shared" ref="O5:O10" si="5">IFERROR(I5/P5,"")</f>
        <v>8.0790119375045627E-2</v>
      </c>
      <c r="P5" s="37">
        <v>5492689</v>
      </c>
    </row>
    <row r="6" spans="2:17" ht="14" x14ac:dyDescent="0.3">
      <c r="B6" s="4" t="s">
        <v>208</v>
      </c>
      <c r="C6" t="s">
        <v>209</v>
      </c>
      <c r="D6" s="37">
        <v>1568946</v>
      </c>
      <c r="E6" s="37">
        <v>1662550</v>
      </c>
      <c r="F6" s="37">
        <v>5117764</v>
      </c>
      <c r="G6" s="37">
        <v>493431</v>
      </c>
      <c r="H6" s="37">
        <v>228797</v>
      </c>
      <c r="I6" s="37">
        <v>171697</v>
      </c>
      <c r="J6" s="38">
        <f t="shared" si="0"/>
        <v>3.3693667402331835</v>
      </c>
      <c r="K6" s="38">
        <f t="shared" si="1"/>
        <v>0.32485866874674174</v>
      </c>
      <c r="L6" s="38">
        <f t="shared" si="2"/>
        <v>9.137876608210977</v>
      </c>
      <c r="M6" s="38">
        <f t="shared" si="3"/>
        <v>0.71297157603951333</v>
      </c>
      <c r="N6" s="39">
        <f t="shared" si="4"/>
        <v>4.4706438202308664E-2</v>
      </c>
      <c r="O6" s="39">
        <f t="shared" si="5"/>
        <v>7.8023769263732667E-2</v>
      </c>
      <c r="P6" s="37">
        <v>2200573</v>
      </c>
    </row>
    <row r="7" spans="2:17" ht="14" x14ac:dyDescent="0.3">
      <c r="B7" s="4" t="s">
        <v>210</v>
      </c>
      <c r="C7" t="s">
        <v>211</v>
      </c>
      <c r="D7" s="37">
        <v>4908944</v>
      </c>
      <c r="E7" s="37">
        <v>5022149</v>
      </c>
      <c r="F7" s="37">
        <v>4429452</v>
      </c>
      <c r="G7" s="37">
        <v>734466</v>
      </c>
      <c r="H7" s="37">
        <v>381237</v>
      </c>
      <c r="I7" s="37">
        <v>327264</v>
      </c>
      <c r="J7" s="38">
        <f t="shared" si="0"/>
        <v>6.8378236705306987</v>
      </c>
      <c r="K7" s="38">
        <f t="shared" si="1"/>
        <v>1.1338082002017404</v>
      </c>
      <c r="L7" s="38">
        <f t="shared" si="2"/>
        <v>14.999951109807373</v>
      </c>
      <c r="M7" s="38">
        <f t="shared" si="3"/>
        <v>1.3405847900195342</v>
      </c>
      <c r="N7" s="39">
        <f t="shared" si="4"/>
        <v>8.6068660412168374E-2</v>
      </c>
      <c r="O7" s="39">
        <f t="shared" si="5"/>
        <v>8.937261063091223E-2</v>
      </c>
      <c r="P7" s="37">
        <v>3661793</v>
      </c>
    </row>
    <row r="8" spans="2:17" ht="14" x14ac:dyDescent="0.3">
      <c r="B8" s="4" t="s">
        <v>212</v>
      </c>
      <c r="C8" t="s">
        <v>213</v>
      </c>
      <c r="D8" s="37">
        <v>6654276</v>
      </c>
      <c r="E8" s="37">
        <v>7106480</v>
      </c>
      <c r="F8" s="37">
        <v>5110171</v>
      </c>
      <c r="G8" s="37">
        <v>630935</v>
      </c>
      <c r="H8" s="37">
        <v>418173</v>
      </c>
      <c r="I8" s="37">
        <v>369508</v>
      </c>
      <c r="J8" s="38">
        <f t="shared" si="0"/>
        <v>11.263410652444389</v>
      </c>
      <c r="K8" s="38">
        <f t="shared" si="1"/>
        <v>1.3906540505200315</v>
      </c>
      <c r="L8" s="38">
        <f t="shared" si="2"/>
        <v>18.008476135834677</v>
      </c>
      <c r="M8" s="38">
        <f t="shared" si="3"/>
        <v>2.4255280061412083</v>
      </c>
      <c r="N8" s="39">
        <f t="shared" si="4"/>
        <v>8.1831508182407198E-2</v>
      </c>
      <c r="O8" s="39">
        <f t="shared" si="5"/>
        <v>0.13468813173562769</v>
      </c>
      <c r="P8" s="37">
        <v>2743434</v>
      </c>
    </row>
    <row r="9" spans="2:17" ht="14" x14ac:dyDescent="0.3">
      <c r="B9" s="4" t="s">
        <v>214</v>
      </c>
      <c r="C9" t="s">
        <v>215</v>
      </c>
      <c r="D9" s="37">
        <v>633448</v>
      </c>
      <c r="E9" s="37">
        <v>624971</v>
      </c>
      <c r="F9" s="37">
        <v>1146772</v>
      </c>
      <c r="G9" s="37">
        <v>133207</v>
      </c>
      <c r="H9" s="37">
        <v>79552</v>
      </c>
      <c r="I9" s="37">
        <v>62009</v>
      </c>
      <c r="J9" s="38">
        <f t="shared" si="0"/>
        <v>4.6917279121968063</v>
      </c>
      <c r="K9" s="38">
        <f t="shared" si="1"/>
        <v>0.54498278646496423</v>
      </c>
      <c r="L9" s="38">
        <f t="shared" si="2"/>
        <v>10.21542034220839</v>
      </c>
      <c r="M9" s="38">
        <f t="shared" si="3"/>
        <v>1.114121038477706</v>
      </c>
      <c r="N9" s="39">
        <f t="shared" si="4"/>
        <v>6.9370371791428465E-2</v>
      </c>
      <c r="O9" s="39">
        <f t="shared" si="5"/>
        <v>0.10906267203458543</v>
      </c>
      <c r="P9" s="37">
        <v>568563</v>
      </c>
    </row>
    <row r="10" spans="2:17" ht="14" x14ac:dyDescent="0.3">
      <c r="B10" s="4" t="s">
        <v>216</v>
      </c>
      <c r="C10" t="s">
        <v>217</v>
      </c>
      <c r="D10" s="37">
        <v>10739696</v>
      </c>
      <c r="E10" s="37">
        <v>10371365</v>
      </c>
      <c r="F10" s="37">
        <v>5894747</v>
      </c>
      <c r="G10" s="37">
        <v>666879</v>
      </c>
      <c r="H10" s="37">
        <v>433095</v>
      </c>
      <c r="I10" s="37">
        <v>407758</v>
      </c>
      <c r="J10" s="38">
        <f t="shared" si="0"/>
        <v>15.552094158010673</v>
      </c>
      <c r="K10" s="38">
        <f t="shared" si="1"/>
        <v>1.7594249592052043</v>
      </c>
      <c r="L10" s="38">
        <f t="shared" si="2"/>
        <v>26.338406603917029</v>
      </c>
      <c r="M10" s="38">
        <f t="shared" si="3"/>
        <v>2.3949730011555959</v>
      </c>
      <c r="N10" s="39">
        <f t="shared" si="4"/>
        <v>7.3471346607411656E-2</v>
      </c>
      <c r="O10" s="39">
        <f t="shared" si="5"/>
        <v>9.0930823461409294E-2</v>
      </c>
      <c r="P10" s="37">
        <v>4484266</v>
      </c>
    </row>
    <row r="14" spans="2:17" ht="14" x14ac:dyDescent="0.3">
      <c r="B14" s="3" t="s">
        <v>218</v>
      </c>
    </row>
    <row r="15" spans="2:17" ht="14" x14ac:dyDescent="0.3">
      <c r="B15" s="4" t="s">
        <v>219</v>
      </c>
      <c r="D15" s="38">
        <f t="shared" ref="D15:I15" si="6">PERCENTILE(J6:J10,0.25)</f>
        <v>4.6917279121968063</v>
      </c>
      <c r="E15" s="38">
        <f t="shared" si="6"/>
        <v>0.54498278646496423</v>
      </c>
      <c r="F15" s="38">
        <f t="shared" si="6"/>
        <v>10.21542034220839</v>
      </c>
      <c r="G15" s="38">
        <f t="shared" si="6"/>
        <v>1.114121038477706</v>
      </c>
      <c r="H15" s="39">
        <f t="shared" si="6"/>
        <v>6.9370371791428465E-2</v>
      </c>
      <c r="I15" s="39">
        <f t="shared" si="6"/>
        <v>8.937261063091223E-2</v>
      </c>
    </row>
    <row r="16" spans="2:17" ht="14" x14ac:dyDescent="0.3">
      <c r="B16" s="4" t="s">
        <v>220</v>
      </c>
      <c r="D16" s="38">
        <f t="shared" ref="D16:I16" si="7">MEDIAN(J6:J10)</f>
        <v>6.8378236705306987</v>
      </c>
      <c r="E16" s="38">
        <f t="shared" si="7"/>
        <v>1.1338082002017404</v>
      </c>
      <c r="F16" s="38">
        <f t="shared" si="7"/>
        <v>14.999951109807373</v>
      </c>
      <c r="G16" s="38">
        <f t="shared" si="7"/>
        <v>1.3405847900195342</v>
      </c>
      <c r="H16" s="39">
        <f t="shared" si="7"/>
        <v>7.3471346607411656E-2</v>
      </c>
      <c r="I16" s="39">
        <f t="shared" si="7"/>
        <v>9.0930823461409294E-2</v>
      </c>
    </row>
    <row r="17" spans="2:9" ht="14" x14ac:dyDescent="0.3">
      <c r="B17" s="4" t="s">
        <v>221</v>
      </c>
      <c r="D17" s="38">
        <f t="shared" ref="D17:I17" si="8">PERCENTILE(J6:J10,0.75)</f>
        <v>11.263410652444389</v>
      </c>
      <c r="E17" s="38">
        <f t="shared" si="8"/>
        <v>1.3906540505200315</v>
      </c>
      <c r="F17" s="38">
        <f t="shared" si="8"/>
        <v>18.008476135834677</v>
      </c>
      <c r="G17" s="38">
        <f t="shared" si="8"/>
        <v>2.3949730011555959</v>
      </c>
      <c r="H17" s="39">
        <f t="shared" si="8"/>
        <v>8.1831508182407198E-2</v>
      </c>
      <c r="I17" s="39">
        <f t="shared" si="8"/>
        <v>0.10906267203458543</v>
      </c>
    </row>
    <row r="19" spans="2:9" ht="14" x14ac:dyDescent="0.3">
      <c r="B19" s="22" t="s">
        <v>222</v>
      </c>
      <c r="C19" s="23"/>
      <c r="D19" s="23"/>
      <c r="E19" s="23"/>
      <c r="F19" s="23"/>
      <c r="G19" s="23"/>
      <c r="H19" s="23"/>
      <c r="I19" s="23"/>
    </row>
    <row r="20" spans="2:9" ht="14" x14ac:dyDescent="0.3">
      <c r="B20" s="3" t="s">
        <v>223</v>
      </c>
    </row>
    <row r="21" spans="2:9" ht="14" x14ac:dyDescent="0.3">
      <c r="B21" s="4" t="s">
        <v>224</v>
      </c>
      <c r="C21" s="5">
        <v>930612</v>
      </c>
    </row>
    <row r="22" spans="2:9" ht="14" x14ac:dyDescent="0.3">
      <c r="B22" s="4" t="s">
        <v>225</v>
      </c>
      <c r="C22" s="5">
        <v>443755</v>
      </c>
    </row>
    <row r="23" spans="2:9" ht="14" x14ac:dyDescent="0.3">
      <c r="B23" s="4" t="s">
        <v>226</v>
      </c>
      <c r="C23" s="15">
        <v>2507140573</v>
      </c>
    </row>
    <row r="24" spans="2:9" ht="14" x14ac:dyDescent="0.3">
      <c r="B24" s="4" t="s">
        <v>67</v>
      </c>
      <c r="C24" s="5">
        <v>-377844</v>
      </c>
    </row>
    <row r="26" spans="2:9" ht="14" x14ac:dyDescent="0.3">
      <c r="B26" s="3" t="s">
        <v>227</v>
      </c>
    </row>
    <row r="27" spans="2:9" ht="14" x14ac:dyDescent="0.3">
      <c r="B27" s="4" t="s">
        <v>228</v>
      </c>
      <c r="C27" s="24">
        <f>ROUND((C21*D16-C24)*1000000/C23,0)</f>
        <v>2689</v>
      </c>
    </row>
    <row r="28" spans="2:9" ht="14" x14ac:dyDescent="0.3">
      <c r="B28" s="4" t="s">
        <v>229</v>
      </c>
      <c r="C28" s="24">
        <f>ROUND(C22*F16*1000000/C23,0)</f>
        <v>2655</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230</v>
      </c>
    </row>
    <row r="3" spans="2:9" ht="14" x14ac:dyDescent="0.3">
      <c r="B3" s="4" t="s">
        <v>231</v>
      </c>
      <c r="C3" s="16">
        <f>'DCF Model'!C26</f>
        <v>0.1087885</v>
      </c>
      <c r="E3" s="4" t="s">
        <v>232</v>
      </c>
      <c r="F3" s="16">
        <f>'DCF Model'!C13</f>
        <v>0.01</v>
      </c>
      <c r="H3" s="4" t="s">
        <v>233</v>
      </c>
      <c r="I3" s="14">
        <f>'DCF Model'!C14</f>
        <v>6.8</v>
      </c>
    </row>
    <row r="5" spans="2:9" ht="14" x14ac:dyDescent="0.3">
      <c r="B5" s="3" t="s">
        <v>234</v>
      </c>
    </row>
    <row r="6" spans="2:9" ht="14" x14ac:dyDescent="0.3">
      <c r="B6" s="40" t="s">
        <v>235</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9.3788499999999997E-2</v>
      </c>
      <c r="C7" s="37">
        <f>IFERROR(ROUND(('DCF Model'!C45/(1+$B7)^('DCF Model'!C19+0)+'DCF Model'!D45/(1+$B7)^('DCF Model'!C19+1)+'DCF Model'!E45/(1+$B7)^('DCF Model'!C19+2)+'DCF Model'!F45/(1+$B7)^('DCF Model'!C19+3)+'DCF Model'!G45/(1+$B7)^('DCF Model'!C19+4)+'DCF Model'!G45*(1+C$6)/($B7-C$6)/(1+$B7)^('DCF Model'!C19+4)-'DCF Model'!C16)*1000000/'DCF Model'!C15,0),"")</f>
        <v>1972</v>
      </c>
      <c r="D7" s="37">
        <f>IFERROR(ROUND(('DCF Model'!C45/(1+$B7)^('DCF Model'!C19+0)+'DCF Model'!D45/(1+$B7)^('DCF Model'!C19+1)+'DCF Model'!E45/(1+$B7)^('DCF Model'!C19+2)+'DCF Model'!F45/(1+$B7)^('DCF Model'!C19+3)+'DCF Model'!G45/(1+$B7)^('DCF Model'!C19+4)+'DCF Model'!G45*(1+D$6)/($B7-D$6)/(1+$B7)^('DCF Model'!C19+4)-'DCF Model'!C16)*1000000/'DCF Model'!C15,0),"")</f>
        <v>2008</v>
      </c>
      <c r="E7" s="37">
        <f>IFERROR(ROUND(('DCF Model'!C45/(1+$B7)^('DCF Model'!C19+0)+'DCF Model'!D45/(1+$B7)^('DCF Model'!C19+1)+'DCF Model'!E45/(1+$B7)^('DCF Model'!C19+2)+'DCF Model'!F45/(1+$B7)^('DCF Model'!C19+3)+'DCF Model'!G45/(1+$B7)^('DCF Model'!C19+4)+'DCF Model'!G45*(1+E$6)/($B7-E$6)/(1+$B7)^('DCF Model'!C19+4)-'DCF Model'!C16)*1000000/'DCF Model'!C15,0),"")</f>
        <v>2047</v>
      </c>
      <c r="F7" s="37">
        <f>IFERROR(ROUND(('DCF Model'!C45/(1+$B7)^('DCF Model'!C19+0)+'DCF Model'!D45/(1+$B7)^('DCF Model'!C19+1)+'DCF Model'!E45/(1+$B7)^('DCF Model'!C19+2)+'DCF Model'!F45/(1+$B7)^('DCF Model'!C19+3)+'DCF Model'!G45/(1+$B7)^('DCF Model'!C19+4)+'DCF Model'!G45*(1+F$6)/($B7-F$6)/(1+$B7)^('DCF Model'!C19+4)-'DCF Model'!C16)*1000000/'DCF Model'!C15,0),"")</f>
        <v>2087</v>
      </c>
      <c r="G7" s="37">
        <f>IFERROR(ROUND(('DCF Model'!C45/(1+$B7)^('DCF Model'!C19+0)+'DCF Model'!D45/(1+$B7)^('DCF Model'!C19+1)+'DCF Model'!E45/(1+$B7)^('DCF Model'!C19+2)+'DCF Model'!F45/(1+$B7)^('DCF Model'!C19+3)+'DCF Model'!G45/(1+$B7)^('DCF Model'!C19+4)+'DCF Model'!G45*(1+G$6)/($B7-G$6)/(1+$B7)^('DCF Model'!C19+4)-'DCF Model'!C16)*1000000/'DCF Model'!C15,0),"")</f>
        <v>2130</v>
      </c>
      <c r="H7" s="37">
        <f>IFERROR(ROUND(('DCF Model'!C45/(1+$B7)^('DCF Model'!C19+0)+'DCF Model'!D45/(1+$B7)^('DCF Model'!C19+1)+'DCF Model'!E45/(1+$B7)^('DCF Model'!C19+2)+'DCF Model'!F45/(1+$B7)^('DCF Model'!C19+3)+'DCF Model'!G45/(1+$B7)^('DCF Model'!C19+4)+'DCF Model'!G45*(1+H$6)/($B7-H$6)/(1+$B7)^('DCF Model'!C19+4)-'DCF Model'!C16)*1000000/'DCF Model'!C15,0),"")</f>
        <v>2176</v>
      </c>
      <c r="I7" s="37">
        <f>IFERROR(ROUND(('DCF Model'!C45/(1+$B7)^('DCF Model'!C19+0)+'DCF Model'!D45/(1+$B7)^('DCF Model'!C19+1)+'DCF Model'!E45/(1+$B7)^('DCF Model'!C19+2)+'DCF Model'!F45/(1+$B7)^('DCF Model'!C19+3)+'DCF Model'!G45/(1+$B7)^('DCF Model'!C19+4)+'DCF Model'!G45*(1+I$6)/($B7-I$6)/(1+$B7)^('DCF Model'!C19+4)-'DCF Model'!C16)*1000000/'DCF Model'!C15,0),"")</f>
        <v>2225</v>
      </c>
    </row>
    <row r="8" spans="2:9" ht="13.5" x14ac:dyDescent="0.25">
      <c r="B8" s="39">
        <f>$C$3-0.01</f>
        <v>9.8788500000000001E-2</v>
      </c>
      <c r="C8" s="37">
        <f>IFERROR(ROUND(('DCF Model'!C45/(1+$B8)^('DCF Model'!C19+0)+'DCF Model'!D45/(1+$B8)^('DCF Model'!C19+1)+'DCF Model'!E45/(1+$B8)^('DCF Model'!C19+2)+'DCF Model'!F45/(1+$B8)^('DCF Model'!C19+3)+'DCF Model'!G45/(1+$B8)^('DCF Model'!C19+4)+'DCF Model'!G45*(1+C$6)/($B8-C$6)/(1+$B8)^('DCF Model'!C19+4)-'DCF Model'!C16)*1000000/'DCF Model'!C15,0),"")</f>
        <v>1878</v>
      </c>
      <c r="D8" s="37">
        <f>IFERROR(ROUND(('DCF Model'!C45/(1+$B8)^('DCF Model'!C19+0)+'DCF Model'!D45/(1+$B8)^('DCF Model'!C19+1)+'DCF Model'!E45/(1+$B8)^('DCF Model'!C19+2)+'DCF Model'!F45/(1+$B8)^('DCF Model'!C19+3)+'DCF Model'!G45/(1+$B8)^('DCF Model'!C19+4)+'DCF Model'!G45*(1+D$6)/($B8-D$6)/(1+$B8)^('DCF Model'!C19+4)-'DCF Model'!C16)*1000000/'DCF Model'!C15,0),"")</f>
        <v>1910</v>
      </c>
      <c r="E8" s="37">
        <f>IFERROR(ROUND(('DCF Model'!C45/(1+$B8)^('DCF Model'!C19+0)+'DCF Model'!D45/(1+$B8)^('DCF Model'!C19+1)+'DCF Model'!E45/(1+$B8)^('DCF Model'!C19+2)+'DCF Model'!F45/(1+$B8)^('DCF Model'!C19+3)+'DCF Model'!G45/(1+$B8)^('DCF Model'!C19+4)+'DCF Model'!G45*(1+E$6)/($B8-E$6)/(1+$B8)^('DCF Model'!C19+4)-'DCF Model'!C16)*1000000/'DCF Model'!C15,0),"")</f>
        <v>1943</v>
      </c>
      <c r="F8" s="37">
        <f>IFERROR(ROUND(('DCF Model'!C45/(1+$B8)^('DCF Model'!C19+0)+'DCF Model'!D45/(1+$B8)^('DCF Model'!C19+1)+'DCF Model'!E45/(1+$B8)^('DCF Model'!C19+2)+'DCF Model'!F45/(1+$B8)^('DCF Model'!C19+3)+'DCF Model'!G45/(1+$B8)^('DCF Model'!C19+4)+'DCF Model'!G45*(1+F$6)/($B8-F$6)/(1+$B8)^('DCF Model'!C19+4)-'DCF Model'!C16)*1000000/'DCF Model'!C15,0),"")</f>
        <v>1979</v>
      </c>
      <c r="G8" s="37">
        <f>IFERROR(ROUND(('DCF Model'!C45/(1+$B8)^('DCF Model'!C19+0)+'DCF Model'!D45/(1+$B8)^('DCF Model'!C19+1)+'DCF Model'!E45/(1+$B8)^('DCF Model'!C19+2)+'DCF Model'!F45/(1+$B8)^('DCF Model'!C19+3)+'DCF Model'!G45/(1+$B8)^('DCF Model'!C19+4)+'DCF Model'!G45*(1+G$6)/($B8-G$6)/(1+$B8)^('DCF Model'!C19+4)-'DCF Model'!C16)*1000000/'DCF Model'!C15,0),"")</f>
        <v>2016</v>
      </c>
      <c r="H8" s="37">
        <f>IFERROR(ROUND(('DCF Model'!C45/(1+$B8)^('DCF Model'!C19+0)+'DCF Model'!D45/(1+$B8)^('DCF Model'!C19+1)+'DCF Model'!E45/(1+$B8)^('DCF Model'!C19+2)+'DCF Model'!F45/(1+$B8)^('DCF Model'!C19+3)+'DCF Model'!G45/(1+$B8)^('DCF Model'!C19+4)+'DCF Model'!G45*(1+H$6)/($B8-H$6)/(1+$B8)^('DCF Model'!C19+4)-'DCF Model'!C16)*1000000/'DCF Model'!C15,0),"")</f>
        <v>2056</v>
      </c>
      <c r="I8" s="37">
        <f>IFERROR(ROUND(('DCF Model'!C45/(1+$B8)^('DCF Model'!C19+0)+'DCF Model'!D45/(1+$B8)^('DCF Model'!C19+1)+'DCF Model'!E45/(1+$B8)^('DCF Model'!C19+2)+'DCF Model'!F45/(1+$B8)^('DCF Model'!C19+3)+'DCF Model'!G45/(1+$B8)^('DCF Model'!C19+4)+'DCF Model'!G45*(1+I$6)/($B8-I$6)/(1+$B8)^('DCF Model'!C19+4)-'DCF Model'!C16)*1000000/'DCF Model'!C15,0),"")</f>
        <v>2098</v>
      </c>
    </row>
    <row r="9" spans="2:9" ht="13.5" x14ac:dyDescent="0.25">
      <c r="B9" s="39">
        <f>$C$3-0.005</f>
        <v>0.10378849999999999</v>
      </c>
      <c r="C9" s="37">
        <f>IFERROR(ROUND(('DCF Model'!C45/(1+$B9)^('DCF Model'!C19+0)+'DCF Model'!D45/(1+$B9)^('DCF Model'!C19+1)+'DCF Model'!E45/(1+$B9)^('DCF Model'!C19+2)+'DCF Model'!F45/(1+$B9)^('DCF Model'!C19+3)+'DCF Model'!G45/(1+$B9)^('DCF Model'!C19+4)+'DCF Model'!G45*(1+C$6)/($B9-C$6)/(1+$B9)^('DCF Model'!C19+4)-'DCF Model'!C16)*1000000/'DCF Model'!C15,0),"")</f>
        <v>1793</v>
      </c>
      <c r="D9" s="37">
        <f>IFERROR(ROUND(('DCF Model'!C45/(1+$B9)^('DCF Model'!C19+0)+'DCF Model'!D45/(1+$B9)^('DCF Model'!C19+1)+'DCF Model'!E45/(1+$B9)^('DCF Model'!C19+2)+'DCF Model'!F45/(1+$B9)^('DCF Model'!C19+3)+'DCF Model'!G45/(1+$B9)^('DCF Model'!C19+4)+'DCF Model'!G45*(1+D$6)/($B9-D$6)/(1+$B9)^('DCF Model'!C19+4)-'DCF Model'!C16)*1000000/'DCF Model'!C15,0),"")</f>
        <v>1821</v>
      </c>
      <c r="E9" s="37">
        <f>IFERROR(ROUND(('DCF Model'!C45/(1+$B9)^('DCF Model'!C19+0)+'DCF Model'!D45/(1+$B9)^('DCF Model'!C19+1)+'DCF Model'!E45/(1+$B9)^('DCF Model'!C19+2)+'DCF Model'!F45/(1+$B9)^('DCF Model'!C19+3)+'DCF Model'!G45/(1+$B9)^('DCF Model'!C19+4)+'DCF Model'!G45*(1+E$6)/($B9-E$6)/(1+$B9)^('DCF Model'!C19+4)-'DCF Model'!C16)*1000000/'DCF Model'!C15,0),"")</f>
        <v>1851</v>
      </c>
      <c r="F9" s="37">
        <f>IFERROR(ROUND(('DCF Model'!C45/(1+$B9)^('DCF Model'!C19+0)+'DCF Model'!D45/(1+$B9)^('DCF Model'!C19+1)+'DCF Model'!E45/(1+$B9)^('DCF Model'!C19+2)+'DCF Model'!F45/(1+$B9)^('DCF Model'!C19+3)+'DCF Model'!G45/(1+$B9)^('DCF Model'!C19+4)+'DCF Model'!G45*(1+F$6)/($B9-F$6)/(1+$B9)^('DCF Model'!C19+4)-'DCF Model'!C16)*1000000/'DCF Model'!C15,0),"")</f>
        <v>1882</v>
      </c>
      <c r="G9" s="37">
        <f>IFERROR(ROUND(('DCF Model'!C45/(1+$B9)^('DCF Model'!C19+0)+'DCF Model'!D45/(1+$B9)^('DCF Model'!C19+1)+'DCF Model'!E45/(1+$B9)^('DCF Model'!C19+2)+'DCF Model'!F45/(1+$B9)^('DCF Model'!C19+3)+'DCF Model'!G45/(1+$B9)^('DCF Model'!C19+4)+'DCF Model'!G45*(1+G$6)/($B9-G$6)/(1+$B9)^('DCF Model'!C19+4)-'DCF Model'!C16)*1000000/'DCF Model'!C15,0),"")</f>
        <v>1915</v>
      </c>
      <c r="H9" s="37">
        <f>IFERROR(ROUND(('DCF Model'!C45/(1+$B9)^('DCF Model'!C19+0)+'DCF Model'!D45/(1+$B9)^('DCF Model'!C19+1)+'DCF Model'!E45/(1+$B9)^('DCF Model'!C19+2)+'DCF Model'!F45/(1+$B9)^('DCF Model'!C19+3)+'DCF Model'!G45/(1+$B9)^('DCF Model'!C19+4)+'DCF Model'!G45*(1+H$6)/($B9-H$6)/(1+$B9)^('DCF Model'!C19+4)-'DCF Model'!C16)*1000000/'DCF Model'!C15,0),"")</f>
        <v>1950</v>
      </c>
      <c r="I9" s="37">
        <f>IFERROR(ROUND(('DCF Model'!C45/(1+$B9)^('DCF Model'!C19+0)+'DCF Model'!D45/(1+$B9)^('DCF Model'!C19+1)+'DCF Model'!E45/(1+$B9)^('DCF Model'!C19+2)+'DCF Model'!F45/(1+$B9)^('DCF Model'!C19+3)+'DCF Model'!G45/(1+$B9)^('DCF Model'!C19+4)+'DCF Model'!G45*(1+I$6)/($B9-I$6)/(1+$B9)^('DCF Model'!C19+4)-'DCF Model'!C16)*1000000/'DCF Model'!C15,0),"")</f>
        <v>1987</v>
      </c>
    </row>
    <row r="10" spans="2:9" ht="13.5" x14ac:dyDescent="0.25">
      <c r="B10" s="39">
        <f>$C$3</f>
        <v>0.1087885</v>
      </c>
      <c r="C10" s="37">
        <f>IFERROR(ROUND(('DCF Model'!C45/(1+$B10)^('DCF Model'!C19+0)+'DCF Model'!D45/(1+$B10)^('DCF Model'!C19+1)+'DCF Model'!E45/(1+$B10)^('DCF Model'!C19+2)+'DCF Model'!F45/(1+$B10)^('DCF Model'!C19+3)+'DCF Model'!G45/(1+$B10)^('DCF Model'!C19+4)+'DCF Model'!G45*(1+C$6)/($B10-C$6)/(1+$B10)^('DCF Model'!C19+4)-'DCF Model'!C16)*1000000/'DCF Model'!C15,0),"")</f>
        <v>1715</v>
      </c>
      <c r="D10" s="37">
        <f>IFERROR(ROUND(('DCF Model'!C45/(1+$B10)^('DCF Model'!C19+0)+'DCF Model'!D45/(1+$B10)^('DCF Model'!C19+1)+'DCF Model'!E45/(1+$B10)^('DCF Model'!C19+2)+'DCF Model'!F45/(1+$B10)^('DCF Model'!C19+3)+'DCF Model'!G45/(1+$B10)^('DCF Model'!C19+4)+'DCF Model'!G45*(1+D$6)/($B10-D$6)/(1+$B10)^('DCF Model'!C19+4)-'DCF Model'!C16)*1000000/'DCF Model'!C15,0),"")</f>
        <v>1741</v>
      </c>
      <c r="E10" s="37">
        <f>IFERROR(ROUND(('DCF Model'!C45/(1+$B10)^('DCF Model'!C19+0)+'DCF Model'!D45/(1+$B10)^('DCF Model'!C19+1)+'DCF Model'!E45/(1+$B10)^('DCF Model'!C19+2)+'DCF Model'!F45/(1+$B10)^('DCF Model'!C19+3)+'DCF Model'!G45/(1+$B10)^('DCF Model'!C19+4)+'DCF Model'!G45*(1+E$6)/($B10-E$6)/(1+$B10)^('DCF Model'!C19+4)-'DCF Model'!C16)*1000000/'DCF Model'!C15,0),"")</f>
        <v>1767</v>
      </c>
      <c r="F10" s="37">
        <f>IFERROR(ROUND(('DCF Model'!C45/(1+$B10)^('DCF Model'!C19+0)+'DCF Model'!D45/(1+$B10)^('DCF Model'!C19+1)+'DCF Model'!E45/(1+$B10)^('DCF Model'!C19+2)+'DCF Model'!F45/(1+$B10)^('DCF Model'!C19+3)+'DCF Model'!G45/(1+$B10)^('DCF Model'!C19+4)+'DCF Model'!G45*(1+F$6)/($B10-F$6)/(1+$B10)^('DCF Model'!C19+4)-'DCF Model'!C16)*1000000/'DCF Model'!C15,0),"")</f>
        <v>1795</v>
      </c>
      <c r="G10" s="37">
        <f>IFERROR(ROUND(('DCF Model'!C45/(1+$B10)^('DCF Model'!C19+0)+'DCF Model'!D45/(1+$B10)^('DCF Model'!C19+1)+'DCF Model'!E45/(1+$B10)^('DCF Model'!C19+2)+'DCF Model'!F45/(1+$B10)^('DCF Model'!C19+3)+'DCF Model'!G45/(1+$B10)^('DCF Model'!C19+4)+'DCF Model'!G45*(1+G$6)/($B10-G$6)/(1+$B10)^('DCF Model'!C19+4)-'DCF Model'!C16)*1000000/'DCF Model'!C15,0),"")</f>
        <v>1824</v>
      </c>
      <c r="H10" s="37">
        <f>IFERROR(ROUND(('DCF Model'!C45/(1+$B10)^('DCF Model'!C19+0)+'DCF Model'!D45/(1+$B10)^('DCF Model'!C19+1)+'DCF Model'!E45/(1+$B10)^('DCF Model'!C19+2)+'DCF Model'!F45/(1+$B10)^('DCF Model'!C19+3)+'DCF Model'!G45/(1+$B10)^('DCF Model'!C19+4)+'DCF Model'!G45*(1+H$6)/($B10-H$6)/(1+$B10)^('DCF Model'!C19+4)-'DCF Model'!C16)*1000000/'DCF Model'!C15,0),"")</f>
        <v>1855</v>
      </c>
      <c r="I10" s="37">
        <f>IFERROR(ROUND(('DCF Model'!C45/(1+$B10)^('DCF Model'!C19+0)+'DCF Model'!D45/(1+$B10)^('DCF Model'!C19+1)+'DCF Model'!E45/(1+$B10)^('DCF Model'!C19+2)+'DCF Model'!F45/(1+$B10)^('DCF Model'!C19+3)+'DCF Model'!G45/(1+$B10)^('DCF Model'!C19+4)+'DCF Model'!G45*(1+I$6)/($B10-I$6)/(1+$B10)^('DCF Model'!C19+4)-'DCF Model'!C16)*1000000/'DCF Model'!C15,0),"")</f>
        <v>1887</v>
      </c>
    </row>
    <row r="11" spans="2:9" ht="13.5" x14ac:dyDescent="0.25">
      <c r="B11" s="39">
        <f>$C$3+0.005</f>
        <v>0.1137885</v>
      </c>
      <c r="C11" s="37">
        <f>IFERROR(ROUND(('DCF Model'!C45/(1+$B11)^('DCF Model'!C19+0)+'DCF Model'!D45/(1+$B11)^('DCF Model'!C19+1)+'DCF Model'!E45/(1+$B11)^('DCF Model'!C19+2)+'DCF Model'!F45/(1+$B11)^('DCF Model'!C19+3)+'DCF Model'!G45/(1+$B11)^('DCF Model'!C19+4)+'DCF Model'!G45*(1+C$6)/($B11-C$6)/(1+$B11)^('DCF Model'!C19+4)-'DCF Model'!C16)*1000000/'DCF Model'!C15,0),"")</f>
        <v>1645</v>
      </c>
      <c r="D11" s="37">
        <f>IFERROR(ROUND(('DCF Model'!C45/(1+$B11)^('DCF Model'!C19+0)+'DCF Model'!D45/(1+$B11)^('DCF Model'!C19+1)+'DCF Model'!E45/(1+$B11)^('DCF Model'!C19+2)+'DCF Model'!F45/(1+$B11)^('DCF Model'!C19+3)+'DCF Model'!G45/(1+$B11)^('DCF Model'!C19+4)+'DCF Model'!G45*(1+D$6)/($B11-D$6)/(1+$B11)^('DCF Model'!C19+4)-'DCF Model'!C16)*1000000/'DCF Model'!C15,0),"")</f>
        <v>1668</v>
      </c>
      <c r="E11" s="37">
        <f>IFERROR(ROUND(('DCF Model'!C45/(1+$B11)^('DCF Model'!C19+0)+'DCF Model'!D45/(1+$B11)^('DCF Model'!C19+1)+'DCF Model'!E45/(1+$B11)^('DCF Model'!C19+2)+'DCF Model'!F45/(1+$B11)^('DCF Model'!C19+3)+'DCF Model'!G45/(1+$B11)^('DCF Model'!C19+4)+'DCF Model'!G45*(1+E$6)/($B11-E$6)/(1+$B11)^('DCF Model'!C19+4)-'DCF Model'!C16)*1000000/'DCF Model'!C15,0),"")</f>
        <v>1691</v>
      </c>
      <c r="F11" s="37">
        <f>IFERROR(ROUND(('DCF Model'!C45/(1+$B11)^('DCF Model'!C19+0)+'DCF Model'!D45/(1+$B11)^('DCF Model'!C19+1)+'DCF Model'!E45/(1+$B11)^('DCF Model'!C19+2)+'DCF Model'!F45/(1+$B11)^('DCF Model'!C19+3)+'DCF Model'!G45/(1+$B11)^('DCF Model'!C19+4)+'DCF Model'!G45*(1+F$6)/($B11-F$6)/(1+$B11)^('DCF Model'!C19+4)-'DCF Model'!C16)*1000000/'DCF Model'!C15,0),"")</f>
        <v>1716</v>
      </c>
      <c r="G11" s="37">
        <f>IFERROR(ROUND(('DCF Model'!C45/(1+$B11)^('DCF Model'!C19+0)+'DCF Model'!D45/(1+$B11)^('DCF Model'!C19+1)+'DCF Model'!E45/(1+$B11)^('DCF Model'!C19+2)+'DCF Model'!F45/(1+$B11)^('DCF Model'!C19+3)+'DCF Model'!G45/(1+$B11)^('DCF Model'!C19+4)+'DCF Model'!G45*(1+G$6)/($B11-G$6)/(1+$B11)^('DCF Model'!C19+4)-'DCF Model'!C16)*1000000/'DCF Model'!C15,0),"")</f>
        <v>1742</v>
      </c>
      <c r="H11" s="37">
        <f>IFERROR(ROUND(('DCF Model'!C45/(1+$B11)^('DCF Model'!C19+0)+'DCF Model'!D45/(1+$B11)^('DCF Model'!C19+1)+'DCF Model'!E45/(1+$B11)^('DCF Model'!C19+2)+'DCF Model'!F45/(1+$B11)^('DCF Model'!C19+3)+'DCF Model'!G45/(1+$B11)^('DCF Model'!C19+4)+'DCF Model'!G45*(1+H$6)/($B11-H$6)/(1+$B11)^('DCF Model'!C19+4)-'DCF Model'!C16)*1000000/'DCF Model'!C15,0),"")</f>
        <v>1769</v>
      </c>
      <c r="I11" s="37">
        <f>IFERROR(ROUND(('DCF Model'!C45/(1+$B11)^('DCF Model'!C19+0)+'DCF Model'!D45/(1+$B11)^('DCF Model'!C19+1)+'DCF Model'!E45/(1+$B11)^('DCF Model'!C19+2)+'DCF Model'!F45/(1+$B11)^('DCF Model'!C19+3)+'DCF Model'!G45/(1+$B11)^('DCF Model'!C19+4)+'DCF Model'!G45*(1+I$6)/($B11-I$6)/(1+$B11)^('DCF Model'!C19+4)-'DCF Model'!C16)*1000000/'DCF Model'!C15,0),"")</f>
        <v>1798</v>
      </c>
    </row>
    <row r="12" spans="2:9" ht="13.5" x14ac:dyDescent="0.25">
      <c r="B12" s="39">
        <f>$C$3+0.01</f>
        <v>0.11878849999999999</v>
      </c>
      <c r="C12" s="37">
        <f>IFERROR(ROUND(('DCF Model'!C45/(1+$B12)^('DCF Model'!C19+0)+'DCF Model'!D45/(1+$B12)^('DCF Model'!C19+1)+'DCF Model'!E45/(1+$B12)^('DCF Model'!C19+2)+'DCF Model'!F45/(1+$B12)^('DCF Model'!C19+3)+'DCF Model'!G45/(1+$B12)^('DCF Model'!C19+4)+'DCF Model'!G45*(1+C$6)/($B12-C$6)/(1+$B12)^('DCF Model'!C19+4)-'DCF Model'!C16)*1000000/'DCF Model'!C15,0),"")</f>
        <v>1581</v>
      </c>
      <c r="D12" s="37">
        <f>IFERROR(ROUND(('DCF Model'!C45/(1+$B12)^('DCF Model'!C19+0)+'DCF Model'!D45/(1+$B12)^('DCF Model'!C19+1)+'DCF Model'!E45/(1+$B12)^('DCF Model'!C19+2)+'DCF Model'!F45/(1+$B12)^('DCF Model'!C19+3)+'DCF Model'!G45/(1+$B12)^('DCF Model'!C19+4)+'DCF Model'!G45*(1+D$6)/($B12-D$6)/(1+$B12)^('DCF Model'!C19+4)-'DCF Model'!C16)*1000000/'DCF Model'!C15,0),"")</f>
        <v>1602</v>
      </c>
      <c r="E12" s="37">
        <f>IFERROR(ROUND(('DCF Model'!C45/(1+$B12)^('DCF Model'!C19+0)+'DCF Model'!D45/(1+$B12)^('DCF Model'!C19+1)+'DCF Model'!E45/(1+$B12)^('DCF Model'!C19+2)+'DCF Model'!F45/(1+$B12)^('DCF Model'!C19+3)+'DCF Model'!G45/(1+$B12)^('DCF Model'!C19+4)+'DCF Model'!G45*(1+E$6)/($B12-E$6)/(1+$B12)^('DCF Model'!C19+4)-'DCF Model'!C16)*1000000/'DCF Model'!C15,0),"")</f>
        <v>1623</v>
      </c>
      <c r="F12" s="37">
        <f>IFERROR(ROUND(('DCF Model'!C45/(1+$B12)^('DCF Model'!C19+0)+'DCF Model'!D45/(1+$B12)^('DCF Model'!C19+1)+'DCF Model'!E45/(1+$B12)^('DCF Model'!C19+2)+'DCF Model'!F45/(1+$B12)^('DCF Model'!C19+3)+'DCF Model'!G45/(1+$B12)^('DCF Model'!C19+4)+'DCF Model'!G45*(1+F$6)/($B12-F$6)/(1+$B12)^('DCF Model'!C19+4)-'DCF Model'!C16)*1000000/'DCF Model'!C15,0),"")</f>
        <v>1645</v>
      </c>
      <c r="G12" s="37">
        <f>IFERROR(ROUND(('DCF Model'!C45/(1+$B12)^('DCF Model'!C19+0)+'DCF Model'!D45/(1+$B12)^('DCF Model'!C19+1)+'DCF Model'!E45/(1+$B12)^('DCF Model'!C19+2)+'DCF Model'!F45/(1+$B12)^('DCF Model'!C19+3)+'DCF Model'!G45/(1+$B12)^('DCF Model'!C19+4)+'DCF Model'!G45*(1+G$6)/($B12-G$6)/(1+$B12)^('DCF Model'!C19+4)-'DCF Model'!C16)*1000000/'DCF Model'!C15,0),"")</f>
        <v>1668</v>
      </c>
      <c r="H12" s="37">
        <f>IFERROR(ROUND(('DCF Model'!C45/(1+$B12)^('DCF Model'!C19+0)+'DCF Model'!D45/(1+$B12)^('DCF Model'!C19+1)+'DCF Model'!E45/(1+$B12)^('DCF Model'!C19+2)+'DCF Model'!F45/(1+$B12)^('DCF Model'!C19+3)+'DCF Model'!G45/(1+$B12)^('DCF Model'!C19+4)+'DCF Model'!G45*(1+H$6)/($B12-H$6)/(1+$B12)^('DCF Model'!C19+4)-'DCF Model'!C16)*1000000/'DCF Model'!C15,0),"")</f>
        <v>1692</v>
      </c>
      <c r="I12" s="37">
        <f>IFERROR(ROUND(('DCF Model'!C45/(1+$B12)^('DCF Model'!C19+0)+'DCF Model'!D45/(1+$B12)^('DCF Model'!C19+1)+'DCF Model'!E45/(1+$B12)^('DCF Model'!C19+2)+'DCF Model'!F45/(1+$B12)^('DCF Model'!C19+3)+'DCF Model'!G45/(1+$B12)^('DCF Model'!C19+4)+'DCF Model'!G45*(1+I$6)/($B12-I$6)/(1+$B12)^('DCF Model'!C19+4)-'DCF Model'!C16)*1000000/'DCF Model'!C15,0),"")</f>
        <v>1718</v>
      </c>
    </row>
    <row r="13" spans="2:9" ht="13.5" x14ac:dyDescent="0.25">
      <c r="B13" s="39">
        <f>$C$3+0.015</f>
        <v>0.1237885</v>
      </c>
      <c r="C13" s="37">
        <f>IFERROR(ROUND(('DCF Model'!C45/(1+$B13)^('DCF Model'!C19+0)+'DCF Model'!D45/(1+$B13)^('DCF Model'!C19+1)+'DCF Model'!E45/(1+$B13)^('DCF Model'!C19+2)+'DCF Model'!F45/(1+$B13)^('DCF Model'!C19+3)+'DCF Model'!G45/(1+$B13)^('DCF Model'!C19+4)+'DCF Model'!G45*(1+C$6)/($B13-C$6)/(1+$B13)^('DCF Model'!C19+4)-'DCF Model'!C16)*1000000/'DCF Model'!C15,0),"")</f>
        <v>1522</v>
      </c>
      <c r="D13" s="37">
        <f>IFERROR(ROUND(('DCF Model'!C45/(1+$B13)^('DCF Model'!C19+0)+'DCF Model'!D45/(1+$B13)^('DCF Model'!C19+1)+'DCF Model'!E45/(1+$B13)^('DCF Model'!C19+2)+'DCF Model'!F45/(1+$B13)^('DCF Model'!C19+3)+'DCF Model'!G45/(1+$B13)^('DCF Model'!C19+4)+'DCF Model'!G45*(1+D$6)/($B13-D$6)/(1+$B13)^('DCF Model'!C19+4)-'DCF Model'!C16)*1000000/'DCF Model'!C15,0),"")</f>
        <v>1541</v>
      </c>
      <c r="E13" s="37">
        <f>IFERROR(ROUND(('DCF Model'!C45/(1+$B13)^('DCF Model'!C19+0)+'DCF Model'!D45/(1+$B13)^('DCF Model'!C19+1)+'DCF Model'!E45/(1+$B13)^('DCF Model'!C19+2)+'DCF Model'!F45/(1+$B13)^('DCF Model'!C19+3)+'DCF Model'!G45/(1+$B13)^('DCF Model'!C19+4)+'DCF Model'!G45*(1+E$6)/($B13-E$6)/(1+$B13)^('DCF Model'!C19+4)-'DCF Model'!C16)*1000000/'DCF Model'!C15,0),"")</f>
        <v>1560</v>
      </c>
      <c r="F13" s="37">
        <f>IFERROR(ROUND(('DCF Model'!C45/(1+$B13)^('DCF Model'!C19+0)+'DCF Model'!D45/(1+$B13)^('DCF Model'!C19+1)+'DCF Model'!E45/(1+$B13)^('DCF Model'!C19+2)+'DCF Model'!F45/(1+$B13)^('DCF Model'!C19+3)+'DCF Model'!G45/(1+$B13)^('DCF Model'!C19+4)+'DCF Model'!G45*(1+F$6)/($B13-F$6)/(1+$B13)^('DCF Model'!C19+4)-'DCF Model'!C16)*1000000/'DCF Model'!C15,0),"")</f>
        <v>1580</v>
      </c>
      <c r="G13" s="37">
        <f>IFERROR(ROUND(('DCF Model'!C45/(1+$B13)^('DCF Model'!C19+0)+'DCF Model'!D45/(1+$B13)^('DCF Model'!C19+1)+'DCF Model'!E45/(1+$B13)^('DCF Model'!C19+2)+'DCF Model'!F45/(1+$B13)^('DCF Model'!C19+3)+'DCF Model'!G45/(1+$B13)^('DCF Model'!C19+4)+'DCF Model'!G45*(1+G$6)/($B13-G$6)/(1+$B13)^('DCF Model'!C19+4)-'DCF Model'!C16)*1000000/'DCF Model'!C15,0),"")</f>
        <v>1600</v>
      </c>
      <c r="H13" s="37">
        <f>IFERROR(ROUND(('DCF Model'!C45/(1+$B13)^('DCF Model'!C19+0)+'DCF Model'!D45/(1+$B13)^('DCF Model'!C19+1)+'DCF Model'!E45/(1+$B13)^('DCF Model'!C19+2)+'DCF Model'!F45/(1+$B13)^('DCF Model'!C19+3)+'DCF Model'!G45/(1+$B13)^('DCF Model'!C19+4)+'DCF Model'!G45*(1+H$6)/($B13-H$6)/(1+$B13)^('DCF Model'!C19+4)-'DCF Model'!C16)*1000000/'DCF Model'!C15,0),"")</f>
        <v>1622</v>
      </c>
      <c r="I13" s="37">
        <f>IFERROR(ROUND(('DCF Model'!C45/(1+$B13)^('DCF Model'!C19+0)+'DCF Model'!D45/(1+$B13)^('DCF Model'!C19+1)+'DCF Model'!E45/(1+$B13)^('DCF Model'!C19+2)+'DCF Model'!F45/(1+$B13)^('DCF Model'!C19+3)+'DCF Model'!G45/(1+$B13)^('DCF Model'!C19+4)+'DCF Model'!G45*(1+I$6)/($B13-I$6)/(1+$B13)^('DCF Model'!C19+4)-'DCF Model'!C16)*1000000/'DCF Model'!C15,0),"")</f>
        <v>1645</v>
      </c>
    </row>
    <row r="16" spans="2:9" ht="14" x14ac:dyDescent="0.3">
      <c r="B16" s="3" t="s">
        <v>236</v>
      </c>
    </row>
    <row r="17" spans="2:9" ht="14" x14ac:dyDescent="0.3">
      <c r="B17" s="40" t="s">
        <v>237</v>
      </c>
      <c r="C17" s="42">
        <f>$I$3-3</f>
        <v>3.8</v>
      </c>
      <c r="D17" s="42">
        <f>$I$3-2</f>
        <v>4.8</v>
      </c>
      <c r="E17" s="42">
        <f>$I$3-1</f>
        <v>5.8</v>
      </c>
      <c r="F17" s="42">
        <f>$I$3</f>
        <v>6.8</v>
      </c>
      <c r="G17" s="42">
        <f>$I$3+1</f>
        <v>7.8</v>
      </c>
      <c r="H17" s="42">
        <f>$I$3+2</f>
        <v>8.8000000000000007</v>
      </c>
      <c r="I17" s="42">
        <f>$I$3+3</f>
        <v>9.8000000000000007</v>
      </c>
    </row>
    <row r="18" spans="2:9" ht="13.5" x14ac:dyDescent="0.25">
      <c r="B18" s="39">
        <f>$C$3-0.015</f>
        <v>9.3788499999999997E-2</v>
      </c>
      <c r="C18" s="37">
        <f>IFERROR(ROUND(('DCF Model'!C45/(1+$B18)^('DCF Model'!C19+0)+'DCF Model'!D45/(1+$B18)^('DCF Model'!C19+1)+'DCF Model'!E45/(1+$B18)^('DCF Model'!C19+2)+'DCF Model'!F45/(1+$B18)^('DCF Model'!C19+3)+'DCF Model'!G45/(1+$B18)^('DCF Model'!C19+4)+('DCF Model'!G39+'DCF Model'!G42)*C$17/(1+$B18)^('DCF Model'!C19+4)-'DCF Model'!C16)*1000000/'DCF Model'!C15,0),"")</f>
        <v>1840</v>
      </c>
      <c r="D18" s="37">
        <f>IFERROR(ROUND(('DCF Model'!C45/(1+$B18)^('DCF Model'!C19+0)+'DCF Model'!D45/(1+$B18)^('DCF Model'!C19+1)+'DCF Model'!E45/(1+$B18)^('DCF Model'!C19+2)+'DCF Model'!F45/(1+$B18)^('DCF Model'!C19+3)+'DCF Model'!G45/(1+$B18)^('DCF Model'!C19+4)+('DCF Model'!G39+'DCF Model'!G42)*D$17/(1+$B18)^('DCF Model'!C19+4)-'DCF Model'!C16)*1000000/'DCF Model'!C15,0),"")</f>
        <v>2115</v>
      </c>
      <c r="E18" s="37">
        <f>IFERROR(ROUND(('DCF Model'!C45/(1+$B18)^('DCF Model'!C19+0)+'DCF Model'!D45/(1+$B18)^('DCF Model'!C19+1)+'DCF Model'!E45/(1+$B18)^('DCF Model'!C19+2)+'DCF Model'!F45/(1+$B18)^('DCF Model'!C19+3)+'DCF Model'!G45/(1+$B18)^('DCF Model'!C19+4)+('DCF Model'!G39+'DCF Model'!G42)*E$17/(1+$B18)^('DCF Model'!C19+4)-'DCF Model'!C16)*1000000/'DCF Model'!C15,0),"")</f>
        <v>2390</v>
      </c>
      <c r="F18" s="37">
        <f>IFERROR(ROUND(('DCF Model'!C45/(1+$B18)^('DCF Model'!C19+0)+'DCF Model'!D45/(1+$B18)^('DCF Model'!C19+1)+'DCF Model'!E45/(1+$B18)^('DCF Model'!C19+2)+'DCF Model'!F45/(1+$B18)^('DCF Model'!C19+3)+'DCF Model'!G45/(1+$B18)^('DCF Model'!C19+4)+('DCF Model'!G39+'DCF Model'!G42)*F$17/(1+$B18)^('DCF Model'!C19+4)-'DCF Model'!C16)*1000000/'DCF Model'!C15,0),"")</f>
        <v>2666</v>
      </c>
      <c r="G18" s="37">
        <f>IFERROR(ROUND(('DCF Model'!C45/(1+$B18)^('DCF Model'!C19+0)+'DCF Model'!D45/(1+$B18)^('DCF Model'!C19+1)+'DCF Model'!E45/(1+$B18)^('DCF Model'!C19+2)+'DCF Model'!F45/(1+$B18)^('DCF Model'!C19+3)+'DCF Model'!G45/(1+$B18)^('DCF Model'!C19+4)+('DCF Model'!G39+'DCF Model'!G42)*G$17/(1+$B18)^('DCF Model'!C19+4)-'DCF Model'!C16)*1000000/'DCF Model'!C15,0),"")</f>
        <v>2941</v>
      </c>
      <c r="H18" s="37">
        <f>IFERROR(ROUND(('DCF Model'!C45/(1+$B18)^('DCF Model'!C19+0)+'DCF Model'!D45/(1+$B18)^('DCF Model'!C19+1)+'DCF Model'!E45/(1+$B18)^('DCF Model'!C19+2)+'DCF Model'!F45/(1+$B18)^('DCF Model'!C19+3)+'DCF Model'!G45/(1+$B18)^('DCF Model'!C19+4)+('DCF Model'!G39+'DCF Model'!G42)*H$17/(1+$B18)^('DCF Model'!C19+4)-'DCF Model'!C16)*1000000/'DCF Model'!C15,0),"")</f>
        <v>3216</v>
      </c>
      <c r="I18" s="37">
        <f>IFERROR(ROUND(('DCF Model'!C45/(1+$B18)^('DCF Model'!C19+0)+'DCF Model'!D45/(1+$B18)^('DCF Model'!C19+1)+'DCF Model'!E45/(1+$B18)^('DCF Model'!C19+2)+'DCF Model'!F45/(1+$B18)^('DCF Model'!C19+3)+'DCF Model'!G45/(1+$B18)^('DCF Model'!C19+4)+('DCF Model'!G39+'DCF Model'!G42)*I$17/(1+$B18)^('DCF Model'!C19+4)-'DCF Model'!C16)*1000000/'DCF Model'!C15,0),"")</f>
        <v>3491</v>
      </c>
    </row>
    <row r="19" spans="2:9" ht="13.5" x14ac:dyDescent="0.25">
      <c r="B19" s="39">
        <f>$C$3-0.01</f>
        <v>9.8788500000000001E-2</v>
      </c>
      <c r="C19" s="37">
        <f>IFERROR(ROUND(('DCF Model'!C45/(1+$B19)^('DCF Model'!C19+0)+'DCF Model'!D45/(1+$B19)^('DCF Model'!C19+1)+'DCF Model'!E45/(1+$B19)^('DCF Model'!C19+2)+'DCF Model'!F45/(1+$B19)^('DCF Model'!C19+3)+'DCF Model'!G45/(1+$B19)^('DCF Model'!C19+4)+('DCF Model'!G39+'DCF Model'!G42)*C$17/(1+$B19)^('DCF Model'!C19+4)-'DCF Model'!C16)*1000000/'DCF Model'!C15,0),"")</f>
        <v>1808</v>
      </c>
      <c r="D19" s="37">
        <f>IFERROR(ROUND(('DCF Model'!C45/(1+$B19)^('DCF Model'!C19+0)+'DCF Model'!D45/(1+$B19)^('DCF Model'!C19+1)+'DCF Model'!E45/(1+$B19)^('DCF Model'!C19+2)+'DCF Model'!F45/(1+$B19)^('DCF Model'!C19+3)+'DCF Model'!G45/(1+$B19)^('DCF Model'!C19+4)+('DCF Model'!G39+'DCF Model'!G42)*D$17/(1+$B19)^('DCF Model'!C19+4)-'DCF Model'!C16)*1000000/'DCF Model'!C15,0),"")</f>
        <v>2077</v>
      </c>
      <c r="E19" s="37">
        <f>IFERROR(ROUND(('DCF Model'!C45/(1+$B19)^('DCF Model'!C19+0)+'DCF Model'!D45/(1+$B19)^('DCF Model'!C19+1)+'DCF Model'!E45/(1+$B19)^('DCF Model'!C19+2)+'DCF Model'!F45/(1+$B19)^('DCF Model'!C19+3)+'DCF Model'!G45/(1+$B19)^('DCF Model'!C19+4)+('DCF Model'!G39+'DCF Model'!G42)*E$17/(1+$B19)^('DCF Model'!C19+4)-'DCF Model'!C16)*1000000/'DCF Model'!C15,0),"")</f>
        <v>2346</v>
      </c>
      <c r="F19" s="37">
        <f>IFERROR(ROUND(('DCF Model'!C45/(1+$B19)^('DCF Model'!C19+0)+'DCF Model'!D45/(1+$B19)^('DCF Model'!C19+1)+'DCF Model'!E45/(1+$B19)^('DCF Model'!C19+2)+'DCF Model'!F45/(1+$B19)^('DCF Model'!C19+3)+'DCF Model'!G45/(1+$B19)^('DCF Model'!C19+4)+('DCF Model'!G39+'DCF Model'!G42)*F$17/(1+$B19)^('DCF Model'!C19+4)-'DCF Model'!C16)*1000000/'DCF Model'!C15,0),"")</f>
        <v>2615</v>
      </c>
      <c r="G19" s="37">
        <f>IFERROR(ROUND(('DCF Model'!C45/(1+$B19)^('DCF Model'!C19+0)+'DCF Model'!D45/(1+$B19)^('DCF Model'!C19+1)+'DCF Model'!E45/(1+$B19)^('DCF Model'!C19+2)+'DCF Model'!F45/(1+$B19)^('DCF Model'!C19+3)+'DCF Model'!G45/(1+$B19)^('DCF Model'!C19+4)+('DCF Model'!G39+'DCF Model'!G42)*G$17/(1+$B19)^('DCF Model'!C19+4)-'DCF Model'!C16)*1000000/'DCF Model'!C15,0),"")</f>
        <v>2884</v>
      </c>
      <c r="H19" s="37">
        <f>IFERROR(ROUND(('DCF Model'!C45/(1+$B19)^('DCF Model'!C19+0)+'DCF Model'!D45/(1+$B19)^('DCF Model'!C19+1)+'DCF Model'!E45/(1+$B19)^('DCF Model'!C19+2)+'DCF Model'!F45/(1+$B19)^('DCF Model'!C19+3)+'DCF Model'!G45/(1+$B19)^('DCF Model'!C19+4)+('DCF Model'!G39+'DCF Model'!G42)*H$17/(1+$B19)^('DCF Model'!C19+4)-'DCF Model'!C16)*1000000/'DCF Model'!C15,0),"")</f>
        <v>3153</v>
      </c>
      <c r="I19" s="37">
        <f>IFERROR(ROUND(('DCF Model'!C45/(1+$B19)^('DCF Model'!C19+0)+'DCF Model'!D45/(1+$B19)^('DCF Model'!C19+1)+'DCF Model'!E45/(1+$B19)^('DCF Model'!C19+2)+'DCF Model'!F45/(1+$B19)^('DCF Model'!C19+3)+'DCF Model'!G45/(1+$B19)^('DCF Model'!C19+4)+('DCF Model'!G39+'DCF Model'!G42)*I$17/(1+$B19)^('DCF Model'!C19+4)-'DCF Model'!C16)*1000000/'DCF Model'!C15,0),"")</f>
        <v>3422</v>
      </c>
    </row>
    <row r="20" spans="2:9" ht="13.5" x14ac:dyDescent="0.25">
      <c r="B20" s="39">
        <f>$C$3-0.005</f>
        <v>0.10378849999999999</v>
      </c>
      <c r="C20" s="37">
        <f>IFERROR(ROUND(('DCF Model'!C45/(1+$B20)^('DCF Model'!C19+0)+'DCF Model'!D45/(1+$B20)^('DCF Model'!C19+1)+'DCF Model'!E45/(1+$B20)^('DCF Model'!C19+2)+'DCF Model'!F45/(1+$B20)^('DCF Model'!C19+3)+'DCF Model'!G45/(1+$B20)^('DCF Model'!C19+4)+('DCF Model'!G39+'DCF Model'!G42)*C$17/(1+$B20)^('DCF Model'!C19+4)-'DCF Model'!C16)*1000000/'DCF Model'!C15,0),"")</f>
        <v>1777</v>
      </c>
      <c r="D20" s="37">
        <f>IFERROR(ROUND(('DCF Model'!C45/(1+$B20)^('DCF Model'!C19+0)+'DCF Model'!D45/(1+$B20)^('DCF Model'!C19+1)+'DCF Model'!E45/(1+$B20)^('DCF Model'!C19+2)+'DCF Model'!F45/(1+$B20)^('DCF Model'!C19+3)+'DCF Model'!G45/(1+$B20)^('DCF Model'!C19+4)+('DCF Model'!G39+'DCF Model'!G42)*D$17/(1+$B20)^('DCF Model'!C19+4)-'DCF Model'!C16)*1000000/'DCF Model'!C15,0),"")</f>
        <v>2040</v>
      </c>
      <c r="E20" s="37">
        <f>IFERROR(ROUND(('DCF Model'!C45/(1+$B20)^('DCF Model'!C19+0)+'DCF Model'!D45/(1+$B20)^('DCF Model'!C19+1)+'DCF Model'!E45/(1+$B20)^('DCF Model'!C19+2)+'DCF Model'!F45/(1+$B20)^('DCF Model'!C19+3)+'DCF Model'!G45/(1+$B20)^('DCF Model'!C19+4)+('DCF Model'!G39+'DCF Model'!G42)*E$17/(1+$B20)^('DCF Model'!C19+4)-'DCF Model'!C16)*1000000/'DCF Model'!C15,0),"")</f>
        <v>2303</v>
      </c>
      <c r="F20" s="37">
        <f>IFERROR(ROUND(('DCF Model'!C45/(1+$B20)^('DCF Model'!C19+0)+'DCF Model'!D45/(1+$B20)^('DCF Model'!C19+1)+'DCF Model'!E45/(1+$B20)^('DCF Model'!C19+2)+'DCF Model'!F45/(1+$B20)^('DCF Model'!C19+3)+'DCF Model'!G45/(1+$B20)^('DCF Model'!C19+4)+('DCF Model'!G39+'DCF Model'!G42)*F$17/(1+$B20)^('DCF Model'!C19+4)-'DCF Model'!C16)*1000000/'DCF Model'!C15,0),"")</f>
        <v>2566</v>
      </c>
      <c r="G20" s="37">
        <f>IFERROR(ROUND(('DCF Model'!C45/(1+$B20)^('DCF Model'!C19+0)+'DCF Model'!D45/(1+$B20)^('DCF Model'!C19+1)+'DCF Model'!E45/(1+$B20)^('DCF Model'!C19+2)+'DCF Model'!F45/(1+$B20)^('DCF Model'!C19+3)+'DCF Model'!G45/(1+$B20)^('DCF Model'!C19+4)+('DCF Model'!G39+'DCF Model'!G42)*G$17/(1+$B20)^('DCF Model'!C19+4)-'DCF Model'!C16)*1000000/'DCF Model'!C15,0),"")</f>
        <v>2829</v>
      </c>
      <c r="H20" s="37">
        <f>IFERROR(ROUND(('DCF Model'!C45/(1+$B20)^('DCF Model'!C19+0)+'DCF Model'!D45/(1+$B20)^('DCF Model'!C19+1)+'DCF Model'!E45/(1+$B20)^('DCF Model'!C19+2)+'DCF Model'!F45/(1+$B20)^('DCF Model'!C19+3)+'DCF Model'!G45/(1+$B20)^('DCF Model'!C19+4)+('DCF Model'!G39+'DCF Model'!G42)*H$17/(1+$B20)^('DCF Model'!C19+4)-'DCF Model'!C16)*1000000/'DCF Model'!C15,0),"")</f>
        <v>3092</v>
      </c>
      <c r="I20" s="37">
        <f>IFERROR(ROUND(('DCF Model'!C45/(1+$B20)^('DCF Model'!C19+0)+'DCF Model'!D45/(1+$B20)^('DCF Model'!C19+1)+'DCF Model'!E45/(1+$B20)^('DCF Model'!C19+2)+'DCF Model'!F45/(1+$B20)^('DCF Model'!C19+3)+'DCF Model'!G45/(1+$B20)^('DCF Model'!C19+4)+('DCF Model'!G39+'DCF Model'!G42)*I$17/(1+$B20)^('DCF Model'!C19+4)-'DCF Model'!C16)*1000000/'DCF Model'!C15,0),"")</f>
        <v>3355</v>
      </c>
    </row>
    <row r="21" spans="2:9" ht="13.5" x14ac:dyDescent="0.25">
      <c r="B21" s="39">
        <f>$C$3</f>
        <v>0.1087885</v>
      </c>
      <c r="C21" s="37">
        <f>IFERROR(ROUND(('DCF Model'!C45/(1+$B21)^('DCF Model'!C19+0)+'DCF Model'!D45/(1+$B21)^('DCF Model'!C19+1)+'DCF Model'!E45/(1+$B21)^('DCF Model'!C19+2)+'DCF Model'!F45/(1+$B21)^('DCF Model'!C19+3)+'DCF Model'!G45/(1+$B21)^('DCF Model'!C19+4)+('DCF Model'!G39+'DCF Model'!G42)*C$17/(1+$B21)^('DCF Model'!C19+4)-'DCF Model'!C16)*1000000/'DCF Model'!C15,0),"")</f>
        <v>1747</v>
      </c>
      <c r="D21" s="37">
        <f>IFERROR(ROUND(('DCF Model'!C45/(1+$B21)^('DCF Model'!C19+0)+'DCF Model'!D45/(1+$B21)^('DCF Model'!C19+1)+'DCF Model'!E45/(1+$B21)^('DCF Model'!C19+2)+'DCF Model'!F45/(1+$B21)^('DCF Model'!C19+3)+'DCF Model'!G45/(1+$B21)^('DCF Model'!C19+4)+('DCF Model'!G39+'DCF Model'!G42)*D$17/(1+$B21)^('DCF Model'!C19+4)-'DCF Model'!C16)*1000000/'DCF Model'!C15,0),"")</f>
        <v>2004</v>
      </c>
      <c r="E21" s="37">
        <f>IFERROR(ROUND(('DCF Model'!C45/(1+$B21)^('DCF Model'!C19+0)+'DCF Model'!D45/(1+$B21)^('DCF Model'!C19+1)+'DCF Model'!E45/(1+$B21)^('DCF Model'!C19+2)+'DCF Model'!F45/(1+$B21)^('DCF Model'!C19+3)+'DCF Model'!G45/(1+$B21)^('DCF Model'!C19+4)+('DCF Model'!G39+'DCF Model'!G42)*E$17/(1+$B21)^('DCF Model'!C19+4)-'DCF Model'!C16)*1000000/'DCF Model'!C15,0),"")</f>
        <v>2261</v>
      </c>
      <c r="F21" s="37">
        <f>IFERROR(ROUND(('DCF Model'!C45/(1+$B21)^('DCF Model'!C19+0)+'DCF Model'!D45/(1+$B21)^('DCF Model'!C19+1)+'DCF Model'!E45/(1+$B21)^('DCF Model'!C19+2)+'DCF Model'!F45/(1+$B21)^('DCF Model'!C19+3)+'DCF Model'!G45/(1+$B21)^('DCF Model'!C19+4)+('DCF Model'!G39+'DCF Model'!G42)*F$17/(1+$B21)^('DCF Model'!C19+4)-'DCF Model'!C16)*1000000/'DCF Model'!C15,0),"")</f>
        <v>2519</v>
      </c>
      <c r="G21" s="37">
        <f>IFERROR(ROUND(('DCF Model'!C45/(1+$B21)^('DCF Model'!C19+0)+'DCF Model'!D45/(1+$B21)^('DCF Model'!C19+1)+'DCF Model'!E45/(1+$B21)^('DCF Model'!C19+2)+'DCF Model'!F45/(1+$B21)^('DCF Model'!C19+3)+'DCF Model'!G45/(1+$B21)^('DCF Model'!C19+4)+('DCF Model'!G39+'DCF Model'!G42)*G$17/(1+$B21)^('DCF Model'!C19+4)-'DCF Model'!C16)*1000000/'DCF Model'!C15,0),"")</f>
        <v>2776</v>
      </c>
      <c r="H21" s="37">
        <f>IFERROR(ROUND(('DCF Model'!C45/(1+$B21)^('DCF Model'!C19+0)+'DCF Model'!D45/(1+$B21)^('DCF Model'!C19+1)+'DCF Model'!E45/(1+$B21)^('DCF Model'!C19+2)+'DCF Model'!F45/(1+$B21)^('DCF Model'!C19+3)+'DCF Model'!G45/(1+$B21)^('DCF Model'!C19+4)+('DCF Model'!G39+'DCF Model'!G42)*H$17/(1+$B21)^('DCF Model'!C19+4)-'DCF Model'!C16)*1000000/'DCF Model'!C15,0),"")</f>
        <v>3033</v>
      </c>
      <c r="I21" s="37">
        <f>IFERROR(ROUND(('DCF Model'!C45/(1+$B21)^('DCF Model'!C19+0)+'DCF Model'!D45/(1+$B21)^('DCF Model'!C19+1)+'DCF Model'!E45/(1+$B21)^('DCF Model'!C19+2)+'DCF Model'!F45/(1+$B21)^('DCF Model'!C19+3)+'DCF Model'!G45/(1+$B21)^('DCF Model'!C19+4)+('DCF Model'!G39+'DCF Model'!G42)*I$17/(1+$B21)^('DCF Model'!C19+4)-'DCF Model'!C16)*1000000/'DCF Model'!C15,0),"")</f>
        <v>3290</v>
      </c>
    </row>
    <row r="22" spans="2:9" ht="13.5" x14ac:dyDescent="0.25">
      <c r="B22" s="39">
        <f>$C$3+0.005</f>
        <v>0.1137885</v>
      </c>
      <c r="C22" s="37">
        <f>IFERROR(ROUND(('DCF Model'!C45/(1+$B22)^('DCF Model'!C19+0)+'DCF Model'!D45/(1+$B22)^('DCF Model'!C19+1)+'DCF Model'!E45/(1+$B22)^('DCF Model'!C19+2)+'DCF Model'!F45/(1+$B22)^('DCF Model'!C19+3)+'DCF Model'!G45/(1+$B22)^('DCF Model'!C19+4)+('DCF Model'!G39+'DCF Model'!G42)*C$17/(1+$B22)^('DCF Model'!C19+4)-'DCF Model'!C16)*1000000/'DCF Model'!C15,0),"")</f>
        <v>1718</v>
      </c>
      <c r="D22" s="37">
        <f>IFERROR(ROUND(('DCF Model'!C45/(1+$B22)^('DCF Model'!C19+0)+'DCF Model'!D45/(1+$B22)^('DCF Model'!C19+1)+'DCF Model'!E45/(1+$B22)^('DCF Model'!C19+2)+'DCF Model'!F45/(1+$B22)^('DCF Model'!C19+3)+'DCF Model'!G45/(1+$B22)^('DCF Model'!C19+4)+('DCF Model'!G39+'DCF Model'!G42)*D$17/(1+$B22)^('DCF Model'!C19+4)-'DCF Model'!C16)*1000000/'DCF Model'!C15,0),"")</f>
        <v>1969</v>
      </c>
      <c r="E22" s="37">
        <f>IFERROR(ROUND(('DCF Model'!C45/(1+$B22)^('DCF Model'!C19+0)+'DCF Model'!D45/(1+$B22)^('DCF Model'!C19+1)+'DCF Model'!E45/(1+$B22)^('DCF Model'!C19+2)+'DCF Model'!F45/(1+$B22)^('DCF Model'!C19+3)+'DCF Model'!G45/(1+$B22)^('DCF Model'!C19+4)+('DCF Model'!G39+'DCF Model'!G42)*E$17/(1+$B22)^('DCF Model'!C19+4)-'DCF Model'!C16)*1000000/'DCF Model'!C15,0),"")</f>
        <v>2221</v>
      </c>
      <c r="F22" s="37">
        <f>IFERROR(ROUND(('DCF Model'!C45/(1+$B22)^('DCF Model'!C19+0)+'DCF Model'!D45/(1+$B22)^('DCF Model'!C19+1)+'DCF Model'!E45/(1+$B22)^('DCF Model'!C19+2)+'DCF Model'!F45/(1+$B22)^('DCF Model'!C19+3)+'DCF Model'!G45/(1+$B22)^('DCF Model'!C19+4)+('DCF Model'!G39+'DCF Model'!G42)*F$17/(1+$B22)^('DCF Model'!C19+4)-'DCF Model'!C16)*1000000/'DCF Model'!C15,0),"")</f>
        <v>2472</v>
      </c>
      <c r="G22" s="37">
        <f>IFERROR(ROUND(('DCF Model'!C45/(1+$B22)^('DCF Model'!C19+0)+'DCF Model'!D45/(1+$B22)^('DCF Model'!C19+1)+'DCF Model'!E45/(1+$B22)^('DCF Model'!C19+2)+'DCF Model'!F45/(1+$B22)^('DCF Model'!C19+3)+'DCF Model'!G45/(1+$B22)^('DCF Model'!C19+4)+('DCF Model'!G39+'DCF Model'!G42)*G$17/(1+$B22)^('DCF Model'!C19+4)-'DCF Model'!C16)*1000000/'DCF Model'!C15,0),"")</f>
        <v>2724</v>
      </c>
      <c r="H22" s="37">
        <f>IFERROR(ROUND(('DCF Model'!C45/(1+$B22)^('DCF Model'!C19+0)+'DCF Model'!D45/(1+$B22)^('DCF Model'!C19+1)+'DCF Model'!E45/(1+$B22)^('DCF Model'!C19+2)+'DCF Model'!F45/(1+$B22)^('DCF Model'!C19+3)+'DCF Model'!G45/(1+$B22)^('DCF Model'!C19+4)+('DCF Model'!G39+'DCF Model'!G42)*H$17/(1+$B22)^('DCF Model'!C19+4)-'DCF Model'!C16)*1000000/'DCF Model'!C15,0),"")</f>
        <v>2975</v>
      </c>
      <c r="I22" s="37">
        <f>IFERROR(ROUND(('DCF Model'!C45/(1+$B22)^('DCF Model'!C19+0)+'DCF Model'!D45/(1+$B22)^('DCF Model'!C19+1)+'DCF Model'!E45/(1+$B22)^('DCF Model'!C19+2)+'DCF Model'!F45/(1+$B22)^('DCF Model'!C19+3)+'DCF Model'!G45/(1+$B22)^('DCF Model'!C19+4)+('DCF Model'!G39+'DCF Model'!G42)*I$17/(1+$B22)^('DCF Model'!C19+4)-'DCF Model'!C16)*1000000/'DCF Model'!C15,0),"")</f>
        <v>3226</v>
      </c>
    </row>
    <row r="23" spans="2:9" ht="13.5" x14ac:dyDescent="0.25">
      <c r="B23" s="39">
        <f>$C$3+0.01</f>
        <v>0.11878849999999999</v>
      </c>
      <c r="C23" s="37">
        <f>IFERROR(ROUND(('DCF Model'!C45/(1+$B23)^('DCF Model'!C19+0)+'DCF Model'!D45/(1+$B23)^('DCF Model'!C19+1)+'DCF Model'!E45/(1+$B23)^('DCF Model'!C19+2)+'DCF Model'!F45/(1+$B23)^('DCF Model'!C19+3)+'DCF Model'!G45/(1+$B23)^('DCF Model'!C19+4)+('DCF Model'!G39+'DCF Model'!G42)*C$17/(1+$B23)^('DCF Model'!C19+4)-'DCF Model'!C16)*1000000/'DCF Model'!C15,0),"")</f>
        <v>1689</v>
      </c>
      <c r="D23" s="37">
        <f>IFERROR(ROUND(('DCF Model'!C45/(1+$B23)^('DCF Model'!C19+0)+'DCF Model'!D45/(1+$B23)^('DCF Model'!C19+1)+'DCF Model'!E45/(1+$B23)^('DCF Model'!C19+2)+'DCF Model'!F45/(1+$B23)^('DCF Model'!C19+3)+'DCF Model'!G45/(1+$B23)^('DCF Model'!C19+4)+('DCF Model'!G39+'DCF Model'!G42)*D$17/(1+$B23)^('DCF Model'!C19+4)-'DCF Model'!C16)*1000000/'DCF Model'!C15,0),"")</f>
        <v>1935</v>
      </c>
      <c r="E23" s="37">
        <f>IFERROR(ROUND(('DCF Model'!C45/(1+$B23)^('DCF Model'!C19+0)+'DCF Model'!D45/(1+$B23)^('DCF Model'!C19+1)+'DCF Model'!E45/(1+$B23)^('DCF Model'!C19+2)+'DCF Model'!F45/(1+$B23)^('DCF Model'!C19+3)+'DCF Model'!G45/(1+$B23)^('DCF Model'!C19+4)+('DCF Model'!G39+'DCF Model'!G42)*E$17/(1+$B23)^('DCF Model'!C19+4)-'DCF Model'!C16)*1000000/'DCF Model'!C15,0),"")</f>
        <v>2181</v>
      </c>
      <c r="F23" s="37">
        <f>IFERROR(ROUND(('DCF Model'!C45/(1+$B23)^('DCF Model'!C19+0)+'DCF Model'!D45/(1+$B23)^('DCF Model'!C19+1)+'DCF Model'!E45/(1+$B23)^('DCF Model'!C19+2)+'DCF Model'!F45/(1+$B23)^('DCF Model'!C19+3)+'DCF Model'!G45/(1+$B23)^('DCF Model'!C19+4)+('DCF Model'!G39+'DCF Model'!G42)*F$17/(1+$B23)^('DCF Model'!C19+4)-'DCF Model'!C16)*1000000/'DCF Model'!C15,0),"")</f>
        <v>2427</v>
      </c>
      <c r="G23" s="37">
        <f>IFERROR(ROUND(('DCF Model'!C45/(1+$B23)^('DCF Model'!C19+0)+'DCF Model'!D45/(1+$B23)^('DCF Model'!C19+1)+'DCF Model'!E45/(1+$B23)^('DCF Model'!C19+2)+'DCF Model'!F45/(1+$B23)^('DCF Model'!C19+3)+'DCF Model'!G45/(1+$B23)^('DCF Model'!C19+4)+('DCF Model'!G39+'DCF Model'!G42)*G$17/(1+$B23)^('DCF Model'!C19+4)-'DCF Model'!C16)*1000000/'DCF Model'!C15,0),"")</f>
        <v>2673</v>
      </c>
      <c r="H23" s="37">
        <f>IFERROR(ROUND(('DCF Model'!C45/(1+$B23)^('DCF Model'!C19+0)+'DCF Model'!D45/(1+$B23)^('DCF Model'!C19+1)+'DCF Model'!E45/(1+$B23)^('DCF Model'!C19+2)+'DCF Model'!F45/(1+$B23)^('DCF Model'!C19+3)+'DCF Model'!G45/(1+$B23)^('DCF Model'!C19+4)+('DCF Model'!G39+'DCF Model'!G42)*H$17/(1+$B23)^('DCF Model'!C19+4)-'DCF Model'!C16)*1000000/'DCF Model'!C15,0),"")</f>
        <v>2918</v>
      </c>
      <c r="I23" s="37">
        <f>IFERROR(ROUND(('DCF Model'!C45/(1+$B23)^('DCF Model'!C19+0)+'DCF Model'!D45/(1+$B23)^('DCF Model'!C19+1)+'DCF Model'!E45/(1+$B23)^('DCF Model'!C19+2)+'DCF Model'!F45/(1+$B23)^('DCF Model'!C19+3)+'DCF Model'!G45/(1+$B23)^('DCF Model'!C19+4)+('DCF Model'!G39+'DCF Model'!G42)*I$17/(1+$B23)^('DCF Model'!C19+4)-'DCF Model'!C16)*1000000/'DCF Model'!C15,0),"")</f>
        <v>3164</v>
      </c>
    </row>
    <row r="24" spans="2:9" ht="13.5" x14ac:dyDescent="0.25">
      <c r="B24" s="39">
        <f>$C$3+0.015</f>
        <v>0.1237885</v>
      </c>
      <c r="C24" s="37">
        <f>IFERROR(ROUND(('DCF Model'!C45/(1+$B24)^('DCF Model'!C19+0)+'DCF Model'!D45/(1+$B24)^('DCF Model'!C19+1)+'DCF Model'!E45/(1+$B24)^('DCF Model'!C19+2)+'DCF Model'!F45/(1+$B24)^('DCF Model'!C19+3)+'DCF Model'!G45/(1+$B24)^('DCF Model'!C19+4)+('DCF Model'!G39+'DCF Model'!G42)*C$17/(1+$B24)^('DCF Model'!C19+4)-'DCF Model'!C16)*1000000/'DCF Model'!C15,0),"")</f>
        <v>1661</v>
      </c>
      <c r="D24" s="37">
        <f>IFERROR(ROUND(('DCF Model'!C45/(1+$B24)^('DCF Model'!C19+0)+'DCF Model'!D45/(1+$B24)^('DCF Model'!C19+1)+'DCF Model'!E45/(1+$B24)^('DCF Model'!C19+2)+'DCF Model'!F45/(1+$B24)^('DCF Model'!C19+3)+'DCF Model'!G45/(1+$B24)^('DCF Model'!C19+4)+('DCF Model'!G39+'DCF Model'!G42)*D$17/(1+$B24)^('DCF Model'!C19+4)-'DCF Model'!C16)*1000000/'DCF Model'!C15,0),"")</f>
        <v>1902</v>
      </c>
      <c r="E24" s="37">
        <f>IFERROR(ROUND(('DCF Model'!C45/(1+$B24)^('DCF Model'!C19+0)+'DCF Model'!D45/(1+$B24)^('DCF Model'!C19+1)+'DCF Model'!E45/(1+$B24)^('DCF Model'!C19+2)+'DCF Model'!F45/(1+$B24)^('DCF Model'!C19+3)+'DCF Model'!G45/(1+$B24)^('DCF Model'!C19+4)+('DCF Model'!G39+'DCF Model'!G42)*E$17/(1+$B24)^('DCF Model'!C19+4)-'DCF Model'!C16)*1000000/'DCF Model'!C15,0),"")</f>
        <v>2142</v>
      </c>
      <c r="F24" s="37">
        <f>IFERROR(ROUND(('DCF Model'!C45/(1+$B24)^('DCF Model'!C19+0)+'DCF Model'!D45/(1+$B24)^('DCF Model'!C19+1)+'DCF Model'!E45/(1+$B24)^('DCF Model'!C19+2)+'DCF Model'!F45/(1+$B24)^('DCF Model'!C19+3)+'DCF Model'!G45/(1+$B24)^('DCF Model'!C19+4)+('DCF Model'!G39+'DCF Model'!G42)*F$17/(1+$B24)^('DCF Model'!C19+4)-'DCF Model'!C16)*1000000/'DCF Model'!C15,0),"")</f>
        <v>2383</v>
      </c>
      <c r="G24" s="37">
        <f>IFERROR(ROUND(('DCF Model'!C45/(1+$B24)^('DCF Model'!C19+0)+'DCF Model'!D45/(1+$B24)^('DCF Model'!C19+1)+'DCF Model'!E45/(1+$B24)^('DCF Model'!C19+2)+'DCF Model'!F45/(1+$B24)^('DCF Model'!C19+3)+'DCF Model'!G45/(1+$B24)^('DCF Model'!C19+4)+('DCF Model'!G39+'DCF Model'!G42)*G$17/(1+$B24)^('DCF Model'!C19+4)-'DCF Model'!C16)*1000000/'DCF Model'!C15,0),"")</f>
        <v>2623</v>
      </c>
      <c r="H24" s="37">
        <f>IFERROR(ROUND(('DCF Model'!C45/(1+$B24)^('DCF Model'!C19+0)+'DCF Model'!D45/(1+$B24)^('DCF Model'!C19+1)+'DCF Model'!E45/(1+$B24)^('DCF Model'!C19+2)+'DCF Model'!F45/(1+$B24)^('DCF Model'!C19+3)+'DCF Model'!G45/(1+$B24)^('DCF Model'!C19+4)+('DCF Model'!G39+'DCF Model'!G42)*H$17/(1+$B24)^('DCF Model'!C19+4)-'DCF Model'!C16)*1000000/'DCF Model'!C15,0),"")</f>
        <v>2863</v>
      </c>
      <c r="I24" s="37">
        <f>IFERROR(ROUND(('DCF Model'!C45/(1+$B24)^('DCF Model'!C19+0)+'DCF Model'!D45/(1+$B24)^('DCF Model'!C19+1)+'DCF Model'!E45/(1+$B24)^('DCF Model'!C19+2)+'DCF Model'!F45/(1+$B24)^('DCF Model'!C19+3)+'DCF Model'!G45/(1+$B24)^('DCF Model'!C19+4)+('DCF Model'!G39+'DCF Model'!G42)*I$17/(1+$B24)^('DCF Model'!C19+4)-'DCF Model'!C16)*1000000/'DCF Model'!C15,0),"")</f>
        <v>3104</v>
      </c>
    </row>
    <row r="26" spans="2:9" ht="14" x14ac:dyDescent="0.3">
      <c r="B26" s="45" t="s">
        <v>238</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0"/>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239</v>
      </c>
    </row>
    <row r="4" spans="2:7" ht="14" x14ac:dyDescent="0.3">
      <c r="B4" s="10" t="s">
        <v>240</v>
      </c>
      <c r="C4" s="10" t="s">
        <v>241</v>
      </c>
      <c r="D4" s="10" t="s">
        <v>242</v>
      </c>
      <c r="E4" s="10" t="s">
        <v>243</v>
      </c>
      <c r="F4" s="10" t="s">
        <v>244</v>
      </c>
      <c r="G4" s="10" t="s">
        <v>245</v>
      </c>
    </row>
    <row r="5" spans="2:7" x14ac:dyDescent="0.2">
      <c r="B5" t="s">
        <v>246</v>
      </c>
      <c r="C5" t="s">
        <v>247</v>
      </c>
      <c r="D5" t="s">
        <v>248</v>
      </c>
      <c r="E5" t="s">
        <v>249</v>
      </c>
      <c r="F5" t="s">
        <v>247</v>
      </c>
      <c r="G5" t="s">
        <v>250</v>
      </c>
    </row>
    <row r="6" spans="2:7" ht="30" customHeight="1" x14ac:dyDescent="0.3">
      <c r="B6" t="s">
        <v>246</v>
      </c>
      <c r="C6" s="4" t="s">
        <v>251</v>
      </c>
      <c r="D6" t="s">
        <v>252</v>
      </c>
      <c r="E6" t="s">
        <v>253</v>
      </c>
      <c r="F6" t="s">
        <v>254</v>
      </c>
      <c r="G6" t="s">
        <v>255</v>
      </c>
    </row>
    <row r="12" spans="2:7" ht="14" x14ac:dyDescent="0.3">
      <c r="B12" s="8" t="s">
        <v>256</v>
      </c>
    </row>
    <row r="13" spans="2:7" ht="14" x14ac:dyDescent="0.3">
      <c r="B13" s="10" t="s">
        <v>257</v>
      </c>
      <c r="C13" s="10" t="s">
        <v>258</v>
      </c>
    </row>
    <row r="14" spans="2:7" ht="14" x14ac:dyDescent="0.3">
      <c r="B14" s="4" t="s">
        <v>259</v>
      </c>
      <c r="C14" t="s">
        <v>260</v>
      </c>
    </row>
    <row r="15" spans="2:7" ht="14" x14ac:dyDescent="0.3">
      <c r="B15" s="4" t="s">
        <v>261</v>
      </c>
      <c r="C15" t="s">
        <v>262</v>
      </c>
    </row>
    <row r="16" spans="2:7" ht="14" x14ac:dyDescent="0.3">
      <c r="B16" s="4" t="s">
        <v>263</v>
      </c>
      <c r="C16" t="s">
        <v>264</v>
      </c>
    </row>
    <row r="17" spans="2:3" ht="14" x14ac:dyDescent="0.3">
      <c r="B17" s="4" t="s">
        <v>265</v>
      </c>
      <c r="C17" t="s">
        <v>262</v>
      </c>
    </row>
    <row r="18" spans="2:3" ht="14" x14ac:dyDescent="0.3">
      <c r="B18" s="4" t="s">
        <v>266</v>
      </c>
      <c r="C18" t="s">
        <v>267</v>
      </c>
    </row>
    <row r="19" spans="2:3" ht="14" x14ac:dyDescent="0.3">
      <c r="B19" s="4" t="s">
        <v>268</v>
      </c>
      <c r="C19" t="s">
        <v>269</v>
      </c>
    </row>
    <row r="20" spans="2:3" ht="14" x14ac:dyDescent="0.3">
      <c r="B20" s="4" t="s">
        <v>270</v>
      </c>
      <c r="C20" t="s">
        <v>271</v>
      </c>
    </row>
    <row r="21" spans="2:3" ht="14" x14ac:dyDescent="0.3">
      <c r="B21" s="4" t="s">
        <v>272</v>
      </c>
      <c r="C21" t="s">
        <v>273</v>
      </c>
    </row>
    <row r="22" spans="2:3" ht="14" x14ac:dyDescent="0.3">
      <c r="B22" s="4" t="s">
        <v>274</v>
      </c>
      <c r="C22" t="s">
        <v>42</v>
      </c>
    </row>
    <row r="23" spans="2:3" ht="14" x14ac:dyDescent="0.3">
      <c r="B23" s="4" t="s">
        <v>275</v>
      </c>
      <c r="C23" t="s">
        <v>4</v>
      </c>
    </row>
    <row r="24" spans="2:3" ht="14" x14ac:dyDescent="0.3">
      <c r="B24" s="4" t="s">
        <v>276</v>
      </c>
      <c r="C24" t="s">
        <v>246</v>
      </c>
    </row>
    <row r="25" spans="2:3" ht="14" x14ac:dyDescent="0.3">
      <c r="B25" s="4" t="s">
        <v>277</v>
      </c>
      <c r="C25" t="s">
        <v>278</v>
      </c>
    </row>
    <row r="26" spans="2:3" ht="14" x14ac:dyDescent="0.3">
      <c r="B26" s="4" t="s">
        <v>279</v>
      </c>
      <c r="C26" t="s">
        <v>267</v>
      </c>
    </row>
    <row r="27" spans="2:3" ht="14" x14ac:dyDescent="0.3">
      <c r="B27" s="4" t="s">
        <v>280</v>
      </c>
      <c r="C27" t="s">
        <v>267</v>
      </c>
    </row>
    <row r="28" spans="2:3" ht="14" x14ac:dyDescent="0.3">
      <c r="B28" s="4" t="s">
        <v>281</v>
      </c>
      <c r="C28" t="s">
        <v>282</v>
      </c>
    </row>
    <row r="29" spans="2:3" ht="14" x14ac:dyDescent="0.3">
      <c r="B29" s="4" t="s">
        <v>283</v>
      </c>
      <c r="C29" t="s">
        <v>284</v>
      </c>
    </row>
    <row r="30" spans="2:3" ht="14" x14ac:dyDescent="0.3">
      <c r="B30" s="4" t="s">
        <v>285</v>
      </c>
      <c r="C30" t="s">
        <v>286</v>
      </c>
    </row>
    <row r="31" spans="2:3" ht="14" x14ac:dyDescent="0.3">
      <c r="B31" s="4" t="s">
        <v>287</v>
      </c>
      <c r="C31" t="s">
        <v>282</v>
      </c>
    </row>
    <row r="32" spans="2:3" ht="14" x14ac:dyDescent="0.3">
      <c r="B32" s="4" t="s">
        <v>288</v>
      </c>
      <c r="C32" t="s">
        <v>267</v>
      </c>
    </row>
    <row r="33" spans="2:3" ht="14" x14ac:dyDescent="0.3">
      <c r="B33" s="4" t="s">
        <v>289</v>
      </c>
      <c r="C33" t="s">
        <v>278</v>
      </c>
    </row>
    <row r="34" spans="2:3" ht="14" x14ac:dyDescent="0.3">
      <c r="B34" s="4" t="s">
        <v>290</v>
      </c>
      <c r="C34" t="s">
        <v>291</v>
      </c>
    </row>
    <row r="35" spans="2:3" ht="14" x14ac:dyDescent="0.3">
      <c r="B35" s="4" t="s">
        <v>292</v>
      </c>
      <c r="C35" t="s">
        <v>293</v>
      </c>
    </row>
    <row r="36" spans="2:3" ht="14" x14ac:dyDescent="0.3">
      <c r="B36" s="4" t="s">
        <v>294</v>
      </c>
      <c r="C36" t="s">
        <v>295</v>
      </c>
    </row>
    <row r="37" spans="2:3" ht="14" x14ac:dyDescent="0.3">
      <c r="B37" s="4" t="s">
        <v>296</v>
      </c>
      <c r="C37" t="s">
        <v>297</v>
      </c>
    </row>
    <row r="38" spans="2:3" ht="14" x14ac:dyDescent="0.3">
      <c r="B38" s="4" t="s">
        <v>298</v>
      </c>
      <c r="C38" t="s">
        <v>299</v>
      </c>
    </row>
    <row r="39" spans="2:3" ht="14" x14ac:dyDescent="0.3">
      <c r="B39" s="4" t="s">
        <v>300</v>
      </c>
      <c r="C39" t="s">
        <v>301</v>
      </c>
    </row>
    <row r="40" spans="2:3" ht="14" x14ac:dyDescent="0.3">
      <c r="B40" s="4" t="s">
        <v>302</v>
      </c>
      <c r="C40" t="s">
        <v>271</v>
      </c>
    </row>
    <row r="41" spans="2:3" ht="14" x14ac:dyDescent="0.3">
      <c r="B41" s="4" t="s">
        <v>303</v>
      </c>
      <c r="C41" t="s">
        <v>304</v>
      </c>
    </row>
    <row r="42" spans="2:3" ht="14" x14ac:dyDescent="0.3">
      <c r="B42" s="4" t="s">
        <v>305</v>
      </c>
      <c r="C42" t="s">
        <v>306</v>
      </c>
    </row>
    <row r="43" spans="2:3" ht="14" x14ac:dyDescent="0.3">
      <c r="B43" s="4" t="s">
        <v>307</v>
      </c>
      <c r="C43" t="s">
        <v>308</v>
      </c>
    </row>
    <row r="44" spans="2:3" ht="14" x14ac:dyDescent="0.3">
      <c r="B44" s="4" t="s">
        <v>309</v>
      </c>
      <c r="C44" t="s">
        <v>310</v>
      </c>
    </row>
    <row r="45" spans="2:3" ht="14" x14ac:dyDescent="0.3">
      <c r="B45" s="4" t="s">
        <v>311</v>
      </c>
      <c r="C45" t="s">
        <v>312</v>
      </c>
    </row>
    <row r="46" spans="2:3" ht="14" x14ac:dyDescent="0.3">
      <c r="B46" s="4" t="s">
        <v>313</v>
      </c>
      <c r="C46" t="s">
        <v>314</v>
      </c>
    </row>
    <row r="47" spans="2:3" ht="14" x14ac:dyDescent="0.3">
      <c r="B47" s="4" t="s">
        <v>315</v>
      </c>
      <c r="C47" t="s">
        <v>316</v>
      </c>
    </row>
    <row r="48" spans="2:3" ht="14" x14ac:dyDescent="0.3">
      <c r="B48" s="4" t="s">
        <v>317</v>
      </c>
      <c r="C48" t="s">
        <v>318</v>
      </c>
    </row>
    <row r="49" spans="2:3" ht="14" x14ac:dyDescent="0.3">
      <c r="B49" s="4" t="s">
        <v>319</v>
      </c>
      <c r="C49" t="s">
        <v>320</v>
      </c>
    </row>
    <row r="50" spans="2:3" ht="14" x14ac:dyDescent="0.3">
      <c r="B50" s="4" t="s">
        <v>321</v>
      </c>
      <c r="C50" t="s">
        <v>322</v>
      </c>
    </row>
    <row r="51" spans="2:3" ht="14" x14ac:dyDescent="0.3">
      <c r="B51" s="4" t="s">
        <v>323</v>
      </c>
      <c r="C51" t="s">
        <v>324</v>
      </c>
    </row>
    <row r="52" spans="2:3" ht="14" x14ac:dyDescent="0.3">
      <c r="B52" s="4" t="s">
        <v>325</v>
      </c>
      <c r="C52" t="s">
        <v>326</v>
      </c>
    </row>
    <row r="53" spans="2:3" ht="14" x14ac:dyDescent="0.3">
      <c r="B53" s="4" t="s">
        <v>327</v>
      </c>
      <c r="C53" t="s">
        <v>328</v>
      </c>
    </row>
    <row r="54" spans="2:3" ht="14" x14ac:dyDescent="0.3">
      <c r="B54" s="4" t="s">
        <v>329</v>
      </c>
      <c r="C54" t="s">
        <v>330</v>
      </c>
    </row>
    <row r="55" spans="2:3" ht="14" x14ac:dyDescent="0.3">
      <c r="B55" s="4" t="s">
        <v>331</v>
      </c>
      <c r="C55" t="s">
        <v>332</v>
      </c>
    </row>
    <row r="56" spans="2:3" ht="14" x14ac:dyDescent="0.3">
      <c r="B56" s="4" t="s">
        <v>333</v>
      </c>
      <c r="C56" t="s">
        <v>334</v>
      </c>
    </row>
    <row r="57" spans="2:3" ht="14" x14ac:dyDescent="0.3">
      <c r="B57" s="4" t="s">
        <v>335</v>
      </c>
      <c r="C57" t="s">
        <v>336</v>
      </c>
    </row>
    <row r="58" spans="2:3" ht="14" x14ac:dyDescent="0.3">
      <c r="B58" s="4" t="s">
        <v>337</v>
      </c>
      <c r="C58" t="s">
        <v>338</v>
      </c>
    </row>
    <row r="59" spans="2:3" ht="14" x14ac:dyDescent="0.3">
      <c r="B59" s="4" t="s">
        <v>339</v>
      </c>
      <c r="C59" t="s">
        <v>340</v>
      </c>
    </row>
    <row r="60" spans="2:3" ht="14" x14ac:dyDescent="0.3">
      <c r="B60" s="4" t="s">
        <v>341</v>
      </c>
      <c r="C60" t="s">
        <v>207</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2026-09-06T10:20:40Z</dcterms:created>
  <dcterms:modified xsi:type="dcterms:W3CDTF">2026-09-06T10:20:44Z</dcterms:modified>
</cp:coreProperties>
</file>