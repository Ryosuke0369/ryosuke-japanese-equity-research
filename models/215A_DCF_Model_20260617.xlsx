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A2601138-96C8-4544-BD64-FF8A6EA639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</sheets>
  <calcPr calcId="181029"/>
</workbook>
</file>

<file path=xl/calcChain.xml><?xml version="1.0" encoding="utf-8"?>
<calcChain xmlns="http://schemas.openxmlformats.org/spreadsheetml/2006/main">
  <c r="C23" i="3" l="1"/>
  <c r="C26" i="3" s="1"/>
  <c r="E17" i="6"/>
  <c r="D6" i="6"/>
  <c r="I3" i="6"/>
  <c r="I17" i="6" s="1"/>
  <c r="F3" i="6"/>
  <c r="H6" i="6" s="1"/>
  <c r="I17" i="5"/>
  <c r="G17" i="5"/>
  <c r="I16" i="5"/>
  <c r="G16" i="5"/>
  <c r="I15" i="5"/>
  <c r="G15" i="5"/>
  <c r="N9" i="5"/>
  <c r="L9" i="5"/>
  <c r="K9" i="5"/>
  <c r="E15" i="5" s="1"/>
  <c r="J9" i="5"/>
  <c r="N8" i="5"/>
  <c r="K8" i="5"/>
  <c r="J8" i="5"/>
  <c r="N7" i="5"/>
  <c r="L7" i="5"/>
  <c r="K7" i="5"/>
  <c r="J7" i="5"/>
  <c r="N6" i="5"/>
  <c r="L6" i="5"/>
  <c r="K6" i="5"/>
  <c r="J6" i="5"/>
  <c r="N5" i="5"/>
  <c r="H15" i="5" s="1"/>
  <c r="L5" i="5"/>
  <c r="F15" i="5" s="1"/>
  <c r="K5" i="5"/>
  <c r="E17" i="5" s="1"/>
  <c r="J5" i="5"/>
  <c r="D17" i="5" s="1"/>
  <c r="C16" i="4"/>
  <c r="C14" i="4"/>
  <c r="C18" i="4" s="1"/>
  <c r="C7" i="4"/>
  <c r="C6" i="4"/>
  <c r="C5" i="4"/>
  <c r="D27" i="3"/>
  <c r="H7" i="4" s="1"/>
  <c r="C25" i="3"/>
  <c r="C24" i="3"/>
  <c r="F28" i="2"/>
  <c r="E28" i="2"/>
  <c r="D28" i="2"/>
  <c r="C28" i="2"/>
  <c r="F23" i="2"/>
  <c r="E23" i="2"/>
  <c r="D23" i="2"/>
  <c r="C23" i="2"/>
  <c r="F22" i="2"/>
  <c r="E22" i="2"/>
  <c r="C22" i="2"/>
  <c r="F21" i="2"/>
  <c r="E21" i="2"/>
  <c r="D21" i="2"/>
  <c r="D22" i="2" s="1"/>
  <c r="C21" i="2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F9" i="2"/>
  <c r="D9" i="2"/>
  <c r="C9" i="2"/>
  <c r="F8" i="2"/>
  <c r="E8" i="2"/>
  <c r="E9" i="2" s="1"/>
  <c r="D8" i="2"/>
  <c r="C8" i="2"/>
  <c r="C3" i="6" l="1"/>
  <c r="C46" i="3"/>
  <c r="G46" i="3"/>
  <c r="F46" i="3"/>
  <c r="E46" i="3"/>
  <c r="D46" i="3"/>
  <c r="D30" i="3"/>
  <c r="G31" i="3"/>
  <c r="E5" i="4"/>
  <c r="G6" i="4"/>
  <c r="I6" i="6"/>
  <c r="E30" i="3"/>
  <c r="F5" i="4"/>
  <c r="H6" i="4"/>
  <c r="D16" i="5"/>
  <c r="C27" i="5" s="1"/>
  <c r="C18" i="1" s="1"/>
  <c r="D18" i="1" s="1"/>
  <c r="F17" i="5"/>
  <c r="C17" i="6"/>
  <c r="C32" i="3"/>
  <c r="F30" i="3"/>
  <c r="D32" i="3"/>
  <c r="G5" i="4"/>
  <c r="E16" i="5"/>
  <c r="C6" i="6"/>
  <c r="D17" i="6"/>
  <c r="G30" i="3"/>
  <c r="E32" i="3"/>
  <c r="H5" i="4"/>
  <c r="D7" i="4"/>
  <c r="D15" i="5"/>
  <c r="F16" i="5"/>
  <c r="C28" i="5" s="1"/>
  <c r="C19" i="1" s="1"/>
  <c r="D19" i="1" s="1"/>
  <c r="H17" i="5"/>
  <c r="E6" i="6"/>
  <c r="F17" i="6"/>
  <c r="C31" i="3"/>
  <c r="F32" i="3"/>
  <c r="E7" i="4"/>
  <c r="D31" i="3"/>
  <c r="G32" i="3"/>
  <c r="D6" i="4"/>
  <c r="F7" i="4"/>
  <c r="H16" i="5"/>
  <c r="F6" i="6"/>
  <c r="G17" i="6"/>
  <c r="E31" i="3"/>
  <c r="E6" i="4"/>
  <c r="G7" i="4"/>
  <c r="G6" i="6"/>
  <c r="H17" i="6"/>
  <c r="C30" i="3"/>
  <c r="C33" i="3" s="1"/>
  <c r="F31" i="3"/>
  <c r="D5" i="4"/>
  <c r="F6" i="4"/>
  <c r="D33" i="3" l="1"/>
  <c r="C42" i="3"/>
  <c r="C34" i="3"/>
  <c r="D10" i="4" s="1"/>
  <c r="C37" i="3"/>
  <c r="D9" i="4"/>
  <c r="D12" i="4" s="1"/>
  <c r="C43" i="3"/>
  <c r="C35" i="3"/>
  <c r="B13" i="6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D13" i="4" l="1"/>
  <c r="D14" i="4" s="1"/>
  <c r="D18" i="4" s="1"/>
  <c r="D19" i="4" s="1"/>
  <c r="C44" i="3" s="1"/>
  <c r="D15" i="4"/>
  <c r="D16" i="4" s="1"/>
  <c r="C38" i="3"/>
  <c r="C36" i="3"/>
  <c r="C39" i="3"/>
  <c r="D42" i="3"/>
  <c r="D34" i="3"/>
  <c r="E10" i="4" s="1"/>
  <c r="D43" i="3"/>
  <c r="D37" i="3"/>
  <c r="E9" i="4"/>
  <c r="E12" i="4" s="1"/>
  <c r="E33" i="3"/>
  <c r="E15" i="4" l="1"/>
  <c r="E16" i="4" s="1"/>
  <c r="E13" i="4"/>
  <c r="E42" i="3"/>
  <c r="E34" i="3"/>
  <c r="F10" i="4" s="1"/>
  <c r="E37" i="3"/>
  <c r="F33" i="3"/>
  <c r="F9" i="4"/>
  <c r="F12" i="4" s="1"/>
  <c r="E43" i="3"/>
  <c r="C40" i="3"/>
  <c r="C41" i="3" s="1"/>
  <c r="C45" i="3" s="1"/>
  <c r="D35" i="3"/>
  <c r="E14" i="4"/>
  <c r="E18" i="4" s="1"/>
  <c r="E19" i="4" s="1"/>
  <c r="D44" i="3" s="1"/>
  <c r="C47" i="3" l="1"/>
  <c r="D36" i="3"/>
  <c r="D39" i="3"/>
  <c r="D38" i="3"/>
  <c r="F42" i="3"/>
  <c r="F34" i="3"/>
  <c r="G10" i="4" s="1"/>
  <c r="F37" i="3"/>
  <c r="G9" i="4"/>
  <c r="G12" i="4" s="1"/>
  <c r="F43" i="3"/>
  <c r="G33" i="3"/>
  <c r="F15" i="4"/>
  <c r="F16" i="4" s="1"/>
  <c r="F13" i="4"/>
  <c r="F14" i="4" s="1"/>
  <c r="F18" i="4" s="1"/>
  <c r="F19" i="4" s="1"/>
  <c r="E44" i="3" s="1"/>
  <c r="E35" i="3"/>
  <c r="E36" i="3" l="1"/>
  <c r="E39" i="3"/>
  <c r="E38" i="3"/>
  <c r="G15" i="4"/>
  <c r="G16" i="4" s="1"/>
  <c r="G13" i="4"/>
  <c r="D40" i="3"/>
  <c r="D41" i="3" s="1"/>
  <c r="D45" i="3" s="1"/>
  <c r="G42" i="3"/>
  <c r="G34" i="3"/>
  <c r="H10" i="4" s="1"/>
  <c r="G37" i="3"/>
  <c r="H9" i="4"/>
  <c r="H12" i="4" s="1"/>
  <c r="G43" i="3"/>
  <c r="G35" i="3"/>
  <c r="F35" i="3"/>
  <c r="G14" i="4"/>
  <c r="G18" i="4" s="1"/>
  <c r="G19" i="4" s="1"/>
  <c r="F44" i="3" s="1"/>
  <c r="D47" i="3" l="1"/>
  <c r="F39" i="3"/>
  <c r="F38" i="3"/>
  <c r="F36" i="3"/>
  <c r="G36" i="3"/>
  <c r="G38" i="3"/>
  <c r="G39" i="3"/>
  <c r="H14" i="4"/>
  <c r="H18" i="4" s="1"/>
  <c r="H19" i="4" s="1"/>
  <c r="G44" i="3" s="1"/>
  <c r="E40" i="3"/>
  <c r="E41" i="3" s="1"/>
  <c r="E45" i="3" s="1"/>
  <c r="E47" i="3" s="1"/>
  <c r="H15" i="4"/>
  <c r="H16" i="4" s="1"/>
  <c r="H13" i="4"/>
  <c r="G40" i="3" l="1"/>
  <c r="G41" i="3" s="1"/>
  <c r="G45" i="3" s="1"/>
  <c r="C59" i="3"/>
  <c r="C60" i="3" s="1"/>
  <c r="C61" i="3" s="1"/>
  <c r="F40" i="3"/>
  <c r="F41" i="3" s="1"/>
  <c r="F45" i="3" s="1"/>
  <c r="F47" i="3" l="1"/>
  <c r="I7" i="6"/>
  <c r="H9" i="6"/>
  <c r="F23" i="6"/>
  <c r="E7" i="6"/>
  <c r="F8" i="6"/>
  <c r="C22" i="6"/>
  <c r="G22" i="6"/>
  <c r="I10" i="6"/>
  <c r="C11" i="6"/>
  <c r="G7" i="6"/>
  <c r="E10" i="6"/>
  <c r="F9" i="6"/>
  <c r="D19" i="6"/>
  <c r="E24" i="6"/>
  <c r="I22" i="6"/>
  <c r="E12" i="6"/>
  <c r="D7" i="6"/>
  <c r="E18" i="6"/>
  <c r="H22" i="6"/>
  <c r="D20" i="6"/>
  <c r="G23" i="6"/>
  <c r="G12" i="6"/>
  <c r="G11" i="6"/>
  <c r="F11" i="6"/>
  <c r="G21" i="6"/>
  <c r="G13" i="6"/>
  <c r="C18" i="6"/>
  <c r="H21" i="6"/>
  <c r="I23" i="6"/>
  <c r="D11" i="6"/>
  <c r="F24" i="6"/>
  <c r="H8" i="6"/>
  <c r="E9" i="6"/>
  <c r="D21" i="6"/>
  <c r="H18" i="6"/>
  <c r="C7" i="6"/>
  <c r="C20" i="6"/>
  <c r="I19" i="6"/>
  <c r="F19" i="6"/>
  <c r="H19" i="6"/>
  <c r="C8" i="6"/>
  <c r="E11" i="6"/>
  <c r="C21" i="6"/>
  <c r="D23" i="6"/>
  <c r="E13" i="6"/>
  <c r="E21" i="6"/>
  <c r="F10" i="6"/>
  <c r="H12" i="6"/>
  <c r="E20" i="6"/>
  <c r="C24" i="6"/>
  <c r="E8" i="6"/>
  <c r="F7" i="6"/>
  <c r="E19" i="6"/>
  <c r="G19" i="6"/>
  <c r="F22" i="6"/>
  <c r="I9" i="6"/>
  <c r="F13" i="6"/>
  <c r="I20" i="6"/>
  <c r="D9" i="6"/>
  <c r="D8" i="6"/>
  <c r="F18" i="6"/>
  <c r="F21" i="6"/>
  <c r="G9" i="6"/>
  <c r="F20" i="6"/>
  <c r="G20" i="6"/>
  <c r="H11" i="6"/>
  <c r="D22" i="6"/>
  <c r="D13" i="6"/>
  <c r="D18" i="6"/>
  <c r="I8" i="6"/>
  <c r="D10" i="6"/>
  <c r="D24" i="6"/>
  <c r="C10" i="6"/>
  <c r="G18" i="6"/>
  <c r="C19" i="6"/>
  <c r="H10" i="6"/>
  <c r="H24" i="6"/>
  <c r="H20" i="6"/>
  <c r="I11" i="6"/>
  <c r="G10" i="6"/>
  <c r="I13" i="6"/>
  <c r="G8" i="6"/>
  <c r="E22" i="6"/>
  <c r="C12" i="6"/>
  <c r="I21" i="6"/>
  <c r="H13" i="6"/>
  <c r="I12" i="6"/>
  <c r="E23" i="6"/>
  <c r="H23" i="6"/>
  <c r="C13" i="6"/>
  <c r="C23" i="6"/>
  <c r="C9" i="6"/>
  <c r="I24" i="6"/>
  <c r="I18" i="6"/>
  <c r="H7" i="6"/>
  <c r="G24" i="6"/>
  <c r="F12" i="6"/>
  <c r="D12" i="6"/>
  <c r="C51" i="3"/>
  <c r="C52" i="3" s="1"/>
  <c r="G47" i="3"/>
  <c r="C50" i="3" l="1"/>
  <c r="C58" i="3" l="1"/>
  <c r="C62" i="3" s="1"/>
  <c r="C63" i="3" s="1"/>
  <c r="C64" i="3" s="1"/>
  <c r="C17" i="1" s="1"/>
  <c r="D17" i="1" s="1"/>
  <c r="C53" i="3"/>
  <c r="C54" i="3" s="1"/>
  <c r="C55" i="3" s="1"/>
  <c r="C16" i="1" s="1"/>
  <c r="D16" i="1" l="1"/>
  <c r="C21" i="1"/>
  <c r="C10" i="1"/>
  <c r="C12" i="1" s="1"/>
  <c r="C11" i="1" s="1"/>
</calcChain>
</file>

<file path=xl/sharedStrings.xml><?xml version="1.0" encoding="utf-8"?>
<sst xmlns="http://schemas.openxmlformats.org/spreadsheetml/2006/main" count="243" uniqueCount="185">
  <si>
    <t>DISCLAIMER: This is a sample analysis for demonstration purposes only. It does not constitute investment advice.</t>
  </si>
  <si>
    <t>株式会社タイミー (215A)</t>
  </si>
  <si>
    <t>Equity Research Report</t>
  </si>
  <si>
    <t>Company</t>
  </si>
  <si>
    <t>株式会社タイミー</t>
  </si>
  <si>
    <t>Ticker</t>
  </si>
  <si>
    <t>215A (TSE)</t>
  </si>
  <si>
    <t>Sector</t>
  </si>
  <si>
    <t>N/A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</si>
  <si>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</si>
  <si>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</si>
  <si>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</si>
  <si>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</si>
  <si>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</si>
  <si>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</si>
  <si>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</si>
  <si>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</si>
  <si>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</si>
  <si>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</si>
  <si>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</si>
  <si>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</si>
  <si>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</si>
  <si>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</si>
  <si>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Category-leading spot-work platform: Timee is Japan's No.1 spot-work matching platform with first-mover network effects (workers x businesses two-sided liquidity)</t>
  </si>
  <si>
    <t>2. High-margin platform economics: gross margin ~92%, OP margin ~20%, strong operating leverage; FY2025/10 revenue 34,289mn (+27.6%), first full consolidated year</t>
  </si>
  <si>
    <t>3. Growth runway: new verticals (logistics, nursing-care/福祉) and SkimaWorks-type M&amp;A expand TAM; structural labor-shortage tailwind in Japan</t>
  </si>
  <si>
    <t>Key Risks</t>
  </si>
  <si>
    <t>1. Competition intensifying: Mercari Hello, LINE Skima-niwa, Recruit/Indeed entering spot-work; two-sided network advantage could erode</t>
  </si>
  <si>
    <t>2. Investment phase: company guides FY2026 as a 'shikomi (仕込み)' investment phase with intentional strategic spend, temporarily suppressing profit growth</t>
  </si>
  <si>
    <t>3. Fiscal-period change (Oct-end → Apr-end, 12m→6m irregular) makes short-term YoY comparison opaque; large short-term borrowings fund worker advances (立替金)</t>
  </si>
  <si>
    <t>株式会社タイミー - Historical Financials (JPY mn)</t>
  </si>
  <si>
    <t>FY2022/10(12m)</t>
  </si>
  <si>
    <t>FY2023/10(12m)</t>
  </si>
  <si>
    <t>FY2024/10(12m)</t>
  </si>
  <si>
    <t>FY2025/10(12m)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</si>
  <si>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</si>
  <si>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</si>
  <si>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</si>
  <si>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</si>
  <si>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</si>
  <si>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</si>
  <si>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</si>
  <si>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</si>
  <si>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</si>
  <si>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</si>
  <si>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</si>
  <si>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</si>
  <si>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</si>
  <si>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</si>
  <si>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</si>
  <si>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</si>
  <si>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</si>
  <si>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</si>
  <si>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</si>
  <si>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</si>
  <si>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</si>
  <si>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</si>
  <si>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</si>
  <si>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株式会社タイミー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</si>
  <si>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</si>
  <si>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</si>
  <si>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</si>
  <si>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</si>
  <si>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</si>
  <si>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</si>
  <si>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</si>
  <si>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</si>
  <si>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</si>
  <si>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</si>
  <si>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</si>
  <si>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</si>
  <si>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</si>
  <si>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</si>
  <si>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</si>
  <si>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</si>
  <si>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</si>
  <si>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</si>
  <si>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</si>
  <si>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</si>
  <si>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</si>
  <si>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</si>
  <si>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</si>
  <si>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</si>
  <si>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</si>
  <si>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</si>
  <si>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</si>
  <si>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</si>
  <si>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</si>
  <si>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</si>
  <si>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</si>
  <si>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</si>
  <si>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</si>
  <si>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</si>
  <si>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</si>
  <si>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</si>
  <si>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</si>
  <si>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</si>
  <si>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</si>
  <si>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</si>
  <si>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</si>
  <si>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</si>
  <si>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</si>
  <si>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</si>
  <si>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</si>
  <si>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</si>
  <si>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</si>
  <si>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</si>
  <si>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</si>
  <si>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</si>
  <si>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</si>
  <si>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</si>
  <si>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</si>
  <si>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</si>
  <si>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</si>
  <si>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</si>
  <si>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</si>
  <si>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</si>
  <si>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</si>
  <si>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</si>
  <si>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</si>
  <si>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</si>
  <si>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</si>
  <si>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株式会社タイミー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</si>
  <si>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</si>
  <si>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</si>
  <si>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</si>
  <si>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</si>
  <si>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</si>
  <si>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</si>
  <si>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</si>
  <si>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</si>
  <si>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</si>
  <si>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</si>
  <si>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</si>
  <si>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</si>
  <si>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</si>
  <si>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</si>
  <si>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</si>
  <si>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</si>
  <si>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</si>
  <si>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</si>
  <si>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</si>
  <si>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</si>
  <si>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</si>
  <si>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</si>
  <si>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</si>
  <si>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</si>
  <si>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</si>
  <si>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</si>
  <si>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</si>
  <si>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</si>
  <si>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</si>
  <si>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</si>
  <si>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</si>
  <si>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タイミー</t>
  </si>
  <si>
    <t>215A.T</t>
  </si>
  <si>
    <t>ビジョナル</t>
  </si>
  <si>
    <t>4194.T</t>
  </si>
  <si>
    <t>エス・エム・エス</t>
  </si>
  <si>
    <t>2175.T</t>
  </si>
  <si>
    <t>クラウドワークス</t>
  </si>
  <si>
    <t>3900.T</t>
  </si>
  <si>
    <t>ウォンテッドリー</t>
  </si>
  <si>
    <t>3991.T</t>
  </si>
  <si>
    <t>Statistics</t>
  </si>
  <si>
    <t>25th Percentile</t>
  </si>
  <si>
    <t>Median (50th)</t>
  </si>
  <si>
    <t>75th Percentile</t>
  </si>
  <si>
    <t>Implied Valuation for 株式会社タイミー</t>
  </si>
  <si>
    <t>株式会社タイミー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</si>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</sst>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5" fillId="0" borderId="6" xfId="0" applyFont="1" applyBorder="1" applyAlignment="1">
      <alignment horizontal="right"/>
    </xf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topLeftCell="A3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1" t="s">
        <v>0</v>
      </c>
      <c r="C1" s="40"/>
      <c r="D1" s="40"/>
      <c r="E1" s="40"/>
    </row>
    <row r="3" spans="2:5" ht="18" x14ac:dyDescent="0.4">
      <c r="B3" s="39" t="s">
        <v>1</v>
      </c>
      <c r="C3" s="40"/>
      <c r="D3" s="40"/>
    </row>
    <row r="4" spans="2:5" ht="14" x14ac:dyDescent="0.3">
      <c r="B4" s="2" t="s">
        <v>2</v>
      </c>
    </row>
    <row r="6" spans="2:5" ht="14" x14ac:dyDescent="0.3">
      <c r="B6" s="3" t="s">
        <v>3</v>
      </c>
      <c r="C6" t="s">
        <v>4</v>
      </c>
    </row>
    <row r="7" spans="2:5" ht="14" x14ac:dyDescent="0.3">
      <c r="B7" s="3" t="s">
        <v>5</v>
      </c>
      <c r="C7" t="s">
        <v>6</v>
      </c>
    </row>
    <row r="8" spans="2:5" ht="14" x14ac:dyDescent="0.3">
      <c r="B8" s="3" t="s">
        <v>7</v>
      </c>
      <c r="C8" t="s">
        <v>8</v>
      </c>
    </row>
    <row r="9" spans="2:5" ht="14" x14ac:dyDescent="0.3">
      <c r="B9" s="3" t="s">
        <v>9</v>
      </c>
      <c r="C9" s="4">
        <v>1459</v>
      </c>
    </row>
    <row r="10" spans="2:5" ht="14" x14ac:dyDescent="0.3">
      <c r="B10" s="3" t="s">
        <v>10</v>
      </c>
      <c r="C10" s="4">
        <f>ROUND(AVERAGE(C16:C19),0)</f>
        <v>1143</v>
      </c>
    </row>
    <row r="11" spans="2:5" ht="14" x14ac:dyDescent="0.3">
      <c r="B11" s="3" t="s">
        <v>11</v>
      </c>
      <c r="C11" s="5" t="str">
        <f>IF(C12&gt;0.15,"BUY",IF(C12&gt;0.05,"HOLD","SELL"))</f>
        <v>SELL</v>
      </c>
    </row>
    <row r="12" spans="2:5" ht="14" x14ac:dyDescent="0.3">
      <c r="B12" s="3" t="s">
        <v>12</v>
      </c>
      <c r="C12" s="6">
        <f>(C10-C9)/C9</f>
        <v>-0.21658670322138451</v>
      </c>
    </row>
    <row r="14" spans="2:5" ht="14" x14ac:dyDescent="0.3">
      <c r="B14" s="7" t="s">
        <v>13</v>
      </c>
      <c r="C14" s="8"/>
      <c r="D14" s="8"/>
    </row>
    <row r="15" spans="2:5" ht="14" x14ac:dyDescent="0.3">
      <c r="B15" s="9" t="s">
        <v>14</v>
      </c>
      <c r="C15" s="9" t="s">
        <v>15</v>
      </c>
      <c r="D15" s="9" t="s">
        <v>16</v>
      </c>
    </row>
    <row r="16" spans="2:5" ht="13.5" x14ac:dyDescent="0.25">
      <c r="B16" t="s">
        <v>17</v>
      </c>
      <c r="C16" s="10">
        <f>'DCF Model'!C55</f>
        <v>926</v>
      </c>
      <c r="D16" s="6">
        <f>(C16-C9)/C9</f>
        <v>-0.36531871144619604</v>
      </c>
    </row>
    <row r="17" spans="2:4" ht="13.5" x14ac:dyDescent="0.25">
      <c r="B17" t="s">
        <v>18</v>
      </c>
      <c r="C17" s="10">
        <f>'DCF Model'!C64</f>
        <v>1631</v>
      </c>
      <c r="D17" s="6">
        <f>(C17-C9)/C9</f>
        <v>0.11788896504455106</v>
      </c>
    </row>
    <row r="18" spans="2:4" ht="13.5" x14ac:dyDescent="0.25">
      <c r="B18" t="s">
        <v>19</v>
      </c>
      <c r="C18" s="10">
        <f>'Comps Analysis'!C27</f>
        <v>800</v>
      </c>
      <c r="D18" s="6">
        <f>IF(ISNUMBER(C18),(C18-C9)/C9,"N/A")</f>
        <v>-0.45167923235092527</v>
      </c>
    </row>
    <row r="19" spans="2:4" ht="13.5" x14ac:dyDescent="0.25">
      <c r="B19" t="s">
        <v>20</v>
      </c>
      <c r="C19" s="10">
        <f>'Comps Analysis'!C28</f>
        <v>1216</v>
      </c>
      <c r="D19" s="6">
        <f>IF(ISNUMBER(C19),(C19-C9)/C9,"N/A")</f>
        <v>-0.16655243317340646</v>
      </c>
    </row>
    <row r="21" spans="2:4" ht="14" x14ac:dyDescent="0.3">
      <c r="B21" s="3" t="s">
        <v>21</v>
      </c>
      <c r="C21" s="5" t="str">
        <f>MIN(C16:C19)&amp;" - "&amp;MAX(C16:C19)</f>
        <v>800 - 1631</v>
      </c>
    </row>
    <row r="23" spans="2:4" ht="14" x14ac:dyDescent="0.3">
      <c r="B23" s="7" t="s">
        <v>22</v>
      </c>
      <c r="C23" s="8"/>
      <c r="D23" s="8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7" t="s">
        <v>26</v>
      </c>
      <c r="C28" s="8"/>
      <c r="D28" s="8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28"/>
  <sheetViews>
    <sheetView topLeftCell="A15" workbookViewId="0">
      <selection activeCell="D34" sqref="D34"/>
    </sheetView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1" t="s">
        <v>30</v>
      </c>
    </row>
    <row r="4" spans="2:6" ht="14" x14ac:dyDescent="0.3">
      <c r="C4" s="9" t="s">
        <v>31</v>
      </c>
      <c r="D4" s="9" t="s">
        <v>32</v>
      </c>
      <c r="E4" s="9" t="s">
        <v>33</v>
      </c>
      <c r="F4" s="9" t="s">
        <v>34</v>
      </c>
    </row>
    <row r="5" spans="2:6" ht="14" x14ac:dyDescent="0.3">
      <c r="B5" s="2" t="s">
        <v>35</v>
      </c>
    </row>
    <row r="6" spans="2:6" ht="14" x14ac:dyDescent="0.3">
      <c r="B6" s="3" t="s">
        <v>36</v>
      </c>
      <c r="C6" s="4">
        <v>16144</v>
      </c>
      <c r="D6" s="4">
        <v>26880</v>
      </c>
      <c r="E6" s="4">
        <v>34289</v>
      </c>
      <c r="F6" s="4">
        <v>34289</v>
      </c>
    </row>
    <row r="7" spans="2:6" ht="14" x14ac:dyDescent="0.3">
      <c r="B7" s="3" t="s">
        <v>37</v>
      </c>
      <c r="C7" s="4">
        <v>672</v>
      </c>
      <c r="D7" s="4">
        <v>1274</v>
      </c>
      <c r="E7" s="4">
        <v>1912</v>
      </c>
      <c r="F7" s="4">
        <v>1912</v>
      </c>
    </row>
    <row r="8" spans="2:6" ht="14" x14ac:dyDescent="0.3">
      <c r="B8" s="3" t="s">
        <v>38</v>
      </c>
      <c r="C8" s="4">
        <f>C6-C7</f>
        <v>15472</v>
      </c>
      <c r="D8" s="4">
        <f>D6-D7</f>
        <v>25606</v>
      </c>
      <c r="E8" s="4">
        <f>E6-E7</f>
        <v>32377</v>
      </c>
      <c r="F8" s="4">
        <f>F6-F7</f>
        <v>32377</v>
      </c>
    </row>
    <row r="9" spans="2:6" ht="13.5" x14ac:dyDescent="0.25">
      <c r="B9" t="s">
        <v>39</v>
      </c>
      <c r="C9" s="6">
        <f>C8/C6</f>
        <v>0.95837462834489595</v>
      </c>
      <c r="D9" s="6">
        <f>D8/D6</f>
        <v>0.9526041666666667</v>
      </c>
      <c r="E9" s="6">
        <f>E8/E6</f>
        <v>0.94423867712677534</v>
      </c>
      <c r="F9" s="6">
        <f>F8/F6</f>
        <v>0.94423867712677534</v>
      </c>
    </row>
    <row r="10" spans="2:6" ht="14" x14ac:dyDescent="0.3">
      <c r="B10" s="3" t="s">
        <v>40</v>
      </c>
      <c r="C10" s="4">
        <v>13514</v>
      </c>
      <c r="D10" s="4">
        <v>21358</v>
      </c>
      <c r="E10" s="4">
        <v>25630</v>
      </c>
      <c r="F10" s="4">
        <v>25630</v>
      </c>
    </row>
    <row r="11" spans="2:6" ht="14" x14ac:dyDescent="0.3">
      <c r="B11" s="3" t="s">
        <v>41</v>
      </c>
      <c r="C11" s="4">
        <v>1957</v>
      </c>
      <c r="D11" s="4">
        <v>4247</v>
      </c>
      <c r="E11" s="4">
        <v>6747</v>
      </c>
      <c r="F11" s="4">
        <v>6747</v>
      </c>
    </row>
    <row r="12" spans="2:6" ht="14" x14ac:dyDescent="0.3">
      <c r="B12" s="3" t="s">
        <v>42</v>
      </c>
      <c r="C12" s="4">
        <v>1802</v>
      </c>
      <c r="D12" s="4">
        <v>2797</v>
      </c>
      <c r="E12" s="4">
        <v>5310</v>
      </c>
      <c r="F12" s="4">
        <v>5310</v>
      </c>
    </row>
    <row r="13" spans="2:6" ht="13.5" x14ac:dyDescent="0.25">
      <c r="B13" t="s">
        <v>43</v>
      </c>
      <c r="C13" s="6">
        <f>C11/C6</f>
        <v>0.1212215064420218</v>
      </c>
      <c r="D13" s="6">
        <f>D11/D6</f>
        <v>0.15799851190476191</v>
      </c>
      <c r="E13" s="6">
        <f>E11/E6</f>
        <v>0.19676864300504535</v>
      </c>
      <c r="F13" s="6">
        <f>F11/F6</f>
        <v>0.19676864300504535</v>
      </c>
    </row>
    <row r="14" spans="2:6" ht="13.5" x14ac:dyDescent="0.25">
      <c r="B14" t="s">
        <v>44</v>
      </c>
      <c r="C14" s="6">
        <f>C12/C6</f>
        <v>0.11162041625371655</v>
      </c>
      <c r="D14" s="6">
        <f>D12/D6</f>
        <v>0.10405505952380953</v>
      </c>
      <c r="E14" s="6">
        <f>E12/E6</f>
        <v>0.15486015923474</v>
      </c>
      <c r="F14" s="6">
        <f>F12/F6</f>
        <v>0.15486015923474</v>
      </c>
    </row>
    <row r="15" spans="2:6" ht="13.5" x14ac:dyDescent="0.25">
      <c r="B15" t="s">
        <v>45</v>
      </c>
      <c r="C15" t="s">
        <v>46</v>
      </c>
      <c r="D15" s="6">
        <f>(D6-C6)/C6</f>
        <v>0.6650148662041625</v>
      </c>
      <c r="E15" s="6">
        <f>(E6-D6)/D6</f>
        <v>0.27563244047619045</v>
      </c>
      <c r="F15" s="6">
        <f>(F6-E6)/E6</f>
        <v>0</v>
      </c>
    </row>
    <row r="16" spans="2:6" ht="13.5" x14ac:dyDescent="0.25">
      <c r="B16" t="s">
        <v>47</v>
      </c>
      <c r="C16" t="s">
        <v>46</v>
      </c>
      <c r="D16" s="6">
        <f>(D11-C11)/C11</f>
        <v>1.1701584057230454</v>
      </c>
      <c r="E16" s="6">
        <f>(E11-D11)/D11</f>
        <v>0.588650812338121</v>
      </c>
      <c r="F16" s="6">
        <f>(F11-E11)/E11</f>
        <v>0</v>
      </c>
    </row>
    <row r="18" spans="2:6" ht="14" x14ac:dyDescent="0.3">
      <c r="B18" s="2" t="s">
        <v>48</v>
      </c>
    </row>
    <row r="19" spans="2:6" ht="14" x14ac:dyDescent="0.3">
      <c r="B19" s="3" t="s">
        <v>49</v>
      </c>
      <c r="C19" s="4">
        <v>-749.23</v>
      </c>
      <c r="D19" s="4">
        <v>1183.6389999999999</v>
      </c>
      <c r="E19" s="4">
        <v>2674.7089999999998</v>
      </c>
      <c r="F19" s="4"/>
    </row>
    <row r="20" spans="2:6" ht="14" x14ac:dyDescent="0.3">
      <c r="B20" s="3" t="s">
        <v>50</v>
      </c>
      <c r="C20" s="4">
        <v>493</v>
      </c>
      <c r="D20" s="4">
        <v>138</v>
      </c>
      <c r="E20" s="4">
        <v>256</v>
      </c>
      <c r="F20" s="4">
        <v>256</v>
      </c>
    </row>
    <row r="21" spans="2:6" ht="14" x14ac:dyDescent="0.3">
      <c r="B21" s="3" t="s">
        <v>51</v>
      </c>
      <c r="C21" s="4">
        <f>C19-C20</f>
        <v>-1242.23</v>
      </c>
      <c r="D21" s="4">
        <f>D19-D20</f>
        <v>1045.6389999999999</v>
      </c>
      <c r="E21" s="4">
        <f>E19-E20</f>
        <v>2418.7089999999998</v>
      </c>
      <c r="F21" s="4">
        <f>F19-F20</f>
        <v>-256</v>
      </c>
    </row>
    <row r="22" spans="2:6" ht="13.5" x14ac:dyDescent="0.25">
      <c r="B22" t="s">
        <v>52</v>
      </c>
      <c r="C22" s="6">
        <f>C21/C6</f>
        <v>-7.6946853320118927E-2</v>
      </c>
      <c r="D22" s="6">
        <f>D21/D6</f>
        <v>3.8900260416666665E-2</v>
      </c>
      <c r="E22" s="6">
        <f>E21/E6</f>
        <v>7.0538919186911256E-2</v>
      </c>
      <c r="F22" s="6">
        <f>F21/F6</f>
        <v>-7.4659511796786142E-3</v>
      </c>
    </row>
    <row r="23" spans="2:6" ht="13.5" x14ac:dyDescent="0.25">
      <c r="B23" t="s">
        <v>53</v>
      </c>
      <c r="C23" s="6">
        <f>C20/C6</f>
        <v>3.0537661050545093E-2</v>
      </c>
      <c r="D23" s="6">
        <f>D20/D6</f>
        <v>5.1339285714285714E-3</v>
      </c>
      <c r="E23" s="6">
        <f>E20/E6</f>
        <v>7.4659511796786142E-3</v>
      </c>
      <c r="F23" s="6">
        <f>F20/F6</f>
        <v>7.4659511796786142E-3</v>
      </c>
    </row>
    <row r="25" spans="2:6" ht="14" x14ac:dyDescent="0.3">
      <c r="B25" s="2" t="s">
        <v>54</v>
      </c>
    </row>
    <row r="26" spans="2:6" ht="14" x14ac:dyDescent="0.3">
      <c r="B26" s="3" t="s">
        <v>55</v>
      </c>
      <c r="C26" s="4">
        <v>7996.0929999999998</v>
      </c>
      <c r="D26" s="4">
        <v>12238.87</v>
      </c>
      <c r="E26" s="4">
        <v>14225.097</v>
      </c>
      <c r="F26" s="4"/>
    </row>
    <row r="27" spans="2:6" ht="14" x14ac:dyDescent="0.3">
      <c r="B27" s="3" t="s">
        <v>56</v>
      </c>
      <c r="C27" s="4">
        <v>8159.2</v>
      </c>
      <c r="D27" s="4">
        <v>11408.4</v>
      </c>
      <c r="E27" s="4">
        <v>11921.8</v>
      </c>
      <c r="F27" s="4">
        <v>0</v>
      </c>
    </row>
    <row r="28" spans="2:6" ht="14" x14ac:dyDescent="0.3">
      <c r="B28" s="3" t="s">
        <v>57</v>
      </c>
      <c r="C28" s="4">
        <f>C27-C26</f>
        <v>163.10699999999997</v>
      </c>
      <c r="D28" s="4">
        <f>D27-D26</f>
        <v>-830.47000000000116</v>
      </c>
      <c r="E28" s="4">
        <f>E27-E26</f>
        <v>-2303.2970000000005</v>
      </c>
      <c r="F28" s="4">
        <f>F27-F26</f>
        <v>0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topLeftCell="A51" workbookViewId="0">
      <selection activeCell="C9" sqref="C9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1" t="s">
        <v>58</v>
      </c>
    </row>
    <row r="4" spans="2:7" ht="14" x14ac:dyDescent="0.3">
      <c r="B4" s="7" t="s">
        <v>59</v>
      </c>
      <c r="C4" s="8"/>
      <c r="D4" s="8"/>
      <c r="E4" s="8"/>
      <c r="F4" s="8"/>
      <c r="G4" s="8"/>
    </row>
    <row r="5" spans="2:7" ht="14" x14ac:dyDescent="0.3">
      <c r="B5" s="3" t="s">
        <v>53</v>
      </c>
      <c r="C5" s="6">
        <v>0.01</v>
      </c>
    </row>
    <row r="6" spans="2:7" ht="14" x14ac:dyDescent="0.3">
      <c r="B6" s="3" t="s">
        <v>60</v>
      </c>
      <c r="C6" s="6">
        <v>0.30620000000000003</v>
      </c>
    </row>
    <row r="7" spans="2:7" ht="14" x14ac:dyDescent="0.3">
      <c r="B7" s="3" t="s">
        <v>61</v>
      </c>
      <c r="C7" s="6">
        <v>2.3E-2</v>
      </c>
    </row>
    <row r="8" spans="2:7" ht="14" x14ac:dyDescent="0.3">
      <c r="B8" s="3" t="s">
        <v>62</v>
      </c>
      <c r="C8" s="11">
        <v>1.2</v>
      </c>
    </row>
    <row r="9" spans="2:7" ht="14" x14ac:dyDescent="0.3">
      <c r="B9" s="3" t="s">
        <v>63</v>
      </c>
      <c r="C9" s="6">
        <v>0.06</v>
      </c>
    </row>
    <row r="10" spans="2:7" ht="14" x14ac:dyDescent="0.3">
      <c r="B10" s="3" t="s">
        <v>64</v>
      </c>
      <c r="C10" s="6">
        <v>0.03</v>
      </c>
    </row>
    <row r="11" spans="2:7" ht="14" x14ac:dyDescent="0.3">
      <c r="B11" s="3" t="s">
        <v>65</v>
      </c>
      <c r="C11" s="6">
        <v>1.4999999999999999E-2</v>
      </c>
    </row>
    <row r="12" spans="2:7" ht="14" x14ac:dyDescent="0.3">
      <c r="B12" s="3" t="s">
        <v>66</v>
      </c>
      <c r="C12" s="12">
        <v>0.05</v>
      </c>
    </row>
    <row r="13" spans="2:7" ht="14" x14ac:dyDescent="0.3">
      <c r="B13" s="3" t="s">
        <v>67</v>
      </c>
      <c r="C13" s="6">
        <v>1.4999999999999999E-2</v>
      </c>
    </row>
    <row r="14" spans="2:7" ht="14" x14ac:dyDescent="0.3">
      <c r="B14" s="3" t="s">
        <v>68</v>
      </c>
      <c r="C14" s="13">
        <v>12</v>
      </c>
    </row>
    <row r="15" spans="2:7" ht="14" x14ac:dyDescent="0.3">
      <c r="B15" s="3" t="s">
        <v>69</v>
      </c>
      <c r="C15" s="14">
        <v>99735797</v>
      </c>
    </row>
    <row r="16" spans="2:7" ht="14" x14ac:dyDescent="0.3">
      <c r="B16" s="3" t="s">
        <v>70</v>
      </c>
      <c r="C16" s="4">
        <v>-2300</v>
      </c>
    </row>
    <row r="17" spans="2:7" ht="14" x14ac:dyDescent="0.3">
      <c r="B17" s="3" t="s">
        <v>71</v>
      </c>
      <c r="C17" s="4">
        <v>34289</v>
      </c>
    </row>
    <row r="18" spans="2:7" ht="14" x14ac:dyDescent="0.3">
      <c r="B18" s="3" t="s">
        <v>72</v>
      </c>
      <c r="C18" s="6">
        <v>5.0000000000000001E-3</v>
      </c>
    </row>
    <row r="19" spans="2:7" ht="14" x14ac:dyDescent="0.3">
      <c r="B19" s="3" t="s">
        <v>73</v>
      </c>
      <c r="C19" s="11">
        <v>1</v>
      </c>
    </row>
    <row r="20" spans="2:7" ht="14" x14ac:dyDescent="0.3">
      <c r="B20" s="3" t="s">
        <v>74</v>
      </c>
      <c r="C20" s="4">
        <v>34289.286999999997</v>
      </c>
    </row>
    <row r="22" spans="2:7" ht="14" x14ac:dyDescent="0.3">
      <c r="B22" s="7" t="s">
        <v>75</v>
      </c>
      <c r="C22" s="8"/>
      <c r="D22" s="8"/>
      <c r="E22" s="8"/>
      <c r="F22" s="8"/>
      <c r="G22" s="8"/>
    </row>
    <row r="23" spans="2:7" ht="14" x14ac:dyDescent="0.3">
      <c r="B23" s="3" t="s">
        <v>76</v>
      </c>
      <c r="C23" s="15">
        <f>C7+C8*C9+C10</f>
        <v>0.125</v>
      </c>
    </row>
    <row r="24" spans="2:7" ht="14" x14ac:dyDescent="0.3">
      <c r="B24" s="3" t="s">
        <v>77</v>
      </c>
      <c r="C24" s="15">
        <f>1/(1+C12)</f>
        <v>0.95238095238095233</v>
      </c>
    </row>
    <row r="25" spans="2:7" ht="14" x14ac:dyDescent="0.3">
      <c r="B25" s="3" t="s">
        <v>78</v>
      </c>
      <c r="C25" s="15">
        <f>C12/(1+C12)</f>
        <v>4.7619047619047616E-2</v>
      </c>
    </row>
    <row r="26" spans="2:7" ht="14" x14ac:dyDescent="0.3">
      <c r="B26" s="3" t="s">
        <v>79</v>
      </c>
      <c r="C26" s="15">
        <f>C23*C24+C11*C25</f>
        <v>0.11976190476190475</v>
      </c>
    </row>
    <row r="27" spans="2:7" ht="14" x14ac:dyDescent="0.3">
      <c r="B27" s="3" t="s">
        <v>80</v>
      </c>
      <c r="C27" s="16" t="s">
        <v>81</v>
      </c>
      <c r="D27" s="5">
        <f>MATCH(C27,B69:B73,0)</f>
        <v>1</v>
      </c>
    </row>
    <row r="28" spans="2:7" ht="14" x14ac:dyDescent="0.3">
      <c r="B28" s="7" t="s">
        <v>82</v>
      </c>
      <c r="C28" s="8"/>
      <c r="D28" s="8"/>
      <c r="E28" s="8"/>
      <c r="F28" s="8"/>
      <c r="G28" s="8"/>
    </row>
    <row r="29" spans="2:7" ht="14" x14ac:dyDescent="0.3">
      <c r="C29" s="9" t="s">
        <v>83</v>
      </c>
      <c r="D29" s="9" t="s">
        <v>84</v>
      </c>
      <c r="E29" s="9" t="s">
        <v>85</v>
      </c>
      <c r="F29" s="9" t="s">
        <v>86</v>
      </c>
      <c r="G29" s="9" t="s">
        <v>87</v>
      </c>
    </row>
    <row r="30" spans="2:7" ht="14" x14ac:dyDescent="0.3">
      <c r="B30" s="3" t="s">
        <v>45</v>
      </c>
      <c r="C30" s="17">
        <f>CHOOSE($D$27,C69,C70,C71,C72,C73)</f>
        <v>0.25</v>
      </c>
      <c r="D30" s="17">
        <f>CHOOSE($D$27,D69,D70,D71,D72,D73)</f>
        <v>0.22</v>
      </c>
      <c r="E30" s="17">
        <f>CHOOSE($D$27,E69,E70,E71,E72,E73)</f>
        <v>0.2</v>
      </c>
      <c r="F30" s="17">
        <f>CHOOSE($D$27,F69,F70,F71,F72,F73)</f>
        <v>0.18</v>
      </c>
      <c r="G30" s="17">
        <f>CHOOSE($D$27,G69,G70,G71,G72,G73)</f>
        <v>0.16</v>
      </c>
    </row>
    <row r="31" spans="2:7" ht="14" x14ac:dyDescent="0.3">
      <c r="B31" s="3" t="s">
        <v>88</v>
      </c>
      <c r="C31" s="17">
        <f>CHOOSE($D$27,C76,C77,C78,C79,C80)</f>
        <v>5.6000000000000001E-2</v>
      </c>
      <c r="D31" s="17">
        <f>CHOOSE($D$27,D76,D77,D78,D79,D80)</f>
        <v>5.6000000000000001E-2</v>
      </c>
      <c r="E31" s="17">
        <f>CHOOSE($D$27,E76,E77,E78,E79,E80)</f>
        <v>5.6000000000000001E-2</v>
      </c>
      <c r="F31" s="17">
        <f>CHOOSE($D$27,F76,F77,F78,F79,F80)</f>
        <v>5.6000000000000001E-2</v>
      </c>
      <c r="G31" s="17">
        <f>CHOOSE($D$27,G76,G77,G78,G79,G80)</f>
        <v>5.6000000000000001E-2</v>
      </c>
    </row>
    <row r="32" spans="2:7" ht="14" x14ac:dyDescent="0.3">
      <c r="B32" s="3" t="s">
        <v>89</v>
      </c>
      <c r="C32" s="17">
        <f>CHOOSE($D$27,C83,C84,C85,C86,C87)</f>
        <v>0.74</v>
      </c>
      <c r="D32" s="17">
        <f>CHOOSE($D$27,D83,D84,D85,D86,D87)</f>
        <v>0.73399999999999999</v>
      </c>
      <c r="E32" s="17">
        <f>CHOOSE($D$27,E83,E84,E85,E86,E87)</f>
        <v>0.72899999999999998</v>
      </c>
      <c r="F32" s="17">
        <f>CHOOSE($D$27,F83,F84,F85,F86,F87)</f>
        <v>0.72399999999999998</v>
      </c>
      <c r="G32" s="17">
        <f>CHOOSE($D$27,G83,G84,G85,G86,G87)</f>
        <v>0.71899999999999997</v>
      </c>
    </row>
    <row r="33" spans="2:7" ht="14" x14ac:dyDescent="0.3">
      <c r="B33" s="3" t="s">
        <v>36</v>
      </c>
      <c r="C33" s="4">
        <f>C17*(1+C30)</f>
        <v>42861.25</v>
      </c>
      <c r="D33" s="4">
        <f>C33*(1+D30)</f>
        <v>52290.724999999999</v>
      </c>
      <c r="E33" s="4">
        <f>D33*(1+E30)</f>
        <v>62748.869999999995</v>
      </c>
      <c r="F33" s="4">
        <f>E33*(1+F30)</f>
        <v>74043.666599999997</v>
      </c>
      <c r="G33" s="4">
        <f>F33*(1+G30)</f>
        <v>85890.653255999991</v>
      </c>
    </row>
    <row r="34" spans="2:7" ht="14" x14ac:dyDescent="0.3">
      <c r="B34" s="3" t="s">
        <v>37</v>
      </c>
      <c r="C34" s="4">
        <f>C33*C31</f>
        <v>2400.23</v>
      </c>
      <c r="D34" s="4">
        <f>D33*D31</f>
        <v>2928.2806</v>
      </c>
      <c r="E34" s="4">
        <f>E33*E31</f>
        <v>3513.9367199999997</v>
      </c>
      <c r="F34" s="4">
        <f>F33*F31</f>
        <v>4146.4453296000002</v>
      </c>
      <c r="G34" s="4">
        <f>G33*G31</f>
        <v>4809.876582336</v>
      </c>
    </row>
    <row r="35" spans="2:7" ht="14" x14ac:dyDescent="0.3">
      <c r="B35" s="3" t="s">
        <v>38</v>
      </c>
      <c r="C35" s="18">
        <f>C33-C34</f>
        <v>40461.019999999997</v>
      </c>
      <c r="D35" s="18">
        <f>D33-D34</f>
        <v>49362.4444</v>
      </c>
      <c r="E35" s="18">
        <f>E33-E34</f>
        <v>59234.933279999997</v>
      </c>
      <c r="F35" s="18">
        <f>F33-F34</f>
        <v>69897.221270399998</v>
      </c>
      <c r="G35" s="18">
        <f>G33-G34</f>
        <v>81080.77667366399</v>
      </c>
    </row>
    <row r="36" spans="2:7" ht="14" x14ac:dyDescent="0.3">
      <c r="B36" s="3" t="s">
        <v>39</v>
      </c>
      <c r="C36" s="6">
        <f>C35/C33</f>
        <v>0.94399999999999995</v>
      </c>
      <c r="D36" s="6">
        <f>D35/D33</f>
        <v>0.94400000000000006</v>
      </c>
      <c r="E36" s="6">
        <f>E35/E33</f>
        <v>0.94400000000000006</v>
      </c>
      <c r="F36" s="6">
        <f>F35/F33</f>
        <v>0.94400000000000006</v>
      </c>
      <c r="G36" s="6">
        <f>G35/G33</f>
        <v>0.94399999999999995</v>
      </c>
    </row>
    <row r="37" spans="2:7" ht="14" x14ac:dyDescent="0.3">
      <c r="B37" s="3" t="s">
        <v>90</v>
      </c>
      <c r="C37" s="4">
        <f>C33*C32</f>
        <v>31717.325000000001</v>
      </c>
      <c r="D37" s="4">
        <f>D33*D32</f>
        <v>38381.39215</v>
      </c>
      <c r="E37" s="4">
        <f>E33*E32</f>
        <v>45743.926229999997</v>
      </c>
      <c r="F37" s="4">
        <f>F33*F32</f>
        <v>53607.614618399995</v>
      </c>
      <c r="G37" s="4">
        <f>G33*G32</f>
        <v>61755.379691063994</v>
      </c>
    </row>
    <row r="38" spans="2:7" ht="14" x14ac:dyDescent="0.3">
      <c r="B38" s="3" t="s">
        <v>91</v>
      </c>
      <c r="C38" s="6">
        <f>(C35-C37)/C33</f>
        <v>0.2039999999999999</v>
      </c>
      <c r="D38" s="6">
        <f>(D35-D37)/D33</f>
        <v>0.21000000000000002</v>
      </c>
      <c r="E38" s="6">
        <f>(E35-E37)/E33</f>
        <v>0.21500000000000002</v>
      </c>
      <c r="F38" s="6">
        <f>(F35-F37)/F33</f>
        <v>0.22000000000000003</v>
      </c>
      <c r="G38" s="6">
        <f>(G35-G37)/G33</f>
        <v>0.22499999999999998</v>
      </c>
    </row>
    <row r="39" spans="2:7" ht="14" x14ac:dyDescent="0.3">
      <c r="B39" s="3" t="s">
        <v>92</v>
      </c>
      <c r="C39" s="18">
        <f>C35-C37</f>
        <v>8743.6949999999961</v>
      </c>
      <c r="D39" s="18">
        <f>D35-D37</f>
        <v>10981.052250000001</v>
      </c>
      <c r="E39" s="18">
        <f>E35-E37</f>
        <v>13491.00705</v>
      </c>
      <c r="F39" s="18">
        <f>F35-F37</f>
        <v>16289.606652000002</v>
      </c>
      <c r="G39" s="18">
        <f>G35-G37</f>
        <v>19325.396982599996</v>
      </c>
    </row>
    <row r="40" spans="2:7" ht="14" x14ac:dyDescent="0.3">
      <c r="B40" s="3" t="s">
        <v>93</v>
      </c>
      <c r="C40" s="4">
        <f>MAX(0,C39*C6)</f>
        <v>2677.3194089999988</v>
      </c>
      <c r="D40" s="4">
        <f>MAX(0,D39*C6)</f>
        <v>3362.3981989500003</v>
      </c>
      <c r="E40" s="4">
        <f>MAX(0,E39*C6)</f>
        <v>4130.9463587100008</v>
      </c>
      <c r="F40" s="4">
        <f>MAX(0,F39*C6)</f>
        <v>4987.8775568424007</v>
      </c>
      <c r="G40" s="4">
        <f>MAX(0,G39*C6)</f>
        <v>5917.4365560721189</v>
      </c>
    </row>
    <row r="41" spans="2:7" ht="14" x14ac:dyDescent="0.3">
      <c r="B41" s="3" t="s">
        <v>94</v>
      </c>
      <c r="C41" s="18">
        <f>C39-C40</f>
        <v>6066.3755909999973</v>
      </c>
      <c r="D41" s="18">
        <f>D39-D40</f>
        <v>7618.6540510499999</v>
      </c>
      <c r="E41" s="18">
        <f>E39-E40</f>
        <v>9360.0606912900002</v>
      </c>
      <c r="F41" s="18">
        <f>F39-F40</f>
        <v>11301.729095157601</v>
      </c>
      <c r="G41" s="18">
        <f>G39-G40</f>
        <v>13407.960426527876</v>
      </c>
    </row>
    <row r="42" spans="2:7" ht="14" x14ac:dyDescent="0.3">
      <c r="B42" s="3" t="s">
        <v>95</v>
      </c>
      <c r="C42" s="4">
        <f>C33*C18</f>
        <v>214.30625000000001</v>
      </c>
      <c r="D42" s="4">
        <f>D33*C18</f>
        <v>261.45362499999999</v>
      </c>
      <c r="E42" s="4">
        <f>E33*C18</f>
        <v>313.74435</v>
      </c>
      <c r="F42" s="4">
        <f>F33*C18</f>
        <v>370.21833299999997</v>
      </c>
      <c r="G42" s="4">
        <f>G33*C18</f>
        <v>429.45326627999998</v>
      </c>
    </row>
    <row r="43" spans="2:7" ht="14" x14ac:dyDescent="0.3">
      <c r="B43" s="3" t="s">
        <v>96</v>
      </c>
      <c r="C43" s="4">
        <f>C33*C5</f>
        <v>428.61250000000001</v>
      </c>
      <c r="D43" s="4">
        <f>D33*C5</f>
        <v>522.90724999999998</v>
      </c>
      <c r="E43" s="4">
        <f>E33*C5</f>
        <v>627.48869999999999</v>
      </c>
      <c r="F43" s="4">
        <f>F33*C5</f>
        <v>740.43666599999995</v>
      </c>
      <c r="G43" s="4">
        <f>G33*C5</f>
        <v>858.90653255999996</v>
      </c>
    </row>
    <row r="44" spans="2:7" ht="14" x14ac:dyDescent="0.3">
      <c r="B44" s="3" t="s">
        <v>97</v>
      </c>
      <c r="C44" s="4">
        <f>'NWC Schedule'!D19</f>
        <v>3427.4241369863012</v>
      </c>
      <c r="D44" s="4">
        <f>'NWC Schedule'!E19</f>
        <v>1018.6933101369868</v>
      </c>
      <c r="E44" s="4">
        <f>'NWC Schedule'!F19</f>
        <v>1129.8234894246571</v>
      </c>
      <c r="F44" s="4">
        <f>'NWC Schedule'!G19</f>
        <v>1220.2093685786303</v>
      </c>
      <c r="G44" s="4">
        <f>'NWC Schedule'!H19</f>
        <v>1279.8640488202509</v>
      </c>
    </row>
    <row r="45" spans="2:7" ht="14" x14ac:dyDescent="0.3">
      <c r="B45" s="3" t="s">
        <v>98</v>
      </c>
      <c r="C45" s="19">
        <f>C41+C42-C43-C44</f>
        <v>2424.6452040136955</v>
      </c>
      <c r="D45" s="19">
        <f>D41+D42-D43-D44</f>
        <v>6338.507115913013</v>
      </c>
      <c r="E45" s="19">
        <f>E41+E42-E43-E44</f>
        <v>7916.4928518653442</v>
      </c>
      <c r="F45" s="19">
        <f>F41+F42-F43-F44</f>
        <v>9711.3013935789713</v>
      </c>
      <c r="G45" s="19">
        <f>G41+G42-G43-G44</f>
        <v>11698.643111427624</v>
      </c>
    </row>
    <row r="46" spans="2:7" ht="14" x14ac:dyDescent="0.3">
      <c r="B46" s="3" t="s">
        <v>99</v>
      </c>
      <c r="C46" s="20">
        <f>1/(1+C26)^(C19+0)</f>
        <v>0.89304699128216036</v>
      </c>
      <c r="D46" s="20">
        <f>1/(1+C26)^(C19+1)</f>
        <v>0.79753292863811898</v>
      </c>
      <c r="E46" s="20">
        <f>1/(1+C26)^(C19+2)</f>
        <v>0.71223438236872205</v>
      </c>
      <c r="F46" s="20">
        <f>1/(1+C26)^(C19+3)</f>
        <v>0.63605877226209495</v>
      </c>
      <c r="G46" s="20">
        <f>1/(1+C26)^(C19+4)</f>
        <v>0.56803037284728874</v>
      </c>
    </row>
    <row r="47" spans="2:7" ht="14" x14ac:dyDescent="0.3">
      <c r="B47" s="3" t="s">
        <v>100</v>
      </c>
      <c r="C47" s="18">
        <f>C45*C46</f>
        <v>2165.3221043711505</v>
      </c>
      <c r="D47" s="18">
        <f>D45*D46</f>
        <v>5055.1681433476624</v>
      </c>
      <c r="E47" s="18">
        <f>E45*E46</f>
        <v>5638.3983968747161</v>
      </c>
      <c r="F47" s="18">
        <f>F45*F46</f>
        <v>6176.9584414670126</v>
      </c>
      <c r="G47" s="18">
        <f>G45*G46</f>
        <v>6645.1846083915989</v>
      </c>
    </row>
    <row r="49" spans="2:7" ht="14" x14ac:dyDescent="0.3">
      <c r="B49" s="21" t="s">
        <v>101</v>
      </c>
      <c r="C49" s="22"/>
      <c r="D49" s="22"/>
      <c r="E49" s="22"/>
      <c r="F49" s="22"/>
      <c r="G49" s="22"/>
    </row>
    <row r="50" spans="2:7" ht="14" x14ac:dyDescent="0.3">
      <c r="B50" s="3" t="s">
        <v>102</v>
      </c>
      <c r="C50" s="4">
        <f>SUM(C47:G47)</f>
        <v>25681.03169445214</v>
      </c>
    </row>
    <row r="51" spans="2:7" ht="14" x14ac:dyDescent="0.3">
      <c r="B51" s="3" t="s">
        <v>103</v>
      </c>
      <c r="C51" s="4">
        <f>G45*(1+C13)/(C26-C13)</f>
        <v>113343.89905458172</v>
      </c>
    </row>
    <row r="52" spans="2:7" ht="14" x14ac:dyDescent="0.3">
      <c r="B52" s="3" t="s">
        <v>104</v>
      </c>
      <c r="C52" s="4">
        <f>C51*G46</f>
        <v>64382.777239939511</v>
      </c>
    </row>
    <row r="53" spans="2:7" ht="14" x14ac:dyDescent="0.3">
      <c r="B53" s="3" t="s">
        <v>105</v>
      </c>
      <c r="C53" s="4">
        <f>C50+C52</f>
        <v>90063.808934391651</v>
      </c>
    </row>
    <row r="54" spans="2:7" ht="14" x14ac:dyDescent="0.3">
      <c r="B54" s="3" t="s">
        <v>106</v>
      </c>
      <c r="C54" s="4">
        <f>C53-C16</f>
        <v>92363.808934391651</v>
      </c>
    </row>
    <row r="55" spans="2:7" ht="14" x14ac:dyDescent="0.3">
      <c r="B55" s="3" t="s">
        <v>107</v>
      </c>
      <c r="C55" s="23">
        <f>ROUND(C54*1000000/C15,0)</f>
        <v>926</v>
      </c>
    </row>
    <row r="57" spans="2:7" ht="14" x14ac:dyDescent="0.3">
      <c r="B57" s="21" t="s">
        <v>108</v>
      </c>
      <c r="C57" s="22"/>
      <c r="D57" s="22"/>
      <c r="E57" s="22"/>
      <c r="F57" s="22"/>
      <c r="G57" s="22"/>
    </row>
    <row r="58" spans="2:7" ht="14" x14ac:dyDescent="0.3">
      <c r="B58" s="3" t="s">
        <v>102</v>
      </c>
      <c r="C58" s="4">
        <f>C50</f>
        <v>25681.03169445214</v>
      </c>
    </row>
    <row r="59" spans="2:7" ht="14" x14ac:dyDescent="0.3">
      <c r="B59" s="3" t="s">
        <v>109</v>
      </c>
      <c r="C59" s="4">
        <f>G39+G42</f>
        <v>19754.850248879997</v>
      </c>
    </row>
    <row r="60" spans="2:7" ht="14" x14ac:dyDescent="0.3">
      <c r="B60" s="3" t="s">
        <v>110</v>
      </c>
      <c r="C60" s="4">
        <f>C59*C14</f>
        <v>237058.20298655995</v>
      </c>
    </row>
    <row r="61" spans="2:7" ht="14" x14ac:dyDescent="0.3">
      <c r="B61" s="3" t="s">
        <v>104</v>
      </c>
      <c r="C61" s="4">
        <f>C60*G46</f>
        <v>134656.25942896391</v>
      </c>
    </row>
    <row r="62" spans="2:7" ht="14" x14ac:dyDescent="0.3">
      <c r="B62" s="3" t="s">
        <v>105</v>
      </c>
      <c r="C62" s="4">
        <f>C58+C61</f>
        <v>160337.29112341604</v>
      </c>
    </row>
    <row r="63" spans="2:7" ht="14" x14ac:dyDescent="0.3">
      <c r="B63" s="3" t="s">
        <v>106</v>
      </c>
      <c r="C63" s="4">
        <f>C62-C16</f>
        <v>162637.29112341604</v>
      </c>
    </row>
    <row r="64" spans="2:7" ht="14" x14ac:dyDescent="0.3">
      <c r="B64" s="3" t="s">
        <v>111</v>
      </c>
      <c r="C64" s="23">
        <f>ROUND(C63*1000000/C15,0)</f>
        <v>1631</v>
      </c>
    </row>
    <row r="66" spans="2:7" ht="14" x14ac:dyDescent="0.3">
      <c r="B66" s="21" t="s">
        <v>112</v>
      </c>
      <c r="C66" s="22"/>
      <c r="D66" s="22"/>
      <c r="E66" s="22"/>
      <c r="F66" s="22"/>
      <c r="G66" s="22"/>
    </row>
    <row r="67" spans="2:7" ht="14" x14ac:dyDescent="0.3">
      <c r="C67" s="24" t="s">
        <v>113</v>
      </c>
      <c r="D67" s="24" t="s">
        <v>114</v>
      </c>
      <c r="E67" s="24" t="s">
        <v>115</v>
      </c>
      <c r="F67" s="24" t="s">
        <v>116</v>
      </c>
      <c r="G67" s="24" t="s">
        <v>117</v>
      </c>
    </row>
    <row r="68" spans="2:7" ht="14" x14ac:dyDescent="0.3">
      <c r="B68" s="2" t="s">
        <v>45</v>
      </c>
    </row>
    <row r="69" spans="2:7" ht="14" x14ac:dyDescent="0.3">
      <c r="B69" s="3" t="s">
        <v>81</v>
      </c>
      <c r="C69" s="25">
        <v>0.25</v>
      </c>
      <c r="D69" s="25">
        <v>0.22</v>
      </c>
      <c r="E69" s="25">
        <v>0.2</v>
      </c>
      <c r="F69" s="25">
        <v>0.18</v>
      </c>
      <c r="G69" s="25">
        <v>0.16</v>
      </c>
    </row>
    <row r="70" spans="2:7" ht="14" x14ac:dyDescent="0.3">
      <c r="B70" s="3" t="s">
        <v>118</v>
      </c>
      <c r="C70" s="25">
        <v>0.3</v>
      </c>
      <c r="D70" s="25">
        <v>0.27</v>
      </c>
      <c r="E70" s="25">
        <v>0.24</v>
      </c>
      <c r="F70" s="25">
        <v>0.21</v>
      </c>
      <c r="G70" s="25">
        <v>0.18</v>
      </c>
    </row>
    <row r="71" spans="2:7" ht="14" x14ac:dyDescent="0.3">
      <c r="B71" s="3" t="s">
        <v>119</v>
      </c>
      <c r="C71" s="25">
        <v>0.27</v>
      </c>
      <c r="D71" s="25">
        <v>0.24</v>
      </c>
      <c r="E71" s="25">
        <v>0.21</v>
      </c>
      <c r="F71" s="25">
        <v>0.19</v>
      </c>
      <c r="G71" s="25">
        <v>0.17</v>
      </c>
    </row>
    <row r="72" spans="2:7" ht="14" x14ac:dyDescent="0.3">
      <c r="B72" s="3" t="s">
        <v>120</v>
      </c>
      <c r="C72" s="25">
        <v>0.18</v>
      </c>
      <c r="D72" s="25">
        <v>0.15</v>
      </c>
      <c r="E72" s="25">
        <v>0.13</v>
      </c>
      <c r="F72" s="25">
        <v>0.11</v>
      </c>
      <c r="G72" s="25">
        <v>0.1</v>
      </c>
    </row>
    <row r="73" spans="2:7" ht="14" x14ac:dyDescent="0.3">
      <c r="B73" s="3" t="s">
        <v>121</v>
      </c>
      <c r="C73" s="25">
        <v>0.15</v>
      </c>
      <c r="D73" s="25">
        <v>0.12</v>
      </c>
      <c r="E73" s="25">
        <v>0.1</v>
      </c>
      <c r="F73" s="25">
        <v>0.09</v>
      </c>
      <c r="G73" s="25">
        <v>0.08</v>
      </c>
    </row>
    <row r="75" spans="2:7" ht="14" x14ac:dyDescent="0.3">
      <c r="B75" s="2" t="s">
        <v>88</v>
      </c>
    </row>
    <row r="76" spans="2:7" ht="14" x14ac:dyDescent="0.3">
      <c r="B76" s="3" t="s">
        <v>81</v>
      </c>
      <c r="C76" s="25">
        <v>5.6000000000000001E-2</v>
      </c>
      <c r="D76" s="25">
        <v>5.6000000000000001E-2</v>
      </c>
      <c r="E76" s="25">
        <v>5.6000000000000001E-2</v>
      </c>
      <c r="F76" s="25">
        <v>5.6000000000000001E-2</v>
      </c>
      <c r="G76" s="25">
        <v>5.6000000000000001E-2</v>
      </c>
    </row>
    <row r="77" spans="2:7" ht="14" x14ac:dyDescent="0.3">
      <c r="B77" s="3" t="s">
        <v>118</v>
      </c>
      <c r="C77" s="25">
        <v>5.5E-2</v>
      </c>
      <c r="D77" s="25">
        <v>5.5E-2</v>
      </c>
      <c r="E77" s="25">
        <v>5.5E-2</v>
      </c>
      <c r="F77" s="25">
        <v>5.5E-2</v>
      </c>
      <c r="G77" s="25">
        <v>5.5E-2</v>
      </c>
    </row>
    <row r="78" spans="2:7" ht="14" x14ac:dyDescent="0.3">
      <c r="B78" s="3" t="s">
        <v>119</v>
      </c>
      <c r="C78" s="25">
        <v>5.5E-2</v>
      </c>
      <c r="D78" s="25">
        <v>5.5E-2</v>
      </c>
      <c r="E78" s="25">
        <v>5.5E-2</v>
      </c>
      <c r="F78" s="25">
        <v>5.5E-2</v>
      </c>
      <c r="G78" s="25">
        <v>5.5E-2</v>
      </c>
    </row>
    <row r="79" spans="2:7" ht="14" x14ac:dyDescent="0.3">
      <c r="B79" s="3" t="s">
        <v>120</v>
      </c>
      <c r="C79" s="25">
        <v>5.8000000000000003E-2</v>
      </c>
      <c r="D79" s="25">
        <v>5.8000000000000003E-2</v>
      </c>
      <c r="E79" s="25">
        <v>5.8000000000000003E-2</v>
      </c>
      <c r="F79" s="25">
        <v>5.8000000000000003E-2</v>
      </c>
      <c r="G79" s="25">
        <v>5.8000000000000003E-2</v>
      </c>
    </row>
    <row r="80" spans="2:7" ht="14" x14ac:dyDescent="0.3">
      <c r="B80" s="3" t="s">
        <v>121</v>
      </c>
      <c r="C80" s="25">
        <v>0.06</v>
      </c>
      <c r="D80" s="25">
        <v>0.06</v>
      </c>
      <c r="E80" s="25">
        <v>0.06</v>
      </c>
      <c r="F80" s="25">
        <v>0.06</v>
      </c>
      <c r="G80" s="25">
        <v>0.06</v>
      </c>
    </row>
    <row r="82" spans="2:7" ht="14" x14ac:dyDescent="0.3">
      <c r="B82" s="2" t="s">
        <v>89</v>
      </c>
    </row>
    <row r="83" spans="2:7" ht="14" x14ac:dyDescent="0.3">
      <c r="B83" s="3" t="s">
        <v>81</v>
      </c>
      <c r="C83" s="25">
        <v>0.74</v>
      </c>
      <c r="D83" s="25">
        <v>0.73399999999999999</v>
      </c>
      <c r="E83" s="25">
        <v>0.72899999999999998</v>
      </c>
      <c r="F83" s="25">
        <v>0.72399999999999998</v>
      </c>
      <c r="G83" s="25">
        <v>0.71899999999999997</v>
      </c>
    </row>
    <row r="84" spans="2:7" ht="14" x14ac:dyDescent="0.3">
      <c r="B84" s="3" t="s">
        <v>118</v>
      </c>
      <c r="C84" s="25">
        <v>0.71</v>
      </c>
      <c r="D84" s="25">
        <v>0.7</v>
      </c>
      <c r="E84" s="25">
        <v>0.69499999999999995</v>
      </c>
      <c r="F84" s="25">
        <v>0.69</v>
      </c>
      <c r="G84" s="25">
        <v>0.68500000000000005</v>
      </c>
    </row>
    <row r="85" spans="2:7" ht="14" x14ac:dyDescent="0.3">
      <c r="B85" s="3" t="s">
        <v>119</v>
      </c>
      <c r="C85" s="25">
        <v>0.7</v>
      </c>
      <c r="D85" s="25">
        <v>0.69499999999999995</v>
      </c>
      <c r="E85" s="25">
        <v>0.69</v>
      </c>
      <c r="F85" s="25">
        <v>0.68500000000000005</v>
      </c>
      <c r="G85" s="25">
        <v>0.68</v>
      </c>
    </row>
    <row r="86" spans="2:7" ht="14" x14ac:dyDescent="0.3">
      <c r="B86" s="3" t="s">
        <v>120</v>
      </c>
      <c r="C86" s="25">
        <v>0.76</v>
      </c>
      <c r="D86" s="25">
        <v>0.76200000000000001</v>
      </c>
      <c r="E86" s="25">
        <v>0.76400000000000001</v>
      </c>
      <c r="F86" s="25">
        <v>0.76700000000000002</v>
      </c>
      <c r="G86" s="25">
        <v>0.77200000000000002</v>
      </c>
    </row>
    <row r="87" spans="2:7" ht="14" x14ac:dyDescent="0.3">
      <c r="B87" s="3" t="s">
        <v>121</v>
      </c>
      <c r="C87" s="25">
        <v>0.79</v>
      </c>
      <c r="D87" s="25">
        <v>0.79500000000000004</v>
      </c>
      <c r="E87" s="25">
        <v>0.8</v>
      </c>
      <c r="F87" s="25">
        <v>0.80500000000000005</v>
      </c>
      <c r="G87" s="25">
        <v>0.81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1" t="s">
        <v>122</v>
      </c>
    </row>
    <row r="4" spans="2:8" ht="14" x14ac:dyDescent="0.3">
      <c r="B4" s="7" t="s">
        <v>123</v>
      </c>
      <c r="C4" s="26" t="s">
        <v>124</v>
      </c>
      <c r="D4" s="26" t="s">
        <v>83</v>
      </c>
      <c r="E4" s="26" t="s">
        <v>84</v>
      </c>
      <c r="F4" s="26" t="s">
        <v>85</v>
      </c>
      <c r="G4" s="26" t="s">
        <v>86</v>
      </c>
      <c r="H4" s="26" t="s">
        <v>87</v>
      </c>
    </row>
    <row r="5" spans="2:8" ht="14" x14ac:dyDescent="0.3">
      <c r="B5" s="27" t="s">
        <v>125</v>
      </c>
      <c r="C5" s="28">
        <f>C12/C9*365</f>
        <v>41.078334159643035</v>
      </c>
      <c r="D5" s="28">
        <f>CHOOSE('DCF Model'!$D$27,D25,D26,D27,D28,D29)</f>
        <v>41</v>
      </c>
      <c r="E5" s="28">
        <f>CHOOSE('DCF Model'!$D$27,E25,E26,E27,E28,E29)</f>
        <v>41</v>
      </c>
      <c r="F5" s="28">
        <f>CHOOSE('DCF Model'!$D$27,F25,F26,F27,F28,F29)</f>
        <v>41</v>
      </c>
      <c r="G5" s="28">
        <f>CHOOSE('DCF Model'!$D$27,G25,G26,G27,G28,G29)</f>
        <v>41</v>
      </c>
      <c r="H5" s="28">
        <f>CHOOSE('DCF Model'!$D$27,H25,H26,H27,H28,H29)</f>
        <v>41</v>
      </c>
    </row>
    <row r="6" spans="2:8" ht="14" x14ac:dyDescent="0.3">
      <c r="B6" s="27" t="s">
        <v>126</v>
      </c>
      <c r="C6" s="28">
        <f>C13/C10*365</f>
        <v>0</v>
      </c>
      <c r="D6" s="28">
        <f>CHOOSE('DCF Model'!$D$27,D32,D33,D34,D35,D36)</f>
        <v>0</v>
      </c>
      <c r="E6" s="28">
        <f>CHOOSE('DCF Model'!$D$27,E32,E33,E34,E35,E36)</f>
        <v>0</v>
      </c>
      <c r="F6" s="28">
        <f>CHOOSE('DCF Model'!$D$27,F32,F33,F34,F35,F36)</f>
        <v>0</v>
      </c>
      <c r="G6" s="28">
        <f>CHOOSE('DCF Model'!$D$27,G32,G33,G34,G35,G36)</f>
        <v>0</v>
      </c>
      <c r="H6" s="28">
        <f>CHOOSE('DCF Model'!$D$27,H32,H33,H34,H35,H36)</f>
        <v>0</v>
      </c>
    </row>
    <row r="7" spans="2:8" ht="14" x14ac:dyDescent="0.3">
      <c r="B7" s="27" t="s">
        <v>127</v>
      </c>
      <c r="C7" s="28">
        <f>C15/C10*365</f>
        <v>507.02928870292891</v>
      </c>
      <c r="D7" s="28">
        <f>CHOOSE('DCF Model'!$D$27,D39,D40,D41,D42,D43)</f>
        <v>28</v>
      </c>
      <c r="E7" s="28">
        <f>CHOOSE('DCF Model'!$D$27,E39,E40,E41,E42,E43)</f>
        <v>28</v>
      </c>
      <c r="F7" s="28">
        <f>CHOOSE('DCF Model'!$D$27,F39,F40,F41,F42,F43)</f>
        <v>28</v>
      </c>
      <c r="G7" s="28">
        <f>CHOOSE('DCF Model'!$D$27,G39,G40,G41,G42,G43)</f>
        <v>28</v>
      </c>
      <c r="H7" s="28">
        <f>CHOOSE('DCF Model'!$D$27,H39,H40,H41,H42,H43)</f>
        <v>28</v>
      </c>
    </row>
    <row r="8" spans="2:8" ht="14" x14ac:dyDescent="0.3">
      <c r="B8" s="7" t="s">
        <v>128</v>
      </c>
      <c r="C8" s="8"/>
      <c r="D8" s="8"/>
      <c r="E8" s="8"/>
      <c r="F8" s="8"/>
      <c r="G8" s="8"/>
      <c r="H8" s="8"/>
    </row>
    <row r="9" spans="2:8" ht="14" x14ac:dyDescent="0.3">
      <c r="B9" s="27" t="s">
        <v>36</v>
      </c>
      <c r="C9" s="29">
        <v>34289</v>
      </c>
      <c r="D9" s="29">
        <f>'DCF Model'!C33</f>
        <v>42861.25</v>
      </c>
      <c r="E9" s="29">
        <f>'DCF Model'!D33</f>
        <v>52290.724999999999</v>
      </c>
      <c r="F9" s="29">
        <f>'DCF Model'!E33</f>
        <v>62748.869999999995</v>
      </c>
      <c r="G9" s="29">
        <f>'DCF Model'!F33</f>
        <v>74043.666599999997</v>
      </c>
      <c r="H9" s="29">
        <f>'DCF Model'!G33</f>
        <v>85890.653255999991</v>
      </c>
    </row>
    <row r="10" spans="2:8" ht="14" x14ac:dyDescent="0.3">
      <c r="B10" s="27" t="s">
        <v>37</v>
      </c>
      <c r="C10" s="29">
        <v>1912</v>
      </c>
      <c r="D10" s="29">
        <f>'DCF Model'!C34</f>
        <v>2400.23</v>
      </c>
      <c r="E10" s="29">
        <f>'DCF Model'!D34</f>
        <v>2928.2806</v>
      </c>
      <c r="F10" s="29">
        <f>'DCF Model'!E34</f>
        <v>3513.9367199999997</v>
      </c>
      <c r="G10" s="29">
        <f>'DCF Model'!F34</f>
        <v>4146.4453296000002</v>
      </c>
      <c r="H10" s="29">
        <f>'DCF Model'!G34</f>
        <v>4809.876582336</v>
      </c>
    </row>
    <row r="11" spans="2:8" ht="14" x14ac:dyDescent="0.3">
      <c r="B11" s="7" t="s">
        <v>129</v>
      </c>
      <c r="C11" s="8"/>
      <c r="D11" s="8"/>
      <c r="E11" s="8"/>
      <c r="F11" s="8"/>
      <c r="G11" s="8"/>
      <c r="H11" s="8"/>
    </row>
    <row r="12" spans="2:8" ht="14" x14ac:dyDescent="0.3">
      <c r="B12" s="27" t="s">
        <v>130</v>
      </c>
      <c r="C12" s="29">
        <v>3859</v>
      </c>
      <c r="D12" s="29">
        <f t="shared" ref="D12:H13" si="0">D9*D5/365</f>
        <v>4814.5513698630139</v>
      </c>
      <c r="E12" s="29">
        <f t="shared" si="0"/>
        <v>5873.7526712328772</v>
      </c>
      <c r="F12" s="29">
        <f t="shared" si="0"/>
        <v>7048.5032054794519</v>
      </c>
      <c r="G12" s="29">
        <f t="shared" si="0"/>
        <v>8317.2337824657534</v>
      </c>
      <c r="H12" s="29">
        <f t="shared" si="0"/>
        <v>9647.9911876602728</v>
      </c>
    </row>
    <row r="13" spans="2:8" ht="14" x14ac:dyDescent="0.3">
      <c r="B13" s="27" t="s">
        <v>131</v>
      </c>
      <c r="C13" s="29">
        <v>0</v>
      </c>
      <c r="D13" s="29">
        <f t="shared" si="0"/>
        <v>0</v>
      </c>
      <c r="E13" s="29">
        <f t="shared" si="0"/>
        <v>0</v>
      </c>
      <c r="F13" s="29">
        <f t="shared" si="0"/>
        <v>0</v>
      </c>
      <c r="G13" s="29">
        <f t="shared" si="0"/>
        <v>0</v>
      </c>
      <c r="H13" s="29">
        <f t="shared" si="0"/>
        <v>0</v>
      </c>
    </row>
    <row r="14" spans="2:8" ht="14" x14ac:dyDescent="0.3">
      <c r="B14" s="27" t="s">
        <v>132</v>
      </c>
      <c r="C14" s="29">
        <f t="shared" ref="C14:H14" si="1">C12+C13</f>
        <v>3859</v>
      </c>
      <c r="D14" s="29">
        <f t="shared" si="1"/>
        <v>4814.5513698630139</v>
      </c>
      <c r="E14" s="29">
        <f t="shared" si="1"/>
        <v>5873.7526712328772</v>
      </c>
      <c r="F14" s="29">
        <f t="shared" si="1"/>
        <v>7048.5032054794519</v>
      </c>
      <c r="G14" s="29">
        <f t="shared" si="1"/>
        <v>8317.2337824657534</v>
      </c>
      <c r="H14" s="29">
        <f t="shared" si="1"/>
        <v>9647.9911876602728</v>
      </c>
    </row>
    <row r="15" spans="2:8" ht="14" x14ac:dyDescent="0.3">
      <c r="B15" s="27" t="s">
        <v>133</v>
      </c>
      <c r="C15" s="29">
        <v>2656</v>
      </c>
      <c r="D15" s="29">
        <f>D10*D7/365</f>
        <v>184.12723287671233</v>
      </c>
      <c r="E15" s="29">
        <f>E10*E7/365</f>
        <v>224.63522410958907</v>
      </c>
      <c r="F15" s="29">
        <f>F10*F7/365</f>
        <v>269.56226893150682</v>
      </c>
      <c r="G15" s="29">
        <f>G10*G7/365</f>
        <v>318.0834773391781</v>
      </c>
      <c r="H15" s="29">
        <f>H10*H7/365</f>
        <v>368.97683371344658</v>
      </c>
    </row>
    <row r="16" spans="2:8" ht="14" x14ac:dyDescent="0.3">
      <c r="B16" s="27" t="s">
        <v>134</v>
      </c>
      <c r="C16" s="29">
        <f t="shared" ref="C16:H16" si="2">C15</f>
        <v>2656</v>
      </c>
      <c r="D16" s="29">
        <f t="shared" si="2"/>
        <v>184.12723287671233</v>
      </c>
      <c r="E16" s="29">
        <f t="shared" si="2"/>
        <v>224.63522410958907</v>
      </c>
      <c r="F16" s="29">
        <f t="shared" si="2"/>
        <v>269.56226893150682</v>
      </c>
      <c r="G16" s="29">
        <f t="shared" si="2"/>
        <v>318.0834773391781</v>
      </c>
      <c r="H16" s="29">
        <f t="shared" si="2"/>
        <v>368.97683371344658</v>
      </c>
    </row>
    <row r="17" spans="2:8" ht="14" x14ac:dyDescent="0.3">
      <c r="B17" s="21" t="s">
        <v>135</v>
      </c>
      <c r="C17" s="22"/>
      <c r="D17" s="22"/>
      <c r="E17" s="22"/>
      <c r="F17" s="22"/>
      <c r="G17" s="22"/>
      <c r="H17" s="22"/>
    </row>
    <row r="18" spans="2:8" ht="14" x14ac:dyDescent="0.3">
      <c r="B18" s="27" t="s">
        <v>136</v>
      </c>
      <c r="C18" s="19">
        <f t="shared" ref="C18:H18" si="3">C14-C16</f>
        <v>1203</v>
      </c>
      <c r="D18" s="19">
        <f t="shared" si="3"/>
        <v>4630.4241369863012</v>
      </c>
      <c r="E18" s="19">
        <f t="shared" si="3"/>
        <v>5649.117447123288</v>
      </c>
      <c r="F18" s="19">
        <f t="shared" si="3"/>
        <v>6778.9409365479451</v>
      </c>
      <c r="G18" s="19">
        <f t="shared" si="3"/>
        <v>7999.1503051265754</v>
      </c>
      <c r="H18" s="19">
        <f t="shared" si="3"/>
        <v>9279.0143539468263</v>
      </c>
    </row>
    <row r="19" spans="2:8" ht="14" x14ac:dyDescent="0.3">
      <c r="B19" s="27" t="s">
        <v>97</v>
      </c>
      <c r="C19" s="30" t="s">
        <v>46</v>
      </c>
      <c r="D19" s="23">
        <f>D18-C18</f>
        <v>3427.4241369863012</v>
      </c>
      <c r="E19" s="23">
        <f>E18-D18</f>
        <v>1018.6933101369868</v>
      </c>
      <c r="F19" s="23">
        <f>F18-E18</f>
        <v>1129.8234894246571</v>
      </c>
      <c r="G19" s="23">
        <f>G18-F18</f>
        <v>1220.2093685786303</v>
      </c>
      <c r="H19" s="23">
        <f>H18-G18</f>
        <v>1279.8640488202509</v>
      </c>
    </row>
    <row r="22" spans="2:8" ht="14" x14ac:dyDescent="0.3">
      <c r="B22" s="21" t="s">
        <v>137</v>
      </c>
      <c r="C22" s="22"/>
      <c r="D22" s="22"/>
      <c r="E22" s="22"/>
      <c r="F22" s="22"/>
      <c r="G22" s="22"/>
      <c r="H22" s="22"/>
    </row>
    <row r="23" spans="2:8" ht="14" x14ac:dyDescent="0.3">
      <c r="D23" s="24" t="s">
        <v>83</v>
      </c>
      <c r="E23" s="24" t="s">
        <v>84</v>
      </c>
      <c r="F23" s="24" t="s">
        <v>85</v>
      </c>
      <c r="G23" s="24" t="s">
        <v>86</v>
      </c>
      <c r="H23" s="24" t="s">
        <v>87</v>
      </c>
    </row>
    <row r="24" spans="2:8" ht="14" x14ac:dyDescent="0.3">
      <c r="B24" s="2" t="s">
        <v>138</v>
      </c>
    </row>
    <row r="25" spans="2:8" ht="14" x14ac:dyDescent="0.3">
      <c r="B25" s="3" t="s">
        <v>81</v>
      </c>
      <c r="D25" s="31">
        <v>41</v>
      </c>
      <c r="E25" s="31">
        <v>41</v>
      </c>
      <c r="F25" s="31">
        <v>41</v>
      </c>
      <c r="G25" s="31">
        <v>41</v>
      </c>
      <c r="H25" s="31">
        <v>41</v>
      </c>
    </row>
    <row r="26" spans="2:8" ht="14" x14ac:dyDescent="0.3">
      <c r="B26" s="3" t="s">
        <v>118</v>
      </c>
      <c r="D26" s="31">
        <v>41</v>
      </c>
      <c r="E26" s="31">
        <v>41</v>
      </c>
      <c r="F26" s="31">
        <v>41</v>
      </c>
      <c r="G26" s="31">
        <v>41</v>
      </c>
      <c r="H26" s="31">
        <v>41</v>
      </c>
    </row>
    <row r="27" spans="2:8" ht="14" x14ac:dyDescent="0.3">
      <c r="B27" s="3" t="s">
        <v>119</v>
      </c>
      <c r="D27" s="31">
        <v>41</v>
      </c>
      <c r="E27" s="31">
        <v>41</v>
      </c>
      <c r="F27" s="31">
        <v>41</v>
      </c>
      <c r="G27" s="31">
        <v>41</v>
      </c>
      <c r="H27" s="31">
        <v>41</v>
      </c>
    </row>
    <row r="28" spans="2:8" ht="14" x14ac:dyDescent="0.3">
      <c r="B28" s="3" t="s">
        <v>120</v>
      </c>
      <c r="D28" s="31">
        <v>45</v>
      </c>
      <c r="E28" s="31">
        <v>45</v>
      </c>
      <c r="F28" s="31">
        <v>45</v>
      </c>
      <c r="G28" s="31">
        <v>45</v>
      </c>
      <c r="H28" s="31">
        <v>45</v>
      </c>
    </row>
    <row r="29" spans="2:8" ht="14" x14ac:dyDescent="0.3">
      <c r="B29" s="3" t="s">
        <v>121</v>
      </c>
      <c r="D29" s="31">
        <v>48</v>
      </c>
      <c r="E29" s="31">
        <v>48</v>
      </c>
      <c r="F29" s="31">
        <v>48</v>
      </c>
      <c r="G29" s="31">
        <v>48</v>
      </c>
      <c r="H29" s="31">
        <v>48</v>
      </c>
    </row>
    <row r="31" spans="2:8" ht="14" x14ac:dyDescent="0.3">
      <c r="B31" s="2" t="s">
        <v>139</v>
      </c>
    </row>
    <row r="32" spans="2:8" ht="14" x14ac:dyDescent="0.3">
      <c r="B32" s="3" t="s">
        <v>81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</row>
    <row r="33" spans="2:8" ht="14" x14ac:dyDescent="0.3">
      <c r="B33" s="3" t="s">
        <v>118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</row>
    <row r="34" spans="2:8" ht="14" x14ac:dyDescent="0.3">
      <c r="B34" s="3" t="s">
        <v>119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</row>
    <row r="35" spans="2:8" ht="14" x14ac:dyDescent="0.3">
      <c r="B35" s="3" t="s">
        <v>120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</row>
    <row r="36" spans="2:8" ht="14" x14ac:dyDescent="0.3">
      <c r="B36" s="3" t="s">
        <v>121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</row>
    <row r="38" spans="2:8" ht="14" x14ac:dyDescent="0.3">
      <c r="B38" s="2" t="s">
        <v>140</v>
      </c>
    </row>
    <row r="39" spans="2:8" ht="14" x14ac:dyDescent="0.3">
      <c r="B39" s="3" t="s">
        <v>81</v>
      </c>
      <c r="D39" s="31">
        <v>28</v>
      </c>
      <c r="E39" s="31">
        <v>28</v>
      </c>
      <c r="F39" s="31">
        <v>28</v>
      </c>
      <c r="G39" s="31">
        <v>28</v>
      </c>
      <c r="H39" s="31">
        <v>28</v>
      </c>
    </row>
    <row r="40" spans="2:8" ht="14" x14ac:dyDescent="0.3">
      <c r="B40" s="3" t="s">
        <v>118</v>
      </c>
      <c r="D40" s="31">
        <v>28</v>
      </c>
      <c r="E40" s="31">
        <v>28</v>
      </c>
      <c r="F40" s="31">
        <v>28</v>
      </c>
      <c r="G40" s="31">
        <v>28</v>
      </c>
      <c r="H40" s="31">
        <v>28</v>
      </c>
    </row>
    <row r="41" spans="2:8" ht="14" x14ac:dyDescent="0.3">
      <c r="B41" s="3" t="s">
        <v>119</v>
      </c>
      <c r="D41" s="31">
        <v>28</v>
      </c>
      <c r="E41" s="31">
        <v>28</v>
      </c>
      <c r="F41" s="31">
        <v>28</v>
      </c>
      <c r="G41" s="31">
        <v>28</v>
      </c>
      <c r="H41" s="31">
        <v>28</v>
      </c>
    </row>
    <row r="42" spans="2:8" ht="14" x14ac:dyDescent="0.3">
      <c r="B42" s="3" t="s">
        <v>120</v>
      </c>
      <c r="D42" s="31">
        <v>28</v>
      </c>
      <c r="E42" s="31">
        <v>28</v>
      </c>
      <c r="F42" s="31">
        <v>28</v>
      </c>
      <c r="G42" s="31">
        <v>28</v>
      </c>
      <c r="H42" s="31">
        <v>28</v>
      </c>
    </row>
    <row r="43" spans="2:8" ht="14" x14ac:dyDescent="0.3">
      <c r="B43" s="3" t="s">
        <v>121</v>
      </c>
      <c r="D43" s="31">
        <v>28</v>
      </c>
      <c r="E43" s="31">
        <v>28</v>
      </c>
      <c r="F43" s="31">
        <v>28</v>
      </c>
      <c r="G43" s="31">
        <v>28</v>
      </c>
      <c r="H43" s="31">
        <v>28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topLeftCell="A9"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1" t="s">
        <v>141</v>
      </c>
    </row>
    <row r="4" spans="2:15" ht="28" x14ac:dyDescent="0.3">
      <c r="B4" s="9" t="s">
        <v>3</v>
      </c>
      <c r="C4" s="9" t="s">
        <v>5</v>
      </c>
      <c r="D4" s="9" t="s">
        <v>142</v>
      </c>
      <c r="E4" s="9" t="s">
        <v>143</v>
      </c>
      <c r="F4" s="9" t="s">
        <v>144</v>
      </c>
      <c r="G4" s="9" t="s">
        <v>145</v>
      </c>
      <c r="H4" s="9" t="s">
        <v>146</v>
      </c>
      <c r="I4" s="9" t="s">
        <v>147</v>
      </c>
      <c r="J4" s="9" t="s">
        <v>148</v>
      </c>
      <c r="K4" s="9" t="s">
        <v>149</v>
      </c>
      <c r="L4" s="9" t="s">
        <v>150</v>
      </c>
      <c r="M4" s="9" t="s">
        <v>151</v>
      </c>
      <c r="N4" s="9" t="s">
        <v>152</v>
      </c>
      <c r="O4" s="9" t="s">
        <v>153</v>
      </c>
    </row>
    <row r="5" spans="2:15" ht="14" x14ac:dyDescent="0.3">
      <c r="B5" s="3" t="s">
        <v>154</v>
      </c>
      <c r="C5" t="s">
        <v>155</v>
      </c>
      <c r="D5" s="32">
        <v>145514.52876799999</v>
      </c>
      <c r="E5" s="32">
        <v>143214.52876799999</v>
      </c>
      <c r="F5" s="32">
        <v>34289</v>
      </c>
      <c r="G5" s="32">
        <v>6900</v>
      </c>
      <c r="H5" s="32">
        <v>6747</v>
      </c>
      <c r="I5" s="32">
        <v>5310</v>
      </c>
      <c r="J5" s="33">
        <f>E5/G5</f>
        <v>20.755728806956519</v>
      </c>
      <c r="K5" s="33">
        <f>E5/F5</f>
        <v>4.1766901562600252</v>
      </c>
      <c r="L5" s="33">
        <f>D5/I5</f>
        <v>27.403866058003764</v>
      </c>
      <c r="M5" s="33">
        <v>9.0997766723782121</v>
      </c>
      <c r="N5" s="34">
        <f>H5/F5</f>
        <v>0.19676864300504535</v>
      </c>
      <c r="O5" s="34">
        <v>0.33206178475392412</v>
      </c>
    </row>
    <row r="6" spans="2:15" ht="14" x14ac:dyDescent="0.3">
      <c r="B6" s="3" t="s">
        <v>156</v>
      </c>
      <c r="C6" t="s">
        <v>157</v>
      </c>
      <c r="D6" s="32">
        <v>291510.386688</v>
      </c>
      <c r="E6" s="32">
        <v>246510.386688</v>
      </c>
      <c r="F6" s="32">
        <v>80161</v>
      </c>
      <c r="G6" s="32">
        <v>22300</v>
      </c>
      <c r="H6" s="32">
        <v>21442</v>
      </c>
      <c r="I6" s="32">
        <v>15950</v>
      </c>
      <c r="J6" s="33">
        <f>E6/G6</f>
        <v>11.054277429955157</v>
      </c>
      <c r="K6" s="33">
        <f>E6/F6</f>
        <v>3.0751910116889758</v>
      </c>
      <c r="L6" s="33">
        <f>D6/I6</f>
        <v>18.27651327197492</v>
      </c>
      <c r="M6" s="33">
        <v>4.8585064447999997</v>
      </c>
      <c r="N6" s="34">
        <f>H6/F6</f>
        <v>0.26748668305036116</v>
      </c>
      <c r="O6" s="34">
        <v>0.26583333333333331</v>
      </c>
    </row>
    <row r="7" spans="2:15" ht="14" x14ac:dyDescent="0.3">
      <c r="B7" s="3" t="s">
        <v>158</v>
      </c>
      <c r="C7" t="s">
        <v>159</v>
      </c>
      <c r="D7" s="32">
        <v>166705.39775999999</v>
      </c>
      <c r="E7" s="32">
        <v>178705.39775999999</v>
      </c>
      <c r="F7" s="32">
        <v>60952</v>
      </c>
      <c r="G7" s="32">
        <v>7800</v>
      </c>
      <c r="H7" s="32">
        <v>6335</v>
      </c>
      <c r="I7" s="32">
        <v>6054</v>
      </c>
      <c r="J7" s="33">
        <f>E7/G7</f>
        <v>22.910948430769231</v>
      </c>
      <c r="K7" s="33">
        <f>E7/F7</f>
        <v>2.9319037563984773</v>
      </c>
      <c r="L7" s="33">
        <f>D7/I7</f>
        <v>27.536405312190286</v>
      </c>
      <c r="M7" s="33">
        <v>3.0310072319999999</v>
      </c>
      <c r="N7" s="34">
        <f>H7/F7</f>
        <v>0.10393424333902086</v>
      </c>
      <c r="O7" s="34">
        <v>0.11007272727272729</v>
      </c>
    </row>
    <row r="8" spans="2:15" ht="14" x14ac:dyDescent="0.3">
      <c r="B8" s="3" t="s">
        <v>160</v>
      </c>
      <c r="C8" t="s">
        <v>161</v>
      </c>
      <c r="D8" s="32">
        <v>10099.204095999999</v>
      </c>
      <c r="E8" s="32">
        <v>13099.204095999999</v>
      </c>
      <c r="F8" s="32">
        <v>22657</v>
      </c>
      <c r="G8" s="32">
        <v>2400</v>
      </c>
      <c r="H8" s="32">
        <v>1759</v>
      </c>
      <c r="I8" s="32">
        <v>-257</v>
      </c>
      <c r="J8" s="33">
        <f>E8/G8</f>
        <v>5.4580017066666668</v>
      </c>
      <c r="K8" s="33">
        <f>E8/F8</f>
        <v>0.57815262815024049</v>
      </c>
      <c r="L8" s="35" t="s">
        <v>8</v>
      </c>
      <c r="M8" s="33">
        <v>1.1881416583529409</v>
      </c>
      <c r="N8" s="34">
        <f>H8/F8</f>
        <v>7.7636050668667522E-2</v>
      </c>
      <c r="O8" s="34">
        <v>-3.0235294117647062E-2</v>
      </c>
    </row>
    <row r="9" spans="2:15" ht="14" x14ac:dyDescent="0.3">
      <c r="B9" s="3" t="s">
        <v>162</v>
      </c>
      <c r="C9" t="s">
        <v>163</v>
      </c>
      <c r="D9" s="32">
        <v>8908.2306559999997</v>
      </c>
      <c r="E9" s="32">
        <v>5408.2306559999997</v>
      </c>
      <c r="F9" s="32">
        <v>4910</v>
      </c>
      <c r="G9" s="32">
        <v>1750</v>
      </c>
      <c r="H9" s="32">
        <v>1640</v>
      </c>
      <c r="I9" s="32">
        <v>1080</v>
      </c>
      <c r="J9" s="33">
        <f>E9/G9</f>
        <v>3.0904175177142856</v>
      </c>
      <c r="K9" s="33">
        <f>E9/F9</f>
        <v>1.1014726386965377</v>
      </c>
      <c r="L9" s="33">
        <f>D9/I9</f>
        <v>8.2483617185185185</v>
      </c>
      <c r="M9" s="33">
        <v>1.7546249076226119</v>
      </c>
      <c r="N9" s="34">
        <f>H9/F9</f>
        <v>0.33401221995926678</v>
      </c>
      <c r="O9" s="34">
        <v>0.21272404963561159</v>
      </c>
    </row>
    <row r="14" spans="2:15" ht="14" x14ac:dyDescent="0.3">
      <c r="B14" s="2" t="s">
        <v>164</v>
      </c>
    </row>
    <row r="15" spans="2:15" ht="14" x14ac:dyDescent="0.3">
      <c r="B15" s="3" t="s">
        <v>165</v>
      </c>
      <c r="D15" s="33">
        <f t="shared" ref="D15:I15" si="0">PERCENTILE(J5:J9,0.25)</f>
        <v>5.4580017066666668</v>
      </c>
      <c r="E15" s="33">
        <f t="shared" si="0"/>
        <v>1.1014726386965377</v>
      </c>
      <c r="F15" s="33">
        <f t="shared" si="0"/>
        <v>15.769475383610819</v>
      </c>
      <c r="G15" s="33">
        <f t="shared" si="0"/>
        <v>1.7546249076226119</v>
      </c>
      <c r="H15" s="34">
        <f t="shared" si="0"/>
        <v>0.10393424333902086</v>
      </c>
      <c r="I15" s="34">
        <f t="shared" si="0"/>
        <v>0.11007272727272729</v>
      </c>
    </row>
    <row r="16" spans="2:15" ht="14" x14ac:dyDescent="0.3">
      <c r="B16" s="3" t="s">
        <v>166</v>
      </c>
      <c r="D16" s="33">
        <f t="shared" ref="D16:I16" si="1">MEDIAN(J5:J9)</f>
        <v>11.054277429955157</v>
      </c>
      <c r="E16" s="33">
        <f t="shared" si="1"/>
        <v>2.9319037563984773</v>
      </c>
      <c r="F16" s="33">
        <f t="shared" si="1"/>
        <v>22.840189664989342</v>
      </c>
      <c r="G16" s="33">
        <f t="shared" si="1"/>
        <v>3.0310072319999999</v>
      </c>
      <c r="H16" s="34">
        <f t="shared" si="1"/>
        <v>0.19676864300504535</v>
      </c>
      <c r="I16" s="34">
        <f t="shared" si="1"/>
        <v>0.21272404963561159</v>
      </c>
    </row>
    <row r="17" spans="2:9" ht="14" x14ac:dyDescent="0.3">
      <c r="B17" s="3" t="s">
        <v>167</v>
      </c>
      <c r="D17" s="33">
        <f t="shared" ref="D17:I17" si="2">PERCENTILE(J5:J9,0.75)</f>
        <v>20.755728806956519</v>
      </c>
      <c r="E17" s="33">
        <f t="shared" si="2"/>
        <v>3.0751910116889758</v>
      </c>
      <c r="F17" s="33">
        <f t="shared" si="2"/>
        <v>27.437000871550396</v>
      </c>
      <c r="G17" s="33">
        <f t="shared" si="2"/>
        <v>4.8585064447999997</v>
      </c>
      <c r="H17" s="34">
        <f t="shared" si="2"/>
        <v>0.26748668305036116</v>
      </c>
      <c r="I17" s="34">
        <f t="shared" si="2"/>
        <v>0.26583333333333331</v>
      </c>
    </row>
    <row r="19" spans="2:9" ht="14" x14ac:dyDescent="0.3">
      <c r="B19" s="21" t="s">
        <v>168</v>
      </c>
      <c r="C19" s="22"/>
      <c r="D19" s="22"/>
      <c r="E19" s="22"/>
      <c r="F19" s="22"/>
      <c r="G19" s="22"/>
      <c r="H19" s="22"/>
      <c r="I19" s="22"/>
    </row>
    <row r="20" spans="2:9" ht="14" x14ac:dyDescent="0.3">
      <c r="B20" s="2" t="s">
        <v>169</v>
      </c>
    </row>
    <row r="21" spans="2:9" ht="14" x14ac:dyDescent="0.3">
      <c r="B21" s="3" t="s">
        <v>170</v>
      </c>
      <c r="C21" s="4">
        <v>7006.4859999999999</v>
      </c>
    </row>
    <row r="22" spans="2:9" ht="14" x14ac:dyDescent="0.3">
      <c r="B22" s="3" t="s">
        <v>171</v>
      </c>
      <c r="C22" s="4">
        <v>5310.2309999999998</v>
      </c>
    </row>
    <row r="23" spans="2:9" ht="14" x14ac:dyDescent="0.3">
      <c r="B23" s="3" t="s">
        <v>172</v>
      </c>
      <c r="C23" s="14">
        <v>99735797</v>
      </c>
    </row>
    <row r="24" spans="2:9" ht="14" x14ac:dyDescent="0.3">
      <c r="B24" s="3" t="s">
        <v>70</v>
      </c>
      <c r="C24" s="4">
        <v>-2300</v>
      </c>
    </row>
    <row r="26" spans="2:9" ht="14" x14ac:dyDescent="0.3">
      <c r="B26" s="2" t="s">
        <v>173</v>
      </c>
    </row>
    <row r="27" spans="2:9" ht="14" x14ac:dyDescent="0.3">
      <c r="B27" s="3" t="s">
        <v>174</v>
      </c>
      <c r="C27" s="23">
        <f>ROUND((C21*D16-C24)*1000000/C23,0)</f>
        <v>800</v>
      </c>
    </row>
    <row r="28" spans="2:9" ht="14" x14ac:dyDescent="0.3">
      <c r="B28" s="3" t="s">
        <v>175</v>
      </c>
      <c r="C28" s="23">
        <f>ROUND(C22*F16*1000000/C23,0)</f>
        <v>1216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topLeftCell="A3"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1" t="s">
        <v>176</v>
      </c>
    </row>
    <row r="3" spans="2:9" ht="14" x14ac:dyDescent="0.3">
      <c r="B3" s="3" t="s">
        <v>177</v>
      </c>
      <c r="C3" s="15">
        <f>'DCF Model'!C26</f>
        <v>0.11976190476190475</v>
      </c>
      <c r="E3" s="3" t="s">
        <v>178</v>
      </c>
      <c r="F3" s="15">
        <f>'DCF Model'!C13</f>
        <v>1.4999999999999999E-2</v>
      </c>
      <c r="H3" s="3" t="s">
        <v>179</v>
      </c>
      <c r="I3" s="13">
        <f>'DCF Model'!C14</f>
        <v>12</v>
      </c>
    </row>
    <row r="5" spans="2:9" ht="14" x14ac:dyDescent="0.3">
      <c r="B5" s="2" t="s">
        <v>180</v>
      </c>
    </row>
    <row r="6" spans="2:9" ht="14" x14ac:dyDescent="0.3">
      <c r="B6" s="36" t="s">
        <v>181</v>
      </c>
      <c r="C6" s="37">
        <f>$F$3-0.0075</f>
        <v>7.4999999999999997E-3</v>
      </c>
      <c r="D6" s="37">
        <f>$F$3-0.005</f>
        <v>9.9999999999999985E-3</v>
      </c>
      <c r="E6" s="37">
        <f>$F$3-0.0025</f>
        <v>1.2499999999999999E-2</v>
      </c>
      <c r="F6" s="37">
        <f>$F$3</f>
        <v>1.4999999999999999E-2</v>
      </c>
      <c r="G6" s="37">
        <f>$F$3+0.0025</f>
        <v>1.7499999999999998E-2</v>
      </c>
      <c r="H6" s="37">
        <f>$F$3+0.005</f>
        <v>0.02</v>
      </c>
      <c r="I6" s="37">
        <f>$F$3+0.0075</f>
        <v>2.2499999999999999E-2</v>
      </c>
    </row>
    <row r="7" spans="2:9" ht="13.5" x14ac:dyDescent="0.25">
      <c r="B7" s="34">
        <f>$C$3-0.015</f>
        <v>0.10476190476190475</v>
      </c>
      <c r="C7" s="32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1031</v>
      </c>
      <c r="D7" s="32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1052</v>
      </c>
      <c r="E7" s="32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1075</v>
      </c>
      <c r="F7" s="32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1099</v>
      </c>
      <c r="G7" s="32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1124</v>
      </c>
      <c r="H7" s="32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1150</v>
      </c>
      <c r="I7" s="32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1179</v>
      </c>
    </row>
    <row r="8" spans="2:9" ht="13.5" x14ac:dyDescent="0.25">
      <c r="B8" s="34">
        <f>$C$3-0.01</f>
        <v>0.10976190476190475</v>
      </c>
      <c r="C8" s="32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975</v>
      </c>
      <c r="D8" s="32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994</v>
      </c>
      <c r="E8" s="32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1014</v>
      </c>
      <c r="F8" s="32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1035</v>
      </c>
      <c r="G8" s="32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1057</v>
      </c>
      <c r="H8" s="32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1080</v>
      </c>
      <c r="I8" s="32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1105</v>
      </c>
    </row>
    <row r="9" spans="2:9" ht="13.5" x14ac:dyDescent="0.25">
      <c r="B9" s="34">
        <f>$C$3-0.005</f>
        <v>0.11476190476190475</v>
      </c>
      <c r="C9" s="32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924</v>
      </c>
      <c r="D9" s="32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941</v>
      </c>
      <c r="E9" s="32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959</v>
      </c>
      <c r="F9" s="32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978</v>
      </c>
      <c r="G9" s="32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997</v>
      </c>
      <c r="H9" s="32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1018</v>
      </c>
      <c r="I9" s="32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1040</v>
      </c>
    </row>
    <row r="10" spans="2:9" ht="13.5" x14ac:dyDescent="0.25">
      <c r="B10" s="34">
        <f>$C$3</f>
        <v>0.11976190476190475</v>
      </c>
      <c r="C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879</v>
      </c>
      <c r="D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894</v>
      </c>
      <c r="E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909</v>
      </c>
      <c r="F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926</v>
      </c>
      <c r="G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943</v>
      </c>
      <c r="H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962</v>
      </c>
      <c r="I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981</v>
      </c>
    </row>
    <row r="11" spans="2:9" ht="13.5" x14ac:dyDescent="0.25">
      <c r="B11" s="34">
        <f>$C$3+0.005</f>
        <v>0.12476190476190475</v>
      </c>
      <c r="C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837</v>
      </c>
      <c r="D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850</v>
      </c>
      <c r="E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864</v>
      </c>
      <c r="F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879</v>
      </c>
      <c r="G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895</v>
      </c>
      <c r="H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911</v>
      </c>
      <c r="I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928</v>
      </c>
    </row>
    <row r="12" spans="2:9" ht="13.5" x14ac:dyDescent="0.25">
      <c r="B12" s="34">
        <f>$C$3+0.01</f>
        <v>0.12976190476190474</v>
      </c>
      <c r="C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798</v>
      </c>
      <c r="D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810</v>
      </c>
      <c r="E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823</v>
      </c>
      <c r="F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837</v>
      </c>
      <c r="G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851</v>
      </c>
      <c r="H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865</v>
      </c>
      <c r="I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880</v>
      </c>
    </row>
    <row r="13" spans="2:9" ht="13.5" x14ac:dyDescent="0.25">
      <c r="B13" s="34">
        <f>$C$3+0.015</f>
        <v>0.13476190476190475</v>
      </c>
      <c r="C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763</v>
      </c>
      <c r="D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774</v>
      </c>
      <c r="E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785</v>
      </c>
      <c r="F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798</v>
      </c>
      <c r="G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810</v>
      </c>
      <c r="H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823</v>
      </c>
      <c r="I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837</v>
      </c>
    </row>
    <row r="16" spans="2:9" ht="14" x14ac:dyDescent="0.3">
      <c r="B16" s="2" t="s">
        <v>182</v>
      </c>
    </row>
    <row r="17" spans="2:9" ht="14" x14ac:dyDescent="0.3">
      <c r="B17" s="36" t="s">
        <v>183</v>
      </c>
      <c r="C17" s="38">
        <f>$I$3-3</f>
        <v>9</v>
      </c>
      <c r="D17" s="38">
        <f>$I$3-2</f>
        <v>10</v>
      </c>
      <c r="E17" s="38">
        <f>$I$3-1</f>
        <v>11</v>
      </c>
      <c r="F17" s="38">
        <f>$I$3</f>
        <v>12</v>
      </c>
      <c r="G17" s="38">
        <f>$I$3+1</f>
        <v>13</v>
      </c>
      <c r="H17" s="38">
        <f>$I$3+2</f>
        <v>14</v>
      </c>
      <c r="I17" s="38">
        <f>$I$3+3</f>
        <v>15</v>
      </c>
    </row>
    <row r="18" spans="2:9" ht="13.5" x14ac:dyDescent="0.25">
      <c r="B18" s="34">
        <f>$C$3-0.015</f>
        <v>0.10476190476190475</v>
      </c>
      <c r="C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1376</v>
      </c>
      <c r="D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1496</v>
      </c>
      <c r="E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1617</v>
      </c>
      <c r="F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1737</v>
      </c>
      <c r="G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1857</v>
      </c>
      <c r="H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1978</v>
      </c>
      <c r="I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2098</v>
      </c>
    </row>
    <row r="19" spans="2:9" ht="13.5" x14ac:dyDescent="0.25">
      <c r="B19" s="34">
        <f>$C$3-0.01</f>
        <v>0.10976190476190475</v>
      </c>
      <c r="C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1348</v>
      </c>
      <c r="D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1465</v>
      </c>
      <c r="E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1583</v>
      </c>
      <c r="F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1701</v>
      </c>
      <c r="G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1818</v>
      </c>
      <c r="H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1936</v>
      </c>
      <c r="I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2054</v>
      </c>
    </row>
    <row r="20" spans="2:9" ht="13.5" x14ac:dyDescent="0.25">
      <c r="B20" s="34">
        <f>$C$3-0.005</f>
        <v>0.11476190476190475</v>
      </c>
      <c r="C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1320</v>
      </c>
      <c r="D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1435</v>
      </c>
      <c r="E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1550</v>
      </c>
      <c r="F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1665</v>
      </c>
      <c r="G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1780</v>
      </c>
      <c r="H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1895</v>
      </c>
      <c r="I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2010</v>
      </c>
    </row>
    <row r="21" spans="2:9" ht="13.5" x14ac:dyDescent="0.25">
      <c r="B21" s="34">
        <f>$C$3</f>
        <v>0.11976190476190475</v>
      </c>
      <c r="C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1293</v>
      </c>
      <c r="D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1406</v>
      </c>
      <c r="E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1518</v>
      </c>
      <c r="F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1631</v>
      </c>
      <c r="G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1743</v>
      </c>
      <c r="H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1856</v>
      </c>
      <c r="I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1968</v>
      </c>
    </row>
    <row r="22" spans="2:9" ht="13.5" x14ac:dyDescent="0.25">
      <c r="B22" s="34">
        <f>$C$3+0.005</f>
        <v>0.12476190476190475</v>
      </c>
      <c r="C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1267</v>
      </c>
      <c r="D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1377</v>
      </c>
      <c r="E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1487</v>
      </c>
      <c r="F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1597</v>
      </c>
      <c r="G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1707</v>
      </c>
      <c r="H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1817</v>
      </c>
      <c r="I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1927</v>
      </c>
    </row>
    <row r="23" spans="2:9" ht="13.5" x14ac:dyDescent="0.25">
      <c r="B23" s="34">
        <f>$C$3+0.01</f>
        <v>0.12976190476190474</v>
      </c>
      <c r="C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1241</v>
      </c>
      <c r="D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1349</v>
      </c>
      <c r="E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1457</v>
      </c>
      <c r="F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1564</v>
      </c>
      <c r="G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1672</v>
      </c>
      <c r="H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1780</v>
      </c>
      <c r="I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1887</v>
      </c>
    </row>
    <row r="24" spans="2:9" ht="13.5" x14ac:dyDescent="0.25">
      <c r="B24" s="34">
        <f>$C$3+0.015</f>
        <v>0.13476190476190475</v>
      </c>
      <c r="C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1217</v>
      </c>
      <c r="D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1322</v>
      </c>
      <c r="E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1427</v>
      </c>
      <c r="F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1532</v>
      </c>
      <c r="G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1638</v>
      </c>
      <c r="H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1743</v>
      </c>
      <c r="I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1848</v>
      </c>
    </row>
    <row r="26" spans="2:9" ht="14" x14ac:dyDescent="0.3">
      <c r="B26" s="41" t="s">
        <v>184</v>
      </c>
      <c r="C26" s="40"/>
      <c r="D26" s="40"/>
      <c r="E26" s="40"/>
      <c r="F26" s="40"/>
      <c r="G26" s="40"/>
      <c r="H26" s="40"/>
      <c r="I26" s="40"/>
    </row>
  </sheetData>
  <mergeCells count="1">
    <mergeCell ref="B26:I26"/>
  </mergeCells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2026-06-17T13:40:46Z</dcterms:created>
  <dcterms:modified xsi:type="dcterms:W3CDTF">2026-06-17T13:46:24Z</dcterms:modified>
</cp:coreProperties>
</file>