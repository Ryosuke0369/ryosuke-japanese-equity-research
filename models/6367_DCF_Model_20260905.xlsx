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7780FD9A-489D-4E6D-A4B9-92FECC433FDE}"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H16" i="6" s="1"/>
  <c r="M8" i="6"/>
  <c r="L8" i="6"/>
  <c r="K8" i="6"/>
  <c r="J8" i="6"/>
  <c r="O7" i="6"/>
  <c r="N7" i="6"/>
  <c r="M7" i="6"/>
  <c r="L7" i="6"/>
  <c r="F15" i="6" s="1"/>
  <c r="K7" i="6"/>
  <c r="J7" i="6"/>
  <c r="O6" i="6"/>
  <c r="N6" i="6"/>
  <c r="M6" i="6"/>
  <c r="L6" i="6"/>
  <c r="K6" i="6"/>
  <c r="J6" i="6"/>
  <c r="D17" i="6" s="1"/>
  <c r="O5" i="6"/>
  <c r="N5" i="6"/>
  <c r="D5" i="6"/>
  <c r="E5" i="6" s="1"/>
  <c r="C16" i="5"/>
  <c r="C14" i="5"/>
  <c r="C18" i="5" s="1"/>
  <c r="C7" i="5"/>
  <c r="C6" i="5"/>
  <c r="C5" i="5"/>
  <c r="C13" i="4"/>
  <c r="C12" i="4"/>
  <c r="C9" i="4"/>
  <c r="C7" i="4"/>
  <c r="C6" i="4"/>
  <c r="C8" i="4" s="1"/>
  <c r="C10" i="4" s="1"/>
  <c r="D27" i="3"/>
  <c r="G5" i="5" s="1"/>
  <c r="C25" i="3"/>
  <c r="C24" i="3"/>
  <c r="C23" i="3"/>
  <c r="C26" i="3" s="1"/>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E15" i="6" l="1"/>
  <c r="F16" i="6"/>
  <c r="C28" i="6" s="1"/>
  <c r="C19" i="1" s="1"/>
  <c r="D19" i="1" s="1"/>
  <c r="G15" i="6"/>
  <c r="H15" i="6"/>
  <c r="I16" i="6"/>
  <c r="C70" i="4"/>
  <c r="C71" i="4"/>
  <c r="J5" i="6"/>
  <c r="K5" i="6"/>
  <c r="C3" i="7"/>
  <c r="G36" i="4"/>
  <c r="C11" i="4"/>
  <c r="C24" i="4" s="1"/>
  <c r="C25" i="4" s="1"/>
  <c r="G46" i="3"/>
  <c r="B31" i="1"/>
  <c r="F36" i="4"/>
  <c r="F46" i="3"/>
  <c r="D36" i="4"/>
  <c r="D46" i="3"/>
  <c r="C46" i="3"/>
  <c r="B25" i="1"/>
  <c r="H36" i="4"/>
  <c r="E36" i="4"/>
  <c r="E46" i="3"/>
  <c r="E5" i="5"/>
  <c r="C31" i="3"/>
  <c r="F32" i="3"/>
  <c r="H5" i="5"/>
  <c r="D7" i="5"/>
  <c r="I15" i="6"/>
  <c r="E17" i="6"/>
  <c r="I6" i="7"/>
  <c r="D31" i="3"/>
  <c r="G32" i="3"/>
  <c r="E7" i="5"/>
  <c r="L5" i="6"/>
  <c r="D16" i="6"/>
  <c r="F17" i="6"/>
  <c r="C17" i="7"/>
  <c r="E31" i="3"/>
  <c r="D6" i="5"/>
  <c r="F7" i="5"/>
  <c r="M5" i="6"/>
  <c r="E16" i="6"/>
  <c r="G17" i="6"/>
  <c r="C6" i="7"/>
  <c r="D17" i="7"/>
  <c r="E30" i="3"/>
  <c r="C30" i="3"/>
  <c r="C33" i="3" s="1"/>
  <c r="F31" i="3"/>
  <c r="E6" i="5"/>
  <c r="G7" i="5"/>
  <c r="D15" i="6"/>
  <c r="H17" i="6"/>
  <c r="D6" i="7"/>
  <c r="E17" i="7"/>
  <c r="D30" i="3"/>
  <c r="G31" i="3"/>
  <c r="D5" i="5"/>
  <c r="F6" i="5"/>
  <c r="H7" i="5"/>
  <c r="G16" i="6"/>
  <c r="I17" i="6"/>
  <c r="E6" i="7"/>
  <c r="F17" i="7"/>
  <c r="F6" i="7"/>
  <c r="G17" i="7"/>
  <c r="C32" i="3"/>
  <c r="G6" i="5"/>
  <c r="F30" i="3"/>
  <c r="D32" i="3"/>
  <c r="F5" i="5"/>
  <c r="H6" i="5"/>
  <c r="G6" i="7"/>
  <c r="H17" i="7"/>
  <c r="G30" i="3"/>
  <c r="E32" i="3"/>
  <c r="C29" i="4" l="1"/>
  <c r="C27" i="4"/>
  <c r="C26" i="4"/>
  <c r="H40" i="4"/>
  <c r="H44" i="4"/>
  <c r="H38" i="4"/>
  <c r="H41" i="4"/>
  <c r="H51" i="4" s="1"/>
  <c r="H56" i="4" s="1"/>
  <c r="H45" i="4"/>
  <c r="H39" i="4"/>
  <c r="H43" i="4"/>
  <c r="H46" i="4"/>
  <c r="G46" i="4"/>
  <c r="G40" i="4"/>
  <c r="G38" i="4"/>
  <c r="G41" i="4"/>
  <c r="G51" i="4" s="1"/>
  <c r="G56" i="4" s="1"/>
  <c r="G45" i="4"/>
  <c r="G39" i="4"/>
  <c r="G43" i="4"/>
  <c r="G44" i="4"/>
  <c r="F43" i="4"/>
  <c r="F46" i="4"/>
  <c r="F40" i="4"/>
  <c r="F44" i="4"/>
  <c r="F38" i="4"/>
  <c r="F48" i="4" s="1"/>
  <c r="F53" i="4" s="1"/>
  <c r="F41" i="4"/>
  <c r="F45" i="4"/>
  <c r="F39" i="4"/>
  <c r="E39" i="4"/>
  <c r="E43" i="4"/>
  <c r="E46" i="4"/>
  <c r="E40" i="4"/>
  <c r="E50" i="4" s="1"/>
  <c r="E55" i="4" s="1"/>
  <c r="E44" i="4"/>
  <c r="E38" i="4"/>
  <c r="E41" i="4"/>
  <c r="E45" i="4"/>
  <c r="B30" i="1"/>
  <c r="B24" i="1"/>
  <c r="B13" i="7"/>
  <c r="B12" i="7"/>
  <c r="B11" i="7"/>
  <c r="B10" i="7"/>
  <c r="B9" i="7"/>
  <c r="B8" i="7"/>
  <c r="B7" i="7"/>
  <c r="B24" i="7"/>
  <c r="B23" i="7"/>
  <c r="B22" i="7"/>
  <c r="B21" i="7"/>
  <c r="B20" i="7"/>
  <c r="B19" i="7"/>
  <c r="B18" i="7"/>
  <c r="C27" i="6"/>
  <c r="C18" i="1" s="1"/>
  <c r="D18" i="1" s="1"/>
  <c r="C74" i="4"/>
  <c r="C42" i="3"/>
  <c r="C34" i="3"/>
  <c r="D10" i="5" s="1"/>
  <c r="C37" i="3"/>
  <c r="C43" i="3"/>
  <c r="D33" i="3"/>
  <c r="D9" i="5"/>
  <c r="D12" i="5" s="1"/>
  <c r="D45" i="4"/>
  <c r="D39" i="4"/>
  <c r="D46" i="4"/>
  <c r="D43" i="4"/>
  <c r="D40" i="4"/>
  <c r="D44" i="4"/>
  <c r="D38" i="4"/>
  <c r="D41" i="4"/>
  <c r="E51" i="4" l="1"/>
  <c r="E56" i="4" s="1"/>
  <c r="E49" i="4"/>
  <c r="E54" i="4" s="1"/>
  <c r="H50" i="4"/>
  <c r="H55" i="4" s="1"/>
  <c r="G50" i="4"/>
  <c r="G55" i="4" s="1"/>
  <c r="D48" i="4"/>
  <c r="D53" i="4" s="1"/>
  <c r="D37" i="3"/>
  <c r="E9" i="5"/>
  <c r="E12" i="5" s="1"/>
  <c r="D35" i="3"/>
  <c r="E33" i="3"/>
  <c r="D42" i="3"/>
  <c r="D34" i="3"/>
  <c r="E10" i="5" s="1"/>
  <c r="D43" i="3"/>
  <c r="F49" i="4"/>
  <c r="D51" i="4"/>
  <c r="D56" i="4" s="1"/>
  <c r="C35" i="3"/>
  <c r="D50" i="4"/>
  <c r="D55" i="4" s="1"/>
  <c r="E48" i="4"/>
  <c r="E53" i="4" s="1"/>
  <c r="F51" i="4"/>
  <c r="F56" i="4" s="1"/>
  <c r="G49" i="4"/>
  <c r="G54" i="4" s="1"/>
  <c r="H49" i="4"/>
  <c r="H54" i="4" s="1"/>
  <c r="D15" i="5"/>
  <c r="D16" i="5" s="1"/>
  <c r="D13" i="5"/>
  <c r="D14" i="5" s="1"/>
  <c r="D18" i="5" s="1"/>
  <c r="D19" i="5" s="1"/>
  <c r="C44" i="3" s="1"/>
  <c r="D49" i="4"/>
  <c r="D54" i="4" s="1"/>
  <c r="F50" i="4"/>
  <c r="F55" i="4" s="1"/>
  <c r="G48" i="4"/>
  <c r="G53" i="4" s="1"/>
  <c r="H48" i="4"/>
  <c r="H53" i="4" s="1"/>
  <c r="F9" i="5" l="1"/>
  <c r="F12" i="5" s="1"/>
  <c r="E43" i="3"/>
  <c r="E42" i="3"/>
  <c r="E34" i="3"/>
  <c r="F10" i="5" s="1"/>
  <c r="E37" i="3"/>
  <c r="F33" i="3"/>
  <c r="C38" i="3"/>
  <c r="C36" i="3"/>
  <c r="C39" i="3"/>
  <c r="D38" i="3"/>
  <c r="D36" i="3"/>
  <c r="D39" i="3"/>
  <c r="E14" i="5"/>
  <c r="F54" i="4"/>
  <c r="B78" i="4" s="1"/>
  <c r="C60" i="4"/>
  <c r="E15" i="5"/>
  <c r="E16" i="5" s="1"/>
  <c r="E13" i="5"/>
  <c r="E18" i="5" l="1"/>
  <c r="E19" i="5" s="1"/>
  <c r="D44" i="3" s="1"/>
  <c r="F43" i="3"/>
  <c r="G33" i="3"/>
  <c r="F42" i="3"/>
  <c r="F34" i="3"/>
  <c r="G10" i="5" s="1"/>
  <c r="F37" i="3"/>
  <c r="G9" i="5"/>
  <c r="G12" i="5" s="1"/>
  <c r="F13" i="5"/>
  <c r="F14" i="5" s="1"/>
  <c r="F18" i="5" s="1"/>
  <c r="F19" i="5" s="1"/>
  <c r="E44" i="3" s="1"/>
  <c r="F15" i="5"/>
  <c r="F16" i="5" s="1"/>
  <c r="C40" i="3"/>
  <c r="C41" i="3"/>
  <c r="C45" i="3" s="1"/>
  <c r="C65" i="4"/>
  <c r="D65" i="4" s="1"/>
  <c r="C64" i="4"/>
  <c r="D64" i="4" s="1"/>
  <c r="C67" i="4"/>
  <c r="D67" i="4" s="1"/>
  <c r="C63" i="4"/>
  <c r="D63" i="4" s="1"/>
  <c r="C66" i="4"/>
  <c r="D66" i="4" s="1"/>
  <c r="D40" i="3"/>
  <c r="D41" i="3"/>
  <c r="D45" i="3" s="1"/>
  <c r="D47" i="3" s="1"/>
  <c r="E35" i="3"/>
  <c r="G13" i="5" l="1"/>
  <c r="G14" i="5" s="1"/>
  <c r="G15" i="5"/>
  <c r="G16" i="5" s="1"/>
  <c r="E36" i="3"/>
  <c r="E39" i="3"/>
  <c r="E38" i="3"/>
  <c r="C47" i="3"/>
  <c r="G42" i="3"/>
  <c r="G34" i="3"/>
  <c r="H10" i="5" s="1"/>
  <c r="C16" i="4"/>
  <c r="C28" i="4" s="1"/>
  <c r="G37" i="3"/>
  <c r="H9" i="5"/>
  <c r="H12" i="5" s="1"/>
  <c r="G43" i="3"/>
  <c r="F35" i="3"/>
  <c r="G35" i="3" l="1"/>
  <c r="G18" i="5"/>
  <c r="G19" i="5" s="1"/>
  <c r="F44" i="3" s="1"/>
  <c r="E40" i="3"/>
  <c r="E41" i="3"/>
  <c r="E45" i="3" s="1"/>
  <c r="G38" i="3"/>
  <c r="G36" i="3"/>
  <c r="G39" i="3"/>
  <c r="H15" i="5"/>
  <c r="H16" i="5" s="1"/>
  <c r="H13" i="5"/>
  <c r="H14" i="5" s="1"/>
  <c r="C72" i="4"/>
  <c r="C73" i="4"/>
  <c r="F38" i="3"/>
  <c r="F36" i="3"/>
  <c r="F39" i="3"/>
  <c r="H18" i="5" l="1"/>
  <c r="H19" i="5" s="1"/>
  <c r="G44" i="3" s="1"/>
  <c r="F40" i="3"/>
  <c r="F41" i="3" s="1"/>
  <c r="F45" i="3" s="1"/>
  <c r="C59" i="3"/>
  <c r="C60" i="3" s="1"/>
  <c r="C61" i="3" s="1"/>
  <c r="G40" i="3"/>
  <c r="G41" i="3" s="1"/>
  <c r="G45" i="3" s="1"/>
  <c r="E47" i="3"/>
  <c r="F47" i="3" l="1"/>
  <c r="H20" i="7"/>
  <c r="C8" i="7"/>
  <c r="D8" i="7"/>
  <c r="E13" i="7"/>
  <c r="H8" i="7"/>
  <c r="C22" i="7"/>
  <c r="D18" i="7"/>
  <c r="H7" i="7"/>
  <c r="F20" i="7"/>
  <c r="G22" i="7"/>
  <c r="G21" i="7"/>
  <c r="G10" i="7"/>
  <c r="G8" i="7"/>
  <c r="C18" i="7"/>
  <c r="I12" i="7"/>
  <c r="I21" i="7"/>
  <c r="G24" i="7"/>
  <c r="F9" i="7"/>
  <c r="G12" i="7"/>
  <c r="G13" i="7"/>
  <c r="D24" i="7"/>
  <c r="C12" i="7"/>
  <c r="D13" i="7"/>
  <c r="G20" i="7"/>
  <c r="F13" i="7"/>
  <c r="H9" i="7"/>
  <c r="F12" i="7"/>
  <c r="G23" i="7"/>
  <c r="F8" i="7"/>
  <c r="D7" i="7"/>
  <c r="E18" i="7"/>
  <c r="D23" i="7"/>
  <c r="G18" i="7"/>
  <c r="C21" i="7"/>
  <c r="D12" i="7"/>
  <c r="F24" i="7"/>
  <c r="E11" i="7"/>
  <c r="I11" i="7"/>
  <c r="H19" i="7"/>
  <c r="E10" i="7"/>
  <c r="I8" i="7"/>
  <c r="C11" i="7"/>
  <c r="F11" i="7"/>
  <c r="I9" i="7"/>
  <c r="F7" i="7"/>
  <c r="H21" i="7"/>
  <c r="F18" i="7"/>
  <c r="I7" i="7"/>
  <c r="E24" i="7"/>
  <c r="D20" i="7"/>
  <c r="F22" i="7"/>
  <c r="I18" i="7"/>
  <c r="F19" i="7"/>
  <c r="E12" i="7"/>
  <c r="E21" i="7"/>
  <c r="F10" i="7"/>
  <c r="G7" i="7"/>
  <c r="E20" i="7"/>
  <c r="I23" i="7"/>
  <c r="D22" i="7"/>
  <c r="F21" i="7"/>
  <c r="C20" i="7"/>
  <c r="C9" i="7"/>
  <c r="C10" i="7"/>
  <c r="C23" i="7"/>
  <c r="G11" i="7"/>
  <c r="E22" i="7"/>
  <c r="D19" i="7"/>
  <c r="E8" i="7"/>
  <c r="F23" i="7"/>
  <c r="C24" i="7"/>
  <c r="C19" i="7"/>
  <c r="G9" i="7"/>
  <c r="E9" i="7"/>
  <c r="H11" i="7"/>
  <c r="H13" i="7"/>
  <c r="I24" i="7"/>
  <c r="E7" i="7"/>
  <c r="H24" i="7"/>
  <c r="D11" i="7"/>
  <c r="I22" i="7"/>
  <c r="D10" i="7"/>
  <c r="I13" i="7"/>
  <c r="I10" i="7"/>
  <c r="D9" i="7"/>
  <c r="E19" i="7"/>
  <c r="I20" i="7"/>
  <c r="E23" i="7"/>
  <c r="C13" i="7"/>
  <c r="D21" i="7"/>
  <c r="H23" i="7"/>
  <c r="H12" i="7"/>
  <c r="G19" i="7"/>
  <c r="H10" i="7"/>
  <c r="H18" i="7"/>
  <c r="C7" i="7"/>
  <c r="I19" i="7"/>
  <c r="H22" i="7"/>
  <c r="C51" i="3"/>
  <c r="C52" i="3" s="1"/>
  <c r="G47" i="3"/>
  <c r="C50" i="3" s="1"/>
  <c r="C58" i="3" l="1"/>
  <c r="C62" i="3" s="1"/>
  <c r="C53" i="3"/>
  <c r="C17" i="4" l="1"/>
  <c r="C54" i="3"/>
  <c r="C55" i="3" s="1"/>
  <c r="C16" i="1" s="1"/>
  <c r="C63" i="3"/>
  <c r="C64" i="3" s="1"/>
  <c r="C17" i="1" s="1"/>
  <c r="D17" i="1" s="1"/>
  <c r="C10" i="1" l="1"/>
  <c r="D16" i="1"/>
  <c r="C21" i="1"/>
  <c r="C19" i="4"/>
  <c r="C20" i="4" s="1"/>
  <c r="B79" i="4"/>
  <c r="B29" i="1" l="1"/>
  <c r="C12" i="1"/>
  <c r="C11" i="1" s="1"/>
  <c r="B26" i="1" l="1"/>
</calcChain>
</file>

<file path=xl/sharedStrings.xml><?xml version="1.0" encoding="utf-8"?>
<sst xmlns="http://schemas.openxmlformats.org/spreadsheetml/2006/main" count="531" uniqueCount="404">
  <si>
    <t>DISCLAIMER: This is a sample analysis for demonstration purposes only. It does not constitute investment advice.</t>
  </si>
  <si>
    <t>ダイキン工業 (6367.T)</t>
  </si>
  <si>
    <t>Equity Research Report</t>
  </si>
  <si>
    <t>Company</t>
  </si>
  <si>
    <t>ダイキン工業</t>
  </si>
  <si>
    <t>Ticker</t>
  </si>
  <si>
    <t>6367.T (TSE Prime)</t>
  </si>
  <si>
    <t>Sector</t>
  </si>
  <si>
    <t>機械</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</si>
  <si>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</si>
  <si>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</si>
  <si>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</si>
  <si>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</si>
  <si>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</si>
  <si>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</si>
  <si>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</si>
  <si>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</si>
  <si>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</si>
  <si>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</si>
  <si>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</si>
  <si>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</si>
  <si>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</si>
  <si>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</si>
  <si>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</si>
  <si>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</si>
  <si>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ダイキン工業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</si>
  <si>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</si>
  <si>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</si>
  <si>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</si>
  <si>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</si>
  <si>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</si>
  <si>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</si>
  <si>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</si>
  <si>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</si>
  <si>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</si>
  <si>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</si>
  <si>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</si>
  <si>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</si>
  <si>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</si>
  <si>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</si>
  <si>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</si>
  <si>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</si>
  <si>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</si>
  <si>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</si>
  <si>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</si>
  <si>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</si>
  <si>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</si>
  <si>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</si>
  <si>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</si>
  <si>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</si>
  <si>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</si>
  <si>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</si>
  <si>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</si>
  <si>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</si>
  <si>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ダイキン工業</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</si>
  <si>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</si>
  <si>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</si>
  <si>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</si>
  <si>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</si>
  <si>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</si>
  <si>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</si>
  <si>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</si>
  <si>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</si>
  <si>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</si>
  <si>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</si>
  <si>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</si>
  <si>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</si>
  <si>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</si>
  <si>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</si>
  <si>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</si>
  <si>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</si>
  <si>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</si>
  <si>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</si>
  <si>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</si>
  <si>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</si>
  <si>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</si>
  <si>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</si>
  <si>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</si>
  <si>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</si>
  <si>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</si>
  <si>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</si>
  <si>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</si>
  <si>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</si>
  <si>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</si>
  <si>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</si>
  <si>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</si>
  <si>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</si>
  <si>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</si>
  <si>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</si>
  <si>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</si>
  <si>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</si>
  <si>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</si>
  <si>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</si>
  <si>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</si>
  <si>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</si>
  <si>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</si>
  <si>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</si>
  <si>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</si>
  <si>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</si>
  <si>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</si>
  <si>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</si>
  <si>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</si>
  <si>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</si>
  <si>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</si>
  <si>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</si>
  <si>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</si>
  <si>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</si>
  <si>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</si>
  <si>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</si>
  <si>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</si>
  <si>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</si>
  <si>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</si>
  <si>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</si>
  <si>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</si>
  <si>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</si>
  <si>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</si>
  <si>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</si>
  <si>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</si>
  <si>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ダイキン工業 (6367.T)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</si>
  <si>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</si>
  <si>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</si>
  <si>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</si>
  <si>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</si>
  <si>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</si>
  <si>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</si>
  <si>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</si>
  <si>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</si>
  <si>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</si>
  <si>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</si>
  <si>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</si>
  <si>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</si>
  <si>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</si>
  <si>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</si>
  <si>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</si>
  <si>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</si>
  <si>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</si>
  <si>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</si>
  <si>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</si>
  <si>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</si>
  <si>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</si>
  <si>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</si>
  <si>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</si>
  <si>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</si>
  <si>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</si>
  <si>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</si>
  <si>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</si>
  <si>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</si>
  <si>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</si>
  <si>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</si>
  <si>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</si>
  <si>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</si>
  <si>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</si>
  <si>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</si>
  <si>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</si>
  <si>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</si>
  <si>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</si>
  <si>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</si>
  <si>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</si>
  <si>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</si>
  <si>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</si>
  <si>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</si>
  <si>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</si>
  <si>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</si>
  <si>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</si>
  <si>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</si>
  <si>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</si>
  <si>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</si>
  <si>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</si>
  <si>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</si>
  <si>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</si>
  <si>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ダイキン工業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</si>
  <si>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</si>
  <si>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</si>
  <si>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</si>
  <si>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</si>
  <si>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</si>
  <si>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</si>
  <si>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</si>
  <si>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</si>
  <si>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</si>
  <si>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</si>
  <si>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</si>
  <si>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</si>
  <si>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</si>
  <si>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</si>
  <si>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</si>
  <si>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</si>
  <si>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</si>
  <si>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</si>
  <si>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</si>
  <si>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</si>
  <si>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</si>
  <si>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</si>
  <si>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</si>
  <si>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</si>
  <si>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</si>
  <si>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</si>
  <si>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</si>
  <si>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</si>
  <si>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</si>
  <si>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</si>
  <si>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</si>
  <si>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</si>
  <si>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</si>
  <si>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</si>
  <si>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Daikin Industries,Ltd.</t>
  </si>
  <si>
    <t>6367.T</t>
  </si>
  <si>
    <t>Hitachi, Ltd.</t>
  </si>
  <si>
    <t>6501.T</t>
  </si>
  <si>
    <t>Mitsubishi Electric Corporation</t>
  </si>
  <si>
    <t>6503.T</t>
  </si>
  <si>
    <t>DENSO Corporation</t>
  </si>
  <si>
    <t>6902.T</t>
  </si>
  <si>
    <t>Mitsubishi Heavy Industries, Ltd.</t>
  </si>
  <si>
    <t>7011.T</t>
  </si>
  <si>
    <t>Bridgestone Corporation</t>
  </si>
  <si>
    <t>5108.T</t>
  </si>
  <si>
    <t>Statistics</t>
  </si>
  <si>
    <t>25th Percentile</t>
  </si>
  <si>
    <t>Median (50th)</t>
  </si>
  <si>
    <t>75th Percentile</t>
  </si>
  <si>
    <t>Implied Valuation for ダイキン工業</t>
  </si>
  <si>
    <t>ダイキン工業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</si>
  <si>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</si>
  <si>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</si>
  <si>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</si>
  <si>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</si>
  <si>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</si>
  <si>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</si>
  <si>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</si>
  <si>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</si>
  <si>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</si>
  <si>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</si>
  <si>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</si>
  <si>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</si>
  <si>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</si>
  <si>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</si>
  <si>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</si>
  <si>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ダイキン工業</t>
  </si>
  <si>
    <t>日付</t>
  </si>
  <si>
    <t>セル</t>
  </si>
  <si>
    <t>変更内容</t>
  </si>
  <si>
    <t>理由</t>
  </si>
  <si>
    <t>元の値</t>
  </si>
  <si>
    <t>状態</t>
  </si>
  <si>
    <t>2026-09-05</t>
  </si>
  <si>
    <t>-</t>
  </si>
  <si>
    <t>Generated by pipeline on 2026-09-05 18:23,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</si>
  <si>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</si>
  <si>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</si>
  <si>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</si>
  <si>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</si>
  <si>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</si>
  <si>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</si>
  <si>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</si>
  <si>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</si>
  <si>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</si>
  <si>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</si>
  <si>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</si>
  <si>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</si>
  <si>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</si>
  <si>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</si>
  <si>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5,705,890百万円。■テンプレートの自動規則(&gt;=1兆円 -&gt; 0.0%、&gt;=1,000億円 -&gt; 1.5%)とは異なる値であり、明示指定で上書きしている。</t>
  </si>
  <si>
    <t>テンプレ自動値</t>
  </si>
  <si>
    <t>DCF Model!C8</t>
  </si>
  <si>
    <t>Beta = 0.60</t>
  </si>
  <si>
    <t>yfinance実測 0.561 はテンプレのクランプ域 [0.6, 1.75] の下限を下回り、そのまま渡すと【無言で 1.0 に置換】される。追補1 §A に従い max(0.6, min(1.75, 実測)) = 0.60 を明示指定した。**0.60 は実測値ではなくテンプレが受け付ける最小値**であることに注意（ただし実測 0.561 との差は小さい）。</t>
  </si>
  <si>
    <t>yfinance実測 0.561</t>
  </si>
  <si>
    <t>DCF Model!C6</t>
  </si>
  <si>
    <t>Effective Tax Rate = 25%</t>
  </si>
  <si>
    <t>バッチ共通の既定値(v2 §1-3)。当社の実績税負担率を個別に検証したものではない。</t>
  </si>
  <si>
    <t>テンプレ既定 30%</t>
  </si>
  <si>
    <t>推定</t>
  </si>
  <si>
    <t>DCF Model!C11</t>
  </si>
  <si>
    <t>After-tax Cost of Debt = 2.81%(実績ベース)</t>
  </si>
  <si>
    <t>支払利息 38,976百万円 ÷ 平均有利子負債 ((986,849 + 1,094,585)/2 = 1,040,717) = 3.74%(税引前)、× (1 − 25%) = 2.81%（validate チェック17 PASS）。■**3.74% は国内発行体の水準より明確に高い**。北米 Goodman を中心にドル建て負債の比率が高いことを反映していると解される。■出所は yfinance の Interest Expense で EDINET 有報と未突合。</t>
  </si>
  <si>
    <t>テンプレ既定(推定値)</t>
  </si>
  <si>
    <t>推定(出所が二次ソース・要確認)</t>
  </si>
  <si>
    <t>DCF Model!C13</t>
  </si>
  <si>
    <t>Terminal Growth = 1.0%</t>
  </si>
  <si>
    <t>バッチ共通の固定前提(v2 §1-3)。</t>
  </si>
  <si>
    <t>テンプレ既定 2.0%</t>
  </si>
  <si>
    <t>DCF Model!C14</t>
  </si>
  <si>
    <t>Exit Multiple (EV/EBITDA) = 14.3x</t>
  </si>
  <si>
    <t>Peer 5社の実測EV/EBITDA中央値 14.33x（6501 14.33 / 6503 15.55 / 6902 4.76 / 7011 21.37 / 5108 6.84）。 自社の現在倍率 8.49x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</si>
  <si>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</si>
  <si>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</si>
  <si>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</si>
  <si>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なし（Debt/Revenue 0.22）。NonOp/OP −2.7%。OPMレンジ1.2pt・赤字年なしで型Bにも該当しない。</t>
  </si>
  <si>
    <t>Financial Statements / hist_* / 市場データ / net_debt</t>
  </si>
  <si>
    <t>追補2 §F-2 + 追補3 §L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</si>
  <si>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で逆算。**追補3 §L に従い current_price / shares_outstanding も予防的に明示指定**。**net_debt も明示指定**（EDINET の有利子負債抽出が 0 に落ちる既知パターンの予防）。</t>
  </si>
  <si>
    <t>EDINET自動抽出値</t>
  </si>
  <si>
    <t>Comps Analysis / core_ebitda</t>
  </si>
  <si>
    <t>core_ebitda = 691,198百万円 を明示指定（営業利益 414,992 + D&amp;A 276,206）</t>
  </si>
  <si>
    <t>【追補2 §G】core_ebitda を明示指定（= 直近営業利益 + 直近CF計算書D&amp;A）。Peer と同一定義に揃えるため予防的に指定し、生成後に batch/check_core_ebitda.py で comps CSV 自社行との一致を確認済み（品質ゲート合格）。</t>
  </si>
  <si>
    <t>EDINET由来の自動計算値</t>
  </si>
  <si>
    <t>Comps Analysis(Peer選定の組み替え)</t>
  </si>
  <si>
    <t>FA・電子部品系 → 利益率の近い大型産業機械へ組み替え（Peer中央値 20.70x → 14.33x）</t>
  </si>
  <si>
    <t>当初 6273 SMC / 6954 ファナック / 6981 村田製作所 で Peer を組んだところ中央値が 20.70x となった。これらは OPM 20〜25% の高収益機械銘柄であり、**OPM 8.3% の当社に当てるのは economics が違いすぎる**。利益率水準の近い大型産業機械（6501 日立 8.85% / 6503 三菱電機 6.67% / 6902 デンソー 7.3% / 7011 三菱重工 8.2% / 5108 ブリヂストン 10.4%）に組み替え、中央値 14.33x とした。■**根本的な制約**: 空調専業の国内上場企業が存在せず、真の比較対象（Carrier / Trane / Johnson Controls）は海外のため v2 §5 により使えない。Peer は『事業が同じ』ではなく『利益率と規模が近い』という理由で選ばれており、Exit 倍率の根拠は他銘柄より弱い。</t>
  </si>
  <si>
    <t>FA系Peerでの中央値 20.70x</t>
  </si>
  <si>
    <t>DCF Model!C5 / C18</t>
  </si>
  <si>
    <t>capex_method / da_method とも revenue_pct(capex 5.77% / D&amp;A 5.50%)</t>
  </si>
  <si>
    <t>実績は capex 4.2-5.5% / D&amp;A 4.6-5.5% で近接。ターミナル比率 1.049x でレンジ内（validate チェック9 PASS）。</t>
  </si>
  <si>
    <t>DCF Model シナリオ5本</t>
  </si>
  <si>
    <t>実績OPM分布からの導出(min 8.27 / p25 8.41 / med 8.69 / p75 9.06 / max 9.47%、4期連続の単調低下)</t>
  </si>
  <si>
    <t>単調系列の特則(2267 ヤクルトで確立)を適用し Base 到達OPM = (直近実績 8.27% + 実績中央値 8.69%)/2 = 8.48% とした(4期連続の単調低下はサイクルではないため、中央値への機械的な収束は根拠のない回復の仮定になる)。Upside は max(p75 9.06, 直近+1.0pt = 9.27) = 9.27%。Downside 1 は min(p25 8.41, 直近 8.27) = 8.27% を下回る 7.20%。Downside 2 は実績トラフ(8.27%)が直近実績そのものでトラフとして機能しないため、売上-8%+OPM半減(4.1-5.0%)。■COGS% を直近実績 65.5% に固定し SGA% を逆算。既存銘柄からの流用なし。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</si>
  <si>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</si>
  <si>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</si>
  <si>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</si>
  <si>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</si>
  <si>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</si>
  <si>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</si>
  <si>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68 / DIH 130 / DPO 45 日</t>
  </si>
  <si>
    <t>実績4期平均。</t>
  </si>
  <si>
    <t>Comps Analysis</t>
  </si>
  <si>
    <t>Peer 5社 = 6501 日立製作所 / 6503 三菱電機 / 6902 デンソー / 7011 三菱重工業 / 5108 ブリヂストン</t>
  </si>
  <si>
    <t>■**Peer 選定を1度組み替えた**: 当初 FA・電子部品系（6273 SMC / 6954 ファナック / 6981 村田）で組んだところ Peer中央値が **20.70x** となり、営業利益率 8.3% の当社に対し OPM 20〜25% の高収益機械銘柄の倍率を当てることになった。**利益率水準の近い大型産業機械（OPM 5〜10%）に組み替え**、中央値は 14.33x となった。■**空調（HVAC）に国内の直接競合が存在しない**（真の比較対象は Carrier / Trane / Johnson Controls で、v2 §5 により海外Peerは不使用）。**Peer は利益率・規模の近さで選んでおり事業の同一性ではない**点に留保が必要。■時価総額バンド（1.71〜17.1兆円）から 6501(24.1兆) が外れる。■年度混在の開示: 7011 三菱重工の D&amp;A は EDINET 有報（docID S100YHZG）から FY2026/3 の実額 211,214 を取得して補正済み。■D&amp;A取得状況: 全6社で減価償却費を取得でき統一。**D&amp;A欠損による除外はゼロ**（validate チェック12 PASS）。</t>
  </si>
  <si>
    <t>Executive Summary!C10 / Target</t>
  </si>
  <si>
    <t>Target Price = 24,262円 = PGM 14,946円 と Exit 33,577円 の2本平均。Comps 2本(EV/EBITDA 35,015円 / PER 26,044円)は [参考・Target不算入]</t>
  </si>
  <si>
    <t>メモ§2 の規約どおり。validate チェック14 PASS(C10 が C16:C17 のみを平均)。EV&lt;net_debt による INVALID 化は発生していない。**PGM 14,946円 と Exit 33,577円 が2.2倍乖離しており、Target 24,262円 はその中点にすぎない**。</t>
  </si>
  <si>
    <t>全体(納品状態)</t>
  </si>
  <si>
    <t>本ファイルは DRAFT。_FINAL は付けない</t>
  </si>
  <si>
    <t>バッチモードでの機械生成物であり人間の検証を経ていない。FINAL化は手順書v2 §6 に従い検証後に行う。</t>
  </si>
  <si>
    <t>DRAFT</t>
  </si>
  <si>
    <t>全体(未解決)</t>
  </si>
  <si>
    <t>**Peer が「事業の同一性」ではなく「利益率・規模の近さ」で選ばれており、Exit 倍率の根拠が弱い**</t>
  </si>
  <si>
    <t>空調専業の国内上場企業が存在しないための制約。海外の同業（Carrier / Trane / Johnson Controls）を一次ソース検証つきで入れれば Exit 倍率の説得力は大きく上がる（2914 JT と同じ論点）。</t>
  </si>
  <si>
    <t>未解決</t>
  </si>
  <si>
    <t>4期連続のマージン低下が止まるかどうか</t>
  </si>
  <si>
    <t>売上は3年CAGR 8.00% で伸びているのにマージンは毎年下がっている。Base は下げ止まりを仮定しているが、原材料・北米市場の競争激化が構造的なら Downside 1（7.2%）が現実的になる。</t>
  </si>
  <si>
    <t>ドル建て負債と北米事業の集中</t>
  </si>
  <si>
    <t>実績Kd 3.74% は米金利水準を反映しており、米金利上昇は WACC を直接押し上げる。為替感応度は未織り込み。</t>
  </si>
  <si>
    <t>Pipeline Metadata (do not edit — read by scripts/validate_output.py)</t>
  </si>
  <si>
    <t>key</t>
  </si>
  <si>
    <t>value</t>
  </si>
  <si>
    <t>auto_log_entries</t>
  </si>
  <si>
    <t>1</t>
  </si>
  <si>
    <t>capex_pct_basis</t>
  </si>
  <si>
    <t>assumption</t>
  </si>
  <si>
    <t>capex_pct_c5</t>
  </si>
  <si>
    <t>0.0577</t>
  </si>
  <si>
    <t>capex_pct_hist3yr</t>
  </si>
  <si>
    <t>0.049551</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</si>
  <si>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</si>
  <si>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</si>
  <si>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</si>
  <si>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</si>
  <si>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</si>
  <si>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</si>
  <si>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</si>
  <si>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</si>
  <si>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</si>
  <si>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</si>
  <si>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</si>
  <si>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</si>
  <si>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</si>
  <si>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</si>
  <si>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</si>
  <si>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</si>
  <si>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</si>
  <si>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</si>
  <si>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</si>
  <si>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38,976 (expense 38,976 + fees 0) / avg debt 1,040,717 (debt_beginning/debt_ending) = 0.037451 pre-tax -&gt; 0.028100 after-tax</t>
  </si>
  <si>
    <t>cost_of_debt_at_c11</t>
  </si>
  <si>
    <t>0.0281</t>
  </si>
  <si>
    <t>cost_of_debt_avg_debt</t>
  </si>
  <si>
    <t>1040717.0</t>
  </si>
  <si>
    <t>cost_of_debt_basis</t>
  </si>
  <si>
    <t>actual</t>
  </si>
  <si>
    <t>cost_of_debt_interest</t>
  </si>
  <si>
    <t>38976.0</t>
  </si>
  <si>
    <t>cost_of_debt_pretax</t>
  </si>
  <si>
    <t>0.03745110342196774</t>
  </si>
  <si>
    <t>da_pct_basis</t>
  </si>
  <si>
    <t>da_pct_c18</t>
  </si>
  <si>
    <t>0.055</t>
  </si>
  <si>
    <t>da_pct_hist3yr</t>
  </si>
  <si>
    <t>0.041684</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</si>
  <si>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</si>
  <si>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</si>
  <si>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</si>
  <si>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</si>
  <si>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</si>
  <si>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</si>
  <si>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</si>
  <si>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</si>
  <si>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</si>
  <si>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2026-09-05 18:23:25</t>
  </si>
  <si>
    <t>ltm_revenue_c20</t>
  </si>
  <si>
    <t>5015036.0</t>
  </si>
  <si>
    <t>ltm_revenue_source</t>
  </si>
  <si>
    <t>latest FY (no LTM)</t>
  </si>
  <si>
    <t>narrative_tokens_used</t>
  </si>
  <si>
    <t>pb,per,price,target_price,upside_pct,wacc</t>
  </si>
  <si>
    <t>reverse_dcf_sheet</t>
  </si>
  <si>
    <t>op0=414,992(FY2026) peak=414,992(FY2026) peak_opm=0.0827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</si>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</sst>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20500</v>
      </c>
    </row>
    <row r="10" spans="2:5" ht="14" customHeight="1" x14ac:dyDescent="0.3">
      <c r="B10" s="4" t="s">
        <v>10</v>
      </c>
      <c r="C10" s="5">
        <f>IF(COUNT(C16:C17)=0,"N/A",ROUND(AVERAGE(C16:C17),0))</f>
        <v>24262</v>
      </c>
    </row>
    <row r="11" spans="2:5" ht="14" customHeight="1" x14ac:dyDescent="0.3">
      <c r="B11" s="4" t="s">
        <v>11</v>
      </c>
      <c r="C11" s="6" t="str">
        <f>IF(NOT(ISNUMBER(C12)),"N/A",IF(C12&gt;0.15,"BUY",IF(C12&gt;0.05,"HOLD","SELL")))</f>
        <v>BUY</v>
      </c>
    </row>
    <row r="12" spans="2:5" ht="14" customHeight="1" x14ac:dyDescent="0.3">
      <c r="B12" s="4" t="s">
        <v>12</v>
      </c>
      <c r="C12" s="7">
        <f>IF(ISNUMBER(C10),(C10-C9)/C9,"N/A")</f>
        <v>0.18351219512195122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14946</v>
      </c>
      <c r="D16" s="7">
        <f>IF(ISNUMBER(C16),(C16-C9)/C9,"N/A")</f>
        <v>-0.2709268292682927</v>
      </c>
    </row>
    <row r="17" spans="2:5" ht="13.5" customHeight="1" x14ac:dyDescent="0.25">
      <c r="B17" t="s">
        <v>18</v>
      </c>
      <c r="C17" s="11">
        <f>IF('DCF Model'!C62&lt;'DCF Model'!C16,"INVALID (EV &lt; net debt)",'DCF Model'!C64)</f>
        <v>33577</v>
      </c>
      <c r="D17" s="7">
        <f>IF(ISNUMBER(C17),(C17-C9)/C9,"N/A")</f>
        <v>0.63790243902439026</v>
      </c>
    </row>
    <row r="18" spans="2:5" ht="13.5" customHeight="1" x14ac:dyDescent="0.25">
      <c r="B18" t="s">
        <v>19</v>
      </c>
      <c r="C18" s="11">
        <f>'Comps Analysis'!C27</f>
        <v>35015</v>
      </c>
      <c r="D18" s="7">
        <f>IF(ISNUMBER(C18),(C18-C9)/C9,"N/A")</f>
        <v>0.70804878048780484</v>
      </c>
    </row>
    <row r="19" spans="2:5" ht="13.5" customHeight="1" x14ac:dyDescent="0.25">
      <c r="B19" t="s">
        <v>20</v>
      </c>
      <c r="C19" s="11">
        <f>'Comps Analysis'!C28</f>
        <v>26044</v>
      </c>
      <c r="D19" s="7">
        <f>IF(ISNUMBER(C19),(C19-C9)/C9,"N/A")</f>
        <v>0.27043902439024392</v>
      </c>
    </row>
    <row r="20" spans="2:5" ht="14" customHeight="1" x14ac:dyDescent="0.3">
      <c r="B20" s="46" t="s">
        <v>21</v>
      </c>
      <c r="C20" s="45"/>
      <c r="D20" s="45"/>
      <c r="E20" s="45"/>
    </row>
    <row r="21" spans="2:5" ht="14" customHeight="1" x14ac:dyDescent="0.3">
      <c r="B21" s="4" t="s">
        <v>22</v>
      </c>
      <c r="C21" s="6" t="str">
        <f>IF(COUNT(C16:C17)=0,"N/A",MIN(C16:C17)&amp;" - "&amp;MAX(C16:C17))</f>
        <v>14946 - 33577</v>
      </c>
    </row>
    <row r="23" spans="2:5" ht="14" customHeight="1" x14ac:dyDescent="0.3">
      <c r="B23" s="8" t="s">
        <v>23</v>
      </c>
      <c r="C23" s="9"/>
      <c r="D23" s="9"/>
    </row>
    <row r="24" spans="2:5" x14ac:dyDescent="0.2">
      <c r="B24" t="str">
        <f>"Daikin holds the leading global position in air conditioning with a service and replacement base built on Goodman in North America, and revenue has compounded at eight percent over three years; the shares trade at "&amp;TEXT('Comps Analysis'!L5,"0.0""x""")&amp;" earnings and "&amp;TEXT('Comps Analysis'!M5,"0.00""x""")&amp;" book."</f>
        <v>Daikin holds the leading global position in air conditioning with a service and replacement base built on Goodman in North America, and revenue has compounded at eight percent over three years; the shares trade at 20.7x earnings and 1.75x book.</v>
      </c>
    </row>
    <row r="25" spans="2:5" x14ac:dyDescent="0.2">
      <c r="B25" t="str">
        <f>"The operating margin has slipped in each of the last four years, so this model assumes the decline halts rather than reverses — a deliberately modest base case against a "&amp;TEXT('DCF Model'!C26,"0.00%")&amp;" cost of capital built on an actual, filing-derived cost of debt."</f>
        <v>The operating margin has slipped in each of the last four years, so this model assumes the decline halts rather than reverses — a deliberately modest base case against a 7.73% cost of capital built on an actual, filing-derived cost of debt.</v>
      </c>
    </row>
    <row r="26" spans="2:5" x14ac:dyDescent="0.2">
      <c r="B26" t="str">
        <f>"At "&amp;TEXT(C9,"#,##0")&amp;" the shares are valued below the large industrial peer median on EV/EBITDA; valuing the exit on that median supports "&amp;TEXT(C10,"#,##0")&amp;", or "&amp;TEXT(C12,"+0.0%;-0.0%")&amp;" from here."</f>
        <v>At 20,500 the shares are valued below the large industrial peer median on EV/EBITDA; valuing the exit on that median supports 24,262, or +18.4% from here.</v>
      </c>
    </row>
    <row r="28" spans="2:5" ht="14" customHeight="1" x14ac:dyDescent="0.3">
      <c r="B28" s="8" t="s">
        <v>24</v>
      </c>
      <c r="C28" s="9"/>
      <c r="D28" s="9"/>
    </row>
    <row r="29" spans="2:5" x14ac:dyDescent="0.2">
      <c r="B29" t="str">
        <f>"The operating margin has fallen for four consecutive years while revenue grew, and nothing in the filings confirms the stabilisation the base case assumes behind "&amp;TEXT(C10,"#,##0")&amp;"."</f>
        <v>The operating margin has fallen for four consecutive years while revenue grew, and nothing in the filings confirms the stabilisation the base case assumes behind 24,262.</v>
      </c>
    </row>
    <row r="30" spans="2:5" x14ac:dyDescent="0.2">
      <c r="B30" t="str">
        <f>"There is no domestic air-conditioning peer, so the exit multiple comes from industrials chosen for similar margins and scale rather than for the same business — a weaker anchor than the "&amp;TEXT('Comps Analysis'!L5,"0.0""x""")&amp;" comparison suggests."</f>
        <v>There is no domestic air-conditioning peer, so the exit multiple comes from industrials chosen for similar margins and scale rather than for the same business — a weaker anchor than the 20.7x comparison suggests.</v>
      </c>
    </row>
    <row r="31" spans="2:5" x14ac:dyDescent="0.2">
      <c r="B31" t="str">
        <f>"Dollar-denominated debt at the North American operations makes the realised cost of debt inside "&amp;TEXT('DCF Model'!C26,"0.00%")&amp;" sensitive to US rates without any offset in the domestic business."</f>
        <v>Dollar-denominated debt at the North American operations makes the realised cost of debt inside 7.73% sensitive to US rates without any offset in the domestic business.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3981578</v>
      </c>
      <c r="D6" s="5">
        <v>4395317</v>
      </c>
      <c r="E6" s="5">
        <v>4752335</v>
      </c>
      <c r="F6" s="5">
        <v>5015036</v>
      </c>
    </row>
    <row r="7" spans="2:6" ht="14" customHeight="1" x14ac:dyDescent="0.3">
      <c r="B7" s="4" t="s">
        <v>32</v>
      </c>
      <c r="C7" s="5">
        <v>2650102</v>
      </c>
      <c r="D7" s="5">
        <v>2885644</v>
      </c>
      <c r="E7" s="5">
        <v>3125646</v>
      </c>
      <c r="F7" s="5">
        <v>3282519</v>
      </c>
    </row>
    <row r="8" spans="2:6" ht="14" customHeight="1" x14ac:dyDescent="0.3">
      <c r="B8" s="4" t="s">
        <v>33</v>
      </c>
      <c r="C8" s="5">
        <f>C6-C7</f>
        <v>1331476</v>
      </c>
      <c r="D8" s="5">
        <f>D6-D7</f>
        <v>1509673</v>
      </c>
      <c r="E8" s="5">
        <f>E6-E7</f>
        <v>1626689</v>
      </c>
      <c r="F8" s="5">
        <f>F6-F7</f>
        <v>1732517</v>
      </c>
    </row>
    <row r="9" spans="2:6" ht="13.5" customHeight="1" x14ac:dyDescent="0.25">
      <c r="B9" t="s">
        <v>34</v>
      </c>
      <c r="C9" s="7">
        <f>C8/C6</f>
        <v>0.33440912120772215</v>
      </c>
      <c r="D9" s="7">
        <f>D8/D6</f>
        <v>0.34347306462764804</v>
      </c>
      <c r="E9" s="7">
        <f>E8/E6</f>
        <v>0.34229257827994031</v>
      </c>
      <c r="F9" s="7">
        <f>F8/F6</f>
        <v>0.345464519098168</v>
      </c>
    </row>
    <row r="10" spans="2:6" ht="14" customHeight="1" x14ac:dyDescent="0.3">
      <c r="B10" s="4" t="s">
        <v>35</v>
      </c>
      <c r="C10" s="5">
        <v>954443</v>
      </c>
      <c r="D10" s="5">
        <v>1117536</v>
      </c>
      <c r="E10" s="5">
        <v>1225020</v>
      </c>
      <c r="F10" s="5">
        <v>1317525</v>
      </c>
    </row>
    <row r="11" spans="2:6" ht="14" customHeight="1" x14ac:dyDescent="0.3">
      <c r="B11" s="4" t="s">
        <v>36</v>
      </c>
      <c r="C11" s="5">
        <v>377033</v>
      </c>
      <c r="D11" s="5">
        <v>392137</v>
      </c>
      <c r="E11" s="5">
        <v>401669</v>
      </c>
      <c r="F11" s="5">
        <v>414992</v>
      </c>
    </row>
    <row r="12" spans="2:6" ht="14" customHeight="1" x14ac:dyDescent="0.3">
      <c r="B12" s="4" t="s">
        <v>37</v>
      </c>
      <c r="C12" s="5">
        <v>257754</v>
      </c>
      <c r="D12" s="5">
        <v>260311</v>
      </c>
      <c r="E12" s="5">
        <v>264757</v>
      </c>
      <c r="F12" s="5">
        <v>275229</v>
      </c>
    </row>
    <row r="13" spans="2:6" ht="13.5" customHeight="1" x14ac:dyDescent="0.25">
      <c r="B13" t="s">
        <v>38</v>
      </c>
      <c r="C13" s="7">
        <f>C11/C6</f>
        <v>9.4694364897535604E-2</v>
      </c>
      <c r="D13" s="7">
        <f>D11/D6</f>
        <v>8.9217000730550264E-2</v>
      </c>
      <c r="E13" s="7">
        <f>E11/E6</f>
        <v>8.4520346313969874E-2</v>
      </c>
      <c r="F13" s="7">
        <f>F11/F6</f>
        <v>8.2749555536590372E-2</v>
      </c>
    </row>
    <row r="14" spans="2:6" ht="13.5" customHeight="1" x14ac:dyDescent="0.25">
      <c r="B14" t="s">
        <v>39</v>
      </c>
      <c r="C14" s="7">
        <f>C12/C6</f>
        <v>6.4736644616782593E-2</v>
      </c>
      <c r="D14" s="7">
        <f>D12/D6</f>
        <v>5.9224624754027982E-2</v>
      </c>
      <c r="E14" s="7">
        <f>E12/E6</f>
        <v>5.5710929469408199E-2</v>
      </c>
      <c r="F14" s="7">
        <f>F12/F6</f>
        <v>5.4880762570797097E-2</v>
      </c>
    </row>
    <row r="15" spans="2:6" ht="13.5" customHeight="1" x14ac:dyDescent="0.25">
      <c r="B15" t="s">
        <v>40</v>
      </c>
      <c r="C15" t="s">
        <v>41</v>
      </c>
      <c r="D15" s="7">
        <f>(D6-C6)/C6</f>
        <v>0.10391332280819314</v>
      </c>
      <c r="E15" s="7">
        <f>(E6-D6)/D6</f>
        <v>8.1226905818169659E-2</v>
      </c>
      <c r="F15" s="7">
        <f>(F6-E6)/E6</f>
        <v>5.527830003566668E-2</v>
      </c>
    </row>
    <row r="16" spans="2:6" ht="13.5" customHeight="1" x14ac:dyDescent="0.25">
      <c r="B16" t="s">
        <v>42</v>
      </c>
      <c r="C16" t="s">
        <v>41</v>
      </c>
      <c r="D16" s="7">
        <f>(D11-C11)/C11</f>
        <v>4.006015388573414E-2</v>
      </c>
      <c r="E16" s="7">
        <f>(E11-D11)/D11</f>
        <v>2.4307831191649858E-2</v>
      </c>
      <c r="F16" s="7">
        <f>(F11-E11)/E11</f>
        <v>3.3169101922229501E-2</v>
      </c>
    </row>
    <row r="18" spans="2:6" ht="14" customHeight="1" x14ac:dyDescent="0.3">
      <c r="B18" s="3" t="s">
        <v>43</v>
      </c>
    </row>
    <row r="19" spans="2:6" ht="14" customHeight="1" x14ac:dyDescent="0.3">
      <c r="B19" s="4" t="s">
        <v>44</v>
      </c>
      <c r="C19" s="5">
        <v>158896</v>
      </c>
      <c r="D19" s="5">
        <v>399567</v>
      </c>
      <c r="E19" s="5">
        <v>514450</v>
      </c>
      <c r="F19" s="5">
        <v>465848</v>
      </c>
    </row>
    <row r="20" spans="2:6" ht="14" customHeight="1" x14ac:dyDescent="0.3">
      <c r="B20" s="4" t="s">
        <v>45</v>
      </c>
      <c r="C20" s="5">
        <v>175076</v>
      </c>
      <c r="D20" s="5">
        <v>242633</v>
      </c>
      <c r="E20" s="5">
        <v>245985</v>
      </c>
      <c r="F20" s="5">
        <v>209081</v>
      </c>
    </row>
    <row r="21" spans="2:6" ht="14" customHeight="1" x14ac:dyDescent="0.3">
      <c r="B21" s="4" t="s">
        <v>46</v>
      </c>
      <c r="C21" s="5">
        <f>C19-C20</f>
        <v>-16180</v>
      </c>
      <c r="D21" s="5">
        <f>D19-D20</f>
        <v>156934</v>
      </c>
      <c r="E21" s="5">
        <f>E19-E20</f>
        <v>268465</v>
      </c>
      <c r="F21" s="5">
        <f>F19-F20</f>
        <v>256767</v>
      </c>
    </row>
    <row r="22" spans="2:6" ht="13.5" customHeight="1" x14ac:dyDescent="0.25">
      <c r="B22" t="s">
        <v>47</v>
      </c>
      <c r="C22" s="7">
        <f>C21/C6</f>
        <v>-4.0637154414656703E-3</v>
      </c>
      <c r="D22" s="7">
        <f>D21/D6</f>
        <v>3.5704819470359021E-2</v>
      </c>
      <c r="E22" s="7">
        <f>E21/E6</f>
        <v>5.6491177494852531E-2</v>
      </c>
      <c r="F22" s="7">
        <f>F21/F6</f>
        <v>5.1199433064887272E-2</v>
      </c>
    </row>
    <row r="23" spans="2:6" ht="13.5" customHeight="1" x14ac:dyDescent="0.25">
      <c r="B23" t="s">
        <v>48</v>
      </c>
      <c r="C23" s="7">
        <f>C20/C6</f>
        <v>4.3971510792956962E-2</v>
      </c>
      <c r="D23" s="7">
        <f>D20/D6</f>
        <v>5.5202616785091953E-2</v>
      </c>
      <c r="E23" s="7">
        <f>E20/E6</f>
        <v>5.1760871234877173E-2</v>
      </c>
      <c r="F23" s="7">
        <f>F20/F6</f>
        <v>4.169082734401109E-2</v>
      </c>
    </row>
    <row r="25" spans="2:6" ht="14" customHeight="1" x14ac:dyDescent="0.3">
      <c r="B25" s="3" t="s">
        <v>49</v>
      </c>
    </row>
    <row r="26" spans="2:6" ht="14" customHeight="1" x14ac:dyDescent="0.3">
      <c r="B26" s="4" t="s">
        <v>50</v>
      </c>
      <c r="C26" s="5">
        <v>548242</v>
      </c>
      <c r="D26" s="5">
        <v>634008</v>
      </c>
      <c r="E26" s="5">
        <v>802663</v>
      </c>
      <c r="F26" s="5">
        <v>933484</v>
      </c>
    </row>
    <row r="27" spans="2:6" ht="14" customHeight="1" x14ac:dyDescent="0.3">
      <c r="B27" s="4" t="s">
        <v>51</v>
      </c>
      <c r="C27" s="5">
        <v>661589</v>
      </c>
      <c r="D27" s="5">
        <v>751569</v>
      </c>
      <c r="E27" s="5">
        <v>767739</v>
      </c>
      <c r="F27" s="5">
        <v>829769</v>
      </c>
    </row>
    <row r="28" spans="2:6" ht="14" customHeight="1" x14ac:dyDescent="0.3">
      <c r="B28" s="4" t="s">
        <v>52</v>
      </c>
      <c r="C28" s="5">
        <f>C27-C26</f>
        <v>113347</v>
      </c>
      <c r="D28" s="5">
        <f>D27-D26</f>
        <v>117561</v>
      </c>
      <c r="E28" s="5">
        <f>E27-E26</f>
        <v>-34924</v>
      </c>
      <c r="F28" s="5">
        <f>F27-F26</f>
        <v>-103715</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48</v>
      </c>
      <c r="C5" s="7">
        <v>5.7700000000000001E-2</v>
      </c>
    </row>
    <row r="6" spans="2:7" ht="14" customHeight="1" x14ac:dyDescent="0.3">
      <c r="B6" s="4" t="s">
        <v>56</v>
      </c>
      <c r="C6" s="7">
        <v>0.25</v>
      </c>
    </row>
    <row r="7" spans="2:7" ht="14" customHeight="1" x14ac:dyDescent="0.3">
      <c r="B7" s="4" t="s">
        <v>57</v>
      </c>
      <c r="C7" s="7">
        <v>2.9700000000000001E-2</v>
      </c>
    </row>
    <row r="8" spans="2:7" ht="14" customHeight="1" x14ac:dyDescent="0.3">
      <c r="B8" s="4" t="s">
        <v>58</v>
      </c>
      <c r="C8" s="12">
        <v>0.6</v>
      </c>
    </row>
    <row r="9" spans="2:7" ht="14" customHeight="1" x14ac:dyDescent="0.3">
      <c r="B9" s="4" t="s">
        <v>59</v>
      </c>
      <c r="C9" s="7">
        <v>6.5000000000000002E-2</v>
      </c>
    </row>
    <row r="10" spans="2:7" ht="14" customHeight="1" x14ac:dyDescent="0.3">
      <c r="B10" s="4" t="s">
        <v>60</v>
      </c>
      <c r="C10" s="7">
        <v>0.01</v>
      </c>
    </row>
    <row r="11" spans="2:7" ht="14" customHeight="1" x14ac:dyDescent="0.3">
      <c r="B11" s="4" t="s">
        <v>61</v>
      </c>
      <c r="C11" s="7">
        <v>2.81E-2</v>
      </c>
    </row>
    <row r="12" spans="2:7" ht="14" customHeight="1" x14ac:dyDescent="0.3">
      <c r="B12" s="4" t="s">
        <v>62</v>
      </c>
      <c r="C12" s="13">
        <v>2.8199999999999999E-2</v>
      </c>
    </row>
    <row r="13" spans="2:7" ht="14" customHeight="1" x14ac:dyDescent="0.3">
      <c r="B13" s="4" t="s">
        <v>63</v>
      </c>
      <c r="C13" s="7">
        <v>0.01</v>
      </c>
    </row>
    <row r="14" spans="2:7" ht="14" customHeight="1" x14ac:dyDescent="0.3">
      <c r="B14" s="4" t="s">
        <v>64</v>
      </c>
      <c r="C14" s="14">
        <v>14.3</v>
      </c>
    </row>
    <row r="15" spans="2:7" ht="14" customHeight="1" x14ac:dyDescent="0.3">
      <c r="B15" s="4" t="s">
        <v>65</v>
      </c>
      <c r="C15" s="15">
        <v>278336120</v>
      </c>
    </row>
    <row r="16" spans="2:7" ht="14" customHeight="1" x14ac:dyDescent="0.3">
      <c r="B16" s="4" t="s">
        <v>66</v>
      </c>
      <c r="C16" s="5">
        <v>161101</v>
      </c>
    </row>
    <row r="17" spans="2:7" ht="14" customHeight="1" x14ac:dyDescent="0.3">
      <c r="B17" s="4" t="s">
        <v>67</v>
      </c>
      <c r="C17" s="5">
        <v>5015036</v>
      </c>
    </row>
    <row r="18" spans="2:7" ht="14" customHeight="1" x14ac:dyDescent="0.3">
      <c r="B18" s="4" t="s">
        <v>68</v>
      </c>
      <c r="C18" s="7">
        <v>5.5E-2</v>
      </c>
    </row>
    <row r="19" spans="2:7" ht="14" customHeight="1" x14ac:dyDescent="0.3">
      <c r="B19" s="4" t="s">
        <v>69</v>
      </c>
      <c r="C19" s="12">
        <v>1</v>
      </c>
    </row>
    <row r="20" spans="2:7" ht="14" customHeight="1" x14ac:dyDescent="0.3">
      <c r="B20" s="4" t="s">
        <v>70</v>
      </c>
      <c r="C20" s="5">
        <v>5015036</v>
      </c>
    </row>
    <row r="22" spans="2:7" ht="14" customHeight="1" x14ac:dyDescent="0.3">
      <c r="B22" s="8" t="s">
        <v>71</v>
      </c>
      <c r="C22" s="9"/>
      <c r="D22" s="9"/>
      <c r="E22" s="9"/>
      <c r="F22" s="9"/>
      <c r="G22" s="9"/>
    </row>
    <row r="23" spans="2:7" ht="14" customHeight="1" x14ac:dyDescent="0.3">
      <c r="B23" s="4" t="s">
        <v>72</v>
      </c>
      <c r="C23" s="16">
        <f>C7+C8*C9+C10</f>
        <v>7.8699999999999992E-2</v>
      </c>
    </row>
    <row r="24" spans="2:7" ht="14" customHeight="1" x14ac:dyDescent="0.3">
      <c r="B24" s="4" t="s">
        <v>73</v>
      </c>
      <c r="C24" s="16">
        <f>1/(1+C12)</f>
        <v>0.97257342929391166</v>
      </c>
    </row>
    <row r="25" spans="2:7" ht="14" customHeight="1" x14ac:dyDescent="0.3">
      <c r="B25" s="4" t="s">
        <v>74</v>
      </c>
      <c r="C25" s="16">
        <f>C12/(1+C12)</f>
        <v>2.742657070608831E-2</v>
      </c>
    </row>
    <row r="26" spans="2:7" ht="14" customHeight="1" x14ac:dyDescent="0.3">
      <c r="B26" s="4" t="s">
        <v>75</v>
      </c>
      <c r="C26" s="16">
        <f>C23*C24+C11*C25</f>
        <v>7.7312215522271924E-2</v>
      </c>
    </row>
    <row r="27" spans="2:7" ht="14" customHeight="1" x14ac:dyDescent="0.3">
      <c r="B27" s="4" t="s">
        <v>76</v>
      </c>
      <c r="C27" s="17" t="s">
        <v>77</v>
      </c>
      <c r="D27" s="6">
        <f>MATCH(C27,B69:B73,0)</f>
        <v>1</v>
      </c>
    </row>
    <row r="28" spans="2:7" ht="14" customHeight="1" x14ac:dyDescent="0.3">
      <c r="B28" s="8" t="s">
        <v>78</v>
      </c>
      <c r="C28" s="9"/>
      <c r="D28" s="9"/>
      <c r="E28" s="9"/>
      <c r="F28" s="9"/>
      <c r="G28" s="9"/>
    </row>
    <row r="29" spans="2:7" ht="14" customHeight="1" x14ac:dyDescent="0.3">
      <c r="C29" s="10" t="s">
        <v>79</v>
      </c>
      <c r="D29" s="10" t="s">
        <v>80</v>
      </c>
      <c r="E29" s="10" t="s">
        <v>81</v>
      </c>
      <c r="F29" s="10" t="s">
        <v>82</v>
      </c>
      <c r="G29" s="10" t="s">
        <v>83</v>
      </c>
    </row>
    <row r="30" spans="2:7" ht="14" customHeight="1" x14ac:dyDescent="0.3">
      <c r="B30" s="4" t="s">
        <v>40</v>
      </c>
      <c r="C30" s="18">
        <f>CHOOSE($D$27,C69,C70,C71,C72,C73)</f>
        <v>0.05</v>
      </c>
      <c r="D30" s="18">
        <f>CHOOSE($D$27,D69,D70,D71,D72,D73)</f>
        <v>4.4999999999999998E-2</v>
      </c>
      <c r="E30" s="18">
        <f>CHOOSE($D$27,E69,E70,E71,E72,E73)</f>
        <v>0.04</v>
      </c>
      <c r="F30" s="18">
        <f>CHOOSE($D$27,F69,F70,F71,F72,F73)</f>
        <v>3.5000000000000003E-2</v>
      </c>
      <c r="G30" s="18">
        <f>CHOOSE($D$27,G69,G70,G71,G72,G73)</f>
        <v>0.03</v>
      </c>
    </row>
    <row r="31" spans="2:7" ht="14" customHeight="1" x14ac:dyDescent="0.3">
      <c r="B31" s="4" t="s">
        <v>84</v>
      </c>
      <c r="C31" s="18">
        <f>CHOOSE($D$27,C76,C77,C78,C79,C80)</f>
        <v>0.65500000000000003</v>
      </c>
      <c r="D31" s="18">
        <f>CHOOSE($D$27,D76,D77,D78,D79,D80)</f>
        <v>0.65500000000000003</v>
      </c>
      <c r="E31" s="18">
        <f>CHOOSE($D$27,E76,E77,E78,E79,E80)</f>
        <v>0.65500000000000003</v>
      </c>
      <c r="F31" s="18">
        <f>CHOOSE($D$27,F76,F77,F78,F79,F80)</f>
        <v>0.65500000000000003</v>
      </c>
      <c r="G31" s="18">
        <f>CHOOSE($D$27,G76,G77,G78,G79,G80)</f>
        <v>0.65500000000000003</v>
      </c>
    </row>
    <row r="32" spans="2:7" ht="14" customHeight="1" x14ac:dyDescent="0.3">
      <c r="B32" s="4" t="s">
        <v>85</v>
      </c>
      <c r="C32" s="18">
        <f>CHOOSE($D$27,C83,C84,C85,C86,C87)</f>
        <v>0.26200000000000001</v>
      </c>
      <c r="D32" s="18">
        <f>CHOOSE($D$27,D83,D84,D85,D86,D87)</f>
        <v>0.26150000000000001</v>
      </c>
      <c r="E32" s="18">
        <f>CHOOSE($D$27,E83,E84,E85,E86,E87)</f>
        <v>0.26100000000000001</v>
      </c>
      <c r="F32" s="18">
        <f>CHOOSE($D$27,F83,F84,F85,F86,F87)</f>
        <v>0.26050000000000001</v>
      </c>
      <c r="G32" s="18">
        <f>CHOOSE($D$27,G83,G84,G85,G86,G87)</f>
        <v>0.26019999999999999</v>
      </c>
    </row>
    <row r="33" spans="2:7" ht="14" customHeight="1" x14ac:dyDescent="0.3">
      <c r="B33" s="4" t="s">
        <v>31</v>
      </c>
      <c r="C33" s="5">
        <f>C17*(1+C30)</f>
        <v>5265787.8</v>
      </c>
      <c r="D33" s="5">
        <f>C33*(1+D30)</f>
        <v>5502748.2509999992</v>
      </c>
      <c r="E33" s="5">
        <f>D33*(1+E30)</f>
        <v>5722858.1810399992</v>
      </c>
      <c r="F33" s="5">
        <f>E33*(1+F30)</f>
        <v>5923158.2173763989</v>
      </c>
      <c r="G33" s="5">
        <f>F33*(1+G30)</f>
        <v>6100852.9638976911</v>
      </c>
    </row>
    <row r="34" spans="2:7" ht="14" customHeight="1" x14ac:dyDescent="0.3">
      <c r="B34" s="4" t="s">
        <v>32</v>
      </c>
      <c r="C34" s="5">
        <f>C33*C31</f>
        <v>3449091.0090000001</v>
      </c>
      <c r="D34" s="5">
        <f>D33*D31</f>
        <v>3604300.1044049999</v>
      </c>
      <c r="E34" s="5">
        <f>E33*E31</f>
        <v>3748472.1085811998</v>
      </c>
      <c r="F34" s="5">
        <f>F33*F31</f>
        <v>3879668.6323815412</v>
      </c>
      <c r="G34" s="5">
        <f>G33*G31</f>
        <v>3996058.6913529877</v>
      </c>
    </row>
    <row r="35" spans="2:7" ht="14" customHeight="1" x14ac:dyDescent="0.3">
      <c r="B35" s="4" t="s">
        <v>33</v>
      </c>
      <c r="C35" s="19">
        <f>C33-C34</f>
        <v>1816696.7909999997</v>
      </c>
      <c r="D35" s="19">
        <f>D33-D34</f>
        <v>1898448.1465949994</v>
      </c>
      <c r="E35" s="19">
        <f>E33-E34</f>
        <v>1974386.0724587995</v>
      </c>
      <c r="F35" s="19">
        <f>F33-F34</f>
        <v>2043489.5849948577</v>
      </c>
      <c r="G35" s="19">
        <f>G33-G34</f>
        <v>2104794.2725447034</v>
      </c>
    </row>
    <row r="36" spans="2:7" ht="14" customHeight="1" x14ac:dyDescent="0.3">
      <c r="B36" s="4" t="s">
        <v>34</v>
      </c>
      <c r="C36" s="7">
        <f>C35/C33</f>
        <v>0.34499999999999997</v>
      </c>
      <c r="D36" s="7">
        <f>D35/D33</f>
        <v>0.34499999999999992</v>
      </c>
      <c r="E36" s="7">
        <f>E35/E33</f>
        <v>0.34499999999999997</v>
      </c>
      <c r="F36" s="7">
        <f>F35/F33</f>
        <v>0.34500000000000003</v>
      </c>
      <c r="G36" s="7">
        <f>G35/G33</f>
        <v>0.34500000000000003</v>
      </c>
    </row>
    <row r="37" spans="2:7" ht="14" customHeight="1" x14ac:dyDescent="0.3">
      <c r="B37" s="4" t="s">
        <v>86</v>
      </c>
      <c r="C37" s="5">
        <f>C33*C32</f>
        <v>1379636.4036000001</v>
      </c>
      <c r="D37" s="5">
        <f>D33*D32</f>
        <v>1438968.6676364997</v>
      </c>
      <c r="E37" s="5">
        <f>E33*E32</f>
        <v>1493665.98525144</v>
      </c>
      <c r="F37" s="5">
        <f>F33*F32</f>
        <v>1542982.715626552</v>
      </c>
      <c r="G37" s="5">
        <f>G33*G32</f>
        <v>1587441.9412061791</v>
      </c>
    </row>
    <row r="38" spans="2:7" ht="14" customHeight="1" x14ac:dyDescent="0.3">
      <c r="B38" s="4" t="s">
        <v>87</v>
      </c>
      <c r="C38" s="7">
        <f>(C35-C37)/C33</f>
        <v>8.2999999999999935E-2</v>
      </c>
      <c r="D38" s="7">
        <f>(D35-D37)/D33</f>
        <v>8.3499999999999935E-2</v>
      </c>
      <c r="E38" s="7">
        <f>(E35-E37)/E33</f>
        <v>8.3999999999999922E-2</v>
      </c>
      <c r="F38" s="7">
        <f>(F35-F37)/F33</f>
        <v>8.4499999999999992E-2</v>
      </c>
      <c r="G38" s="7">
        <f>(G35-G37)/G33</f>
        <v>8.4800000000000028E-2</v>
      </c>
    </row>
    <row r="39" spans="2:7" ht="14" customHeight="1" x14ac:dyDescent="0.3">
      <c r="B39" s="4" t="s">
        <v>88</v>
      </c>
      <c r="C39" s="19">
        <f>C35-C37</f>
        <v>437060.38739999966</v>
      </c>
      <c r="D39" s="19">
        <f>D35-D37</f>
        <v>459479.47895849962</v>
      </c>
      <c r="E39" s="19">
        <f>E35-E37</f>
        <v>480720.08720735949</v>
      </c>
      <c r="F39" s="19">
        <f>F35-F37</f>
        <v>500506.86936830566</v>
      </c>
      <c r="G39" s="19">
        <f>G35-G37</f>
        <v>517352.33133852435</v>
      </c>
    </row>
    <row r="40" spans="2:7" ht="14" customHeight="1" x14ac:dyDescent="0.3">
      <c r="B40" s="4" t="s">
        <v>89</v>
      </c>
      <c r="C40" s="5">
        <f>MAX(0,C39*C6)</f>
        <v>109265.09684999991</v>
      </c>
      <c r="D40" s="5">
        <f>MAX(0,D39*C6)</f>
        <v>114869.8697396249</v>
      </c>
      <c r="E40" s="5">
        <f>MAX(0,E39*C6)</f>
        <v>120180.02180183987</v>
      </c>
      <c r="F40" s="5">
        <f>MAX(0,F39*C6)</f>
        <v>125126.71734207642</v>
      </c>
      <c r="G40" s="5">
        <f>MAX(0,G39*C6)</f>
        <v>129338.08283463109</v>
      </c>
    </row>
    <row r="41" spans="2:7" ht="14" customHeight="1" x14ac:dyDescent="0.3">
      <c r="B41" s="4" t="s">
        <v>90</v>
      </c>
      <c r="C41" s="19">
        <f>C39-C40</f>
        <v>327795.29054999974</v>
      </c>
      <c r="D41" s="19">
        <f>D39-D40</f>
        <v>344609.60921887471</v>
      </c>
      <c r="E41" s="19">
        <f>E39-E40</f>
        <v>360540.06540551962</v>
      </c>
      <c r="F41" s="19">
        <f>F39-F40</f>
        <v>375380.15202622925</v>
      </c>
      <c r="G41" s="19">
        <f>G39-G40</f>
        <v>388014.24850389326</v>
      </c>
    </row>
    <row r="42" spans="2:7" ht="14" customHeight="1" x14ac:dyDescent="0.3">
      <c r="B42" s="4" t="s">
        <v>91</v>
      </c>
      <c r="C42" s="5">
        <f>C33*C18</f>
        <v>289618.32899999997</v>
      </c>
      <c r="D42" s="5">
        <f>D33*C18</f>
        <v>302651.15380499995</v>
      </c>
      <c r="E42" s="5">
        <f>E33*C18</f>
        <v>314757.19995719998</v>
      </c>
      <c r="F42" s="5">
        <f>F33*C18</f>
        <v>325773.70195570192</v>
      </c>
      <c r="G42" s="5">
        <f>G33*C18</f>
        <v>335546.91301437299</v>
      </c>
    </row>
    <row r="43" spans="2:7" ht="14" customHeight="1" x14ac:dyDescent="0.3">
      <c r="B43" s="4" t="s">
        <v>92</v>
      </c>
      <c r="C43" s="5">
        <f>C33*C5</f>
        <v>303835.95606</v>
      </c>
      <c r="D43" s="5">
        <f>D33*C5</f>
        <v>317508.57408269995</v>
      </c>
      <c r="E43" s="5">
        <f>E33*C5</f>
        <v>330208.91704600799</v>
      </c>
      <c r="F43" s="5">
        <f>F33*C5</f>
        <v>341766.22914261825</v>
      </c>
      <c r="G43" s="5">
        <f>G33*C5</f>
        <v>352019.21601689677</v>
      </c>
    </row>
    <row r="44" spans="2:7" ht="14" customHeight="1" x14ac:dyDescent="0.3">
      <c r="B44" s="4" t="s">
        <v>93</v>
      </c>
      <c r="C44" s="5">
        <f>'NWC Schedule'!D19</f>
        <v>55216.45524657541</v>
      </c>
      <c r="D44" s="5">
        <f>'NWC Schedule'!E19</f>
        <v>80290.640486095333</v>
      </c>
      <c r="E44" s="5">
        <f>'NWC Schedule'!F19</f>
        <v>74581.083829306765</v>
      </c>
      <c r="F44" s="5">
        <f>'NWC Schedule'!G19</f>
        <v>67868.78628466907</v>
      </c>
      <c r="G44" s="5">
        <f>'NWC Schedule'!H19</f>
        <v>60209.308975399472</v>
      </c>
    </row>
    <row r="45" spans="2:7" ht="14" customHeight="1" x14ac:dyDescent="0.3">
      <c r="B45" s="4" t="s">
        <v>94</v>
      </c>
      <c r="C45" s="20">
        <f>C41+C42-C43-C44</f>
        <v>258361.20824342431</v>
      </c>
      <c r="D45" s="20">
        <f>D41+D42-D43-D44</f>
        <v>249461.54845507944</v>
      </c>
      <c r="E45" s="20">
        <f>E41+E42-E43-E44</f>
        <v>270507.26448740478</v>
      </c>
      <c r="F45" s="20">
        <f>F41+F42-F43-F44</f>
        <v>291518.83855464391</v>
      </c>
      <c r="G45" s="20">
        <f>G41+G42-G43-G44</f>
        <v>311332.63652596995</v>
      </c>
    </row>
    <row r="46" spans="2:7" ht="14" customHeight="1" x14ac:dyDescent="0.3">
      <c r="B46" s="4" t="s">
        <v>95</v>
      </c>
      <c r="C46" s="21">
        <f>1/(1+C26)^(C19+0)</f>
        <v>0.92823601699829283</v>
      </c>
      <c r="D46" s="21">
        <f>1/(1+C26)^(C19+1)</f>
        <v>0.86162210325285493</v>
      </c>
      <c r="E46" s="21">
        <f>1/(1+C26)^(C19+2)</f>
        <v>0.7997886692811218</v>
      </c>
      <c r="F46" s="21">
        <f>1/(1+C26)^(C19+3)</f>
        <v>0.74239264881387335</v>
      </c>
      <c r="G46" s="21">
        <f>1/(1+C26)^(C19+4)</f>
        <v>0.68911559538380218</v>
      </c>
    </row>
    <row r="47" spans="2:7" ht="14" customHeight="1" x14ac:dyDescent="0.3">
      <c r="B47" s="4" t="s">
        <v>96</v>
      </c>
      <c r="C47" s="19">
        <f>C45*C46</f>
        <v>239820.17888674268</v>
      </c>
      <c r="D47" s="19">
        <f>D45*D46</f>
        <v>214941.58406057954</v>
      </c>
      <c r="E47" s="19">
        <f>E45*E46</f>
        <v>216348.64509525793</v>
      </c>
      <c r="F47" s="19">
        <f>F45*F46</f>
        <v>216421.442733726</v>
      </c>
      <c r="G47" s="19">
        <f>G45*G46</f>
        <v>214544.17518200265</v>
      </c>
    </row>
    <row r="49" spans="2:7" ht="14" customHeight="1" x14ac:dyDescent="0.3">
      <c r="B49" s="22" t="s">
        <v>97</v>
      </c>
      <c r="C49" s="23"/>
      <c r="D49" s="23"/>
      <c r="E49" s="23"/>
      <c r="F49" s="23"/>
      <c r="G49" s="23"/>
    </row>
    <row r="50" spans="2:7" ht="14" customHeight="1" x14ac:dyDescent="0.3">
      <c r="B50" s="4" t="s">
        <v>98</v>
      </c>
      <c r="C50" s="5">
        <f>SUM(C47:G47)</f>
        <v>1102076.0259583087</v>
      </c>
    </row>
    <row r="51" spans="2:7" ht="14" customHeight="1" x14ac:dyDescent="0.3">
      <c r="B51" s="4" t="s">
        <v>99</v>
      </c>
      <c r="C51" s="5">
        <f>G45*(1+C13)/(C26-C13)</f>
        <v>4671454.6602196945</v>
      </c>
    </row>
    <row r="52" spans="2:7" ht="14" customHeight="1" x14ac:dyDescent="0.3">
      <c r="B52" s="4" t="s">
        <v>100</v>
      </c>
      <c r="C52" s="5">
        <f>C51*G46</f>
        <v>3219172.2594857323</v>
      </c>
    </row>
    <row r="53" spans="2:7" ht="14" customHeight="1" x14ac:dyDescent="0.3">
      <c r="B53" s="4" t="s">
        <v>101</v>
      </c>
      <c r="C53" s="5">
        <f>C50+C52</f>
        <v>4321248.2854440408</v>
      </c>
    </row>
    <row r="54" spans="2:7" ht="14" customHeight="1" x14ac:dyDescent="0.3">
      <c r="B54" s="4" t="s">
        <v>102</v>
      </c>
      <c r="C54" s="5">
        <f>C53-C16</f>
        <v>4160147.2854440408</v>
      </c>
    </row>
    <row r="55" spans="2:7" ht="14" customHeight="1" x14ac:dyDescent="0.3">
      <c r="B55" s="4" t="s">
        <v>103</v>
      </c>
      <c r="C55" s="24">
        <f>ROUND(C54*1000000/C15,0)</f>
        <v>14946</v>
      </c>
    </row>
    <row r="57" spans="2:7" ht="14" customHeight="1" x14ac:dyDescent="0.3">
      <c r="B57" s="22" t="s">
        <v>104</v>
      </c>
      <c r="C57" s="23"/>
      <c r="D57" s="23"/>
      <c r="E57" s="23"/>
      <c r="F57" s="23"/>
      <c r="G57" s="23"/>
    </row>
    <row r="58" spans="2:7" ht="14" customHeight="1" x14ac:dyDescent="0.3">
      <c r="B58" s="4" t="s">
        <v>98</v>
      </c>
      <c r="C58" s="5">
        <f>C50</f>
        <v>1102076.0259583087</v>
      </c>
    </row>
    <row r="59" spans="2:7" ht="14" customHeight="1" x14ac:dyDescent="0.3">
      <c r="B59" s="4" t="s">
        <v>105</v>
      </c>
      <c r="C59" s="5">
        <f>G39+G42</f>
        <v>852899.2443528974</v>
      </c>
    </row>
    <row r="60" spans="2:7" ht="14" customHeight="1" x14ac:dyDescent="0.3">
      <c r="B60" s="4" t="s">
        <v>106</v>
      </c>
      <c r="C60" s="5">
        <f>C59*C14</f>
        <v>12196459.194246434</v>
      </c>
    </row>
    <row r="61" spans="2:7" ht="14" customHeight="1" x14ac:dyDescent="0.3">
      <c r="B61" s="4" t="s">
        <v>100</v>
      </c>
      <c r="C61" s="5">
        <f>C60*G46</f>
        <v>8404770.2392173801</v>
      </c>
    </row>
    <row r="62" spans="2:7" ht="14" customHeight="1" x14ac:dyDescent="0.3">
      <c r="B62" s="4" t="s">
        <v>101</v>
      </c>
      <c r="C62" s="5">
        <f>C58+C61</f>
        <v>9506846.265175689</v>
      </c>
    </row>
    <row r="63" spans="2:7" ht="14" customHeight="1" x14ac:dyDescent="0.3">
      <c r="B63" s="4" t="s">
        <v>102</v>
      </c>
      <c r="C63" s="5">
        <f>C62-C16</f>
        <v>9345745.265175689</v>
      </c>
    </row>
    <row r="64" spans="2:7" ht="14" customHeight="1" x14ac:dyDescent="0.3">
      <c r="B64" s="4" t="s">
        <v>107</v>
      </c>
      <c r="C64" s="24">
        <f>ROUND(C63*1000000/C15,0)</f>
        <v>33577</v>
      </c>
    </row>
    <row r="66" spans="2:7" ht="14" customHeight="1" x14ac:dyDescent="0.3">
      <c r="B66" s="22" t="s">
        <v>108</v>
      </c>
      <c r="C66" s="23"/>
      <c r="D66" s="23"/>
      <c r="E66" s="23"/>
      <c r="F66" s="23"/>
      <c r="G66" s="23"/>
    </row>
    <row r="67" spans="2:7" ht="14" customHeight="1" x14ac:dyDescent="0.3">
      <c r="C67" s="25" t="s">
        <v>109</v>
      </c>
      <c r="D67" s="25" t="s">
        <v>110</v>
      </c>
      <c r="E67" s="25" t="s">
        <v>111</v>
      </c>
      <c r="F67" s="25" t="s">
        <v>112</v>
      </c>
      <c r="G67" s="25" t="s">
        <v>113</v>
      </c>
    </row>
    <row r="68" spans="2:7" ht="14" customHeight="1" x14ac:dyDescent="0.3">
      <c r="B68" s="3" t="s">
        <v>40</v>
      </c>
    </row>
    <row r="69" spans="2:7" ht="14" customHeight="1" x14ac:dyDescent="0.3">
      <c r="B69" s="4" t="s">
        <v>77</v>
      </c>
      <c r="C69" s="26">
        <v>0.05</v>
      </c>
      <c r="D69" s="26">
        <v>4.4999999999999998E-2</v>
      </c>
      <c r="E69" s="26">
        <v>0.04</v>
      </c>
      <c r="F69" s="26">
        <v>3.5000000000000003E-2</v>
      </c>
      <c r="G69" s="26">
        <v>0.03</v>
      </c>
    </row>
    <row r="70" spans="2:7" ht="14" customHeight="1" x14ac:dyDescent="0.3">
      <c r="B70" s="4" t="s">
        <v>114</v>
      </c>
      <c r="C70" s="26">
        <v>7.0000000000000007E-2</v>
      </c>
      <c r="D70" s="26">
        <v>0.06</v>
      </c>
      <c r="E70" s="26">
        <v>0.05</v>
      </c>
      <c r="F70" s="26">
        <v>4.4999999999999998E-2</v>
      </c>
      <c r="G70" s="26">
        <v>0.04</v>
      </c>
    </row>
    <row r="71" spans="2:7" ht="14" customHeight="1" x14ac:dyDescent="0.3">
      <c r="B71" s="4" t="s">
        <v>115</v>
      </c>
      <c r="C71" s="26">
        <v>0.05</v>
      </c>
      <c r="D71" s="26">
        <v>4.4999999999999998E-2</v>
      </c>
      <c r="E71" s="26">
        <v>0.04</v>
      </c>
      <c r="F71" s="26">
        <v>3.5000000000000003E-2</v>
      </c>
      <c r="G71" s="26">
        <v>0.03</v>
      </c>
    </row>
    <row r="72" spans="2:7" ht="14" customHeight="1" x14ac:dyDescent="0.3">
      <c r="B72" s="4" t="s">
        <v>116</v>
      </c>
      <c r="C72" s="26">
        <v>1.4999999999999999E-2</v>
      </c>
      <c r="D72" s="26">
        <v>0.01</v>
      </c>
      <c r="E72" s="26">
        <v>0.01</v>
      </c>
      <c r="F72" s="26">
        <v>0.01</v>
      </c>
      <c r="G72" s="26">
        <v>0.01</v>
      </c>
    </row>
    <row r="73" spans="2:7" ht="14" customHeight="1" x14ac:dyDescent="0.3">
      <c r="B73" s="4" t="s">
        <v>117</v>
      </c>
      <c r="C73" s="26">
        <v>-0.08</v>
      </c>
      <c r="D73" s="26">
        <v>-0.01</v>
      </c>
      <c r="E73" s="26">
        <v>5.0000000000000001E-3</v>
      </c>
      <c r="F73" s="26">
        <v>0.01</v>
      </c>
      <c r="G73" s="26">
        <v>1.4999999999999999E-2</v>
      </c>
    </row>
    <row r="75" spans="2:7" ht="14" customHeight="1" x14ac:dyDescent="0.3">
      <c r="B75" s="3" t="s">
        <v>84</v>
      </c>
    </row>
    <row r="76" spans="2:7" ht="14" customHeight="1" x14ac:dyDescent="0.3">
      <c r="B76" s="4" t="s">
        <v>77</v>
      </c>
      <c r="C76" s="26">
        <v>0.65500000000000003</v>
      </c>
      <c r="D76" s="26">
        <v>0.65500000000000003</v>
      </c>
      <c r="E76" s="26">
        <v>0.65500000000000003</v>
      </c>
      <c r="F76" s="26">
        <v>0.65500000000000003</v>
      </c>
      <c r="G76" s="26">
        <v>0.65500000000000003</v>
      </c>
    </row>
    <row r="77" spans="2:7" ht="14" customHeight="1" x14ac:dyDescent="0.3">
      <c r="B77" s="4" t="s">
        <v>114</v>
      </c>
      <c r="C77" s="26">
        <v>0.65</v>
      </c>
      <c r="D77" s="26">
        <v>0.65</v>
      </c>
      <c r="E77" s="26">
        <v>0.65</v>
      </c>
      <c r="F77" s="26">
        <v>0.65</v>
      </c>
      <c r="G77" s="26">
        <v>0.65</v>
      </c>
    </row>
    <row r="78" spans="2:7" ht="14" customHeight="1" x14ac:dyDescent="0.3">
      <c r="B78" s="4" t="s">
        <v>115</v>
      </c>
      <c r="C78" s="26">
        <v>0.65500000000000003</v>
      </c>
      <c r="D78" s="26">
        <v>0.65500000000000003</v>
      </c>
      <c r="E78" s="26">
        <v>0.65500000000000003</v>
      </c>
      <c r="F78" s="26">
        <v>0.65500000000000003</v>
      </c>
      <c r="G78" s="26">
        <v>0.65500000000000003</v>
      </c>
    </row>
    <row r="79" spans="2:7" ht="14" customHeight="1" x14ac:dyDescent="0.3">
      <c r="B79" s="4" t="s">
        <v>116</v>
      </c>
      <c r="C79" s="26">
        <v>0.66200000000000003</v>
      </c>
      <c r="D79" s="26">
        <v>0.66200000000000003</v>
      </c>
      <c r="E79" s="26">
        <v>0.66200000000000003</v>
      </c>
      <c r="F79" s="26">
        <v>0.66200000000000003</v>
      </c>
      <c r="G79" s="26">
        <v>0.66200000000000003</v>
      </c>
    </row>
    <row r="80" spans="2:7" ht="14" customHeight="1" x14ac:dyDescent="0.3">
      <c r="B80" s="4" t="s">
        <v>117</v>
      </c>
      <c r="C80" s="26">
        <v>0.68</v>
      </c>
      <c r="D80" s="26">
        <v>0.68</v>
      </c>
      <c r="E80" s="26">
        <v>0.68</v>
      </c>
      <c r="F80" s="26">
        <v>0.68</v>
      </c>
      <c r="G80" s="26">
        <v>0.68</v>
      </c>
    </row>
    <row r="82" spans="2:7" ht="14" customHeight="1" x14ac:dyDescent="0.3">
      <c r="B82" s="3" t="s">
        <v>85</v>
      </c>
    </row>
    <row r="83" spans="2:7" ht="14" customHeight="1" x14ac:dyDescent="0.3">
      <c r="B83" s="4" t="s">
        <v>77</v>
      </c>
      <c r="C83" s="26">
        <v>0.26200000000000001</v>
      </c>
      <c r="D83" s="26">
        <v>0.26150000000000001</v>
      </c>
      <c r="E83" s="26">
        <v>0.26100000000000001</v>
      </c>
      <c r="F83" s="26">
        <v>0.26050000000000001</v>
      </c>
      <c r="G83" s="26">
        <v>0.26019999999999999</v>
      </c>
    </row>
    <row r="84" spans="2:7" ht="14" customHeight="1" x14ac:dyDescent="0.3">
      <c r="B84" s="4" t="s">
        <v>114</v>
      </c>
      <c r="C84" s="26">
        <v>0.26400000000000001</v>
      </c>
      <c r="D84" s="26">
        <v>0.26200000000000001</v>
      </c>
      <c r="E84" s="26">
        <v>0.26</v>
      </c>
      <c r="F84" s="26">
        <v>0.25850000000000001</v>
      </c>
      <c r="G84" s="26">
        <v>0.25729999999999997</v>
      </c>
    </row>
    <row r="85" spans="2:7" ht="14" customHeight="1" x14ac:dyDescent="0.3">
      <c r="B85" s="4" t="s">
        <v>115</v>
      </c>
      <c r="C85" s="26">
        <v>0.26200000000000001</v>
      </c>
      <c r="D85" s="26">
        <v>0.26150000000000001</v>
      </c>
      <c r="E85" s="26">
        <v>0.26100000000000001</v>
      </c>
      <c r="F85" s="26">
        <v>0.26050000000000001</v>
      </c>
      <c r="G85" s="26">
        <v>0.26019999999999999</v>
      </c>
    </row>
    <row r="86" spans="2:7" ht="14" customHeight="1" x14ac:dyDescent="0.3">
      <c r="B86" s="4" t="s">
        <v>116</v>
      </c>
      <c r="C86" s="26">
        <v>0.25800000000000001</v>
      </c>
      <c r="D86" s="26">
        <v>0.26100000000000001</v>
      </c>
      <c r="E86" s="26">
        <v>0.26400000000000001</v>
      </c>
      <c r="F86" s="26">
        <v>0.26600000000000001</v>
      </c>
      <c r="G86" s="26">
        <v>0.26600000000000001</v>
      </c>
    </row>
    <row r="87" spans="2:7" ht="14" customHeight="1" x14ac:dyDescent="0.3">
      <c r="B87" s="4" t="s">
        <v>117</v>
      </c>
      <c r="C87" s="26">
        <v>0.27</v>
      </c>
      <c r="D87" s="26">
        <v>0.27800000000000002</v>
      </c>
      <c r="E87" s="26">
        <v>0.27900000000000003</v>
      </c>
      <c r="F87" s="26">
        <v>0.27600000000000002</v>
      </c>
      <c r="G87" s="26">
        <v>0.27200000000000002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118</v>
      </c>
    </row>
    <row r="3" spans="2:9" ht="14" customHeight="1" x14ac:dyDescent="0.3">
      <c r="B3" s="1" t="s">
        <v>119</v>
      </c>
    </row>
    <row r="5" spans="2:9" ht="14" customHeight="1" x14ac:dyDescent="0.3">
      <c r="B5" s="8" t="s">
        <v>120</v>
      </c>
      <c r="C5" s="9"/>
      <c r="D5" s="9"/>
      <c r="E5" s="9"/>
      <c r="F5" s="9"/>
      <c r="G5" s="9"/>
      <c r="H5" s="9"/>
      <c r="I5" s="9"/>
    </row>
    <row r="6" spans="2:9" ht="14" customHeight="1" x14ac:dyDescent="0.3">
      <c r="B6" s="4" t="s">
        <v>121</v>
      </c>
      <c r="C6" s="15">
        <f>'Executive Summary'!C9</f>
        <v>20500</v>
      </c>
    </row>
    <row r="7" spans="2:9" ht="14" customHeight="1" x14ac:dyDescent="0.3">
      <c r="B7" s="4" t="s">
        <v>65</v>
      </c>
      <c r="C7" s="15">
        <f>'DCF Model'!C15</f>
        <v>278336120</v>
      </c>
    </row>
    <row r="8" spans="2:9" ht="14" customHeight="1" x14ac:dyDescent="0.3">
      <c r="B8" s="4" t="s">
        <v>122</v>
      </c>
      <c r="C8" s="5">
        <f>C6*C7/1000000</f>
        <v>5705890.46</v>
      </c>
    </row>
    <row r="9" spans="2:9" ht="14" customHeight="1" x14ac:dyDescent="0.3">
      <c r="B9" s="4" t="s">
        <v>66</v>
      </c>
      <c r="C9" s="5">
        <f>'DCF Model'!C16</f>
        <v>161101</v>
      </c>
    </row>
    <row r="10" spans="2:9" ht="14" customHeight="1" x14ac:dyDescent="0.3">
      <c r="B10" s="4" t="s">
        <v>123</v>
      </c>
      <c r="C10" s="5">
        <f>C8+C9</f>
        <v>5866991.46</v>
      </c>
    </row>
    <row r="11" spans="2:9" ht="14" customHeight="1" x14ac:dyDescent="0.3">
      <c r="B11" s="4" t="s">
        <v>124</v>
      </c>
      <c r="C11" s="16">
        <f>'DCF Model'!C26</f>
        <v>7.7312215522271924E-2</v>
      </c>
    </row>
    <row r="12" spans="2:9" ht="14" customHeight="1" x14ac:dyDescent="0.3">
      <c r="B12" s="4" t="s">
        <v>125</v>
      </c>
      <c r="C12" s="16">
        <f>'DCF Model'!C13</f>
        <v>0.01</v>
      </c>
    </row>
    <row r="13" spans="2:9" ht="14" customHeight="1" x14ac:dyDescent="0.3">
      <c r="B13" s="4" t="s">
        <v>126</v>
      </c>
      <c r="C13" s="16">
        <f>'DCF Model'!C6</f>
        <v>0.25</v>
      </c>
    </row>
    <row r="14" spans="2:9" ht="14" customHeight="1" x14ac:dyDescent="0.3">
      <c r="B14" s="4" t="s">
        <v>127</v>
      </c>
      <c r="C14" s="27">
        <v>414992</v>
      </c>
    </row>
    <row r="15" spans="2:9" ht="14" customHeight="1" x14ac:dyDescent="0.3">
      <c r="B15" s="4" t="s">
        <v>128</v>
      </c>
      <c r="C15" s="27">
        <v>414992</v>
      </c>
    </row>
    <row r="16" spans="2:9" ht="14" customHeight="1" x14ac:dyDescent="0.3">
      <c r="B16" s="4" t="s">
        <v>129</v>
      </c>
      <c r="C16" s="5">
        <f>'DCF Model'!G33</f>
        <v>6100852.9638976911</v>
      </c>
    </row>
    <row r="17" spans="2:9" ht="14" customHeight="1" x14ac:dyDescent="0.3">
      <c r="B17" s="4" t="s">
        <v>130</v>
      </c>
      <c r="C17" s="5">
        <f>'DCF Model'!C53</f>
        <v>4321248.2854440408</v>
      </c>
    </row>
    <row r="18" spans="2:9" ht="14" customHeight="1" x14ac:dyDescent="0.3">
      <c r="B18" s="4" t="s">
        <v>131</v>
      </c>
      <c r="C18" s="26">
        <v>8.2749555536590372E-2</v>
      </c>
    </row>
    <row r="19" spans="2:9" ht="14" customHeight="1" x14ac:dyDescent="0.3">
      <c r="B19" s="4" t="s">
        <v>132</v>
      </c>
      <c r="C19" s="5">
        <f>C10-C17</f>
        <v>1545743.1745559592</v>
      </c>
    </row>
    <row r="20" spans="2:9" ht="14" customHeight="1" x14ac:dyDescent="0.3">
      <c r="B20" s="4" t="s">
        <v>133</v>
      </c>
      <c r="C20" s="15">
        <f>IFERROR(ROUND(C19*1000000/C7,0),"N/A")</f>
        <v>5554</v>
      </c>
    </row>
    <row r="22" spans="2:9" ht="14" customHeight="1" x14ac:dyDescent="0.3">
      <c r="B22" s="8" t="s">
        <v>134</v>
      </c>
      <c r="C22" s="9"/>
      <c r="D22" s="9"/>
      <c r="E22" s="9"/>
      <c r="F22" s="9"/>
      <c r="G22" s="9"/>
      <c r="H22" s="9"/>
      <c r="I22" s="9"/>
    </row>
    <row r="23" spans="2:9" ht="14" customHeight="1" x14ac:dyDescent="0.3">
      <c r="B23" s="1" t="s">
        <v>135</v>
      </c>
    </row>
    <row r="24" spans="2:9" ht="14" customHeight="1" x14ac:dyDescent="0.3">
      <c r="B24" s="4" t="s">
        <v>136</v>
      </c>
      <c r="C24" s="5">
        <f>C10*(C11-C12)</f>
        <v>394920.19362284883</v>
      </c>
    </row>
    <row r="25" spans="2:9" ht="14" customHeight="1" x14ac:dyDescent="0.3">
      <c r="B25" s="4" t="s">
        <v>137</v>
      </c>
      <c r="C25" s="5">
        <f>IFERROR(C24/(1-C13),"N/A")</f>
        <v>526560.25816379848</v>
      </c>
    </row>
    <row r="26" spans="2:9" ht="13.5" customHeight="1" x14ac:dyDescent="0.25">
      <c r="B26" s="6" t="s">
        <v>138</v>
      </c>
      <c r="C26" s="14">
        <f>IFERROR(C25/C15,"N/A")</f>
        <v>1.2688443588401668</v>
      </c>
    </row>
    <row r="27" spans="2:9" ht="13.5" customHeight="1" x14ac:dyDescent="0.25">
      <c r="B27" s="6" t="s">
        <v>139</v>
      </c>
      <c r="C27" s="14">
        <f>IFERROR(C25/C14,"N/A")</f>
        <v>1.2688443588401668</v>
      </c>
    </row>
    <row r="28" spans="2:9" ht="13.5" customHeight="1" x14ac:dyDescent="0.25">
      <c r="B28" s="6" t="s">
        <v>140</v>
      </c>
      <c r="C28" s="7">
        <f>IFERROR(C25/C16,"N/A")</f>
        <v>8.6309285157298979E-2</v>
      </c>
    </row>
    <row r="29" spans="2:9" ht="13.5" customHeight="1" x14ac:dyDescent="0.25">
      <c r="B29" s="6" t="s">
        <v>141</v>
      </c>
      <c r="C29" s="5">
        <f>IFERROR(C25/C18,"N/A")</f>
        <v>6363300.137980354</v>
      </c>
    </row>
    <row r="32" spans="2:9" ht="14" customHeight="1" x14ac:dyDescent="0.3">
      <c r="B32" s="8" t="s">
        <v>142</v>
      </c>
      <c r="C32" s="9"/>
      <c r="D32" s="9"/>
      <c r="E32" s="9"/>
      <c r="F32" s="9"/>
      <c r="G32" s="9"/>
      <c r="H32" s="9"/>
      <c r="I32" s="9"/>
    </row>
    <row r="33" spans="2:9" ht="14" customHeight="1" x14ac:dyDescent="0.3">
      <c r="B33" s="1" t="s">
        <v>143</v>
      </c>
    </row>
    <row r="34" spans="2:9" ht="14" customHeight="1" x14ac:dyDescent="0.3">
      <c r="B34" s="1" t="s">
        <v>144</v>
      </c>
    </row>
    <row r="36" spans="2:9" ht="14" customHeight="1" x14ac:dyDescent="0.3">
      <c r="B36" s="28" t="s">
        <v>145</v>
      </c>
      <c r="C36" s="28" t="s">
        <v>146</v>
      </c>
      <c r="D36" s="29">
        <f>'DCF Model'!C26-0.02</f>
        <v>5.731221552227192E-2</v>
      </c>
      <c r="E36" s="29">
        <f>'DCF Model'!C26-0.01</f>
        <v>6.7312215522271929E-2</v>
      </c>
      <c r="F36" s="29">
        <f>'DCF Model'!C26</f>
        <v>7.7312215522271924E-2</v>
      </c>
      <c r="G36" s="29">
        <f>'DCF Model'!C26+0.01</f>
        <v>8.7312215522271919E-2</v>
      </c>
      <c r="H36" s="29">
        <f>'DCF Model'!C26+0.02</f>
        <v>9.7312215522271928E-2</v>
      </c>
    </row>
    <row r="37" spans="2:9" ht="14" customHeight="1" x14ac:dyDescent="0.3">
      <c r="B37" s="3" t="s">
        <v>147</v>
      </c>
    </row>
    <row r="38" spans="2:9" ht="14" customHeight="1" x14ac:dyDescent="0.3">
      <c r="B38" s="4" t="s">
        <v>148</v>
      </c>
      <c r="C38" s="30">
        <v>3</v>
      </c>
      <c r="D38" s="13">
        <f t="shared" ref="D38:H41" si="0">IFERROR((1-(1+D$36)^(-$C38))/D$36-(1+D$36)/(D$36^2*$C38)*(1-($C38+1)/(1+D$36)^$C38+$C38/(1+D$36)^($C38+1)),"N/A")</f>
        <v>0.92870531610553031</v>
      </c>
      <c r="E38" s="13">
        <f t="shared" si="0"/>
        <v>0.91723643857700865</v>
      </c>
      <c r="F38" s="13">
        <f t="shared" si="0"/>
        <v>0.90603137908315357</v>
      </c>
      <c r="G38" s="13">
        <f t="shared" si="0"/>
        <v>0.89508146712193515</v>
      </c>
      <c r="H38" s="13">
        <f t="shared" si="0"/>
        <v>0.88437839851652278</v>
      </c>
    </row>
    <row r="39" spans="2:9" ht="14" customHeight="1" x14ac:dyDescent="0.3">
      <c r="B39" s="4" t="s">
        <v>149</v>
      </c>
      <c r="C39" s="30">
        <v>5</v>
      </c>
      <c r="D39" s="13">
        <f t="shared" si="0"/>
        <v>1.7918030404147456</v>
      </c>
      <c r="E39" s="13">
        <f t="shared" si="0"/>
        <v>1.7593663660223298</v>
      </c>
      <c r="F39" s="13">
        <f t="shared" si="0"/>
        <v>1.7279560730255499</v>
      </c>
      <c r="G39" s="13">
        <f t="shared" si="0"/>
        <v>1.6975278456714467</v>
      </c>
      <c r="H39" s="13">
        <f t="shared" si="0"/>
        <v>1.6680397439917938</v>
      </c>
    </row>
    <row r="40" spans="2:9" ht="14" customHeight="1" x14ac:dyDescent="0.3">
      <c r="B40" s="4" t="s">
        <v>150</v>
      </c>
      <c r="C40" s="30">
        <v>7</v>
      </c>
      <c r="D40" s="13">
        <f t="shared" si="0"/>
        <v>2.594497698826991</v>
      </c>
      <c r="E40" s="13">
        <f t="shared" si="0"/>
        <v>2.533293618456868</v>
      </c>
      <c r="F40" s="13">
        <f t="shared" si="0"/>
        <v>2.4745360497283184</v>
      </c>
      <c r="G40" s="13">
        <f t="shared" si="0"/>
        <v>2.4180948972246696</v>
      </c>
      <c r="H40" s="13">
        <f t="shared" si="0"/>
        <v>2.3638484781277391</v>
      </c>
    </row>
    <row r="41" spans="2:9" ht="14" customHeight="1" x14ac:dyDescent="0.3">
      <c r="B41" s="4" t="s">
        <v>151</v>
      </c>
      <c r="C41" s="30">
        <v>10</v>
      </c>
      <c r="D41" s="13">
        <f t="shared" si="0"/>
        <v>3.6955956772654788</v>
      </c>
      <c r="E41" s="13">
        <f t="shared" si="0"/>
        <v>3.5797597125117853</v>
      </c>
      <c r="F41" s="13">
        <f t="shared" si="0"/>
        <v>3.4699362924077866</v>
      </c>
      <c r="G41" s="13">
        <f t="shared" si="0"/>
        <v>3.3657189527552851</v>
      </c>
      <c r="H41" s="13">
        <f t="shared" si="0"/>
        <v>3.2667340242191174</v>
      </c>
    </row>
    <row r="42" spans="2:9" ht="14" customHeight="1" x14ac:dyDescent="0.3">
      <c r="B42" s="3" t="s">
        <v>152</v>
      </c>
    </row>
    <row r="43" spans="2:9" ht="14" customHeight="1" x14ac:dyDescent="0.3">
      <c r="B43" s="4" t="s">
        <v>148</v>
      </c>
      <c r="C43" s="30">
        <v>3</v>
      </c>
      <c r="D43" s="13">
        <f t="shared" ref="D43:H46" si="1">IFERROR((1+D$36)/(D$36^2*$C43)*(1-($C43+1)/(1+D$36)^$C43+$C43/(1+D$36)^($C43+1))+(1+$C$12)/((D$36-$C$12)*(1+D$36)^$C43),"N/A")</f>
        <v>19.818511315821571</v>
      </c>
      <c r="E43" s="13">
        <f t="shared" si="1"/>
        <v>16.21440343187254</v>
      </c>
      <c r="F43" s="13">
        <f t="shared" si="1"/>
        <v>13.684209206186781</v>
      </c>
      <c r="G43" s="13">
        <f t="shared" si="1"/>
        <v>11.811119483697134</v>
      </c>
      <c r="H43" s="13">
        <f t="shared" si="1"/>
        <v>10.369279738115571</v>
      </c>
    </row>
    <row r="44" spans="2:9" ht="14" customHeight="1" x14ac:dyDescent="0.3">
      <c r="B44" s="4" t="s">
        <v>149</v>
      </c>
      <c r="C44" s="30">
        <v>5</v>
      </c>
      <c r="D44" s="13">
        <f t="shared" si="1"/>
        <v>18.607465931611191</v>
      </c>
      <c r="E44" s="13">
        <f t="shared" si="1"/>
        <v>15.094306687765878</v>
      </c>
      <c r="F44" s="13">
        <f t="shared" si="1"/>
        <v>12.633175827271039</v>
      </c>
      <c r="G44" s="13">
        <f t="shared" si="1"/>
        <v>10.815510867817844</v>
      </c>
      <c r="H44" s="13">
        <f t="shared" si="1"/>
        <v>9.41993948505894</v>
      </c>
    </row>
    <row r="45" spans="2:9" ht="14" customHeight="1" x14ac:dyDescent="0.3">
      <c r="B45" s="4" t="s">
        <v>150</v>
      </c>
      <c r="C45" s="30">
        <v>7</v>
      </c>
      <c r="D45" s="13">
        <f t="shared" si="1"/>
        <v>17.493522663328864</v>
      </c>
      <c r="E45" s="13">
        <f t="shared" si="1"/>
        <v>14.07636810456524</v>
      </c>
      <c r="F45" s="13">
        <f t="shared" si="1"/>
        <v>11.689190743548043</v>
      </c>
      <c r="G45" s="13">
        <f t="shared" si="1"/>
        <v>9.9315582481095817</v>
      </c>
      <c r="H45" s="13">
        <f t="shared" si="1"/>
        <v>8.5865344386326683</v>
      </c>
    </row>
    <row r="46" spans="2:9" ht="14" customHeight="1" x14ac:dyDescent="0.3">
      <c r="B46" s="4" t="s">
        <v>151</v>
      </c>
      <c r="C46" s="30">
        <v>10</v>
      </c>
      <c r="D46" s="13">
        <f t="shared" si="1"/>
        <v>15.986008054766781</v>
      </c>
      <c r="E46" s="13">
        <f t="shared" si="1"/>
        <v>12.718618342087375</v>
      </c>
      <c r="F46" s="13">
        <f t="shared" si="1"/>
        <v>10.447698701180352</v>
      </c>
      <c r="G46" s="13">
        <f t="shared" si="1"/>
        <v>8.7848426565989328</v>
      </c>
      <c r="H46" s="13">
        <f t="shared" si="1"/>
        <v>7.5197213063255504</v>
      </c>
    </row>
    <row r="47" spans="2:9" ht="14" customHeight="1" x14ac:dyDescent="0.3">
      <c r="B47" s="22" t="s">
        <v>153</v>
      </c>
      <c r="C47" s="23"/>
      <c r="D47" s="23"/>
      <c r="E47" s="23"/>
      <c r="F47" s="23"/>
      <c r="G47" s="23"/>
      <c r="H47" s="23"/>
      <c r="I47" s="23"/>
    </row>
    <row r="48" spans="2:9" ht="14" customHeight="1" x14ac:dyDescent="0.3">
      <c r="B48" s="4" t="s">
        <v>148</v>
      </c>
      <c r="C48" s="30">
        <v>3</v>
      </c>
      <c r="D48" s="5">
        <f t="shared" ref="D48:H51" si="2">IFERROR(($C$10/(1-$C$13)-$C$14*D38)/D43,"N/A")</f>
        <v>375267.84352977143</v>
      </c>
      <c r="E48" s="5">
        <f t="shared" si="2"/>
        <v>458975.22700424143</v>
      </c>
      <c r="F48" s="5">
        <f t="shared" si="2"/>
        <v>544179.01639247139</v>
      </c>
      <c r="G48" s="5">
        <f t="shared" si="2"/>
        <v>630863.45389029523</v>
      </c>
      <c r="H48" s="5">
        <f t="shared" si="2"/>
        <v>719012.84447339643</v>
      </c>
    </row>
    <row r="49" spans="2:9" ht="14" customHeight="1" x14ac:dyDescent="0.3">
      <c r="B49" s="4" t="s">
        <v>149</v>
      </c>
      <c r="C49" s="30">
        <v>5</v>
      </c>
      <c r="D49" s="5">
        <f t="shared" si="2"/>
        <v>380442.52660035575</v>
      </c>
      <c r="E49" s="5">
        <f t="shared" si="2"/>
        <v>469881.29098902212</v>
      </c>
      <c r="F49" s="5">
        <f t="shared" si="2"/>
        <v>562452.97544298437</v>
      </c>
      <c r="G49" s="5">
        <f t="shared" si="2"/>
        <v>658146.88656545116</v>
      </c>
      <c r="H49" s="5">
        <f t="shared" si="2"/>
        <v>756950.94876893924</v>
      </c>
    </row>
    <row r="50" spans="2:9" ht="14" customHeight="1" x14ac:dyDescent="0.3">
      <c r="B50" s="4" t="s">
        <v>150</v>
      </c>
      <c r="C50" s="30">
        <v>7</v>
      </c>
      <c r="D50" s="5">
        <f t="shared" si="2"/>
        <v>385626.13264335477</v>
      </c>
      <c r="E50" s="5">
        <f t="shared" si="2"/>
        <v>481044.44586762856</v>
      </c>
      <c r="F50" s="5">
        <f t="shared" si="2"/>
        <v>581369.8111994724</v>
      </c>
      <c r="G50" s="5">
        <f t="shared" si="2"/>
        <v>686615.84336062579</v>
      </c>
      <c r="H50" s="5">
        <f t="shared" si="2"/>
        <v>796791.43212687003</v>
      </c>
    </row>
    <row r="51" spans="2:9" ht="14" customHeight="1" x14ac:dyDescent="0.3">
      <c r="B51" s="4" t="s">
        <v>151</v>
      </c>
      <c r="C51" s="30">
        <v>10</v>
      </c>
      <c r="D51" s="5">
        <f t="shared" si="2"/>
        <v>393407.32327636721</v>
      </c>
      <c r="E51" s="5">
        <f t="shared" si="2"/>
        <v>498252.5198051717</v>
      </c>
      <c r="F51" s="5">
        <f t="shared" si="2"/>
        <v>610915.34707255801</v>
      </c>
      <c r="G51" s="5">
        <f t="shared" si="2"/>
        <v>731476.82793512673</v>
      </c>
      <c r="H51" s="5">
        <f t="shared" si="2"/>
        <v>860003.52012796863</v>
      </c>
    </row>
    <row r="52" spans="2:9" ht="14" customHeight="1" x14ac:dyDescent="0.3">
      <c r="B52" s="22" t="s">
        <v>154</v>
      </c>
      <c r="C52" s="23"/>
      <c r="D52" s="23"/>
      <c r="E52" s="23"/>
      <c r="F52" s="23"/>
      <c r="G52" s="23"/>
      <c r="H52" s="23"/>
      <c r="I52" s="23"/>
    </row>
    <row r="53" spans="2:9" ht="14" customHeight="1" x14ac:dyDescent="0.3">
      <c r="B53" s="4" t="s">
        <v>148</v>
      </c>
      <c r="C53" s="30">
        <v>3</v>
      </c>
      <c r="D53" s="14">
        <f t="shared" ref="D53:H56" si="3">IFERROR(D48/$C$15,"N/A")</f>
        <v>0.90427729577864502</v>
      </c>
      <c r="E53" s="14">
        <f t="shared" si="3"/>
        <v>1.1059857226265601</v>
      </c>
      <c r="F53" s="14">
        <f t="shared" si="3"/>
        <v>1.3113000163677164</v>
      </c>
      <c r="G53" s="14">
        <f t="shared" si="3"/>
        <v>1.5201822056576879</v>
      </c>
      <c r="H53" s="14">
        <f t="shared" si="3"/>
        <v>1.7325944704317107</v>
      </c>
    </row>
    <row r="54" spans="2:9" ht="14" customHeight="1" x14ac:dyDescent="0.3">
      <c r="B54" s="4" t="s">
        <v>149</v>
      </c>
      <c r="C54" s="30">
        <v>5</v>
      </c>
      <c r="D54" s="14">
        <f t="shared" si="3"/>
        <v>0.91674665198450989</v>
      </c>
      <c r="E54" s="14">
        <f t="shared" si="3"/>
        <v>1.1322659014849012</v>
      </c>
      <c r="F54" s="14">
        <f t="shared" si="3"/>
        <v>1.3553345014915574</v>
      </c>
      <c r="G54" s="14">
        <f t="shared" si="3"/>
        <v>1.5859266842865674</v>
      </c>
      <c r="H54" s="14">
        <f t="shared" si="3"/>
        <v>1.8240133515078345</v>
      </c>
    </row>
    <row r="55" spans="2:9" ht="14" customHeight="1" x14ac:dyDescent="0.3">
      <c r="B55" s="4" t="s">
        <v>150</v>
      </c>
      <c r="C55" s="30">
        <v>7</v>
      </c>
      <c r="D55" s="14">
        <f t="shared" si="3"/>
        <v>0.9292375097432114</v>
      </c>
      <c r="E55" s="14">
        <f t="shared" si="3"/>
        <v>1.1591655884152672</v>
      </c>
      <c r="F55" s="14">
        <f t="shared" si="3"/>
        <v>1.4009181169744775</v>
      </c>
      <c r="G55" s="14">
        <f t="shared" si="3"/>
        <v>1.6545279026116788</v>
      </c>
      <c r="H55" s="14">
        <f t="shared" si="3"/>
        <v>1.9200163668862773</v>
      </c>
    </row>
    <row r="56" spans="2:9" ht="14" customHeight="1" x14ac:dyDescent="0.3">
      <c r="B56" s="4" t="s">
        <v>151</v>
      </c>
      <c r="C56" s="30">
        <v>10</v>
      </c>
      <c r="D56" s="14">
        <f t="shared" si="3"/>
        <v>0.94798772814022247</v>
      </c>
      <c r="E56" s="14">
        <f t="shared" si="3"/>
        <v>1.2006316261642915</v>
      </c>
      <c r="F56" s="14">
        <f t="shared" si="3"/>
        <v>1.4721135517613786</v>
      </c>
      <c r="G56" s="14">
        <f t="shared" si="3"/>
        <v>1.7626287444941751</v>
      </c>
      <c r="H56" s="14">
        <f t="shared" si="3"/>
        <v>2.0723375875389611</v>
      </c>
    </row>
    <row r="58" spans="2:9" ht="14" customHeight="1" x14ac:dyDescent="0.3">
      <c r="B58" s="8" t="s">
        <v>155</v>
      </c>
      <c r="C58" s="9"/>
      <c r="D58" s="9"/>
      <c r="E58" s="9"/>
      <c r="F58" s="9"/>
      <c r="G58" s="9"/>
      <c r="H58" s="9"/>
      <c r="I58" s="9"/>
    </row>
    <row r="59" spans="2:9" ht="14" customHeight="1" x14ac:dyDescent="0.3">
      <c r="B59" s="1" t="s">
        <v>156</v>
      </c>
    </row>
    <row r="60" spans="2:9" ht="14" customHeight="1" x14ac:dyDescent="0.3">
      <c r="B60" s="4" t="s">
        <v>157</v>
      </c>
      <c r="C60" s="5">
        <f>F49</f>
        <v>562452.97544298437</v>
      </c>
    </row>
    <row r="62" spans="2:9" ht="14" customHeight="1" x14ac:dyDescent="0.3">
      <c r="B62" s="28" t="s">
        <v>158</v>
      </c>
      <c r="C62" s="28" t="s">
        <v>159</v>
      </c>
      <c r="D62" s="28" t="s">
        <v>160</v>
      </c>
    </row>
    <row r="63" spans="2:9" ht="14" customHeight="1" x14ac:dyDescent="0.3">
      <c r="B63" s="31">
        <v>4.1399999999999999E-2</v>
      </c>
      <c r="C63" s="5">
        <f>IFERROR($C$60/B63,"N/A")</f>
        <v>13585820.662874019</v>
      </c>
      <c r="D63" s="14">
        <f>IFERROR(C63/'DCF Model'!C17,"N/A")</f>
        <v>2.7090175749234939</v>
      </c>
    </row>
    <row r="64" spans="2:9" ht="14" customHeight="1" x14ac:dyDescent="0.3">
      <c r="B64" s="31">
        <v>6.2100000000000002E-2</v>
      </c>
      <c r="C64" s="5">
        <f>IFERROR($C$60/B64,"N/A")</f>
        <v>9057213.7752493452</v>
      </c>
      <c r="D64" s="14">
        <f>IFERROR(C64/'DCF Model'!C17,"N/A")</f>
        <v>1.8060117166156624</v>
      </c>
    </row>
    <row r="65" spans="2:9" ht="14" customHeight="1" x14ac:dyDescent="0.3">
      <c r="B65" s="4" t="s">
        <v>161</v>
      </c>
      <c r="C65" s="5">
        <f>IFERROR($C$60/$C$18,"N/A")</f>
        <v>6797051.3170222137</v>
      </c>
      <c r="D65" s="14">
        <f>IFERROR(C65/'DCF Model'!C17,"N/A")</f>
        <v>1.3553345014915574</v>
      </c>
    </row>
    <row r="66" spans="2:9" ht="14" customHeight="1" x14ac:dyDescent="0.3">
      <c r="B66" s="31">
        <v>0.10340000000000001</v>
      </c>
      <c r="C66" s="5">
        <f>IFERROR($C$60/B66,"N/A")</f>
        <v>5439583.9017696744</v>
      </c>
      <c r="D66" s="14">
        <f>IFERROR(C66/'DCF Model'!C17,"N/A")</f>
        <v>1.0846550058204316</v>
      </c>
    </row>
    <row r="67" spans="2:9" ht="14" customHeight="1" x14ac:dyDescent="0.3">
      <c r="B67" s="31">
        <v>0.1241</v>
      </c>
      <c r="C67" s="5">
        <f>IFERROR($C$60/B67,"N/A")</f>
        <v>4532256.0470828712</v>
      </c>
      <c r="D67" s="14">
        <f>IFERROR(C67/'DCF Model'!C17,"N/A")</f>
        <v>0.90373350202927183</v>
      </c>
    </row>
    <row r="69" spans="2:9" ht="14" customHeight="1" x14ac:dyDescent="0.3">
      <c r="B69" s="8" t="s">
        <v>162</v>
      </c>
      <c r="C69" s="9"/>
      <c r="D69" s="9"/>
      <c r="E69" s="9"/>
      <c r="F69" s="9"/>
      <c r="G69" s="9"/>
      <c r="H69" s="9"/>
      <c r="I69" s="9"/>
    </row>
    <row r="70" spans="2:9" ht="13.5" customHeight="1" x14ac:dyDescent="0.25">
      <c r="B70" s="6" t="s">
        <v>163</v>
      </c>
      <c r="C70" s="14">
        <f>IFERROR(C10/'Comps Analysis'!G5,"N/A")</f>
        <v>8.4881487793656802</v>
      </c>
    </row>
    <row r="71" spans="2:9" ht="13.5" customHeight="1" x14ac:dyDescent="0.25">
      <c r="B71" s="6" t="s">
        <v>164</v>
      </c>
      <c r="C71" s="14">
        <f>IFERROR(C10/'Comps Analysis'!F5,"N/A")</f>
        <v>1.1698802281778236</v>
      </c>
    </row>
    <row r="72" spans="2:9" ht="14" customHeight="1" x14ac:dyDescent="0.3">
      <c r="B72" s="4" t="s">
        <v>165</v>
      </c>
      <c r="C72" s="14">
        <f>IFERROR(C10/(C25+'DCF Model'!G42),"N/A")</f>
        <v>6.8054084876501637</v>
      </c>
    </row>
    <row r="73" spans="2:9" ht="14" customHeight="1" x14ac:dyDescent="0.3">
      <c r="B73" s="4" t="s">
        <v>166</v>
      </c>
      <c r="C73" s="14">
        <f>IFERROR(C10/(C60+'DCF Model'!G42),"N/A")</f>
        <v>6.5333988738892819</v>
      </c>
    </row>
    <row r="74" spans="2:9" ht="14" customHeight="1" x14ac:dyDescent="0.3">
      <c r="B74" s="4" t="s">
        <v>167</v>
      </c>
      <c r="C74" s="14">
        <f>IFERROR('Comps Analysis'!D16,"N/A")</f>
        <v>14.333259113904496</v>
      </c>
    </row>
    <row r="75" spans="2:9" ht="14" customHeight="1" x14ac:dyDescent="0.3">
      <c r="B75" s="1" t="s">
        <v>168</v>
      </c>
    </row>
    <row r="77" spans="2:9" ht="14" customHeight="1" x14ac:dyDescent="0.3">
      <c r="B77" s="22" t="s">
        <v>169</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20,500 yen the market is paying for a steady-state operating profit of 562,453 mn JPY - 1.36x the FY2026 cycle peak of 414,992 mn - reached in 5 years and sustained for ever, against 414,992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526,560 mn, or 1.27x the peak. The base case supports an EV of only 4,321,248 mn, leaving 5,554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170</v>
      </c>
    </row>
    <row r="4" spans="2:8" ht="14" customHeight="1" x14ac:dyDescent="0.3">
      <c r="B4" s="8" t="s">
        <v>171</v>
      </c>
      <c r="C4" s="32" t="s">
        <v>172</v>
      </c>
      <c r="D4" s="32" t="s">
        <v>79</v>
      </c>
      <c r="E4" s="32" t="s">
        <v>80</v>
      </c>
      <c r="F4" s="32" t="s">
        <v>81</v>
      </c>
      <c r="G4" s="32" t="s">
        <v>82</v>
      </c>
      <c r="H4" s="32" t="s">
        <v>83</v>
      </c>
    </row>
    <row r="5" spans="2:8" ht="14" customHeight="1" x14ac:dyDescent="0.3">
      <c r="B5" s="33" t="s">
        <v>173</v>
      </c>
      <c r="C5" s="34">
        <f>C12/C9*365</f>
        <v>73.589294274258449</v>
      </c>
      <c r="D5" s="34">
        <f>CHOOSE('DCF Model'!$D$27,D25,D26,D27,D28,D29)</f>
        <v>68</v>
      </c>
      <c r="E5" s="34">
        <f>CHOOSE('DCF Model'!$D$27,E25,E26,E27,E28,E29)</f>
        <v>68</v>
      </c>
      <c r="F5" s="34">
        <f>CHOOSE('DCF Model'!$D$27,F25,F26,F27,F28,F29)</f>
        <v>68</v>
      </c>
      <c r="G5" s="34">
        <f>CHOOSE('DCF Model'!$D$27,G25,G26,G27,G28,G29)</f>
        <v>68</v>
      </c>
      <c r="H5" s="34">
        <f>CHOOSE('DCF Model'!$D$27,H25,H26,H27,H28,H29)</f>
        <v>68</v>
      </c>
    </row>
    <row r="6" spans="2:8" ht="14" customHeight="1" x14ac:dyDescent="0.3">
      <c r="B6" s="33" t="s">
        <v>174</v>
      </c>
      <c r="C6" s="34">
        <f>C13/C10*365</f>
        <v>126.52900562037873</v>
      </c>
      <c r="D6" s="34">
        <f>CHOOSE('DCF Model'!$D$27,D32,D33,D34,D35,D36)</f>
        <v>130</v>
      </c>
      <c r="E6" s="34">
        <f>CHOOSE('DCF Model'!$D$27,E32,E33,E34,E35,E36)</f>
        <v>130</v>
      </c>
      <c r="F6" s="34">
        <f>CHOOSE('DCF Model'!$D$27,F32,F33,F34,F35,F36)</f>
        <v>130</v>
      </c>
      <c r="G6" s="34">
        <f>CHOOSE('DCF Model'!$D$27,G32,G33,G34,G35,G36)</f>
        <v>130</v>
      </c>
      <c r="H6" s="34">
        <f>CHOOSE('DCF Model'!$D$27,H32,H33,H34,H35,H36)</f>
        <v>130</v>
      </c>
    </row>
    <row r="7" spans="2:8" ht="14" customHeight="1" x14ac:dyDescent="0.3">
      <c r="B7" s="33" t="s">
        <v>175</v>
      </c>
      <c r="C7" s="34">
        <f>C15/C10*365</f>
        <v>46.700270432555001</v>
      </c>
      <c r="D7" s="34">
        <f>CHOOSE('DCF Model'!$D$27,D39,D40,D41,D42,D43)</f>
        <v>45</v>
      </c>
      <c r="E7" s="34">
        <f>CHOOSE('DCF Model'!$D$27,E39,E40,E41,E42,E43)</f>
        <v>45</v>
      </c>
      <c r="F7" s="34">
        <f>CHOOSE('DCF Model'!$D$27,F39,F40,F41,F42,F43)</f>
        <v>45</v>
      </c>
      <c r="G7" s="34">
        <f>CHOOSE('DCF Model'!$D$27,G39,G40,G41,G42,G43)</f>
        <v>45</v>
      </c>
      <c r="H7" s="34">
        <f>CHOOSE('DCF Model'!$D$27,H39,H40,H41,H42,H43)</f>
        <v>45</v>
      </c>
    </row>
    <row r="8" spans="2:8" ht="14" customHeight="1" x14ac:dyDescent="0.3">
      <c r="B8" s="8" t="s">
        <v>176</v>
      </c>
      <c r="C8" s="9"/>
      <c r="D8" s="9"/>
      <c r="E8" s="9"/>
      <c r="F8" s="9"/>
      <c r="G8" s="9"/>
      <c r="H8" s="9"/>
    </row>
    <row r="9" spans="2:8" ht="14" customHeight="1" x14ac:dyDescent="0.3">
      <c r="B9" s="33" t="s">
        <v>31</v>
      </c>
      <c r="C9" s="35">
        <v>5015036</v>
      </c>
      <c r="D9" s="35">
        <f>'DCF Model'!C33</f>
        <v>5265787.8</v>
      </c>
      <c r="E9" s="35">
        <f>'DCF Model'!D33</f>
        <v>5502748.2509999992</v>
      </c>
      <c r="F9" s="35">
        <f>'DCF Model'!E33</f>
        <v>5722858.1810399992</v>
      </c>
      <c r="G9" s="35">
        <f>'DCF Model'!F33</f>
        <v>5923158.2173763989</v>
      </c>
      <c r="H9" s="35">
        <f>'DCF Model'!G33</f>
        <v>6100852.9638976911</v>
      </c>
    </row>
    <row r="10" spans="2:8" ht="14" customHeight="1" x14ac:dyDescent="0.3">
      <c r="B10" s="33" t="s">
        <v>32</v>
      </c>
      <c r="C10" s="35">
        <v>3282519</v>
      </c>
      <c r="D10" s="35">
        <f>'DCF Model'!C34</f>
        <v>3449091.0090000001</v>
      </c>
      <c r="E10" s="35">
        <f>'DCF Model'!D34</f>
        <v>3604300.1044049999</v>
      </c>
      <c r="F10" s="35">
        <f>'DCF Model'!E34</f>
        <v>3748472.1085811998</v>
      </c>
      <c r="G10" s="35">
        <f>'DCF Model'!F34</f>
        <v>3879668.6323815412</v>
      </c>
      <c r="H10" s="35">
        <f>'DCF Model'!G34</f>
        <v>3996058.6913529877</v>
      </c>
    </row>
    <row r="11" spans="2:8" ht="14" customHeight="1" x14ac:dyDescent="0.3">
      <c r="B11" s="8" t="s">
        <v>177</v>
      </c>
      <c r="C11" s="9"/>
      <c r="D11" s="9"/>
      <c r="E11" s="9"/>
      <c r="F11" s="9"/>
      <c r="G11" s="9"/>
      <c r="H11" s="9"/>
    </row>
    <row r="12" spans="2:8" ht="14" customHeight="1" x14ac:dyDescent="0.3">
      <c r="B12" s="33" t="s">
        <v>178</v>
      </c>
      <c r="C12" s="35">
        <v>1011104</v>
      </c>
      <c r="D12" s="35">
        <f t="shared" ref="D12:H13" si="0">D9*D5/365</f>
        <v>981023.48054794513</v>
      </c>
      <c r="E12" s="35">
        <f t="shared" si="0"/>
        <v>1025169.5371726026</v>
      </c>
      <c r="F12" s="35">
        <f t="shared" si="0"/>
        <v>1066176.3186595067</v>
      </c>
      <c r="G12" s="35">
        <f t="shared" si="0"/>
        <v>1103492.4898125893</v>
      </c>
      <c r="H12" s="35">
        <f t="shared" si="0"/>
        <v>1136597.264506967</v>
      </c>
    </row>
    <row r="13" spans="2:8" ht="14" customHeight="1" x14ac:dyDescent="0.3">
      <c r="B13" s="33" t="s">
        <v>179</v>
      </c>
      <c r="C13" s="35">
        <v>1137901</v>
      </c>
      <c r="D13" s="35">
        <f t="shared" si="0"/>
        <v>1228443.3730684931</v>
      </c>
      <c r="E13" s="35">
        <f t="shared" si="0"/>
        <v>1283723.3248565751</v>
      </c>
      <c r="F13" s="35">
        <f t="shared" si="0"/>
        <v>1335072.2578508381</v>
      </c>
      <c r="G13" s="35">
        <f t="shared" si="0"/>
        <v>1381799.7868756172</v>
      </c>
      <c r="H13" s="35">
        <f t="shared" si="0"/>
        <v>1423253.7804818861</v>
      </c>
    </row>
    <row r="14" spans="2:8" ht="14" customHeight="1" x14ac:dyDescent="0.3">
      <c r="B14" s="33" t="s">
        <v>180</v>
      </c>
      <c r="C14" s="35">
        <f t="shared" ref="C14:H14" si="1">C12+C13</f>
        <v>2149005</v>
      </c>
      <c r="D14" s="35">
        <f t="shared" si="1"/>
        <v>2209466.8536164383</v>
      </c>
      <c r="E14" s="35">
        <f t="shared" si="1"/>
        <v>2308892.8620291776</v>
      </c>
      <c r="F14" s="35">
        <f t="shared" si="1"/>
        <v>2401248.5765103446</v>
      </c>
      <c r="G14" s="35">
        <f t="shared" si="1"/>
        <v>2485292.2766882065</v>
      </c>
      <c r="H14" s="35">
        <f t="shared" si="1"/>
        <v>2559851.0449888529</v>
      </c>
    </row>
    <row r="15" spans="2:8" ht="14" customHeight="1" x14ac:dyDescent="0.3">
      <c r="B15" s="33" t="s">
        <v>181</v>
      </c>
      <c r="C15" s="35">
        <v>419985</v>
      </c>
      <c r="D15" s="35">
        <f>D10*D7/365</f>
        <v>425230.39836986299</v>
      </c>
      <c r="E15" s="35">
        <f>E10*E7/365</f>
        <v>444365.7662965068</v>
      </c>
      <c r="F15" s="35">
        <f>F10*F7/365</f>
        <v>462140.39694836712</v>
      </c>
      <c r="G15" s="35">
        <f>G10*G7/365</f>
        <v>478315.3108415599</v>
      </c>
      <c r="H15" s="35">
        <f>H10*H7/365</f>
        <v>492664.77016680676</v>
      </c>
    </row>
    <row r="16" spans="2:8" ht="14" customHeight="1" x14ac:dyDescent="0.3">
      <c r="B16" s="33" t="s">
        <v>182</v>
      </c>
      <c r="C16" s="35">
        <f t="shared" ref="C16:H16" si="2">C15</f>
        <v>419985</v>
      </c>
      <c r="D16" s="35">
        <f t="shared" si="2"/>
        <v>425230.39836986299</v>
      </c>
      <c r="E16" s="35">
        <f t="shared" si="2"/>
        <v>444365.7662965068</v>
      </c>
      <c r="F16" s="35">
        <f t="shared" si="2"/>
        <v>462140.39694836712</v>
      </c>
      <c r="G16" s="35">
        <f t="shared" si="2"/>
        <v>478315.3108415599</v>
      </c>
      <c r="H16" s="35">
        <f t="shared" si="2"/>
        <v>492664.77016680676</v>
      </c>
    </row>
    <row r="17" spans="2:8" ht="14" customHeight="1" x14ac:dyDescent="0.3">
      <c r="B17" s="22" t="s">
        <v>183</v>
      </c>
      <c r="C17" s="23"/>
      <c r="D17" s="23"/>
      <c r="E17" s="23"/>
      <c r="F17" s="23"/>
      <c r="G17" s="23"/>
      <c r="H17" s="23"/>
    </row>
    <row r="18" spans="2:8" ht="14" customHeight="1" x14ac:dyDescent="0.3">
      <c r="B18" s="33" t="s">
        <v>184</v>
      </c>
      <c r="C18" s="20">
        <f t="shared" ref="C18:H18" si="3">C14-C16</f>
        <v>1729020</v>
      </c>
      <c r="D18" s="20">
        <f t="shared" si="3"/>
        <v>1784236.4552465754</v>
      </c>
      <c r="E18" s="20">
        <f t="shared" si="3"/>
        <v>1864527.0957326707</v>
      </c>
      <c r="F18" s="20">
        <f t="shared" si="3"/>
        <v>1939108.1795619775</v>
      </c>
      <c r="G18" s="20">
        <f t="shared" si="3"/>
        <v>2006976.9658466466</v>
      </c>
      <c r="H18" s="20">
        <f t="shared" si="3"/>
        <v>2067186.274822046</v>
      </c>
    </row>
    <row r="19" spans="2:8" ht="14" customHeight="1" x14ac:dyDescent="0.3">
      <c r="B19" s="33" t="s">
        <v>93</v>
      </c>
      <c r="C19" s="36" t="s">
        <v>41</v>
      </c>
      <c r="D19" s="24">
        <f>D18-C18</f>
        <v>55216.45524657541</v>
      </c>
      <c r="E19" s="24">
        <f>E18-D18</f>
        <v>80290.640486095333</v>
      </c>
      <c r="F19" s="24">
        <f>F18-E18</f>
        <v>74581.083829306765</v>
      </c>
      <c r="G19" s="24">
        <f>G18-F18</f>
        <v>67868.78628466907</v>
      </c>
      <c r="H19" s="24">
        <f>H18-G18</f>
        <v>60209.308975399472</v>
      </c>
    </row>
    <row r="22" spans="2:8" ht="14" customHeight="1" x14ac:dyDescent="0.3">
      <c r="B22" s="22" t="s">
        <v>185</v>
      </c>
      <c r="C22" s="23"/>
      <c r="D22" s="23"/>
      <c r="E22" s="23"/>
      <c r="F22" s="23"/>
      <c r="G22" s="23"/>
      <c r="H22" s="23"/>
    </row>
    <row r="23" spans="2:8" ht="14" customHeight="1" x14ac:dyDescent="0.3">
      <c r="D23" s="25" t="s">
        <v>79</v>
      </c>
      <c r="E23" s="25" t="s">
        <v>80</v>
      </c>
      <c r="F23" s="25" t="s">
        <v>81</v>
      </c>
      <c r="G23" s="25" t="s">
        <v>82</v>
      </c>
      <c r="H23" s="25" t="s">
        <v>83</v>
      </c>
    </row>
    <row r="24" spans="2:8" ht="14" customHeight="1" x14ac:dyDescent="0.3">
      <c r="B24" s="3" t="s">
        <v>186</v>
      </c>
    </row>
    <row r="25" spans="2:8" ht="14" customHeight="1" x14ac:dyDescent="0.3">
      <c r="B25" s="4" t="s">
        <v>77</v>
      </c>
      <c r="D25" s="30">
        <v>68</v>
      </c>
      <c r="E25" s="30">
        <v>68</v>
      </c>
      <c r="F25" s="30">
        <v>68</v>
      </c>
      <c r="G25" s="30">
        <v>68</v>
      </c>
      <c r="H25" s="30">
        <v>68</v>
      </c>
    </row>
    <row r="26" spans="2:8" ht="14" customHeight="1" x14ac:dyDescent="0.3">
      <c r="B26" s="4" t="s">
        <v>114</v>
      </c>
      <c r="D26" s="30">
        <v>65</v>
      </c>
      <c r="E26" s="30">
        <v>65</v>
      </c>
      <c r="F26" s="30">
        <v>65</v>
      </c>
      <c r="G26" s="30">
        <v>65</v>
      </c>
      <c r="H26" s="30">
        <v>65</v>
      </c>
    </row>
    <row r="27" spans="2:8" ht="14" customHeight="1" x14ac:dyDescent="0.3">
      <c r="B27" s="4" t="s">
        <v>115</v>
      </c>
      <c r="D27" s="30">
        <v>68</v>
      </c>
      <c r="E27" s="30">
        <v>68</v>
      </c>
      <c r="F27" s="30">
        <v>68</v>
      </c>
      <c r="G27" s="30">
        <v>68</v>
      </c>
      <c r="H27" s="30">
        <v>68</v>
      </c>
    </row>
    <row r="28" spans="2:8" ht="14" customHeight="1" x14ac:dyDescent="0.3">
      <c r="B28" s="4" t="s">
        <v>116</v>
      </c>
      <c r="D28" s="30">
        <v>71</v>
      </c>
      <c r="E28" s="30">
        <v>71</v>
      </c>
      <c r="F28" s="30">
        <v>71</v>
      </c>
      <c r="G28" s="30">
        <v>71</v>
      </c>
      <c r="H28" s="30">
        <v>71</v>
      </c>
    </row>
    <row r="29" spans="2:8" ht="14" customHeight="1" x14ac:dyDescent="0.3">
      <c r="B29" s="4" t="s">
        <v>117</v>
      </c>
      <c r="D29" s="30">
        <v>75</v>
      </c>
      <c r="E29" s="30">
        <v>75</v>
      </c>
      <c r="F29" s="30">
        <v>75</v>
      </c>
      <c r="G29" s="30">
        <v>75</v>
      </c>
      <c r="H29" s="30">
        <v>75</v>
      </c>
    </row>
    <row r="31" spans="2:8" ht="14" customHeight="1" x14ac:dyDescent="0.3">
      <c r="B31" s="3" t="s">
        <v>187</v>
      </c>
    </row>
    <row r="32" spans="2:8" ht="14" customHeight="1" x14ac:dyDescent="0.3">
      <c r="B32" s="4" t="s">
        <v>77</v>
      </c>
      <c r="D32" s="30">
        <v>130</v>
      </c>
      <c r="E32" s="30">
        <v>130</v>
      </c>
      <c r="F32" s="30">
        <v>130</v>
      </c>
      <c r="G32" s="30">
        <v>130</v>
      </c>
      <c r="H32" s="30">
        <v>130</v>
      </c>
    </row>
    <row r="33" spans="2:8" ht="14" customHeight="1" x14ac:dyDescent="0.3">
      <c r="B33" s="4" t="s">
        <v>114</v>
      </c>
      <c r="D33" s="30">
        <v>124</v>
      </c>
      <c r="E33" s="30">
        <v>124</v>
      </c>
      <c r="F33" s="30">
        <v>124</v>
      </c>
      <c r="G33" s="30">
        <v>124</v>
      </c>
      <c r="H33" s="30">
        <v>124</v>
      </c>
    </row>
    <row r="34" spans="2:8" ht="14" customHeight="1" x14ac:dyDescent="0.3">
      <c r="B34" s="4" t="s">
        <v>115</v>
      </c>
      <c r="D34" s="30">
        <v>130</v>
      </c>
      <c r="E34" s="30">
        <v>130</v>
      </c>
      <c r="F34" s="30">
        <v>130</v>
      </c>
      <c r="G34" s="30">
        <v>130</v>
      </c>
      <c r="H34" s="30">
        <v>130</v>
      </c>
    </row>
    <row r="35" spans="2:8" ht="14" customHeight="1" x14ac:dyDescent="0.3">
      <c r="B35" s="4" t="s">
        <v>116</v>
      </c>
      <c r="D35" s="30">
        <v>137</v>
      </c>
      <c r="E35" s="30">
        <v>137</v>
      </c>
      <c r="F35" s="30">
        <v>137</v>
      </c>
      <c r="G35" s="30">
        <v>137</v>
      </c>
      <c r="H35" s="30">
        <v>137</v>
      </c>
    </row>
    <row r="36" spans="2:8" ht="14" customHeight="1" x14ac:dyDescent="0.3">
      <c r="B36" s="4" t="s">
        <v>117</v>
      </c>
      <c r="D36" s="30">
        <v>143</v>
      </c>
      <c r="E36" s="30">
        <v>143</v>
      </c>
      <c r="F36" s="30">
        <v>143</v>
      </c>
      <c r="G36" s="30">
        <v>143</v>
      </c>
      <c r="H36" s="30">
        <v>143</v>
      </c>
    </row>
    <row r="38" spans="2:8" ht="14" customHeight="1" x14ac:dyDescent="0.3">
      <c r="B38" s="3" t="s">
        <v>188</v>
      </c>
    </row>
    <row r="39" spans="2:8" ht="14" customHeight="1" x14ac:dyDescent="0.3">
      <c r="B39" s="4" t="s">
        <v>77</v>
      </c>
      <c r="D39" s="30">
        <v>45</v>
      </c>
      <c r="E39" s="30">
        <v>45</v>
      </c>
      <c r="F39" s="30">
        <v>45</v>
      </c>
      <c r="G39" s="30">
        <v>45</v>
      </c>
      <c r="H39" s="30">
        <v>45</v>
      </c>
    </row>
    <row r="40" spans="2:8" ht="14" customHeight="1" x14ac:dyDescent="0.3">
      <c r="B40" s="4" t="s">
        <v>114</v>
      </c>
      <c r="D40" s="30">
        <v>47</v>
      </c>
      <c r="E40" s="30">
        <v>47</v>
      </c>
      <c r="F40" s="30">
        <v>47</v>
      </c>
      <c r="G40" s="30">
        <v>47</v>
      </c>
      <c r="H40" s="30">
        <v>47</v>
      </c>
    </row>
    <row r="41" spans="2:8" ht="14" customHeight="1" x14ac:dyDescent="0.3">
      <c r="B41" s="4" t="s">
        <v>115</v>
      </c>
      <c r="D41" s="30">
        <v>45</v>
      </c>
      <c r="E41" s="30">
        <v>45</v>
      </c>
      <c r="F41" s="30">
        <v>45</v>
      </c>
      <c r="G41" s="30">
        <v>45</v>
      </c>
      <c r="H41" s="30">
        <v>45</v>
      </c>
    </row>
    <row r="42" spans="2:8" ht="14" customHeight="1" x14ac:dyDescent="0.3">
      <c r="B42" s="4" t="s">
        <v>116</v>
      </c>
      <c r="D42" s="30">
        <v>43</v>
      </c>
      <c r="E42" s="30">
        <v>43</v>
      </c>
      <c r="F42" s="30">
        <v>43</v>
      </c>
      <c r="G42" s="30">
        <v>43</v>
      </c>
      <c r="H42" s="30">
        <v>43</v>
      </c>
    </row>
    <row r="43" spans="2:8" ht="14" customHeight="1" x14ac:dyDescent="0.3">
      <c r="B43" s="4" t="s">
        <v>117</v>
      </c>
      <c r="D43" s="30">
        <v>41</v>
      </c>
      <c r="E43" s="30">
        <v>41</v>
      </c>
      <c r="F43" s="30">
        <v>41</v>
      </c>
      <c r="G43" s="30">
        <v>41</v>
      </c>
      <c r="H43" s="30">
        <v>41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189</v>
      </c>
    </row>
    <row r="3" spans="2:17" ht="14" customHeight="1" x14ac:dyDescent="0.3">
      <c r="B3" s="1" t="s">
        <v>190</v>
      </c>
    </row>
    <row r="4" spans="2:17" ht="28" customHeight="1"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customHeight="1" x14ac:dyDescent="0.3">
      <c r="B5" s="4" t="s">
        <v>205</v>
      </c>
      <c r="C5" t="s">
        <v>206</v>
      </c>
      <c r="D5" s="37">
        <f>'Executive Summary'!C9*C23/1000000</f>
        <v>5705890.46</v>
      </c>
      <c r="E5" s="37">
        <f>D5+C24</f>
        <v>5866991.46</v>
      </c>
      <c r="F5" s="37">
        <v>5015036</v>
      </c>
      <c r="G5" s="37">
        <v>691198</v>
      </c>
      <c r="H5" s="37">
        <v>414992</v>
      </c>
      <c r="I5" s="37">
        <v>275229</v>
      </c>
      <c r="J5" s="38">
        <f t="shared" ref="J5:J10" si="0">IFERROR(E5/G5,"")</f>
        <v>8.4881487793656802</v>
      </c>
      <c r="K5" s="38">
        <f t="shared" ref="K5:K10" si="1">IFERROR(E5/F5,"")</f>
        <v>1.1698802281778236</v>
      </c>
      <c r="L5" s="38">
        <f t="shared" ref="L5:L10" si="2">IFERROR(D5/I5,"")</f>
        <v>20.731428955524308</v>
      </c>
      <c r="M5" s="38">
        <f t="shared" ref="M5:M10" si="3">IFERROR(D5/P5,"")</f>
        <v>1.7531491723231853</v>
      </c>
      <c r="N5" s="39">
        <f t="shared" ref="N5:N10" si="4">IFERROR(H5/F5,"")</f>
        <v>8.2749555536590372E-2</v>
      </c>
      <c r="O5" s="39">
        <f t="shared" ref="O5:O10" si="5">IFERROR(I5/P5,"")</f>
        <v>8.4564801398121822E-2</v>
      </c>
      <c r="P5" s="37">
        <v>3254652</v>
      </c>
    </row>
    <row r="6" spans="2:17" ht="14" customHeight="1" x14ac:dyDescent="0.3">
      <c r="B6" s="4" t="s">
        <v>207</v>
      </c>
      <c r="C6" t="s">
        <v>208</v>
      </c>
      <c r="D6" s="37">
        <v>24068208</v>
      </c>
      <c r="E6" s="37">
        <v>23753765</v>
      </c>
      <c r="F6" s="37">
        <v>10586781</v>
      </c>
      <c r="G6" s="37">
        <v>1657248</v>
      </c>
      <c r="H6" s="37">
        <v>1199275</v>
      </c>
      <c r="I6" s="37">
        <v>802368</v>
      </c>
      <c r="J6" s="38">
        <f t="shared" si="0"/>
        <v>14.333259113904496</v>
      </c>
      <c r="K6" s="38">
        <f t="shared" si="1"/>
        <v>2.2437193137366305</v>
      </c>
      <c r="L6" s="38">
        <f t="shared" si="2"/>
        <v>29.996470447475474</v>
      </c>
      <c r="M6" s="38">
        <f t="shared" si="3"/>
        <v>3.6642594226968672</v>
      </c>
      <c r="N6" s="39">
        <f t="shared" si="4"/>
        <v>0.1132804201768224</v>
      </c>
      <c r="O6" s="39">
        <f t="shared" si="5"/>
        <v>0.12215635266532682</v>
      </c>
      <c r="P6" s="37">
        <v>6568369</v>
      </c>
    </row>
    <row r="7" spans="2:17" ht="14" customHeight="1" x14ac:dyDescent="0.3">
      <c r="B7" s="4" t="s">
        <v>209</v>
      </c>
      <c r="C7" t="s">
        <v>210</v>
      </c>
      <c r="D7" s="37">
        <v>10739696</v>
      </c>
      <c r="E7" s="37">
        <v>10371365</v>
      </c>
      <c r="F7" s="37">
        <v>5894747</v>
      </c>
      <c r="G7" s="37">
        <v>666879</v>
      </c>
      <c r="H7" s="37">
        <v>433095</v>
      </c>
      <c r="I7" s="37">
        <v>407758</v>
      </c>
      <c r="J7" s="38">
        <f t="shared" si="0"/>
        <v>15.552094158010673</v>
      </c>
      <c r="K7" s="38">
        <f t="shared" si="1"/>
        <v>1.7594249592052043</v>
      </c>
      <c r="L7" s="38">
        <f t="shared" si="2"/>
        <v>26.338406603917029</v>
      </c>
      <c r="M7" s="38">
        <f t="shared" si="3"/>
        <v>2.3949730011555959</v>
      </c>
      <c r="N7" s="39">
        <f t="shared" si="4"/>
        <v>7.3471346607411656E-2</v>
      </c>
      <c r="O7" s="39">
        <f t="shared" si="5"/>
        <v>9.0930823461409294E-2</v>
      </c>
      <c r="P7" s="37">
        <v>4484266</v>
      </c>
    </row>
    <row r="8" spans="2:17" ht="14" customHeight="1" x14ac:dyDescent="0.3">
      <c r="B8" s="4" t="s">
        <v>211</v>
      </c>
      <c r="C8" t="s">
        <v>212</v>
      </c>
      <c r="D8" s="37">
        <v>4804935</v>
      </c>
      <c r="E8" s="37">
        <v>4427091</v>
      </c>
      <c r="F8" s="37">
        <v>7539975</v>
      </c>
      <c r="G8" s="37">
        <v>930612</v>
      </c>
      <c r="H8" s="37">
        <v>552538</v>
      </c>
      <c r="I8" s="37">
        <v>443755</v>
      </c>
      <c r="J8" s="38">
        <f t="shared" si="0"/>
        <v>4.75718237031115</v>
      </c>
      <c r="K8" s="38">
        <f t="shared" si="1"/>
        <v>0.5871492942615858</v>
      </c>
      <c r="L8" s="38">
        <f t="shared" si="2"/>
        <v>10.827900530698246</v>
      </c>
      <c r="M8" s="38">
        <f t="shared" si="3"/>
        <v>0.87478737645623117</v>
      </c>
      <c r="N8" s="39">
        <f t="shared" si="4"/>
        <v>7.3281144831382067E-2</v>
      </c>
      <c r="O8" s="39">
        <f t="shared" si="5"/>
        <v>8.0790119375045627E-2</v>
      </c>
      <c r="P8" s="37">
        <v>5492689</v>
      </c>
    </row>
    <row r="9" spans="2:17" ht="14" customHeight="1" x14ac:dyDescent="0.3">
      <c r="B9" s="4" t="s">
        <v>213</v>
      </c>
      <c r="C9" t="s">
        <v>214</v>
      </c>
      <c r="D9" s="37">
        <v>12614226</v>
      </c>
      <c r="E9" s="37">
        <v>12155592</v>
      </c>
      <c r="F9" s="37">
        <v>4361127</v>
      </c>
      <c r="G9" s="37">
        <v>518217</v>
      </c>
      <c r="H9" s="37">
        <v>357574</v>
      </c>
      <c r="I9" s="37">
        <v>245447</v>
      </c>
      <c r="J9" s="38">
        <f t="shared" si="0"/>
        <v>23.456567422527627</v>
      </c>
      <c r="K9" s="38">
        <f t="shared" si="1"/>
        <v>2.7872593483289982</v>
      </c>
      <c r="L9" s="38">
        <f t="shared" si="2"/>
        <v>51.392870966033399</v>
      </c>
      <c r="M9" s="38">
        <f t="shared" si="3"/>
        <v>4.0841691581141539</v>
      </c>
      <c r="N9" s="39">
        <f t="shared" si="4"/>
        <v>8.1991191726358811E-2</v>
      </c>
      <c r="O9" s="39">
        <f t="shared" si="5"/>
        <v>7.946956613522263E-2</v>
      </c>
      <c r="P9" s="37">
        <v>3088566</v>
      </c>
    </row>
    <row r="10" spans="2:17" ht="14" customHeight="1" x14ac:dyDescent="0.3">
      <c r="B10" s="4" t="s">
        <v>215</v>
      </c>
      <c r="C10" t="s">
        <v>216</v>
      </c>
      <c r="D10" s="37">
        <v>4908944</v>
      </c>
      <c r="E10" s="37">
        <v>5022149</v>
      </c>
      <c r="F10" s="37">
        <v>4429452</v>
      </c>
      <c r="G10" s="37">
        <v>734466</v>
      </c>
      <c r="H10" s="37">
        <v>381237</v>
      </c>
      <c r="I10" s="37">
        <v>327264</v>
      </c>
      <c r="J10" s="38">
        <f t="shared" si="0"/>
        <v>6.8378236705306987</v>
      </c>
      <c r="K10" s="38">
        <f t="shared" si="1"/>
        <v>1.1338082002017404</v>
      </c>
      <c r="L10" s="38">
        <f t="shared" si="2"/>
        <v>14.999951109807373</v>
      </c>
      <c r="M10" s="38">
        <f t="shared" si="3"/>
        <v>1.3405847900195342</v>
      </c>
      <c r="N10" s="39">
        <f t="shared" si="4"/>
        <v>8.6068660412168374E-2</v>
      </c>
      <c r="O10" s="39">
        <f t="shared" si="5"/>
        <v>8.937261063091223E-2</v>
      </c>
      <c r="P10" s="37">
        <v>3661793</v>
      </c>
    </row>
    <row r="14" spans="2:17" ht="14" customHeight="1" x14ac:dyDescent="0.3">
      <c r="B14" s="3" t="s">
        <v>217</v>
      </c>
    </row>
    <row r="15" spans="2:17" ht="14" customHeight="1" x14ac:dyDescent="0.3">
      <c r="B15" s="4" t="s">
        <v>218</v>
      </c>
      <c r="D15" s="38">
        <f t="shared" ref="D15:I15" si="6">PERCENTILE(J6:J10,0.25)</f>
        <v>6.8378236705306987</v>
      </c>
      <c r="E15" s="38">
        <f t="shared" si="6"/>
        <v>1.1338082002017404</v>
      </c>
      <c r="F15" s="38">
        <f t="shared" si="6"/>
        <v>14.999951109807373</v>
      </c>
      <c r="G15" s="38">
        <f t="shared" si="6"/>
        <v>1.3405847900195342</v>
      </c>
      <c r="H15" s="39">
        <f t="shared" si="6"/>
        <v>7.3471346607411656E-2</v>
      </c>
      <c r="I15" s="39">
        <f t="shared" si="6"/>
        <v>8.0790119375045627E-2</v>
      </c>
    </row>
    <row r="16" spans="2:17" ht="14" customHeight="1" x14ac:dyDescent="0.3">
      <c r="B16" s="4" t="s">
        <v>219</v>
      </c>
      <c r="D16" s="38">
        <f t="shared" ref="D16:I16" si="7">MEDIAN(J6:J10)</f>
        <v>14.333259113904496</v>
      </c>
      <c r="E16" s="38">
        <f t="shared" si="7"/>
        <v>1.7594249592052043</v>
      </c>
      <c r="F16" s="38">
        <f t="shared" si="7"/>
        <v>26.338406603917029</v>
      </c>
      <c r="G16" s="38">
        <f t="shared" si="7"/>
        <v>2.3949730011555959</v>
      </c>
      <c r="H16" s="39">
        <f t="shared" si="7"/>
        <v>8.1991191726358811E-2</v>
      </c>
      <c r="I16" s="39">
        <f t="shared" si="7"/>
        <v>8.937261063091223E-2</v>
      </c>
    </row>
    <row r="17" spans="2:9" ht="14" customHeight="1" x14ac:dyDescent="0.3">
      <c r="B17" s="4" t="s">
        <v>220</v>
      </c>
      <c r="D17" s="38">
        <f t="shared" ref="D17:I17" si="8">PERCENTILE(J6:J10,0.75)</f>
        <v>15.552094158010673</v>
      </c>
      <c r="E17" s="38">
        <f t="shared" si="8"/>
        <v>2.2437193137366305</v>
      </c>
      <c r="F17" s="38">
        <f t="shared" si="8"/>
        <v>29.996470447475474</v>
      </c>
      <c r="G17" s="38">
        <f t="shared" si="8"/>
        <v>3.6642594226968672</v>
      </c>
      <c r="H17" s="39">
        <f t="shared" si="8"/>
        <v>8.6068660412168374E-2</v>
      </c>
      <c r="I17" s="39">
        <f t="shared" si="8"/>
        <v>9.0930823461409294E-2</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691198</v>
      </c>
    </row>
    <row r="22" spans="2:9" ht="14" customHeight="1" x14ac:dyDescent="0.3">
      <c r="B22" s="4" t="s">
        <v>224</v>
      </c>
      <c r="C22" s="5">
        <v>275229</v>
      </c>
    </row>
    <row r="23" spans="2:9" ht="14" customHeight="1" x14ac:dyDescent="0.3">
      <c r="B23" s="4" t="s">
        <v>225</v>
      </c>
      <c r="C23" s="15">
        <v>278336120</v>
      </c>
    </row>
    <row r="24" spans="2:9" ht="14" customHeight="1" x14ac:dyDescent="0.3">
      <c r="B24" s="4" t="s">
        <v>66</v>
      </c>
      <c r="C24" s="5">
        <v>161101</v>
      </c>
    </row>
    <row r="26" spans="2:9" ht="14" customHeight="1" x14ac:dyDescent="0.3">
      <c r="B26" s="3" t="s">
        <v>226</v>
      </c>
    </row>
    <row r="27" spans="2:9" ht="14" customHeight="1" x14ac:dyDescent="0.3">
      <c r="B27" s="4" t="s">
        <v>227</v>
      </c>
      <c r="C27" s="24">
        <f>ROUND((C21*D16-C24)*1000000/C23,0)</f>
        <v>35015</v>
      </c>
    </row>
    <row r="28" spans="2:9" ht="14" customHeight="1" x14ac:dyDescent="0.3">
      <c r="B28" s="4" t="s">
        <v>228</v>
      </c>
      <c r="C28" s="24">
        <f>ROUND(C22*F16*1000000/C23,0)</f>
        <v>26044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7.7312215522271924E-2</v>
      </c>
      <c r="E3" s="4" t="s">
        <v>231</v>
      </c>
      <c r="F3" s="16">
        <f>'DCF Model'!C13</f>
        <v>0.01</v>
      </c>
      <c r="H3" s="4" t="s">
        <v>232</v>
      </c>
      <c r="I3" s="14">
        <f>'DCF Model'!C14</f>
        <v>14.3</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6.2312215522271924E-2</v>
      </c>
      <c r="C7" s="37">
        <f>IFERROR(ROUND(('DCF Model'!C45/(1+$B7)^('DCF Model'!C19+0)+'DCF Model'!D45/(1+$B7)^('DCF Model'!C19+1)+'DCF Model'!E45/(1+$B7)^('DCF Model'!C19+2)+'DCF Model'!F45/(1+$B7)^('DCF Model'!C19+3)+'DCF Model'!G45/(1+$B7)^('DCF Model'!C19+4)+'DCF Model'!G45*(1+C$6)/($B7-C$6)/(1+$B7)^('DCF Model'!C19+4)-'DCF Model'!C16)*1000000/'DCF Model'!C15,0),"")</f>
        <v>17407</v>
      </c>
      <c r="D7" s="37">
        <f>IFERROR(ROUND(('DCF Model'!C45/(1+$B7)^('DCF Model'!C19+0)+'DCF Model'!D45/(1+$B7)^('DCF Model'!C19+1)+'DCF Model'!E45/(1+$B7)^('DCF Model'!C19+2)+'DCF Model'!F45/(1+$B7)^('DCF Model'!C19+3)+'DCF Model'!G45/(1+$B7)^('DCF Model'!C19+4)+'DCF Model'!G45*(1+D$6)/($B7-D$6)/(1+$B7)^('DCF Model'!C19+4)-'DCF Model'!C16)*1000000/'DCF Model'!C15,0),"")</f>
        <v>18047</v>
      </c>
      <c r="E7" s="37">
        <f>IFERROR(ROUND(('DCF Model'!C45/(1+$B7)^('DCF Model'!C19+0)+'DCF Model'!D45/(1+$B7)^('DCF Model'!C19+1)+'DCF Model'!E45/(1+$B7)^('DCF Model'!C19+2)+'DCF Model'!F45/(1+$B7)^('DCF Model'!C19+3)+'DCF Model'!G45/(1+$B7)^('DCF Model'!C19+4)+'DCF Model'!G45*(1+E$6)/($B7-E$6)/(1+$B7)^('DCF Model'!C19+4)-'DCF Model'!C16)*1000000/'DCF Model'!C15,0),"")</f>
        <v>18746</v>
      </c>
      <c r="F7" s="37">
        <f>IFERROR(ROUND(('DCF Model'!C45/(1+$B7)^('DCF Model'!C19+0)+'DCF Model'!D45/(1+$B7)^('DCF Model'!C19+1)+'DCF Model'!E45/(1+$B7)^('DCF Model'!C19+2)+'DCF Model'!F45/(1+$B7)^('DCF Model'!C19+3)+'DCF Model'!G45/(1+$B7)^('DCF Model'!C19+4)+'DCF Model'!G45*(1+F$6)/($B7-F$6)/(1+$B7)^('DCF Model'!C19+4)-'DCF Model'!C16)*1000000/'DCF Model'!C15,0),"")</f>
        <v>19512</v>
      </c>
      <c r="G7" s="37">
        <f>IFERROR(ROUND(('DCF Model'!C45/(1+$B7)^('DCF Model'!C19+0)+'DCF Model'!D45/(1+$B7)^('DCF Model'!C19+1)+'DCF Model'!E45/(1+$B7)^('DCF Model'!C19+2)+'DCF Model'!F45/(1+$B7)^('DCF Model'!C19+3)+'DCF Model'!G45/(1+$B7)^('DCF Model'!C19+4)+'DCF Model'!G45*(1+G$6)/($B7-G$6)/(1+$B7)^('DCF Model'!C19+4)-'DCF Model'!C16)*1000000/'DCF Model'!C15,0),"")</f>
        <v>20355</v>
      </c>
      <c r="H7" s="37">
        <f>IFERROR(ROUND(('DCF Model'!C45/(1+$B7)^('DCF Model'!C19+0)+'DCF Model'!D45/(1+$B7)^('DCF Model'!C19+1)+'DCF Model'!E45/(1+$B7)^('DCF Model'!C19+2)+'DCF Model'!F45/(1+$B7)^('DCF Model'!C19+3)+'DCF Model'!G45/(1+$B7)^('DCF Model'!C19+4)+'DCF Model'!G45*(1+H$6)/($B7-H$6)/(1+$B7)^('DCF Model'!C19+4)-'DCF Model'!C16)*1000000/'DCF Model'!C15,0),"")</f>
        <v>21286</v>
      </c>
      <c r="I7" s="37">
        <f>IFERROR(ROUND(('DCF Model'!C45/(1+$B7)^('DCF Model'!C19+0)+'DCF Model'!D45/(1+$B7)^('DCF Model'!C19+1)+'DCF Model'!E45/(1+$B7)^('DCF Model'!C19+2)+'DCF Model'!F45/(1+$B7)^('DCF Model'!C19+3)+'DCF Model'!G45/(1+$B7)^('DCF Model'!C19+4)+'DCF Model'!G45*(1+I$6)/($B7-I$6)/(1+$B7)^('DCF Model'!C19+4)-'DCF Model'!C16)*1000000/'DCF Model'!C15,0),"")</f>
        <v>22322</v>
      </c>
    </row>
    <row r="8" spans="2:9" ht="13.5" customHeight="1" x14ac:dyDescent="0.25">
      <c r="B8" s="39">
        <f>$C$3-0.01</f>
        <v>6.7312215522271929E-2</v>
      </c>
      <c r="C8" s="37">
        <f>IFERROR(ROUND(('DCF Model'!C45/(1+$B8)^('DCF Model'!C19+0)+'DCF Model'!D45/(1+$B8)^('DCF Model'!C19+1)+'DCF Model'!E45/(1+$B8)^('DCF Model'!C19+2)+'DCF Model'!F45/(1+$B8)^('DCF Model'!C19+3)+'DCF Model'!G45/(1+$B8)^('DCF Model'!C19+4)+'DCF Model'!G45*(1+C$6)/($B8-C$6)/(1+$B8)^('DCF Model'!C19+4)-'DCF Model'!C16)*1000000/'DCF Model'!C15,0),"")</f>
        <v>15984</v>
      </c>
      <c r="D8" s="37">
        <f>IFERROR(ROUND(('DCF Model'!C45/(1+$B8)^('DCF Model'!C19+0)+'DCF Model'!D45/(1+$B8)^('DCF Model'!C19+1)+'DCF Model'!E45/(1+$B8)^('DCF Model'!C19+2)+'DCF Model'!F45/(1+$B8)^('DCF Model'!C19+3)+'DCF Model'!G45/(1+$B8)^('DCF Model'!C19+4)+'DCF Model'!G45*(1+D$6)/($B8-D$6)/(1+$B8)^('DCF Model'!C19+4)-'DCF Model'!C16)*1000000/'DCF Model'!C15,0),"")</f>
        <v>16517</v>
      </c>
      <c r="E8" s="37">
        <f>IFERROR(ROUND(('DCF Model'!C45/(1+$B8)^('DCF Model'!C19+0)+'DCF Model'!D45/(1+$B8)^('DCF Model'!C19+1)+'DCF Model'!E45/(1+$B8)^('DCF Model'!C19+2)+'DCF Model'!F45/(1+$B8)^('DCF Model'!C19+3)+'DCF Model'!G45/(1+$B8)^('DCF Model'!C19+4)+'DCF Model'!G45*(1+E$6)/($B8-E$6)/(1+$B8)^('DCF Model'!C19+4)-'DCF Model'!C16)*1000000/'DCF Model'!C15,0),"")</f>
        <v>17095</v>
      </c>
      <c r="F8" s="37">
        <f>IFERROR(ROUND(('DCF Model'!C45/(1+$B8)^('DCF Model'!C19+0)+'DCF Model'!D45/(1+$B8)^('DCF Model'!C19+1)+'DCF Model'!E45/(1+$B8)^('DCF Model'!C19+2)+'DCF Model'!F45/(1+$B8)^('DCF Model'!C19+3)+'DCF Model'!G45/(1+$B8)^('DCF Model'!C19+4)+'DCF Model'!G45*(1+F$6)/($B8-F$6)/(1+$B8)^('DCF Model'!C19+4)-'DCF Model'!C16)*1000000/'DCF Model'!C15,0),"")</f>
        <v>17724</v>
      </c>
      <c r="G8" s="37">
        <f>IFERROR(ROUND(('DCF Model'!C45/(1+$B8)^('DCF Model'!C19+0)+'DCF Model'!D45/(1+$B8)^('DCF Model'!C19+1)+'DCF Model'!E45/(1+$B8)^('DCF Model'!C19+2)+'DCF Model'!F45/(1+$B8)^('DCF Model'!C19+3)+'DCF Model'!G45/(1+$B8)^('DCF Model'!C19+4)+'DCF Model'!G45*(1+G$6)/($B8-G$6)/(1+$B8)^('DCF Model'!C19+4)-'DCF Model'!C16)*1000000/'DCF Model'!C15,0),"")</f>
        <v>18410</v>
      </c>
      <c r="H8" s="37">
        <f>IFERROR(ROUND(('DCF Model'!C45/(1+$B8)^('DCF Model'!C19+0)+'DCF Model'!D45/(1+$B8)^('DCF Model'!C19+1)+'DCF Model'!E45/(1+$B8)^('DCF Model'!C19+2)+'DCF Model'!F45/(1+$B8)^('DCF Model'!C19+3)+'DCF Model'!G45/(1+$B8)^('DCF Model'!C19+4)+'DCF Model'!G45*(1+H$6)/($B8-H$6)/(1+$B8)^('DCF Model'!C19+4)-'DCF Model'!C16)*1000000/'DCF Model'!C15,0),"")</f>
        <v>19161</v>
      </c>
      <c r="I8" s="37">
        <f>IFERROR(ROUND(('DCF Model'!C45/(1+$B8)^('DCF Model'!C19+0)+'DCF Model'!D45/(1+$B8)^('DCF Model'!C19+1)+'DCF Model'!E45/(1+$B8)^('DCF Model'!C19+2)+'DCF Model'!F45/(1+$B8)^('DCF Model'!C19+3)+'DCF Model'!G45/(1+$B8)^('DCF Model'!C19+4)+'DCF Model'!G45*(1+I$6)/($B8-I$6)/(1+$B8)^('DCF Model'!C19+4)-'DCF Model'!C16)*1000000/'DCF Model'!C15,0),"")</f>
        <v>19988</v>
      </c>
    </row>
    <row r="9" spans="2:9" ht="13.5" customHeight="1" x14ac:dyDescent="0.25">
      <c r="B9" s="39">
        <f>$C$3-0.005</f>
        <v>7.2312215522271919E-2</v>
      </c>
      <c r="C9" s="37">
        <f>IFERROR(ROUND(('DCF Model'!C45/(1+$B9)^('DCF Model'!C19+0)+'DCF Model'!D45/(1+$B9)^('DCF Model'!C19+1)+'DCF Model'!E45/(1+$B9)^('DCF Model'!C19+2)+'DCF Model'!F45/(1+$B9)^('DCF Model'!C19+3)+'DCF Model'!G45/(1+$B9)^('DCF Model'!C19+4)+'DCF Model'!G45*(1+C$6)/($B9-C$6)/(1+$B9)^('DCF Model'!C19+4)-'DCF Model'!C16)*1000000/'DCF Model'!C15,0),"")</f>
        <v>14765</v>
      </c>
      <c r="D9" s="37">
        <f>IFERROR(ROUND(('DCF Model'!C45/(1+$B9)^('DCF Model'!C19+0)+'DCF Model'!D45/(1+$B9)^('DCF Model'!C19+1)+'DCF Model'!E45/(1+$B9)^('DCF Model'!C19+2)+'DCF Model'!F45/(1+$B9)^('DCF Model'!C19+3)+'DCF Model'!G45/(1+$B9)^('DCF Model'!C19+4)+'DCF Model'!G45*(1+D$6)/($B9-D$6)/(1+$B9)^('DCF Model'!C19+4)-'DCF Model'!C16)*1000000/'DCF Model'!C15,0),"")</f>
        <v>15215</v>
      </c>
      <c r="E9" s="37">
        <f>IFERROR(ROUND(('DCF Model'!C45/(1+$B9)^('DCF Model'!C19+0)+'DCF Model'!D45/(1+$B9)^('DCF Model'!C19+1)+'DCF Model'!E45/(1+$B9)^('DCF Model'!C19+2)+'DCF Model'!F45/(1+$B9)^('DCF Model'!C19+3)+'DCF Model'!G45/(1+$B9)^('DCF Model'!C19+4)+'DCF Model'!G45*(1+E$6)/($B9-E$6)/(1+$B9)^('DCF Model'!C19+4)-'DCF Model'!C16)*1000000/'DCF Model'!C15,0),"")</f>
        <v>15700</v>
      </c>
      <c r="F9" s="37">
        <f>IFERROR(ROUND(('DCF Model'!C45/(1+$B9)^('DCF Model'!C19+0)+'DCF Model'!D45/(1+$B9)^('DCF Model'!C19+1)+'DCF Model'!E45/(1+$B9)^('DCF Model'!C19+2)+'DCF Model'!F45/(1+$B9)^('DCF Model'!C19+3)+'DCF Model'!G45/(1+$B9)^('DCF Model'!C19+4)+'DCF Model'!G45*(1+F$6)/($B9-F$6)/(1+$B9)^('DCF Model'!C19+4)-'DCF Model'!C16)*1000000/'DCF Model'!C15,0),"")</f>
        <v>16223</v>
      </c>
      <c r="G9" s="37">
        <f>IFERROR(ROUND(('DCF Model'!C45/(1+$B9)^('DCF Model'!C19+0)+'DCF Model'!D45/(1+$B9)^('DCF Model'!C19+1)+'DCF Model'!E45/(1+$B9)^('DCF Model'!C19+2)+'DCF Model'!F45/(1+$B9)^('DCF Model'!C19+3)+'DCF Model'!G45/(1+$B9)^('DCF Model'!C19+4)+'DCF Model'!G45*(1+G$6)/($B9-G$6)/(1+$B9)^('DCF Model'!C19+4)-'DCF Model'!C16)*1000000/'DCF Model'!C15,0),"")</f>
        <v>16791</v>
      </c>
      <c r="H9" s="37">
        <f>IFERROR(ROUND(('DCF Model'!C45/(1+$B9)^('DCF Model'!C19+0)+'DCF Model'!D45/(1+$B9)^('DCF Model'!C19+1)+'DCF Model'!E45/(1+$B9)^('DCF Model'!C19+2)+'DCF Model'!F45/(1+$B9)^('DCF Model'!C19+3)+'DCF Model'!G45/(1+$B9)^('DCF Model'!C19+4)+'DCF Model'!G45*(1+H$6)/($B9-H$6)/(1+$B9)^('DCF Model'!C19+4)-'DCF Model'!C16)*1000000/'DCF Model'!C15,0),"")</f>
        <v>17408</v>
      </c>
      <c r="I9" s="37">
        <f>IFERROR(ROUND(('DCF Model'!C45/(1+$B9)^('DCF Model'!C19+0)+'DCF Model'!D45/(1+$B9)^('DCF Model'!C19+1)+'DCF Model'!E45/(1+$B9)^('DCF Model'!C19+2)+'DCF Model'!F45/(1+$B9)^('DCF Model'!C19+3)+'DCF Model'!G45/(1+$B9)^('DCF Model'!C19+4)+'DCF Model'!G45*(1+I$6)/($B9-I$6)/(1+$B9)^('DCF Model'!C19+4)-'DCF Model'!C16)*1000000/'DCF Model'!C15,0),"")</f>
        <v>18081</v>
      </c>
    </row>
    <row r="10" spans="2:9" ht="13.5" customHeight="1" x14ac:dyDescent="0.25">
      <c r="B10" s="39">
        <f>$C$3</f>
        <v>7.7312215522271924E-2</v>
      </c>
      <c r="C10" s="37">
        <f>IFERROR(ROUND(('DCF Model'!C45/(1+$B10)^('DCF Model'!C19+0)+'DCF Model'!D45/(1+$B10)^('DCF Model'!C19+1)+'DCF Model'!E45/(1+$B10)^('DCF Model'!C19+2)+'DCF Model'!F45/(1+$B10)^('DCF Model'!C19+3)+'DCF Model'!G45/(1+$B10)^('DCF Model'!C19+4)+'DCF Model'!G45*(1+C$6)/($B10-C$6)/(1+$B10)^('DCF Model'!C19+4)-'DCF Model'!C16)*1000000/'DCF Model'!C15,0),"")</f>
        <v>13710</v>
      </c>
      <c r="D10" s="37">
        <f>IFERROR(ROUND(('DCF Model'!C45/(1+$B10)^('DCF Model'!C19+0)+'DCF Model'!D45/(1+$B10)^('DCF Model'!C19+1)+'DCF Model'!E45/(1+$B10)^('DCF Model'!C19+2)+'DCF Model'!F45/(1+$B10)^('DCF Model'!C19+3)+'DCF Model'!G45/(1+$B10)^('DCF Model'!C19+4)+'DCF Model'!G45*(1+D$6)/($B10-D$6)/(1+$B10)^('DCF Model'!C19+4)-'DCF Model'!C16)*1000000/'DCF Model'!C15,0),"")</f>
        <v>14093</v>
      </c>
      <c r="E10" s="37">
        <f>IFERROR(ROUND(('DCF Model'!C45/(1+$B10)^('DCF Model'!C19+0)+'DCF Model'!D45/(1+$B10)^('DCF Model'!C19+1)+'DCF Model'!E45/(1+$B10)^('DCF Model'!C19+2)+'DCF Model'!F45/(1+$B10)^('DCF Model'!C19+3)+'DCF Model'!G45/(1+$B10)^('DCF Model'!C19+4)+'DCF Model'!G45*(1+E$6)/($B10-E$6)/(1+$B10)^('DCF Model'!C19+4)-'DCF Model'!C16)*1000000/'DCF Model'!C15,0),"")</f>
        <v>14505</v>
      </c>
      <c r="F10" s="37">
        <f>IFERROR(ROUND(('DCF Model'!C45/(1+$B10)^('DCF Model'!C19+0)+'DCF Model'!D45/(1+$B10)^('DCF Model'!C19+1)+'DCF Model'!E45/(1+$B10)^('DCF Model'!C19+2)+'DCF Model'!F45/(1+$B10)^('DCF Model'!C19+3)+'DCF Model'!G45/(1+$B10)^('DCF Model'!C19+4)+'DCF Model'!G45*(1+F$6)/($B10-F$6)/(1+$B10)^('DCF Model'!C19+4)-'DCF Model'!C16)*1000000/'DCF Model'!C15,0),"")</f>
        <v>14946</v>
      </c>
      <c r="G10" s="37">
        <f>IFERROR(ROUND(('DCF Model'!C45/(1+$B10)^('DCF Model'!C19+0)+'DCF Model'!D45/(1+$B10)^('DCF Model'!C19+1)+'DCF Model'!E45/(1+$B10)^('DCF Model'!C19+2)+'DCF Model'!F45/(1+$B10)^('DCF Model'!C19+3)+'DCF Model'!G45/(1+$B10)^('DCF Model'!C19+4)+'DCF Model'!G45*(1+G$6)/($B10-G$6)/(1+$B10)^('DCF Model'!C19+4)-'DCF Model'!C16)*1000000/'DCF Model'!C15,0),"")</f>
        <v>15422</v>
      </c>
      <c r="H10" s="37">
        <f>IFERROR(ROUND(('DCF Model'!C45/(1+$B10)^('DCF Model'!C19+0)+'DCF Model'!D45/(1+$B10)^('DCF Model'!C19+1)+'DCF Model'!E45/(1+$B10)^('DCF Model'!C19+2)+'DCF Model'!F45/(1+$B10)^('DCF Model'!C19+3)+'DCF Model'!G45/(1+$B10)^('DCF Model'!C19+4)+'DCF Model'!G45*(1+H$6)/($B10-H$6)/(1+$B10)^('DCF Model'!C19+4)-'DCF Model'!C16)*1000000/'DCF Model'!C15,0),"")</f>
        <v>15936</v>
      </c>
      <c r="I10" s="37">
        <f>IFERROR(ROUND(('DCF Model'!C45/(1+$B10)^('DCF Model'!C19+0)+'DCF Model'!D45/(1+$B10)^('DCF Model'!C19+1)+'DCF Model'!E45/(1+$B10)^('DCF Model'!C19+2)+'DCF Model'!F45/(1+$B10)^('DCF Model'!C19+3)+'DCF Model'!G45/(1+$B10)^('DCF Model'!C19+4)+'DCF Model'!G45*(1+I$6)/($B10-I$6)/(1+$B10)^('DCF Model'!C19+4)-'DCF Model'!C16)*1000000/'DCF Model'!C15,0),"")</f>
        <v>16493</v>
      </c>
    </row>
    <row r="11" spans="2:9" ht="13.5" customHeight="1" x14ac:dyDescent="0.25">
      <c r="B11" s="39">
        <f>$C$3+0.005</f>
        <v>8.2312215522271928E-2</v>
      </c>
      <c r="C11" s="37">
        <f>IFERROR(ROUND(('DCF Model'!C45/(1+$B11)^('DCF Model'!C19+0)+'DCF Model'!D45/(1+$B11)^('DCF Model'!C19+1)+'DCF Model'!E45/(1+$B11)^('DCF Model'!C19+2)+'DCF Model'!F45/(1+$B11)^('DCF Model'!C19+3)+'DCF Model'!G45/(1+$B11)^('DCF Model'!C19+4)+'DCF Model'!G45*(1+C$6)/($B11-C$6)/(1+$B11)^('DCF Model'!C19+4)-'DCF Model'!C16)*1000000/'DCF Model'!C15,0),"")</f>
        <v>12787</v>
      </c>
      <c r="D11" s="37">
        <f>IFERROR(ROUND(('DCF Model'!C45/(1+$B11)^('DCF Model'!C19+0)+'DCF Model'!D45/(1+$B11)^('DCF Model'!C19+1)+'DCF Model'!E45/(1+$B11)^('DCF Model'!C19+2)+'DCF Model'!F45/(1+$B11)^('DCF Model'!C19+3)+'DCF Model'!G45/(1+$B11)^('DCF Model'!C19+4)+'DCF Model'!G45*(1+D$6)/($B11-D$6)/(1+$B11)^('DCF Model'!C19+4)-'DCF Model'!C16)*1000000/'DCF Model'!C15,0),"")</f>
        <v>13118</v>
      </c>
      <c r="E11" s="37">
        <f>IFERROR(ROUND(('DCF Model'!C45/(1+$B11)^('DCF Model'!C19+0)+'DCF Model'!D45/(1+$B11)^('DCF Model'!C19+1)+'DCF Model'!E45/(1+$B11)^('DCF Model'!C19+2)+'DCF Model'!F45/(1+$B11)^('DCF Model'!C19+3)+'DCF Model'!G45/(1+$B11)^('DCF Model'!C19+4)+'DCF Model'!G45*(1+E$6)/($B11-E$6)/(1+$B11)^('DCF Model'!C19+4)-'DCF Model'!C16)*1000000/'DCF Model'!C15,0),"")</f>
        <v>13470</v>
      </c>
      <c r="F11" s="37">
        <f>IFERROR(ROUND(('DCF Model'!C45/(1+$B11)^('DCF Model'!C19+0)+'DCF Model'!D45/(1+$B11)^('DCF Model'!C19+1)+'DCF Model'!E45/(1+$B11)^('DCF Model'!C19+2)+'DCF Model'!F45/(1+$B11)^('DCF Model'!C19+3)+'DCF Model'!G45/(1+$B11)^('DCF Model'!C19+4)+'DCF Model'!G45*(1+F$6)/($B11-F$6)/(1+$B11)^('DCF Model'!C19+4)-'DCF Model'!C16)*1000000/'DCF Model'!C15,0),"")</f>
        <v>13847</v>
      </c>
      <c r="G11" s="37">
        <f>IFERROR(ROUND(('DCF Model'!C45/(1+$B11)^('DCF Model'!C19+0)+'DCF Model'!D45/(1+$B11)^('DCF Model'!C19+1)+'DCF Model'!E45/(1+$B11)^('DCF Model'!C19+2)+'DCF Model'!F45/(1+$B11)^('DCF Model'!C19+3)+'DCF Model'!G45/(1+$B11)^('DCF Model'!C19+4)+'DCF Model'!G45*(1+G$6)/($B11-G$6)/(1+$B11)^('DCF Model'!C19+4)-'DCF Model'!C16)*1000000/'DCF Model'!C15,0),"")</f>
        <v>14250</v>
      </c>
      <c r="H11" s="37">
        <f>IFERROR(ROUND(('DCF Model'!C45/(1+$B11)^('DCF Model'!C19+0)+'DCF Model'!D45/(1+$B11)^('DCF Model'!C19+1)+'DCF Model'!E45/(1+$B11)^('DCF Model'!C19+2)+'DCF Model'!F45/(1+$B11)^('DCF Model'!C19+3)+'DCF Model'!G45/(1+$B11)^('DCF Model'!C19+4)+'DCF Model'!G45*(1+H$6)/($B11-H$6)/(1+$B11)^('DCF Model'!C19+4)-'DCF Model'!C16)*1000000/'DCF Model'!C15,0),"")</f>
        <v>14684</v>
      </c>
      <c r="I11" s="37">
        <f>IFERROR(ROUND(('DCF Model'!C45/(1+$B11)^('DCF Model'!C19+0)+'DCF Model'!D45/(1+$B11)^('DCF Model'!C19+1)+'DCF Model'!E45/(1+$B11)^('DCF Model'!C19+2)+'DCF Model'!F45/(1+$B11)^('DCF Model'!C19+3)+'DCF Model'!G45/(1+$B11)^('DCF Model'!C19+4)+'DCF Model'!G45*(1+I$6)/($B11-I$6)/(1+$B11)^('DCF Model'!C19+4)-'DCF Model'!C16)*1000000/'DCF Model'!C15,0),"")</f>
        <v>15151</v>
      </c>
    </row>
    <row r="12" spans="2:9" ht="13.5" customHeight="1" x14ac:dyDescent="0.25">
      <c r="B12" s="39">
        <f>$C$3+0.01</f>
        <v>8.7312215522271919E-2</v>
      </c>
      <c r="C12" s="37">
        <f>IFERROR(ROUND(('DCF Model'!C45/(1+$B12)^('DCF Model'!C19+0)+'DCF Model'!D45/(1+$B12)^('DCF Model'!C19+1)+'DCF Model'!E45/(1+$B12)^('DCF Model'!C19+2)+'DCF Model'!F45/(1+$B12)^('DCF Model'!C19+3)+'DCF Model'!G45/(1+$B12)^('DCF Model'!C19+4)+'DCF Model'!G45*(1+C$6)/($B12-C$6)/(1+$B12)^('DCF Model'!C19+4)-'DCF Model'!C16)*1000000/'DCF Model'!C15,0),"")</f>
        <v>11974</v>
      </c>
      <c r="D12" s="37">
        <f>IFERROR(ROUND(('DCF Model'!C45/(1+$B12)^('DCF Model'!C19+0)+'DCF Model'!D45/(1+$B12)^('DCF Model'!C19+1)+'DCF Model'!E45/(1+$B12)^('DCF Model'!C19+2)+'DCF Model'!F45/(1+$B12)^('DCF Model'!C19+3)+'DCF Model'!G45/(1+$B12)^('DCF Model'!C19+4)+'DCF Model'!G45*(1+D$6)/($B12-D$6)/(1+$B12)^('DCF Model'!C19+4)-'DCF Model'!C16)*1000000/'DCF Model'!C15,0),"")</f>
        <v>12261</v>
      </c>
      <c r="E12" s="37">
        <f>IFERROR(ROUND(('DCF Model'!C45/(1+$B12)^('DCF Model'!C19+0)+'DCF Model'!D45/(1+$B12)^('DCF Model'!C19+1)+'DCF Model'!E45/(1+$B12)^('DCF Model'!C19+2)+'DCF Model'!F45/(1+$B12)^('DCF Model'!C19+3)+'DCF Model'!G45/(1+$B12)^('DCF Model'!C19+4)+'DCF Model'!G45*(1+E$6)/($B12-E$6)/(1+$B12)^('DCF Model'!C19+4)-'DCF Model'!C16)*1000000/'DCF Model'!C15,0),"")</f>
        <v>12565</v>
      </c>
      <c r="F12" s="37">
        <f>IFERROR(ROUND(('DCF Model'!C45/(1+$B12)^('DCF Model'!C19+0)+'DCF Model'!D45/(1+$B12)^('DCF Model'!C19+1)+'DCF Model'!E45/(1+$B12)^('DCF Model'!C19+2)+'DCF Model'!F45/(1+$B12)^('DCF Model'!C19+3)+'DCF Model'!G45/(1+$B12)^('DCF Model'!C19+4)+'DCF Model'!G45*(1+F$6)/($B12-F$6)/(1+$B12)^('DCF Model'!C19+4)-'DCF Model'!C16)*1000000/'DCF Model'!C15,0),"")</f>
        <v>12890</v>
      </c>
      <c r="G12" s="37">
        <f>IFERROR(ROUND(('DCF Model'!C45/(1+$B12)^('DCF Model'!C19+0)+'DCF Model'!D45/(1+$B12)^('DCF Model'!C19+1)+'DCF Model'!E45/(1+$B12)^('DCF Model'!C19+2)+'DCF Model'!F45/(1+$B12)^('DCF Model'!C19+3)+'DCF Model'!G45/(1+$B12)^('DCF Model'!C19+4)+'DCF Model'!G45*(1+G$6)/($B12-G$6)/(1+$B12)^('DCF Model'!C19+4)-'DCF Model'!C16)*1000000/'DCF Model'!C15,0),"")</f>
        <v>13235</v>
      </c>
      <c r="H12" s="37">
        <f>IFERROR(ROUND(('DCF Model'!C45/(1+$B12)^('DCF Model'!C19+0)+'DCF Model'!D45/(1+$B12)^('DCF Model'!C19+1)+'DCF Model'!E45/(1+$B12)^('DCF Model'!C19+2)+'DCF Model'!F45/(1+$B12)^('DCF Model'!C19+3)+'DCF Model'!G45/(1+$B12)^('DCF Model'!C19+4)+'DCF Model'!G45*(1+H$6)/($B12-H$6)/(1+$B12)^('DCF Model'!C19+4)-'DCF Model'!C16)*1000000/'DCF Model'!C15,0),"")</f>
        <v>13605</v>
      </c>
      <c r="I12" s="37">
        <f>IFERROR(ROUND(('DCF Model'!C45/(1+$B12)^('DCF Model'!C19+0)+'DCF Model'!D45/(1+$B12)^('DCF Model'!C19+1)+'DCF Model'!E45/(1+$B12)^('DCF Model'!C19+2)+'DCF Model'!F45/(1+$B12)^('DCF Model'!C19+3)+'DCF Model'!G45/(1+$B12)^('DCF Model'!C19+4)+'DCF Model'!G45*(1+I$6)/($B12-I$6)/(1+$B12)^('DCF Model'!C19+4)-'DCF Model'!C16)*1000000/'DCF Model'!C15,0),"")</f>
        <v>14002</v>
      </c>
    </row>
    <row r="13" spans="2:9" ht="13.5" customHeight="1" x14ac:dyDescent="0.25">
      <c r="B13" s="39">
        <f>$C$3+0.015</f>
        <v>9.2312215522271923E-2</v>
      </c>
      <c r="C13" s="37">
        <f>IFERROR(ROUND(('DCF Model'!C45/(1+$B13)^('DCF Model'!C19+0)+'DCF Model'!D45/(1+$B13)^('DCF Model'!C19+1)+'DCF Model'!E45/(1+$B13)^('DCF Model'!C19+2)+'DCF Model'!F45/(1+$B13)^('DCF Model'!C19+3)+'DCF Model'!G45/(1+$B13)^('DCF Model'!C19+4)+'DCF Model'!G45*(1+C$6)/($B13-C$6)/(1+$B13)^('DCF Model'!C19+4)-'DCF Model'!C16)*1000000/'DCF Model'!C15,0),"")</f>
        <v>11252</v>
      </c>
      <c r="D13" s="37">
        <f>IFERROR(ROUND(('DCF Model'!C45/(1+$B13)^('DCF Model'!C19+0)+'DCF Model'!D45/(1+$B13)^('DCF Model'!C19+1)+'DCF Model'!E45/(1+$B13)^('DCF Model'!C19+2)+'DCF Model'!F45/(1+$B13)^('DCF Model'!C19+3)+'DCF Model'!G45/(1+$B13)^('DCF Model'!C19+4)+'DCF Model'!G45*(1+D$6)/($B13-D$6)/(1+$B13)^('DCF Model'!C19+4)-'DCF Model'!C16)*1000000/'DCF Model'!C15,0),"")</f>
        <v>11503</v>
      </c>
      <c r="E13" s="37">
        <f>IFERROR(ROUND(('DCF Model'!C45/(1+$B13)^('DCF Model'!C19+0)+'DCF Model'!D45/(1+$B13)^('DCF Model'!C19+1)+'DCF Model'!E45/(1+$B13)^('DCF Model'!C19+2)+'DCF Model'!F45/(1+$B13)^('DCF Model'!C19+3)+'DCF Model'!G45/(1+$B13)^('DCF Model'!C19+4)+'DCF Model'!G45*(1+E$6)/($B13-E$6)/(1+$B13)^('DCF Model'!C19+4)-'DCF Model'!C16)*1000000/'DCF Model'!C15,0),"")</f>
        <v>11768</v>
      </c>
      <c r="F13" s="37">
        <f>IFERROR(ROUND(('DCF Model'!C45/(1+$B13)^('DCF Model'!C19+0)+'DCF Model'!D45/(1+$B13)^('DCF Model'!C19+1)+'DCF Model'!E45/(1+$B13)^('DCF Model'!C19+2)+'DCF Model'!F45/(1+$B13)^('DCF Model'!C19+3)+'DCF Model'!G45/(1+$B13)^('DCF Model'!C19+4)+'DCF Model'!G45*(1+F$6)/($B13-F$6)/(1+$B13)^('DCF Model'!C19+4)-'DCF Model'!C16)*1000000/'DCF Model'!C15,0),"")</f>
        <v>12049</v>
      </c>
      <c r="G13" s="37">
        <f>IFERROR(ROUND(('DCF Model'!C45/(1+$B13)^('DCF Model'!C19+0)+'DCF Model'!D45/(1+$B13)^('DCF Model'!C19+1)+'DCF Model'!E45/(1+$B13)^('DCF Model'!C19+2)+'DCF Model'!F45/(1+$B13)^('DCF Model'!C19+3)+'DCF Model'!G45/(1+$B13)^('DCF Model'!C19+4)+'DCF Model'!G45*(1+G$6)/($B13-G$6)/(1+$B13)^('DCF Model'!C19+4)-'DCF Model'!C16)*1000000/'DCF Model'!C15,0),"")</f>
        <v>12348</v>
      </c>
      <c r="H13" s="37">
        <f>IFERROR(ROUND(('DCF Model'!C45/(1+$B13)^('DCF Model'!C19+0)+'DCF Model'!D45/(1+$B13)^('DCF Model'!C19+1)+'DCF Model'!E45/(1+$B13)^('DCF Model'!C19+2)+'DCF Model'!F45/(1+$B13)^('DCF Model'!C19+3)+'DCF Model'!G45/(1+$B13)^('DCF Model'!C19+4)+'DCF Model'!G45*(1+H$6)/($B13-H$6)/(1+$B13)^('DCF Model'!C19+4)-'DCF Model'!C16)*1000000/'DCF Model'!C15,0),"")</f>
        <v>12667</v>
      </c>
      <c r="I13" s="37">
        <f>IFERROR(ROUND(('DCF Model'!C45/(1+$B13)^('DCF Model'!C19+0)+'DCF Model'!D45/(1+$B13)^('DCF Model'!C19+1)+'DCF Model'!E45/(1+$B13)^('DCF Model'!C19+2)+'DCF Model'!F45/(1+$B13)^('DCF Model'!C19+3)+'DCF Model'!G45/(1+$B13)^('DCF Model'!C19+4)+'DCF Model'!G45*(1+I$6)/($B13-I$6)/(1+$B13)^('DCF Model'!C19+4)-'DCF Model'!C16)*1000000/'DCF Model'!C15,0),"")</f>
        <v>13006</v>
      </c>
    </row>
    <row r="16" spans="2:9" ht="14" customHeight="1" x14ac:dyDescent="0.3">
      <c r="B16" s="3" t="s">
        <v>235</v>
      </c>
    </row>
    <row r="17" spans="2:9" ht="14" customHeight="1" x14ac:dyDescent="0.3">
      <c r="B17" s="40" t="s">
        <v>236</v>
      </c>
      <c r="C17" s="42">
        <f>$I$3-3</f>
        <v>11.3</v>
      </c>
      <c r="D17" s="42">
        <f>$I$3-2</f>
        <v>12.3</v>
      </c>
      <c r="E17" s="42">
        <f>$I$3-1</f>
        <v>13.3</v>
      </c>
      <c r="F17" s="42">
        <f>$I$3</f>
        <v>14.3</v>
      </c>
      <c r="G17" s="42">
        <f>$I$3+1</f>
        <v>15.3</v>
      </c>
      <c r="H17" s="42">
        <f>$I$3+2</f>
        <v>16.3</v>
      </c>
      <c r="I17" s="42">
        <f>$I$3+3</f>
        <v>17.3</v>
      </c>
    </row>
    <row r="18" spans="2:9" ht="13.5" customHeight="1" x14ac:dyDescent="0.25">
      <c r="B18" s="39">
        <f>$C$3-0.015</f>
        <v>6.2312215522271924E-2</v>
      </c>
      <c r="C18" s="37">
        <f>IFERROR(ROUND(('DCF Model'!C45/(1+$B18)^('DCF Model'!C19+0)+'DCF Model'!D45/(1+$B18)^('DCF Model'!C19+1)+'DCF Model'!E45/(1+$B18)^('DCF Model'!C19+2)+'DCF Model'!F45/(1+$B18)^('DCF Model'!C19+3)+'DCF Model'!G45/(1+$B18)^('DCF Model'!C19+4)+('DCF Model'!G39+'DCF Model'!G42)*C$17/(1+$B18)^('DCF Model'!C19+4)-'DCF Model'!C16)*1000000/'DCF Model'!C15,0),"")</f>
        <v>29144</v>
      </c>
      <c r="D18" s="37">
        <f>IFERROR(ROUND(('DCF Model'!C45/(1+$B18)^('DCF Model'!C19+0)+'DCF Model'!D45/(1+$B18)^('DCF Model'!C19+1)+'DCF Model'!E45/(1+$B18)^('DCF Model'!C19+2)+'DCF Model'!F45/(1+$B18)^('DCF Model'!C19+3)+'DCF Model'!G45/(1+$B18)^('DCF Model'!C19+4)+('DCF Model'!G39+'DCF Model'!G42)*D$17/(1+$B18)^('DCF Model'!C19+4)-'DCF Model'!C16)*1000000/'DCF Model'!C15,0),"")</f>
        <v>31409</v>
      </c>
      <c r="E18" s="37">
        <f>IFERROR(ROUND(('DCF Model'!C45/(1+$B18)^('DCF Model'!C19+0)+'DCF Model'!D45/(1+$B18)^('DCF Model'!C19+1)+'DCF Model'!E45/(1+$B18)^('DCF Model'!C19+2)+'DCF Model'!F45/(1+$B18)^('DCF Model'!C19+3)+'DCF Model'!G45/(1+$B18)^('DCF Model'!C19+4)+('DCF Model'!G39+'DCF Model'!G42)*E$17/(1+$B18)^('DCF Model'!C19+4)-'DCF Model'!C16)*1000000/'DCF Model'!C15,0),"")</f>
        <v>33674</v>
      </c>
      <c r="F18" s="37">
        <f>IFERROR(ROUND(('DCF Model'!C45/(1+$B18)^('DCF Model'!C19+0)+'DCF Model'!D45/(1+$B18)^('DCF Model'!C19+1)+'DCF Model'!E45/(1+$B18)^('DCF Model'!C19+2)+'DCF Model'!F45/(1+$B18)^('DCF Model'!C19+3)+'DCF Model'!G45/(1+$B18)^('DCF Model'!C19+4)+('DCF Model'!G39+'DCF Model'!G42)*F$17/(1+$B18)^('DCF Model'!C19+4)-'DCF Model'!C16)*1000000/'DCF Model'!C15,0),"")</f>
        <v>35939</v>
      </c>
      <c r="G18" s="37">
        <f>IFERROR(ROUND(('DCF Model'!C45/(1+$B18)^('DCF Model'!C19+0)+'DCF Model'!D45/(1+$B18)^('DCF Model'!C19+1)+'DCF Model'!E45/(1+$B18)^('DCF Model'!C19+2)+'DCF Model'!F45/(1+$B18)^('DCF Model'!C19+3)+'DCF Model'!G45/(1+$B18)^('DCF Model'!C19+4)+('DCF Model'!G39+'DCF Model'!G42)*G$17/(1+$B18)^('DCF Model'!C19+4)-'DCF Model'!C16)*1000000/'DCF Model'!C15,0),"")</f>
        <v>38203</v>
      </c>
      <c r="H18" s="37">
        <f>IFERROR(ROUND(('DCF Model'!C45/(1+$B18)^('DCF Model'!C19+0)+'DCF Model'!D45/(1+$B18)^('DCF Model'!C19+1)+'DCF Model'!E45/(1+$B18)^('DCF Model'!C19+2)+'DCF Model'!F45/(1+$B18)^('DCF Model'!C19+3)+'DCF Model'!G45/(1+$B18)^('DCF Model'!C19+4)+('DCF Model'!G39+'DCF Model'!G42)*H$17/(1+$B18)^('DCF Model'!C19+4)-'DCF Model'!C16)*1000000/'DCF Model'!C15,0),"")</f>
        <v>40468</v>
      </c>
      <c r="I18" s="37">
        <f>IFERROR(ROUND(('DCF Model'!C45/(1+$B18)^('DCF Model'!C19+0)+'DCF Model'!D45/(1+$B18)^('DCF Model'!C19+1)+'DCF Model'!E45/(1+$B18)^('DCF Model'!C19+2)+'DCF Model'!F45/(1+$B18)^('DCF Model'!C19+3)+'DCF Model'!G45/(1+$B18)^('DCF Model'!C19+4)+('DCF Model'!G39+'DCF Model'!G42)*I$17/(1+$B18)^('DCF Model'!C19+4)-'DCF Model'!C16)*1000000/'DCF Model'!C15,0),"")</f>
        <v>42733</v>
      </c>
    </row>
    <row r="19" spans="2:9" ht="13.5" customHeight="1" x14ac:dyDescent="0.25">
      <c r="B19" s="39">
        <f>$C$3-0.01</f>
        <v>6.7312215522271929E-2</v>
      </c>
      <c r="C19" s="37">
        <f>IFERROR(ROUND(('DCF Model'!C45/(1+$B19)^('DCF Model'!C19+0)+'DCF Model'!D45/(1+$B19)^('DCF Model'!C19+1)+'DCF Model'!E45/(1+$B19)^('DCF Model'!C19+2)+'DCF Model'!F45/(1+$B19)^('DCF Model'!C19+3)+'DCF Model'!G45/(1+$B19)^('DCF Model'!C19+4)+('DCF Model'!G39+'DCF Model'!G42)*C$17/(1+$B19)^('DCF Model'!C19+4)-'DCF Model'!C16)*1000000/'DCF Model'!C15,0),"")</f>
        <v>28492</v>
      </c>
      <c r="D19" s="37">
        <f>IFERROR(ROUND(('DCF Model'!C45/(1+$B19)^('DCF Model'!C19+0)+'DCF Model'!D45/(1+$B19)^('DCF Model'!C19+1)+'DCF Model'!E45/(1+$B19)^('DCF Model'!C19+2)+'DCF Model'!F45/(1+$B19)^('DCF Model'!C19+3)+'DCF Model'!G45/(1+$B19)^('DCF Model'!C19+4)+('DCF Model'!G39+'DCF Model'!G42)*D$17/(1+$B19)^('DCF Model'!C19+4)-'DCF Model'!C16)*1000000/'DCF Model'!C15,0),"")</f>
        <v>30705</v>
      </c>
      <c r="E19" s="37">
        <f>IFERROR(ROUND(('DCF Model'!C45/(1+$B19)^('DCF Model'!C19+0)+'DCF Model'!D45/(1+$B19)^('DCF Model'!C19+1)+'DCF Model'!E45/(1+$B19)^('DCF Model'!C19+2)+'DCF Model'!F45/(1+$B19)^('DCF Model'!C19+3)+'DCF Model'!G45/(1+$B19)^('DCF Model'!C19+4)+('DCF Model'!G39+'DCF Model'!G42)*E$17/(1+$B19)^('DCF Model'!C19+4)-'DCF Model'!C16)*1000000/'DCF Model'!C15,0),"")</f>
        <v>32917</v>
      </c>
      <c r="F19" s="37">
        <f>IFERROR(ROUND(('DCF Model'!C45/(1+$B19)^('DCF Model'!C19+0)+'DCF Model'!D45/(1+$B19)^('DCF Model'!C19+1)+'DCF Model'!E45/(1+$B19)^('DCF Model'!C19+2)+'DCF Model'!F45/(1+$B19)^('DCF Model'!C19+3)+'DCF Model'!G45/(1+$B19)^('DCF Model'!C19+4)+('DCF Model'!G39+'DCF Model'!G42)*F$17/(1+$B19)^('DCF Model'!C19+4)-'DCF Model'!C16)*1000000/'DCF Model'!C15,0),"")</f>
        <v>35130</v>
      </c>
      <c r="G19" s="37">
        <f>IFERROR(ROUND(('DCF Model'!C45/(1+$B19)^('DCF Model'!C19+0)+'DCF Model'!D45/(1+$B19)^('DCF Model'!C19+1)+'DCF Model'!E45/(1+$B19)^('DCF Model'!C19+2)+'DCF Model'!F45/(1+$B19)^('DCF Model'!C19+3)+'DCF Model'!G45/(1+$B19)^('DCF Model'!C19+4)+('DCF Model'!G39+'DCF Model'!G42)*G$17/(1+$B19)^('DCF Model'!C19+4)-'DCF Model'!C16)*1000000/'DCF Model'!C15,0),"")</f>
        <v>37342</v>
      </c>
      <c r="H19" s="37">
        <f>IFERROR(ROUND(('DCF Model'!C45/(1+$B19)^('DCF Model'!C19+0)+'DCF Model'!D45/(1+$B19)^('DCF Model'!C19+1)+'DCF Model'!E45/(1+$B19)^('DCF Model'!C19+2)+'DCF Model'!F45/(1+$B19)^('DCF Model'!C19+3)+'DCF Model'!G45/(1+$B19)^('DCF Model'!C19+4)+('DCF Model'!G39+'DCF Model'!G42)*H$17/(1+$B19)^('DCF Model'!C19+4)-'DCF Model'!C16)*1000000/'DCF Model'!C15,0),"")</f>
        <v>39554</v>
      </c>
      <c r="I19" s="37">
        <f>IFERROR(ROUND(('DCF Model'!C45/(1+$B19)^('DCF Model'!C19+0)+'DCF Model'!D45/(1+$B19)^('DCF Model'!C19+1)+'DCF Model'!E45/(1+$B19)^('DCF Model'!C19+2)+'DCF Model'!F45/(1+$B19)^('DCF Model'!C19+3)+'DCF Model'!G45/(1+$B19)^('DCF Model'!C19+4)+('DCF Model'!G39+'DCF Model'!G42)*I$17/(1+$B19)^('DCF Model'!C19+4)-'DCF Model'!C16)*1000000/'DCF Model'!C15,0),"")</f>
        <v>41767</v>
      </c>
    </row>
    <row r="20" spans="2:9" ht="13.5" customHeight="1" x14ac:dyDescent="0.25">
      <c r="B20" s="39">
        <f>$C$3-0.005</f>
        <v>7.2312215522271919E-2</v>
      </c>
      <c r="C20" s="37">
        <f>IFERROR(ROUND(('DCF Model'!C45/(1+$B20)^('DCF Model'!C19+0)+'DCF Model'!D45/(1+$B20)^('DCF Model'!C19+1)+'DCF Model'!E45/(1+$B20)^('DCF Model'!C19+2)+'DCF Model'!F45/(1+$B20)^('DCF Model'!C19+3)+'DCF Model'!G45/(1+$B20)^('DCF Model'!C19+4)+('DCF Model'!G39+'DCF Model'!G42)*C$17/(1+$B20)^('DCF Model'!C19+4)-'DCF Model'!C16)*1000000/'DCF Model'!C15,0),"")</f>
        <v>27859</v>
      </c>
      <c r="D20" s="37">
        <f>IFERROR(ROUND(('DCF Model'!C45/(1+$B20)^('DCF Model'!C19+0)+'DCF Model'!D45/(1+$B20)^('DCF Model'!C19+1)+'DCF Model'!E45/(1+$B20)^('DCF Model'!C19+2)+'DCF Model'!F45/(1+$B20)^('DCF Model'!C19+3)+'DCF Model'!G45/(1+$B20)^('DCF Model'!C19+4)+('DCF Model'!G39+'DCF Model'!G42)*D$17/(1+$B20)^('DCF Model'!C19+4)-'DCF Model'!C16)*1000000/'DCF Model'!C15,0),"")</f>
        <v>30020</v>
      </c>
      <c r="E20" s="37">
        <f>IFERROR(ROUND(('DCF Model'!C45/(1+$B20)^('DCF Model'!C19+0)+'DCF Model'!D45/(1+$B20)^('DCF Model'!C19+1)+'DCF Model'!E45/(1+$B20)^('DCF Model'!C19+2)+'DCF Model'!F45/(1+$B20)^('DCF Model'!C19+3)+'DCF Model'!G45/(1+$B20)^('DCF Model'!C19+4)+('DCF Model'!G39+'DCF Model'!G42)*E$17/(1+$B20)^('DCF Model'!C19+4)-'DCF Model'!C16)*1000000/'DCF Model'!C15,0),"")</f>
        <v>32181</v>
      </c>
      <c r="F20" s="37">
        <f>IFERROR(ROUND(('DCF Model'!C45/(1+$B20)^('DCF Model'!C19+0)+'DCF Model'!D45/(1+$B20)^('DCF Model'!C19+1)+'DCF Model'!E45/(1+$B20)^('DCF Model'!C19+2)+'DCF Model'!F45/(1+$B20)^('DCF Model'!C19+3)+'DCF Model'!G45/(1+$B20)^('DCF Model'!C19+4)+('DCF Model'!G39+'DCF Model'!G42)*F$17/(1+$B20)^('DCF Model'!C19+4)-'DCF Model'!C16)*1000000/'DCF Model'!C15,0),"")</f>
        <v>34343</v>
      </c>
      <c r="G20" s="37">
        <f>IFERROR(ROUND(('DCF Model'!C45/(1+$B20)^('DCF Model'!C19+0)+'DCF Model'!D45/(1+$B20)^('DCF Model'!C19+1)+'DCF Model'!E45/(1+$B20)^('DCF Model'!C19+2)+'DCF Model'!F45/(1+$B20)^('DCF Model'!C19+3)+'DCF Model'!G45/(1+$B20)^('DCF Model'!C19+4)+('DCF Model'!G39+'DCF Model'!G42)*G$17/(1+$B20)^('DCF Model'!C19+4)-'DCF Model'!C16)*1000000/'DCF Model'!C15,0),"")</f>
        <v>36504</v>
      </c>
      <c r="H20" s="37">
        <f>IFERROR(ROUND(('DCF Model'!C45/(1+$B20)^('DCF Model'!C19+0)+'DCF Model'!D45/(1+$B20)^('DCF Model'!C19+1)+'DCF Model'!E45/(1+$B20)^('DCF Model'!C19+2)+'DCF Model'!F45/(1+$B20)^('DCF Model'!C19+3)+'DCF Model'!G45/(1+$B20)^('DCF Model'!C19+4)+('DCF Model'!G39+'DCF Model'!G42)*H$17/(1+$B20)^('DCF Model'!C19+4)-'DCF Model'!C16)*1000000/'DCF Model'!C15,0),"")</f>
        <v>38665</v>
      </c>
      <c r="I20" s="37">
        <f>IFERROR(ROUND(('DCF Model'!C45/(1+$B20)^('DCF Model'!C19+0)+'DCF Model'!D45/(1+$B20)^('DCF Model'!C19+1)+'DCF Model'!E45/(1+$B20)^('DCF Model'!C19+2)+'DCF Model'!F45/(1+$B20)^('DCF Model'!C19+3)+'DCF Model'!G45/(1+$B20)^('DCF Model'!C19+4)+('DCF Model'!G39+'DCF Model'!G42)*I$17/(1+$B20)^('DCF Model'!C19+4)-'DCF Model'!C16)*1000000/'DCF Model'!C15,0),"")</f>
        <v>40827</v>
      </c>
    </row>
    <row r="21" spans="2:9" ht="13.5" customHeight="1" x14ac:dyDescent="0.25">
      <c r="B21" s="39">
        <f>$C$3</f>
        <v>7.7312215522271924E-2</v>
      </c>
      <c r="C21" s="37">
        <f>IFERROR(ROUND(('DCF Model'!C45/(1+$B21)^('DCF Model'!C19+0)+'DCF Model'!D45/(1+$B21)^('DCF Model'!C19+1)+'DCF Model'!E45/(1+$B21)^('DCF Model'!C19+2)+'DCF Model'!F45/(1+$B21)^('DCF Model'!C19+3)+'DCF Model'!G45/(1+$B21)^('DCF Model'!C19+4)+('DCF Model'!G39+'DCF Model'!G42)*C$17/(1+$B21)^('DCF Model'!C19+4)-'DCF Model'!C16)*1000000/'DCF Model'!C15,0),"")</f>
        <v>27242</v>
      </c>
      <c r="D21" s="37">
        <f>IFERROR(ROUND(('DCF Model'!C45/(1+$B21)^('DCF Model'!C19+0)+'DCF Model'!D45/(1+$B21)^('DCF Model'!C19+1)+'DCF Model'!E45/(1+$B21)^('DCF Model'!C19+2)+'DCF Model'!F45/(1+$B21)^('DCF Model'!C19+3)+'DCF Model'!G45/(1+$B21)^('DCF Model'!C19+4)+('DCF Model'!G39+'DCF Model'!G42)*D$17/(1+$B21)^('DCF Model'!C19+4)-'DCF Model'!C16)*1000000/'DCF Model'!C15,0),"")</f>
        <v>29354</v>
      </c>
      <c r="E21" s="37">
        <f>IFERROR(ROUND(('DCF Model'!C45/(1+$B21)^('DCF Model'!C19+0)+'DCF Model'!D45/(1+$B21)^('DCF Model'!C19+1)+'DCF Model'!E45/(1+$B21)^('DCF Model'!C19+2)+'DCF Model'!F45/(1+$B21)^('DCF Model'!C19+3)+'DCF Model'!G45/(1+$B21)^('DCF Model'!C19+4)+('DCF Model'!G39+'DCF Model'!G42)*E$17/(1+$B21)^('DCF Model'!C19+4)-'DCF Model'!C16)*1000000/'DCF Model'!C15,0),"")</f>
        <v>31466</v>
      </c>
      <c r="F21" s="37">
        <f>IFERROR(ROUND(('DCF Model'!C45/(1+$B21)^('DCF Model'!C19+0)+'DCF Model'!D45/(1+$B21)^('DCF Model'!C19+1)+'DCF Model'!E45/(1+$B21)^('DCF Model'!C19+2)+'DCF Model'!F45/(1+$B21)^('DCF Model'!C19+3)+'DCF Model'!G45/(1+$B21)^('DCF Model'!C19+4)+('DCF Model'!G39+'DCF Model'!G42)*F$17/(1+$B21)^('DCF Model'!C19+4)-'DCF Model'!C16)*1000000/'DCF Model'!C15,0),"")</f>
        <v>33577</v>
      </c>
      <c r="G21" s="37">
        <f>IFERROR(ROUND(('DCF Model'!C45/(1+$B21)^('DCF Model'!C19+0)+'DCF Model'!D45/(1+$B21)^('DCF Model'!C19+1)+'DCF Model'!E45/(1+$B21)^('DCF Model'!C19+2)+'DCF Model'!F45/(1+$B21)^('DCF Model'!C19+3)+'DCF Model'!G45/(1+$B21)^('DCF Model'!C19+4)+('DCF Model'!G39+'DCF Model'!G42)*G$17/(1+$B21)^('DCF Model'!C19+4)-'DCF Model'!C16)*1000000/'DCF Model'!C15,0),"")</f>
        <v>35689</v>
      </c>
      <c r="H21" s="37">
        <f>IFERROR(ROUND(('DCF Model'!C45/(1+$B21)^('DCF Model'!C19+0)+'DCF Model'!D45/(1+$B21)^('DCF Model'!C19+1)+'DCF Model'!E45/(1+$B21)^('DCF Model'!C19+2)+'DCF Model'!F45/(1+$B21)^('DCF Model'!C19+3)+'DCF Model'!G45/(1+$B21)^('DCF Model'!C19+4)+('DCF Model'!G39+'DCF Model'!G42)*H$17/(1+$B21)^('DCF Model'!C19+4)-'DCF Model'!C16)*1000000/'DCF Model'!C15,0),"")</f>
        <v>37800</v>
      </c>
      <c r="I21" s="37">
        <f>IFERROR(ROUND(('DCF Model'!C45/(1+$B21)^('DCF Model'!C19+0)+'DCF Model'!D45/(1+$B21)^('DCF Model'!C19+1)+'DCF Model'!E45/(1+$B21)^('DCF Model'!C19+2)+'DCF Model'!F45/(1+$B21)^('DCF Model'!C19+3)+'DCF Model'!G45/(1+$B21)^('DCF Model'!C19+4)+('DCF Model'!G39+'DCF Model'!G42)*I$17/(1+$B21)^('DCF Model'!C19+4)-'DCF Model'!C16)*1000000/'DCF Model'!C15,0),"")</f>
        <v>39912</v>
      </c>
    </row>
    <row r="22" spans="2:9" ht="13.5" customHeight="1" x14ac:dyDescent="0.25">
      <c r="B22" s="39">
        <f>$C$3+0.005</f>
        <v>8.2312215522271928E-2</v>
      </c>
      <c r="C22" s="37">
        <f>IFERROR(ROUND(('DCF Model'!C45/(1+$B22)^('DCF Model'!C19+0)+'DCF Model'!D45/(1+$B22)^('DCF Model'!C19+1)+'DCF Model'!E45/(1+$B22)^('DCF Model'!C19+2)+'DCF Model'!F45/(1+$B22)^('DCF Model'!C19+3)+'DCF Model'!G45/(1+$B22)^('DCF Model'!C19+4)+('DCF Model'!G39+'DCF Model'!G42)*C$17/(1+$B22)^('DCF Model'!C19+4)-'DCF Model'!C16)*1000000/'DCF Model'!C15,0),"")</f>
        <v>26642</v>
      </c>
      <c r="D22" s="37">
        <f>IFERROR(ROUND(('DCF Model'!C45/(1+$B22)^('DCF Model'!C19+0)+'DCF Model'!D45/(1+$B22)^('DCF Model'!C19+1)+'DCF Model'!E45/(1+$B22)^('DCF Model'!C19+2)+'DCF Model'!F45/(1+$B22)^('DCF Model'!C19+3)+'DCF Model'!G45/(1+$B22)^('DCF Model'!C19+4)+('DCF Model'!G39+'DCF Model'!G42)*D$17/(1+$B22)^('DCF Model'!C19+4)-'DCF Model'!C16)*1000000/'DCF Model'!C15,0),"")</f>
        <v>28706</v>
      </c>
      <c r="E22" s="37">
        <f>IFERROR(ROUND(('DCF Model'!C45/(1+$B22)^('DCF Model'!C19+0)+'DCF Model'!D45/(1+$B22)^('DCF Model'!C19+1)+'DCF Model'!E45/(1+$B22)^('DCF Model'!C19+2)+'DCF Model'!F45/(1+$B22)^('DCF Model'!C19+3)+'DCF Model'!G45/(1+$B22)^('DCF Model'!C19+4)+('DCF Model'!G39+'DCF Model'!G42)*E$17/(1+$B22)^('DCF Model'!C19+4)-'DCF Model'!C16)*1000000/'DCF Model'!C15,0),"")</f>
        <v>30769</v>
      </c>
      <c r="F22" s="37">
        <f>IFERROR(ROUND(('DCF Model'!C45/(1+$B22)^('DCF Model'!C19+0)+'DCF Model'!D45/(1+$B22)^('DCF Model'!C19+1)+'DCF Model'!E45/(1+$B22)^('DCF Model'!C19+2)+'DCF Model'!F45/(1+$B22)^('DCF Model'!C19+3)+'DCF Model'!G45/(1+$B22)^('DCF Model'!C19+4)+('DCF Model'!G39+'DCF Model'!G42)*F$17/(1+$B22)^('DCF Model'!C19+4)-'DCF Model'!C16)*1000000/'DCF Model'!C15,0),"")</f>
        <v>32832</v>
      </c>
      <c r="G22" s="37">
        <f>IFERROR(ROUND(('DCF Model'!C45/(1+$B22)^('DCF Model'!C19+0)+'DCF Model'!D45/(1+$B22)^('DCF Model'!C19+1)+'DCF Model'!E45/(1+$B22)^('DCF Model'!C19+2)+'DCF Model'!F45/(1+$B22)^('DCF Model'!C19+3)+'DCF Model'!G45/(1+$B22)^('DCF Model'!C19+4)+('DCF Model'!G39+'DCF Model'!G42)*G$17/(1+$B22)^('DCF Model'!C19+4)-'DCF Model'!C16)*1000000/'DCF Model'!C15,0),"")</f>
        <v>34896</v>
      </c>
      <c r="H22" s="37">
        <f>IFERROR(ROUND(('DCF Model'!C45/(1+$B22)^('DCF Model'!C19+0)+'DCF Model'!D45/(1+$B22)^('DCF Model'!C19+1)+'DCF Model'!E45/(1+$B22)^('DCF Model'!C19+2)+'DCF Model'!F45/(1+$B22)^('DCF Model'!C19+3)+'DCF Model'!G45/(1+$B22)^('DCF Model'!C19+4)+('DCF Model'!G39+'DCF Model'!G42)*H$17/(1+$B22)^('DCF Model'!C19+4)-'DCF Model'!C16)*1000000/'DCF Model'!C15,0),"")</f>
        <v>36959</v>
      </c>
      <c r="I22" s="37">
        <f>IFERROR(ROUND(('DCF Model'!C45/(1+$B22)^('DCF Model'!C19+0)+'DCF Model'!D45/(1+$B22)^('DCF Model'!C19+1)+'DCF Model'!E45/(1+$B22)^('DCF Model'!C19+2)+'DCF Model'!F45/(1+$B22)^('DCF Model'!C19+3)+'DCF Model'!G45/(1+$B22)^('DCF Model'!C19+4)+('DCF Model'!G39+'DCF Model'!G42)*I$17/(1+$B22)^('DCF Model'!C19+4)-'DCF Model'!C16)*1000000/'DCF Model'!C15,0),"")</f>
        <v>39022</v>
      </c>
    </row>
    <row r="23" spans="2:9" ht="13.5" customHeight="1" x14ac:dyDescent="0.25">
      <c r="B23" s="39">
        <f>$C$3+0.01</f>
        <v>8.7312215522271919E-2</v>
      </c>
      <c r="C23" s="37">
        <f>IFERROR(ROUND(('DCF Model'!C45/(1+$B23)^('DCF Model'!C19+0)+'DCF Model'!D45/(1+$B23)^('DCF Model'!C19+1)+'DCF Model'!E45/(1+$B23)^('DCF Model'!C19+2)+'DCF Model'!F45/(1+$B23)^('DCF Model'!C19+3)+'DCF Model'!G45/(1+$B23)^('DCF Model'!C19+4)+('DCF Model'!G39+'DCF Model'!G42)*C$17/(1+$B23)^('DCF Model'!C19+4)-'DCF Model'!C16)*1000000/'DCF Model'!C15,0),"")</f>
        <v>26059</v>
      </c>
      <c r="D23" s="37">
        <f>IFERROR(ROUND(('DCF Model'!C45/(1+$B23)^('DCF Model'!C19+0)+'DCF Model'!D45/(1+$B23)^('DCF Model'!C19+1)+'DCF Model'!E45/(1+$B23)^('DCF Model'!C19+2)+'DCF Model'!F45/(1+$B23)^('DCF Model'!C19+3)+'DCF Model'!G45/(1+$B23)^('DCF Model'!C19+4)+('DCF Model'!G39+'DCF Model'!G42)*D$17/(1+$B23)^('DCF Model'!C19+4)-'DCF Model'!C16)*1000000/'DCF Model'!C15,0),"")</f>
        <v>28075</v>
      </c>
      <c r="E23" s="37">
        <f>IFERROR(ROUND(('DCF Model'!C45/(1+$B23)^('DCF Model'!C19+0)+'DCF Model'!D45/(1+$B23)^('DCF Model'!C19+1)+'DCF Model'!E45/(1+$B23)^('DCF Model'!C19+2)+'DCF Model'!F45/(1+$B23)^('DCF Model'!C19+3)+'DCF Model'!G45/(1+$B23)^('DCF Model'!C19+4)+('DCF Model'!G39+'DCF Model'!G42)*E$17/(1+$B23)^('DCF Model'!C19+4)-'DCF Model'!C16)*1000000/'DCF Model'!C15,0),"")</f>
        <v>30091</v>
      </c>
      <c r="F23" s="37">
        <f>IFERROR(ROUND(('DCF Model'!C45/(1+$B23)^('DCF Model'!C19+0)+'DCF Model'!D45/(1+$B23)^('DCF Model'!C19+1)+'DCF Model'!E45/(1+$B23)^('DCF Model'!C19+2)+'DCF Model'!F45/(1+$B23)^('DCF Model'!C19+3)+'DCF Model'!G45/(1+$B23)^('DCF Model'!C19+4)+('DCF Model'!G39+'DCF Model'!G42)*F$17/(1+$B23)^('DCF Model'!C19+4)-'DCF Model'!C16)*1000000/'DCF Model'!C15,0),"")</f>
        <v>32108</v>
      </c>
      <c r="G23" s="37">
        <f>IFERROR(ROUND(('DCF Model'!C45/(1+$B23)^('DCF Model'!C19+0)+'DCF Model'!D45/(1+$B23)^('DCF Model'!C19+1)+'DCF Model'!E45/(1+$B23)^('DCF Model'!C19+2)+'DCF Model'!F45/(1+$B23)^('DCF Model'!C19+3)+'DCF Model'!G45/(1+$B23)^('DCF Model'!C19+4)+('DCF Model'!G39+'DCF Model'!G42)*G$17/(1+$B23)^('DCF Model'!C19+4)-'DCF Model'!C16)*1000000/'DCF Model'!C15,0),"")</f>
        <v>34124</v>
      </c>
      <c r="H23" s="37">
        <f>IFERROR(ROUND(('DCF Model'!C45/(1+$B23)^('DCF Model'!C19+0)+'DCF Model'!D45/(1+$B23)^('DCF Model'!C19+1)+'DCF Model'!E45/(1+$B23)^('DCF Model'!C19+2)+'DCF Model'!F45/(1+$B23)^('DCF Model'!C19+3)+'DCF Model'!G45/(1+$B23)^('DCF Model'!C19+4)+('DCF Model'!G39+'DCF Model'!G42)*H$17/(1+$B23)^('DCF Model'!C19+4)-'DCF Model'!C16)*1000000/'DCF Model'!C15,0),"")</f>
        <v>36140</v>
      </c>
      <c r="I23" s="37">
        <f>IFERROR(ROUND(('DCF Model'!C45/(1+$B23)^('DCF Model'!C19+0)+'DCF Model'!D45/(1+$B23)^('DCF Model'!C19+1)+'DCF Model'!E45/(1+$B23)^('DCF Model'!C19+2)+'DCF Model'!F45/(1+$B23)^('DCF Model'!C19+3)+'DCF Model'!G45/(1+$B23)^('DCF Model'!C19+4)+('DCF Model'!G39+'DCF Model'!G42)*I$17/(1+$B23)^('DCF Model'!C19+4)-'DCF Model'!C16)*1000000/'DCF Model'!C15,0),"")</f>
        <v>38157</v>
      </c>
    </row>
    <row r="24" spans="2:9" ht="13.5" customHeight="1" x14ac:dyDescent="0.25">
      <c r="B24" s="39">
        <f>$C$3+0.015</f>
        <v>9.2312215522271923E-2</v>
      </c>
      <c r="C24" s="37">
        <f>IFERROR(ROUND(('DCF Model'!C45/(1+$B24)^('DCF Model'!C19+0)+'DCF Model'!D45/(1+$B24)^('DCF Model'!C19+1)+'DCF Model'!E45/(1+$B24)^('DCF Model'!C19+2)+'DCF Model'!F45/(1+$B24)^('DCF Model'!C19+3)+'DCF Model'!G45/(1+$B24)^('DCF Model'!C19+4)+('DCF Model'!G39+'DCF Model'!G42)*C$17/(1+$B24)^('DCF Model'!C19+4)-'DCF Model'!C16)*1000000/'DCF Model'!C15,0),"")</f>
        <v>25490</v>
      </c>
      <c r="D24" s="37">
        <f>IFERROR(ROUND(('DCF Model'!C45/(1+$B24)^('DCF Model'!C19+0)+'DCF Model'!D45/(1+$B24)^('DCF Model'!C19+1)+'DCF Model'!E45/(1+$B24)^('DCF Model'!C19+2)+'DCF Model'!F45/(1+$B24)^('DCF Model'!C19+3)+'DCF Model'!G45/(1+$B24)^('DCF Model'!C19+4)+('DCF Model'!G39+'DCF Model'!G42)*D$17/(1+$B24)^('DCF Model'!C19+4)-'DCF Model'!C16)*1000000/'DCF Model'!C15,0),"")</f>
        <v>27461</v>
      </c>
      <c r="E24" s="37">
        <f>IFERROR(ROUND(('DCF Model'!C45/(1+$B24)^('DCF Model'!C19+0)+'DCF Model'!D45/(1+$B24)^('DCF Model'!C19+1)+'DCF Model'!E45/(1+$B24)^('DCF Model'!C19+2)+'DCF Model'!F45/(1+$B24)^('DCF Model'!C19+3)+'DCF Model'!G45/(1+$B24)^('DCF Model'!C19+4)+('DCF Model'!G39+'DCF Model'!G42)*E$17/(1+$B24)^('DCF Model'!C19+4)-'DCF Model'!C16)*1000000/'DCF Model'!C15,0),"")</f>
        <v>29432</v>
      </c>
      <c r="F24" s="37">
        <f>IFERROR(ROUND(('DCF Model'!C45/(1+$B24)^('DCF Model'!C19+0)+'DCF Model'!D45/(1+$B24)^('DCF Model'!C19+1)+'DCF Model'!E45/(1+$B24)^('DCF Model'!C19+2)+'DCF Model'!F45/(1+$B24)^('DCF Model'!C19+3)+'DCF Model'!G45/(1+$B24)^('DCF Model'!C19+4)+('DCF Model'!G39+'DCF Model'!G42)*F$17/(1+$B24)^('DCF Model'!C19+4)-'DCF Model'!C16)*1000000/'DCF Model'!C15,0),"")</f>
        <v>31402</v>
      </c>
      <c r="G24" s="37">
        <f>IFERROR(ROUND(('DCF Model'!C45/(1+$B24)^('DCF Model'!C19+0)+'DCF Model'!D45/(1+$B24)^('DCF Model'!C19+1)+'DCF Model'!E45/(1+$B24)^('DCF Model'!C19+2)+'DCF Model'!F45/(1+$B24)^('DCF Model'!C19+3)+'DCF Model'!G45/(1+$B24)^('DCF Model'!C19+4)+('DCF Model'!G39+'DCF Model'!G42)*G$17/(1+$B24)^('DCF Model'!C19+4)-'DCF Model'!C16)*1000000/'DCF Model'!C15,0),"")</f>
        <v>33373</v>
      </c>
      <c r="H24" s="37">
        <f>IFERROR(ROUND(('DCF Model'!C45/(1+$B24)^('DCF Model'!C19+0)+'DCF Model'!D45/(1+$B24)^('DCF Model'!C19+1)+'DCF Model'!E45/(1+$B24)^('DCF Model'!C19+2)+'DCF Model'!F45/(1+$B24)^('DCF Model'!C19+3)+'DCF Model'!G45/(1+$B24)^('DCF Model'!C19+4)+('DCF Model'!G39+'DCF Model'!G42)*H$17/(1+$B24)^('DCF Model'!C19+4)-'DCF Model'!C16)*1000000/'DCF Model'!C15,0),"")</f>
        <v>35343</v>
      </c>
      <c r="I24" s="37">
        <f>IFERROR(ROUND(('DCF Model'!C45/(1+$B24)^('DCF Model'!C19+0)+'DCF Model'!D45/(1+$B24)^('DCF Model'!C19+1)+'DCF Model'!E45/(1+$B24)^('DCF Model'!C19+2)+'DCF Model'!F45/(1+$B24)^('DCF Model'!C19+3)+'DCF Model'!G45/(1+$B24)^('DCF Model'!C19+4)+('DCF Model'!G39+'DCF Model'!G42)*I$17/(1+$B24)^('DCF Model'!C19+4)-'DCF Model'!C16)*1000000/'DCF Model'!C15,0),"")</f>
        <v>37314</v>
      </c>
    </row>
    <row r="26" spans="2:9" ht="14" customHeight="1" x14ac:dyDescent="0.3">
      <c r="B26" s="46" t="s">
        <v>237</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7"/>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s="43" t="s">
        <v>245</v>
      </c>
      <c r="C6" s="4" t="s">
        <v>250</v>
      </c>
      <c r="D6" s="43" t="s">
        <v>251</v>
      </c>
      <c r="E6" s="43" t="s">
        <v>252</v>
      </c>
      <c r="F6" s="43" t="s">
        <v>253</v>
      </c>
      <c r="G6" s="43" t="s">
        <v>254</v>
      </c>
    </row>
    <row r="7" spans="2:7" ht="30" customHeight="1" x14ac:dyDescent="0.3">
      <c r="B7" s="43" t="s">
        <v>245</v>
      </c>
      <c r="C7" s="4" t="s">
        <v>255</v>
      </c>
      <c r="D7" s="43" t="s">
        <v>256</v>
      </c>
      <c r="E7" s="43" t="s">
        <v>257</v>
      </c>
      <c r="F7" s="43" t="s">
        <v>258</v>
      </c>
      <c r="G7" s="43" t="s">
        <v>259</v>
      </c>
    </row>
    <row r="8" spans="2:7" ht="30" customHeight="1" x14ac:dyDescent="0.3">
      <c r="B8" s="43" t="s">
        <v>245</v>
      </c>
      <c r="C8" s="4" t="s">
        <v>260</v>
      </c>
      <c r="D8" s="43" t="s">
        <v>261</v>
      </c>
      <c r="E8" s="43" t="s">
        <v>262</v>
      </c>
      <c r="F8" s="43" t="s">
        <v>263</v>
      </c>
      <c r="G8" s="43" t="s">
        <v>259</v>
      </c>
    </row>
    <row r="9" spans="2:7" ht="30" customHeight="1" x14ac:dyDescent="0.3">
      <c r="B9" s="43" t="s">
        <v>245</v>
      </c>
      <c r="C9" s="4" t="s">
        <v>264</v>
      </c>
      <c r="D9" s="43" t="s">
        <v>265</v>
      </c>
      <c r="E9" s="43" t="s">
        <v>266</v>
      </c>
      <c r="F9" s="43" t="s">
        <v>267</v>
      </c>
      <c r="G9" s="43" t="s">
        <v>259</v>
      </c>
    </row>
    <row r="10" spans="2:7" ht="30" customHeight="1" x14ac:dyDescent="0.3">
      <c r="B10" s="43" t="s">
        <v>245</v>
      </c>
      <c r="C10" s="4" t="s">
        <v>268</v>
      </c>
      <c r="D10" s="43" t="s">
        <v>269</v>
      </c>
      <c r="E10" s="43" t="s">
        <v>270</v>
      </c>
      <c r="F10" s="43" t="s">
        <v>271</v>
      </c>
      <c r="G10" s="43" t="s">
        <v>272</v>
      </c>
    </row>
    <row r="11" spans="2:7" ht="30" customHeight="1" x14ac:dyDescent="0.3">
      <c r="B11" s="43" t="s">
        <v>245</v>
      </c>
      <c r="C11" s="4" t="s">
        <v>273</v>
      </c>
      <c r="D11" s="43" t="s">
        <v>274</v>
      </c>
      <c r="E11" s="43" t="s">
        <v>275</v>
      </c>
      <c r="F11" s="43" t="s">
        <v>276</v>
      </c>
      <c r="G11" s="43" t="s">
        <v>277</v>
      </c>
    </row>
    <row r="12" spans="2:7" ht="30" customHeight="1" x14ac:dyDescent="0.3">
      <c r="B12" s="43" t="s">
        <v>245</v>
      </c>
      <c r="C12" s="4" t="s">
        <v>278</v>
      </c>
      <c r="D12" s="43" t="s">
        <v>279</v>
      </c>
      <c r="E12" s="43" t="s">
        <v>280</v>
      </c>
      <c r="F12" s="43" t="s">
        <v>281</v>
      </c>
      <c r="G12" s="43" t="s">
        <v>259</v>
      </c>
    </row>
    <row r="13" spans="2:7" ht="30" customHeight="1" x14ac:dyDescent="0.3">
      <c r="B13" s="43" t="s">
        <v>245</v>
      </c>
      <c r="C13" s="4" t="s">
        <v>282</v>
      </c>
      <c r="D13" s="43" t="s">
        <v>283</v>
      </c>
      <c r="E13" s="43" t="s">
        <v>284</v>
      </c>
      <c r="F13" s="43" t="s">
        <v>285</v>
      </c>
      <c r="G13" s="43" t="s">
        <v>259</v>
      </c>
    </row>
    <row r="14" spans="2:7" ht="30" customHeight="1" x14ac:dyDescent="0.3">
      <c r="B14" s="43" t="s">
        <v>245</v>
      </c>
      <c r="C14" s="4" t="s">
        <v>286</v>
      </c>
      <c r="D14" s="43" t="s">
        <v>287</v>
      </c>
      <c r="E14" s="43" t="s">
        <v>288</v>
      </c>
      <c r="F14" s="43" t="s">
        <v>246</v>
      </c>
      <c r="G14" s="43" t="s">
        <v>259</v>
      </c>
    </row>
    <row r="15" spans="2:7" ht="30" customHeight="1" x14ac:dyDescent="0.3">
      <c r="B15" s="43" t="s">
        <v>245</v>
      </c>
      <c r="C15" s="4" t="s">
        <v>289</v>
      </c>
      <c r="D15" s="43" t="s">
        <v>290</v>
      </c>
      <c r="E15" s="43" t="s">
        <v>291</v>
      </c>
      <c r="F15" s="43" t="s">
        <v>292</v>
      </c>
      <c r="G15" s="43" t="s">
        <v>259</v>
      </c>
    </row>
    <row r="16" spans="2:7" ht="30" customHeight="1" x14ac:dyDescent="0.3">
      <c r="B16" s="43" t="s">
        <v>245</v>
      </c>
      <c r="C16" s="4" t="s">
        <v>293</v>
      </c>
      <c r="D16" s="43" t="s">
        <v>294</v>
      </c>
      <c r="E16" s="43" t="s">
        <v>295</v>
      </c>
      <c r="F16" s="43" t="s">
        <v>296</v>
      </c>
      <c r="G16" s="43" t="s">
        <v>259</v>
      </c>
    </row>
    <row r="17" spans="2:7" ht="30" customHeight="1" x14ac:dyDescent="0.3">
      <c r="B17" s="43" t="s">
        <v>245</v>
      </c>
      <c r="C17" s="4" t="s">
        <v>297</v>
      </c>
      <c r="D17" s="43" t="s">
        <v>298</v>
      </c>
      <c r="E17" s="43" t="s">
        <v>299</v>
      </c>
      <c r="F17" s="43" t="s">
        <v>300</v>
      </c>
      <c r="G17" s="43" t="s">
        <v>259</v>
      </c>
    </row>
    <row r="18" spans="2:7" ht="30" customHeight="1" x14ac:dyDescent="0.3">
      <c r="B18" s="43" t="s">
        <v>245</v>
      </c>
      <c r="C18" s="4" t="s">
        <v>301</v>
      </c>
      <c r="D18" s="43" t="s">
        <v>302</v>
      </c>
      <c r="E18" s="43" t="s">
        <v>303</v>
      </c>
      <c r="F18" s="43" t="s">
        <v>263</v>
      </c>
      <c r="G18" s="43" t="s">
        <v>259</v>
      </c>
    </row>
    <row r="19" spans="2:7" ht="30" customHeight="1" x14ac:dyDescent="0.3">
      <c r="B19" s="43" t="s">
        <v>245</v>
      </c>
      <c r="C19" s="4" t="s">
        <v>304</v>
      </c>
      <c r="D19" s="43" t="s">
        <v>305</v>
      </c>
      <c r="E19" s="43" t="s">
        <v>306</v>
      </c>
      <c r="F19" s="43" t="s">
        <v>307</v>
      </c>
      <c r="G19" s="43" t="s">
        <v>259</v>
      </c>
    </row>
    <row r="20" spans="2:7" ht="30" customHeight="1" x14ac:dyDescent="0.3">
      <c r="B20" s="43" t="s">
        <v>245</v>
      </c>
      <c r="C20" s="4" t="s">
        <v>308</v>
      </c>
      <c r="D20" s="43" t="s">
        <v>309</v>
      </c>
      <c r="E20" s="43" t="s">
        <v>310</v>
      </c>
      <c r="F20" s="43" t="s">
        <v>246</v>
      </c>
      <c r="G20" s="43" t="s">
        <v>311</v>
      </c>
    </row>
    <row r="21" spans="2:7" ht="30" customHeight="1" x14ac:dyDescent="0.3">
      <c r="B21" s="43" t="s">
        <v>245</v>
      </c>
      <c r="C21" s="4" t="s">
        <v>312</v>
      </c>
      <c r="D21" s="43" t="s">
        <v>313</v>
      </c>
      <c r="E21" s="43" t="s">
        <v>314</v>
      </c>
      <c r="F21" s="43" t="s">
        <v>263</v>
      </c>
      <c r="G21" s="43" t="s">
        <v>259</v>
      </c>
    </row>
    <row r="22" spans="2:7" ht="30" customHeight="1" x14ac:dyDescent="0.3">
      <c r="B22" s="43" t="s">
        <v>245</v>
      </c>
      <c r="C22" s="4" t="s">
        <v>315</v>
      </c>
      <c r="D22" s="43" t="s">
        <v>316</v>
      </c>
      <c r="E22" s="43" t="s">
        <v>317</v>
      </c>
      <c r="F22" s="43" t="s">
        <v>246</v>
      </c>
      <c r="G22" s="43" t="s">
        <v>259</v>
      </c>
    </row>
    <row r="23" spans="2:7" ht="30" customHeight="1" x14ac:dyDescent="0.3">
      <c r="B23" s="43" t="s">
        <v>245</v>
      </c>
      <c r="C23" s="4" t="s">
        <v>318</v>
      </c>
      <c r="D23" s="43" t="s">
        <v>319</v>
      </c>
      <c r="E23" s="43" t="s">
        <v>320</v>
      </c>
      <c r="F23" s="43" t="s">
        <v>246</v>
      </c>
      <c r="G23" s="43" t="s">
        <v>254</v>
      </c>
    </row>
    <row r="24" spans="2:7" ht="30" customHeight="1" x14ac:dyDescent="0.3">
      <c r="B24" s="43" t="s">
        <v>245</v>
      </c>
      <c r="C24" s="4" t="s">
        <v>321</v>
      </c>
      <c r="D24" s="43" t="s">
        <v>322</v>
      </c>
      <c r="E24" s="43" t="s">
        <v>323</v>
      </c>
      <c r="F24" s="43" t="s">
        <v>246</v>
      </c>
      <c r="G24" s="43" t="s">
        <v>324</v>
      </c>
    </row>
    <row r="25" spans="2:7" ht="30" customHeight="1" x14ac:dyDescent="0.3">
      <c r="B25" s="43" t="s">
        <v>245</v>
      </c>
      <c r="C25" s="4" t="s">
        <v>325</v>
      </c>
      <c r="D25" s="43" t="s">
        <v>326</v>
      </c>
      <c r="E25" s="43" t="s">
        <v>327</v>
      </c>
      <c r="F25" s="43" t="s">
        <v>246</v>
      </c>
      <c r="G25" s="43" t="s">
        <v>328</v>
      </c>
    </row>
    <row r="26" spans="2:7" ht="30" customHeight="1" x14ac:dyDescent="0.3">
      <c r="B26" s="43" t="s">
        <v>245</v>
      </c>
      <c r="C26" s="4" t="s">
        <v>325</v>
      </c>
      <c r="D26" s="43" t="s">
        <v>329</v>
      </c>
      <c r="E26" s="43" t="s">
        <v>330</v>
      </c>
      <c r="F26" s="43" t="s">
        <v>246</v>
      </c>
      <c r="G26" s="43" t="s">
        <v>328</v>
      </c>
    </row>
    <row r="27" spans="2:7" ht="30" customHeight="1" x14ac:dyDescent="0.3">
      <c r="B27" s="43" t="s">
        <v>245</v>
      </c>
      <c r="C27" s="4" t="s">
        <v>325</v>
      </c>
      <c r="D27" s="43" t="s">
        <v>331</v>
      </c>
      <c r="E27" s="43" t="s">
        <v>332</v>
      </c>
      <c r="F27" s="43" t="s">
        <v>246</v>
      </c>
      <c r="G27" s="43" t="s">
        <v>328</v>
      </c>
    </row>
    <row r="28" spans="2:7" ht="14" customHeight="1" x14ac:dyDescent="0.2"/>
    <row r="29" spans="2:7" ht="14" customHeight="1" x14ac:dyDescent="0.3">
      <c r="B29" s="8" t="s">
        <v>333</v>
      </c>
    </row>
    <row r="30" spans="2:7" ht="14" customHeight="1" x14ac:dyDescent="0.3">
      <c r="B30" s="10" t="s">
        <v>334</v>
      </c>
      <c r="C30" s="10" t="s">
        <v>335</v>
      </c>
    </row>
    <row r="31" spans="2:7" ht="14" customHeight="1" x14ac:dyDescent="0.3">
      <c r="B31" s="4" t="s">
        <v>336</v>
      </c>
      <c r="C31" t="s">
        <v>337</v>
      </c>
    </row>
    <row r="32" spans="2:7" ht="14" customHeight="1" x14ac:dyDescent="0.3">
      <c r="B32" s="4" t="s">
        <v>338</v>
      </c>
      <c r="C32" t="s">
        <v>339</v>
      </c>
    </row>
    <row r="33" spans="2:3" ht="14" customHeight="1" x14ac:dyDescent="0.3">
      <c r="B33" s="4" t="s">
        <v>340</v>
      </c>
      <c r="C33" t="s">
        <v>341</v>
      </c>
    </row>
    <row r="34" spans="2:3" ht="14" customHeight="1" x14ac:dyDescent="0.3">
      <c r="B34" s="4" t="s">
        <v>342</v>
      </c>
      <c r="C34" t="s">
        <v>343</v>
      </c>
    </row>
    <row r="35" spans="2:3" ht="14" customHeight="1" x14ac:dyDescent="0.3">
      <c r="B35" s="4" t="s">
        <v>344</v>
      </c>
      <c r="C35" t="s">
        <v>4</v>
      </c>
    </row>
    <row r="36" spans="2:3" ht="14" customHeight="1" x14ac:dyDescent="0.3">
      <c r="B36" s="4" t="s">
        <v>345</v>
      </c>
      <c r="C36" t="s">
        <v>245</v>
      </c>
    </row>
    <row r="37" spans="2:3" ht="14" customHeight="1" x14ac:dyDescent="0.3">
      <c r="B37" s="4" t="s">
        <v>346</v>
      </c>
      <c r="C37" t="s">
        <v>347</v>
      </c>
    </row>
    <row r="38" spans="2:3" ht="14" customHeight="1" x14ac:dyDescent="0.3">
      <c r="B38" s="4" t="s">
        <v>348</v>
      </c>
      <c r="C38" t="s">
        <v>349</v>
      </c>
    </row>
    <row r="39" spans="2:3" ht="14" customHeight="1" x14ac:dyDescent="0.3">
      <c r="B39" s="4" t="s">
        <v>350</v>
      </c>
      <c r="C39" t="s">
        <v>351</v>
      </c>
    </row>
    <row r="40" spans="2:3" ht="14" customHeight="1" x14ac:dyDescent="0.3">
      <c r="B40" s="4" t="s">
        <v>352</v>
      </c>
      <c r="C40" t="s">
        <v>353</v>
      </c>
    </row>
    <row r="41" spans="2:3" ht="14" customHeight="1" x14ac:dyDescent="0.3">
      <c r="B41" s="4" t="s">
        <v>354</v>
      </c>
      <c r="C41" t="s">
        <v>355</v>
      </c>
    </row>
    <row r="42" spans="2:3" ht="14" customHeight="1" x14ac:dyDescent="0.3">
      <c r="B42" s="4" t="s">
        <v>356</v>
      </c>
      <c r="C42" t="s">
        <v>351</v>
      </c>
    </row>
    <row r="43" spans="2:3" ht="14" customHeight="1" x14ac:dyDescent="0.3">
      <c r="B43" s="4" t="s">
        <v>357</v>
      </c>
      <c r="C43" t="s">
        <v>347</v>
      </c>
    </row>
    <row r="44" spans="2:3" ht="14" customHeight="1" x14ac:dyDescent="0.3">
      <c r="B44" s="4" t="s">
        <v>358</v>
      </c>
      <c r="C44" t="s">
        <v>359</v>
      </c>
    </row>
    <row r="45" spans="2:3" ht="14" customHeight="1" x14ac:dyDescent="0.3">
      <c r="B45" s="4" t="s">
        <v>360</v>
      </c>
      <c r="C45" t="s">
        <v>361</v>
      </c>
    </row>
    <row r="46" spans="2:3" ht="14" customHeight="1" x14ac:dyDescent="0.3">
      <c r="B46" s="4" t="s">
        <v>362</v>
      </c>
      <c r="C46" t="s">
        <v>363</v>
      </c>
    </row>
    <row r="47" spans="2:3" ht="14" customHeight="1" x14ac:dyDescent="0.3">
      <c r="B47" s="4" t="s">
        <v>364</v>
      </c>
      <c r="C47" t="s">
        <v>365</v>
      </c>
    </row>
    <row r="48" spans="2:3" ht="14" customHeight="1" x14ac:dyDescent="0.3">
      <c r="B48" s="4" t="s">
        <v>366</v>
      </c>
      <c r="C48" t="s">
        <v>367</v>
      </c>
    </row>
    <row r="49" spans="2:3" ht="14" customHeight="1" x14ac:dyDescent="0.3">
      <c r="B49" s="4" t="s">
        <v>368</v>
      </c>
      <c r="C49" t="s">
        <v>369</v>
      </c>
    </row>
    <row r="50" spans="2:3" ht="14" customHeight="1" x14ac:dyDescent="0.3">
      <c r="B50" s="4" t="s">
        <v>370</v>
      </c>
      <c r="C50" t="s">
        <v>371</v>
      </c>
    </row>
    <row r="51" spans="2:3" ht="14" x14ac:dyDescent="0.3">
      <c r="B51" s="4" t="s">
        <v>372</v>
      </c>
      <c r="C51" t="s">
        <v>373</v>
      </c>
    </row>
    <row r="52" spans="2:3" ht="14" x14ac:dyDescent="0.3">
      <c r="B52" s="4" t="s">
        <v>374</v>
      </c>
      <c r="C52" t="s">
        <v>339</v>
      </c>
    </row>
    <row r="53" spans="2:3" ht="14" x14ac:dyDescent="0.3">
      <c r="B53" s="4" t="s">
        <v>375</v>
      </c>
      <c r="C53" t="s">
        <v>376</v>
      </c>
    </row>
    <row r="54" spans="2:3" ht="14" x14ac:dyDescent="0.3">
      <c r="B54" s="4" t="s">
        <v>377</v>
      </c>
      <c r="C54" t="s">
        <v>378</v>
      </c>
    </row>
    <row r="55" spans="2:3" ht="14" x14ac:dyDescent="0.3">
      <c r="B55" s="4" t="s">
        <v>379</v>
      </c>
      <c r="C55" t="s">
        <v>380</v>
      </c>
    </row>
    <row r="56" spans="2:3" ht="14" x14ac:dyDescent="0.3">
      <c r="B56" s="4" t="s">
        <v>381</v>
      </c>
      <c r="C56" t="s">
        <v>382</v>
      </c>
    </row>
    <row r="57" spans="2:3" ht="14" x14ac:dyDescent="0.3">
      <c r="B57" s="4" t="s">
        <v>383</v>
      </c>
      <c r="C57" t="s">
        <v>384</v>
      </c>
    </row>
    <row r="58" spans="2:3" ht="14" x14ac:dyDescent="0.3">
      <c r="B58" s="4" t="s">
        <v>385</v>
      </c>
      <c r="C58" t="s">
        <v>386</v>
      </c>
    </row>
    <row r="59" spans="2:3" ht="14" x14ac:dyDescent="0.3">
      <c r="B59" s="4" t="s">
        <v>387</v>
      </c>
      <c r="C59" t="s">
        <v>388</v>
      </c>
    </row>
    <row r="60" spans="2:3" ht="14" x14ac:dyDescent="0.3">
      <c r="B60" s="4" t="s">
        <v>389</v>
      </c>
      <c r="C60" t="s">
        <v>390</v>
      </c>
    </row>
    <row r="61" spans="2:3" ht="14" x14ac:dyDescent="0.3">
      <c r="B61" s="4" t="s">
        <v>391</v>
      </c>
      <c r="C61" t="s">
        <v>392</v>
      </c>
    </row>
    <row r="62" spans="2:3" ht="14" x14ac:dyDescent="0.3">
      <c r="B62" s="4" t="s">
        <v>393</v>
      </c>
      <c r="C62" t="s">
        <v>394</v>
      </c>
    </row>
    <row r="63" spans="2:3" ht="14" x14ac:dyDescent="0.3">
      <c r="B63" s="4" t="s">
        <v>395</v>
      </c>
      <c r="C63" t="s">
        <v>396</v>
      </c>
    </row>
    <row r="64" spans="2:3" ht="14" x14ac:dyDescent="0.3">
      <c r="B64" s="4" t="s">
        <v>397</v>
      </c>
      <c r="C64" t="s">
        <v>398</v>
      </c>
    </row>
    <row r="65" spans="2:3" ht="14" x14ac:dyDescent="0.3">
      <c r="B65" s="4" t="s">
        <v>399</v>
      </c>
      <c r="C65" t="s">
        <v>400</v>
      </c>
    </row>
    <row r="66" spans="2:3" ht="14" x14ac:dyDescent="0.3">
      <c r="B66" s="4" t="s">
        <v>401</v>
      </c>
      <c r="C66" t="s">
        <v>402</v>
      </c>
    </row>
    <row r="67" spans="2:3" ht="14" x14ac:dyDescent="0.3">
      <c r="B67" s="4" t="s">
        <v>403</v>
      </c>
      <c r="C67"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2026-09-05T09:23:25Z</dcterms:created>
  <dcterms:modified xsi:type="dcterms:W3CDTF">2026-09-05T09:34:11Z</dcterms:modified>
</cp:coreProperties>
</file>