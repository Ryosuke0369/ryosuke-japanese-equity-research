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4D91A354-358F-4397-8641-021EAD83E9B9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F16" i="6" s="1"/>
  <c r="C28" i="6" s="1"/>
  <c r="C19" i="1" s="1"/>
  <c r="D19" i="1" s="1"/>
  <c r="K8" i="6"/>
  <c r="J8" i="6"/>
  <c r="D16" i="6" s="1"/>
  <c r="C27" i="6" s="1"/>
  <c r="C18" i="1" s="1"/>
  <c r="D18" i="1" s="1"/>
  <c r="O7" i="6"/>
  <c r="N7" i="6"/>
  <c r="M7" i="6"/>
  <c r="L7" i="6"/>
  <c r="K7" i="6"/>
  <c r="J7" i="6"/>
  <c r="O6" i="6"/>
  <c r="N6" i="6"/>
  <c r="M6" i="6"/>
  <c r="K6" i="6"/>
  <c r="J6" i="6"/>
  <c r="O5" i="6"/>
  <c r="N5" i="6"/>
  <c r="D5" i="6"/>
  <c r="E5" i="6" s="1"/>
  <c r="J5" i="6" s="1"/>
  <c r="C16" i="5"/>
  <c r="C14" i="5"/>
  <c r="C7" i="5"/>
  <c r="C6" i="5"/>
  <c r="C5" i="5"/>
  <c r="C13" i="4"/>
  <c r="C12" i="4"/>
  <c r="C9" i="4"/>
  <c r="C7" i="4"/>
  <c r="C6" i="4"/>
  <c r="C8" i="4" s="1"/>
  <c r="C10" i="4" s="1"/>
  <c r="D27" i="3"/>
  <c r="H6" i="5" s="1"/>
  <c r="C25" i="3"/>
  <c r="C24" i="3"/>
  <c r="C23" i="3"/>
  <c r="F28" i="2"/>
  <c r="E28" i="2"/>
  <c r="D28" i="2"/>
  <c r="C28" i="2"/>
  <c r="F23" i="2"/>
  <c r="E23" i="2"/>
  <c r="D23" i="2"/>
  <c r="C23" i="2"/>
  <c r="F21" i="2"/>
  <c r="F22" i="2" s="1"/>
  <c r="E21" i="2"/>
  <c r="E22" i="2" s="1"/>
  <c r="D21" i="2"/>
  <c r="D22" i="2" s="1"/>
  <c r="C21" i="2"/>
  <c r="C22" i="2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D9" i="2"/>
  <c r="F8" i="2"/>
  <c r="F9" i="2" s="1"/>
  <c r="E8" i="2"/>
  <c r="E9" i="2" s="1"/>
  <c r="D8" i="2"/>
  <c r="C8" i="2"/>
  <c r="C9" i="2" s="1"/>
  <c r="D32" i="3" l="1"/>
  <c r="E15" i="6"/>
  <c r="L5" i="6"/>
  <c r="D30" i="3"/>
  <c r="D7" i="5"/>
  <c r="F30" i="3"/>
  <c r="E7" i="5"/>
  <c r="C6" i="7"/>
  <c r="E6" i="5"/>
  <c r="C74" i="4"/>
  <c r="D17" i="6"/>
  <c r="G15" i="6"/>
  <c r="F6" i="7"/>
  <c r="H5" i="5"/>
  <c r="K5" i="6"/>
  <c r="C30" i="3"/>
  <c r="C33" i="3" s="1"/>
  <c r="D9" i="5" s="1"/>
  <c r="D12" i="5" s="1"/>
  <c r="F31" i="3"/>
  <c r="G7" i="5"/>
  <c r="G31" i="3"/>
  <c r="C18" i="5"/>
  <c r="G6" i="7"/>
  <c r="C71" i="4"/>
  <c r="C70" i="4"/>
  <c r="E17" i="6"/>
  <c r="G17" i="6"/>
  <c r="C42" i="3"/>
  <c r="H15" i="6"/>
  <c r="H16" i="6"/>
  <c r="H17" i="6"/>
  <c r="I16" i="6"/>
  <c r="I17" i="6"/>
  <c r="I15" i="6"/>
  <c r="E16" i="6"/>
  <c r="G16" i="6"/>
  <c r="C26" i="3"/>
  <c r="F15" i="6"/>
  <c r="E31" i="3"/>
  <c r="G5" i="5"/>
  <c r="I6" i="7"/>
  <c r="F17" i="6"/>
  <c r="C17" i="7"/>
  <c r="D17" i="7"/>
  <c r="E30" i="3"/>
  <c r="C32" i="3"/>
  <c r="C37" i="3" s="1"/>
  <c r="D6" i="5"/>
  <c r="F7" i="5"/>
  <c r="M5" i="6"/>
  <c r="D15" i="6"/>
  <c r="D6" i="7"/>
  <c r="E17" i="7"/>
  <c r="E6" i="7"/>
  <c r="F17" i="7"/>
  <c r="G30" i="3"/>
  <c r="E32" i="3"/>
  <c r="D5" i="5"/>
  <c r="F6" i="5"/>
  <c r="H7" i="5"/>
  <c r="G17" i="7"/>
  <c r="H17" i="7"/>
  <c r="C31" i="3"/>
  <c r="C34" i="3" s="1"/>
  <c r="F32" i="3"/>
  <c r="E5" i="5"/>
  <c r="G6" i="5"/>
  <c r="D31" i="3"/>
  <c r="G32" i="3"/>
  <c r="F5" i="5"/>
  <c r="E33" i="3" l="1"/>
  <c r="F9" i="5" s="1"/>
  <c r="F12" i="5" s="1"/>
  <c r="D33" i="3"/>
  <c r="D10" i="5"/>
  <c r="C35" i="3"/>
  <c r="E37" i="3"/>
  <c r="F33" i="3"/>
  <c r="C3" i="7"/>
  <c r="F36" i="4"/>
  <c r="F46" i="3"/>
  <c r="E46" i="3"/>
  <c r="E36" i="4"/>
  <c r="D36" i="4"/>
  <c r="D46" i="3"/>
  <c r="G36" i="4"/>
  <c r="C11" i="4"/>
  <c r="C24" i="4" s="1"/>
  <c r="C25" i="4" s="1"/>
  <c r="G46" i="3"/>
  <c r="C46" i="3"/>
  <c r="H36" i="4"/>
  <c r="E34" i="3" l="1"/>
  <c r="F10" i="5" s="1"/>
  <c r="E35" i="3"/>
  <c r="E39" i="3" s="1"/>
  <c r="E9" i="5"/>
  <c r="E12" i="5" s="1"/>
  <c r="D42" i="3"/>
  <c r="D37" i="3"/>
  <c r="E42" i="3"/>
  <c r="D34" i="3"/>
  <c r="E43" i="4"/>
  <c r="E46" i="4"/>
  <c r="E40" i="4"/>
  <c r="E38" i="4"/>
  <c r="E39" i="4"/>
  <c r="E45" i="4"/>
  <c r="E44" i="4"/>
  <c r="E41" i="4"/>
  <c r="E51" i="4" s="1"/>
  <c r="E56" i="4" s="1"/>
  <c r="E38" i="3"/>
  <c r="E36" i="3"/>
  <c r="F46" i="4"/>
  <c r="F40" i="4"/>
  <c r="F44" i="4"/>
  <c r="F41" i="4"/>
  <c r="F43" i="4"/>
  <c r="F45" i="4"/>
  <c r="F38" i="4"/>
  <c r="F39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36" i="3"/>
  <c r="C39" i="3"/>
  <c r="C38" i="3"/>
  <c r="H44" i="4"/>
  <c r="H38" i="4"/>
  <c r="H41" i="4"/>
  <c r="H39" i="4"/>
  <c r="H40" i="4"/>
  <c r="H46" i="4"/>
  <c r="H43" i="4"/>
  <c r="H45" i="4"/>
  <c r="F37" i="3"/>
  <c r="F42" i="3"/>
  <c r="F34" i="3"/>
  <c r="G10" i="5" s="1"/>
  <c r="G33" i="3"/>
  <c r="G9" i="5"/>
  <c r="G12" i="5" s="1"/>
  <c r="C29" i="4"/>
  <c r="C26" i="4"/>
  <c r="C27" i="4"/>
  <c r="F13" i="5"/>
  <c r="F14" i="5" s="1"/>
  <c r="F15" i="5"/>
  <c r="F16" i="5" s="1"/>
  <c r="G40" i="4"/>
  <c r="G44" i="4"/>
  <c r="G38" i="4"/>
  <c r="G45" i="4"/>
  <c r="G46" i="4"/>
  <c r="G41" i="4"/>
  <c r="G51" i="4" s="1"/>
  <c r="G56" i="4" s="1"/>
  <c r="G39" i="4"/>
  <c r="G49" i="4" s="1"/>
  <c r="G54" i="4" s="1"/>
  <c r="G43" i="4"/>
  <c r="D39" i="4"/>
  <c r="D43" i="4"/>
  <c r="D46" i="4"/>
  <c r="D44" i="4"/>
  <c r="D45" i="4"/>
  <c r="D41" i="4"/>
  <c r="D40" i="4"/>
  <c r="D50" i="4" s="1"/>
  <c r="D55" i="4" s="1"/>
  <c r="D38" i="4"/>
  <c r="D48" i="4" s="1"/>
  <c r="D53" i="4" s="1"/>
  <c r="D13" i="5"/>
  <c r="D14" i="5" s="1"/>
  <c r="D15" i="5"/>
  <c r="D16" i="5" s="1"/>
  <c r="D35" i="3" l="1"/>
  <c r="E10" i="5"/>
  <c r="F18" i="5"/>
  <c r="F50" i="4"/>
  <c r="F55" i="4" s="1"/>
  <c r="H50" i="4"/>
  <c r="H55" i="4" s="1"/>
  <c r="E48" i="4"/>
  <c r="E53" i="4" s="1"/>
  <c r="D18" i="5"/>
  <c r="D19" i="5" s="1"/>
  <c r="C44" i="3" s="1"/>
  <c r="F49" i="4"/>
  <c r="F54" i="4" s="1"/>
  <c r="B78" i="4" s="1"/>
  <c r="E50" i="4"/>
  <c r="E55" i="4" s="1"/>
  <c r="H49" i="4"/>
  <c r="H54" i="4" s="1"/>
  <c r="D49" i="4"/>
  <c r="D54" i="4" s="1"/>
  <c r="G50" i="4"/>
  <c r="G55" i="4" s="1"/>
  <c r="C40" i="3"/>
  <c r="C41" i="3" s="1"/>
  <c r="C45" i="3" s="1"/>
  <c r="E49" i="4"/>
  <c r="E54" i="4" s="1"/>
  <c r="C16" i="4"/>
  <c r="C28" i="4" s="1"/>
  <c r="G37" i="3"/>
  <c r="G34" i="3"/>
  <c r="H10" i="5" s="1"/>
  <c r="G42" i="3"/>
  <c r="C72" i="4" s="1"/>
  <c r="H9" i="5"/>
  <c r="H12" i="5" s="1"/>
  <c r="D51" i="4"/>
  <c r="D56" i="4" s="1"/>
  <c r="H51" i="4"/>
  <c r="H56" i="4" s="1"/>
  <c r="F48" i="4"/>
  <c r="F53" i="4" s="1"/>
  <c r="E40" i="3"/>
  <c r="E41" i="3" s="1"/>
  <c r="G15" i="5"/>
  <c r="G16" i="5" s="1"/>
  <c r="G13" i="5"/>
  <c r="G14" i="5" s="1"/>
  <c r="G18" i="5" s="1"/>
  <c r="G19" i="5" s="1"/>
  <c r="F44" i="3" s="1"/>
  <c r="F35" i="3"/>
  <c r="H48" i="4"/>
  <c r="H53" i="4" s="1"/>
  <c r="G48" i="4"/>
  <c r="G53" i="4" s="1"/>
  <c r="F51" i="4"/>
  <c r="F56" i="4" s="1"/>
  <c r="C60" i="4" l="1"/>
  <c r="C63" i="4" s="1"/>
  <c r="D63" i="4" s="1"/>
  <c r="E13" i="5"/>
  <c r="E14" i="5" s="1"/>
  <c r="E15" i="5"/>
  <c r="E16" i="5" s="1"/>
  <c r="D39" i="3"/>
  <c r="D36" i="3"/>
  <c r="D38" i="3"/>
  <c r="H13" i="5"/>
  <c r="H14" i="5" s="1"/>
  <c r="H18" i="5" s="1"/>
  <c r="H19" i="5" s="1"/>
  <c r="G44" i="3" s="1"/>
  <c r="H15" i="5"/>
  <c r="H16" i="5" s="1"/>
  <c r="F39" i="3"/>
  <c r="F38" i="3"/>
  <c r="F36" i="3"/>
  <c r="G35" i="3"/>
  <c r="C64" i="4"/>
  <c r="D64" i="4" s="1"/>
  <c r="C67" i="4"/>
  <c r="D67" i="4" s="1"/>
  <c r="C47" i="3"/>
  <c r="C65" i="4" l="1"/>
  <c r="D65" i="4" s="1"/>
  <c r="C73" i="4"/>
  <c r="E18" i="5"/>
  <c r="D40" i="3"/>
  <c r="D41" i="3"/>
  <c r="C66" i="4"/>
  <c r="D66" i="4" s="1"/>
  <c r="G38" i="3"/>
  <c r="G36" i="3"/>
  <c r="G39" i="3"/>
  <c r="F40" i="3"/>
  <c r="F41" i="3" s="1"/>
  <c r="F45" i="3" s="1"/>
  <c r="E19" i="5" l="1"/>
  <c r="D44" i="3" s="1"/>
  <c r="D45" i="3" s="1"/>
  <c r="F19" i="5"/>
  <c r="E44" i="3" s="1"/>
  <c r="E45" i="3" s="1"/>
  <c r="E47" i="3" s="1"/>
  <c r="F47" i="3"/>
  <c r="G40" i="3"/>
  <c r="G41" i="3" s="1"/>
  <c r="G45" i="3" s="1"/>
  <c r="C59" i="3"/>
  <c r="C60" i="3" s="1"/>
  <c r="C61" i="3" s="1"/>
  <c r="D47" i="3" l="1"/>
  <c r="E9" i="7"/>
  <c r="I9" i="7"/>
  <c r="D21" i="7"/>
  <c r="D11" i="7"/>
  <c r="E11" i="7"/>
  <c r="D23" i="7"/>
  <c r="F9" i="7"/>
  <c r="H20" i="7"/>
  <c r="C10" i="7"/>
  <c r="E18" i="7"/>
  <c r="D7" i="7"/>
  <c r="C19" i="7"/>
  <c r="H23" i="7"/>
  <c r="I22" i="7"/>
  <c r="E7" i="7"/>
  <c r="H22" i="7"/>
  <c r="F8" i="7"/>
  <c r="G9" i="7"/>
  <c r="C8" i="7"/>
  <c r="F21" i="7"/>
  <c r="F22" i="7"/>
  <c r="E13" i="7"/>
  <c r="G10" i="7"/>
  <c r="E22" i="7"/>
  <c r="D13" i="7"/>
  <c r="F10" i="7"/>
  <c r="D10" i="7"/>
  <c r="F20" i="7"/>
  <c r="C20" i="7"/>
  <c r="C51" i="3"/>
  <c r="C52" i="3" s="1"/>
  <c r="G47" i="3"/>
  <c r="D22" i="7"/>
  <c r="H12" i="7"/>
  <c r="F19" i="7"/>
  <c r="G22" i="7"/>
  <c r="I10" i="7"/>
  <c r="F11" i="7"/>
  <c r="G21" i="7"/>
  <c r="G24" i="7"/>
  <c r="I12" i="7"/>
  <c r="F13" i="7"/>
  <c r="F12" i="7"/>
  <c r="F7" i="7"/>
  <c r="H21" i="7"/>
  <c r="I24" i="7"/>
  <c r="G12" i="7"/>
  <c r="I11" i="7"/>
  <c r="G23" i="7"/>
  <c r="C24" i="7"/>
  <c r="H18" i="7"/>
  <c r="I13" i="7"/>
  <c r="G7" i="7"/>
  <c r="F23" i="7"/>
  <c r="G18" i="7"/>
  <c r="H11" i="7"/>
  <c r="E24" i="7"/>
  <c r="C9" i="7"/>
  <c r="C12" i="7"/>
  <c r="H24" i="7"/>
  <c r="C23" i="7"/>
  <c r="G13" i="7"/>
  <c r="D18" i="7"/>
  <c r="H8" i="7"/>
  <c r="C7" i="7"/>
  <c r="H19" i="7"/>
  <c r="H13" i="7"/>
  <c r="E12" i="7"/>
  <c r="F24" i="7"/>
  <c r="D12" i="7"/>
  <c r="C22" i="7"/>
  <c r="C18" i="7"/>
  <c r="G8" i="7"/>
  <c r="I23" i="7"/>
  <c r="F18" i="7"/>
  <c r="G19" i="7"/>
  <c r="D24" i="7"/>
  <c r="I18" i="7"/>
  <c r="C13" i="7"/>
  <c r="H7" i="7"/>
  <c r="D8" i="7"/>
  <c r="I20" i="7"/>
  <c r="D19" i="7"/>
  <c r="H9" i="7"/>
  <c r="I19" i="7"/>
  <c r="E20" i="7"/>
  <c r="E23" i="7"/>
  <c r="D9" i="7"/>
  <c r="I21" i="7"/>
  <c r="D20" i="7"/>
  <c r="H10" i="7"/>
  <c r="I8" i="7"/>
  <c r="G20" i="7"/>
  <c r="G11" i="7"/>
  <c r="E8" i="7"/>
  <c r="C11" i="7"/>
  <c r="E19" i="7"/>
  <c r="I7" i="7"/>
  <c r="E10" i="7"/>
  <c r="C21" i="7"/>
  <c r="E21" i="7"/>
  <c r="C50" i="3"/>
  <c r="C58" i="3" l="1"/>
  <c r="C62" i="3" s="1"/>
  <c r="C53" i="3"/>
  <c r="C17" i="4" l="1"/>
  <c r="C54" i="3"/>
  <c r="C55" i="3" s="1"/>
  <c r="C16" i="1" s="1"/>
  <c r="C63" i="3"/>
  <c r="C64" i="3" s="1"/>
  <c r="C17" i="1" s="1"/>
  <c r="D17" i="1" s="1"/>
  <c r="C19" i="4" l="1"/>
  <c r="C20" i="4" s="1"/>
  <c r="B79" i="4"/>
  <c r="C21" i="1"/>
  <c r="C10" i="1"/>
  <c r="C12" i="1" s="1"/>
  <c r="C11" i="1" s="1"/>
  <c r="D16" i="1"/>
</calcChain>
</file>

<file path=xl/sharedStrings.xml><?xml version="1.0" encoding="utf-8"?>
<sst xmlns="http://schemas.openxmlformats.org/spreadsheetml/2006/main" count="514" uniqueCount="399">
  <si>
    <t>DISCLAIMER: This is a sample analysis for demonstration purposes only. It does not constitute investment advice.</t>
  </si>
  <si>
    <t>関西電力 (9503.T)</t>
  </si>
  <si>
    <t>Equity Research Report</t>
  </si>
  <si>
    <t>Company</t>
  </si>
  <si>
    <t>関西電力</t>
  </si>
  <si>
    <t>Ticker</t>
  </si>
  <si>
    <t>9503.T (TSE Prime)</t>
  </si>
  <si>
    <t>Sector</t>
  </si>
  <si>
    <t>電気・ガス業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</si>
  <si>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</si>
  <si>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</si>
  <si>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</si>
  <si>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</si>
  <si>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</si>
  <si>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</si>
  <si>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</si>
  <si>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</si>
  <si>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</si>
  <si>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</si>
  <si>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</si>
  <si>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</si>
  <si>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</si>
  <si>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</si>
  <si>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</si>
  <si>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</si>
  <si>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</si>
  <si>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</si>
  <si>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</si>
  <si>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</si>
  <si>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</si>
  <si>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</si>
  <si>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関西電力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</si>
  <si>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</si>
  <si>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</si>
  <si>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</si>
  <si>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</si>
  <si>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</si>
  <si>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</si>
  <si>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</si>
  <si>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</si>
  <si>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</si>
  <si>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</si>
  <si>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</si>
  <si>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</si>
  <si>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</si>
  <si>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</si>
  <si>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</si>
  <si>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</si>
  <si>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</si>
  <si>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</si>
  <si>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</si>
  <si>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</si>
  <si>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</si>
  <si>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</si>
  <si>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</si>
  <si>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</si>
  <si>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</si>
  <si>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</si>
  <si>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</si>
  <si>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4/4 — blank cells are years with no year-key match in the source data (verify against 決算短信 or set hist_ocf / hist_cash / hist_debt in overrides).</t>
  </si>
  <si>
    <t>DCF Valuation Model - 関西電力</t>
  </si>
  <si>
    <t>Assumptions</t>
  </si>
  <si>
    <t>Capex / Revenue (hist 3yr avg, 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</si>
  <si>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</si>
  <si>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</si>
  <si>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</si>
  <si>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</si>
  <si>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</si>
  <si>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</si>
  <si>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</si>
  <si>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</si>
  <si>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</si>
  <si>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</si>
  <si>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</si>
  <si>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</si>
  <si>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</si>
  <si>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</si>
  <si>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</si>
  <si>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</si>
  <si>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</si>
  <si>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</si>
  <si>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</si>
  <si>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</si>
  <si>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</si>
  <si>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</si>
  <si>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</si>
  <si>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</si>
  <si>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</si>
  <si>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</si>
  <si>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</si>
  <si>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</si>
  <si>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</si>
  <si>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</si>
  <si>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</si>
  <si>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</si>
  <si>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</si>
  <si>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</si>
  <si>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</si>
  <si>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</si>
  <si>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</si>
  <si>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</si>
  <si>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</si>
  <si>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</si>
  <si>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</si>
  <si>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</si>
  <si>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</si>
  <si>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</si>
  <si>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</si>
  <si>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</si>
  <si>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</si>
  <si>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</si>
  <si>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</si>
  <si>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</si>
  <si>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</si>
  <si>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</si>
  <si>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</si>
  <si>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</si>
  <si>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</si>
  <si>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</si>
  <si>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</si>
  <si>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</si>
  <si>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</si>
  <si>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</si>
  <si>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</si>
  <si>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</si>
  <si>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関西電力 (9503.T)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</si>
  <si>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</si>
  <si>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</si>
  <si>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</si>
  <si>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</si>
  <si>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</si>
  <si>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</si>
  <si>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</si>
  <si>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</si>
  <si>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</si>
  <si>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</si>
  <si>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</si>
  <si>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</si>
  <si>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</si>
  <si>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</si>
  <si>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</si>
  <si>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</si>
  <si>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</si>
  <si>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</si>
  <si>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</si>
  <si>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</si>
  <si>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</si>
  <si>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</si>
  <si>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</si>
  <si>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</si>
  <si>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</si>
  <si>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</si>
  <si>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</si>
  <si>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</si>
  <si>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</si>
  <si>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</si>
  <si>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</si>
  <si>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</si>
  <si>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</si>
  <si>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</si>
  <si>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</si>
  <si>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</si>
  <si>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</si>
  <si>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</si>
  <si>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</si>
  <si>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</si>
  <si>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</si>
  <si>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</si>
  <si>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</si>
  <si>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</si>
  <si>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</si>
  <si>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</si>
  <si>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</si>
  <si>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</si>
  <si>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</si>
  <si>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</si>
  <si>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</si>
  <si>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関西電力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</si>
  <si>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</si>
  <si>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</si>
  <si>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</si>
  <si>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</si>
  <si>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</si>
  <si>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</si>
  <si>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</si>
  <si>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</si>
  <si>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</si>
  <si>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</si>
  <si>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</si>
  <si>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</si>
  <si>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</si>
  <si>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</si>
  <si>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</si>
  <si>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</si>
  <si>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</si>
  <si>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</si>
  <si>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</si>
  <si>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</si>
  <si>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</si>
  <si>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</si>
  <si>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</si>
  <si>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</si>
  <si>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</si>
  <si>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</si>
  <si>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</si>
  <si>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</si>
  <si>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</si>
  <si>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</si>
  <si>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</si>
  <si>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</si>
  <si>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</si>
  <si>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</si>
  <si>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The Kansai Electric Power Company, Incorporated</t>
  </si>
  <si>
    <t>9503.T</t>
  </si>
  <si>
    <t>Tokyo Electric Power Company Holdings, Incorporated</t>
  </si>
  <si>
    <t>9501.T</t>
  </si>
  <si>
    <t>N/A</t>
  </si>
  <si>
    <t>Chubu Electric Power Company, Incorporated</t>
  </si>
  <si>
    <t>9502.T</t>
  </si>
  <si>
    <t>Kyushu Electric Power Company, Incorporated</t>
  </si>
  <si>
    <t>9508.T</t>
  </si>
  <si>
    <t>Tohoku Electric Power Company, Incorporated</t>
  </si>
  <si>
    <t>9506.T</t>
  </si>
  <si>
    <t>Shikoku Electric Power Company, Incorporated</t>
  </si>
  <si>
    <t>9507.T</t>
  </si>
  <si>
    <t>Statistics</t>
  </si>
  <si>
    <t>25th Percentile</t>
  </si>
  <si>
    <t>Median (50th)</t>
  </si>
  <si>
    <t>75th Percentile</t>
  </si>
  <si>
    <t>Implied Valuation for 関西電力</t>
  </si>
  <si>
    <t>関西電力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</si>
  <si>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</si>
  <si>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</si>
  <si>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</si>
  <si>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</si>
  <si>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</si>
  <si>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</si>
  <si>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</si>
  <si>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</si>
  <si>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</si>
  <si>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</si>
  <si>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</si>
  <si>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</si>
  <si>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</si>
  <si>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</si>
  <si>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</si>
  <si>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関西電力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</si>
  <si>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</si>
  <si>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</si>
  <si>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</si>
  <si>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</si>
  <si>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</si>
  <si>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</si>
  <si>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</si>
  <si>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</si>
  <si>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12:17, template rev c9b5dd9</t>
  </si>
  <si>
    <t>初期生成（手修正なし）</t>
  </si>
  <si>
    <t>generated</t>
  </si>
  <si>
    <t>2026-09-05</t>
  </si>
  <si>
    <t>DCF Model!C7</t>
  </si>
  <si>
    <t>Risk-Free Rate = 2.97%</t>
  </si>
  <si>
    <t>財務省 国債金利情報 jgbcm.csv 10年物 R8.9.3(2026-09-03) 2.966% を四捨五入。バッチ全銘柄共通の一次ソース。yfinance は日本国債利回りを返さないため使用しない。</t>
  </si>
  <si>
    <t>テンプレ既定 2.2%</t>
  </si>
  <si>
    <t>確定</t>
  </si>
  <si>
    <t>DCF Model!C9</t>
  </si>
  <si>
    <t>Equity Risk Premium = 6.5%</t>
  </si>
  <si>
    <t>バッチ共通の固定前提(v2 §1-3)。銘柄固有の調整はしていない。</t>
  </si>
  <si>
    <t>テンプレ既定 6.5%(同値)</t>
  </si>
  <si>
    <t>設計判断</t>
  </si>
  <si>
    <t>DCF Model!C10</t>
  </si>
  <si>
    <t>Size Premium = 1.0%</t>
  </si>
  <si>
    <t>時価総額バンドによる機械決定(&gt;3,000億円 -&gt; 1.0%)。当社時価総額 3,283,105百万円。■テンプレートの自動規則(&gt;=1兆円 -&gt; 0.0%、&gt;=1,000億円 -&gt; 1.5%)とは異なる値であり、明示指定で上書きしている。</t>
  </si>
  <si>
    <t>テンプレ自動値</t>
  </si>
  <si>
    <t>DCF Model!C8</t>
  </si>
  <si>
    <t>Beta = 0.60</t>
  </si>
  <si>
    <t>yfinance実測 **0.216** はクランプ下限 0.60 を下回るため、追補1 §A の規則 max(0.6, min(1.75, 実測)) により **0.60 を明示指定**した。テンプレの無言の 1.0 置換は起きていない。実測ベースより WACC は保守的に出る。</t>
  </si>
  <si>
    <t>yfinance実測 0.216</t>
  </si>
  <si>
    <t>設計判断(クランプ下限を採用)</t>
  </si>
  <si>
    <t>DCF Model!C6</t>
  </si>
  <si>
    <t>Effective Tax Rate = 25%</t>
  </si>
  <si>
    <t>バッチ共通の既定値(v2 §1-3)。当社の実績税負担率を個別に検証したものではない。</t>
  </si>
  <si>
    <t>テンプレ既定 30%</t>
  </si>
  <si>
    <t>推定</t>
  </si>
  <si>
    <t>DCF Model!C11</t>
  </si>
  <si>
    <t>After-tax Cost of Debt = 1.13%(実績ベース)</t>
  </si>
  <si>
    <t>支払利息 42,684百万円 ÷ 平均有利子負債 ((3,906,823 + 3,674,835)/2) から算出（validate チェック17 PASS）。■出所は yfinance の Interest Expense で EDINET 有報の支払利息と未突合。</t>
  </si>
  <si>
    <t>テンプレ既定(推定値)</t>
  </si>
  <si>
    <t>推定(出所が二次ソース・要確認)</t>
  </si>
  <si>
    <t>DCF Model!C13</t>
  </si>
  <si>
    <t>Terminal Growth = 1.0%</t>
  </si>
  <si>
    <t>バッチ共通の固定前提(v2 §1-3)。</t>
  </si>
  <si>
    <t>テンプレ既定 2.0%</t>
  </si>
  <si>
    <t>DCF Model!C14</t>
  </si>
  <si>
    <t>Exit Multiple (EV/EBITDA) = 8.7x</t>
  </si>
  <si>
    <t>Peer 5社の実測EV/EBITDA中央値。 自社の現在倍率 7.66x は算式に入れていない(市場価格への循環参照回避)。■マージン品質調整式はバッチ全体で棄却済み(EV/EBITDA が既に資本集約度を織り込むため、営業利益率による上方調整は資本集約型で逆方向に働く)。</t>
  </si>
  <si>
    <t>テンプレ既定 10.0x</t>
  </si>
  <si>
    <t>全体(型判定・プレスクリーン)</t>
  </si>
  <si>
    <t>**型B**（観測窓に赤字年あり）として処理</t>
  </si>
  <si>
    <t>追補1 §B に従い、型判定の前に batch/prescreen.py で EDINET有報XBRL の金融事業専用科目(ForFinancialBusiness / Banking / Deposits / CallLoan / InstallmentReceivable 系)を機械チェックした。検出結果: **CLEAN**（金融事業専用科目は1件も検出されず）。銀行・captive finance なし。プレスクリーン CLEAN。**FY2023/3 に営業赤字 −1.32% があり型B に該当**。</t>
  </si>
  <si>
    <t>DCF Model シナリオ5本</t>
  </si>
  <si>
    <t>実績OPM分布からの導出（追補7 §Y の単調性判定: **非単調**）</t>
  </si>
  <si>
    <t>min −1.32 / p25 7.76 / med 10.80 / p75 12.60 / max 17.96。**FY2023/3 に営業赤字 −1.32% があり型B に該当**。■ただし §4-4 のピーク・トラフ中間 (17.96 + (−1.32))/2 = 8.32% は採らない。**赤字はエネルギー価格高騰と燃料費調整のタイムラグによる一過性**であり、本バッチで確立した先例（4005 / 7013：トラフが減損・一過性の年の場合は §4-4 を (直近 + 中央値)/2 に置き換える）を適用して **Base 到達 = (10.79 + 10.80)/2 = 10.80%** とした。結果的に中央値と一致する。■Upside = p75 の 12.60%。Downside 1 = p25 の 7.76%。Downside 2 は 売上 −8% + OPM 3.0〜5.5%（再度の燃料費高騰局面）。COGS% は直近実績 **82.0%** 固定・SGA% 逆算。</t>
  </si>
  <si>
    <t>テンプレ自動生成シナリオ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</si>
  <si>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</si>
  <si>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</si>
  <si>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found')。v2 §7-2 に従い Management=Base で続行。■本バッチではここまで生成した全銘柄で同じ結果になっており、銘柄固有ではなくパイプラインの構造的な取得失敗である。</t>
  </si>
  <si>
    <t>フォールバック使用(会社予想未取得)</t>
  </si>
  <si>
    <t>DCF Model NWC(dso/dih/dpo)</t>
  </si>
  <si>
    <t>Base: DSO 38 / DIH 28 / DPO 20 日</t>
  </si>
  <si>
    <t>実績4期の平均。Downside では運転資本の悪化を織り込み DSO/DIH を延ばし DPO を縮めた。</t>
  </si>
  <si>
    <t>Comps Analysis</t>
  </si>
  <si>
    <t>Peer 5社 = 9501 東京電力HD / 9502 中部電力 / 9508 九州電力 / 9506 東北電力 / 9507 四国電力</t>
  </si>
  <si>
    <t>大手電力で事業比較可能性を優先。9502/9503 は相互に Peer。</t>
  </si>
  <si>
    <t>Executive Summary!C10 / Target</t>
  </si>
  <si>
    <t>Target Price = 4,386円 = PGM 5,000円 と Exit 3,772円 の2本平均。Comps 2本(EV/EBITDA —円 / PER —円)は [参考・Target不算入]</t>
  </si>
  <si>
    <t>メモ§2 の規約どおり。validate チェック14 PASS(C10 が C16:C17 のみを平均)。</t>
  </si>
  <si>
    <t>全体(納品状態)</t>
  </si>
  <si>
    <t>本ファイルは DRAFT。_FINAL は付けない</t>
  </si>
  <si>
    <t>バッチモードでの機械生成物であり人間の検証を経ていない。FINAL化は手順書v2 §6 に従い検証後に行う。</t>
  </si>
  <si>
    <t>DRAFT</t>
  </si>
  <si>
    <t>全体(未解決)</t>
  </si>
  <si>
    <t>**FY2023/3 の営業赤字を一過性と判断した根拠が推定である**</t>
  </si>
  <si>
    <t>エネルギー価格高騰と燃料費調整制度のタイムラグによるものと判断し §4-4 ではなく (直近+中央値)/2 を適用したが、**一次ソースで赤字の内訳を確認していない**。構造的なコスト増が含まれるなら Base 10.80% は楽観。</t>
  </si>
  <si>
    <t>未解決</t>
  </si>
  <si>
    <t>**追補8 §AG の低WACC要検証に該当（WACC 4.55%）**</t>
  </si>
  <si>
    <t>beta 実測 0.216 → クランプ 0.60、負債ウェイト 53%、税引後Kd 1.13%。FINAL化時に beta・D/E・Kd の再導出を必須とする。</t>
  </si>
  <si>
    <t>原子力発電の再稼働・廃炉費用が本モデルに織り込まれていない</t>
  </si>
  <si>
    <t>D&amp;A の定義差（上記）も原子力関連の償却に起因する可能性がある。稼働率前提は Base に明示的に入っていない。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</si>
  <si>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</si>
  <si>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</si>
  <si>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</si>
  <si>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</si>
  <si>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</si>
  <si>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</si>
  <si>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hist_3yr_avg</t>
  </si>
  <si>
    <t>capex_pct_c5</t>
  </si>
  <si>
    <t>0.1216</t>
  </si>
  <si>
    <t>capex_pct_hist3yr</t>
  </si>
  <si>
    <t>0.121561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</si>
  <si>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</si>
  <si>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</si>
  <si>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</si>
  <si>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</si>
  <si>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</si>
  <si>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</si>
  <si>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</si>
  <si>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</si>
  <si>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</si>
  <si>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</si>
  <si>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</si>
  <si>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</si>
  <si>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</si>
  <si>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</si>
  <si>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</si>
  <si>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</si>
  <si>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</si>
  <si>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</si>
  <si>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</si>
  <si>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42,684 (expense 42,684 + fees 0) / avg debt 3,790,829 (debt_beginning/debt_ending) = 0.011260 pre-tax -&gt; 0.008400 after-tax</t>
  </si>
  <si>
    <t>cost_of_debt_at_c11</t>
  </si>
  <si>
    <t>0.0084</t>
  </si>
  <si>
    <t>cost_of_debt_avg_debt</t>
  </si>
  <si>
    <t>3790829.0</t>
  </si>
  <si>
    <t>cost_of_debt_basis</t>
  </si>
  <si>
    <t>actual</t>
  </si>
  <si>
    <t>cost_of_debt_interest</t>
  </si>
  <si>
    <t>42684.0</t>
  </si>
  <si>
    <t>cost_of_debt_pretax</t>
  </si>
  <si>
    <t>0.01125980623235709</t>
  </si>
  <si>
    <t>da_pct_basis</t>
  </si>
  <si>
    <t>assumption</t>
  </si>
  <si>
    <t>da_pct_c18</t>
  </si>
  <si>
    <t>0.0924</t>
  </si>
  <si>
    <t>da_pct_hist3yr</t>
  </si>
  <si>
    <t>0.080176</t>
  </si>
  <si>
    <t>fs_year_coverage</t>
  </si>
  <si>
    <t>OCF 4/4, Cash 4/4, Debt 4/4</t>
  </si>
  <si>
    <t>fs_year_map</t>
  </si>
  <si>
    <t>FY2023&lt;-FY2023[ocf+cash+debt];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</si>
  <si>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</si>
  <si>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</si>
  <si>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</si>
  <si>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</si>
  <si>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</si>
  <si>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12:17:25</t>
  </si>
  <si>
    <t>ltm_revenue_c20</t>
  </si>
  <si>
    <t>4056638.0</t>
  </si>
  <si>
    <t>ltm_revenue_source</t>
  </si>
  <si>
    <t>latest FY (no LTM)</t>
  </si>
  <si>
    <t>narrative_tokens_used</t>
  </si>
  <si>
    <t>reverse_dcf_sheet</t>
  </si>
  <si>
    <t>op0=437,557(FY2026) peak=728,936(FY2024) peak_opm=0.1796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</si>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</sst>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6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7" t="s">
        <v>0</v>
      </c>
      <c r="C1" s="46"/>
      <c r="D1" s="46"/>
      <c r="E1" s="46"/>
    </row>
    <row r="3" spans="2:5" ht="18" customHeight="1" x14ac:dyDescent="0.4">
      <c r="B3" s="45" t="s">
        <v>1</v>
      </c>
      <c r="C3" s="46"/>
      <c r="D3" s="46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2947</v>
      </c>
    </row>
    <row r="10" spans="2:5" ht="14" customHeight="1" x14ac:dyDescent="0.3">
      <c r="B10" s="4" t="s">
        <v>10</v>
      </c>
      <c r="C10" s="5">
        <f>IF(COUNT(C16:C17)=0,"N/A",ROUND(AVERAGE(C16:C17),0))</f>
        <v>4386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0.48829317950458095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5000</v>
      </c>
      <c r="D16" s="7">
        <f>IF(ISNUMBER(C16),(C16-C9)/C9,"N/A")</f>
        <v>0.6966406515100102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3772</v>
      </c>
      <c r="D17" s="7">
        <f>IF(ISNUMBER(C17),(C17-C9)/C9,"N/A")</f>
        <v>0.27994570749915165</v>
      </c>
    </row>
    <row r="18" spans="2:5" ht="13.5" customHeight="1" x14ac:dyDescent="0.25">
      <c r="B18" t="s">
        <v>19</v>
      </c>
      <c r="C18" s="11">
        <f>'Comps Analysis'!C27</f>
        <v>3684</v>
      </c>
      <c r="D18" s="7">
        <f>IF(ISNUMBER(C18),(C18-C9)/C9,"N/A")</f>
        <v>0.25008483203257548</v>
      </c>
    </row>
    <row r="19" spans="2:5" ht="13.5" customHeight="1" x14ac:dyDescent="0.25">
      <c r="B19" t="s">
        <v>20</v>
      </c>
      <c r="C19" s="11">
        <f>'Comps Analysis'!C28</f>
        <v>2809</v>
      </c>
      <c r="D19" s="7">
        <f>IF(ISNUMBER(C19),(C19-C9)/C9,"N/A")</f>
        <v>-4.682728198167628E-2</v>
      </c>
    </row>
    <row r="20" spans="2:5" ht="14" customHeight="1" x14ac:dyDescent="0.3">
      <c r="B20" s="47" t="s">
        <v>21</v>
      </c>
      <c r="C20" s="46"/>
      <c r="D20" s="46"/>
      <c r="E20" s="46"/>
    </row>
    <row r="21" spans="2:5" ht="14" customHeight="1" x14ac:dyDescent="0.3">
      <c r="B21" s="4" t="s">
        <v>22</v>
      </c>
      <c r="C21" s="6" t="str">
        <f>IF(COUNT(C16:C17)=0,"N/A",MIN(C16:C17)&amp;" - "&amp;MAX(C16:C17))</f>
        <v>3772 - 5000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customHeight="1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customHeight="1" x14ac:dyDescent="0.4">
      <c r="B2" s="2" t="s">
        <v>31</v>
      </c>
    </row>
    <row r="4" spans="2:6" ht="14" customHeight="1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customHeight="1" x14ac:dyDescent="0.3">
      <c r="B5" s="3" t="s">
        <v>36</v>
      </c>
    </row>
    <row r="6" spans="2:6" ht="14" customHeight="1" x14ac:dyDescent="0.3">
      <c r="B6" s="4" t="s">
        <v>37</v>
      </c>
      <c r="C6" s="5">
        <v>3951883</v>
      </c>
      <c r="D6" s="5">
        <v>4059377</v>
      </c>
      <c r="E6" s="5">
        <v>4337111</v>
      </c>
      <c r="F6" s="5">
        <v>4056637</v>
      </c>
    </row>
    <row r="7" spans="2:6" ht="14" customHeight="1" x14ac:dyDescent="0.3">
      <c r="B7" s="4" t="s">
        <v>38</v>
      </c>
      <c r="C7" s="5">
        <v>4003939</v>
      </c>
      <c r="D7" s="5">
        <v>3330441</v>
      </c>
      <c r="E7" s="5">
        <v>3868234</v>
      </c>
      <c r="F7" s="5">
        <v>3619080</v>
      </c>
    </row>
    <row r="8" spans="2:6" ht="14" customHeight="1" x14ac:dyDescent="0.3">
      <c r="B8" s="4" t="s">
        <v>39</v>
      </c>
      <c r="C8" s="5">
        <f>C6-C7</f>
        <v>-52056</v>
      </c>
      <c r="D8" s="5">
        <f>D6-D7</f>
        <v>728936</v>
      </c>
      <c r="E8" s="5">
        <f>E6-E7</f>
        <v>468877</v>
      </c>
      <c r="F8" s="5">
        <f>F6-F7</f>
        <v>437557</v>
      </c>
    </row>
    <row r="9" spans="2:6" ht="13.5" customHeight="1" x14ac:dyDescent="0.25">
      <c r="B9" t="s">
        <v>40</v>
      </c>
      <c r="C9" s="7">
        <f>C8/C6</f>
        <v>-1.3172454751317283E-2</v>
      </c>
      <c r="D9" s="7">
        <f>D8/D6</f>
        <v>0.17956844116720375</v>
      </c>
      <c r="E9" s="7">
        <f>E8/E6</f>
        <v>0.10810813926597682</v>
      </c>
      <c r="F9" s="7">
        <f>F8/F6</f>
        <v>0.10786200490702028</v>
      </c>
    </row>
    <row r="10" spans="2:6" ht="14" customHeight="1" x14ac:dyDescent="0.3">
      <c r="B10" s="4" t="s">
        <v>41</v>
      </c>
      <c r="C10" s="5">
        <v>0</v>
      </c>
      <c r="D10" s="5">
        <v>0</v>
      </c>
      <c r="E10" s="5">
        <v>0</v>
      </c>
      <c r="F10" s="5">
        <v>0</v>
      </c>
    </row>
    <row r="11" spans="2:6" ht="14" customHeight="1" x14ac:dyDescent="0.3">
      <c r="B11" s="4" t="s">
        <v>42</v>
      </c>
      <c r="C11" s="5">
        <v>-52056</v>
      </c>
      <c r="D11" s="5">
        <v>728936</v>
      </c>
      <c r="E11" s="5">
        <v>468877</v>
      </c>
      <c r="F11" s="5">
        <v>437557</v>
      </c>
    </row>
    <row r="12" spans="2:6" ht="14" customHeight="1" x14ac:dyDescent="0.3">
      <c r="B12" s="4" t="s">
        <v>43</v>
      </c>
      <c r="C12" s="5">
        <v>17679</v>
      </c>
      <c r="D12" s="5">
        <v>441870</v>
      </c>
      <c r="E12" s="5">
        <v>420364</v>
      </c>
      <c r="F12" s="5">
        <v>380051</v>
      </c>
    </row>
    <row r="13" spans="2:6" ht="13.5" customHeight="1" x14ac:dyDescent="0.25">
      <c r="B13" t="s">
        <v>44</v>
      </c>
      <c r="C13" s="7">
        <f>C11/C6</f>
        <v>-1.3172454751317283E-2</v>
      </c>
      <c r="D13" s="7">
        <f>D11/D6</f>
        <v>0.17956844116720375</v>
      </c>
      <c r="E13" s="7">
        <f>E11/E6</f>
        <v>0.10810813926597682</v>
      </c>
      <c r="F13" s="7">
        <f>F11/F6</f>
        <v>0.10786200490702028</v>
      </c>
    </row>
    <row r="14" spans="2:6" ht="13.5" customHeight="1" x14ac:dyDescent="0.25">
      <c r="B14" t="s">
        <v>45</v>
      </c>
      <c r="C14" s="7">
        <f>C12/C6</f>
        <v>4.473563615117148E-3</v>
      </c>
      <c r="D14" s="7">
        <f>D12/D6</f>
        <v>0.10885167847184432</v>
      </c>
      <c r="E14" s="7">
        <f>E12/E6</f>
        <v>9.6922582797627263E-2</v>
      </c>
      <c r="F14" s="7">
        <f>F12/F6</f>
        <v>9.3686223342142771E-2</v>
      </c>
    </row>
    <row r="15" spans="2:6" ht="13.5" customHeight="1" x14ac:dyDescent="0.25">
      <c r="B15" t="s">
        <v>46</v>
      </c>
      <c r="C15" t="s">
        <v>47</v>
      </c>
      <c r="D15" s="7">
        <f>(D6-C6)/C6</f>
        <v>2.7200704069427158E-2</v>
      </c>
      <c r="E15" s="7">
        <f>(E6-D6)/D6</f>
        <v>6.8417887769477922E-2</v>
      </c>
      <c r="F15" s="7">
        <f>(F6-E6)/E6</f>
        <v>-6.4668393315273687E-2</v>
      </c>
    </row>
    <row r="16" spans="2:6" ht="13.5" customHeight="1" x14ac:dyDescent="0.25">
      <c r="B16" t="s">
        <v>48</v>
      </c>
      <c r="C16" t="s">
        <v>47</v>
      </c>
      <c r="D16" s="7">
        <f>(D11-C11)/C11</f>
        <v>-15.002919932380513</v>
      </c>
      <c r="E16" s="7">
        <f>(E11-D11)/D11</f>
        <v>-0.35676520298078296</v>
      </c>
      <c r="F16" s="7">
        <f>(F11-E11)/E11</f>
        <v>-6.6797902221691408E-2</v>
      </c>
    </row>
    <row r="18" spans="2:6" ht="14" customHeight="1" x14ac:dyDescent="0.3">
      <c r="B18" s="3" t="s">
        <v>49</v>
      </c>
    </row>
    <row r="19" spans="2:6" ht="14" customHeight="1" x14ac:dyDescent="0.3">
      <c r="B19" s="4" t="s">
        <v>50</v>
      </c>
      <c r="C19" s="5">
        <v>128038</v>
      </c>
      <c r="D19" s="5">
        <v>1154990</v>
      </c>
      <c r="E19" s="5">
        <v>575299</v>
      </c>
      <c r="F19" s="5">
        <v>652381</v>
      </c>
    </row>
    <row r="20" spans="2:6" ht="14" customHeight="1" x14ac:dyDescent="0.3">
      <c r="B20" s="4" t="s">
        <v>51</v>
      </c>
      <c r="C20" s="5">
        <v>475960</v>
      </c>
      <c r="D20" s="5">
        <v>456335</v>
      </c>
      <c r="E20" s="5">
        <v>494896</v>
      </c>
      <c r="F20" s="5">
        <v>560464</v>
      </c>
    </row>
    <row r="21" spans="2:6" ht="14" customHeight="1" x14ac:dyDescent="0.3">
      <c r="B21" s="4" t="s">
        <v>52</v>
      </c>
      <c r="C21" s="5">
        <f>C19-C20</f>
        <v>-347922</v>
      </c>
      <c r="D21" s="5">
        <f>D19-D20</f>
        <v>698655</v>
      </c>
      <c r="E21" s="5">
        <f>E19-E20</f>
        <v>80403</v>
      </c>
      <c r="F21" s="5">
        <f>F19-F20</f>
        <v>91917</v>
      </c>
    </row>
    <row r="22" spans="2:6" ht="13.5" customHeight="1" x14ac:dyDescent="0.25">
      <c r="B22" t="s">
        <v>53</v>
      </c>
      <c r="C22" s="7">
        <f>C21/C6</f>
        <v>-8.8039549753876817E-2</v>
      </c>
      <c r="D22" s="7">
        <f>D21/D6</f>
        <v>0.17210892213263268</v>
      </c>
      <c r="E22" s="7">
        <f>E21/E6</f>
        <v>1.8538377274642037E-2</v>
      </c>
      <c r="F22" s="7">
        <f>F21/F6</f>
        <v>2.2658423714027161E-2</v>
      </c>
    </row>
    <row r="23" spans="2:6" ht="13.5" customHeight="1" x14ac:dyDescent="0.25">
      <c r="B23" t="s">
        <v>54</v>
      </c>
      <c r="C23" s="7">
        <f>C20/C6</f>
        <v>0.12043878829408664</v>
      </c>
      <c r="D23" s="7">
        <f>D20/D6</f>
        <v>0.11241503314424849</v>
      </c>
      <c r="E23" s="7">
        <f>E20/E6</f>
        <v>0.1141072940028512</v>
      </c>
      <c r="F23" s="7">
        <f>F20/F6</f>
        <v>0.13815976139841943</v>
      </c>
    </row>
    <row r="25" spans="2:6" ht="14" customHeight="1" x14ac:dyDescent="0.3">
      <c r="B25" s="3" t="s">
        <v>55</v>
      </c>
    </row>
    <row r="26" spans="2:6" ht="14" customHeight="1" x14ac:dyDescent="0.3">
      <c r="B26" s="4" t="s">
        <v>56</v>
      </c>
      <c r="C26" s="5">
        <v>322235</v>
      </c>
      <c r="D26" s="5">
        <v>564427</v>
      </c>
      <c r="E26" s="5">
        <v>942388</v>
      </c>
      <c r="F26" s="5">
        <v>737411</v>
      </c>
    </row>
    <row r="27" spans="2:6" ht="14" customHeight="1" x14ac:dyDescent="0.3">
      <c r="B27" s="4" t="s">
        <v>57</v>
      </c>
      <c r="C27" s="5">
        <v>4333347</v>
      </c>
      <c r="D27" s="5">
        <v>4043058</v>
      </c>
      <c r="E27" s="5">
        <v>3906823</v>
      </c>
      <c r="F27" s="5">
        <v>3674835</v>
      </c>
    </row>
    <row r="28" spans="2:6" ht="14" customHeight="1" x14ac:dyDescent="0.3">
      <c r="B28" s="4" t="s">
        <v>58</v>
      </c>
      <c r="C28" s="5">
        <f>C27-C26</f>
        <v>4011112</v>
      </c>
      <c r="D28" s="5">
        <f>D27-D26</f>
        <v>3478631</v>
      </c>
      <c r="E28" s="5">
        <f>E27-E26</f>
        <v>2964435</v>
      </c>
      <c r="F28" s="5">
        <f>F27-F26</f>
        <v>2937424</v>
      </c>
    </row>
    <row r="30" spans="2:6" ht="14" customHeight="1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60</v>
      </c>
    </row>
    <row r="4" spans="2:7" ht="14" customHeight="1" x14ac:dyDescent="0.3">
      <c r="B4" s="8" t="s">
        <v>61</v>
      </c>
      <c r="C4" s="9"/>
      <c r="D4" s="9"/>
      <c r="E4" s="9"/>
      <c r="F4" s="9"/>
      <c r="G4" s="9"/>
    </row>
    <row r="5" spans="2:7" ht="14" customHeight="1" x14ac:dyDescent="0.3">
      <c r="B5" s="4" t="s">
        <v>62</v>
      </c>
      <c r="C5" s="7">
        <v>0.1216</v>
      </c>
    </row>
    <row r="6" spans="2:7" ht="14" customHeight="1" x14ac:dyDescent="0.3">
      <c r="B6" s="4" t="s">
        <v>63</v>
      </c>
      <c r="C6" s="7">
        <v>0.25</v>
      </c>
    </row>
    <row r="7" spans="2:7" ht="14" customHeight="1" x14ac:dyDescent="0.3">
      <c r="B7" s="4" t="s">
        <v>64</v>
      </c>
      <c r="C7" s="7">
        <v>2.9700000000000001E-2</v>
      </c>
    </row>
    <row r="8" spans="2:7" ht="14" customHeight="1" x14ac:dyDescent="0.3">
      <c r="B8" s="4" t="s">
        <v>65</v>
      </c>
      <c r="C8" s="12">
        <v>0.6</v>
      </c>
    </row>
    <row r="9" spans="2:7" ht="14" customHeight="1" x14ac:dyDescent="0.3">
      <c r="B9" s="4" t="s">
        <v>66</v>
      </c>
      <c r="C9" s="7">
        <v>6.5000000000000002E-2</v>
      </c>
    </row>
    <row r="10" spans="2:7" ht="14" customHeight="1" x14ac:dyDescent="0.3">
      <c r="B10" s="4" t="s">
        <v>67</v>
      </c>
      <c r="C10" s="7">
        <v>0.01</v>
      </c>
    </row>
    <row r="11" spans="2:7" ht="14" customHeight="1" x14ac:dyDescent="0.3">
      <c r="B11" s="4" t="s">
        <v>68</v>
      </c>
      <c r="C11" s="7">
        <v>8.3999999999999995E-3</v>
      </c>
    </row>
    <row r="12" spans="2:7" ht="14" customHeight="1" x14ac:dyDescent="0.3">
      <c r="B12" s="4" t="s">
        <v>69</v>
      </c>
      <c r="C12" s="13">
        <v>0.89470000000000005</v>
      </c>
    </row>
    <row r="13" spans="2:7" ht="14" customHeight="1" x14ac:dyDescent="0.3">
      <c r="B13" s="4" t="s">
        <v>70</v>
      </c>
      <c r="C13" s="7">
        <v>0.01</v>
      </c>
    </row>
    <row r="14" spans="2:7" ht="14" customHeight="1" x14ac:dyDescent="0.3">
      <c r="B14" s="4" t="s">
        <v>71</v>
      </c>
      <c r="C14" s="14">
        <v>8.6999999999999993</v>
      </c>
    </row>
    <row r="15" spans="2:7" ht="14" customHeight="1" x14ac:dyDescent="0.3">
      <c r="B15" s="4" t="s">
        <v>72</v>
      </c>
      <c r="C15" s="15">
        <v>1114056720</v>
      </c>
    </row>
    <row r="16" spans="2:7" ht="14" customHeight="1" x14ac:dyDescent="0.3">
      <c r="B16" s="4" t="s">
        <v>73</v>
      </c>
      <c r="C16" s="5">
        <v>2937424</v>
      </c>
    </row>
    <row r="17" spans="2:7" ht="14" customHeight="1" x14ac:dyDescent="0.3">
      <c r="B17" s="4" t="s">
        <v>74</v>
      </c>
      <c r="C17" s="5">
        <v>4056637</v>
      </c>
    </row>
    <row r="18" spans="2:7" ht="14" customHeight="1" x14ac:dyDescent="0.3">
      <c r="B18" s="4" t="s">
        <v>75</v>
      </c>
      <c r="C18" s="7">
        <v>9.2399999999999996E-2</v>
      </c>
    </row>
    <row r="19" spans="2:7" ht="14" customHeight="1" x14ac:dyDescent="0.3">
      <c r="B19" s="4" t="s">
        <v>76</v>
      </c>
      <c r="C19" s="12">
        <v>1</v>
      </c>
    </row>
    <row r="20" spans="2:7" ht="14" customHeight="1" x14ac:dyDescent="0.3">
      <c r="B20" s="4" t="s">
        <v>77</v>
      </c>
      <c r="C20" s="5">
        <v>4056638</v>
      </c>
    </row>
    <row r="22" spans="2:7" ht="14" customHeight="1" x14ac:dyDescent="0.3">
      <c r="B22" s="8" t="s">
        <v>78</v>
      </c>
      <c r="C22" s="9"/>
      <c r="D22" s="9"/>
      <c r="E22" s="9"/>
      <c r="F22" s="9"/>
      <c r="G22" s="9"/>
    </row>
    <row r="23" spans="2:7" ht="14" customHeight="1" x14ac:dyDescent="0.3">
      <c r="B23" s="4" t="s">
        <v>79</v>
      </c>
      <c r="C23" s="16">
        <f>C7+C8*C9+C10</f>
        <v>7.8699999999999992E-2</v>
      </c>
    </row>
    <row r="24" spans="2:7" ht="14" customHeight="1" x14ac:dyDescent="0.3">
      <c r="B24" s="4" t="s">
        <v>80</v>
      </c>
      <c r="C24" s="16">
        <f>1/(1+C12)</f>
        <v>0.5277880403230063</v>
      </c>
    </row>
    <row r="25" spans="2:7" ht="14" customHeight="1" x14ac:dyDescent="0.3">
      <c r="B25" s="4" t="s">
        <v>81</v>
      </c>
      <c r="C25" s="16">
        <f>C12/(1+C12)</f>
        <v>0.47221195967699375</v>
      </c>
    </row>
    <row r="26" spans="2:7" ht="14" customHeight="1" x14ac:dyDescent="0.3">
      <c r="B26" s="4" t="s">
        <v>82</v>
      </c>
      <c r="C26" s="16">
        <f>C23*C24+C11*C25</f>
        <v>4.550349923470734E-2</v>
      </c>
    </row>
    <row r="27" spans="2:7" ht="14" customHeight="1" x14ac:dyDescent="0.3">
      <c r="B27" s="4" t="s">
        <v>83</v>
      </c>
      <c r="C27" s="17" t="s">
        <v>84</v>
      </c>
      <c r="D27" s="6">
        <f>MATCH(C27,B69:B73,0)</f>
        <v>1</v>
      </c>
    </row>
    <row r="28" spans="2:7" ht="14" customHeight="1" x14ac:dyDescent="0.3">
      <c r="B28" s="8" t="s">
        <v>85</v>
      </c>
      <c r="C28" s="9"/>
      <c r="D28" s="9"/>
      <c r="E28" s="9"/>
      <c r="F28" s="9"/>
      <c r="G28" s="9"/>
    </row>
    <row r="29" spans="2:7" ht="14" customHeight="1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customHeight="1" x14ac:dyDescent="0.3">
      <c r="B30" s="4" t="s">
        <v>46</v>
      </c>
      <c r="C30" s="18">
        <f>CHOOSE($D$27,C69,C70,C71,C72,C73)</f>
        <v>0.01</v>
      </c>
      <c r="D30" s="18">
        <f>CHOOSE($D$27,D69,D70,D71,D72,D73)</f>
        <v>1.4999999999999999E-2</v>
      </c>
      <c r="E30" s="18">
        <f>CHOOSE($D$27,E69,E70,E71,E72,E73)</f>
        <v>1.4999999999999999E-2</v>
      </c>
      <c r="F30" s="18">
        <f>CHOOSE($D$27,F69,F70,F71,F72,F73)</f>
        <v>1.4999999999999999E-2</v>
      </c>
      <c r="G30" s="18">
        <f>CHOOSE($D$27,G69,G70,G71,G72,G73)</f>
        <v>0.01</v>
      </c>
    </row>
    <row r="31" spans="2:7" ht="14" customHeight="1" x14ac:dyDescent="0.3">
      <c r="B31" s="4" t="s">
        <v>91</v>
      </c>
      <c r="C31" s="18">
        <f>CHOOSE($D$27,C76,C77,C78,C79,C80)</f>
        <v>0.82</v>
      </c>
      <c r="D31" s="18">
        <f>CHOOSE($D$27,D76,D77,D78,D79,D80)</f>
        <v>0.82</v>
      </c>
      <c r="E31" s="18">
        <f>CHOOSE($D$27,E76,E77,E78,E79,E80)</f>
        <v>0.82</v>
      </c>
      <c r="F31" s="18">
        <f>CHOOSE($D$27,F76,F77,F78,F79,F80)</f>
        <v>0.82</v>
      </c>
      <c r="G31" s="18">
        <f>CHOOSE($D$27,G76,G77,G78,G79,G80)</f>
        <v>0.82</v>
      </c>
    </row>
    <row r="32" spans="2:7" ht="14" customHeight="1" x14ac:dyDescent="0.3">
      <c r="B32" s="4" t="s">
        <v>92</v>
      </c>
      <c r="C32" s="18">
        <f>CHOOSE($D$27,C83,C84,C85,C86,C87)</f>
        <v>7.2099999999999997E-2</v>
      </c>
      <c r="D32" s="18">
        <f>CHOOSE($D$27,D83,D84,D85,D86,D87)</f>
        <v>7.2099999999999997E-2</v>
      </c>
      <c r="E32" s="18">
        <f>CHOOSE($D$27,E83,E84,E85,E86,E87)</f>
        <v>7.1999999999999995E-2</v>
      </c>
      <c r="F32" s="18">
        <f>CHOOSE($D$27,F83,F84,F85,F86,F87)</f>
        <v>7.1999999999999995E-2</v>
      </c>
      <c r="G32" s="18">
        <f>CHOOSE($D$27,G83,G84,G85,G86,G87)</f>
        <v>7.1999999999999995E-2</v>
      </c>
    </row>
    <row r="33" spans="2:7" ht="14" customHeight="1" x14ac:dyDescent="0.3">
      <c r="B33" s="4" t="s">
        <v>37</v>
      </c>
      <c r="C33" s="5">
        <f>C17*(1+C30)</f>
        <v>4097203.37</v>
      </c>
      <c r="D33" s="5">
        <f>C33*(1+D30)</f>
        <v>4158661.4205499999</v>
      </c>
      <c r="E33" s="5">
        <f>D33*(1+E30)</f>
        <v>4221041.3418582492</v>
      </c>
      <c r="F33" s="5">
        <f>E33*(1+F30)</f>
        <v>4284356.9619861227</v>
      </c>
      <c r="G33" s="5">
        <f>F33*(1+G30)</f>
        <v>4327200.5316059841</v>
      </c>
    </row>
    <row r="34" spans="2:7" ht="14" customHeight="1" x14ac:dyDescent="0.3">
      <c r="B34" s="4" t="s">
        <v>38</v>
      </c>
      <c r="C34" s="5">
        <f>C33*C31</f>
        <v>3359706.7634000001</v>
      </c>
      <c r="D34" s="5">
        <f>D33*D31</f>
        <v>3410102.3648509998</v>
      </c>
      <c r="E34" s="5">
        <f>E33*E31</f>
        <v>3461253.900323764</v>
      </c>
      <c r="F34" s="5">
        <f>F33*F31</f>
        <v>3513172.7088286201</v>
      </c>
      <c r="G34" s="5">
        <f>G33*G31</f>
        <v>3548304.4359169067</v>
      </c>
    </row>
    <row r="35" spans="2:7" ht="14" customHeight="1" x14ac:dyDescent="0.3">
      <c r="B35" s="4" t="s">
        <v>39</v>
      </c>
      <c r="C35" s="19">
        <f>C33-C34</f>
        <v>737496.60660000006</v>
      </c>
      <c r="D35" s="19">
        <f>D33-D34</f>
        <v>748559.05569900014</v>
      </c>
      <c r="E35" s="19">
        <f>E33-E34</f>
        <v>759787.4415344852</v>
      </c>
      <c r="F35" s="19">
        <f>F33-F34</f>
        <v>771184.25315750251</v>
      </c>
      <c r="G35" s="19">
        <f>G33-G34</f>
        <v>778896.0956890774</v>
      </c>
    </row>
    <row r="36" spans="2:7" ht="14" customHeight="1" x14ac:dyDescent="0.3">
      <c r="B36" s="4" t="s">
        <v>40</v>
      </c>
      <c r="C36" s="7">
        <f>C35/C33</f>
        <v>0.18000000000000002</v>
      </c>
      <c r="D36" s="7">
        <f>D35/D33</f>
        <v>0.18000000000000005</v>
      </c>
      <c r="E36" s="7">
        <f>E35/E33</f>
        <v>0.18000000000000008</v>
      </c>
      <c r="F36" s="7">
        <f>F35/F33</f>
        <v>0.1800000000000001</v>
      </c>
      <c r="G36" s="7">
        <f>G35/G33</f>
        <v>0.18000000000000005</v>
      </c>
    </row>
    <row r="37" spans="2:7" ht="14" customHeight="1" x14ac:dyDescent="0.3">
      <c r="B37" s="4" t="s">
        <v>93</v>
      </c>
      <c r="C37" s="5">
        <f>C33*C32</f>
        <v>295408.36297700001</v>
      </c>
      <c r="D37" s="5">
        <f>D33*D32</f>
        <v>299839.48842165497</v>
      </c>
      <c r="E37" s="5">
        <f>E33*E32</f>
        <v>303914.97661379393</v>
      </c>
      <c r="F37" s="5">
        <f>F33*F32</f>
        <v>308473.70126300078</v>
      </c>
      <c r="G37" s="5">
        <f>G33*G32</f>
        <v>311558.43827563082</v>
      </c>
    </row>
    <row r="38" spans="2:7" ht="14" customHeight="1" x14ac:dyDescent="0.3">
      <c r="B38" s="4" t="s">
        <v>94</v>
      </c>
      <c r="C38" s="7">
        <f>(C35-C37)/C33</f>
        <v>0.10790000000000001</v>
      </c>
      <c r="D38" s="7">
        <f>(D35-D37)/D33</f>
        <v>0.10790000000000004</v>
      </c>
      <c r="E38" s="7">
        <f>(E35-E37)/E33</f>
        <v>0.10800000000000008</v>
      </c>
      <c r="F38" s="7">
        <f>(F35-F37)/F33</f>
        <v>0.10800000000000011</v>
      </c>
      <c r="G38" s="7">
        <f>(G35-G37)/G33</f>
        <v>0.10800000000000007</v>
      </c>
    </row>
    <row r="39" spans="2:7" ht="14" customHeight="1" x14ac:dyDescent="0.3">
      <c r="B39" s="4" t="s">
        <v>95</v>
      </c>
      <c r="C39" s="19">
        <f>C35-C37</f>
        <v>442088.24362300005</v>
      </c>
      <c r="D39" s="19">
        <f>D35-D37</f>
        <v>448719.56727734517</v>
      </c>
      <c r="E39" s="19">
        <f>E35-E37</f>
        <v>455872.46492069127</v>
      </c>
      <c r="F39" s="19">
        <f>F35-F37</f>
        <v>462710.55189450172</v>
      </c>
      <c r="G39" s="19">
        <f>G35-G37</f>
        <v>467337.65741344658</v>
      </c>
    </row>
    <row r="40" spans="2:7" ht="14" customHeight="1" x14ac:dyDescent="0.3">
      <c r="B40" s="4" t="s">
        <v>96</v>
      </c>
      <c r="C40" s="5">
        <f>MAX(0,C39*C6)</f>
        <v>110522.06090575001</v>
      </c>
      <c r="D40" s="5">
        <f>MAX(0,D39*C6)</f>
        <v>112179.89181933629</v>
      </c>
      <c r="E40" s="5">
        <f>MAX(0,E39*C6)</f>
        <v>113968.11623017282</v>
      </c>
      <c r="F40" s="5">
        <f>MAX(0,F39*C6)</f>
        <v>115677.63797362543</v>
      </c>
      <c r="G40" s="5">
        <f>MAX(0,G39*C6)</f>
        <v>116834.41435336164</v>
      </c>
    </row>
    <row r="41" spans="2:7" ht="14" customHeight="1" x14ac:dyDescent="0.3">
      <c r="B41" s="4" t="s">
        <v>97</v>
      </c>
      <c r="C41" s="19">
        <f>C39-C40</f>
        <v>331566.18271725002</v>
      </c>
      <c r="D41" s="19">
        <f>D39-D40</f>
        <v>336539.67545800889</v>
      </c>
      <c r="E41" s="19">
        <f>E39-E40</f>
        <v>341904.34869051847</v>
      </c>
      <c r="F41" s="19">
        <f>F39-F40</f>
        <v>347032.91392087628</v>
      </c>
      <c r="G41" s="19">
        <f>G39-G40</f>
        <v>350503.24306008493</v>
      </c>
    </row>
    <row r="42" spans="2:7" ht="14" customHeight="1" x14ac:dyDescent="0.3">
      <c r="B42" s="4" t="s">
        <v>98</v>
      </c>
      <c r="C42" s="5">
        <f>C33*C18</f>
        <v>378581.591388</v>
      </c>
      <c r="D42" s="5">
        <f>D33*C18</f>
        <v>384260.31525881996</v>
      </c>
      <c r="E42" s="5">
        <f>E33*C18</f>
        <v>390024.21998770221</v>
      </c>
      <c r="F42" s="5">
        <f>F33*C18</f>
        <v>395874.58328751771</v>
      </c>
      <c r="G42" s="5">
        <f>G33*C18</f>
        <v>399833.32912039291</v>
      </c>
    </row>
    <row r="43" spans="2:7" ht="14" customHeight="1" x14ac:dyDescent="0.3">
      <c r="B43" s="4" t="s">
        <v>99</v>
      </c>
      <c r="C43" s="5">
        <v>548500</v>
      </c>
      <c r="D43" s="5">
        <v>516300</v>
      </c>
      <c r="E43" s="5">
        <v>484200</v>
      </c>
      <c r="F43" s="5">
        <v>452000</v>
      </c>
      <c r="G43" s="5">
        <v>419800</v>
      </c>
    </row>
    <row r="44" spans="2:7" ht="14" customHeight="1" x14ac:dyDescent="0.3">
      <c r="B44" s="4" t="s">
        <v>100</v>
      </c>
      <c r="C44" s="5">
        <f>'NWC Schedule'!D19</f>
        <v>-59990.432418630167</v>
      </c>
      <c r="D44" s="5">
        <f>'NWC Schedule'!E19</f>
        <v>7502.933513720578</v>
      </c>
      <c r="E44" s="5">
        <f>'NWC Schedule'!F19</f>
        <v>7615.4775164262392</v>
      </c>
      <c r="F44" s="5">
        <f>'NWC Schedule'!G19</f>
        <v>7729.7096791727236</v>
      </c>
      <c r="G44" s="5">
        <f>'NWC Schedule'!H19</f>
        <v>5230.4368829068262</v>
      </c>
    </row>
    <row r="45" spans="2:7" ht="14" customHeight="1" x14ac:dyDescent="0.3">
      <c r="B45" s="4" t="s">
        <v>101</v>
      </c>
      <c r="C45" s="20">
        <f>C41+C42-C43-C44</f>
        <v>221638.20652388019</v>
      </c>
      <c r="D45" s="20">
        <f>D41+D42-D43-D44</f>
        <v>196997.05720310827</v>
      </c>
      <c r="E45" s="20">
        <f>E41+E42-E43-E44</f>
        <v>240113.09116179449</v>
      </c>
      <c r="F45" s="20">
        <f>F41+F42-F43-F44</f>
        <v>283177.78752922127</v>
      </c>
      <c r="G45" s="20">
        <f>G41+G42-G43-G44</f>
        <v>325306.13529757108</v>
      </c>
    </row>
    <row r="46" spans="2:7" ht="14" customHeight="1" x14ac:dyDescent="0.3">
      <c r="B46" s="4" t="s">
        <v>102</v>
      </c>
      <c r="C46" s="21">
        <f>1/(1+C26)^(C19+0)</f>
        <v>0.95647695175767911</v>
      </c>
      <c r="D46" s="21">
        <f>1/(1+C26)^(C19+1)</f>
        <v>0.9148481592436617</v>
      </c>
      <c r="E46" s="21">
        <f>1/(1+C26)^(C19+2)</f>
        <v>0.87503117867450142</v>
      </c>
      <c r="F46" s="21">
        <f>1/(1+C26)^(C19+3)</f>
        <v>0.83694715447151624</v>
      </c>
      <c r="G46" s="21">
        <f>1/(1+C26)^(C19+4)</f>
        <v>0.80052066309117931</v>
      </c>
    </row>
    <row r="47" spans="2:7" ht="14" customHeight="1" x14ac:dyDescent="0.3">
      <c r="B47" s="4" t="s">
        <v>103</v>
      </c>
      <c r="C47" s="19">
        <f>C45*C46</f>
        <v>211991.83616899987</v>
      </c>
      <c r="D47" s="19">
        <f>D45*D46</f>
        <v>180222.39515868193</v>
      </c>
      <c r="E47" s="19">
        <f>E45*E46</f>
        <v>210106.44117448304</v>
      </c>
      <c r="F47" s="19">
        <f>F45*F46</f>
        <v>237004.84348212136</v>
      </c>
      <c r="G47" s="19">
        <f>G45*G46</f>
        <v>260414.2831360405</v>
      </c>
    </row>
    <row r="49" spans="2:7" ht="14" customHeight="1" x14ac:dyDescent="0.3">
      <c r="B49" s="22" t="s">
        <v>104</v>
      </c>
      <c r="C49" s="23"/>
      <c r="D49" s="23"/>
      <c r="E49" s="23"/>
      <c r="F49" s="23"/>
      <c r="G49" s="23"/>
    </row>
    <row r="50" spans="2:7" ht="14" customHeight="1" x14ac:dyDescent="0.3">
      <c r="B50" s="4" t="s">
        <v>105</v>
      </c>
      <c r="C50" s="5">
        <f>SUM(C47:G47)</f>
        <v>1099739.7991203268</v>
      </c>
    </row>
    <row r="51" spans="2:7" ht="14" customHeight="1" x14ac:dyDescent="0.3">
      <c r="B51" s="4" t="s">
        <v>106</v>
      </c>
      <c r="C51" s="5">
        <f>G45*(1+C13)/(C26-C13)</f>
        <v>9254276.4440907706</v>
      </c>
    </row>
    <row r="52" spans="2:7" ht="14" customHeight="1" x14ac:dyDescent="0.3">
      <c r="B52" s="4" t="s">
        <v>107</v>
      </c>
      <c r="C52" s="5">
        <f>C51*G46</f>
        <v>7408239.5154526243</v>
      </c>
    </row>
    <row r="53" spans="2:7" ht="14" customHeight="1" x14ac:dyDescent="0.3">
      <c r="B53" s="4" t="s">
        <v>108</v>
      </c>
      <c r="C53" s="5">
        <f>C50+C52</f>
        <v>8507979.3145729508</v>
      </c>
    </row>
    <row r="54" spans="2:7" ht="14" customHeight="1" x14ac:dyDescent="0.3">
      <c r="B54" s="4" t="s">
        <v>109</v>
      </c>
      <c r="C54" s="5">
        <f>C53-C16</f>
        <v>5570555.3145729508</v>
      </c>
    </row>
    <row r="55" spans="2:7" ht="14" customHeight="1" x14ac:dyDescent="0.3">
      <c r="B55" s="4" t="s">
        <v>110</v>
      </c>
      <c r="C55" s="24">
        <f>ROUND(C54*1000000/C15,0)</f>
        <v>5000</v>
      </c>
    </row>
    <row r="57" spans="2:7" ht="14" customHeight="1" x14ac:dyDescent="0.3">
      <c r="B57" s="22" t="s">
        <v>111</v>
      </c>
      <c r="C57" s="23"/>
      <c r="D57" s="23"/>
      <c r="E57" s="23"/>
      <c r="F57" s="23"/>
      <c r="G57" s="23"/>
    </row>
    <row r="58" spans="2:7" ht="14" customHeight="1" x14ac:dyDescent="0.3">
      <c r="B58" s="4" t="s">
        <v>105</v>
      </c>
      <c r="C58" s="5">
        <f>C50</f>
        <v>1099739.7991203268</v>
      </c>
    </row>
    <row r="59" spans="2:7" ht="14" customHeight="1" x14ac:dyDescent="0.3">
      <c r="B59" s="4" t="s">
        <v>112</v>
      </c>
      <c r="C59" s="5">
        <f>G39+G42</f>
        <v>867170.98653383949</v>
      </c>
    </row>
    <row r="60" spans="2:7" ht="14" customHeight="1" x14ac:dyDescent="0.3">
      <c r="B60" s="4" t="s">
        <v>113</v>
      </c>
      <c r="C60" s="5">
        <f>C59*C14</f>
        <v>7544387.5828444026</v>
      </c>
    </row>
    <row r="61" spans="2:7" ht="14" customHeight="1" x14ac:dyDescent="0.3">
      <c r="B61" s="4" t="s">
        <v>107</v>
      </c>
      <c r="C61" s="5">
        <f>C60*G46</f>
        <v>6039438.1504354607</v>
      </c>
    </row>
    <row r="62" spans="2:7" ht="14" customHeight="1" x14ac:dyDescent="0.3">
      <c r="B62" s="4" t="s">
        <v>108</v>
      </c>
      <c r="C62" s="5">
        <f>C58+C61</f>
        <v>7139177.9495557873</v>
      </c>
    </row>
    <row r="63" spans="2:7" ht="14" customHeight="1" x14ac:dyDescent="0.3">
      <c r="B63" s="4" t="s">
        <v>109</v>
      </c>
      <c r="C63" s="5">
        <f>C62-C16</f>
        <v>4201753.9495557873</v>
      </c>
    </row>
    <row r="64" spans="2:7" ht="14" customHeight="1" x14ac:dyDescent="0.3">
      <c r="B64" s="4" t="s">
        <v>114</v>
      </c>
      <c r="C64" s="24">
        <f>ROUND(C63*1000000/C15,0)</f>
        <v>3772</v>
      </c>
    </row>
    <row r="66" spans="2:7" ht="14" customHeight="1" x14ac:dyDescent="0.3">
      <c r="B66" s="22" t="s">
        <v>115</v>
      </c>
      <c r="C66" s="23"/>
      <c r="D66" s="23"/>
      <c r="E66" s="23"/>
      <c r="F66" s="23"/>
      <c r="G66" s="23"/>
    </row>
    <row r="67" spans="2:7" ht="14" customHeight="1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customHeight="1" x14ac:dyDescent="0.3">
      <c r="B68" s="3" t="s">
        <v>46</v>
      </c>
    </row>
    <row r="69" spans="2:7" ht="14" customHeight="1" x14ac:dyDescent="0.3">
      <c r="B69" s="4" t="s">
        <v>84</v>
      </c>
      <c r="C69" s="26">
        <v>0.01</v>
      </c>
      <c r="D69" s="26">
        <v>1.4999999999999999E-2</v>
      </c>
      <c r="E69" s="26">
        <v>1.4999999999999999E-2</v>
      </c>
      <c r="F69" s="26">
        <v>1.4999999999999999E-2</v>
      </c>
      <c r="G69" s="26">
        <v>0.01</v>
      </c>
    </row>
    <row r="70" spans="2:7" ht="14" customHeight="1" x14ac:dyDescent="0.3">
      <c r="B70" s="4" t="s">
        <v>121</v>
      </c>
      <c r="C70" s="26">
        <v>0.02</v>
      </c>
      <c r="D70" s="26">
        <v>0.02</v>
      </c>
      <c r="E70" s="26">
        <v>0.02</v>
      </c>
      <c r="F70" s="26">
        <v>0.02</v>
      </c>
      <c r="G70" s="26">
        <v>1.4999999999999999E-2</v>
      </c>
    </row>
    <row r="71" spans="2:7" ht="14" customHeight="1" x14ac:dyDescent="0.3">
      <c r="B71" s="4" t="s">
        <v>122</v>
      </c>
      <c r="C71" s="26">
        <v>0.01</v>
      </c>
      <c r="D71" s="26">
        <v>1.4999999999999999E-2</v>
      </c>
      <c r="E71" s="26">
        <v>1.4999999999999999E-2</v>
      </c>
      <c r="F71" s="26">
        <v>1.4999999999999999E-2</v>
      </c>
      <c r="G71" s="26">
        <v>0.01</v>
      </c>
    </row>
    <row r="72" spans="2:7" ht="14" customHeight="1" x14ac:dyDescent="0.3">
      <c r="B72" s="4" t="s">
        <v>123</v>
      </c>
      <c r="C72" s="26">
        <v>0</v>
      </c>
      <c r="D72" s="26">
        <v>5.0000000000000001E-3</v>
      </c>
      <c r="E72" s="26">
        <v>0.01</v>
      </c>
      <c r="F72" s="26">
        <v>0.01</v>
      </c>
      <c r="G72" s="26">
        <v>0.01</v>
      </c>
    </row>
    <row r="73" spans="2:7" ht="14" customHeight="1" x14ac:dyDescent="0.3">
      <c r="B73" s="4" t="s">
        <v>124</v>
      </c>
      <c r="C73" s="26">
        <v>-0.08</v>
      </c>
      <c r="D73" s="26">
        <v>-0.02</v>
      </c>
      <c r="E73" s="26">
        <v>0.01</v>
      </c>
      <c r="F73" s="26">
        <v>0.01</v>
      </c>
      <c r="G73" s="26">
        <v>0.01</v>
      </c>
    </row>
    <row r="75" spans="2:7" ht="14" customHeight="1" x14ac:dyDescent="0.3">
      <c r="B75" s="3" t="s">
        <v>91</v>
      </c>
    </row>
    <row r="76" spans="2:7" ht="14" customHeight="1" x14ac:dyDescent="0.3">
      <c r="B76" s="4" t="s">
        <v>84</v>
      </c>
      <c r="C76" s="26">
        <v>0.82</v>
      </c>
      <c r="D76" s="26">
        <v>0.82</v>
      </c>
      <c r="E76" s="26">
        <v>0.82</v>
      </c>
      <c r="F76" s="26">
        <v>0.82</v>
      </c>
      <c r="G76" s="26">
        <v>0.82</v>
      </c>
    </row>
    <row r="77" spans="2:7" ht="14" customHeight="1" x14ac:dyDescent="0.3">
      <c r="B77" s="4" t="s">
        <v>121</v>
      </c>
      <c r="C77" s="26">
        <v>0.80800000000000005</v>
      </c>
      <c r="D77" s="26">
        <v>0.80800000000000005</v>
      </c>
      <c r="E77" s="26">
        <v>0.80800000000000005</v>
      </c>
      <c r="F77" s="26">
        <v>0.80800000000000005</v>
      </c>
      <c r="G77" s="26">
        <v>0.80800000000000005</v>
      </c>
    </row>
    <row r="78" spans="2:7" ht="14" customHeight="1" x14ac:dyDescent="0.3">
      <c r="B78" s="4" t="s">
        <v>122</v>
      </c>
      <c r="C78" s="26">
        <v>0.82</v>
      </c>
      <c r="D78" s="26">
        <v>0.82</v>
      </c>
      <c r="E78" s="26">
        <v>0.82</v>
      </c>
      <c r="F78" s="26">
        <v>0.82</v>
      </c>
      <c r="G78" s="26">
        <v>0.82</v>
      </c>
    </row>
    <row r="79" spans="2:7" ht="14" customHeight="1" x14ac:dyDescent="0.3">
      <c r="B79" s="4" t="s">
        <v>123</v>
      </c>
      <c r="C79" s="26">
        <v>0.83399999999999996</v>
      </c>
      <c r="D79" s="26">
        <v>0.83399999999999996</v>
      </c>
      <c r="E79" s="26">
        <v>0.83399999999999996</v>
      </c>
      <c r="F79" s="26">
        <v>0.83399999999999996</v>
      </c>
      <c r="G79" s="26">
        <v>0.83399999999999996</v>
      </c>
    </row>
    <row r="80" spans="2:7" ht="14" customHeight="1" x14ac:dyDescent="0.3">
      <c r="B80" s="4" t="s">
        <v>124</v>
      </c>
      <c r="C80" s="26">
        <v>0.85499999999999998</v>
      </c>
      <c r="D80" s="26">
        <v>0.85499999999999998</v>
      </c>
      <c r="E80" s="26">
        <v>0.85499999999999998</v>
      </c>
      <c r="F80" s="26">
        <v>0.85499999999999998</v>
      </c>
      <c r="G80" s="26">
        <v>0.85499999999999998</v>
      </c>
    </row>
    <row r="82" spans="2:7" ht="14" customHeight="1" x14ac:dyDescent="0.3">
      <c r="B82" s="3" t="s">
        <v>92</v>
      </c>
    </row>
    <row r="83" spans="2:7" ht="14" customHeight="1" x14ac:dyDescent="0.3">
      <c r="B83" s="4" t="s">
        <v>84</v>
      </c>
      <c r="C83" s="26">
        <v>7.2099999999999997E-2</v>
      </c>
      <c r="D83" s="26">
        <v>7.2099999999999997E-2</v>
      </c>
      <c r="E83" s="26">
        <v>7.1999999999999995E-2</v>
      </c>
      <c r="F83" s="26">
        <v>7.1999999999999995E-2</v>
      </c>
      <c r="G83" s="26">
        <v>7.1999999999999995E-2</v>
      </c>
    </row>
    <row r="84" spans="2:7" ht="14" customHeight="1" x14ac:dyDescent="0.3">
      <c r="B84" s="4" t="s">
        <v>121</v>
      </c>
      <c r="C84" s="26">
        <v>7.8E-2</v>
      </c>
      <c r="D84" s="26">
        <v>7.3499999999999996E-2</v>
      </c>
      <c r="E84" s="26">
        <v>7.0000000000000007E-2</v>
      </c>
      <c r="F84" s="26">
        <v>6.7500000000000004E-2</v>
      </c>
      <c r="G84" s="26">
        <v>6.6000000000000003E-2</v>
      </c>
    </row>
    <row r="85" spans="2:7" ht="14" customHeight="1" x14ac:dyDescent="0.3">
      <c r="B85" s="4" t="s">
        <v>122</v>
      </c>
      <c r="C85" s="26">
        <v>7.2099999999999997E-2</v>
      </c>
      <c r="D85" s="26">
        <v>7.2099999999999997E-2</v>
      </c>
      <c r="E85" s="26">
        <v>7.1999999999999995E-2</v>
      </c>
      <c r="F85" s="26">
        <v>7.1999999999999995E-2</v>
      </c>
      <c r="G85" s="26">
        <v>7.1999999999999995E-2</v>
      </c>
    </row>
    <row r="86" spans="2:7" ht="14" customHeight="1" x14ac:dyDescent="0.3">
      <c r="B86" s="4" t="s">
        <v>123</v>
      </c>
      <c r="C86" s="26">
        <v>6.8000000000000005E-2</v>
      </c>
      <c r="D86" s="26">
        <v>7.5999999999999998E-2</v>
      </c>
      <c r="E86" s="26">
        <v>8.2000000000000003E-2</v>
      </c>
      <c r="F86" s="26">
        <v>8.5999999999999993E-2</v>
      </c>
      <c r="G86" s="26">
        <v>8.8400000000000006E-2</v>
      </c>
    </row>
    <row r="87" spans="2:7" ht="14" customHeight="1" x14ac:dyDescent="0.3">
      <c r="B87" s="4" t="s">
        <v>124</v>
      </c>
      <c r="C87" s="26">
        <v>0.09</v>
      </c>
      <c r="D87" s="26">
        <v>0.11</v>
      </c>
      <c r="E87" s="26">
        <v>0.115</v>
      </c>
      <c r="F87" s="26">
        <v>0.113</v>
      </c>
      <c r="G87" s="26">
        <v>0.11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125</v>
      </c>
    </row>
    <row r="3" spans="2:9" ht="14" customHeight="1" x14ac:dyDescent="0.3">
      <c r="B3" s="1" t="s">
        <v>126</v>
      </c>
    </row>
    <row r="5" spans="2:9" ht="14" customHeight="1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128</v>
      </c>
      <c r="C6" s="15">
        <f>'Executive Summary'!C9</f>
        <v>2947</v>
      </c>
    </row>
    <row r="7" spans="2:9" ht="14" customHeight="1" x14ac:dyDescent="0.3">
      <c r="B7" s="4" t="s">
        <v>72</v>
      </c>
      <c r="C7" s="15">
        <f>'DCF Model'!C15</f>
        <v>1114056720</v>
      </c>
    </row>
    <row r="8" spans="2:9" ht="14" customHeight="1" x14ac:dyDescent="0.3">
      <c r="B8" s="4" t="s">
        <v>129</v>
      </c>
      <c r="C8" s="5">
        <f>C6*C7/1000000</f>
        <v>3283125.1538399998</v>
      </c>
    </row>
    <row r="9" spans="2:9" ht="14" customHeight="1" x14ac:dyDescent="0.3">
      <c r="B9" s="4" t="s">
        <v>73</v>
      </c>
      <c r="C9" s="5">
        <f>'DCF Model'!C16</f>
        <v>2937424</v>
      </c>
    </row>
    <row r="10" spans="2:9" ht="14" customHeight="1" x14ac:dyDescent="0.3">
      <c r="B10" s="4" t="s">
        <v>130</v>
      </c>
      <c r="C10" s="5">
        <f>C8+C9</f>
        <v>6220549.1538399998</v>
      </c>
    </row>
    <row r="11" spans="2:9" ht="14" customHeight="1" x14ac:dyDescent="0.3">
      <c r="B11" s="4" t="s">
        <v>131</v>
      </c>
      <c r="C11" s="16">
        <f>'DCF Model'!C26</f>
        <v>4.550349923470734E-2</v>
      </c>
    </row>
    <row r="12" spans="2:9" ht="14" customHeight="1" x14ac:dyDescent="0.3">
      <c r="B12" s="4" t="s">
        <v>132</v>
      </c>
      <c r="C12" s="16">
        <f>'DCF Model'!C13</f>
        <v>0.01</v>
      </c>
    </row>
    <row r="13" spans="2:9" ht="14" customHeight="1" x14ac:dyDescent="0.3">
      <c r="B13" s="4" t="s">
        <v>133</v>
      </c>
      <c r="C13" s="16">
        <f>'DCF Model'!C6</f>
        <v>0.25</v>
      </c>
    </row>
    <row r="14" spans="2:9" ht="14" customHeight="1" x14ac:dyDescent="0.3">
      <c r="B14" s="4" t="s">
        <v>134</v>
      </c>
      <c r="C14" s="27">
        <v>437557</v>
      </c>
    </row>
    <row r="15" spans="2:9" ht="14" customHeight="1" x14ac:dyDescent="0.3">
      <c r="B15" s="4" t="s">
        <v>135</v>
      </c>
      <c r="C15" s="27">
        <v>728936</v>
      </c>
    </row>
    <row r="16" spans="2:9" ht="14" customHeight="1" x14ac:dyDescent="0.3">
      <c r="B16" s="4" t="s">
        <v>136</v>
      </c>
      <c r="C16" s="5">
        <f>'DCF Model'!G33</f>
        <v>4327200.5316059841</v>
      </c>
    </row>
    <row r="17" spans="2:9" ht="14" customHeight="1" x14ac:dyDescent="0.3">
      <c r="B17" s="4" t="s">
        <v>137</v>
      </c>
      <c r="C17" s="5">
        <f>'DCF Model'!C53</f>
        <v>8507979.3145729508</v>
      </c>
    </row>
    <row r="18" spans="2:9" ht="14" customHeight="1" x14ac:dyDescent="0.3">
      <c r="B18" s="4" t="s">
        <v>138</v>
      </c>
      <c r="C18" s="26">
        <v>0.17956844116720369</v>
      </c>
    </row>
    <row r="19" spans="2:9" ht="14" customHeight="1" x14ac:dyDescent="0.3">
      <c r="B19" s="4" t="s">
        <v>139</v>
      </c>
      <c r="C19" s="5">
        <f>C10-C17</f>
        <v>-2287430.160732951</v>
      </c>
    </row>
    <row r="20" spans="2:9" ht="14" customHeight="1" x14ac:dyDescent="0.3">
      <c r="B20" s="4" t="s">
        <v>140</v>
      </c>
      <c r="C20" s="15">
        <f>IFERROR(ROUND(C19*1000000/C7,0),"N/A")</f>
        <v>-2053</v>
      </c>
    </row>
    <row r="22" spans="2:9" ht="14" customHeight="1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142</v>
      </c>
    </row>
    <row r="24" spans="2:9" ht="14" customHeight="1" x14ac:dyDescent="0.3">
      <c r="B24" s="4" t="s">
        <v>143</v>
      </c>
      <c r="C24" s="5">
        <f>C10*(C11-C12)</f>
        <v>220851.2621228178</v>
      </c>
    </row>
    <row r="25" spans="2:9" ht="14" customHeight="1" x14ac:dyDescent="0.3">
      <c r="B25" s="4" t="s">
        <v>144</v>
      </c>
      <c r="C25" s="5">
        <f>IFERROR(C24/(1-C13),"N/A")</f>
        <v>294468.34949709038</v>
      </c>
    </row>
    <row r="26" spans="2:9" ht="13.5" customHeight="1" x14ac:dyDescent="0.25">
      <c r="B26" s="6" t="s">
        <v>145</v>
      </c>
      <c r="C26" s="14">
        <f>IFERROR(C25/C15,"N/A")</f>
        <v>0.40397010093765484</v>
      </c>
    </row>
    <row r="27" spans="2:9" ht="13.5" customHeight="1" x14ac:dyDescent="0.25">
      <c r="B27" s="6" t="s">
        <v>146</v>
      </c>
      <c r="C27" s="14">
        <f>IFERROR(C25/C14,"N/A")</f>
        <v>0.67298283308709583</v>
      </c>
    </row>
    <row r="28" spans="2:9" ht="13.5" customHeight="1" x14ac:dyDescent="0.25">
      <c r="B28" s="6" t="s">
        <v>147</v>
      </c>
      <c r="C28" s="7">
        <f>IFERROR(C25/C16,"N/A")</f>
        <v>6.8050543843828359E-2</v>
      </c>
    </row>
    <row r="29" spans="2:9" ht="13.5" customHeight="1" x14ac:dyDescent="0.25">
      <c r="B29" s="6" t="s">
        <v>148</v>
      </c>
      <c r="C29" s="5">
        <f>IFERROR(C25/C18,"N/A")</f>
        <v>1639866.9364339949</v>
      </c>
    </row>
    <row r="32" spans="2:9" ht="14" customHeight="1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150</v>
      </c>
    </row>
    <row r="34" spans="2:9" ht="14" customHeight="1" x14ac:dyDescent="0.3">
      <c r="B34" s="1" t="s">
        <v>151</v>
      </c>
    </row>
    <row r="36" spans="2:9" ht="14" customHeight="1" x14ac:dyDescent="0.3">
      <c r="B36" s="28" t="s">
        <v>152</v>
      </c>
      <c r="C36" s="28" t="s">
        <v>153</v>
      </c>
      <c r="D36" s="29">
        <f>'DCF Model'!C26-0.02</f>
        <v>2.5503499234707339E-2</v>
      </c>
      <c r="E36" s="29">
        <f>'DCF Model'!C26-0.01</f>
        <v>3.5503499234707338E-2</v>
      </c>
      <c r="F36" s="29">
        <f>'DCF Model'!C26</f>
        <v>4.550349923470734E-2</v>
      </c>
      <c r="G36" s="29">
        <f>'DCF Model'!C26+0.01</f>
        <v>5.5503499234707342E-2</v>
      </c>
      <c r="H36" s="29">
        <f>'DCF Model'!C26+0.02</f>
        <v>6.5503499234707344E-2</v>
      </c>
    </row>
    <row r="37" spans="2:9" ht="14" customHeight="1" x14ac:dyDescent="0.3">
      <c r="B37" s="3" t="s">
        <v>154</v>
      </c>
    </row>
    <row r="38" spans="2:9" ht="14" customHeight="1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0.96704716456933815</v>
      </c>
      <c r="E38" s="13">
        <f t="shared" si="0"/>
        <v>0.95467689025659097</v>
      </c>
      <c r="F38" s="13">
        <f t="shared" si="0"/>
        <v>0.94260068758627913</v>
      </c>
      <c r="G38" s="13">
        <f t="shared" si="0"/>
        <v>0.93080858137127986</v>
      </c>
      <c r="H38" s="13">
        <f t="shared" si="0"/>
        <v>0.91929103103426479</v>
      </c>
    </row>
    <row r="39" spans="2:9" ht="14" customHeight="1" x14ac:dyDescent="0.3">
      <c r="B39" s="4" t="s">
        <v>156</v>
      </c>
      <c r="C39" s="30">
        <v>5</v>
      </c>
      <c r="D39" s="13">
        <f t="shared" si="0"/>
        <v>1.9023600717063109</v>
      </c>
      <c r="E39" s="13">
        <f t="shared" si="0"/>
        <v>1.8663336707270601</v>
      </c>
      <c r="F39" s="13">
        <f t="shared" si="0"/>
        <v>1.8314923593165506</v>
      </c>
      <c r="G39" s="13">
        <f t="shared" si="0"/>
        <v>1.7977831203562888</v>
      </c>
      <c r="H39" s="13">
        <f t="shared" si="0"/>
        <v>1.7651558757333401</v>
      </c>
    </row>
    <row r="40" spans="2:9" ht="14" customHeight="1" x14ac:dyDescent="0.3">
      <c r="B40" s="4" t="s">
        <v>157</v>
      </c>
      <c r="C40" s="30">
        <v>7</v>
      </c>
      <c r="D40" s="13">
        <f t="shared" si="0"/>
        <v>2.8071092930515062</v>
      </c>
      <c r="E40" s="13">
        <f t="shared" si="0"/>
        <v>2.7371487335971221</v>
      </c>
      <c r="F40" s="13">
        <f t="shared" si="0"/>
        <v>2.6701127963874765</v>
      </c>
      <c r="G40" s="13">
        <f t="shared" si="0"/>
        <v>2.6058397054698403</v>
      </c>
      <c r="H40" s="13">
        <f t="shared" si="0"/>
        <v>2.5441785321433934</v>
      </c>
    </row>
    <row r="41" spans="2:9" ht="14" customHeight="1" x14ac:dyDescent="0.3">
      <c r="B41" s="4" t="s">
        <v>158</v>
      </c>
      <c r="C41" s="30">
        <v>10</v>
      </c>
      <c r="D41" s="13">
        <f t="shared" si="0"/>
        <v>4.1093740093497475</v>
      </c>
      <c r="E41" s="13">
        <f t="shared" si="0"/>
        <v>3.9712705890950444</v>
      </c>
      <c r="F41" s="13">
        <f t="shared" si="0"/>
        <v>3.8407319722407074</v>
      </c>
      <c r="G41" s="13">
        <f t="shared" si="0"/>
        <v>3.7172229665662262</v>
      </c>
      <c r="H41" s="13">
        <f t="shared" si="0"/>
        <v>3.6002533451302412</v>
      </c>
    </row>
    <row r="42" spans="2:9" ht="14" customHeight="1" x14ac:dyDescent="0.3">
      <c r="B42" s="3" t="s">
        <v>159</v>
      </c>
    </row>
    <row r="43" spans="2:9" ht="14" customHeight="1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62.292213067668108</v>
      </c>
      <c r="E43" s="13">
        <f t="shared" si="1"/>
        <v>37.511292899968396</v>
      </c>
      <c r="F43" s="13">
        <f t="shared" si="1"/>
        <v>26.696555171470706</v>
      </c>
      <c r="G43" s="13">
        <f t="shared" si="1"/>
        <v>20.640057626932247</v>
      </c>
      <c r="H43" s="13">
        <f t="shared" si="1"/>
        <v>16.769800952674277</v>
      </c>
    </row>
    <row r="44" spans="2:9" ht="14" customHeight="1" x14ac:dyDescent="0.3">
      <c r="B44" s="4" t="s">
        <v>156</v>
      </c>
      <c r="C44" s="30">
        <v>5</v>
      </c>
      <c r="D44" s="13">
        <f t="shared" si="1"/>
        <v>60.175615188039167</v>
      </c>
      <c r="E44" s="13">
        <f t="shared" si="1"/>
        <v>35.905466188468729</v>
      </c>
      <c r="F44" s="13">
        <f t="shared" si="1"/>
        <v>25.325463612391744</v>
      </c>
      <c r="G44" s="13">
        <f t="shared" si="1"/>
        <v>19.409138961060417</v>
      </c>
      <c r="H44" s="13">
        <f t="shared" si="1"/>
        <v>15.635210004691031</v>
      </c>
    </row>
    <row r="45" spans="2:9" ht="14" customHeight="1" x14ac:dyDescent="0.3">
      <c r="B45" s="4" t="s">
        <v>157</v>
      </c>
      <c r="C45" s="30">
        <v>7</v>
      </c>
      <c r="D45" s="13">
        <f t="shared" si="1"/>
        <v>58.147605727923853</v>
      </c>
      <c r="E45" s="13">
        <f t="shared" si="1"/>
        <v>34.387266090597215</v>
      </c>
      <c r="F45" s="13">
        <f t="shared" si="1"/>
        <v>24.04570349599237</v>
      </c>
      <c r="G45" s="13">
        <f t="shared" si="1"/>
        <v>18.274407781567028</v>
      </c>
      <c r="H45" s="13">
        <f t="shared" si="1"/>
        <v>14.60186982298862</v>
      </c>
    </row>
    <row r="46" spans="2:9" ht="14" customHeight="1" x14ac:dyDescent="0.3">
      <c r="B46" s="4" t="s">
        <v>158</v>
      </c>
      <c r="C46" s="30">
        <v>10</v>
      </c>
      <c r="D46" s="13">
        <f t="shared" si="1"/>
        <v>55.263050741676693</v>
      </c>
      <c r="E46" s="13">
        <f t="shared" si="1"/>
        <v>32.262949340007154</v>
      </c>
      <c r="F46" s="13">
        <f t="shared" si="1"/>
        <v>22.282796537007723</v>
      </c>
      <c r="G46" s="13">
        <f t="shared" si="1"/>
        <v>16.734652248739728</v>
      </c>
      <c r="H46" s="13">
        <f t="shared" si="1"/>
        <v>13.220000009994488</v>
      </c>
    </row>
    <row r="47" spans="2:9" ht="14" customHeight="1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155</v>
      </c>
      <c r="C48" s="30">
        <v>3</v>
      </c>
      <c r="D48" s="5">
        <f t="shared" ref="D48:H51" si="2">IFERROR(($C$10/(1-$C$13)-$C$14*D38)/D43,"N/A")</f>
        <v>126354.91491875026</v>
      </c>
      <c r="E48" s="5">
        <f t="shared" si="2"/>
        <v>209972.5009049199</v>
      </c>
      <c r="F48" s="5">
        <f t="shared" si="2"/>
        <v>295230.00097847258</v>
      </c>
      <c r="G48" s="5">
        <f t="shared" si="2"/>
        <v>382110.54787575611</v>
      </c>
      <c r="H48" s="5">
        <f t="shared" si="2"/>
        <v>470597.31567824993</v>
      </c>
    </row>
    <row r="49" spans="2:9" ht="14" customHeight="1" x14ac:dyDescent="0.3">
      <c r="B49" s="4" t="s">
        <v>156</v>
      </c>
      <c r="C49" s="30">
        <v>5</v>
      </c>
      <c r="D49" s="5">
        <f t="shared" si="2"/>
        <v>123998.30976785523</v>
      </c>
      <c r="E49" s="5">
        <f t="shared" si="2"/>
        <v>208253.47698430496</v>
      </c>
      <c r="F49" s="5">
        <f t="shared" si="2"/>
        <v>295855.71861048549</v>
      </c>
      <c r="G49" s="5">
        <f t="shared" si="2"/>
        <v>386798.86648868775</v>
      </c>
      <c r="H49" s="5">
        <f t="shared" si="2"/>
        <v>481075.03683534422</v>
      </c>
    </row>
    <row r="50" spans="2:9" ht="14" customHeight="1" x14ac:dyDescent="0.3">
      <c r="B50" s="4" t="s">
        <v>157</v>
      </c>
      <c r="C50" s="30">
        <v>7</v>
      </c>
      <c r="D50" s="5">
        <f t="shared" si="2"/>
        <v>121514.80923522245</v>
      </c>
      <c r="E50" s="5">
        <f t="shared" si="2"/>
        <v>206367.2910585702</v>
      </c>
      <c r="F50" s="5">
        <f t="shared" si="2"/>
        <v>296341.46469418309</v>
      </c>
      <c r="G50" s="5">
        <f t="shared" si="2"/>
        <v>391468.89026209654</v>
      </c>
      <c r="H50" s="5">
        <f t="shared" si="2"/>
        <v>491775.53967499599</v>
      </c>
    </row>
    <row r="51" spans="2:9" ht="14" customHeight="1" x14ac:dyDescent="0.3">
      <c r="B51" s="4" t="s">
        <v>158</v>
      </c>
      <c r="C51" s="30">
        <v>10</v>
      </c>
      <c r="D51" s="5">
        <f t="shared" si="2"/>
        <v>117546.53584741992</v>
      </c>
      <c r="E51" s="5">
        <f t="shared" si="2"/>
        <v>203217.8839015968</v>
      </c>
      <c r="F51" s="5">
        <f t="shared" si="2"/>
        <v>296799.65743490617</v>
      </c>
      <c r="G51" s="5">
        <f t="shared" si="2"/>
        <v>398428.87140804756</v>
      </c>
      <c r="H51" s="5">
        <f t="shared" si="2"/>
        <v>508226.13316480484</v>
      </c>
    </row>
    <row r="52" spans="2:9" ht="14" customHeight="1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155</v>
      </c>
      <c r="C53" s="30">
        <v>3</v>
      </c>
      <c r="D53" s="14">
        <f t="shared" ref="D53:H56" si="3">IFERROR(D48/$C$15,"N/A")</f>
        <v>0.17334157582935986</v>
      </c>
      <c r="E53" s="14">
        <f t="shared" si="3"/>
        <v>0.28805341059423584</v>
      </c>
      <c r="F53" s="14">
        <f t="shared" si="3"/>
        <v>0.4050149820813797</v>
      </c>
      <c r="G53" s="14">
        <f t="shared" si="3"/>
        <v>0.52420315072346013</v>
      </c>
      <c r="H53" s="14">
        <f t="shared" si="3"/>
        <v>0.64559483367298354</v>
      </c>
    </row>
    <row r="54" spans="2:9" ht="14" customHeight="1" x14ac:dyDescent="0.3">
      <c r="B54" s="4" t="s">
        <v>156</v>
      </c>
      <c r="C54" s="30">
        <v>5</v>
      </c>
      <c r="D54" s="14">
        <f t="shared" si="3"/>
        <v>0.17010863747689128</v>
      </c>
      <c r="E54" s="14">
        <f t="shared" si="3"/>
        <v>0.28569514605439295</v>
      </c>
      <c r="F54" s="14">
        <f t="shared" si="3"/>
        <v>0.40587338066783024</v>
      </c>
      <c r="G54" s="14">
        <f t="shared" si="3"/>
        <v>0.53063487945263743</v>
      </c>
      <c r="H54" s="14">
        <f t="shared" si="3"/>
        <v>0.65996882694138337</v>
      </c>
    </row>
    <row r="55" spans="2:9" ht="14" customHeight="1" x14ac:dyDescent="0.3">
      <c r="B55" s="4" t="s">
        <v>157</v>
      </c>
      <c r="C55" s="30">
        <v>7</v>
      </c>
      <c r="D55" s="14">
        <f t="shared" si="3"/>
        <v>0.16670161610240466</v>
      </c>
      <c r="E55" s="14">
        <f t="shared" si="3"/>
        <v>0.28310755821988515</v>
      </c>
      <c r="F55" s="14">
        <f t="shared" si="3"/>
        <v>0.40653975752903282</v>
      </c>
      <c r="G55" s="14">
        <f t="shared" si="3"/>
        <v>0.53704151017660884</v>
      </c>
      <c r="H55" s="14">
        <f t="shared" si="3"/>
        <v>0.67464844605698715</v>
      </c>
    </row>
    <row r="56" spans="2:9" ht="14" customHeight="1" x14ac:dyDescent="0.3">
      <c r="B56" s="4" t="s">
        <v>158</v>
      </c>
      <c r="C56" s="30">
        <v>10</v>
      </c>
      <c r="D56" s="14">
        <f t="shared" si="3"/>
        <v>0.16125769045213834</v>
      </c>
      <c r="E56" s="14">
        <f t="shared" si="3"/>
        <v>0.27878700448543742</v>
      </c>
      <c r="F56" s="14">
        <f t="shared" si="3"/>
        <v>0.40716833499087185</v>
      </c>
      <c r="G56" s="14">
        <f t="shared" si="3"/>
        <v>0.54658964766186269</v>
      </c>
      <c r="H56" s="14">
        <f t="shared" si="3"/>
        <v>0.69721639919664391</v>
      </c>
    </row>
    <row r="58" spans="2:9" ht="14" customHeight="1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163</v>
      </c>
    </row>
    <row r="60" spans="2:9" ht="14" customHeight="1" x14ac:dyDescent="0.3">
      <c r="B60" s="4" t="s">
        <v>164</v>
      </c>
      <c r="C60" s="5">
        <f>F49</f>
        <v>295855.71861048549</v>
      </c>
    </row>
    <row r="62" spans="2:9" ht="14" customHeight="1" x14ac:dyDescent="0.3">
      <c r="B62" s="28" t="s">
        <v>165</v>
      </c>
      <c r="C62" s="28" t="s">
        <v>166</v>
      </c>
      <c r="D62" s="28" t="s">
        <v>167</v>
      </c>
    </row>
    <row r="63" spans="2:9" ht="14" customHeight="1" x14ac:dyDescent="0.3">
      <c r="B63" s="31">
        <v>8.9800000000000005E-2</v>
      </c>
      <c r="C63" s="5">
        <f>IFERROR($C$60/B63,"N/A")</f>
        <v>3294607.1114753392</v>
      </c>
      <c r="D63" s="14">
        <f>IFERROR(C63/'DCF Model'!C17,"N/A")</f>
        <v>0.81215231026964929</v>
      </c>
    </row>
    <row r="64" spans="2:9" ht="14" customHeight="1" x14ac:dyDescent="0.3">
      <c r="B64" s="31">
        <v>0.13469999999999999</v>
      </c>
      <c r="C64" s="5">
        <f>IFERROR($C$60/B64,"N/A")</f>
        <v>2196404.7409835598</v>
      </c>
      <c r="D64" s="14">
        <f>IFERROR(C64/'DCF Model'!C17,"N/A")</f>
        <v>0.5414348735130996</v>
      </c>
    </row>
    <row r="65" spans="2:9" ht="14" customHeight="1" x14ac:dyDescent="0.3">
      <c r="B65" s="4" t="s">
        <v>168</v>
      </c>
      <c r="C65" s="5">
        <f>IFERROR($C$60/$C$18,"N/A")</f>
        <v>1647593.066395235</v>
      </c>
      <c r="D65" s="14">
        <f>IFERROR(C65/'DCF Model'!C17,"N/A")</f>
        <v>0.40614752229377066</v>
      </c>
    </row>
    <row r="66" spans="2:9" ht="14" customHeight="1" x14ac:dyDescent="0.3">
      <c r="B66" s="31">
        <v>0.22450000000000001</v>
      </c>
      <c r="C66" s="5">
        <f>IFERROR($C$60/B66,"N/A")</f>
        <v>1317842.8445901359</v>
      </c>
      <c r="D66" s="14">
        <f>IFERROR(C66/'DCF Model'!C17,"N/A")</f>
        <v>0.32486092410785977</v>
      </c>
    </row>
    <row r="67" spans="2:9" ht="14" customHeight="1" x14ac:dyDescent="0.3">
      <c r="B67" s="31">
        <v>0.26939999999999997</v>
      </c>
      <c r="C67" s="5">
        <f>IFERROR($C$60/B67,"N/A")</f>
        <v>1098202.3704917799</v>
      </c>
      <c r="D67" s="14">
        <f>IFERROR(C67/'DCF Model'!C17,"N/A")</f>
        <v>0.2707174367565498</v>
      </c>
    </row>
    <row r="69" spans="2:9" ht="14" customHeight="1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170</v>
      </c>
      <c r="C70" s="14">
        <f>IFERROR(C10/'Comps Analysis'!G5,"N/A")</f>
        <v>7.657474184575614</v>
      </c>
    </row>
    <row r="71" spans="2:9" ht="13.5" customHeight="1" x14ac:dyDescent="0.25">
      <c r="B71" s="6" t="s">
        <v>171</v>
      </c>
      <c r="C71" s="14">
        <f>IFERROR(C10/'Comps Analysis'!F5,"N/A")</f>
        <v>1.5334251385667488</v>
      </c>
    </row>
    <row r="72" spans="2:9" ht="14" customHeight="1" x14ac:dyDescent="0.3">
      <c r="B72" s="4" t="s">
        <v>172</v>
      </c>
      <c r="C72" s="14">
        <f>IFERROR(C10/(C25+'DCF Model'!G42),"N/A")</f>
        <v>8.9594326867055329</v>
      </c>
    </row>
    <row r="73" spans="2:9" ht="14" customHeight="1" x14ac:dyDescent="0.3">
      <c r="B73" s="4" t="s">
        <v>173</v>
      </c>
      <c r="C73" s="14">
        <f>IFERROR(C10/(C60+'DCF Model'!G42),"N/A")</f>
        <v>8.9415654510150748</v>
      </c>
    </row>
    <row r="74" spans="2:9" ht="14" customHeight="1" x14ac:dyDescent="0.3">
      <c r="B74" s="4" t="s">
        <v>174</v>
      </c>
      <c r="C74" s="14">
        <f>IFERROR('Comps Analysis'!D16,"N/A")</f>
        <v>8.6683807421758896</v>
      </c>
    </row>
    <row r="75" spans="2:9" ht="14" customHeight="1" x14ac:dyDescent="0.3">
      <c r="B75" s="1" t="s">
        <v>175</v>
      </c>
    </row>
    <row r="77" spans="2:9" ht="14" customHeight="1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FY2026."</f>
        <v>At 2,947 yen the market is paying for a steady-state operating profit of 295,856 mn JPY - 0.41x the FY2024 cycle peak of 728,936 mn - reached in 5 years and sustained for ever, against 437,557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294,468 mn, or 0.40x the peak. The base case supports an EV of only 8,507,979 mn, leaving -2,053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177</v>
      </c>
    </row>
    <row r="4" spans="2:8" ht="14" customHeight="1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customHeight="1" x14ac:dyDescent="0.3">
      <c r="B5" s="33" t="s">
        <v>180</v>
      </c>
      <c r="C5" s="34">
        <f>C12/C9*365</f>
        <v>39.521151387220499</v>
      </c>
      <c r="D5" s="34">
        <f>CHOOSE('DCF Model'!$D$27,D25,D26,D27,D28,D29)</f>
        <v>38</v>
      </c>
      <c r="E5" s="34">
        <f>CHOOSE('DCF Model'!$D$27,E25,E26,E27,E28,E29)</f>
        <v>38</v>
      </c>
      <c r="F5" s="34">
        <f>CHOOSE('DCF Model'!$D$27,F25,F26,F27,F28,F29)</f>
        <v>38</v>
      </c>
      <c r="G5" s="34">
        <f>CHOOSE('DCF Model'!$D$27,G25,G26,G27,G28,G29)</f>
        <v>38</v>
      </c>
      <c r="H5" s="34">
        <f>CHOOSE('DCF Model'!$D$27,H25,H26,H27,H28,H29)</f>
        <v>38</v>
      </c>
    </row>
    <row r="6" spans="2:8" ht="14" customHeight="1" x14ac:dyDescent="0.3">
      <c r="B6" s="33" t="s">
        <v>181</v>
      </c>
      <c r="C6" s="34">
        <f>C13/C10*365</f>
        <v>33.582182488367209</v>
      </c>
      <c r="D6" s="34">
        <f>CHOOSE('DCF Model'!$D$27,D32,D33,D34,D35,D36)</f>
        <v>28</v>
      </c>
      <c r="E6" s="34">
        <f>CHOOSE('DCF Model'!$D$27,E32,E33,E34,E35,E36)</f>
        <v>28</v>
      </c>
      <c r="F6" s="34">
        <f>CHOOSE('DCF Model'!$D$27,F32,F33,F34,F35,F36)</f>
        <v>28</v>
      </c>
      <c r="G6" s="34">
        <f>CHOOSE('DCF Model'!$D$27,G32,G33,G34,G35,G36)</f>
        <v>28</v>
      </c>
      <c r="H6" s="34">
        <f>CHOOSE('DCF Model'!$D$27,H32,H33,H34,H35,H36)</f>
        <v>28</v>
      </c>
    </row>
    <row r="7" spans="2:8" ht="14" customHeight="1" x14ac:dyDescent="0.3">
      <c r="B7" s="33" t="s">
        <v>182</v>
      </c>
      <c r="C7" s="34">
        <f>C15/C10*365</f>
        <v>21.38435182422052</v>
      </c>
      <c r="D7" s="34">
        <f>CHOOSE('DCF Model'!$D$27,D39,D40,D41,D42,D43)</f>
        <v>20</v>
      </c>
      <c r="E7" s="34">
        <f>CHOOSE('DCF Model'!$D$27,E39,E40,E41,E42,E43)</f>
        <v>20</v>
      </c>
      <c r="F7" s="34">
        <f>CHOOSE('DCF Model'!$D$27,F39,F40,F41,F42,F43)</f>
        <v>20</v>
      </c>
      <c r="G7" s="34">
        <f>CHOOSE('DCF Model'!$D$27,G39,G40,G41,G42,G43)</f>
        <v>20</v>
      </c>
      <c r="H7" s="34">
        <f>CHOOSE('DCF Model'!$D$27,H39,H40,H41,H42,H43)</f>
        <v>20</v>
      </c>
    </row>
    <row r="8" spans="2:8" ht="14" customHeight="1" x14ac:dyDescent="0.3">
      <c r="B8" s="8" t="s">
        <v>183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37</v>
      </c>
      <c r="C9" s="35">
        <v>4056637</v>
      </c>
      <c r="D9" s="35">
        <f>'DCF Model'!C33</f>
        <v>4097203.37</v>
      </c>
      <c r="E9" s="35">
        <f>'DCF Model'!D33</f>
        <v>4158661.4205499999</v>
      </c>
      <c r="F9" s="35">
        <f>'DCF Model'!E33</f>
        <v>4221041.3418582492</v>
      </c>
      <c r="G9" s="35">
        <f>'DCF Model'!F33</f>
        <v>4284356.9619861227</v>
      </c>
      <c r="H9" s="35">
        <f>'DCF Model'!G33</f>
        <v>4327200.5316059841</v>
      </c>
    </row>
    <row r="10" spans="2:8" ht="14" customHeight="1" x14ac:dyDescent="0.3">
      <c r="B10" s="33" t="s">
        <v>38</v>
      </c>
      <c r="C10" s="35">
        <v>3619080</v>
      </c>
      <c r="D10" s="35">
        <f>'DCF Model'!C34</f>
        <v>3359706.7634000001</v>
      </c>
      <c r="E10" s="35">
        <f>'DCF Model'!D34</f>
        <v>3410102.3648509998</v>
      </c>
      <c r="F10" s="35">
        <f>'DCF Model'!E34</f>
        <v>3461253.900323764</v>
      </c>
      <c r="G10" s="35">
        <f>'DCF Model'!F34</f>
        <v>3513172.7088286201</v>
      </c>
      <c r="H10" s="35">
        <f>'DCF Model'!G34</f>
        <v>3548304.4359169067</v>
      </c>
    </row>
    <row r="11" spans="2:8" ht="14" customHeight="1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185</v>
      </c>
      <c r="C12" s="35">
        <v>439241</v>
      </c>
      <c r="D12" s="35">
        <f t="shared" ref="D12:H13" si="0">D9*D5/365</f>
        <v>426558.15906849317</v>
      </c>
      <c r="E12" s="35">
        <f t="shared" si="0"/>
        <v>432956.53145452053</v>
      </c>
      <c r="F12" s="35">
        <f t="shared" si="0"/>
        <v>439450.87942633824</v>
      </c>
      <c r="G12" s="35">
        <f t="shared" si="0"/>
        <v>446042.64261773333</v>
      </c>
      <c r="H12" s="35">
        <f t="shared" si="0"/>
        <v>450503.06904391065</v>
      </c>
    </row>
    <row r="13" spans="2:8" ht="14" customHeight="1" x14ac:dyDescent="0.3">
      <c r="B13" s="33" t="s">
        <v>186</v>
      </c>
      <c r="C13" s="35">
        <v>332977</v>
      </c>
      <c r="D13" s="35">
        <f t="shared" si="0"/>
        <v>257730.92979506851</v>
      </c>
      <c r="E13" s="35">
        <f t="shared" si="0"/>
        <v>261596.89374199451</v>
      </c>
      <c r="F13" s="35">
        <f t="shared" si="0"/>
        <v>265520.84714812436</v>
      </c>
      <c r="G13" s="35">
        <f t="shared" si="0"/>
        <v>269503.6598553462</v>
      </c>
      <c r="H13" s="35">
        <f t="shared" si="0"/>
        <v>272198.69645389967</v>
      </c>
    </row>
    <row r="14" spans="2:8" ht="14" customHeight="1" x14ac:dyDescent="0.3">
      <c r="B14" s="33" t="s">
        <v>187</v>
      </c>
      <c r="C14" s="35">
        <f t="shared" ref="C14:H14" si="1">C12+C13</f>
        <v>772218</v>
      </c>
      <c r="D14" s="35">
        <f t="shared" si="1"/>
        <v>684289.08886356163</v>
      </c>
      <c r="E14" s="35">
        <f t="shared" si="1"/>
        <v>694553.42519651505</v>
      </c>
      <c r="F14" s="35">
        <f t="shared" si="1"/>
        <v>704971.72657446261</v>
      </c>
      <c r="G14" s="35">
        <f t="shared" si="1"/>
        <v>715546.30247307953</v>
      </c>
      <c r="H14" s="35">
        <f t="shared" si="1"/>
        <v>722701.76549781032</v>
      </c>
    </row>
    <row r="15" spans="2:8" ht="14" customHeight="1" x14ac:dyDescent="0.3">
      <c r="B15" s="33" t="s">
        <v>188</v>
      </c>
      <c r="C15" s="35">
        <v>212032</v>
      </c>
      <c r="D15" s="35">
        <f>D10*D7/365</f>
        <v>184093.5212821918</v>
      </c>
      <c r="E15" s="35">
        <f>E10*E7/365</f>
        <v>186854.92410142464</v>
      </c>
      <c r="F15" s="35">
        <f>F10*F7/365</f>
        <v>189657.74796294598</v>
      </c>
      <c r="G15" s="35">
        <f>G10*G7/365</f>
        <v>192502.61418239013</v>
      </c>
      <c r="H15" s="35">
        <f>H10*H7/365</f>
        <v>194427.64032421407</v>
      </c>
    </row>
    <row r="16" spans="2:8" ht="14" customHeight="1" x14ac:dyDescent="0.3">
      <c r="B16" s="33" t="s">
        <v>189</v>
      </c>
      <c r="C16" s="35">
        <f t="shared" ref="C16:H16" si="2">C15</f>
        <v>212032</v>
      </c>
      <c r="D16" s="35">
        <f t="shared" si="2"/>
        <v>184093.5212821918</v>
      </c>
      <c r="E16" s="35">
        <f t="shared" si="2"/>
        <v>186854.92410142464</v>
      </c>
      <c r="F16" s="35">
        <f t="shared" si="2"/>
        <v>189657.74796294598</v>
      </c>
      <c r="G16" s="35">
        <f t="shared" si="2"/>
        <v>192502.61418239013</v>
      </c>
      <c r="H16" s="35">
        <f t="shared" si="2"/>
        <v>194427.64032421407</v>
      </c>
    </row>
    <row r="17" spans="2:8" ht="14" customHeight="1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191</v>
      </c>
      <c r="C18" s="20">
        <f t="shared" ref="C18:H18" si="3">C14-C16</f>
        <v>560186</v>
      </c>
      <c r="D18" s="20">
        <f t="shared" si="3"/>
        <v>500195.56758136983</v>
      </c>
      <c r="E18" s="20">
        <f t="shared" si="3"/>
        <v>507698.50109509041</v>
      </c>
      <c r="F18" s="20">
        <f t="shared" si="3"/>
        <v>515313.97861151665</v>
      </c>
      <c r="G18" s="20">
        <f t="shared" si="3"/>
        <v>523043.68829068937</v>
      </c>
      <c r="H18" s="20">
        <f t="shared" si="3"/>
        <v>528274.1251735962</v>
      </c>
    </row>
    <row r="19" spans="2:8" ht="14" customHeight="1" x14ac:dyDescent="0.3">
      <c r="B19" s="33" t="s">
        <v>100</v>
      </c>
      <c r="C19" s="36" t="s">
        <v>47</v>
      </c>
      <c r="D19" s="24">
        <f>D18-C18</f>
        <v>-59990.432418630167</v>
      </c>
      <c r="E19" s="24">
        <f>E18-D18</f>
        <v>7502.933513720578</v>
      </c>
      <c r="F19" s="24">
        <f>F18-E18</f>
        <v>7615.4775164262392</v>
      </c>
      <c r="G19" s="24">
        <f>G18-F18</f>
        <v>7729.7096791727236</v>
      </c>
      <c r="H19" s="24">
        <f>H18-G18</f>
        <v>5230.4368829068262</v>
      </c>
    </row>
    <row r="22" spans="2:8" ht="14" customHeight="1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customHeight="1" x14ac:dyDescent="0.3">
      <c r="B24" s="3" t="s">
        <v>193</v>
      </c>
    </row>
    <row r="25" spans="2:8" ht="14" customHeight="1" x14ac:dyDescent="0.3">
      <c r="B25" s="4" t="s">
        <v>84</v>
      </c>
      <c r="D25" s="30">
        <v>38</v>
      </c>
      <c r="E25" s="30">
        <v>38</v>
      </c>
      <c r="F25" s="30">
        <v>38</v>
      </c>
      <c r="G25" s="30">
        <v>38</v>
      </c>
      <c r="H25" s="30">
        <v>38</v>
      </c>
    </row>
    <row r="26" spans="2:8" ht="14" customHeight="1" x14ac:dyDescent="0.3">
      <c r="B26" s="4" t="s">
        <v>121</v>
      </c>
      <c r="D26" s="30">
        <v>35</v>
      </c>
      <c r="E26" s="30">
        <v>35</v>
      </c>
      <c r="F26" s="30">
        <v>35</v>
      </c>
      <c r="G26" s="30">
        <v>35</v>
      </c>
      <c r="H26" s="30">
        <v>35</v>
      </c>
    </row>
    <row r="27" spans="2:8" ht="14" customHeight="1" x14ac:dyDescent="0.3">
      <c r="B27" s="4" t="s">
        <v>122</v>
      </c>
      <c r="D27" s="30">
        <v>38</v>
      </c>
      <c r="E27" s="30">
        <v>38</v>
      </c>
      <c r="F27" s="30">
        <v>38</v>
      </c>
      <c r="G27" s="30">
        <v>38</v>
      </c>
      <c r="H27" s="30">
        <v>38</v>
      </c>
    </row>
    <row r="28" spans="2:8" ht="14" customHeight="1" x14ac:dyDescent="0.3">
      <c r="B28" s="4" t="s">
        <v>123</v>
      </c>
      <c r="D28" s="30">
        <v>42</v>
      </c>
      <c r="E28" s="30">
        <v>42</v>
      </c>
      <c r="F28" s="30">
        <v>42</v>
      </c>
      <c r="G28" s="30">
        <v>42</v>
      </c>
      <c r="H28" s="30">
        <v>42</v>
      </c>
    </row>
    <row r="29" spans="2:8" ht="14" customHeight="1" x14ac:dyDescent="0.3">
      <c r="B29" s="4" t="s">
        <v>124</v>
      </c>
      <c r="D29" s="30">
        <v>46</v>
      </c>
      <c r="E29" s="30">
        <v>46</v>
      </c>
      <c r="F29" s="30">
        <v>46</v>
      </c>
      <c r="G29" s="30">
        <v>46</v>
      </c>
      <c r="H29" s="30">
        <v>46</v>
      </c>
    </row>
    <row r="31" spans="2:8" ht="14" customHeight="1" x14ac:dyDescent="0.3">
      <c r="B31" s="3" t="s">
        <v>194</v>
      </c>
    </row>
    <row r="32" spans="2:8" ht="14" customHeight="1" x14ac:dyDescent="0.3">
      <c r="B32" s="4" t="s">
        <v>84</v>
      </c>
      <c r="D32" s="30">
        <v>28</v>
      </c>
      <c r="E32" s="30">
        <v>28</v>
      </c>
      <c r="F32" s="30">
        <v>28</v>
      </c>
      <c r="G32" s="30">
        <v>28</v>
      </c>
      <c r="H32" s="30">
        <v>28</v>
      </c>
    </row>
    <row r="33" spans="2:8" ht="14" customHeight="1" x14ac:dyDescent="0.3">
      <c r="B33" s="4" t="s">
        <v>121</v>
      </c>
      <c r="D33" s="30">
        <v>22</v>
      </c>
      <c r="E33" s="30">
        <v>22</v>
      </c>
      <c r="F33" s="30">
        <v>22</v>
      </c>
      <c r="G33" s="30">
        <v>22</v>
      </c>
      <c r="H33" s="30">
        <v>22</v>
      </c>
    </row>
    <row r="34" spans="2:8" ht="14" customHeight="1" x14ac:dyDescent="0.3">
      <c r="B34" s="4" t="s">
        <v>122</v>
      </c>
      <c r="D34" s="30">
        <v>28</v>
      </c>
      <c r="E34" s="30">
        <v>28</v>
      </c>
      <c r="F34" s="30">
        <v>28</v>
      </c>
      <c r="G34" s="30">
        <v>28</v>
      </c>
      <c r="H34" s="30">
        <v>28</v>
      </c>
    </row>
    <row r="35" spans="2:8" ht="14" customHeight="1" x14ac:dyDescent="0.3">
      <c r="B35" s="4" t="s">
        <v>123</v>
      </c>
      <c r="D35" s="30">
        <v>35</v>
      </c>
      <c r="E35" s="30">
        <v>35</v>
      </c>
      <c r="F35" s="30">
        <v>35</v>
      </c>
      <c r="G35" s="30">
        <v>35</v>
      </c>
      <c r="H35" s="30">
        <v>35</v>
      </c>
    </row>
    <row r="36" spans="2:8" ht="14" customHeight="1" x14ac:dyDescent="0.3">
      <c r="B36" s="4" t="s">
        <v>124</v>
      </c>
      <c r="D36" s="30">
        <v>42</v>
      </c>
      <c r="E36" s="30">
        <v>42</v>
      </c>
      <c r="F36" s="30">
        <v>42</v>
      </c>
      <c r="G36" s="30">
        <v>42</v>
      </c>
      <c r="H36" s="30">
        <v>42</v>
      </c>
    </row>
    <row r="38" spans="2:8" ht="14" customHeight="1" x14ac:dyDescent="0.3">
      <c r="B38" s="3" t="s">
        <v>195</v>
      </c>
    </row>
    <row r="39" spans="2:8" ht="14" customHeight="1" x14ac:dyDescent="0.3">
      <c r="B39" s="4" t="s">
        <v>84</v>
      </c>
      <c r="D39" s="30">
        <v>20</v>
      </c>
      <c r="E39" s="30">
        <v>20</v>
      </c>
      <c r="F39" s="30">
        <v>20</v>
      </c>
      <c r="G39" s="30">
        <v>20</v>
      </c>
      <c r="H39" s="30">
        <v>20</v>
      </c>
    </row>
    <row r="40" spans="2:8" ht="14" customHeight="1" x14ac:dyDescent="0.3">
      <c r="B40" s="4" t="s">
        <v>121</v>
      </c>
      <c r="D40" s="30">
        <v>22</v>
      </c>
      <c r="E40" s="30">
        <v>22</v>
      </c>
      <c r="F40" s="30">
        <v>22</v>
      </c>
      <c r="G40" s="30">
        <v>22</v>
      </c>
      <c r="H40" s="30">
        <v>22</v>
      </c>
    </row>
    <row r="41" spans="2:8" ht="14" customHeight="1" x14ac:dyDescent="0.3">
      <c r="B41" s="4" t="s">
        <v>122</v>
      </c>
      <c r="D41" s="30">
        <v>20</v>
      </c>
      <c r="E41" s="30">
        <v>20</v>
      </c>
      <c r="F41" s="30">
        <v>20</v>
      </c>
      <c r="G41" s="30">
        <v>20</v>
      </c>
      <c r="H41" s="30">
        <v>20</v>
      </c>
    </row>
    <row r="42" spans="2:8" ht="14" customHeight="1" x14ac:dyDescent="0.3">
      <c r="B42" s="4" t="s">
        <v>123</v>
      </c>
      <c r="D42" s="30">
        <v>17</v>
      </c>
      <c r="E42" s="30">
        <v>17</v>
      </c>
      <c r="F42" s="30">
        <v>17</v>
      </c>
      <c r="G42" s="30">
        <v>17</v>
      </c>
      <c r="H42" s="30">
        <v>17</v>
      </c>
    </row>
    <row r="43" spans="2:8" ht="14" customHeight="1" x14ac:dyDescent="0.3">
      <c r="B43" s="4" t="s">
        <v>124</v>
      </c>
      <c r="D43" s="30">
        <v>14</v>
      </c>
      <c r="E43" s="30">
        <v>14</v>
      </c>
      <c r="F43" s="30">
        <v>14</v>
      </c>
      <c r="G43" s="30">
        <v>14</v>
      </c>
      <c r="H43" s="30">
        <v>14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196</v>
      </c>
    </row>
    <row r="3" spans="2:17" ht="14" customHeight="1" x14ac:dyDescent="0.3">
      <c r="B3" s="1" t="s">
        <v>197</v>
      </c>
    </row>
    <row r="4" spans="2:17" ht="28" customHeight="1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customHeight="1" x14ac:dyDescent="0.3">
      <c r="B5" s="4" t="s">
        <v>212</v>
      </c>
      <c r="C5" t="s">
        <v>213</v>
      </c>
      <c r="D5" s="37">
        <f>'Executive Summary'!C9*C23/1000000</f>
        <v>3283125.1538399998</v>
      </c>
      <c r="E5" s="37">
        <f>D5+C24</f>
        <v>6220549.1538399998</v>
      </c>
      <c r="F5" s="37">
        <v>4056637</v>
      </c>
      <c r="G5" s="37">
        <v>812350</v>
      </c>
      <c r="H5" s="37">
        <v>437557</v>
      </c>
      <c r="I5" s="37">
        <v>380051</v>
      </c>
      <c r="J5" s="38">
        <f t="shared" ref="J5:J10" si="0">IFERROR(E5/G5,"")</f>
        <v>7.657474184575614</v>
      </c>
      <c r="K5" s="38">
        <f t="shared" ref="K5:K10" si="1">IFERROR(E5/F5,"")</f>
        <v>1.5334251385667488</v>
      </c>
      <c r="L5" s="38">
        <f>IFERROR(D5/I5,"")</f>
        <v>8.6386436395115389</v>
      </c>
      <c r="M5" s="38">
        <f t="shared" ref="M5:M10" si="2">IFERROR(D5/P5,"")</f>
        <v>0.95020654666485294</v>
      </c>
      <c r="N5" s="39">
        <f t="shared" ref="N5:N10" si="3">IFERROR(H5/F5,"")</f>
        <v>0.10786200490702028</v>
      </c>
      <c r="O5" s="39">
        <f t="shared" ref="O5:O10" si="4">IFERROR(I5/P5,"")</f>
        <v>0.1099948772419302</v>
      </c>
      <c r="P5" s="37">
        <v>3455170</v>
      </c>
    </row>
    <row r="6" spans="2:17" ht="14" customHeight="1" x14ac:dyDescent="0.3">
      <c r="B6" s="4" t="s">
        <v>214</v>
      </c>
      <c r="C6" t="s">
        <v>215</v>
      </c>
      <c r="D6" s="37">
        <v>889500</v>
      </c>
      <c r="E6" s="37">
        <v>6299555</v>
      </c>
      <c r="F6" s="37">
        <v>6328574</v>
      </c>
      <c r="G6" s="37">
        <v>726728</v>
      </c>
      <c r="H6" s="37">
        <v>337691</v>
      </c>
      <c r="I6" s="37">
        <v>-454263</v>
      </c>
      <c r="J6" s="38">
        <f t="shared" si="0"/>
        <v>8.6683807421758896</v>
      </c>
      <c r="K6" s="38">
        <f t="shared" si="1"/>
        <v>0.9954146068292794</v>
      </c>
      <c r="L6" s="40" t="s">
        <v>216</v>
      </c>
      <c r="M6" s="38">
        <f t="shared" si="2"/>
        <v>0.26241693817993866</v>
      </c>
      <c r="N6" s="39">
        <f t="shared" si="3"/>
        <v>5.335973001184785E-2</v>
      </c>
      <c r="O6" s="39">
        <f t="shared" si="4"/>
        <v>-0.13401495850301684</v>
      </c>
      <c r="P6" s="37">
        <v>3389644</v>
      </c>
    </row>
    <row r="7" spans="2:17" ht="14" customHeight="1" x14ac:dyDescent="0.3">
      <c r="B7" s="4" t="s">
        <v>217</v>
      </c>
      <c r="C7" t="s">
        <v>218</v>
      </c>
      <c r="D7" s="37">
        <v>2210282</v>
      </c>
      <c r="E7" s="37">
        <v>4808549</v>
      </c>
      <c r="F7" s="37">
        <v>3546041</v>
      </c>
      <c r="G7" s="37">
        <v>402347</v>
      </c>
      <c r="H7" s="37">
        <v>230043</v>
      </c>
      <c r="I7" s="37">
        <v>227795</v>
      </c>
      <c r="J7" s="38">
        <f t="shared" si="0"/>
        <v>11.951248549137933</v>
      </c>
      <c r="K7" s="38">
        <f t="shared" si="1"/>
        <v>1.356033108472237</v>
      </c>
      <c r="L7" s="38">
        <f>IFERROR(D7/I7,"")</f>
        <v>9.7029434359841087</v>
      </c>
      <c r="M7" s="38">
        <f t="shared" si="2"/>
        <v>0.70430264452613167</v>
      </c>
      <c r="N7" s="39">
        <f t="shared" si="3"/>
        <v>6.4873192385536432E-2</v>
      </c>
      <c r="O7" s="39">
        <f t="shared" si="4"/>
        <v>7.2586493899796573E-2</v>
      </c>
      <c r="P7" s="37">
        <v>3138256</v>
      </c>
    </row>
    <row r="8" spans="2:17" ht="14" customHeight="1" x14ac:dyDescent="0.3">
      <c r="B8" s="4" t="s">
        <v>219</v>
      </c>
      <c r="C8" t="s">
        <v>220</v>
      </c>
      <c r="D8" s="37">
        <v>1020492</v>
      </c>
      <c r="E8" s="37">
        <v>3905335</v>
      </c>
      <c r="F8" s="37">
        <v>2247213</v>
      </c>
      <c r="G8" s="37">
        <v>475087</v>
      </c>
      <c r="H8" s="37">
        <v>224854</v>
      </c>
      <c r="I8" s="37">
        <v>154535</v>
      </c>
      <c r="J8" s="38">
        <f t="shared" si="0"/>
        <v>8.2202522906330842</v>
      </c>
      <c r="K8" s="38">
        <f t="shared" si="1"/>
        <v>1.7378570700685694</v>
      </c>
      <c r="L8" s="38">
        <f>IFERROR(D8/I8,"")</f>
        <v>6.6036302455754363</v>
      </c>
      <c r="M8" s="38">
        <f t="shared" si="2"/>
        <v>0.85554828038058572</v>
      </c>
      <c r="N8" s="39">
        <f t="shared" si="3"/>
        <v>0.10005905092218673</v>
      </c>
      <c r="O8" s="39">
        <f t="shared" si="4"/>
        <v>0.12955726601346587</v>
      </c>
      <c r="P8" s="37">
        <v>1192793</v>
      </c>
    </row>
    <row r="9" spans="2:17" ht="14" customHeight="1" x14ac:dyDescent="0.3">
      <c r="B9" s="4" t="s">
        <v>221</v>
      </c>
      <c r="C9" t="s">
        <v>222</v>
      </c>
      <c r="D9" s="37">
        <v>684838</v>
      </c>
      <c r="E9" s="37">
        <v>3195871</v>
      </c>
      <c r="F9" s="37">
        <v>2372420</v>
      </c>
      <c r="G9" s="37">
        <v>386247</v>
      </c>
      <c r="H9" s="37">
        <v>160381</v>
      </c>
      <c r="I9" s="37">
        <v>84975</v>
      </c>
      <c r="J9" s="38">
        <f t="shared" si="0"/>
        <v>8.2741639417264086</v>
      </c>
      <c r="K9" s="38">
        <f t="shared" si="1"/>
        <v>1.3470932634187875</v>
      </c>
      <c r="L9" s="38">
        <f>IFERROR(D9/I9,"")</f>
        <v>8.059288025889968</v>
      </c>
      <c r="M9" s="38">
        <f t="shared" si="2"/>
        <v>0.6162278116758253</v>
      </c>
      <c r="N9" s="39">
        <f t="shared" si="3"/>
        <v>6.760227952891984E-2</v>
      </c>
      <c r="O9" s="39">
        <f t="shared" si="4"/>
        <v>7.6461817681193589E-2</v>
      </c>
      <c r="P9" s="37">
        <v>1111339</v>
      </c>
    </row>
    <row r="10" spans="2:17" ht="14" customHeight="1" x14ac:dyDescent="0.3">
      <c r="B10" s="4" t="s">
        <v>223</v>
      </c>
      <c r="C10" t="s">
        <v>224</v>
      </c>
      <c r="D10" s="37">
        <v>427128</v>
      </c>
      <c r="E10" s="37">
        <v>1219821</v>
      </c>
      <c r="F10" s="37">
        <v>761861</v>
      </c>
      <c r="G10" s="37">
        <v>131282</v>
      </c>
      <c r="H10" s="37">
        <v>67848</v>
      </c>
      <c r="I10" s="37">
        <v>50809</v>
      </c>
      <c r="J10" s="38">
        <f t="shared" si="0"/>
        <v>9.2916089029722269</v>
      </c>
      <c r="K10" s="38">
        <f t="shared" si="1"/>
        <v>1.6011070260848108</v>
      </c>
      <c r="L10" s="38">
        <f>IFERROR(D10/I10,"")</f>
        <v>8.4065421480446378</v>
      </c>
      <c r="M10" s="38">
        <f t="shared" si="2"/>
        <v>0.9000733329399766</v>
      </c>
      <c r="N10" s="39">
        <f t="shared" si="3"/>
        <v>8.9055615131894139E-2</v>
      </c>
      <c r="O10" s="39">
        <f t="shared" si="4"/>
        <v>0.10706819963417821</v>
      </c>
      <c r="P10" s="37">
        <v>474548</v>
      </c>
    </row>
    <row r="14" spans="2:17" ht="14" customHeight="1" x14ac:dyDescent="0.3">
      <c r="B14" s="3" t="s">
        <v>225</v>
      </c>
    </row>
    <row r="15" spans="2:17" ht="14" customHeight="1" x14ac:dyDescent="0.3">
      <c r="B15" s="4" t="s">
        <v>226</v>
      </c>
      <c r="D15" s="38">
        <f t="shared" ref="D15:I15" si="5">PERCENTILE(J6:J10,0.25)</f>
        <v>8.2741639417264086</v>
      </c>
      <c r="E15" s="38">
        <f t="shared" si="5"/>
        <v>1.3470932634187875</v>
      </c>
      <c r="F15" s="38">
        <f t="shared" si="5"/>
        <v>7.695373580811335</v>
      </c>
      <c r="G15" s="38">
        <f t="shared" si="5"/>
        <v>0.6162278116758253</v>
      </c>
      <c r="H15" s="39">
        <f t="shared" si="5"/>
        <v>6.4873192385536432E-2</v>
      </c>
      <c r="I15" s="39">
        <f t="shared" si="5"/>
        <v>7.2586493899796573E-2</v>
      </c>
    </row>
    <row r="16" spans="2:17" ht="14" customHeight="1" x14ac:dyDescent="0.3">
      <c r="B16" s="4" t="s">
        <v>227</v>
      </c>
      <c r="D16" s="38">
        <f t="shared" ref="D16:I16" si="6">MEDIAN(J6:J10)</f>
        <v>8.6683807421758896</v>
      </c>
      <c r="E16" s="38">
        <f t="shared" si="6"/>
        <v>1.356033108472237</v>
      </c>
      <c r="F16" s="38">
        <f t="shared" si="6"/>
        <v>8.2329150869673029</v>
      </c>
      <c r="G16" s="38">
        <f t="shared" si="6"/>
        <v>0.70430264452613167</v>
      </c>
      <c r="H16" s="39">
        <f t="shared" si="6"/>
        <v>6.760227952891984E-2</v>
      </c>
      <c r="I16" s="39">
        <f t="shared" si="6"/>
        <v>7.6461817681193589E-2</v>
      </c>
    </row>
    <row r="17" spans="2:9" ht="14" customHeight="1" x14ac:dyDescent="0.3">
      <c r="B17" s="4" t="s">
        <v>228</v>
      </c>
      <c r="D17" s="38">
        <f t="shared" ref="D17:I17" si="7">PERCENTILE(J6:J10,0.75)</f>
        <v>9.2916089029722269</v>
      </c>
      <c r="E17" s="38">
        <f t="shared" si="7"/>
        <v>1.6011070260848108</v>
      </c>
      <c r="F17" s="38">
        <f t="shared" si="7"/>
        <v>8.7306424700295047</v>
      </c>
      <c r="G17" s="38">
        <f t="shared" si="7"/>
        <v>0.85554828038058572</v>
      </c>
      <c r="H17" s="39">
        <f t="shared" si="7"/>
        <v>8.9055615131894139E-2</v>
      </c>
      <c r="I17" s="39">
        <f t="shared" si="7"/>
        <v>0.10706819963417821</v>
      </c>
    </row>
    <row r="19" spans="2:9" ht="14" customHeight="1" x14ac:dyDescent="0.3">
      <c r="B19" s="22" t="s">
        <v>229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230</v>
      </c>
    </row>
    <row r="21" spans="2:9" ht="14" customHeight="1" x14ac:dyDescent="0.3">
      <c r="B21" s="4" t="s">
        <v>231</v>
      </c>
      <c r="C21" s="5">
        <v>812350</v>
      </c>
    </row>
    <row r="22" spans="2:9" ht="14" customHeight="1" x14ac:dyDescent="0.3">
      <c r="B22" s="4" t="s">
        <v>232</v>
      </c>
      <c r="C22" s="5">
        <v>380051</v>
      </c>
    </row>
    <row r="23" spans="2:9" ht="14" customHeight="1" x14ac:dyDescent="0.3">
      <c r="B23" s="4" t="s">
        <v>233</v>
      </c>
      <c r="C23" s="15">
        <v>1114056720</v>
      </c>
    </row>
    <row r="24" spans="2:9" ht="14" customHeight="1" x14ac:dyDescent="0.3">
      <c r="B24" s="4" t="s">
        <v>73</v>
      </c>
      <c r="C24" s="5">
        <v>2937424</v>
      </c>
    </row>
    <row r="26" spans="2:9" ht="14" customHeight="1" x14ac:dyDescent="0.3">
      <c r="B26" s="3" t="s">
        <v>234</v>
      </c>
    </row>
    <row r="27" spans="2:9" ht="14" customHeight="1" x14ac:dyDescent="0.3">
      <c r="B27" s="4" t="s">
        <v>235</v>
      </c>
      <c r="C27" s="24">
        <f>ROUND((C21*D16-C24)*1000000/C23,0)</f>
        <v>3684</v>
      </c>
    </row>
    <row r="28" spans="2:9" ht="14" customHeight="1" x14ac:dyDescent="0.3">
      <c r="B28" s="4" t="s">
        <v>236</v>
      </c>
      <c r="C28" s="24">
        <f>ROUND(C22*F16*1000000/C23,0)</f>
        <v>2809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237</v>
      </c>
    </row>
    <row r="3" spans="2:9" ht="14" customHeight="1" x14ac:dyDescent="0.3">
      <c r="B3" s="4" t="s">
        <v>238</v>
      </c>
      <c r="C3" s="16">
        <f>'DCF Model'!C26</f>
        <v>4.550349923470734E-2</v>
      </c>
      <c r="E3" s="4" t="s">
        <v>239</v>
      </c>
      <c r="F3" s="16">
        <f>'DCF Model'!C13</f>
        <v>0.01</v>
      </c>
      <c r="H3" s="4" t="s">
        <v>240</v>
      </c>
      <c r="I3" s="14">
        <f>'DCF Model'!C14</f>
        <v>8.6999999999999993</v>
      </c>
    </row>
    <row r="5" spans="2:9" ht="14" customHeight="1" x14ac:dyDescent="0.3">
      <c r="B5" s="3" t="s">
        <v>241</v>
      </c>
    </row>
    <row r="6" spans="2:9" ht="14" customHeight="1" x14ac:dyDescent="0.3">
      <c r="B6" s="41" t="s">
        <v>242</v>
      </c>
      <c r="C6" s="42">
        <f>$F$3-0.0075</f>
        <v>2.5000000000000005E-3</v>
      </c>
      <c r="D6" s="42">
        <f>$F$3-0.005</f>
        <v>5.0000000000000001E-3</v>
      </c>
      <c r="E6" s="42">
        <f>$F$3-0.0025</f>
        <v>7.4999999999999997E-3</v>
      </c>
      <c r="F6" s="42">
        <f>$F$3</f>
        <v>0.01</v>
      </c>
      <c r="G6" s="42">
        <f>$F$3+0.0025</f>
        <v>1.2500000000000001E-2</v>
      </c>
      <c r="H6" s="42">
        <f>$F$3+0.005</f>
        <v>1.4999999999999999E-2</v>
      </c>
      <c r="I6" s="42">
        <f>$F$3+0.0075</f>
        <v>1.7500000000000002E-2</v>
      </c>
    </row>
    <row r="7" spans="2:9" ht="13.5" customHeight="1" x14ac:dyDescent="0.25">
      <c r="B7" s="39">
        <f>$C$3-0.015</f>
        <v>3.050349923470734E-2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7392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8298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9401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10774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12528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14847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18058</v>
      </c>
    </row>
    <row r="8" spans="2:9" ht="13.5" customHeight="1" x14ac:dyDescent="0.25">
      <c r="B8" s="39">
        <f>$C$3-0.01</f>
        <v>3.5503499234707338E-2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5831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6461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7205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8094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9176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10522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12242</v>
      </c>
    </row>
    <row r="9" spans="2:9" ht="13.5" customHeight="1" x14ac:dyDescent="0.25">
      <c r="B9" s="39">
        <f>$C$3-0.005</f>
        <v>4.0503499234707342E-2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4681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5143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5674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6293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7022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7894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8956</v>
      </c>
    </row>
    <row r="10" spans="2:9" ht="13.5" customHeight="1" x14ac:dyDescent="0.25">
      <c r="B10" s="39">
        <f>$C$3</f>
        <v>4.550349923470734E-2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3800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4150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4547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5000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5522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6129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6844</v>
      </c>
    </row>
    <row r="11" spans="2:9" ht="13.5" customHeight="1" x14ac:dyDescent="0.25">
      <c r="B11" s="39">
        <f>$C$3+0.005</f>
        <v>5.0503499234707337E-2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3102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3377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3683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4027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4417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4861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5373</v>
      </c>
    </row>
    <row r="12" spans="2:9" ht="13.5" customHeight="1" x14ac:dyDescent="0.25">
      <c r="B12" s="39">
        <f>$C$3+0.01</f>
        <v>5.5503499234707342E-2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2537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2757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2999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3269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3569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3907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4289</v>
      </c>
    </row>
    <row r="13" spans="2:9" ht="13.5" customHeight="1" x14ac:dyDescent="0.25">
      <c r="B13" s="39">
        <f>$C$3+0.015</f>
        <v>6.0503499234707339E-2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2070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2249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2445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2661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2899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3163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3458</v>
      </c>
    </row>
    <row r="16" spans="2:9" ht="14" customHeight="1" x14ac:dyDescent="0.3">
      <c r="B16" s="3" t="s">
        <v>243</v>
      </c>
    </row>
    <row r="17" spans="2:9" ht="14" customHeight="1" x14ac:dyDescent="0.3">
      <c r="B17" s="41" t="s">
        <v>244</v>
      </c>
      <c r="C17" s="43">
        <f>$I$3-3</f>
        <v>5.6999999999999993</v>
      </c>
      <c r="D17" s="43">
        <f>$I$3-2</f>
        <v>6.6999999999999993</v>
      </c>
      <c r="E17" s="43">
        <f>$I$3-1</f>
        <v>7.6999999999999993</v>
      </c>
      <c r="F17" s="43">
        <f>$I$3</f>
        <v>8.6999999999999993</v>
      </c>
      <c r="G17" s="43">
        <f>$I$3+1</f>
        <v>9.6999999999999993</v>
      </c>
      <c r="H17" s="43">
        <f>$I$3+2</f>
        <v>10.7</v>
      </c>
      <c r="I17" s="43">
        <f>$I$3+3</f>
        <v>11.7</v>
      </c>
    </row>
    <row r="18" spans="2:9" ht="13.5" customHeight="1" x14ac:dyDescent="0.25">
      <c r="B18" s="39">
        <f>$C$3-0.015</f>
        <v>3.050349923470734E-2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2214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2884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3554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4224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4894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5563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6233</v>
      </c>
    </row>
    <row r="19" spans="2:9" ht="13.5" customHeight="1" x14ac:dyDescent="0.25">
      <c r="B19" s="39">
        <f>$C$3-0.01</f>
        <v>3.5503499234707338E-2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2107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2761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3415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4069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4723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5376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6030</v>
      </c>
    </row>
    <row r="20" spans="2:9" ht="13.5" customHeight="1" x14ac:dyDescent="0.25">
      <c r="B20" s="39">
        <f>$C$3-0.005</f>
        <v>4.0503499234707342E-2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2003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2642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3280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3918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4556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5195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5833</v>
      </c>
    </row>
    <row r="21" spans="2:9" ht="13.5" customHeight="1" x14ac:dyDescent="0.25">
      <c r="B21" s="39">
        <f>$C$3</f>
        <v>4.550349923470734E-2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1902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2525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3148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3772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4395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5018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5641</v>
      </c>
    </row>
    <row r="22" spans="2:9" ht="13.5" customHeight="1" x14ac:dyDescent="0.25">
      <c r="B22" s="39">
        <f>$C$3+0.005</f>
        <v>5.0503499234707337E-2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1804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2412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3021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3629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4238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4846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5454</v>
      </c>
    </row>
    <row r="23" spans="2:9" ht="13.5" customHeight="1" x14ac:dyDescent="0.25">
      <c r="B23" s="39">
        <f>$C$3+0.01</f>
        <v>5.5503499234707342E-2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1708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2302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2896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3491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4085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4679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5273</v>
      </c>
    </row>
    <row r="24" spans="2:9" ht="13.5" customHeight="1" x14ac:dyDescent="0.25">
      <c r="B24" s="39">
        <f>$C$3+0.015</f>
        <v>6.0503499234707339E-2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1615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2195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2776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3356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3936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4516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5097</v>
      </c>
    </row>
    <row r="26" spans="2:9" ht="14" customHeight="1" x14ac:dyDescent="0.3">
      <c r="B26" s="47" t="s">
        <v>245</v>
      </c>
      <c r="C26" s="46"/>
      <c r="D26" s="46"/>
      <c r="E26" s="46"/>
      <c r="F26" s="46"/>
      <c r="G26" s="46"/>
      <c r="H26" s="46"/>
      <c r="I26" s="46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3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246</v>
      </c>
    </row>
    <row r="4" spans="2:7" ht="14" customHeight="1" x14ac:dyDescent="0.3">
      <c r="B4" s="10" t="s">
        <v>247</v>
      </c>
      <c r="C4" s="10" t="s">
        <v>248</v>
      </c>
      <c r="D4" s="10" t="s">
        <v>249</v>
      </c>
      <c r="E4" s="10" t="s">
        <v>250</v>
      </c>
      <c r="F4" s="10" t="s">
        <v>251</v>
      </c>
      <c r="G4" s="10" t="s">
        <v>252</v>
      </c>
    </row>
    <row r="5" spans="2:7" x14ac:dyDescent="0.2">
      <c r="B5" t="s">
        <v>253</v>
      </c>
      <c r="C5" t="s">
        <v>254</v>
      </c>
      <c r="D5" t="s">
        <v>255</v>
      </c>
      <c r="E5" t="s">
        <v>256</v>
      </c>
      <c r="F5" t="s">
        <v>254</v>
      </c>
      <c r="G5" t="s">
        <v>257</v>
      </c>
    </row>
    <row r="6" spans="2:7" ht="30" customHeight="1" x14ac:dyDescent="0.3">
      <c r="B6" s="44" t="s">
        <v>258</v>
      </c>
      <c r="C6" s="4" t="s">
        <v>259</v>
      </c>
      <c r="D6" s="44" t="s">
        <v>260</v>
      </c>
      <c r="E6" s="44" t="s">
        <v>261</v>
      </c>
      <c r="F6" s="44" t="s">
        <v>262</v>
      </c>
      <c r="G6" s="44" t="s">
        <v>263</v>
      </c>
    </row>
    <row r="7" spans="2:7" ht="30" customHeight="1" x14ac:dyDescent="0.3">
      <c r="B7" s="44" t="s">
        <v>258</v>
      </c>
      <c r="C7" s="4" t="s">
        <v>264</v>
      </c>
      <c r="D7" s="44" t="s">
        <v>265</v>
      </c>
      <c r="E7" s="44" t="s">
        <v>266</v>
      </c>
      <c r="F7" s="44" t="s">
        <v>267</v>
      </c>
      <c r="G7" s="44" t="s">
        <v>268</v>
      </c>
    </row>
    <row r="8" spans="2:7" ht="30" customHeight="1" x14ac:dyDescent="0.3">
      <c r="B8" s="44" t="s">
        <v>258</v>
      </c>
      <c r="C8" s="4" t="s">
        <v>269</v>
      </c>
      <c r="D8" s="44" t="s">
        <v>270</v>
      </c>
      <c r="E8" s="44" t="s">
        <v>271</v>
      </c>
      <c r="F8" s="44" t="s">
        <v>272</v>
      </c>
      <c r="G8" s="44" t="s">
        <v>268</v>
      </c>
    </row>
    <row r="9" spans="2:7" ht="30" customHeight="1" x14ac:dyDescent="0.3">
      <c r="B9" s="44" t="s">
        <v>258</v>
      </c>
      <c r="C9" s="4" t="s">
        <v>273</v>
      </c>
      <c r="D9" s="44" t="s">
        <v>274</v>
      </c>
      <c r="E9" s="44" t="s">
        <v>275</v>
      </c>
      <c r="F9" s="44" t="s">
        <v>276</v>
      </c>
      <c r="G9" s="44" t="s">
        <v>277</v>
      </c>
    </row>
    <row r="10" spans="2:7" ht="30" customHeight="1" x14ac:dyDescent="0.3">
      <c r="B10" s="44" t="s">
        <v>258</v>
      </c>
      <c r="C10" s="4" t="s">
        <v>278</v>
      </c>
      <c r="D10" s="44" t="s">
        <v>279</v>
      </c>
      <c r="E10" s="44" t="s">
        <v>280</v>
      </c>
      <c r="F10" s="44" t="s">
        <v>281</v>
      </c>
      <c r="G10" s="44" t="s">
        <v>282</v>
      </c>
    </row>
    <row r="11" spans="2:7" ht="30" customHeight="1" x14ac:dyDescent="0.3">
      <c r="B11" s="44" t="s">
        <v>258</v>
      </c>
      <c r="C11" s="4" t="s">
        <v>283</v>
      </c>
      <c r="D11" s="44" t="s">
        <v>284</v>
      </c>
      <c r="E11" s="44" t="s">
        <v>285</v>
      </c>
      <c r="F11" s="44" t="s">
        <v>286</v>
      </c>
      <c r="G11" s="44" t="s">
        <v>287</v>
      </c>
    </row>
    <row r="12" spans="2:7" ht="30" customHeight="1" x14ac:dyDescent="0.3">
      <c r="B12" s="44" t="s">
        <v>258</v>
      </c>
      <c r="C12" s="4" t="s">
        <v>288</v>
      </c>
      <c r="D12" s="44" t="s">
        <v>289</v>
      </c>
      <c r="E12" s="44" t="s">
        <v>290</v>
      </c>
      <c r="F12" s="44" t="s">
        <v>291</v>
      </c>
      <c r="G12" s="44" t="s">
        <v>268</v>
      </c>
    </row>
    <row r="13" spans="2:7" ht="30" customHeight="1" x14ac:dyDescent="0.3">
      <c r="B13" s="44" t="s">
        <v>258</v>
      </c>
      <c r="C13" s="4" t="s">
        <v>292</v>
      </c>
      <c r="D13" s="44" t="s">
        <v>293</v>
      </c>
      <c r="E13" s="44" t="s">
        <v>294</v>
      </c>
      <c r="F13" s="44" t="s">
        <v>295</v>
      </c>
      <c r="G13" s="44" t="s">
        <v>268</v>
      </c>
    </row>
    <row r="14" spans="2:7" ht="30" customHeight="1" x14ac:dyDescent="0.3">
      <c r="B14" s="44" t="s">
        <v>258</v>
      </c>
      <c r="C14" s="4" t="s">
        <v>296</v>
      </c>
      <c r="D14" s="44" t="s">
        <v>297</v>
      </c>
      <c r="E14" s="44" t="s">
        <v>298</v>
      </c>
      <c r="F14" s="44" t="s">
        <v>254</v>
      </c>
      <c r="G14" s="44" t="s">
        <v>268</v>
      </c>
    </row>
    <row r="15" spans="2:7" ht="30" customHeight="1" x14ac:dyDescent="0.3">
      <c r="B15" s="44" t="s">
        <v>258</v>
      </c>
      <c r="C15" s="4" t="s">
        <v>299</v>
      </c>
      <c r="D15" s="44" t="s">
        <v>300</v>
      </c>
      <c r="E15" s="44" t="s">
        <v>301</v>
      </c>
      <c r="F15" s="44" t="s">
        <v>302</v>
      </c>
      <c r="G15" s="44" t="s">
        <v>268</v>
      </c>
    </row>
    <row r="16" spans="2:7" ht="30" customHeight="1" x14ac:dyDescent="0.3">
      <c r="B16" s="44" t="s">
        <v>258</v>
      </c>
      <c r="C16" s="4" t="s">
        <v>303</v>
      </c>
      <c r="D16" s="44" t="s">
        <v>304</v>
      </c>
      <c r="E16" s="44" t="s">
        <v>305</v>
      </c>
      <c r="F16" s="44" t="s">
        <v>254</v>
      </c>
      <c r="G16" s="44" t="s">
        <v>306</v>
      </c>
    </row>
    <row r="17" spans="2:7" ht="30" customHeight="1" x14ac:dyDescent="0.3">
      <c r="B17" s="44" t="s">
        <v>258</v>
      </c>
      <c r="C17" s="4" t="s">
        <v>307</v>
      </c>
      <c r="D17" s="44" t="s">
        <v>308</v>
      </c>
      <c r="E17" s="44" t="s">
        <v>309</v>
      </c>
      <c r="F17" s="44" t="s">
        <v>272</v>
      </c>
      <c r="G17" s="44" t="s">
        <v>268</v>
      </c>
    </row>
    <row r="18" spans="2:7" ht="30" customHeight="1" x14ac:dyDescent="0.3">
      <c r="B18" s="44" t="s">
        <v>258</v>
      </c>
      <c r="C18" s="4" t="s">
        <v>310</v>
      </c>
      <c r="D18" s="44" t="s">
        <v>311</v>
      </c>
      <c r="E18" s="44" t="s">
        <v>312</v>
      </c>
      <c r="F18" s="44" t="s">
        <v>254</v>
      </c>
      <c r="G18" s="44" t="s">
        <v>268</v>
      </c>
    </row>
    <row r="19" spans="2:7" ht="30" customHeight="1" x14ac:dyDescent="0.3">
      <c r="B19" s="44" t="s">
        <v>258</v>
      </c>
      <c r="C19" s="4" t="s">
        <v>313</v>
      </c>
      <c r="D19" s="44" t="s">
        <v>314</v>
      </c>
      <c r="E19" s="44" t="s">
        <v>315</v>
      </c>
      <c r="F19" s="44" t="s">
        <v>254</v>
      </c>
      <c r="G19" s="44" t="s">
        <v>263</v>
      </c>
    </row>
    <row r="20" spans="2:7" ht="30" customHeight="1" x14ac:dyDescent="0.3">
      <c r="B20" s="44" t="s">
        <v>258</v>
      </c>
      <c r="C20" s="4" t="s">
        <v>316</v>
      </c>
      <c r="D20" s="44" t="s">
        <v>317</v>
      </c>
      <c r="E20" s="44" t="s">
        <v>318</v>
      </c>
      <c r="F20" s="44" t="s">
        <v>254</v>
      </c>
      <c r="G20" s="44" t="s">
        <v>319</v>
      </c>
    </row>
    <row r="21" spans="2:7" ht="30" customHeight="1" x14ac:dyDescent="0.3">
      <c r="B21" s="44" t="s">
        <v>258</v>
      </c>
      <c r="C21" s="4" t="s">
        <v>320</v>
      </c>
      <c r="D21" s="44" t="s">
        <v>321</v>
      </c>
      <c r="E21" s="44" t="s">
        <v>322</v>
      </c>
      <c r="F21" s="44" t="s">
        <v>254</v>
      </c>
      <c r="G21" s="44" t="s">
        <v>323</v>
      </c>
    </row>
    <row r="22" spans="2:7" ht="30" customHeight="1" x14ac:dyDescent="0.3">
      <c r="B22" s="44" t="s">
        <v>258</v>
      </c>
      <c r="C22" s="4" t="s">
        <v>320</v>
      </c>
      <c r="D22" s="44" t="s">
        <v>324</v>
      </c>
      <c r="E22" s="44" t="s">
        <v>325</v>
      </c>
      <c r="F22" s="44" t="s">
        <v>254</v>
      </c>
      <c r="G22" s="44" t="s">
        <v>323</v>
      </c>
    </row>
    <row r="23" spans="2:7" ht="30" customHeight="1" x14ac:dyDescent="0.3">
      <c r="B23" s="44" t="s">
        <v>258</v>
      </c>
      <c r="C23" s="4" t="s">
        <v>320</v>
      </c>
      <c r="D23" s="44" t="s">
        <v>326</v>
      </c>
      <c r="E23" s="44" t="s">
        <v>327</v>
      </c>
      <c r="F23" s="44" t="s">
        <v>254</v>
      </c>
      <c r="G23" s="44" t="s">
        <v>323</v>
      </c>
    </row>
    <row r="24" spans="2:7" ht="14" customHeight="1" x14ac:dyDescent="0.2"/>
    <row r="25" spans="2:7" ht="14" customHeight="1" x14ac:dyDescent="0.3">
      <c r="B25" s="8" t="s">
        <v>328</v>
      </c>
    </row>
    <row r="26" spans="2:7" ht="14" customHeight="1" x14ac:dyDescent="0.3">
      <c r="B26" s="10" t="s">
        <v>329</v>
      </c>
      <c r="C26" s="10" t="s">
        <v>330</v>
      </c>
    </row>
    <row r="27" spans="2:7" ht="14" customHeight="1" x14ac:dyDescent="0.3">
      <c r="B27" s="4" t="s">
        <v>331</v>
      </c>
      <c r="C27" t="s">
        <v>332</v>
      </c>
    </row>
    <row r="28" spans="2:7" ht="14" customHeight="1" x14ac:dyDescent="0.3">
      <c r="B28" s="4" t="s">
        <v>333</v>
      </c>
      <c r="C28" t="s">
        <v>334</v>
      </c>
    </row>
    <row r="29" spans="2:7" ht="14" customHeight="1" x14ac:dyDescent="0.3">
      <c r="B29" s="4" t="s">
        <v>335</v>
      </c>
      <c r="C29" t="s">
        <v>336</v>
      </c>
    </row>
    <row r="30" spans="2:7" ht="14" customHeight="1" x14ac:dyDescent="0.3">
      <c r="B30" s="4" t="s">
        <v>337</v>
      </c>
      <c r="C30" t="s">
        <v>338</v>
      </c>
    </row>
    <row r="31" spans="2:7" ht="14" customHeight="1" x14ac:dyDescent="0.3">
      <c r="B31" s="4" t="s">
        <v>339</v>
      </c>
      <c r="C31" t="s">
        <v>4</v>
      </c>
    </row>
    <row r="32" spans="2:7" ht="14" customHeight="1" x14ac:dyDescent="0.3">
      <c r="B32" s="4" t="s">
        <v>340</v>
      </c>
      <c r="C32" t="s">
        <v>253</v>
      </c>
    </row>
    <row r="33" spans="2:3" ht="14" customHeight="1" x14ac:dyDescent="0.3">
      <c r="B33" s="4" t="s">
        <v>341</v>
      </c>
      <c r="C33" t="s">
        <v>342</v>
      </c>
    </row>
    <row r="34" spans="2:3" ht="14" customHeight="1" x14ac:dyDescent="0.3">
      <c r="B34" s="4" t="s">
        <v>343</v>
      </c>
      <c r="C34" t="s">
        <v>344</v>
      </c>
    </row>
    <row r="35" spans="2:3" ht="14" customHeight="1" x14ac:dyDescent="0.3">
      <c r="B35" s="4" t="s">
        <v>345</v>
      </c>
      <c r="C35" t="s">
        <v>346</v>
      </c>
    </row>
    <row r="36" spans="2:3" ht="14" customHeight="1" x14ac:dyDescent="0.3">
      <c r="B36" s="4" t="s">
        <v>347</v>
      </c>
      <c r="C36" t="s">
        <v>348</v>
      </c>
    </row>
    <row r="37" spans="2:3" ht="14" customHeight="1" x14ac:dyDescent="0.3">
      <c r="B37" s="4" t="s">
        <v>349</v>
      </c>
      <c r="C37" t="s">
        <v>350</v>
      </c>
    </row>
    <row r="38" spans="2:3" ht="14" customHeight="1" x14ac:dyDescent="0.3">
      <c r="B38" s="4" t="s">
        <v>351</v>
      </c>
      <c r="C38" t="s">
        <v>346</v>
      </c>
    </row>
    <row r="39" spans="2:3" ht="14" customHeight="1" x14ac:dyDescent="0.3">
      <c r="B39" s="4" t="s">
        <v>352</v>
      </c>
      <c r="C39" t="s">
        <v>342</v>
      </c>
    </row>
    <row r="40" spans="2:3" ht="14" customHeight="1" x14ac:dyDescent="0.3">
      <c r="B40" s="4" t="s">
        <v>353</v>
      </c>
      <c r="C40" t="s">
        <v>354</v>
      </c>
    </row>
    <row r="41" spans="2:3" ht="14" customHeight="1" x14ac:dyDescent="0.3">
      <c r="B41" s="4" t="s">
        <v>355</v>
      </c>
      <c r="C41" t="s">
        <v>356</v>
      </c>
    </row>
    <row r="42" spans="2:3" ht="14" customHeight="1" x14ac:dyDescent="0.3">
      <c r="B42" s="4" t="s">
        <v>357</v>
      </c>
      <c r="C42" t="s">
        <v>358</v>
      </c>
    </row>
    <row r="43" spans="2:3" ht="14" customHeight="1" x14ac:dyDescent="0.3">
      <c r="B43" s="4" t="s">
        <v>359</v>
      </c>
      <c r="C43" t="s">
        <v>360</v>
      </c>
    </row>
    <row r="44" spans="2:3" ht="14" customHeight="1" x14ac:dyDescent="0.3">
      <c r="B44" s="4" t="s">
        <v>361</v>
      </c>
      <c r="C44" t="s">
        <v>362</v>
      </c>
    </row>
    <row r="45" spans="2:3" ht="14" customHeight="1" x14ac:dyDescent="0.3">
      <c r="B45" s="4" t="s">
        <v>363</v>
      </c>
      <c r="C45" t="s">
        <v>364</v>
      </c>
    </row>
    <row r="46" spans="2:3" ht="14" customHeight="1" x14ac:dyDescent="0.3">
      <c r="B46" s="4" t="s">
        <v>365</v>
      </c>
      <c r="C46" t="s">
        <v>366</v>
      </c>
    </row>
    <row r="47" spans="2:3" ht="14" customHeight="1" x14ac:dyDescent="0.3">
      <c r="B47" s="4" t="s">
        <v>367</v>
      </c>
      <c r="C47" t="s">
        <v>368</v>
      </c>
    </row>
    <row r="48" spans="2:3" ht="14" customHeight="1" x14ac:dyDescent="0.3">
      <c r="B48" s="4" t="s">
        <v>369</v>
      </c>
      <c r="C48" t="s">
        <v>370</v>
      </c>
    </row>
    <row r="49" spans="2:3" ht="14" customHeight="1" x14ac:dyDescent="0.3">
      <c r="B49" s="4" t="s">
        <v>371</v>
      </c>
      <c r="C49" t="s">
        <v>372</v>
      </c>
    </row>
    <row r="50" spans="2:3" ht="14" customHeight="1" x14ac:dyDescent="0.3">
      <c r="B50" s="4" t="s">
        <v>373</v>
      </c>
      <c r="C50" t="s">
        <v>374</v>
      </c>
    </row>
    <row r="51" spans="2:3" ht="14" x14ac:dyDescent="0.3">
      <c r="B51" s="4" t="s">
        <v>375</v>
      </c>
      <c r="C51" t="s">
        <v>376</v>
      </c>
    </row>
    <row r="52" spans="2:3" ht="14" x14ac:dyDescent="0.3">
      <c r="B52" s="4" t="s">
        <v>377</v>
      </c>
      <c r="C52" t="s">
        <v>378</v>
      </c>
    </row>
    <row r="53" spans="2:3" ht="14" x14ac:dyDescent="0.3">
      <c r="B53" s="4" t="s">
        <v>379</v>
      </c>
      <c r="C53" t="s">
        <v>380</v>
      </c>
    </row>
    <row r="54" spans="2:3" ht="14" x14ac:dyDescent="0.3">
      <c r="B54" s="4" t="s">
        <v>381</v>
      </c>
      <c r="C54" t="s">
        <v>382</v>
      </c>
    </row>
    <row r="55" spans="2:3" ht="14" x14ac:dyDescent="0.3">
      <c r="B55" s="4" t="s">
        <v>383</v>
      </c>
      <c r="C55" t="s">
        <v>384</v>
      </c>
    </row>
    <row r="56" spans="2:3" ht="14" x14ac:dyDescent="0.3">
      <c r="B56" s="4" t="s">
        <v>385</v>
      </c>
      <c r="C56" t="s">
        <v>386</v>
      </c>
    </row>
    <row r="57" spans="2:3" ht="14" x14ac:dyDescent="0.3">
      <c r="B57" s="4" t="s">
        <v>387</v>
      </c>
      <c r="C57" t="s">
        <v>388</v>
      </c>
    </row>
    <row r="58" spans="2:3" ht="14" x14ac:dyDescent="0.3">
      <c r="B58" s="4" t="s">
        <v>389</v>
      </c>
      <c r="C58" t="s">
        <v>342</v>
      </c>
    </row>
    <row r="59" spans="2:3" ht="14" x14ac:dyDescent="0.3">
      <c r="B59" s="4" t="s">
        <v>390</v>
      </c>
      <c r="C59" t="s">
        <v>391</v>
      </c>
    </row>
    <row r="60" spans="2:3" ht="14" x14ac:dyDescent="0.3">
      <c r="B60" s="4" t="s">
        <v>392</v>
      </c>
      <c r="C60" t="s">
        <v>393</v>
      </c>
    </row>
    <row r="61" spans="2:3" ht="14" x14ac:dyDescent="0.3">
      <c r="B61" s="4" t="s">
        <v>394</v>
      </c>
      <c r="C61" t="s">
        <v>395</v>
      </c>
    </row>
    <row r="62" spans="2:3" ht="14" x14ac:dyDescent="0.3">
      <c r="B62" s="4" t="s">
        <v>396</v>
      </c>
      <c r="C62" t="s">
        <v>397</v>
      </c>
    </row>
    <row r="63" spans="2:3" ht="14" x14ac:dyDescent="0.3">
      <c r="B63" s="4" t="s">
        <v>398</v>
      </c>
      <c r="C63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2026-09-06T03:17:25Z</dcterms:created>
  <dcterms:modified xsi:type="dcterms:W3CDTF">2026-09-06T04:41:40Z</dcterms:modified>
</cp:coreProperties>
</file>