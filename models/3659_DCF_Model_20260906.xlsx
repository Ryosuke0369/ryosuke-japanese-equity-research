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C49ED82-D30D-4CCD-BE4A-36662D787A4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M6" i="6"/>
  <c r="L6" i="6"/>
  <c r="K6" i="6"/>
  <c r="J6" i="6"/>
  <c r="O5" i="6"/>
  <c r="N5" i="6"/>
  <c r="D5" i="6"/>
  <c r="C16" i="5"/>
  <c r="C14" i="5"/>
  <c r="C7" i="5"/>
  <c r="C6" i="5"/>
  <c r="C5" i="5"/>
  <c r="C13" i="4"/>
  <c r="C12" i="4"/>
  <c r="C9" i="4"/>
  <c r="C7" i="4"/>
  <c r="C6" i="4"/>
  <c r="C8" i="4" s="1"/>
  <c r="C10" i="4" s="1"/>
  <c r="C71" i="4" s="1"/>
  <c r="G32" i="3"/>
  <c r="D27" i="3"/>
  <c r="E7" i="5" s="1"/>
  <c r="C25" i="3"/>
  <c r="C26" i="3" s="1"/>
  <c r="D36" i="4" s="1"/>
  <c r="C24" i="3"/>
  <c r="C23" i="3"/>
  <c r="F16" i="2"/>
  <c r="E16" i="2"/>
  <c r="D16" i="2"/>
  <c r="F15" i="2"/>
  <c r="E15" i="2"/>
  <c r="D15" i="2"/>
  <c r="F14" i="2"/>
  <c r="E14" i="2"/>
  <c r="D14" i="2"/>
  <c r="C14" i="2"/>
  <c r="F13" i="2"/>
  <c r="E13" i="2"/>
  <c r="D13" i="2"/>
  <c r="C13" i="2"/>
  <c r="F8" i="2"/>
  <c r="F9" i="2" s="1"/>
  <c r="E8" i="2"/>
  <c r="E9" i="2" s="1"/>
  <c r="D8" i="2"/>
  <c r="D9" i="2" s="1"/>
  <c r="C8" i="2"/>
  <c r="C9" i="2" s="1"/>
  <c r="D5" i="5" l="1"/>
  <c r="C31" i="3"/>
  <c r="F6" i="5"/>
  <c r="E16" i="6"/>
  <c r="G16" i="6"/>
  <c r="D31" i="3"/>
  <c r="G6" i="5"/>
  <c r="F16" i="6"/>
  <c r="C28" i="6" s="1"/>
  <c r="C19" i="1" s="1"/>
  <c r="D19" i="1" s="1"/>
  <c r="H16" i="6"/>
  <c r="E32" i="3"/>
  <c r="F32" i="3"/>
  <c r="H7" i="5"/>
  <c r="E5" i="5"/>
  <c r="G30" i="3"/>
  <c r="D38" i="4"/>
  <c r="D41" i="4"/>
  <c r="D40" i="4"/>
  <c r="D45" i="4"/>
  <c r="D44" i="4"/>
  <c r="D39" i="4"/>
  <c r="D46" i="4"/>
  <c r="D43" i="4"/>
  <c r="G15" i="6"/>
  <c r="F15" i="6"/>
  <c r="H15" i="6"/>
  <c r="E36" i="4"/>
  <c r="D50" i="4"/>
  <c r="D55" i="4" s="1"/>
  <c r="D49" i="4"/>
  <c r="D54" i="4" s="1"/>
  <c r="D17" i="6"/>
  <c r="D16" i="6"/>
  <c r="C18" i="5"/>
  <c r="L5" i="6"/>
  <c r="E5" i="6"/>
  <c r="M5" i="6"/>
  <c r="I16" i="6"/>
  <c r="C70" i="4"/>
  <c r="C3" i="7"/>
  <c r="F46" i="3"/>
  <c r="H36" i="4"/>
  <c r="C46" i="3"/>
  <c r="G46" i="3"/>
  <c r="F36" i="4"/>
  <c r="G36" i="4"/>
  <c r="C11" i="4"/>
  <c r="C24" i="4" s="1"/>
  <c r="C25" i="4" s="1"/>
  <c r="D15" i="6"/>
  <c r="E46" i="3"/>
  <c r="E15" i="6"/>
  <c r="D46" i="3"/>
  <c r="E31" i="3"/>
  <c r="G5" i="5"/>
  <c r="E30" i="3"/>
  <c r="C32" i="3"/>
  <c r="D6" i="5"/>
  <c r="F7" i="5"/>
  <c r="I15" i="6"/>
  <c r="E17" i="6"/>
  <c r="I6" i="7"/>
  <c r="F5" i="5"/>
  <c r="F30" i="3"/>
  <c r="D32" i="3"/>
  <c r="E6" i="5"/>
  <c r="G7" i="5"/>
  <c r="F17" i="6"/>
  <c r="C17" i="7"/>
  <c r="G17" i="6"/>
  <c r="C6" i="7"/>
  <c r="D17" i="7"/>
  <c r="H17" i="6"/>
  <c r="D6" i="7"/>
  <c r="E17" i="7"/>
  <c r="I17" i="6"/>
  <c r="E6" i="7"/>
  <c r="F17" i="7"/>
  <c r="F6" i="7"/>
  <c r="G17" i="7"/>
  <c r="C30" i="3"/>
  <c r="C33" i="3" s="1"/>
  <c r="F31" i="3"/>
  <c r="H5" i="5"/>
  <c r="D7" i="5"/>
  <c r="G6" i="7"/>
  <c r="H17" i="7"/>
  <c r="H6" i="5"/>
  <c r="D30" i="3"/>
  <c r="G31" i="3"/>
  <c r="D48" i="4" l="1"/>
  <c r="D53" i="4" s="1"/>
  <c r="D51" i="4"/>
  <c r="D56" i="4" s="1"/>
  <c r="C27" i="4"/>
  <c r="C26" i="4"/>
  <c r="C29" i="4"/>
  <c r="H43" i="4"/>
  <c r="H46" i="4"/>
  <c r="H45" i="4"/>
  <c r="H39" i="4"/>
  <c r="H40" i="4"/>
  <c r="H44" i="4"/>
  <c r="H38" i="4"/>
  <c r="H41" i="4"/>
  <c r="K5" i="6"/>
  <c r="J5" i="6"/>
  <c r="B13" i="7"/>
  <c r="B12" i="7"/>
  <c r="B11" i="7"/>
  <c r="B10" i="7"/>
  <c r="B9" i="7"/>
  <c r="B8" i="7"/>
  <c r="B7" i="7"/>
  <c r="B24" i="7"/>
  <c r="B23" i="7"/>
  <c r="B22" i="7"/>
  <c r="B21" i="7"/>
  <c r="B20" i="7"/>
  <c r="B19" i="7"/>
  <c r="B18" i="7"/>
  <c r="C35" i="3"/>
  <c r="D33" i="3"/>
  <c r="C37" i="3"/>
  <c r="C34" i="3"/>
  <c r="D10" i="5" s="1"/>
  <c r="D9" i="5"/>
  <c r="D12" i="5" s="1"/>
  <c r="C42" i="3"/>
  <c r="C74" i="4"/>
  <c r="C27" i="6"/>
  <c r="C18" i="1" s="1"/>
  <c r="D18" i="1" s="1"/>
  <c r="G39" i="4"/>
  <c r="G49" i="4" s="1"/>
  <c r="G54" i="4" s="1"/>
  <c r="G40" i="4"/>
  <c r="G43" i="4"/>
  <c r="G41" i="4"/>
  <c r="G45" i="4"/>
  <c r="G46" i="4"/>
  <c r="G44" i="4"/>
  <c r="G38" i="4"/>
  <c r="F45" i="4"/>
  <c r="F46" i="4"/>
  <c r="F39" i="4"/>
  <c r="F38" i="4"/>
  <c r="F41" i="4"/>
  <c r="F51" i="4" s="1"/>
  <c r="F56" i="4" s="1"/>
  <c r="F43" i="4"/>
  <c r="F44" i="4"/>
  <c r="F40" i="4"/>
  <c r="E41" i="4"/>
  <c r="E51" i="4" s="1"/>
  <c r="E56" i="4" s="1"/>
  <c r="E45" i="4"/>
  <c r="E39" i="4"/>
  <c r="E49" i="4" s="1"/>
  <c r="E54" i="4" s="1"/>
  <c r="E44" i="4"/>
  <c r="E43" i="4"/>
  <c r="E38" i="4"/>
  <c r="E48" i="4" s="1"/>
  <c r="E53" i="4" s="1"/>
  <c r="E46" i="4"/>
  <c r="E40" i="4"/>
  <c r="E50" i="4" s="1"/>
  <c r="E55" i="4" s="1"/>
  <c r="H51" i="4" l="1"/>
  <c r="H56" i="4" s="1"/>
  <c r="G48" i="4"/>
  <c r="G53" i="4" s="1"/>
  <c r="H50" i="4"/>
  <c r="H55" i="4" s="1"/>
  <c r="G50" i="4"/>
  <c r="G55" i="4" s="1"/>
  <c r="E33" i="3"/>
  <c r="E9" i="5"/>
  <c r="E12" i="5" s="1"/>
  <c r="D34" i="3"/>
  <c r="E10" i="5" s="1"/>
  <c r="D37" i="3"/>
  <c r="D42" i="3"/>
  <c r="C38" i="3"/>
  <c r="C39" i="3"/>
  <c r="C36" i="3"/>
  <c r="F50" i="4"/>
  <c r="F55" i="4" s="1"/>
  <c r="H48" i="4"/>
  <c r="H53" i="4" s="1"/>
  <c r="F48" i="4"/>
  <c r="F53" i="4" s="1"/>
  <c r="G51" i="4"/>
  <c r="G56" i="4" s="1"/>
  <c r="D15" i="5"/>
  <c r="D16" i="5" s="1"/>
  <c r="D13" i="5"/>
  <c r="D14" i="5" s="1"/>
  <c r="D18" i="5" s="1"/>
  <c r="D19" i="5" s="1"/>
  <c r="C44" i="3" s="1"/>
  <c r="H49" i="4"/>
  <c r="H54" i="4" s="1"/>
  <c r="F49" i="4"/>
  <c r="C40" i="3" l="1"/>
  <c r="C41" i="3" s="1"/>
  <c r="C45" i="3" s="1"/>
  <c r="E15" i="5"/>
  <c r="E16" i="5" s="1"/>
  <c r="E13" i="5"/>
  <c r="E14" i="5" s="1"/>
  <c r="E18" i="5" s="1"/>
  <c r="E19" i="5" s="1"/>
  <c r="D44" i="3" s="1"/>
  <c r="C60" i="4"/>
  <c r="F54" i="4"/>
  <c r="B78" i="4" s="1"/>
  <c r="D35" i="3"/>
  <c r="F33" i="3"/>
  <c r="F9" i="5"/>
  <c r="F12" i="5" s="1"/>
  <c r="E34" i="3"/>
  <c r="F10" i="5" s="1"/>
  <c r="E37" i="3"/>
  <c r="E42" i="3"/>
  <c r="C47" i="3" l="1"/>
  <c r="F37" i="3"/>
  <c r="G9" i="5"/>
  <c r="G12" i="5" s="1"/>
  <c r="F42" i="3"/>
  <c r="G33" i="3"/>
  <c r="F34" i="3"/>
  <c r="G10" i="5" s="1"/>
  <c r="F35" i="3"/>
  <c r="C65" i="4"/>
  <c r="D65" i="4" s="1"/>
  <c r="C66" i="4"/>
  <c r="D66" i="4" s="1"/>
  <c r="C67" i="4"/>
  <c r="D67" i="4" s="1"/>
  <c r="C63" i="4"/>
  <c r="D63" i="4" s="1"/>
  <c r="C64" i="4"/>
  <c r="D64" i="4" s="1"/>
  <c r="F15" i="5"/>
  <c r="F16" i="5" s="1"/>
  <c r="F13" i="5"/>
  <c r="F14" i="5"/>
  <c r="F18" i="5" s="1"/>
  <c r="F19" i="5" s="1"/>
  <c r="E44" i="3" s="1"/>
  <c r="E35" i="3"/>
  <c r="D38" i="3"/>
  <c r="D36" i="3"/>
  <c r="D39" i="3"/>
  <c r="D40" i="3" l="1"/>
  <c r="D41" i="3" s="1"/>
  <c r="D45" i="3" s="1"/>
  <c r="F36" i="3"/>
  <c r="F39" i="3"/>
  <c r="F38" i="3"/>
  <c r="G15" i="5"/>
  <c r="G16" i="5" s="1"/>
  <c r="G13" i="5"/>
  <c r="G14" i="5"/>
  <c r="G18" i="5" s="1"/>
  <c r="G19" i="5" s="1"/>
  <c r="F44" i="3" s="1"/>
  <c r="E36" i="3"/>
  <c r="E38" i="3"/>
  <c r="E39" i="3"/>
  <c r="H9" i="5"/>
  <c r="H12" i="5" s="1"/>
  <c r="G42" i="3"/>
  <c r="G34" i="3"/>
  <c r="H10" i="5" s="1"/>
  <c r="G37" i="3"/>
  <c r="C16" i="4"/>
  <c r="C28" i="4" s="1"/>
  <c r="D47" i="3" l="1"/>
  <c r="C72" i="4"/>
  <c r="C73" i="4"/>
  <c r="F40" i="3"/>
  <c r="F41" i="3" s="1"/>
  <c r="F45" i="3" s="1"/>
  <c r="F47" i="3" s="1"/>
  <c r="E40" i="3"/>
  <c r="E41" i="3" s="1"/>
  <c r="E45" i="3" s="1"/>
  <c r="E47" i="3" s="1"/>
  <c r="H13" i="5"/>
  <c r="H14" i="5" s="1"/>
  <c r="H18" i="5" s="1"/>
  <c r="H19" i="5" s="1"/>
  <c r="G44" i="3" s="1"/>
  <c r="H15" i="5"/>
  <c r="H16" i="5" s="1"/>
  <c r="G35" i="3"/>
  <c r="G39" i="3" l="1"/>
  <c r="G36" i="3"/>
  <c r="G38" i="3"/>
  <c r="G40" i="3" l="1"/>
  <c r="G41" i="3" s="1"/>
  <c r="G45" i="3" s="1"/>
  <c r="C59" i="3"/>
  <c r="C60" i="3" s="1"/>
  <c r="C61" i="3" s="1"/>
  <c r="C51" i="3" l="1"/>
  <c r="C52" i="3" s="1"/>
  <c r="G47" i="3"/>
  <c r="C50" i="3" s="1"/>
  <c r="G20" i="7"/>
  <c r="E12" i="7"/>
  <c r="H7" i="7"/>
  <c r="G18" i="7"/>
  <c r="D7" i="7"/>
  <c r="D24" i="7"/>
  <c r="C9" i="7"/>
  <c r="C10" i="7"/>
  <c r="H10" i="7"/>
  <c r="F12" i="7"/>
  <c r="G24" i="7"/>
  <c r="D23" i="7"/>
  <c r="F11" i="7"/>
  <c r="F10" i="7"/>
  <c r="G11" i="7"/>
  <c r="D22" i="7"/>
  <c r="I10" i="7"/>
  <c r="F9" i="7"/>
  <c r="F18" i="7"/>
  <c r="D19" i="7"/>
  <c r="H18" i="7"/>
  <c r="I13" i="7"/>
  <c r="F19" i="7"/>
  <c r="I12" i="7"/>
  <c r="H22" i="7"/>
  <c r="H11" i="7"/>
  <c r="I9" i="7"/>
  <c r="I11" i="7"/>
  <c r="D8" i="7"/>
  <c r="F8" i="7"/>
  <c r="G13" i="7"/>
  <c r="I24" i="7"/>
  <c r="F22" i="7"/>
  <c r="F7" i="7"/>
  <c r="I7" i="7"/>
  <c r="I18" i="7"/>
  <c r="H13" i="7"/>
  <c r="H20" i="7"/>
  <c r="E7" i="7"/>
  <c r="G22" i="7"/>
  <c r="D12" i="7"/>
  <c r="D10" i="7"/>
  <c r="I19" i="7"/>
  <c r="C7" i="7"/>
  <c r="E13" i="7"/>
  <c r="G19" i="7"/>
  <c r="C18" i="7"/>
  <c r="E18" i="7"/>
  <c r="I23" i="7"/>
  <c r="I21" i="7"/>
  <c r="E22" i="7"/>
  <c r="H21" i="7"/>
  <c r="G7" i="7"/>
  <c r="F23" i="7"/>
  <c r="H8" i="7"/>
  <c r="D11" i="7"/>
  <c r="C23" i="7"/>
  <c r="C19" i="7"/>
  <c r="E19" i="7"/>
  <c r="H23" i="7"/>
  <c r="I22" i="7"/>
  <c r="G12" i="7"/>
  <c r="G8" i="7"/>
  <c r="E24" i="7"/>
  <c r="G23" i="7"/>
  <c r="F13" i="7"/>
  <c r="H24" i="7"/>
  <c r="C21" i="7"/>
  <c r="E11" i="7"/>
  <c r="C8" i="7"/>
  <c r="H9" i="7"/>
  <c r="E9" i="7"/>
  <c r="G10" i="7"/>
  <c r="C12" i="7"/>
  <c r="G9" i="7"/>
  <c r="E10" i="7"/>
  <c r="E23" i="7"/>
  <c r="C22" i="7"/>
  <c r="D9" i="7"/>
  <c r="E21" i="7"/>
  <c r="F24" i="7"/>
  <c r="I20" i="7"/>
  <c r="C20" i="7"/>
  <c r="I8" i="7"/>
  <c r="H19" i="7"/>
  <c r="C24" i="7"/>
  <c r="D21" i="7"/>
  <c r="D20" i="7"/>
  <c r="F21" i="7"/>
  <c r="D13" i="7"/>
  <c r="H12" i="7"/>
  <c r="E8" i="7"/>
  <c r="E20" i="7"/>
  <c r="C11" i="7"/>
  <c r="G21" i="7"/>
  <c r="F20" i="7"/>
  <c r="C13" i="7"/>
  <c r="D18" i="7"/>
  <c r="C53" i="3" l="1"/>
  <c r="C58" i="3"/>
  <c r="C62" i="3" s="1"/>
  <c r="C63" i="3" l="1"/>
  <c r="C64" i="3" s="1"/>
  <c r="C17" i="1" s="1"/>
  <c r="D17" i="1" s="1"/>
  <c r="C54" i="3"/>
  <c r="C55" i="3" s="1"/>
  <c r="C17" i="4"/>
  <c r="C16" i="1"/>
  <c r="C10" i="1" l="1"/>
  <c r="C12" i="1" s="1"/>
  <c r="C11" i="1" s="1"/>
  <c r="C21" i="1"/>
  <c r="D16" i="1"/>
  <c r="C19" i="4"/>
  <c r="C20" i="4" s="1"/>
  <c r="B79" i="4" s="1"/>
</calcChain>
</file>

<file path=xl/sharedStrings.xml><?xml version="1.0" encoding="utf-8"?>
<sst xmlns="http://schemas.openxmlformats.org/spreadsheetml/2006/main" count="443" uniqueCount="358">
  <si>
    <t>DISCLAIMER: This is a sample analysis for demonstration purposes only. It does not constitute investment advice.</t>
  </si>
  <si>
    <t>ネクソン (3659.T)</t>
  </si>
  <si>
    <t>Equity Research Report</t>
  </si>
  <si>
    <t>Company</t>
  </si>
  <si>
    <t>ネクソン</t>
  </si>
  <si>
    <t>Ticker</t>
  </si>
  <si>
    <t>3659.T (TSE Prime)</t>
  </si>
  <si>
    <t>Sector</t>
  </si>
  <si>
    <t>情報・通信業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</si>
  <si>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</si>
  <si>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</si>
  <si>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</si>
  <si>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</si>
  <si>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</si>
  <si>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</si>
  <si>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</si>
  <si>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</si>
  <si>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</si>
  <si>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</si>
  <si>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</si>
  <si>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</si>
  <si>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</si>
  <si>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</si>
  <si>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</si>
  <si>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</si>
  <si>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</si>
  <si>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</si>
  <si>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</si>
  <si>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</si>
  <si>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</si>
  <si>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</si>
  <si>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ネクソン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</si>
  <si>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</si>
  <si>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</si>
  <si>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</si>
  <si>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</si>
  <si>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</si>
  <si>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</si>
  <si>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</si>
  <si>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</si>
  <si>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</si>
  <si>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</si>
  <si>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</si>
  <si>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</si>
  <si>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</si>
  <si>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</si>
  <si>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</si>
  <si>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</si>
  <si>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</si>
  <si>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</si>
  <si>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</si>
  <si>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</si>
  <si>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</si>
  <si>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</si>
  <si>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</si>
  <si>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</si>
  <si>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</si>
  <si>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</si>
  <si>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</si>
  <si>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</si>
  <si>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ネクソン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</si>
  <si>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</si>
  <si>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</si>
  <si>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</si>
  <si>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</si>
  <si>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</si>
  <si>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</si>
  <si>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</si>
  <si>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</si>
  <si>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</si>
  <si>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</si>
  <si>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</si>
  <si>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</si>
  <si>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</si>
  <si>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</si>
  <si>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</si>
  <si>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</si>
  <si>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</si>
  <si>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</si>
  <si>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</si>
  <si>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</si>
  <si>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</si>
  <si>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</si>
  <si>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</si>
  <si>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</si>
  <si>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</si>
  <si>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</si>
  <si>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</si>
  <si>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</si>
  <si>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</si>
  <si>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</si>
  <si>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</si>
  <si>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</si>
  <si>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</si>
  <si>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</si>
  <si>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</si>
  <si>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</si>
  <si>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</si>
  <si>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</si>
  <si>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</si>
  <si>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</si>
  <si>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</si>
  <si>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</si>
  <si>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</si>
  <si>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</si>
  <si>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</si>
  <si>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</si>
  <si>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</si>
  <si>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</si>
  <si>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</si>
  <si>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</si>
  <si>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</si>
  <si>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</si>
  <si>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</si>
  <si>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</si>
  <si>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</si>
  <si>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</si>
  <si>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</si>
  <si>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</si>
  <si>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</si>
  <si>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</si>
  <si>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</si>
  <si>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</si>
  <si>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</si>
  <si>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</si>
  <si>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ネクソン (3659.T)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</si>
  <si>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</si>
  <si>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</si>
  <si>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</si>
  <si>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</si>
  <si>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</si>
  <si>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</si>
  <si>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</si>
  <si>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</si>
  <si>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</si>
  <si>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</si>
  <si>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</si>
  <si>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</si>
  <si>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</si>
  <si>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</si>
  <si>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</si>
  <si>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</si>
  <si>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</si>
  <si>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</si>
  <si>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</si>
  <si>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</si>
  <si>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</si>
  <si>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</si>
  <si>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</si>
  <si>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</si>
  <si>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</si>
  <si>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</si>
  <si>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</si>
  <si>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</si>
  <si>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</si>
  <si>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</si>
  <si>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</si>
  <si>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</si>
  <si>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</si>
  <si>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</si>
  <si>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</si>
  <si>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</si>
  <si>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</si>
  <si>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</si>
  <si>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</si>
  <si>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</si>
  <si>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</si>
  <si>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</si>
  <si>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</si>
  <si>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</si>
  <si>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</si>
  <si>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</si>
  <si>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</si>
  <si>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</si>
  <si>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</si>
  <si>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</si>
  <si>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</si>
  <si>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ネクソン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</si>
  <si>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</si>
  <si>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</si>
  <si>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</si>
  <si>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</si>
  <si>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</si>
  <si>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</si>
  <si>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</si>
  <si>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</si>
  <si>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</si>
  <si>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</si>
  <si>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</si>
  <si>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</si>
  <si>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</si>
  <si>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</si>
  <si>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</si>
  <si>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</si>
  <si>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</si>
  <si>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</si>
  <si>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</si>
  <si>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</si>
  <si>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</si>
  <si>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</si>
  <si>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</si>
  <si>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</si>
  <si>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</si>
  <si>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</si>
  <si>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</si>
  <si>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</si>
  <si>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</si>
  <si>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</si>
  <si>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</si>
  <si>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</si>
  <si>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</si>
  <si>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</si>
  <si>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NEXON Co., Ltd.</t>
  </si>
  <si>
    <t>3659.T</t>
  </si>
  <si>
    <t>Capcom Co., Ltd.</t>
  </si>
  <si>
    <t>9697.T</t>
  </si>
  <si>
    <t>Square Enix Holdings Co., Ltd.</t>
  </si>
  <si>
    <t>9684.T</t>
  </si>
  <si>
    <t>Konami Group Corporation</t>
  </si>
  <si>
    <t>9766.T</t>
  </si>
  <si>
    <t>Toho Co., Ltd.</t>
  </si>
  <si>
    <t>9602.T</t>
  </si>
  <si>
    <t>Statistics</t>
  </si>
  <si>
    <t>25th Percentile</t>
  </si>
  <si>
    <t>Median (50th)</t>
  </si>
  <si>
    <t>75th Percentile</t>
  </si>
  <si>
    <t>Implied Valuation for ネクソン</t>
  </si>
  <si>
    <t>ネクソン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</si>
  <si>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</si>
  <si>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</si>
  <si>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</si>
  <si>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</si>
  <si>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</si>
  <si>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</si>
  <si>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</si>
  <si>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</si>
  <si>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</si>
  <si>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</si>
  <si>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</si>
  <si>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</si>
  <si>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</si>
  <si>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</si>
  <si>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</si>
  <si>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ネクソン</t>
  </si>
  <si>
    <t>日付</t>
  </si>
  <si>
    <t>セル</t>
  </si>
  <si>
    <t>変更内容</t>
  </si>
  <si>
    <t>理由</t>
  </si>
  <si>
    <t>元の値</t>
  </si>
  <si>
    <t>状態</t>
  </si>
  <si>
    <t>2026-09-06</t>
  </si>
  <si>
    <t>-</t>
  </si>
  <si>
    <t>Generated by pipeline on 2026-09-06 18:52, template rev 63983ab</t>
  </si>
  <si>
    <t>初期生成（手修正なし）</t>
  </si>
  <si>
    <t>generated</t>
  </si>
  <si>
    <t>DCF Model!C11</t>
  </si>
  <si>
    <t>After-tax Cost of Debt = 17.11% (実績ベース)</t>
  </si>
  <si>
    <t>実績Kd = 支払利息10,513 ÷ 平均有利子負債46,072(期首39,998/期末52,145、debt_beginning/debt_ending) = 税引前22.82% × (1−25.0%) = 17.11%。【マージナルコスト注記】これは既存借入の実績平均コストであり、新規調達の限界コストではない。テンプレ既定(税引前2.8%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</si>
  <si>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</si>
  <si>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</si>
  <si>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</si>
  <si>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0.905（採用値）</t>
  </si>
  <si>
    <t>実測β(raw) = 0.859 → Blume調整 0.67×raw + 0.33×1.00 = 0.905 → 採用 0.905。クランプ域 [0.3, 2.0] の内側。置換なし。回帰βは平均回帰するため Blume 調整を既定とする（2026-09-05 バッチで85件中57件が旧下限 0.60 に張り付き、両裾の歪みが実証された）。</t>
  </si>
  <si>
    <t>実測 0.859</t>
  </si>
  <si>
    <t>確定</t>
  </si>
  <si>
    <t>Pipeline Metadata (do not edit — read by scripts/validate_output.py)</t>
  </si>
  <si>
    <t>key</t>
  </si>
  <si>
    <t>value</t>
  </si>
  <si>
    <t>auto_log_entries</t>
  </si>
  <si>
    <t>2</t>
  </si>
  <si>
    <t>beta_adopted_c8</t>
  </si>
  <si>
    <t>0.9054</t>
  </si>
  <si>
    <t>beta_basis</t>
  </si>
  <si>
    <t>Blume: 0.67 x 0.859 + 0.33 x 1.00 = 0.905</t>
  </si>
  <si>
    <t>beta_blume_adjusted</t>
  </si>
  <si>
    <t>beta_clamped</t>
  </si>
  <si>
    <t>no</t>
  </si>
  <si>
    <t>beta_raw</t>
  </si>
  <si>
    <t>0.8588</t>
  </si>
  <si>
    <t>capex_pct_basis</t>
  </si>
  <si>
    <t>explicit_override</t>
  </si>
  <si>
    <t>capex_pct_c5</t>
  </si>
  <si>
    <t>0.0252</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</si>
  <si>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</si>
  <si>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</si>
  <si>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</si>
  <si>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</si>
  <si>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</si>
  <si>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</si>
  <si>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</si>
  <si>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</si>
  <si>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</si>
  <si>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</si>
  <si>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</si>
  <si>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</si>
  <si>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</si>
  <si>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</si>
  <si>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</si>
  <si>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</si>
  <si>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</si>
  <si>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</si>
  <si>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</si>
  <si>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</si>
  <si>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</si>
  <si>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135421.0</t>
  </si>
  <si>
    <t>core_net_income</t>
  </si>
  <si>
    <t>92052.0</t>
  </si>
  <si>
    <t>cost_of_debt_actual</t>
  </si>
  <si>
    <t>interest 10,513 (expense 10,513 + fees 0) / avg debt 46,072 (debt_beginning/debt_ending) = 0.228189 pre-tax -&gt; 0.171100 after-tax</t>
  </si>
  <si>
    <t>cost_of_debt_at_c11</t>
  </si>
  <si>
    <t>0.1711</t>
  </si>
  <si>
    <t>cost_of_debt_avg_debt</t>
  </si>
  <si>
    <t>46071.5</t>
  </si>
  <si>
    <t>cost_of_debt_basis</t>
  </si>
  <si>
    <t>actual</t>
  </si>
  <si>
    <t>cost_of_debt_interest</t>
  </si>
  <si>
    <t>10513.0</t>
  </si>
  <si>
    <t>cost_of_debt_pretax</t>
  </si>
  <si>
    <t>0.2281887935057465</t>
  </si>
  <si>
    <t>da_pct_basis</t>
  </si>
  <si>
    <t>da_pct_c18</t>
  </si>
  <si>
    <t>0.024</t>
  </si>
  <si>
    <t>da_pct_hist3yr</t>
  </si>
  <si>
    <t>0.022351</t>
  </si>
  <si>
    <t>fs_year_coverage</t>
  </si>
  <si>
    <t>OCF 4/4, Cash 4/4, Debt 0/4</t>
  </si>
  <si>
    <t>fs_year_map</t>
  </si>
  <si>
    <t>FY2022&lt;-FY2022[ocf+cash]; FY2023&lt;-FY2023[ocf+cash]; FY2024&lt;-FY2024[ocf+cash]; FY2025&lt;-FY2025[ocf+cash]</t>
  </si>
  <si>
    <t>fs_year_sources</t>
  </si>
  <si>
    <t>overrides: none | EDINET year-key match: hist_ocf, hist_cash, hist_debt, hist_capex, hist_depreciation</t>
  </si>
  <si>
    <t>fx_sensitivity</t>
  </si>
  <si>
    <t>not enabled</t>
  </si>
  <si>
    <t>generated_at</t>
  </si>
  <si>
    <t>2026-09-06 18:52:50</t>
  </si>
  <si>
    <t>guidance_note</t>
  </si>
  <si>
    <t>TDnet 決算短信 via screener guidance table: FY2026 disclosed 2026-08-13 (net_income=112,505mn, operating_income=121,716mn, revenue=406,746mn)</t>
  </si>
  <si>
    <t>guidance_source</t>
  </si>
  <si>
    <t>tdnet_screener_db</t>
  </si>
  <si>
    <t>latest_operating_income</t>
  </si>
  <si>
    <t>124012.0</t>
  </si>
  <si>
    <t>ltm_revenue_c20</t>
  </si>
  <si>
    <t>515628.0</t>
  </si>
  <si>
    <t>ltm_revenue_source</t>
  </si>
  <si>
    <t>LTM row</t>
  </si>
  <si>
    <t>market_data_source</t>
  </si>
  <si>
    <t>yfinance; from overrides: beta, current_price, shares_outstanding</t>
  </si>
  <si>
    <t>narrative_tokens_used</t>
  </si>
  <si>
    <t>net_debt_source</t>
  </si>
  <si>
    <t>UNAVAILABLE (no net_debt, and total_debt/cash incomplete)</t>
  </si>
  <si>
    <t>reverse_dcf_sheet</t>
  </si>
  <si>
    <t>op0=124,012(FY2025) peak=134,745(FY2023) peak_opm=0.3183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</si>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</sst>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3120</v>
      </c>
    </row>
    <row r="10" spans="2:5" ht="14" x14ac:dyDescent="0.3">
      <c r="B10" s="4" t="s">
        <v>10</v>
      </c>
      <c r="C10" s="5">
        <f>IF(COUNT(C16:C17)=0,"N/A",ROUND(AVERAGE(C16:C17),0))</f>
        <v>2817</v>
      </c>
    </row>
    <row r="11" spans="2:5" ht="14" x14ac:dyDescent="0.3">
      <c r="B11" s="4" t="s">
        <v>11</v>
      </c>
      <c r="C11" s="6" t="str">
        <f>IF(NOT(ISNUMBER(C12)),"N/A",IF(C12&gt;0.15,"BUY",IF(C12&gt;0.05,"HOLD","SELL")))</f>
        <v>SELL</v>
      </c>
    </row>
    <row r="12" spans="2:5" ht="14" x14ac:dyDescent="0.3">
      <c r="B12" s="4" t="s">
        <v>12</v>
      </c>
      <c r="C12" s="7">
        <f>IF(ISNUMBER(C10),(C10-C9)/C9,"N/A")</f>
        <v>-9.7115384615384617E-2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2257</v>
      </c>
      <c r="D16" s="7">
        <f>IF(ISNUMBER(C16),(C16-C9)/C9,"N/A")</f>
        <v>-0.27660256410256412</v>
      </c>
    </row>
    <row r="17" spans="2:5" ht="13.5" x14ac:dyDescent="0.25">
      <c r="B17" t="s">
        <v>18</v>
      </c>
      <c r="C17" s="11">
        <f>IF('DCF Model'!C62&lt;'DCF Model'!C16,"INVALID (EV &lt; net debt)",'DCF Model'!C64)</f>
        <v>3376</v>
      </c>
      <c r="D17" s="7">
        <f>IF(ISNUMBER(C17),(C17-C9)/C9,"N/A")</f>
        <v>8.2051282051282051E-2</v>
      </c>
    </row>
    <row r="18" spans="2:5" ht="13.5" x14ac:dyDescent="0.25">
      <c r="B18" t="s">
        <v>19</v>
      </c>
      <c r="C18" s="11">
        <f>'Comps Analysis'!C27</f>
        <v>3262</v>
      </c>
      <c r="D18" s="7">
        <f>IF(ISNUMBER(C18),(C18-C9)/C9,"N/A")</f>
        <v>4.5512820512820511E-2</v>
      </c>
    </row>
    <row r="19" spans="2:5" ht="13.5" x14ac:dyDescent="0.25">
      <c r="B19" t="s">
        <v>20</v>
      </c>
      <c r="C19" s="11">
        <f>'Comps Analysis'!C28</f>
        <v>3646</v>
      </c>
      <c r="D19" s="7">
        <f>IF(ISNUMBER(C19),(C19-C9)/C9,"N/A")</f>
        <v>0.1685897435897436</v>
      </c>
    </row>
    <row r="20" spans="2:5" ht="14" x14ac:dyDescent="0.3">
      <c r="B20" s="45" t="s">
        <v>21</v>
      </c>
      <c r="C20" s="44"/>
      <c r="D20" s="44"/>
      <c r="E20" s="44"/>
    </row>
    <row r="21" spans="2:5" ht="14" x14ac:dyDescent="0.3">
      <c r="B21" s="4" t="s">
        <v>22</v>
      </c>
      <c r="C21" s="6" t="str">
        <f>IF(COUNT(C16:C17)=0,"N/A",MIN(C16:C17)&amp;" - "&amp;MAX(C16:C17))</f>
        <v>2257 - 3376</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353714</v>
      </c>
      <c r="D6" s="5">
        <v>423356</v>
      </c>
      <c r="E6" s="5">
        <v>446211</v>
      </c>
      <c r="F6" s="5">
        <v>475102</v>
      </c>
    </row>
    <row r="7" spans="2:6" ht="14" x14ac:dyDescent="0.3">
      <c r="B7" s="4" t="s">
        <v>38</v>
      </c>
      <c r="C7" s="5">
        <v>105778</v>
      </c>
      <c r="D7" s="5">
        <v>137938</v>
      </c>
      <c r="E7" s="5">
        <v>164838</v>
      </c>
      <c r="F7" s="5">
        <v>193088</v>
      </c>
    </row>
    <row r="8" spans="2:6" ht="14" x14ac:dyDescent="0.3">
      <c r="B8" s="4" t="s">
        <v>39</v>
      </c>
      <c r="C8" s="5">
        <f>C6-C7</f>
        <v>247936</v>
      </c>
      <c r="D8" s="5">
        <f>D6-D7</f>
        <v>285418</v>
      </c>
      <c r="E8" s="5">
        <f>E6-E7</f>
        <v>281373</v>
      </c>
      <c r="F8" s="5">
        <f>F6-F7</f>
        <v>282014</v>
      </c>
    </row>
    <row r="9" spans="2:6" ht="13.5" x14ac:dyDescent="0.25">
      <c r="B9" t="s">
        <v>40</v>
      </c>
      <c r="C9" s="7">
        <f>C8/C6</f>
        <v>0.70095048542042437</v>
      </c>
      <c r="D9" s="7">
        <f>D8/D6</f>
        <v>0.67417965022345261</v>
      </c>
      <c r="E9" s="7">
        <f>E8/E6</f>
        <v>0.63058284085331828</v>
      </c>
      <c r="F9" s="7">
        <f>F8/F6</f>
        <v>0.59358621938025935</v>
      </c>
    </row>
    <row r="10" spans="2:6" ht="14" x14ac:dyDescent="0.3">
      <c r="B10" s="4" t="s">
        <v>41</v>
      </c>
      <c r="C10" s="5">
        <v>144240</v>
      </c>
      <c r="D10" s="5">
        <v>150673</v>
      </c>
      <c r="E10" s="5">
        <v>157197</v>
      </c>
      <c r="F10" s="5">
        <v>158002</v>
      </c>
    </row>
    <row r="11" spans="2:6" ht="14" x14ac:dyDescent="0.3">
      <c r="B11" s="4" t="s">
        <v>42</v>
      </c>
      <c r="C11" s="5">
        <v>103696</v>
      </c>
      <c r="D11" s="5">
        <v>134745</v>
      </c>
      <c r="E11" s="5">
        <v>124176</v>
      </c>
      <c r="F11" s="5">
        <v>124012</v>
      </c>
    </row>
    <row r="12" spans="2:6" ht="14" x14ac:dyDescent="0.3">
      <c r="B12" s="4" t="s">
        <v>43</v>
      </c>
      <c r="C12" s="5">
        <v>100339</v>
      </c>
      <c r="D12" s="5">
        <v>70609</v>
      </c>
      <c r="E12" s="5">
        <v>134848</v>
      </c>
      <c r="F12" s="5">
        <v>92052</v>
      </c>
    </row>
    <row r="13" spans="2:6" ht="13.5" x14ac:dyDescent="0.25">
      <c r="B13" t="s">
        <v>44</v>
      </c>
      <c r="C13" s="7">
        <f>C11/C6</f>
        <v>0.29316340320145656</v>
      </c>
      <c r="D13" s="7">
        <f>D11/D6</f>
        <v>0.31827823392133336</v>
      </c>
      <c r="E13" s="7">
        <f>E11/E6</f>
        <v>0.27828986734975159</v>
      </c>
      <c r="F13" s="7">
        <f>F11/F6</f>
        <v>0.26102184373039894</v>
      </c>
    </row>
    <row r="14" spans="2:6" ht="13.5" x14ac:dyDescent="0.25">
      <c r="B14" t="s">
        <v>45</v>
      </c>
      <c r="C14" s="7">
        <f>C12/C6</f>
        <v>0.28367268471137697</v>
      </c>
      <c r="D14" s="7">
        <f>D12/D6</f>
        <v>0.16678398321979609</v>
      </c>
      <c r="E14" s="7">
        <f>E12/E6</f>
        <v>0.30220680350775753</v>
      </c>
      <c r="F14" s="7">
        <f>F12/F6</f>
        <v>0.19375207850103768</v>
      </c>
    </row>
    <row r="15" spans="2:6" ht="13.5" x14ac:dyDescent="0.25">
      <c r="B15" t="s">
        <v>46</v>
      </c>
      <c r="C15" t="s">
        <v>47</v>
      </c>
      <c r="D15" s="7">
        <f>(D6-C6)/C6</f>
        <v>0.19688788116953246</v>
      </c>
      <c r="E15" s="7">
        <f>(E6-D6)/D6</f>
        <v>5.3985298424966223E-2</v>
      </c>
      <c r="F15" s="7">
        <f>(F6-E6)/E6</f>
        <v>6.4747395290568818E-2</v>
      </c>
    </row>
    <row r="16" spans="2:6" ht="13.5" x14ac:dyDescent="0.25">
      <c r="B16" t="s">
        <v>48</v>
      </c>
      <c r="C16" t="s">
        <v>47</v>
      </c>
      <c r="D16" s="7">
        <f>(D11-C11)/C11</f>
        <v>0.29942331430334823</v>
      </c>
      <c r="E16" s="7">
        <f>(E11-D11)/D11</f>
        <v>-7.8437047756874101E-2</v>
      </c>
      <c r="F16" s="7">
        <f>(F11-E11)/E11</f>
        <v>-1.3207060945754413E-3</v>
      </c>
    </row>
    <row r="18" spans="2:6" ht="14" x14ac:dyDescent="0.3">
      <c r="B18" s="3" t="s">
        <v>49</v>
      </c>
    </row>
    <row r="19" spans="2:6" ht="14" x14ac:dyDescent="0.3">
      <c r="B19" s="4" t="s">
        <v>50</v>
      </c>
      <c r="C19" s="5">
        <v>130144</v>
      </c>
      <c r="D19" s="5">
        <v>128712</v>
      </c>
      <c r="E19" s="5">
        <v>100968</v>
      </c>
      <c r="F19" s="5">
        <v>171872</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409368</v>
      </c>
      <c r="D26" s="5">
        <v>280515</v>
      </c>
      <c r="E26" s="5">
        <v>331931</v>
      </c>
      <c r="F26" s="5">
        <v>498868</v>
      </c>
    </row>
    <row r="27" spans="2:6" ht="14" x14ac:dyDescent="0.3">
      <c r="B27" s="4" t="s">
        <v>57</v>
      </c>
      <c r="C27" s="5"/>
      <c r="D27" s="5"/>
      <c r="E27" s="5"/>
      <c r="F27" s="5"/>
    </row>
    <row r="28" spans="2:6" ht="14" x14ac:dyDescent="0.3">
      <c r="B28" s="4" t="s">
        <v>58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2.52E-2</v>
      </c>
    </row>
    <row r="6" spans="2:7" ht="14" x14ac:dyDescent="0.3">
      <c r="B6" s="4" t="s">
        <v>63</v>
      </c>
      <c r="C6" s="7">
        <v>0.25</v>
      </c>
    </row>
    <row r="7" spans="2:7" ht="14" x14ac:dyDescent="0.3">
      <c r="B7" s="4" t="s">
        <v>64</v>
      </c>
      <c r="C7" s="7">
        <v>2.9700000000000001E-2</v>
      </c>
    </row>
    <row r="8" spans="2:7" ht="14" x14ac:dyDescent="0.3">
      <c r="B8" s="4" t="s">
        <v>65</v>
      </c>
      <c r="C8" s="12">
        <v>0.90539999999999998</v>
      </c>
    </row>
    <row r="9" spans="2:7" ht="14" x14ac:dyDescent="0.3">
      <c r="B9" s="4" t="s">
        <v>66</v>
      </c>
      <c r="C9" s="7">
        <v>6.5000000000000002E-2</v>
      </c>
    </row>
    <row r="10" spans="2:7" ht="14" x14ac:dyDescent="0.3">
      <c r="B10" s="4" t="s">
        <v>67</v>
      </c>
      <c r="C10" s="7">
        <v>0.01</v>
      </c>
    </row>
    <row r="11" spans="2:7" ht="14" x14ac:dyDescent="0.3">
      <c r="B11" s="4" t="s">
        <v>68</v>
      </c>
      <c r="C11" s="7">
        <v>0.1711</v>
      </c>
    </row>
    <row r="12" spans="2:7" ht="14" x14ac:dyDescent="0.3">
      <c r="B12" s="4" t="s">
        <v>69</v>
      </c>
      <c r="C12" s="13">
        <v>0</v>
      </c>
    </row>
    <row r="13" spans="2:7" ht="14" x14ac:dyDescent="0.3">
      <c r="B13" s="4" t="s">
        <v>70</v>
      </c>
      <c r="C13" s="7">
        <v>0.01</v>
      </c>
    </row>
    <row r="14" spans="2:7" ht="14" x14ac:dyDescent="0.3">
      <c r="B14" s="4" t="s">
        <v>71</v>
      </c>
      <c r="C14" s="14">
        <v>15.5</v>
      </c>
    </row>
    <row r="15" spans="2:7" ht="14" x14ac:dyDescent="0.3">
      <c r="B15" s="4" t="s">
        <v>72</v>
      </c>
      <c r="C15" s="15">
        <v>778877498</v>
      </c>
    </row>
    <row r="16" spans="2:7" ht="14" x14ac:dyDescent="0.3">
      <c r="B16" s="4" t="s">
        <v>73</v>
      </c>
      <c r="C16" s="5">
        <v>-446723</v>
      </c>
    </row>
    <row r="17" spans="2:7" ht="14" x14ac:dyDescent="0.3">
      <c r="B17" s="4" t="s">
        <v>74</v>
      </c>
      <c r="C17" s="5">
        <v>475102</v>
      </c>
    </row>
    <row r="18" spans="2:7" ht="14" x14ac:dyDescent="0.3">
      <c r="B18" s="4" t="s">
        <v>75</v>
      </c>
      <c r="C18" s="7">
        <v>2.4E-2</v>
      </c>
    </row>
    <row r="19" spans="2:7" ht="14" x14ac:dyDescent="0.3">
      <c r="B19" s="4" t="s">
        <v>76</v>
      </c>
      <c r="C19" s="12">
        <v>0.5</v>
      </c>
    </row>
    <row r="20" spans="2:7" ht="14" x14ac:dyDescent="0.3">
      <c r="B20" s="4" t="s">
        <v>77</v>
      </c>
      <c r="C20" s="5">
        <v>515628</v>
      </c>
    </row>
    <row r="22" spans="2:7" ht="14" x14ac:dyDescent="0.3">
      <c r="B22" s="8" t="s">
        <v>78</v>
      </c>
      <c r="C22" s="9"/>
      <c r="D22" s="9"/>
      <c r="E22" s="9"/>
      <c r="F22" s="9"/>
      <c r="G22" s="9"/>
    </row>
    <row r="23" spans="2:7" ht="14" x14ac:dyDescent="0.3">
      <c r="B23" s="4" t="s">
        <v>79</v>
      </c>
      <c r="C23" s="16">
        <f>C7+C8*C9+C10</f>
        <v>9.8551E-2</v>
      </c>
    </row>
    <row r="24" spans="2:7" ht="14" x14ac:dyDescent="0.3">
      <c r="B24" s="4" t="s">
        <v>80</v>
      </c>
      <c r="C24" s="16">
        <f>1/(1+C12)</f>
        <v>1</v>
      </c>
    </row>
    <row r="25" spans="2:7" ht="14" x14ac:dyDescent="0.3">
      <c r="B25" s="4" t="s">
        <v>81</v>
      </c>
      <c r="C25" s="16">
        <f>C12/(1+C12)</f>
        <v>0</v>
      </c>
    </row>
    <row r="26" spans="2:7" ht="14" x14ac:dyDescent="0.3">
      <c r="B26" s="4" t="s">
        <v>82</v>
      </c>
      <c r="C26" s="16">
        <f>C23*C24+C11*C25</f>
        <v>9.8551E-2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0.40600000000000003</v>
      </c>
      <c r="D31" s="18">
        <f>CHOOSE($D$27,D76,D77,D78,D79,D80)</f>
        <v>0.40600000000000003</v>
      </c>
      <c r="E31" s="18">
        <f>CHOOSE($D$27,E76,E77,E78,E79,E80)</f>
        <v>0.40600000000000003</v>
      </c>
      <c r="F31" s="18">
        <f>CHOOSE($D$27,F76,F77,F78,F79,F80)</f>
        <v>0.40600000000000003</v>
      </c>
      <c r="G31" s="18">
        <f>CHOOSE($D$27,G76,G77,G78,G79,G80)</f>
        <v>0.40600000000000003</v>
      </c>
    </row>
    <row r="32" spans="2:7" ht="14" x14ac:dyDescent="0.3">
      <c r="B32" s="4" t="s">
        <v>92</v>
      </c>
      <c r="C32" s="18">
        <f>CHOOSE($D$27,C83,C84,C85,C86,C87)</f>
        <v>0.32800000000000001</v>
      </c>
      <c r="D32" s="18">
        <f>CHOOSE($D$27,D83,D84,D85,D86,D87)</f>
        <v>0.32200000000000001</v>
      </c>
      <c r="E32" s="18">
        <f>CHOOSE($D$27,E83,E84,E85,E86,E87)</f>
        <v>0.316</v>
      </c>
      <c r="F32" s="18">
        <f>CHOOSE($D$27,F83,F84,F85,F86,F87)</f>
        <v>0.3115</v>
      </c>
      <c r="G32" s="18">
        <f>CHOOSE($D$27,G83,G84,G85,G86,G87)</f>
        <v>0.30830000000000002</v>
      </c>
    </row>
    <row r="33" spans="2:7" ht="14" x14ac:dyDescent="0.3">
      <c r="B33" s="4" t="s">
        <v>37</v>
      </c>
      <c r="C33" s="5">
        <f>C17*(1+C30)</f>
        <v>494106.08</v>
      </c>
      <c r="D33" s="5">
        <f>C33*(1+D30)</f>
        <v>511399.7928</v>
      </c>
      <c r="E33" s="5">
        <f>D33*(1+E30)</f>
        <v>526741.78658399999</v>
      </c>
      <c r="F33" s="5">
        <f>E33*(1+F30)</f>
        <v>542544.04018152005</v>
      </c>
      <c r="G33" s="5">
        <f>F33*(1+G30)</f>
        <v>556107.64118605806</v>
      </c>
    </row>
    <row r="34" spans="2:7" ht="14" x14ac:dyDescent="0.3">
      <c r="B34" s="4" t="s">
        <v>38</v>
      </c>
      <c r="C34" s="5">
        <f>C33*C31</f>
        <v>200607.06848000002</v>
      </c>
      <c r="D34" s="5">
        <f>D33*D31</f>
        <v>207628.31587680001</v>
      </c>
      <c r="E34" s="5">
        <f>E33*E31</f>
        <v>213857.16535310401</v>
      </c>
      <c r="F34" s="5">
        <f>F33*F31</f>
        <v>220272.88031369715</v>
      </c>
      <c r="G34" s="5">
        <f>G33*G31</f>
        <v>225779.70232153957</v>
      </c>
    </row>
    <row r="35" spans="2:7" ht="14" x14ac:dyDescent="0.3">
      <c r="B35" s="4" t="s">
        <v>39</v>
      </c>
      <c r="C35" s="19">
        <f>C33-C34</f>
        <v>293499.01152</v>
      </c>
      <c r="D35" s="19">
        <f>D33-D34</f>
        <v>303771.47692319995</v>
      </c>
      <c r="E35" s="19">
        <f>E33-E34</f>
        <v>312884.62123089598</v>
      </c>
      <c r="F35" s="19">
        <f>F33-F34</f>
        <v>322271.15986782289</v>
      </c>
      <c r="G35" s="19">
        <f>G33-G34</f>
        <v>330327.93886451848</v>
      </c>
    </row>
    <row r="36" spans="2:7" ht="14" x14ac:dyDescent="0.3">
      <c r="B36" s="4" t="s">
        <v>40</v>
      </c>
      <c r="C36" s="7">
        <f>C35/C33</f>
        <v>0.59399999999999997</v>
      </c>
      <c r="D36" s="7">
        <f>D35/D33</f>
        <v>0.59399999999999986</v>
      </c>
      <c r="E36" s="7">
        <f>E35/E33</f>
        <v>0.59399999999999997</v>
      </c>
      <c r="F36" s="7">
        <f>F35/F33</f>
        <v>0.59399999999999997</v>
      </c>
      <c r="G36" s="7">
        <f>G35/G33</f>
        <v>0.59399999999999997</v>
      </c>
    </row>
    <row r="37" spans="2:7" ht="14" x14ac:dyDescent="0.3">
      <c r="B37" s="4" t="s">
        <v>93</v>
      </c>
      <c r="C37" s="5">
        <f>C33*C32</f>
        <v>162066.79424000002</v>
      </c>
      <c r="D37" s="5">
        <f>D33*D32</f>
        <v>164670.7332816</v>
      </c>
      <c r="E37" s="5">
        <f>E33*E32</f>
        <v>166450.404560544</v>
      </c>
      <c r="F37" s="5">
        <f>F33*F32</f>
        <v>169002.46851654351</v>
      </c>
      <c r="G37" s="5">
        <f>G33*G32</f>
        <v>171447.9857776617</v>
      </c>
    </row>
    <row r="38" spans="2:7" ht="14" x14ac:dyDescent="0.3">
      <c r="B38" s="4" t="s">
        <v>94</v>
      </c>
      <c r="C38" s="7">
        <f>(C35-C37)/C33</f>
        <v>0.26599999999999996</v>
      </c>
      <c r="D38" s="7">
        <f>(D35-D37)/D33</f>
        <v>0.27199999999999991</v>
      </c>
      <c r="E38" s="7">
        <f>(E35-E37)/E33</f>
        <v>0.27799999999999997</v>
      </c>
      <c r="F38" s="7">
        <f>(F35-F37)/F33</f>
        <v>0.28249999999999997</v>
      </c>
      <c r="G38" s="7">
        <f>(G35-G37)/G33</f>
        <v>0.28570000000000001</v>
      </c>
    </row>
    <row r="39" spans="2:7" ht="14" x14ac:dyDescent="0.3">
      <c r="B39" s="4" t="s">
        <v>95</v>
      </c>
      <c r="C39" s="19">
        <f>C35-C37</f>
        <v>131432.21727999998</v>
      </c>
      <c r="D39" s="19">
        <f>D35-D37</f>
        <v>139100.74364159995</v>
      </c>
      <c r="E39" s="19">
        <f>E35-E37</f>
        <v>146434.21667035198</v>
      </c>
      <c r="F39" s="19">
        <f>F35-F37</f>
        <v>153268.69135127938</v>
      </c>
      <c r="G39" s="19">
        <f>G35-G37</f>
        <v>158879.95308685678</v>
      </c>
    </row>
    <row r="40" spans="2:7" ht="14" x14ac:dyDescent="0.3">
      <c r="B40" s="4" t="s">
        <v>96</v>
      </c>
      <c r="C40" s="5">
        <f>MAX(0,C39*C6)</f>
        <v>32858.054319999996</v>
      </c>
      <c r="D40" s="5">
        <f>MAX(0,D39*C6)</f>
        <v>34775.185910399989</v>
      </c>
      <c r="E40" s="5">
        <f>MAX(0,E39*C6)</f>
        <v>36608.554167587994</v>
      </c>
      <c r="F40" s="5">
        <f>MAX(0,F39*C6)</f>
        <v>38317.172837819846</v>
      </c>
      <c r="G40" s="5">
        <f>MAX(0,G39*C6)</f>
        <v>39719.988271714195</v>
      </c>
    </row>
    <row r="41" spans="2:7" ht="14" x14ac:dyDescent="0.3">
      <c r="B41" s="4" t="s">
        <v>97</v>
      </c>
      <c r="C41" s="19">
        <f>C39-C40</f>
        <v>98574.162959999987</v>
      </c>
      <c r="D41" s="19">
        <f>D39-D40</f>
        <v>104325.55773119997</v>
      </c>
      <c r="E41" s="19">
        <f>E39-E40</f>
        <v>109825.66250276398</v>
      </c>
      <c r="F41" s="19">
        <f>F39-F40</f>
        <v>114951.51851345954</v>
      </c>
      <c r="G41" s="19">
        <f>G39-G40</f>
        <v>119159.96481514259</v>
      </c>
    </row>
    <row r="42" spans="2:7" ht="14" x14ac:dyDescent="0.3">
      <c r="B42" s="4" t="s">
        <v>98</v>
      </c>
      <c r="C42" s="5">
        <f>C33*C18</f>
        <v>11858.54592</v>
      </c>
      <c r="D42" s="5">
        <f>D33*C18</f>
        <v>12273.595027200001</v>
      </c>
      <c r="E42" s="5">
        <f>E33*C18</f>
        <v>12641.802878016</v>
      </c>
      <c r="F42" s="5">
        <f>F33*C18</f>
        <v>13021.056964356481</v>
      </c>
      <c r="G42" s="5">
        <f>G33*C18</f>
        <v>13346.583388465393</v>
      </c>
    </row>
    <row r="43" spans="2:7" ht="14" x14ac:dyDescent="0.3">
      <c r="B43" s="4" t="s">
        <v>99</v>
      </c>
      <c r="C43" s="5">
        <v>10400</v>
      </c>
      <c r="D43" s="5">
        <v>11300</v>
      </c>
      <c r="E43" s="5">
        <v>12200</v>
      </c>
      <c r="F43" s="5">
        <v>13100</v>
      </c>
      <c r="G43" s="5">
        <v>14000</v>
      </c>
    </row>
    <row r="44" spans="2:7" ht="14" x14ac:dyDescent="0.3">
      <c r="B44" s="4" t="s">
        <v>100</v>
      </c>
      <c r="C44" s="5">
        <f>'NWC Schedule'!D19</f>
        <v>-3582.1574820821843</v>
      </c>
      <c r="D44" s="5">
        <f>'NWC Schedule'!E19</f>
        <v>1416.0944881270989</v>
      </c>
      <c r="E44" s="5">
        <f>'NWC Schedule'!F19</f>
        <v>1256.2781101813598</v>
      </c>
      <c r="F44" s="5">
        <f>'NWC Schedule'!G19</f>
        <v>1293.9664534867916</v>
      </c>
      <c r="G44" s="5">
        <f>'NWC Schedule'!H19</f>
        <v>1110.6545392428379</v>
      </c>
    </row>
    <row r="45" spans="2:7" ht="14" x14ac:dyDescent="0.3">
      <c r="B45" s="4" t="s">
        <v>101</v>
      </c>
      <c r="C45" s="20">
        <f>C41+C42-C43-C44</f>
        <v>103614.86636208218</v>
      </c>
      <c r="D45" s="20">
        <f>D41+D42-D43-D44</f>
        <v>103883.05827027287</v>
      </c>
      <c r="E45" s="20">
        <f>E41+E42-E43-E44</f>
        <v>109011.18727059862</v>
      </c>
      <c r="F45" s="20">
        <f>F41+F42-F43-F44</f>
        <v>113578.60902432923</v>
      </c>
      <c r="G45" s="20">
        <f>G41+G42-G43-G44</f>
        <v>117395.89366436515</v>
      </c>
    </row>
    <row r="46" spans="2:7" ht="14" x14ac:dyDescent="0.3">
      <c r="B46" s="4" t="s">
        <v>102</v>
      </c>
      <c r="C46" s="21">
        <f>1/(1+C26)^(C19+0)</f>
        <v>0.95409119548084131</v>
      </c>
      <c r="D46" s="21">
        <f>1/(1+C26)^(C19+1)</f>
        <v>0.86849968320163673</v>
      </c>
      <c r="E46" s="21">
        <f>1/(1+C26)^(C19+2)</f>
        <v>0.79058658469350696</v>
      </c>
      <c r="F46" s="21">
        <f>1/(1+C26)^(C19+3)</f>
        <v>0.71966306952841241</v>
      </c>
      <c r="G46" s="21">
        <f>1/(1+C26)^(C19+4)</f>
        <v>0.65510210224961085</v>
      </c>
    </row>
    <row r="47" spans="2:7" ht="14" x14ac:dyDescent="0.3">
      <c r="B47" s="4" t="s">
        <v>103</v>
      </c>
      <c r="C47" s="19">
        <f>C45*C46</f>
        <v>98858.031716986588</v>
      </c>
      <c r="D47" s="19">
        <f>D45*D46</f>
        <v>90222.403197749154</v>
      </c>
      <c r="E47" s="19">
        <f>E45*E46</f>
        <v>86182.782237646854</v>
      </c>
      <c r="F47" s="19">
        <f>F45*F46</f>
        <v>81738.330403216212</v>
      </c>
      <c r="G47" s="19">
        <f>G45*G46</f>
        <v>76906.296734997377</v>
      </c>
    </row>
    <row r="49" spans="2:7" ht="14" x14ac:dyDescent="0.3">
      <c r="B49" s="22" t="s">
        <v>104</v>
      </c>
      <c r="C49" s="23"/>
      <c r="D49" s="23"/>
      <c r="E49" s="23"/>
      <c r="F49" s="23"/>
      <c r="G49" s="23"/>
    </row>
    <row r="50" spans="2:7" ht="14" x14ac:dyDescent="0.3">
      <c r="B50" s="4" t="s">
        <v>105</v>
      </c>
      <c r="C50" s="5">
        <f>SUM(C47:G47)</f>
        <v>433907.84429059614</v>
      </c>
    </row>
    <row r="51" spans="2:7" ht="14" x14ac:dyDescent="0.3">
      <c r="B51" s="4" t="s">
        <v>106</v>
      </c>
      <c r="C51" s="5">
        <f>G45*(1+C13)/(C26-C13)</f>
        <v>1339000.7182415647</v>
      </c>
    </row>
    <row r="52" spans="2:7" ht="14" x14ac:dyDescent="0.3">
      <c r="B52" s="4" t="s">
        <v>107</v>
      </c>
      <c r="C52" s="5">
        <f>C51*G46</f>
        <v>877182.18543378788</v>
      </c>
    </row>
    <row r="53" spans="2:7" ht="14" x14ac:dyDescent="0.3">
      <c r="B53" s="4" t="s">
        <v>108</v>
      </c>
      <c r="C53" s="5">
        <f>C50+C52</f>
        <v>1311090.029724384</v>
      </c>
    </row>
    <row r="54" spans="2:7" ht="14" x14ac:dyDescent="0.3">
      <c r="B54" s="4" t="s">
        <v>109</v>
      </c>
      <c r="C54" s="5">
        <f>C53-C16</f>
        <v>1757813.029724384</v>
      </c>
    </row>
    <row r="55" spans="2:7" ht="14" x14ac:dyDescent="0.3">
      <c r="B55" s="4" t="s">
        <v>110</v>
      </c>
      <c r="C55" s="24">
        <f>ROUND(C54*1000000/C15,0)</f>
        <v>2257</v>
      </c>
    </row>
    <row r="57" spans="2:7" ht="14" x14ac:dyDescent="0.3">
      <c r="B57" s="22" t="s">
        <v>111</v>
      </c>
      <c r="C57" s="23"/>
      <c r="D57" s="23"/>
      <c r="E57" s="23"/>
      <c r="F57" s="23"/>
      <c r="G57" s="23"/>
    </row>
    <row r="58" spans="2:7" ht="14" x14ac:dyDescent="0.3">
      <c r="B58" s="4" t="s">
        <v>105</v>
      </c>
      <c r="C58" s="5">
        <f>C50</f>
        <v>433907.84429059614</v>
      </c>
    </row>
    <row r="59" spans="2:7" ht="14" x14ac:dyDescent="0.3">
      <c r="B59" s="4" t="s">
        <v>112</v>
      </c>
      <c r="C59" s="5">
        <f>G39+G42</f>
        <v>172226.53647532218</v>
      </c>
    </row>
    <row r="60" spans="2:7" ht="14" x14ac:dyDescent="0.3">
      <c r="B60" s="4" t="s">
        <v>113</v>
      </c>
      <c r="C60" s="5">
        <f>C59*C14</f>
        <v>2669511.3153674938</v>
      </c>
    </row>
    <row r="61" spans="2:7" ht="14" x14ac:dyDescent="0.3">
      <c r="B61" s="4" t="s">
        <v>107</v>
      </c>
      <c r="C61" s="5">
        <f>C60*G46</f>
        <v>1748802.474676369</v>
      </c>
    </row>
    <row r="62" spans="2:7" ht="14" x14ac:dyDescent="0.3">
      <c r="B62" s="4" t="s">
        <v>108</v>
      </c>
      <c r="C62" s="5">
        <f>C58+C61</f>
        <v>2182710.3189669652</v>
      </c>
    </row>
    <row r="63" spans="2:7" ht="14" x14ac:dyDescent="0.3">
      <c r="B63" s="4" t="s">
        <v>109</v>
      </c>
      <c r="C63" s="5">
        <f>C62-C16</f>
        <v>2629433.3189669652</v>
      </c>
    </row>
    <row r="64" spans="2:7" ht="14" x14ac:dyDescent="0.3">
      <c r="B64" s="4" t="s">
        <v>114</v>
      </c>
      <c r="C64" s="24">
        <f>ROUND(C63*1000000/C15,0)</f>
        <v>3376</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7.0000000000000007E-2</v>
      </c>
      <c r="D70" s="26">
        <v>0.06</v>
      </c>
      <c r="E70" s="26">
        <v>0.05</v>
      </c>
      <c r="F70" s="26">
        <v>4.4999999999999998E-2</v>
      </c>
      <c r="G70" s="26">
        <v>0.04</v>
      </c>
    </row>
    <row r="71" spans="2:7" ht="14" x14ac:dyDescent="0.3">
      <c r="B71" s="4" t="s">
        <v>122</v>
      </c>
      <c r="C71" s="26">
        <v>0.04</v>
      </c>
      <c r="D71" s="26">
        <v>3.5000000000000003E-2</v>
      </c>
      <c r="E71" s="26">
        <v>0.03</v>
      </c>
      <c r="F71" s="26">
        <v>0.03</v>
      </c>
      <c r="G71" s="26">
        <v>2.5000000000000001E-2</v>
      </c>
    </row>
    <row r="72" spans="2:7" ht="14" x14ac:dyDescent="0.3">
      <c r="B72" s="4" t="s">
        <v>123</v>
      </c>
      <c r="C72" s="26">
        <v>0.01</v>
      </c>
      <c r="D72" s="26">
        <v>1.4999999999999999E-2</v>
      </c>
      <c r="E72" s="26">
        <v>0.02</v>
      </c>
      <c r="F72" s="26">
        <v>0.02</v>
      </c>
      <c r="G72" s="26">
        <v>0.02</v>
      </c>
    </row>
    <row r="73" spans="2:7" ht="14" x14ac:dyDescent="0.3">
      <c r="B73" s="4" t="s">
        <v>124</v>
      </c>
      <c r="C73" s="26">
        <v>-0.08</v>
      </c>
      <c r="D73" s="26">
        <v>-0.02</v>
      </c>
      <c r="E73" s="26">
        <v>1.4999999999999999E-2</v>
      </c>
      <c r="F73" s="26">
        <v>0.02</v>
      </c>
      <c r="G73" s="26">
        <v>0.02</v>
      </c>
    </row>
    <row r="75" spans="2:7" ht="14" x14ac:dyDescent="0.3">
      <c r="B75" s="3" t="s">
        <v>91</v>
      </c>
    </row>
    <row r="76" spans="2:7" ht="14" x14ac:dyDescent="0.3">
      <c r="B76" s="4" t="s">
        <v>84</v>
      </c>
      <c r="C76" s="26">
        <v>0.40600000000000003</v>
      </c>
      <c r="D76" s="26">
        <v>0.40600000000000003</v>
      </c>
      <c r="E76" s="26">
        <v>0.40600000000000003</v>
      </c>
      <c r="F76" s="26">
        <v>0.40600000000000003</v>
      </c>
      <c r="G76" s="26">
        <v>0.40600000000000003</v>
      </c>
    </row>
    <row r="77" spans="2:7" ht="14" x14ac:dyDescent="0.3">
      <c r="B77" s="4" t="s">
        <v>121</v>
      </c>
      <c r="C77" s="26">
        <v>0.39600000000000002</v>
      </c>
      <c r="D77" s="26">
        <v>0.39600000000000002</v>
      </c>
      <c r="E77" s="26">
        <v>0.39600000000000002</v>
      </c>
      <c r="F77" s="26">
        <v>0.39600000000000002</v>
      </c>
      <c r="G77" s="26">
        <v>0.39600000000000002</v>
      </c>
    </row>
    <row r="78" spans="2:7" ht="14" x14ac:dyDescent="0.3">
      <c r="B78" s="4" t="s">
        <v>122</v>
      </c>
      <c r="C78" s="26">
        <v>0.40600000000000003</v>
      </c>
      <c r="D78" s="26">
        <v>0.40600000000000003</v>
      </c>
      <c r="E78" s="26">
        <v>0.40600000000000003</v>
      </c>
      <c r="F78" s="26">
        <v>0.40600000000000003</v>
      </c>
      <c r="G78" s="26">
        <v>0.40600000000000003</v>
      </c>
    </row>
    <row r="79" spans="2:7" ht="14" x14ac:dyDescent="0.3">
      <c r="B79" s="4" t="s">
        <v>123</v>
      </c>
      <c r="C79" s="26">
        <v>0.41599999999999998</v>
      </c>
      <c r="D79" s="26">
        <v>0.41599999999999998</v>
      </c>
      <c r="E79" s="26">
        <v>0.41599999999999998</v>
      </c>
      <c r="F79" s="26">
        <v>0.41599999999999998</v>
      </c>
      <c r="G79" s="26">
        <v>0.41599999999999998</v>
      </c>
    </row>
    <row r="80" spans="2:7" ht="14" x14ac:dyDescent="0.3">
      <c r="B80" s="4" t="s">
        <v>124</v>
      </c>
      <c r="C80" s="26">
        <v>0.42599999999999999</v>
      </c>
      <c r="D80" s="26">
        <v>0.42599999999999999</v>
      </c>
      <c r="E80" s="26">
        <v>0.42599999999999999</v>
      </c>
      <c r="F80" s="26">
        <v>0.42599999999999999</v>
      </c>
      <c r="G80" s="26">
        <v>0.42599999999999999</v>
      </c>
    </row>
    <row r="82" spans="2:7" ht="14" x14ac:dyDescent="0.3">
      <c r="B82" s="3" t="s">
        <v>92</v>
      </c>
    </row>
    <row r="83" spans="2:7" ht="14" x14ac:dyDescent="0.3">
      <c r="B83" s="4" t="s">
        <v>84</v>
      </c>
      <c r="C83" s="26">
        <v>0.32800000000000001</v>
      </c>
      <c r="D83" s="26">
        <v>0.32200000000000001</v>
      </c>
      <c r="E83" s="26">
        <v>0.316</v>
      </c>
      <c r="F83" s="26">
        <v>0.3115</v>
      </c>
      <c r="G83" s="26">
        <v>0.30830000000000002</v>
      </c>
    </row>
    <row r="84" spans="2:7" ht="14" x14ac:dyDescent="0.3">
      <c r="B84" s="4" t="s">
        <v>121</v>
      </c>
      <c r="C84" s="26">
        <v>0.314</v>
      </c>
      <c r="D84" s="26">
        <v>0.31</v>
      </c>
      <c r="E84" s="26">
        <v>0.3075</v>
      </c>
      <c r="F84" s="26">
        <v>0.30580000000000002</v>
      </c>
      <c r="G84" s="26">
        <v>0.30459999999999998</v>
      </c>
    </row>
    <row r="85" spans="2:7" ht="14" x14ac:dyDescent="0.3">
      <c r="B85" s="4" t="s">
        <v>122</v>
      </c>
      <c r="C85" s="26">
        <v>0.32800000000000001</v>
      </c>
      <c r="D85" s="26">
        <v>0.32200000000000001</v>
      </c>
      <c r="E85" s="26">
        <v>0.316</v>
      </c>
      <c r="F85" s="26">
        <v>0.3115</v>
      </c>
      <c r="G85" s="26">
        <v>0.30830000000000002</v>
      </c>
    </row>
    <row r="86" spans="2:7" ht="14" x14ac:dyDescent="0.3">
      <c r="B86" s="4" t="s">
        <v>123</v>
      </c>
      <c r="C86" s="26">
        <v>0.314</v>
      </c>
      <c r="D86" s="26">
        <v>0.312</v>
      </c>
      <c r="E86" s="26">
        <v>0.311</v>
      </c>
      <c r="F86" s="26">
        <v>0.31040000000000001</v>
      </c>
      <c r="G86" s="26">
        <v>0.31</v>
      </c>
    </row>
    <row r="87" spans="2:7" ht="14" x14ac:dyDescent="0.3">
      <c r="B87" s="4" t="s">
        <v>124</v>
      </c>
      <c r="C87" s="26">
        <v>0.35399999999999998</v>
      </c>
      <c r="D87" s="26">
        <v>0.374</v>
      </c>
      <c r="E87" s="26">
        <v>0.379</v>
      </c>
      <c r="F87" s="26">
        <v>0.379</v>
      </c>
      <c r="G87" s="26">
        <v>0.374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3120</v>
      </c>
    </row>
    <row r="7" spans="2:9" ht="14" x14ac:dyDescent="0.3">
      <c r="B7" s="4" t="s">
        <v>72</v>
      </c>
      <c r="C7" s="15">
        <f>'DCF Model'!C15</f>
        <v>778877498</v>
      </c>
    </row>
    <row r="8" spans="2:9" ht="14" x14ac:dyDescent="0.3">
      <c r="B8" s="4" t="s">
        <v>129</v>
      </c>
      <c r="C8" s="5">
        <f>C6*C7/1000000</f>
        <v>2430097.7937599998</v>
      </c>
    </row>
    <row r="9" spans="2:9" ht="14" x14ac:dyDescent="0.3">
      <c r="B9" s="4" t="s">
        <v>73</v>
      </c>
      <c r="C9" s="5">
        <f>'DCF Model'!C16</f>
        <v>-446723</v>
      </c>
    </row>
    <row r="10" spans="2:9" ht="14" x14ac:dyDescent="0.3">
      <c r="B10" s="4" t="s">
        <v>130</v>
      </c>
      <c r="C10" s="5">
        <f>C8+C9</f>
        <v>1983374.7937599998</v>
      </c>
    </row>
    <row r="11" spans="2:9" ht="14" x14ac:dyDescent="0.3">
      <c r="B11" s="4" t="s">
        <v>131</v>
      </c>
      <c r="C11" s="16">
        <f>'DCF Model'!C26</f>
        <v>9.8551E-2</v>
      </c>
    </row>
    <row r="12" spans="2:9" ht="14" x14ac:dyDescent="0.3">
      <c r="B12" s="4" t="s">
        <v>132</v>
      </c>
      <c r="C12" s="16">
        <f>'DCF Model'!C13</f>
        <v>0.01</v>
      </c>
    </row>
    <row r="13" spans="2:9" ht="14" x14ac:dyDescent="0.3">
      <c r="B13" s="4" t="s">
        <v>133</v>
      </c>
      <c r="C13" s="16">
        <f>'DCF Model'!C6</f>
        <v>0.25</v>
      </c>
    </row>
    <row r="14" spans="2:9" ht="14" x14ac:dyDescent="0.3">
      <c r="B14" s="4" t="s">
        <v>134</v>
      </c>
      <c r="C14" s="27">
        <v>124012</v>
      </c>
    </row>
    <row r="15" spans="2:9" ht="14" x14ac:dyDescent="0.3">
      <c r="B15" s="4" t="s">
        <v>135</v>
      </c>
      <c r="C15" s="27">
        <v>134745</v>
      </c>
    </row>
    <row r="16" spans="2:9" ht="14" x14ac:dyDescent="0.3">
      <c r="B16" s="4" t="s">
        <v>136</v>
      </c>
      <c r="C16" s="5">
        <f>'DCF Model'!G33</f>
        <v>556107.64118605806</v>
      </c>
    </row>
    <row r="17" spans="2:9" ht="14" x14ac:dyDescent="0.3">
      <c r="B17" s="4" t="s">
        <v>137</v>
      </c>
      <c r="C17" s="5">
        <f>'DCF Model'!C53</f>
        <v>1311090.029724384</v>
      </c>
    </row>
    <row r="18" spans="2:9" ht="14" x14ac:dyDescent="0.3">
      <c r="B18" s="4" t="s">
        <v>138</v>
      </c>
      <c r="C18" s="26">
        <v>0.31827823392133342</v>
      </c>
    </row>
    <row r="19" spans="2:9" ht="14" x14ac:dyDescent="0.3">
      <c r="B19" s="4" t="s">
        <v>139</v>
      </c>
      <c r="C19" s="5">
        <f>C10-C17</f>
        <v>672284.76403561584</v>
      </c>
    </row>
    <row r="20" spans="2:9" ht="14" x14ac:dyDescent="0.3">
      <c r="B20" s="4" t="s">
        <v>140</v>
      </c>
      <c r="C20" s="15">
        <f>IFERROR(ROUND(C19*1000000/C7,0),"N/A")</f>
        <v>863</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175629.82136224175</v>
      </c>
    </row>
    <row r="25" spans="2:9" ht="14" x14ac:dyDescent="0.3">
      <c r="B25" s="4" t="s">
        <v>144</v>
      </c>
      <c r="C25" s="5">
        <f>IFERROR(C24/(1-C13),"N/A")</f>
        <v>234173.09514965568</v>
      </c>
    </row>
    <row r="26" spans="2:9" ht="13.5" x14ac:dyDescent="0.25">
      <c r="B26" s="6" t="s">
        <v>145</v>
      </c>
      <c r="C26" s="14">
        <f>IFERROR(C25/C15,"N/A")</f>
        <v>1.7378982162577883</v>
      </c>
    </row>
    <row r="27" spans="2:9" ht="13.5" x14ac:dyDescent="0.25">
      <c r="B27" s="6" t="s">
        <v>146</v>
      </c>
      <c r="C27" s="14">
        <f>IFERROR(C25/C14,"N/A")</f>
        <v>1.888309963145951</v>
      </c>
    </row>
    <row r="28" spans="2:9" ht="13.5" x14ac:dyDescent="0.25">
      <c r="B28" s="6" t="s">
        <v>147</v>
      </c>
      <c r="C28" s="7">
        <f>IFERROR(C25/C16,"N/A")</f>
        <v>0.42109310825187513</v>
      </c>
    </row>
    <row r="29" spans="2:9" ht="13.5" x14ac:dyDescent="0.25">
      <c r="B29" s="6" t="s">
        <v>148</v>
      </c>
      <c r="C29" s="5">
        <f>IFERROR(C25/C18,"N/A")</f>
        <v>735749.6372420321</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7.8550999999999996E-2</v>
      </c>
      <c r="E36" s="29">
        <f>'DCF Model'!C26-0.01</f>
        <v>8.8551000000000005E-2</v>
      </c>
      <c r="F36" s="29">
        <f>'DCF Model'!C26</f>
        <v>9.8551E-2</v>
      </c>
      <c r="G36" s="29">
        <f>'DCF Model'!C26+0.01</f>
        <v>0.10855099999999999</v>
      </c>
      <c r="H36" s="29">
        <f>'DCF Model'!C26+0.02</f>
        <v>0.118551</v>
      </c>
    </row>
    <row r="37" spans="2:9" ht="14" x14ac:dyDescent="0.3">
      <c r="B37" s="3" t="s">
        <v>154</v>
      </c>
    </row>
    <row r="38" spans="2:9" ht="14" x14ac:dyDescent="0.3">
      <c r="B38" s="4" t="s">
        <v>155</v>
      </c>
      <c r="C38" s="30">
        <v>3</v>
      </c>
      <c r="D38" s="13">
        <f t="shared" ref="D38:H41" si="0">IFERROR((1-(1+D$36)^(-$C38))/D$36-(1+D$36)/(D$36^2*$C38)*(1-($C38+1)/(1+D$36)^$C38+$C38/(1+D$36)^($C38+1)),"N/A")</f>
        <v>0.90466124731134689</v>
      </c>
      <c r="E38" s="13">
        <f t="shared" si="0"/>
        <v>0.89374235731910567</v>
      </c>
      <c r="F38" s="13">
        <f t="shared" si="0"/>
        <v>0.88306930653623317</v>
      </c>
      <c r="G38" s="13">
        <f t="shared" si="0"/>
        <v>0.87263418012147653</v>
      </c>
      <c r="H38" s="13">
        <f t="shared" si="0"/>
        <v>0.86242939099370153</v>
      </c>
    </row>
    <row r="39" spans="2:9" ht="14" x14ac:dyDescent="0.3">
      <c r="B39" s="4" t="s">
        <v>156</v>
      </c>
      <c r="C39" s="30">
        <v>5</v>
      </c>
      <c r="D39" s="13">
        <f t="shared" si="0"/>
        <v>1.7241342530378212</v>
      </c>
      <c r="E39" s="13">
        <f t="shared" si="0"/>
        <v>1.6938247162913056</v>
      </c>
      <c r="F39" s="13">
        <f t="shared" si="0"/>
        <v>1.6644502676061008</v>
      </c>
      <c r="G39" s="13">
        <f t="shared" si="0"/>
        <v>1.6359714580410447</v>
      </c>
      <c r="H39" s="13">
        <f t="shared" si="0"/>
        <v>1.6083509077993878</v>
      </c>
    </row>
    <row r="40" spans="2:9" ht="14" x14ac:dyDescent="0.3">
      <c r="B40" s="4" t="s">
        <v>157</v>
      </c>
      <c r="C40" s="30">
        <v>7</v>
      </c>
      <c r="D40" s="13">
        <f t="shared" si="0"/>
        <v>2.4674210553599192</v>
      </c>
      <c r="E40" s="13">
        <f t="shared" si="0"/>
        <v>2.4112582223213805</v>
      </c>
      <c r="F40" s="13">
        <f t="shared" si="0"/>
        <v>2.3572756026950286</v>
      </c>
      <c r="G40" s="13">
        <f t="shared" si="0"/>
        <v>2.3053602170884608</v>
      </c>
      <c r="H40" s="13">
        <f t="shared" si="0"/>
        <v>2.2554062206048369</v>
      </c>
    </row>
    <row r="41" spans="2:9" ht="14" x14ac:dyDescent="0.3">
      <c r="B41" s="4" t="s">
        <v>158</v>
      </c>
      <c r="C41" s="30">
        <v>10</v>
      </c>
      <c r="D41" s="13">
        <f t="shared" si="0"/>
        <v>3.4567296853148006</v>
      </c>
      <c r="E41" s="13">
        <f t="shared" si="0"/>
        <v>3.3531801735313396</v>
      </c>
      <c r="F41" s="13">
        <f t="shared" si="0"/>
        <v>3.2548189137340056</v>
      </c>
      <c r="G41" s="13">
        <f t="shared" si="0"/>
        <v>3.161305501916611</v>
      </c>
      <c r="H41" s="13">
        <f t="shared" si="0"/>
        <v>3.0723262771291817</v>
      </c>
    </row>
    <row r="42" spans="2:9" ht="14" x14ac:dyDescent="0.3">
      <c r="B42" s="3" t="s">
        <v>159</v>
      </c>
    </row>
    <row r="43" spans="2:9" ht="14" x14ac:dyDescent="0.3">
      <c r="B43" s="4" t="s">
        <v>155</v>
      </c>
      <c r="C43" s="30">
        <v>3</v>
      </c>
      <c r="D43" s="13">
        <f t="shared" ref="D43:H46" si="1">IFERROR((1+D$36)/(D$36^2*$C43)*(1-($C43+1)/(1+D$36)^$C43+$C43/(1+D$36)^($C43+1))+(1+$C$12)/((D$36-$C$12)*(1+D$36)^$C43),"N/A")</f>
        <v>13.422363323725204</v>
      </c>
      <c r="E43" s="13">
        <f t="shared" si="1"/>
        <v>11.612454296886298</v>
      </c>
      <c r="F43" s="13">
        <f t="shared" si="1"/>
        <v>10.213483198764141</v>
      </c>
      <c r="G43" s="13">
        <f t="shared" si="1"/>
        <v>9.1002911010688816</v>
      </c>
      <c r="H43" s="13">
        <f t="shared" si="1"/>
        <v>8.1938414494587199</v>
      </c>
    </row>
    <row r="44" spans="2:9" ht="14" x14ac:dyDescent="0.3">
      <c r="B44" s="4" t="s">
        <v>156</v>
      </c>
      <c r="C44" s="30">
        <v>5</v>
      </c>
      <c r="D44" s="13">
        <f t="shared" si="1"/>
        <v>12.378820094608731</v>
      </c>
      <c r="E44" s="13">
        <f t="shared" si="1"/>
        <v>10.62300757893874</v>
      </c>
      <c r="F44" s="13">
        <f t="shared" si="1"/>
        <v>9.269380653740269</v>
      </c>
      <c r="G44" s="13">
        <f t="shared" si="1"/>
        <v>8.1952764936498639</v>
      </c>
      <c r="H44" s="13">
        <f t="shared" si="1"/>
        <v>7.3232441988650017</v>
      </c>
    </row>
    <row r="45" spans="2:9" ht="14" x14ac:dyDescent="0.3">
      <c r="B45" s="4" t="s">
        <v>157</v>
      </c>
      <c r="C45" s="30">
        <v>7</v>
      </c>
      <c r="D45" s="13">
        <f t="shared" si="1"/>
        <v>11.442912672701969</v>
      </c>
      <c r="E45" s="13">
        <f t="shared" si="1"/>
        <v>9.7457652767955558</v>
      </c>
      <c r="F45" s="13">
        <f t="shared" si="1"/>
        <v>8.4417196740887874</v>
      </c>
      <c r="G45" s="13">
        <f t="shared" si="1"/>
        <v>7.4105984336077455</v>
      </c>
      <c r="H45" s="13">
        <f t="shared" si="1"/>
        <v>6.5765404809467345</v>
      </c>
    </row>
    <row r="46" spans="2:9" ht="14" x14ac:dyDescent="0.3">
      <c r="B46" s="4" t="s">
        <v>158</v>
      </c>
      <c r="C46" s="30">
        <v>10</v>
      </c>
      <c r="D46" s="13">
        <f t="shared" si="1"/>
        <v>10.214157061065507</v>
      </c>
      <c r="E46" s="13">
        <f t="shared" si="1"/>
        <v>8.6096560189377218</v>
      </c>
      <c r="F46" s="13">
        <f t="shared" si="1"/>
        <v>7.3839831989100073</v>
      </c>
      <c r="G46" s="13">
        <f t="shared" si="1"/>
        <v>6.4207006406274019</v>
      </c>
      <c r="H46" s="13">
        <f t="shared" si="1"/>
        <v>5.6463657224654256</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188663.56194781858</v>
      </c>
      <c r="E48" s="5">
        <f t="shared" si="2"/>
        <v>218185.13838860398</v>
      </c>
      <c r="F48" s="5">
        <f t="shared" si="2"/>
        <v>248200.19623451302</v>
      </c>
      <c r="G48" s="5">
        <f t="shared" si="2"/>
        <v>278703.45980143506</v>
      </c>
      <c r="H48" s="5">
        <f t="shared" si="2"/>
        <v>309689.67938048771</v>
      </c>
    </row>
    <row r="49" spans="2:9" ht="14" x14ac:dyDescent="0.3">
      <c r="B49" s="4" t="s">
        <v>156</v>
      </c>
      <c r="C49" s="30">
        <v>5</v>
      </c>
      <c r="D49" s="5">
        <f t="shared" si="2"/>
        <v>196358.4872749082</v>
      </c>
      <c r="E49" s="5">
        <f t="shared" si="2"/>
        <v>229167.22182549941</v>
      </c>
      <c r="F49" s="5">
        <f t="shared" si="2"/>
        <v>263025.97870367719</v>
      </c>
      <c r="G49" s="5">
        <f t="shared" si="2"/>
        <v>297930.11064979242</v>
      </c>
      <c r="H49" s="5">
        <f t="shared" si="2"/>
        <v>333874.5569367006</v>
      </c>
    </row>
    <row r="50" spans="2:9" ht="14" x14ac:dyDescent="0.3">
      <c r="B50" s="4" t="s">
        <v>157</v>
      </c>
      <c r="C50" s="30">
        <v>7</v>
      </c>
      <c r="D50" s="5">
        <f t="shared" si="2"/>
        <v>204363.16976137998</v>
      </c>
      <c r="E50" s="5">
        <f t="shared" si="2"/>
        <v>240666.04353085905</v>
      </c>
      <c r="F50" s="5">
        <f t="shared" si="2"/>
        <v>278636.26770167705</v>
      </c>
      <c r="G50" s="5">
        <f t="shared" si="2"/>
        <v>318274.88898538303</v>
      </c>
      <c r="H50" s="5">
        <f t="shared" si="2"/>
        <v>359581.49967066845</v>
      </c>
    </row>
    <row r="51" spans="2:9" ht="14" x14ac:dyDescent="0.3">
      <c r="B51" s="4" t="s">
        <v>158</v>
      </c>
      <c r="C51" s="30">
        <v>10</v>
      </c>
      <c r="D51" s="5">
        <f t="shared" si="2"/>
        <v>216936.52741295582</v>
      </c>
      <c r="E51" s="5">
        <f t="shared" si="2"/>
        <v>258856.46771847943</v>
      </c>
      <c r="F51" s="5">
        <f t="shared" si="2"/>
        <v>303476.19455772033</v>
      </c>
      <c r="G51" s="5">
        <f t="shared" si="2"/>
        <v>350812.16726677201</v>
      </c>
      <c r="H51" s="5">
        <f t="shared" si="2"/>
        <v>400876.33532630227</v>
      </c>
    </row>
    <row r="52" spans="2:9" ht="14" x14ac:dyDescent="0.3">
      <c r="B52" s="22" t="s">
        <v>161</v>
      </c>
      <c r="C52" s="23"/>
      <c r="D52" s="23"/>
      <c r="E52" s="23"/>
      <c r="F52" s="23"/>
      <c r="G52" s="23"/>
      <c r="H52" s="23"/>
      <c r="I52" s="23"/>
    </row>
    <row r="53" spans="2:9" ht="14" x14ac:dyDescent="0.3">
      <c r="B53" s="4" t="s">
        <v>155</v>
      </c>
      <c r="C53" s="30">
        <v>3</v>
      </c>
      <c r="D53" s="14">
        <f t="shared" ref="D53:H56" si="3">IFERROR(D48/$C$15,"N/A")</f>
        <v>1.4001525989670756</v>
      </c>
      <c r="E53" s="14">
        <f t="shared" si="3"/>
        <v>1.619244783766403</v>
      </c>
      <c r="F53" s="14">
        <f t="shared" si="3"/>
        <v>1.8419993041264093</v>
      </c>
      <c r="G53" s="14">
        <f t="shared" si="3"/>
        <v>2.0683770069496834</v>
      </c>
      <c r="H53" s="14">
        <f t="shared" si="3"/>
        <v>2.2983389319120393</v>
      </c>
    </row>
    <row r="54" spans="2:9" ht="14" x14ac:dyDescent="0.3">
      <c r="B54" s="4" t="s">
        <v>156</v>
      </c>
      <c r="C54" s="30">
        <v>5</v>
      </c>
      <c r="D54" s="14">
        <f t="shared" si="3"/>
        <v>1.4572599152095307</v>
      </c>
      <c r="E54" s="14">
        <f t="shared" si="3"/>
        <v>1.7007474995398673</v>
      </c>
      <c r="F54" s="14">
        <f t="shared" si="3"/>
        <v>1.9520277465113895</v>
      </c>
      <c r="G54" s="14">
        <f t="shared" si="3"/>
        <v>2.2110661668321083</v>
      </c>
      <c r="H54" s="14">
        <f t="shared" si="3"/>
        <v>2.4778252026917555</v>
      </c>
    </row>
    <row r="55" spans="2:9" ht="14" x14ac:dyDescent="0.3">
      <c r="B55" s="4" t="s">
        <v>157</v>
      </c>
      <c r="C55" s="30">
        <v>7</v>
      </c>
      <c r="D55" s="14">
        <f t="shared" si="3"/>
        <v>1.5166660711817135</v>
      </c>
      <c r="E55" s="14">
        <f t="shared" si="3"/>
        <v>1.7860851499562809</v>
      </c>
      <c r="F55" s="14">
        <f t="shared" si="3"/>
        <v>2.0678783457766672</v>
      </c>
      <c r="G55" s="14">
        <f t="shared" si="3"/>
        <v>2.3620534267348177</v>
      </c>
      <c r="H55" s="14">
        <f t="shared" si="3"/>
        <v>2.6686073670315666</v>
      </c>
    </row>
    <row r="56" spans="2:9" ht="14" x14ac:dyDescent="0.3">
      <c r="B56" s="4" t="s">
        <v>158</v>
      </c>
      <c r="C56" s="30">
        <v>10</v>
      </c>
      <c r="D56" s="14">
        <f t="shared" si="3"/>
        <v>1.6099783102375289</v>
      </c>
      <c r="E56" s="14">
        <f t="shared" si="3"/>
        <v>1.9210840307134174</v>
      </c>
      <c r="F56" s="14">
        <f t="shared" si="3"/>
        <v>2.2522260162360039</v>
      </c>
      <c r="G56" s="14">
        <f t="shared" si="3"/>
        <v>2.6035264185444507</v>
      </c>
      <c r="H56" s="14">
        <f t="shared" si="3"/>
        <v>2.9750739198211607</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263025.97870367719</v>
      </c>
    </row>
    <row r="62" spans="2:9" ht="14" x14ac:dyDescent="0.3">
      <c r="B62" s="28" t="s">
        <v>165</v>
      </c>
      <c r="C62" s="28" t="s">
        <v>166</v>
      </c>
      <c r="D62" s="28" t="s">
        <v>167</v>
      </c>
    </row>
    <row r="63" spans="2:9" ht="14" x14ac:dyDescent="0.3">
      <c r="B63" s="31">
        <v>0.15909999999999999</v>
      </c>
      <c r="C63" s="5">
        <f>IFERROR($C$60/B63,"N/A")</f>
        <v>1653211.6826126787</v>
      </c>
      <c r="D63" s="14">
        <f>IFERROR(C63/'DCF Model'!C17,"N/A")</f>
        <v>3.4796984281536991</v>
      </c>
    </row>
    <row r="64" spans="2:9" ht="14" x14ac:dyDescent="0.3">
      <c r="B64" s="31">
        <v>0.2387</v>
      </c>
      <c r="C64" s="5">
        <f>IFERROR($C$60/B64,"N/A")</f>
        <v>1101910.258498857</v>
      </c>
      <c r="D64" s="14">
        <f>IFERROR(C64/'DCF Model'!C17,"N/A")</f>
        <v>2.3193130285683012</v>
      </c>
    </row>
    <row r="65" spans="2:9" ht="14" x14ac:dyDescent="0.3">
      <c r="B65" s="4" t="s">
        <v>168</v>
      </c>
      <c r="C65" s="5">
        <f>IFERROR($C$60/$C$18,"N/A")</f>
        <v>826402.65865207568</v>
      </c>
      <c r="D65" s="14">
        <f>IFERROR(C65/'DCF Model'!C17,"N/A")</f>
        <v>1.7394215529551038</v>
      </c>
    </row>
    <row r="66" spans="2:9" ht="14" x14ac:dyDescent="0.3">
      <c r="B66" s="31">
        <v>0.39779999999999999</v>
      </c>
      <c r="C66" s="5">
        <f>IFERROR($C$60/B66,"N/A")</f>
        <v>661201.55531341676</v>
      </c>
      <c r="D66" s="14">
        <f>IFERROR(C66/'DCF Model'!C17,"N/A")</f>
        <v>1.3917044241308536</v>
      </c>
    </row>
    <row r="67" spans="2:9" ht="14" x14ac:dyDescent="0.3">
      <c r="B67" s="31">
        <v>0.47739999999999999</v>
      </c>
      <c r="C67" s="5">
        <f>IFERROR($C$60/B67,"N/A")</f>
        <v>550955.12924942852</v>
      </c>
      <c r="D67" s="14">
        <f>IFERROR(C67/'DCF Model'!C17,"N/A")</f>
        <v>1.1596565142841506</v>
      </c>
    </row>
    <row r="69" spans="2:9" ht="14" x14ac:dyDescent="0.3">
      <c r="B69" s="8" t="s">
        <v>169</v>
      </c>
      <c r="C69" s="9"/>
      <c r="D69" s="9"/>
      <c r="E69" s="9"/>
      <c r="F69" s="9"/>
      <c r="G69" s="9"/>
      <c r="H69" s="9"/>
      <c r="I69" s="9"/>
    </row>
    <row r="70" spans="2:9" ht="13.5" x14ac:dyDescent="0.25">
      <c r="B70" s="6" t="s">
        <v>170</v>
      </c>
      <c r="C70" s="14">
        <f>IFERROR(C10/'Comps Analysis'!G5,"N/A")</f>
        <v>14.64599134373546</v>
      </c>
    </row>
    <row r="71" spans="2:9" ht="13.5" x14ac:dyDescent="0.25">
      <c r="B71" s="6" t="s">
        <v>171</v>
      </c>
      <c r="C71" s="14">
        <f>IFERROR(C10/'Comps Analysis'!F5,"N/A")</f>
        <v>4.1746294348581987</v>
      </c>
    </row>
    <row r="72" spans="2:9" ht="14" x14ac:dyDescent="0.3">
      <c r="B72" s="4" t="s">
        <v>172</v>
      </c>
      <c r="C72" s="14">
        <f>IFERROR(C10/(C25+'DCF Model'!G42),"N/A")</f>
        <v>8.0129984228891757</v>
      </c>
    </row>
    <row r="73" spans="2:9" ht="14" x14ac:dyDescent="0.3">
      <c r="B73" s="4" t="s">
        <v>173</v>
      </c>
      <c r="C73" s="14">
        <f>IFERROR(C10/(C60+'DCF Model'!G42),"N/A")</f>
        <v>7.176453330771464</v>
      </c>
    </row>
    <row r="74" spans="2:9" ht="14" x14ac:dyDescent="0.3">
      <c r="B74" s="4" t="s">
        <v>174</v>
      </c>
      <c r="C74" s="14">
        <f>IFERROR('Comps Analysis'!D16,"N/A")</f>
        <v>15.465039655547294</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FY2025."</f>
        <v>At 3,120 yen the market is paying for a steady-state operating profit of 263,026 mn JPY - 1.95x the FY2023 cycle peak of 134,745 mn - reached in 5 years and sustained for ever, against 124,012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234,173 mn, or 1.74x the peak. The base case supports an EV of only 1,311,090 mn, leaving 863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66.296658401774778</v>
      </c>
      <c r="D5" s="34">
        <f>CHOOSE('DCF Model'!$D$27,D25,D26,D27,D28,D29)</f>
        <v>51</v>
      </c>
      <c r="E5" s="34">
        <f>CHOOSE('DCF Model'!$D$27,E25,E26,E27,E28,E29)</f>
        <v>51</v>
      </c>
      <c r="F5" s="34">
        <f>CHOOSE('DCF Model'!$D$27,F25,F26,F27,F28,F29)</f>
        <v>51</v>
      </c>
      <c r="G5" s="34">
        <f>CHOOSE('DCF Model'!$D$27,G25,G26,G27,G28,G29)</f>
        <v>51</v>
      </c>
      <c r="H5" s="34">
        <f>CHOOSE('DCF Model'!$D$27,H25,H26,H27,H28,H29)</f>
        <v>51</v>
      </c>
    </row>
    <row r="6" spans="2:8" ht="14" x14ac:dyDescent="0.3">
      <c r="B6" s="33" t="s">
        <v>181</v>
      </c>
      <c r="C6" s="34">
        <f>C13/C10*365</f>
        <v>0</v>
      </c>
      <c r="D6" s="34">
        <f>CHOOSE('DCF Model'!$D$27,D32,D33,D34,D35,D36)</f>
        <v>0</v>
      </c>
      <c r="E6" s="34">
        <f>CHOOSE('DCF Model'!$D$27,E32,E33,E34,E35,E36)</f>
        <v>0</v>
      </c>
      <c r="F6" s="34">
        <f>CHOOSE('DCF Model'!$D$27,F32,F33,F34,F35,F36)</f>
        <v>0</v>
      </c>
      <c r="G6" s="34">
        <f>CHOOSE('DCF Model'!$D$27,G32,G33,G34,G35,G36)</f>
        <v>0</v>
      </c>
      <c r="H6" s="34">
        <f>CHOOSE('DCF Model'!$D$27,H32,H33,H34,H35,H36)</f>
        <v>0</v>
      </c>
    </row>
    <row r="7" spans="2:8" ht="14" x14ac:dyDescent="0.3">
      <c r="B7" s="33" t="s">
        <v>182</v>
      </c>
      <c r="C7" s="34">
        <f>C15/C10*365</f>
        <v>79.872104946967184</v>
      </c>
      <c r="D7" s="34">
        <f>CHOOSE('DCF Model'!$D$27,D39,D40,D41,D42,D43)</f>
        <v>52</v>
      </c>
      <c r="E7" s="34">
        <f>CHOOSE('DCF Model'!$D$27,E39,E40,E41,E42,E43)</f>
        <v>52</v>
      </c>
      <c r="F7" s="34">
        <f>CHOOSE('DCF Model'!$D$27,F39,F40,F41,F42,F43)</f>
        <v>52</v>
      </c>
      <c r="G7" s="34">
        <f>CHOOSE('DCF Model'!$D$27,G39,G40,G41,G42,G43)</f>
        <v>52</v>
      </c>
      <c r="H7" s="34">
        <f>CHOOSE('DCF Model'!$D$27,H39,H40,H41,H42,H43)</f>
        <v>52</v>
      </c>
    </row>
    <row r="8" spans="2:8" ht="14" x14ac:dyDescent="0.3">
      <c r="B8" s="8" t="s">
        <v>183</v>
      </c>
      <c r="C8" s="9"/>
      <c r="D8" s="9"/>
      <c r="E8" s="9"/>
      <c r="F8" s="9"/>
      <c r="G8" s="9"/>
      <c r="H8" s="9"/>
    </row>
    <row r="9" spans="2:8" ht="14" x14ac:dyDescent="0.3">
      <c r="B9" s="33" t="s">
        <v>37</v>
      </c>
      <c r="C9" s="35">
        <v>475102</v>
      </c>
      <c r="D9" s="35">
        <f>'DCF Model'!C33</f>
        <v>494106.08</v>
      </c>
      <c r="E9" s="35">
        <f>'DCF Model'!D33</f>
        <v>511399.7928</v>
      </c>
      <c r="F9" s="35">
        <f>'DCF Model'!E33</f>
        <v>526741.78658399999</v>
      </c>
      <c r="G9" s="35">
        <f>'DCF Model'!F33</f>
        <v>542544.04018152005</v>
      </c>
      <c r="H9" s="35">
        <f>'DCF Model'!G33</f>
        <v>556107.64118605806</v>
      </c>
    </row>
    <row r="10" spans="2:8" ht="14" x14ac:dyDescent="0.3">
      <c r="B10" s="33" t="s">
        <v>38</v>
      </c>
      <c r="C10" s="35">
        <v>193088</v>
      </c>
      <c r="D10" s="35">
        <f>'DCF Model'!C34</f>
        <v>200607.06848000002</v>
      </c>
      <c r="E10" s="35">
        <f>'DCF Model'!D34</f>
        <v>207628.31587680001</v>
      </c>
      <c r="F10" s="35">
        <f>'DCF Model'!E34</f>
        <v>213857.16535310401</v>
      </c>
      <c r="G10" s="35">
        <f>'DCF Model'!F34</f>
        <v>220272.88031369715</v>
      </c>
      <c r="H10" s="35">
        <f>'DCF Model'!G34</f>
        <v>225779.70232153957</v>
      </c>
    </row>
    <row r="11" spans="2:8" ht="14" x14ac:dyDescent="0.3">
      <c r="B11" s="8" t="s">
        <v>184</v>
      </c>
      <c r="C11" s="9"/>
      <c r="D11" s="9"/>
      <c r="E11" s="9"/>
      <c r="F11" s="9"/>
      <c r="G11" s="9"/>
      <c r="H11" s="9"/>
    </row>
    <row r="12" spans="2:8" ht="14" x14ac:dyDescent="0.3">
      <c r="B12" s="33" t="s">
        <v>185</v>
      </c>
      <c r="C12" s="35">
        <v>86295</v>
      </c>
      <c r="D12" s="35">
        <f t="shared" ref="D12:H13" si="0">D9*D5/365</f>
        <v>69039.479671232883</v>
      </c>
      <c r="E12" s="35">
        <f t="shared" si="0"/>
        <v>71455.861459726017</v>
      </c>
      <c r="F12" s="35">
        <f t="shared" si="0"/>
        <v>73599.537303517805</v>
      </c>
      <c r="G12" s="35">
        <f t="shared" si="0"/>
        <v>75807.523422623344</v>
      </c>
      <c r="H12" s="35">
        <f t="shared" si="0"/>
        <v>77702.711508188935</v>
      </c>
    </row>
    <row r="13" spans="2:8" ht="14" x14ac:dyDescent="0.3">
      <c r="B13" s="33" t="s">
        <v>186</v>
      </c>
      <c r="C13" s="35">
        <v>0</v>
      </c>
      <c r="D13" s="35">
        <f t="shared" si="0"/>
        <v>0</v>
      </c>
      <c r="E13" s="35">
        <f t="shared" si="0"/>
        <v>0</v>
      </c>
      <c r="F13" s="35">
        <f t="shared" si="0"/>
        <v>0</v>
      </c>
      <c r="G13" s="35">
        <f t="shared" si="0"/>
        <v>0</v>
      </c>
      <c r="H13" s="35">
        <f t="shared" si="0"/>
        <v>0</v>
      </c>
    </row>
    <row r="14" spans="2:8" ht="14" x14ac:dyDescent="0.3">
      <c r="B14" s="33" t="s">
        <v>187</v>
      </c>
      <c r="C14" s="35">
        <f t="shared" ref="C14:H14" si="1">C12+C13</f>
        <v>86295</v>
      </c>
      <c r="D14" s="35">
        <f t="shared" si="1"/>
        <v>69039.479671232883</v>
      </c>
      <c r="E14" s="35">
        <f t="shared" si="1"/>
        <v>71455.861459726017</v>
      </c>
      <c r="F14" s="35">
        <f t="shared" si="1"/>
        <v>73599.537303517805</v>
      </c>
      <c r="G14" s="35">
        <f t="shared" si="1"/>
        <v>75807.523422623344</v>
      </c>
      <c r="H14" s="35">
        <f t="shared" si="1"/>
        <v>77702.711508188935</v>
      </c>
    </row>
    <row r="15" spans="2:8" ht="14" x14ac:dyDescent="0.3">
      <c r="B15" s="33" t="s">
        <v>188</v>
      </c>
      <c r="C15" s="35">
        <v>42253</v>
      </c>
      <c r="D15" s="35">
        <f>D10*D7/365</f>
        <v>28579.63715331507</v>
      </c>
      <c r="E15" s="35">
        <f>E10*E7/365</f>
        <v>29579.924453681098</v>
      </c>
      <c r="F15" s="35">
        <f>F10*F7/365</f>
        <v>30467.322187291531</v>
      </c>
      <c r="G15" s="35">
        <f>G10*G7/365</f>
        <v>31381.341852910282</v>
      </c>
      <c r="H15" s="35">
        <f>H10*H7/365</f>
        <v>32165.875399233035</v>
      </c>
    </row>
    <row r="16" spans="2:8" ht="14" x14ac:dyDescent="0.3">
      <c r="B16" s="33" t="s">
        <v>189</v>
      </c>
      <c r="C16" s="35">
        <f t="shared" ref="C16:H16" si="2">C15</f>
        <v>42253</v>
      </c>
      <c r="D16" s="35">
        <f t="shared" si="2"/>
        <v>28579.63715331507</v>
      </c>
      <c r="E16" s="35">
        <f t="shared" si="2"/>
        <v>29579.924453681098</v>
      </c>
      <c r="F16" s="35">
        <f t="shared" si="2"/>
        <v>30467.322187291531</v>
      </c>
      <c r="G16" s="35">
        <f t="shared" si="2"/>
        <v>31381.341852910282</v>
      </c>
      <c r="H16" s="35">
        <f t="shared" si="2"/>
        <v>32165.875399233035</v>
      </c>
    </row>
    <row r="17" spans="2:8" ht="14" x14ac:dyDescent="0.3">
      <c r="B17" s="22" t="s">
        <v>190</v>
      </c>
      <c r="C17" s="23"/>
      <c r="D17" s="23"/>
      <c r="E17" s="23"/>
      <c r="F17" s="23"/>
      <c r="G17" s="23"/>
      <c r="H17" s="23"/>
    </row>
    <row r="18" spans="2:8" ht="14" x14ac:dyDescent="0.3">
      <c r="B18" s="33" t="s">
        <v>191</v>
      </c>
      <c r="C18" s="20">
        <f t="shared" ref="C18:H18" si="3">C14-C16</f>
        <v>44042</v>
      </c>
      <c r="D18" s="20">
        <f t="shared" si="3"/>
        <v>40459.842517917816</v>
      </c>
      <c r="E18" s="20">
        <f t="shared" si="3"/>
        <v>41875.937006044915</v>
      </c>
      <c r="F18" s="20">
        <f t="shared" si="3"/>
        <v>43132.215116226274</v>
      </c>
      <c r="G18" s="20">
        <f t="shared" si="3"/>
        <v>44426.181569713066</v>
      </c>
      <c r="H18" s="20">
        <f t="shared" si="3"/>
        <v>45536.836108955904</v>
      </c>
    </row>
    <row r="19" spans="2:8" ht="14" x14ac:dyDescent="0.3">
      <c r="B19" s="33" t="s">
        <v>100</v>
      </c>
      <c r="C19" s="36" t="s">
        <v>47</v>
      </c>
      <c r="D19" s="24">
        <f>D18-C18</f>
        <v>-3582.1574820821843</v>
      </c>
      <c r="E19" s="24">
        <f>E18-D18</f>
        <v>1416.0944881270989</v>
      </c>
      <c r="F19" s="24">
        <f>F18-E18</f>
        <v>1256.2781101813598</v>
      </c>
      <c r="G19" s="24">
        <f>G18-F18</f>
        <v>1293.9664534867916</v>
      </c>
      <c r="H19" s="24">
        <f>H18-G18</f>
        <v>1110.6545392428379</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51</v>
      </c>
      <c r="E25" s="30">
        <v>51</v>
      </c>
      <c r="F25" s="30">
        <v>51</v>
      </c>
      <c r="G25" s="30">
        <v>51</v>
      </c>
      <c r="H25" s="30">
        <v>51</v>
      </c>
    </row>
    <row r="26" spans="2:8" ht="14" x14ac:dyDescent="0.3">
      <c r="B26" s="4" t="s">
        <v>121</v>
      </c>
      <c r="D26" s="30">
        <v>48</v>
      </c>
      <c r="E26" s="30">
        <v>48</v>
      </c>
      <c r="F26" s="30">
        <v>48</v>
      </c>
      <c r="G26" s="30">
        <v>48</v>
      </c>
      <c r="H26" s="30">
        <v>48</v>
      </c>
    </row>
    <row r="27" spans="2:8" ht="14" x14ac:dyDescent="0.3">
      <c r="B27" s="4" t="s">
        <v>122</v>
      </c>
      <c r="D27" s="30">
        <v>51</v>
      </c>
      <c r="E27" s="30">
        <v>51</v>
      </c>
      <c r="F27" s="30">
        <v>51</v>
      </c>
      <c r="G27" s="30">
        <v>51</v>
      </c>
      <c r="H27" s="30">
        <v>51</v>
      </c>
    </row>
    <row r="28" spans="2:8" ht="14" x14ac:dyDescent="0.3">
      <c r="B28" s="4" t="s">
        <v>123</v>
      </c>
      <c r="D28" s="30">
        <v>55</v>
      </c>
      <c r="E28" s="30">
        <v>55</v>
      </c>
      <c r="F28" s="30">
        <v>55</v>
      </c>
      <c r="G28" s="30">
        <v>55</v>
      </c>
      <c r="H28" s="30">
        <v>55</v>
      </c>
    </row>
    <row r="29" spans="2:8" ht="14" x14ac:dyDescent="0.3">
      <c r="B29" s="4" t="s">
        <v>124</v>
      </c>
      <c r="D29" s="30">
        <v>59</v>
      </c>
      <c r="E29" s="30">
        <v>59</v>
      </c>
      <c r="F29" s="30">
        <v>59</v>
      </c>
      <c r="G29" s="30">
        <v>59</v>
      </c>
      <c r="H29" s="30">
        <v>59</v>
      </c>
    </row>
    <row r="31" spans="2:8" ht="14" x14ac:dyDescent="0.3">
      <c r="B31" s="3" t="s">
        <v>194</v>
      </c>
    </row>
    <row r="32" spans="2:8" ht="14" x14ac:dyDescent="0.3">
      <c r="B32" s="4" t="s">
        <v>84</v>
      </c>
      <c r="D32" s="30">
        <v>0</v>
      </c>
      <c r="E32" s="30">
        <v>0</v>
      </c>
      <c r="F32" s="30">
        <v>0</v>
      </c>
      <c r="G32" s="30">
        <v>0</v>
      </c>
      <c r="H32" s="30">
        <v>0</v>
      </c>
    </row>
    <row r="33" spans="2:8" ht="14" x14ac:dyDescent="0.3">
      <c r="B33" s="4" t="s">
        <v>121</v>
      </c>
      <c r="D33" s="30">
        <v>0</v>
      </c>
      <c r="E33" s="30">
        <v>0</v>
      </c>
      <c r="F33" s="30">
        <v>0</v>
      </c>
      <c r="G33" s="30">
        <v>0</v>
      </c>
      <c r="H33" s="30">
        <v>0</v>
      </c>
    </row>
    <row r="34" spans="2:8" ht="14" x14ac:dyDescent="0.3">
      <c r="B34" s="4" t="s">
        <v>122</v>
      </c>
      <c r="D34" s="30">
        <v>0</v>
      </c>
      <c r="E34" s="30">
        <v>0</v>
      </c>
      <c r="F34" s="30">
        <v>0</v>
      </c>
      <c r="G34" s="30">
        <v>0</v>
      </c>
      <c r="H34" s="30">
        <v>0</v>
      </c>
    </row>
    <row r="35" spans="2:8" ht="14" x14ac:dyDescent="0.3">
      <c r="B35" s="4" t="s">
        <v>123</v>
      </c>
      <c r="D35" s="30">
        <v>7</v>
      </c>
      <c r="E35" s="30">
        <v>7</v>
      </c>
      <c r="F35" s="30">
        <v>7</v>
      </c>
      <c r="G35" s="30">
        <v>7</v>
      </c>
      <c r="H35" s="30">
        <v>7</v>
      </c>
    </row>
    <row r="36" spans="2:8" ht="14" x14ac:dyDescent="0.3">
      <c r="B36" s="4" t="s">
        <v>124</v>
      </c>
      <c r="D36" s="30">
        <v>14</v>
      </c>
      <c r="E36" s="30">
        <v>14</v>
      </c>
      <c r="F36" s="30">
        <v>14</v>
      </c>
      <c r="G36" s="30">
        <v>14</v>
      </c>
      <c r="H36" s="30">
        <v>14</v>
      </c>
    </row>
    <row r="38" spans="2:8" ht="14" x14ac:dyDescent="0.3">
      <c r="B38" s="3" t="s">
        <v>195</v>
      </c>
    </row>
    <row r="39" spans="2:8" ht="14" x14ac:dyDescent="0.3">
      <c r="B39" s="4" t="s">
        <v>84</v>
      </c>
      <c r="D39" s="30">
        <v>52</v>
      </c>
      <c r="E39" s="30">
        <v>52</v>
      </c>
      <c r="F39" s="30">
        <v>52</v>
      </c>
      <c r="G39" s="30">
        <v>52</v>
      </c>
      <c r="H39" s="30">
        <v>52</v>
      </c>
    </row>
    <row r="40" spans="2:8" ht="14" x14ac:dyDescent="0.3">
      <c r="B40" s="4" t="s">
        <v>121</v>
      </c>
      <c r="D40" s="30">
        <v>54</v>
      </c>
      <c r="E40" s="30">
        <v>54</v>
      </c>
      <c r="F40" s="30">
        <v>54</v>
      </c>
      <c r="G40" s="30">
        <v>54</v>
      </c>
      <c r="H40" s="30">
        <v>54</v>
      </c>
    </row>
    <row r="41" spans="2:8" ht="14" x14ac:dyDescent="0.3">
      <c r="B41" s="4" t="s">
        <v>122</v>
      </c>
      <c r="D41" s="30">
        <v>52</v>
      </c>
      <c r="E41" s="30">
        <v>52</v>
      </c>
      <c r="F41" s="30">
        <v>52</v>
      </c>
      <c r="G41" s="30">
        <v>52</v>
      </c>
      <c r="H41" s="30">
        <v>52</v>
      </c>
    </row>
    <row r="42" spans="2:8" ht="14" x14ac:dyDescent="0.3">
      <c r="B42" s="4" t="s">
        <v>123</v>
      </c>
      <c r="D42" s="30">
        <v>49</v>
      </c>
      <c r="E42" s="30">
        <v>49</v>
      </c>
      <c r="F42" s="30">
        <v>49</v>
      </c>
      <c r="G42" s="30">
        <v>49</v>
      </c>
      <c r="H42" s="30">
        <v>49</v>
      </c>
    </row>
    <row r="43" spans="2:8" ht="14" x14ac:dyDescent="0.3">
      <c r="B43" s="4" t="s">
        <v>124</v>
      </c>
      <c r="D43" s="30">
        <v>46</v>
      </c>
      <c r="E43" s="30">
        <v>46</v>
      </c>
      <c r="F43" s="30">
        <v>46</v>
      </c>
      <c r="G43" s="30">
        <v>46</v>
      </c>
      <c r="H43" s="30">
        <v>46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2430097.7937599998</v>
      </c>
      <c r="E5" s="37">
        <f>D5+C24</f>
        <v>1983374.7937599998</v>
      </c>
      <c r="F5" s="37">
        <v>475102</v>
      </c>
      <c r="G5" s="37">
        <v>135421</v>
      </c>
      <c r="H5" s="37">
        <v>124012</v>
      </c>
      <c r="I5" s="37">
        <v>92052</v>
      </c>
      <c r="J5" s="38">
        <f>IFERROR(E5/G5,"")</f>
        <v>14.64599134373546</v>
      </c>
      <c r="K5" s="38">
        <f>IFERROR(E5/F5,"")</f>
        <v>4.1746294348581987</v>
      </c>
      <c r="L5" s="38">
        <f>IFERROR(D5/I5,"")</f>
        <v>26.399185175335678</v>
      </c>
      <c r="M5" s="38">
        <f>IFERROR(D5/P5,"")</f>
        <v>2.2978692080518632</v>
      </c>
      <c r="N5" s="39">
        <f>IFERROR(H5/F5,"")</f>
        <v>0.26102184373039894</v>
      </c>
      <c r="O5" s="39">
        <f>IFERROR(I5/P5,"")</f>
        <v>8.7043186855582363E-2</v>
      </c>
      <c r="P5" s="37">
        <v>1057544</v>
      </c>
    </row>
    <row r="6" spans="2:17" ht="14" x14ac:dyDescent="0.3">
      <c r="B6" s="4" t="s">
        <v>214</v>
      </c>
      <c r="C6" t="s">
        <v>215</v>
      </c>
      <c r="D6" s="37">
        <v>1776976</v>
      </c>
      <c r="E6" s="37">
        <v>1634071</v>
      </c>
      <c r="F6" s="37">
        <v>195365</v>
      </c>
      <c r="G6" s="37">
        <v>80496</v>
      </c>
      <c r="H6" s="37">
        <v>75296</v>
      </c>
      <c r="I6" s="37">
        <v>54587</v>
      </c>
      <c r="J6" s="38">
        <f>IFERROR(E6/G6,"")</f>
        <v>20.300027330550588</v>
      </c>
      <c r="K6" s="38">
        <f>IFERROR(E6/F6,"")</f>
        <v>8.3641952243237014</v>
      </c>
      <c r="L6" s="38">
        <f>IFERROR(D6/I6,"")</f>
        <v>32.553098723139207</v>
      </c>
      <c r="M6" s="38">
        <f>IFERROR(D6/P6,"")</f>
        <v>6.637937990287635</v>
      </c>
      <c r="N6" s="39">
        <f>IFERROR(H6/F6,"")</f>
        <v>0.38541192127556112</v>
      </c>
      <c r="O6" s="39">
        <f>IFERROR(I6/P6,"")</f>
        <v>0.20391109450877848</v>
      </c>
      <c r="P6" s="37">
        <v>267700</v>
      </c>
    </row>
    <row r="7" spans="2:17" ht="14" x14ac:dyDescent="0.3">
      <c r="B7" s="4" t="s">
        <v>216</v>
      </c>
      <c r="C7" t="s">
        <v>217</v>
      </c>
      <c r="D7" s="37">
        <v>1042352</v>
      </c>
      <c r="E7" s="37">
        <v>766298</v>
      </c>
      <c r="F7" s="37">
        <v>297661</v>
      </c>
      <c r="G7" s="37">
        <v>63428</v>
      </c>
      <c r="H7" s="37">
        <v>54742</v>
      </c>
      <c r="I7" s="37">
        <v>29616</v>
      </c>
      <c r="J7" s="38">
        <f>IFERROR(E7/G7,"")</f>
        <v>12.081383616068614</v>
      </c>
      <c r="K7" s="38">
        <f>IFERROR(E7/F7,"")</f>
        <v>2.5743983928025505</v>
      </c>
      <c r="L7" s="38">
        <f>IFERROR(D7/I7,"")</f>
        <v>35.195569962182603</v>
      </c>
      <c r="M7" s="38">
        <f>IFERROR(D7/P7,"")</f>
        <v>2.9877434962565497</v>
      </c>
      <c r="N7" s="39">
        <f>IFERROR(H7/F7,"")</f>
        <v>0.18390719644158959</v>
      </c>
      <c r="O7" s="39">
        <f>IFERROR(I7/P7,"")</f>
        <v>8.4889760258659241E-2</v>
      </c>
      <c r="P7" s="37">
        <v>348876</v>
      </c>
    </row>
    <row r="8" spans="2:17" ht="14" x14ac:dyDescent="0.3">
      <c r="B8" s="4" t="s">
        <v>218</v>
      </c>
      <c r="C8" t="s">
        <v>219</v>
      </c>
      <c r="D8" s="37">
        <v>2914464</v>
      </c>
      <c r="E8" s="37">
        <v>2626836</v>
      </c>
      <c r="F8" s="37">
        <v>493677</v>
      </c>
      <c r="G8" s="37">
        <v>170081</v>
      </c>
      <c r="H8" s="37">
        <v>135891</v>
      </c>
      <c r="I8" s="37">
        <v>100013</v>
      </c>
      <c r="J8" s="38">
        <f>IFERROR(E8/G8,"")</f>
        <v>15.444617564572175</v>
      </c>
      <c r="K8" s="38">
        <f>IFERROR(E8/F8,"")</f>
        <v>5.3209608711769034</v>
      </c>
      <c r="L8" s="38">
        <f>IFERROR(D8/I8,"")</f>
        <v>29.140851689280392</v>
      </c>
      <c r="M8" s="38">
        <f>IFERROR(D8/P8,"")</f>
        <v>5.1625739322666186</v>
      </c>
      <c r="N8" s="39">
        <f>IFERROR(H8/F8,"")</f>
        <v>0.27526297558930229</v>
      </c>
      <c r="O8" s="39">
        <f>IFERROR(I8/P8,"")</f>
        <v>0.17715933588055344</v>
      </c>
      <c r="P8" s="37">
        <v>564537</v>
      </c>
    </row>
    <row r="9" spans="2:17" ht="14" x14ac:dyDescent="0.3">
      <c r="B9" s="4" t="s">
        <v>220</v>
      </c>
      <c r="C9" t="s">
        <v>221</v>
      </c>
      <c r="D9" s="37">
        <v>1331794</v>
      </c>
      <c r="E9" s="37">
        <v>1282444</v>
      </c>
      <c r="F9" s="37">
        <v>360663</v>
      </c>
      <c r="G9" s="37">
        <v>82816</v>
      </c>
      <c r="H9" s="37">
        <v>67893</v>
      </c>
      <c r="I9" s="37">
        <v>51768</v>
      </c>
      <c r="J9" s="38">
        <f>IFERROR(E9/G9,"")</f>
        <v>15.485461746522411</v>
      </c>
      <c r="K9" s="38">
        <f>IFERROR(E9/F9,"")</f>
        <v>3.555795853747127</v>
      </c>
      <c r="L9" s="38">
        <f>IFERROR(D9/I9,"")</f>
        <v>25.72620151444908</v>
      </c>
      <c r="M9" s="38">
        <f>IFERROR(D9/P9,"")</f>
        <v>2.5841712491704922</v>
      </c>
      <c r="N9" s="39">
        <f>IFERROR(H9/F9,"")</f>
        <v>0.18824498215785929</v>
      </c>
      <c r="O9" s="39">
        <f>IFERROR(I9/P9,"")</f>
        <v>0.10044900129228548</v>
      </c>
      <c r="P9" s="37">
        <v>515366</v>
      </c>
    </row>
    <row r="14" spans="2:17" ht="14" x14ac:dyDescent="0.3">
      <c r="B14" s="3" t="s">
        <v>222</v>
      </c>
    </row>
    <row r="15" spans="2:17" ht="14" x14ac:dyDescent="0.3">
      <c r="B15" s="4" t="s">
        <v>223</v>
      </c>
      <c r="D15" s="38">
        <f t="shared" ref="D15:I15" si="0">PERCENTILE(J6:J9,0.25)</f>
        <v>14.603809077446284</v>
      </c>
      <c r="E15" s="38">
        <f t="shared" si="0"/>
        <v>3.310446488510983</v>
      </c>
      <c r="F15" s="38">
        <f t="shared" si="0"/>
        <v>28.287189145572565</v>
      </c>
      <c r="G15" s="38">
        <f t="shared" si="0"/>
        <v>2.8868504344850354</v>
      </c>
      <c r="H15" s="39">
        <f t="shared" si="0"/>
        <v>0.18716053572879188</v>
      </c>
      <c r="I15" s="39">
        <f t="shared" si="0"/>
        <v>9.6559191033878916E-2</v>
      </c>
    </row>
    <row r="16" spans="2:17" ht="14" x14ac:dyDescent="0.3">
      <c r="B16" s="4" t="s">
        <v>224</v>
      </c>
      <c r="D16" s="38">
        <f t="shared" ref="D16:I16" si="1">MEDIAN(J6:J9)</f>
        <v>15.465039655547294</v>
      </c>
      <c r="E16" s="38">
        <f t="shared" si="1"/>
        <v>4.4383783624620152</v>
      </c>
      <c r="F16" s="38">
        <f t="shared" si="1"/>
        <v>30.846975206209798</v>
      </c>
      <c r="G16" s="38">
        <f t="shared" si="1"/>
        <v>4.0751587142615842</v>
      </c>
      <c r="H16" s="39">
        <f t="shared" si="1"/>
        <v>0.23175397887358079</v>
      </c>
      <c r="I16" s="39">
        <f t="shared" si="1"/>
        <v>0.13880416858641947</v>
      </c>
    </row>
    <row r="17" spans="2:9" ht="14" x14ac:dyDescent="0.3">
      <c r="B17" s="4" t="s">
        <v>225</v>
      </c>
      <c r="D17" s="38">
        <f t="shared" ref="D17:I17" si="2">PERCENTILE(J6:J9,0.75)</f>
        <v>16.689103142529454</v>
      </c>
      <c r="E17" s="38">
        <f t="shared" si="2"/>
        <v>6.0817694594636027</v>
      </c>
      <c r="F17" s="38">
        <f t="shared" si="2"/>
        <v>33.213716532900058</v>
      </c>
      <c r="G17" s="38">
        <f t="shared" si="2"/>
        <v>5.5314149467718732</v>
      </c>
      <c r="H17" s="39">
        <f t="shared" si="2"/>
        <v>0.30280021201086699</v>
      </c>
      <c r="I17" s="39">
        <f t="shared" si="2"/>
        <v>0.18384727553760971</v>
      </c>
    </row>
    <row r="19" spans="2:9" ht="14" x14ac:dyDescent="0.3">
      <c r="B19" s="22" t="s">
        <v>226</v>
      </c>
      <c r="C19" s="23"/>
      <c r="D19" s="23"/>
      <c r="E19" s="23"/>
      <c r="F19" s="23"/>
      <c r="G19" s="23"/>
      <c r="H19" s="23"/>
      <c r="I19" s="23"/>
    </row>
    <row r="20" spans="2:9" ht="14" x14ac:dyDescent="0.3">
      <c r="B20" s="3" t="s">
        <v>227</v>
      </c>
    </row>
    <row r="21" spans="2:9" ht="14" x14ac:dyDescent="0.3">
      <c r="B21" s="4" t="s">
        <v>228</v>
      </c>
      <c r="C21" s="5">
        <v>135421</v>
      </c>
    </row>
    <row r="22" spans="2:9" ht="14" x14ac:dyDescent="0.3">
      <c r="B22" s="4" t="s">
        <v>229</v>
      </c>
      <c r="C22" s="5">
        <v>92052</v>
      </c>
    </row>
    <row r="23" spans="2:9" ht="14" x14ac:dyDescent="0.3">
      <c r="B23" s="4" t="s">
        <v>230</v>
      </c>
      <c r="C23" s="15">
        <v>778877498</v>
      </c>
    </row>
    <row r="24" spans="2:9" ht="14" x14ac:dyDescent="0.3">
      <c r="B24" s="4" t="s">
        <v>73</v>
      </c>
      <c r="C24" s="5">
        <v>-446723</v>
      </c>
    </row>
    <row r="26" spans="2:9" ht="14" x14ac:dyDescent="0.3">
      <c r="B26" s="3" t="s">
        <v>231</v>
      </c>
    </row>
    <row r="27" spans="2:9" ht="14" x14ac:dyDescent="0.3">
      <c r="B27" s="4" t="s">
        <v>232</v>
      </c>
      <c r="C27" s="24">
        <f>ROUND((C21*D16-C24)*1000000/C23,0)</f>
        <v>3262</v>
      </c>
    </row>
    <row r="28" spans="2:9" ht="14" x14ac:dyDescent="0.3">
      <c r="B28" s="4" t="s">
        <v>233</v>
      </c>
      <c r="C28" s="24">
        <f>ROUND(C22*F16*1000000/C23,0)</f>
        <v>3646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234</v>
      </c>
    </row>
    <row r="3" spans="2:9" ht="14" x14ac:dyDescent="0.3">
      <c r="B3" s="4" t="s">
        <v>235</v>
      </c>
      <c r="C3" s="16">
        <f>'DCF Model'!C26</f>
        <v>9.8551E-2</v>
      </c>
      <c r="E3" s="4" t="s">
        <v>236</v>
      </c>
      <c r="F3" s="16">
        <f>'DCF Model'!C13</f>
        <v>0.01</v>
      </c>
      <c r="H3" s="4" t="s">
        <v>237</v>
      </c>
      <c r="I3" s="14">
        <f>'DCF Model'!C14</f>
        <v>15.5</v>
      </c>
    </row>
    <row r="5" spans="2:9" ht="14" x14ac:dyDescent="0.3">
      <c r="B5" s="3" t="s">
        <v>238</v>
      </c>
    </row>
    <row r="6" spans="2:9" ht="14" x14ac:dyDescent="0.3">
      <c r="B6" s="40" t="s">
        <v>239</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8.3551E-2</v>
      </c>
      <c r="C7" s="37">
        <f>IFERROR(ROUND(('DCF Model'!C45/(1+$B7)^('DCF Model'!C19+0)+'DCF Model'!D45/(1+$B7)^('DCF Model'!C19+1)+'DCF Model'!E45/(1+$B7)^('DCF Model'!C19+2)+'DCF Model'!F45/(1+$B7)^('DCF Model'!C19+3)+'DCF Model'!G45/(1+$B7)^('DCF Model'!C19+4)+'DCF Model'!G45*(1+C$6)/($B7-C$6)/(1+$B7)^('DCF Model'!C19+4)-'DCF Model'!C16)*1000000/'DCF Model'!C15,0),"")</f>
        <v>2449</v>
      </c>
      <c r="D7" s="37">
        <f>IFERROR(ROUND(('DCF Model'!C45/(1+$B7)^('DCF Model'!C19+0)+'DCF Model'!D45/(1+$B7)^('DCF Model'!C19+1)+'DCF Model'!E45/(1+$B7)^('DCF Model'!C19+2)+'DCF Model'!F45/(1+$B7)^('DCF Model'!C19+3)+'DCF Model'!G45/(1+$B7)^('DCF Model'!C19+4)+'DCF Model'!G45*(1+D$6)/($B7-D$6)/(1+$B7)^('DCF Model'!C19+4)-'DCF Model'!C16)*1000000/'DCF Model'!C15,0),"")</f>
        <v>2493</v>
      </c>
      <c r="E7" s="37">
        <f>IFERROR(ROUND(('DCF Model'!C45/(1+$B7)^('DCF Model'!C19+0)+'DCF Model'!D45/(1+$B7)^('DCF Model'!C19+1)+'DCF Model'!E45/(1+$B7)^('DCF Model'!C19+2)+'DCF Model'!F45/(1+$B7)^('DCF Model'!C19+3)+'DCF Model'!G45/(1+$B7)^('DCF Model'!C19+4)+'DCF Model'!G45*(1+E$6)/($B7-E$6)/(1+$B7)^('DCF Model'!C19+4)-'DCF Model'!C16)*1000000/'DCF Model'!C15,0),"")</f>
        <v>2541</v>
      </c>
      <c r="F7" s="37">
        <f>IFERROR(ROUND(('DCF Model'!C45/(1+$B7)^('DCF Model'!C19+0)+'DCF Model'!D45/(1+$B7)^('DCF Model'!C19+1)+'DCF Model'!E45/(1+$B7)^('DCF Model'!C19+2)+'DCF Model'!F45/(1+$B7)^('DCF Model'!C19+3)+'DCF Model'!G45/(1+$B7)^('DCF Model'!C19+4)+'DCF Model'!G45*(1+F$6)/($B7-F$6)/(1+$B7)^('DCF Model'!C19+4)-'DCF Model'!C16)*1000000/'DCF Model'!C15,0),"")</f>
        <v>2592</v>
      </c>
      <c r="G7" s="37">
        <f>IFERROR(ROUND(('DCF Model'!C45/(1+$B7)^('DCF Model'!C19+0)+'DCF Model'!D45/(1+$B7)^('DCF Model'!C19+1)+'DCF Model'!E45/(1+$B7)^('DCF Model'!C19+2)+'DCF Model'!F45/(1+$B7)^('DCF Model'!C19+3)+'DCF Model'!G45/(1+$B7)^('DCF Model'!C19+4)+'DCF Model'!G45*(1+G$6)/($B7-G$6)/(1+$B7)^('DCF Model'!C19+4)-'DCF Model'!C16)*1000000/'DCF Model'!C15,0),"")</f>
        <v>2646</v>
      </c>
      <c r="H7" s="37">
        <f>IFERROR(ROUND(('DCF Model'!C45/(1+$B7)^('DCF Model'!C19+0)+'DCF Model'!D45/(1+$B7)^('DCF Model'!C19+1)+'DCF Model'!E45/(1+$B7)^('DCF Model'!C19+2)+'DCF Model'!F45/(1+$B7)^('DCF Model'!C19+3)+'DCF Model'!G45/(1+$B7)^('DCF Model'!C19+4)+'DCF Model'!G45*(1+H$6)/($B7-H$6)/(1+$B7)^('DCF Model'!C19+4)-'DCF Model'!C16)*1000000/'DCF Model'!C15,0),"")</f>
        <v>2705</v>
      </c>
      <c r="I7" s="37">
        <f>IFERROR(ROUND(('DCF Model'!C45/(1+$B7)^('DCF Model'!C19+0)+'DCF Model'!D45/(1+$B7)^('DCF Model'!C19+1)+'DCF Model'!E45/(1+$B7)^('DCF Model'!C19+2)+'DCF Model'!F45/(1+$B7)^('DCF Model'!C19+3)+'DCF Model'!G45/(1+$B7)^('DCF Model'!C19+4)+'DCF Model'!G45*(1+I$6)/($B7-I$6)/(1+$B7)^('DCF Model'!C19+4)-'DCF Model'!C16)*1000000/'DCF Model'!C15,0),"")</f>
        <v>2767</v>
      </c>
    </row>
    <row r="8" spans="2:9" ht="13.5" x14ac:dyDescent="0.25">
      <c r="B8" s="39">
        <f>$C$3-0.01</f>
        <v>8.8551000000000005E-2</v>
      </c>
      <c r="C8" s="37">
        <f>IFERROR(ROUND(('DCF Model'!C45/(1+$B8)^('DCF Model'!C19+0)+'DCF Model'!D45/(1+$B8)^('DCF Model'!C19+1)+'DCF Model'!E45/(1+$B8)^('DCF Model'!C19+2)+'DCF Model'!F45/(1+$B8)^('DCF Model'!C19+3)+'DCF Model'!G45/(1+$B8)^('DCF Model'!C19+4)+'DCF Model'!G45*(1+C$6)/($B8-C$6)/(1+$B8)^('DCF Model'!C19+4)-'DCF Model'!C16)*1000000/'DCF Model'!C15,0),"")</f>
        <v>2342</v>
      </c>
      <c r="D8" s="37">
        <f>IFERROR(ROUND(('DCF Model'!C45/(1+$B8)^('DCF Model'!C19+0)+'DCF Model'!D45/(1+$B8)^('DCF Model'!C19+1)+'DCF Model'!E45/(1+$B8)^('DCF Model'!C19+2)+'DCF Model'!F45/(1+$B8)^('DCF Model'!C19+3)+'DCF Model'!G45/(1+$B8)^('DCF Model'!C19+4)+'DCF Model'!G45*(1+D$6)/($B8-D$6)/(1+$B8)^('DCF Model'!C19+4)-'DCF Model'!C16)*1000000/'DCF Model'!C15,0),"")</f>
        <v>2381</v>
      </c>
      <c r="E8" s="37">
        <f>IFERROR(ROUND(('DCF Model'!C45/(1+$B8)^('DCF Model'!C19+0)+'DCF Model'!D45/(1+$B8)^('DCF Model'!C19+1)+'DCF Model'!E45/(1+$B8)^('DCF Model'!C19+2)+'DCF Model'!F45/(1+$B8)^('DCF Model'!C19+3)+'DCF Model'!G45/(1+$B8)^('DCF Model'!C19+4)+'DCF Model'!G45*(1+E$6)/($B8-E$6)/(1+$B8)^('DCF Model'!C19+4)-'DCF Model'!C16)*1000000/'DCF Model'!C15,0),"")</f>
        <v>2422</v>
      </c>
      <c r="F8" s="37">
        <f>IFERROR(ROUND(('DCF Model'!C45/(1+$B8)^('DCF Model'!C19+0)+'DCF Model'!D45/(1+$B8)^('DCF Model'!C19+1)+'DCF Model'!E45/(1+$B8)^('DCF Model'!C19+2)+'DCF Model'!F45/(1+$B8)^('DCF Model'!C19+3)+'DCF Model'!G45/(1+$B8)^('DCF Model'!C19+4)+'DCF Model'!G45*(1+F$6)/($B8-F$6)/(1+$B8)^('DCF Model'!C19+4)-'DCF Model'!C16)*1000000/'DCF Model'!C15,0),"")</f>
        <v>2466</v>
      </c>
      <c r="G8" s="37">
        <f>IFERROR(ROUND(('DCF Model'!C45/(1+$B8)^('DCF Model'!C19+0)+'DCF Model'!D45/(1+$B8)^('DCF Model'!C19+1)+'DCF Model'!E45/(1+$B8)^('DCF Model'!C19+2)+'DCF Model'!F45/(1+$B8)^('DCF Model'!C19+3)+'DCF Model'!G45/(1+$B8)^('DCF Model'!C19+4)+'DCF Model'!G45*(1+G$6)/($B8-G$6)/(1+$B8)^('DCF Model'!C19+4)-'DCF Model'!C16)*1000000/'DCF Model'!C15,0),"")</f>
        <v>2513</v>
      </c>
      <c r="H8" s="37">
        <f>IFERROR(ROUND(('DCF Model'!C45/(1+$B8)^('DCF Model'!C19+0)+'DCF Model'!D45/(1+$B8)^('DCF Model'!C19+1)+'DCF Model'!E45/(1+$B8)^('DCF Model'!C19+2)+'DCF Model'!F45/(1+$B8)^('DCF Model'!C19+3)+'DCF Model'!G45/(1+$B8)^('DCF Model'!C19+4)+'DCF Model'!G45*(1+H$6)/($B8-H$6)/(1+$B8)^('DCF Model'!C19+4)-'DCF Model'!C16)*1000000/'DCF Model'!C15,0),"")</f>
        <v>2563</v>
      </c>
      <c r="I8" s="37">
        <f>IFERROR(ROUND(('DCF Model'!C45/(1+$B8)^('DCF Model'!C19+0)+'DCF Model'!D45/(1+$B8)^('DCF Model'!C19+1)+'DCF Model'!E45/(1+$B8)^('DCF Model'!C19+2)+'DCF Model'!F45/(1+$B8)^('DCF Model'!C19+3)+'DCF Model'!G45/(1+$B8)^('DCF Model'!C19+4)+'DCF Model'!G45*(1+I$6)/($B8-I$6)/(1+$B8)^('DCF Model'!C19+4)-'DCF Model'!C16)*1000000/'DCF Model'!C15,0),"")</f>
        <v>2616</v>
      </c>
    </row>
    <row r="9" spans="2:9" ht="13.5" x14ac:dyDescent="0.25">
      <c r="B9" s="39">
        <f>$C$3-0.005</f>
        <v>9.3550999999999995E-2</v>
      </c>
      <c r="C9" s="37">
        <f>IFERROR(ROUND(('DCF Model'!C45/(1+$B9)^('DCF Model'!C19+0)+'DCF Model'!D45/(1+$B9)^('DCF Model'!C19+1)+'DCF Model'!E45/(1+$B9)^('DCF Model'!C19+2)+'DCF Model'!F45/(1+$B9)^('DCF Model'!C19+3)+'DCF Model'!G45/(1+$B9)^('DCF Model'!C19+4)+'DCF Model'!G45*(1+C$6)/($B9-C$6)/(1+$B9)^('DCF Model'!C19+4)-'DCF Model'!C16)*1000000/'DCF Model'!C15,0),"")</f>
        <v>2246</v>
      </c>
      <c r="D9" s="37">
        <f>IFERROR(ROUND(('DCF Model'!C45/(1+$B9)^('DCF Model'!C19+0)+'DCF Model'!D45/(1+$B9)^('DCF Model'!C19+1)+'DCF Model'!E45/(1+$B9)^('DCF Model'!C19+2)+'DCF Model'!F45/(1+$B9)^('DCF Model'!C19+3)+'DCF Model'!G45/(1+$B9)^('DCF Model'!C19+4)+'DCF Model'!G45*(1+D$6)/($B9-D$6)/(1+$B9)^('DCF Model'!C19+4)-'DCF Model'!C16)*1000000/'DCF Model'!C15,0),"")</f>
        <v>2281</v>
      </c>
      <c r="E9" s="37">
        <f>IFERROR(ROUND(('DCF Model'!C45/(1+$B9)^('DCF Model'!C19+0)+'DCF Model'!D45/(1+$B9)^('DCF Model'!C19+1)+'DCF Model'!E45/(1+$B9)^('DCF Model'!C19+2)+'DCF Model'!F45/(1+$B9)^('DCF Model'!C19+3)+'DCF Model'!G45/(1+$B9)^('DCF Model'!C19+4)+'DCF Model'!G45*(1+E$6)/($B9-E$6)/(1+$B9)^('DCF Model'!C19+4)-'DCF Model'!C16)*1000000/'DCF Model'!C15,0),"")</f>
        <v>2317</v>
      </c>
      <c r="F9" s="37">
        <f>IFERROR(ROUND(('DCF Model'!C45/(1+$B9)^('DCF Model'!C19+0)+'DCF Model'!D45/(1+$B9)^('DCF Model'!C19+1)+'DCF Model'!E45/(1+$B9)^('DCF Model'!C19+2)+'DCF Model'!F45/(1+$B9)^('DCF Model'!C19+3)+'DCF Model'!G45/(1+$B9)^('DCF Model'!C19+4)+'DCF Model'!G45*(1+F$6)/($B9-F$6)/(1+$B9)^('DCF Model'!C19+4)-'DCF Model'!C16)*1000000/'DCF Model'!C15,0),"")</f>
        <v>2355</v>
      </c>
      <c r="G9" s="37">
        <f>IFERROR(ROUND(('DCF Model'!C45/(1+$B9)^('DCF Model'!C19+0)+'DCF Model'!D45/(1+$B9)^('DCF Model'!C19+1)+'DCF Model'!E45/(1+$B9)^('DCF Model'!C19+2)+'DCF Model'!F45/(1+$B9)^('DCF Model'!C19+3)+'DCF Model'!G45/(1+$B9)^('DCF Model'!C19+4)+'DCF Model'!G45*(1+G$6)/($B9-G$6)/(1+$B9)^('DCF Model'!C19+4)-'DCF Model'!C16)*1000000/'DCF Model'!C15,0),"")</f>
        <v>2396</v>
      </c>
      <c r="H9" s="37">
        <f>IFERROR(ROUND(('DCF Model'!C45/(1+$B9)^('DCF Model'!C19+0)+'DCF Model'!D45/(1+$B9)^('DCF Model'!C19+1)+'DCF Model'!E45/(1+$B9)^('DCF Model'!C19+2)+'DCF Model'!F45/(1+$B9)^('DCF Model'!C19+3)+'DCF Model'!G45/(1+$B9)^('DCF Model'!C19+4)+'DCF Model'!G45*(1+H$6)/($B9-H$6)/(1+$B9)^('DCF Model'!C19+4)-'DCF Model'!C16)*1000000/'DCF Model'!C15,0),"")</f>
        <v>2439</v>
      </c>
      <c r="I9" s="37">
        <f>IFERROR(ROUND(('DCF Model'!C45/(1+$B9)^('DCF Model'!C19+0)+'DCF Model'!D45/(1+$B9)^('DCF Model'!C19+1)+'DCF Model'!E45/(1+$B9)^('DCF Model'!C19+2)+'DCF Model'!F45/(1+$B9)^('DCF Model'!C19+3)+'DCF Model'!G45/(1+$B9)^('DCF Model'!C19+4)+'DCF Model'!G45*(1+I$6)/($B9-I$6)/(1+$B9)^('DCF Model'!C19+4)-'DCF Model'!C16)*1000000/'DCF Model'!C15,0),"")</f>
        <v>2485</v>
      </c>
    </row>
    <row r="10" spans="2:9" ht="13.5" x14ac:dyDescent="0.25">
      <c r="B10" s="39">
        <f>$C$3</f>
        <v>9.8551E-2</v>
      </c>
      <c r="C10" s="37">
        <f>IFERROR(ROUND(('DCF Model'!C45/(1+$B10)^('DCF Model'!C19+0)+'DCF Model'!D45/(1+$B10)^('DCF Model'!C19+1)+'DCF Model'!E45/(1+$B10)^('DCF Model'!C19+2)+'DCF Model'!F45/(1+$B10)^('DCF Model'!C19+3)+'DCF Model'!G45/(1+$B10)^('DCF Model'!C19+4)+'DCF Model'!G45*(1+C$6)/($B10-C$6)/(1+$B10)^('DCF Model'!C19+4)-'DCF Model'!C16)*1000000/'DCF Model'!C15,0),"")</f>
        <v>2161</v>
      </c>
      <c r="D10" s="37">
        <f>IFERROR(ROUND(('DCF Model'!C45/(1+$B10)^('DCF Model'!C19+0)+'DCF Model'!D45/(1+$B10)^('DCF Model'!C19+1)+'DCF Model'!E45/(1+$B10)^('DCF Model'!C19+2)+'DCF Model'!F45/(1+$B10)^('DCF Model'!C19+3)+'DCF Model'!G45/(1+$B10)^('DCF Model'!C19+4)+'DCF Model'!G45*(1+D$6)/($B10-D$6)/(1+$B10)^('DCF Model'!C19+4)-'DCF Model'!C16)*1000000/'DCF Model'!C15,0),"")</f>
        <v>2191</v>
      </c>
      <c r="E10" s="37">
        <f>IFERROR(ROUND(('DCF Model'!C45/(1+$B10)^('DCF Model'!C19+0)+'DCF Model'!D45/(1+$B10)^('DCF Model'!C19+1)+'DCF Model'!E45/(1+$B10)^('DCF Model'!C19+2)+'DCF Model'!F45/(1+$B10)^('DCF Model'!C19+3)+'DCF Model'!G45/(1+$B10)^('DCF Model'!C19+4)+'DCF Model'!G45*(1+E$6)/($B10-E$6)/(1+$B10)^('DCF Model'!C19+4)-'DCF Model'!C16)*1000000/'DCF Model'!C15,0),"")</f>
        <v>2223</v>
      </c>
      <c r="F10" s="37">
        <f>IFERROR(ROUND(('DCF Model'!C45/(1+$B10)^('DCF Model'!C19+0)+'DCF Model'!D45/(1+$B10)^('DCF Model'!C19+1)+'DCF Model'!E45/(1+$B10)^('DCF Model'!C19+2)+'DCF Model'!F45/(1+$B10)^('DCF Model'!C19+3)+'DCF Model'!G45/(1+$B10)^('DCF Model'!C19+4)+'DCF Model'!G45*(1+F$6)/($B10-F$6)/(1+$B10)^('DCF Model'!C19+4)-'DCF Model'!C16)*1000000/'DCF Model'!C15,0),"")</f>
        <v>2257</v>
      </c>
      <c r="G10" s="37">
        <f>IFERROR(ROUND(('DCF Model'!C45/(1+$B10)^('DCF Model'!C19+0)+'DCF Model'!D45/(1+$B10)^('DCF Model'!C19+1)+'DCF Model'!E45/(1+$B10)^('DCF Model'!C19+2)+'DCF Model'!F45/(1+$B10)^('DCF Model'!C19+3)+'DCF Model'!G45/(1+$B10)^('DCF Model'!C19+4)+'DCF Model'!G45*(1+G$6)/($B10-G$6)/(1+$B10)^('DCF Model'!C19+4)-'DCF Model'!C16)*1000000/'DCF Model'!C15,0),"")</f>
        <v>2292</v>
      </c>
      <c r="H10" s="37">
        <f>IFERROR(ROUND(('DCF Model'!C45/(1+$B10)^('DCF Model'!C19+0)+'DCF Model'!D45/(1+$B10)^('DCF Model'!C19+1)+'DCF Model'!E45/(1+$B10)^('DCF Model'!C19+2)+'DCF Model'!F45/(1+$B10)^('DCF Model'!C19+3)+'DCF Model'!G45/(1+$B10)^('DCF Model'!C19+4)+'DCF Model'!G45*(1+H$6)/($B10-H$6)/(1+$B10)^('DCF Model'!C19+4)-'DCF Model'!C16)*1000000/'DCF Model'!C15,0),"")</f>
        <v>2330</v>
      </c>
      <c r="I10" s="37">
        <f>IFERROR(ROUND(('DCF Model'!C45/(1+$B10)^('DCF Model'!C19+0)+'DCF Model'!D45/(1+$B10)^('DCF Model'!C19+1)+'DCF Model'!E45/(1+$B10)^('DCF Model'!C19+2)+'DCF Model'!F45/(1+$B10)^('DCF Model'!C19+3)+'DCF Model'!G45/(1+$B10)^('DCF Model'!C19+4)+'DCF Model'!G45*(1+I$6)/($B10-I$6)/(1+$B10)^('DCF Model'!C19+4)-'DCF Model'!C16)*1000000/'DCF Model'!C15,0),"")</f>
        <v>2370</v>
      </c>
    </row>
    <row r="11" spans="2:9" ht="13.5" x14ac:dyDescent="0.25">
      <c r="B11" s="39">
        <f>$C$3+0.005</f>
        <v>0.103551</v>
      </c>
      <c r="C11" s="37">
        <f>IFERROR(ROUND(('DCF Model'!C45/(1+$B11)^('DCF Model'!C19+0)+'DCF Model'!D45/(1+$B11)^('DCF Model'!C19+1)+'DCF Model'!E45/(1+$B11)^('DCF Model'!C19+2)+'DCF Model'!F45/(1+$B11)^('DCF Model'!C19+3)+'DCF Model'!G45/(1+$B11)^('DCF Model'!C19+4)+'DCF Model'!G45*(1+C$6)/($B11-C$6)/(1+$B11)^('DCF Model'!C19+4)-'DCF Model'!C16)*1000000/'DCF Model'!C15,0),"")</f>
        <v>2084</v>
      </c>
      <c r="D11" s="37">
        <f>IFERROR(ROUND(('DCF Model'!C45/(1+$B11)^('DCF Model'!C19+0)+'DCF Model'!D45/(1+$B11)^('DCF Model'!C19+1)+'DCF Model'!E45/(1+$B11)^('DCF Model'!C19+2)+'DCF Model'!F45/(1+$B11)^('DCF Model'!C19+3)+'DCF Model'!G45/(1+$B11)^('DCF Model'!C19+4)+'DCF Model'!G45*(1+D$6)/($B11-D$6)/(1+$B11)^('DCF Model'!C19+4)-'DCF Model'!C16)*1000000/'DCF Model'!C15,0),"")</f>
        <v>2111</v>
      </c>
      <c r="E11" s="37">
        <f>IFERROR(ROUND(('DCF Model'!C45/(1+$B11)^('DCF Model'!C19+0)+'DCF Model'!D45/(1+$B11)^('DCF Model'!C19+1)+'DCF Model'!E45/(1+$B11)^('DCF Model'!C19+2)+'DCF Model'!F45/(1+$B11)^('DCF Model'!C19+3)+'DCF Model'!G45/(1+$B11)^('DCF Model'!C19+4)+'DCF Model'!G45*(1+E$6)/($B11-E$6)/(1+$B11)^('DCF Model'!C19+4)-'DCF Model'!C16)*1000000/'DCF Model'!C15,0),"")</f>
        <v>2139</v>
      </c>
      <c r="F11" s="37">
        <f>IFERROR(ROUND(('DCF Model'!C45/(1+$B11)^('DCF Model'!C19+0)+'DCF Model'!D45/(1+$B11)^('DCF Model'!C19+1)+'DCF Model'!E45/(1+$B11)^('DCF Model'!C19+2)+'DCF Model'!F45/(1+$B11)^('DCF Model'!C19+3)+'DCF Model'!G45/(1+$B11)^('DCF Model'!C19+4)+'DCF Model'!G45*(1+F$6)/($B11-F$6)/(1+$B11)^('DCF Model'!C19+4)-'DCF Model'!C16)*1000000/'DCF Model'!C15,0),"")</f>
        <v>2169</v>
      </c>
      <c r="G11" s="37">
        <f>IFERROR(ROUND(('DCF Model'!C45/(1+$B11)^('DCF Model'!C19+0)+'DCF Model'!D45/(1+$B11)^('DCF Model'!C19+1)+'DCF Model'!E45/(1+$B11)^('DCF Model'!C19+2)+'DCF Model'!F45/(1+$B11)^('DCF Model'!C19+3)+'DCF Model'!G45/(1+$B11)^('DCF Model'!C19+4)+'DCF Model'!G45*(1+G$6)/($B11-G$6)/(1+$B11)^('DCF Model'!C19+4)-'DCF Model'!C16)*1000000/'DCF Model'!C15,0),"")</f>
        <v>2200</v>
      </c>
      <c r="H11" s="37">
        <f>IFERROR(ROUND(('DCF Model'!C45/(1+$B11)^('DCF Model'!C19+0)+'DCF Model'!D45/(1+$B11)^('DCF Model'!C19+1)+'DCF Model'!E45/(1+$B11)^('DCF Model'!C19+2)+'DCF Model'!F45/(1+$B11)^('DCF Model'!C19+3)+'DCF Model'!G45/(1+$B11)^('DCF Model'!C19+4)+'DCF Model'!G45*(1+H$6)/($B11-H$6)/(1+$B11)^('DCF Model'!C19+4)-'DCF Model'!C16)*1000000/'DCF Model'!C15,0),"")</f>
        <v>2234</v>
      </c>
      <c r="I11" s="37">
        <f>IFERROR(ROUND(('DCF Model'!C45/(1+$B11)^('DCF Model'!C19+0)+'DCF Model'!D45/(1+$B11)^('DCF Model'!C19+1)+'DCF Model'!E45/(1+$B11)^('DCF Model'!C19+2)+'DCF Model'!F45/(1+$B11)^('DCF Model'!C19+3)+'DCF Model'!G45/(1+$B11)^('DCF Model'!C19+4)+'DCF Model'!G45*(1+I$6)/($B11-I$6)/(1+$B11)^('DCF Model'!C19+4)-'DCF Model'!C16)*1000000/'DCF Model'!C15,0),"")</f>
        <v>2269</v>
      </c>
    </row>
    <row r="12" spans="2:9" ht="13.5" x14ac:dyDescent="0.25">
      <c r="B12" s="39">
        <f>$C$3+0.01</f>
        <v>0.10855099999999999</v>
      </c>
      <c r="C12" s="37">
        <f>IFERROR(ROUND(('DCF Model'!C45/(1+$B12)^('DCF Model'!C19+0)+'DCF Model'!D45/(1+$B12)^('DCF Model'!C19+1)+'DCF Model'!E45/(1+$B12)^('DCF Model'!C19+2)+'DCF Model'!F45/(1+$B12)^('DCF Model'!C19+3)+'DCF Model'!G45/(1+$B12)^('DCF Model'!C19+4)+'DCF Model'!G45*(1+C$6)/($B12-C$6)/(1+$B12)^('DCF Model'!C19+4)-'DCF Model'!C16)*1000000/'DCF Model'!C15,0),"")</f>
        <v>2015</v>
      </c>
      <c r="D12" s="37">
        <f>IFERROR(ROUND(('DCF Model'!C45/(1+$B12)^('DCF Model'!C19+0)+'DCF Model'!D45/(1+$B12)^('DCF Model'!C19+1)+'DCF Model'!E45/(1+$B12)^('DCF Model'!C19+2)+'DCF Model'!F45/(1+$B12)^('DCF Model'!C19+3)+'DCF Model'!G45/(1+$B12)^('DCF Model'!C19+4)+'DCF Model'!G45*(1+D$6)/($B12-D$6)/(1+$B12)^('DCF Model'!C19+4)-'DCF Model'!C16)*1000000/'DCF Model'!C15,0),"")</f>
        <v>2039</v>
      </c>
      <c r="E12" s="37">
        <f>IFERROR(ROUND(('DCF Model'!C45/(1+$B12)^('DCF Model'!C19+0)+'DCF Model'!D45/(1+$B12)^('DCF Model'!C19+1)+'DCF Model'!E45/(1+$B12)^('DCF Model'!C19+2)+'DCF Model'!F45/(1+$B12)^('DCF Model'!C19+3)+'DCF Model'!G45/(1+$B12)^('DCF Model'!C19+4)+'DCF Model'!G45*(1+E$6)/($B12-E$6)/(1+$B12)^('DCF Model'!C19+4)-'DCF Model'!C16)*1000000/'DCF Model'!C15,0),"")</f>
        <v>2064</v>
      </c>
      <c r="F12" s="37">
        <f>IFERROR(ROUND(('DCF Model'!C45/(1+$B12)^('DCF Model'!C19+0)+'DCF Model'!D45/(1+$B12)^('DCF Model'!C19+1)+'DCF Model'!E45/(1+$B12)^('DCF Model'!C19+2)+'DCF Model'!F45/(1+$B12)^('DCF Model'!C19+3)+'DCF Model'!G45/(1+$B12)^('DCF Model'!C19+4)+'DCF Model'!G45*(1+F$6)/($B12-F$6)/(1+$B12)^('DCF Model'!C19+4)-'DCF Model'!C16)*1000000/'DCF Model'!C15,0),"")</f>
        <v>2090</v>
      </c>
      <c r="G12" s="37">
        <f>IFERROR(ROUND(('DCF Model'!C45/(1+$B12)^('DCF Model'!C19+0)+'DCF Model'!D45/(1+$B12)^('DCF Model'!C19+1)+'DCF Model'!E45/(1+$B12)^('DCF Model'!C19+2)+'DCF Model'!F45/(1+$B12)^('DCF Model'!C19+3)+'DCF Model'!G45/(1+$B12)^('DCF Model'!C19+4)+'DCF Model'!G45*(1+G$6)/($B12-G$6)/(1+$B12)^('DCF Model'!C19+4)-'DCF Model'!C16)*1000000/'DCF Model'!C15,0),"")</f>
        <v>2118</v>
      </c>
      <c r="H12" s="37">
        <f>IFERROR(ROUND(('DCF Model'!C45/(1+$B12)^('DCF Model'!C19+0)+'DCF Model'!D45/(1+$B12)^('DCF Model'!C19+1)+'DCF Model'!E45/(1+$B12)^('DCF Model'!C19+2)+'DCF Model'!F45/(1+$B12)^('DCF Model'!C19+3)+'DCF Model'!G45/(1+$B12)^('DCF Model'!C19+4)+'DCF Model'!G45*(1+H$6)/($B12-H$6)/(1+$B12)^('DCF Model'!C19+4)-'DCF Model'!C16)*1000000/'DCF Model'!C15,0),"")</f>
        <v>2147</v>
      </c>
      <c r="I12" s="37">
        <f>IFERROR(ROUND(('DCF Model'!C45/(1+$B12)^('DCF Model'!C19+0)+'DCF Model'!D45/(1+$B12)^('DCF Model'!C19+1)+'DCF Model'!E45/(1+$B12)^('DCF Model'!C19+2)+'DCF Model'!F45/(1+$B12)^('DCF Model'!C19+3)+'DCF Model'!G45/(1+$B12)^('DCF Model'!C19+4)+'DCF Model'!G45*(1+I$6)/($B12-I$6)/(1+$B12)^('DCF Model'!C19+4)-'DCF Model'!C16)*1000000/'DCF Model'!C15,0),"")</f>
        <v>2178</v>
      </c>
    </row>
    <row r="13" spans="2:9" ht="13.5" x14ac:dyDescent="0.25">
      <c r="B13" s="39">
        <f>$C$3+0.015</f>
        <v>0.113551</v>
      </c>
      <c r="C13" s="37">
        <f>IFERROR(ROUND(('DCF Model'!C45/(1+$B13)^('DCF Model'!C19+0)+'DCF Model'!D45/(1+$B13)^('DCF Model'!C19+1)+'DCF Model'!E45/(1+$B13)^('DCF Model'!C19+2)+'DCF Model'!F45/(1+$B13)^('DCF Model'!C19+3)+'DCF Model'!G45/(1+$B13)^('DCF Model'!C19+4)+'DCF Model'!G45*(1+C$6)/($B13-C$6)/(1+$B13)^('DCF Model'!C19+4)-'DCF Model'!C16)*1000000/'DCF Model'!C15,0),"")</f>
        <v>1952</v>
      </c>
      <c r="D13" s="37">
        <f>IFERROR(ROUND(('DCF Model'!C45/(1+$B13)^('DCF Model'!C19+0)+'DCF Model'!D45/(1+$B13)^('DCF Model'!C19+1)+'DCF Model'!E45/(1+$B13)^('DCF Model'!C19+2)+'DCF Model'!F45/(1+$B13)^('DCF Model'!C19+3)+'DCF Model'!G45/(1+$B13)^('DCF Model'!C19+4)+'DCF Model'!G45*(1+D$6)/($B13-D$6)/(1+$B13)^('DCF Model'!C19+4)-'DCF Model'!C16)*1000000/'DCF Model'!C15,0),"")</f>
        <v>1973</v>
      </c>
      <c r="E13" s="37">
        <f>IFERROR(ROUND(('DCF Model'!C45/(1+$B13)^('DCF Model'!C19+0)+'DCF Model'!D45/(1+$B13)^('DCF Model'!C19+1)+'DCF Model'!E45/(1+$B13)^('DCF Model'!C19+2)+'DCF Model'!F45/(1+$B13)^('DCF Model'!C19+3)+'DCF Model'!G45/(1+$B13)^('DCF Model'!C19+4)+'DCF Model'!G45*(1+E$6)/($B13-E$6)/(1+$B13)^('DCF Model'!C19+4)-'DCF Model'!C16)*1000000/'DCF Model'!C15,0),"")</f>
        <v>1996</v>
      </c>
      <c r="F13" s="37">
        <f>IFERROR(ROUND(('DCF Model'!C45/(1+$B13)^('DCF Model'!C19+0)+'DCF Model'!D45/(1+$B13)^('DCF Model'!C19+1)+'DCF Model'!E45/(1+$B13)^('DCF Model'!C19+2)+'DCF Model'!F45/(1+$B13)^('DCF Model'!C19+3)+'DCF Model'!G45/(1+$B13)^('DCF Model'!C19+4)+'DCF Model'!G45*(1+F$6)/($B13-F$6)/(1+$B13)^('DCF Model'!C19+4)-'DCF Model'!C16)*1000000/'DCF Model'!C15,0),"")</f>
        <v>2019</v>
      </c>
      <c r="G13" s="37">
        <f>IFERROR(ROUND(('DCF Model'!C45/(1+$B13)^('DCF Model'!C19+0)+'DCF Model'!D45/(1+$B13)^('DCF Model'!C19+1)+'DCF Model'!E45/(1+$B13)^('DCF Model'!C19+2)+'DCF Model'!F45/(1+$B13)^('DCF Model'!C19+3)+'DCF Model'!G45/(1+$B13)^('DCF Model'!C19+4)+'DCF Model'!G45*(1+G$6)/($B13-G$6)/(1+$B13)^('DCF Model'!C19+4)-'DCF Model'!C16)*1000000/'DCF Model'!C15,0),"")</f>
        <v>2044</v>
      </c>
      <c r="H13" s="37">
        <f>IFERROR(ROUND(('DCF Model'!C45/(1+$B13)^('DCF Model'!C19+0)+'DCF Model'!D45/(1+$B13)^('DCF Model'!C19+1)+'DCF Model'!E45/(1+$B13)^('DCF Model'!C19+2)+'DCF Model'!F45/(1+$B13)^('DCF Model'!C19+3)+'DCF Model'!G45/(1+$B13)^('DCF Model'!C19+4)+'DCF Model'!G45*(1+H$6)/($B13-H$6)/(1+$B13)^('DCF Model'!C19+4)-'DCF Model'!C16)*1000000/'DCF Model'!C15,0),"")</f>
        <v>2070</v>
      </c>
      <c r="I13" s="37">
        <f>IFERROR(ROUND(('DCF Model'!C45/(1+$B13)^('DCF Model'!C19+0)+'DCF Model'!D45/(1+$B13)^('DCF Model'!C19+1)+'DCF Model'!E45/(1+$B13)^('DCF Model'!C19+2)+'DCF Model'!F45/(1+$B13)^('DCF Model'!C19+3)+'DCF Model'!G45/(1+$B13)^('DCF Model'!C19+4)+'DCF Model'!G45*(1+I$6)/($B13-I$6)/(1+$B13)^('DCF Model'!C19+4)-'DCF Model'!C16)*1000000/'DCF Model'!C15,0),"")</f>
        <v>2097</v>
      </c>
    </row>
    <row r="16" spans="2:9" ht="14" x14ac:dyDescent="0.3">
      <c r="B16" s="3" t="s">
        <v>240</v>
      </c>
    </row>
    <row r="17" spans="2:9" ht="14" x14ac:dyDescent="0.3">
      <c r="B17" s="40" t="s">
        <v>241</v>
      </c>
      <c r="C17" s="42">
        <f>$I$3-3</f>
        <v>12.5</v>
      </c>
      <c r="D17" s="42">
        <f>$I$3-2</f>
        <v>13.5</v>
      </c>
      <c r="E17" s="42">
        <f>$I$3-1</f>
        <v>14.5</v>
      </c>
      <c r="F17" s="42">
        <f>$I$3</f>
        <v>15.5</v>
      </c>
      <c r="G17" s="42">
        <f>$I$3+1</f>
        <v>16.5</v>
      </c>
      <c r="H17" s="42">
        <f>$I$3+2</f>
        <v>17.5</v>
      </c>
      <c r="I17" s="42">
        <f>$I$3+3</f>
        <v>18.5</v>
      </c>
    </row>
    <row r="18" spans="2:9" ht="13.5" x14ac:dyDescent="0.25">
      <c r="B18" s="39">
        <f>$C$3-0.015</f>
        <v>8.3551E-2</v>
      </c>
      <c r="C18" s="37">
        <f>IFERROR(ROUND(('DCF Model'!C45/(1+$B18)^('DCF Model'!C19+0)+'DCF Model'!D45/(1+$B18)^('DCF Model'!C19+1)+'DCF Model'!E45/(1+$B18)^('DCF Model'!C19+2)+'DCF Model'!F45/(1+$B18)^('DCF Model'!C19+3)+'DCF Model'!G45/(1+$B18)^('DCF Model'!C19+4)+('DCF Model'!G39+'DCF Model'!G42)*C$17/(1+$B18)^('DCF Model'!C19+4)-'DCF Model'!C16)*1000000/'DCF Model'!C15,0),"")</f>
        <v>3076</v>
      </c>
      <c r="D18" s="37">
        <f>IFERROR(ROUND(('DCF Model'!C45/(1+$B18)^('DCF Model'!C19+0)+'DCF Model'!D45/(1+$B18)^('DCF Model'!C19+1)+'DCF Model'!E45/(1+$B18)^('DCF Model'!C19+2)+'DCF Model'!F45/(1+$B18)^('DCF Model'!C19+3)+'DCF Model'!G45/(1+$B18)^('DCF Model'!C19+4)+('DCF Model'!G39+'DCF Model'!G42)*D$17/(1+$B18)^('DCF Model'!C19+4)-'DCF Model'!C16)*1000000/'DCF Model'!C15,0),"")</f>
        <v>3230</v>
      </c>
      <c r="E18" s="37">
        <f>IFERROR(ROUND(('DCF Model'!C45/(1+$B18)^('DCF Model'!C19+0)+'DCF Model'!D45/(1+$B18)^('DCF Model'!C19+1)+'DCF Model'!E45/(1+$B18)^('DCF Model'!C19+2)+'DCF Model'!F45/(1+$B18)^('DCF Model'!C19+3)+'DCF Model'!G45/(1+$B18)^('DCF Model'!C19+4)+('DCF Model'!G39+'DCF Model'!G42)*E$17/(1+$B18)^('DCF Model'!C19+4)-'DCF Model'!C16)*1000000/'DCF Model'!C15,0),"")</f>
        <v>3384</v>
      </c>
      <c r="F18" s="37">
        <f>IFERROR(ROUND(('DCF Model'!C45/(1+$B18)^('DCF Model'!C19+0)+'DCF Model'!D45/(1+$B18)^('DCF Model'!C19+1)+'DCF Model'!E45/(1+$B18)^('DCF Model'!C19+2)+'DCF Model'!F45/(1+$B18)^('DCF Model'!C19+3)+'DCF Model'!G45/(1+$B18)^('DCF Model'!C19+4)+('DCF Model'!G39+'DCF Model'!G42)*F$17/(1+$B18)^('DCF Model'!C19+4)-'DCF Model'!C16)*1000000/'DCF Model'!C15,0),"")</f>
        <v>3538</v>
      </c>
      <c r="G18" s="37">
        <f>IFERROR(ROUND(('DCF Model'!C45/(1+$B18)^('DCF Model'!C19+0)+'DCF Model'!D45/(1+$B18)^('DCF Model'!C19+1)+'DCF Model'!E45/(1+$B18)^('DCF Model'!C19+2)+'DCF Model'!F45/(1+$B18)^('DCF Model'!C19+3)+'DCF Model'!G45/(1+$B18)^('DCF Model'!C19+4)+('DCF Model'!G39+'DCF Model'!G42)*G$17/(1+$B18)^('DCF Model'!C19+4)-'DCF Model'!C16)*1000000/'DCF Model'!C15,0),"")</f>
        <v>3692</v>
      </c>
      <c r="H18" s="37">
        <f>IFERROR(ROUND(('DCF Model'!C45/(1+$B18)^('DCF Model'!C19+0)+'DCF Model'!D45/(1+$B18)^('DCF Model'!C19+1)+'DCF Model'!E45/(1+$B18)^('DCF Model'!C19+2)+'DCF Model'!F45/(1+$B18)^('DCF Model'!C19+3)+'DCF Model'!G45/(1+$B18)^('DCF Model'!C19+4)+('DCF Model'!G39+'DCF Model'!G42)*H$17/(1+$B18)^('DCF Model'!C19+4)-'DCF Model'!C16)*1000000/'DCF Model'!C15,0),"")</f>
        <v>3846</v>
      </c>
      <c r="I18" s="37">
        <f>IFERROR(ROUND(('DCF Model'!C45/(1+$B18)^('DCF Model'!C19+0)+'DCF Model'!D45/(1+$B18)^('DCF Model'!C19+1)+'DCF Model'!E45/(1+$B18)^('DCF Model'!C19+2)+'DCF Model'!F45/(1+$B18)^('DCF Model'!C19+3)+'DCF Model'!G45/(1+$B18)^('DCF Model'!C19+4)+('DCF Model'!G39+'DCF Model'!G42)*I$17/(1+$B18)^('DCF Model'!C19+4)-'DCF Model'!C16)*1000000/'DCF Model'!C15,0),"")</f>
        <v>4000</v>
      </c>
    </row>
    <row r="19" spans="2:9" ht="13.5" x14ac:dyDescent="0.25">
      <c r="B19" s="39">
        <f>$C$3-0.01</f>
        <v>8.8551000000000005E-2</v>
      </c>
      <c r="C19" s="37">
        <f>IFERROR(ROUND(('DCF Model'!C45/(1+$B19)^('DCF Model'!C19+0)+'DCF Model'!D45/(1+$B19)^('DCF Model'!C19+1)+'DCF Model'!E45/(1+$B19)^('DCF Model'!C19+2)+'DCF Model'!F45/(1+$B19)^('DCF Model'!C19+3)+'DCF Model'!G45/(1+$B19)^('DCF Model'!C19+4)+('DCF Model'!G39+'DCF Model'!G42)*C$17/(1+$B19)^('DCF Model'!C19+4)-'DCF Model'!C16)*1000000/'DCF Model'!C15,0),"")</f>
        <v>3030</v>
      </c>
      <c r="D19" s="37">
        <f>IFERROR(ROUND(('DCF Model'!C45/(1+$B19)^('DCF Model'!C19+0)+'DCF Model'!D45/(1+$B19)^('DCF Model'!C19+1)+'DCF Model'!E45/(1+$B19)^('DCF Model'!C19+2)+'DCF Model'!F45/(1+$B19)^('DCF Model'!C19+3)+'DCF Model'!G45/(1+$B19)^('DCF Model'!C19+4)+('DCF Model'!G39+'DCF Model'!G42)*D$17/(1+$B19)^('DCF Model'!C19+4)-'DCF Model'!C16)*1000000/'DCF Model'!C15,0),"")</f>
        <v>3181</v>
      </c>
      <c r="E19" s="37">
        <f>IFERROR(ROUND(('DCF Model'!C45/(1+$B19)^('DCF Model'!C19+0)+'DCF Model'!D45/(1+$B19)^('DCF Model'!C19+1)+'DCF Model'!E45/(1+$B19)^('DCF Model'!C19+2)+'DCF Model'!F45/(1+$B19)^('DCF Model'!C19+3)+'DCF Model'!G45/(1+$B19)^('DCF Model'!C19+4)+('DCF Model'!G39+'DCF Model'!G42)*E$17/(1+$B19)^('DCF Model'!C19+4)-'DCF Model'!C16)*1000000/'DCF Model'!C15,0),"")</f>
        <v>3332</v>
      </c>
      <c r="F19" s="37">
        <f>IFERROR(ROUND(('DCF Model'!C45/(1+$B19)^('DCF Model'!C19+0)+'DCF Model'!D45/(1+$B19)^('DCF Model'!C19+1)+'DCF Model'!E45/(1+$B19)^('DCF Model'!C19+2)+'DCF Model'!F45/(1+$B19)^('DCF Model'!C19+3)+'DCF Model'!G45/(1+$B19)^('DCF Model'!C19+4)+('DCF Model'!G39+'DCF Model'!G42)*F$17/(1+$B19)^('DCF Model'!C19+4)-'DCF Model'!C16)*1000000/'DCF Model'!C15,0),"")</f>
        <v>3483</v>
      </c>
      <c r="G19" s="37">
        <f>IFERROR(ROUND(('DCF Model'!C45/(1+$B19)^('DCF Model'!C19+0)+'DCF Model'!D45/(1+$B19)^('DCF Model'!C19+1)+'DCF Model'!E45/(1+$B19)^('DCF Model'!C19+2)+'DCF Model'!F45/(1+$B19)^('DCF Model'!C19+3)+'DCF Model'!G45/(1+$B19)^('DCF Model'!C19+4)+('DCF Model'!G39+'DCF Model'!G42)*G$17/(1+$B19)^('DCF Model'!C19+4)-'DCF Model'!C16)*1000000/'DCF Model'!C15,0),"")</f>
        <v>3633</v>
      </c>
      <c r="H19" s="37">
        <f>IFERROR(ROUND(('DCF Model'!C45/(1+$B19)^('DCF Model'!C19+0)+'DCF Model'!D45/(1+$B19)^('DCF Model'!C19+1)+'DCF Model'!E45/(1+$B19)^('DCF Model'!C19+2)+'DCF Model'!F45/(1+$B19)^('DCF Model'!C19+3)+'DCF Model'!G45/(1+$B19)^('DCF Model'!C19+4)+('DCF Model'!G39+'DCF Model'!G42)*H$17/(1+$B19)^('DCF Model'!C19+4)-'DCF Model'!C16)*1000000/'DCF Model'!C15,0),"")</f>
        <v>3784</v>
      </c>
      <c r="I19" s="37">
        <f>IFERROR(ROUND(('DCF Model'!C45/(1+$B19)^('DCF Model'!C19+0)+'DCF Model'!D45/(1+$B19)^('DCF Model'!C19+1)+'DCF Model'!E45/(1+$B19)^('DCF Model'!C19+2)+'DCF Model'!F45/(1+$B19)^('DCF Model'!C19+3)+'DCF Model'!G45/(1+$B19)^('DCF Model'!C19+4)+('DCF Model'!G39+'DCF Model'!G42)*I$17/(1+$B19)^('DCF Model'!C19+4)-'DCF Model'!C16)*1000000/'DCF Model'!C15,0),"")</f>
        <v>3935</v>
      </c>
    </row>
    <row r="20" spans="2:9" ht="13.5" x14ac:dyDescent="0.25">
      <c r="B20" s="39">
        <f>$C$3-0.005</f>
        <v>9.3550999999999995E-2</v>
      </c>
      <c r="C20" s="37">
        <f>IFERROR(ROUND(('DCF Model'!C45/(1+$B20)^('DCF Model'!C19+0)+'DCF Model'!D45/(1+$B20)^('DCF Model'!C19+1)+'DCF Model'!E45/(1+$B20)^('DCF Model'!C19+2)+'DCF Model'!F45/(1+$B20)^('DCF Model'!C19+3)+'DCF Model'!G45/(1+$B20)^('DCF Model'!C19+4)+('DCF Model'!G39+'DCF Model'!G42)*C$17/(1+$B20)^('DCF Model'!C19+4)-'DCF Model'!C16)*1000000/'DCF Model'!C15,0),"")</f>
        <v>2985</v>
      </c>
      <c r="D20" s="37">
        <f>IFERROR(ROUND(('DCF Model'!C45/(1+$B20)^('DCF Model'!C19+0)+'DCF Model'!D45/(1+$B20)^('DCF Model'!C19+1)+'DCF Model'!E45/(1+$B20)^('DCF Model'!C19+2)+'DCF Model'!F45/(1+$B20)^('DCF Model'!C19+3)+'DCF Model'!G45/(1+$B20)^('DCF Model'!C19+4)+('DCF Model'!G39+'DCF Model'!G42)*D$17/(1+$B20)^('DCF Model'!C19+4)-'DCF Model'!C16)*1000000/'DCF Model'!C15,0),"")</f>
        <v>3133</v>
      </c>
      <c r="E20" s="37">
        <f>IFERROR(ROUND(('DCF Model'!C45/(1+$B20)^('DCF Model'!C19+0)+'DCF Model'!D45/(1+$B20)^('DCF Model'!C19+1)+'DCF Model'!E45/(1+$B20)^('DCF Model'!C19+2)+'DCF Model'!F45/(1+$B20)^('DCF Model'!C19+3)+'DCF Model'!G45/(1+$B20)^('DCF Model'!C19+4)+('DCF Model'!G39+'DCF Model'!G42)*E$17/(1+$B20)^('DCF Model'!C19+4)-'DCF Model'!C16)*1000000/'DCF Model'!C15,0),"")</f>
        <v>3281</v>
      </c>
      <c r="F20" s="37">
        <f>IFERROR(ROUND(('DCF Model'!C45/(1+$B20)^('DCF Model'!C19+0)+'DCF Model'!D45/(1+$B20)^('DCF Model'!C19+1)+'DCF Model'!E45/(1+$B20)^('DCF Model'!C19+2)+'DCF Model'!F45/(1+$B20)^('DCF Model'!C19+3)+'DCF Model'!G45/(1+$B20)^('DCF Model'!C19+4)+('DCF Model'!G39+'DCF Model'!G42)*F$17/(1+$B20)^('DCF Model'!C19+4)-'DCF Model'!C16)*1000000/'DCF Model'!C15,0),"")</f>
        <v>3429</v>
      </c>
      <c r="G20" s="37">
        <f>IFERROR(ROUND(('DCF Model'!C45/(1+$B20)^('DCF Model'!C19+0)+'DCF Model'!D45/(1+$B20)^('DCF Model'!C19+1)+'DCF Model'!E45/(1+$B20)^('DCF Model'!C19+2)+'DCF Model'!F45/(1+$B20)^('DCF Model'!C19+3)+'DCF Model'!G45/(1+$B20)^('DCF Model'!C19+4)+('DCF Model'!G39+'DCF Model'!G42)*G$17/(1+$B20)^('DCF Model'!C19+4)-'DCF Model'!C16)*1000000/'DCF Model'!C15,0),"")</f>
        <v>3576</v>
      </c>
      <c r="H20" s="37">
        <f>IFERROR(ROUND(('DCF Model'!C45/(1+$B20)^('DCF Model'!C19+0)+'DCF Model'!D45/(1+$B20)^('DCF Model'!C19+1)+'DCF Model'!E45/(1+$B20)^('DCF Model'!C19+2)+'DCF Model'!F45/(1+$B20)^('DCF Model'!C19+3)+'DCF Model'!G45/(1+$B20)^('DCF Model'!C19+4)+('DCF Model'!G39+'DCF Model'!G42)*H$17/(1+$B20)^('DCF Model'!C19+4)-'DCF Model'!C16)*1000000/'DCF Model'!C15,0),"")</f>
        <v>3724</v>
      </c>
      <c r="I20" s="37">
        <f>IFERROR(ROUND(('DCF Model'!C45/(1+$B20)^('DCF Model'!C19+0)+'DCF Model'!D45/(1+$B20)^('DCF Model'!C19+1)+'DCF Model'!E45/(1+$B20)^('DCF Model'!C19+2)+'DCF Model'!F45/(1+$B20)^('DCF Model'!C19+3)+'DCF Model'!G45/(1+$B20)^('DCF Model'!C19+4)+('DCF Model'!G39+'DCF Model'!G42)*I$17/(1+$B20)^('DCF Model'!C19+4)-'DCF Model'!C16)*1000000/'DCF Model'!C15,0),"")</f>
        <v>3872</v>
      </c>
    </row>
    <row r="21" spans="2:9" ht="13.5" x14ac:dyDescent="0.25">
      <c r="B21" s="39">
        <f>$C$3</f>
        <v>9.8551E-2</v>
      </c>
      <c r="C21" s="37">
        <f>IFERROR(ROUND(('DCF Model'!C45/(1+$B21)^('DCF Model'!C19+0)+'DCF Model'!D45/(1+$B21)^('DCF Model'!C19+1)+'DCF Model'!E45/(1+$B21)^('DCF Model'!C19+2)+'DCF Model'!F45/(1+$B21)^('DCF Model'!C19+3)+'DCF Model'!G45/(1+$B21)^('DCF Model'!C19+4)+('DCF Model'!G39+'DCF Model'!G42)*C$17/(1+$B21)^('DCF Model'!C19+4)-'DCF Model'!C16)*1000000/'DCF Model'!C15,0),"")</f>
        <v>2941</v>
      </c>
      <c r="D21" s="37">
        <f>IFERROR(ROUND(('DCF Model'!C45/(1+$B21)^('DCF Model'!C19+0)+'DCF Model'!D45/(1+$B21)^('DCF Model'!C19+1)+'DCF Model'!E45/(1+$B21)^('DCF Model'!C19+2)+'DCF Model'!F45/(1+$B21)^('DCF Model'!C19+3)+'DCF Model'!G45/(1+$B21)^('DCF Model'!C19+4)+('DCF Model'!G39+'DCF Model'!G42)*D$17/(1+$B21)^('DCF Model'!C19+4)-'DCF Model'!C16)*1000000/'DCF Model'!C15,0),"")</f>
        <v>3086</v>
      </c>
      <c r="E21" s="37">
        <f>IFERROR(ROUND(('DCF Model'!C45/(1+$B21)^('DCF Model'!C19+0)+'DCF Model'!D45/(1+$B21)^('DCF Model'!C19+1)+'DCF Model'!E45/(1+$B21)^('DCF Model'!C19+2)+'DCF Model'!F45/(1+$B21)^('DCF Model'!C19+3)+'DCF Model'!G45/(1+$B21)^('DCF Model'!C19+4)+('DCF Model'!G39+'DCF Model'!G42)*E$17/(1+$B21)^('DCF Model'!C19+4)-'DCF Model'!C16)*1000000/'DCF Model'!C15,0),"")</f>
        <v>3231</v>
      </c>
      <c r="F21" s="37">
        <f>IFERROR(ROUND(('DCF Model'!C45/(1+$B21)^('DCF Model'!C19+0)+'DCF Model'!D45/(1+$B21)^('DCF Model'!C19+1)+'DCF Model'!E45/(1+$B21)^('DCF Model'!C19+2)+'DCF Model'!F45/(1+$B21)^('DCF Model'!C19+3)+'DCF Model'!G45/(1+$B21)^('DCF Model'!C19+4)+('DCF Model'!G39+'DCF Model'!G42)*F$17/(1+$B21)^('DCF Model'!C19+4)-'DCF Model'!C16)*1000000/'DCF Model'!C15,0),"")</f>
        <v>3376</v>
      </c>
      <c r="G21" s="37">
        <f>IFERROR(ROUND(('DCF Model'!C45/(1+$B21)^('DCF Model'!C19+0)+'DCF Model'!D45/(1+$B21)^('DCF Model'!C19+1)+'DCF Model'!E45/(1+$B21)^('DCF Model'!C19+2)+'DCF Model'!F45/(1+$B21)^('DCF Model'!C19+3)+'DCF Model'!G45/(1+$B21)^('DCF Model'!C19+4)+('DCF Model'!G39+'DCF Model'!G42)*G$17/(1+$B21)^('DCF Model'!C19+4)-'DCF Model'!C16)*1000000/'DCF Model'!C15,0),"")</f>
        <v>3521</v>
      </c>
      <c r="H21" s="37">
        <f>IFERROR(ROUND(('DCF Model'!C45/(1+$B21)^('DCF Model'!C19+0)+'DCF Model'!D45/(1+$B21)^('DCF Model'!C19+1)+'DCF Model'!E45/(1+$B21)^('DCF Model'!C19+2)+'DCF Model'!F45/(1+$B21)^('DCF Model'!C19+3)+'DCF Model'!G45/(1+$B21)^('DCF Model'!C19+4)+('DCF Model'!G39+'DCF Model'!G42)*H$17/(1+$B21)^('DCF Model'!C19+4)-'DCF Model'!C16)*1000000/'DCF Model'!C15,0),"")</f>
        <v>3666</v>
      </c>
      <c r="I21" s="37">
        <f>IFERROR(ROUND(('DCF Model'!C45/(1+$B21)^('DCF Model'!C19+0)+'DCF Model'!D45/(1+$B21)^('DCF Model'!C19+1)+'DCF Model'!E45/(1+$B21)^('DCF Model'!C19+2)+'DCF Model'!F45/(1+$B21)^('DCF Model'!C19+3)+'DCF Model'!G45/(1+$B21)^('DCF Model'!C19+4)+('DCF Model'!G39+'DCF Model'!G42)*I$17/(1+$B21)^('DCF Model'!C19+4)-'DCF Model'!C16)*1000000/'DCF Model'!C15,0),"")</f>
        <v>3810</v>
      </c>
    </row>
    <row r="22" spans="2:9" ht="13.5" x14ac:dyDescent="0.25">
      <c r="B22" s="39">
        <f>$C$3+0.005</f>
        <v>0.103551</v>
      </c>
      <c r="C22" s="37">
        <f>IFERROR(ROUND(('DCF Model'!C45/(1+$B22)^('DCF Model'!C19+0)+'DCF Model'!D45/(1+$B22)^('DCF Model'!C19+1)+'DCF Model'!E45/(1+$B22)^('DCF Model'!C19+2)+'DCF Model'!F45/(1+$B22)^('DCF Model'!C19+3)+'DCF Model'!G45/(1+$B22)^('DCF Model'!C19+4)+('DCF Model'!G39+'DCF Model'!G42)*C$17/(1+$B22)^('DCF Model'!C19+4)-'DCF Model'!C16)*1000000/'DCF Model'!C15,0),"")</f>
        <v>2899</v>
      </c>
      <c r="D22" s="37">
        <f>IFERROR(ROUND(('DCF Model'!C45/(1+$B22)^('DCF Model'!C19+0)+'DCF Model'!D45/(1+$B22)^('DCF Model'!C19+1)+'DCF Model'!E45/(1+$B22)^('DCF Model'!C19+2)+'DCF Model'!F45/(1+$B22)^('DCF Model'!C19+3)+'DCF Model'!G45/(1+$B22)^('DCF Model'!C19+4)+('DCF Model'!G39+'DCF Model'!G42)*D$17/(1+$B22)^('DCF Model'!C19+4)-'DCF Model'!C16)*1000000/'DCF Model'!C15,0),"")</f>
        <v>3041</v>
      </c>
      <c r="E22" s="37">
        <f>IFERROR(ROUND(('DCF Model'!C45/(1+$B22)^('DCF Model'!C19+0)+'DCF Model'!D45/(1+$B22)^('DCF Model'!C19+1)+'DCF Model'!E45/(1+$B22)^('DCF Model'!C19+2)+'DCF Model'!F45/(1+$B22)^('DCF Model'!C19+3)+'DCF Model'!G45/(1+$B22)^('DCF Model'!C19+4)+('DCF Model'!G39+'DCF Model'!G42)*E$17/(1+$B22)^('DCF Model'!C19+4)-'DCF Model'!C16)*1000000/'DCF Model'!C15,0),"")</f>
        <v>3183</v>
      </c>
      <c r="F22" s="37">
        <f>IFERROR(ROUND(('DCF Model'!C45/(1+$B22)^('DCF Model'!C19+0)+'DCF Model'!D45/(1+$B22)^('DCF Model'!C19+1)+'DCF Model'!E45/(1+$B22)^('DCF Model'!C19+2)+'DCF Model'!F45/(1+$B22)^('DCF Model'!C19+3)+'DCF Model'!G45/(1+$B22)^('DCF Model'!C19+4)+('DCF Model'!G39+'DCF Model'!G42)*F$17/(1+$B22)^('DCF Model'!C19+4)-'DCF Model'!C16)*1000000/'DCF Model'!C15,0),"")</f>
        <v>3325</v>
      </c>
      <c r="G22" s="37">
        <f>IFERROR(ROUND(('DCF Model'!C45/(1+$B22)^('DCF Model'!C19+0)+'DCF Model'!D45/(1+$B22)^('DCF Model'!C19+1)+'DCF Model'!E45/(1+$B22)^('DCF Model'!C19+2)+'DCF Model'!F45/(1+$B22)^('DCF Model'!C19+3)+'DCF Model'!G45/(1+$B22)^('DCF Model'!C19+4)+('DCF Model'!G39+'DCF Model'!G42)*G$17/(1+$B22)^('DCF Model'!C19+4)-'DCF Model'!C16)*1000000/'DCF Model'!C15,0),"")</f>
        <v>3466</v>
      </c>
      <c r="H22" s="37">
        <f>IFERROR(ROUND(('DCF Model'!C45/(1+$B22)^('DCF Model'!C19+0)+'DCF Model'!D45/(1+$B22)^('DCF Model'!C19+1)+'DCF Model'!E45/(1+$B22)^('DCF Model'!C19+2)+'DCF Model'!F45/(1+$B22)^('DCF Model'!C19+3)+'DCF Model'!G45/(1+$B22)^('DCF Model'!C19+4)+('DCF Model'!G39+'DCF Model'!G42)*H$17/(1+$B22)^('DCF Model'!C19+4)-'DCF Model'!C16)*1000000/'DCF Model'!C15,0),"")</f>
        <v>3608</v>
      </c>
      <c r="I22" s="37">
        <f>IFERROR(ROUND(('DCF Model'!C45/(1+$B22)^('DCF Model'!C19+0)+'DCF Model'!D45/(1+$B22)^('DCF Model'!C19+1)+'DCF Model'!E45/(1+$B22)^('DCF Model'!C19+2)+'DCF Model'!F45/(1+$B22)^('DCF Model'!C19+3)+'DCF Model'!G45/(1+$B22)^('DCF Model'!C19+4)+('DCF Model'!G39+'DCF Model'!G42)*I$17/(1+$B22)^('DCF Model'!C19+4)-'DCF Model'!C16)*1000000/'DCF Model'!C15,0),"")</f>
        <v>3750</v>
      </c>
    </row>
    <row r="23" spans="2:9" ht="13.5" x14ac:dyDescent="0.25">
      <c r="B23" s="39">
        <f>$C$3+0.01</f>
        <v>0.10855099999999999</v>
      </c>
      <c r="C23" s="37">
        <f>IFERROR(ROUND(('DCF Model'!C45/(1+$B23)^('DCF Model'!C19+0)+'DCF Model'!D45/(1+$B23)^('DCF Model'!C19+1)+'DCF Model'!E45/(1+$B23)^('DCF Model'!C19+2)+'DCF Model'!F45/(1+$B23)^('DCF Model'!C19+3)+'DCF Model'!G45/(1+$B23)^('DCF Model'!C19+4)+('DCF Model'!G39+'DCF Model'!G42)*C$17/(1+$B23)^('DCF Model'!C19+4)-'DCF Model'!C16)*1000000/'DCF Model'!C15,0),"")</f>
        <v>2857</v>
      </c>
      <c r="D23" s="37">
        <f>IFERROR(ROUND(('DCF Model'!C45/(1+$B23)^('DCF Model'!C19+0)+'DCF Model'!D45/(1+$B23)^('DCF Model'!C19+1)+'DCF Model'!E45/(1+$B23)^('DCF Model'!C19+2)+'DCF Model'!F45/(1+$B23)^('DCF Model'!C19+3)+'DCF Model'!G45/(1+$B23)^('DCF Model'!C19+4)+('DCF Model'!G39+'DCF Model'!G42)*D$17/(1+$B23)^('DCF Model'!C19+4)-'DCF Model'!C16)*1000000/'DCF Model'!C15,0),"")</f>
        <v>2996</v>
      </c>
      <c r="E23" s="37">
        <f>IFERROR(ROUND(('DCF Model'!C45/(1+$B23)^('DCF Model'!C19+0)+'DCF Model'!D45/(1+$B23)^('DCF Model'!C19+1)+'DCF Model'!E45/(1+$B23)^('DCF Model'!C19+2)+'DCF Model'!F45/(1+$B23)^('DCF Model'!C19+3)+'DCF Model'!G45/(1+$B23)^('DCF Model'!C19+4)+('DCF Model'!G39+'DCF Model'!G42)*E$17/(1+$B23)^('DCF Model'!C19+4)-'DCF Model'!C16)*1000000/'DCF Model'!C15,0),"")</f>
        <v>3135</v>
      </c>
      <c r="F23" s="37">
        <f>IFERROR(ROUND(('DCF Model'!C45/(1+$B23)^('DCF Model'!C19+0)+'DCF Model'!D45/(1+$B23)^('DCF Model'!C19+1)+'DCF Model'!E45/(1+$B23)^('DCF Model'!C19+2)+'DCF Model'!F45/(1+$B23)^('DCF Model'!C19+3)+'DCF Model'!G45/(1+$B23)^('DCF Model'!C19+4)+('DCF Model'!G39+'DCF Model'!G42)*F$17/(1+$B23)^('DCF Model'!C19+4)-'DCF Model'!C16)*1000000/'DCF Model'!C15,0),"")</f>
        <v>3274</v>
      </c>
      <c r="G23" s="37">
        <f>IFERROR(ROUND(('DCF Model'!C45/(1+$B23)^('DCF Model'!C19+0)+'DCF Model'!D45/(1+$B23)^('DCF Model'!C19+1)+'DCF Model'!E45/(1+$B23)^('DCF Model'!C19+2)+'DCF Model'!F45/(1+$B23)^('DCF Model'!C19+3)+'DCF Model'!G45/(1+$B23)^('DCF Model'!C19+4)+('DCF Model'!G39+'DCF Model'!G42)*G$17/(1+$B23)^('DCF Model'!C19+4)-'DCF Model'!C16)*1000000/'DCF Model'!C15,0),"")</f>
        <v>3413</v>
      </c>
      <c r="H23" s="37">
        <f>IFERROR(ROUND(('DCF Model'!C45/(1+$B23)^('DCF Model'!C19+0)+'DCF Model'!D45/(1+$B23)^('DCF Model'!C19+1)+'DCF Model'!E45/(1+$B23)^('DCF Model'!C19+2)+'DCF Model'!F45/(1+$B23)^('DCF Model'!C19+3)+'DCF Model'!G45/(1+$B23)^('DCF Model'!C19+4)+('DCF Model'!G39+'DCF Model'!G42)*H$17/(1+$B23)^('DCF Model'!C19+4)-'DCF Model'!C16)*1000000/'DCF Model'!C15,0),"")</f>
        <v>3553</v>
      </c>
      <c r="I23" s="37">
        <f>IFERROR(ROUND(('DCF Model'!C45/(1+$B23)^('DCF Model'!C19+0)+'DCF Model'!D45/(1+$B23)^('DCF Model'!C19+1)+'DCF Model'!E45/(1+$B23)^('DCF Model'!C19+2)+'DCF Model'!F45/(1+$B23)^('DCF Model'!C19+3)+'DCF Model'!G45/(1+$B23)^('DCF Model'!C19+4)+('DCF Model'!G39+'DCF Model'!G42)*I$17/(1+$B23)^('DCF Model'!C19+4)-'DCF Model'!C16)*1000000/'DCF Model'!C15,0),"")</f>
        <v>3692</v>
      </c>
    </row>
    <row r="24" spans="2:9" ht="13.5" x14ac:dyDescent="0.25">
      <c r="B24" s="39">
        <f>$C$3+0.015</f>
        <v>0.113551</v>
      </c>
      <c r="C24" s="37">
        <f>IFERROR(ROUND(('DCF Model'!C45/(1+$B24)^('DCF Model'!C19+0)+'DCF Model'!D45/(1+$B24)^('DCF Model'!C19+1)+'DCF Model'!E45/(1+$B24)^('DCF Model'!C19+2)+'DCF Model'!F45/(1+$B24)^('DCF Model'!C19+3)+'DCF Model'!G45/(1+$B24)^('DCF Model'!C19+4)+('DCF Model'!G39+'DCF Model'!G42)*C$17/(1+$B24)^('DCF Model'!C19+4)-'DCF Model'!C16)*1000000/'DCF Model'!C15,0),"")</f>
        <v>2817</v>
      </c>
      <c r="D24" s="37">
        <f>IFERROR(ROUND(('DCF Model'!C45/(1+$B24)^('DCF Model'!C19+0)+'DCF Model'!D45/(1+$B24)^('DCF Model'!C19+1)+'DCF Model'!E45/(1+$B24)^('DCF Model'!C19+2)+'DCF Model'!F45/(1+$B24)^('DCF Model'!C19+3)+'DCF Model'!G45/(1+$B24)^('DCF Model'!C19+4)+('DCF Model'!G39+'DCF Model'!G42)*D$17/(1+$B24)^('DCF Model'!C19+4)-'DCF Model'!C16)*1000000/'DCF Model'!C15,0),"")</f>
        <v>2953</v>
      </c>
      <c r="E24" s="37">
        <f>IFERROR(ROUND(('DCF Model'!C45/(1+$B24)^('DCF Model'!C19+0)+'DCF Model'!D45/(1+$B24)^('DCF Model'!C19+1)+'DCF Model'!E45/(1+$B24)^('DCF Model'!C19+2)+'DCF Model'!F45/(1+$B24)^('DCF Model'!C19+3)+'DCF Model'!G45/(1+$B24)^('DCF Model'!C19+4)+('DCF Model'!G39+'DCF Model'!G42)*E$17/(1+$B24)^('DCF Model'!C19+4)-'DCF Model'!C16)*1000000/'DCF Model'!C15,0),"")</f>
        <v>3089</v>
      </c>
      <c r="F24" s="37">
        <f>IFERROR(ROUND(('DCF Model'!C45/(1+$B24)^('DCF Model'!C19+0)+'DCF Model'!D45/(1+$B24)^('DCF Model'!C19+1)+'DCF Model'!E45/(1+$B24)^('DCF Model'!C19+2)+'DCF Model'!F45/(1+$B24)^('DCF Model'!C19+3)+'DCF Model'!G45/(1+$B24)^('DCF Model'!C19+4)+('DCF Model'!G39+'DCF Model'!G42)*F$17/(1+$B24)^('DCF Model'!C19+4)-'DCF Model'!C16)*1000000/'DCF Model'!C15,0),"")</f>
        <v>3225</v>
      </c>
      <c r="G24" s="37">
        <f>IFERROR(ROUND(('DCF Model'!C45/(1+$B24)^('DCF Model'!C19+0)+'DCF Model'!D45/(1+$B24)^('DCF Model'!C19+1)+'DCF Model'!E45/(1+$B24)^('DCF Model'!C19+2)+'DCF Model'!F45/(1+$B24)^('DCF Model'!C19+3)+'DCF Model'!G45/(1+$B24)^('DCF Model'!C19+4)+('DCF Model'!G39+'DCF Model'!G42)*G$17/(1+$B24)^('DCF Model'!C19+4)-'DCF Model'!C16)*1000000/'DCF Model'!C15,0),"")</f>
        <v>3362</v>
      </c>
      <c r="H24" s="37">
        <f>IFERROR(ROUND(('DCF Model'!C45/(1+$B24)^('DCF Model'!C19+0)+'DCF Model'!D45/(1+$B24)^('DCF Model'!C19+1)+'DCF Model'!E45/(1+$B24)^('DCF Model'!C19+2)+'DCF Model'!F45/(1+$B24)^('DCF Model'!C19+3)+'DCF Model'!G45/(1+$B24)^('DCF Model'!C19+4)+('DCF Model'!G39+'DCF Model'!G42)*H$17/(1+$B24)^('DCF Model'!C19+4)-'DCF Model'!C16)*1000000/'DCF Model'!C15,0),"")</f>
        <v>3498</v>
      </c>
      <c r="I24" s="37">
        <f>IFERROR(ROUND(('DCF Model'!C45/(1+$B24)^('DCF Model'!C19+0)+'DCF Model'!D45/(1+$B24)^('DCF Model'!C19+1)+'DCF Model'!E45/(1+$B24)^('DCF Model'!C19+2)+'DCF Model'!F45/(1+$B24)^('DCF Model'!C19+3)+'DCF Model'!G45/(1+$B24)^('DCF Model'!C19+4)+('DCF Model'!G39+'DCF Model'!G42)*I$17/(1+$B24)^('DCF Model'!C19+4)-'DCF Model'!C16)*1000000/'DCF Model'!C15,0),"")</f>
        <v>3634</v>
      </c>
    </row>
    <row r="26" spans="2:9" ht="14" x14ac:dyDescent="0.3">
      <c r="B26" s="45" t="s">
        <v>242</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243</v>
      </c>
    </row>
    <row r="4" spans="2:7" ht="14" x14ac:dyDescent="0.3">
      <c r="B4" s="10" t="s">
        <v>244</v>
      </c>
      <c r="C4" s="10" t="s">
        <v>245</v>
      </c>
      <c r="D4" s="10" t="s">
        <v>246</v>
      </c>
      <c r="E4" s="10" t="s">
        <v>247</v>
      </c>
      <c r="F4" s="10" t="s">
        <v>248</v>
      </c>
      <c r="G4" s="10" t="s">
        <v>249</v>
      </c>
    </row>
    <row r="5" spans="2:7" x14ac:dyDescent="0.2">
      <c r="B5" t="s">
        <v>250</v>
      </c>
      <c r="C5" t="s">
        <v>251</v>
      </c>
      <c r="D5" t="s">
        <v>252</v>
      </c>
      <c r="E5" t="s">
        <v>253</v>
      </c>
      <c r="F5" t="s">
        <v>251</v>
      </c>
      <c r="G5" t="s">
        <v>254</v>
      </c>
    </row>
    <row r="6" spans="2:7" ht="30" customHeight="1" x14ac:dyDescent="0.3">
      <c r="B6" t="s">
        <v>250</v>
      </c>
      <c r="C6" s="4" t="s">
        <v>255</v>
      </c>
      <c r="D6" t="s">
        <v>256</v>
      </c>
      <c r="E6" t="s">
        <v>257</v>
      </c>
      <c r="F6" t="s">
        <v>258</v>
      </c>
      <c r="G6" t="s">
        <v>259</v>
      </c>
    </row>
    <row r="7" spans="2:7" ht="30" customHeight="1" x14ac:dyDescent="0.3">
      <c r="B7" t="s">
        <v>250</v>
      </c>
      <c r="C7" s="4" t="s">
        <v>260</v>
      </c>
      <c r="D7" t="s">
        <v>261</v>
      </c>
      <c r="E7" t="s">
        <v>262</v>
      </c>
      <c r="F7" t="s">
        <v>263</v>
      </c>
      <c r="G7" t="s">
        <v>264</v>
      </c>
    </row>
    <row r="12" spans="2:7" ht="14" x14ac:dyDescent="0.3">
      <c r="B12" s="8" t="s">
        <v>265</v>
      </c>
    </row>
    <row r="13" spans="2:7" ht="14" x14ac:dyDescent="0.3">
      <c r="B13" s="10" t="s">
        <v>266</v>
      </c>
      <c r="C13" s="10" t="s">
        <v>267</v>
      </c>
    </row>
    <row r="14" spans="2:7" ht="14" x14ac:dyDescent="0.3">
      <c r="B14" s="4" t="s">
        <v>268</v>
      </c>
      <c r="C14" t="s">
        <v>269</v>
      </c>
    </row>
    <row r="15" spans="2:7" ht="14" x14ac:dyDescent="0.3">
      <c r="B15" s="4" t="s">
        <v>270</v>
      </c>
      <c r="C15" t="s">
        <v>271</v>
      </c>
    </row>
    <row r="16" spans="2:7" ht="14" x14ac:dyDescent="0.3">
      <c r="B16" s="4" t="s">
        <v>272</v>
      </c>
      <c r="C16" t="s">
        <v>273</v>
      </c>
    </row>
    <row r="17" spans="2:3" ht="14" x14ac:dyDescent="0.3">
      <c r="B17" s="4" t="s">
        <v>274</v>
      </c>
      <c r="C17" t="s">
        <v>271</v>
      </c>
    </row>
    <row r="18" spans="2:3" ht="14" x14ac:dyDescent="0.3">
      <c r="B18" s="4" t="s">
        <v>275</v>
      </c>
      <c r="C18" t="s">
        <v>276</v>
      </c>
    </row>
    <row r="19" spans="2:3" ht="14" x14ac:dyDescent="0.3">
      <c r="B19" s="4" t="s">
        <v>277</v>
      </c>
      <c r="C19" t="s">
        <v>278</v>
      </c>
    </row>
    <row r="20" spans="2:3" ht="14" x14ac:dyDescent="0.3">
      <c r="B20" s="4" t="s">
        <v>279</v>
      </c>
      <c r="C20" t="s">
        <v>280</v>
      </c>
    </row>
    <row r="21" spans="2:3" ht="14" x14ac:dyDescent="0.3">
      <c r="B21" s="4" t="s">
        <v>281</v>
      </c>
      <c r="C21" t="s">
        <v>282</v>
      </c>
    </row>
    <row r="22" spans="2:3" ht="14" x14ac:dyDescent="0.3">
      <c r="B22" s="4" t="s">
        <v>283</v>
      </c>
      <c r="C22" t="s">
        <v>47</v>
      </c>
    </row>
    <row r="23" spans="2:3" ht="14" x14ac:dyDescent="0.3">
      <c r="B23" s="4" t="s">
        <v>284</v>
      </c>
      <c r="C23" t="s">
        <v>4</v>
      </c>
    </row>
    <row r="24" spans="2:3" ht="14" x14ac:dyDescent="0.3">
      <c r="B24" s="4" t="s">
        <v>285</v>
      </c>
      <c r="C24" t="s">
        <v>250</v>
      </c>
    </row>
    <row r="25" spans="2:3" ht="14" x14ac:dyDescent="0.3">
      <c r="B25" s="4" t="s">
        <v>286</v>
      </c>
      <c r="C25" t="s">
        <v>287</v>
      </c>
    </row>
    <row r="26" spans="2:3" ht="14" x14ac:dyDescent="0.3">
      <c r="B26" s="4" t="s">
        <v>288</v>
      </c>
      <c r="C26" t="s">
        <v>276</v>
      </c>
    </row>
    <row r="27" spans="2:3" ht="14" x14ac:dyDescent="0.3">
      <c r="B27" s="4" t="s">
        <v>289</v>
      </c>
      <c r="C27" t="s">
        <v>276</v>
      </c>
    </row>
    <row r="28" spans="2:3" ht="14" x14ac:dyDescent="0.3">
      <c r="B28" s="4" t="s">
        <v>290</v>
      </c>
      <c r="C28" t="s">
        <v>291</v>
      </c>
    </row>
    <row r="29" spans="2:3" ht="14" x14ac:dyDescent="0.3">
      <c r="B29" s="4" t="s">
        <v>292</v>
      </c>
      <c r="C29" t="s">
        <v>293</v>
      </c>
    </row>
    <row r="30" spans="2:3" ht="14" x14ac:dyDescent="0.3">
      <c r="B30" s="4" t="s">
        <v>294</v>
      </c>
      <c r="C30" t="s">
        <v>295</v>
      </c>
    </row>
    <row r="31" spans="2:3" ht="14" x14ac:dyDescent="0.3">
      <c r="B31" s="4" t="s">
        <v>296</v>
      </c>
      <c r="C31" t="s">
        <v>291</v>
      </c>
    </row>
    <row r="32" spans="2:3" ht="14" x14ac:dyDescent="0.3">
      <c r="B32" s="4" t="s">
        <v>297</v>
      </c>
      <c r="C32" t="s">
        <v>276</v>
      </c>
    </row>
    <row r="33" spans="2:3" ht="14" x14ac:dyDescent="0.3">
      <c r="B33" s="4" t="s">
        <v>298</v>
      </c>
      <c r="C33" t="s">
        <v>287</v>
      </c>
    </row>
    <row r="34" spans="2:3" ht="14" x14ac:dyDescent="0.3">
      <c r="B34" s="4" t="s">
        <v>299</v>
      </c>
      <c r="C34" t="s">
        <v>300</v>
      </c>
    </row>
    <row r="35" spans="2:3" ht="14" x14ac:dyDescent="0.3">
      <c r="B35" s="4" t="s">
        <v>301</v>
      </c>
      <c r="C35" t="s">
        <v>302</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280</v>
      </c>
    </row>
    <row r="45" spans="2:3" ht="14" x14ac:dyDescent="0.3">
      <c r="B45" s="4" t="s">
        <v>320</v>
      </c>
      <c r="C45" t="s">
        <v>321</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331</v>
      </c>
    </row>
    <row r="51" spans="2:3" ht="14" x14ac:dyDescent="0.3">
      <c r="B51" s="4" t="s">
        <v>332</v>
      </c>
      <c r="C51" t="s">
        <v>333</v>
      </c>
    </row>
    <row r="52" spans="2:3" ht="14" x14ac:dyDescent="0.3">
      <c r="B52" s="4" t="s">
        <v>334</v>
      </c>
      <c r="C52" t="s">
        <v>335</v>
      </c>
    </row>
    <row r="53" spans="2:3" ht="14" x14ac:dyDescent="0.3">
      <c r="B53" s="4" t="s">
        <v>336</v>
      </c>
      <c r="C53" t="s">
        <v>337</v>
      </c>
    </row>
    <row r="54" spans="2:3" ht="14" x14ac:dyDescent="0.3">
      <c r="B54" s="4" t="s">
        <v>338</v>
      </c>
      <c r="C54" t="s">
        <v>339</v>
      </c>
    </row>
    <row r="55" spans="2:3" ht="14" x14ac:dyDescent="0.3">
      <c r="B55" s="4" t="s">
        <v>340</v>
      </c>
      <c r="C55" t="s">
        <v>341</v>
      </c>
    </row>
    <row r="56" spans="2:3" ht="14" x14ac:dyDescent="0.3">
      <c r="B56" s="4" t="s">
        <v>342</v>
      </c>
      <c r="C56" t="s">
        <v>343</v>
      </c>
    </row>
    <row r="57" spans="2:3" ht="14" x14ac:dyDescent="0.3">
      <c r="B57" s="4" t="s">
        <v>344</v>
      </c>
      <c r="C57" t="s">
        <v>345</v>
      </c>
    </row>
    <row r="58" spans="2:3" ht="14" x14ac:dyDescent="0.3">
      <c r="B58" s="4" t="s">
        <v>346</v>
      </c>
      <c r="C58" t="s">
        <v>287</v>
      </c>
    </row>
    <row r="59" spans="2:3" ht="14" x14ac:dyDescent="0.3">
      <c r="B59" s="4" t="s">
        <v>347</v>
      </c>
      <c r="C59" t="s">
        <v>348</v>
      </c>
    </row>
    <row r="60" spans="2:3" ht="14" x14ac:dyDescent="0.3">
      <c r="B60" s="4" t="s">
        <v>349</v>
      </c>
      <c r="C60" t="s">
        <v>350</v>
      </c>
    </row>
    <row r="61" spans="2:3" ht="14" x14ac:dyDescent="0.3">
      <c r="B61" s="4" t="s">
        <v>351</v>
      </c>
      <c r="C61" t="s">
        <v>352</v>
      </c>
    </row>
    <row r="62" spans="2:3" ht="14" x14ac:dyDescent="0.3">
      <c r="B62" s="4" t="s">
        <v>353</v>
      </c>
      <c r="C62" t="s">
        <v>354</v>
      </c>
    </row>
    <row r="63" spans="2:3" ht="14" x14ac:dyDescent="0.3">
      <c r="B63" s="4" t="s">
        <v>355</v>
      </c>
      <c r="C63" t="s">
        <v>356</v>
      </c>
    </row>
    <row r="64" spans="2:3" ht="14" x14ac:dyDescent="0.3">
      <c r="B64" s="4" t="s">
        <v>357</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2026-09-06T09:52:50Z</dcterms:created>
  <dcterms:modified xsi:type="dcterms:W3CDTF">2026-09-06T09:52:53Z</dcterms:modified>
</cp:coreProperties>
</file>