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yosuke0923\ryosuke-japanese-equity-research\models\"/>
    </mc:Choice>
  </mc:AlternateContent>
  <xr:revisionPtr revIDLastSave="0" documentId="13_ncr:1_{3ECC9CE4-F842-4110-A9B4-8B9CD12BD5DC}" xr6:coauthVersionLast="47" xr6:coauthVersionMax="47" xr10:uidLastSave="{00000000-0000-0000-0000-000000000000}"/>
  <bookViews>
    <workbookView xWindow="-110" yWindow="-110" windowWidth="19420" windowHeight="10300" xr2:uid="{00000000-000D-0000-FFFF-FFFF00000000}"/>
  </bookViews>
  <sheets>
    <sheet name="Executive Summary" sheetId="1" r:id="rId1"/>
    <sheet name="Financial Statements" sheetId="2" r:id="rId2"/>
    <sheet name="DCF Model" sheetId="3" r:id="rId3"/>
    <sheet name="Reverse DCF" sheetId="4" r:id="rId4"/>
    <sheet name="NWC Schedule" sheetId="5" r:id="rId5"/>
    <sheet name="Comps Analysis" sheetId="6" r:id="rId6"/>
    <sheet name="Sensitivity Analysis" sheetId="7" r:id="rId7"/>
    <sheet name="Adjustments Log" sheetId="8" r:id="rId8"/>
    <sheet name="Equity Method Value" sheetId="9" r:id="rId9"/>
  </sheets>
  <calcPr calcId="181029"/>
</workbook>
</file>

<file path=xl/calcChain.xml><?xml version="1.0" encoding="utf-8"?>
<calcChain xmlns="http://schemas.openxmlformats.org/spreadsheetml/2006/main">
  <c r="C11" i="9" l="1"/>
  <c r="C8" i="9"/>
  <c r="C12" i="9" s="1"/>
  <c r="C22" i="1" s="1"/>
  <c r="I3" i="7"/>
  <c r="D17" i="7" s="1"/>
  <c r="F3" i="7"/>
  <c r="C6" i="7" s="1"/>
  <c r="O9" i="6"/>
  <c r="N9" i="6"/>
  <c r="M9" i="6"/>
  <c r="L9" i="6"/>
  <c r="K9" i="6"/>
  <c r="J9" i="6"/>
  <c r="O8" i="6"/>
  <c r="N8" i="6"/>
  <c r="M8" i="6"/>
  <c r="L8" i="6"/>
  <c r="K8" i="6"/>
  <c r="J8" i="6"/>
  <c r="O7" i="6"/>
  <c r="I16" i="6" s="1"/>
  <c r="N7" i="6"/>
  <c r="M7" i="6"/>
  <c r="L7" i="6"/>
  <c r="K7" i="6"/>
  <c r="J7" i="6"/>
  <c r="O6" i="6"/>
  <c r="N6" i="6"/>
  <c r="H15" i="6" s="1"/>
  <c r="M6" i="6"/>
  <c r="G17" i="6" s="1"/>
  <c r="L6" i="6"/>
  <c r="K6" i="6"/>
  <c r="J6" i="6"/>
  <c r="O5" i="6"/>
  <c r="N5" i="6"/>
  <c r="D5" i="6"/>
  <c r="M5" i="6" s="1"/>
  <c r="C5" i="5"/>
  <c r="C13" i="4"/>
  <c r="C12" i="4"/>
  <c r="C9" i="4"/>
  <c r="C7" i="4"/>
  <c r="C6" i="4"/>
  <c r="C8" i="4" s="1"/>
  <c r="C10" i="4" s="1"/>
  <c r="D27" i="3"/>
  <c r="G5" i="5" s="1"/>
  <c r="C25" i="3"/>
  <c r="C24" i="3"/>
  <c r="C23" i="3"/>
  <c r="C26" i="3" s="1"/>
  <c r="D28" i="2"/>
  <c r="C28" i="2"/>
  <c r="D16" i="2"/>
  <c r="D15" i="2"/>
  <c r="D14" i="2"/>
  <c r="C14" i="2"/>
  <c r="D13" i="2"/>
  <c r="C13" i="2"/>
  <c r="D18" i="1"/>
  <c r="I15" i="6" l="1"/>
  <c r="D16" i="6"/>
  <c r="C27" i="6" s="1"/>
  <c r="E16" i="6"/>
  <c r="F17" i="6"/>
  <c r="G36" i="4"/>
  <c r="C11" i="4"/>
  <c r="C24" i="4" s="1"/>
  <c r="C25" i="4" s="1"/>
  <c r="G46" i="3"/>
  <c r="F36" i="4"/>
  <c r="F46" i="3"/>
  <c r="E46" i="3"/>
  <c r="C46" i="3"/>
  <c r="E36" i="4"/>
  <c r="C3" i="7"/>
  <c r="D36" i="4"/>
  <c r="D46" i="3"/>
  <c r="H36" i="4"/>
  <c r="C71" i="4"/>
  <c r="C70" i="4"/>
  <c r="C30" i="3"/>
  <c r="C33" i="3" s="1"/>
  <c r="C32" i="3"/>
  <c r="C31" i="3"/>
  <c r="F32" i="3"/>
  <c r="H5" i="5"/>
  <c r="D15" i="6"/>
  <c r="F16" i="6"/>
  <c r="C28" i="6" s="1"/>
  <c r="C19" i="1" s="1"/>
  <c r="D19" i="1" s="1"/>
  <c r="H17" i="6"/>
  <c r="D6" i="7"/>
  <c r="E17" i="7"/>
  <c r="D31" i="3"/>
  <c r="G32" i="3"/>
  <c r="E5" i="6"/>
  <c r="E15" i="6"/>
  <c r="G16" i="6"/>
  <c r="I17" i="6"/>
  <c r="E6" i="7"/>
  <c r="F17" i="7"/>
  <c r="E31" i="3"/>
  <c r="F15" i="6"/>
  <c r="H16" i="6"/>
  <c r="F6" i="7"/>
  <c r="G17" i="7"/>
  <c r="G6" i="7"/>
  <c r="H17" i="7"/>
  <c r="D30" i="3"/>
  <c r="G31" i="3"/>
  <c r="D5" i="5"/>
  <c r="L5" i="6"/>
  <c r="D17" i="6"/>
  <c r="H6" i="7"/>
  <c r="I17" i="7"/>
  <c r="E5" i="5"/>
  <c r="E17" i="6"/>
  <c r="I6" i="7"/>
  <c r="F30" i="3"/>
  <c r="D32" i="3"/>
  <c r="F5" i="5"/>
  <c r="C17" i="7"/>
  <c r="F31" i="3"/>
  <c r="G15" i="6"/>
  <c r="E30" i="3"/>
  <c r="G30" i="3"/>
  <c r="E32" i="3"/>
  <c r="C74" i="4" l="1"/>
  <c r="C29" i="4"/>
  <c r="C27" i="4"/>
  <c r="C26" i="4"/>
  <c r="C42" i="3"/>
  <c r="C34" i="3"/>
  <c r="C35" i="3" s="1"/>
  <c r="C37" i="3"/>
  <c r="D33" i="3"/>
  <c r="C43" i="3"/>
  <c r="D9" i="5"/>
  <c r="D18" i="5" s="1"/>
  <c r="D19" i="5" s="1"/>
  <c r="C44" i="3" s="1"/>
  <c r="D45" i="4"/>
  <c r="D39" i="4"/>
  <c r="D40" i="4"/>
  <c r="D43" i="4"/>
  <c r="D46" i="4"/>
  <c r="D44" i="4"/>
  <c r="D38" i="4"/>
  <c r="D41" i="4"/>
  <c r="B13" i="7"/>
  <c r="B12" i="7"/>
  <c r="B11" i="7"/>
  <c r="B10" i="7"/>
  <c r="B9" i="7"/>
  <c r="B8" i="7"/>
  <c r="B7" i="7"/>
  <c r="B24" i="7"/>
  <c r="B23" i="7"/>
  <c r="B22" i="7"/>
  <c r="B21" i="7"/>
  <c r="B20" i="7"/>
  <c r="B19" i="7"/>
  <c r="B18" i="7"/>
  <c r="G46" i="4"/>
  <c r="G40" i="4"/>
  <c r="G44" i="4"/>
  <c r="G38" i="4"/>
  <c r="G45" i="4"/>
  <c r="G39" i="4"/>
  <c r="G49" i="4" s="1"/>
  <c r="G54" i="4" s="1"/>
  <c r="G43" i="4"/>
  <c r="G41" i="4"/>
  <c r="E39" i="4"/>
  <c r="E44" i="4"/>
  <c r="E43" i="4"/>
  <c r="E46" i="4"/>
  <c r="E40" i="4"/>
  <c r="E38" i="4"/>
  <c r="E48" i="4" s="1"/>
  <c r="E53" i="4" s="1"/>
  <c r="E41" i="4"/>
  <c r="E45" i="4"/>
  <c r="K5" i="6"/>
  <c r="J5" i="6"/>
  <c r="H40" i="4"/>
  <c r="H44" i="4"/>
  <c r="H45" i="4"/>
  <c r="H38" i="4"/>
  <c r="H41" i="4"/>
  <c r="H51" i="4" s="1"/>
  <c r="H56" i="4" s="1"/>
  <c r="H39" i="4"/>
  <c r="H43" i="4"/>
  <c r="H46" i="4"/>
  <c r="F43" i="4"/>
  <c r="F38" i="4"/>
  <c r="F48" i="4" s="1"/>
  <c r="F53" i="4" s="1"/>
  <c r="F46" i="4"/>
  <c r="F40" i="4"/>
  <c r="F44" i="4"/>
  <c r="F41" i="4"/>
  <c r="F45" i="4"/>
  <c r="F39" i="4"/>
  <c r="H50" i="4" l="1"/>
  <c r="H55" i="4" s="1"/>
  <c r="E49" i="4"/>
  <c r="E54" i="4" s="1"/>
  <c r="D48" i="4"/>
  <c r="D53" i="4" s="1"/>
  <c r="G48" i="4"/>
  <c r="G53" i="4" s="1"/>
  <c r="F51" i="4"/>
  <c r="F56" i="4" s="1"/>
  <c r="H49" i="4"/>
  <c r="H54" i="4" s="1"/>
  <c r="G51" i="4"/>
  <c r="G56" i="4" s="1"/>
  <c r="E51" i="4"/>
  <c r="E56" i="4" s="1"/>
  <c r="D37" i="3"/>
  <c r="D43" i="3"/>
  <c r="E33" i="3"/>
  <c r="E9" i="5"/>
  <c r="E18" i="5" s="1"/>
  <c r="E19" i="5" s="1"/>
  <c r="D44" i="3" s="1"/>
  <c r="D42" i="3"/>
  <c r="D34" i="3"/>
  <c r="D35" i="3" s="1"/>
  <c r="F50" i="4"/>
  <c r="F55" i="4" s="1"/>
  <c r="H48" i="4"/>
  <c r="H53" i="4" s="1"/>
  <c r="E50" i="4"/>
  <c r="E55" i="4" s="1"/>
  <c r="D50" i="4"/>
  <c r="D55" i="4" s="1"/>
  <c r="D49" i="4"/>
  <c r="D54" i="4" s="1"/>
  <c r="F49" i="4"/>
  <c r="G50" i="4"/>
  <c r="G55" i="4" s="1"/>
  <c r="D51" i="4"/>
  <c r="D56" i="4" s="1"/>
  <c r="C38" i="3"/>
  <c r="C36" i="3"/>
  <c r="C39" i="3"/>
  <c r="D38" i="3" l="1"/>
  <c r="D36" i="3"/>
  <c r="D39" i="3"/>
  <c r="F33" i="3"/>
  <c r="E43" i="3"/>
  <c r="F9" i="5"/>
  <c r="F18" i="5" s="1"/>
  <c r="F19" i="5" s="1"/>
  <c r="E44" i="3" s="1"/>
  <c r="E42" i="3"/>
  <c r="E34" i="3"/>
  <c r="E35" i="3" s="1"/>
  <c r="E37" i="3"/>
  <c r="C40" i="3"/>
  <c r="C41" i="3" s="1"/>
  <c r="C45" i="3" s="1"/>
  <c r="F54" i="4"/>
  <c r="C60" i="4"/>
  <c r="B78" i="4"/>
  <c r="C47" i="3" l="1"/>
  <c r="C65" i="4"/>
  <c r="D65" i="4" s="1"/>
  <c r="C64" i="4"/>
  <c r="D64" i="4" s="1"/>
  <c r="C67" i="4"/>
  <c r="D67" i="4" s="1"/>
  <c r="C63" i="4"/>
  <c r="D63" i="4" s="1"/>
  <c r="C66" i="4"/>
  <c r="D66" i="4" s="1"/>
  <c r="E36" i="3"/>
  <c r="E38" i="3"/>
  <c r="E39" i="3"/>
  <c r="F43" i="3"/>
  <c r="G33" i="3"/>
  <c r="G9" i="5"/>
  <c r="G18" i="5" s="1"/>
  <c r="G19" i="5" s="1"/>
  <c r="F44" i="3" s="1"/>
  <c r="F42" i="3"/>
  <c r="F34" i="3"/>
  <c r="F35" i="3" s="1"/>
  <c r="F37" i="3"/>
  <c r="D41" i="3"/>
  <c r="D45" i="3" s="1"/>
  <c r="D47" i="3" s="1"/>
  <c r="D40" i="3"/>
  <c r="F38" i="3" l="1"/>
  <c r="F36" i="3"/>
  <c r="F39" i="3"/>
  <c r="E40" i="3"/>
  <c r="E41" i="3" s="1"/>
  <c r="E45" i="3" s="1"/>
  <c r="G42" i="3"/>
  <c r="H9" i="5"/>
  <c r="H18" i="5" s="1"/>
  <c r="H19" i="5" s="1"/>
  <c r="G44" i="3" s="1"/>
  <c r="C16" i="4"/>
  <c r="C28" i="4" s="1"/>
  <c r="G37" i="3"/>
  <c r="G43" i="3"/>
  <c r="G34" i="3"/>
  <c r="G35" i="3" s="1"/>
  <c r="G38" i="3" l="1"/>
  <c r="G36" i="3"/>
  <c r="G39" i="3"/>
  <c r="E47" i="3"/>
  <c r="C72" i="4"/>
  <c r="C73" i="4"/>
  <c r="F40" i="3"/>
  <c r="F41" i="3" s="1"/>
  <c r="F45" i="3" s="1"/>
  <c r="F47" i="3" l="1"/>
  <c r="C59" i="3"/>
  <c r="C60" i="3" s="1"/>
  <c r="C61" i="3" s="1"/>
  <c r="G40" i="3"/>
  <c r="G41" i="3" s="1"/>
  <c r="G45" i="3" s="1"/>
  <c r="C51" i="3" l="1"/>
  <c r="C52" i="3" s="1"/>
  <c r="G47" i="3"/>
  <c r="C50" i="3" s="1"/>
  <c r="E20" i="7"/>
  <c r="H7" i="7"/>
  <c r="I10" i="7"/>
  <c r="C8" i="7"/>
  <c r="H20" i="7"/>
  <c r="D18" i="7"/>
  <c r="F21" i="7"/>
  <c r="C19" i="7"/>
  <c r="C13" i="7"/>
  <c r="I22" i="7"/>
  <c r="F11" i="7"/>
  <c r="E10" i="7"/>
  <c r="H24" i="7"/>
  <c r="G11" i="7"/>
  <c r="E23" i="7"/>
  <c r="F18" i="7"/>
  <c r="I13" i="7"/>
  <c r="G23" i="7"/>
  <c r="F12" i="7"/>
  <c r="I9" i="7"/>
  <c r="F22" i="7"/>
  <c r="E13" i="7"/>
  <c r="F9" i="7"/>
  <c r="H18" i="7"/>
  <c r="F23" i="7"/>
  <c r="I12" i="7"/>
  <c r="D23" i="7"/>
  <c r="C22" i="7"/>
  <c r="G20" i="7"/>
  <c r="I7" i="7"/>
  <c r="C24" i="7"/>
  <c r="E9" i="7"/>
  <c r="G18" i="7"/>
  <c r="D21" i="7"/>
  <c r="F13" i="7"/>
  <c r="D9" i="7"/>
  <c r="D24" i="7"/>
  <c r="I18" i="7"/>
  <c r="E7" i="7"/>
  <c r="H19" i="7"/>
  <c r="F7" i="7"/>
  <c r="F19" i="7"/>
  <c r="I24" i="7"/>
  <c r="I8" i="7"/>
  <c r="I19" i="7"/>
  <c r="E18" i="7"/>
  <c r="D7" i="7"/>
  <c r="C10" i="7"/>
  <c r="H13" i="7"/>
  <c r="D20" i="7"/>
  <c r="E19" i="7"/>
  <c r="H8" i="7"/>
  <c r="E24" i="7"/>
  <c r="H11" i="7"/>
  <c r="C18" i="7"/>
  <c r="H23" i="7"/>
  <c r="G12" i="7"/>
  <c r="H22" i="7"/>
  <c r="E22" i="7"/>
  <c r="G7" i="7"/>
  <c r="E21" i="7"/>
  <c r="D19" i="7"/>
  <c r="H12" i="7"/>
  <c r="C20" i="7"/>
  <c r="E11" i="7"/>
  <c r="H9" i="7"/>
  <c r="C23" i="7"/>
  <c r="D12" i="7"/>
  <c r="C7" i="7"/>
  <c r="E8" i="7"/>
  <c r="D13" i="7"/>
  <c r="C11" i="7"/>
  <c r="D22" i="7"/>
  <c r="D8" i="7"/>
  <c r="C9" i="7"/>
  <c r="C12" i="7"/>
  <c r="F10" i="7"/>
  <c r="G8" i="7"/>
  <c r="H10" i="7"/>
  <c r="I23" i="7"/>
  <c r="H21" i="7"/>
  <c r="I11" i="7"/>
  <c r="G10" i="7"/>
  <c r="F20" i="7"/>
  <c r="I21" i="7"/>
  <c r="D10" i="7"/>
  <c r="C21" i="7"/>
  <c r="D11" i="7"/>
  <c r="G19" i="7"/>
  <c r="F24" i="7"/>
  <c r="I20" i="7"/>
  <c r="G22" i="7"/>
  <c r="G21" i="7"/>
  <c r="F8" i="7"/>
  <c r="G24" i="7"/>
  <c r="G9" i="7"/>
  <c r="E12" i="7"/>
  <c r="G13" i="7"/>
  <c r="C58" i="3" l="1"/>
  <c r="C62" i="3" s="1"/>
  <c r="C53" i="3"/>
  <c r="C16" i="1" l="1"/>
  <c r="C54" i="3"/>
  <c r="C55" i="3" s="1"/>
  <c r="C17" i="4"/>
  <c r="C63" i="3"/>
  <c r="C64" i="3" s="1"/>
  <c r="C17" i="1" s="1"/>
  <c r="D17" i="1" s="1"/>
  <c r="D16" i="1" l="1"/>
  <c r="C21" i="1"/>
  <c r="C10" i="1"/>
  <c r="C12" i="1" s="1"/>
  <c r="C11" i="1" s="1"/>
  <c r="C19" i="4"/>
  <c r="C20" i="4" s="1"/>
  <c r="B79" i="4" s="1"/>
</calcChain>
</file>

<file path=xl/sharedStrings.xml><?xml version="1.0" encoding="utf-8"?>
<sst xmlns="http://schemas.openxmlformats.org/spreadsheetml/2006/main" count="488" uniqueCount="355">
  <si>
    <t>DISCLAIMER: This is a sample analysis for demonstration purposes only. It does not constitute investment advice.</t>
  </si>
  <si>
    <t>丸紅 (8002.T)</t>
  </si>
  <si>
    <t>Equity Research Report</t>
  </si>
  <si>
    <t>Company</t>
  </si>
  <si>
    <t>丸紅</t>
  </si>
  <si>
    <t>Ticker</t>
  </si>
  <si>
    <t>8002.T (TSE Prime)</t>
  </si>
  <si>
    <t>Sector</t>
  </si>
  <si>
    <t>卸売業</t>
  </si>
  <si>
    <t>Current Price</t>
  </si>
  <si>
    <t>Target Price (コアDCF[フロア適用] + 持分法投資価値)</t>
  </si>
  <si>
    <t>Recommendation</t>
  </si>
  <si>
    <t>Upside / Downside</t>
  </si>
  <si>
    <t>Valuation Summary</t>
  </si>
  <si>
    <t>Methodology</t>
  </si>
  <si>
    <t>Implied Value (JPY)</t>
  </si>
  <si>
    <t>vs Current Price</t>
  </si>
  <si>
    <t>DCF - Perpetuity Growth</t>
  </si>
  <si>
    <t>DCF - Exit Multiple</t>
  </si>
  <si>
    <t>Comps - EV/EBITDA Median [参考・Target不算入]（型F: EV倍率は持分法混在で歪むため不使用）</t>
  </si>
  <si>
    <t>N/A</t>
  </si>
  <si>
    <t>Comps - PER Median [参考・Target不算入]</t>
  </si>
  <si>
    <t>Note: Target Mid は DCF 2法（PGM / Exit）の平均のみ。Comps 2法は [参考] で Target 不算入（EV&lt;ネットデットで株式価値が負になる手法は INVALID として平均から除外） ■【型F: 持分法主導】コア営業利益 = 売上総利益 − 販売費及び一般管理費 で定義し、持分法投資損益・受取配当金・金融損益・投資損益をコアから除外している。除外した持分法投資の価値は上の別途加算行で加算する（二重計上なし）。持分法投資価値の算定方式は 'book_value'、詳細は Equity Method Value シート。Comps は EV 倍率が持分法混在で歪むため PER/PBR を参照とする。</t>
  </si>
  <si>
    <t>DCF Valuation Range (PGM - Exit)</t>
  </si>
  <si>
    <t>持分法投資価値 [1株・別途加算]</t>
  </si>
  <si>
    <t>Key Investment Thesis</t>
  </si>
  <si>
    <t>1. [Edit] Describe key competitive advantage</t>
  </si>
  <si>
    <t>2. [Edit] Describe growth driver</t>
  </si>
  <si>
    <t>3. [Edit] Describe margin expansion opportunity</t>
  </si>
  <si>
    <t>Key Risks</t>
  </si>
  <si>
    <t>1. [Edit] Describe primary risk factor</t>
  </si>
  <si>
    <t>2. [Edit] Describe secondary risk factor</t>
  </si>
  <si>
    <t>3. [Edit] Describe tertiary risk factor</t>
  </si>
  <si>
    <t>丸紅 - Historical Financials (JPY mn)</t>
  </si>
  <si>
    <t>FY2025</t>
  </si>
  <si>
    <t>FY2026</t>
  </si>
  <si>
    <t>Income Statement</t>
  </si>
  <si>
    <t>Revenue</t>
  </si>
  <si>
    <t>COGS</t>
  </si>
  <si>
    <t>Gross Profit</t>
  </si>
  <si>
    <t>Gross Margin</t>
  </si>
  <si>
    <t>SGA</t>
  </si>
  <si>
    <t>Operating Income</t>
  </si>
  <si>
    <t>Net Income</t>
  </si>
  <si>
    <t>Operating Margin</t>
  </si>
  <si>
    <t>Net Margin</t>
  </si>
  <si>
    <t>Revenue Growth (YoY)</t>
  </si>
  <si>
    <t>n/a</t>
  </si>
  <si>
    <t>Operating Income Growth (YoY)</t>
  </si>
  <si>
    <t>Cash Flow Statement</t>
  </si>
  <si>
    <t>Operating Cash Flow</t>
  </si>
  <si>
    <t>Capex</t>
  </si>
  <si>
    <t>Free Cash Flow</t>
  </si>
  <si>
    <t>FCF Margin</t>
  </si>
  <si>
    <t>Capex / Revenue</t>
  </si>
  <si>
    <t>Balance Sheet Highlights</t>
  </si>
  <si>
    <t>Cash &amp; Deposits</t>
  </si>
  <si>
    <t>Total Interest-bearing Debt (short + long)</t>
  </si>
  <si>
    <t>Net Debt (Cash)</t>
  </si>
  <si>
    <t>Note: OCF / Cash / Debt coverage OCF 2/2, Cash 2/2, Debt 2/2 — blank cells are years with no year-key match in the source data (verify against 決算短信 or set hist_ocf / hist_cash / hist_debt in overrides).</t>
  </si>
  <si>
    <t>DCF Valuation Model - 丸紅</t>
  </si>
  <si>
    <t>Assumptions</t>
  </si>
  <si>
    <t>Effective Tax Rate</t>
  </si>
  <si>
    <t>Risk-Free Rate</t>
  </si>
  <si>
    <t>Beta</t>
  </si>
  <si>
    <t>Equity Risk Premium</t>
  </si>
  <si>
    <t>Size Premium</t>
  </si>
  <si>
    <t>After-tax Cost of Debt</t>
  </si>
  <si>
    <t>D/E Ratio</t>
  </si>
  <si>
    <t>Terminal Growth Rate</t>
  </si>
  <si>
    <t>Exit Multiple (EV/EBITDA)</t>
  </si>
  <si>
    <t>Fully Diluted Shares</t>
  </si>
  <si>
    <t>Net Debt (JPY mn)</t>
  </si>
  <si>
    <t>Base Year Revenue (JPY mn)</t>
  </si>
  <si>
    <t>D&amp;A / Revenue</t>
  </si>
  <si>
    <t>Stub Fraction (yr remaining)</t>
  </si>
  <si>
    <t>LTM Revenue (JPY mn)</t>
  </si>
  <si>
    <t>WACC Calculation</t>
  </si>
  <si>
    <t>Cost of Equity (Ke)</t>
  </si>
  <si>
    <t>Weight of Equity</t>
  </si>
  <si>
    <t>Weight of Debt</t>
  </si>
  <si>
    <t>WACC</t>
  </si>
  <si>
    <t>Active Scenario</t>
  </si>
  <si>
    <t>Base</t>
  </si>
  <si>
    <t>Projected Free Cash Flow</t>
  </si>
  <si>
    <t>FY2027(E)</t>
  </si>
  <si>
    <t>FY2028(E)</t>
  </si>
  <si>
    <t>FY2029(E)</t>
  </si>
  <si>
    <t>FY2030(E)</t>
  </si>
  <si>
    <t>FY2031(E)</t>
  </si>
  <si>
    <t>COGS % of Revenue</t>
  </si>
  <si>
    <t>SGA % of Revenue</t>
  </si>
  <si>
    <t>SGA Expense</t>
  </si>
  <si>
    <t>Implied Operating Margin</t>
  </si>
  <si>
    <t>Operating Income (EBIT)</t>
  </si>
  <si>
    <t>Less: Tax</t>
  </si>
  <si>
    <t>NOPAT</t>
  </si>
  <si>
    <t>Plus: D&amp;A</t>
  </si>
  <si>
    <t>Less: Capex</t>
  </si>
  <si>
    <t>Change in NWC</t>
  </si>
  <si>
    <t>Unlevered Free Cash Flow</t>
  </si>
  <si>
    <t>Discount Factor</t>
  </si>
  <si>
    <t>PV of FCF</t>
  </si>
  <si>
    <t>Valuation - Perpetuity Growth Method</t>
  </si>
  <si>
    <t>Sum of PV of FCFs</t>
  </si>
  <si>
    <t>Terminal Value (PGM)</t>
  </si>
  <si>
    <t>PV of Terminal Value</t>
  </si>
  <si>
    <t>Enterprise Value</t>
  </si>
  <si>
    <t>Equity Value</t>
  </si>
  <si>
    <t>Implied Share Price (PGM)</t>
  </si>
  <si>
    <t>Valuation - Exit Multiple Method</t>
  </si>
  <si>
    <t>Year 5 EBITDA</t>
  </si>
  <si>
    <t>Terminal Value (Exit Multiple)</t>
  </si>
  <si>
    <t>Implied Share Price (Exit Multiple)</t>
  </si>
  <si>
    <t>Scenario Input Matrix</t>
  </si>
  <si>
    <t>Year 1</t>
  </si>
  <si>
    <t>Year 2</t>
  </si>
  <si>
    <t>Year 3</t>
  </si>
  <si>
    <t>Year 4</t>
  </si>
  <si>
    <t>Year 5</t>
  </si>
  <si>
    <t>Upside</t>
  </si>
  <si>
    <t>Management</t>
  </si>
  <si>
    <t>Downside 1</t>
  </si>
  <si>
    <t>Downside 2</t>
  </si>
  <si>
    <t>Reverse DCF - 丸紅 (8002.T)</t>
  </si>
  <si>
    <t>What is the current share price already assuming? Every value below is a live formula off the other sheets.</t>
  </si>
  <si>
    <t>Block 0: Market-implied enterprise value (live)</t>
  </si>
  <si>
    <t>Current Share Price (JPY)</t>
  </si>
  <si>
    <t>Market Capitalisation (JPY mn)</t>
  </si>
  <si>
    <t>Enterprise Value (JPY mn)</t>
  </si>
  <si>
    <t>WACC (w)</t>
  </si>
  <si>
    <t>Terminal Growth (g)</t>
  </si>
  <si>
    <t>Effective Tax Rate (t)</t>
  </si>
  <si>
    <t>Starting Operating Profit OP0 (FY2026 actual)</t>
  </si>
  <si>
    <t>Cycle-peak Operating Profit (FY2025 actual)</t>
  </si>
  <si>
    <t>Terminal-year Revenue, active scenario (JPY mn)</t>
  </si>
  <si>
    <t>Base-case DCF Enterprise Value, PGM (JPY mn)</t>
  </si>
  <si>
    <t>Cycle-peak Operating Margin (FY2025 actual)</t>
  </si>
  <si>
    <t>Gap: market EV less base-case DCF EV (JPY mn)</t>
  </si>
  <si>
    <t>Gap per share (JPY) - the part of the price the base case does not explain</t>
  </si>
  <si>
    <t>Block A: Required steady-state operating profit, reached IMMEDIATELY (no ramp)</t>
  </si>
  <si>
    <t>The lowest bar the price can clear: today's EV read as a perpetuity of one steady-state profit, capex = D&amp;A, no NWC build.</t>
  </si>
  <si>
    <t>Required steady-state NOPAT (JPY mn)</t>
  </si>
  <si>
    <t>Required steady-state Operating Profit (JPY mn)</t>
  </si>
  <si>
    <t>... as a multiple of the FY2025 peak</t>
  </si>
  <si>
    <t>... as a multiple of FY2026 actual</t>
  </si>
  <si>
    <t>... implied OPM on terminal-year revenue</t>
  </si>
  <si>
    <t>... revenue needed if margins only reach the cycle peak</t>
  </si>
  <si>
    <t>Block B: Required steady-state operating profit by YEARS-TO-REACH (linear ramp) x WACC</t>
  </si>
  <si>
    <t>Operating profit ramps linearly from OP0 (C14) to OP* over N years, then grows at g for ever. Column F is the model WACC.</t>
  </si>
  <si>
    <t>OP* = ( EV/(1-t) - OP0*(A-B) ) / ( B + TVF ). A longer ramp needs a HIGHER steady state, because more years are spent below it.</t>
  </si>
  <si>
    <t>Years to steady state (N)   \   WACC</t>
  </si>
  <si>
    <t>N</t>
  </si>
  <si>
    <t>B-1  PV weight on the RAMP from OP0   (A - B)</t>
  </si>
  <si>
    <t>N = 3 years</t>
  </si>
  <si>
    <t>N = 5 years</t>
  </si>
  <si>
    <t>N = 7 years</t>
  </si>
  <si>
    <t>N = 10 years</t>
  </si>
  <si>
    <t>B-2  PV weight on the STEADY STATE OP*   (B + terminal factor)</t>
  </si>
  <si>
    <t>B-3  REQUIRED steady-state Operating Profit (JPY mn)</t>
  </si>
  <si>
    <t>B-4  ... as a multiple of the FY2025 peak operating profit</t>
  </si>
  <si>
    <t>Block C: Decomposing the required profit into revenue x margin (N = 5 years, model WACC)</t>
  </si>
  <si>
    <t>The revenue the company must run at, for a given steady-state operating margin, to earn the Block B-3 profit.</t>
  </si>
  <si>
    <t>Required steady-state Operating Profit (N=5, model WACC)</t>
  </si>
  <si>
    <t>Assumed steady-state OPM</t>
  </si>
  <si>
    <t>Required Revenue</t>
  </si>
  <si>
    <t>x base-year revenue</t>
  </si>
  <si>
    <t>cycle-peak OPM (FY2025)</t>
  </si>
  <si>
    <t>Block D: The same question expressed as multiples</t>
  </si>
  <si>
    <t>Current EV / latest-FY EBITDA (actual)</t>
  </si>
  <si>
    <t>Current EV / latest-FY Revenue (actual)</t>
  </si>
  <si>
    <t>EV / EBITDA if the Block A profit were already earned</t>
  </si>
  <si>
    <t>EV / EBITDA if the Block B-3 (N=5) profit were already earned</t>
  </si>
  <si>
    <t>Peer median EV / EBITDA (statistics rows)</t>
  </si>
  <si>
    <t>Rows 3-4 answer: what multiple would today's EV be paying IF the company already earned the profit the price requires?</t>
  </si>
  <si>
    <t>Block F: The one-line answer</t>
  </si>
  <si>
    <t>NWC Schedule - 丸紅</t>
  </si>
  <si>
    <t>Working Capital Drivers (% of Revenue)</t>
  </si>
  <si>
    <t>Base Year</t>
  </si>
  <si>
    <t>NWC % of Revenue</t>
  </si>
  <si>
    <t>—</t>
  </si>
  <si>
    <t>P&amp;L Reference (JPY mn)</t>
  </si>
  <si>
    <t>Working Capital Items (JPY mn)</t>
  </si>
  <si>
    <t>Net Working Capital (JPY mn)</t>
  </si>
  <si>
    <t>Net Working Capital</t>
  </si>
  <si>
    <t>Scenario Input Matrix (NWC % of Revenue)</t>
  </si>
  <si>
    <t>Comparable Company Analysis</t>
  </si>
  <si>
    <t>Peer prices as of 2026-09-07 (Mkt Cap / EV of peer rows are static CSV values; the subject row is live-linked to Executive Summary)</t>
  </si>
  <si>
    <t>Mkt Cap
(JPY mn)</t>
  </si>
  <si>
    <t>EV
(JPY mn)</t>
  </si>
  <si>
    <t>Revenue
(JPY mn)</t>
  </si>
  <si>
    <t>EBITDA
(JPY mn)</t>
  </si>
  <si>
    <t>Op Income
(JPY mn)</t>
  </si>
  <si>
    <t>Net Income
(JPY mn)</t>
  </si>
  <si>
    <t>EV/EBITDA</t>
  </si>
  <si>
    <t>EV/Revenue</t>
  </si>
  <si>
    <t>PER</t>
  </si>
  <si>
    <t>PBR</t>
  </si>
  <si>
    <t>Op Margin</t>
  </si>
  <si>
    <t>ROE</t>
  </si>
  <si>
    <t>Book Value
(JPY mn)</t>
  </si>
  <si>
    <t>Note</t>
  </si>
  <si>
    <t>Marubeni Corporation</t>
  </si>
  <si>
    <t>8002.T</t>
  </si>
  <si>
    <t>ITOCHU Corporation</t>
  </si>
  <si>
    <t>8001.T</t>
  </si>
  <si>
    <t>Mitsui &amp; Co., Ltd.</t>
  </si>
  <si>
    <t>8031.T</t>
  </si>
  <si>
    <t>Sumitomo Corporation</t>
  </si>
  <si>
    <t>8053.T</t>
  </si>
  <si>
    <t>Mitsubishi Corporation</t>
  </si>
  <si>
    <t>8058.T</t>
  </si>
  <si>
    <t>Statistics</t>
  </si>
  <si>
    <t>25th Percentile</t>
  </si>
  <si>
    <t>Median (50th)</t>
  </si>
  <si>
    <t>75th Percentile</t>
  </si>
  <si>
    <t>Implied Valuation for 丸紅</t>
  </si>
  <si>
    <t>丸紅 Financials</t>
  </si>
  <si>
    <t>EBITDA (JPY mn)</t>
  </si>
  <si>
    <t>Net Income (JPY mn)</t>
  </si>
  <si>
    <t>Shares Outstanding</t>
  </si>
  <si>
    <t>Implied Share Price (Median Multiples)</t>
  </si>
  <si>
    <t>Via EV/EBITDA (Median)</t>
  </si>
  <si>
    <t>Via PER (Median)</t>
  </si>
  <si>
    <t>Sensitivity Analysis</t>
  </si>
  <si>
    <t>Current WACC:</t>
  </si>
  <si>
    <t>Terminal g:</t>
  </si>
  <si>
    <t>Exit Multiple:</t>
  </si>
  <si>
    <t>Table 1: WACC vs Terminal Growth Rate (PGM - Implied Share Price, JPY)</t>
  </si>
  <si>
    <t>WACC \ Terminal g</t>
  </si>
  <si>
    <t>Table 2: WACC vs Exit Multiple (Exit Multiple - Implied Share Price, JPY)</t>
  </si>
  <si>
    <t>WACC \ Exit Multiple</t>
  </si>
  <si>
    <t>All values dynamically linked to DCF Model. Headers auto-center on current WACC / Terminal g / Exit Multiple.</t>
  </si>
  <si>
    <t>Adjustments Log - 丸紅</t>
  </si>
  <si>
    <t>日付</t>
  </si>
  <si>
    <t>セル</t>
  </si>
  <si>
    <t>変更内容</t>
  </si>
  <si>
    <t>理由</t>
  </si>
  <si>
    <t>元の値</t>
  </si>
  <si>
    <t>状態</t>
  </si>
  <si>
    <t>2026-09-07</t>
  </si>
  <si>
    <t>-</t>
  </si>
  <si>
    <t>Generated by pipeline on 2026-09-07 13:05, template rev b0a6ac9</t>
  </si>
  <si>
    <t>初期生成（手修正なし）</t>
  </si>
  <si>
    <t>generated</t>
  </si>
  <si>
    <t>DCF Model!C8</t>
  </si>
  <si>
    <t>Beta = 1.164（採用値）</t>
  </si>
  <si>
    <t>実測β(raw) = 1.245 → Blume調整 0.67×raw + 0.33×1.00 = 1.164 → 採用 1.164。クランプ域 [0.3, 2.0] の内側。置換なし。回帰βは平均回帰するため Blume 調整を既定とする（2026-09-05 バッチで85件中57件が旧下限 0.60 に張り付き、両裾の歪みが実証された）。</t>
  </si>
  <si>
    <t>実測 1.245</t>
  </si>
  <si>
    <t>確定</t>
  </si>
  <si>
    <t>Pipeline Metadata (do not edit — read by scripts/validate_output.py)</t>
  </si>
  <si>
    <t>key</t>
  </si>
  <si>
    <t>value</t>
  </si>
  <si>
    <t>annual_doc_ids</t>
  </si>
  <si>
    <t>2026-03-31=S100YAY4 (有価証券報告書, 2026-06-12 提出)</t>
  </si>
  <si>
    <t>auto_log_entries</t>
  </si>
  <si>
    <t>1</t>
  </si>
  <si>
    <t>beta_adopted_c8</t>
  </si>
  <si>
    <t>1.1644</t>
  </si>
  <si>
    <t>beta_basis</t>
  </si>
  <si>
    <t>Blume: 0.67 x 1.245 + 0.33 x 1.00 = 1.164</t>
  </si>
  <si>
    <t>beta_blume_adjusted</t>
  </si>
  <si>
    <t>beta_clamped</t>
  </si>
  <si>
    <t>no</t>
  </si>
  <si>
    <t>beta_raw</t>
  </si>
  <si>
    <t>1.2453</t>
  </si>
  <si>
    <t>capex_pct_basis</t>
  </si>
  <si>
    <t>explicit_override</t>
  </si>
  <si>
    <t>capex_pct_c5</t>
  </si>
  <si>
    <t>0.02529</t>
  </si>
  <si>
    <t>capex_pct_hist3yr</t>
  </si>
  <si>
    <t>company_name</t>
  </si>
  <si>
    <t>comps_asof</t>
  </si>
  <si>
    <t>comps_da_missing</t>
  </si>
  <si>
    <t>none</t>
  </si>
  <si>
    <t>comps_ebitda_excluded</t>
  </si>
  <si>
    <t>comps_ev_ebitda_invalid</t>
  </si>
  <si>
    <t>comps_ev_ebitda_rows</t>
  </si>
  <si>
    <t>6,7,8,9</t>
  </si>
  <si>
    <t>comps_impl_mult_row</t>
  </si>
  <si>
    <t>27</t>
  </si>
  <si>
    <t>comps_impl_per_row</t>
  </si>
  <si>
    <t>28</t>
  </si>
  <si>
    <t>comps_peer_rows</t>
  </si>
  <si>
    <t>comps_per_excluded</t>
  </si>
  <si>
    <t>comps_stale_excluded</t>
  </si>
  <si>
    <t>comps_stat_median_row</t>
  </si>
  <si>
    <t>16</t>
  </si>
  <si>
    <t>comps_subject_row</t>
  </si>
  <si>
    <t>5</t>
  </si>
  <si>
    <t>core_ebitda</t>
  </si>
  <si>
    <t>478163</t>
  </si>
  <si>
    <t>core_net_income</t>
  </si>
  <si>
    <t>543852.0</t>
  </si>
  <si>
    <t>cost_of_debt_at_c11</t>
  </si>
  <si>
    <t>0.01</t>
  </si>
  <si>
    <t>cost_of_debt_basis</t>
  </si>
  <si>
    <t>assumption</t>
  </si>
  <si>
    <t>da_pct_basis</t>
  </si>
  <si>
    <t>da_pct_c18</t>
  </si>
  <si>
    <t>da_pct_hist3yr</t>
  </si>
  <si>
    <t>disclosure_basis_date</t>
  </si>
  <si>
    <t>2026-03-31</t>
  </si>
  <si>
    <t>fs_year_coverage</t>
  </si>
  <si>
    <t>OCF 2/2, Cash 2/2, Debt 2/2</t>
  </si>
  <si>
    <t>fs_year_map</t>
  </si>
  <si>
    <t>FY2025&lt;-FY2025[ocf+cash+debt]; FY2026&lt;-FY2026[ocf+cash+debt]</t>
  </si>
  <si>
    <t>fs_year_sources</t>
  </si>
  <si>
    <t>overrides: none | EDINET year-key match: hist_ocf, hist_cash, hist_debt, hist_capex, hist_depreciation</t>
  </si>
  <si>
    <t>fx_sensitivity</t>
  </si>
  <si>
    <t>not enabled</t>
  </si>
  <si>
    <t>generated_at</t>
  </si>
  <si>
    <t>2026-09-07 13:05:43</t>
  </si>
  <si>
    <t>guidance_note</t>
  </si>
  <si>
    <t>TDnet 決算短信 via screener guidance table: FY2027 disclosed 2026-08-05 (net_income=580,000mn)</t>
  </si>
  <si>
    <t>guidance_source</t>
  </si>
  <si>
    <t>tdnet_screener_db</t>
  </si>
  <si>
    <t>latest_operating_income</t>
  </si>
  <si>
    <t>269103</t>
  </si>
  <si>
    <t>ltm_revenue_c20</t>
  </si>
  <si>
    <t>8265841.0</t>
  </si>
  <si>
    <t>ltm_revenue_source</t>
  </si>
  <si>
    <t>latest FY (no LTM)</t>
  </si>
  <si>
    <t>market_data_source</t>
  </si>
  <si>
    <t>yfinance; from overrides: beta, current_price, shares_outstanding</t>
  </si>
  <si>
    <t>narrative_tokens_used</t>
  </si>
  <si>
    <t>net_debt_source</t>
  </si>
  <si>
    <t>EDINET net_debt</t>
  </si>
  <si>
    <t>reverse_dcf_sheet</t>
  </si>
  <si>
    <t>op0=269,103(FY2026) peak=283,591(FY2025) peak_opm=0.0364 N=3/5/7/10</t>
  </si>
  <si>
    <t>scenario_index_range</t>
  </si>
  <si>
    <t>B69:B73</t>
  </si>
  <si>
    <t>tax_rate_c6</t>
  </si>
  <si>
    <t>0.25</t>
  </si>
  <si>
    <t>template_rev</t>
  </si>
  <si>
    <t>b0a6ac9</t>
  </si>
  <si>
    <t>ticker</t>
  </si>
  <si>
    <t>equity_method_method</t>
  </si>
  <si>
    <t>book_value</t>
  </si>
  <si>
    <t>equity_method_balance_mn</t>
  </si>
  <si>
    <t>equity_method_multiple</t>
  </si>
  <si>
    <t>equity_method_fair_value_based</t>
  </si>
  <si>
    <t>equity_method_basis</t>
  </si>
  <si>
    <t>簿価（BS残高×1.0）。上場先の簿価が注記から取れないため上場分の時価評価は行わない</t>
  </si>
  <si>
    <t>Equity Method Value（型F: 1株あたり別途加算）</t>
  </si>
  <si>
    <t>連結利益の相当部分が持分法投資損益であり、対応するキャッシュは受取配当のみである。コア DCF は売上総利益 − 販管費で測ったコア営業利益に基づくため持分法損益を含まず、その分の価値をこのシートで別途加算する。二重計上を避けるため、コア側には持分法損益も受取配当も入っていない。</t>
  </si>
  <si>
    <t>持分法投資価値の算定</t>
  </si>
  <si>
    <t>持分法で会計処理されている投資（連結BS 残高、JPY mn）</t>
  </si>
  <si>
    <t>評価倍率（簿価に対する倍率）</t>
  </si>
  <si>
    <t>持分法投資価値（JPY mn）</t>
  </si>
  <si>
    <t>方式: 簿価（BS残高 × 1.0）。上場持分先の【簿価】が注記から取れないため、上場分の時価評価は行わない。上場分を簿価と時価で二度足す危険を避ける代わりに、含み益のある上場持分の分だけ保守的（過小）に出る。</t>
  </si>
  <si>
    <t>希薄化後株式数</t>
  </si>
  <si>
    <t>1株あたり持分法投資価値（JPY）</t>
  </si>
  <si>
    <t>連結BS『持分法で会計処理されている投資』3,504,176 mn (S100YAY4)を簿価 1.0 倍で評価。上場持分先の【簿価】は有報の注記から取得できず(『関係会社の状況』は資本金と議決権比率のみ)、上場分を時価に置き換えると非上場分を『BS残高 − 上場分簿価』で求められないため、設計書の指示どおり簿価×1.0 に統一した。上場持分に含み益がある分だけ保守的(過小)に出る。FY2026/3 の持分法投資損益 338,300 に対する簿価倍率は 10.4倍。</t>
  </si>
  <si>
    <t>基準日: 2026-03-31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</si>
</sst>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
    <numFmt numFmtId="177" formatCode="0.0%;\(0.0%\)"/>
    <numFmt numFmtId="178" formatCode="0.000"/>
    <numFmt numFmtId="179" formatCode="0.00&quot;x&quot;"/>
    <numFmt numFmtId="180" formatCode="0.00%;\(0.00%\)"/>
    <numFmt numFmtId="181" formatCode="0.0000"/>
  </numFmts>
  <fonts count="13" x14ac:knownFonts="1">
    <font>
      <sz val="11"/>
      <color theme="1"/>
      <name val="ＭＳ Ｐゴシック"/>
      <family val="2"/>
      <scheme val="minor"/>
    </font>
    <font>
      <i/>
      <sz val="9"/>
      <color rgb="FF808080"/>
      <name val="Arial"/>
    </font>
    <font>
      <b/>
      <sz val="14"/>
      <name val="Arial"/>
    </font>
    <font>
      <b/>
      <sz val="11"/>
      <name val="Arial"/>
    </font>
    <font>
      <b/>
      <sz val="10"/>
      <name val="Arial"/>
    </font>
    <font>
      <sz val="10"/>
      <color rgb="FF000000"/>
      <name val="Arial"/>
    </font>
    <font>
      <b/>
      <sz val="11"/>
      <color rgb="FFFFFFFF"/>
      <name val="Arial"/>
    </font>
    <font>
      <sz val="10"/>
      <color rgb="FF006600"/>
      <name val="Arial"/>
    </font>
    <font>
      <sz val="6"/>
      <name val="ＭＳ Ｐゴシック"/>
      <family val="3"/>
      <charset val="128"/>
      <scheme val="minor"/>
    </font>
    <font>
      <i/>
      <sz val="9"/>
      <color rgb="FF808080"/>
      <name val="Arial"/>
    </font>
    <font>
      <sz val="10"/>
      <color rgb="FF000000"/>
      <name val="Arial"/>
    </font>
    <font>
      <sz val="10"/>
      <color rgb="FF0000FF"/>
      <name val="Arial"/>
    </font>
    <font>
      <sz val="10"/>
      <color rgb="FF008000"/>
      <name val="Arial"/>
    </font>
  </fonts>
  <fills count="8">
    <fill>
      <patternFill patternType="none"/>
    </fill>
    <fill>
      <patternFill patternType="gray125"/>
    </fill>
    <fill>
      <patternFill patternType="solid">
        <fgColor rgb="FFDCE6F1"/>
        <bgColor rgb="FFDCE6F1"/>
      </patternFill>
    </fill>
    <fill>
      <patternFill patternType="solid">
        <fgColor rgb="FF000080"/>
        <bgColor rgb="FF000080"/>
      </patternFill>
    </fill>
    <fill>
      <patternFill patternType="solid">
        <fgColor rgb="FFF2F2F2"/>
        <bgColor rgb="FFF2F2F2"/>
      </patternFill>
    </fill>
    <fill>
      <patternFill patternType="solid">
        <fgColor rgb="FFE2EFDA"/>
        <bgColor rgb="FFE2EFDA"/>
      </patternFill>
    </fill>
    <fill>
      <patternFill patternType="solid">
        <fgColor rgb="FFE2EFDA"/>
        <bgColor rgb="FFE2EFDA"/>
      </patternFill>
    </fill>
    <fill>
      <patternFill patternType="solid">
        <fgColor rgb="FFFFF2CC"/>
        <bgColor rgb="FFFFF2CC"/>
      </patternFill>
    </fill>
  </fills>
  <borders count="10">
    <border>
      <left/>
      <right/>
      <top/>
      <bottom/>
      <diagonal/>
    </border>
    <border>
      <left/>
      <right/>
      <top/>
      <bottom style="thin">
        <color auto="1"/>
      </bottom>
      <diagonal/>
    </border>
    <border>
      <left style="thin">
        <color rgb="FFB0B0B0"/>
      </left>
      <right style="thin">
        <color rgb="FFB0B0B0"/>
      </right>
      <top style="thin">
        <color rgb="FFB0B0B0"/>
      </top>
      <bottom style="thin">
        <color rgb="FFB0B0B0"/>
      </bottom>
      <diagonal/>
    </border>
    <border>
      <left/>
      <right/>
      <top style="thin">
        <color auto="1"/>
      </top>
      <bottom style="thin">
        <color auto="1"/>
      </bottom>
      <diagonal/>
    </border>
    <border>
      <left/>
      <right/>
      <top style="thin">
        <color auto="1"/>
      </top>
      <bottom style="double">
        <color auto="1"/>
      </bottom>
      <diagonal/>
    </border>
    <border>
      <left style="hair">
        <color rgb="FFB0B0B0"/>
      </left>
      <right style="hair">
        <color rgb="FFB0B0B0"/>
      </right>
      <top style="hair">
        <color rgb="FFB0B0B0"/>
      </top>
      <bottom style="hair">
        <color rgb="FFB0B0B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rgb="FFB0B0B0"/>
      </left>
      <right style="thin">
        <color rgb="FFB0B0B0"/>
      </right>
      <top style="thin">
        <color rgb="FFB0B0B0"/>
      </top>
      <bottom style="thin">
        <color rgb="FFB0B0B0"/>
      </bottom>
      <diagonal/>
    </border>
    <border>
      <left/>
      <right/>
      <top style="thin">
        <color auto="1"/>
      </top>
      <bottom style="double">
        <color auto="1"/>
      </bottom>
      <diagonal/>
    </border>
  </borders>
  <cellStyleXfs count="1">
    <xf numFmtId="0" fontId="0" fillId="0" borderId="0"/>
  </cellStyleXfs>
  <cellXfs count="56">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176" fontId="5" fillId="0" borderId="0" xfId="0" applyNumberFormat="1" applyFont="1"/>
    <xf numFmtId="0" fontId="5" fillId="0" borderId="0" xfId="0" applyFont="1"/>
    <xf numFmtId="177" fontId="5" fillId="0" borderId="0" xfId="0" applyNumberFormat="1" applyFont="1"/>
    <xf numFmtId="0" fontId="3" fillId="2" borderId="0" xfId="0" applyFont="1" applyFill="1"/>
    <xf numFmtId="0" fontId="0" fillId="2" borderId="0" xfId="0" applyFill="1"/>
    <xf numFmtId="0" fontId="6" fillId="3" borderId="1" xfId="0" applyFont="1" applyFill="1" applyBorder="1" applyAlignment="1">
      <alignment horizontal="center" wrapText="1"/>
    </xf>
    <xf numFmtId="176" fontId="7" fillId="0" borderId="0" xfId="0" applyNumberFormat="1" applyFont="1"/>
    <xf numFmtId="2" fontId="5" fillId="0" borderId="0" xfId="0" applyNumberFormat="1" applyFont="1"/>
    <xf numFmtId="178" fontId="5" fillId="0" borderId="0" xfId="0" applyNumberFormat="1" applyFont="1"/>
    <xf numFmtId="179" fontId="5" fillId="0" borderId="0" xfId="0" applyNumberFormat="1" applyFont="1"/>
    <xf numFmtId="3" fontId="5" fillId="0" borderId="0" xfId="0" applyNumberFormat="1" applyFont="1"/>
    <xf numFmtId="180" fontId="5" fillId="0" borderId="0" xfId="0" applyNumberFormat="1" applyFont="1"/>
    <xf numFmtId="0" fontId="5" fillId="0" borderId="2" xfId="0" applyFont="1" applyBorder="1"/>
    <xf numFmtId="177" fontId="5" fillId="2" borderId="0" xfId="0" applyNumberFormat="1" applyFont="1" applyFill="1"/>
    <xf numFmtId="176" fontId="5" fillId="0" borderId="3" xfId="0" applyNumberFormat="1" applyFont="1" applyBorder="1"/>
    <xf numFmtId="176" fontId="5" fillId="4" borderId="3" xfId="0" applyNumberFormat="1" applyFont="1" applyFill="1" applyBorder="1"/>
    <xf numFmtId="181" fontId="5" fillId="0" borderId="0" xfId="0" applyNumberFormat="1" applyFont="1"/>
    <xf numFmtId="0" fontId="3" fillId="5" borderId="0" xfId="0" applyFont="1" applyFill="1"/>
    <xf numFmtId="0" fontId="0" fillId="5" borderId="0" xfId="0" applyFill="1"/>
    <xf numFmtId="176" fontId="5" fillId="0" borderId="4" xfId="0" applyNumberFormat="1" applyFont="1" applyBorder="1"/>
    <xf numFmtId="0" fontId="6" fillId="3" borderId="0" xfId="0" applyFont="1" applyFill="1" applyAlignment="1">
      <alignment horizontal="center"/>
    </xf>
    <xf numFmtId="177" fontId="5" fillId="0" borderId="2" xfId="0" applyNumberFormat="1" applyFont="1" applyBorder="1"/>
    <xf numFmtId="176" fontId="5" fillId="0" borderId="2" xfId="0" applyNumberFormat="1" applyFont="1" applyBorder="1"/>
    <xf numFmtId="0" fontId="6" fillId="3" borderId="0" xfId="0" applyFont="1" applyFill="1"/>
    <xf numFmtId="180" fontId="6" fillId="3" borderId="0" xfId="0" applyNumberFormat="1" applyFont="1" applyFill="1" applyAlignment="1">
      <alignment horizontal="center"/>
    </xf>
    <xf numFmtId="3" fontId="5" fillId="0" borderId="2" xfId="0" applyNumberFormat="1" applyFont="1" applyBorder="1"/>
    <xf numFmtId="177" fontId="4" fillId="0" borderId="2" xfId="0" applyNumberFormat="1" applyFont="1" applyBorder="1"/>
    <xf numFmtId="0" fontId="6" fillId="2" borderId="1" xfId="0" applyFont="1" applyFill="1" applyBorder="1" applyAlignment="1">
      <alignment horizontal="center" wrapText="1"/>
    </xf>
    <xf numFmtId="0" fontId="4" fillId="0" borderId="5" xfId="0" applyFont="1" applyBorder="1"/>
    <xf numFmtId="177" fontId="5" fillId="0" borderId="5" xfId="0" applyNumberFormat="1" applyFont="1" applyBorder="1"/>
    <xf numFmtId="0" fontId="1" fillId="0" borderId="5" xfId="0" applyFont="1" applyBorder="1"/>
    <xf numFmtId="176" fontId="5" fillId="0" borderId="5" xfId="0" applyNumberFormat="1" applyFont="1" applyBorder="1"/>
    <xf numFmtId="0" fontId="5" fillId="0" borderId="5" xfId="0" applyFont="1" applyBorder="1"/>
    <xf numFmtId="176" fontId="5" fillId="0" borderId="6" xfId="0" applyNumberFormat="1" applyFont="1" applyBorder="1"/>
    <xf numFmtId="179" fontId="5" fillId="0" borderId="6" xfId="0" applyNumberFormat="1" applyFont="1" applyBorder="1"/>
    <xf numFmtId="177" fontId="5" fillId="0" borderId="6" xfId="0" applyNumberFormat="1" applyFont="1" applyBorder="1"/>
    <xf numFmtId="0" fontId="6" fillId="3" borderId="6" xfId="0" applyFont="1" applyFill="1" applyBorder="1" applyAlignment="1">
      <alignment horizontal="center" wrapText="1"/>
    </xf>
    <xf numFmtId="177" fontId="6" fillId="3" borderId="6" xfId="0" applyNumberFormat="1" applyFont="1" applyFill="1" applyBorder="1" applyAlignment="1">
      <alignment horizontal="center"/>
    </xf>
    <xf numFmtId="179" fontId="6" fillId="3" borderId="6" xfId="0" applyNumberFormat="1" applyFont="1" applyFill="1" applyBorder="1" applyAlignment="1">
      <alignment horizontal="center"/>
    </xf>
    <xf numFmtId="176" fontId="4" fillId="0" borderId="0" xfId="0" applyNumberFormat="1" applyFont="1"/>
    <xf numFmtId="0" fontId="9" fillId="0" borderId="0" xfId="0" applyFont="1"/>
    <xf numFmtId="0" fontId="10" fillId="0" borderId="7" xfId="0" applyFont="1" applyBorder="1"/>
    <xf numFmtId="176" fontId="11" fillId="0" borderId="8" xfId="0" applyNumberFormat="1" applyFont="1" applyBorder="1"/>
    <xf numFmtId="179" fontId="11" fillId="0" borderId="8" xfId="0" applyNumberFormat="1" applyFont="1" applyBorder="1"/>
    <xf numFmtId="0" fontId="4" fillId="6" borderId="9" xfId="0" applyFont="1" applyFill="1" applyBorder="1"/>
    <xf numFmtId="176" fontId="4" fillId="6" borderId="9" xfId="0" applyNumberFormat="1" applyFont="1" applyFill="1" applyBorder="1"/>
    <xf numFmtId="0" fontId="9" fillId="7" borderId="0" xfId="0" applyFont="1" applyFill="1"/>
    <xf numFmtId="3" fontId="12" fillId="0" borderId="7" xfId="0" applyNumberFormat="1" applyFont="1" applyBorder="1"/>
    <xf numFmtId="0" fontId="2" fillId="0" borderId="0" xfId="0" applyFont="1"/>
    <xf numFmtId="0" fontId="0" fillId="0" borderId="0" xfId="0"/>
    <xf numFmtId="0" fontId="1" fillId="0" borderId="0" xfId="0" applyFont="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3366"/>
  </sheetPr>
  <dimension ref="B1:E31"/>
  <sheetViews>
    <sheetView tabSelected="1" workbookViewId="0"/>
  </sheetViews>
  <sheetFormatPr defaultRowHeight="13" x14ac:dyDescent="0.2"/>
  <cols>
    <col min="1" max="1" width="3" customWidth="1"/>
    <col min="2" max="2" width="30" customWidth="1"/>
    <col min="3" max="5" width="22" customWidth="1"/>
  </cols>
  <sheetData>
    <row r="1" spans="2:5" ht="14" customHeight="1" x14ac:dyDescent="0.3">
      <c r="B1" s="55" t="s">
        <v>0</v>
      </c>
      <c r="C1" s="54"/>
      <c r="D1" s="54"/>
      <c r="E1" s="54"/>
    </row>
    <row r="3" spans="2:5" ht="18" customHeight="1" x14ac:dyDescent="0.4">
      <c r="B3" s="53" t="s">
        <v>1</v>
      </c>
      <c r="C3" s="54"/>
      <c r="D3" s="54"/>
    </row>
    <row r="4" spans="2:5" ht="14" customHeight="1" x14ac:dyDescent="0.3">
      <c r="B4" s="3" t="s">
        <v>2</v>
      </c>
    </row>
    <row r="6" spans="2:5" ht="14" customHeight="1" x14ac:dyDescent="0.3">
      <c r="B6" s="4" t="s">
        <v>3</v>
      </c>
      <c r="C6" t="s">
        <v>4</v>
      </c>
    </row>
    <row r="7" spans="2:5" ht="14" customHeight="1" x14ac:dyDescent="0.3">
      <c r="B7" s="4" t="s">
        <v>5</v>
      </c>
      <c r="C7" t="s">
        <v>6</v>
      </c>
    </row>
    <row r="8" spans="2:5" ht="14" customHeight="1" x14ac:dyDescent="0.3">
      <c r="B8" s="4" t="s">
        <v>7</v>
      </c>
      <c r="C8" t="s">
        <v>8</v>
      </c>
    </row>
    <row r="9" spans="2:5" ht="14" customHeight="1" x14ac:dyDescent="0.3">
      <c r="B9" s="4" t="s">
        <v>9</v>
      </c>
      <c r="C9" s="5">
        <v>5073</v>
      </c>
    </row>
    <row r="10" spans="2:5" ht="14" customHeight="1" x14ac:dyDescent="0.3">
      <c r="B10" s="4" t="s">
        <v>10</v>
      </c>
      <c r="C10" s="5">
        <f>MAX(0,IFERROR((IF(COUNT(C16:C17)=0,"N/A",ROUND(AVERAGE(C16:C17),0)))*1,0))+C22</f>
        <v>2600</v>
      </c>
    </row>
    <row r="11" spans="2:5" ht="14" customHeight="1" x14ac:dyDescent="0.3">
      <c r="B11" s="4" t="s">
        <v>11</v>
      </c>
      <c r="C11" s="6" t="str">
        <f>IF(NOT(ISNUMBER(C12)),"N/A",IF(C12&gt;0.15,"BUY",IF(C12&gt;0.05,"HOLD","SELL")))</f>
        <v>SELL</v>
      </c>
    </row>
    <row r="12" spans="2:5" ht="14" customHeight="1" x14ac:dyDescent="0.3">
      <c r="B12" s="4" t="s">
        <v>12</v>
      </c>
      <c r="C12" s="7">
        <f>IF(ISNUMBER(C10),(C10-C9)/C9,"N/A")</f>
        <v>-0.48748275182337869</v>
      </c>
    </row>
    <row r="14" spans="2:5" ht="14" customHeight="1" x14ac:dyDescent="0.3">
      <c r="B14" s="8" t="s">
        <v>13</v>
      </c>
      <c r="C14" s="9"/>
      <c r="D14" s="9"/>
    </row>
    <row r="15" spans="2:5" ht="14" customHeight="1" x14ac:dyDescent="0.3">
      <c r="B15" s="10" t="s">
        <v>14</v>
      </c>
      <c r="C15" s="10" t="s">
        <v>15</v>
      </c>
      <c r="D15" s="10" t="s">
        <v>16</v>
      </c>
    </row>
    <row r="16" spans="2:5" ht="13.5" customHeight="1" x14ac:dyDescent="0.25">
      <c r="B16" t="s">
        <v>17</v>
      </c>
      <c r="C16" s="11" t="str">
        <f>IF('DCF Model'!C53&lt;'DCF Model'!C16,"INVALID (EV &lt; net debt)",'DCF Model'!C55)</f>
        <v>INVALID (EV &lt; net debt)</v>
      </c>
      <c r="D16" s="7" t="str">
        <f>IF(ISNUMBER(C16),(C16-C9)/C9,"N/A")</f>
        <v>N/A</v>
      </c>
    </row>
    <row r="17" spans="2:5" ht="13.5" customHeight="1" x14ac:dyDescent="0.25">
      <c r="B17" t="s">
        <v>18</v>
      </c>
      <c r="C17" s="11">
        <f>IF('DCF Model'!C62&lt;'DCF Model'!C16,"INVALID (EV &lt; net debt)",'DCF Model'!C64)</f>
        <v>446</v>
      </c>
      <c r="D17" s="7">
        <f>IF(ISNUMBER(C17),(C17-C9)/C9,"N/A")</f>
        <v>-0.91208357973585652</v>
      </c>
    </row>
    <row r="18" spans="2:5" ht="13.5" customHeight="1" x14ac:dyDescent="0.25">
      <c r="B18" t="s">
        <v>19</v>
      </c>
      <c r="C18" s="11" t="s">
        <v>20</v>
      </c>
      <c r="D18" s="7" t="str">
        <f>IF(ISNUMBER(C18),(C18-C9)/C9,"N/A")</f>
        <v>N/A</v>
      </c>
    </row>
    <row r="19" spans="2:5" ht="13.5" customHeight="1" x14ac:dyDescent="0.25">
      <c r="B19" t="s">
        <v>21</v>
      </c>
      <c r="C19" s="11">
        <f>'Comps Analysis'!C28</f>
        <v>5711</v>
      </c>
      <c r="D19" s="7">
        <f>IF(ISNUMBER(C19),(C19-C9)/C9,"N/A")</f>
        <v>0.12576384782180169</v>
      </c>
    </row>
    <row r="20" spans="2:5" ht="14" customHeight="1" x14ac:dyDescent="0.3">
      <c r="B20" s="55" t="s">
        <v>22</v>
      </c>
      <c r="C20" s="54"/>
      <c r="D20" s="54"/>
      <c r="E20" s="54"/>
    </row>
    <row r="21" spans="2:5" ht="14" customHeight="1" x14ac:dyDescent="0.3">
      <c r="B21" s="4" t="s">
        <v>23</v>
      </c>
      <c r="C21" s="6" t="str">
        <f>IF(COUNT(C16:C17)=0,"N/A",MIN(C16:C17)&amp;" - "&amp;MAX(C16:C17))</f>
        <v>446 - 446</v>
      </c>
    </row>
    <row r="22" spans="2:5" ht="14" x14ac:dyDescent="0.3">
      <c r="B22" s="4" t="s">
        <v>24</v>
      </c>
      <c r="C22" s="44">
        <f>'Equity Method Value'!C12</f>
        <v>2154</v>
      </c>
    </row>
    <row r="23" spans="2:5" ht="14" customHeight="1" x14ac:dyDescent="0.3">
      <c r="B23" s="8" t="s">
        <v>25</v>
      </c>
      <c r="C23" s="9"/>
      <c r="D23" s="9"/>
    </row>
    <row r="24" spans="2:5" x14ac:dyDescent="0.2">
      <c r="B24" t="s">
        <v>26</v>
      </c>
    </row>
    <row r="25" spans="2:5" x14ac:dyDescent="0.2">
      <c r="B25" t="s">
        <v>27</v>
      </c>
    </row>
    <row r="26" spans="2:5" x14ac:dyDescent="0.2">
      <c r="B26" t="s">
        <v>28</v>
      </c>
    </row>
    <row r="28" spans="2:5" ht="14" customHeight="1" x14ac:dyDescent="0.3">
      <c r="B28" s="8" t="s">
        <v>29</v>
      </c>
      <c r="C28" s="9"/>
      <c r="D28" s="9"/>
    </row>
    <row r="29" spans="2:5" x14ac:dyDescent="0.2">
      <c r="B29" t="s">
        <v>30</v>
      </c>
    </row>
    <row r="30" spans="2:5" x14ac:dyDescent="0.2">
      <c r="B30" t="s">
        <v>31</v>
      </c>
    </row>
    <row r="31" spans="2:5" x14ac:dyDescent="0.2">
      <c r="B31" t="s">
        <v>32</v>
      </c>
    </row>
  </sheetData>
  <mergeCells count="3">
    <mergeCell ref="B3:D3"/>
    <mergeCell ref="B1:E1"/>
    <mergeCell ref="B20:E20"/>
  </mergeCells>
  <phoneticPr fontId="8"/>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3366"/>
  </sheetPr>
  <dimension ref="B2:D30"/>
  <sheetViews>
    <sheetView workbookViewId="0"/>
  </sheetViews>
  <sheetFormatPr defaultRowHeight="13" x14ac:dyDescent="0.2"/>
  <cols>
    <col min="1" max="1" width="3" customWidth="1"/>
    <col min="2" max="2" width="32" customWidth="1"/>
    <col min="3" max="4" width="18" customWidth="1"/>
  </cols>
  <sheetData>
    <row r="2" spans="2:4" ht="18" customHeight="1" x14ac:dyDescent="0.4">
      <c r="B2" s="2" t="s">
        <v>33</v>
      </c>
    </row>
    <row r="4" spans="2:4" ht="14" customHeight="1" x14ac:dyDescent="0.3">
      <c r="C4" s="10" t="s">
        <v>34</v>
      </c>
      <c r="D4" s="10" t="s">
        <v>35</v>
      </c>
    </row>
    <row r="5" spans="2:4" ht="14" customHeight="1" x14ac:dyDescent="0.3">
      <c r="B5" s="3" t="s">
        <v>36</v>
      </c>
    </row>
    <row r="6" spans="2:4" ht="14" customHeight="1" x14ac:dyDescent="0.3">
      <c r="B6" s="4" t="s">
        <v>37</v>
      </c>
      <c r="C6" s="5">
        <v>7790168</v>
      </c>
      <c r="D6" s="5">
        <v>8265841</v>
      </c>
    </row>
    <row r="7" spans="2:4" ht="14" customHeight="1" x14ac:dyDescent="0.3">
      <c r="B7" s="4" t="s">
        <v>38</v>
      </c>
      <c r="C7" s="5"/>
      <c r="D7" s="5"/>
    </row>
    <row r="8" spans="2:4" ht="14" customHeight="1" x14ac:dyDescent="0.3">
      <c r="B8" s="4" t="s">
        <v>39</v>
      </c>
    </row>
    <row r="9" spans="2:4" x14ac:dyDescent="0.2">
      <c r="B9" t="s">
        <v>40</v>
      </c>
    </row>
    <row r="10" spans="2:4" ht="14" customHeight="1" x14ac:dyDescent="0.3">
      <c r="B10" s="4" t="s">
        <v>41</v>
      </c>
      <c r="C10" s="5"/>
      <c r="D10" s="5"/>
    </row>
    <row r="11" spans="2:4" ht="14" customHeight="1" x14ac:dyDescent="0.3">
      <c r="B11" s="4" t="s">
        <v>42</v>
      </c>
      <c r="C11" s="5">
        <v>283591</v>
      </c>
      <c r="D11" s="5">
        <v>269103</v>
      </c>
    </row>
    <row r="12" spans="2:4" ht="14" customHeight="1" x14ac:dyDescent="0.3">
      <c r="B12" s="4" t="s">
        <v>43</v>
      </c>
      <c r="C12" s="5">
        <v>211259</v>
      </c>
      <c r="D12" s="5">
        <v>230891</v>
      </c>
    </row>
    <row r="13" spans="2:4" ht="13.5" customHeight="1" x14ac:dyDescent="0.25">
      <c r="B13" t="s">
        <v>44</v>
      </c>
      <c r="C13" s="7">
        <f>C11/C6</f>
        <v>3.6403707853283777E-2</v>
      </c>
      <c r="D13" s="7">
        <f>D11/D6</f>
        <v>3.2556033923226931E-2</v>
      </c>
    </row>
    <row r="14" spans="2:4" ht="13.5" customHeight="1" x14ac:dyDescent="0.25">
      <c r="B14" t="s">
        <v>45</v>
      </c>
      <c r="C14" s="7">
        <f>C12/C6</f>
        <v>2.71186706114682E-2</v>
      </c>
      <c r="D14" s="7">
        <f>D12/D6</f>
        <v>2.7933152839499334E-2</v>
      </c>
    </row>
    <row r="15" spans="2:4" ht="13.5" customHeight="1" x14ac:dyDescent="0.25">
      <c r="B15" t="s">
        <v>46</v>
      </c>
      <c r="C15" t="s">
        <v>47</v>
      </c>
      <c r="D15" s="7">
        <f>(D6-C6)/C6</f>
        <v>6.1060685725904756E-2</v>
      </c>
    </row>
    <row r="16" spans="2:4" ht="13.5" customHeight="1" x14ac:dyDescent="0.25">
      <c r="B16" t="s">
        <v>48</v>
      </c>
      <c r="C16" t="s">
        <v>47</v>
      </c>
      <c r="D16" s="7">
        <f>(D11-C11)/C11</f>
        <v>-5.1087657929906098E-2</v>
      </c>
    </row>
    <row r="18" spans="2:4" ht="14" customHeight="1" x14ac:dyDescent="0.3">
      <c r="B18" s="3" t="s">
        <v>49</v>
      </c>
    </row>
    <row r="19" spans="2:4" ht="14" customHeight="1" x14ac:dyDescent="0.3">
      <c r="B19" s="4" t="s">
        <v>50</v>
      </c>
      <c r="C19" s="5">
        <v>597945</v>
      </c>
      <c r="D19" s="5">
        <v>535398</v>
      </c>
    </row>
    <row r="20" spans="2:4" ht="14" customHeight="1" x14ac:dyDescent="0.3">
      <c r="B20" s="4" t="s">
        <v>51</v>
      </c>
      <c r="C20" s="5"/>
      <c r="D20" s="5"/>
    </row>
    <row r="21" spans="2:4" ht="14" customHeight="1" x14ac:dyDescent="0.3">
      <c r="B21" s="4" t="s">
        <v>52</v>
      </c>
    </row>
    <row r="22" spans="2:4" x14ac:dyDescent="0.2">
      <c r="B22" t="s">
        <v>53</v>
      </c>
    </row>
    <row r="23" spans="2:4" x14ac:dyDescent="0.2">
      <c r="B23" t="s">
        <v>54</v>
      </c>
    </row>
    <row r="25" spans="2:4" ht="14" customHeight="1" x14ac:dyDescent="0.3">
      <c r="B25" s="3" t="s">
        <v>55</v>
      </c>
    </row>
    <row r="26" spans="2:4" ht="14" customHeight="1" x14ac:dyDescent="0.3">
      <c r="B26" s="4" t="s">
        <v>56</v>
      </c>
      <c r="C26" s="5">
        <v>569144</v>
      </c>
      <c r="D26" s="5">
        <v>551064</v>
      </c>
    </row>
    <row r="27" spans="2:4" ht="14" customHeight="1" x14ac:dyDescent="0.3">
      <c r="B27" s="4" t="s">
        <v>57</v>
      </c>
      <c r="C27" s="5">
        <v>2535010</v>
      </c>
      <c r="D27" s="5">
        <v>2409977</v>
      </c>
    </row>
    <row r="28" spans="2:4" ht="14" customHeight="1" x14ac:dyDescent="0.3">
      <c r="B28" s="4" t="s">
        <v>58</v>
      </c>
      <c r="C28" s="5">
        <f>C27-C26</f>
        <v>1965866</v>
      </c>
      <c r="D28" s="5">
        <f>D27-D26</f>
        <v>1858913</v>
      </c>
    </row>
    <row r="30" spans="2:4" ht="14" customHeight="1" x14ac:dyDescent="0.3">
      <c r="B30" s="1" t="s">
        <v>59</v>
      </c>
    </row>
  </sheetData>
  <phoneticPr fontId="8"/>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6600"/>
  </sheetPr>
  <dimension ref="B2:G87"/>
  <sheetViews>
    <sheetView workbookViewId="0"/>
  </sheetViews>
  <sheetFormatPr defaultRowHeight="13" x14ac:dyDescent="0.2"/>
  <cols>
    <col min="1" max="1" width="3" customWidth="1"/>
    <col min="2" max="2" width="32" customWidth="1"/>
    <col min="3" max="7" width="16" customWidth="1"/>
  </cols>
  <sheetData>
    <row r="2" spans="2:7" ht="18" customHeight="1" x14ac:dyDescent="0.4">
      <c r="B2" s="2" t="s">
        <v>60</v>
      </c>
    </row>
    <row r="4" spans="2:7" ht="14" customHeight="1" x14ac:dyDescent="0.3">
      <c r="B4" s="8" t="s">
        <v>61</v>
      </c>
      <c r="C4" s="9"/>
      <c r="D4" s="9"/>
      <c r="E4" s="9"/>
      <c r="F4" s="9"/>
      <c r="G4" s="9"/>
    </row>
    <row r="5" spans="2:7" ht="14" customHeight="1" x14ac:dyDescent="0.3">
      <c r="B5" s="4" t="s">
        <v>54</v>
      </c>
      <c r="C5" s="7">
        <v>2.529E-2</v>
      </c>
    </row>
    <row r="6" spans="2:7" ht="14" customHeight="1" x14ac:dyDescent="0.3">
      <c r="B6" s="4" t="s">
        <v>62</v>
      </c>
      <c r="C6" s="7">
        <v>0.25</v>
      </c>
    </row>
    <row r="7" spans="2:7" ht="14" customHeight="1" x14ac:dyDescent="0.3">
      <c r="B7" s="4" t="s">
        <v>63</v>
      </c>
      <c r="C7" s="7">
        <v>2.9700000000000001E-2</v>
      </c>
    </row>
    <row r="8" spans="2:7" ht="14" customHeight="1" x14ac:dyDescent="0.3">
      <c r="B8" s="4" t="s">
        <v>64</v>
      </c>
      <c r="C8" s="12">
        <v>1.1644000000000001</v>
      </c>
    </row>
    <row r="9" spans="2:7" ht="14" customHeight="1" x14ac:dyDescent="0.3">
      <c r="B9" s="4" t="s">
        <v>65</v>
      </c>
      <c r="C9" s="7">
        <v>6.5000000000000002E-2</v>
      </c>
    </row>
    <row r="10" spans="2:7" ht="14" customHeight="1" x14ac:dyDescent="0.3">
      <c r="B10" s="4" t="s">
        <v>66</v>
      </c>
      <c r="C10" s="7">
        <v>0.01</v>
      </c>
    </row>
    <row r="11" spans="2:7" ht="14" customHeight="1" x14ac:dyDescent="0.3">
      <c r="B11" s="4" t="s">
        <v>67</v>
      </c>
      <c r="C11" s="7">
        <v>0.01</v>
      </c>
    </row>
    <row r="12" spans="2:7" ht="14" customHeight="1" x14ac:dyDescent="0.3">
      <c r="B12" s="4" t="s">
        <v>68</v>
      </c>
      <c r="C12" s="13">
        <v>0.24340000000000001</v>
      </c>
    </row>
    <row r="13" spans="2:7" ht="14" customHeight="1" x14ac:dyDescent="0.3">
      <c r="B13" s="4" t="s">
        <v>69</v>
      </c>
      <c r="C13" s="7">
        <v>0.01</v>
      </c>
    </row>
    <row r="14" spans="2:7" ht="14" customHeight="1" x14ac:dyDescent="0.3">
      <c r="B14" s="4" t="s">
        <v>70</v>
      </c>
      <c r="C14" s="14">
        <v>7</v>
      </c>
    </row>
    <row r="15" spans="2:7" ht="14" customHeight="1" x14ac:dyDescent="0.3">
      <c r="B15" s="4" t="s">
        <v>71</v>
      </c>
      <c r="C15" s="15">
        <v>1626915034</v>
      </c>
    </row>
    <row r="16" spans="2:7" ht="14" customHeight="1" x14ac:dyDescent="0.3">
      <c r="B16" s="4" t="s">
        <v>72</v>
      </c>
      <c r="C16" s="5">
        <v>2008779</v>
      </c>
    </row>
    <row r="17" spans="2:7" ht="14" customHeight="1" x14ac:dyDescent="0.3">
      <c r="B17" s="4" t="s">
        <v>73</v>
      </c>
      <c r="C17" s="5">
        <v>8265841</v>
      </c>
    </row>
    <row r="18" spans="2:7" ht="14" customHeight="1" x14ac:dyDescent="0.3">
      <c r="B18" s="4" t="s">
        <v>74</v>
      </c>
      <c r="C18" s="7">
        <v>2.529E-2</v>
      </c>
    </row>
    <row r="19" spans="2:7" ht="14" customHeight="1" x14ac:dyDescent="0.3">
      <c r="B19" s="4" t="s">
        <v>75</v>
      </c>
      <c r="C19" s="12">
        <v>1</v>
      </c>
    </row>
    <row r="20" spans="2:7" ht="14" customHeight="1" x14ac:dyDescent="0.3">
      <c r="B20" s="4" t="s">
        <v>76</v>
      </c>
      <c r="C20" s="5">
        <v>8265841</v>
      </c>
    </row>
    <row r="22" spans="2:7" ht="14" customHeight="1" x14ac:dyDescent="0.3">
      <c r="B22" s="8" t="s">
        <v>77</v>
      </c>
      <c r="C22" s="9"/>
      <c r="D22" s="9"/>
      <c r="E22" s="9"/>
      <c r="F22" s="9"/>
      <c r="G22" s="9"/>
    </row>
    <row r="23" spans="2:7" ht="14" customHeight="1" x14ac:dyDescent="0.3">
      <c r="B23" s="4" t="s">
        <v>78</v>
      </c>
      <c r="C23" s="16">
        <f>C7+C8*C9+C10</f>
        <v>0.115386</v>
      </c>
    </row>
    <row r="24" spans="2:7" ht="14" customHeight="1" x14ac:dyDescent="0.3">
      <c r="B24" s="4" t="s">
        <v>79</v>
      </c>
      <c r="C24" s="16">
        <f>1/(1+C12)</f>
        <v>0.80424642110342603</v>
      </c>
    </row>
    <row r="25" spans="2:7" ht="14" customHeight="1" x14ac:dyDescent="0.3">
      <c r="B25" s="4" t="s">
        <v>80</v>
      </c>
      <c r="C25" s="16">
        <f>C12/(1+C12)</f>
        <v>0.19575357889657391</v>
      </c>
    </row>
    <row r="26" spans="2:7" ht="14" customHeight="1" x14ac:dyDescent="0.3">
      <c r="B26" s="4" t="s">
        <v>81</v>
      </c>
      <c r="C26" s="16">
        <f>C23*C24+C11*C25</f>
        <v>9.4756313334405651E-2</v>
      </c>
    </row>
    <row r="27" spans="2:7" ht="14" customHeight="1" x14ac:dyDescent="0.3">
      <c r="B27" s="4" t="s">
        <v>82</v>
      </c>
      <c r="C27" s="17" t="s">
        <v>83</v>
      </c>
      <c r="D27" s="6">
        <f>MATCH(C27,B69:B73,0)</f>
        <v>1</v>
      </c>
    </row>
    <row r="28" spans="2:7" ht="14" customHeight="1" x14ac:dyDescent="0.3">
      <c r="B28" s="8" t="s">
        <v>84</v>
      </c>
      <c r="C28" s="9"/>
      <c r="D28" s="9"/>
      <c r="E28" s="9"/>
      <c r="F28" s="9"/>
      <c r="G28" s="9"/>
    </row>
    <row r="29" spans="2:7" ht="14" customHeight="1" x14ac:dyDescent="0.3">
      <c r="C29" s="10" t="s">
        <v>85</v>
      </c>
      <c r="D29" s="10" t="s">
        <v>86</v>
      </c>
      <c r="E29" s="10" t="s">
        <v>87</v>
      </c>
      <c r="F29" s="10" t="s">
        <v>88</v>
      </c>
      <c r="G29" s="10" t="s">
        <v>89</v>
      </c>
    </row>
    <row r="30" spans="2:7" ht="14" customHeight="1" x14ac:dyDescent="0.3">
      <c r="B30" s="4" t="s">
        <v>46</v>
      </c>
      <c r="C30" s="18">
        <f>CHOOSE($D$27,C69,C70,C71,C72,C73)</f>
        <v>0.02</v>
      </c>
      <c r="D30" s="18">
        <f>CHOOSE($D$27,D69,D70,D71,D72,D73)</f>
        <v>1.4999999999999999E-2</v>
      </c>
      <c r="E30" s="18">
        <f>CHOOSE($D$27,E69,E70,E71,E72,E73)</f>
        <v>1.4999999999999999E-2</v>
      </c>
      <c r="F30" s="18">
        <f>CHOOSE($D$27,F69,F70,F71,F72,F73)</f>
        <v>0.01</v>
      </c>
      <c r="G30" s="18">
        <f>CHOOSE($D$27,G69,G70,G71,G72,G73)</f>
        <v>0.01</v>
      </c>
    </row>
    <row r="31" spans="2:7" ht="14" customHeight="1" x14ac:dyDescent="0.3">
      <c r="B31" s="4" t="s">
        <v>90</v>
      </c>
      <c r="C31" s="18">
        <f>CHOOSE($D$27,C76,C77,C78,C79,C80)</f>
        <v>0.8569</v>
      </c>
      <c r="D31" s="18">
        <f>CHOOSE($D$27,D76,D77,D78,D79,D80)</f>
        <v>0.8569</v>
      </c>
      <c r="E31" s="18">
        <f>CHOOSE($D$27,E76,E77,E78,E79,E80)</f>
        <v>0.8569</v>
      </c>
      <c r="F31" s="18">
        <f>CHOOSE($D$27,F76,F77,F78,F79,F80)</f>
        <v>0.8569</v>
      </c>
      <c r="G31" s="18">
        <f>CHOOSE($D$27,G76,G77,G78,G79,G80)</f>
        <v>0.8569</v>
      </c>
    </row>
    <row r="32" spans="2:7" ht="14" customHeight="1" x14ac:dyDescent="0.3">
      <c r="B32" s="4" t="s">
        <v>91</v>
      </c>
      <c r="C32" s="18">
        <f>CHOOSE($D$27,C83,C84,C85,C86,C87)</f>
        <v>0.1105</v>
      </c>
      <c r="D32" s="18">
        <f>CHOOSE($D$27,D83,D84,D85,D86,D87)</f>
        <v>0.1105</v>
      </c>
      <c r="E32" s="18">
        <f>CHOOSE($D$27,E83,E84,E85,E86,E87)</f>
        <v>0.1105</v>
      </c>
      <c r="F32" s="18">
        <f>CHOOSE($D$27,F83,F84,F85,F86,F87)</f>
        <v>0.1105</v>
      </c>
      <c r="G32" s="18">
        <f>CHOOSE($D$27,G83,G84,G85,G86,G87)</f>
        <v>0.1105</v>
      </c>
    </row>
    <row r="33" spans="2:7" ht="14" customHeight="1" x14ac:dyDescent="0.3">
      <c r="B33" s="4" t="s">
        <v>37</v>
      </c>
      <c r="C33" s="5">
        <f>C17*(1+C30)</f>
        <v>8431157.8200000003</v>
      </c>
      <c r="D33" s="5">
        <f>C33*(1+D30)</f>
        <v>8557625.1873000003</v>
      </c>
      <c r="E33" s="5">
        <f>D33*(1+E30)</f>
        <v>8685989.5651094988</v>
      </c>
      <c r="F33" s="5">
        <f>E33*(1+F30)</f>
        <v>8772849.4607605934</v>
      </c>
      <c r="G33" s="5">
        <f>F33*(1+G30)</f>
        <v>8860577.9553682003</v>
      </c>
    </row>
    <row r="34" spans="2:7" ht="14" customHeight="1" x14ac:dyDescent="0.3">
      <c r="B34" s="4" t="s">
        <v>38</v>
      </c>
      <c r="C34" s="5">
        <f>C33*C31</f>
        <v>7224659.1359580001</v>
      </c>
      <c r="D34" s="5">
        <f>D33*D31</f>
        <v>7333029.02299737</v>
      </c>
      <c r="E34" s="5">
        <f>E33*E31</f>
        <v>7443024.4583423296</v>
      </c>
      <c r="F34" s="5">
        <f>F33*F31</f>
        <v>7517454.7029257528</v>
      </c>
      <c r="G34" s="5">
        <f>G33*G31</f>
        <v>7592629.2499550106</v>
      </c>
    </row>
    <row r="35" spans="2:7" ht="14" customHeight="1" x14ac:dyDescent="0.3">
      <c r="B35" s="4" t="s">
        <v>39</v>
      </c>
      <c r="C35" s="19">
        <f>C33-C34</f>
        <v>1206498.6840420002</v>
      </c>
      <c r="D35" s="19">
        <f>D33-D34</f>
        <v>1224596.1643026303</v>
      </c>
      <c r="E35" s="19">
        <f>E33-E34</f>
        <v>1242965.1067671692</v>
      </c>
      <c r="F35" s="19">
        <f>F33-F34</f>
        <v>1255394.7578348406</v>
      </c>
      <c r="G35" s="19">
        <f>G33-G34</f>
        <v>1267948.7054131897</v>
      </c>
    </row>
    <row r="36" spans="2:7" ht="14" customHeight="1" x14ac:dyDescent="0.3">
      <c r="B36" s="4" t="s">
        <v>40</v>
      </c>
      <c r="C36" s="7">
        <f>C35/C33</f>
        <v>0.14310000000000003</v>
      </c>
      <c r="D36" s="7">
        <f>D35/D33</f>
        <v>0.14310000000000003</v>
      </c>
      <c r="E36" s="7">
        <f>E35/E33</f>
        <v>0.14309999999999998</v>
      </c>
      <c r="F36" s="7">
        <f>F35/F33</f>
        <v>0.14309999999999995</v>
      </c>
      <c r="G36" s="7">
        <f>G35/G33</f>
        <v>0.14310000000000003</v>
      </c>
    </row>
    <row r="37" spans="2:7" ht="14" customHeight="1" x14ac:dyDescent="0.3">
      <c r="B37" s="4" t="s">
        <v>92</v>
      </c>
      <c r="C37" s="5">
        <f>C33*C32</f>
        <v>931642.93911000004</v>
      </c>
      <c r="D37" s="5">
        <f>D33*D32</f>
        <v>945617.58319665003</v>
      </c>
      <c r="E37" s="5">
        <f>E33*E32</f>
        <v>959801.84694459965</v>
      </c>
      <c r="F37" s="5">
        <f>F33*F32</f>
        <v>969399.86541404563</v>
      </c>
      <c r="G37" s="5">
        <f>G33*G32</f>
        <v>979093.86406818614</v>
      </c>
    </row>
    <row r="38" spans="2:7" ht="14" customHeight="1" x14ac:dyDescent="0.3">
      <c r="B38" s="4" t="s">
        <v>93</v>
      </c>
      <c r="C38" s="7">
        <f>(C35-C37)/C33</f>
        <v>3.2600000000000018E-2</v>
      </c>
      <c r="D38" s="7">
        <f>(D35-D37)/D33</f>
        <v>3.2600000000000039E-2</v>
      </c>
      <c r="E38" s="7">
        <f>(E35-E37)/E33</f>
        <v>3.259999999999999E-2</v>
      </c>
      <c r="F38" s="7">
        <f>(F35-F37)/F33</f>
        <v>3.2599999999999955E-2</v>
      </c>
      <c r="G38" s="7">
        <f>(G35-G37)/G33</f>
        <v>3.2600000000000025E-2</v>
      </c>
    </row>
    <row r="39" spans="2:7" ht="14" customHeight="1" x14ac:dyDescent="0.3">
      <c r="B39" s="4" t="s">
        <v>94</v>
      </c>
      <c r="C39" s="19">
        <f>C35-C37</f>
        <v>274855.74493200018</v>
      </c>
      <c r="D39" s="19">
        <f>D35-D37</f>
        <v>278978.58110598032</v>
      </c>
      <c r="E39" s="19">
        <f>E35-E37</f>
        <v>283163.25982256955</v>
      </c>
      <c r="F39" s="19">
        <f>F35-F37</f>
        <v>285994.89242079493</v>
      </c>
      <c r="G39" s="19">
        <f>G35-G37</f>
        <v>288854.84134500357</v>
      </c>
    </row>
    <row r="40" spans="2:7" ht="14" customHeight="1" x14ac:dyDescent="0.3">
      <c r="B40" s="4" t="s">
        <v>95</v>
      </c>
      <c r="C40" s="5">
        <f>MAX(0,C39*C6)</f>
        <v>68713.936233000044</v>
      </c>
      <c r="D40" s="5">
        <f>MAX(0,D39*C6)</f>
        <v>69744.645276495081</v>
      </c>
      <c r="E40" s="5">
        <f>MAX(0,E39*C6)</f>
        <v>70790.814955642389</v>
      </c>
      <c r="F40" s="5">
        <f>MAX(0,F39*C6)</f>
        <v>71498.723105198733</v>
      </c>
      <c r="G40" s="5">
        <f>MAX(0,G39*C6)</f>
        <v>72213.710336250893</v>
      </c>
    </row>
    <row r="41" spans="2:7" ht="14" customHeight="1" x14ac:dyDescent="0.3">
      <c r="B41" s="4" t="s">
        <v>96</v>
      </c>
      <c r="C41" s="19">
        <f>C39-C40</f>
        <v>206141.80869900013</v>
      </c>
      <c r="D41" s="19">
        <f>D39-D40</f>
        <v>209233.93582948524</v>
      </c>
      <c r="E41" s="19">
        <f>E39-E40</f>
        <v>212372.44486692717</v>
      </c>
      <c r="F41" s="19">
        <f>F39-F40</f>
        <v>214496.1693155962</v>
      </c>
      <c r="G41" s="19">
        <f>G39-G40</f>
        <v>216641.13100875268</v>
      </c>
    </row>
    <row r="42" spans="2:7" ht="14" customHeight="1" x14ac:dyDescent="0.3">
      <c r="B42" s="4" t="s">
        <v>97</v>
      </c>
      <c r="C42" s="5">
        <f>C33*C18</f>
        <v>213223.9812678</v>
      </c>
      <c r="D42" s="5">
        <f>D33*C18</f>
        <v>216422.340986817</v>
      </c>
      <c r="E42" s="5">
        <f>E33*C18</f>
        <v>219668.67610161923</v>
      </c>
      <c r="F42" s="5">
        <f>F33*C18</f>
        <v>221865.3628626354</v>
      </c>
      <c r="G42" s="5">
        <f>G33*C18</f>
        <v>224084.01649126178</v>
      </c>
    </row>
    <row r="43" spans="2:7" ht="14" customHeight="1" x14ac:dyDescent="0.3">
      <c r="B43" s="4" t="s">
        <v>98</v>
      </c>
      <c r="C43" s="5">
        <f>C33*C5</f>
        <v>213223.9812678</v>
      </c>
      <c r="D43" s="5">
        <f>D33*C5</f>
        <v>216422.340986817</v>
      </c>
      <c r="E43" s="5">
        <f>E33*C5</f>
        <v>219668.67610161923</v>
      </c>
      <c r="F43" s="5">
        <f>F33*C5</f>
        <v>221865.3628626354</v>
      </c>
      <c r="G43" s="5">
        <f>G33*C5</f>
        <v>224084.01649126178</v>
      </c>
    </row>
    <row r="44" spans="2:7" ht="14" customHeight="1" x14ac:dyDescent="0.3">
      <c r="B44" s="4" t="s">
        <v>99</v>
      </c>
      <c r="C44" s="5">
        <f>'NWC Schedule'!D19</f>
        <v>329036.98580000014</v>
      </c>
      <c r="D44" s="5">
        <f>'NWC Schedule'!E19</f>
        <v>24028.799787000054</v>
      </c>
      <c r="E44" s="5">
        <f>'NWC Schedule'!F19</f>
        <v>24389.231783804484</v>
      </c>
      <c r="F44" s="5">
        <f>'NWC Schedule'!G19</f>
        <v>16503.380173708079</v>
      </c>
      <c r="G44" s="5">
        <f>'NWC Schedule'!H19</f>
        <v>16668.413975445321</v>
      </c>
    </row>
    <row r="45" spans="2:7" ht="14" customHeight="1" x14ac:dyDescent="0.3">
      <c r="B45" s="4" t="s">
        <v>100</v>
      </c>
      <c r="C45" s="20">
        <f>C41+C42-C43-C44</f>
        <v>-122895.17710100001</v>
      </c>
      <c r="D45" s="20">
        <f>D41+D42-D43-D44</f>
        <v>185205.13604248516</v>
      </c>
      <c r="E45" s="20">
        <f>E41+E42-E43-E44</f>
        <v>187983.21308312265</v>
      </c>
      <c r="F45" s="20">
        <f>F41+F42-F43-F44</f>
        <v>197992.78914188815</v>
      </c>
      <c r="G45" s="20">
        <f>G41+G42-G43-G44</f>
        <v>199972.71703330736</v>
      </c>
    </row>
    <row r="46" spans="2:7" ht="14" customHeight="1" x14ac:dyDescent="0.3">
      <c r="B46" s="4" t="s">
        <v>101</v>
      </c>
      <c r="C46" s="21">
        <f>1/(1+C26)^(C19+0)</f>
        <v>0.91344529172360089</v>
      </c>
      <c r="D46" s="21">
        <f>1/(1+C26)^(C19+1)</f>
        <v>0.83438230097201438</v>
      </c>
      <c r="E46" s="21">
        <f>1/(1+C26)^(C19+2)</f>
        <v>0.76216258432039108</v>
      </c>
      <c r="F46" s="21">
        <f>1/(1+C26)^(C19+3)</f>
        <v>0.69619382417535325</v>
      </c>
      <c r="G46" s="21">
        <f>1/(1+C26)^(C19+4)</f>
        <v>0.63593497082002493</v>
      </c>
    </row>
    <row r="47" spans="2:7" ht="14" customHeight="1" x14ac:dyDescent="0.3">
      <c r="B47" s="4" t="s">
        <v>102</v>
      </c>
      <c r="C47" s="19">
        <f>C45*C46</f>
        <v>-112258.02089844654</v>
      </c>
      <c r="D47" s="19">
        <f>D45*D46</f>
        <v>154531.88756296373</v>
      </c>
      <c r="E47" s="19">
        <f>E45*E46</f>
        <v>143273.7714922835</v>
      </c>
      <c r="F47" s="19">
        <f>F45*F46</f>
        <v>137841.35703183548</v>
      </c>
      <c r="G47" s="19">
        <f>G45*G46</f>
        <v>127169.64397137742</v>
      </c>
    </row>
    <row r="49" spans="2:7" ht="14" customHeight="1" x14ac:dyDescent="0.3">
      <c r="B49" s="22" t="s">
        <v>103</v>
      </c>
      <c r="C49" s="23"/>
      <c r="D49" s="23"/>
      <c r="E49" s="23"/>
      <c r="F49" s="23"/>
      <c r="G49" s="23"/>
    </row>
    <row r="50" spans="2:7" ht="14" customHeight="1" x14ac:dyDescent="0.3">
      <c r="B50" s="4" t="s">
        <v>104</v>
      </c>
      <c r="C50" s="5">
        <f>SUM(C47:G47)</f>
        <v>450558.63916001358</v>
      </c>
    </row>
    <row r="51" spans="2:7" ht="14" customHeight="1" x14ac:dyDescent="0.3">
      <c r="B51" s="4" t="s">
        <v>105</v>
      </c>
      <c r="C51" s="5">
        <f>G45*(1+C13)/(C26-C13)</f>
        <v>2382978.1671456029</v>
      </c>
    </row>
    <row r="52" spans="2:7" ht="14" customHeight="1" x14ac:dyDescent="0.3">
      <c r="B52" s="4" t="s">
        <v>106</v>
      </c>
      <c r="C52" s="5">
        <f>C51*G46</f>
        <v>1515419.1511884953</v>
      </c>
    </row>
    <row r="53" spans="2:7" ht="14" customHeight="1" x14ac:dyDescent="0.3">
      <c r="B53" s="4" t="s">
        <v>107</v>
      </c>
      <c r="C53" s="5">
        <f>C50+C52</f>
        <v>1965977.7903485089</v>
      </c>
    </row>
    <row r="54" spans="2:7" ht="14" customHeight="1" x14ac:dyDescent="0.3">
      <c r="B54" s="4" t="s">
        <v>108</v>
      </c>
      <c r="C54" s="5">
        <f>C53-C16</f>
        <v>-42801.209651491139</v>
      </c>
    </row>
    <row r="55" spans="2:7" ht="14" customHeight="1" x14ac:dyDescent="0.3">
      <c r="B55" s="4" t="s">
        <v>109</v>
      </c>
      <c r="C55" s="24">
        <f>ROUND(C54*1000000/C15,0)</f>
        <v>-26</v>
      </c>
    </row>
    <row r="57" spans="2:7" ht="14" customHeight="1" x14ac:dyDescent="0.3">
      <c r="B57" s="22" t="s">
        <v>110</v>
      </c>
      <c r="C57" s="23"/>
      <c r="D57" s="23"/>
      <c r="E57" s="23"/>
      <c r="F57" s="23"/>
      <c r="G57" s="23"/>
    </row>
    <row r="58" spans="2:7" ht="14" customHeight="1" x14ac:dyDescent="0.3">
      <c r="B58" s="4" t="s">
        <v>104</v>
      </c>
      <c r="C58" s="5">
        <f>C50</f>
        <v>450558.63916001358</v>
      </c>
    </row>
    <row r="59" spans="2:7" ht="14" customHeight="1" x14ac:dyDescent="0.3">
      <c r="B59" s="4" t="s">
        <v>111</v>
      </c>
      <c r="C59" s="5">
        <f>G39+G42</f>
        <v>512938.85783626535</v>
      </c>
    </row>
    <row r="60" spans="2:7" ht="14" customHeight="1" x14ac:dyDescent="0.3">
      <c r="B60" s="4" t="s">
        <v>112</v>
      </c>
      <c r="C60" s="5">
        <f>C59*C14</f>
        <v>3590572.0048538577</v>
      </c>
    </row>
    <row r="61" spans="2:7" ht="14" customHeight="1" x14ac:dyDescent="0.3">
      <c r="B61" s="4" t="s">
        <v>106</v>
      </c>
      <c r="C61" s="5">
        <f>C60*G46</f>
        <v>2283370.3031339366</v>
      </c>
    </row>
    <row r="62" spans="2:7" ht="14" customHeight="1" x14ac:dyDescent="0.3">
      <c r="B62" s="4" t="s">
        <v>107</v>
      </c>
      <c r="C62" s="5">
        <f>C58+C61</f>
        <v>2733928.9422939504</v>
      </c>
    </row>
    <row r="63" spans="2:7" ht="14" customHeight="1" x14ac:dyDescent="0.3">
      <c r="B63" s="4" t="s">
        <v>108</v>
      </c>
      <c r="C63" s="5">
        <f>C62-C16</f>
        <v>725149.94229395036</v>
      </c>
    </row>
    <row r="64" spans="2:7" ht="14" customHeight="1" x14ac:dyDescent="0.3">
      <c r="B64" s="4" t="s">
        <v>113</v>
      </c>
      <c r="C64" s="24">
        <f>ROUND(C63*1000000/C15,0)</f>
        <v>446</v>
      </c>
    </row>
    <row r="66" spans="2:7" ht="14" customHeight="1" x14ac:dyDescent="0.3">
      <c r="B66" s="22" t="s">
        <v>114</v>
      </c>
      <c r="C66" s="23"/>
      <c r="D66" s="23"/>
      <c r="E66" s="23"/>
      <c r="F66" s="23"/>
      <c r="G66" s="23"/>
    </row>
    <row r="67" spans="2:7" ht="14" customHeight="1" x14ac:dyDescent="0.3">
      <c r="C67" s="25" t="s">
        <v>115</v>
      </c>
      <c r="D67" s="25" t="s">
        <v>116</v>
      </c>
      <c r="E67" s="25" t="s">
        <v>117</v>
      </c>
      <c r="F67" s="25" t="s">
        <v>118</v>
      </c>
      <c r="G67" s="25" t="s">
        <v>119</v>
      </c>
    </row>
    <row r="68" spans="2:7" ht="14" customHeight="1" x14ac:dyDescent="0.3">
      <c r="B68" s="3" t="s">
        <v>46</v>
      </c>
    </row>
    <row r="69" spans="2:7" ht="14" customHeight="1" x14ac:dyDescent="0.3">
      <c r="B69" s="4" t="s">
        <v>83</v>
      </c>
      <c r="C69" s="26">
        <v>0.02</v>
      </c>
      <c r="D69" s="26">
        <v>1.4999999999999999E-2</v>
      </c>
      <c r="E69" s="26">
        <v>1.4999999999999999E-2</v>
      </c>
      <c r="F69" s="26">
        <v>0.01</v>
      </c>
      <c r="G69" s="26">
        <v>0.01</v>
      </c>
    </row>
    <row r="70" spans="2:7" ht="14" customHeight="1" x14ac:dyDescent="0.3">
      <c r="B70" s="4" t="s">
        <v>120</v>
      </c>
      <c r="C70" s="26">
        <v>0.04</v>
      </c>
      <c r="D70" s="26">
        <v>0.03</v>
      </c>
      <c r="E70" s="26">
        <v>2.5000000000000001E-2</v>
      </c>
      <c r="F70" s="26">
        <v>0.02</v>
      </c>
      <c r="G70" s="26">
        <v>1.4999999999999999E-2</v>
      </c>
    </row>
    <row r="71" spans="2:7" ht="14" customHeight="1" x14ac:dyDescent="0.3">
      <c r="B71" s="4" t="s">
        <v>121</v>
      </c>
      <c r="C71" s="26">
        <v>0.02</v>
      </c>
      <c r="D71" s="26">
        <v>1.4999999999999999E-2</v>
      </c>
      <c r="E71" s="26">
        <v>1.4999999999999999E-2</v>
      </c>
      <c r="F71" s="26">
        <v>0.01</v>
      </c>
      <c r="G71" s="26">
        <v>0.01</v>
      </c>
    </row>
    <row r="72" spans="2:7" ht="14" customHeight="1" x14ac:dyDescent="0.3">
      <c r="B72" s="4" t="s">
        <v>122</v>
      </c>
      <c r="C72" s="26">
        <v>0</v>
      </c>
      <c r="D72" s="26">
        <v>0</v>
      </c>
      <c r="E72" s="26">
        <v>5.0000000000000001E-3</v>
      </c>
      <c r="F72" s="26">
        <v>5.0000000000000001E-3</v>
      </c>
      <c r="G72" s="26">
        <v>5.0000000000000001E-3</v>
      </c>
    </row>
    <row r="73" spans="2:7" ht="14" customHeight="1" x14ac:dyDescent="0.3">
      <c r="B73" s="4" t="s">
        <v>123</v>
      </c>
      <c r="C73" s="26">
        <v>-0.05</v>
      </c>
      <c r="D73" s="26">
        <v>-0.02</v>
      </c>
      <c r="E73" s="26">
        <v>0</v>
      </c>
      <c r="F73" s="26">
        <v>5.0000000000000001E-3</v>
      </c>
      <c r="G73" s="26">
        <v>5.0000000000000001E-3</v>
      </c>
    </row>
    <row r="75" spans="2:7" ht="14" customHeight="1" x14ac:dyDescent="0.3">
      <c r="B75" s="3" t="s">
        <v>90</v>
      </c>
    </row>
    <row r="76" spans="2:7" ht="14" customHeight="1" x14ac:dyDescent="0.3">
      <c r="B76" s="4" t="s">
        <v>83</v>
      </c>
      <c r="C76" s="26">
        <v>0.8569</v>
      </c>
      <c r="D76" s="26">
        <v>0.8569</v>
      </c>
      <c r="E76" s="26">
        <v>0.8569</v>
      </c>
      <c r="F76" s="26">
        <v>0.8569</v>
      </c>
      <c r="G76" s="26">
        <v>0.8569</v>
      </c>
    </row>
    <row r="77" spans="2:7" ht="14" customHeight="1" x14ac:dyDescent="0.3">
      <c r="B77" s="4" t="s">
        <v>120</v>
      </c>
      <c r="C77" s="26">
        <v>0.8569</v>
      </c>
      <c r="D77" s="26">
        <v>0.8569</v>
      </c>
      <c r="E77" s="26">
        <v>0.8569</v>
      </c>
      <c r="F77" s="26">
        <v>0.8569</v>
      </c>
      <c r="G77" s="26">
        <v>0.8569</v>
      </c>
    </row>
    <row r="78" spans="2:7" ht="14" customHeight="1" x14ac:dyDescent="0.3">
      <c r="B78" s="4" t="s">
        <v>121</v>
      </c>
      <c r="C78" s="26">
        <v>0.8569</v>
      </c>
      <c r="D78" s="26">
        <v>0.8569</v>
      </c>
      <c r="E78" s="26">
        <v>0.8569</v>
      </c>
      <c r="F78" s="26">
        <v>0.8569</v>
      </c>
      <c r="G78" s="26">
        <v>0.8569</v>
      </c>
    </row>
    <row r="79" spans="2:7" ht="14" customHeight="1" x14ac:dyDescent="0.3">
      <c r="B79" s="4" t="s">
        <v>122</v>
      </c>
      <c r="C79" s="26">
        <v>0.8569</v>
      </c>
      <c r="D79" s="26">
        <v>0.8569</v>
      </c>
      <c r="E79" s="26">
        <v>0.8569</v>
      </c>
      <c r="F79" s="26">
        <v>0.8569</v>
      </c>
      <c r="G79" s="26">
        <v>0.8569</v>
      </c>
    </row>
    <row r="80" spans="2:7" ht="14" customHeight="1" x14ac:dyDescent="0.3">
      <c r="B80" s="4" t="s">
        <v>123</v>
      </c>
      <c r="C80" s="26">
        <v>0.8569</v>
      </c>
      <c r="D80" s="26">
        <v>0.8569</v>
      </c>
      <c r="E80" s="26">
        <v>0.8569</v>
      </c>
      <c r="F80" s="26">
        <v>0.8569</v>
      </c>
      <c r="G80" s="26">
        <v>0.8569</v>
      </c>
    </row>
    <row r="82" spans="2:7" ht="14" customHeight="1" x14ac:dyDescent="0.3">
      <c r="B82" s="3" t="s">
        <v>91</v>
      </c>
    </row>
    <row r="83" spans="2:7" ht="14" customHeight="1" x14ac:dyDescent="0.3">
      <c r="B83" s="4" t="s">
        <v>83</v>
      </c>
      <c r="C83" s="26">
        <v>0.1105</v>
      </c>
      <c r="D83" s="26">
        <v>0.1105</v>
      </c>
      <c r="E83" s="26">
        <v>0.1105</v>
      </c>
      <c r="F83" s="26">
        <v>0.1105</v>
      </c>
      <c r="G83" s="26">
        <v>0.1105</v>
      </c>
    </row>
    <row r="84" spans="2:7" ht="14" customHeight="1" x14ac:dyDescent="0.3">
      <c r="B84" s="4" t="s">
        <v>120</v>
      </c>
      <c r="C84" s="26">
        <v>0.10730000000000001</v>
      </c>
      <c r="D84" s="26">
        <v>0.10730000000000001</v>
      </c>
      <c r="E84" s="26">
        <v>0.10730000000000001</v>
      </c>
      <c r="F84" s="26">
        <v>0.10730000000000001</v>
      </c>
      <c r="G84" s="26">
        <v>0.10730000000000001</v>
      </c>
    </row>
    <row r="85" spans="2:7" ht="14" customHeight="1" x14ac:dyDescent="0.3">
      <c r="B85" s="4" t="s">
        <v>121</v>
      </c>
      <c r="C85" s="26">
        <v>0.1105</v>
      </c>
      <c r="D85" s="26">
        <v>0.1105</v>
      </c>
      <c r="E85" s="26">
        <v>0.1105</v>
      </c>
      <c r="F85" s="26">
        <v>0.1105</v>
      </c>
      <c r="G85" s="26">
        <v>0.1105</v>
      </c>
    </row>
    <row r="86" spans="2:7" ht="14" customHeight="1" x14ac:dyDescent="0.3">
      <c r="B86" s="4" t="s">
        <v>122</v>
      </c>
      <c r="C86" s="26">
        <v>0.1138</v>
      </c>
      <c r="D86" s="26">
        <v>0.1138</v>
      </c>
      <c r="E86" s="26">
        <v>0.1138</v>
      </c>
      <c r="F86" s="26">
        <v>0.1138</v>
      </c>
      <c r="G86" s="26">
        <v>0.1138</v>
      </c>
    </row>
    <row r="87" spans="2:7" ht="14" customHeight="1" x14ac:dyDescent="0.3">
      <c r="B87" s="4" t="s">
        <v>123</v>
      </c>
      <c r="C87" s="26">
        <v>0.1171</v>
      </c>
      <c r="D87" s="26">
        <v>0.1171</v>
      </c>
      <c r="E87" s="26">
        <v>0.1171</v>
      </c>
      <c r="F87" s="26">
        <v>0.1171</v>
      </c>
      <c r="G87" s="26">
        <v>0.1171</v>
      </c>
    </row>
  </sheetData>
  <phoneticPr fontId="8"/>
  <dataValidations count="1">
    <dataValidation type="list" sqref="C27" xr:uid="{00000000-0002-0000-0200-000000000000}">
      <formula1>"Base,Upside,Management,Downside 1,Downside 2"</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B2:I79"/>
  <sheetViews>
    <sheetView workbookViewId="0"/>
  </sheetViews>
  <sheetFormatPr defaultRowHeight="13" x14ac:dyDescent="0.2"/>
  <cols>
    <col min="1" max="1" width="3" customWidth="1"/>
    <col min="2" max="2" width="52" customWidth="1"/>
    <col min="3" max="9" width="15" customWidth="1"/>
  </cols>
  <sheetData>
    <row r="2" spans="2:9" ht="18" customHeight="1" x14ac:dyDescent="0.4">
      <c r="B2" s="2" t="s">
        <v>124</v>
      </c>
    </row>
    <row r="3" spans="2:9" ht="14" customHeight="1" x14ac:dyDescent="0.3">
      <c r="B3" s="1" t="s">
        <v>125</v>
      </c>
    </row>
    <row r="5" spans="2:9" ht="14" customHeight="1" x14ac:dyDescent="0.3">
      <c r="B5" s="8" t="s">
        <v>126</v>
      </c>
      <c r="C5" s="9"/>
      <c r="D5" s="9"/>
      <c r="E5" s="9"/>
      <c r="F5" s="9"/>
      <c r="G5" s="9"/>
      <c r="H5" s="9"/>
      <c r="I5" s="9"/>
    </row>
    <row r="6" spans="2:9" ht="14" customHeight="1" x14ac:dyDescent="0.3">
      <c r="B6" s="4" t="s">
        <v>127</v>
      </c>
      <c r="C6" s="15">
        <f>'Executive Summary'!C9</f>
        <v>5073</v>
      </c>
    </row>
    <row r="7" spans="2:9" ht="14" customHeight="1" x14ac:dyDescent="0.3">
      <c r="B7" s="4" t="s">
        <v>71</v>
      </c>
      <c r="C7" s="15">
        <f>'DCF Model'!C15</f>
        <v>1626915034</v>
      </c>
    </row>
    <row r="8" spans="2:9" ht="14" customHeight="1" x14ac:dyDescent="0.3">
      <c r="B8" s="4" t="s">
        <v>128</v>
      </c>
      <c r="C8" s="5">
        <f>C6*C7/1000000</f>
        <v>8253339.9674819997</v>
      </c>
    </row>
    <row r="9" spans="2:9" ht="14" customHeight="1" x14ac:dyDescent="0.3">
      <c r="B9" s="4" t="s">
        <v>72</v>
      </c>
      <c r="C9" s="5">
        <f>'DCF Model'!C16</f>
        <v>2008779</v>
      </c>
    </row>
    <row r="10" spans="2:9" ht="14" customHeight="1" x14ac:dyDescent="0.3">
      <c r="B10" s="4" t="s">
        <v>129</v>
      </c>
      <c r="C10" s="5">
        <f>C8+C9</f>
        <v>10262118.967482001</v>
      </c>
    </row>
    <row r="11" spans="2:9" ht="14" customHeight="1" x14ac:dyDescent="0.3">
      <c r="B11" s="4" t="s">
        <v>130</v>
      </c>
      <c r="C11" s="16">
        <f>'DCF Model'!C26</f>
        <v>9.4756313334405651E-2</v>
      </c>
    </row>
    <row r="12" spans="2:9" ht="14" customHeight="1" x14ac:dyDescent="0.3">
      <c r="B12" s="4" t="s">
        <v>131</v>
      </c>
      <c r="C12" s="16">
        <f>'DCF Model'!C13</f>
        <v>0.01</v>
      </c>
    </row>
    <row r="13" spans="2:9" ht="14" customHeight="1" x14ac:dyDescent="0.3">
      <c r="B13" s="4" t="s">
        <v>132</v>
      </c>
      <c r="C13" s="16">
        <f>'DCF Model'!C6</f>
        <v>0.25</v>
      </c>
    </row>
    <row r="14" spans="2:9" ht="14" customHeight="1" x14ac:dyDescent="0.3">
      <c r="B14" s="4" t="s">
        <v>133</v>
      </c>
      <c r="C14" s="27">
        <v>269103</v>
      </c>
    </row>
    <row r="15" spans="2:9" ht="14" customHeight="1" x14ac:dyDescent="0.3">
      <c r="B15" s="4" t="s">
        <v>134</v>
      </c>
      <c r="C15" s="27">
        <v>283591</v>
      </c>
    </row>
    <row r="16" spans="2:9" ht="14" customHeight="1" x14ac:dyDescent="0.3">
      <c r="B16" s="4" t="s">
        <v>135</v>
      </c>
      <c r="C16" s="5">
        <f>'DCF Model'!G33</f>
        <v>8860577.9553682003</v>
      </c>
    </row>
    <row r="17" spans="2:9" ht="14" customHeight="1" x14ac:dyDescent="0.3">
      <c r="B17" s="4" t="s">
        <v>136</v>
      </c>
      <c r="C17" s="5">
        <f>'DCF Model'!C53</f>
        <v>1965977.7903485089</v>
      </c>
    </row>
    <row r="18" spans="2:9" ht="14" customHeight="1" x14ac:dyDescent="0.3">
      <c r="B18" s="4" t="s">
        <v>137</v>
      </c>
      <c r="C18" s="26">
        <v>3.6403707853283777E-2</v>
      </c>
    </row>
    <row r="19" spans="2:9" ht="14" customHeight="1" x14ac:dyDescent="0.3">
      <c r="B19" s="4" t="s">
        <v>138</v>
      </c>
      <c r="C19" s="5">
        <f>C10-C17</f>
        <v>8296141.1771334913</v>
      </c>
    </row>
    <row r="20" spans="2:9" ht="14" customHeight="1" x14ac:dyDescent="0.3">
      <c r="B20" s="4" t="s">
        <v>139</v>
      </c>
      <c r="C20" s="15">
        <f>IFERROR(ROUND(C19*1000000/C7,0),"N/A")</f>
        <v>5099</v>
      </c>
    </row>
    <row r="22" spans="2:9" ht="14" customHeight="1" x14ac:dyDescent="0.3">
      <c r="B22" s="8" t="s">
        <v>140</v>
      </c>
      <c r="C22" s="9"/>
      <c r="D22" s="9"/>
      <c r="E22" s="9"/>
      <c r="F22" s="9"/>
      <c r="G22" s="9"/>
      <c r="H22" s="9"/>
      <c r="I22" s="9"/>
    </row>
    <row r="23" spans="2:9" ht="14" customHeight="1" x14ac:dyDescent="0.3">
      <c r="B23" s="1" t="s">
        <v>141</v>
      </c>
    </row>
    <row r="24" spans="2:9" ht="14" customHeight="1" x14ac:dyDescent="0.3">
      <c r="B24" s="4" t="s">
        <v>142</v>
      </c>
      <c r="C24" s="5">
        <f>C10*(C11-C12)</f>
        <v>869779.37068285188</v>
      </c>
    </row>
    <row r="25" spans="2:9" ht="14" customHeight="1" x14ac:dyDescent="0.3">
      <c r="B25" s="4" t="s">
        <v>143</v>
      </c>
      <c r="C25" s="5">
        <f>IFERROR(C24/(1-C13),"N/A")</f>
        <v>1159705.8275771358</v>
      </c>
    </row>
    <row r="26" spans="2:9" ht="13.5" customHeight="1" x14ac:dyDescent="0.25">
      <c r="B26" s="6" t="s">
        <v>144</v>
      </c>
      <c r="C26" s="14">
        <f>IFERROR(C25/C15,"N/A")</f>
        <v>4.0893604789190618</v>
      </c>
    </row>
    <row r="27" spans="2:9" ht="13.5" customHeight="1" x14ac:dyDescent="0.25">
      <c r="B27" s="6" t="s">
        <v>145</v>
      </c>
      <c r="C27" s="14">
        <f>IFERROR(C25/C14,"N/A")</f>
        <v>4.3095239650882222</v>
      </c>
    </row>
    <row r="28" spans="2:9" ht="13.5" customHeight="1" x14ac:dyDescent="0.25">
      <c r="B28" s="6" t="s">
        <v>146</v>
      </c>
      <c r="C28" s="7">
        <f>IFERROR(C25/C16,"N/A")</f>
        <v>0.13088376778791563</v>
      </c>
    </row>
    <row r="29" spans="2:9" ht="13.5" customHeight="1" x14ac:dyDescent="0.25">
      <c r="B29" s="6" t="s">
        <v>147</v>
      </c>
      <c r="C29" s="5">
        <f>IFERROR(C25/C18,"N/A")</f>
        <v>31856805.143339954</v>
      </c>
    </row>
    <row r="32" spans="2:9" ht="14" customHeight="1" x14ac:dyDescent="0.3">
      <c r="B32" s="8" t="s">
        <v>148</v>
      </c>
      <c r="C32" s="9"/>
      <c r="D32" s="9"/>
      <c r="E32" s="9"/>
      <c r="F32" s="9"/>
      <c r="G32" s="9"/>
      <c r="H32" s="9"/>
      <c r="I32" s="9"/>
    </row>
    <row r="33" spans="2:9" ht="14" customHeight="1" x14ac:dyDescent="0.3">
      <c r="B33" s="1" t="s">
        <v>149</v>
      </c>
    </row>
    <row r="34" spans="2:9" ht="14" customHeight="1" x14ac:dyDescent="0.3">
      <c r="B34" s="1" t="s">
        <v>150</v>
      </c>
    </row>
    <row r="36" spans="2:9" ht="14" customHeight="1" x14ac:dyDescent="0.3">
      <c r="B36" s="28" t="s">
        <v>151</v>
      </c>
      <c r="C36" s="28" t="s">
        <v>152</v>
      </c>
      <c r="D36" s="29">
        <f>'DCF Model'!C26-0.02</f>
        <v>7.4756313334405647E-2</v>
      </c>
      <c r="E36" s="29">
        <f>'DCF Model'!C26-0.01</f>
        <v>8.4756313334405656E-2</v>
      </c>
      <c r="F36" s="29">
        <f>'DCF Model'!C26</f>
        <v>9.4756313334405651E-2</v>
      </c>
      <c r="G36" s="29">
        <f>'DCF Model'!C26+0.01</f>
        <v>0.10475631333440565</v>
      </c>
      <c r="H36" s="29">
        <f>'DCF Model'!C26+0.02</f>
        <v>0.11475631333440565</v>
      </c>
    </row>
    <row r="37" spans="2:9" ht="14" customHeight="1" x14ac:dyDescent="0.3">
      <c r="B37" s="3" t="s">
        <v>153</v>
      </c>
    </row>
    <row r="38" spans="2:9" ht="14" customHeight="1" x14ac:dyDescent="0.3">
      <c r="B38" s="4" t="s">
        <v>154</v>
      </c>
      <c r="C38" s="30">
        <v>3</v>
      </c>
      <c r="D38" s="13">
        <f t="shared" ref="D38:H41" si="0">IFERROR((1-(1+D$36)^(-$C38))/D$36-(1+D$36)/(D$36^2*$C38)*(1-($C38+1)/(1+D$36)^$C38+$C38/(1+D$36)^($C38+1)),"N/A")</f>
        <v>0.90887067130554988</v>
      </c>
      <c r="E38" s="13">
        <f t="shared" si="0"/>
        <v>0.89785635037301081</v>
      </c>
      <c r="F38" s="13">
        <f t="shared" si="0"/>
        <v>0.88709096147307309</v>
      </c>
      <c r="G38" s="13">
        <f t="shared" si="0"/>
        <v>0.87656646086105483</v>
      </c>
      <c r="H38" s="13">
        <f t="shared" si="0"/>
        <v>0.86627513907676001</v>
      </c>
    </row>
    <row r="39" spans="2:9" ht="14" customHeight="1" x14ac:dyDescent="0.3">
      <c r="B39" s="4" t="s">
        <v>155</v>
      </c>
      <c r="C39" s="30">
        <v>5</v>
      </c>
      <c r="D39" s="13">
        <f t="shared" si="0"/>
        <v>1.7358890889082836</v>
      </c>
      <c r="E39" s="13">
        <f t="shared" si="0"/>
        <v>1.7052139369023234</v>
      </c>
      <c r="F39" s="13">
        <f t="shared" si="0"/>
        <v>1.6754894125253155</v>
      </c>
      <c r="G39" s="13">
        <f t="shared" si="0"/>
        <v>1.6466752460329448</v>
      </c>
      <c r="H39" s="13">
        <f t="shared" si="0"/>
        <v>1.618733288083785</v>
      </c>
    </row>
    <row r="40" spans="2:9" ht="14" customHeight="1" x14ac:dyDescent="0.3">
      <c r="B40" s="4" t="s">
        <v>156</v>
      </c>
      <c r="C40" s="30">
        <v>7</v>
      </c>
      <c r="D40" s="13">
        <f t="shared" si="0"/>
        <v>2.4893285158705503</v>
      </c>
      <c r="E40" s="13">
        <f t="shared" si="0"/>
        <v>2.4323072094984837</v>
      </c>
      <c r="F40" s="13">
        <f t="shared" si="0"/>
        <v>2.3775109730838908</v>
      </c>
      <c r="G40" s="13">
        <f t="shared" si="0"/>
        <v>2.3248239729801736</v>
      </c>
      <c r="H40" s="13">
        <f t="shared" si="0"/>
        <v>2.2741377211544171</v>
      </c>
    </row>
    <row r="41" spans="2:9" ht="14" customHeight="1" x14ac:dyDescent="0.3">
      <c r="B41" s="4" t="s">
        <v>157</v>
      </c>
      <c r="C41" s="30">
        <v>10</v>
      </c>
      <c r="D41" s="13">
        <f t="shared" si="0"/>
        <v>3.497457178059042</v>
      </c>
      <c r="E41" s="13">
        <f t="shared" si="0"/>
        <v>3.3918437776302635</v>
      </c>
      <c r="F41" s="13">
        <f t="shared" si="0"/>
        <v>3.2915553476001298</v>
      </c>
      <c r="G41" s="13">
        <f t="shared" si="0"/>
        <v>3.1962406509547923</v>
      </c>
      <c r="H41" s="13">
        <f t="shared" si="0"/>
        <v>3.1055761757885088</v>
      </c>
    </row>
    <row r="42" spans="2:9" ht="14" customHeight="1" x14ac:dyDescent="0.3">
      <c r="B42" s="3" t="s">
        <v>158</v>
      </c>
    </row>
    <row r="43" spans="2:9" ht="14" customHeight="1" x14ac:dyDescent="0.3">
      <c r="B43" s="4" t="s">
        <v>154</v>
      </c>
      <c r="C43" s="30">
        <v>3</v>
      </c>
      <c r="D43" s="13">
        <f t="shared" ref="D43:H46" si="1">IFERROR((1+D$36)/(D$36^2*$C43)*(1-($C43+1)/(1+D$36)^$C43+$C43/(1+D$36)^($C43+1))+(1+$C$12)/((D$36-$C$12)*(1+D$36)^$C43),"N/A")</f>
        <v>14.256265576479743</v>
      </c>
      <c r="E43" s="13">
        <f t="shared" si="1"/>
        <v>12.241943166369095</v>
      </c>
      <c r="F43" s="13">
        <f t="shared" si="1"/>
        <v>10.705222170370083</v>
      </c>
      <c r="G43" s="13">
        <f t="shared" si="1"/>
        <v>9.4948245477435105</v>
      </c>
      <c r="H43" s="13">
        <f t="shared" si="1"/>
        <v>8.5172387031955523</v>
      </c>
    </row>
    <row r="44" spans="2:9" ht="14" customHeight="1" x14ac:dyDescent="0.3">
      <c r="B44" s="4" t="s">
        <v>155</v>
      </c>
      <c r="C44" s="30">
        <v>5</v>
      </c>
      <c r="D44" s="13">
        <f t="shared" si="1"/>
        <v>13.189117967024682</v>
      </c>
      <c r="E44" s="13">
        <f t="shared" si="1"/>
        <v>11.233176671128913</v>
      </c>
      <c r="F44" s="13">
        <f t="shared" si="1"/>
        <v>9.744759084705688</v>
      </c>
      <c r="G44" s="13">
        <f t="shared" si="1"/>
        <v>8.575598577382765</v>
      </c>
      <c r="H44" s="13">
        <f t="shared" si="1"/>
        <v>7.6340550391115798</v>
      </c>
    </row>
    <row r="45" spans="2:9" ht="14" customHeight="1" x14ac:dyDescent="0.3">
      <c r="B45" s="4" t="s">
        <v>156</v>
      </c>
      <c r="C45" s="30">
        <v>7</v>
      </c>
      <c r="D45" s="13">
        <f t="shared" si="1"/>
        <v>12.227792680563839</v>
      </c>
      <c r="E45" s="13">
        <f t="shared" si="1"/>
        <v>10.334918659020909</v>
      </c>
      <c r="F45" s="13">
        <f t="shared" si="1"/>
        <v>8.8991698384035196</v>
      </c>
      <c r="G45" s="13">
        <f t="shared" si="1"/>
        <v>7.7752713718200255</v>
      </c>
      <c r="H45" s="13">
        <f t="shared" si="1"/>
        <v>6.8734543022838324</v>
      </c>
    </row>
    <row r="46" spans="2:9" ht="14" customHeight="1" x14ac:dyDescent="0.3">
      <c r="B46" s="4" t="s">
        <v>157</v>
      </c>
      <c r="C46" s="30">
        <v>10</v>
      </c>
      <c r="D46" s="13">
        <f t="shared" si="1"/>
        <v>10.958981928246313</v>
      </c>
      <c r="E46" s="13">
        <f t="shared" si="1"/>
        <v>9.1655975343902885</v>
      </c>
      <c r="F46" s="13">
        <f t="shared" si="1"/>
        <v>7.8130990192552856</v>
      </c>
      <c r="G46" s="13">
        <f t="shared" si="1"/>
        <v>6.7606963119967158</v>
      </c>
      <c r="H46" s="13">
        <f t="shared" si="1"/>
        <v>5.9214544362241064</v>
      </c>
    </row>
    <row r="47" spans="2:9" ht="14" customHeight="1" x14ac:dyDescent="0.3">
      <c r="B47" s="22" t="s">
        <v>159</v>
      </c>
      <c r="C47" s="23"/>
      <c r="D47" s="23"/>
      <c r="E47" s="23"/>
      <c r="F47" s="23"/>
      <c r="G47" s="23"/>
      <c r="H47" s="23"/>
      <c r="I47" s="23"/>
    </row>
    <row r="48" spans="2:9" ht="14" customHeight="1" x14ac:dyDescent="0.3">
      <c r="B48" s="4" t="s">
        <v>154</v>
      </c>
      <c r="C48" s="30">
        <v>3</v>
      </c>
      <c r="D48" s="5">
        <f t="shared" ref="D48:H51" si="2">IFERROR(($C$10/(1-$C$13)-$C$14*D38)/D43,"N/A")</f>
        <v>942620.30919838755</v>
      </c>
      <c r="E48" s="5">
        <f t="shared" si="2"/>
        <v>1097963.7194728272</v>
      </c>
      <c r="F48" s="5">
        <f t="shared" si="2"/>
        <v>1255845.6272099905</v>
      </c>
      <c r="G48" s="5">
        <f t="shared" si="2"/>
        <v>1416238.7686094355</v>
      </c>
      <c r="H48" s="5">
        <f t="shared" si="2"/>
        <v>1579116.0163421133</v>
      </c>
    </row>
    <row r="49" spans="2:9" ht="14" customHeight="1" x14ac:dyDescent="0.3">
      <c r="B49" s="4" t="s">
        <v>155</v>
      </c>
      <c r="C49" s="30">
        <v>5</v>
      </c>
      <c r="D49" s="5">
        <f t="shared" si="2"/>
        <v>1002014.8702532856</v>
      </c>
      <c r="E49" s="5">
        <f t="shared" si="2"/>
        <v>1177222.3914096772</v>
      </c>
      <c r="F49" s="5">
        <f t="shared" si="2"/>
        <v>1357852.559265895</v>
      </c>
      <c r="G49" s="5">
        <f t="shared" si="2"/>
        <v>1543880.5725073358</v>
      </c>
      <c r="H49" s="5">
        <f t="shared" si="2"/>
        <v>1735279.512406351</v>
      </c>
    </row>
    <row r="50" spans="2:9" ht="14" customHeight="1" x14ac:dyDescent="0.3">
      <c r="B50" s="4" t="s">
        <v>156</v>
      </c>
      <c r="C50" s="30">
        <v>7</v>
      </c>
      <c r="D50" s="5">
        <f t="shared" si="2"/>
        <v>1064210.0220634134</v>
      </c>
      <c r="E50" s="5">
        <f t="shared" si="2"/>
        <v>1260608.2885428902</v>
      </c>
      <c r="F50" s="5">
        <f t="shared" si="2"/>
        <v>1465645.6940848855</v>
      </c>
      <c r="G50" s="5">
        <f t="shared" si="2"/>
        <v>1679325.0756106668</v>
      </c>
      <c r="H50" s="5">
        <f t="shared" si="2"/>
        <v>1901641.7992998299</v>
      </c>
    </row>
    <row r="51" spans="2:9" ht="14" customHeight="1" x14ac:dyDescent="0.3">
      <c r="B51" s="4" t="s">
        <v>157</v>
      </c>
      <c r="C51" s="30">
        <v>10</v>
      </c>
      <c r="D51" s="5">
        <f t="shared" si="2"/>
        <v>1162667.2216830393</v>
      </c>
      <c r="E51" s="5">
        <f t="shared" si="2"/>
        <v>1393261.0400980094</v>
      </c>
      <c r="F51" s="5">
        <f t="shared" si="2"/>
        <v>1637897.8225839161</v>
      </c>
      <c r="G51" s="5">
        <f t="shared" si="2"/>
        <v>1896654.8341076176</v>
      </c>
      <c r="H51" s="5">
        <f t="shared" si="2"/>
        <v>2169586.1317029591</v>
      </c>
    </row>
    <row r="52" spans="2:9" ht="14" customHeight="1" x14ac:dyDescent="0.3">
      <c r="B52" s="22" t="s">
        <v>160</v>
      </c>
      <c r="C52" s="23"/>
      <c r="D52" s="23"/>
      <c r="E52" s="23"/>
      <c r="F52" s="23"/>
      <c r="G52" s="23"/>
      <c r="H52" s="23"/>
      <c r="I52" s="23"/>
    </row>
    <row r="53" spans="2:9" ht="14" customHeight="1" x14ac:dyDescent="0.3">
      <c r="B53" s="4" t="s">
        <v>154</v>
      </c>
      <c r="C53" s="30">
        <v>3</v>
      </c>
      <c r="D53" s="14">
        <f t="shared" ref="D53:H56" si="3">IFERROR(D48/$C$15,"N/A")</f>
        <v>3.3238724402339552</v>
      </c>
      <c r="E53" s="14">
        <f t="shared" si="3"/>
        <v>3.871645149080285</v>
      </c>
      <c r="F53" s="14">
        <f t="shared" si="3"/>
        <v>4.428369120352869</v>
      </c>
      <c r="G53" s="14">
        <f t="shared" si="3"/>
        <v>4.993948216302476</v>
      </c>
      <c r="H53" s="14">
        <f t="shared" si="3"/>
        <v>5.5682867804059839</v>
      </c>
    </row>
    <row r="54" spans="2:9" ht="14" customHeight="1" x14ac:dyDescent="0.3">
      <c r="B54" s="4" t="s">
        <v>155</v>
      </c>
      <c r="C54" s="30">
        <v>5</v>
      </c>
      <c r="D54" s="14">
        <f t="shared" si="3"/>
        <v>3.5333098379472045</v>
      </c>
      <c r="E54" s="14">
        <f t="shared" si="3"/>
        <v>4.1511274737550812</v>
      </c>
      <c r="F54" s="14">
        <f t="shared" si="3"/>
        <v>4.7880664734279126</v>
      </c>
      <c r="G54" s="14">
        <f t="shared" si="3"/>
        <v>5.4440393824463253</v>
      </c>
      <c r="H54" s="14">
        <f t="shared" si="3"/>
        <v>6.1189512798584973</v>
      </c>
    </row>
    <row r="55" spans="2:9" ht="14" customHeight="1" x14ac:dyDescent="0.3">
      <c r="B55" s="4" t="s">
        <v>156</v>
      </c>
      <c r="C55" s="30">
        <v>7</v>
      </c>
      <c r="D55" s="14">
        <f t="shared" si="3"/>
        <v>3.7526226927632167</v>
      </c>
      <c r="E55" s="14">
        <f t="shared" si="3"/>
        <v>4.4451632405220556</v>
      </c>
      <c r="F55" s="14">
        <f t="shared" si="3"/>
        <v>5.1681671635731936</v>
      </c>
      <c r="G55" s="14">
        <f t="shared" si="3"/>
        <v>5.9216444654825677</v>
      </c>
      <c r="H55" s="14">
        <f t="shared" si="3"/>
        <v>6.7055788064495339</v>
      </c>
    </row>
    <row r="56" spans="2:9" ht="14" customHeight="1" x14ac:dyDescent="0.3">
      <c r="B56" s="4" t="s">
        <v>157</v>
      </c>
      <c r="C56" s="30">
        <v>10</v>
      </c>
      <c r="D56" s="14">
        <f t="shared" si="3"/>
        <v>4.0998029615997664</v>
      </c>
      <c r="E56" s="14">
        <f t="shared" si="3"/>
        <v>4.9129240353114501</v>
      </c>
      <c r="F56" s="14">
        <f t="shared" si="3"/>
        <v>5.7755634790381789</v>
      </c>
      <c r="G56" s="14">
        <f t="shared" si="3"/>
        <v>6.6879937448918252</v>
      </c>
      <c r="H56" s="14">
        <f t="shared" si="3"/>
        <v>7.6504054490550093</v>
      </c>
    </row>
    <row r="58" spans="2:9" ht="14" customHeight="1" x14ac:dyDescent="0.3">
      <c r="B58" s="8" t="s">
        <v>161</v>
      </c>
      <c r="C58" s="9"/>
      <c r="D58" s="9"/>
      <c r="E58" s="9"/>
      <c r="F58" s="9"/>
      <c r="G58" s="9"/>
      <c r="H58" s="9"/>
      <c r="I58" s="9"/>
    </row>
    <row r="59" spans="2:9" ht="14" customHeight="1" x14ac:dyDescent="0.3">
      <c r="B59" s="1" t="s">
        <v>162</v>
      </c>
    </row>
    <row r="60" spans="2:9" ht="14" customHeight="1" x14ac:dyDescent="0.3">
      <c r="B60" s="4" t="s">
        <v>163</v>
      </c>
      <c r="C60" s="5">
        <f>F49</f>
        <v>1357852.559265895</v>
      </c>
    </row>
    <row r="62" spans="2:9" ht="14" customHeight="1" x14ac:dyDescent="0.3">
      <c r="B62" s="28" t="s">
        <v>164</v>
      </c>
      <c r="C62" s="28" t="s">
        <v>165</v>
      </c>
      <c r="D62" s="28" t="s">
        <v>166</v>
      </c>
    </row>
    <row r="63" spans="2:9" ht="14" customHeight="1" x14ac:dyDescent="0.3">
      <c r="B63" s="31">
        <v>1.8200000000000001E-2</v>
      </c>
      <c r="C63" s="5">
        <f>IFERROR($C$60/B63,"N/A")</f>
        <v>74607283.476148069</v>
      </c>
      <c r="D63" s="14">
        <f>IFERROR(C63/'DCF Model'!C17,"N/A")</f>
        <v>9.0259761198102009</v>
      </c>
    </row>
    <row r="64" spans="2:9" ht="14" customHeight="1" x14ac:dyDescent="0.3">
      <c r="B64" s="31">
        <v>2.7300000000000001E-2</v>
      </c>
      <c r="C64" s="5">
        <f>IFERROR($C$60/B64,"N/A")</f>
        <v>49738188.984098718</v>
      </c>
      <c r="D64" s="14">
        <f>IFERROR(C64/'DCF Model'!C17,"N/A")</f>
        <v>6.0173174132068015</v>
      </c>
    </row>
    <row r="65" spans="2:9" ht="14" customHeight="1" x14ac:dyDescent="0.3">
      <c r="B65" s="4" t="s">
        <v>167</v>
      </c>
      <c r="C65" s="5">
        <f>IFERROR($C$60/$C$18,"N/A")</f>
        <v>37299842.223170973</v>
      </c>
      <c r="D65" s="14">
        <f>IFERROR(C65/'DCF Model'!C17,"N/A")</f>
        <v>4.5125283952559663</v>
      </c>
    </row>
    <row r="66" spans="2:9" ht="14" customHeight="1" x14ac:dyDescent="0.3">
      <c r="B66" s="31">
        <v>4.5499999999999999E-2</v>
      </c>
      <c r="C66" s="5">
        <f>IFERROR($C$60/B66,"N/A")</f>
        <v>29842913.390459232</v>
      </c>
      <c r="D66" s="14">
        <f>IFERROR(C66/'DCF Model'!C17,"N/A")</f>
        <v>3.6103904479240807</v>
      </c>
    </row>
    <row r="67" spans="2:9" ht="14" customHeight="1" x14ac:dyDescent="0.3">
      <c r="B67" s="31">
        <v>5.4600000000000003E-2</v>
      </c>
      <c r="C67" s="5">
        <f>IFERROR($C$60/B67,"N/A")</f>
        <v>24869094.492049359</v>
      </c>
      <c r="D67" s="14">
        <f>IFERROR(C67/'DCF Model'!C17,"N/A")</f>
        <v>3.0086587066034007</v>
      </c>
    </row>
    <row r="69" spans="2:9" ht="14" customHeight="1" x14ac:dyDescent="0.3">
      <c r="B69" s="8" t="s">
        <v>168</v>
      </c>
      <c r="C69" s="9"/>
      <c r="D69" s="9"/>
      <c r="E69" s="9"/>
      <c r="F69" s="9"/>
      <c r="G69" s="9"/>
      <c r="H69" s="9"/>
      <c r="I69" s="9"/>
    </row>
    <row r="70" spans="2:9" ht="13.5" customHeight="1" x14ac:dyDescent="0.25">
      <c r="B70" s="6" t="s">
        <v>169</v>
      </c>
      <c r="C70" s="14">
        <f>IFERROR(C10/'Comps Analysis'!G5,"N/A")</f>
        <v>22.034481282034658</v>
      </c>
    </row>
    <row r="71" spans="2:9" ht="13.5" customHeight="1" x14ac:dyDescent="0.25">
      <c r="B71" s="6" t="s">
        <v>170</v>
      </c>
      <c r="C71" s="14">
        <f>IFERROR(C10/'Comps Analysis'!F5,"N/A")</f>
        <v>1.2415093597229854</v>
      </c>
    </row>
    <row r="72" spans="2:9" ht="14" customHeight="1" x14ac:dyDescent="0.3">
      <c r="B72" s="4" t="s">
        <v>171</v>
      </c>
      <c r="C72" s="14">
        <f>IFERROR(C10/(C25+'DCF Model'!G42),"N/A")</f>
        <v>7.4159519319139964</v>
      </c>
    </row>
    <row r="73" spans="2:9" ht="14" customHeight="1" x14ac:dyDescent="0.3">
      <c r="B73" s="4" t="s">
        <v>172</v>
      </c>
      <c r="C73" s="14">
        <f>IFERROR(C10/(C60+'DCF Model'!G42),"N/A")</f>
        <v>6.4870609383124469</v>
      </c>
    </row>
    <row r="74" spans="2:9" ht="14" customHeight="1" x14ac:dyDescent="0.3">
      <c r="B74" s="4" t="s">
        <v>173</v>
      </c>
      <c r="C74" s="14">
        <f>IFERROR('Comps Analysis'!D16,"N/A")</f>
        <v>22.30839726589317</v>
      </c>
    </row>
    <row r="75" spans="2:9" ht="14" customHeight="1" x14ac:dyDescent="0.3">
      <c r="B75" s="1" t="s">
        <v>174</v>
      </c>
    </row>
    <row r="77" spans="2:9" ht="14" customHeight="1" x14ac:dyDescent="0.3">
      <c r="B77" s="22" t="s">
        <v>175</v>
      </c>
      <c r="C77" s="23"/>
      <c r="D77" s="23"/>
      <c r="E77" s="23"/>
      <c r="F77" s="23"/>
      <c r="G77" s="23"/>
      <c r="H77" s="23"/>
      <c r="I77" s="23"/>
    </row>
    <row r="78" spans="2:9" ht="14" customHeight="1" x14ac:dyDescent="0.3">
      <c r="B78" s="4" t="str">
        <f>"At "&amp;TEXT(C6,"#,##0")&amp;" yen the market is paying for a steady-state operating profit of "&amp;TEXT(F49,"#,##0")&amp;" mn JPY - "&amp;TEXT(F54,"0.00")&amp;"x the FY2025 cycle peak of "&amp;TEXT(C15,"#,##0")&amp;" mn - reached in 5 years and sustained for ever, against "&amp;TEXT(C14,"#,##0")&amp;" mn actually earned in FY2026."</f>
        <v>At 5,073 yen the market is paying for a steady-state operating profit of 1,357,853 mn JPY - 4.79x the FY2025 cycle peak of 283,591 mn - reached in 5 years and sustained for ever, against 269,103 mn actually earned in FY2026.</v>
      </c>
    </row>
    <row r="79" spans="2:9" ht="14" customHeight="1" x14ac:dyDescent="0.3">
      <c r="B79" s="4" t="str">
        <f>"Even with no ramp at all (Block A) the price needs "&amp;TEXT(C25,"#,##0")&amp;" mn, or "&amp;TEXT(C26,"0.00")&amp;"x the peak. The base case supports an EV of only "&amp;TEXT(C17,"#,##0")&amp;" mn, leaving "&amp;TEXT(C20,"#,##0")&amp;" yen per share of the current price unexplained by mid-cycle economics."</f>
        <v>Even with no ramp at all (Block A) the price needs 1,159,706 mn, or 4.09x the peak. The base case supports an EV of only 1,965,978 mn, leaving 5,099 yen per share of the current price unexplained by mid-cycle economics.</v>
      </c>
    </row>
  </sheetData>
  <phoneticPr fontId="8"/>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C6600"/>
  </sheetPr>
  <dimension ref="B2:H29"/>
  <sheetViews>
    <sheetView workbookViewId="0"/>
  </sheetViews>
  <sheetFormatPr defaultRowHeight="13" x14ac:dyDescent="0.2"/>
  <cols>
    <col min="1" max="1" width="3" customWidth="1"/>
    <col min="2" max="2" width="28" customWidth="1"/>
    <col min="3" max="8" width="16" customWidth="1"/>
  </cols>
  <sheetData>
    <row r="2" spans="2:8" ht="18" customHeight="1" x14ac:dyDescent="0.4">
      <c r="B2" s="2" t="s">
        <v>176</v>
      </c>
    </row>
    <row r="4" spans="2:8" ht="14" customHeight="1" x14ac:dyDescent="0.3">
      <c r="B4" s="8" t="s">
        <v>177</v>
      </c>
      <c r="C4" s="32" t="s">
        <v>178</v>
      </c>
      <c r="D4" s="32" t="s">
        <v>85</v>
      </c>
      <c r="E4" s="32" t="s">
        <v>86</v>
      </c>
      <c r="F4" s="32" t="s">
        <v>87</v>
      </c>
      <c r="G4" s="32" t="s">
        <v>88</v>
      </c>
      <c r="H4" s="32" t="s">
        <v>89</v>
      </c>
    </row>
    <row r="5" spans="2:8" ht="14" customHeight="1" x14ac:dyDescent="0.3">
      <c r="B5" s="33" t="s">
        <v>179</v>
      </c>
      <c r="C5" s="34">
        <f>C18/C9</f>
        <v>0.15399316294615395</v>
      </c>
      <c r="D5" s="34">
        <f>CHOOSE('DCF Model'!$D$27,D25,D26,D27,D28,D29)</f>
        <v>0.19</v>
      </c>
      <c r="E5" s="34">
        <f>CHOOSE('DCF Model'!$D$27,E25,E26,E27,E28,E29)</f>
        <v>0.19</v>
      </c>
      <c r="F5" s="34">
        <f>CHOOSE('DCF Model'!$D$27,F25,F26,F27,F28,F29)</f>
        <v>0.19</v>
      </c>
      <c r="G5" s="34">
        <f>CHOOSE('DCF Model'!$D$27,G25,G26,G27,G28,G29)</f>
        <v>0.19</v>
      </c>
      <c r="H5" s="34">
        <f>CHOOSE('DCF Model'!$D$27,H25,H26,H27,H28,H29)</f>
        <v>0.19</v>
      </c>
    </row>
    <row r="6" spans="2:8" ht="14" customHeight="1" x14ac:dyDescent="0.3">
      <c r="B6" s="35" t="s">
        <v>180</v>
      </c>
      <c r="C6" s="35" t="s">
        <v>180</v>
      </c>
      <c r="D6" s="35" t="s">
        <v>180</v>
      </c>
      <c r="E6" s="35" t="s">
        <v>180</v>
      </c>
      <c r="F6" s="35" t="s">
        <v>180</v>
      </c>
      <c r="G6" s="35" t="s">
        <v>180</v>
      </c>
      <c r="H6" s="35" t="s">
        <v>180</v>
      </c>
    </row>
    <row r="7" spans="2:8" ht="14" customHeight="1" x14ac:dyDescent="0.3">
      <c r="B7" s="35" t="s">
        <v>180</v>
      </c>
      <c r="C7" s="35" t="s">
        <v>180</v>
      </c>
      <c r="D7" s="35" t="s">
        <v>180</v>
      </c>
      <c r="E7" s="35" t="s">
        <v>180</v>
      </c>
      <c r="F7" s="35" t="s">
        <v>180</v>
      </c>
      <c r="G7" s="35" t="s">
        <v>180</v>
      </c>
      <c r="H7" s="35" t="s">
        <v>180</v>
      </c>
    </row>
    <row r="8" spans="2:8" ht="14" customHeight="1" x14ac:dyDescent="0.3">
      <c r="B8" s="8" t="s">
        <v>181</v>
      </c>
      <c r="C8" s="9"/>
      <c r="D8" s="9"/>
      <c r="E8" s="9"/>
      <c r="F8" s="9"/>
      <c r="G8" s="9"/>
      <c r="H8" s="9"/>
    </row>
    <row r="9" spans="2:8" ht="14" customHeight="1" x14ac:dyDescent="0.3">
      <c r="B9" s="33" t="s">
        <v>37</v>
      </c>
      <c r="C9" s="36">
        <v>8265841</v>
      </c>
      <c r="D9" s="36">
        <f>'DCF Model'!C33</f>
        <v>8431157.8200000003</v>
      </c>
      <c r="E9" s="36">
        <f>'DCF Model'!D33</f>
        <v>8557625.1873000003</v>
      </c>
      <c r="F9" s="36">
        <f>'DCF Model'!E33</f>
        <v>8685989.5651094988</v>
      </c>
      <c r="G9" s="36">
        <f>'DCF Model'!F33</f>
        <v>8772849.4607605934</v>
      </c>
      <c r="H9" s="36">
        <f>'DCF Model'!G33</f>
        <v>8860577.9553682003</v>
      </c>
    </row>
    <row r="10" spans="2:8" ht="14" customHeight="1" x14ac:dyDescent="0.3">
      <c r="B10" s="35" t="s">
        <v>180</v>
      </c>
      <c r="C10" s="35" t="s">
        <v>180</v>
      </c>
      <c r="D10" s="35" t="s">
        <v>180</v>
      </c>
      <c r="E10" s="35" t="s">
        <v>180</v>
      </c>
      <c r="F10" s="35" t="s">
        <v>180</v>
      </c>
      <c r="G10" s="35" t="s">
        <v>180</v>
      </c>
      <c r="H10" s="35" t="s">
        <v>180</v>
      </c>
    </row>
    <row r="11" spans="2:8" ht="14" customHeight="1" x14ac:dyDescent="0.3">
      <c r="B11" s="8" t="s">
        <v>182</v>
      </c>
      <c r="C11" s="9"/>
      <c r="D11" s="9"/>
      <c r="E11" s="9"/>
      <c r="F11" s="9"/>
      <c r="G11" s="9"/>
      <c r="H11" s="9"/>
    </row>
    <row r="12" spans="2:8" ht="14" customHeight="1" x14ac:dyDescent="0.3">
      <c r="B12" s="35" t="s">
        <v>180</v>
      </c>
      <c r="C12" s="35" t="s">
        <v>180</v>
      </c>
      <c r="D12" s="35" t="s">
        <v>180</v>
      </c>
      <c r="E12" s="35" t="s">
        <v>180</v>
      </c>
      <c r="F12" s="35" t="s">
        <v>180</v>
      </c>
      <c r="G12" s="35" t="s">
        <v>180</v>
      </c>
      <c r="H12" s="35" t="s">
        <v>180</v>
      </c>
    </row>
    <row r="13" spans="2:8" ht="14" customHeight="1" x14ac:dyDescent="0.3">
      <c r="B13" s="35" t="s">
        <v>180</v>
      </c>
      <c r="C13" s="35" t="s">
        <v>180</v>
      </c>
      <c r="D13" s="35" t="s">
        <v>180</v>
      </c>
      <c r="E13" s="35" t="s">
        <v>180</v>
      </c>
      <c r="F13" s="35" t="s">
        <v>180</v>
      </c>
      <c r="G13" s="35" t="s">
        <v>180</v>
      </c>
      <c r="H13" s="35" t="s">
        <v>180</v>
      </c>
    </row>
    <row r="14" spans="2:8" ht="14" customHeight="1" x14ac:dyDescent="0.3">
      <c r="B14" s="35" t="s">
        <v>180</v>
      </c>
      <c r="C14" s="35" t="s">
        <v>180</v>
      </c>
      <c r="D14" s="35" t="s">
        <v>180</v>
      </c>
      <c r="E14" s="35" t="s">
        <v>180</v>
      </c>
      <c r="F14" s="35" t="s">
        <v>180</v>
      </c>
      <c r="G14" s="35" t="s">
        <v>180</v>
      </c>
      <c r="H14" s="35" t="s">
        <v>180</v>
      </c>
    </row>
    <row r="15" spans="2:8" ht="14" customHeight="1" x14ac:dyDescent="0.3">
      <c r="B15" s="35" t="s">
        <v>180</v>
      </c>
      <c r="C15" s="35" t="s">
        <v>180</v>
      </c>
      <c r="D15" s="35" t="s">
        <v>180</v>
      </c>
      <c r="E15" s="35" t="s">
        <v>180</v>
      </c>
      <c r="F15" s="35" t="s">
        <v>180</v>
      </c>
      <c r="G15" s="35" t="s">
        <v>180</v>
      </c>
      <c r="H15" s="35" t="s">
        <v>180</v>
      </c>
    </row>
    <row r="16" spans="2:8" ht="14" customHeight="1" x14ac:dyDescent="0.3">
      <c r="B16" s="35" t="s">
        <v>180</v>
      </c>
      <c r="C16" s="35" t="s">
        <v>180</v>
      </c>
      <c r="D16" s="35" t="s">
        <v>180</v>
      </c>
      <c r="E16" s="35" t="s">
        <v>180</v>
      </c>
      <c r="F16" s="35" t="s">
        <v>180</v>
      </c>
      <c r="G16" s="35" t="s">
        <v>180</v>
      </c>
      <c r="H16" s="35" t="s">
        <v>180</v>
      </c>
    </row>
    <row r="17" spans="2:8" ht="14" customHeight="1" x14ac:dyDescent="0.3">
      <c r="B17" s="22" t="s">
        <v>183</v>
      </c>
      <c r="C17" s="23"/>
      <c r="D17" s="23"/>
      <c r="E17" s="23"/>
      <c r="F17" s="23"/>
      <c r="G17" s="23"/>
      <c r="H17" s="23"/>
    </row>
    <row r="18" spans="2:8" ht="14" customHeight="1" x14ac:dyDescent="0.3">
      <c r="B18" s="33" t="s">
        <v>184</v>
      </c>
      <c r="C18" s="20">
        <v>1272883</v>
      </c>
      <c r="D18" s="20">
        <f>D9*D5</f>
        <v>1601919.9858000001</v>
      </c>
      <c r="E18" s="20">
        <f>E9*E5</f>
        <v>1625948.7855870002</v>
      </c>
      <c r="F18" s="20">
        <f>F9*F5</f>
        <v>1650338.0173708047</v>
      </c>
      <c r="G18" s="20">
        <f>G9*G5</f>
        <v>1666841.3975445128</v>
      </c>
      <c r="H18" s="20">
        <f>H9*H5</f>
        <v>1683509.8115199581</v>
      </c>
    </row>
    <row r="19" spans="2:8" ht="14" customHeight="1" x14ac:dyDescent="0.3">
      <c r="B19" s="33" t="s">
        <v>99</v>
      </c>
      <c r="C19" s="37" t="s">
        <v>47</v>
      </c>
      <c r="D19" s="24">
        <f>D18-C18</f>
        <v>329036.98580000014</v>
      </c>
      <c r="E19" s="24">
        <f>E18-D18</f>
        <v>24028.799787000054</v>
      </c>
      <c r="F19" s="24">
        <f>F18-E18</f>
        <v>24389.231783804484</v>
      </c>
      <c r="G19" s="24">
        <f>G18-F18</f>
        <v>16503.380173708079</v>
      </c>
      <c r="H19" s="24">
        <f>H18-G18</f>
        <v>16668.413975445321</v>
      </c>
    </row>
    <row r="22" spans="2:8" ht="14" customHeight="1" x14ac:dyDescent="0.3">
      <c r="B22" s="22" t="s">
        <v>185</v>
      </c>
      <c r="C22" s="23"/>
      <c r="D22" s="23"/>
      <c r="E22" s="23"/>
      <c r="F22" s="23"/>
      <c r="G22" s="23"/>
      <c r="H22" s="23"/>
    </row>
    <row r="23" spans="2:8" ht="14" customHeight="1" x14ac:dyDescent="0.3">
      <c r="D23" s="25" t="s">
        <v>85</v>
      </c>
      <c r="E23" s="25" t="s">
        <v>86</v>
      </c>
      <c r="F23" s="25" t="s">
        <v>87</v>
      </c>
      <c r="G23" s="25" t="s">
        <v>88</v>
      </c>
      <c r="H23" s="25" t="s">
        <v>89</v>
      </c>
    </row>
    <row r="24" spans="2:8" ht="14" customHeight="1" x14ac:dyDescent="0.3">
      <c r="B24" s="3" t="s">
        <v>179</v>
      </c>
    </row>
    <row r="25" spans="2:8" ht="14" customHeight="1" x14ac:dyDescent="0.3">
      <c r="B25" s="4" t="s">
        <v>83</v>
      </c>
      <c r="D25" s="26">
        <v>0.19</v>
      </c>
      <c r="E25" s="26">
        <v>0.19</v>
      </c>
      <c r="F25" s="26">
        <v>0.19</v>
      </c>
      <c r="G25" s="26">
        <v>0.19</v>
      </c>
      <c r="H25" s="26">
        <v>0.19</v>
      </c>
    </row>
    <row r="26" spans="2:8" ht="14" customHeight="1" x14ac:dyDescent="0.3">
      <c r="B26" s="4" t="s">
        <v>120</v>
      </c>
      <c r="D26" s="26">
        <v>0.19</v>
      </c>
      <c r="E26" s="26">
        <v>0.19</v>
      </c>
      <c r="F26" s="26">
        <v>0.19</v>
      </c>
      <c r="G26" s="26">
        <v>0.19</v>
      </c>
      <c r="H26" s="26">
        <v>0.19</v>
      </c>
    </row>
    <row r="27" spans="2:8" ht="14" customHeight="1" x14ac:dyDescent="0.3">
      <c r="B27" s="4" t="s">
        <v>121</v>
      </c>
      <c r="D27" s="26">
        <v>0.19</v>
      </c>
      <c r="E27" s="26">
        <v>0.19</v>
      </c>
      <c r="F27" s="26">
        <v>0.19</v>
      </c>
      <c r="G27" s="26">
        <v>0.19</v>
      </c>
      <c r="H27" s="26">
        <v>0.19</v>
      </c>
    </row>
    <row r="28" spans="2:8" ht="14" customHeight="1" x14ac:dyDescent="0.3">
      <c r="B28" s="4" t="s">
        <v>122</v>
      </c>
      <c r="D28" s="26">
        <v>0.19</v>
      </c>
      <c r="E28" s="26">
        <v>0.19</v>
      </c>
      <c r="F28" s="26">
        <v>0.19</v>
      </c>
      <c r="G28" s="26">
        <v>0.19</v>
      </c>
      <c r="H28" s="26">
        <v>0.19</v>
      </c>
    </row>
    <row r="29" spans="2:8" ht="14" customHeight="1" x14ac:dyDescent="0.3">
      <c r="B29" s="4" t="s">
        <v>123</v>
      </c>
      <c r="D29" s="26">
        <v>0.19</v>
      </c>
      <c r="E29" s="26">
        <v>0.19</v>
      </c>
      <c r="F29" s="26">
        <v>0.19</v>
      </c>
      <c r="G29" s="26">
        <v>0.19</v>
      </c>
      <c r="H29" s="26">
        <v>0.19</v>
      </c>
    </row>
  </sheetData>
  <phoneticPr fontId="8"/>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6600"/>
  </sheetPr>
  <dimension ref="B2:Q28"/>
  <sheetViews>
    <sheetView workbookViewId="0"/>
  </sheetViews>
  <sheetFormatPr defaultRowHeight="13" x14ac:dyDescent="0.2"/>
  <cols>
    <col min="1" max="1" width="3" customWidth="1"/>
    <col min="2" max="2" width="16" customWidth="1"/>
    <col min="3" max="3" width="10" customWidth="1"/>
    <col min="4" max="16" width="12" customWidth="1"/>
    <col min="17" max="17" width="26" customWidth="1"/>
  </cols>
  <sheetData>
    <row r="2" spans="2:17" ht="18" customHeight="1" x14ac:dyDescent="0.4">
      <c r="B2" s="2" t="s">
        <v>186</v>
      </c>
    </row>
    <row r="3" spans="2:17" ht="14" customHeight="1" x14ac:dyDescent="0.3">
      <c r="B3" s="1" t="s">
        <v>187</v>
      </c>
    </row>
    <row r="4" spans="2:17" ht="28" customHeight="1" x14ac:dyDescent="0.3">
      <c r="B4" s="10" t="s">
        <v>3</v>
      </c>
      <c r="C4" s="10" t="s">
        <v>5</v>
      </c>
      <c r="D4" s="10" t="s">
        <v>188</v>
      </c>
      <c r="E4" s="10" t="s">
        <v>189</v>
      </c>
      <c r="F4" s="10" t="s">
        <v>190</v>
      </c>
      <c r="G4" s="10" t="s">
        <v>191</v>
      </c>
      <c r="H4" s="10" t="s">
        <v>192</v>
      </c>
      <c r="I4" s="10" t="s">
        <v>193</v>
      </c>
      <c r="J4" s="10" t="s">
        <v>194</v>
      </c>
      <c r="K4" s="10" t="s">
        <v>195</v>
      </c>
      <c r="L4" s="10" t="s">
        <v>196</v>
      </c>
      <c r="M4" s="10" t="s">
        <v>197</v>
      </c>
      <c r="N4" s="10" t="s">
        <v>198</v>
      </c>
      <c r="O4" s="10" t="s">
        <v>199</v>
      </c>
      <c r="P4" s="10" t="s">
        <v>200</v>
      </c>
      <c r="Q4" s="10" t="s">
        <v>201</v>
      </c>
    </row>
    <row r="5" spans="2:17" ht="14" customHeight="1" x14ac:dyDescent="0.3">
      <c r="B5" s="4" t="s">
        <v>202</v>
      </c>
      <c r="C5" t="s">
        <v>203</v>
      </c>
      <c r="D5" s="38">
        <f>'Executive Summary'!C9*C23/1000000</f>
        <v>8253339.9674819997</v>
      </c>
      <c r="E5" s="38">
        <f>D5+C24</f>
        <v>10262118.967482001</v>
      </c>
      <c r="F5" s="38">
        <v>8265841</v>
      </c>
      <c r="G5" s="38">
        <v>465730</v>
      </c>
      <c r="H5" s="38">
        <v>256670</v>
      </c>
      <c r="I5" s="38">
        <v>543852</v>
      </c>
      <c r="J5" s="39">
        <f>IFERROR(E5/G5,"")</f>
        <v>22.034481282034658</v>
      </c>
      <c r="K5" s="39">
        <f>IFERROR(E5/F5,"")</f>
        <v>1.2415093597229854</v>
      </c>
      <c r="L5" s="39">
        <f>IFERROR(D5/I5,"")</f>
        <v>15.175709508252245</v>
      </c>
      <c r="M5" s="39">
        <f>IFERROR(D5/P5,"")</f>
        <v>1.8913545916870449</v>
      </c>
      <c r="N5" s="40">
        <f>IFERROR(H5/F5,"")</f>
        <v>3.1051891755478966E-2</v>
      </c>
      <c r="O5" s="40">
        <f>IFERROR(I5/P5,"")</f>
        <v>0.12463038981199294</v>
      </c>
      <c r="P5" s="38">
        <v>4363719</v>
      </c>
    </row>
    <row r="6" spans="2:17" ht="14" customHeight="1" x14ac:dyDescent="0.3">
      <c r="B6" s="4" t="s">
        <v>204</v>
      </c>
      <c r="C6" t="s">
        <v>205</v>
      </c>
      <c r="D6" s="38">
        <v>15405768</v>
      </c>
      <c r="E6" s="38">
        <v>19570071</v>
      </c>
      <c r="F6" s="38">
        <v>14823087</v>
      </c>
      <c r="G6" s="38">
        <v>1160584</v>
      </c>
      <c r="H6" s="38">
        <v>701888</v>
      </c>
      <c r="I6" s="38">
        <v>900283</v>
      </c>
      <c r="J6" s="39">
        <f>IFERROR(E6/G6,"")</f>
        <v>16.862261585546587</v>
      </c>
      <c r="K6" s="39">
        <f>IFERROR(E6/F6,"")</f>
        <v>1.320242605335852</v>
      </c>
      <c r="L6" s="39">
        <f>IFERROR(D6/I6,"")</f>
        <v>17.112139182901377</v>
      </c>
      <c r="M6" s="39">
        <f>IFERROR(D6/P6,"")</f>
        <v>2.3377613784350331</v>
      </c>
      <c r="N6" s="40">
        <f>IFERROR(H6/F6,"")</f>
        <v>4.7351000503471373E-2</v>
      </c>
      <c r="O6" s="40">
        <f>IFERROR(I6/P6,"")</f>
        <v>0.13661421014918743</v>
      </c>
      <c r="P6" s="38">
        <v>6589966</v>
      </c>
    </row>
    <row r="7" spans="2:17" ht="14" customHeight="1" x14ac:dyDescent="0.3">
      <c r="B7" s="4" t="s">
        <v>206</v>
      </c>
      <c r="C7" t="s">
        <v>207</v>
      </c>
      <c r="D7" s="38">
        <v>14224791</v>
      </c>
      <c r="E7" s="38">
        <v>18949835</v>
      </c>
      <c r="F7" s="38">
        <v>13995222</v>
      </c>
      <c r="G7" s="38">
        <v>759271</v>
      </c>
      <c r="H7" s="38">
        <v>426023</v>
      </c>
      <c r="I7" s="38">
        <v>833971</v>
      </c>
      <c r="J7" s="39">
        <f>IFERROR(E7/G7,"")</f>
        <v>24.957933333421138</v>
      </c>
      <c r="K7" s="39">
        <f>IFERROR(E7/F7,"")</f>
        <v>1.3540217511376382</v>
      </c>
      <c r="L7" s="39">
        <f>IFERROR(D7/I7,"")</f>
        <v>17.056697415137936</v>
      </c>
      <c r="M7" s="39">
        <f>IFERROR(D7/P7,"")</f>
        <v>1.6224003574921895</v>
      </c>
      <c r="N7" s="40">
        <f>IFERROR(H7/F7,"")</f>
        <v>3.044060322873049E-2</v>
      </c>
      <c r="O7" s="40">
        <f>IFERROR(I7/P7,"")</f>
        <v>9.5118082827235828E-2</v>
      </c>
      <c r="P7" s="38">
        <v>8767744</v>
      </c>
    </row>
    <row r="8" spans="2:17" ht="14" customHeight="1" x14ac:dyDescent="0.3">
      <c r="B8" s="4" t="s">
        <v>208</v>
      </c>
      <c r="C8" t="s">
        <v>209</v>
      </c>
      <c r="D8" s="38">
        <v>8603005</v>
      </c>
      <c r="E8" s="38">
        <v>12304206</v>
      </c>
      <c r="F8" s="38">
        <v>7337259</v>
      </c>
      <c r="G8" s="38">
        <v>625886</v>
      </c>
      <c r="H8" s="38">
        <v>398263</v>
      </c>
      <c r="I8" s="38">
        <v>600334</v>
      </c>
      <c r="J8" s="39">
        <f>IFERROR(E8/G8,"")</f>
        <v>19.658861198365198</v>
      </c>
      <c r="K8" s="39">
        <f>IFERROR(E8/F8,"")</f>
        <v>1.6769485716668855</v>
      </c>
      <c r="L8" s="39">
        <f>IFERROR(D8/I8,"")</f>
        <v>14.330364430467039</v>
      </c>
      <c r="M8" s="39">
        <f>IFERROR(D8/P8,"")</f>
        <v>1.8586805169215879</v>
      </c>
      <c r="N8" s="40">
        <f>IFERROR(H8/F8,"")</f>
        <v>5.4279534087593201E-2</v>
      </c>
      <c r="O8" s="40">
        <f>IFERROR(I8/P8,"")</f>
        <v>0.1297022504863829</v>
      </c>
      <c r="P8" s="38">
        <v>4628555</v>
      </c>
    </row>
    <row r="9" spans="2:17" ht="14" customHeight="1" x14ac:dyDescent="0.3">
      <c r="B9" s="4" t="s">
        <v>210</v>
      </c>
      <c r="C9" t="s">
        <v>211</v>
      </c>
      <c r="D9" s="38">
        <v>17948666</v>
      </c>
      <c r="E9" s="38">
        <v>22597385</v>
      </c>
      <c r="F9" s="38">
        <v>18915995</v>
      </c>
      <c r="G9" s="38">
        <v>816398</v>
      </c>
      <c r="H9" s="38">
        <v>418621</v>
      </c>
      <c r="I9" s="38">
        <v>800460</v>
      </c>
      <c r="J9" s="39">
        <f>IFERROR(E9/G9,"")</f>
        <v>27.679373295867947</v>
      </c>
      <c r="K9" s="39">
        <f>IFERROR(E9/F9,"")</f>
        <v>1.1946178353293073</v>
      </c>
      <c r="L9" s="39">
        <f>IFERROR(D9/I9,"")</f>
        <v>22.422939309896808</v>
      </c>
      <c r="M9" s="39">
        <f>IFERROR(D9/P9,"")</f>
        <v>1.9012275427948342</v>
      </c>
      <c r="N9" s="40">
        <f>IFERROR(H9/F9,"")</f>
        <v>2.2130530273453762E-2</v>
      </c>
      <c r="O9" s="40">
        <f>IFERROR(I9/P9,"")</f>
        <v>8.4789398772340693E-2</v>
      </c>
      <c r="P9" s="38">
        <v>9440567</v>
      </c>
    </row>
    <row r="14" spans="2:17" ht="14" customHeight="1" x14ac:dyDescent="0.3">
      <c r="B14" s="3" t="s">
        <v>212</v>
      </c>
    </row>
    <row r="15" spans="2:17" ht="14" customHeight="1" x14ac:dyDescent="0.3">
      <c r="B15" s="4" t="s">
        <v>213</v>
      </c>
      <c r="D15" s="39">
        <f t="shared" ref="D15:I15" si="0">PERCENTILE(J6:J9,0.25)</f>
        <v>18.959711295160545</v>
      </c>
      <c r="E15" s="39">
        <f t="shared" si="0"/>
        <v>1.2888364128342158</v>
      </c>
      <c r="F15" s="39">
        <f t="shared" si="0"/>
        <v>16.375114168970214</v>
      </c>
      <c r="G15" s="39">
        <f t="shared" si="0"/>
        <v>1.7996104770642383</v>
      </c>
      <c r="H15" s="40">
        <f t="shared" si="0"/>
        <v>2.8363084989911309E-2</v>
      </c>
      <c r="I15" s="40">
        <f t="shared" si="0"/>
        <v>9.2535911813512048E-2</v>
      </c>
    </row>
    <row r="16" spans="2:17" ht="14" customHeight="1" x14ac:dyDescent="0.3">
      <c r="B16" s="4" t="s">
        <v>214</v>
      </c>
      <c r="D16" s="39">
        <f t="shared" ref="D16:I16" si="1">MEDIAN(J6:J9)</f>
        <v>22.30839726589317</v>
      </c>
      <c r="E16" s="39">
        <f t="shared" si="1"/>
        <v>1.3371321782367451</v>
      </c>
      <c r="F16" s="39">
        <f t="shared" si="1"/>
        <v>17.084418299019656</v>
      </c>
      <c r="G16" s="39">
        <f t="shared" si="1"/>
        <v>1.8799540298582111</v>
      </c>
      <c r="H16" s="40">
        <f t="shared" si="1"/>
        <v>3.8895801866100935E-2</v>
      </c>
      <c r="I16" s="40">
        <f t="shared" si="1"/>
        <v>0.11241016665680936</v>
      </c>
    </row>
    <row r="17" spans="2:9" ht="14" customHeight="1" x14ac:dyDescent="0.3">
      <c r="B17" s="4" t="s">
        <v>215</v>
      </c>
      <c r="D17" s="39">
        <f t="shared" ref="D17:I17" si="2">PERCENTILE(J6:J9,0.75)</f>
        <v>25.638293324032841</v>
      </c>
      <c r="E17" s="39">
        <f t="shared" si="2"/>
        <v>1.43475345626995</v>
      </c>
      <c r="F17" s="39">
        <f t="shared" si="2"/>
        <v>18.439839214650235</v>
      </c>
      <c r="G17" s="39">
        <f t="shared" si="2"/>
        <v>2.0103610017048839</v>
      </c>
      <c r="H17" s="40">
        <f t="shared" si="2"/>
        <v>4.9083133899501828E-2</v>
      </c>
      <c r="I17" s="40">
        <f t="shared" si="2"/>
        <v>0.13143024040208404</v>
      </c>
    </row>
    <row r="19" spans="2:9" ht="14" customHeight="1" x14ac:dyDescent="0.3">
      <c r="B19" s="22" t="s">
        <v>216</v>
      </c>
      <c r="C19" s="23"/>
      <c r="D19" s="23"/>
      <c r="E19" s="23"/>
      <c r="F19" s="23"/>
      <c r="G19" s="23"/>
      <c r="H19" s="23"/>
      <c r="I19" s="23"/>
    </row>
    <row r="20" spans="2:9" ht="14" customHeight="1" x14ac:dyDescent="0.3">
      <c r="B20" s="3" t="s">
        <v>217</v>
      </c>
    </row>
    <row r="21" spans="2:9" ht="14" customHeight="1" x14ac:dyDescent="0.3">
      <c r="B21" s="4" t="s">
        <v>218</v>
      </c>
      <c r="C21" s="5">
        <v>478163</v>
      </c>
    </row>
    <row r="22" spans="2:9" ht="14" customHeight="1" x14ac:dyDescent="0.3">
      <c r="B22" s="4" t="s">
        <v>219</v>
      </c>
      <c r="C22" s="5">
        <v>543852</v>
      </c>
    </row>
    <row r="23" spans="2:9" ht="14" customHeight="1" x14ac:dyDescent="0.3">
      <c r="B23" s="4" t="s">
        <v>220</v>
      </c>
      <c r="C23" s="15">
        <v>1626915034</v>
      </c>
    </row>
    <row r="24" spans="2:9" ht="14" customHeight="1" x14ac:dyDescent="0.3">
      <c r="B24" s="4" t="s">
        <v>72</v>
      </c>
      <c r="C24" s="5">
        <v>2008779</v>
      </c>
    </row>
    <row r="26" spans="2:9" ht="14" customHeight="1" x14ac:dyDescent="0.3">
      <c r="B26" s="3" t="s">
        <v>221</v>
      </c>
    </row>
    <row r="27" spans="2:9" ht="14" customHeight="1" x14ac:dyDescent="0.3">
      <c r="B27" s="4" t="s">
        <v>222</v>
      </c>
      <c r="C27" s="24">
        <f>ROUND((C21*D16-C24)*1000000/C23,0)</f>
        <v>5322</v>
      </c>
    </row>
    <row r="28" spans="2:9" ht="14" customHeight="1" x14ac:dyDescent="0.3">
      <c r="B28" s="4" t="s">
        <v>223</v>
      </c>
      <c r="C28" s="24">
        <f>ROUND(C22*F16*1000000/C23,0)</f>
        <v>5711</v>
      </c>
    </row>
  </sheetData>
  <phoneticPr fontId="8"/>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96600"/>
  </sheetPr>
  <dimension ref="B2:I26"/>
  <sheetViews>
    <sheetView workbookViewId="0"/>
  </sheetViews>
  <sheetFormatPr defaultRowHeight="13" x14ac:dyDescent="0.2"/>
  <cols>
    <col min="1" max="1" width="3" customWidth="1"/>
    <col min="2" max="2" width="24" customWidth="1"/>
    <col min="3" max="9" width="14" customWidth="1"/>
  </cols>
  <sheetData>
    <row r="2" spans="2:9" ht="18" customHeight="1" x14ac:dyDescent="0.4">
      <c r="B2" s="2" t="s">
        <v>224</v>
      </c>
    </row>
    <row r="3" spans="2:9" ht="14" customHeight="1" x14ac:dyDescent="0.3">
      <c r="B3" s="4" t="s">
        <v>225</v>
      </c>
      <c r="C3" s="16">
        <f>'DCF Model'!C26</f>
        <v>9.4756313334405651E-2</v>
      </c>
      <c r="E3" s="4" t="s">
        <v>226</v>
      </c>
      <c r="F3" s="16">
        <f>'DCF Model'!C13</f>
        <v>0.01</v>
      </c>
      <c r="H3" s="4" t="s">
        <v>227</v>
      </c>
      <c r="I3" s="14">
        <f>'DCF Model'!C14</f>
        <v>7</v>
      </c>
    </row>
    <row r="5" spans="2:9" ht="14" customHeight="1" x14ac:dyDescent="0.3">
      <c r="B5" s="3" t="s">
        <v>228</v>
      </c>
    </row>
    <row r="6" spans="2:9" ht="14" customHeight="1" x14ac:dyDescent="0.3">
      <c r="B6" s="41" t="s">
        <v>229</v>
      </c>
      <c r="C6" s="42">
        <f>$F$3-0.0075</f>
        <v>2.5000000000000005E-3</v>
      </c>
      <c r="D6" s="42">
        <f>$F$3-0.005</f>
        <v>5.0000000000000001E-3</v>
      </c>
      <c r="E6" s="42">
        <f>$F$3-0.0025</f>
        <v>7.4999999999999997E-3</v>
      </c>
      <c r="F6" s="42">
        <f>$F$3</f>
        <v>0.01</v>
      </c>
      <c r="G6" s="42">
        <f>$F$3+0.0025</f>
        <v>1.2500000000000001E-2</v>
      </c>
      <c r="H6" s="42">
        <f>$F$3+0.005</f>
        <v>1.4999999999999999E-2</v>
      </c>
      <c r="I6" s="42">
        <f>$F$3+0.0075</f>
        <v>1.7500000000000002E-2</v>
      </c>
    </row>
    <row r="7" spans="2:9" ht="13.5" customHeight="1" x14ac:dyDescent="0.25">
      <c r="B7" s="40">
        <f>$C$3-0.015</f>
        <v>7.9756313334405651E-2</v>
      </c>
      <c r="C7" s="38">
        <f>IFERROR(ROUND(('DCF Model'!C45/(1+$B7)^('DCF Model'!C19+0)+'DCF Model'!D45/(1+$B7)^('DCF Model'!C19+1)+'DCF Model'!E45/(1+$B7)^('DCF Model'!C19+2)+'DCF Model'!F45/(1+$B7)^('DCF Model'!C19+3)+'DCF Model'!G45/(1+$B7)^('DCF Model'!C19+4)+'DCF Model'!G45*(1+C$6)/($B7-C$6)/(1+$B7)^('DCF Model'!C19+4)-'DCF Model'!C16)*1000000/'DCF Model'!C15,0),"")</f>
        <v>145</v>
      </c>
      <c r="D7" s="38">
        <f>IFERROR(ROUND(('DCF Model'!C45/(1+$B7)^('DCF Model'!C19+0)+'DCF Model'!D45/(1+$B7)^('DCF Model'!C19+1)+'DCF Model'!E45/(1+$B7)^('DCF Model'!C19+2)+'DCF Model'!F45/(1+$B7)^('DCF Model'!C19+3)+'DCF Model'!G45/(1+$B7)^('DCF Model'!C19+4)+'DCF Model'!G45*(1+D$6)/($B7-D$6)/(1+$B7)^('DCF Model'!C19+4)-'DCF Model'!C16)*1000000/'DCF Model'!C15,0),"")</f>
        <v>184</v>
      </c>
      <c r="E7" s="38">
        <f>IFERROR(ROUND(('DCF Model'!C45/(1+$B7)^('DCF Model'!C19+0)+'DCF Model'!D45/(1+$B7)^('DCF Model'!C19+1)+'DCF Model'!E45/(1+$B7)^('DCF Model'!C19+2)+'DCF Model'!F45/(1+$B7)^('DCF Model'!C19+3)+'DCF Model'!G45/(1+$B7)^('DCF Model'!C19+4)+'DCF Model'!G45*(1+E$6)/($B7-E$6)/(1+$B7)^('DCF Model'!C19+4)-'DCF Model'!C16)*1000000/'DCF Model'!C15,0),"")</f>
        <v>226</v>
      </c>
      <c r="F7" s="38">
        <f>IFERROR(ROUND(('DCF Model'!C45/(1+$B7)^('DCF Model'!C19+0)+'DCF Model'!D45/(1+$B7)^('DCF Model'!C19+1)+'DCF Model'!E45/(1+$B7)^('DCF Model'!C19+2)+'DCF Model'!F45/(1+$B7)^('DCF Model'!C19+3)+'DCF Model'!G45/(1+$B7)^('DCF Model'!C19+4)+'DCF Model'!G45*(1+F$6)/($B7-F$6)/(1+$B7)^('DCF Model'!C19+4)-'DCF Model'!C16)*1000000/'DCF Model'!C15,0),"")</f>
        <v>271</v>
      </c>
      <c r="G7" s="38">
        <f>IFERROR(ROUND(('DCF Model'!C45/(1+$B7)^('DCF Model'!C19+0)+'DCF Model'!D45/(1+$B7)^('DCF Model'!C19+1)+'DCF Model'!E45/(1+$B7)^('DCF Model'!C19+2)+'DCF Model'!F45/(1+$B7)^('DCF Model'!C19+3)+'DCF Model'!G45/(1+$B7)^('DCF Model'!C19+4)+'DCF Model'!G45*(1+G$6)/($B7-G$6)/(1+$B7)^('DCF Model'!C19+4)-'DCF Model'!C16)*1000000/'DCF Model'!C15,0),"")</f>
        <v>319</v>
      </c>
      <c r="H7" s="38">
        <f>IFERROR(ROUND(('DCF Model'!C45/(1+$B7)^('DCF Model'!C19+0)+'DCF Model'!D45/(1+$B7)^('DCF Model'!C19+1)+'DCF Model'!E45/(1+$B7)^('DCF Model'!C19+2)+'DCF Model'!F45/(1+$B7)^('DCF Model'!C19+3)+'DCF Model'!G45/(1+$B7)^('DCF Model'!C19+4)+'DCF Model'!G45*(1+H$6)/($B7-H$6)/(1+$B7)^('DCF Model'!C19+4)-'DCF Model'!C16)*1000000/'DCF Model'!C15,0),"")</f>
        <v>371</v>
      </c>
      <c r="I7" s="38">
        <f>IFERROR(ROUND(('DCF Model'!C45/(1+$B7)^('DCF Model'!C19+0)+'DCF Model'!D45/(1+$B7)^('DCF Model'!C19+1)+'DCF Model'!E45/(1+$B7)^('DCF Model'!C19+2)+'DCF Model'!F45/(1+$B7)^('DCF Model'!C19+3)+'DCF Model'!G45/(1+$B7)^('DCF Model'!C19+4)+'DCF Model'!G45*(1+I$6)/($B7-I$6)/(1+$B7)^('DCF Model'!C19+4)-'DCF Model'!C16)*1000000/'DCF Model'!C15,0),"")</f>
        <v>427</v>
      </c>
    </row>
    <row r="8" spans="2:9" ht="13.5" customHeight="1" x14ac:dyDescent="0.25">
      <c r="B8" s="40">
        <f>$C$3-0.01</f>
        <v>8.4756313334405656E-2</v>
      </c>
      <c r="C8" s="38">
        <f>IFERROR(ROUND(('DCF Model'!C45/(1+$B8)^('DCF Model'!C19+0)+'DCF Model'!D45/(1+$B8)^('DCF Model'!C19+1)+'DCF Model'!E45/(1+$B8)^('DCF Model'!C19+2)+'DCF Model'!F45/(1+$B8)^('DCF Model'!C19+3)+'DCF Model'!G45/(1+$B8)^('DCF Model'!C19+4)+'DCF Model'!G45*(1+C$6)/($B8-C$6)/(1+$B8)^('DCF Model'!C19+4)-'DCF Model'!C16)*1000000/'DCF Model'!C15,0),"")</f>
        <v>50</v>
      </c>
      <c r="D8" s="38">
        <f>IFERROR(ROUND(('DCF Model'!C45/(1+$B8)^('DCF Model'!C19+0)+'DCF Model'!D45/(1+$B8)^('DCF Model'!C19+1)+'DCF Model'!E45/(1+$B8)^('DCF Model'!C19+2)+'DCF Model'!F45/(1+$B8)^('DCF Model'!C19+3)+'DCF Model'!G45/(1+$B8)^('DCF Model'!C19+4)+'DCF Model'!G45*(1+D$6)/($B8-D$6)/(1+$B8)^('DCF Model'!C19+4)-'DCF Model'!C16)*1000000/'DCF Model'!C15,0),"")</f>
        <v>84</v>
      </c>
      <c r="E8" s="38">
        <f>IFERROR(ROUND(('DCF Model'!C45/(1+$B8)^('DCF Model'!C19+0)+'DCF Model'!D45/(1+$B8)^('DCF Model'!C19+1)+'DCF Model'!E45/(1+$B8)^('DCF Model'!C19+2)+'DCF Model'!F45/(1+$B8)^('DCF Model'!C19+3)+'DCF Model'!G45/(1+$B8)^('DCF Model'!C19+4)+'DCF Model'!G45*(1+E$6)/($B8-E$6)/(1+$B8)^('DCF Model'!C19+4)-'DCF Model'!C16)*1000000/'DCF Model'!C15,0),"")</f>
        <v>120</v>
      </c>
      <c r="F8" s="38">
        <f>IFERROR(ROUND(('DCF Model'!C45/(1+$B8)^('DCF Model'!C19+0)+'DCF Model'!D45/(1+$B8)^('DCF Model'!C19+1)+'DCF Model'!E45/(1+$B8)^('DCF Model'!C19+2)+'DCF Model'!F45/(1+$B8)^('DCF Model'!C19+3)+'DCF Model'!G45/(1+$B8)^('DCF Model'!C19+4)+'DCF Model'!G45*(1+F$6)/($B8-F$6)/(1+$B8)^('DCF Model'!C19+4)-'DCF Model'!C16)*1000000/'DCF Model'!C15,0),"")</f>
        <v>158</v>
      </c>
      <c r="G8" s="38">
        <f>IFERROR(ROUND(('DCF Model'!C45/(1+$B8)^('DCF Model'!C19+0)+'DCF Model'!D45/(1+$B8)^('DCF Model'!C19+1)+'DCF Model'!E45/(1+$B8)^('DCF Model'!C19+2)+'DCF Model'!F45/(1+$B8)^('DCF Model'!C19+3)+'DCF Model'!G45/(1+$B8)^('DCF Model'!C19+4)+'DCF Model'!G45*(1+G$6)/($B8-G$6)/(1+$B8)^('DCF Model'!C19+4)-'DCF Model'!C16)*1000000/'DCF Model'!C15,0),"")</f>
        <v>199</v>
      </c>
      <c r="H8" s="38">
        <f>IFERROR(ROUND(('DCF Model'!C45/(1+$B8)^('DCF Model'!C19+0)+'DCF Model'!D45/(1+$B8)^('DCF Model'!C19+1)+'DCF Model'!E45/(1+$B8)^('DCF Model'!C19+2)+'DCF Model'!F45/(1+$B8)^('DCF Model'!C19+3)+'DCF Model'!G45/(1+$B8)^('DCF Model'!C19+4)+'DCF Model'!G45*(1+H$6)/($B8-H$6)/(1+$B8)^('DCF Model'!C19+4)-'DCF Model'!C16)*1000000/'DCF Model'!C15,0),"")</f>
        <v>243</v>
      </c>
      <c r="I8" s="38">
        <f>IFERROR(ROUND(('DCF Model'!C45/(1+$B8)^('DCF Model'!C19+0)+'DCF Model'!D45/(1+$B8)^('DCF Model'!C19+1)+'DCF Model'!E45/(1+$B8)^('DCF Model'!C19+2)+'DCF Model'!F45/(1+$B8)^('DCF Model'!C19+3)+'DCF Model'!G45/(1+$B8)^('DCF Model'!C19+4)+'DCF Model'!G45*(1+I$6)/($B8-I$6)/(1+$B8)^('DCF Model'!C19+4)-'DCF Model'!C16)*1000000/'DCF Model'!C15,0),"")</f>
        <v>291</v>
      </c>
    </row>
    <row r="9" spans="2:9" ht="13.5" customHeight="1" x14ac:dyDescent="0.25">
      <c r="B9" s="40">
        <f>$C$3-0.005</f>
        <v>8.9756313334405646E-2</v>
      </c>
      <c r="C9" s="38">
        <f>IFERROR(ROUND(('DCF Model'!C45/(1+$B9)^('DCF Model'!C19+0)+'DCF Model'!D45/(1+$B9)^('DCF Model'!C19+1)+'DCF Model'!E45/(1+$B9)^('DCF Model'!C19+2)+'DCF Model'!F45/(1+$B9)^('DCF Model'!C19+3)+'DCF Model'!G45/(1+$B9)^('DCF Model'!C19+4)+'DCF Model'!G45*(1+C$6)/($B9-C$6)/(1+$B9)^('DCF Model'!C19+4)-'DCF Model'!C16)*1000000/'DCF Model'!C15,0),"")</f>
        <v>-34</v>
      </c>
      <c r="D9" s="38">
        <f>IFERROR(ROUND(('DCF Model'!C45/(1+$B9)^('DCF Model'!C19+0)+'DCF Model'!D45/(1+$B9)^('DCF Model'!C19+1)+'DCF Model'!E45/(1+$B9)^('DCF Model'!C19+2)+'DCF Model'!F45/(1+$B9)^('DCF Model'!C19+3)+'DCF Model'!G45/(1+$B9)^('DCF Model'!C19+4)+'DCF Model'!G45*(1+D$6)/($B9-D$6)/(1+$B9)^('DCF Model'!C19+4)-'DCF Model'!C16)*1000000/'DCF Model'!C15,0),"")</f>
        <v>-4</v>
      </c>
      <c r="E9" s="38">
        <f>IFERROR(ROUND(('DCF Model'!C45/(1+$B9)^('DCF Model'!C19+0)+'DCF Model'!D45/(1+$B9)^('DCF Model'!C19+1)+'DCF Model'!E45/(1+$B9)^('DCF Model'!C19+2)+'DCF Model'!F45/(1+$B9)^('DCF Model'!C19+3)+'DCF Model'!G45/(1+$B9)^('DCF Model'!C19+4)+'DCF Model'!G45*(1+E$6)/($B9-E$6)/(1+$B9)^('DCF Model'!C19+4)-'DCF Model'!C16)*1000000/'DCF Model'!C15,0),"")</f>
        <v>27</v>
      </c>
      <c r="F9" s="38">
        <f>IFERROR(ROUND(('DCF Model'!C45/(1+$B9)^('DCF Model'!C19+0)+'DCF Model'!D45/(1+$B9)^('DCF Model'!C19+1)+'DCF Model'!E45/(1+$B9)^('DCF Model'!C19+2)+'DCF Model'!F45/(1+$B9)^('DCF Model'!C19+3)+'DCF Model'!G45/(1+$B9)^('DCF Model'!C19+4)+'DCF Model'!G45*(1+F$6)/($B9-F$6)/(1+$B9)^('DCF Model'!C19+4)-'DCF Model'!C16)*1000000/'DCF Model'!C15,0),"")</f>
        <v>60</v>
      </c>
      <c r="G9" s="38">
        <f>IFERROR(ROUND(('DCF Model'!C45/(1+$B9)^('DCF Model'!C19+0)+'DCF Model'!D45/(1+$B9)^('DCF Model'!C19+1)+'DCF Model'!E45/(1+$B9)^('DCF Model'!C19+2)+'DCF Model'!F45/(1+$B9)^('DCF Model'!C19+3)+'DCF Model'!G45/(1+$B9)^('DCF Model'!C19+4)+'DCF Model'!G45*(1+G$6)/($B9-G$6)/(1+$B9)^('DCF Model'!C19+4)-'DCF Model'!C16)*1000000/'DCF Model'!C15,0),"")</f>
        <v>96</v>
      </c>
      <c r="H9" s="38">
        <f>IFERROR(ROUND(('DCF Model'!C45/(1+$B9)^('DCF Model'!C19+0)+'DCF Model'!D45/(1+$B9)^('DCF Model'!C19+1)+'DCF Model'!E45/(1+$B9)^('DCF Model'!C19+2)+'DCF Model'!F45/(1+$B9)^('DCF Model'!C19+3)+'DCF Model'!G45/(1+$B9)^('DCF Model'!C19+4)+'DCF Model'!G45*(1+H$6)/($B9-H$6)/(1+$B9)^('DCF Model'!C19+4)-'DCF Model'!C16)*1000000/'DCF Model'!C15,0),"")</f>
        <v>133</v>
      </c>
      <c r="I9" s="38">
        <f>IFERROR(ROUND(('DCF Model'!C45/(1+$B9)^('DCF Model'!C19+0)+'DCF Model'!D45/(1+$B9)^('DCF Model'!C19+1)+'DCF Model'!E45/(1+$B9)^('DCF Model'!C19+2)+'DCF Model'!F45/(1+$B9)^('DCF Model'!C19+3)+'DCF Model'!G45/(1+$B9)^('DCF Model'!C19+4)+'DCF Model'!G45*(1+I$6)/($B9-I$6)/(1+$B9)^('DCF Model'!C19+4)-'DCF Model'!C16)*1000000/'DCF Model'!C15,0),"")</f>
        <v>174</v>
      </c>
    </row>
    <row r="10" spans="2:9" ht="13.5" customHeight="1" x14ac:dyDescent="0.25">
      <c r="B10" s="40">
        <f>$C$3</f>
        <v>9.4756313334405651E-2</v>
      </c>
      <c r="C10" s="38">
        <f>IFERROR(ROUND(('DCF Model'!C45/(1+$B10)^('DCF Model'!C19+0)+'DCF Model'!D45/(1+$B10)^('DCF Model'!C19+1)+'DCF Model'!E45/(1+$B10)^('DCF Model'!C19+2)+'DCF Model'!F45/(1+$B10)^('DCF Model'!C19+3)+'DCF Model'!G45/(1+$B10)^('DCF Model'!C19+4)+'DCF Model'!G45*(1+C$6)/($B10-C$6)/(1+$B10)^('DCF Model'!C19+4)-'DCF Model'!C16)*1000000/'DCF Model'!C15,0),"")</f>
        <v>-108</v>
      </c>
      <c r="D10" s="38">
        <f>IFERROR(ROUND(('DCF Model'!C45/(1+$B10)^('DCF Model'!C19+0)+'DCF Model'!D45/(1+$B10)^('DCF Model'!C19+1)+'DCF Model'!E45/(1+$B10)^('DCF Model'!C19+2)+'DCF Model'!F45/(1+$B10)^('DCF Model'!C19+3)+'DCF Model'!G45/(1+$B10)^('DCF Model'!C19+4)+'DCF Model'!G45*(1+D$6)/($B10-D$6)/(1+$B10)^('DCF Model'!C19+4)-'DCF Model'!C16)*1000000/'DCF Model'!C15,0),"")</f>
        <v>-83</v>
      </c>
      <c r="E10" s="38">
        <f>IFERROR(ROUND(('DCF Model'!C45/(1+$B10)^('DCF Model'!C19+0)+'DCF Model'!D45/(1+$B10)^('DCF Model'!C19+1)+'DCF Model'!E45/(1+$B10)^('DCF Model'!C19+2)+'DCF Model'!F45/(1+$B10)^('DCF Model'!C19+3)+'DCF Model'!G45/(1+$B10)^('DCF Model'!C19+4)+'DCF Model'!G45*(1+E$6)/($B10-E$6)/(1+$B10)^('DCF Model'!C19+4)-'DCF Model'!C16)*1000000/'DCF Model'!C15,0),"")</f>
        <v>-55</v>
      </c>
      <c r="F10" s="38">
        <f>IFERROR(ROUND(('DCF Model'!C45/(1+$B10)^('DCF Model'!C19+0)+'DCF Model'!D45/(1+$B10)^('DCF Model'!C19+1)+'DCF Model'!E45/(1+$B10)^('DCF Model'!C19+2)+'DCF Model'!F45/(1+$B10)^('DCF Model'!C19+3)+'DCF Model'!G45/(1+$B10)^('DCF Model'!C19+4)+'DCF Model'!G45*(1+F$6)/($B10-F$6)/(1+$B10)^('DCF Model'!C19+4)-'DCF Model'!C16)*1000000/'DCF Model'!C15,0),"")</f>
        <v>-26</v>
      </c>
      <c r="G10" s="38">
        <f>IFERROR(ROUND(('DCF Model'!C45/(1+$B10)^('DCF Model'!C19+0)+'DCF Model'!D45/(1+$B10)^('DCF Model'!C19+1)+'DCF Model'!E45/(1+$B10)^('DCF Model'!C19+2)+'DCF Model'!F45/(1+$B10)^('DCF Model'!C19+3)+'DCF Model'!G45/(1+$B10)^('DCF Model'!C19+4)+'DCF Model'!G45*(1+G$6)/($B10-G$6)/(1+$B10)^('DCF Model'!C19+4)-'DCF Model'!C16)*1000000/'DCF Model'!C15,0),"")</f>
        <v>4</v>
      </c>
      <c r="H10" s="38">
        <f>IFERROR(ROUND(('DCF Model'!C45/(1+$B10)^('DCF Model'!C19+0)+'DCF Model'!D45/(1+$B10)^('DCF Model'!C19+1)+'DCF Model'!E45/(1+$B10)^('DCF Model'!C19+2)+'DCF Model'!F45/(1+$B10)^('DCF Model'!C19+3)+'DCF Model'!G45/(1+$B10)^('DCF Model'!C19+4)+'DCF Model'!G45*(1+H$6)/($B10-H$6)/(1+$B10)^('DCF Model'!C19+4)-'DCF Model'!C16)*1000000/'DCF Model'!C15,0),"")</f>
        <v>37</v>
      </c>
      <c r="I10" s="38">
        <f>IFERROR(ROUND(('DCF Model'!C45/(1+$B10)^('DCF Model'!C19+0)+'DCF Model'!D45/(1+$B10)^('DCF Model'!C19+1)+'DCF Model'!E45/(1+$B10)^('DCF Model'!C19+2)+'DCF Model'!F45/(1+$B10)^('DCF Model'!C19+3)+'DCF Model'!G45/(1+$B10)^('DCF Model'!C19+4)+'DCF Model'!G45*(1+I$6)/($B10-I$6)/(1+$B10)^('DCF Model'!C19+4)-'DCF Model'!C16)*1000000/'DCF Model'!C15,0),"")</f>
        <v>72</v>
      </c>
    </row>
    <row r="11" spans="2:9" ht="13.5" customHeight="1" x14ac:dyDescent="0.25">
      <c r="B11" s="40">
        <f>$C$3+0.005</f>
        <v>9.9756313334405655E-2</v>
      </c>
      <c r="C11" s="38">
        <f>IFERROR(ROUND(('DCF Model'!C45/(1+$B11)^('DCF Model'!C19+0)+'DCF Model'!D45/(1+$B11)^('DCF Model'!C19+1)+'DCF Model'!E45/(1+$B11)^('DCF Model'!C19+2)+'DCF Model'!F45/(1+$B11)^('DCF Model'!C19+3)+'DCF Model'!G45/(1+$B11)^('DCF Model'!C19+4)+'DCF Model'!G45*(1+C$6)/($B11-C$6)/(1+$B11)^('DCF Model'!C19+4)-'DCF Model'!C16)*1000000/'DCF Model'!C15,0),"")</f>
        <v>-175</v>
      </c>
      <c r="D11" s="38">
        <f>IFERROR(ROUND(('DCF Model'!C45/(1+$B11)^('DCF Model'!C19+0)+'DCF Model'!D45/(1+$B11)^('DCF Model'!C19+1)+'DCF Model'!E45/(1+$B11)^('DCF Model'!C19+2)+'DCF Model'!F45/(1+$B11)^('DCF Model'!C19+3)+'DCF Model'!G45/(1+$B11)^('DCF Model'!C19+4)+'DCF Model'!G45*(1+D$6)/($B11-D$6)/(1+$B11)^('DCF Model'!C19+4)-'DCF Model'!C16)*1000000/'DCF Model'!C15,0),"")</f>
        <v>-152</v>
      </c>
      <c r="E11" s="38">
        <f>IFERROR(ROUND(('DCF Model'!C45/(1+$B11)^('DCF Model'!C19+0)+'DCF Model'!D45/(1+$B11)^('DCF Model'!C19+1)+'DCF Model'!E45/(1+$B11)^('DCF Model'!C19+2)+'DCF Model'!F45/(1+$B11)^('DCF Model'!C19+3)+'DCF Model'!G45/(1+$B11)^('DCF Model'!C19+4)+'DCF Model'!G45*(1+E$6)/($B11-E$6)/(1+$B11)^('DCF Model'!C19+4)-'DCF Model'!C16)*1000000/'DCF Model'!C15,0),"")</f>
        <v>-128</v>
      </c>
      <c r="F11" s="38">
        <f>IFERROR(ROUND(('DCF Model'!C45/(1+$B11)^('DCF Model'!C19+0)+'DCF Model'!D45/(1+$B11)^('DCF Model'!C19+1)+'DCF Model'!E45/(1+$B11)^('DCF Model'!C19+2)+'DCF Model'!F45/(1+$B11)^('DCF Model'!C19+3)+'DCF Model'!G45/(1+$B11)^('DCF Model'!C19+4)+'DCF Model'!G45*(1+F$6)/($B11-F$6)/(1+$B11)^('DCF Model'!C19+4)-'DCF Model'!C16)*1000000/'DCF Model'!C15,0),"")</f>
        <v>-103</v>
      </c>
      <c r="G11" s="38">
        <f>IFERROR(ROUND(('DCF Model'!C45/(1+$B11)^('DCF Model'!C19+0)+'DCF Model'!D45/(1+$B11)^('DCF Model'!C19+1)+'DCF Model'!E45/(1+$B11)^('DCF Model'!C19+2)+'DCF Model'!F45/(1+$B11)^('DCF Model'!C19+3)+'DCF Model'!G45/(1+$B11)^('DCF Model'!C19+4)+'DCF Model'!G45*(1+G$6)/($B11-G$6)/(1+$B11)^('DCF Model'!C19+4)-'DCF Model'!C16)*1000000/'DCF Model'!C15,0),"")</f>
        <v>-76</v>
      </c>
      <c r="H11" s="38">
        <f>IFERROR(ROUND(('DCF Model'!C45/(1+$B11)^('DCF Model'!C19+0)+'DCF Model'!D45/(1+$B11)^('DCF Model'!C19+1)+'DCF Model'!E45/(1+$B11)^('DCF Model'!C19+2)+'DCF Model'!F45/(1+$B11)^('DCF Model'!C19+3)+'DCF Model'!G45/(1+$B11)^('DCF Model'!C19+4)+'DCF Model'!G45*(1+H$6)/($B11-H$6)/(1+$B11)^('DCF Model'!C19+4)-'DCF Model'!C16)*1000000/'DCF Model'!C15,0),"")</f>
        <v>-48</v>
      </c>
      <c r="I11" s="38">
        <f>IFERROR(ROUND(('DCF Model'!C45/(1+$B11)^('DCF Model'!C19+0)+'DCF Model'!D45/(1+$B11)^('DCF Model'!C19+1)+'DCF Model'!E45/(1+$B11)^('DCF Model'!C19+2)+'DCF Model'!F45/(1+$B11)^('DCF Model'!C19+3)+'DCF Model'!G45/(1+$B11)^('DCF Model'!C19+4)+'DCF Model'!G45*(1+I$6)/($B11-I$6)/(1+$B11)^('DCF Model'!C19+4)-'DCF Model'!C16)*1000000/'DCF Model'!C15,0),"")</f>
        <v>-18</v>
      </c>
    </row>
    <row r="12" spans="2:9" ht="13.5" customHeight="1" x14ac:dyDescent="0.25">
      <c r="B12" s="40">
        <f>$C$3+0.01</f>
        <v>0.10475631333440565</v>
      </c>
      <c r="C12" s="38">
        <f>IFERROR(ROUND(('DCF Model'!C45/(1+$B12)^('DCF Model'!C19+0)+'DCF Model'!D45/(1+$B12)^('DCF Model'!C19+1)+'DCF Model'!E45/(1+$B12)^('DCF Model'!C19+2)+'DCF Model'!F45/(1+$B12)^('DCF Model'!C19+3)+'DCF Model'!G45/(1+$B12)^('DCF Model'!C19+4)+'DCF Model'!G45*(1+C$6)/($B12-C$6)/(1+$B12)^('DCF Model'!C19+4)-'DCF Model'!C16)*1000000/'DCF Model'!C15,0),"")</f>
        <v>-235</v>
      </c>
      <c r="D12" s="38">
        <f>IFERROR(ROUND(('DCF Model'!C45/(1+$B12)^('DCF Model'!C19+0)+'DCF Model'!D45/(1+$B12)^('DCF Model'!C19+1)+'DCF Model'!E45/(1+$B12)^('DCF Model'!C19+2)+'DCF Model'!F45/(1+$B12)^('DCF Model'!C19+3)+'DCF Model'!G45/(1+$B12)^('DCF Model'!C19+4)+'DCF Model'!G45*(1+D$6)/($B12-D$6)/(1+$B12)^('DCF Model'!C19+4)-'DCF Model'!C16)*1000000/'DCF Model'!C15,0),"")</f>
        <v>-215</v>
      </c>
      <c r="E12" s="38">
        <f>IFERROR(ROUND(('DCF Model'!C45/(1+$B12)^('DCF Model'!C19+0)+'DCF Model'!D45/(1+$B12)^('DCF Model'!C19+1)+'DCF Model'!E45/(1+$B12)^('DCF Model'!C19+2)+'DCF Model'!F45/(1+$B12)^('DCF Model'!C19+3)+'DCF Model'!G45/(1+$B12)^('DCF Model'!C19+4)+'DCF Model'!G45*(1+E$6)/($B12-E$6)/(1+$B12)^('DCF Model'!C19+4)-'DCF Model'!C16)*1000000/'DCF Model'!C15,0),"")</f>
        <v>-194</v>
      </c>
      <c r="F12" s="38">
        <f>IFERROR(ROUND(('DCF Model'!C45/(1+$B12)^('DCF Model'!C19+0)+'DCF Model'!D45/(1+$B12)^('DCF Model'!C19+1)+'DCF Model'!E45/(1+$B12)^('DCF Model'!C19+2)+'DCF Model'!F45/(1+$B12)^('DCF Model'!C19+3)+'DCF Model'!G45/(1+$B12)^('DCF Model'!C19+4)+'DCF Model'!G45*(1+F$6)/($B12-F$6)/(1+$B12)^('DCF Model'!C19+4)-'DCF Model'!C16)*1000000/'DCF Model'!C15,0),"")</f>
        <v>-172</v>
      </c>
      <c r="G12" s="38">
        <f>IFERROR(ROUND(('DCF Model'!C45/(1+$B12)^('DCF Model'!C19+0)+'DCF Model'!D45/(1+$B12)^('DCF Model'!C19+1)+'DCF Model'!E45/(1+$B12)^('DCF Model'!C19+2)+'DCF Model'!F45/(1+$B12)^('DCF Model'!C19+3)+'DCF Model'!G45/(1+$B12)^('DCF Model'!C19+4)+'DCF Model'!G45*(1+G$6)/($B12-G$6)/(1+$B12)^('DCF Model'!C19+4)-'DCF Model'!C16)*1000000/'DCF Model'!C15,0),"")</f>
        <v>-148</v>
      </c>
      <c r="H12" s="38">
        <f>IFERROR(ROUND(('DCF Model'!C45/(1+$B12)^('DCF Model'!C19+0)+'DCF Model'!D45/(1+$B12)^('DCF Model'!C19+1)+'DCF Model'!E45/(1+$B12)^('DCF Model'!C19+2)+'DCF Model'!F45/(1+$B12)^('DCF Model'!C19+3)+'DCF Model'!G45/(1+$B12)^('DCF Model'!C19+4)+'DCF Model'!G45*(1+H$6)/($B12-H$6)/(1+$B12)^('DCF Model'!C19+4)-'DCF Model'!C16)*1000000/'DCF Model'!C15,0),"")</f>
        <v>-123</v>
      </c>
      <c r="I12" s="38">
        <f>IFERROR(ROUND(('DCF Model'!C45/(1+$B12)^('DCF Model'!C19+0)+'DCF Model'!D45/(1+$B12)^('DCF Model'!C19+1)+'DCF Model'!E45/(1+$B12)^('DCF Model'!C19+2)+'DCF Model'!F45/(1+$B12)^('DCF Model'!C19+3)+'DCF Model'!G45/(1+$B12)^('DCF Model'!C19+4)+'DCF Model'!G45*(1+I$6)/($B12-I$6)/(1+$B12)^('DCF Model'!C19+4)-'DCF Model'!C16)*1000000/'DCF Model'!C15,0),"")</f>
        <v>-97</v>
      </c>
    </row>
    <row r="13" spans="2:9" ht="13.5" customHeight="1" x14ac:dyDescent="0.25">
      <c r="B13" s="40">
        <f>$C$3+0.015</f>
        <v>0.10975631333440565</v>
      </c>
      <c r="C13" s="38">
        <f>IFERROR(ROUND(('DCF Model'!C45/(1+$B13)^('DCF Model'!C19+0)+'DCF Model'!D45/(1+$B13)^('DCF Model'!C19+1)+'DCF Model'!E45/(1+$B13)^('DCF Model'!C19+2)+'DCF Model'!F45/(1+$B13)^('DCF Model'!C19+3)+'DCF Model'!G45/(1+$B13)^('DCF Model'!C19+4)+'DCF Model'!G45*(1+C$6)/($B13-C$6)/(1+$B13)^('DCF Model'!C19+4)-'DCF Model'!C16)*1000000/'DCF Model'!C15,0),"")</f>
        <v>-290</v>
      </c>
      <c r="D13" s="38">
        <f>IFERROR(ROUND(('DCF Model'!C45/(1+$B13)^('DCF Model'!C19+0)+'DCF Model'!D45/(1+$B13)^('DCF Model'!C19+1)+'DCF Model'!E45/(1+$B13)^('DCF Model'!C19+2)+'DCF Model'!F45/(1+$B13)^('DCF Model'!C19+3)+'DCF Model'!G45/(1+$B13)^('DCF Model'!C19+4)+'DCF Model'!G45*(1+D$6)/($B13-D$6)/(1+$B13)^('DCF Model'!C19+4)-'DCF Model'!C16)*1000000/'DCF Model'!C15,0),"")</f>
        <v>-272</v>
      </c>
      <c r="E13" s="38">
        <f>IFERROR(ROUND(('DCF Model'!C45/(1+$B13)^('DCF Model'!C19+0)+'DCF Model'!D45/(1+$B13)^('DCF Model'!C19+1)+'DCF Model'!E45/(1+$B13)^('DCF Model'!C19+2)+'DCF Model'!F45/(1+$B13)^('DCF Model'!C19+3)+'DCF Model'!G45/(1+$B13)^('DCF Model'!C19+4)+'DCF Model'!G45*(1+E$6)/($B13-E$6)/(1+$B13)^('DCF Model'!C19+4)-'DCF Model'!C16)*1000000/'DCF Model'!C15,0),"")</f>
        <v>-253</v>
      </c>
      <c r="F13" s="38">
        <f>IFERROR(ROUND(('DCF Model'!C45/(1+$B13)^('DCF Model'!C19+0)+'DCF Model'!D45/(1+$B13)^('DCF Model'!C19+1)+'DCF Model'!E45/(1+$B13)^('DCF Model'!C19+2)+'DCF Model'!F45/(1+$B13)^('DCF Model'!C19+3)+'DCF Model'!G45/(1+$B13)^('DCF Model'!C19+4)+'DCF Model'!G45*(1+F$6)/($B13-F$6)/(1+$B13)^('DCF Model'!C19+4)-'DCF Model'!C16)*1000000/'DCF Model'!C15,0),"")</f>
        <v>-233</v>
      </c>
      <c r="G13" s="38">
        <f>IFERROR(ROUND(('DCF Model'!C45/(1+$B13)^('DCF Model'!C19+0)+'DCF Model'!D45/(1+$B13)^('DCF Model'!C19+1)+'DCF Model'!E45/(1+$B13)^('DCF Model'!C19+2)+'DCF Model'!F45/(1+$B13)^('DCF Model'!C19+3)+'DCF Model'!G45/(1+$B13)^('DCF Model'!C19+4)+'DCF Model'!G45*(1+G$6)/($B13-G$6)/(1+$B13)^('DCF Model'!C19+4)-'DCF Model'!C16)*1000000/'DCF Model'!C15,0),"")</f>
        <v>-212</v>
      </c>
      <c r="H13" s="38">
        <f>IFERROR(ROUND(('DCF Model'!C45/(1+$B13)^('DCF Model'!C19+0)+'DCF Model'!D45/(1+$B13)^('DCF Model'!C19+1)+'DCF Model'!E45/(1+$B13)^('DCF Model'!C19+2)+'DCF Model'!F45/(1+$B13)^('DCF Model'!C19+3)+'DCF Model'!G45/(1+$B13)^('DCF Model'!C19+4)+'DCF Model'!G45*(1+H$6)/($B13-H$6)/(1+$B13)^('DCF Model'!C19+4)-'DCF Model'!C16)*1000000/'DCF Model'!C15,0),"")</f>
        <v>-190</v>
      </c>
      <c r="I13" s="38">
        <f>IFERROR(ROUND(('DCF Model'!C45/(1+$B13)^('DCF Model'!C19+0)+'DCF Model'!D45/(1+$B13)^('DCF Model'!C19+1)+'DCF Model'!E45/(1+$B13)^('DCF Model'!C19+2)+'DCF Model'!F45/(1+$B13)^('DCF Model'!C19+3)+'DCF Model'!G45/(1+$B13)^('DCF Model'!C19+4)+'DCF Model'!G45*(1+I$6)/($B13-I$6)/(1+$B13)^('DCF Model'!C19+4)-'DCF Model'!C16)*1000000/'DCF Model'!C15,0),"")</f>
        <v>-167</v>
      </c>
    </row>
    <row r="16" spans="2:9" ht="14" customHeight="1" x14ac:dyDescent="0.3">
      <c r="B16" s="3" t="s">
        <v>230</v>
      </c>
    </row>
    <row r="17" spans="2:9" ht="14" customHeight="1" x14ac:dyDescent="0.3">
      <c r="B17" s="41" t="s">
        <v>231</v>
      </c>
      <c r="C17" s="43">
        <f>$I$3-3</f>
        <v>4</v>
      </c>
      <c r="D17" s="43">
        <f>$I$3-2</f>
        <v>5</v>
      </c>
      <c r="E17" s="43">
        <f>$I$3-1</f>
        <v>6</v>
      </c>
      <c r="F17" s="43">
        <f>$I$3</f>
        <v>7</v>
      </c>
      <c r="G17" s="43">
        <f>$I$3+1</f>
        <v>8</v>
      </c>
      <c r="H17" s="43">
        <f>$I$3+2</f>
        <v>9</v>
      </c>
      <c r="I17" s="43">
        <f>$I$3+3</f>
        <v>10</v>
      </c>
    </row>
    <row r="18" spans="2:9" ht="13.5" customHeight="1" x14ac:dyDescent="0.25">
      <c r="B18" s="40">
        <f>$C$3-0.015</f>
        <v>7.9756313334405651E-2</v>
      </c>
      <c r="C18" s="38">
        <f>IFERROR(ROUND(('DCF Model'!C45/(1+$B18)^('DCF Model'!C19+0)+'DCF Model'!D45/(1+$B18)^('DCF Model'!C19+1)+'DCF Model'!E45/(1+$B18)^('DCF Model'!C19+2)+'DCF Model'!F45/(1+$B18)^('DCF Model'!C19+3)+'DCF Model'!G45/(1+$B18)^('DCF Model'!C19+4)+('DCF Model'!G39+'DCF Model'!G42)*C$17/(1+$B18)^('DCF Model'!C19+4)-'DCF Model'!C16)*1000000/'DCF Model'!C15,0),"")</f>
        <v>-83</v>
      </c>
      <c r="D18" s="38">
        <f>IFERROR(ROUND(('DCF Model'!C45/(1+$B18)^('DCF Model'!C19+0)+'DCF Model'!D45/(1+$B18)^('DCF Model'!C19+1)+'DCF Model'!E45/(1+$B18)^('DCF Model'!C19+2)+'DCF Model'!F45/(1+$B18)^('DCF Model'!C19+3)+'DCF Model'!G45/(1+$B18)^('DCF Model'!C19+4)+('DCF Model'!G39+'DCF Model'!G42)*D$17/(1+$B18)^('DCF Model'!C19+4)-'DCF Model'!C16)*1000000/'DCF Model'!C15,0),"")</f>
        <v>132</v>
      </c>
      <c r="E18" s="38">
        <f>IFERROR(ROUND(('DCF Model'!C45/(1+$B18)^('DCF Model'!C19+0)+'DCF Model'!D45/(1+$B18)^('DCF Model'!C19+1)+'DCF Model'!E45/(1+$B18)^('DCF Model'!C19+2)+'DCF Model'!F45/(1+$B18)^('DCF Model'!C19+3)+'DCF Model'!G45/(1+$B18)^('DCF Model'!C19+4)+('DCF Model'!G39+'DCF Model'!G42)*E$17/(1+$B18)^('DCF Model'!C19+4)-'DCF Model'!C16)*1000000/'DCF Model'!C15,0),"")</f>
        <v>347</v>
      </c>
      <c r="F18" s="38">
        <f>IFERROR(ROUND(('DCF Model'!C45/(1+$B18)^('DCF Model'!C19+0)+'DCF Model'!D45/(1+$B18)^('DCF Model'!C19+1)+'DCF Model'!E45/(1+$B18)^('DCF Model'!C19+2)+'DCF Model'!F45/(1+$B18)^('DCF Model'!C19+3)+'DCF Model'!G45/(1+$B18)^('DCF Model'!C19+4)+('DCF Model'!G39+'DCF Model'!G42)*F$17/(1+$B18)^('DCF Model'!C19+4)-'DCF Model'!C16)*1000000/'DCF Model'!C15,0),"")</f>
        <v>562</v>
      </c>
      <c r="G18" s="38">
        <f>IFERROR(ROUND(('DCF Model'!C45/(1+$B18)^('DCF Model'!C19+0)+'DCF Model'!D45/(1+$B18)^('DCF Model'!C19+1)+'DCF Model'!E45/(1+$B18)^('DCF Model'!C19+2)+'DCF Model'!F45/(1+$B18)^('DCF Model'!C19+3)+'DCF Model'!G45/(1+$B18)^('DCF Model'!C19+4)+('DCF Model'!G39+'DCF Model'!G42)*G$17/(1+$B18)^('DCF Model'!C19+4)-'DCF Model'!C16)*1000000/'DCF Model'!C15,0),"")</f>
        <v>777</v>
      </c>
      <c r="H18" s="38">
        <f>IFERROR(ROUND(('DCF Model'!C45/(1+$B18)^('DCF Model'!C19+0)+'DCF Model'!D45/(1+$B18)^('DCF Model'!C19+1)+'DCF Model'!E45/(1+$B18)^('DCF Model'!C19+2)+'DCF Model'!F45/(1+$B18)^('DCF Model'!C19+3)+'DCF Model'!G45/(1+$B18)^('DCF Model'!C19+4)+('DCF Model'!G39+'DCF Model'!G42)*H$17/(1+$B18)^('DCF Model'!C19+4)-'DCF Model'!C16)*1000000/'DCF Model'!C15,0),"")</f>
        <v>991</v>
      </c>
      <c r="I18" s="38">
        <f>IFERROR(ROUND(('DCF Model'!C45/(1+$B18)^('DCF Model'!C19+0)+'DCF Model'!D45/(1+$B18)^('DCF Model'!C19+1)+'DCF Model'!E45/(1+$B18)^('DCF Model'!C19+2)+'DCF Model'!F45/(1+$B18)^('DCF Model'!C19+3)+'DCF Model'!G45/(1+$B18)^('DCF Model'!C19+4)+('DCF Model'!G39+'DCF Model'!G42)*I$17/(1+$B18)^('DCF Model'!C19+4)-'DCF Model'!C16)*1000000/'DCF Model'!C15,0),"")</f>
        <v>1206</v>
      </c>
    </row>
    <row r="19" spans="2:9" ht="13.5" customHeight="1" x14ac:dyDescent="0.25">
      <c r="B19" s="40">
        <f>$C$3-0.01</f>
        <v>8.4756313334405656E-2</v>
      </c>
      <c r="C19" s="38">
        <f>IFERROR(ROUND(('DCF Model'!C45/(1+$B19)^('DCF Model'!C19+0)+'DCF Model'!D45/(1+$B19)^('DCF Model'!C19+1)+'DCF Model'!E45/(1+$B19)^('DCF Model'!C19+2)+'DCF Model'!F45/(1+$B19)^('DCF Model'!C19+3)+'DCF Model'!G45/(1+$B19)^('DCF Model'!C19+4)+('DCF Model'!G39+'DCF Model'!G42)*C$17/(1+$B19)^('DCF Model'!C19+4)-'DCF Model'!C16)*1000000/'DCF Model'!C15,0),"")</f>
        <v>-108</v>
      </c>
      <c r="D19" s="38">
        <f>IFERROR(ROUND(('DCF Model'!C45/(1+$B19)^('DCF Model'!C19+0)+'DCF Model'!D45/(1+$B19)^('DCF Model'!C19+1)+'DCF Model'!E45/(1+$B19)^('DCF Model'!C19+2)+'DCF Model'!F45/(1+$B19)^('DCF Model'!C19+3)+'DCF Model'!G45/(1+$B19)^('DCF Model'!C19+4)+('DCF Model'!G39+'DCF Model'!G42)*D$17/(1+$B19)^('DCF Model'!C19+4)-'DCF Model'!C16)*1000000/'DCF Model'!C15,0),"")</f>
        <v>102</v>
      </c>
      <c r="E19" s="38">
        <f>IFERROR(ROUND(('DCF Model'!C45/(1+$B19)^('DCF Model'!C19+0)+'DCF Model'!D45/(1+$B19)^('DCF Model'!C19+1)+'DCF Model'!E45/(1+$B19)^('DCF Model'!C19+2)+'DCF Model'!F45/(1+$B19)^('DCF Model'!C19+3)+'DCF Model'!G45/(1+$B19)^('DCF Model'!C19+4)+('DCF Model'!G39+'DCF Model'!G42)*E$17/(1+$B19)^('DCF Model'!C19+4)-'DCF Model'!C16)*1000000/'DCF Model'!C15,0),"")</f>
        <v>312</v>
      </c>
      <c r="F19" s="38">
        <f>IFERROR(ROUND(('DCF Model'!C45/(1+$B19)^('DCF Model'!C19+0)+'DCF Model'!D45/(1+$B19)^('DCF Model'!C19+1)+'DCF Model'!E45/(1+$B19)^('DCF Model'!C19+2)+'DCF Model'!F45/(1+$B19)^('DCF Model'!C19+3)+'DCF Model'!G45/(1+$B19)^('DCF Model'!C19+4)+('DCF Model'!G39+'DCF Model'!G42)*F$17/(1+$B19)^('DCF Model'!C19+4)-'DCF Model'!C16)*1000000/'DCF Model'!C15,0),"")</f>
        <v>522</v>
      </c>
      <c r="G19" s="38">
        <f>IFERROR(ROUND(('DCF Model'!C45/(1+$B19)^('DCF Model'!C19+0)+'DCF Model'!D45/(1+$B19)^('DCF Model'!C19+1)+'DCF Model'!E45/(1+$B19)^('DCF Model'!C19+2)+'DCF Model'!F45/(1+$B19)^('DCF Model'!C19+3)+'DCF Model'!G45/(1+$B19)^('DCF Model'!C19+4)+('DCF Model'!G39+'DCF Model'!G42)*G$17/(1+$B19)^('DCF Model'!C19+4)-'DCF Model'!C16)*1000000/'DCF Model'!C15,0),"")</f>
        <v>732</v>
      </c>
      <c r="H19" s="38">
        <f>IFERROR(ROUND(('DCF Model'!C45/(1+$B19)^('DCF Model'!C19+0)+'DCF Model'!D45/(1+$B19)^('DCF Model'!C19+1)+'DCF Model'!E45/(1+$B19)^('DCF Model'!C19+2)+'DCF Model'!F45/(1+$B19)^('DCF Model'!C19+3)+'DCF Model'!G45/(1+$B19)^('DCF Model'!C19+4)+('DCF Model'!G39+'DCF Model'!G42)*H$17/(1+$B19)^('DCF Model'!C19+4)-'DCF Model'!C16)*1000000/'DCF Model'!C15,0),"")</f>
        <v>942</v>
      </c>
      <c r="I19" s="38">
        <f>IFERROR(ROUND(('DCF Model'!C45/(1+$B19)^('DCF Model'!C19+0)+'DCF Model'!D45/(1+$B19)^('DCF Model'!C19+1)+'DCF Model'!E45/(1+$B19)^('DCF Model'!C19+2)+'DCF Model'!F45/(1+$B19)^('DCF Model'!C19+3)+'DCF Model'!G45/(1+$B19)^('DCF Model'!C19+4)+('DCF Model'!G39+'DCF Model'!G42)*I$17/(1+$B19)^('DCF Model'!C19+4)-'DCF Model'!C16)*1000000/'DCF Model'!C15,0),"")</f>
        <v>1152</v>
      </c>
    </row>
    <row r="20" spans="2:9" ht="13.5" customHeight="1" x14ac:dyDescent="0.25">
      <c r="B20" s="40">
        <f>$C$3-0.005</f>
        <v>8.9756313334405646E-2</v>
      </c>
      <c r="C20" s="38">
        <f>IFERROR(ROUND(('DCF Model'!C45/(1+$B20)^('DCF Model'!C19+0)+'DCF Model'!D45/(1+$B20)^('DCF Model'!C19+1)+'DCF Model'!E45/(1+$B20)^('DCF Model'!C19+2)+'DCF Model'!F45/(1+$B20)^('DCF Model'!C19+3)+'DCF Model'!G45/(1+$B20)^('DCF Model'!C19+4)+('DCF Model'!G39+'DCF Model'!G42)*C$17/(1+$B20)^('DCF Model'!C19+4)-'DCF Model'!C16)*1000000/'DCF Model'!C15,0),"")</f>
        <v>-132</v>
      </c>
      <c r="D20" s="38">
        <f>IFERROR(ROUND(('DCF Model'!C45/(1+$B20)^('DCF Model'!C19+0)+'DCF Model'!D45/(1+$B20)^('DCF Model'!C19+1)+'DCF Model'!E45/(1+$B20)^('DCF Model'!C19+2)+'DCF Model'!F45/(1+$B20)^('DCF Model'!C19+3)+'DCF Model'!G45/(1+$B20)^('DCF Model'!C19+4)+('DCF Model'!G39+'DCF Model'!G42)*D$17/(1+$B20)^('DCF Model'!C19+4)-'DCF Model'!C16)*1000000/'DCF Model'!C15,0),"")</f>
        <v>73</v>
      </c>
      <c r="E20" s="38">
        <f>IFERROR(ROUND(('DCF Model'!C45/(1+$B20)^('DCF Model'!C19+0)+'DCF Model'!D45/(1+$B20)^('DCF Model'!C19+1)+'DCF Model'!E45/(1+$B20)^('DCF Model'!C19+2)+'DCF Model'!F45/(1+$B20)^('DCF Model'!C19+3)+'DCF Model'!G45/(1+$B20)^('DCF Model'!C19+4)+('DCF Model'!G39+'DCF Model'!G42)*E$17/(1+$B20)^('DCF Model'!C19+4)-'DCF Model'!C16)*1000000/'DCF Model'!C15,0),"")</f>
        <v>278</v>
      </c>
      <c r="F20" s="38">
        <f>IFERROR(ROUND(('DCF Model'!C45/(1+$B20)^('DCF Model'!C19+0)+'DCF Model'!D45/(1+$B20)^('DCF Model'!C19+1)+'DCF Model'!E45/(1+$B20)^('DCF Model'!C19+2)+'DCF Model'!F45/(1+$B20)^('DCF Model'!C19+3)+'DCF Model'!G45/(1+$B20)^('DCF Model'!C19+4)+('DCF Model'!G39+'DCF Model'!G42)*F$17/(1+$B20)^('DCF Model'!C19+4)-'DCF Model'!C16)*1000000/'DCF Model'!C15,0),"")</f>
        <v>483</v>
      </c>
      <c r="G20" s="38">
        <f>IFERROR(ROUND(('DCF Model'!C45/(1+$B20)^('DCF Model'!C19+0)+'DCF Model'!D45/(1+$B20)^('DCF Model'!C19+1)+'DCF Model'!E45/(1+$B20)^('DCF Model'!C19+2)+'DCF Model'!F45/(1+$B20)^('DCF Model'!C19+3)+'DCF Model'!G45/(1+$B20)^('DCF Model'!C19+4)+('DCF Model'!G39+'DCF Model'!G42)*G$17/(1+$B20)^('DCF Model'!C19+4)-'DCF Model'!C16)*1000000/'DCF Model'!C15,0),"")</f>
        <v>689</v>
      </c>
      <c r="H20" s="38">
        <f>IFERROR(ROUND(('DCF Model'!C45/(1+$B20)^('DCF Model'!C19+0)+'DCF Model'!D45/(1+$B20)^('DCF Model'!C19+1)+'DCF Model'!E45/(1+$B20)^('DCF Model'!C19+2)+'DCF Model'!F45/(1+$B20)^('DCF Model'!C19+3)+'DCF Model'!G45/(1+$B20)^('DCF Model'!C19+4)+('DCF Model'!G39+'DCF Model'!G42)*H$17/(1+$B20)^('DCF Model'!C19+4)-'DCF Model'!C16)*1000000/'DCF Model'!C15,0),"")</f>
        <v>894</v>
      </c>
      <c r="I20" s="38">
        <f>IFERROR(ROUND(('DCF Model'!C45/(1+$B20)^('DCF Model'!C19+0)+'DCF Model'!D45/(1+$B20)^('DCF Model'!C19+1)+'DCF Model'!E45/(1+$B20)^('DCF Model'!C19+2)+'DCF Model'!F45/(1+$B20)^('DCF Model'!C19+3)+'DCF Model'!G45/(1+$B20)^('DCF Model'!C19+4)+('DCF Model'!G39+'DCF Model'!G42)*I$17/(1+$B20)^('DCF Model'!C19+4)-'DCF Model'!C16)*1000000/'DCF Model'!C15,0),"")</f>
        <v>1099</v>
      </c>
    </row>
    <row r="21" spans="2:9" ht="13.5" customHeight="1" x14ac:dyDescent="0.25">
      <c r="B21" s="40">
        <f>$C$3</f>
        <v>9.4756313334405651E-2</v>
      </c>
      <c r="C21" s="38">
        <f>IFERROR(ROUND(('DCF Model'!C45/(1+$B21)^('DCF Model'!C19+0)+'DCF Model'!D45/(1+$B21)^('DCF Model'!C19+1)+'DCF Model'!E45/(1+$B21)^('DCF Model'!C19+2)+'DCF Model'!F45/(1+$B21)^('DCF Model'!C19+3)+'DCF Model'!G45/(1+$B21)^('DCF Model'!C19+4)+('DCF Model'!G39+'DCF Model'!G42)*C$17/(1+$B21)^('DCF Model'!C19+4)-'DCF Model'!C16)*1000000/'DCF Model'!C15,0),"")</f>
        <v>-156</v>
      </c>
      <c r="D21" s="38">
        <f>IFERROR(ROUND(('DCF Model'!C45/(1+$B21)^('DCF Model'!C19+0)+'DCF Model'!D45/(1+$B21)^('DCF Model'!C19+1)+'DCF Model'!E45/(1+$B21)^('DCF Model'!C19+2)+'DCF Model'!F45/(1+$B21)^('DCF Model'!C19+3)+'DCF Model'!G45/(1+$B21)^('DCF Model'!C19+4)+('DCF Model'!G39+'DCF Model'!G42)*D$17/(1+$B21)^('DCF Model'!C19+4)-'DCF Model'!C16)*1000000/'DCF Model'!C15,0),"")</f>
        <v>45</v>
      </c>
      <c r="E21" s="38">
        <f>IFERROR(ROUND(('DCF Model'!C45/(1+$B21)^('DCF Model'!C19+0)+'DCF Model'!D45/(1+$B21)^('DCF Model'!C19+1)+'DCF Model'!E45/(1+$B21)^('DCF Model'!C19+2)+'DCF Model'!F45/(1+$B21)^('DCF Model'!C19+3)+'DCF Model'!G45/(1+$B21)^('DCF Model'!C19+4)+('DCF Model'!G39+'DCF Model'!G42)*E$17/(1+$B21)^('DCF Model'!C19+4)-'DCF Model'!C16)*1000000/'DCF Model'!C15,0),"")</f>
        <v>245</v>
      </c>
      <c r="F21" s="38">
        <f>IFERROR(ROUND(('DCF Model'!C45/(1+$B21)^('DCF Model'!C19+0)+'DCF Model'!D45/(1+$B21)^('DCF Model'!C19+1)+'DCF Model'!E45/(1+$B21)^('DCF Model'!C19+2)+'DCF Model'!F45/(1+$B21)^('DCF Model'!C19+3)+'DCF Model'!G45/(1+$B21)^('DCF Model'!C19+4)+('DCF Model'!G39+'DCF Model'!G42)*F$17/(1+$B21)^('DCF Model'!C19+4)-'DCF Model'!C16)*1000000/'DCF Model'!C15,0),"")</f>
        <v>446</v>
      </c>
      <c r="G21" s="38">
        <f>IFERROR(ROUND(('DCF Model'!C45/(1+$B21)^('DCF Model'!C19+0)+'DCF Model'!D45/(1+$B21)^('DCF Model'!C19+1)+'DCF Model'!E45/(1+$B21)^('DCF Model'!C19+2)+'DCF Model'!F45/(1+$B21)^('DCF Model'!C19+3)+'DCF Model'!G45/(1+$B21)^('DCF Model'!C19+4)+('DCF Model'!G39+'DCF Model'!G42)*G$17/(1+$B21)^('DCF Model'!C19+4)-'DCF Model'!C16)*1000000/'DCF Model'!C15,0),"")</f>
        <v>646</v>
      </c>
      <c r="H21" s="38">
        <f>IFERROR(ROUND(('DCF Model'!C45/(1+$B21)^('DCF Model'!C19+0)+'DCF Model'!D45/(1+$B21)^('DCF Model'!C19+1)+'DCF Model'!E45/(1+$B21)^('DCF Model'!C19+2)+'DCF Model'!F45/(1+$B21)^('DCF Model'!C19+3)+'DCF Model'!G45/(1+$B21)^('DCF Model'!C19+4)+('DCF Model'!G39+'DCF Model'!G42)*H$17/(1+$B21)^('DCF Model'!C19+4)-'DCF Model'!C16)*1000000/'DCF Model'!C15,0),"")</f>
        <v>847</v>
      </c>
      <c r="I21" s="38">
        <f>IFERROR(ROUND(('DCF Model'!C45/(1+$B21)^('DCF Model'!C19+0)+'DCF Model'!D45/(1+$B21)^('DCF Model'!C19+1)+'DCF Model'!E45/(1+$B21)^('DCF Model'!C19+2)+'DCF Model'!F45/(1+$B21)^('DCF Model'!C19+3)+'DCF Model'!G45/(1+$B21)^('DCF Model'!C19+4)+('DCF Model'!G39+'DCF Model'!G42)*I$17/(1+$B21)^('DCF Model'!C19+4)-'DCF Model'!C16)*1000000/'DCF Model'!C15,0),"")</f>
        <v>1047</v>
      </c>
    </row>
    <row r="22" spans="2:9" ht="13.5" customHeight="1" x14ac:dyDescent="0.25">
      <c r="B22" s="40">
        <f>$C$3+0.005</f>
        <v>9.9756313334405655E-2</v>
      </c>
      <c r="C22" s="38">
        <f>IFERROR(ROUND(('DCF Model'!C45/(1+$B22)^('DCF Model'!C19+0)+'DCF Model'!D45/(1+$B22)^('DCF Model'!C19+1)+'DCF Model'!E45/(1+$B22)^('DCF Model'!C19+2)+'DCF Model'!F45/(1+$B22)^('DCF Model'!C19+3)+'DCF Model'!G45/(1+$B22)^('DCF Model'!C19+4)+('DCF Model'!G39+'DCF Model'!G42)*C$17/(1+$B22)^('DCF Model'!C19+4)-'DCF Model'!C16)*1000000/'DCF Model'!C15,0),"")</f>
        <v>-179</v>
      </c>
      <c r="D22" s="38">
        <f>IFERROR(ROUND(('DCF Model'!C45/(1+$B22)^('DCF Model'!C19+0)+'DCF Model'!D45/(1+$B22)^('DCF Model'!C19+1)+'DCF Model'!E45/(1+$B22)^('DCF Model'!C19+2)+'DCF Model'!F45/(1+$B22)^('DCF Model'!C19+3)+'DCF Model'!G45/(1+$B22)^('DCF Model'!C19+4)+('DCF Model'!G39+'DCF Model'!G42)*D$17/(1+$B22)^('DCF Model'!C19+4)-'DCF Model'!C16)*1000000/'DCF Model'!C15,0),"")</f>
        <v>17</v>
      </c>
      <c r="E22" s="38">
        <f>IFERROR(ROUND(('DCF Model'!C45/(1+$B22)^('DCF Model'!C19+0)+'DCF Model'!D45/(1+$B22)^('DCF Model'!C19+1)+'DCF Model'!E45/(1+$B22)^('DCF Model'!C19+2)+'DCF Model'!F45/(1+$B22)^('DCF Model'!C19+3)+'DCF Model'!G45/(1+$B22)^('DCF Model'!C19+4)+('DCF Model'!G39+'DCF Model'!G42)*E$17/(1+$B22)^('DCF Model'!C19+4)-'DCF Model'!C16)*1000000/'DCF Model'!C15,0),"")</f>
        <v>213</v>
      </c>
      <c r="F22" s="38">
        <f>IFERROR(ROUND(('DCF Model'!C45/(1+$B22)^('DCF Model'!C19+0)+'DCF Model'!D45/(1+$B22)^('DCF Model'!C19+1)+'DCF Model'!E45/(1+$B22)^('DCF Model'!C19+2)+'DCF Model'!F45/(1+$B22)^('DCF Model'!C19+3)+'DCF Model'!G45/(1+$B22)^('DCF Model'!C19+4)+('DCF Model'!G39+'DCF Model'!G42)*F$17/(1+$B22)^('DCF Model'!C19+4)-'DCF Model'!C16)*1000000/'DCF Model'!C15,0),"")</f>
        <v>409</v>
      </c>
      <c r="G22" s="38">
        <f>IFERROR(ROUND(('DCF Model'!C45/(1+$B22)^('DCF Model'!C19+0)+'DCF Model'!D45/(1+$B22)^('DCF Model'!C19+1)+'DCF Model'!E45/(1+$B22)^('DCF Model'!C19+2)+'DCF Model'!F45/(1+$B22)^('DCF Model'!C19+3)+'DCF Model'!G45/(1+$B22)^('DCF Model'!C19+4)+('DCF Model'!G39+'DCF Model'!G42)*G$17/(1+$B22)^('DCF Model'!C19+4)-'DCF Model'!C16)*1000000/'DCF Model'!C15,0),"")</f>
        <v>605</v>
      </c>
      <c r="H22" s="38">
        <f>IFERROR(ROUND(('DCF Model'!C45/(1+$B22)^('DCF Model'!C19+0)+'DCF Model'!D45/(1+$B22)^('DCF Model'!C19+1)+'DCF Model'!E45/(1+$B22)^('DCF Model'!C19+2)+'DCF Model'!F45/(1+$B22)^('DCF Model'!C19+3)+'DCF Model'!G45/(1+$B22)^('DCF Model'!C19+4)+('DCF Model'!G39+'DCF Model'!G42)*H$17/(1+$B22)^('DCF Model'!C19+4)-'DCF Model'!C16)*1000000/'DCF Model'!C15,0),"")</f>
        <v>801</v>
      </c>
      <c r="I22" s="38">
        <f>IFERROR(ROUND(('DCF Model'!C45/(1+$B22)^('DCF Model'!C19+0)+'DCF Model'!D45/(1+$B22)^('DCF Model'!C19+1)+'DCF Model'!E45/(1+$B22)^('DCF Model'!C19+2)+'DCF Model'!F45/(1+$B22)^('DCF Model'!C19+3)+'DCF Model'!G45/(1+$B22)^('DCF Model'!C19+4)+('DCF Model'!G39+'DCF Model'!G42)*I$17/(1+$B22)^('DCF Model'!C19+4)-'DCF Model'!C16)*1000000/'DCF Model'!C15,0),"")</f>
        <v>997</v>
      </c>
    </row>
    <row r="23" spans="2:9" ht="13.5" customHeight="1" x14ac:dyDescent="0.25">
      <c r="B23" s="40">
        <f>$C$3+0.01</f>
        <v>0.10475631333440565</v>
      </c>
      <c r="C23" s="38">
        <f>IFERROR(ROUND(('DCF Model'!C45/(1+$B23)^('DCF Model'!C19+0)+'DCF Model'!D45/(1+$B23)^('DCF Model'!C19+1)+'DCF Model'!E45/(1+$B23)^('DCF Model'!C19+2)+'DCF Model'!F45/(1+$B23)^('DCF Model'!C19+3)+'DCF Model'!G45/(1+$B23)^('DCF Model'!C19+4)+('DCF Model'!G39+'DCF Model'!G42)*C$17/(1+$B23)^('DCF Model'!C19+4)-'DCF Model'!C16)*1000000/'DCF Model'!C15,0),"")</f>
        <v>-201</v>
      </c>
      <c r="D23" s="38">
        <f>IFERROR(ROUND(('DCF Model'!C45/(1+$B23)^('DCF Model'!C19+0)+'DCF Model'!D45/(1+$B23)^('DCF Model'!C19+1)+'DCF Model'!E45/(1+$B23)^('DCF Model'!C19+2)+'DCF Model'!F45/(1+$B23)^('DCF Model'!C19+3)+'DCF Model'!G45/(1+$B23)^('DCF Model'!C19+4)+('DCF Model'!G39+'DCF Model'!G42)*D$17/(1+$B23)^('DCF Model'!C19+4)-'DCF Model'!C16)*1000000/'DCF Model'!C15,0),"")</f>
        <v>-10</v>
      </c>
      <c r="E23" s="38">
        <f>IFERROR(ROUND(('DCF Model'!C45/(1+$B23)^('DCF Model'!C19+0)+'DCF Model'!D45/(1+$B23)^('DCF Model'!C19+1)+'DCF Model'!E45/(1+$B23)^('DCF Model'!C19+2)+'DCF Model'!F45/(1+$B23)^('DCF Model'!C19+3)+'DCF Model'!G45/(1+$B23)^('DCF Model'!C19+4)+('DCF Model'!G39+'DCF Model'!G42)*E$17/(1+$B23)^('DCF Model'!C19+4)-'DCF Model'!C16)*1000000/'DCF Model'!C15,0),"")</f>
        <v>182</v>
      </c>
      <c r="F23" s="38">
        <f>IFERROR(ROUND(('DCF Model'!C45/(1+$B23)^('DCF Model'!C19+0)+'DCF Model'!D45/(1+$B23)^('DCF Model'!C19+1)+'DCF Model'!E45/(1+$B23)^('DCF Model'!C19+2)+'DCF Model'!F45/(1+$B23)^('DCF Model'!C19+3)+'DCF Model'!G45/(1+$B23)^('DCF Model'!C19+4)+('DCF Model'!G39+'DCF Model'!G42)*F$17/(1+$B23)^('DCF Model'!C19+4)-'DCF Model'!C16)*1000000/'DCF Model'!C15,0),"")</f>
        <v>373</v>
      </c>
      <c r="G23" s="38">
        <f>IFERROR(ROUND(('DCF Model'!C45/(1+$B23)^('DCF Model'!C19+0)+'DCF Model'!D45/(1+$B23)^('DCF Model'!C19+1)+'DCF Model'!E45/(1+$B23)^('DCF Model'!C19+2)+'DCF Model'!F45/(1+$B23)^('DCF Model'!C19+3)+'DCF Model'!G45/(1+$B23)^('DCF Model'!C19+4)+('DCF Model'!G39+'DCF Model'!G42)*G$17/(1+$B23)^('DCF Model'!C19+4)-'DCF Model'!C16)*1000000/'DCF Model'!C15,0),"")</f>
        <v>565</v>
      </c>
      <c r="H23" s="38">
        <f>IFERROR(ROUND(('DCF Model'!C45/(1+$B23)^('DCF Model'!C19+0)+'DCF Model'!D45/(1+$B23)^('DCF Model'!C19+1)+'DCF Model'!E45/(1+$B23)^('DCF Model'!C19+2)+'DCF Model'!F45/(1+$B23)^('DCF Model'!C19+3)+'DCF Model'!G45/(1+$B23)^('DCF Model'!C19+4)+('DCF Model'!G39+'DCF Model'!G42)*H$17/(1+$B23)^('DCF Model'!C19+4)-'DCF Model'!C16)*1000000/'DCF Model'!C15,0),"")</f>
        <v>757</v>
      </c>
      <c r="I23" s="38">
        <f>IFERROR(ROUND(('DCF Model'!C45/(1+$B23)^('DCF Model'!C19+0)+'DCF Model'!D45/(1+$B23)^('DCF Model'!C19+1)+'DCF Model'!E45/(1+$B23)^('DCF Model'!C19+2)+'DCF Model'!F45/(1+$B23)^('DCF Model'!C19+3)+'DCF Model'!G45/(1+$B23)^('DCF Model'!C19+4)+('DCF Model'!G39+'DCF Model'!G42)*I$17/(1+$B23)^('DCF Model'!C19+4)-'DCF Model'!C16)*1000000/'DCF Model'!C15,0),"")</f>
        <v>948</v>
      </c>
    </row>
    <row r="24" spans="2:9" ht="13.5" customHeight="1" x14ac:dyDescent="0.25">
      <c r="B24" s="40">
        <f>$C$3+0.015</f>
        <v>0.10975631333440565</v>
      </c>
      <c r="C24" s="38">
        <f>IFERROR(ROUND(('DCF Model'!C45/(1+$B24)^('DCF Model'!C19+0)+'DCF Model'!D45/(1+$B24)^('DCF Model'!C19+1)+'DCF Model'!E45/(1+$B24)^('DCF Model'!C19+2)+'DCF Model'!F45/(1+$B24)^('DCF Model'!C19+3)+'DCF Model'!G45/(1+$B24)^('DCF Model'!C19+4)+('DCF Model'!G39+'DCF Model'!G42)*C$17/(1+$B24)^('DCF Model'!C19+4)-'DCF Model'!C16)*1000000/'DCF Model'!C15,0),"")</f>
        <v>-223</v>
      </c>
      <c r="D24" s="38">
        <f>IFERROR(ROUND(('DCF Model'!C45/(1+$B24)^('DCF Model'!C19+0)+'DCF Model'!D45/(1+$B24)^('DCF Model'!C19+1)+'DCF Model'!E45/(1+$B24)^('DCF Model'!C19+2)+'DCF Model'!F45/(1+$B24)^('DCF Model'!C19+3)+'DCF Model'!G45/(1+$B24)^('DCF Model'!C19+4)+('DCF Model'!G39+'DCF Model'!G42)*D$17/(1+$B24)^('DCF Model'!C19+4)-'DCF Model'!C16)*1000000/'DCF Model'!C15,0),"")</f>
        <v>-36</v>
      </c>
      <c r="E24" s="38">
        <f>IFERROR(ROUND(('DCF Model'!C45/(1+$B24)^('DCF Model'!C19+0)+'DCF Model'!D45/(1+$B24)^('DCF Model'!C19+1)+'DCF Model'!E45/(1+$B24)^('DCF Model'!C19+2)+'DCF Model'!F45/(1+$B24)^('DCF Model'!C19+3)+'DCF Model'!G45/(1+$B24)^('DCF Model'!C19+4)+('DCF Model'!G39+'DCF Model'!G42)*E$17/(1+$B24)^('DCF Model'!C19+4)-'DCF Model'!C16)*1000000/'DCF Model'!C15,0),"")</f>
        <v>151</v>
      </c>
      <c r="F24" s="38">
        <f>IFERROR(ROUND(('DCF Model'!C45/(1+$B24)^('DCF Model'!C19+0)+'DCF Model'!D45/(1+$B24)^('DCF Model'!C19+1)+'DCF Model'!E45/(1+$B24)^('DCF Model'!C19+2)+'DCF Model'!F45/(1+$B24)^('DCF Model'!C19+3)+'DCF Model'!G45/(1+$B24)^('DCF Model'!C19+4)+('DCF Model'!G39+'DCF Model'!G42)*F$17/(1+$B24)^('DCF Model'!C19+4)-'DCF Model'!C16)*1000000/'DCF Model'!C15,0),"")</f>
        <v>339</v>
      </c>
      <c r="G24" s="38">
        <f>IFERROR(ROUND(('DCF Model'!C45/(1+$B24)^('DCF Model'!C19+0)+'DCF Model'!D45/(1+$B24)^('DCF Model'!C19+1)+'DCF Model'!E45/(1+$B24)^('DCF Model'!C19+2)+'DCF Model'!F45/(1+$B24)^('DCF Model'!C19+3)+'DCF Model'!G45/(1+$B24)^('DCF Model'!C19+4)+('DCF Model'!G39+'DCF Model'!G42)*G$17/(1+$B24)^('DCF Model'!C19+4)-'DCF Model'!C16)*1000000/'DCF Model'!C15,0),"")</f>
        <v>526</v>
      </c>
      <c r="H24" s="38">
        <f>IFERROR(ROUND(('DCF Model'!C45/(1+$B24)^('DCF Model'!C19+0)+'DCF Model'!D45/(1+$B24)^('DCF Model'!C19+1)+'DCF Model'!E45/(1+$B24)^('DCF Model'!C19+2)+'DCF Model'!F45/(1+$B24)^('DCF Model'!C19+3)+'DCF Model'!G45/(1+$B24)^('DCF Model'!C19+4)+('DCF Model'!G39+'DCF Model'!G42)*H$17/(1+$B24)^('DCF Model'!C19+4)-'DCF Model'!C16)*1000000/'DCF Model'!C15,0),"")</f>
        <v>713</v>
      </c>
      <c r="I24" s="38">
        <f>IFERROR(ROUND(('DCF Model'!C45/(1+$B24)^('DCF Model'!C19+0)+'DCF Model'!D45/(1+$B24)^('DCF Model'!C19+1)+'DCF Model'!E45/(1+$B24)^('DCF Model'!C19+2)+'DCF Model'!F45/(1+$B24)^('DCF Model'!C19+3)+'DCF Model'!G45/(1+$B24)^('DCF Model'!C19+4)+('DCF Model'!G39+'DCF Model'!G42)*I$17/(1+$B24)^('DCF Model'!C19+4)-'DCF Model'!C16)*1000000/'DCF Model'!C15,0),"")</f>
        <v>901</v>
      </c>
    </row>
    <row r="26" spans="2:9" ht="14" customHeight="1" x14ac:dyDescent="0.3">
      <c r="B26" s="55" t="s">
        <v>232</v>
      </c>
      <c r="C26" s="54"/>
      <c r="D26" s="54"/>
      <c r="E26" s="54"/>
      <c r="F26" s="54"/>
      <c r="G26" s="54"/>
      <c r="H26" s="54"/>
      <c r="I26" s="54"/>
    </row>
  </sheetData>
  <mergeCells count="1">
    <mergeCell ref="B26:I26"/>
  </mergeCells>
  <phoneticPr fontId="8"/>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08080"/>
  </sheetPr>
  <dimension ref="B2:G67"/>
  <sheetViews>
    <sheetView workbookViewId="0"/>
  </sheetViews>
  <sheetFormatPr defaultRowHeight="13" x14ac:dyDescent="0.2"/>
  <cols>
    <col min="1" max="1" width="3" customWidth="1"/>
    <col min="2" max="2" width="14" customWidth="1"/>
    <col min="3" max="3" width="16" customWidth="1"/>
    <col min="4" max="5" width="46" customWidth="1"/>
    <col min="6" max="6" width="20" customWidth="1"/>
    <col min="7" max="7" width="12" customWidth="1"/>
  </cols>
  <sheetData>
    <row r="2" spans="2:7" ht="18" customHeight="1" x14ac:dyDescent="0.4">
      <c r="B2" s="2" t="s">
        <v>233</v>
      </c>
    </row>
    <row r="4" spans="2:7" ht="14" customHeight="1" x14ac:dyDescent="0.3">
      <c r="B4" s="10" t="s">
        <v>234</v>
      </c>
      <c r="C4" s="10" t="s">
        <v>235</v>
      </c>
      <c r="D4" s="10" t="s">
        <v>236</v>
      </c>
      <c r="E4" s="10" t="s">
        <v>237</v>
      </c>
      <c r="F4" s="10" t="s">
        <v>238</v>
      </c>
      <c r="G4" s="10" t="s">
        <v>239</v>
      </c>
    </row>
    <row r="5" spans="2:7" x14ac:dyDescent="0.2">
      <c r="B5" t="s">
        <v>240</v>
      </c>
      <c r="C5" t="s">
        <v>241</v>
      </c>
      <c r="D5" t="s">
        <v>242</v>
      </c>
      <c r="E5" t="s">
        <v>243</v>
      </c>
      <c r="F5" t="s">
        <v>241</v>
      </c>
      <c r="G5" t="s">
        <v>244</v>
      </c>
    </row>
    <row r="6" spans="2:7" ht="30" customHeight="1" x14ac:dyDescent="0.3">
      <c r="B6" t="s">
        <v>240</v>
      </c>
      <c r="C6" s="4" t="s">
        <v>245</v>
      </c>
      <c r="D6" t="s">
        <v>246</v>
      </c>
      <c r="E6" t="s">
        <v>247</v>
      </c>
      <c r="F6" t="s">
        <v>248</v>
      </c>
      <c r="G6" t="s">
        <v>249</v>
      </c>
    </row>
    <row r="12" spans="2:7" ht="14" customHeight="1" x14ac:dyDescent="0.3">
      <c r="B12" s="8" t="s">
        <v>250</v>
      </c>
    </row>
    <row r="13" spans="2:7" ht="14" customHeight="1" x14ac:dyDescent="0.3">
      <c r="B13" s="10" t="s">
        <v>251</v>
      </c>
      <c r="C13" s="10" t="s">
        <v>252</v>
      </c>
    </row>
    <row r="14" spans="2:7" ht="14" customHeight="1" x14ac:dyDescent="0.3">
      <c r="B14" s="4" t="s">
        <v>253</v>
      </c>
      <c r="C14" t="s">
        <v>254</v>
      </c>
    </row>
    <row r="15" spans="2:7" ht="14" customHeight="1" x14ac:dyDescent="0.3">
      <c r="B15" s="4" t="s">
        <v>255</v>
      </c>
      <c r="C15" t="s">
        <v>256</v>
      </c>
    </row>
    <row r="16" spans="2:7" ht="14" customHeight="1" x14ac:dyDescent="0.3">
      <c r="B16" s="4" t="s">
        <v>257</v>
      </c>
      <c r="C16" t="s">
        <v>258</v>
      </c>
    </row>
    <row r="17" spans="2:3" ht="14" customHeight="1" x14ac:dyDescent="0.3">
      <c r="B17" s="4" t="s">
        <v>259</v>
      </c>
      <c r="C17" t="s">
        <v>260</v>
      </c>
    </row>
    <row r="18" spans="2:3" ht="14" customHeight="1" x14ac:dyDescent="0.3">
      <c r="B18" s="4" t="s">
        <v>261</v>
      </c>
      <c r="C18" t="s">
        <v>258</v>
      </c>
    </row>
    <row r="19" spans="2:3" ht="14" customHeight="1" x14ac:dyDescent="0.3">
      <c r="B19" s="4" t="s">
        <v>262</v>
      </c>
      <c r="C19" t="s">
        <v>263</v>
      </c>
    </row>
    <row r="20" spans="2:3" ht="14" customHeight="1" x14ac:dyDescent="0.3">
      <c r="B20" s="4" t="s">
        <v>264</v>
      </c>
      <c r="C20" t="s">
        <v>265</v>
      </c>
    </row>
    <row r="21" spans="2:3" ht="14" customHeight="1" x14ac:dyDescent="0.3">
      <c r="B21" s="4" t="s">
        <v>266</v>
      </c>
      <c r="C21" t="s">
        <v>267</v>
      </c>
    </row>
    <row r="22" spans="2:3" ht="14" customHeight="1" x14ac:dyDescent="0.3">
      <c r="B22" s="4" t="s">
        <v>268</v>
      </c>
      <c r="C22" t="s">
        <v>269</v>
      </c>
    </row>
    <row r="23" spans="2:3" ht="14" customHeight="1" x14ac:dyDescent="0.3">
      <c r="B23" s="4" t="s">
        <v>270</v>
      </c>
      <c r="C23" t="s">
        <v>47</v>
      </c>
    </row>
    <row r="24" spans="2:3" ht="14" customHeight="1" x14ac:dyDescent="0.3">
      <c r="B24" s="4" t="s">
        <v>271</v>
      </c>
      <c r="C24" t="s">
        <v>4</v>
      </c>
    </row>
    <row r="25" spans="2:3" ht="14" customHeight="1" x14ac:dyDescent="0.3">
      <c r="B25" s="4" t="s">
        <v>272</v>
      </c>
      <c r="C25" t="s">
        <v>240</v>
      </c>
    </row>
    <row r="26" spans="2:3" ht="14" customHeight="1" x14ac:dyDescent="0.3">
      <c r="B26" s="4" t="s">
        <v>273</v>
      </c>
      <c r="C26" t="s">
        <v>274</v>
      </c>
    </row>
    <row r="27" spans="2:3" ht="14" customHeight="1" x14ac:dyDescent="0.3">
      <c r="B27" s="4" t="s">
        <v>275</v>
      </c>
      <c r="C27" t="s">
        <v>263</v>
      </c>
    </row>
    <row r="28" spans="2:3" ht="14" customHeight="1" x14ac:dyDescent="0.3">
      <c r="B28" s="4" t="s">
        <v>276</v>
      </c>
      <c r="C28" t="s">
        <v>263</v>
      </c>
    </row>
    <row r="29" spans="2:3" ht="14" customHeight="1" x14ac:dyDescent="0.3">
      <c r="B29" s="4" t="s">
        <v>277</v>
      </c>
      <c r="C29" t="s">
        <v>278</v>
      </c>
    </row>
    <row r="30" spans="2:3" ht="14" customHeight="1" x14ac:dyDescent="0.3">
      <c r="B30" s="4" t="s">
        <v>279</v>
      </c>
      <c r="C30" t="s">
        <v>280</v>
      </c>
    </row>
    <row r="31" spans="2:3" ht="14" customHeight="1" x14ac:dyDescent="0.3">
      <c r="B31" s="4" t="s">
        <v>281</v>
      </c>
      <c r="C31" t="s">
        <v>282</v>
      </c>
    </row>
    <row r="32" spans="2:3" ht="14" customHeight="1" x14ac:dyDescent="0.3">
      <c r="B32" s="4" t="s">
        <v>283</v>
      </c>
      <c r="C32" t="s">
        <v>278</v>
      </c>
    </row>
    <row r="33" spans="2:3" ht="14" customHeight="1" x14ac:dyDescent="0.3">
      <c r="B33" s="4" t="s">
        <v>284</v>
      </c>
      <c r="C33" t="s">
        <v>263</v>
      </c>
    </row>
    <row r="34" spans="2:3" ht="14" customHeight="1" x14ac:dyDescent="0.3">
      <c r="B34" s="4" t="s">
        <v>285</v>
      </c>
      <c r="C34" t="s">
        <v>274</v>
      </c>
    </row>
    <row r="35" spans="2:3" ht="14" customHeight="1" x14ac:dyDescent="0.3">
      <c r="B35" s="4" t="s">
        <v>286</v>
      </c>
      <c r="C35" t="s">
        <v>287</v>
      </c>
    </row>
    <row r="36" spans="2:3" ht="14" customHeight="1" x14ac:dyDescent="0.3">
      <c r="B36" s="4" t="s">
        <v>288</v>
      </c>
      <c r="C36" t="s">
        <v>289</v>
      </c>
    </row>
    <row r="37" spans="2:3" ht="14" customHeight="1" x14ac:dyDescent="0.3">
      <c r="B37" s="4" t="s">
        <v>290</v>
      </c>
      <c r="C37" t="s">
        <v>291</v>
      </c>
    </row>
    <row r="38" spans="2:3" ht="14" customHeight="1" x14ac:dyDescent="0.3">
      <c r="B38" s="4" t="s">
        <v>292</v>
      </c>
      <c r="C38" t="s">
        <v>293</v>
      </c>
    </row>
    <row r="39" spans="2:3" ht="14" customHeight="1" x14ac:dyDescent="0.3">
      <c r="B39" s="4" t="s">
        <v>294</v>
      </c>
      <c r="C39" t="s">
        <v>295</v>
      </c>
    </row>
    <row r="40" spans="2:3" ht="14" customHeight="1" x14ac:dyDescent="0.3">
      <c r="B40" s="4" t="s">
        <v>296</v>
      </c>
      <c r="C40" t="s">
        <v>297</v>
      </c>
    </row>
    <row r="41" spans="2:3" ht="14" customHeight="1" x14ac:dyDescent="0.3">
      <c r="B41" s="4" t="s">
        <v>298</v>
      </c>
      <c r="C41" t="s">
        <v>267</v>
      </c>
    </row>
    <row r="42" spans="2:3" ht="14" customHeight="1" x14ac:dyDescent="0.3">
      <c r="B42" s="4" t="s">
        <v>299</v>
      </c>
      <c r="C42" t="s">
        <v>269</v>
      </c>
    </row>
    <row r="43" spans="2:3" ht="14" customHeight="1" x14ac:dyDescent="0.3">
      <c r="B43" s="4" t="s">
        <v>300</v>
      </c>
      <c r="C43" t="s">
        <v>47</v>
      </c>
    </row>
    <row r="44" spans="2:3" ht="14" customHeight="1" x14ac:dyDescent="0.3">
      <c r="B44" s="4" t="s">
        <v>301</v>
      </c>
      <c r="C44" t="s">
        <v>302</v>
      </c>
    </row>
    <row r="45" spans="2:3" ht="14" customHeight="1" x14ac:dyDescent="0.3">
      <c r="B45" s="4" t="s">
        <v>303</v>
      </c>
      <c r="C45" t="s">
        <v>304</v>
      </c>
    </row>
    <row r="46" spans="2:3" ht="14" customHeight="1" x14ac:dyDescent="0.3">
      <c r="B46" s="4" t="s">
        <v>305</v>
      </c>
      <c r="C46" t="s">
        <v>306</v>
      </c>
    </row>
    <row r="47" spans="2:3" ht="14" customHeight="1" x14ac:dyDescent="0.3">
      <c r="B47" s="4" t="s">
        <v>307</v>
      </c>
      <c r="C47" t="s">
        <v>308</v>
      </c>
    </row>
    <row r="48" spans="2:3" ht="14" customHeight="1" x14ac:dyDescent="0.3">
      <c r="B48" s="4" t="s">
        <v>309</v>
      </c>
      <c r="C48" t="s">
        <v>310</v>
      </c>
    </row>
    <row r="49" spans="2:3" ht="14" customHeight="1" x14ac:dyDescent="0.3">
      <c r="B49" s="4" t="s">
        <v>311</v>
      </c>
      <c r="C49" t="s">
        <v>312</v>
      </c>
    </row>
    <row r="50" spans="2:3" ht="14" customHeight="1" x14ac:dyDescent="0.3">
      <c r="B50" s="4" t="s">
        <v>313</v>
      </c>
      <c r="C50" t="s">
        <v>314</v>
      </c>
    </row>
    <row r="51" spans="2:3" ht="14" customHeight="1" x14ac:dyDescent="0.3">
      <c r="B51" s="4" t="s">
        <v>315</v>
      </c>
      <c r="C51" t="s">
        <v>316</v>
      </c>
    </row>
    <row r="52" spans="2:3" ht="14" customHeight="1" x14ac:dyDescent="0.3">
      <c r="B52" s="4" t="s">
        <v>317</v>
      </c>
      <c r="C52" t="s">
        <v>318</v>
      </c>
    </row>
    <row r="53" spans="2:3" ht="14" customHeight="1" x14ac:dyDescent="0.3">
      <c r="B53" s="4" t="s">
        <v>319</v>
      </c>
      <c r="C53" t="s">
        <v>320</v>
      </c>
    </row>
    <row r="54" spans="2:3" ht="14" customHeight="1" x14ac:dyDescent="0.3">
      <c r="B54" s="4" t="s">
        <v>321</v>
      </c>
      <c r="C54" t="s">
        <v>322</v>
      </c>
    </row>
    <row r="55" spans="2:3" ht="14" customHeight="1" x14ac:dyDescent="0.3">
      <c r="B55" s="4" t="s">
        <v>323</v>
      </c>
      <c r="C55" t="s">
        <v>324</v>
      </c>
    </row>
    <row r="56" spans="2:3" ht="14" customHeight="1" x14ac:dyDescent="0.3">
      <c r="B56" s="4" t="s">
        <v>325</v>
      </c>
      <c r="C56" t="s">
        <v>274</v>
      </c>
    </row>
    <row r="57" spans="2:3" ht="14" customHeight="1" x14ac:dyDescent="0.3">
      <c r="B57" s="4" t="s">
        <v>326</v>
      </c>
      <c r="C57" t="s">
        <v>327</v>
      </c>
    </row>
    <row r="58" spans="2:3" ht="14" customHeight="1" x14ac:dyDescent="0.3">
      <c r="B58" s="4" t="s">
        <v>328</v>
      </c>
      <c r="C58" t="s">
        <v>329</v>
      </c>
    </row>
    <row r="59" spans="2:3" ht="14" customHeight="1" x14ac:dyDescent="0.3">
      <c r="B59" s="4" t="s">
        <v>330</v>
      </c>
      <c r="C59" t="s">
        <v>331</v>
      </c>
    </row>
    <row r="60" spans="2:3" ht="14" customHeight="1" x14ac:dyDescent="0.3">
      <c r="B60" s="4" t="s">
        <v>332</v>
      </c>
      <c r="C60" t="s">
        <v>333</v>
      </c>
    </row>
    <row r="61" spans="2:3" ht="14" customHeight="1" x14ac:dyDescent="0.3">
      <c r="B61" s="4" t="s">
        <v>334</v>
      </c>
      <c r="C61" t="s">
        <v>335</v>
      </c>
    </row>
    <row r="62" spans="2:3" ht="14" customHeight="1" x14ac:dyDescent="0.3">
      <c r="B62" s="4" t="s">
        <v>336</v>
      </c>
      <c r="C62" t="s">
        <v>203</v>
      </c>
    </row>
    <row r="63" spans="2:3" x14ac:dyDescent="0.2">
      <c r="B63" t="s">
        <v>337</v>
      </c>
      <c r="C63" t="s">
        <v>338</v>
      </c>
    </row>
    <row r="64" spans="2:3" x14ac:dyDescent="0.2">
      <c r="B64" t="s">
        <v>339</v>
      </c>
      <c r="C64">
        <v>3504176</v>
      </c>
    </row>
    <row r="65" spans="2:3" x14ac:dyDescent="0.2">
      <c r="B65" t="s">
        <v>340</v>
      </c>
      <c r="C65">
        <v>1</v>
      </c>
    </row>
    <row r="66" spans="2:3" x14ac:dyDescent="0.2">
      <c r="B66" t="s">
        <v>341</v>
      </c>
      <c r="C66" t="s">
        <v>263</v>
      </c>
    </row>
    <row r="67" spans="2:3" x14ac:dyDescent="0.2">
      <c r="B67" t="s">
        <v>342</v>
      </c>
      <c r="C67" t="s">
        <v>343</v>
      </c>
    </row>
  </sheetData>
  <phoneticPr fontId="8"/>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7030A0"/>
  </sheetPr>
  <dimension ref="B2:C15"/>
  <sheetViews>
    <sheetView workbookViewId="0">
      <pane xSplit="2" ySplit="3" topLeftCell="C4" activePane="bottomRight" state="frozen"/>
      <selection pane="topRight"/>
      <selection pane="bottomLeft"/>
      <selection pane="bottomRight"/>
    </sheetView>
  </sheetViews>
  <sheetFormatPr defaultRowHeight="13" x14ac:dyDescent="0.2"/>
  <cols>
    <col min="1" max="1" width="3" customWidth="1"/>
    <col min="2" max="2" width="42" customWidth="1"/>
    <col min="3" max="7" width="18" customWidth="1"/>
  </cols>
  <sheetData>
    <row r="2" spans="2:3" ht="18" x14ac:dyDescent="0.4">
      <c r="B2" s="2" t="s">
        <v>344</v>
      </c>
    </row>
    <row r="3" spans="2:3" ht="30" customHeight="1" x14ac:dyDescent="0.3">
      <c r="B3" s="45" t="s">
        <v>345</v>
      </c>
    </row>
    <row r="5" spans="2:3" ht="14" x14ac:dyDescent="0.3">
      <c r="B5" s="3" t="s">
        <v>346</v>
      </c>
    </row>
    <row r="6" spans="2:3" ht="13.5" x14ac:dyDescent="0.25">
      <c r="B6" s="46" t="s">
        <v>347</v>
      </c>
      <c r="C6" s="47">
        <v>3504176</v>
      </c>
    </row>
    <row r="7" spans="2:3" ht="13.5" x14ac:dyDescent="0.25">
      <c r="B7" s="46" t="s">
        <v>348</v>
      </c>
      <c r="C7" s="48">
        <v>1</v>
      </c>
    </row>
    <row r="8" spans="2:3" ht="14" x14ac:dyDescent="0.3">
      <c r="B8" s="49" t="s">
        <v>349</v>
      </c>
      <c r="C8" s="50">
        <f>C6*C7</f>
        <v>3504176</v>
      </c>
    </row>
    <row r="9" spans="2:3" ht="30" customHeight="1" x14ac:dyDescent="0.3">
      <c r="B9" s="51" t="s">
        <v>350</v>
      </c>
    </row>
    <row r="11" spans="2:3" ht="13.5" x14ac:dyDescent="0.25">
      <c r="B11" s="46" t="s">
        <v>351</v>
      </c>
      <c r="C11" s="52">
        <f>'DCF Model'!C15</f>
        <v>1626915034</v>
      </c>
    </row>
    <row r="12" spans="2:3" ht="14" x14ac:dyDescent="0.3">
      <c r="B12" s="49" t="s">
        <v>352</v>
      </c>
      <c r="C12" s="50">
        <f>ROUND(C8/C11*1000000,0)</f>
        <v>2154</v>
      </c>
    </row>
    <row r="14" spans="2:3" ht="30" customHeight="1" x14ac:dyDescent="0.3">
      <c r="B14" s="45" t="s">
        <v>353</v>
      </c>
    </row>
    <row r="15" spans="2:3" ht="14" x14ac:dyDescent="0.3">
      <c r="B15" s="45" t="s">
        <v>354</v>
      </c>
    </row>
  </sheetData>
  <phoneticPr fontId="8"/>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Executive Summary</vt:lpstr>
      <vt:lpstr>Financial Statements</vt:lpstr>
      <vt:lpstr>DCF Model</vt:lpstr>
      <vt:lpstr>Reverse DCF</vt:lpstr>
      <vt:lpstr>NWC Schedule</vt:lpstr>
      <vt:lpstr>Comps Analysis</vt:lpstr>
      <vt:lpstr>Sensitivity Analysis</vt:lpstr>
      <vt:lpstr>Adjustments Log</vt:lpstr>
      <vt:lpstr>Equity Method Value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良亮 佐藤</cp:lastModifiedBy>
  <dcterms:created xsi:type="dcterms:W3CDTF">2026-09-07T04:05:43Z</dcterms:created>
  <dcterms:modified xsi:type="dcterms:W3CDTF">2026-09-07T04:05:51Z</dcterms:modified>
</cp:coreProperties>
</file>