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ryosuke0923\ryosuke-japanese-equity-research\models\"/>
    </mc:Choice>
  </mc:AlternateContent>
  <xr:revisionPtr revIDLastSave="0" documentId="13_ncr:1_{CF5FE86F-E994-46EC-8037-602489C2F6C8}" xr6:coauthVersionLast="47" xr6:coauthVersionMax="47" xr10:uidLastSave="{00000000-0000-0000-0000-000000000000}"/>
  <bookViews>
    <workbookView xWindow="-110" yWindow="-110" windowWidth="19420" windowHeight="10300" xr2:uid="{00000000-000D-0000-FFFF-FFFF00000000}"/>
  </bookViews>
  <sheets>
    <sheet name="Executive Summary" sheetId="1" r:id="rId1"/>
    <sheet name="Financial Statements" sheetId="2" r:id="rId2"/>
    <sheet name="DCF Model" sheetId="3" r:id="rId3"/>
    <sheet name="Reverse DCF" sheetId="4" r:id="rId4"/>
    <sheet name="NWC Schedule" sheetId="5" r:id="rId5"/>
    <sheet name="Comps Analysis" sheetId="6" r:id="rId6"/>
    <sheet name="Sensitivity Analysis" sheetId="7" r:id="rId7"/>
    <sheet name="Adjustments Log" sheetId="8" r:id="rId8"/>
  </sheets>
  <calcPr calcId="181029"/>
</workbook>
</file>

<file path=xl/calcChain.xml><?xml version="1.0" encoding="utf-8"?>
<calcChain xmlns="http://schemas.openxmlformats.org/spreadsheetml/2006/main">
  <c r="I3" i="7" l="1"/>
  <c r="I17" i="7" s="1"/>
  <c r="F3" i="7"/>
  <c r="E6" i="7" s="1"/>
  <c r="O10" i="6"/>
  <c r="N10" i="6"/>
  <c r="M10" i="6"/>
  <c r="L10" i="6"/>
  <c r="K10" i="6"/>
  <c r="J10" i="6"/>
  <c r="O9" i="6"/>
  <c r="N9" i="6"/>
  <c r="M9" i="6"/>
  <c r="L9" i="6"/>
  <c r="K9" i="6"/>
  <c r="J9" i="6"/>
  <c r="O8" i="6"/>
  <c r="N8" i="6"/>
  <c r="H16" i="6" s="1"/>
  <c r="M8" i="6"/>
  <c r="L8" i="6"/>
  <c r="K8" i="6"/>
  <c r="E16" i="6" s="1"/>
  <c r="J8" i="6"/>
  <c r="O7" i="6"/>
  <c r="N7" i="6"/>
  <c r="M7" i="6"/>
  <c r="L7" i="6"/>
  <c r="F15" i="6" s="1"/>
  <c r="K7" i="6"/>
  <c r="J7" i="6"/>
  <c r="O6" i="6"/>
  <c r="N6" i="6"/>
  <c r="M6" i="6"/>
  <c r="L6" i="6"/>
  <c r="K6" i="6"/>
  <c r="J6" i="6"/>
  <c r="D17" i="6" s="1"/>
  <c r="O5" i="6"/>
  <c r="N5" i="6"/>
  <c r="D5" i="6"/>
  <c r="M5" i="6" s="1"/>
  <c r="C16" i="5"/>
  <c r="C14" i="5"/>
  <c r="C18" i="5" s="1"/>
  <c r="C7" i="5"/>
  <c r="C6" i="5"/>
  <c r="C5" i="5"/>
  <c r="C13" i="4"/>
  <c r="C12" i="4"/>
  <c r="C9" i="4"/>
  <c r="C7" i="4"/>
  <c r="C6" i="4"/>
  <c r="D27" i="3"/>
  <c r="G5" i="5" s="1"/>
  <c r="C25" i="3"/>
  <c r="C24" i="3"/>
  <c r="C26" i="3" s="1"/>
  <c r="C46" i="3" s="1"/>
  <c r="C23" i="3"/>
  <c r="H28" i="2"/>
  <c r="G28" i="2"/>
  <c r="F28" i="2"/>
  <c r="E28" i="2"/>
  <c r="D28" i="2"/>
  <c r="C28" i="2"/>
  <c r="H23" i="2"/>
  <c r="G23" i="2"/>
  <c r="F23" i="2"/>
  <c r="E23" i="2"/>
  <c r="D23" i="2"/>
  <c r="C23" i="2"/>
  <c r="E22" i="2"/>
  <c r="H21" i="2"/>
  <c r="H22" i="2" s="1"/>
  <c r="G21" i="2"/>
  <c r="G22" i="2" s="1"/>
  <c r="F21" i="2"/>
  <c r="F22" i="2" s="1"/>
  <c r="E21" i="2"/>
  <c r="D21" i="2"/>
  <c r="D22" i="2" s="1"/>
  <c r="C21" i="2"/>
  <c r="C22" i="2" s="1"/>
  <c r="H16" i="2"/>
  <c r="G16" i="2"/>
  <c r="F16" i="2"/>
  <c r="E16" i="2"/>
  <c r="D16" i="2"/>
  <c r="H15" i="2"/>
  <c r="G15" i="2"/>
  <c r="F15" i="2"/>
  <c r="E15" i="2"/>
  <c r="D15" i="2"/>
  <c r="H14" i="2"/>
  <c r="G14" i="2"/>
  <c r="F14" i="2"/>
  <c r="E14" i="2"/>
  <c r="D14" i="2"/>
  <c r="C14" i="2"/>
  <c r="H13" i="2"/>
  <c r="G13" i="2"/>
  <c r="F13" i="2"/>
  <c r="E13" i="2"/>
  <c r="D13" i="2"/>
  <c r="C13" i="2"/>
  <c r="H8" i="2"/>
  <c r="H9" i="2" s="1"/>
  <c r="G8" i="2"/>
  <c r="G9" i="2" s="1"/>
  <c r="F8" i="2"/>
  <c r="F9" i="2" s="1"/>
  <c r="E8" i="2"/>
  <c r="E9" i="2" s="1"/>
  <c r="D8" i="2"/>
  <c r="D9" i="2" s="1"/>
  <c r="C8" i="2"/>
  <c r="C9" i="2" s="1"/>
  <c r="F30" i="3" l="1"/>
  <c r="E6" i="5"/>
  <c r="C31" i="3"/>
  <c r="G6" i="5"/>
  <c r="F16" i="6"/>
  <c r="C28" i="6" s="1"/>
  <c r="C19" i="1" s="1"/>
  <c r="D19" i="1" s="1"/>
  <c r="D31" i="3"/>
  <c r="F7" i="5"/>
  <c r="E15" i="6"/>
  <c r="G16" i="6"/>
  <c r="D6" i="7"/>
  <c r="D32" i="3"/>
  <c r="F32" i="3"/>
  <c r="E5" i="5"/>
  <c r="F6" i="7"/>
  <c r="G32" i="3"/>
  <c r="G6" i="7"/>
  <c r="C32" i="3"/>
  <c r="G7" i="5"/>
  <c r="E30" i="3"/>
  <c r="D6" i="5"/>
  <c r="H15" i="6"/>
  <c r="H6" i="7"/>
  <c r="I16" i="6"/>
  <c r="I17" i="6"/>
  <c r="I15" i="6"/>
  <c r="C3" i="7"/>
  <c r="G36" i="4"/>
  <c r="C11" i="4"/>
  <c r="G46" i="3"/>
  <c r="D36" i="4"/>
  <c r="D46" i="3"/>
  <c r="H36" i="4"/>
  <c r="F36" i="4"/>
  <c r="E46" i="3"/>
  <c r="F46" i="3"/>
  <c r="C8" i="4"/>
  <c r="C10" i="4" s="1"/>
  <c r="E36" i="4"/>
  <c r="B25" i="1"/>
  <c r="G17" i="6"/>
  <c r="L5" i="6"/>
  <c r="E5" i="6"/>
  <c r="F5" i="5"/>
  <c r="H6" i="5"/>
  <c r="G15" i="6"/>
  <c r="C30" i="3"/>
  <c r="C33" i="3" s="1"/>
  <c r="F31" i="3"/>
  <c r="H5" i="5"/>
  <c r="D7" i="5"/>
  <c r="E17" i="6"/>
  <c r="I6" i="7"/>
  <c r="D30" i="3"/>
  <c r="G31" i="3"/>
  <c r="E7" i="5"/>
  <c r="D16" i="6"/>
  <c r="F17" i="6"/>
  <c r="C17" i="7"/>
  <c r="C6" i="7"/>
  <c r="D17" i="7"/>
  <c r="H17" i="6"/>
  <c r="E17" i="7"/>
  <c r="D15" i="6"/>
  <c r="G30" i="3"/>
  <c r="E32" i="3"/>
  <c r="D5" i="5"/>
  <c r="F6" i="5"/>
  <c r="H7" i="5"/>
  <c r="F17" i="7"/>
  <c r="G17" i="7"/>
  <c r="H17" i="7"/>
  <c r="E31" i="3"/>
  <c r="C42" i="3" l="1"/>
  <c r="C34" i="3"/>
  <c r="D10" i="5" s="1"/>
  <c r="D33" i="3"/>
  <c r="D9" i="5"/>
  <c r="D12" i="5" s="1"/>
  <c r="C37" i="3"/>
  <c r="E39" i="4"/>
  <c r="E49" i="4" s="1"/>
  <c r="E54" i="4" s="1"/>
  <c r="E40" i="4"/>
  <c r="E41" i="4"/>
  <c r="E45" i="4"/>
  <c r="E50" i="4" s="1"/>
  <c r="E55" i="4" s="1"/>
  <c r="E43" i="4"/>
  <c r="E38" i="4"/>
  <c r="E48" i="4" s="1"/>
  <c r="E53" i="4" s="1"/>
  <c r="E46" i="4"/>
  <c r="E51" i="4" s="1"/>
  <c r="E56" i="4" s="1"/>
  <c r="E44" i="4"/>
  <c r="D45" i="4"/>
  <c r="D50" i="4" s="1"/>
  <c r="D55" i="4" s="1"/>
  <c r="D46" i="4"/>
  <c r="D38" i="4"/>
  <c r="D41" i="4"/>
  <c r="D51" i="4" s="1"/>
  <c r="D56" i="4" s="1"/>
  <c r="D39" i="4"/>
  <c r="D43" i="4"/>
  <c r="D48" i="4" s="1"/>
  <c r="D53" i="4" s="1"/>
  <c r="D40" i="4"/>
  <c r="D44" i="4"/>
  <c r="D49" i="4" s="1"/>
  <c r="D54" i="4" s="1"/>
  <c r="C70" i="4"/>
  <c r="C24" i="4"/>
  <c r="C25" i="4" s="1"/>
  <c r="C71" i="4"/>
  <c r="G46" i="4"/>
  <c r="G38" i="4"/>
  <c r="G39" i="4"/>
  <c r="G43" i="4"/>
  <c r="G40" i="4"/>
  <c r="G41" i="4"/>
  <c r="G45" i="4"/>
  <c r="G44" i="4"/>
  <c r="J5" i="6"/>
  <c r="K5" i="6"/>
  <c r="B13" i="7"/>
  <c r="B12" i="7"/>
  <c r="B11" i="7"/>
  <c r="B10" i="7"/>
  <c r="B9" i="7"/>
  <c r="B8" i="7"/>
  <c r="B7" i="7"/>
  <c r="B24" i="7"/>
  <c r="B23" i="7"/>
  <c r="B22" i="7"/>
  <c r="B21" i="7"/>
  <c r="B20" i="7"/>
  <c r="B19" i="7"/>
  <c r="B18" i="7"/>
  <c r="C27" i="6"/>
  <c r="C18" i="1" s="1"/>
  <c r="D18" i="1" s="1"/>
  <c r="C74" i="4"/>
  <c r="B24" i="1"/>
  <c r="B29" i="1"/>
  <c r="F43" i="4"/>
  <c r="F44" i="4"/>
  <c r="F45" i="4"/>
  <c r="F39" i="4"/>
  <c r="F46" i="4"/>
  <c r="F41" i="4"/>
  <c r="F51" i="4" s="1"/>
  <c r="F56" i="4" s="1"/>
  <c r="F40" i="4"/>
  <c r="F50" i="4" s="1"/>
  <c r="F55" i="4" s="1"/>
  <c r="F38" i="4"/>
  <c r="F48" i="4" s="1"/>
  <c r="F53" i="4" s="1"/>
  <c r="H40" i="4"/>
  <c r="H41" i="4"/>
  <c r="H51" i="4" s="1"/>
  <c r="H56" i="4" s="1"/>
  <c r="H43" i="4"/>
  <c r="H46" i="4"/>
  <c r="H44" i="4"/>
  <c r="H45" i="4"/>
  <c r="H39" i="4"/>
  <c r="H49" i="4" s="1"/>
  <c r="H54" i="4" s="1"/>
  <c r="H38" i="4"/>
  <c r="H48" i="4" s="1"/>
  <c r="H53" i="4" s="1"/>
  <c r="G48" i="4" l="1"/>
  <c r="G53" i="4" s="1"/>
  <c r="F49" i="4"/>
  <c r="G51" i="4"/>
  <c r="G56" i="4" s="1"/>
  <c r="H50" i="4"/>
  <c r="H55" i="4" s="1"/>
  <c r="G50" i="4"/>
  <c r="G55" i="4" s="1"/>
  <c r="C35" i="3"/>
  <c r="C38" i="3" s="1"/>
  <c r="G49" i="4"/>
  <c r="G54" i="4" s="1"/>
  <c r="F54" i="4"/>
  <c r="B78" i="4" s="1"/>
  <c r="C60" i="4"/>
  <c r="C27" i="4"/>
  <c r="C26" i="4"/>
  <c r="C29" i="4"/>
  <c r="D37" i="3"/>
  <c r="E33" i="3"/>
  <c r="E9" i="5"/>
  <c r="E12" i="5" s="1"/>
  <c r="D34" i="3"/>
  <c r="E10" i="5" s="1"/>
  <c r="D42" i="3"/>
  <c r="C39" i="3"/>
  <c r="D15" i="5"/>
  <c r="D16" i="5" s="1"/>
  <c r="D13" i="5"/>
  <c r="D14" i="5" s="1"/>
  <c r="D18" i="5" s="1"/>
  <c r="D19" i="5" s="1"/>
  <c r="C44" i="3" s="1"/>
  <c r="C36" i="3" l="1"/>
  <c r="D35" i="3"/>
  <c r="E15" i="5"/>
  <c r="E16" i="5" s="1"/>
  <c r="E13" i="5"/>
  <c r="E14" i="5" s="1"/>
  <c r="E18" i="5" s="1"/>
  <c r="E19" i="5" s="1"/>
  <c r="D44" i="3" s="1"/>
  <c r="D36" i="3"/>
  <c r="D38" i="3"/>
  <c r="D39" i="3"/>
  <c r="F9" i="5"/>
  <c r="F12" i="5" s="1"/>
  <c r="E34" i="3"/>
  <c r="F10" i="5" s="1"/>
  <c r="E37" i="3"/>
  <c r="F33" i="3"/>
  <c r="E42" i="3"/>
  <c r="C40" i="3"/>
  <c r="C41" i="3" s="1"/>
  <c r="C45" i="3" s="1"/>
  <c r="C64" i="4"/>
  <c r="D64" i="4" s="1"/>
  <c r="C66" i="4"/>
  <c r="D66" i="4" s="1"/>
  <c r="C65" i="4"/>
  <c r="D65" i="4" s="1"/>
  <c r="C63" i="4"/>
  <c r="D63" i="4" s="1"/>
  <c r="C67" i="4"/>
  <c r="D67" i="4" s="1"/>
  <c r="C47" i="3" l="1"/>
  <c r="F15" i="5"/>
  <c r="F16" i="5" s="1"/>
  <c r="F13" i="5"/>
  <c r="F14" i="5" s="1"/>
  <c r="F18" i="5" s="1"/>
  <c r="F19" i="5" s="1"/>
  <c r="E44" i="3" s="1"/>
  <c r="D40" i="3"/>
  <c r="D41" i="3" s="1"/>
  <c r="D45" i="3" s="1"/>
  <c r="F42" i="3"/>
  <c r="F34" i="3"/>
  <c r="G10" i="5" s="1"/>
  <c r="F35" i="3"/>
  <c r="G9" i="5"/>
  <c r="G12" i="5" s="1"/>
  <c r="F37" i="3"/>
  <c r="G33" i="3"/>
  <c r="E35" i="3"/>
  <c r="D47" i="3" l="1"/>
  <c r="E39" i="3"/>
  <c r="E36" i="3"/>
  <c r="E38" i="3"/>
  <c r="F36" i="3"/>
  <c r="F39" i="3"/>
  <c r="F38" i="3"/>
  <c r="G13" i="5"/>
  <c r="G15" i="5"/>
  <c r="G16" i="5" s="1"/>
  <c r="G37" i="3"/>
  <c r="H9" i="5"/>
  <c r="H12" i="5" s="1"/>
  <c r="G42" i="3"/>
  <c r="G34" i="3"/>
  <c r="H10" i="5" s="1"/>
  <c r="G35" i="3"/>
  <c r="C16" i="4"/>
  <c r="C28" i="4" s="1"/>
  <c r="G14" i="5"/>
  <c r="G18" i="5" s="1"/>
  <c r="G19" i="5" s="1"/>
  <c r="F44" i="3" s="1"/>
  <c r="F40" i="3" l="1"/>
  <c r="F41" i="3" s="1"/>
  <c r="F45" i="3" s="1"/>
  <c r="F47" i="3" s="1"/>
  <c r="C72" i="4"/>
  <c r="C73" i="4"/>
  <c r="G38" i="3"/>
  <c r="G39" i="3"/>
  <c r="G36" i="3"/>
  <c r="H13" i="5"/>
  <c r="H14" i="5" s="1"/>
  <c r="H18" i="5" s="1"/>
  <c r="H19" i="5" s="1"/>
  <c r="G44" i="3" s="1"/>
  <c r="H15" i="5"/>
  <c r="H16" i="5" s="1"/>
  <c r="E40" i="3"/>
  <c r="E41" i="3"/>
  <c r="E45" i="3" s="1"/>
  <c r="E47" i="3" l="1"/>
  <c r="C59" i="3"/>
  <c r="C60" i="3" s="1"/>
  <c r="C61" i="3" s="1"/>
  <c r="G40" i="3"/>
  <c r="G41" i="3" s="1"/>
  <c r="G45" i="3" s="1"/>
  <c r="G47" i="3" l="1"/>
  <c r="C51" i="3"/>
  <c r="C52" i="3" s="1"/>
  <c r="E9" i="7"/>
  <c r="G21" i="7"/>
  <c r="E18" i="7"/>
  <c r="D21" i="7"/>
  <c r="G11" i="7"/>
  <c r="D9" i="7"/>
  <c r="C23" i="7"/>
  <c r="G13" i="7"/>
  <c r="H21" i="7"/>
  <c r="C20" i="7"/>
  <c r="F11" i="7"/>
  <c r="E20" i="7"/>
  <c r="F22" i="7"/>
  <c r="H24" i="7"/>
  <c r="F21" i="7"/>
  <c r="I11" i="7"/>
  <c r="G12" i="7"/>
  <c r="G19" i="7"/>
  <c r="F8" i="7"/>
  <c r="I18" i="7"/>
  <c r="E22" i="7"/>
  <c r="C12" i="7"/>
  <c r="D22" i="7"/>
  <c r="H8" i="7"/>
  <c r="E21" i="7"/>
  <c r="C21" i="7"/>
  <c r="D12" i="7"/>
  <c r="G8" i="7"/>
  <c r="I24" i="7"/>
  <c r="F24" i="7"/>
  <c r="C10" i="7"/>
  <c r="I13" i="7"/>
  <c r="F13" i="7"/>
  <c r="D7" i="7"/>
  <c r="E24" i="7"/>
  <c r="H13" i="7"/>
  <c r="F18" i="7"/>
  <c r="D18" i="7"/>
  <c r="G10" i="7"/>
  <c r="C9" i="7"/>
  <c r="G24" i="7"/>
  <c r="C18" i="7"/>
  <c r="E7" i="7"/>
  <c r="C22" i="7"/>
  <c r="E8" i="7"/>
  <c r="F7" i="7"/>
  <c r="G18" i="7"/>
  <c r="F19" i="7"/>
  <c r="F23" i="7"/>
  <c r="D23" i="7"/>
  <c r="D11" i="7"/>
  <c r="E19" i="7"/>
  <c r="H18" i="7"/>
  <c r="F9" i="7"/>
  <c r="I12" i="7"/>
  <c r="H9" i="7"/>
  <c r="D13" i="7"/>
  <c r="G23" i="7"/>
  <c r="G7" i="7"/>
  <c r="E12" i="7"/>
  <c r="I23" i="7"/>
  <c r="H23" i="7"/>
  <c r="F12" i="7"/>
  <c r="G20" i="7"/>
  <c r="F10" i="7"/>
  <c r="H11" i="7"/>
  <c r="I22" i="7"/>
  <c r="I10" i="7"/>
  <c r="C24" i="7"/>
  <c r="F20" i="7"/>
  <c r="H7" i="7"/>
  <c r="D19" i="7"/>
  <c r="D24" i="7"/>
  <c r="D8" i="7"/>
  <c r="C8" i="7"/>
  <c r="E10" i="7"/>
  <c r="I20" i="7"/>
  <c r="I7" i="7"/>
  <c r="D10" i="7"/>
  <c r="C11" i="7"/>
  <c r="I19" i="7"/>
  <c r="H20" i="7"/>
  <c r="C13" i="7"/>
  <c r="I8" i="7"/>
  <c r="E23" i="7"/>
  <c r="H10" i="7"/>
  <c r="H19" i="7"/>
  <c r="C19" i="7"/>
  <c r="G9" i="7"/>
  <c r="E13" i="7"/>
  <c r="E11" i="7"/>
  <c r="D20" i="7"/>
  <c r="H12" i="7"/>
  <c r="I21" i="7"/>
  <c r="I9" i="7"/>
  <c r="G22" i="7"/>
  <c r="C7" i="7"/>
  <c r="H22" i="7"/>
  <c r="C50" i="3"/>
  <c r="C53" i="3" l="1"/>
  <c r="C58" i="3"/>
  <c r="C62" i="3" s="1"/>
  <c r="C63" i="3" l="1"/>
  <c r="C64" i="3" s="1"/>
  <c r="C17" i="1"/>
  <c r="D17" i="1" s="1"/>
  <c r="C54" i="3"/>
  <c r="C55" i="3" s="1"/>
  <c r="C16" i="1" s="1"/>
  <c r="C17" i="4"/>
  <c r="D16" i="1" l="1"/>
  <c r="C10" i="1"/>
  <c r="C21" i="1"/>
  <c r="C19" i="4"/>
  <c r="C20" i="4" s="1"/>
  <c r="B79" i="4" s="1"/>
  <c r="B31" i="1" l="1"/>
  <c r="C12" i="1"/>
  <c r="C11" i="1" s="1"/>
  <c r="B26" i="1"/>
</calcChain>
</file>

<file path=xl/sharedStrings.xml><?xml version="1.0" encoding="utf-8"?>
<sst xmlns="http://schemas.openxmlformats.org/spreadsheetml/2006/main" count="442" uniqueCount="359">
  <si>
    <t>DISCLAIMER: This is a sample analysis for demonstration purposes only. It does not constitute investment advice.</t>
  </si>
  <si>
    <t>明治ホールディングス (2269.T)</t>
  </si>
  <si>
    <t>Equity Research Report</t>
  </si>
  <si>
    <t>Company</t>
  </si>
  <si>
    <t>明治ホールディングス</t>
  </si>
  <si>
    <t>Ticker</t>
  </si>
  <si>
    <t>2269.T (TSE Prime)</t>
  </si>
  <si>
    <t>Sector</t>
  </si>
  <si>
    <t>食料品</t>
  </si>
  <si>
    <t>Current Price</t>
  </si>
  <si>
    <t>Target Price (DCF Mid)</t>
  </si>
  <si>
    <t>Recommendation</t>
  </si>
  <si>
    <t>Upside / Downside</t>
  </si>
  <si>
    <t>Valuation Summary</t>
  </si>
  <si>
    <t>Methodology</t>
  </si>
  <si>
    <t>Implied Value (JPY)</t>
  </si>
  <si>
    <t>vs Current Price</t>
  </si>
  <si>
    <t>DCF - Perpetuity Growth</t>
  </si>
  <si>
    <t>DCF - Exit Multiple</t>
  </si>
  <si>
    <t>Comps - EV/EBITDA Median [参考・Target不算入]</t>
  </si>
  <si>
    <t>Comps - PER Median [参考・Target不算入]</t>
  </si>
  <si>
    <t>Note: Target Mid は DCF 2法（PGM / Exit）の平均のみ。Comps 2法は [参考] で Target 不算入（EV&lt;ネットデットで株式価値が負になる手法は INVALID として平均から除外）</t>
  </si>
  <si>
    <t>DCF Valuation Range (PGM - Exit)</t>
  </si>
  <si>
    <t>Key Investment Thesis</t>
  </si>
  <si>
    <t>Key Risks</t>
  </si>
  <si>
    <t>Raw milk and cocoa input costs have repeatedly forced price increases, and a failure to pass them through would take margins to the trough used in the second downside case.</t>
  </si>
  <si>
    <t>明治ホールディングス - Historical Financials (JPY mn)</t>
  </si>
  <si>
    <t>FY2021</t>
  </si>
  <si>
    <t>FY2022</t>
  </si>
  <si>
    <t>FY2023</t>
  </si>
  <si>
    <t>FY2024</t>
  </si>
  <si>
    <t>FY2025</t>
  </si>
  <si>
    <t>FY2026</t>
  </si>
  <si>
    <t>Income Statement</t>
  </si>
  <si>
    <t>Revenue</t>
  </si>
  <si>
    <t>COGS</t>
  </si>
  <si>
    <t>Gross Profit</t>
  </si>
  <si>
    <t>Gross Margin</t>
  </si>
  <si>
    <t>SGA</t>
  </si>
  <si>
    <t>Operating Income</t>
  </si>
  <si>
    <t>Net Income</t>
  </si>
  <si>
    <t>Operating Margin</t>
  </si>
  <si>
    <t>Net Margin</t>
  </si>
  <si>
    <t>Revenue Growth (YoY)</t>
  </si>
  <si>
    <t>n/a</t>
  </si>
  <si>
    <t>Operating Income Growth (YoY)</t>
  </si>
  <si>
    <t>Cash Flow Statement</t>
  </si>
  <si>
    <t>Operating Cash Flow</t>
  </si>
  <si>
    <t>Capex</t>
  </si>
  <si>
    <t>Free Cash Flow</t>
  </si>
  <si>
    <t>FCF Margin</t>
  </si>
  <si>
    <t>Capex / Revenue</t>
  </si>
  <si>
    <t>Balance Sheet Highlights</t>
  </si>
  <si>
    <t>Cash &amp; Deposits</t>
  </si>
  <si>
    <t>Total Interest-bearing Debt (short + long)</t>
  </si>
  <si>
    <t>Net Debt (Cash)</t>
  </si>
  <si>
    <t>Note: OCF / Cash / Debt coverage OCF 6/6, Cash 6/6, Debt 6/6 — blank cells are years with no year-key match in the source data (verify against 決算短信 or set hist_ocf / hist_cash / hist_debt in overrides).</t>
  </si>
  <si>
    <t>DCF Valuation Model - 明治ホールディングス</t>
  </si>
  <si>
    <t>Assumptions</t>
  </si>
  <si>
    <t>Capex / Revenue (fallback)</t>
  </si>
  <si>
    <t>Effective Tax Rate</t>
  </si>
  <si>
    <t>Risk-Free Rate</t>
  </si>
  <si>
    <t>Beta</t>
  </si>
  <si>
    <t>Equity Risk Premium</t>
  </si>
  <si>
    <t>Size Premium</t>
  </si>
  <si>
    <t>After-tax Cost of Debt</t>
  </si>
  <si>
    <t>D/E Ratio</t>
  </si>
  <si>
    <t>Terminal Growth Rate</t>
  </si>
  <si>
    <t>Exit Multiple (EV/EBITDA)</t>
  </si>
  <si>
    <t>Fully Diluted Shares</t>
  </si>
  <si>
    <t>Net Debt (JPY mn)</t>
  </si>
  <si>
    <t>Base Year Revenue (JPY mn)</t>
  </si>
  <si>
    <t>D&amp;A / Revenue</t>
  </si>
  <si>
    <t>Stub Fraction (yr remaining)</t>
  </si>
  <si>
    <t>LTM Revenue (JPY mn)</t>
  </si>
  <si>
    <t>WACC Calculation</t>
  </si>
  <si>
    <t>Cost of Equity (Ke)</t>
  </si>
  <si>
    <t>Weight of Equity</t>
  </si>
  <si>
    <t>Weight of Debt</t>
  </si>
  <si>
    <t>WACC</t>
  </si>
  <si>
    <t>Active Scenario</t>
  </si>
  <si>
    <t>Base</t>
  </si>
  <si>
    <t>Projected Free Cash Flow</t>
  </si>
  <si>
    <t>FY2027(E)</t>
  </si>
  <si>
    <t>FY2028(E)</t>
  </si>
  <si>
    <t>FY2029(E)</t>
  </si>
  <si>
    <t>FY2030(E)</t>
  </si>
  <si>
    <t>FY2031(E)</t>
  </si>
  <si>
    <t>COGS % of Revenue</t>
  </si>
  <si>
    <t>SGA % of Revenue</t>
  </si>
  <si>
    <t>SGA Expense</t>
  </si>
  <si>
    <t>Implied Operating Margin</t>
  </si>
  <si>
    <t>Operating Income (EBIT)</t>
  </si>
  <si>
    <t>Less: Tax</t>
  </si>
  <si>
    <t>NOPAT</t>
  </si>
  <si>
    <t>Plus: D&amp;A</t>
  </si>
  <si>
    <t>Less: Capex</t>
  </si>
  <si>
    <t>Change in NWC</t>
  </si>
  <si>
    <t>Unlevered Free Cash Flow</t>
  </si>
  <si>
    <t>Discount Factor</t>
  </si>
  <si>
    <t>PV of FCF</t>
  </si>
  <si>
    <t>Valuation - Perpetuity Growth Method</t>
  </si>
  <si>
    <t>Sum of PV of FCFs</t>
  </si>
  <si>
    <t>Terminal Value (PGM)</t>
  </si>
  <si>
    <t>PV of Terminal Value</t>
  </si>
  <si>
    <t>Enterprise Value</t>
  </si>
  <si>
    <t>Equity Value</t>
  </si>
  <si>
    <t>Implied Share Price (PGM)</t>
  </si>
  <si>
    <t>Valuation - Exit Multiple Method</t>
  </si>
  <si>
    <t>Year 5 EBITDA</t>
  </si>
  <si>
    <t>Terminal Value (Exit Multiple)</t>
  </si>
  <si>
    <t>Implied Share Price (Exit Multiple)</t>
  </si>
  <si>
    <t>Scenario Input Matrix</t>
  </si>
  <si>
    <t>Year 1</t>
  </si>
  <si>
    <t>Year 2</t>
  </si>
  <si>
    <t>Year 3</t>
  </si>
  <si>
    <t>Year 4</t>
  </si>
  <si>
    <t>Year 5</t>
  </si>
  <si>
    <t>Upside</t>
  </si>
  <si>
    <t>Management</t>
  </si>
  <si>
    <t>Downside 1</t>
  </si>
  <si>
    <t>Downside 2</t>
  </si>
  <si>
    <t>Reverse DCF - 明治ホールディングス (2269.T)</t>
  </si>
  <si>
    <t>What is the current share price already assuming? Every value below is a live formula off the other sheets.</t>
  </si>
  <si>
    <t>Block 0: Market-implied enterprise value (live)</t>
  </si>
  <si>
    <t>Current Share Price (JPY)</t>
  </si>
  <si>
    <t>Market Capitalisation (JPY mn)</t>
  </si>
  <si>
    <t>Enterprise Value (JPY mn)</t>
  </si>
  <si>
    <t>WACC (w)</t>
  </si>
  <si>
    <t>Terminal Growth (g)</t>
  </si>
  <si>
    <t>Effective Tax Rate (t)</t>
  </si>
  <si>
    <t>Starting Operating Profit OP0 (FY2026 actual)</t>
  </si>
  <si>
    <t>Cycle-peak Operating Profit (FY2021 actual)</t>
  </si>
  <si>
    <t>Terminal-year Revenue, active scenario (JPY mn)</t>
  </si>
  <si>
    <t>Base-case DCF Enterprise Value, PGM (JPY mn)</t>
  </si>
  <si>
    <t>Cycle-peak Operating Margin (FY2021 actual)</t>
  </si>
  <si>
    <t>Gap: market EV less base-case DCF EV (JPY mn)</t>
  </si>
  <si>
    <t>Gap per share (JPY) - the part of the price the base case does not explain</t>
  </si>
  <si>
    <t>Block A: Required steady-state operating profit, reached IMMEDIATELY (no ramp)</t>
  </si>
  <si>
    <t>The lowest bar the price can clear: today's EV read as a perpetuity of one steady-state profit, capex = D&amp;A, no NWC build.</t>
  </si>
  <si>
    <t>Required steady-state NOPAT (JPY mn)</t>
  </si>
  <si>
    <t>Required steady-state Operating Profit (JPY mn)</t>
  </si>
  <si>
    <t>... as a multiple of the FY2021 peak</t>
  </si>
  <si>
    <t>... as a multiple of FY2026 actual</t>
  </si>
  <si>
    <t>... implied OPM on terminal-year revenue</t>
  </si>
  <si>
    <t>... revenue needed if margins only reach the cycle peak</t>
  </si>
  <si>
    <t>Block B: Required steady-state operating profit by YEARS-TO-REACH (linear ramp) x WACC</t>
  </si>
  <si>
    <t>Operating profit ramps linearly from OP0 (C14) to OP* over N years, then grows at g for ever. Column F is the model WACC.</t>
  </si>
  <si>
    <t>OP* = ( EV/(1-t) - OP0*(A-B) ) / ( B + TVF ). A longer ramp needs a HIGHER steady state, because more years are spent below it.</t>
  </si>
  <si>
    <t>Years to steady state (N)   \   WACC</t>
  </si>
  <si>
    <t>N</t>
  </si>
  <si>
    <t>B-1  PV weight on the RAMP from OP0   (A - B)</t>
  </si>
  <si>
    <t>N = 3 years</t>
  </si>
  <si>
    <t>N = 5 years</t>
  </si>
  <si>
    <t>N = 7 years</t>
  </si>
  <si>
    <t>N = 10 years</t>
  </si>
  <si>
    <t>B-2  PV weight on the STEADY STATE OP*   (B + terminal factor)</t>
  </si>
  <si>
    <t>B-3  REQUIRED steady-state Operating Profit (JPY mn)</t>
  </si>
  <si>
    <t>B-4  ... as a multiple of the FY2021 peak operating profit</t>
  </si>
  <si>
    <t>Block C: Decomposing the required profit into revenue x margin (N = 5 years, model WACC)</t>
  </si>
  <si>
    <t>The revenue the company must run at, for a given steady-state operating margin, to earn the Block B-3 profit.</t>
  </si>
  <si>
    <t>Required steady-state Operating Profit (N=5, model WACC)</t>
  </si>
  <si>
    <t>Assumed steady-state OPM</t>
  </si>
  <si>
    <t>Required Revenue</t>
  </si>
  <si>
    <t>x base-year revenue</t>
  </si>
  <si>
    <t>cycle-peak OPM (FY2021)</t>
  </si>
  <si>
    <t>Block D: The same question expressed as multiples</t>
  </si>
  <si>
    <t>Current EV / latest-FY EBITDA (actual)</t>
  </si>
  <si>
    <t>Current EV / latest-FY Revenue (actual)</t>
  </si>
  <si>
    <t>EV / EBITDA if the Block A profit were already earned</t>
  </si>
  <si>
    <t>EV / EBITDA if the Block B-3 (N=5) profit were already earned</t>
  </si>
  <si>
    <t>Peer median EV / EBITDA (statistics rows)</t>
  </si>
  <si>
    <t>Rows 3-4 answer: what multiple would today's EV be paying IF the company already earned the profit the price requires?</t>
  </si>
  <si>
    <t>Block F: The one-line answer</t>
  </si>
  <si>
    <t>NWC Schedule - 明治ホールディングス</t>
  </si>
  <si>
    <t>Working Capital Drivers (Days)</t>
  </si>
  <si>
    <t>Base Year</t>
  </si>
  <si>
    <t>DSO (Days Sales Outstanding)</t>
  </si>
  <si>
    <t>DIH (Days Inventory Held)</t>
  </si>
  <si>
    <t>DPO (Days Payable Outstanding)</t>
  </si>
  <si>
    <t>P&amp;L Reference (JPY mn)</t>
  </si>
  <si>
    <t>Working Capital Items (JPY mn)</t>
  </si>
  <si>
    <t>Accounts Receivable</t>
  </si>
  <si>
    <t>Inventory</t>
  </si>
  <si>
    <t>Current Assets (AR + Inv)</t>
  </si>
  <si>
    <t>Accounts Payable</t>
  </si>
  <si>
    <t>Current Liabilities (AP)</t>
  </si>
  <si>
    <t>Net Working Capital (JPY mn)</t>
  </si>
  <si>
    <t>Net Working Capital</t>
  </si>
  <si>
    <t>Scenario Input Matrix (Working Capital Days)</t>
  </si>
  <si>
    <t>DSO (Days)</t>
  </si>
  <si>
    <t>DIH (Days)</t>
  </si>
  <si>
    <t>DPO (Days)</t>
  </si>
  <si>
    <t>Comparable Company Analysis</t>
  </si>
  <si>
    <t>Peer prices as of 2026-09-06 (Mkt Cap / EV of peer rows are static CSV values; the subject row is live-linked to Executive Summary)</t>
  </si>
  <si>
    <t>Mkt Cap
(JPY mn)</t>
  </si>
  <si>
    <t>EV
(JPY mn)</t>
  </si>
  <si>
    <t>Revenue
(JPY mn)</t>
  </si>
  <si>
    <t>EBITDA
(JPY mn)</t>
  </si>
  <si>
    <t>Op Income
(JPY mn)</t>
  </si>
  <si>
    <t>Net Income
(JPY mn)</t>
  </si>
  <si>
    <t>EV/EBITDA</t>
  </si>
  <si>
    <t>EV/Revenue</t>
  </si>
  <si>
    <t>PER</t>
  </si>
  <si>
    <t>PBR</t>
  </si>
  <si>
    <t>Op Margin</t>
  </si>
  <si>
    <t>ROE</t>
  </si>
  <si>
    <t>Book Value
(JPY mn)</t>
  </si>
  <si>
    <t>Note</t>
  </si>
  <si>
    <t>Meiji Holdings Co., Ltd.</t>
  </si>
  <si>
    <t>2269.T</t>
  </si>
  <si>
    <t>Kikkoman Corporation</t>
  </si>
  <si>
    <t>2801.T</t>
  </si>
  <si>
    <t>Nissin Foods Holdings Co.,Ltd.</t>
  </si>
  <si>
    <t>2897.T</t>
  </si>
  <si>
    <t>Yakult Honsha Co.,Ltd.</t>
  </si>
  <si>
    <t>2267.T</t>
  </si>
  <si>
    <t>Kirin Holdings Company, Limited</t>
  </si>
  <si>
    <t>2503.T</t>
  </si>
  <si>
    <t>Asahi Group Holdings, Ltd.</t>
  </si>
  <si>
    <t>2502.T</t>
  </si>
  <si>
    <t>Statistics</t>
  </si>
  <si>
    <t>25th Percentile</t>
  </si>
  <si>
    <t>Median (50th)</t>
  </si>
  <si>
    <t>75th Percentile</t>
  </si>
  <si>
    <t>Implied Valuation for 明治ホールディングス</t>
  </si>
  <si>
    <t>明治ホールディングス Financials</t>
  </si>
  <si>
    <t>EBITDA (JPY mn)</t>
  </si>
  <si>
    <t>Net Income (JPY mn)</t>
  </si>
  <si>
    <t>Shares Outstanding</t>
  </si>
  <si>
    <t>Implied Share Price (Median Multiples)</t>
  </si>
  <si>
    <t>Via EV/EBITDA (Median)</t>
  </si>
  <si>
    <t>Via PER (Median)</t>
  </si>
  <si>
    <t>Sensitivity Analysis</t>
  </si>
  <si>
    <t>Current WACC:</t>
  </si>
  <si>
    <t>Terminal g:</t>
  </si>
  <si>
    <t>Exit Multiple:</t>
  </si>
  <si>
    <t>Table 1: WACC vs Terminal Growth Rate (PGM - Implied Share Price, JPY)</t>
  </si>
  <si>
    <t>WACC \ Terminal g</t>
  </si>
  <si>
    <t>Table 2: WACC vs Exit Multiple (Exit Multiple - Implied Share Price, JPY)</t>
  </si>
  <si>
    <t>WACC \ Exit Multiple</t>
  </si>
  <si>
    <t>All values dynamically linked to DCF Model. Headers auto-center on current WACC / Terminal g / Exit Multiple.</t>
  </si>
  <si>
    <t>Adjustments Log - 明治ホールディングス</t>
  </si>
  <si>
    <t>日付</t>
  </si>
  <si>
    <t>セル</t>
  </si>
  <si>
    <t>変更内容</t>
  </si>
  <si>
    <t>理由</t>
  </si>
  <si>
    <t>元の値</t>
  </si>
  <si>
    <t>状態</t>
  </si>
  <si>
    <t>2026-09-06</t>
  </si>
  <si>
    <t>-</t>
  </si>
  <si>
    <t>Generated by pipeline on 2026-09-06 18:35, template rev 63983ab</t>
  </si>
  <si>
    <t>初期生成（手修正なし）</t>
  </si>
  <si>
    <t>generated</t>
  </si>
  <si>
    <t>DCF Model!C11</t>
  </si>
  <si>
    <t>After-tax Cost of Debt = 0.91% (実績ベース)</t>
  </si>
  <si>
    <t>実績Kd = 支払利息977 ÷ 平均有利子負債80,192(期首47,799/期末112,584、debt_beginning/debt_ending) = 税引前1.22% × (1−25.0%) = 0.91%。【マージナルコスト注記】これは既存借入の実績平均コストであり、新規調達の限界コストではない。テンプレ既定(税引前2.8% = 税引後1.00%)は10年JGB+スプレッドの推定値で、金利上昇局面での借換え・増額調達には既定値に近い水準を当てるべき。WACCは実績Kd採用で低下する（＝保守的でない方向）</t>
  </si>
  <si>
    <t>テンプレ既定/overrides 1.00%(税引後)</t>
  </si>
  <si>
    <t>確定(実績)</t>
  </si>
  <si>
    <t>DCF Model!C8</t>
  </si>
  <si>
    <t>Beta = 0.413（採用値）</t>
  </si>
  <si>
    <t>実測β(raw) = 0.124 → Blume調整 0.67×raw + 0.33×1.00 = 0.413 → 採用 0.413。クランプ域 [0.3, 2.0] の内側。置換なし。回帰βは平均回帰するため Blume 調整を既定とする（2026-09-05 バッチで85件中57件が旧下限 0.60 に張り付き、両裾の歪みが実証された）。</t>
  </si>
  <si>
    <t>実測 0.124</t>
  </si>
  <si>
    <t>確定</t>
  </si>
  <si>
    <t>Pipeline Metadata (do not edit — read by scripts/validate_output.py)</t>
  </si>
  <si>
    <t>key</t>
  </si>
  <si>
    <t>value</t>
  </si>
  <si>
    <t>auto_log_entries</t>
  </si>
  <si>
    <t>2</t>
  </si>
  <si>
    <t>beta_adopted_c8</t>
  </si>
  <si>
    <t>0.4132</t>
  </si>
  <si>
    <t>beta_basis</t>
  </si>
  <si>
    <t>Blume: 0.67 x 0.124 + 0.33 x 1.00 = 0.413</t>
  </si>
  <si>
    <t>beta_blume_adjusted</t>
  </si>
  <si>
    <t>beta_clamped</t>
  </si>
  <si>
    <t>no</t>
  </si>
  <si>
    <t>beta_raw</t>
  </si>
  <si>
    <t>0.1242</t>
  </si>
  <si>
    <t>capex_pct_basis</t>
  </si>
  <si>
    <t>explicit_override</t>
  </si>
  <si>
    <t>capex_pct_c5</t>
  </si>
  <si>
    <t>0.0495</t>
  </si>
  <si>
    <t>capex_pct_hist3yr</t>
  </si>
  <si>
    <t>0.057838</t>
  </si>
  <si>
    <t>company_name</t>
  </si>
  <si>
    <t>comps_asof</t>
  </si>
  <si>
    <t>comps_da_missing</t>
  </si>
  <si>
    <t>none</t>
  </si>
  <si>
    <t>comps_ebitda_excluded</t>
  </si>
  <si>
    <t>comps_ev_ebitda_invalid</t>
  </si>
  <si>
    <t>comps_ev_ebitda_rows</t>
  </si>
  <si>
    <t>6,7,8,9,10</t>
  </si>
  <si>
    <t>comps_impl_mult_row</t>
  </si>
  <si>
    <t>27</t>
  </si>
  <si>
    <t>comps_impl_per_row</t>
  </si>
  <si>
    <t>28</t>
  </si>
  <si>
    <t>comps_peer_rows</t>
  </si>
  <si>
    <t>comps_per_excluded</t>
  </si>
  <si>
    <t>comps_stale_excluded</t>
  </si>
  <si>
    <t>comps_stat_median_row</t>
  </si>
  <si>
    <t>16</t>
  </si>
  <si>
    <t>comps_subject_row</t>
  </si>
  <si>
    <t>5</t>
  </si>
  <si>
    <t>core_ebitda</t>
  </si>
  <si>
    <t>148261.0</t>
  </si>
  <si>
    <t>core_net_income</t>
  </si>
  <si>
    <t>35076.0</t>
  </si>
  <si>
    <t>cost_of_debt_actual</t>
  </si>
  <si>
    <t>interest 977 (expense 977 + fees 0) / avg debt 80,192 (debt_beginning/debt_ending) = 0.012183 pre-tax -&gt; 0.009100 after-tax</t>
  </si>
  <si>
    <t>cost_of_debt_at_c11</t>
  </si>
  <si>
    <t>0.0091</t>
  </si>
  <si>
    <t>cost_of_debt_avg_debt</t>
  </si>
  <si>
    <t>80191.5</t>
  </si>
  <si>
    <t>cost_of_debt_basis</t>
  </si>
  <si>
    <t>actual</t>
  </si>
  <si>
    <t>cost_of_debt_interest</t>
  </si>
  <si>
    <t>977.0</t>
  </si>
  <si>
    <t>cost_of_debt_pretax</t>
  </si>
  <si>
    <t>0.012183336139116988</t>
  </si>
  <si>
    <t>da_pct_basis</t>
  </si>
  <si>
    <t>da_pct_c18</t>
  </si>
  <si>
    <t>0.047</t>
  </si>
  <si>
    <t>da_pct_hist3yr</t>
  </si>
  <si>
    <t>0.048166</t>
  </si>
  <si>
    <t>fs_year_coverage</t>
  </si>
  <si>
    <t>OCF 6/6, Cash 6/6, Debt 6/6</t>
  </si>
  <si>
    <t>fs_year_map</t>
  </si>
  <si>
    <t>FY2021&lt;-FY2021[ocf+cash+debt]; FY2022&lt;-FY2022[ocf+cash+debt]; FY2023&lt;-FY2023[ocf+cash+debt]; FY2024&lt;-FY2024[ocf+cash+debt]; FY2025&lt;-FY2025[ocf+cash+debt]; FY2026&lt;-FY2026[ocf+cash+debt]</t>
  </si>
  <si>
    <t>fs_year_sources</t>
  </si>
  <si>
    <t>overrides: none | EDINET year-key match: hist_ocf, hist_cash, hist_debt, hist_capex, hist_depreciation</t>
  </si>
  <si>
    <t>fx_sensitivity</t>
  </si>
  <si>
    <t>not enabled</t>
  </si>
  <si>
    <t>generated_at</t>
  </si>
  <si>
    <t>2026-09-06 18:35:39</t>
  </si>
  <si>
    <t>guidance_note</t>
  </si>
  <si>
    <t>TDnet 決算短信 via screener guidance table: FY2027 disclosed 2026-08-05 (net_income=62,500mn, operating_income=100,000mn, revenue=1,212,000mn)</t>
  </si>
  <si>
    <t>guidance_source</t>
  </si>
  <si>
    <t>tdnet_screener_db</t>
  </si>
  <si>
    <t>latest_operating_income</t>
  </si>
  <si>
    <t>93307.0</t>
  </si>
  <si>
    <t>ltm_revenue_c20</t>
  </si>
  <si>
    <t>1173688.0</t>
  </si>
  <si>
    <t>ltm_revenue_source</t>
  </si>
  <si>
    <t>latest FY (no LTM)</t>
  </si>
  <si>
    <t>market_data_source</t>
  </si>
  <si>
    <t>yfinance; from overrides: beta</t>
  </si>
  <si>
    <t>narrative_tokens_used</t>
  </si>
  <si>
    <t>pb,per,price,target_price,upside_pct,wacc</t>
  </si>
  <si>
    <t>net_debt_source</t>
  </si>
  <si>
    <t>EDINET net_debt</t>
  </si>
  <si>
    <t>reverse_dcf_sheet</t>
  </si>
  <si>
    <t>op0=93,307(FY2026) peak=106,061(FY2021) peak_opm=0.0890 N=3/5/7/10</t>
  </si>
  <si>
    <t>scenario_index_range</t>
  </si>
  <si>
    <t>B69:B73</t>
  </si>
  <si>
    <t>tax_rate_c6</t>
  </si>
  <si>
    <t>0.25</t>
  </si>
  <si>
    <t>template_rev</t>
  </si>
  <si>
    <t>63983ab</t>
  </si>
  <si>
    <t>ticker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</si>
</sst>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
    <numFmt numFmtId="177" formatCode="0.0%;\(0.0%\)"/>
    <numFmt numFmtId="178" formatCode="0.000"/>
    <numFmt numFmtId="179" formatCode="0.00&quot;x&quot;"/>
    <numFmt numFmtId="180" formatCode="0.00%;\(0.00%\)"/>
    <numFmt numFmtId="181" formatCode="0.0000"/>
  </numFmts>
  <fonts count="9" x14ac:knownFonts="1">
    <font>
      <sz val="11"/>
      <color theme="1"/>
      <name val="ＭＳ Ｐゴシック"/>
      <family val="2"/>
      <scheme val="minor"/>
    </font>
    <font>
      <i/>
      <sz val="9"/>
      <color rgb="FF808080"/>
      <name val="Arial"/>
    </font>
    <font>
      <b/>
      <sz val="14"/>
      <name val="Arial"/>
    </font>
    <font>
      <b/>
      <sz val="11"/>
      <name val="Arial"/>
    </font>
    <font>
      <b/>
      <sz val="10"/>
      <name val="Arial"/>
    </font>
    <font>
      <sz val="10"/>
      <color rgb="FF000000"/>
      <name val="Arial"/>
    </font>
    <font>
      <b/>
      <sz val="11"/>
      <color rgb="FFFFFFFF"/>
      <name val="Arial"/>
    </font>
    <font>
      <sz val="10"/>
      <color rgb="FF006600"/>
      <name val="Arial"/>
    </font>
    <font>
      <sz val="6"/>
      <name val="ＭＳ Ｐゴシック"/>
      <family val="3"/>
      <charset val="128"/>
      <scheme val="minor"/>
    </font>
  </fonts>
  <fills count="6">
    <fill>
      <patternFill patternType="none"/>
    </fill>
    <fill>
      <patternFill patternType="gray125"/>
    </fill>
    <fill>
      <patternFill patternType="solid">
        <fgColor rgb="FFDCE6F1"/>
        <bgColor rgb="FFDCE6F1"/>
      </patternFill>
    </fill>
    <fill>
      <patternFill patternType="solid">
        <fgColor rgb="FF000080"/>
        <bgColor rgb="FF000080"/>
      </patternFill>
    </fill>
    <fill>
      <patternFill patternType="solid">
        <fgColor rgb="FFF2F2F2"/>
        <bgColor rgb="FFF2F2F2"/>
      </patternFill>
    </fill>
    <fill>
      <patternFill patternType="solid">
        <fgColor rgb="FFE2EFDA"/>
        <bgColor rgb="FFE2EFDA"/>
      </patternFill>
    </fill>
  </fills>
  <borders count="7">
    <border>
      <left/>
      <right/>
      <top/>
      <bottom/>
      <diagonal/>
    </border>
    <border>
      <left/>
      <right/>
      <top/>
      <bottom style="thin">
        <color auto="1"/>
      </bottom>
      <diagonal/>
    </border>
    <border>
      <left style="thin">
        <color rgb="FFB0B0B0"/>
      </left>
      <right style="thin">
        <color rgb="FFB0B0B0"/>
      </right>
      <top style="thin">
        <color rgb="FFB0B0B0"/>
      </top>
      <bottom style="thin">
        <color rgb="FFB0B0B0"/>
      </bottom>
      <diagonal/>
    </border>
    <border>
      <left/>
      <right/>
      <top style="thin">
        <color auto="1"/>
      </top>
      <bottom style="thin">
        <color auto="1"/>
      </bottom>
      <diagonal/>
    </border>
    <border>
      <left/>
      <right/>
      <top style="thin">
        <color auto="1"/>
      </top>
      <bottom style="double">
        <color auto="1"/>
      </bottom>
      <diagonal/>
    </border>
    <border>
      <left style="hair">
        <color rgb="FFB0B0B0"/>
      </left>
      <right style="hair">
        <color rgb="FFB0B0B0"/>
      </right>
      <top style="hair">
        <color rgb="FFB0B0B0"/>
      </top>
      <bottom style="hair">
        <color rgb="FFB0B0B0"/>
      </bottom>
      <diagonal/>
    </border>
    <border>
      <left style="thin">
        <color auto="1"/>
      </left>
      <right style="thin">
        <color auto="1"/>
      </right>
      <top style="thin">
        <color auto="1"/>
      </top>
      <bottom style="thin">
        <color auto="1"/>
      </bottom>
      <diagonal/>
    </border>
  </borders>
  <cellStyleXfs count="1">
    <xf numFmtId="0" fontId="0" fillId="0" borderId="0"/>
  </cellStyleXfs>
  <cellXfs count="46">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176" fontId="5" fillId="0" borderId="0" xfId="0" applyNumberFormat="1" applyFont="1"/>
    <xf numFmtId="0" fontId="5" fillId="0" borderId="0" xfId="0" applyFont="1"/>
    <xf numFmtId="177" fontId="5" fillId="0" borderId="0" xfId="0" applyNumberFormat="1" applyFont="1"/>
    <xf numFmtId="0" fontId="3" fillId="2" borderId="0" xfId="0" applyFont="1" applyFill="1"/>
    <xf numFmtId="0" fontId="0" fillId="2" borderId="0" xfId="0" applyFill="1"/>
    <xf numFmtId="0" fontId="6" fillId="3" borderId="1" xfId="0" applyFont="1" applyFill="1" applyBorder="1" applyAlignment="1">
      <alignment horizontal="center" wrapText="1"/>
    </xf>
    <xf numFmtId="176" fontId="7" fillId="0" borderId="0" xfId="0" applyNumberFormat="1" applyFont="1"/>
    <xf numFmtId="2" fontId="5" fillId="0" borderId="0" xfId="0" applyNumberFormat="1" applyFont="1"/>
    <xf numFmtId="178" fontId="5" fillId="0" borderId="0" xfId="0" applyNumberFormat="1" applyFont="1"/>
    <xf numFmtId="179" fontId="5" fillId="0" borderId="0" xfId="0" applyNumberFormat="1" applyFont="1"/>
    <xf numFmtId="3" fontId="5" fillId="0" borderId="0" xfId="0" applyNumberFormat="1" applyFont="1"/>
    <xf numFmtId="180" fontId="5" fillId="0" borderId="0" xfId="0" applyNumberFormat="1" applyFont="1"/>
    <xf numFmtId="0" fontId="5" fillId="0" borderId="2" xfId="0" applyFont="1" applyBorder="1"/>
    <xf numFmtId="177" fontId="5" fillId="2" borderId="0" xfId="0" applyNumberFormat="1" applyFont="1" applyFill="1"/>
    <xf numFmtId="176" fontId="5" fillId="0" borderId="3" xfId="0" applyNumberFormat="1" applyFont="1" applyBorder="1"/>
    <xf numFmtId="176" fontId="5" fillId="4" borderId="3" xfId="0" applyNumberFormat="1" applyFont="1" applyFill="1" applyBorder="1"/>
    <xf numFmtId="181" fontId="5" fillId="0" borderId="0" xfId="0" applyNumberFormat="1" applyFont="1"/>
    <xf numFmtId="0" fontId="3" fillId="5" borderId="0" xfId="0" applyFont="1" applyFill="1"/>
    <xf numFmtId="0" fontId="0" fillId="5" borderId="0" xfId="0" applyFill="1"/>
    <xf numFmtId="176" fontId="5" fillId="0" borderId="4" xfId="0" applyNumberFormat="1" applyFont="1" applyBorder="1"/>
    <xf numFmtId="0" fontId="6" fillId="3" borderId="0" xfId="0" applyFont="1" applyFill="1" applyAlignment="1">
      <alignment horizontal="center"/>
    </xf>
    <xf numFmtId="177" fontId="5" fillId="0" borderId="2" xfId="0" applyNumberFormat="1" applyFont="1" applyBorder="1"/>
    <xf numFmtId="176" fontId="5" fillId="0" borderId="2" xfId="0" applyNumberFormat="1" applyFont="1" applyBorder="1"/>
    <xf numFmtId="0" fontId="6" fillId="3" borderId="0" xfId="0" applyFont="1" applyFill="1"/>
    <xf numFmtId="180" fontId="6" fillId="3" borderId="0" xfId="0" applyNumberFormat="1" applyFont="1" applyFill="1" applyAlignment="1">
      <alignment horizontal="center"/>
    </xf>
    <xf numFmtId="3" fontId="5" fillId="0" borderId="2" xfId="0" applyNumberFormat="1" applyFont="1" applyBorder="1"/>
    <xf numFmtId="177" fontId="4" fillId="0" borderId="2" xfId="0" applyNumberFormat="1" applyFont="1" applyBorder="1"/>
    <xf numFmtId="0" fontId="6" fillId="2" borderId="1" xfId="0" applyFont="1" applyFill="1" applyBorder="1" applyAlignment="1">
      <alignment horizontal="center" wrapText="1"/>
    </xf>
    <xf numFmtId="0" fontId="4" fillId="0" borderId="5" xfId="0" applyFont="1" applyBorder="1"/>
    <xf numFmtId="3" fontId="5" fillId="0" borderId="5" xfId="0" applyNumberFormat="1" applyFont="1" applyBorder="1"/>
    <xf numFmtId="176" fontId="5" fillId="0" borderId="5" xfId="0" applyNumberFormat="1" applyFont="1" applyBorder="1"/>
    <xf numFmtId="0" fontId="5" fillId="0" borderId="5" xfId="0" applyFont="1" applyBorder="1"/>
    <xf numFmtId="176" fontId="5" fillId="0" borderId="6" xfId="0" applyNumberFormat="1" applyFont="1" applyBorder="1"/>
    <xf numFmtId="179" fontId="5" fillId="0" borderId="6" xfId="0" applyNumberFormat="1" applyFont="1" applyBorder="1"/>
    <xf numFmtId="177" fontId="5" fillId="0" borderId="6" xfId="0" applyNumberFormat="1" applyFont="1" applyBorder="1"/>
    <xf numFmtId="0" fontId="6" fillId="3" borderId="6" xfId="0" applyFont="1" applyFill="1" applyBorder="1" applyAlignment="1">
      <alignment horizontal="center" wrapText="1"/>
    </xf>
    <xf numFmtId="177" fontId="6" fillId="3" borderId="6" xfId="0" applyNumberFormat="1" applyFont="1" applyFill="1" applyBorder="1" applyAlignment="1">
      <alignment horizontal="center"/>
    </xf>
    <xf numFmtId="179" fontId="6" fillId="3" borderId="6" xfId="0" applyNumberFormat="1" applyFont="1" applyFill="1" applyBorder="1" applyAlignment="1">
      <alignment horizontal="center"/>
    </xf>
    <xf numFmtId="0" fontId="2" fillId="0" borderId="0" xfId="0" applyFont="1"/>
    <xf numFmtId="0" fontId="0" fillId="0" borderId="0" xfId="0"/>
    <xf numFmtId="0" fontId="1" fillId="0" borderId="0" xfId="0" applyFont="1"/>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3366"/>
  </sheetPr>
  <dimension ref="B1:E31"/>
  <sheetViews>
    <sheetView tabSelected="1" workbookViewId="0"/>
  </sheetViews>
  <sheetFormatPr defaultRowHeight="13" x14ac:dyDescent="0.2"/>
  <cols>
    <col min="1" max="1" width="3" customWidth="1"/>
    <col min="2" max="2" width="30" customWidth="1"/>
    <col min="3" max="5" width="22" customWidth="1"/>
  </cols>
  <sheetData>
    <row r="1" spans="2:5" ht="14" x14ac:dyDescent="0.3">
      <c r="B1" s="45" t="s">
        <v>0</v>
      </c>
      <c r="C1" s="44"/>
      <c r="D1" s="44"/>
      <c r="E1" s="44"/>
    </row>
    <row r="3" spans="2:5" ht="18" x14ac:dyDescent="0.4">
      <c r="B3" s="43" t="s">
        <v>1</v>
      </c>
      <c r="C3" s="44"/>
      <c r="D3" s="44"/>
    </row>
    <row r="4" spans="2:5" ht="14" x14ac:dyDescent="0.3">
      <c r="B4" s="3" t="s">
        <v>2</v>
      </c>
    </row>
    <row r="6" spans="2:5" ht="14" x14ac:dyDescent="0.3">
      <c r="B6" s="4" t="s">
        <v>3</v>
      </c>
      <c r="C6" t="s">
        <v>4</v>
      </c>
    </row>
    <row r="7" spans="2:5" ht="14" x14ac:dyDescent="0.3">
      <c r="B7" s="4" t="s">
        <v>5</v>
      </c>
      <c r="C7" t="s">
        <v>6</v>
      </c>
    </row>
    <row r="8" spans="2:5" ht="14" x14ac:dyDescent="0.3">
      <c r="B8" s="4" t="s">
        <v>7</v>
      </c>
      <c r="C8" t="s">
        <v>8</v>
      </c>
    </row>
    <row r="9" spans="2:5" ht="14" x14ac:dyDescent="0.3">
      <c r="B9" s="4" t="s">
        <v>9</v>
      </c>
      <c r="C9" s="5">
        <v>4408</v>
      </c>
    </row>
    <row r="10" spans="2:5" ht="14" x14ac:dyDescent="0.3">
      <c r="B10" s="4" t="s">
        <v>10</v>
      </c>
      <c r="C10" s="5">
        <f>IF(COUNT(C16:C17)=0,"N/A",ROUND(AVERAGE(C16:C17),0))</f>
        <v>4710</v>
      </c>
    </row>
    <row r="11" spans="2:5" ht="14" x14ac:dyDescent="0.3">
      <c r="B11" s="4" t="s">
        <v>11</v>
      </c>
      <c r="C11" s="6" t="str">
        <f>IF(NOT(ISNUMBER(C12)),"N/A",IF(C12&gt;0.15,"BUY",IF(C12&gt;0.05,"HOLD","SELL")))</f>
        <v>HOLD</v>
      </c>
    </row>
    <row r="12" spans="2:5" ht="14" x14ac:dyDescent="0.3">
      <c r="B12" s="4" t="s">
        <v>12</v>
      </c>
      <c r="C12" s="7">
        <f>IF(ISNUMBER(C10),(C10-C9)/C9,"N/A")</f>
        <v>6.8511796733212338E-2</v>
      </c>
    </row>
    <row r="14" spans="2:5" ht="14" x14ac:dyDescent="0.3">
      <c r="B14" s="8" t="s">
        <v>13</v>
      </c>
      <c r="C14" s="9"/>
      <c r="D14" s="9"/>
    </row>
    <row r="15" spans="2:5" ht="14" x14ac:dyDescent="0.3">
      <c r="B15" s="10" t="s">
        <v>14</v>
      </c>
      <c r="C15" s="10" t="s">
        <v>15</v>
      </c>
      <c r="D15" s="10" t="s">
        <v>16</v>
      </c>
    </row>
    <row r="16" spans="2:5" ht="13.5" x14ac:dyDescent="0.25">
      <c r="B16" t="s">
        <v>17</v>
      </c>
      <c r="C16" s="11">
        <f>IF('DCF Model'!C53&lt;'DCF Model'!C16,"INVALID (EV &lt; net debt)",'DCF Model'!C55)</f>
        <v>3861</v>
      </c>
      <c r="D16" s="7">
        <f>IF(ISNUMBER(C16),(C16-C9)/C9,"N/A")</f>
        <v>-0.12409255898366606</v>
      </c>
    </row>
    <row r="17" spans="2:5" ht="13.5" x14ac:dyDescent="0.25">
      <c r="B17" t="s">
        <v>18</v>
      </c>
      <c r="C17" s="11">
        <f>IF('DCF Model'!C62&lt;'DCF Model'!C16,"INVALID (EV &lt; net debt)",'DCF Model'!C64)</f>
        <v>5559</v>
      </c>
      <c r="D17" s="7">
        <f>IF(ISNUMBER(C17),(C17-C9)/C9,"N/A")</f>
        <v>0.26111615245009073</v>
      </c>
    </row>
    <row r="18" spans="2:5" ht="13.5" x14ac:dyDescent="0.25">
      <c r="B18" t="s">
        <v>19</v>
      </c>
      <c r="C18" s="11">
        <f>'Comps Analysis'!C27</f>
        <v>5900</v>
      </c>
      <c r="D18" s="7">
        <f>IF(ISNUMBER(C18),(C18-C9)/C9,"N/A")</f>
        <v>0.33847549909255897</v>
      </c>
    </row>
    <row r="19" spans="2:5" ht="13.5" x14ac:dyDescent="0.25">
      <c r="B19" t="s">
        <v>20</v>
      </c>
      <c r="C19" s="11">
        <f>'Comps Analysis'!C28</f>
        <v>2435</v>
      </c>
      <c r="D19" s="7">
        <f>IF(ISNUMBER(C19),(C19-C9)/C9,"N/A")</f>
        <v>-0.44759528130671505</v>
      </c>
    </row>
    <row r="20" spans="2:5" ht="14" x14ac:dyDescent="0.3">
      <c r="B20" s="45" t="s">
        <v>21</v>
      </c>
      <c r="C20" s="44"/>
      <c r="D20" s="44"/>
      <c r="E20" s="44"/>
    </row>
    <row r="21" spans="2:5" ht="14" x14ac:dyDescent="0.3">
      <c r="B21" s="4" t="s">
        <v>22</v>
      </c>
      <c r="C21" s="6" t="str">
        <f>IF(COUNT(C16:C17)=0,"N/A",MIN(C16:C17)&amp;" - "&amp;MAX(C16:C17))</f>
        <v>3861 - 5559</v>
      </c>
    </row>
    <row r="23" spans="2:5" ht="14" x14ac:dyDescent="0.3">
      <c r="B23" s="8" t="s">
        <v>23</v>
      </c>
      <c r="C23" s="9"/>
      <c r="D23" s="9"/>
    </row>
    <row r="24" spans="2:5" x14ac:dyDescent="0.2">
      <c r="B24" t="str">
        <f>"Meiji pairs a dairy and confectionery business with a pharmaceutical arm, and the operating margin has been remarkably stable inside a one-point band for four years; the shares trade at "&amp;TEXT('Comps Analysis'!L5,"0.0""x""")&amp;" earnings and "&amp;TEXT('Comps Analysis'!M5,"0.00""x""")&amp;" book."</f>
        <v>Meiji pairs a dairy and confectionery business with a pharmaceutical arm, and the operating margin has been remarkably stable inside a one-point band for four years; the shares trade at 34.1x earnings and 1.55x book.</v>
      </c>
    </row>
    <row r="25" spans="2:5" x14ac:dyDescent="0.2">
      <c r="B25" t="str">
        <f>"The stock is valued below the food peer group on EV/EBITDA despite that margin stability, which is where the exit-multiple leg of this model finds value against a "&amp;TEXT('DCF Model'!C26,"0.00%")&amp;" cost of capital."</f>
        <v>The stock is valued below the food peer group on EV/EBITDA despite that margin stability, which is where the exit-multiple leg of this model finds value against a 6.56% cost of capital.</v>
      </c>
    </row>
    <row r="26" spans="2:5" x14ac:dyDescent="0.2">
      <c r="B26" t="str">
        <f>"At "&amp;TEXT(C9,"#,##0")&amp;" the market is capitalising the reported net income rather than the operating result; on operating economics the base case supports "&amp;TEXT(C10,"#,##0")&amp;", or "&amp;TEXT(C12,"+0.0%;-0.0%")&amp;" from here."</f>
        <v>At 4,408 the market is capitalising the reported net income rather than the operating result; on operating economics the base case supports 4,710, or +6.9% from here.</v>
      </c>
    </row>
    <row r="28" spans="2:5" ht="14" x14ac:dyDescent="0.3">
      <c r="B28" s="8" t="s">
        <v>24</v>
      </c>
      <c r="C28" s="9"/>
      <c r="D28" s="9"/>
    </row>
    <row r="29" spans="2:5" x14ac:dyDescent="0.2">
      <c r="B29" t="str">
        <f>"Reported net income has halved over four years while operating income rose, so non-operating and extraordinary items are distorting the earnings base and the "&amp;TEXT('Comps Analysis'!L5,"0.0""x""")&amp;" the market is paying is not comparable across years."</f>
        <v>Reported net income has halved over four years while operating income rose, so non-operating and extraordinary items are distorting the earnings base and the 34.1x the market is paying is not comparable across years.</v>
      </c>
    </row>
    <row r="30" spans="2:5" x14ac:dyDescent="0.2">
      <c r="B30" t="s">
        <v>25</v>
      </c>
    </row>
    <row r="31" spans="2:5" x14ac:dyDescent="0.2">
      <c r="B31" t="str">
        <f>"Capital expenditure jumped sharply in the latest year; if that level persists rather than tapering, the free cash flow behind "&amp;TEXT(C10,"#,##0")&amp;" does not materialise at the "&amp;TEXT('DCF Model'!C26,"0.00%")&amp;" used here."</f>
        <v>Capital expenditure jumped sharply in the latest year; if that level persists rather than tapering, the free cash flow behind 4,710 does not materialise at the 6.56% used here.</v>
      </c>
    </row>
  </sheetData>
  <mergeCells count="3">
    <mergeCell ref="B3:D3"/>
    <mergeCell ref="B1:E1"/>
    <mergeCell ref="B20:E20"/>
  </mergeCells>
  <phoneticPr fontId="8"/>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3366"/>
  </sheetPr>
  <dimension ref="B2:H30"/>
  <sheetViews>
    <sheetView workbookViewId="0"/>
  </sheetViews>
  <sheetFormatPr defaultRowHeight="13" x14ac:dyDescent="0.2"/>
  <cols>
    <col min="1" max="1" width="3" customWidth="1"/>
    <col min="2" max="2" width="32" customWidth="1"/>
    <col min="3" max="8" width="18" customWidth="1"/>
  </cols>
  <sheetData>
    <row r="2" spans="2:8" ht="18" x14ac:dyDescent="0.4">
      <c r="B2" s="2" t="s">
        <v>26</v>
      </c>
    </row>
    <row r="4" spans="2:8" ht="14" x14ac:dyDescent="0.3">
      <c r="C4" s="10" t="s">
        <v>27</v>
      </c>
      <c r="D4" s="10" t="s">
        <v>28</v>
      </c>
      <c r="E4" s="10" t="s">
        <v>29</v>
      </c>
      <c r="F4" s="10" t="s">
        <v>30</v>
      </c>
      <c r="G4" s="10" t="s">
        <v>31</v>
      </c>
      <c r="H4" s="10" t="s">
        <v>32</v>
      </c>
    </row>
    <row r="5" spans="2:8" ht="14" x14ac:dyDescent="0.3">
      <c r="B5" s="3" t="s">
        <v>33</v>
      </c>
    </row>
    <row r="6" spans="2:8" ht="14" x14ac:dyDescent="0.3">
      <c r="B6" s="4" t="s">
        <v>34</v>
      </c>
      <c r="C6" s="5">
        <v>1191765</v>
      </c>
      <c r="D6" s="5">
        <v>1013092</v>
      </c>
      <c r="E6" s="5">
        <v>1062157</v>
      </c>
      <c r="F6" s="5">
        <v>1105494</v>
      </c>
      <c r="G6" s="5">
        <v>1154074</v>
      </c>
      <c r="H6" s="5">
        <v>1173688</v>
      </c>
    </row>
    <row r="7" spans="2:8" ht="14" x14ac:dyDescent="0.3">
      <c r="B7" s="4" t="s">
        <v>35</v>
      </c>
      <c r="C7" s="5">
        <v>742139</v>
      </c>
      <c r="D7" s="5">
        <v>689843</v>
      </c>
      <c r="E7" s="5">
        <v>755354</v>
      </c>
      <c r="F7" s="5">
        <v>778149</v>
      </c>
      <c r="G7" s="5">
        <v>814973</v>
      </c>
      <c r="H7" s="5">
        <v>814648</v>
      </c>
    </row>
    <row r="8" spans="2:8" ht="14" x14ac:dyDescent="0.3">
      <c r="B8" s="4" t="s">
        <v>36</v>
      </c>
      <c r="C8" s="5">
        <f t="shared" ref="C8:H8" si="0">C6-C7</f>
        <v>449626</v>
      </c>
      <c r="D8" s="5">
        <f t="shared" si="0"/>
        <v>323249</v>
      </c>
      <c r="E8" s="5">
        <f t="shared" si="0"/>
        <v>306803</v>
      </c>
      <c r="F8" s="5">
        <f t="shared" si="0"/>
        <v>327345</v>
      </c>
      <c r="G8" s="5">
        <f t="shared" si="0"/>
        <v>339101</v>
      </c>
      <c r="H8" s="5">
        <f t="shared" si="0"/>
        <v>359040</v>
      </c>
    </row>
    <row r="9" spans="2:8" ht="13.5" x14ac:dyDescent="0.25">
      <c r="B9" t="s">
        <v>37</v>
      </c>
      <c r="C9" s="7">
        <f t="shared" ref="C9:H9" si="1">C8/C6</f>
        <v>0.37727739948731503</v>
      </c>
      <c r="D9" s="7">
        <f t="shared" si="1"/>
        <v>0.31907171313168003</v>
      </c>
      <c r="E9" s="7">
        <f t="shared" si="1"/>
        <v>0.28884901196339147</v>
      </c>
      <c r="F9" s="7">
        <f t="shared" si="1"/>
        <v>0.29610744156006275</v>
      </c>
      <c r="G9" s="7">
        <f t="shared" si="1"/>
        <v>0.29382951179907008</v>
      </c>
      <c r="H9" s="7">
        <f t="shared" si="1"/>
        <v>0.30590753249585922</v>
      </c>
    </row>
    <row r="10" spans="2:8" ht="14" x14ac:dyDescent="0.3">
      <c r="B10" s="4" t="s">
        <v>38</v>
      </c>
      <c r="C10" s="5">
        <v>343563</v>
      </c>
      <c r="D10" s="5">
        <v>230327</v>
      </c>
      <c r="E10" s="5">
        <v>231368</v>
      </c>
      <c r="F10" s="5">
        <v>243023</v>
      </c>
      <c r="G10" s="5">
        <v>254398</v>
      </c>
      <c r="H10" s="5">
        <v>265733</v>
      </c>
    </row>
    <row r="11" spans="2:8" ht="14" x14ac:dyDescent="0.3">
      <c r="B11" s="4" t="s">
        <v>39</v>
      </c>
      <c r="C11" s="5">
        <v>106061</v>
      </c>
      <c r="D11" s="5">
        <v>92922</v>
      </c>
      <c r="E11" s="5">
        <v>75433</v>
      </c>
      <c r="F11" s="5">
        <v>84322</v>
      </c>
      <c r="G11" s="5">
        <v>84702</v>
      </c>
      <c r="H11" s="5">
        <v>93307</v>
      </c>
    </row>
    <row r="12" spans="2:8" ht="14" x14ac:dyDescent="0.3">
      <c r="B12" s="4" t="s">
        <v>40</v>
      </c>
      <c r="C12" s="5">
        <v>65655</v>
      </c>
      <c r="D12" s="5">
        <v>87497</v>
      </c>
      <c r="E12" s="5">
        <v>69424</v>
      </c>
      <c r="F12" s="5">
        <v>50675</v>
      </c>
      <c r="G12" s="5">
        <v>50800</v>
      </c>
      <c r="H12" s="5">
        <v>35076</v>
      </c>
    </row>
    <row r="13" spans="2:8" ht="13.5" x14ac:dyDescent="0.25">
      <c r="B13" t="s">
        <v>41</v>
      </c>
      <c r="C13" s="7">
        <f t="shared" ref="C13:H13" si="2">C11/C6</f>
        <v>8.8994894127617435E-2</v>
      </c>
      <c r="D13" s="7">
        <f t="shared" si="2"/>
        <v>9.1721186229878432E-2</v>
      </c>
      <c r="E13" s="7">
        <f t="shared" si="2"/>
        <v>7.101869121043311E-2</v>
      </c>
      <c r="F13" s="7">
        <f t="shared" si="2"/>
        <v>7.6275402670661255E-2</v>
      </c>
      <c r="G13" s="7">
        <f t="shared" si="2"/>
        <v>7.3393907149801485E-2</v>
      </c>
      <c r="H13" s="7">
        <f t="shared" si="2"/>
        <v>7.9498980989837167E-2</v>
      </c>
    </row>
    <row r="14" spans="2:8" ht="13.5" x14ac:dyDescent="0.25">
      <c r="B14" t="s">
        <v>42</v>
      </c>
      <c r="C14" s="7">
        <f t="shared" ref="C14:H14" si="3">C12/C6</f>
        <v>5.5090558960868966E-2</v>
      </c>
      <c r="D14" s="7">
        <f t="shared" si="3"/>
        <v>8.6366292498608221E-2</v>
      </c>
      <c r="E14" s="7">
        <f t="shared" si="3"/>
        <v>6.5361335471121496E-2</v>
      </c>
      <c r="F14" s="7">
        <f t="shared" si="3"/>
        <v>4.583923567201631E-2</v>
      </c>
      <c r="G14" s="7">
        <f t="shared" si="3"/>
        <v>4.4017974583952159E-2</v>
      </c>
      <c r="H14" s="7">
        <f t="shared" si="3"/>
        <v>2.9885284675314053E-2</v>
      </c>
    </row>
    <row r="15" spans="2:8" ht="13.5" x14ac:dyDescent="0.25">
      <c r="B15" t="s">
        <v>43</v>
      </c>
      <c r="C15" t="s">
        <v>44</v>
      </c>
      <c r="D15" s="7">
        <f>(D6-C6)/C6</f>
        <v>-0.14992301334575189</v>
      </c>
      <c r="E15" s="7">
        <f>(E6-D6)/D6</f>
        <v>4.8430942105948914E-2</v>
      </c>
      <c r="F15" s="7">
        <f>(F6-E6)/E6</f>
        <v>4.0800936208112357E-2</v>
      </c>
      <c r="G15" s="7">
        <f>(G6-F6)/F6</f>
        <v>4.3944155282615735E-2</v>
      </c>
      <c r="H15" s="7">
        <f>(H6-G6)/G6</f>
        <v>1.6995443966331448E-2</v>
      </c>
    </row>
    <row r="16" spans="2:8" ht="13.5" x14ac:dyDescent="0.25">
      <c r="B16" t="s">
        <v>45</v>
      </c>
      <c r="C16" t="s">
        <v>44</v>
      </c>
      <c r="D16" s="7">
        <f>(D11-C11)/C11</f>
        <v>-0.1238815398685662</v>
      </c>
      <c r="E16" s="7">
        <f>(E11-D11)/D11</f>
        <v>-0.18821161834657024</v>
      </c>
      <c r="F16" s="7">
        <f>(F11-E11)/E11</f>
        <v>0.11783967229196771</v>
      </c>
      <c r="G16" s="7">
        <f>(G11-F11)/F11</f>
        <v>4.5065344749887336E-3</v>
      </c>
      <c r="H16" s="7">
        <f>(H11-G11)/G11</f>
        <v>0.10159146183088948</v>
      </c>
    </row>
    <row r="18" spans="2:8" ht="14" x14ac:dyDescent="0.3">
      <c r="B18" s="3" t="s">
        <v>46</v>
      </c>
    </row>
    <row r="19" spans="2:8" ht="14" x14ac:dyDescent="0.3">
      <c r="B19" s="4" t="s">
        <v>47</v>
      </c>
      <c r="C19" s="5">
        <v>123683</v>
      </c>
      <c r="D19" s="5">
        <v>127526</v>
      </c>
      <c r="E19" s="5">
        <v>85013</v>
      </c>
      <c r="F19" s="5">
        <v>107983</v>
      </c>
      <c r="G19" s="5">
        <v>68979</v>
      </c>
      <c r="H19" s="5">
        <v>56522</v>
      </c>
    </row>
    <row r="20" spans="2:8" ht="14" x14ac:dyDescent="0.3">
      <c r="B20" s="4" t="s">
        <v>48</v>
      </c>
      <c r="C20" s="5">
        <v>63029</v>
      </c>
      <c r="D20" s="5">
        <v>88320</v>
      </c>
      <c r="E20" s="5">
        <v>68811</v>
      </c>
      <c r="F20" s="5">
        <v>50023</v>
      </c>
      <c r="G20" s="5">
        <v>52798</v>
      </c>
      <c r="H20" s="5">
        <v>96847</v>
      </c>
    </row>
    <row r="21" spans="2:8" ht="14" x14ac:dyDescent="0.3">
      <c r="B21" s="4" t="s">
        <v>49</v>
      </c>
      <c r="C21" s="5">
        <f t="shared" ref="C21:H21" si="4">C19-C20</f>
        <v>60654</v>
      </c>
      <c r="D21" s="5">
        <f t="shared" si="4"/>
        <v>39206</v>
      </c>
      <c r="E21" s="5">
        <f t="shared" si="4"/>
        <v>16202</v>
      </c>
      <c r="F21" s="5">
        <f t="shared" si="4"/>
        <v>57960</v>
      </c>
      <c r="G21" s="5">
        <f t="shared" si="4"/>
        <v>16181</v>
      </c>
      <c r="H21" s="5">
        <f t="shared" si="4"/>
        <v>-40325</v>
      </c>
    </row>
    <row r="22" spans="2:8" ht="13.5" x14ac:dyDescent="0.25">
      <c r="B22" t="s">
        <v>50</v>
      </c>
      <c r="C22" s="7">
        <f t="shared" ref="C22:H22" si="5">C21/C6</f>
        <v>5.0894261872097266E-2</v>
      </c>
      <c r="D22" s="7">
        <f t="shared" si="5"/>
        <v>3.8699348134226701E-2</v>
      </c>
      <c r="E22" s="7">
        <f t="shared" si="5"/>
        <v>1.5253865483163036E-2</v>
      </c>
      <c r="F22" s="7">
        <f t="shared" si="5"/>
        <v>5.24290498184522E-2</v>
      </c>
      <c r="G22" s="7">
        <f t="shared" si="5"/>
        <v>1.4020764699663972E-2</v>
      </c>
      <c r="H22" s="7">
        <f t="shared" si="5"/>
        <v>-3.4357512388300808E-2</v>
      </c>
    </row>
    <row r="23" spans="2:8" ht="13.5" x14ac:dyDescent="0.25">
      <c r="B23" t="s">
        <v>51</v>
      </c>
      <c r="C23" s="7">
        <f t="shared" ref="C23:H23" si="6">C20/C6</f>
        <v>5.2887104420754089E-2</v>
      </c>
      <c r="D23" s="7">
        <f t="shared" si="6"/>
        <v>8.7178657022264516E-2</v>
      </c>
      <c r="E23" s="7">
        <f t="shared" si="6"/>
        <v>6.4784207984318706E-2</v>
      </c>
      <c r="F23" s="7">
        <f t="shared" si="6"/>
        <v>4.5249454090207634E-2</v>
      </c>
      <c r="G23" s="7">
        <f t="shared" si="6"/>
        <v>4.5749232718179253E-2</v>
      </c>
      <c r="H23" s="7">
        <f t="shared" si="6"/>
        <v>8.2515114749405288E-2</v>
      </c>
    </row>
    <row r="25" spans="2:8" ht="14" x14ac:dyDescent="0.3">
      <c r="B25" s="3" t="s">
        <v>52</v>
      </c>
    </row>
    <row r="26" spans="2:8" ht="14" x14ac:dyDescent="0.3">
      <c r="B26" s="4" t="s">
        <v>53</v>
      </c>
      <c r="C26" s="5">
        <v>39011</v>
      </c>
      <c r="D26" s="5">
        <v>64872</v>
      </c>
      <c r="E26" s="5">
        <v>60939</v>
      </c>
      <c r="F26" s="5">
        <v>102832</v>
      </c>
      <c r="G26" s="5">
        <v>78191</v>
      </c>
      <c r="H26" s="5">
        <v>69249</v>
      </c>
    </row>
    <row r="27" spans="2:8" ht="14" x14ac:dyDescent="0.3">
      <c r="B27" s="4" t="s">
        <v>54</v>
      </c>
      <c r="C27" s="5">
        <v>101775</v>
      </c>
      <c r="D27" s="5">
        <v>71266</v>
      </c>
      <c r="E27" s="5">
        <v>54370</v>
      </c>
      <c r="F27" s="5">
        <v>49926</v>
      </c>
      <c r="G27" s="5">
        <v>47799</v>
      </c>
      <c r="H27" s="5">
        <v>88584</v>
      </c>
    </row>
    <row r="28" spans="2:8" ht="14" x14ac:dyDescent="0.3">
      <c r="B28" s="4" t="s">
        <v>55</v>
      </c>
      <c r="C28" s="5">
        <f t="shared" ref="C28:H28" si="7">C27-C26</f>
        <v>62764</v>
      </c>
      <c r="D28" s="5">
        <f t="shared" si="7"/>
        <v>6394</v>
      </c>
      <c r="E28" s="5">
        <f t="shared" si="7"/>
        <v>-6569</v>
      </c>
      <c r="F28" s="5">
        <f t="shared" si="7"/>
        <v>-52906</v>
      </c>
      <c r="G28" s="5">
        <f t="shared" si="7"/>
        <v>-30392</v>
      </c>
      <c r="H28" s="5">
        <f t="shared" si="7"/>
        <v>19335</v>
      </c>
    </row>
    <row r="30" spans="2:8" ht="14" x14ac:dyDescent="0.3">
      <c r="B30" s="1" t="s">
        <v>56</v>
      </c>
    </row>
  </sheetData>
  <phoneticPr fontId="8"/>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6600"/>
  </sheetPr>
  <dimension ref="B2:G87"/>
  <sheetViews>
    <sheetView workbookViewId="0"/>
  </sheetViews>
  <sheetFormatPr defaultRowHeight="13" x14ac:dyDescent="0.2"/>
  <cols>
    <col min="1" max="1" width="3" customWidth="1"/>
    <col min="2" max="2" width="32" customWidth="1"/>
    <col min="3" max="7" width="16" customWidth="1"/>
  </cols>
  <sheetData>
    <row r="2" spans="2:7" ht="18" x14ac:dyDescent="0.4">
      <c r="B2" s="2" t="s">
        <v>57</v>
      </c>
    </row>
    <row r="4" spans="2:7" ht="14" x14ac:dyDescent="0.3">
      <c r="B4" s="8" t="s">
        <v>58</v>
      </c>
      <c r="C4" s="9"/>
      <c r="D4" s="9"/>
      <c r="E4" s="9"/>
      <c r="F4" s="9"/>
      <c r="G4" s="9"/>
    </row>
    <row r="5" spans="2:7" ht="14" x14ac:dyDescent="0.3">
      <c r="B5" s="4" t="s">
        <v>59</v>
      </c>
      <c r="C5" s="7">
        <v>4.9500000000000002E-2</v>
      </c>
    </row>
    <row r="6" spans="2:7" ht="14" x14ac:dyDescent="0.3">
      <c r="B6" s="4" t="s">
        <v>60</v>
      </c>
      <c r="C6" s="7">
        <v>0.25</v>
      </c>
    </row>
    <row r="7" spans="2:7" ht="14" x14ac:dyDescent="0.3">
      <c r="B7" s="4" t="s">
        <v>61</v>
      </c>
      <c r="C7" s="7">
        <v>2.9700000000000001E-2</v>
      </c>
    </row>
    <row r="8" spans="2:7" ht="14" x14ac:dyDescent="0.3">
      <c r="B8" s="4" t="s">
        <v>62</v>
      </c>
      <c r="C8" s="12">
        <v>0.41320000000000001</v>
      </c>
    </row>
    <row r="9" spans="2:7" ht="14" x14ac:dyDescent="0.3">
      <c r="B9" s="4" t="s">
        <v>63</v>
      </c>
      <c r="C9" s="7">
        <v>6.5000000000000002E-2</v>
      </c>
    </row>
    <row r="10" spans="2:7" ht="14" x14ac:dyDescent="0.3">
      <c r="B10" s="4" t="s">
        <v>64</v>
      </c>
      <c r="C10" s="7">
        <v>0.01</v>
      </c>
    </row>
    <row r="11" spans="2:7" ht="14" x14ac:dyDescent="0.3">
      <c r="B11" s="4" t="s">
        <v>65</v>
      </c>
      <c r="C11" s="7">
        <v>9.1000000000000004E-3</v>
      </c>
    </row>
    <row r="12" spans="2:7" ht="14" x14ac:dyDescent="0.3">
      <c r="B12" s="4" t="s">
        <v>66</v>
      </c>
      <c r="C12" s="13">
        <v>1.6199999999999999E-2</v>
      </c>
    </row>
    <row r="13" spans="2:7" ht="14" x14ac:dyDescent="0.3">
      <c r="B13" s="4" t="s">
        <v>67</v>
      </c>
      <c r="C13" s="7">
        <v>0.01</v>
      </c>
    </row>
    <row r="14" spans="2:7" ht="14" x14ac:dyDescent="0.3">
      <c r="B14" s="4" t="s">
        <v>68</v>
      </c>
      <c r="C14" s="14">
        <v>10.9</v>
      </c>
    </row>
    <row r="15" spans="2:7" ht="14" x14ac:dyDescent="0.3">
      <c r="B15" s="4" t="s">
        <v>69</v>
      </c>
      <c r="C15" s="15">
        <v>271166783</v>
      </c>
    </row>
    <row r="16" spans="2:7" ht="14" x14ac:dyDescent="0.3">
      <c r="B16" s="4" t="s">
        <v>70</v>
      </c>
      <c r="C16" s="5">
        <v>19335</v>
      </c>
    </row>
    <row r="17" spans="2:7" ht="14" x14ac:dyDescent="0.3">
      <c r="B17" s="4" t="s">
        <v>71</v>
      </c>
      <c r="C17" s="5">
        <v>1173688</v>
      </c>
    </row>
    <row r="18" spans="2:7" ht="14" x14ac:dyDescent="0.3">
      <c r="B18" s="4" t="s">
        <v>72</v>
      </c>
      <c r="C18" s="7">
        <v>4.7E-2</v>
      </c>
    </row>
    <row r="19" spans="2:7" ht="14" x14ac:dyDescent="0.3">
      <c r="B19" s="4" t="s">
        <v>73</v>
      </c>
      <c r="C19" s="12">
        <v>1</v>
      </c>
    </row>
    <row r="20" spans="2:7" ht="14" x14ac:dyDescent="0.3">
      <c r="B20" s="4" t="s">
        <v>74</v>
      </c>
      <c r="C20" s="5">
        <v>1173688</v>
      </c>
    </row>
    <row r="22" spans="2:7" ht="14" x14ac:dyDescent="0.3">
      <c r="B22" s="8" t="s">
        <v>75</v>
      </c>
      <c r="C22" s="9"/>
      <c r="D22" s="9"/>
      <c r="E22" s="9"/>
      <c r="F22" s="9"/>
      <c r="G22" s="9"/>
    </row>
    <row r="23" spans="2:7" ht="14" x14ac:dyDescent="0.3">
      <c r="B23" s="4" t="s">
        <v>76</v>
      </c>
      <c r="C23" s="16">
        <f>C7+C8*C9+C10</f>
        <v>6.6558000000000006E-2</v>
      </c>
    </row>
    <row r="24" spans="2:7" ht="14" x14ac:dyDescent="0.3">
      <c r="B24" s="4" t="s">
        <v>77</v>
      </c>
      <c r="C24" s="16">
        <f>1/(1+C12)</f>
        <v>0.98405825624876997</v>
      </c>
    </row>
    <row r="25" spans="2:7" ht="14" x14ac:dyDescent="0.3">
      <c r="B25" s="4" t="s">
        <v>78</v>
      </c>
      <c r="C25" s="16">
        <f>C12/(1+C12)</f>
        <v>1.5941743751230072E-2</v>
      </c>
    </row>
    <row r="26" spans="2:7" ht="14" x14ac:dyDescent="0.3">
      <c r="B26" s="4" t="s">
        <v>79</v>
      </c>
      <c r="C26" s="16">
        <f>C23*C24+C11*C25</f>
        <v>6.5642019287541833E-2</v>
      </c>
    </row>
    <row r="27" spans="2:7" ht="14" x14ac:dyDescent="0.3">
      <c r="B27" s="4" t="s">
        <v>80</v>
      </c>
      <c r="C27" s="17" t="s">
        <v>81</v>
      </c>
      <c r="D27" s="6">
        <f>MATCH(C27,B69:B73,0)</f>
        <v>1</v>
      </c>
    </row>
    <row r="28" spans="2:7" ht="14" x14ac:dyDescent="0.3">
      <c r="B28" s="8" t="s">
        <v>82</v>
      </c>
      <c r="C28" s="9"/>
      <c r="D28" s="9"/>
      <c r="E28" s="9"/>
      <c r="F28" s="9"/>
      <c r="G28" s="9"/>
    </row>
    <row r="29" spans="2:7" ht="14" x14ac:dyDescent="0.3">
      <c r="C29" s="10" t="s">
        <v>83</v>
      </c>
      <c r="D29" s="10" t="s">
        <v>84</v>
      </c>
      <c r="E29" s="10" t="s">
        <v>85</v>
      </c>
      <c r="F29" s="10" t="s">
        <v>86</v>
      </c>
      <c r="G29" s="10" t="s">
        <v>87</v>
      </c>
    </row>
    <row r="30" spans="2:7" ht="14" x14ac:dyDescent="0.3">
      <c r="B30" s="4" t="s">
        <v>43</v>
      </c>
      <c r="C30" s="18">
        <f>CHOOSE($D$27,C69,C70,C71,C72,C73)</f>
        <v>2.5000000000000001E-2</v>
      </c>
      <c r="D30" s="18">
        <f>CHOOSE($D$27,D69,D70,D71,D72,D73)</f>
        <v>2.5000000000000001E-2</v>
      </c>
      <c r="E30" s="18">
        <f>CHOOSE($D$27,E69,E70,E71,E72,E73)</f>
        <v>0.02</v>
      </c>
      <c r="F30" s="18">
        <f>CHOOSE($D$27,F69,F70,F71,F72,F73)</f>
        <v>0.02</v>
      </c>
      <c r="G30" s="18">
        <f>CHOOSE($D$27,G69,G70,G71,G72,G73)</f>
        <v>0.02</v>
      </c>
    </row>
    <row r="31" spans="2:7" ht="14" x14ac:dyDescent="0.3">
      <c r="B31" s="4" t="s">
        <v>88</v>
      </c>
      <c r="C31" s="18">
        <f>CHOOSE($D$27,C76,C77,C78,C79,C80)</f>
        <v>0.69499999999999995</v>
      </c>
      <c r="D31" s="18">
        <f>CHOOSE($D$27,D76,D77,D78,D79,D80)</f>
        <v>0.69530000000000003</v>
      </c>
      <c r="E31" s="18">
        <f>CHOOSE($D$27,E76,E77,E78,E79,E80)</f>
        <v>0.69550000000000001</v>
      </c>
      <c r="F31" s="18">
        <f>CHOOSE($D$27,F76,F77,F78,F79,F80)</f>
        <v>0.69569999999999999</v>
      </c>
      <c r="G31" s="18">
        <f>CHOOSE($D$27,G76,G77,G78,G79,G80)</f>
        <v>0.69569999999999999</v>
      </c>
    </row>
    <row r="32" spans="2:7" ht="14" x14ac:dyDescent="0.3">
      <c r="B32" s="4" t="s">
        <v>89</v>
      </c>
      <c r="C32" s="18">
        <f>CHOOSE($D$27,C83,C84,C85,C86,C87)</f>
        <v>0.22600000000000001</v>
      </c>
      <c r="D32" s="18">
        <f>CHOOSE($D$27,D83,D84,D85,D86,D87)</f>
        <v>0.22600000000000001</v>
      </c>
      <c r="E32" s="18">
        <f>CHOOSE($D$27,E83,E84,E85,E86,E87)</f>
        <v>0.22600000000000001</v>
      </c>
      <c r="F32" s="18">
        <f>CHOOSE($D$27,F83,F84,F85,F86,F87)</f>
        <v>0.22600000000000001</v>
      </c>
      <c r="G32" s="18">
        <f>CHOOSE($D$27,G83,G84,G85,G86,G87)</f>
        <v>0.22600000000000001</v>
      </c>
    </row>
    <row r="33" spans="2:7" ht="14" x14ac:dyDescent="0.3">
      <c r="B33" s="4" t="s">
        <v>34</v>
      </c>
      <c r="C33" s="5">
        <f>C17*(1+C30)</f>
        <v>1203030.2</v>
      </c>
      <c r="D33" s="5">
        <f>C33*(1+D30)</f>
        <v>1233105.9549999998</v>
      </c>
      <c r="E33" s="5">
        <f>D33*(1+E30)</f>
        <v>1257768.0740999999</v>
      </c>
      <c r="F33" s="5">
        <f>E33*(1+F30)</f>
        <v>1282923.4355819998</v>
      </c>
      <c r="G33" s="5">
        <f>F33*(1+G30)</f>
        <v>1308581.9042936398</v>
      </c>
    </row>
    <row r="34" spans="2:7" ht="14" x14ac:dyDescent="0.3">
      <c r="B34" s="4" t="s">
        <v>35</v>
      </c>
      <c r="C34" s="5">
        <f>C33*C31</f>
        <v>836105.98899999994</v>
      </c>
      <c r="D34" s="5">
        <f>D33*D31</f>
        <v>857378.57051149989</v>
      </c>
      <c r="E34" s="5">
        <f>E33*E31</f>
        <v>874777.6955365499</v>
      </c>
      <c r="F34" s="5">
        <f>F33*F31</f>
        <v>892529.83413439721</v>
      </c>
      <c r="G34" s="5">
        <f>G33*G31</f>
        <v>910380.4308170852</v>
      </c>
    </row>
    <row r="35" spans="2:7" ht="14" x14ac:dyDescent="0.3">
      <c r="B35" s="4" t="s">
        <v>36</v>
      </c>
      <c r="C35" s="19">
        <f>C33-C34</f>
        <v>366924.21100000001</v>
      </c>
      <c r="D35" s="19">
        <f>D33-D34</f>
        <v>375727.38448849996</v>
      </c>
      <c r="E35" s="19">
        <f>E33-E34</f>
        <v>382990.37856344995</v>
      </c>
      <c r="F35" s="19">
        <f>F33-F34</f>
        <v>390393.60144760262</v>
      </c>
      <c r="G35" s="19">
        <f>G33-G34</f>
        <v>398201.47347655462</v>
      </c>
    </row>
    <row r="36" spans="2:7" ht="14" x14ac:dyDescent="0.3">
      <c r="B36" s="4" t="s">
        <v>37</v>
      </c>
      <c r="C36" s="7">
        <f>C35/C33</f>
        <v>0.30499999999999999</v>
      </c>
      <c r="D36" s="7">
        <f>D35/D33</f>
        <v>0.30470000000000003</v>
      </c>
      <c r="E36" s="7">
        <f>E35/E33</f>
        <v>0.30449999999999999</v>
      </c>
      <c r="F36" s="7">
        <f>F35/F33</f>
        <v>0.30430000000000007</v>
      </c>
      <c r="G36" s="7">
        <f>G35/G33</f>
        <v>0.30430000000000001</v>
      </c>
    </row>
    <row r="37" spans="2:7" ht="14" x14ac:dyDescent="0.3">
      <c r="B37" s="4" t="s">
        <v>90</v>
      </c>
      <c r="C37" s="5">
        <f>C33*C32</f>
        <v>271884.82520000002</v>
      </c>
      <c r="D37" s="5">
        <f>D33*D32</f>
        <v>278681.94582999998</v>
      </c>
      <c r="E37" s="5">
        <f>E33*E32</f>
        <v>284255.58474659995</v>
      </c>
      <c r="F37" s="5">
        <f>F33*F32</f>
        <v>289940.696441532</v>
      </c>
      <c r="G37" s="5">
        <f>G33*G32</f>
        <v>295739.51037036261</v>
      </c>
    </row>
    <row r="38" spans="2:7" ht="14" x14ac:dyDescent="0.3">
      <c r="B38" s="4" t="s">
        <v>91</v>
      </c>
      <c r="C38" s="7">
        <f>(C35-C37)/C33</f>
        <v>7.9000000000000001E-2</v>
      </c>
      <c r="D38" s="7">
        <f>(D35-D37)/D33</f>
        <v>7.8699999999999992E-2</v>
      </c>
      <c r="E38" s="7">
        <f>(E35-E37)/E33</f>
        <v>7.85E-2</v>
      </c>
      <c r="F38" s="7">
        <f>(F35-F37)/F33</f>
        <v>7.8300000000000022E-2</v>
      </c>
      <c r="G38" s="7">
        <f>(G35-G37)/G33</f>
        <v>7.8300000000000008E-2</v>
      </c>
    </row>
    <row r="39" spans="2:7" ht="14" x14ac:dyDescent="0.3">
      <c r="B39" s="4" t="s">
        <v>92</v>
      </c>
      <c r="C39" s="19">
        <f>C35-C37</f>
        <v>95039.385799999989</v>
      </c>
      <c r="D39" s="19">
        <f>D35-D37</f>
        <v>97045.438658499974</v>
      </c>
      <c r="E39" s="19">
        <f>E35-E37</f>
        <v>98734.793816849997</v>
      </c>
      <c r="F39" s="19">
        <f>F35-F37</f>
        <v>100452.90500607062</v>
      </c>
      <c r="G39" s="19">
        <f>G35-G37</f>
        <v>102461.96310619201</v>
      </c>
    </row>
    <row r="40" spans="2:7" ht="14" x14ac:dyDescent="0.3">
      <c r="B40" s="4" t="s">
        <v>93</v>
      </c>
      <c r="C40" s="5">
        <f>MAX(0,C39*C6)</f>
        <v>23759.846449999997</v>
      </c>
      <c r="D40" s="5">
        <f>MAX(0,D39*C6)</f>
        <v>24261.359664624993</v>
      </c>
      <c r="E40" s="5">
        <f>MAX(0,E39*C6)</f>
        <v>24683.698454212499</v>
      </c>
      <c r="F40" s="5">
        <f>MAX(0,F39*C6)</f>
        <v>25113.226251517655</v>
      </c>
      <c r="G40" s="5">
        <f>MAX(0,G39*C6)</f>
        <v>25615.490776548002</v>
      </c>
    </row>
    <row r="41" spans="2:7" ht="14" x14ac:dyDescent="0.3">
      <c r="B41" s="4" t="s">
        <v>94</v>
      </c>
      <c r="C41" s="19">
        <f>C39-C40</f>
        <v>71279.539349999992</v>
      </c>
      <c r="D41" s="19">
        <f>D39-D40</f>
        <v>72784.07899387498</v>
      </c>
      <c r="E41" s="19">
        <f>E39-E40</f>
        <v>74051.095362637498</v>
      </c>
      <c r="F41" s="19">
        <f>F39-F40</f>
        <v>75339.678754552966</v>
      </c>
      <c r="G41" s="19">
        <f>G39-G40</f>
        <v>76846.472329644006</v>
      </c>
    </row>
    <row r="42" spans="2:7" ht="14" x14ac:dyDescent="0.3">
      <c r="B42" s="4" t="s">
        <v>95</v>
      </c>
      <c r="C42" s="5">
        <f>C33*C18</f>
        <v>56542.419399999999</v>
      </c>
      <c r="D42" s="5">
        <f>D33*C18</f>
        <v>57955.979884999993</v>
      </c>
      <c r="E42" s="5">
        <f>E33*C18</f>
        <v>59115.099482699996</v>
      </c>
      <c r="F42" s="5">
        <f>F33*C18</f>
        <v>60297.401472353995</v>
      </c>
      <c r="G42" s="5">
        <f>G33*C18</f>
        <v>61503.349501801073</v>
      </c>
    </row>
    <row r="43" spans="2:7" ht="14" x14ac:dyDescent="0.3">
      <c r="B43" s="4" t="s">
        <v>96</v>
      </c>
      <c r="C43" s="5">
        <v>95000</v>
      </c>
      <c r="D43" s="5">
        <v>85000</v>
      </c>
      <c r="E43" s="5">
        <v>78000</v>
      </c>
      <c r="F43" s="5">
        <v>72000</v>
      </c>
      <c r="G43" s="5">
        <v>68000</v>
      </c>
    </row>
    <row r="44" spans="2:7" ht="14" x14ac:dyDescent="0.3">
      <c r="B44" s="4" t="s">
        <v>97</v>
      </c>
      <c r="C44" s="5">
        <f>'NWC Schedule'!D19</f>
        <v>-33517.29901095893</v>
      </c>
      <c r="D44" s="5">
        <f>'NWC Schedule'!E19</f>
        <v>7964.5296001739916</v>
      </c>
      <c r="E44" s="5">
        <f>'NWC Schedule'!F19</f>
        <v>6524.9548230888322</v>
      </c>
      <c r="F44" s="5">
        <f>'NWC Schedule'!G19</f>
        <v>6656.1293237768114</v>
      </c>
      <c r="G44" s="5">
        <f>'NWC Schedule'!H19</f>
        <v>6754.8062947215512</v>
      </c>
    </row>
    <row r="45" spans="2:7" ht="14" x14ac:dyDescent="0.3">
      <c r="B45" s="4" t="s">
        <v>98</v>
      </c>
      <c r="C45" s="20">
        <f>C41+C42-C43-C44</f>
        <v>66339.257760958921</v>
      </c>
      <c r="D45" s="20">
        <f>D41+D42-D43-D44</f>
        <v>37775.529278700982</v>
      </c>
      <c r="E45" s="20">
        <f>E41+E42-E43-E44</f>
        <v>48641.240022248647</v>
      </c>
      <c r="F45" s="20">
        <f>F41+F42-F43-F44</f>
        <v>56980.950903130142</v>
      </c>
      <c r="G45" s="20">
        <f>G41+G42-G43-G44</f>
        <v>63595.015536723542</v>
      </c>
    </row>
    <row r="46" spans="2:7" ht="14" x14ac:dyDescent="0.3">
      <c r="B46" s="4" t="s">
        <v>99</v>
      </c>
      <c r="C46" s="21">
        <f>1/(1+C26)^(C19+0)</f>
        <v>0.93840143491016981</v>
      </c>
      <c r="D46" s="21">
        <f>1/(1+C26)^(C19+1)</f>
        <v>0.88059725304146563</v>
      </c>
      <c r="E46" s="21">
        <f>1/(1+C26)^(C19+2)</f>
        <v>0.82635372583206523</v>
      </c>
      <c r="F46" s="21">
        <f>1/(1+C26)^(C19+3)</f>
        <v>0.77545152206417511</v>
      </c>
      <c r="G46" s="21">
        <f>1/(1+C26)^(C19+4)</f>
        <v>0.72768482100829712</v>
      </c>
    </row>
    <row r="47" spans="2:7" ht="14" x14ac:dyDescent="0.3">
      <c r="B47" s="4" t="s">
        <v>100</v>
      </c>
      <c r="C47" s="19">
        <f>C45*C46</f>
        <v>62252.854673759473</v>
      </c>
      <c r="D47" s="19">
        <f>D45*D46</f>
        <v>33265.027315011539</v>
      </c>
      <c r="E47" s="19">
        <f>E45*E46</f>
        <v>40194.869921476937</v>
      </c>
      <c r="F47" s="19">
        <f>F45*F46</f>
        <v>44185.965106496304</v>
      </c>
      <c r="G47" s="19">
        <f>G45*G46</f>
        <v>46277.127497860543</v>
      </c>
    </row>
    <row r="49" spans="2:7" ht="14" x14ac:dyDescent="0.3">
      <c r="B49" s="22" t="s">
        <v>101</v>
      </c>
      <c r="C49" s="23"/>
      <c r="D49" s="23"/>
      <c r="E49" s="23"/>
      <c r="F49" s="23"/>
      <c r="G49" s="23"/>
    </row>
    <row r="50" spans="2:7" ht="14" x14ac:dyDescent="0.3">
      <c r="B50" s="4" t="s">
        <v>102</v>
      </c>
      <c r="C50" s="5">
        <f>SUM(C47:G47)</f>
        <v>226175.8445146048</v>
      </c>
    </row>
    <row r="51" spans="2:7" ht="14" x14ac:dyDescent="0.3">
      <c r="B51" s="4" t="s">
        <v>103</v>
      </c>
      <c r="C51" s="5">
        <f>G45*(1+C13)/(C26-C13)</f>
        <v>1154360.7962925243</v>
      </c>
    </row>
    <row r="52" spans="2:7" ht="14" x14ac:dyDescent="0.3">
      <c r="B52" s="4" t="s">
        <v>104</v>
      </c>
      <c r="C52" s="5">
        <f>C51*G46</f>
        <v>840010.82942912087</v>
      </c>
    </row>
    <row r="53" spans="2:7" ht="14" x14ac:dyDescent="0.3">
      <c r="B53" s="4" t="s">
        <v>105</v>
      </c>
      <c r="C53" s="5">
        <f>C50+C52</f>
        <v>1066186.6739437256</v>
      </c>
    </row>
    <row r="54" spans="2:7" ht="14" x14ac:dyDescent="0.3">
      <c r="B54" s="4" t="s">
        <v>106</v>
      </c>
      <c r="C54" s="5">
        <f>C53-C16</f>
        <v>1046851.6739437256</v>
      </c>
    </row>
    <row r="55" spans="2:7" ht="14" x14ac:dyDescent="0.3">
      <c r="B55" s="4" t="s">
        <v>107</v>
      </c>
      <c r="C55" s="24">
        <f>ROUND(C54*1000000/C15,0)</f>
        <v>3861</v>
      </c>
    </row>
    <row r="57" spans="2:7" ht="14" x14ac:dyDescent="0.3">
      <c r="B57" s="22" t="s">
        <v>108</v>
      </c>
      <c r="C57" s="23"/>
      <c r="D57" s="23"/>
      <c r="E57" s="23"/>
      <c r="F57" s="23"/>
      <c r="G57" s="23"/>
    </row>
    <row r="58" spans="2:7" ht="14" x14ac:dyDescent="0.3">
      <c r="B58" s="4" t="s">
        <v>102</v>
      </c>
      <c r="C58" s="5">
        <f>C50</f>
        <v>226175.8445146048</v>
      </c>
    </row>
    <row r="59" spans="2:7" ht="14" x14ac:dyDescent="0.3">
      <c r="B59" s="4" t="s">
        <v>109</v>
      </c>
      <c r="C59" s="5">
        <f>G39+G42</f>
        <v>163965.31260799308</v>
      </c>
    </row>
    <row r="60" spans="2:7" ht="14" x14ac:dyDescent="0.3">
      <c r="B60" s="4" t="s">
        <v>110</v>
      </c>
      <c r="C60" s="5">
        <f>C59*C14</f>
        <v>1787221.9074271247</v>
      </c>
    </row>
    <row r="61" spans="2:7" ht="14" x14ac:dyDescent="0.3">
      <c r="B61" s="4" t="s">
        <v>104</v>
      </c>
      <c r="C61" s="5">
        <f>C60*G46</f>
        <v>1300534.2538082146</v>
      </c>
    </row>
    <row r="62" spans="2:7" ht="14" x14ac:dyDescent="0.3">
      <c r="B62" s="4" t="s">
        <v>105</v>
      </c>
      <c r="C62" s="5">
        <f>C58+C61</f>
        <v>1526710.0983228195</v>
      </c>
    </row>
    <row r="63" spans="2:7" ht="14" x14ac:dyDescent="0.3">
      <c r="B63" s="4" t="s">
        <v>106</v>
      </c>
      <c r="C63" s="5">
        <f>C62-C16</f>
        <v>1507375.0983228195</v>
      </c>
    </row>
    <row r="64" spans="2:7" ht="14" x14ac:dyDescent="0.3">
      <c r="B64" s="4" t="s">
        <v>111</v>
      </c>
      <c r="C64" s="24">
        <f>ROUND(C63*1000000/C15,0)</f>
        <v>5559</v>
      </c>
    </row>
    <row r="66" spans="2:7" ht="14" x14ac:dyDescent="0.3">
      <c r="B66" s="22" t="s">
        <v>112</v>
      </c>
      <c r="C66" s="23"/>
      <c r="D66" s="23"/>
      <c r="E66" s="23"/>
      <c r="F66" s="23"/>
      <c r="G66" s="23"/>
    </row>
    <row r="67" spans="2:7" ht="14" x14ac:dyDescent="0.3">
      <c r="C67" s="25" t="s">
        <v>113</v>
      </c>
      <c r="D67" s="25" t="s">
        <v>114</v>
      </c>
      <c r="E67" s="25" t="s">
        <v>115</v>
      </c>
      <c r="F67" s="25" t="s">
        <v>116</v>
      </c>
      <c r="G67" s="25" t="s">
        <v>117</v>
      </c>
    </row>
    <row r="68" spans="2:7" ht="14" x14ac:dyDescent="0.3">
      <c r="B68" s="3" t="s">
        <v>43</v>
      </c>
    </row>
    <row r="69" spans="2:7" ht="14" x14ac:dyDescent="0.3">
      <c r="B69" s="4" t="s">
        <v>81</v>
      </c>
      <c r="C69" s="26">
        <v>2.5000000000000001E-2</v>
      </c>
      <c r="D69" s="26">
        <v>2.5000000000000001E-2</v>
      </c>
      <c r="E69" s="26">
        <v>0.02</v>
      </c>
      <c r="F69" s="26">
        <v>0.02</v>
      </c>
      <c r="G69" s="26">
        <v>0.02</v>
      </c>
    </row>
    <row r="70" spans="2:7" ht="14" x14ac:dyDescent="0.3">
      <c r="B70" s="4" t="s">
        <v>118</v>
      </c>
      <c r="C70" s="26">
        <v>0.04</v>
      </c>
      <c r="D70" s="26">
        <v>3.5000000000000003E-2</v>
      </c>
      <c r="E70" s="26">
        <v>0.03</v>
      </c>
      <c r="F70" s="26">
        <v>0.03</v>
      </c>
      <c r="G70" s="26">
        <v>0.03</v>
      </c>
    </row>
    <row r="71" spans="2:7" ht="14" x14ac:dyDescent="0.3">
      <c r="B71" s="4" t="s">
        <v>119</v>
      </c>
      <c r="C71" s="26">
        <v>2.5000000000000001E-2</v>
      </c>
      <c r="D71" s="26">
        <v>2.5000000000000001E-2</v>
      </c>
      <c r="E71" s="26">
        <v>0.02</v>
      </c>
      <c r="F71" s="26">
        <v>0.02</v>
      </c>
      <c r="G71" s="26">
        <v>0.02</v>
      </c>
    </row>
    <row r="72" spans="2:7" ht="14" x14ac:dyDescent="0.3">
      <c r="B72" s="4" t="s">
        <v>120</v>
      </c>
      <c r="C72" s="26">
        <v>5.0000000000000001E-3</v>
      </c>
      <c r="D72" s="26">
        <v>5.0000000000000001E-3</v>
      </c>
      <c r="E72" s="26">
        <v>5.0000000000000001E-3</v>
      </c>
      <c r="F72" s="26">
        <v>5.0000000000000001E-3</v>
      </c>
      <c r="G72" s="26">
        <v>5.0000000000000001E-3</v>
      </c>
    </row>
    <row r="73" spans="2:7" ht="14" x14ac:dyDescent="0.3">
      <c r="B73" s="4" t="s">
        <v>121</v>
      </c>
      <c r="C73" s="26">
        <v>-0.06</v>
      </c>
      <c r="D73" s="26">
        <v>-0.01</v>
      </c>
      <c r="E73" s="26">
        <v>5.0000000000000001E-3</v>
      </c>
      <c r="F73" s="26">
        <v>0.01</v>
      </c>
      <c r="G73" s="26">
        <v>1.4999999999999999E-2</v>
      </c>
    </row>
    <row r="75" spans="2:7" ht="14" x14ac:dyDescent="0.3">
      <c r="B75" s="3" t="s">
        <v>88</v>
      </c>
    </row>
    <row r="76" spans="2:7" ht="14" x14ac:dyDescent="0.3">
      <c r="B76" s="4" t="s">
        <v>81</v>
      </c>
      <c r="C76" s="26">
        <v>0.69499999999999995</v>
      </c>
      <c r="D76" s="26">
        <v>0.69530000000000003</v>
      </c>
      <c r="E76" s="26">
        <v>0.69550000000000001</v>
      </c>
      <c r="F76" s="26">
        <v>0.69569999999999999</v>
      </c>
      <c r="G76" s="26">
        <v>0.69569999999999999</v>
      </c>
    </row>
    <row r="77" spans="2:7" ht="14" x14ac:dyDescent="0.3">
      <c r="B77" s="4" t="s">
        <v>118</v>
      </c>
      <c r="C77" s="26">
        <v>0.69499999999999995</v>
      </c>
      <c r="D77" s="26">
        <v>0.69299999999999995</v>
      </c>
      <c r="E77" s="26">
        <v>0.69099999999999995</v>
      </c>
      <c r="F77" s="26">
        <v>0.68799999999999994</v>
      </c>
      <c r="G77" s="26">
        <v>0.6875</v>
      </c>
    </row>
    <row r="78" spans="2:7" ht="14" x14ac:dyDescent="0.3">
      <c r="B78" s="4" t="s">
        <v>119</v>
      </c>
      <c r="C78" s="26">
        <v>0.69499999999999995</v>
      </c>
      <c r="D78" s="26">
        <v>0.69530000000000003</v>
      </c>
      <c r="E78" s="26">
        <v>0.69550000000000001</v>
      </c>
      <c r="F78" s="26">
        <v>0.69569999999999999</v>
      </c>
      <c r="G78" s="26">
        <v>0.69569999999999999</v>
      </c>
    </row>
    <row r="79" spans="2:7" ht="14" x14ac:dyDescent="0.3">
      <c r="B79" s="4" t="s">
        <v>120</v>
      </c>
      <c r="C79" s="26">
        <v>0.69399999999999995</v>
      </c>
      <c r="D79" s="26">
        <v>0.69499999999999995</v>
      </c>
      <c r="E79" s="26">
        <v>0.69599999999999995</v>
      </c>
      <c r="F79" s="26">
        <v>0.69699999999999995</v>
      </c>
      <c r="G79" s="26">
        <v>0.69720000000000004</v>
      </c>
    </row>
    <row r="80" spans="2:7" ht="14" x14ac:dyDescent="0.3">
      <c r="B80" s="4" t="s">
        <v>121</v>
      </c>
      <c r="C80" s="26">
        <v>0.71499999999999997</v>
      </c>
      <c r="D80" s="26">
        <v>0.72</v>
      </c>
      <c r="E80" s="26">
        <v>0.72</v>
      </c>
      <c r="F80" s="26">
        <v>0.71799999999999997</v>
      </c>
      <c r="G80" s="26">
        <v>0.71499999999999997</v>
      </c>
    </row>
    <row r="82" spans="2:7" ht="14" x14ac:dyDescent="0.3">
      <c r="B82" s="3" t="s">
        <v>89</v>
      </c>
    </row>
    <row r="83" spans="2:7" ht="14" x14ac:dyDescent="0.3">
      <c r="B83" s="4" t="s">
        <v>81</v>
      </c>
      <c r="C83" s="26">
        <v>0.22600000000000001</v>
      </c>
      <c r="D83" s="26">
        <v>0.22600000000000001</v>
      </c>
      <c r="E83" s="26">
        <v>0.22600000000000001</v>
      </c>
      <c r="F83" s="26">
        <v>0.22600000000000001</v>
      </c>
      <c r="G83" s="26">
        <v>0.22600000000000001</v>
      </c>
    </row>
    <row r="84" spans="2:7" ht="14" x14ac:dyDescent="0.3">
      <c r="B84" s="4" t="s">
        <v>118</v>
      </c>
      <c r="C84" s="26">
        <v>0.223</v>
      </c>
      <c r="D84" s="26">
        <v>0.223</v>
      </c>
      <c r="E84" s="26">
        <v>0.223</v>
      </c>
      <c r="F84" s="26">
        <v>0.223</v>
      </c>
      <c r="G84" s="26">
        <v>0.223</v>
      </c>
    </row>
    <row r="85" spans="2:7" ht="14" x14ac:dyDescent="0.3">
      <c r="B85" s="4" t="s">
        <v>119</v>
      </c>
      <c r="C85" s="26">
        <v>0.22600000000000001</v>
      </c>
      <c r="D85" s="26">
        <v>0.22600000000000001</v>
      </c>
      <c r="E85" s="26">
        <v>0.22600000000000001</v>
      </c>
      <c r="F85" s="26">
        <v>0.22600000000000001</v>
      </c>
      <c r="G85" s="26">
        <v>0.22600000000000001</v>
      </c>
    </row>
    <row r="86" spans="2:7" ht="14" x14ac:dyDescent="0.3">
      <c r="B86" s="4" t="s">
        <v>120</v>
      </c>
      <c r="C86" s="26">
        <v>0.23</v>
      </c>
      <c r="D86" s="26">
        <v>0.23</v>
      </c>
      <c r="E86" s="26">
        <v>0.23</v>
      </c>
      <c r="F86" s="26">
        <v>0.23</v>
      </c>
      <c r="G86" s="26">
        <v>0.23</v>
      </c>
    </row>
    <row r="87" spans="2:7" ht="14" x14ac:dyDescent="0.3">
      <c r="B87" s="4" t="s">
        <v>121</v>
      </c>
      <c r="C87" s="26">
        <v>0.24</v>
      </c>
      <c r="D87" s="26">
        <v>0.24</v>
      </c>
      <c r="E87" s="26">
        <v>0.24</v>
      </c>
      <c r="F87" s="26">
        <v>0.24</v>
      </c>
      <c r="G87" s="26">
        <v>0.24</v>
      </c>
    </row>
  </sheetData>
  <phoneticPr fontId="8"/>
  <dataValidations count="1">
    <dataValidation type="list" sqref="C27" xr:uid="{00000000-0002-0000-0200-000000000000}">
      <formula1>"Base,Upside,Management,Downside 1,Downside 2"</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00000"/>
  </sheetPr>
  <dimension ref="B2:I79"/>
  <sheetViews>
    <sheetView workbookViewId="0"/>
  </sheetViews>
  <sheetFormatPr defaultRowHeight="13" x14ac:dyDescent="0.2"/>
  <cols>
    <col min="1" max="1" width="3" customWidth="1"/>
    <col min="2" max="2" width="52" customWidth="1"/>
    <col min="3" max="9" width="15" customWidth="1"/>
  </cols>
  <sheetData>
    <row r="2" spans="2:9" ht="18" x14ac:dyDescent="0.4">
      <c r="B2" s="2" t="s">
        <v>122</v>
      </c>
    </row>
    <row r="3" spans="2:9" ht="14" x14ac:dyDescent="0.3">
      <c r="B3" s="1" t="s">
        <v>123</v>
      </c>
    </row>
    <row r="5" spans="2:9" ht="14" x14ac:dyDescent="0.3">
      <c r="B5" s="8" t="s">
        <v>124</v>
      </c>
      <c r="C5" s="9"/>
      <c r="D5" s="9"/>
      <c r="E5" s="9"/>
      <c r="F5" s="9"/>
      <c r="G5" s="9"/>
      <c r="H5" s="9"/>
      <c r="I5" s="9"/>
    </row>
    <row r="6" spans="2:9" ht="14" x14ac:dyDescent="0.3">
      <c r="B6" s="4" t="s">
        <v>125</v>
      </c>
      <c r="C6" s="15">
        <f>'Executive Summary'!C9</f>
        <v>4408</v>
      </c>
    </row>
    <row r="7" spans="2:9" ht="14" x14ac:dyDescent="0.3">
      <c r="B7" s="4" t="s">
        <v>69</v>
      </c>
      <c r="C7" s="15">
        <f>'DCF Model'!C15</f>
        <v>271166783</v>
      </c>
    </row>
    <row r="8" spans="2:9" ht="14" x14ac:dyDescent="0.3">
      <c r="B8" s="4" t="s">
        <v>126</v>
      </c>
      <c r="C8" s="5">
        <f>C6*C7/1000000</f>
        <v>1195303.179464</v>
      </c>
    </row>
    <row r="9" spans="2:9" ht="14" x14ac:dyDescent="0.3">
      <c r="B9" s="4" t="s">
        <v>70</v>
      </c>
      <c r="C9" s="5">
        <f>'DCF Model'!C16</f>
        <v>19335</v>
      </c>
    </row>
    <row r="10" spans="2:9" ht="14" x14ac:dyDescent="0.3">
      <c r="B10" s="4" t="s">
        <v>127</v>
      </c>
      <c r="C10" s="5">
        <f>C8+C9</f>
        <v>1214638.179464</v>
      </c>
    </row>
    <row r="11" spans="2:9" ht="14" x14ac:dyDescent="0.3">
      <c r="B11" s="4" t="s">
        <v>128</v>
      </c>
      <c r="C11" s="16">
        <f>'DCF Model'!C26</f>
        <v>6.5642019287541833E-2</v>
      </c>
    </row>
    <row r="12" spans="2:9" ht="14" x14ac:dyDescent="0.3">
      <c r="B12" s="4" t="s">
        <v>129</v>
      </c>
      <c r="C12" s="16">
        <f>'DCF Model'!C13</f>
        <v>0.01</v>
      </c>
    </row>
    <row r="13" spans="2:9" ht="14" x14ac:dyDescent="0.3">
      <c r="B13" s="4" t="s">
        <v>130</v>
      </c>
      <c r="C13" s="16">
        <f>'DCF Model'!C6</f>
        <v>0.25</v>
      </c>
    </row>
    <row r="14" spans="2:9" ht="14" x14ac:dyDescent="0.3">
      <c r="B14" s="4" t="s">
        <v>131</v>
      </c>
      <c r="C14" s="27">
        <v>93307</v>
      </c>
    </row>
    <row r="15" spans="2:9" ht="14" x14ac:dyDescent="0.3">
      <c r="B15" s="4" t="s">
        <v>132</v>
      </c>
      <c r="C15" s="27">
        <v>106061</v>
      </c>
    </row>
    <row r="16" spans="2:9" ht="14" x14ac:dyDescent="0.3">
      <c r="B16" s="4" t="s">
        <v>133</v>
      </c>
      <c r="C16" s="5">
        <f>'DCF Model'!G33</f>
        <v>1308581.9042936398</v>
      </c>
    </row>
    <row r="17" spans="2:9" ht="14" x14ac:dyDescent="0.3">
      <c r="B17" s="4" t="s">
        <v>134</v>
      </c>
      <c r="C17" s="5">
        <f>'DCF Model'!C53</f>
        <v>1066186.6739437256</v>
      </c>
    </row>
    <row r="18" spans="2:9" ht="14" x14ac:dyDescent="0.3">
      <c r="B18" s="4" t="s">
        <v>135</v>
      </c>
      <c r="C18" s="26">
        <v>8.8994894127617435E-2</v>
      </c>
    </row>
    <row r="19" spans="2:9" ht="14" x14ac:dyDescent="0.3">
      <c r="B19" s="4" t="s">
        <v>136</v>
      </c>
      <c r="C19" s="5">
        <f>C10-C17</f>
        <v>148451.5055202744</v>
      </c>
    </row>
    <row r="20" spans="2:9" ht="14" x14ac:dyDescent="0.3">
      <c r="B20" s="4" t="s">
        <v>137</v>
      </c>
      <c r="C20" s="15">
        <f>IFERROR(ROUND(C19*1000000/C7,0),"N/A")</f>
        <v>547</v>
      </c>
    </row>
    <row r="22" spans="2:9" ht="14" x14ac:dyDescent="0.3">
      <c r="B22" s="8" t="s">
        <v>138</v>
      </c>
      <c r="C22" s="9"/>
      <c r="D22" s="9"/>
      <c r="E22" s="9"/>
      <c r="F22" s="9"/>
      <c r="G22" s="9"/>
      <c r="H22" s="9"/>
      <c r="I22" s="9"/>
    </row>
    <row r="23" spans="2:9" ht="14" x14ac:dyDescent="0.3">
      <c r="B23" s="1" t="s">
        <v>139</v>
      </c>
    </row>
    <row r="24" spans="2:9" ht="14" x14ac:dyDescent="0.3">
      <c r="B24" s="4" t="s">
        <v>140</v>
      </c>
      <c r="C24" s="5">
        <f>C10*(C11-C12)</f>
        <v>67584.92100912059</v>
      </c>
    </row>
    <row r="25" spans="2:9" ht="14" x14ac:dyDescent="0.3">
      <c r="B25" s="4" t="s">
        <v>141</v>
      </c>
      <c r="C25" s="5">
        <f>IFERROR(C24/(1-C13),"N/A")</f>
        <v>90113.228012160791</v>
      </c>
    </row>
    <row r="26" spans="2:9" ht="13.5" x14ac:dyDescent="0.25">
      <c r="B26" s="6" t="s">
        <v>142</v>
      </c>
      <c r="C26" s="14">
        <f>IFERROR(C25/C15,"N/A")</f>
        <v>0.84963585118149731</v>
      </c>
    </row>
    <row r="27" spans="2:9" ht="13.5" x14ac:dyDescent="0.25">
      <c r="B27" s="6" t="s">
        <v>143</v>
      </c>
      <c r="C27" s="14">
        <f>IFERROR(C25/C14,"N/A")</f>
        <v>0.96577135704889017</v>
      </c>
    </row>
    <row r="28" spans="2:9" ht="13.5" x14ac:dyDescent="0.25">
      <c r="B28" s="6" t="s">
        <v>144</v>
      </c>
      <c r="C28" s="7">
        <f>IFERROR(C25/C16,"N/A")</f>
        <v>6.8863269250848361E-2</v>
      </c>
    </row>
    <row r="29" spans="2:9" ht="13.5" x14ac:dyDescent="0.25">
      <c r="B29" s="6" t="s">
        <v>145</v>
      </c>
      <c r="C29" s="5">
        <f>IFERROR(C25/C18,"N/A")</f>
        <v>1012566.2701833172</v>
      </c>
    </row>
    <row r="32" spans="2:9" ht="14" x14ac:dyDescent="0.3">
      <c r="B32" s="8" t="s">
        <v>146</v>
      </c>
      <c r="C32" s="9"/>
      <c r="D32" s="9"/>
      <c r="E32" s="9"/>
      <c r="F32" s="9"/>
      <c r="G32" s="9"/>
      <c r="H32" s="9"/>
      <c r="I32" s="9"/>
    </row>
    <row r="33" spans="2:9" ht="14" x14ac:dyDescent="0.3">
      <c r="B33" s="1" t="s">
        <v>147</v>
      </c>
    </row>
    <row r="34" spans="2:9" ht="14" x14ac:dyDescent="0.3">
      <c r="B34" s="1" t="s">
        <v>148</v>
      </c>
    </row>
    <row r="36" spans="2:9" ht="14" x14ac:dyDescent="0.3">
      <c r="B36" s="28" t="s">
        <v>149</v>
      </c>
      <c r="C36" s="28" t="s">
        <v>150</v>
      </c>
      <c r="D36" s="29">
        <f>'DCF Model'!C26-0.02</f>
        <v>4.564201928754183E-2</v>
      </c>
      <c r="E36" s="29">
        <f>'DCF Model'!C26-0.01</f>
        <v>5.5642019287541832E-2</v>
      </c>
      <c r="F36" s="29">
        <f>'DCF Model'!C26</f>
        <v>6.5642019287541833E-2</v>
      </c>
      <c r="G36" s="29">
        <f>'DCF Model'!C26+0.01</f>
        <v>7.5642019287541828E-2</v>
      </c>
      <c r="H36" s="29">
        <f>'DCF Model'!C26+0.02</f>
        <v>8.5642019287541837E-2</v>
      </c>
    </row>
    <row r="37" spans="2:9" ht="14" x14ac:dyDescent="0.3">
      <c r="B37" s="3" t="s">
        <v>151</v>
      </c>
    </row>
    <row r="38" spans="2:9" ht="14" x14ac:dyDescent="0.3">
      <c r="B38" s="4" t="s">
        <v>152</v>
      </c>
      <c r="C38" s="30">
        <v>3</v>
      </c>
      <c r="D38" s="13">
        <f t="shared" ref="D38:H41" si="0">IFERROR((1-(1+D$36)^(-$C38))/D$36-(1+D$36)/(D$36^2*$C38)*(1-($C38+1)/(1+D$36)^$C38+$C38/(1+D$36)^($C38+1)),"N/A")</f>
        <v>0.94243542538085423</v>
      </c>
      <c r="E38" s="13">
        <f t="shared" si="0"/>
        <v>0.93064718650221878</v>
      </c>
      <c r="F38" s="13">
        <f t="shared" si="0"/>
        <v>0.91913337428727404</v>
      </c>
      <c r="G38" s="13">
        <f t="shared" si="0"/>
        <v>0.90788486534163115</v>
      </c>
      <c r="H38" s="13">
        <f t="shared" si="0"/>
        <v>0.89689292606450932</v>
      </c>
    </row>
    <row r="39" spans="2:9" ht="14" x14ac:dyDescent="0.3">
      <c r="B39" s="4" t="s">
        <v>153</v>
      </c>
      <c r="C39" s="30">
        <v>5</v>
      </c>
      <c r="D39" s="13">
        <f t="shared" si="0"/>
        <v>1.8310178055011641</v>
      </c>
      <c r="E39" s="13">
        <f t="shared" si="0"/>
        <v>1.7973238898155133</v>
      </c>
      <c r="F39" s="13">
        <f t="shared" si="0"/>
        <v>1.7647112944986518</v>
      </c>
      <c r="G39" s="13">
        <f t="shared" si="0"/>
        <v>1.7331327249644</v>
      </c>
      <c r="H39" s="13">
        <f t="shared" si="0"/>
        <v>1.7025434531673329</v>
      </c>
    </row>
    <row r="40" spans="2:9" ht="14" x14ac:dyDescent="0.3">
      <c r="B40" s="4" t="s">
        <v>154</v>
      </c>
      <c r="C40" s="30">
        <v>7</v>
      </c>
      <c r="D40" s="13">
        <f t="shared" si="0"/>
        <v>2.6692039751790109</v>
      </c>
      <c r="E40" s="13">
        <f t="shared" si="0"/>
        <v>2.6049680713878032</v>
      </c>
      <c r="F40" s="13">
        <f t="shared" si="0"/>
        <v>2.5433420666288624</v>
      </c>
      <c r="G40" s="13">
        <f t="shared" si="0"/>
        <v>2.4841851695890695</v>
      </c>
      <c r="H40" s="13">
        <f t="shared" si="0"/>
        <v>2.4273658141325449</v>
      </c>
    </row>
    <row r="41" spans="2:9" ht="14" x14ac:dyDescent="0.3">
      <c r="B41" s="4" t="s">
        <v>155</v>
      </c>
      <c r="C41" s="30">
        <v>10</v>
      </c>
      <c r="D41" s="13">
        <f t="shared" si="0"/>
        <v>3.8389742931409145</v>
      </c>
      <c r="E41" s="13">
        <f t="shared" si="0"/>
        <v>3.715559120766283</v>
      </c>
      <c r="F41" s="13">
        <f t="shared" si="0"/>
        <v>3.5986768369117161</v>
      </c>
      <c r="G41" s="13">
        <f t="shared" si="0"/>
        <v>3.4878784132153702</v>
      </c>
      <c r="H41" s="13">
        <f t="shared" si="0"/>
        <v>3.3827515894896956</v>
      </c>
    </row>
    <row r="42" spans="2:9" ht="14" x14ac:dyDescent="0.3">
      <c r="B42" s="3" t="s">
        <v>156</v>
      </c>
    </row>
    <row r="43" spans="2:9" ht="14" x14ac:dyDescent="0.3">
      <c r="B43" s="4" t="s">
        <v>152</v>
      </c>
      <c r="C43" s="30">
        <v>3</v>
      </c>
      <c r="D43" s="13">
        <f t="shared" ref="D43:H46" si="1">IFERROR((1+D$36)/(D$36^2*$C43)*(1-($C43+1)/(1+D$36)^$C43+$C43/(1+D$36)^($C43+1))+(1+$C$12)/((D$36-$C$12)*(1+D$36)^$C43),"N/A")</f>
        <v>26.589406464926167</v>
      </c>
      <c r="E43" s="13">
        <f t="shared" si="1"/>
        <v>20.57483193082852</v>
      </c>
      <c r="F43" s="13">
        <f t="shared" si="1"/>
        <v>16.725984931839868</v>
      </c>
      <c r="G43" s="13">
        <f t="shared" si="1"/>
        <v>14.052962439385265</v>
      </c>
      <c r="H43" s="13">
        <f t="shared" si="1"/>
        <v>12.089332995590265</v>
      </c>
    </row>
    <row r="44" spans="2:9" ht="14" x14ac:dyDescent="0.3">
      <c r="B44" s="4" t="s">
        <v>153</v>
      </c>
      <c r="C44" s="30">
        <v>5</v>
      </c>
      <c r="D44" s="13">
        <f t="shared" si="1"/>
        <v>25.220720192877092</v>
      </c>
      <c r="E44" s="13">
        <f t="shared" si="1"/>
        <v>19.345481612450122</v>
      </c>
      <c r="F44" s="13">
        <f t="shared" si="1"/>
        <v>15.592530103420218</v>
      </c>
      <c r="G44" s="13">
        <f t="shared" si="1"/>
        <v>12.991503924565414</v>
      </c>
      <c r="H44" s="13">
        <f t="shared" si="1"/>
        <v>11.085196378125266</v>
      </c>
    </row>
    <row r="45" spans="2:9" ht="14" x14ac:dyDescent="0.3">
      <c r="B45" s="4" t="s">
        <v>154</v>
      </c>
      <c r="C45" s="30">
        <v>7</v>
      </c>
      <c r="D45" s="13">
        <f t="shared" si="1"/>
        <v>23.943428224472203</v>
      </c>
      <c r="E45" s="13">
        <f t="shared" si="1"/>
        <v>18.212388668925342</v>
      </c>
      <c r="F45" s="13">
        <f t="shared" si="1"/>
        <v>14.560395716707736</v>
      </c>
      <c r="G45" s="13">
        <f t="shared" si="1"/>
        <v>12.036294625534028</v>
      </c>
      <c r="H45" s="13">
        <f t="shared" si="1"/>
        <v>10.191968316312115</v>
      </c>
    </row>
    <row r="46" spans="2:9" ht="14" x14ac:dyDescent="0.3">
      <c r="B46" s="4" t="s">
        <v>155</v>
      </c>
      <c r="C46" s="30">
        <v>10</v>
      </c>
      <c r="D46" s="13">
        <f t="shared" si="1"/>
        <v>22.184294657768216</v>
      </c>
      <c r="E46" s="13">
        <f t="shared" si="1"/>
        <v>16.675171520728348</v>
      </c>
      <c r="F46" s="13">
        <f t="shared" si="1"/>
        <v>13.180413019786847</v>
      </c>
      <c r="G46" s="13">
        <f t="shared" si="1"/>
        <v>10.777115668071513</v>
      </c>
      <c r="H46" s="13">
        <f t="shared" si="1"/>
        <v>9.0305945444606355</v>
      </c>
    </row>
    <row r="47" spans="2:9" ht="14" x14ac:dyDescent="0.3">
      <c r="B47" s="22" t="s">
        <v>157</v>
      </c>
      <c r="C47" s="23"/>
      <c r="D47" s="23"/>
      <c r="E47" s="23"/>
      <c r="F47" s="23"/>
      <c r="G47" s="23"/>
      <c r="H47" s="23"/>
      <c r="I47" s="23"/>
    </row>
    <row r="48" spans="2:9" ht="14" x14ac:dyDescent="0.3">
      <c r="B48" s="4" t="s">
        <v>152</v>
      </c>
      <c r="C48" s="30">
        <v>3</v>
      </c>
      <c r="D48" s="5">
        <f t="shared" ref="D48:H51" si="2">IFERROR(($C$10/(1-$C$13)-$C$14*D38)/D43,"N/A")</f>
        <v>57601.201155164948</v>
      </c>
      <c r="E48" s="5">
        <f t="shared" si="2"/>
        <v>74493.03502164672</v>
      </c>
      <c r="F48" s="5">
        <f t="shared" si="2"/>
        <v>91698.994176681357</v>
      </c>
      <c r="G48" s="5">
        <f t="shared" si="2"/>
        <v>109215.80172923127</v>
      </c>
      <c r="H48" s="5">
        <f t="shared" si="2"/>
        <v>127040.19195488942</v>
      </c>
    </row>
    <row r="49" spans="2:9" ht="14" x14ac:dyDescent="0.3">
      <c r="B49" s="4" t="s">
        <v>153</v>
      </c>
      <c r="C49" s="30">
        <v>5</v>
      </c>
      <c r="D49" s="5">
        <f t="shared" si="2"/>
        <v>57439.70763570453</v>
      </c>
      <c r="E49" s="5">
        <f t="shared" si="2"/>
        <v>75046.706074110363</v>
      </c>
      <c r="F49" s="5">
        <f t="shared" si="2"/>
        <v>93304.784163524455</v>
      </c>
      <c r="G49" s="5">
        <f t="shared" si="2"/>
        <v>112212.11692773124</v>
      </c>
      <c r="H49" s="5">
        <f t="shared" si="2"/>
        <v>131766.57415978136</v>
      </c>
    </row>
    <row r="50" spans="2:9" ht="14" x14ac:dyDescent="0.3">
      <c r="B50" s="4" t="s">
        <v>154</v>
      </c>
      <c r="C50" s="30">
        <v>7</v>
      </c>
      <c r="D50" s="5">
        <f t="shared" si="2"/>
        <v>57237.507697661727</v>
      </c>
      <c r="E50" s="5">
        <f t="shared" si="2"/>
        <v>75577.994836572165</v>
      </c>
      <c r="F50" s="5">
        <f t="shared" si="2"/>
        <v>94929.147620739212</v>
      </c>
      <c r="G50" s="5">
        <f t="shared" si="2"/>
        <v>115295.09289809768</v>
      </c>
      <c r="H50" s="5">
        <f t="shared" si="2"/>
        <v>136678.93260322238</v>
      </c>
    </row>
    <row r="51" spans="2:9" ht="14" x14ac:dyDescent="0.3">
      <c r="B51" s="4" t="s">
        <v>155</v>
      </c>
      <c r="C51" s="30">
        <v>10</v>
      </c>
      <c r="D51" s="5">
        <f t="shared" si="2"/>
        <v>56856.186671993033</v>
      </c>
      <c r="E51" s="5">
        <f t="shared" si="2"/>
        <v>76330.84290348168</v>
      </c>
      <c r="F51" s="5">
        <f t="shared" si="2"/>
        <v>97397.238695764769</v>
      </c>
      <c r="G51" s="5">
        <f t="shared" si="2"/>
        <v>120076.10768720138</v>
      </c>
      <c r="H51" s="5">
        <f t="shared" si="2"/>
        <v>144385.08601384982</v>
      </c>
    </row>
    <row r="52" spans="2:9" ht="14" x14ac:dyDescent="0.3">
      <c r="B52" s="22" t="s">
        <v>158</v>
      </c>
      <c r="C52" s="23"/>
      <c r="D52" s="23"/>
      <c r="E52" s="23"/>
      <c r="F52" s="23"/>
      <c r="G52" s="23"/>
      <c r="H52" s="23"/>
      <c r="I52" s="23"/>
    </row>
    <row r="53" spans="2:9" ht="14" x14ac:dyDescent="0.3">
      <c r="B53" s="4" t="s">
        <v>152</v>
      </c>
      <c r="C53" s="30">
        <v>3</v>
      </c>
      <c r="D53" s="14">
        <f t="shared" ref="D53:H56" si="3">IFERROR(D48/$C$15,"N/A")</f>
        <v>0.54309502225290118</v>
      </c>
      <c r="E53" s="14">
        <f t="shared" si="3"/>
        <v>0.70236029286586699</v>
      </c>
      <c r="F53" s="14">
        <f t="shared" si="3"/>
        <v>0.86458730519871918</v>
      </c>
      <c r="G53" s="14">
        <f t="shared" si="3"/>
        <v>1.0297451629650038</v>
      </c>
      <c r="H53" s="14">
        <f t="shared" si="3"/>
        <v>1.1978030751632496</v>
      </c>
    </row>
    <row r="54" spans="2:9" ht="14" x14ac:dyDescent="0.3">
      <c r="B54" s="4" t="s">
        <v>153</v>
      </c>
      <c r="C54" s="30">
        <v>5</v>
      </c>
      <c r="D54" s="14">
        <f t="shared" si="3"/>
        <v>0.54157237472496511</v>
      </c>
      <c r="E54" s="14">
        <f t="shared" si="3"/>
        <v>0.70758060054223859</v>
      </c>
      <c r="F54" s="14">
        <f t="shared" si="3"/>
        <v>0.87972755455374219</v>
      </c>
      <c r="G54" s="14">
        <f t="shared" si="3"/>
        <v>1.0579960299047835</v>
      </c>
      <c r="H54" s="14">
        <f t="shared" si="3"/>
        <v>1.2423659418615831</v>
      </c>
    </row>
    <row r="55" spans="2:9" ht="14" x14ac:dyDescent="0.3">
      <c r="B55" s="4" t="s">
        <v>154</v>
      </c>
      <c r="C55" s="30">
        <v>7</v>
      </c>
      <c r="D55" s="14">
        <f t="shared" si="3"/>
        <v>0.53966592524737389</v>
      </c>
      <c r="E55" s="14">
        <f t="shared" si="3"/>
        <v>0.71258987598242673</v>
      </c>
      <c r="F55" s="14">
        <f t="shared" si="3"/>
        <v>0.8950429245503928</v>
      </c>
      <c r="G55" s="14">
        <f t="shared" si="3"/>
        <v>1.0870639810872769</v>
      </c>
      <c r="H55" s="14">
        <f t="shared" si="3"/>
        <v>1.2886822922961538</v>
      </c>
    </row>
    <row r="56" spans="2:9" ht="14" x14ac:dyDescent="0.3">
      <c r="B56" s="4" t="s">
        <v>155</v>
      </c>
      <c r="C56" s="30">
        <v>10</v>
      </c>
      <c r="D56" s="14">
        <f t="shared" si="3"/>
        <v>0.53607062607360889</v>
      </c>
      <c r="E56" s="14">
        <f t="shared" si="3"/>
        <v>0.71968813139119636</v>
      </c>
      <c r="F56" s="14">
        <f t="shared" si="3"/>
        <v>0.91831341111025511</v>
      </c>
      <c r="G56" s="14">
        <f t="shared" si="3"/>
        <v>1.1321419530949302</v>
      </c>
      <c r="H56" s="14">
        <f t="shared" si="3"/>
        <v>1.3613400402961486</v>
      </c>
    </row>
    <row r="58" spans="2:9" ht="14" x14ac:dyDescent="0.3">
      <c r="B58" s="8" t="s">
        <v>159</v>
      </c>
      <c r="C58" s="9"/>
      <c r="D58" s="9"/>
      <c r="E58" s="9"/>
      <c r="F58" s="9"/>
      <c r="G58" s="9"/>
      <c r="H58" s="9"/>
      <c r="I58" s="9"/>
    </row>
    <row r="59" spans="2:9" ht="14" x14ac:dyDescent="0.3">
      <c r="B59" s="1" t="s">
        <v>160</v>
      </c>
    </row>
    <row r="60" spans="2:9" ht="14" x14ac:dyDescent="0.3">
      <c r="B60" s="4" t="s">
        <v>161</v>
      </c>
      <c r="C60" s="5">
        <f>F49</f>
        <v>93304.784163524455</v>
      </c>
    </row>
    <row r="62" spans="2:9" ht="14" x14ac:dyDescent="0.3">
      <c r="B62" s="28" t="s">
        <v>162</v>
      </c>
      <c r="C62" s="28" t="s">
        <v>163</v>
      </c>
      <c r="D62" s="28" t="s">
        <v>164</v>
      </c>
    </row>
    <row r="63" spans="2:9" ht="14" x14ac:dyDescent="0.3">
      <c r="B63" s="31">
        <v>4.4499999999999998E-2</v>
      </c>
      <c r="C63" s="5">
        <f>IFERROR($C$60/B63,"N/A")</f>
        <v>2096736.7227758307</v>
      </c>
      <c r="D63" s="14">
        <f>IFERROR(C63/'DCF Model'!C17,"N/A")</f>
        <v>1.7864515295170698</v>
      </c>
    </row>
    <row r="64" spans="2:9" ht="14" x14ac:dyDescent="0.3">
      <c r="B64" s="31">
        <v>6.6699999999999995E-2</v>
      </c>
      <c r="C64" s="5">
        <f>IFERROR($C$60/B64,"N/A")</f>
        <v>1398872.326289722</v>
      </c>
      <c r="D64" s="14">
        <f>IFERROR(C64/'DCF Model'!C17,"N/A")</f>
        <v>1.1918604657197842</v>
      </c>
    </row>
    <row r="65" spans="2:9" ht="14" x14ac:dyDescent="0.3">
      <c r="B65" s="4" t="s">
        <v>165</v>
      </c>
      <c r="C65" s="5">
        <f>IFERROR($C$60/$C$18,"N/A")</f>
        <v>1048428.5090527406</v>
      </c>
      <c r="D65" s="14">
        <f>IFERROR(C65/'DCF Model'!C17,"N/A")</f>
        <v>0.8932770114823877</v>
      </c>
    </row>
    <row r="66" spans="2:9" ht="14" x14ac:dyDescent="0.3">
      <c r="B66" s="31">
        <v>0.11119999999999999</v>
      </c>
      <c r="C66" s="5">
        <f>IFERROR($C$60/B66,"N/A")</f>
        <v>839071.80003169482</v>
      </c>
      <c r="D66" s="14">
        <f>IFERROR(C66/'DCF Model'!C17,"N/A")</f>
        <v>0.71490191603875541</v>
      </c>
    </row>
    <row r="67" spans="2:9" ht="14" x14ac:dyDescent="0.3">
      <c r="B67" s="31">
        <v>0.13350000000000001</v>
      </c>
      <c r="C67" s="5">
        <f>IFERROR($C$60/B67,"N/A")</f>
        <v>698912.24092527677</v>
      </c>
      <c r="D67" s="14">
        <f>IFERROR(C67/'DCF Model'!C17,"N/A")</f>
        <v>0.59548384317235648</v>
      </c>
    </row>
    <row r="69" spans="2:9" ht="14" x14ac:dyDescent="0.3">
      <c r="B69" s="8" t="s">
        <v>166</v>
      </c>
      <c r="C69" s="9"/>
      <c r="D69" s="9"/>
      <c r="E69" s="9"/>
      <c r="F69" s="9"/>
      <c r="G69" s="9"/>
      <c r="H69" s="9"/>
      <c r="I69" s="9"/>
    </row>
    <row r="70" spans="2:9" ht="13.5" x14ac:dyDescent="0.25">
      <c r="B70" s="6" t="s">
        <v>167</v>
      </c>
      <c r="C70" s="14">
        <f>IFERROR(C10/'Comps Analysis'!G5,"N/A")</f>
        <v>8.1925670234518861</v>
      </c>
    </row>
    <row r="71" spans="2:9" ht="13.5" x14ac:dyDescent="0.25">
      <c r="B71" s="6" t="s">
        <v>168</v>
      </c>
      <c r="C71" s="14">
        <f>IFERROR(C10/'Comps Analysis'!F5,"N/A")</f>
        <v>1.0348901747858035</v>
      </c>
    </row>
    <row r="72" spans="2:9" ht="14" x14ac:dyDescent="0.3">
      <c r="B72" s="4" t="s">
        <v>169</v>
      </c>
      <c r="C72" s="14">
        <f>IFERROR(C10/(C25+'DCF Model'!G42),"N/A")</f>
        <v>8.0112491614061661</v>
      </c>
    </row>
    <row r="73" spans="2:9" ht="14" x14ac:dyDescent="0.3">
      <c r="B73" s="4" t="s">
        <v>170</v>
      </c>
      <c r="C73" s="14">
        <f>IFERROR(C10/(C60+'DCF Model'!G42),"N/A")</f>
        <v>7.8460876099048216</v>
      </c>
    </row>
    <row r="74" spans="2:9" ht="14" x14ac:dyDescent="0.3">
      <c r="B74" s="4" t="s">
        <v>171</v>
      </c>
      <c r="C74" s="14">
        <f>IFERROR('Comps Analysis'!D16,"N/A")</f>
        <v>10.92142078168791</v>
      </c>
    </row>
    <row r="75" spans="2:9" ht="14" x14ac:dyDescent="0.3">
      <c r="B75" s="1" t="s">
        <v>172</v>
      </c>
    </row>
    <row r="77" spans="2:9" ht="14" x14ac:dyDescent="0.3">
      <c r="B77" s="22" t="s">
        <v>173</v>
      </c>
      <c r="C77" s="23"/>
      <c r="D77" s="23"/>
      <c r="E77" s="23"/>
      <c r="F77" s="23"/>
      <c r="G77" s="23"/>
      <c r="H77" s="23"/>
      <c r="I77" s="23"/>
    </row>
    <row r="78" spans="2:9" ht="14" x14ac:dyDescent="0.3">
      <c r="B78" s="4" t="str">
        <f>"At "&amp;TEXT(C6,"#,##0")&amp;" yen the market is paying for a steady-state operating profit of "&amp;TEXT(F49,"#,##0")&amp;" mn JPY - "&amp;TEXT(F54,"0.00")&amp;"x the FY2021 cycle peak of "&amp;TEXT(C15,"#,##0")&amp;" mn - reached in 5 years and sustained for ever, against "&amp;TEXT(C14,"#,##0")&amp;" mn actually earned in FY2026."</f>
        <v>At 4,408 yen the market is paying for a steady-state operating profit of 93,305 mn JPY - 0.88x the FY2021 cycle peak of 106,061 mn - reached in 5 years and sustained for ever, against 93,307 mn actually earned in FY2026.</v>
      </c>
    </row>
    <row r="79" spans="2:9" ht="14" x14ac:dyDescent="0.3">
      <c r="B79" s="4" t="str">
        <f>"Even with no ramp at all (Block A) the price needs "&amp;TEXT(C25,"#,##0")&amp;" mn, or "&amp;TEXT(C26,"0.00")&amp;"x the peak. The base case supports an EV of only "&amp;TEXT(C17,"#,##0")&amp;" mn, leaving "&amp;TEXT(C20,"#,##0")&amp;" yen per share of the current price unexplained by mid-cycle economics."</f>
        <v>Even with no ramp at all (Block A) the price needs 90,113 mn, or 0.85x the peak. The base case supports an EV of only 1,066,187 mn, leaving 547 yen per share of the current price unexplained by mid-cycle economics.</v>
      </c>
    </row>
  </sheetData>
  <phoneticPr fontId="8"/>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C6600"/>
  </sheetPr>
  <dimension ref="B2:H43"/>
  <sheetViews>
    <sheetView workbookViewId="0"/>
  </sheetViews>
  <sheetFormatPr defaultRowHeight="13" x14ac:dyDescent="0.2"/>
  <cols>
    <col min="1" max="1" width="3" customWidth="1"/>
    <col min="2" max="2" width="28" customWidth="1"/>
    <col min="3" max="8" width="16" customWidth="1"/>
  </cols>
  <sheetData>
    <row r="2" spans="2:8" ht="18" x14ac:dyDescent="0.4">
      <c r="B2" s="2" t="s">
        <v>174</v>
      </c>
    </row>
    <row r="4" spans="2:8" ht="14" x14ac:dyDescent="0.3">
      <c r="B4" s="8" t="s">
        <v>175</v>
      </c>
      <c r="C4" s="32" t="s">
        <v>176</v>
      </c>
      <c r="D4" s="32" t="s">
        <v>83</v>
      </c>
      <c r="E4" s="32" t="s">
        <v>84</v>
      </c>
      <c r="F4" s="32" t="s">
        <v>85</v>
      </c>
      <c r="G4" s="32" t="s">
        <v>86</v>
      </c>
      <c r="H4" s="32" t="s">
        <v>87</v>
      </c>
    </row>
    <row r="5" spans="2:8" ht="14" x14ac:dyDescent="0.3">
      <c r="B5" s="33" t="s">
        <v>177</v>
      </c>
      <c r="C5" s="34">
        <f>C12/C9*365</f>
        <v>60.854273026562424</v>
      </c>
      <c r="D5" s="34">
        <f>CHOOSE('DCF Model'!$D$27,D25,D26,D27,D28,D29)</f>
        <v>62</v>
      </c>
      <c r="E5" s="34">
        <f>CHOOSE('DCF Model'!$D$27,E25,E26,E27,E28,E29)</f>
        <v>62</v>
      </c>
      <c r="F5" s="34">
        <f>CHOOSE('DCF Model'!$D$27,F25,F26,F27,F28,F29)</f>
        <v>62</v>
      </c>
      <c r="G5" s="34">
        <f>CHOOSE('DCF Model'!$D$27,G25,G26,G27,G28,G29)</f>
        <v>62</v>
      </c>
      <c r="H5" s="34">
        <f>CHOOSE('DCF Model'!$D$27,H25,H26,H27,H28,H29)</f>
        <v>62</v>
      </c>
    </row>
    <row r="6" spans="2:8" ht="14" x14ac:dyDescent="0.3">
      <c r="B6" s="33" t="s">
        <v>178</v>
      </c>
      <c r="C6" s="34">
        <f>C13/C10*365</f>
        <v>114.50315350924571</v>
      </c>
      <c r="D6" s="34">
        <f>CHOOSE('DCF Model'!$D$27,D32,D33,D34,D35,D36)</f>
        <v>100</v>
      </c>
      <c r="E6" s="34">
        <f>CHOOSE('DCF Model'!$D$27,E32,E33,E34,E35,E36)</f>
        <v>100</v>
      </c>
      <c r="F6" s="34">
        <f>CHOOSE('DCF Model'!$D$27,F32,F33,F34,F35,F36)</f>
        <v>100</v>
      </c>
      <c r="G6" s="34">
        <f>CHOOSE('DCF Model'!$D$27,G32,G33,G34,G35,G36)</f>
        <v>100</v>
      </c>
      <c r="H6" s="34">
        <f>CHOOSE('DCF Model'!$D$27,H32,H33,H34,H35,H36)</f>
        <v>100</v>
      </c>
    </row>
    <row r="7" spans="2:8" ht="14" x14ac:dyDescent="0.3">
      <c r="B7" s="33" t="s">
        <v>179</v>
      </c>
      <c r="C7" s="34">
        <f>C15/C10*365</f>
        <v>45.311367609077784</v>
      </c>
      <c r="D7" s="34">
        <f>CHOOSE('DCF Model'!$D$27,D39,D40,D41,D42,D43)</f>
        <v>51</v>
      </c>
      <c r="E7" s="34">
        <f>CHOOSE('DCF Model'!$D$27,E39,E40,E41,E42,E43)</f>
        <v>51</v>
      </c>
      <c r="F7" s="34">
        <f>CHOOSE('DCF Model'!$D$27,F39,F40,F41,F42,F43)</f>
        <v>51</v>
      </c>
      <c r="G7" s="34">
        <f>CHOOSE('DCF Model'!$D$27,G39,G40,G41,G42,G43)</f>
        <v>51</v>
      </c>
      <c r="H7" s="34">
        <f>CHOOSE('DCF Model'!$D$27,H39,H40,H41,H42,H43)</f>
        <v>51</v>
      </c>
    </row>
    <row r="8" spans="2:8" ht="14" x14ac:dyDescent="0.3">
      <c r="B8" s="8" t="s">
        <v>180</v>
      </c>
      <c r="C8" s="9"/>
      <c r="D8" s="9"/>
      <c r="E8" s="9"/>
      <c r="F8" s="9"/>
      <c r="G8" s="9"/>
      <c r="H8" s="9"/>
    </row>
    <row r="9" spans="2:8" ht="14" x14ac:dyDescent="0.3">
      <c r="B9" s="33" t="s">
        <v>34</v>
      </c>
      <c r="C9" s="35">
        <v>1173688</v>
      </c>
      <c r="D9" s="35">
        <f>'DCF Model'!C33</f>
        <v>1203030.2</v>
      </c>
      <c r="E9" s="35">
        <f>'DCF Model'!D33</f>
        <v>1233105.9549999998</v>
      </c>
      <c r="F9" s="35">
        <f>'DCF Model'!E33</f>
        <v>1257768.0740999999</v>
      </c>
      <c r="G9" s="35">
        <f>'DCF Model'!F33</f>
        <v>1282923.4355819998</v>
      </c>
      <c r="H9" s="35">
        <f>'DCF Model'!G33</f>
        <v>1308581.9042936398</v>
      </c>
    </row>
    <row r="10" spans="2:8" ht="14" x14ac:dyDescent="0.3">
      <c r="B10" s="33" t="s">
        <v>35</v>
      </c>
      <c r="C10" s="35">
        <v>814648</v>
      </c>
      <c r="D10" s="35">
        <f>'DCF Model'!C34</f>
        <v>836105.98899999994</v>
      </c>
      <c r="E10" s="35">
        <f>'DCF Model'!D34</f>
        <v>857378.57051149989</v>
      </c>
      <c r="F10" s="35">
        <f>'DCF Model'!E34</f>
        <v>874777.6955365499</v>
      </c>
      <c r="G10" s="35">
        <f>'DCF Model'!F34</f>
        <v>892529.83413439721</v>
      </c>
      <c r="H10" s="35">
        <f>'DCF Model'!G34</f>
        <v>910380.4308170852</v>
      </c>
    </row>
    <row r="11" spans="2:8" ht="14" x14ac:dyDescent="0.3">
      <c r="B11" s="8" t="s">
        <v>181</v>
      </c>
      <c r="C11" s="9"/>
      <c r="D11" s="9"/>
      <c r="E11" s="9"/>
      <c r="F11" s="9"/>
      <c r="G11" s="9"/>
      <c r="H11" s="9"/>
    </row>
    <row r="12" spans="2:8" ht="14" x14ac:dyDescent="0.3">
      <c r="B12" s="33" t="s">
        <v>182</v>
      </c>
      <c r="C12" s="35">
        <v>195682</v>
      </c>
      <c r="D12" s="35">
        <f t="shared" ref="D12:H13" si="0">D9*D5/365</f>
        <v>204350.33534246573</v>
      </c>
      <c r="E12" s="35">
        <f t="shared" si="0"/>
        <v>209459.09372602738</v>
      </c>
      <c r="F12" s="35">
        <f t="shared" si="0"/>
        <v>213648.2756005479</v>
      </c>
      <c r="G12" s="35">
        <f t="shared" si="0"/>
        <v>217921.2411125589</v>
      </c>
      <c r="H12" s="35">
        <f t="shared" si="0"/>
        <v>222279.66593481004</v>
      </c>
    </row>
    <row r="13" spans="2:8" ht="14" x14ac:dyDescent="0.3">
      <c r="B13" s="33" t="s">
        <v>183</v>
      </c>
      <c r="C13" s="35">
        <v>255561</v>
      </c>
      <c r="D13" s="35">
        <f t="shared" si="0"/>
        <v>229070.13397260272</v>
      </c>
      <c r="E13" s="35">
        <f t="shared" si="0"/>
        <v>234898.23849630135</v>
      </c>
      <c r="F13" s="35">
        <f t="shared" si="0"/>
        <v>239665.12206480818</v>
      </c>
      <c r="G13" s="35">
        <f t="shared" si="0"/>
        <v>244528.72168065677</v>
      </c>
      <c r="H13" s="35">
        <f t="shared" si="0"/>
        <v>249419.29611426991</v>
      </c>
    </row>
    <row r="14" spans="2:8" ht="14" x14ac:dyDescent="0.3">
      <c r="B14" s="33" t="s">
        <v>184</v>
      </c>
      <c r="C14" s="35">
        <f t="shared" ref="C14:H14" si="1">C12+C13</f>
        <v>451243</v>
      </c>
      <c r="D14" s="35">
        <f t="shared" si="1"/>
        <v>433420.46931506845</v>
      </c>
      <c r="E14" s="35">
        <f t="shared" si="1"/>
        <v>444357.33222232875</v>
      </c>
      <c r="F14" s="35">
        <f t="shared" si="1"/>
        <v>453313.39766535605</v>
      </c>
      <c r="G14" s="35">
        <f t="shared" si="1"/>
        <v>462449.96279321564</v>
      </c>
      <c r="H14" s="35">
        <f t="shared" si="1"/>
        <v>471698.96204907994</v>
      </c>
    </row>
    <row r="15" spans="2:8" ht="14" x14ac:dyDescent="0.3">
      <c r="B15" s="33" t="s">
        <v>185</v>
      </c>
      <c r="C15" s="35">
        <v>101131</v>
      </c>
      <c r="D15" s="35">
        <f>D10*D7/365</f>
        <v>116825.76832602739</v>
      </c>
      <c r="E15" s="35">
        <f>E10*E7/365</f>
        <v>119798.10163311368</v>
      </c>
      <c r="F15" s="35">
        <f>F10*F7/365</f>
        <v>122229.21225305217</v>
      </c>
      <c r="G15" s="35">
        <f>G10*G7/365</f>
        <v>124709.64805713495</v>
      </c>
      <c r="H15" s="35">
        <f>H10*H7/365</f>
        <v>127203.84101827766</v>
      </c>
    </row>
    <row r="16" spans="2:8" ht="14" x14ac:dyDescent="0.3">
      <c r="B16" s="33" t="s">
        <v>186</v>
      </c>
      <c r="C16" s="35">
        <f t="shared" ref="C16:H16" si="2">C15</f>
        <v>101131</v>
      </c>
      <c r="D16" s="35">
        <f t="shared" si="2"/>
        <v>116825.76832602739</v>
      </c>
      <c r="E16" s="35">
        <f t="shared" si="2"/>
        <v>119798.10163311368</v>
      </c>
      <c r="F16" s="35">
        <f t="shared" si="2"/>
        <v>122229.21225305217</v>
      </c>
      <c r="G16" s="35">
        <f t="shared" si="2"/>
        <v>124709.64805713495</v>
      </c>
      <c r="H16" s="35">
        <f t="shared" si="2"/>
        <v>127203.84101827766</v>
      </c>
    </row>
    <row r="17" spans="2:8" ht="14" x14ac:dyDescent="0.3">
      <c r="B17" s="22" t="s">
        <v>187</v>
      </c>
      <c r="C17" s="23"/>
      <c r="D17" s="23"/>
      <c r="E17" s="23"/>
      <c r="F17" s="23"/>
      <c r="G17" s="23"/>
      <c r="H17" s="23"/>
    </row>
    <row r="18" spans="2:8" ht="14" x14ac:dyDescent="0.3">
      <c r="B18" s="33" t="s">
        <v>188</v>
      </c>
      <c r="C18" s="20">
        <f t="shared" ref="C18:H18" si="3">C14-C16</f>
        <v>350112</v>
      </c>
      <c r="D18" s="20">
        <f t="shared" si="3"/>
        <v>316594.70098904107</v>
      </c>
      <c r="E18" s="20">
        <f t="shared" si="3"/>
        <v>324559.23058921506</v>
      </c>
      <c r="F18" s="20">
        <f t="shared" si="3"/>
        <v>331084.18541230389</v>
      </c>
      <c r="G18" s="20">
        <f t="shared" si="3"/>
        <v>337740.31473608071</v>
      </c>
      <c r="H18" s="20">
        <f t="shared" si="3"/>
        <v>344495.12103080226</v>
      </c>
    </row>
    <row r="19" spans="2:8" ht="14" x14ac:dyDescent="0.3">
      <c r="B19" s="33" t="s">
        <v>97</v>
      </c>
      <c r="C19" s="36" t="s">
        <v>44</v>
      </c>
      <c r="D19" s="24">
        <f>D18-C18</f>
        <v>-33517.29901095893</v>
      </c>
      <c r="E19" s="24">
        <f>E18-D18</f>
        <v>7964.5296001739916</v>
      </c>
      <c r="F19" s="24">
        <f>F18-E18</f>
        <v>6524.9548230888322</v>
      </c>
      <c r="G19" s="24">
        <f>G18-F18</f>
        <v>6656.1293237768114</v>
      </c>
      <c r="H19" s="24">
        <f>H18-G18</f>
        <v>6754.8062947215512</v>
      </c>
    </row>
    <row r="22" spans="2:8" ht="14" x14ac:dyDescent="0.3">
      <c r="B22" s="22" t="s">
        <v>189</v>
      </c>
      <c r="C22" s="23"/>
      <c r="D22" s="23"/>
      <c r="E22" s="23"/>
      <c r="F22" s="23"/>
      <c r="G22" s="23"/>
      <c r="H22" s="23"/>
    </row>
    <row r="23" spans="2:8" ht="14" x14ac:dyDescent="0.3">
      <c r="D23" s="25" t="s">
        <v>83</v>
      </c>
      <c r="E23" s="25" t="s">
        <v>84</v>
      </c>
      <c r="F23" s="25" t="s">
        <v>85</v>
      </c>
      <c r="G23" s="25" t="s">
        <v>86</v>
      </c>
      <c r="H23" s="25" t="s">
        <v>87</v>
      </c>
    </row>
    <row r="24" spans="2:8" ht="14" x14ac:dyDescent="0.3">
      <c r="B24" s="3" t="s">
        <v>190</v>
      </c>
    </row>
    <row r="25" spans="2:8" ht="14" x14ac:dyDescent="0.3">
      <c r="B25" s="4" t="s">
        <v>81</v>
      </c>
      <c r="D25" s="30">
        <v>62</v>
      </c>
      <c r="E25" s="30">
        <v>62</v>
      </c>
      <c r="F25" s="30">
        <v>62</v>
      </c>
      <c r="G25" s="30">
        <v>62</v>
      </c>
      <c r="H25" s="30">
        <v>62</v>
      </c>
    </row>
    <row r="26" spans="2:8" ht="14" x14ac:dyDescent="0.3">
      <c r="B26" s="4" t="s">
        <v>118</v>
      </c>
      <c r="D26" s="30">
        <v>60</v>
      </c>
      <c r="E26" s="30">
        <v>60</v>
      </c>
      <c r="F26" s="30">
        <v>60</v>
      </c>
      <c r="G26" s="30">
        <v>60</v>
      </c>
      <c r="H26" s="30">
        <v>60</v>
      </c>
    </row>
    <row r="27" spans="2:8" ht="14" x14ac:dyDescent="0.3">
      <c r="B27" s="4" t="s">
        <v>119</v>
      </c>
      <c r="D27" s="30">
        <v>62</v>
      </c>
      <c r="E27" s="30">
        <v>62</v>
      </c>
      <c r="F27" s="30">
        <v>62</v>
      </c>
      <c r="G27" s="30">
        <v>62</v>
      </c>
      <c r="H27" s="30">
        <v>62</v>
      </c>
    </row>
    <row r="28" spans="2:8" ht="14" x14ac:dyDescent="0.3">
      <c r="B28" s="4" t="s">
        <v>120</v>
      </c>
      <c r="D28" s="30">
        <v>65</v>
      </c>
      <c r="E28" s="30">
        <v>65</v>
      </c>
      <c r="F28" s="30">
        <v>65</v>
      </c>
      <c r="G28" s="30">
        <v>65</v>
      </c>
      <c r="H28" s="30">
        <v>65</v>
      </c>
    </row>
    <row r="29" spans="2:8" ht="14" x14ac:dyDescent="0.3">
      <c r="B29" s="4" t="s">
        <v>121</v>
      </c>
      <c r="D29" s="30">
        <v>68</v>
      </c>
      <c r="E29" s="30">
        <v>68</v>
      </c>
      <c r="F29" s="30">
        <v>68</v>
      </c>
      <c r="G29" s="30">
        <v>68</v>
      </c>
      <c r="H29" s="30">
        <v>68</v>
      </c>
    </row>
    <row r="31" spans="2:8" ht="14" x14ac:dyDescent="0.3">
      <c r="B31" s="3" t="s">
        <v>191</v>
      </c>
    </row>
    <row r="32" spans="2:8" ht="14" x14ac:dyDescent="0.3">
      <c r="B32" s="4" t="s">
        <v>81</v>
      </c>
      <c r="D32" s="30">
        <v>100</v>
      </c>
      <c r="E32" s="30">
        <v>100</v>
      </c>
      <c r="F32" s="30">
        <v>100</v>
      </c>
      <c r="G32" s="30">
        <v>100</v>
      </c>
      <c r="H32" s="30">
        <v>100</v>
      </c>
    </row>
    <row r="33" spans="2:8" ht="14" x14ac:dyDescent="0.3">
      <c r="B33" s="4" t="s">
        <v>118</v>
      </c>
      <c r="D33" s="30">
        <v>96</v>
      </c>
      <c r="E33" s="30">
        <v>96</v>
      </c>
      <c r="F33" s="30">
        <v>96</v>
      </c>
      <c r="G33" s="30">
        <v>96</v>
      </c>
      <c r="H33" s="30">
        <v>96</v>
      </c>
    </row>
    <row r="34" spans="2:8" ht="14" x14ac:dyDescent="0.3">
      <c r="B34" s="4" t="s">
        <v>119</v>
      </c>
      <c r="D34" s="30">
        <v>100</v>
      </c>
      <c r="E34" s="30">
        <v>100</v>
      </c>
      <c r="F34" s="30">
        <v>100</v>
      </c>
      <c r="G34" s="30">
        <v>100</v>
      </c>
      <c r="H34" s="30">
        <v>100</v>
      </c>
    </row>
    <row r="35" spans="2:8" ht="14" x14ac:dyDescent="0.3">
      <c r="B35" s="4" t="s">
        <v>120</v>
      </c>
      <c r="D35" s="30">
        <v>105</v>
      </c>
      <c r="E35" s="30">
        <v>105</v>
      </c>
      <c r="F35" s="30">
        <v>105</v>
      </c>
      <c r="G35" s="30">
        <v>105</v>
      </c>
      <c r="H35" s="30">
        <v>105</v>
      </c>
    </row>
    <row r="36" spans="2:8" ht="14" x14ac:dyDescent="0.3">
      <c r="B36" s="4" t="s">
        <v>121</v>
      </c>
      <c r="D36" s="30">
        <v>111</v>
      </c>
      <c r="E36" s="30">
        <v>111</v>
      </c>
      <c r="F36" s="30">
        <v>111</v>
      </c>
      <c r="G36" s="30">
        <v>111</v>
      </c>
      <c r="H36" s="30">
        <v>111</v>
      </c>
    </row>
    <row r="38" spans="2:8" ht="14" x14ac:dyDescent="0.3">
      <c r="B38" s="3" t="s">
        <v>192</v>
      </c>
    </row>
    <row r="39" spans="2:8" ht="14" x14ac:dyDescent="0.3">
      <c r="B39" s="4" t="s">
        <v>81</v>
      </c>
      <c r="D39" s="30">
        <v>51</v>
      </c>
      <c r="E39" s="30">
        <v>51</v>
      </c>
      <c r="F39" s="30">
        <v>51</v>
      </c>
      <c r="G39" s="30">
        <v>51</v>
      </c>
      <c r="H39" s="30">
        <v>51</v>
      </c>
    </row>
    <row r="40" spans="2:8" ht="14" x14ac:dyDescent="0.3">
      <c r="B40" s="4" t="s">
        <v>118</v>
      </c>
      <c r="D40" s="30">
        <v>53</v>
      </c>
      <c r="E40" s="30">
        <v>53</v>
      </c>
      <c r="F40" s="30">
        <v>53</v>
      </c>
      <c r="G40" s="30">
        <v>53</v>
      </c>
      <c r="H40" s="30">
        <v>53</v>
      </c>
    </row>
    <row r="41" spans="2:8" ht="14" x14ac:dyDescent="0.3">
      <c r="B41" s="4" t="s">
        <v>119</v>
      </c>
      <c r="D41" s="30">
        <v>51</v>
      </c>
      <c r="E41" s="30">
        <v>51</v>
      </c>
      <c r="F41" s="30">
        <v>51</v>
      </c>
      <c r="G41" s="30">
        <v>51</v>
      </c>
      <c r="H41" s="30">
        <v>51</v>
      </c>
    </row>
    <row r="42" spans="2:8" ht="14" x14ac:dyDescent="0.3">
      <c r="B42" s="4" t="s">
        <v>120</v>
      </c>
      <c r="D42" s="30">
        <v>49</v>
      </c>
      <c r="E42" s="30">
        <v>49</v>
      </c>
      <c r="F42" s="30">
        <v>49</v>
      </c>
      <c r="G42" s="30">
        <v>49</v>
      </c>
      <c r="H42" s="30">
        <v>49</v>
      </c>
    </row>
    <row r="43" spans="2:8" ht="14" x14ac:dyDescent="0.3">
      <c r="B43" s="4" t="s">
        <v>121</v>
      </c>
      <c r="D43" s="30">
        <v>46</v>
      </c>
      <c r="E43" s="30">
        <v>46</v>
      </c>
      <c r="F43" s="30">
        <v>46</v>
      </c>
      <c r="G43" s="30">
        <v>46</v>
      </c>
      <c r="H43" s="30">
        <v>46</v>
      </c>
    </row>
  </sheetData>
  <phoneticPr fontId="8"/>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6600"/>
  </sheetPr>
  <dimension ref="B2:Q28"/>
  <sheetViews>
    <sheetView workbookViewId="0"/>
  </sheetViews>
  <sheetFormatPr defaultRowHeight="13" x14ac:dyDescent="0.2"/>
  <cols>
    <col min="1" max="1" width="3" customWidth="1"/>
    <col min="2" max="2" width="16" customWidth="1"/>
    <col min="3" max="3" width="10" customWidth="1"/>
    <col min="4" max="16" width="12" customWidth="1"/>
    <col min="17" max="17" width="26" customWidth="1"/>
  </cols>
  <sheetData>
    <row r="2" spans="2:17" ht="18" x14ac:dyDescent="0.4">
      <c r="B2" s="2" t="s">
        <v>193</v>
      </c>
    </row>
    <row r="3" spans="2:17" ht="14" x14ac:dyDescent="0.3">
      <c r="B3" s="1" t="s">
        <v>194</v>
      </c>
    </row>
    <row r="4" spans="2:17" ht="28" x14ac:dyDescent="0.3">
      <c r="B4" s="10" t="s">
        <v>3</v>
      </c>
      <c r="C4" s="10" t="s">
        <v>5</v>
      </c>
      <c r="D4" s="10" t="s">
        <v>195</v>
      </c>
      <c r="E4" s="10" t="s">
        <v>196</v>
      </c>
      <c r="F4" s="10" t="s">
        <v>197</v>
      </c>
      <c r="G4" s="10" t="s">
        <v>198</v>
      </c>
      <c r="H4" s="10" t="s">
        <v>199</v>
      </c>
      <c r="I4" s="10" t="s">
        <v>200</v>
      </c>
      <c r="J4" s="10" t="s">
        <v>201</v>
      </c>
      <c r="K4" s="10" t="s">
        <v>202</v>
      </c>
      <c r="L4" s="10" t="s">
        <v>203</v>
      </c>
      <c r="M4" s="10" t="s">
        <v>204</v>
      </c>
      <c r="N4" s="10" t="s">
        <v>205</v>
      </c>
      <c r="O4" s="10" t="s">
        <v>206</v>
      </c>
      <c r="P4" s="10" t="s">
        <v>207</v>
      </c>
      <c r="Q4" s="10" t="s">
        <v>208</v>
      </c>
    </row>
    <row r="5" spans="2:17" ht="14" x14ac:dyDescent="0.3">
      <c r="B5" s="4" t="s">
        <v>209</v>
      </c>
      <c r="C5" t="s">
        <v>210</v>
      </c>
      <c r="D5" s="37">
        <f>'Executive Summary'!C9*C23/1000000</f>
        <v>1195303.179464</v>
      </c>
      <c r="E5" s="37">
        <f>D5+C24</f>
        <v>1214638.179464</v>
      </c>
      <c r="F5" s="37">
        <v>1173688</v>
      </c>
      <c r="G5" s="37">
        <v>148261</v>
      </c>
      <c r="H5" s="37">
        <v>93307</v>
      </c>
      <c r="I5" s="37">
        <v>35076</v>
      </c>
      <c r="J5" s="38">
        <f t="shared" ref="J5:J10" si="0">IFERROR(E5/G5,"")</f>
        <v>8.1925670234518861</v>
      </c>
      <c r="K5" s="38">
        <f t="shared" ref="K5:K10" si="1">IFERROR(E5/F5,"")</f>
        <v>1.0348901747858035</v>
      </c>
      <c r="L5" s="38">
        <f t="shared" ref="L5:L10" si="2">IFERROR(D5/I5,"")</f>
        <v>34.077522507241419</v>
      </c>
      <c r="M5" s="38">
        <f t="shared" ref="M5:M10" si="3">IFERROR(D5/P5,"")</f>
        <v>1.5471477953416131</v>
      </c>
      <c r="N5" s="39">
        <f t="shared" ref="N5:N10" si="4">IFERROR(H5/F5,"")</f>
        <v>7.9498980989837167E-2</v>
      </c>
      <c r="O5" s="39">
        <f t="shared" ref="O5:O10" si="5">IFERROR(I5/P5,"")</f>
        <v>4.5400829682170893E-2</v>
      </c>
      <c r="P5" s="37">
        <v>772585</v>
      </c>
    </row>
    <row r="6" spans="2:17" ht="14" x14ac:dyDescent="0.3">
      <c r="B6" s="4" t="s">
        <v>211</v>
      </c>
      <c r="C6" t="s">
        <v>212</v>
      </c>
      <c r="D6" s="37">
        <v>1655551</v>
      </c>
      <c r="E6" s="37">
        <v>1605210</v>
      </c>
      <c r="F6" s="37">
        <v>745539</v>
      </c>
      <c r="G6" s="37">
        <v>102686</v>
      </c>
      <c r="H6" s="37">
        <v>75940</v>
      </c>
      <c r="I6" s="37">
        <v>61615</v>
      </c>
      <c r="J6" s="38">
        <f t="shared" si="0"/>
        <v>15.632218608184173</v>
      </c>
      <c r="K6" s="38">
        <f t="shared" si="1"/>
        <v>2.1530865588520518</v>
      </c>
      <c r="L6" s="38">
        <f t="shared" si="2"/>
        <v>26.869285076685873</v>
      </c>
      <c r="M6" s="38">
        <f t="shared" si="3"/>
        <v>2.9514711440409038</v>
      </c>
      <c r="N6" s="39">
        <f t="shared" si="4"/>
        <v>0.1018591918061966</v>
      </c>
      <c r="O6" s="39">
        <f t="shared" si="5"/>
        <v>0.10984554057234135</v>
      </c>
      <c r="P6" s="37">
        <v>560924</v>
      </c>
    </row>
    <row r="7" spans="2:17" ht="14" x14ac:dyDescent="0.3">
      <c r="B7" s="4" t="s">
        <v>213</v>
      </c>
      <c r="C7" t="s">
        <v>214</v>
      </c>
      <c r="D7" s="37">
        <v>854146</v>
      </c>
      <c r="E7" s="37">
        <v>931346</v>
      </c>
      <c r="F7" s="37">
        <v>788131</v>
      </c>
      <c r="G7" s="37">
        <v>85277</v>
      </c>
      <c r="H7" s="37">
        <v>49380</v>
      </c>
      <c r="I7" s="37">
        <v>45380</v>
      </c>
      <c r="J7" s="38">
        <f t="shared" si="0"/>
        <v>10.92142078168791</v>
      </c>
      <c r="K7" s="38">
        <f t="shared" si="1"/>
        <v>1.1817147149395215</v>
      </c>
      <c r="L7" s="38">
        <f t="shared" si="2"/>
        <v>18.822080211546936</v>
      </c>
      <c r="M7" s="38">
        <f t="shared" si="3"/>
        <v>1.6515832379420228</v>
      </c>
      <c r="N7" s="39">
        <f t="shared" si="4"/>
        <v>6.2654558696460361E-2</v>
      </c>
      <c r="O7" s="39">
        <f t="shared" si="5"/>
        <v>8.7747115057389469E-2</v>
      </c>
      <c r="P7" s="37">
        <v>517168</v>
      </c>
    </row>
    <row r="8" spans="2:17" ht="14" x14ac:dyDescent="0.3">
      <c r="B8" s="4" t="s">
        <v>215</v>
      </c>
      <c r="C8" t="s">
        <v>216</v>
      </c>
      <c r="D8" s="37">
        <v>809451</v>
      </c>
      <c r="E8" s="37">
        <v>703594</v>
      </c>
      <c r="F8" s="37">
        <v>486425</v>
      </c>
      <c r="G8" s="37">
        <v>73994</v>
      </c>
      <c r="H8" s="37">
        <v>45185</v>
      </c>
      <c r="I8" s="37">
        <v>44228</v>
      </c>
      <c r="J8" s="38">
        <f t="shared" si="0"/>
        <v>9.508798010649512</v>
      </c>
      <c r="K8" s="38">
        <f t="shared" si="1"/>
        <v>1.4464593719483991</v>
      </c>
      <c r="L8" s="38">
        <f t="shared" si="2"/>
        <v>18.301777154743601</v>
      </c>
      <c r="M8" s="38">
        <f t="shared" si="3"/>
        <v>1.3352870339821841</v>
      </c>
      <c r="N8" s="39">
        <f t="shared" si="4"/>
        <v>9.2892018296756945E-2</v>
      </c>
      <c r="O8" s="39">
        <f t="shared" si="5"/>
        <v>7.295941933355328E-2</v>
      </c>
      <c r="P8" s="37">
        <v>606200</v>
      </c>
    </row>
    <row r="9" spans="2:17" ht="14" x14ac:dyDescent="0.3">
      <c r="B9" s="4" t="s">
        <v>217</v>
      </c>
      <c r="C9" t="s">
        <v>218</v>
      </c>
      <c r="D9" s="37">
        <v>2320547</v>
      </c>
      <c r="E9" s="37">
        <v>3118689</v>
      </c>
      <c r="F9" s="37">
        <v>2433363</v>
      </c>
      <c r="G9" s="37">
        <v>305379</v>
      </c>
      <c r="H9" s="37">
        <v>209677</v>
      </c>
      <c r="I9" s="37">
        <v>147542</v>
      </c>
      <c r="J9" s="38">
        <f t="shared" si="0"/>
        <v>10.212519524918216</v>
      </c>
      <c r="K9" s="38">
        <f t="shared" si="1"/>
        <v>1.2816373882564993</v>
      </c>
      <c r="L9" s="38">
        <f t="shared" si="2"/>
        <v>15.728043540144501</v>
      </c>
      <c r="M9" s="38">
        <f t="shared" si="3"/>
        <v>1.803079431013892</v>
      </c>
      <c r="N9" s="39">
        <f t="shared" si="4"/>
        <v>8.6167579600741853E-2</v>
      </c>
      <c r="O9" s="39">
        <f t="shared" si="5"/>
        <v>0.11464105032591526</v>
      </c>
      <c r="P9" s="37">
        <v>1286991</v>
      </c>
    </row>
    <row r="10" spans="2:17" ht="14" x14ac:dyDescent="0.3">
      <c r="B10" s="4" t="s">
        <v>219</v>
      </c>
      <c r="C10" t="s">
        <v>220</v>
      </c>
      <c r="D10" s="37">
        <v>2397303</v>
      </c>
      <c r="E10" s="37">
        <v>3885100</v>
      </c>
      <c r="F10" s="37">
        <v>2894676</v>
      </c>
      <c r="G10" s="37">
        <v>348957</v>
      </c>
      <c r="H10" s="37">
        <v>185870</v>
      </c>
      <c r="I10" s="37">
        <v>121574</v>
      </c>
      <c r="J10" s="38">
        <f t="shared" si="0"/>
        <v>11.133463435322977</v>
      </c>
      <c r="K10" s="38">
        <f t="shared" si="1"/>
        <v>1.3421536641751961</v>
      </c>
      <c r="L10" s="38">
        <f t="shared" si="2"/>
        <v>19.718879036636125</v>
      </c>
      <c r="M10" s="38">
        <f t="shared" si="3"/>
        <v>0.79828887411872984</v>
      </c>
      <c r="N10" s="39">
        <f t="shared" si="4"/>
        <v>6.4210985961814029E-2</v>
      </c>
      <c r="O10" s="39">
        <f t="shared" si="5"/>
        <v>4.0483481471516314E-2</v>
      </c>
      <c r="P10" s="37">
        <v>3003052</v>
      </c>
    </row>
    <row r="14" spans="2:17" ht="14" x14ac:dyDescent="0.3">
      <c r="B14" s="3" t="s">
        <v>221</v>
      </c>
    </row>
    <row r="15" spans="2:17" ht="14" x14ac:dyDescent="0.3">
      <c r="B15" s="4" t="s">
        <v>222</v>
      </c>
      <c r="D15" s="38">
        <f t="shared" ref="D15:I15" si="6">PERCENTILE(J6:J10,0.25)</f>
        <v>10.212519524918216</v>
      </c>
      <c r="E15" s="38">
        <f t="shared" si="6"/>
        <v>1.2816373882564993</v>
      </c>
      <c r="F15" s="38">
        <f t="shared" si="6"/>
        <v>18.301777154743601</v>
      </c>
      <c r="G15" s="38">
        <f t="shared" si="6"/>
        <v>1.3352870339821841</v>
      </c>
      <c r="H15" s="39">
        <f t="shared" si="6"/>
        <v>6.4210985961814029E-2</v>
      </c>
      <c r="I15" s="39">
        <f t="shared" si="6"/>
        <v>7.295941933355328E-2</v>
      </c>
    </row>
    <row r="16" spans="2:17" ht="14" x14ac:dyDescent="0.3">
      <c r="B16" s="4" t="s">
        <v>223</v>
      </c>
      <c r="D16" s="38">
        <f t="shared" ref="D16:I16" si="7">MEDIAN(J6:J10)</f>
        <v>10.92142078168791</v>
      </c>
      <c r="E16" s="38">
        <f t="shared" si="7"/>
        <v>1.3421536641751961</v>
      </c>
      <c r="F16" s="38">
        <f t="shared" si="7"/>
        <v>18.822080211546936</v>
      </c>
      <c r="G16" s="38">
        <f t="shared" si="7"/>
        <v>1.6515832379420228</v>
      </c>
      <c r="H16" s="39">
        <f t="shared" si="7"/>
        <v>8.6167579600741853E-2</v>
      </c>
      <c r="I16" s="39">
        <f t="shared" si="7"/>
        <v>8.7747115057389469E-2</v>
      </c>
    </row>
    <row r="17" spans="2:9" ht="14" x14ac:dyDescent="0.3">
      <c r="B17" s="4" t="s">
        <v>224</v>
      </c>
      <c r="D17" s="38">
        <f t="shared" ref="D17:I17" si="8">PERCENTILE(J6:J10,0.75)</f>
        <v>11.133463435322977</v>
      </c>
      <c r="E17" s="38">
        <f t="shared" si="8"/>
        <v>1.4464593719483991</v>
      </c>
      <c r="F17" s="38">
        <f t="shared" si="8"/>
        <v>19.718879036636125</v>
      </c>
      <c r="G17" s="38">
        <f t="shared" si="8"/>
        <v>1.803079431013892</v>
      </c>
      <c r="H17" s="39">
        <f t="shared" si="8"/>
        <v>9.2892018296756945E-2</v>
      </c>
      <c r="I17" s="39">
        <f t="shared" si="8"/>
        <v>0.10984554057234135</v>
      </c>
    </row>
    <row r="19" spans="2:9" ht="14" x14ac:dyDescent="0.3">
      <c r="B19" s="22" t="s">
        <v>225</v>
      </c>
      <c r="C19" s="23"/>
      <c r="D19" s="23"/>
      <c r="E19" s="23"/>
      <c r="F19" s="23"/>
      <c r="G19" s="23"/>
      <c r="H19" s="23"/>
      <c r="I19" s="23"/>
    </row>
    <row r="20" spans="2:9" ht="14" x14ac:dyDescent="0.3">
      <c r="B20" s="3" t="s">
        <v>226</v>
      </c>
    </row>
    <row r="21" spans="2:9" ht="14" x14ac:dyDescent="0.3">
      <c r="B21" s="4" t="s">
        <v>227</v>
      </c>
      <c r="C21" s="5">
        <v>148261</v>
      </c>
    </row>
    <row r="22" spans="2:9" ht="14" x14ac:dyDescent="0.3">
      <c r="B22" s="4" t="s">
        <v>228</v>
      </c>
      <c r="C22" s="5">
        <v>35076</v>
      </c>
    </row>
    <row r="23" spans="2:9" ht="14" x14ac:dyDescent="0.3">
      <c r="B23" s="4" t="s">
        <v>229</v>
      </c>
      <c r="C23" s="15">
        <v>271166783</v>
      </c>
    </row>
    <row r="24" spans="2:9" ht="14" x14ac:dyDescent="0.3">
      <c r="B24" s="4" t="s">
        <v>70</v>
      </c>
      <c r="C24" s="5">
        <v>19335</v>
      </c>
    </row>
    <row r="26" spans="2:9" ht="14" x14ac:dyDescent="0.3">
      <c r="B26" s="3" t="s">
        <v>230</v>
      </c>
    </row>
    <row r="27" spans="2:9" ht="14" x14ac:dyDescent="0.3">
      <c r="B27" s="4" t="s">
        <v>231</v>
      </c>
      <c r="C27" s="24">
        <f>ROUND((C21*D16-C24)*1000000/C23,0)</f>
        <v>5900</v>
      </c>
    </row>
    <row r="28" spans="2:9" ht="14" x14ac:dyDescent="0.3">
      <c r="B28" s="4" t="s">
        <v>232</v>
      </c>
      <c r="C28" s="24">
        <f>ROUND(C22*F16*1000000/C23,0)</f>
        <v>2435</v>
      </c>
    </row>
  </sheetData>
  <phoneticPr fontId="8"/>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96600"/>
  </sheetPr>
  <dimension ref="B2:I26"/>
  <sheetViews>
    <sheetView workbookViewId="0"/>
  </sheetViews>
  <sheetFormatPr defaultRowHeight="13" x14ac:dyDescent="0.2"/>
  <cols>
    <col min="1" max="1" width="3" customWidth="1"/>
    <col min="2" max="2" width="24" customWidth="1"/>
    <col min="3" max="9" width="14" customWidth="1"/>
  </cols>
  <sheetData>
    <row r="2" spans="2:9" ht="18" x14ac:dyDescent="0.4">
      <c r="B2" s="2" t="s">
        <v>233</v>
      </c>
    </row>
    <row r="3" spans="2:9" ht="14" x14ac:dyDescent="0.3">
      <c r="B3" s="4" t="s">
        <v>234</v>
      </c>
      <c r="C3" s="16">
        <f>'DCF Model'!C26</f>
        <v>6.5642019287541833E-2</v>
      </c>
      <c r="E3" s="4" t="s">
        <v>235</v>
      </c>
      <c r="F3" s="16">
        <f>'DCF Model'!C13</f>
        <v>0.01</v>
      </c>
      <c r="H3" s="4" t="s">
        <v>236</v>
      </c>
      <c r="I3" s="14">
        <f>'DCF Model'!C14</f>
        <v>10.9</v>
      </c>
    </row>
    <row r="5" spans="2:9" ht="14" x14ac:dyDescent="0.3">
      <c r="B5" s="3" t="s">
        <v>237</v>
      </c>
    </row>
    <row r="6" spans="2:9" ht="14" x14ac:dyDescent="0.3">
      <c r="B6" s="40" t="s">
        <v>238</v>
      </c>
      <c r="C6" s="41">
        <f>$F$3-0.0075</f>
        <v>2.5000000000000005E-3</v>
      </c>
      <c r="D6" s="41">
        <f>$F$3-0.005</f>
        <v>5.0000000000000001E-3</v>
      </c>
      <c r="E6" s="41">
        <f>$F$3-0.0025</f>
        <v>7.4999999999999997E-3</v>
      </c>
      <c r="F6" s="41">
        <f>$F$3</f>
        <v>0.01</v>
      </c>
      <c r="G6" s="41">
        <f>$F$3+0.0025</f>
        <v>1.2500000000000001E-2</v>
      </c>
      <c r="H6" s="41">
        <f>$F$3+0.005</f>
        <v>1.4999999999999999E-2</v>
      </c>
      <c r="I6" s="41">
        <f>$F$3+0.0075</f>
        <v>1.7500000000000002E-2</v>
      </c>
    </row>
    <row r="7" spans="2:9" ht="13.5" x14ac:dyDescent="0.25">
      <c r="B7" s="39">
        <f>$C$3-0.015</f>
        <v>5.0642019287541834E-2</v>
      </c>
      <c r="C7" s="37">
        <f>IFERROR(ROUND(('DCF Model'!C45/(1+$B7)^('DCF Model'!C19+0)+'DCF Model'!D45/(1+$B7)^('DCF Model'!C19+1)+'DCF Model'!E45/(1+$B7)^('DCF Model'!C19+2)+'DCF Model'!F45/(1+$B7)^('DCF Model'!C19+3)+'DCF Model'!G45/(1+$B7)^('DCF Model'!C19+4)+'DCF Model'!G45*(1+C$6)/($B7-C$6)/(1+$B7)^('DCF Model'!C19+4)-'DCF Model'!C16)*1000000/'DCF Model'!C15,0),"")</f>
        <v>4613</v>
      </c>
      <c r="D7" s="37">
        <f>IFERROR(ROUND(('DCF Model'!C45/(1+$B7)^('DCF Model'!C19+0)+'DCF Model'!D45/(1+$B7)^('DCF Model'!C19+1)+'DCF Model'!E45/(1+$B7)^('DCF Model'!C19+2)+'DCF Model'!F45/(1+$B7)^('DCF Model'!C19+3)+'DCF Model'!G45/(1+$B7)^('DCF Model'!C19+4)+'DCF Model'!G45*(1+D$6)/($B7-D$6)/(1+$B7)^('DCF Model'!C19+4)-'DCF Model'!C16)*1000000/'DCF Model'!C15,0),"")</f>
        <v>4832</v>
      </c>
      <c r="E7" s="37">
        <f>IFERROR(ROUND(('DCF Model'!C45/(1+$B7)^('DCF Model'!C19+0)+'DCF Model'!D45/(1+$B7)^('DCF Model'!C19+1)+'DCF Model'!E45/(1+$B7)^('DCF Model'!C19+2)+'DCF Model'!F45/(1+$B7)^('DCF Model'!C19+3)+'DCF Model'!G45/(1+$B7)^('DCF Model'!C19+4)+'DCF Model'!G45*(1+E$6)/($B7-E$6)/(1+$B7)^('DCF Model'!C19+4)-'DCF Model'!C16)*1000000/'DCF Model'!C15,0),"")</f>
        <v>5076</v>
      </c>
      <c r="F7" s="37">
        <f>IFERROR(ROUND(('DCF Model'!C45/(1+$B7)^('DCF Model'!C19+0)+'DCF Model'!D45/(1+$B7)^('DCF Model'!C19+1)+'DCF Model'!E45/(1+$B7)^('DCF Model'!C19+2)+'DCF Model'!F45/(1+$B7)^('DCF Model'!C19+3)+'DCF Model'!G45/(1+$B7)^('DCF Model'!C19+4)+'DCF Model'!G45*(1+F$6)/($B7-F$6)/(1+$B7)^('DCF Model'!C19+4)-'DCF Model'!C16)*1000000/'DCF Model'!C15,0),"")</f>
        <v>5351</v>
      </c>
      <c r="G7" s="37">
        <f>IFERROR(ROUND(('DCF Model'!C45/(1+$B7)^('DCF Model'!C19+0)+'DCF Model'!D45/(1+$B7)^('DCF Model'!C19+1)+'DCF Model'!E45/(1+$B7)^('DCF Model'!C19+2)+'DCF Model'!F45/(1+$B7)^('DCF Model'!C19+3)+'DCF Model'!G45/(1+$B7)^('DCF Model'!C19+4)+'DCF Model'!G45*(1+G$6)/($B7-G$6)/(1+$B7)^('DCF Model'!C19+4)-'DCF Model'!C16)*1000000/'DCF Model'!C15,0),"")</f>
        <v>5661</v>
      </c>
      <c r="H7" s="37">
        <f>IFERROR(ROUND(('DCF Model'!C45/(1+$B7)^('DCF Model'!C19+0)+'DCF Model'!D45/(1+$B7)^('DCF Model'!C19+1)+'DCF Model'!E45/(1+$B7)^('DCF Model'!C19+2)+'DCF Model'!F45/(1+$B7)^('DCF Model'!C19+3)+'DCF Model'!G45/(1+$B7)^('DCF Model'!C19+4)+'DCF Model'!G45*(1+H$6)/($B7-H$6)/(1+$B7)^('DCF Model'!C19+4)-'DCF Model'!C16)*1000000/'DCF Model'!C15,0),"")</f>
        <v>6015</v>
      </c>
      <c r="I7" s="37">
        <f>IFERROR(ROUND(('DCF Model'!C45/(1+$B7)^('DCF Model'!C19+0)+'DCF Model'!D45/(1+$B7)^('DCF Model'!C19+1)+'DCF Model'!E45/(1+$B7)^('DCF Model'!C19+2)+'DCF Model'!F45/(1+$B7)^('DCF Model'!C19+3)+'DCF Model'!G45/(1+$B7)^('DCF Model'!C19+4)+'DCF Model'!G45*(1+I$6)/($B7-I$6)/(1+$B7)^('DCF Model'!C19+4)-'DCF Model'!C16)*1000000/'DCF Model'!C15,0),"")</f>
        <v>6422</v>
      </c>
    </row>
    <row r="8" spans="2:9" ht="13.5" x14ac:dyDescent="0.25">
      <c r="B8" s="39">
        <f>$C$3-0.01</f>
        <v>5.5642019287541832E-2</v>
      </c>
      <c r="C8" s="37">
        <f>IFERROR(ROUND(('DCF Model'!C45/(1+$B8)^('DCF Model'!C19+0)+'DCF Model'!D45/(1+$B8)^('DCF Model'!C19+1)+'DCF Model'!E45/(1+$B8)^('DCF Model'!C19+2)+'DCF Model'!F45/(1+$B8)^('DCF Model'!C19+3)+'DCF Model'!G45/(1+$B8)^('DCF Model'!C19+4)+'DCF Model'!G45*(1+C$6)/($B8-C$6)/(1+$B8)^('DCF Model'!C19+4)-'DCF Model'!C16)*1000000/'DCF Model'!C15,0),"")</f>
        <v>4161</v>
      </c>
      <c r="D8" s="37">
        <f>IFERROR(ROUND(('DCF Model'!C45/(1+$B8)^('DCF Model'!C19+0)+'DCF Model'!D45/(1+$B8)^('DCF Model'!C19+1)+'DCF Model'!E45/(1+$B8)^('DCF Model'!C19+2)+'DCF Model'!F45/(1+$B8)^('DCF Model'!C19+3)+'DCF Model'!G45/(1+$B8)^('DCF Model'!C19+4)+'DCF Model'!G45*(1+D$6)/($B8-D$6)/(1+$B8)^('DCF Model'!C19+4)-'DCF Model'!C16)*1000000/'DCF Model'!C15,0),"")</f>
        <v>4336</v>
      </c>
      <c r="E8" s="37">
        <f>IFERROR(ROUND(('DCF Model'!C45/(1+$B8)^('DCF Model'!C19+0)+'DCF Model'!D45/(1+$B8)^('DCF Model'!C19+1)+'DCF Model'!E45/(1+$B8)^('DCF Model'!C19+2)+'DCF Model'!F45/(1+$B8)^('DCF Model'!C19+3)+'DCF Model'!G45/(1+$B8)^('DCF Model'!C19+4)+'DCF Model'!G45*(1+E$6)/($B8-E$6)/(1+$B8)^('DCF Model'!C19+4)-'DCF Model'!C16)*1000000/'DCF Model'!C15,0),"")</f>
        <v>4530</v>
      </c>
      <c r="F8" s="37">
        <f>IFERROR(ROUND(('DCF Model'!C45/(1+$B8)^('DCF Model'!C19+0)+'DCF Model'!D45/(1+$B8)^('DCF Model'!C19+1)+'DCF Model'!E45/(1+$B8)^('DCF Model'!C19+2)+'DCF Model'!F45/(1+$B8)^('DCF Model'!C19+3)+'DCF Model'!G45/(1+$B8)^('DCF Model'!C19+4)+'DCF Model'!G45*(1+F$6)/($B8-F$6)/(1+$B8)^('DCF Model'!C19+4)-'DCF Model'!C16)*1000000/'DCF Model'!C15,0),"")</f>
        <v>4745</v>
      </c>
      <c r="G8" s="37">
        <f>IFERROR(ROUND(('DCF Model'!C45/(1+$B8)^('DCF Model'!C19+0)+'DCF Model'!D45/(1+$B8)^('DCF Model'!C19+1)+'DCF Model'!E45/(1+$B8)^('DCF Model'!C19+2)+'DCF Model'!F45/(1+$B8)^('DCF Model'!C19+3)+'DCF Model'!G45/(1+$B8)^('DCF Model'!C19+4)+'DCF Model'!G45*(1+G$6)/($B8-G$6)/(1+$B8)^('DCF Model'!C19+4)-'DCF Model'!C16)*1000000/'DCF Model'!C15,0),"")</f>
        <v>4985</v>
      </c>
      <c r="H8" s="37">
        <f>IFERROR(ROUND(('DCF Model'!C45/(1+$B8)^('DCF Model'!C19+0)+'DCF Model'!D45/(1+$B8)^('DCF Model'!C19+1)+'DCF Model'!E45/(1+$B8)^('DCF Model'!C19+2)+'DCF Model'!F45/(1+$B8)^('DCF Model'!C19+3)+'DCF Model'!G45/(1+$B8)^('DCF Model'!C19+4)+'DCF Model'!G45*(1+H$6)/($B8-H$6)/(1+$B8)^('DCF Model'!C19+4)-'DCF Model'!C16)*1000000/'DCF Model'!C15,0),"")</f>
        <v>5254</v>
      </c>
      <c r="I8" s="37">
        <f>IFERROR(ROUND(('DCF Model'!C45/(1+$B8)^('DCF Model'!C19+0)+'DCF Model'!D45/(1+$B8)^('DCF Model'!C19+1)+'DCF Model'!E45/(1+$B8)^('DCF Model'!C19+2)+'DCF Model'!F45/(1+$B8)^('DCF Model'!C19+3)+'DCF Model'!G45/(1+$B8)^('DCF Model'!C19+4)+'DCF Model'!G45*(1+I$6)/($B8-I$6)/(1+$B8)^('DCF Model'!C19+4)-'DCF Model'!C16)*1000000/'DCF Model'!C15,0),"")</f>
        <v>5558</v>
      </c>
    </row>
    <row r="9" spans="2:9" ht="13.5" x14ac:dyDescent="0.25">
      <c r="B9" s="39">
        <f>$C$3-0.005</f>
        <v>6.0642019287541836E-2</v>
      </c>
      <c r="C9" s="37">
        <f>IFERROR(ROUND(('DCF Model'!C45/(1+$B9)^('DCF Model'!C19+0)+'DCF Model'!D45/(1+$B9)^('DCF Model'!C19+1)+'DCF Model'!E45/(1+$B9)^('DCF Model'!C19+2)+'DCF Model'!F45/(1+$B9)^('DCF Model'!C19+3)+'DCF Model'!G45/(1+$B9)^('DCF Model'!C19+4)+'DCF Model'!G45*(1+C$6)/($B9-C$6)/(1+$B9)^('DCF Model'!C19+4)-'DCF Model'!C16)*1000000/'DCF Model'!C15,0),"")</f>
        <v>3787</v>
      </c>
      <c r="D9" s="37">
        <f>IFERROR(ROUND(('DCF Model'!C45/(1+$B9)^('DCF Model'!C19+0)+'DCF Model'!D45/(1+$B9)^('DCF Model'!C19+1)+'DCF Model'!E45/(1+$B9)^('DCF Model'!C19+2)+'DCF Model'!F45/(1+$B9)^('DCF Model'!C19+3)+'DCF Model'!G45/(1+$B9)^('DCF Model'!C19+4)+'DCF Model'!G45*(1+D$6)/($B9-D$6)/(1+$B9)^('DCF Model'!C19+4)-'DCF Model'!C16)*1000000/'DCF Model'!C15,0),"")</f>
        <v>3930</v>
      </c>
      <c r="E9" s="37">
        <f>IFERROR(ROUND(('DCF Model'!C45/(1+$B9)^('DCF Model'!C19+0)+'DCF Model'!D45/(1+$B9)^('DCF Model'!C19+1)+'DCF Model'!E45/(1+$B9)^('DCF Model'!C19+2)+'DCF Model'!F45/(1+$B9)^('DCF Model'!C19+3)+'DCF Model'!G45/(1+$B9)^('DCF Model'!C19+4)+'DCF Model'!G45*(1+E$6)/($B9-E$6)/(1+$B9)^('DCF Model'!C19+4)-'DCF Model'!C16)*1000000/'DCF Model'!C15,0),"")</f>
        <v>4087</v>
      </c>
      <c r="F9" s="37">
        <f>IFERROR(ROUND(('DCF Model'!C45/(1+$B9)^('DCF Model'!C19+0)+'DCF Model'!D45/(1+$B9)^('DCF Model'!C19+1)+'DCF Model'!E45/(1+$B9)^('DCF Model'!C19+2)+'DCF Model'!F45/(1+$B9)^('DCF Model'!C19+3)+'DCF Model'!G45/(1+$B9)^('DCF Model'!C19+4)+'DCF Model'!G45*(1+F$6)/($B9-F$6)/(1+$B9)^('DCF Model'!C19+4)-'DCF Model'!C16)*1000000/'DCF Model'!C15,0),"")</f>
        <v>4259</v>
      </c>
      <c r="G9" s="37">
        <f>IFERROR(ROUND(('DCF Model'!C45/(1+$B9)^('DCF Model'!C19+0)+'DCF Model'!D45/(1+$B9)^('DCF Model'!C19+1)+'DCF Model'!E45/(1+$B9)^('DCF Model'!C19+2)+'DCF Model'!F45/(1+$B9)^('DCF Model'!C19+3)+'DCF Model'!G45/(1+$B9)^('DCF Model'!C19+4)+'DCF Model'!G45*(1+G$6)/($B9-G$6)/(1+$B9)^('DCF Model'!C19+4)-'DCF Model'!C16)*1000000/'DCF Model'!C15,0),"")</f>
        <v>4449</v>
      </c>
      <c r="H9" s="37">
        <f>IFERROR(ROUND(('DCF Model'!C45/(1+$B9)^('DCF Model'!C19+0)+'DCF Model'!D45/(1+$B9)^('DCF Model'!C19+1)+'DCF Model'!E45/(1+$B9)^('DCF Model'!C19+2)+'DCF Model'!F45/(1+$B9)^('DCF Model'!C19+3)+'DCF Model'!G45/(1+$B9)^('DCF Model'!C19+4)+'DCF Model'!G45*(1+H$6)/($B9-H$6)/(1+$B9)^('DCF Model'!C19+4)-'DCF Model'!C16)*1000000/'DCF Model'!C15,0),"")</f>
        <v>4660</v>
      </c>
      <c r="I9" s="37">
        <f>IFERROR(ROUND(('DCF Model'!C45/(1+$B9)^('DCF Model'!C19+0)+'DCF Model'!D45/(1+$B9)^('DCF Model'!C19+1)+'DCF Model'!E45/(1+$B9)^('DCF Model'!C19+2)+'DCF Model'!F45/(1+$B9)^('DCF Model'!C19+3)+'DCF Model'!G45/(1+$B9)^('DCF Model'!C19+4)+'DCF Model'!G45*(1+I$6)/($B9-I$6)/(1+$B9)^('DCF Model'!C19+4)-'DCF Model'!C16)*1000000/'DCF Model'!C15,0),"")</f>
        <v>4895</v>
      </c>
    </row>
    <row r="10" spans="2:9" ht="13.5" x14ac:dyDescent="0.25">
      <c r="B10" s="39">
        <f>$C$3</f>
        <v>6.5642019287541833E-2</v>
      </c>
      <c r="C10" s="37">
        <f>IFERROR(ROUND(('DCF Model'!C45/(1+$B10)^('DCF Model'!C19+0)+'DCF Model'!D45/(1+$B10)^('DCF Model'!C19+1)+'DCF Model'!E45/(1+$B10)^('DCF Model'!C19+2)+'DCF Model'!F45/(1+$B10)^('DCF Model'!C19+3)+'DCF Model'!G45/(1+$B10)^('DCF Model'!C19+4)+'DCF Model'!G45*(1+C$6)/($B10-C$6)/(1+$B10)^('DCF Model'!C19+4)-'DCF Model'!C16)*1000000/'DCF Model'!C15,0),"")</f>
        <v>3472</v>
      </c>
      <c r="D10" s="37">
        <f>IFERROR(ROUND(('DCF Model'!C45/(1+$B10)^('DCF Model'!C19+0)+'DCF Model'!D45/(1+$B10)^('DCF Model'!C19+1)+'DCF Model'!E45/(1+$B10)^('DCF Model'!C19+2)+'DCF Model'!F45/(1+$B10)^('DCF Model'!C19+3)+'DCF Model'!G45/(1+$B10)^('DCF Model'!C19+4)+'DCF Model'!G45*(1+D$6)/($B10-D$6)/(1+$B10)^('DCF Model'!C19+4)-'DCF Model'!C16)*1000000/'DCF Model'!C15,0),"")</f>
        <v>3591</v>
      </c>
      <c r="E10" s="37">
        <f>IFERROR(ROUND(('DCF Model'!C45/(1+$B10)^('DCF Model'!C19+0)+'DCF Model'!D45/(1+$B10)^('DCF Model'!C19+1)+'DCF Model'!E45/(1+$B10)^('DCF Model'!C19+2)+'DCF Model'!F45/(1+$B10)^('DCF Model'!C19+3)+'DCF Model'!G45/(1+$B10)^('DCF Model'!C19+4)+'DCF Model'!G45*(1+E$6)/($B10-E$6)/(1+$B10)^('DCF Model'!C19+4)-'DCF Model'!C16)*1000000/'DCF Model'!C15,0),"")</f>
        <v>3720</v>
      </c>
      <c r="F10" s="37">
        <f>IFERROR(ROUND(('DCF Model'!C45/(1+$B10)^('DCF Model'!C19+0)+'DCF Model'!D45/(1+$B10)^('DCF Model'!C19+1)+'DCF Model'!E45/(1+$B10)^('DCF Model'!C19+2)+'DCF Model'!F45/(1+$B10)^('DCF Model'!C19+3)+'DCF Model'!G45/(1+$B10)^('DCF Model'!C19+4)+'DCF Model'!G45*(1+F$6)/($B10-F$6)/(1+$B10)^('DCF Model'!C19+4)-'DCF Model'!C16)*1000000/'DCF Model'!C15,0),"")</f>
        <v>3861</v>
      </c>
      <c r="G10" s="37">
        <f>IFERROR(ROUND(('DCF Model'!C45/(1+$B10)^('DCF Model'!C19+0)+'DCF Model'!D45/(1+$B10)^('DCF Model'!C19+1)+'DCF Model'!E45/(1+$B10)^('DCF Model'!C19+2)+'DCF Model'!F45/(1+$B10)^('DCF Model'!C19+3)+'DCF Model'!G45/(1+$B10)^('DCF Model'!C19+4)+'DCF Model'!G45*(1+G$6)/($B10-G$6)/(1+$B10)^('DCF Model'!C19+4)-'DCF Model'!C16)*1000000/'DCF Model'!C15,0),"")</f>
        <v>4014</v>
      </c>
      <c r="H10" s="37">
        <f>IFERROR(ROUND(('DCF Model'!C45/(1+$B10)^('DCF Model'!C19+0)+'DCF Model'!D45/(1+$B10)^('DCF Model'!C19+1)+'DCF Model'!E45/(1+$B10)^('DCF Model'!C19+2)+'DCF Model'!F45/(1+$B10)^('DCF Model'!C19+3)+'DCF Model'!G45/(1+$B10)^('DCF Model'!C19+4)+'DCF Model'!G45*(1+H$6)/($B10-H$6)/(1+$B10)^('DCF Model'!C19+4)-'DCF Model'!C16)*1000000/'DCF Model'!C15,0),"")</f>
        <v>4183</v>
      </c>
      <c r="I10" s="37">
        <f>IFERROR(ROUND(('DCF Model'!C45/(1+$B10)^('DCF Model'!C19+0)+'DCF Model'!D45/(1+$B10)^('DCF Model'!C19+1)+'DCF Model'!E45/(1+$B10)^('DCF Model'!C19+2)+'DCF Model'!F45/(1+$B10)^('DCF Model'!C19+3)+'DCF Model'!G45/(1+$B10)^('DCF Model'!C19+4)+'DCF Model'!G45*(1+I$6)/($B10-I$6)/(1+$B10)^('DCF Model'!C19+4)-'DCF Model'!C16)*1000000/'DCF Model'!C15,0),"")</f>
        <v>4370</v>
      </c>
    </row>
    <row r="11" spans="2:9" ht="13.5" x14ac:dyDescent="0.25">
      <c r="B11" s="39">
        <f>$C$3+0.005</f>
        <v>7.0642019287541838E-2</v>
      </c>
      <c r="C11" s="37">
        <f>IFERROR(ROUND(('DCF Model'!C45/(1+$B11)^('DCF Model'!C19+0)+'DCF Model'!D45/(1+$B11)^('DCF Model'!C19+1)+'DCF Model'!E45/(1+$B11)^('DCF Model'!C19+2)+'DCF Model'!F45/(1+$B11)^('DCF Model'!C19+3)+'DCF Model'!G45/(1+$B11)^('DCF Model'!C19+4)+'DCF Model'!G45*(1+C$6)/($B11-C$6)/(1+$B11)^('DCF Model'!C19+4)-'DCF Model'!C16)*1000000/'DCF Model'!C15,0),"")</f>
        <v>3204</v>
      </c>
      <c r="D11" s="37">
        <f>IFERROR(ROUND(('DCF Model'!C45/(1+$B11)^('DCF Model'!C19+0)+'DCF Model'!D45/(1+$B11)^('DCF Model'!C19+1)+'DCF Model'!E45/(1+$B11)^('DCF Model'!C19+2)+'DCF Model'!F45/(1+$B11)^('DCF Model'!C19+3)+'DCF Model'!G45/(1+$B11)^('DCF Model'!C19+4)+'DCF Model'!G45*(1+D$6)/($B11-D$6)/(1+$B11)^('DCF Model'!C19+4)-'DCF Model'!C16)*1000000/'DCF Model'!C15,0),"")</f>
        <v>3304</v>
      </c>
      <c r="E11" s="37">
        <f>IFERROR(ROUND(('DCF Model'!C45/(1+$B11)^('DCF Model'!C19+0)+'DCF Model'!D45/(1+$B11)^('DCF Model'!C19+1)+'DCF Model'!E45/(1+$B11)^('DCF Model'!C19+2)+'DCF Model'!F45/(1+$B11)^('DCF Model'!C19+3)+'DCF Model'!G45/(1+$B11)^('DCF Model'!C19+4)+'DCF Model'!G45*(1+E$6)/($B11-E$6)/(1+$B11)^('DCF Model'!C19+4)-'DCF Model'!C16)*1000000/'DCF Model'!C15,0),"")</f>
        <v>3412</v>
      </c>
      <c r="F11" s="37">
        <f>IFERROR(ROUND(('DCF Model'!C45/(1+$B11)^('DCF Model'!C19+0)+'DCF Model'!D45/(1+$B11)^('DCF Model'!C19+1)+'DCF Model'!E45/(1+$B11)^('DCF Model'!C19+2)+'DCF Model'!F45/(1+$B11)^('DCF Model'!C19+3)+'DCF Model'!G45/(1+$B11)^('DCF Model'!C19+4)+'DCF Model'!G45*(1+F$6)/($B11-F$6)/(1+$B11)^('DCF Model'!C19+4)-'DCF Model'!C16)*1000000/'DCF Model'!C15,0),"")</f>
        <v>3528</v>
      </c>
      <c r="G11" s="37">
        <f>IFERROR(ROUND(('DCF Model'!C45/(1+$B11)^('DCF Model'!C19+0)+'DCF Model'!D45/(1+$B11)^('DCF Model'!C19+1)+'DCF Model'!E45/(1+$B11)^('DCF Model'!C19+2)+'DCF Model'!F45/(1+$B11)^('DCF Model'!C19+3)+'DCF Model'!G45/(1+$B11)^('DCF Model'!C19+4)+'DCF Model'!G45*(1+G$6)/($B11-G$6)/(1+$B11)^('DCF Model'!C19+4)-'DCF Model'!C16)*1000000/'DCF Model'!C15,0),"")</f>
        <v>3655</v>
      </c>
      <c r="H11" s="37">
        <f>IFERROR(ROUND(('DCF Model'!C45/(1+$B11)^('DCF Model'!C19+0)+'DCF Model'!D45/(1+$B11)^('DCF Model'!C19+1)+'DCF Model'!E45/(1+$B11)^('DCF Model'!C19+2)+'DCF Model'!F45/(1+$B11)^('DCF Model'!C19+3)+'DCF Model'!G45/(1+$B11)^('DCF Model'!C19+4)+'DCF Model'!G45*(1+H$6)/($B11-H$6)/(1+$B11)^('DCF Model'!C19+4)-'DCF Model'!C16)*1000000/'DCF Model'!C15,0),"")</f>
        <v>3793</v>
      </c>
      <c r="I11" s="37">
        <f>IFERROR(ROUND(('DCF Model'!C45/(1+$B11)^('DCF Model'!C19+0)+'DCF Model'!D45/(1+$B11)^('DCF Model'!C19+1)+'DCF Model'!E45/(1+$B11)^('DCF Model'!C19+2)+'DCF Model'!F45/(1+$B11)^('DCF Model'!C19+3)+'DCF Model'!G45/(1+$B11)^('DCF Model'!C19+4)+'DCF Model'!G45*(1+I$6)/($B11-I$6)/(1+$B11)^('DCF Model'!C19+4)-'DCF Model'!C16)*1000000/'DCF Model'!C15,0),"")</f>
        <v>3944</v>
      </c>
    </row>
    <row r="12" spans="2:9" ht="13.5" x14ac:dyDescent="0.25">
      <c r="B12" s="39">
        <f>$C$3+0.01</f>
        <v>7.5642019287541828E-2</v>
      </c>
      <c r="C12" s="37">
        <f>IFERROR(ROUND(('DCF Model'!C45/(1+$B12)^('DCF Model'!C19+0)+'DCF Model'!D45/(1+$B12)^('DCF Model'!C19+1)+'DCF Model'!E45/(1+$B12)^('DCF Model'!C19+2)+'DCF Model'!F45/(1+$B12)^('DCF Model'!C19+3)+'DCF Model'!G45/(1+$B12)^('DCF Model'!C19+4)+'DCF Model'!G45*(1+C$6)/($B12-C$6)/(1+$B12)^('DCF Model'!C19+4)-'DCF Model'!C16)*1000000/'DCF Model'!C15,0),"")</f>
        <v>2973</v>
      </c>
      <c r="D12" s="37">
        <f>IFERROR(ROUND(('DCF Model'!C45/(1+$B12)^('DCF Model'!C19+0)+'DCF Model'!D45/(1+$B12)^('DCF Model'!C19+1)+'DCF Model'!E45/(1+$B12)^('DCF Model'!C19+2)+'DCF Model'!F45/(1+$B12)^('DCF Model'!C19+3)+'DCF Model'!G45/(1+$B12)^('DCF Model'!C19+4)+'DCF Model'!G45*(1+D$6)/($B12-D$6)/(1+$B12)^('DCF Model'!C19+4)-'DCF Model'!C16)*1000000/'DCF Model'!C15,0),"")</f>
        <v>3058</v>
      </c>
      <c r="E12" s="37">
        <f>IFERROR(ROUND(('DCF Model'!C45/(1+$B12)^('DCF Model'!C19+0)+'DCF Model'!D45/(1+$B12)^('DCF Model'!C19+1)+'DCF Model'!E45/(1+$B12)^('DCF Model'!C19+2)+'DCF Model'!F45/(1+$B12)^('DCF Model'!C19+3)+'DCF Model'!G45/(1+$B12)^('DCF Model'!C19+4)+'DCF Model'!G45*(1+E$6)/($B12-E$6)/(1+$B12)^('DCF Model'!C19+4)-'DCF Model'!C16)*1000000/'DCF Model'!C15,0),"")</f>
        <v>3149</v>
      </c>
      <c r="F12" s="37">
        <f>IFERROR(ROUND(('DCF Model'!C45/(1+$B12)^('DCF Model'!C19+0)+'DCF Model'!D45/(1+$B12)^('DCF Model'!C19+1)+'DCF Model'!E45/(1+$B12)^('DCF Model'!C19+2)+'DCF Model'!F45/(1+$B12)^('DCF Model'!C19+3)+'DCF Model'!G45/(1+$B12)^('DCF Model'!C19+4)+'DCF Model'!G45*(1+F$6)/($B12-F$6)/(1+$B12)^('DCF Model'!C19+4)-'DCF Model'!C16)*1000000/'DCF Model'!C15,0),"")</f>
        <v>3247</v>
      </c>
      <c r="G12" s="37">
        <f>IFERROR(ROUND(('DCF Model'!C45/(1+$B12)^('DCF Model'!C19+0)+'DCF Model'!D45/(1+$B12)^('DCF Model'!C19+1)+'DCF Model'!E45/(1+$B12)^('DCF Model'!C19+2)+'DCF Model'!F45/(1+$B12)^('DCF Model'!C19+3)+'DCF Model'!G45/(1+$B12)^('DCF Model'!C19+4)+'DCF Model'!G45*(1+G$6)/($B12-G$6)/(1+$B12)^('DCF Model'!C19+4)-'DCF Model'!C16)*1000000/'DCF Model'!C15,0),"")</f>
        <v>3352</v>
      </c>
      <c r="H12" s="37">
        <f>IFERROR(ROUND(('DCF Model'!C45/(1+$B12)^('DCF Model'!C19+0)+'DCF Model'!D45/(1+$B12)^('DCF Model'!C19+1)+'DCF Model'!E45/(1+$B12)^('DCF Model'!C19+2)+'DCF Model'!F45/(1+$B12)^('DCF Model'!C19+3)+'DCF Model'!G45/(1+$B12)^('DCF Model'!C19+4)+'DCF Model'!G45*(1+H$6)/($B12-H$6)/(1+$B12)^('DCF Model'!C19+4)-'DCF Model'!C16)*1000000/'DCF Model'!C15,0),"")</f>
        <v>3467</v>
      </c>
      <c r="I12" s="37">
        <f>IFERROR(ROUND(('DCF Model'!C45/(1+$B12)^('DCF Model'!C19+0)+'DCF Model'!D45/(1+$B12)^('DCF Model'!C19+1)+'DCF Model'!E45/(1+$B12)^('DCF Model'!C19+2)+'DCF Model'!F45/(1+$B12)^('DCF Model'!C19+3)+'DCF Model'!G45/(1+$B12)^('DCF Model'!C19+4)+'DCF Model'!G45*(1+I$6)/($B12-I$6)/(1+$B12)^('DCF Model'!C19+4)-'DCF Model'!C16)*1000000/'DCF Model'!C15,0),"")</f>
        <v>3591</v>
      </c>
    </row>
    <row r="13" spans="2:9" ht="13.5" x14ac:dyDescent="0.25">
      <c r="B13" s="39">
        <f>$C$3+0.015</f>
        <v>8.0642019287541833E-2</v>
      </c>
      <c r="C13" s="37">
        <f>IFERROR(ROUND(('DCF Model'!C45/(1+$B13)^('DCF Model'!C19+0)+'DCF Model'!D45/(1+$B13)^('DCF Model'!C19+1)+'DCF Model'!E45/(1+$B13)^('DCF Model'!C19+2)+'DCF Model'!F45/(1+$B13)^('DCF Model'!C19+3)+'DCF Model'!G45/(1+$B13)^('DCF Model'!C19+4)+'DCF Model'!G45*(1+C$6)/($B13-C$6)/(1+$B13)^('DCF Model'!C19+4)-'DCF Model'!C16)*1000000/'DCF Model'!C15,0),"")</f>
        <v>2771</v>
      </c>
      <c r="D13" s="37">
        <f>IFERROR(ROUND(('DCF Model'!C45/(1+$B13)^('DCF Model'!C19+0)+'DCF Model'!D45/(1+$B13)^('DCF Model'!C19+1)+'DCF Model'!E45/(1+$B13)^('DCF Model'!C19+2)+'DCF Model'!F45/(1+$B13)^('DCF Model'!C19+3)+'DCF Model'!G45/(1+$B13)^('DCF Model'!C19+4)+'DCF Model'!G45*(1+D$6)/($B13-D$6)/(1+$B13)^('DCF Model'!C19+4)-'DCF Model'!C16)*1000000/'DCF Model'!C15,0),"")</f>
        <v>2844</v>
      </c>
      <c r="E13" s="37">
        <f>IFERROR(ROUND(('DCF Model'!C45/(1+$B13)^('DCF Model'!C19+0)+'DCF Model'!D45/(1+$B13)^('DCF Model'!C19+1)+'DCF Model'!E45/(1+$B13)^('DCF Model'!C19+2)+'DCF Model'!F45/(1+$B13)^('DCF Model'!C19+3)+'DCF Model'!G45/(1+$B13)^('DCF Model'!C19+4)+'DCF Model'!G45*(1+E$6)/($B13-E$6)/(1+$B13)^('DCF Model'!C19+4)-'DCF Model'!C16)*1000000/'DCF Model'!C15,0),"")</f>
        <v>2922</v>
      </c>
      <c r="F13" s="37">
        <f>IFERROR(ROUND(('DCF Model'!C45/(1+$B13)^('DCF Model'!C19+0)+'DCF Model'!D45/(1+$B13)^('DCF Model'!C19+1)+'DCF Model'!E45/(1+$B13)^('DCF Model'!C19+2)+'DCF Model'!F45/(1+$B13)^('DCF Model'!C19+3)+'DCF Model'!G45/(1+$B13)^('DCF Model'!C19+4)+'DCF Model'!G45*(1+F$6)/($B13-F$6)/(1+$B13)^('DCF Model'!C19+4)-'DCF Model'!C16)*1000000/'DCF Model'!C15,0),"")</f>
        <v>3005</v>
      </c>
      <c r="G13" s="37">
        <f>IFERROR(ROUND(('DCF Model'!C45/(1+$B13)^('DCF Model'!C19+0)+'DCF Model'!D45/(1+$B13)^('DCF Model'!C19+1)+'DCF Model'!E45/(1+$B13)^('DCF Model'!C19+2)+'DCF Model'!F45/(1+$B13)^('DCF Model'!C19+3)+'DCF Model'!G45/(1+$B13)^('DCF Model'!C19+4)+'DCF Model'!G45*(1+G$6)/($B13-G$6)/(1+$B13)^('DCF Model'!C19+4)-'DCF Model'!C16)*1000000/'DCF Model'!C15,0),"")</f>
        <v>3094</v>
      </c>
      <c r="H13" s="37">
        <f>IFERROR(ROUND(('DCF Model'!C45/(1+$B13)^('DCF Model'!C19+0)+'DCF Model'!D45/(1+$B13)^('DCF Model'!C19+1)+'DCF Model'!E45/(1+$B13)^('DCF Model'!C19+2)+'DCF Model'!F45/(1+$B13)^('DCF Model'!C19+3)+'DCF Model'!G45/(1+$B13)^('DCF Model'!C19+4)+'DCF Model'!G45*(1+H$6)/($B13-H$6)/(1+$B13)^('DCF Model'!C19+4)-'DCF Model'!C16)*1000000/'DCF Model'!C15,0),"")</f>
        <v>3190</v>
      </c>
      <c r="I13" s="37">
        <f>IFERROR(ROUND(('DCF Model'!C45/(1+$B13)^('DCF Model'!C19+0)+'DCF Model'!D45/(1+$B13)^('DCF Model'!C19+1)+'DCF Model'!E45/(1+$B13)^('DCF Model'!C19+2)+'DCF Model'!F45/(1+$B13)^('DCF Model'!C19+3)+'DCF Model'!G45/(1+$B13)^('DCF Model'!C19+4)+'DCF Model'!G45*(1+I$6)/($B13-I$6)/(1+$B13)^('DCF Model'!C19+4)-'DCF Model'!C16)*1000000/'DCF Model'!C15,0),"")</f>
        <v>3294</v>
      </c>
    </row>
    <row r="16" spans="2:9" ht="14" x14ac:dyDescent="0.3">
      <c r="B16" s="3" t="s">
        <v>239</v>
      </c>
    </row>
    <row r="17" spans="2:9" ht="14" x14ac:dyDescent="0.3">
      <c r="B17" s="40" t="s">
        <v>240</v>
      </c>
      <c r="C17" s="42">
        <f>$I$3-3</f>
        <v>7.9</v>
      </c>
      <c r="D17" s="42">
        <f>$I$3-2</f>
        <v>8.9</v>
      </c>
      <c r="E17" s="42">
        <f>$I$3-1</f>
        <v>9.9</v>
      </c>
      <c r="F17" s="42">
        <f>$I$3</f>
        <v>10.9</v>
      </c>
      <c r="G17" s="42">
        <f>$I$3+1</f>
        <v>11.9</v>
      </c>
      <c r="H17" s="42">
        <f>$I$3+2</f>
        <v>12.9</v>
      </c>
      <c r="I17" s="42">
        <f>$I$3+3</f>
        <v>13.9</v>
      </c>
    </row>
    <row r="18" spans="2:9" ht="13.5" x14ac:dyDescent="0.25">
      <c r="B18" s="39">
        <f>$C$3-0.015</f>
        <v>5.0642019287541834E-2</v>
      </c>
      <c r="C18" s="37">
        <f>IFERROR(ROUND(('DCF Model'!C45/(1+$B18)^('DCF Model'!C19+0)+'DCF Model'!D45/(1+$B18)^('DCF Model'!C19+1)+'DCF Model'!E45/(1+$B18)^('DCF Model'!C19+2)+'DCF Model'!F45/(1+$B18)^('DCF Model'!C19+3)+'DCF Model'!G45/(1+$B18)^('DCF Model'!C19+4)+('DCF Model'!G39+'DCF Model'!G42)*C$17/(1+$B18)^('DCF Model'!C19+4)-'DCF Model'!C16)*1000000/'DCF Model'!C15,0),"")</f>
        <v>4529</v>
      </c>
      <c r="D18" s="37">
        <f>IFERROR(ROUND(('DCF Model'!C45/(1+$B18)^('DCF Model'!C19+0)+'DCF Model'!D45/(1+$B18)^('DCF Model'!C19+1)+'DCF Model'!E45/(1+$B18)^('DCF Model'!C19+2)+'DCF Model'!F45/(1+$B18)^('DCF Model'!C19+3)+'DCF Model'!G45/(1+$B18)^('DCF Model'!C19+4)+('DCF Model'!G39+'DCF Model'!G42)*D$17/(1+$B18)^('DCF Model'!C19+4)-'DCF Model'!C16)*1000000/'DCF Model'!C15,0),"")</f>
        <v>5002</v>
      </c>
      <c r="E18" s="37">
        <f>IFERROR(ROUND(('DCF Model'!C45/(1+$B18)^('DCF Model'!C19+0)+'DCF Model'!D45/(1+$B18)^('DCF Model'!C19+1)+'DCF Model'!E45/(1+$B18)^('DCF Model'!C19+2)+'DCF Model'!F45/(1+$B18)^('DCF Model'!C19+3)+'DCF Model'!G45/(1+$B18)^('DCF Model'!C19+4)+('DCF Model'!G39+'DCF Model'!G42)*E$17/(1+$B18)^('DCF Model'!C19+4)-'DCF Model'!C16)*1000000/'DCF Model'!C15,0),"")</f>
        <v>5474</v>
      </c>
      <c r="F18" s="37">
        <f>IFERROR(ROUND(('DCF Model'!C45/(1+$B18)^('DCF Model'!C19+0)+'DCF Model'!D45/(1+$B18)^('DCF Model'!C19+1)+'DCF Model'!E45/(1+$B18)^('DCF Model'!C19+2)+'DCF Model'!F45/(1+$B18)^('DCF Model'!C19+3)+'DCF Model'!G45/(1+$B18)^('DCF Model'!C19+4)+('DCF Model'!G39+'DCF Model'!G42)*F$17/(1+$B18)^('DCF Model'!C19+4)-'DCF Model'!C16)*1000000/'DCF Model'!C15,0),"")</f>
        <v>5946</v>
      </c>
      <c r="G18" s="37">
        <f>IFERROR(ROUND(('DCF Model'!C45/(1+$B18)^('DCF Model'!C19+0)+'DCF Model'!D45/(1+$B18)^('DCF Model'!C19+1)+'DCF Model'!E45/(1+$B18)^('DCF Model'!C19+2)+'DCF Model'!F45/(1+$B18)^('DCF Model'!C19+3)+'DCF Model'!G45/(1+$B18)^('DCF Model'!C19+4)+('DCF Model'!G39+'DCF Model'!G42)*G$17/(1+$B18)^('DCF Model'!C19+4)-'DCF Model'!C16)*1000000/'DCF Model'!C15,0),"")</f>
        <v>6419</v>
      </c>
      <c r="H18" s="37">
        <f>IFERROR(ROUND(('DCF Model'!C45/(1+$B18)^('DCF Model'!C19+0)+'DCF Model'!D45/(1+$B18)^('DCF Model'!C19+1)+'DCF Model'!E45/(1+$B18)^('DCF Model'!C19+2)+'DCF Model'!F45/(1+$B18)^('DCF Model'!C19+3)+'DCF Model'!G45/(1+$B18)^('DCF Model'!C19+4)+('DCF Model'!G39+'DCF Model'!G42)*H$17/(1+$B18)^('DCF Model'!C19+4)-'DCF Model'!C16)*1000000/'DCF Model'!C15,0),"")</f>
        <v>6891</v>
      </c>
      <c r="I18" s="37">
        <f>IFERROR(ROUND(('DCF Model'!C45/(1+$B18)^('DCF Model'!C19+0)+'DCF Model'!D45/(1+$B18)^('DCF Model'!C19+1)+'DCF Model'!E45/(1+$B18)^('DCF Model'!C19+2)+'DCF Model'!F45/(1+$B18)^('DCF Model'!C19+3)+'DCF Model'!G45/(1+$B18)^('DCF Model'!C19+4)+('DCF Model'!G39+'DCF Model'!G42)*I$17/(1+$B18)^('DCF Model'!C19+4)-'DCF Model'!C16)*1000000/'DCF Model'!C15,0),"")</f>
        <v>7363</v>
      </c>
    </row>
    <row r="19" spans="2:9" ht="13.5" x14ac:dyDescent="0.25">
      <c r="B19" s="39">
        <f>$C$3-0.01</f>
        <v>5.5642019287541832E-2</v>
      </c>
      <c r="C19" s="37">
        <f>IFERROR(ROUND(('DCF Model'!C45/(1+$B19)^('DCF Model'!C19+0)+'DCF Model'!D45/(1+$B19)^('DCF Model'!C19+1)+'DCF Model'!E45/(1+$B19)^('DCF Model'!C19+2)+'DCF Model'!F45/(1+$B19)^('DCF Model'!C19+3)+'DCF Model'!G45/(1+$B19)^('DCF Model'!C19+4)+('DCF Model'!G39+'DCF Model'!G42)*C$17/(1+$B19)^('DCF Model'!C19+4)-'DCF Model'!C16)*1000000/'DCF Model'!C15,0),"")</f>
        <v>4430</v>
      </c>
      <c r="D19" s="37">
        <f>IFERROR(ROUND(('DCF Model'!C45/(1+$B19)^('DCF Model'!C19+0)+'DCF Model'!D45/(1+$B19)^('DCF Model'!C19+1)+'DCF Model'!E45/(1+$B19)^('DCF Model'!C19+2)+'DCF Model'!F45/(1+$B19)^('DCF Model'!C19+3)+'DCF Model'!G45/(1+$B19)^('DCF Model'!C19+4)+('DCF Model'!G39+'DCF Model'!G42)*D$17/(1+$B19)^('DCF Model'!C19+4)-'DCF Model'!C16)*1000000/'DCF Model'!C15,0),"")</f>
        <v>4891</v>
      </c>
      <c r="E19" s="37">
        <f>IFERROR(ROUND(('DCF Model'!C45/(1+$B19)^('DCF Model'!C19+0)+'DCF Model'!D45/(1+$B19)^('DCF Model'!C19+1)+'DCF Model'!E45/(1+$B19)^('DCF Model'!C19+2)+'DCF Model'!F45/(1+$B19)^('DCF Model'!C19+3)+'DCF Model'!G45/(1+$B19)^('DCF Model'!C19+4)+('DCF Model'!G39+'DCF Model'!G42)*E$17/(1+$B19)^('DCF Model'!C19+4)-'DCF Model'!C16)*1000000/'DCF Model'!C15,0),"")</f>
        <v>5352</v>
      </c>
      <c r="F19" s="37">
        <f>IFERROR(ROUND(('DCF Model'!C45/(1+$B19)^('DCF Model'!C19+0)+'DCF Model'!D45/(1+$B19)^('DCF Model'!C19+1)+'DCF Model'!E45/(1+$B19)^('DCF Model'!C19+2)+'DCF Model'!F45/(1+$B19)^('DCF Model'!C19+3)+'DCF Model'!G45/(1+$B19)^('DCF Model'!C19+4)+('DCF Model'!G39+'DCF Model'!G42)*F$17/(1+$B19)^('DCF Model'!C19+4)-'DCF Model'!C16)*1000000/'DCF Model'!C15,0),"")</f>
        <v>5814</v>
      </c>
      <c r="G19" s="37">
        <f>IFERROR(ROUND(('DCF Model'!C45/(1+$B19)^('DCF Model'!C19+0)+'DCF Model'!D45/(1+$B19)^('DCF Model'!C19+1)+'DCF Model'!E45/(1+$B19)^('DCF Model'!C19+2)+'DCF Model'!F45/(1+$B19)^('DCF Model'!C19+3)+'DCF Model'!G45/(1+$B19)^('DCF Model'!C19+4)+('DCF Model'!G39+'DCF Model'!G42)*G$17/(1+$B19)^('DCF Model'!C19+4)-'DCF Model'!C16)*1000000/'DCF Model'!C15,0),"")</f>
        <v>6275</v>
      </c>
      <c r="H19" s="37">
        <f>IFERROR(ROUND(('DCF Model'!C45/(1+$B19)^('DCF Model'!C19+0)+'DCF Model'!D45/(1+$B19)^('DCF Model'!C19+1)+'DCF Model'!E45/(1+$B19)^('DCF Model'!C19+2)+'DCF Model'!F45/(1+$B19)^('DCF Model'!C19+3)+'DCF Model'!G45/(1+$B19)^('DCF Model'!C19+4)+('DCF Model'!G39+'DCF Model'!G42)*H$17/(1+$B19)^('DCF Model'!C19+4)-'DCF Model'!C16)*1000000/'DCF Model'!C15,0),"")</f>
        <v>6736</v>
      </c>
      <c r="I19" s="37">
        <f>IFERROR(ROUND(('DCF Model'!C45/(1+$B19)^('DCF Model'!C19+0)+'DCF Model'!D45/(1+$B19)^('DCF Model'!C19+1)+'DCF Model'!E45/(1+$B19)^('DCF Model'!C19+2)+'DCF Model'!F45/(1+$B19)^('DCF Model'!C19+3)+'DCF Model'!G45/(1+$B19)^('DCF Model'!C19+4)+('DCF Model'!G39+'DCF Model'!G42)*I$17/(1+$B19)^('DCF Model'!C19+4)-'DCF Model'!C16)*1000000/'DCF Model'!C15,0),"")</f>
        <v>7197</v>
      </c>
    </row>
    <row r="20" spans="2:9" ht="13.5" x14ac:dyDescent="0.25">
      <c r="B20" s="39">
        <f>$C$3-0.005</f>
        <v>6.0642019287541836E-2</v>
      </c>
      <c r="C20" s="37">
        <f>IFERROR(ROUND(('DCF Model'!C45/(1+$B20)^('DCF Model'!C19+0)+'DCF Model'!D45/(1+$B20)^('DCF Model'!C19+1)+'DCF Model'!E45/(1+$B20)^('DCF Model'!C19+2)+'DCF Model'!F45/(1+$B20)^('DCF Model'!C19+3)+'DCF Model'!G45/(1+$B20)^('DCF Model'!C19+4)+('DCF Model'!G39+'DCF Model'!G42)*C$17/(1+$B20)^('DCF Model'!C19+4)-'DCF Model'!C16)*1000000/'DCF Model'!C15,0),"")</f>
        <v>4333</v>
      </c>
      <c r="D20" s="37">
        <f>IFERROR(ROUND(('DCF Model'!C45/(1+$B20)^('DCF Model'!C19+0)+'DCF Model'!D45/(1+$B20)^('DCF Model'!C19+1)+'DCF Model'!E45/(1+$B20)^('DCF Model'!C19+2)+'DCF Model'!F45/(1+$B20)^('DCF Model'!C19+3)+'DCF Model'!G45/(1+$B20)^('DCF Model'!C19+4)+('DCF Model'!G39+'DCF Model'!G42)*D$17/(1+$B20)^('DCF Model'!C19+4)-'DCF Model'!C16)*1000000/'DCF Model'!C15,0),"")</f>
        <v>4784</v>
      </c>
      <c r="E20" s="37">
        <f>IFERROR(ROUND(('DCF Model'!C45/(1+$B20)^('DCF Model'!C19+0)+'DCF Model'!D45/(1+$B20)^('DCF Model'!C19+1)+'DCF Model'!E45/(1+$B20)^('DCF Model'!C19+2)+'DCF Model'!F45/(1+$B20)^('DCF Model'!C19+3)+'DCF Model'!G45/(1+$B20)^('DCF Model'!C19+4)+('DCF Model'!G39+'DCF Model'!G42)*E$17/(1+$B20)^('DCF Model'!C19+4)-'DCF Model'!C16)*1000000/'DCF Model'!C15,0),"")</f>
        <v>5234</v>
      </c>
      <c r="F20" s="37">
        <f>IFERROR(ROUND(('DCF Model'!C45/(1+$B20)^('DCF Model'!C19+0)+'DCF Model'!D45/(1+$B20)^('DCF Model'!C19+1)+'DCF Model'!E45/(1+$B20)^('DCF Model'!C19+2)+'DCF Model'!F45/(1+$B20)^('DCF Model'!C19+3)+'DCF Model'!G45/(1+$B20)^('DCF Model'!C19+4)+('DCF Model'!G39+'DCF Model'!G42)*F$17/(1+$B20)^('DCF Model'!C19+4)-'DCF Model'!C16)*1000000/'DCF Model'!C15,0),"")</f>
        <v>5684</v>
      </c>
      <c r="G20" s="37">
        <f>IFERROR(ROUND(('DCF Model'!C45/(1+$B20)^('DCF Model'!C19+0)+'DCF Model'!D45/(1+$B20)^('DCF Model'!C19+1)+'DCF Model'!E45/(1+$B20)^('DCF Model'!C19+2)+'DCF Model'!F45/(1+$B20)^('DCF Model'!C19+3)+'DCF Model'!G45/(1+$B20)^('DCF Model'!C19+4)+('DCF Model'!G39+'DCF Model'!G42)*G$17/(1+$B20)^('DCF Model'!C19+4)-'DCF Model'!C16)*1000000/'DCF Model'!C15,0),"")</f>
        <v>6135</v>
      </c>
      <c r="H20" s="37">
        <f>IFERROR(ROUND(('DCF Model'!C45/(1+$B20)^('DCF Model'!C19+0)+'DCF Model'!D45/(1+$B20)^('DCF Model'!C19+1)+'DCF Model'!E45/(1+$B20)^('DCF Model'!C19+2)+'DCF Model'!F45/(1+$B20)^('DCF Model'!C19+3)+'DCF Model'!G45/(1+$B20)^('DCF Model'!C19+4)+('DCF Model'!G39+'DCF Model'!G42)*H$17/(1+$B20)^('DCF Model'!C19+4)-'DCF Model'!C16)*1000000/'DCF Model'!C15,0),"")</f>
        <v>6585</v>
      </c>
      <c r="I20" s="37">
        <f>IFERROR(ROUND(('DCF Model'!C45/(1+$B20)^('DCF Model'!C19+0)+'DCF Model'!D45/(1+$B20)^('DCF Model'!C19+1)+'DCF Model'!E45/(1+$B20)^('DCF Model'!C19+2)+'DCF Model'!F45/(1+$B20)^('DCF Model'!C19+3)+'DCF Model'!G45/(1+$B20)^('DCF Model'!C19+4)+('DCF Model'!G39+'DCF Model'!G42)*I$17/(1+$B20)^('DCF Model'!C19+4)-'DCF Model'!C16)*1000000/'DCF Model'!C15,0),"")</f>
        <v>7036</v>
      </c>
    </row>
    <row r="21" spans="2:9" ht="13.5" x14ac:dyDescent="0.25">
      <c r="B21" s="39">
        <f>$C$3</f>
        <v>6.5642019287541833E-2</v>
      </c>
      <c r="C21" s="37">
        <f>IFERROR(ROUND(('DCF Model'!C45/(1+$B21)^('DCF Model'!C19+0)+'DCF Model'!D45/(1+$B21)^('DCF Model'!C19+1)+'DCF Model'!E45/(1+$B21)^('DCF Model'!C19+2)+'DCF Model'!F45/(1+$B21)^('DCF Model'!C19+3)+'DCF Model'!G45/(1+$B21)^('DCF Model'!C19+4)+('DCF Model'!G39+'DCF Model'!G42)*C$17/(1+$B21)^('DCF Model'!C19+4)-'DCF Model'!C16)*1000000/'DCF Model'!C15,0),"")</f>
        <v>4239</v>
      </c>
      <c r="D21" s="37">
        <f>IFERROR(ROUND(('DCF Model'!C45/(1+$B21)^('DCF Model'!C19+0)+'DCF Model'!D45/(1+$B21)^('DCF Model'!C19+1)+'DCF Model'!E45/(1+$B21)^('DCF Model'!C19+2)+'DCF Model'!F45/(1+$B21)^('DCF Model'!C19+3)+'DCF Model'!G45/(1+$B21)^('DCF Model'!C19+4)+('DCF Model'!G39+'DCF Model'!G42)*D$17/(1+$B21)^('DCF Model'!C19+4)-'DCF Model'!C16)*1000000/'DCF Model'!C15,0),"")</f>
        <v>4679</v>
      </c>
      <c r="E21" s="37">
        <f>IFERROR(ROUND(('DCF Model'!C45/(1+$B21)^('DCF Model'!C19+0)+'DCF Model'!D45/(1+$B21)^('DCF Model'!C19+1)+'DCF Model'!E45/(1+$B21)^('DCF Model'!C19+2)+'DCF Model'!F45/(1+$B21)^('DCF Model'!C19+3)+'DCF Model'!G45/(1+$B21)^('DCF Model'!C19+4)+('DCF Model'!G39+'DCF Model'!G42)*E$17/(1+$B21)^('DCF Model'!C19+4)-'DCF Model'!C16)*1000000/'DCF Model'!C15,0),"")</f>
        <v>5119</v>
      </c>
      <c r="F21" s="37">
        <f>IFERROR(ROUND(('DCF Model'!C45/(1+$B21)^('DCF Model'!C19+0)+'DCF Model'!D45/(1+$B21)^('DCF Model'!C19+1)+'DCF Model'!E45/(1+$B21)^('DCF Model'!C19+2)+'DCF Model'!F45/(1+$B21)^('DCF Model'!C19+3)+'DCF Model'!G45/(1+$B21)^('DCF Model'!C19+4)+('DCF Model'!G39+'DCF Model'!G42)*F$17/(1+$B21)^('DCF Model'!C19+4)-'DCF Model'!C16)*1000000/'DCF Model'!C15,0),"")</f>
        <v>5559</v>
      </c>
      <c r="G21" s="37">
        <f>IFERROR(ROUND(('DCF Model'!C45/(1+$B21)^('DCF Model'!C19+0)+'DCF Model'!D45/(1+$B21)^('DCF Model'!C19+1)+'DCF Model'!E45/(1+$B21)^('DCF Model'!C19+2)+'DCF Model'!F45/(1+$B21)^('DCF Model'!C19+3)+'DCF Model'!G45/(1+$B21)^('DCF Model'!C19+4)+('DCF Model'!G39+'DCF Model'!G42)*G$17/(1+$B21)^('DCF Model'!C19+4)-'DCF Model'!C16)*1000000/'DCF Model'!C15,0),"")</f>
        <v>5999</v>
      </c>
      <c r="H21" s="37">
        <f>IFERROR(ROUND(('DCF Model'!C45/(1+$B21)^('DCF Model'!C19+0)+'DCF Model'!D45/(1+$B21)^('DCF Model'!C19+1)+'DCF Model'!E45/(1+$B21)^('DCF Model'!C19+2)+'DCF Model'!F45/(1+$B21)^('DCF Model'!C19+3)+'DCF Model'!G45/(1+$B21)^('DCF Model'!C19+4)+('DCF Model'!G39+'DCF Model'!G42)*H$17/(1+$B21)^('DCF Model'!C19+4)-'DCF Model'!C16)*1000000/'DCF Model'!C15,0),"")</f>
        <v>6439</v>
      </c>
      <c r="I21" s="37">
        <f>IFERROR(ROUND(('DCF Model'!C45/(1+$B21)^('DCF Model'!C19+0)+'DCF Model'!D45/(1+$B21)^('DCF Model'!C19+1)+'DCF Model'!E45/(1+$B21)^('DCF Model'!C19+2)+'DCF Model'!F45/(1+$B21)^('DCF Model'!C19+3)+'DCF Model'!G45/(1+$B21)^('DCF Model'!C19+4)+('DCF Model'!G39+'DCF Model'!G42)*I$17/(1+$B21)^('DCF Model'!C19+4)-'DCF Model'!C16)*1000000/'DCF Model'!C15,0),"")</f>
        <v>6879</v>
      </c>
    </row>
    <row r="22" spans="2:9" ht="13.5" x14ac:dyDescent="0.25">
      <c r="B22" s="39">
        <f>$C$3+0.005</f>
        <v>7.0642019287541838E-2</v>
      </c>
      <c r="C22" s="37">
        <f>IFERROR(ROUND(('DCF Model'!C45/(1+$B22)^('DCF Model'!C19+0)+'DCF Model'!D45/(1+$B22)^('DCF Model'!C19+1)+'DCF Model'!E45/(1+$B22)^('DCF Model'!C19+2)+'DCF Model'!F45/(1+$B22)^('DCF Model'!C19+3)+'DCF Model'!G45/(1+$B22)^('DCF Model'!C19+4)+('DCF Model'!G39+'DCF Model'!G42)*C$17/(1+$B22)^('DCF Model'!C19+4)-'DCF Model'!C16)*1000000/'DCF Model'!C15,0),"")</f>
        <v>4147</v>
      </c>
      <c r="D22" s="37">
        <f>IFERROR(ROUND(('DCF Model'!C45/(1+$B22)^('DCF Model'!C19+0)+'DCF Model'!D45/(1+$B22)^('DCF Model'!C19+1)+'DCF Model'!E45/(1+$B22)^('DCF Model'!C19+2)+'DCF Model'!F45/(1+$B22)^('DCF Model'!C19+3)+'DCF Model'!G45/(1+$B22)^('DCF Model'!C19+4)+('DCF Model'!G39+'DCF Model'!G42)*D$17/(1+$B22)^('DCF Model'!C19+4)-'DCF Model'!C16)*1000000/'DCF Model'!C15,0),"")</f>
        <v>4577</v>
      </c>
      <c r="E22" s="37">
        <f>IFERROR(ROUND(('DCF Model'!C45/(1+$B22)^('DCF Model'!C19+0)+'DCF Model'!D45/(1+$B22)^('DCF Model'!C19+1)+'DCF Model'!E45/(1+$B22)^('DCF Model'!C19+2)+'DCF Model'!F45/(1+$B22)^('DCF Model'!C19+3)+'DCF Model'!G45/(1+$B22)^('DCF Model'!C19+4)+('DCF Model'!G39+'DCF Model'!G42)*E$17/(1+$B22)^('DCF Model'!C19+4)-'DCF Model'!C16)*1000000/'DCF Model'!C15,0),"")</f>
        <v>5007</v>
      </c>
      <c r="F22" s="37">
        <f>IFERROR(ROUND(('DCF Model'!C45/(1+$B22)^('DCF Model'!C19+0)+'DCF Model'!D45/(1+$B22)^('DCF Model'!C19+1)+'DCF Model'!E45/(1+$B22)^('DCF Model'!C19+2)+'DCF Model'!F45/(1+$B22)^('DCF Model'!C19+3)+'DCF Model'!G45/(1+$B22)^('DCF Model'!C19+4)+('DCF Model'!G39+'DCF Model'!G42)*F$17/(1+$B22)^('DCF Model'!C19+4)-'DCF Model'!C16)*1000000/'DCF Model'!C15,0),"")</f>
        <v>5437</v>
      </c>
      <c r="G22" s="37">
        <f>IFERROR(ROUND(('DCF Model'!C45/(1+$B22)^('DCF Model'!C19+0)+'DCF Model'!D45/(1+$B22)^('DCF Model'!C19+1)+'DCF Model'!E45/(1+$B22)^('DCF Model'!C19+2)+'DCF Model'!F45/(1+$B22)^('DCF Model'!C19+3)+'DCF Model'!G45/(1+$B22)^('DCF Model'!C19+4)+('DCF Model'!G39+'DCF Model'!G42)*G$17/(1+$B22)^('DCF Model'!C19+4)-'DCF Model'!C16)*1000000/'DCF Model'!C15,0),"")</f>
        <v>5866</v>
      </c>
      <c r="H22" s="37">
        <f>IFERROR(ROUND(('DCF Model'!C45/(1+$B22)^('DCF Model'!C19+0)+'DCF Model'!D45/(1+$B22)^('DCF Model'!C19+1)+'DCF Model'!E45/(1+$B22)^('DCF Model'!C19+2)+'DCF Model'!F45/(1+$B22)^('DCF Model'!C19+3)+'DCF Model'!G45/(1+$B22)^('DCF Model'!C19+4)+('DCF Model'!G39+'DCF Model'!G42)*H$17/(1+$B22)^('DCF Model'!C19+4)-'DCF Model'!C16)*1000000/'DCF Model'!C15,0),"")</f>
        <v>6296</v>
      </c>
      <c r="I22" s="37">
        <f>IFERROR(ROUND(('DCF Model'!C45/(1+$B22)^('DCF Model'!C19+0)+'DCF Model'!D45/(1+$B22)^('DCF Model'!C19+1)+'DCF Model'!E45/(1+$B22)^('DCF Model'!C19+2)+'DCF Model'!F45/(1+$B22)^('DCF Model'!C19+3)+'DCF Model'!G45/(1+$B22)^('DCF Model'!C19+4)+('DCF Model'!G39+'DCF Model'!G42)*I$17/(1+$B22)^('DCF Model'!C19+4)-'DCF Model'!C16)*1000000/'DCF Model'!C15,0),"")</f>
        <v>6726</v>
      </c>
    </row>
    <row r="23" spans="2:9" ht="13.5" x14ac:dyDescent="0.25">
      <c r="B23" s="39">
        <f>$C$3+0.01</f>
        <v>7.5642019287541828E-2</v>
      </c>
      <c r="C23" s="37">
        <f>IFERROR(ROUND(('DCF Model'!C45/(1+$B23)^('DCF Model'!C19+0)+'DCF Model'!D45/(1+$B23)^('DCF Model'!C19+1)+'DCF Model'!E45/(1+$B23)^('DCF Model'!C19+2)+'DCF Model'!F45/(1+$B23)^('DCF Model'!C19+3)+'DCF Model'!G45/(1+$B23)^('DCF Model'!C19+4)+('DCF Model'!G39+'DCF Model'!G42)*C$17/(1+$B23)^('DCF Model'!C19+4)-'DCF Model'!C16)*1000000/'DCF Model'!C15,0),"")</f>
        <v>4058</v>
      </c>
      <c r="D23" s="37">
        <f>IFERROR(ROUND(('DCF Model'!C45/(1+$B23)^('DCF Model'!C19+0)+'DCF Model'!D45/(1+$B23)^('DCF Model'!C19+1)+'DCF Model'!E45/(1+$B23)^('DCF Model'!C19+2)+'DCF Model'!F45/(1+$B23)^('DCF Model'!C19+3)+'DCF Model'!G45/(1+$B23)^('DCF Model'!C19+4)+('DCF Model'!G39+'DCF Model'!G42)*D$17/(1+$B23)^('DCF Model'!C19+4)-'DCF Model'!C16)*1000000/'DCF Model'!C15,0),"")</f>
        <v>4478</v>
      </c>
      <c r="E23" s="37">
        <f>IFERROR(ROUND(('DCF Model'!C45/(1+$B23)^('DCF Model'!C19+0)+'DCF Model'!D45/(1+$B23)^('DCF Model'!C19+1)+'DCF Model'!E45/(1+$B23)^('DCF Model'!C19+2)+'DCF Model'!F45/(1+$B23)^('DCF Model'!C19+3)+'DCF Model'!G45/(1+$B23)^('DCF Model'!C19+4)+('DCF Model'!G39+'DCF Model'!G42)*E$17/(1+$B23)^('DCF Model'!C19+4)-'DCF Model'!C16)*1000000/'DCF Model'!C15,0),"")</f>
        <v>4898</v>
      </c>
      <c r="F23" s="37">
        <f>IFERROR(ROUND(('DCF Model'!C45/(1+$B23)^('DCF Model'!C19+0)+'DCF Model'!D45/(1+$B23)^('DCF Model'!C19+1)+'DCF Model'!E45/(1+$B23)^('DCF Model'!C19+2)+'DCF Model'!F45/(1+$B23)^('DCF Model'!C19+3)+'DCF Model'!G45/(1+$B23)^('DCF Model'!C19+4)+('DCF Model'!G39+'DCF Model'!G42)*F$17/(1+$B23)^('DCF Model'!C19+4)-'DCF Model'!C16)*1000000/'DCF Model'!C15,0),"")</f>
        <v>5318</v>
      </c>
      <c r="G23" s="37">
        <f>IFERROR(ROUND(('DCF Model'!C45/(1+$B23)^('DCF Model'!C19+0)+'DCF Model'!D45/(1+$B23)^('DCF Model'!C19+1)+'DCF Model'!E45/(1+$B23)^('DCF Model'!C19+2)+'DCF Model'!F45/(1+$B23)^('DCF Model'!C19+3)+'DCF Model'!G45/(1+$B23)^('DCF Model'!C19+4)+('DCF Model'!G39+'DCF Model'!G42)*G$17/(1+$B23)^('DCF Model'!C19+4)-'DCF Model'!C16)*1000000/'DCF Model'!C15,0),"")</f>
        <v>5738</v>
      </c>
      <c r="H23" s="37">
        <f>IFERROR(ROUND(('DCF Model'!C45/(1+$B23)^('DCF Model'!C19+0)+'DCF Model'!D45/(1+$B23)^('DCF Model'!C19+1)+'DCF Model'!E45/(1+$B23)^('DCF Model'!C19+2)+'DCF Model'!F45/(1+$B23)^('DCF Model'!C19+3)+'DCF Model'!G45/(1+$B23)^('DCF Model'!C19+4)+('DCF Model'!G39+'DCF Model'!G42)*H$17/(1+$B23)^('DCF Model'!C19+4)-'DCF Model'!C16)*1000000/'DCF Model'!C15,0),"")</f>
        <v>6158</v>
      </c>
      <c r="I23" s="37">
        <f>IFERROR(ROUND(('DCF Model'!C45/(1+$B23)^('DCF Model'!C19+0)+'DCF Model'!D45/(1+$B23)^('DCF Model'!C19+1)+'DCF Model'!E45/(1+$B23)^('DCF Model'!C19+2)+'DCF Model'!F45/(1+$B23)^('DCF Model'!C19+3)+'DCF Model'!G45/(1+$B23)^('DCF Model'!C19+4)+('DCF Model'!G39+'DCF Model'!G42)*I$17/(1+$B23)^('DCF Model'!C19+4)-'DCF Model'!C16)*1000000/'DCF Model'!C15,0),"")</f>
        <v>6578</v>
      </c>
    </row>
    <row r="24" spans="2:9" ht="13.5" x14ac:dyDescent="0.25">
      <c r="B24" s="39">
        <f>$C$3+0.015</f>
        <v>8.0642019287541833E-2</v>
      </c>
      <c r="C24" s="37">
        <f>IFERROR(ROUND(('DCF Model'!C45/(1+$B24)^('DCF Model'!C19+0)+'DCF Model'!D45/(1+$B24)^('DCF Model'!C19+1)+'DCF Model'!E45/(1+$B24)^('DCF Model'!C19+2)+'DCF Model'!F45/(1+$B24)^('DCF Model'!C19+3)+'DCF Model'!G45/(1+$B24)^('DCF Model'!C19+4)+('DCF Model'!G39+'DCF Model'!G42)*C$17/(1+$B24)^('DCF Model'!C19+4)-'DCF Model'!C16)*1000000/'DCF Model'!C15,0),"")</f>
        <v>3971</v>
      </c>
      <c r="D24" s="37">
        <f>IFERROR(ROUND(('DCF Model'!C45/(1+$B24)^('DCF Model'!C19+0)+'DCF Model'!D45/(1+$B24)^('DCF Model'!C19+1)+'DCF Model'!E45/(1+$B24)^('DCF Model'!C19+2)+'DCF Model'!F45/(1+$B24)^('DCF Model'!C19+3)+'DCF Model'!G45/(1+$B24)^('DCF Model'!C19+4)+('DCF Model'!G39+'DCF Model'!G42)*D$17/(1+$B24)^('DCF Model'!C19+4)-'DCF Model'!C16)*1000000/'DCF Model'!C15,0),"")</f>
        <v>4381</v>
      </c>
      <c r="E24" s="37">
        <f>IFERROR(ROUND(('DCF Model'!C45/(1+$B24)^('DCF Model'!C19+0)+'DCF Model'!D45/(1+$B24)^('DCF Model'!C19+1)+'DCF Model'!E45/(1+$B24)^('DCF Model'!C19+2)+'DCF Model'!F45/(1+$B24)^('DCF Model'!C19+3)+'DCF Model'!G45/(1+$B24)^('DCF Model'!C19+4)+('DCF Model'!G39+'DCF Model'!G42)*E$17/(1+$B24)^('DCF Model'!C19+4)-'DCF Model'!C16)*1000000/'DCF Model'!C15,0),"")</f>
        <v>4792</v>
      </c>
      <c r="F24" s="37">
        <f>IFERROR(ROUND(('DCF Model'!C45/(1+$B24)^('DCF Model'!C19+0)+'DCF Model'!D45/(1+$B24)^('DCF Model'!C19+1)+'DCF Model'!E45/(1+$B24)^('DCF Model'!C19+2)+'DCF Model'!F45/(1+$B24)^('DCF Model'!C19+3)+'DCF Model'!G45/(1+$B24)^('DCF Model'!C19+4)+('DCF Model'!G39+'DCF Model'!G42)*F$17/(1+$B24)^('DCF Model'!C19+4)-'DCF Model'!C16)*1000000/'DCF Model'!C15,0),"")</f>
        <v>5202</v>
      </c>
      <c r="G24" s="37">
        <f>IFERROR(ROUND(('DCF Model'!C45/(1+$B24)^('DCF Model'!C19+0)+'DCF Model'!D45/(1+$B24)^('DCF Model'!C19+1)+'DCF Model'!E45/(1+$B24)^('DCF Model'!C19+2)+'DCF Model'!F45/(1+$B24)^('DCF Model'!C19+3)+'DCF Model'!G45/(1+$B24)^('DCF Model'!C19+4)+('DCF Model'!G39+'DCF Model'!G42)*G$17/(1+$B24)^('DCF Model'!C19+4)-'DCF Model'!C16)*1000000/'DCF Model'!C15,0),"")</f>
        <v>5612</v>
      </c>
      <c r="H24" s="37">
        <f>IFERROR(ROUND(('DCF Model'!C45/(1+$B24)^('DCF Model'!C19+0)+'DCF Model'!D45/(1+$B24)^('DCF Model'!C19+1)+'DCF Model'!E45/(1+$B24)^('DCF Model'!C19+2)+'DCF Model'!F45/(1+$B24)^('DCF Model'!C19+3)+'DCF Model'!G45/(1+$B24)^('DCF Model'!C19+4)+('DCF Model'!G39+'DCF Model'!G42)*H$17/(1+$B24)^('DCF Model'!C19+4)-'DCF Model'!C16)*1000000/'DCF Model'!C15,0),"")</f>
        <v>6023</v>
      </c>
      <c r="I24" s="37">
        <f>IFERROR(ROUND(('DCF Model'!C45/(1+$B24)^('DCF Model'!C19+0)+'DCF Model'!D45/(1+$B24)^('DCF Model'!C19+1)+'DCF Model'!E45/(1+$B24)^('DCF Model'!C19+2)+'DCF Model'!F45/(1+$B24)^('DCF Model'!C19+3)+'DCF Model'!G45/(1+$B24)^('DCF Model'!C19+4)+('DCF Model'!G39+'DCF Model'!G42)*I$17/(1+$B24)^('DCF Model'!C19+4)-'DCF Model'!C16)*1000000/'DCF Model'!C15,0),"")</f>
        <v>6433</v>
      </c>
    </row>
    <row r="26" spans="2:9" ht="14" x14ac:dyDescent="0.3">
      <c r="B26" s="45" t="s">
        <v>241</v>
      </c>
      <c r="C26" s="44"/>
      <c r="D26" s="44"/>
      <c r="E26" s="44"/>
      <c r="F26" s="44"/>
      <c r="G26" s="44"/>
      <c r="H26" s="44"/>
      <c r="I26" s="44"/>
    </row>
  </sheetData>
  <mergeCells count="1">
    <mergeCell ref="B26:I26"/>
  </mergeCells>
  <phoneticPr fontId="8"/>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808080"/>
  </sheetPr>
  <dimension ref="B2:G64"/>
  <sheetViews>
    <sheetView workbookViewId="0"/>
  </sheetViews>
  <sheetFormatPr defaultRowHeight="13" x14ac:dyDescent="0.2"/>
  <cols>
    <col min="1" max="1" width="3" customWidth="1"/>
    <col min="2" max="2" width="14" customWidth="1"/>
    <col min="3" max="3" width="16" customWidth="1"/>
    <col min="4" max="5" width="46" customWidth="1"/>
    <col min="6" max="6" width="20" customWidth="1"/>
    <col min="7" max="7" width="12" customWidth="1"/>
  </cols>
  <sheetData>
    <row r="2" spans="2:7" ht="18" x14ac:dyDescent="0.4">
      <c r="B2" s="2" t="s">
        <v>242</v>
      </c>
    </row>
    <row r="4" spans="2:7" ht="14" x14ac:dyDescent="0.3">
      <c r="B4" s="10" t="s">
        <v>243</v>
      </c>
      <c r="C4" s="10" t="s">
        <v>244</v>
      </c>
      <c r="D4" s="10" t="s">
        <v>245</v>
      </c>
      <c r="E4" s="10" t="s">
        <v>246</v>
      </c>
      <c r="F4" s="10" t="s">
        <v>247</v>
      </c>
      <c r="G4" s="10" t="s">
        <v>248</v>
      </c>
    </row>
    <row r="5" spans="2:7" x14ac:dyDescent="0.2">
      <c r="B5" t="s">
        <v>249</v>
      </c>
      <c r="C5" t="s">
        <v>250</v>
      </c>
      <c r="D5" t="s">
        <v>251</v>
      </c>
      <c r="E5" t="s">
        <v>252</v>
      </c>
      <c r="F5" t="s">
        <v>250</v>
      </c>
      <c r="G5" t="s">
        <v>253</v>
      </c>
    </row>
    <row r="6" spans="2:7" ht="30" customHeight="1" x14ac:dyDescent="0.3">
      <c r="B6" t="s">
        <v>249</v>
      </c>
      <c r="C6" s="4" t="s">
        <v>254</v>
      </c>
      <c r="D6" t="s">
        <v>255</v>
      </c>
      <c r="E6" t="s">
        <v>256</v>
      </c>
      <c r="F6" t="s">
        <v>257</v>
      </c>
      <c r="G6" t="s">
        <v>258</v>
      </c>
    </row>
    <row r="7" spans="2:7" ht="30" customHeight="1" x14ac:dyDescent="0.3">
      <c r="B7" t="s">
        <v>249</v>
      </c>
      <c r="C7" s="4" t="s">
        <v>259</v>
      </c>
      <c r="D7" t="s">
        <v>260</v>
      </c>
      <c r="E7" t="s">
        <v>261</v>
      </c>
      <c r="F7" t="s">
        <v>262</v>
      </c>
      <c r="G7" t="s">
        <v>263</v>
      </c>
    </row>
    <row r="12" spans="2:7" ht="14" x14ac:dyDescent="0.3">
      <c r="B12" s="8" t="s">
        <v>264</v>
      </c>
    </row>
    <row r="13" spans="2:7" ht="14" x14ac:dyDescent="0.3">
      <c r="B13" s="10" t="s">
        <v>265</v>
      </c>
      <c r="C13" s="10" t="s">
        <v>266</v>
      </c>
    </row>
    <row r="14" spans="2:7" ht="14" x14ac:dyDescent="0.3">
      <c r="B14" s="4" t="s">
        <v>267</v>
      </c>
      <c r="C14" t="s">
        <v>268</v>
      </c>
    </row>
    <row r="15" spans="2:7" ht="14" x14ac:dyDescent="0.3">
      <c r="B15" s="4" t="s">
        <v>269</v>
      </c>
      <c r="C15" t="s">
        <v>270</v>
      </c>
    </row>
    <row r="16" spans="2:7" ht="14" x14ac:dyDescent="0.3">
      <c r="B16" s="4" t="s">
        <v>271</v>
      </c>
      <c r="C16" t="s">
        <v>272</v>
      </c>
    </row>
    <row r="17" spans="2:3" ht="14" x14ac:dyDescent="0.3">
      <c r="B17" s="4" t="s">
        <v>273</v>
      </c>
      <c r="C17" t="s">
        <v>270</v>
      </c>
    </row>
    <row r="18" spans="2:3" ht="14" x14ac:dyDescent="0.3">
      <c r="B18" s="4" t="s">
        <v>274</v>
      </c>
      <c r="C18" t="s">
        <v>275</v>
      </c>
    </row>
    <row r="19" spans="2:3" ht="14" x14ac:dyDescent="0.3">
      <c r="B19" s="4" t="s">
        <v>276</v>
      </c>
      <c r="C19" t="s">
        <v>277</v>
      </c>
    </row>
    <row r="20" spans="2:3" ht="14" x14ac:dyDescent="0.3">
      <c r="B20" s="4" t="s">
        <v>278</v>
      </c>
      <c r="C20" t="s">
        <v>279</v>
      </c>
    </row>
    <row r="21" spans="2:3" ht="14" x14ac:dyDescent="0.3">
      <c r="B21" s="4" t="s">
        <v>280</v>
      </c>
      <c r="C21" t="s">
        <v>281</v>
      </c>
    </row>
    <row r="22" spans="2:3" ht="14" x14ac:dyDescent="0.3">
      <c r="B22" s="4" t="s">
        <v>282</v>
      </c>
      <c r="C22" t="s">
        <v>283</v>
      </c>
    </row>
    <row r="23" spans="2:3" ht="14" x14ac:dyDescent="0.3">
      <c r="B23" s="4" t="s">
        <v>284</v>
      </c>
      <c r="C23" t="s">
        <v>4</v>
      </c>
    </row>
    <row r="24" spans="2:3" ht="14" x14ac:dyDescent="0.3">
      <c r="B24" s="4" t="s">
        <v>285</v>
      </c>
      <c r="C24" t="s">
        <v>249</v>
      </c>
    </row>
    <row r="25" spans="2:3" ht="14" x14ac:dyDescent="0.3">
      <c r="B25" s="4" t="s">
        <v>286</v>
      </c>
      <c r="C25" t="s">
        <v>287</v>
      </c>
    </row>
    <row r="26" spans="2:3" ht="14" x14ac:dyDescent="0.3">
      <c r="B26" s="4" t="s">
        <v>288</v>
      </c>
      <c r="C26" t="s">
        <v>275</v>
      </c>
    </row>
    <row r="27" spans="2:3" ht="14" x14ac:dyDescent="0.3">
      <c r="B27" s="4" t="s">
        <v>289</v>
      </c>
      <c r="C27" t="s">
        <v>275</v>
      </c>
    </row>
    <row r="28" spans="2:3" ht="14" x14ac:dyDescent="0.3">
      <c r="B28" s="4" t="s">
        <v>290</v>
      </c>
      <c r="C28" t="s">
        <v>291</v>
      </c>
    </row>
    <row r="29" spans="2:3" ht="14" x14ac:dyDescent="0.3">
      <c r="B29" s="4" t="s">
        <v>292</v>
      </c>
      <c r="C29" t="s">
        <v>293</v>
      </c>
    </row>
    <row r="30" spans="2:3" ht="14" x14ac:dyDescent="0.3">
      <c r="B30" s="4" t="s">
        <v>294</v>
      </c>
      <c r="C30" t="s">
        <v>295</v>
      </c>
    </row>
    <row r="31" spans="2:3" ht="14" x14ac:dyDescent="0.3">
      <c r="B31" s="4" t="s">
        <v>296</v>
      </c>
      <c r="C31" t="s">
        <v>291</v>
      </c>
    </row>
    <row r="32" spans="2:3" ht="14" x14ac:dyDescent="0.3">
      <c r="B32" s="4" t="s">
        <v>297</v>
      </c>
      <c r="C32" t="s">
        <v>275</v>
      </c>
    </row>
    <row r="33" spans="2:3" ht="14" x14ac:dyDescent="0.3">
      <c r="B33" s="4" t="s">
        <v>298</v>
      </c>
      <c r="C33" t="s">
        <v>287</v>
      </c>
    </row>
    <row r="34" spans="2:3" ht="14" x14ac:dyDescent="0.3">
      <c r="B34" s="4" t="s">
        <v>299</v>
      </c>
      <c r="C34" t="s">
        <v>300</v>
      </c>
    </row>
    <row r="35" spans="2:3" ht="14" x14ac:dyDescent="0.3">
      <c r="B35" s="4" t="s">
        <v>301</v>
      </c>
      <c r="C35" t="s">
        <v>302</v>
      </c>
    </row>
    <row r="36" spans="2:3" ht="14" x14ac:dyDescent="0.3">
      <c r="B36" s="4" t="s">
        <v>303</v>
      </c>
      <c r="C36" t="s">
        <v>304</v>
      </c>
    </row>
    <row r="37" spans="2:3" ht="14" x14ac:dyDescent="0.3">
      <c r="B37" s="4" t="s">
        <v>305</v>
      </c>
      <c r="C37" t="s">
        <v>306</v>
      </c>
    </row>
    <row r="38" spans="2:3" ht="14" x14ac:dyDescent="0.3">
      <c r="B38" s="4" t="s">
        <v>307</v>
      </c>
      <c r="C38" t="s">
        <v>308</v>
      </c>
    </row>
    <row r="39" spans="2:3" ht="14" x14ac:dyDescent="0.3">
      <c r="B39" s="4" t="s">
        <v>309</v>
      </c>
      <c r="C39" t="s">
        <v>310</v>
      </c>
    </row>
    <row r="40" spans="2:3" ht="14" x14ac:dyDescent="0.3">
      <c r="B40" s="4" t="s">
        <v>311</v>
      </c>
      <c r="C40" t="s">
        <v>312</v>
      </c>
    </row>
    <row r="41" spans="2:3" ht="14" x14ac:dyDescent="0.3">
      <c r="B41" s="4" t="s">
        <v>313</v>
      </c>
      <c r="C41" t="s">
        <v>314</v>
      </c>
    </row>
    <row r="42" spans="2:3" ht="14" x14ac:dyDescent="0.3">
      <c r="B42" s="4" t="s">
        <v>315</v>
      </c>
      <c r="C42" t="s">
        <v>316</v>
      </c>
    </row>
    <row r="43" spans="2:3" ht="14" x14ac:dyDescent="0.3">
      <c r="B43" s="4" t="s">
        <v>317</v>
      </c>
      <c r="C43" t="s">
        <v>318</v>
      </c>
    </row>
    <row r="44" spans="2:3" ht="14" x14ac:dyDescent="0.3">
      <c r="B44" s="4" t="s">
        <v>319</v>
      </c>
      <c r="C44" t="s">
        <v>279</v>
      </c>
    </row>
    <row r="45" spans="2:3" ht="14" x14ac:dyDescent="0.3">
      <c r="B45" s="4" t="s">
        <v>320</v>
      </c>
      <c r="C45" t="s">
        <v>321</v>
      </c>
    </row>
    <row r="46" spans="2:3" ht="14" x14ac:dyDescent="0.3">
      <c r="B46" s="4" t="s">
        <v>322</v>
      </c>
      <c r="C46" t="s">
        <v>323</v>
      </c>
    </row>
    <row r="47" spans="2:3" ht="14" x14ac:dyDescent="0.3">
      <c r="B47" s="4" t="s">
        <v>324</v>
      </c>
      <c r="C47" t="s">
        <v>325</v>
      </c>
    </row>
    <row r="48" spans="2:3" ht="14" x14ac:dyDescent="0.3">
      <c r="B48" s="4" t="s">
        <v>326</v>
      </c>
      <c r="C48" t="s">
        <v>327</v>
      </c>
    </row>
    <row r="49" spans="2:3" ht="14" x14ac:dyDescent="0.3">
      <c r="B49" s="4" t="s">
        <v>328</v>
      </c>
      <c r="C49" t="s">
        <v>329</v>
      </c>
    </row>
    <row r="50" spans="2:3" ht="14" x14ac:dyDescent="0.3">
      <c r="B50" s="4" t="s">
        <v>330</v>
      </c>
      <c r="C50" t="s">
        <v>331</v>
      </c>
    </row>
    <row r="51" spans="2:3" ht="14" x14ac:dyDescent="0.3">
      <c r="B51" s="4" t="s">
        <v>332</v>
      </c>
      <c r="C51" t="s">
        <v>333</v>
      </c>
    </row>
    <row r="52" spans="2:3" ht="14" x14ac:dyDescent="0.3">
      <c r="B52" s="4" t="s">
        <v>334</v>
      </c>
      <c r="C52" t="s">
        <v>335</v>
      </c>
    </row>
    <row r="53" spans="2:3" ht="14" x14ac:dyDescent="0.3">
      <c r="B53" s="4" t="s">
        <v>336</v>
      </c>
      <c r="C53" t="s">
        <v>337</v>
      </c>
    </row>
    <row r="54" spans="2:3" ht="14" x14ac:dyDescent="0.3">
      <c r="B54" s="4" t="s">
        <v>338</v>
      </c>
      <c r="C54" t="s">
        <v>339</v>
      </c>
    </row>
    <row r="55" spans="2:3" ht="14" x14ac:dyDescent="0.3">
      <c r="B55" s="4" t="s">
        <v>340</v>
      </c>
      <c r="C55" t="s">
        <v>341</v>
      </c>
    </row>
    <row r="56" spans="2:3" ht="14" x14ac:dyDescent="0.3">
      <c r="B56" s="4" t="s">
        <v>342</v>
      </c>
      <c r="C56" t="s">
        <v>343</v>
      </c>
    </row>
    <row r="57" spans="2:3" ht="14" x14ac:dyDescent="0.3">
      <c r="B57" s="4" t="s">
        <v>344</v>
      </c>
      <c r="C57" t="s">
        <v>345</v>
      </c>
    </row>
    <row r="58" spans="2:3" ht="14" x14ac:dyDescent="0.3">
      <c r="B58" s="4" t="s">
        <v>346</v>
      </c>
      <c r="C58" t="s">
        <v>347</v>
      </c>
    </row>
    <row r="59" spans="2:3" ht="14" x14ac:dyDescent="0.3">
      <c r="B59" s="4" t="s">
        <v>348</v>
      </c>
      <c r="C59" t="s">
        <v>349</v>
      </c>
    </row>
    <row r="60" spans="2:3" ht="14" x14ac:dyDescent="0.3">
      <c r="B60" s="4" t="s">
        <v>350</v>
      </c>
      <c r="C60" t="s">
        <v>351</v>
      </c>
    </row>
    <row r="61" spans="2:3" ht="14" x14ac:dyDescent="0.3">
      <c r="B61" s="4" t="s">
        <v>352</v>
      </c>
      <c r="C61" t="s">
        <v>353</v>
      </c>
    </row>
    <row r="62" spans="2:3" ht="14" x14ac:dyDescent="0.3">
      <c r="B62" s="4" t="s">
        <v>354</v>
      </c>
      <c r="C62" t="s">
        <v>355</v>
      </c>
    </row>
    <row r="63" spans="2:3" ht="14" x14ac:dyDescent="0.3">
      <c r="B63" s="4" t="s">
        <v>356</v>
      </c>
      <c r="C63" t="s">
        <v>357</v>
      </c>
    </row>
    <row r="64" spans="2:3" ht="14" x14ac:dyDescent="0.3">
      <c r="B64" s="4" t="s">
        <v>358</v>
      </c>
      <c r="C64" t="s">
        <v>210</v>
      </c>
    </row>
  </sheetData>
  <phoneticPr fontId="8"/>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Executive Summary</vt:lpstr>
      <vt:lpstr>Financial Statements</vt:lpstr>
      <vt:lpstr>DCF Model</vt:lpstr>
      <vt:lpstr>Reverse DCF</vt:lpstr>
      <vt:lpstr>NWC Schedule</vt:lpstr>
      <vt:lpstr>Comps Analysis</vt:lpstr>
      <vt:lpstr>Sensitivity Analysis</vt:lpstr>
      <vt:lpstr>Adjustments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良亮 佐藤</cp:lastModifiedBy>
  <dcterms:created xsi:type="dcterms:W3CDTF">2026-09-06T09:35:39Z</dcterms:created>
  <dcterms:modified xsi:type="dcterms:W3CDTF">2026-09-06T09:35:43Z</dcterms:modified>
</cp:coreProperties>
</file>