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7472FCAD-6AA4-457D-BC67-D134A80A30EC}"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7" i="6" s="1"/>
  <c r="N6" i="6"/>
  <c r="M6" i="6"/>
  <c r="L6" i="6"/>
  <c r="K6" i="6"/>
  <c r="J6" i="6"/>
  <c r="D17" i="6" s="1"/>
  <c r="O5" i="6"/>
  <c r="N5" i="6"/>
  <c r="E5" i="6"/>
  <c r="J5" i="6" s="1"/>
  <c r="D5" i="6"/>
  <c r="M5" i="6" s="1"/>
  <c r="C16" i="5"/>
  <c r="C14" i="5"/>
  <c r="C18" i="5" s="1"/>
  <c r="C7" i="5"/>
  <c r="C6" i="5"/>
  <c r="C5" i="5"/>
  <c r="C13" i="4"/>
  <c r="C12" i="4"/>
  <c r="C9" i="4"/>
  <c r="C7" i="4"/>
  <c r="C6" i="4"/>
  <c r="C8" i="4" s="1"/>
  <c r="C10" i="4" s="1"/>
  <c r="D27" i="3"/>
  <c r="G5" i="5" s="1"/>
  <c r="C25" i="3"/>
  <c r="C24" i="3"/>
  <c r="C23" i="3"/>
  <c r="F23" i="2"/>
  <c r="E23" i="2"/>
  <c r="D23" i="2"/>
  <c r="C23" i="2"/>
  <c r="E22" i="2"/>
  <c r="C22" i="2"/>
  <c r="F21" i="2"/>
  <c r="F22" i="2" s="1"/>
  <c r="E21" i="2"/>
  <c r="D21" i="2"/>
  <c r="D22" i="2" s="1"/>
  <c r="C21" i="2"/>
  <c r="F16" i="2"/>
  <c r="E16" i="2"/>
  <c r="D16" i="2"/>
  <c r="F15" i="2"/>
  <c r="E15" i="2"/>
  <c r="D15" i="2"/>
  <c r="F14" i="2"/>
  <c r="E14" i="2"/>
  <c r="D14" i="2"/>
  <c r="C14" i="2"/>
  <c r="F13" i="2"/>
  <c r="E13" i="2"/>
  <c r="D13" i="2"/>
  <c r="C13" i="2"/>
  <c r="F9" i="2"/>
  <c r="F8" i="2"/>
  <c r="E8" i="2"/>
  <c r="E9" i="2" s="1"/>
  <c r="D8" i="2"/>
  <c r="D9" i="2" s="1"/>
  <c r="C8" i="2"/>
  <c r="C9" i="2" s="1"/>
  <c r="E15" i="6" l="1"/>
  <c r="G15" i="6"/>
  <c r="I16" i="6"/>
  <c r="F15" i="6"/>
  <c r="G16" i="6"/>
  <c r="H15" i="6"/>
  <c r="C26" i="3"/>
  <c r="E36" i="4" s="1"/>
  <c r="C71" i="4"/>
  <c r="C70" i="4"/>
  <c r="C3" i="7"/>
  <c r="G36" i="4"/>
  <c r="C11" i="4"/>
  <c r="C24" i="4" s="1"/>
  <c r="C25" i="4" s="1"/>
  <c r="G46" i="3"/>
  <c r="B25" i="1"/>
  <c r="E46" i="3"/>
  <c r="D46" i="3"/>
  <c r="F36" i="4"/>
  <c r="F46" i="3"/>
  <c r="C46" i="3"/>
  <c r="B31" i="1"/>
  <c r="H36" i="4"/>
  <c r="C32" i="3"/>
  <c r="C31" i="3"/>
  <c r="F32" i="3"/>
  <c r="H5" i="5"/>
  <c r="D7" i="5"/>
  <c r="K5" i="6"/>
  <c r="I15" i="6"/>
  <c r="E17" i="6"/>
  <c r="I6" i="7"/>
  <c r="H6" i="5"/>
  <c r="D31" i="3"/>
  <c r="G32" i="3"/>
  <c r="E7" i="5"/>
  <c r="L5" i="6"/>
  <c r="D16" i="6"/>
  <c r="F17" i="6"/>
  <c r="C17" i="7"/>
  <c r="E31" i="3"/>
  <c r="D6" i="5"/>
  <c r="F7" i="5"/>
  <c r="E16" i="6"/>
  <c r="G17" i="6"/>
  <c r="C6" i="7"/>
  <c r="D17" i="7"/>
  <c r="F30" i="3"/>
  <c r="C30" i="3"/>
  <c r="C33" i="3" s="1"/>
  <c r="F31" i="3"/>
  <c r="E6" i="5"/>
  <c r="G7" i="5"/>
  <c r="D15" i="6"/>
  <c r="F16" i="6"/>
  <c r="C28" i="6" s="1"/>
  <c r="C19" i="1" s="1"/>
  <c r="D19" i="1" s="1"/>
  <c r="H17" i="6"/>
  <c r="D6" i="7"/>
  <c r="E17" i="7"/>
  <c r="D30" i="3"/>
  <c r="G31" i="3"/>
  <c r="D5" i="5"/>
  <c r="F6" i="5"/>
  <c r="H7" i="5"/>
  <c r="E6" i="7"/>
  <c r="F17" i="7"/>
  <c r="E5" i="5"/>
  <c r="G6" i="5"/>
  <c r="H16" i="6"/>
  <c r="F6" i="7"/>
  <c r="G17" i="7"/>
  <c r="F5" i="5"/>
  <c r="G6" i="7"/>
  <c r="H17" i="7"/>
  <c r="E30" i="3"/>
  <c r="D32" i="3"/>
  <c r="G30" i="3"/>
  <c r="E32" i="3"/>
  <c r="D36" i="4" l="1"/>
  <c r="G46" i="4"/>
  <c r="G40" i="4"/>
  <c r="G44" i="4"/>
  <c r="G38" i="4"/>
  <c r="G48" i="4" s="1"/>
  <c r="G53" i="4" s="1"/>
  <c r="G41" i="4"/>
  <c r="G51" i="4" s="1"/>
  <c r="G56" i="4" s="1"/>
  <c r="G45" i="4"/>
  <c r="G39" i="4"/>
  <c r="G49" i="4" s="1"/>
  <c r="G54" i="4" s="1"/>
  <c r="G43" i="4"/>
  <c r="C42" i="3"/>
  <c r="C34" i="3"/>
  <c r="D10" i="5" s="1"/>
  <c r="D9" i="5"/>
  <c r="D12" i="5" s="1"/>
  <c r="C43" i="3"/>
  <c r="C37" i="3"/>
  <c r="D33" i="3"/>
  <c r="B13" i="7"/>
  <c r="B12" i="7"/>
  <c r="B11" i="7"/>
  <c r="B10" i="7"/>
  <c r="B9" i="7"/>
  <c r="B8" i="7"/>
  <c r="B7" i="7"/>
  <c r="B24" i="7"/>
  <c r="B23" i="7"/>
  <c r="B22" i="7"/>
  <c r="B21" i="7"/>
  <c r="B20" i="7"/>
  <c r="B19" i="7"/>
  <c r="B18" i="7"/>
  <c r="E39" i="4"/>
  <c r="E49" i="4" s="1"/>
  <c r="E54" i="4" s="1"/>
  <c r="E46" i="4"/>
  <c r="E40" i="4"/>
  <c r="E44" i="4"/>
  <c r="E43" i="4"/>
  <c r="E38" i="4"/>
  <c r="E41" i="4"/>
  <c r="E45" i="4"/>
  <c r="C27" i="6"/>
  <c r="C18" i="1" s="1"/>
  <c r="D18" i="1" s="1"/>
  <c r="C74" i="4"/>
  <c r="H40" i="4"/>
  <c r="H38" i="4"/>
  <c r="H41" i="4"/>
  <c r="H45" i="4"/>
  <c r="H39" i="4"/>
  <c r="H43" i="4"/>
  <c r="H46" i="4"/>
  <c r="H44" i="4"/>
  <c r="B24" i="1"/>
  <c r="B30" i="1"/>
  <c r="F43" i="4"/>
  <c r="F40" i="4"/>
  <c r="F44" i="4"/>
  <c r="F46" i="4"/>
  <c r="F38" i="4"/>
  <c r="F41" i="4"/>
  <c r="F45" i="4"/>
  <c r="F39" i="4"/>
  <c r="F49" i="4" s="1"/>
  <c r="D45" i="4"/>
  <c r="D39" i="4"/>
  <c r="D43" i="4"/>
  <c r="D46" i="4"/>
  <c r="D40" i="4"/>
  <c r="D44" i="4"/>
  <c r="D38" i="4"/>
  <c r="D48" i="4" s="1"/>
  <c r="D53" i="4" s="1"/>
  <c r="D41" i="4"/>
  <c r="D51" i="4" s="1"/>
  <c r="D56" i="4" s="1"/>
  <c r="C29" i="4"/>
  <c r="C27" i="4"/>
  <c r="C26" i="4"/>
  <c r="G50" i="4" l="1"/>
  <c r="G55" i="4" s="1"/>
  <c r="H51" i="4"/>
  <c r="H56" i="4" s="1"/>
  <c r="F54" i="4"/>
  <c r="C60" i="4"/>
  <c r="B78" i="4"/>
  <c r="F51" i="4"/>
  <c r="F56" i="4" s="1"/>
  <c r="D37" i="3"/>
  <c r="D35" i="3"/>
  <c r="E33" i="3"/>
  <c r="E9" i="5"/>
  <c r="E12" i="5" s="1"/>
  <c r="D42" i="3"/>
  <c r="D34" i="3"/>
  <c r="E10" i="5" s="1"/>
  <c r="D43" i="3"/>
  <c r="F48" i="4"/>
  <c r="F53" i="4" s="1"/>
  <c r="C35" i="3"/>
  <c r="H49" i="4"/>
  <c r="H54" i="4" s="1"/>
  <c r="E51" i="4"/>
  <c r="E56" i="4" s="1"/>
  <c r="D15" i="5"/>
  <c r="D16" i="5" s="1"/>
  <c r="D13" i="5"/>
  <c r="D50" i="4"/>
  <c r="D55" i="4" s="1"/>
  <c r="D49" i="4"/>
  <c r="D54" i="4" s="1"/>
  <c r="F50" i="4"/>
  <c r="F55" i="4" s="1"/>
  <c r="E48" i="4"/>
  <c r="E53" i="4" s="1"/>
  <c r="D14" i="5"/>
  <c r="H48" i="4"/>
  <c r="H53" i="4" s="1"/>
  <c r="H50" i="4"/>
  <c r="H55" i="4" s="1"/>
  <c r="E50" i="4"/>
  <c r="E55" i="4" s="1"/>
  <c r="F9" i="5" l="1"/>
  <c r="F12" i="5" s="1"/>
  <c r="E43" i="3"/>
  <c r="F33" i="3"/>
  <c r="E42" i="3"/>
  <c r="E34" i="3"/>
  <c r="F10" i="5" s="1"/>
  <c r="E37" i="3"/>
  <c r="D18" i="5"/>
  <c r="D19" i="5" s="1"/>
  <c r="C44" i="3" s="1"/>
  <c r="D38" i="3"/>
  <c r="D36" i="3"/>
  <c r="D39" i="3"/>
  <c r="C38" i="3"/>
  <c r="C36" i="3"/>
  <c r="C39" i="3"/>
  <c r="E13" i="5"/>
  <c r="E14" i="5" s="1"/>
  <c r="E18" i="5" s="1"/>
  <c r="E19" i="5" s="1"/>
  <c r="D44" i="3" s="1"/>
  <c r="E15" i="5"/>
  <c r="E16" i="5" s="1"/>
  <c r="C64" i="4"/>
  <c r="D64" i="4" s="1"/>
  <c r="C65" i="4"/>
  <c r="D65" i="4" s="1"/>
  <c r="C67" i="4"/>
  <c r="D67" i="4" s="1"/>
  <c r="C63" i="4"/>
  <c r="D63" i="4" s="1"/>
  <c r="C66" i="4"/>
  <c r="D66" i="4" s="1"/>
  <c r="C40" i="3" l="1"/>
  <c r="C41" i="3" s="1"/>
  <c r="C45" i="3" s="1"/>
  <c r="F15" i="5"/>
  <c r="F16" i="5" s="1"/>
  <c r="F13" i="5"/>
  <c r="D40" i="3"/>
  <c r="D41" i="3" s="1"/>
  <c r="D45" i="3" s="1"/>
  <c r="D47" i="3" s="1"/>
  <c r="F43" i="3"/>
  <c r="G33" i="3"/>
  <c r="F42" i="3"/>
  <c r="F34" i="3"/>
  <c r="G10" i="5" s="1"/>
  <c r="F37" i="3"/>
  <c r="G9" i="5"/>
  <c r="G12" i="5" s="1"/>
  <c r="E35" i="3"/>
  <c r="F14" i="5"/>
  <c r="C47" i="3" l="1"/>
  <c r="F18" i="5"/>
  <c r="F19" i="5" s="1"/>
  <c r="E44" i="3" s="1"/>
  <c r="G13" i="5"/>
  <c r="G15" i="5"/>
  <c r="G16" i="5" s="1"/>
  <c r="G42" i="3"/>
  <c r="G34" i="3"/>
  <c r="H10" i="5" s="1"/>
  <c r="C16" i="4"/>
  <c r="C28" i="4" s="1"/>
  <c r="G37" i="3"/>
  <c r="H9" i="5"/>
  <c r="H12" i="5" s="1"/>
  <c r="G43" i="3"/>
  <c r="F35" i="3"/>
  <c r="E38" i="3"/>
  <c r="E36" i="3"/>
  <c r="E39" i="3"/>
  <c r="G14" i="5"/>
  <c r="H15" i="5" l="1"/>
  <c r="H16" i="5" s="1"/>
  <c r="H13" i="5"/>
  <c r="H14" i="5" s="1"/>
  <c r="H18" i="5" s="1"/>
  <c r="C72" i="4"/>
  <c r="C73" i="4"/>
  <c r="F36" i="3"/>
  <c r="F39" i="3"/>
  <c r="F38" i="3"/>
  <c r="G35" i="3"/>
  <c r="G18" i="5"/>
  <c r="G19" i="5" s="1"/>
  <c r="F44" i="3" s="1"/>
  <c r="E40" i="3"/>
  <c r="E41" i="3" s="1"/>
  <c r="E45" i="3" s="1"/>
  <c r="E47" i="3" l="1"/>
  <c r="G38" i="3"/>
  <c r="G39" i="3"/>
  <c r="G36" i="3"/>
  <c r="F40" i="3"/>
  <c r="F41" i="3" s="1"/>
  <c r="F45" i="3" s="1"/>
  <c r="H19" i="5"/>
  <c r="G44" i="3" s="1"/>
  <c r="F47" i="3" l="1"/>
  <c r="C59" i="3"/>
  <c r="C60" i="3" s="1"/>
  <c r="C61" i="3" s="1"/>
  <c r="G40" i="3"/>
  <c r="G41" i="3" s="1"/>
  <c r="G45" i="3" s="1"/>
  <c r="G47" i="3" l="1"/>
  <c r="C50" i="3" s="1"/>
  <c r="C51" i="3"/>
  <c r="C52" i="3" s="1"/>
  <c r="E20" i="7"/>
  <c r="H10" i="7"/>
  <c r="H18" i="7"/>
  <c r="H22" i="7"/>
  <c r="G13" i="7"/>
  <c r="D24" i="7"/>
  <c r="F20" i="7"/>
  <c r="I12" i="7"/>
  <c r="C22" i="7"/>
  <c r="E23" i="7"/>
  <c r="H13" i="7"/>
  <c r="C9" i="7"/>
  <c r="G11" i="7"/>
  <c r="H12" i="7"/>
  <c r="H7" i="7"/>
  <c r="F23" i="7"/>
  <c r="F11" i="7"/>
  <c r="C10" i="7"/>
  <c r="C23" i="7"/>
  <c r="I8" i="7"/>
  <c r="F8" i="7"/>
  <c r="F21" i="7"/>
  <c r="F10" i="7"/>
  <c r="G18" i="7"/>
  <c r="D23" i="7"/>
  <c r="E10" i="7"/>
  <c r="E24" i="7"/>
  <c r="D22" i="7"/>
  <c r="C13" i="7"/>
  <c r="D18" i="7"/>
  <c r="H24" i="7"/>
  <c r="G9" i="7"/>
  <c r="E18" i="7"/>
  <c r="H20" i="7"/>
  <c r="D21" i="7"/>
  <c r="G12" i="7"/>
  <c r="C11" i="7"/>
  <c r="I21" i="7"/>
  <c r="H21" i="7"/>
  <c r="E8" i="7"/>
  <c r="I18" i="7"/>
  <c r="E7" i="7"/>
  <c r="I22" i="7"/>
  <c r="F9" i="7"/>
  <c r="E11" i="7"/>
  <c r="E13" i="7"/>
  <c r="I10" i="7"/>
  <c r="I24" i="7"/>
  <c r="D9" i="7"/>
  <c r="D11" i="7"/>
  <c r="C19" i="7"/>
  <c r="G21" i="7"/>
  <c r="F19" i="7"/>
  <c r="H11" i="7"/>
  <c r="D10" i="7"/>
  <c r="G19" i="7"/>
  <c r="C24" i="7"/>
  <c r="G8" i="7"/>
  <c r="D13" i="7"/>
  <c r="H19" i="7"/>
  <c r="F12" i="7"/>
  <c r="H9" i="7"/>
  <c r="E22" i="7"/>
  <c r="I9" i="7"/>
  <c r="G20" i="7"/>
  <c r="E12" i="7"/>
  <c r="F13" i="7"/>
  <c r="D20" i="7"/>
  <c r="C12" i="7"/>
  <c r="C18" i="7"/>
  <c r="I23" i="7"/>
  <c r="D7" i="7"/>
  <c r="I11" i="7"/>
  <c r="F22" i="7"/>
  <c r="G7" i="7"/>
  <c r="G10" i="7"/>
  <c r="F7" i="7"/>
  <c r="I19" i="7"/>
  <c r="I20" i="7"/>
  <c r="H8" i="7"/>
  <c r="D12" i="7"/>
  <c r="E21" i="7"/>
  <c r="F24" i="7"/>
  <c r="F18" i="7"/>
  <c r="E9" i="7"/>
  <c r="E19" i="7"/>
  <c r="I13" i="7"/>
  <c r="C20" i="7"/>
  <c r="C8" i="7"/>
  <c r="C21" i="7"/>
  <c r="D8" i="7"/>
  <c r="G23" i="7"/>
  <c r="C7" i="7"/>
  <c r="G24" i="7"/>
  <c r="D19" i="7"/>
  <c r="I7" i="7"/>
  <c r="G22" i="7"/>
  <c r="H23" i="7"/>
  <c r="C58" i="3" l="1"/>
  <c r="C62" i="3" s="1"/>
  <c r="C53" i="3"/>
  <c r="C17" i="4" l="1"/>
  <c r="C54" i="3"/>
  <c r="C55" i="3" s="1"/>
  <c r="C16" i="1" s="1"/>
  <c r="C63" i="3"/>
  <c r="C64" i="3" s="1"/>
  <c r="C17" i="1" s="1"/>
  <c r="C10" i="1" l="1"/>
  <c r="D17" i="1"/>
  <c r="D16" i="1"/>
  <c r="C21" i="1"/>
  <c r="C19" i="4"/>
  <c r="C20" i="4" s="1"/>
  <c r="B79" i="4"/>
  <c r="C12" i="1" l="1"/>
  <c r="C11" i="1" s="1"/>
  <c r="B29" i="1"/>
  <c r="B26" i="1" l="1"/>
</calcChain>
</file>

<file path=xl/sharedStrings.xml><?xml version="1.0" encoding="utf-8"?>
<sst xmlns="http://schemas.openxmlformats.org/spreadsheetml/2006/main" count="425" uniqueCount="342">
  <si>
    <t>DISCLAIMER: This is a sample analysis for demonstration purposes only. It does not constitute investment advice.</t>
  </si>
  <si>
    <t>ファナック (6954.T)</t>
  </si>
  <si>
    <t>Equity Research Report</t>
  </si>
  <si>
    <t>Company</t>
  </si>
  <si>
    <t>ファナック</t>
  </si>
  <si>
    <t>Ticker</t>
  </si>
  <si>
    <t>6954.T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</si>
  <si>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</si>
  <si>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</si>
  <si>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</si>
  <si>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</si>
  <si>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</si>
  <si>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</si>
  <si>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</si>
  <si>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</si>
  <si>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</si>
  <si>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</si>
  <si>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</si>
  <si>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</si>
  <si>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</si>
  <si>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</si>
  <si>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**3.53倍** で 3.0倍を超えたため、**乖離そのものを裁定トリガーとする追補6 §X により中点平均を禁止**し、どちらの脚を落とすかを判定した。■**観測倍率バンドテスト**: Peer の実測 EV/EBITDA の第1〜第3四分位バンドは **(15.020840678830101, 18.258808221981813, 5)倍**。これに対し **PGM逆算 4.42倍 / 仮定Exit 15.60倍**。**PGM法のみがバンドの外にあるため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</si>
  <si>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</si>
  <si>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</si>
  <si>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</si>
  <si>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ファナック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</si>
  <si>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</si>
  <si>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</si>
  <si>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</si>
  <si>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</si>
  <si>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</si>
  <si>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</si>
  <si>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</si>
  <si>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</si>
  <si>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</si>
  <si>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</si>
  <si>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</si>
  <si>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</si>
  <si>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</si>
  <si>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</si>
  <si>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</si>
  <si>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</si>
  <si>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</si>
  <si>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</si>
  <si>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</si>
  <si>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</si>
  <si>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</si>
  <si>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</si>
  <si>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</si>
  <si>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</si>
  <si>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</si>
  <si>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</si>
  <si>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</si>
  <si>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</si>
  <si>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ファナック</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</si>
  <si>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</si>
  <si>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</si>
  <si>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</si>
  <si>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</si>
  <si>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</si>
  <si>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</si>
  <si>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</si>
  <si>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</si>
  <si>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</si>
  <si>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</si>
  <si>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</si>
  <si>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</si>
  <si>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</si>
  <si>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</si>
  <si>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</si>
  <si>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</si>
  <si>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</si>
  <si>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</si>
  <si>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</si>
  <si>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</si>
  <si>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</si>
  <si>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</si>
  <si>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</si>
  <si>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</si>
  <si>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</si>
  <si>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</si>
  <si>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</si>
  <si>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</si>
  <si>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</si>
  <si>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</si>
  <si>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</si>
  <si>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</si>
  <si>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</si>
  <si>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</si>
  <si>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</si>
  <si>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</si>
  <si>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</si>
  <si>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</si>
  <si>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</si>
  <si>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</si>
  <si>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</si>
  <si>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</si>
  <si>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</si>
  <si>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</si>
  <si>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</si>
  <si>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</si>
  <si>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</si>
  <si>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</si>
  <si>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</si>
  <si>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</si>
  <si>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</si>
  <si>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</si>
  <si>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</si>
  <si>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</si>
  <si>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</si>
  <si>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</si>
  <si>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</si>
  <si>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</si>
  <si>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</si>
  <si>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</si>
  <si>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</si>
  <si>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</si>
  <si>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</si>
  <si>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ファナック (6954.T)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</si>
  <si>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</si>
  <si>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</si>
  <si>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</si>
  <si>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</si>
  <si>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</si>
  <si>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</si>
  <si>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</si>
  <si>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</si>
  <si>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</si>
  <si>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</si>
  <si>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</si>
  <si>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</si>
  <si>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</si>
  <si>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</si>
  <si>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</si>
  <si>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</si>
  <si>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</si>
  <si>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</si>
  <si>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</si>
  <si>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</si>
  <si>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</si>
  <si>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</si>
  <si>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</si>
  <si>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</si>
  <si>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</si>
  <si>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</si>
  <si>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</si>
  <si>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</si>
  <si>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</si>
  <si>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</si>
  <si>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</si>
  <si>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</si>
  <si>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</si>
  <si>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</si>
  <si>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</si>
  <si>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</si>
  <si>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</si>
  <si>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</si>
  <si>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</si>
  <si>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</si>
  <si>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</si>
  <si>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</si>
  <si>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</si>
  <si>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</si>
  <si>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</si>
  <si>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</si>
  <si>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</si>
  <si>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</si>
  <si>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</si>
  <si>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</si>
  <si>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</si>
  <si>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ファナック</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</si>
  <si>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</si>
  <si>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</si>
  <si>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</si>
  <si>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</si>
  <si>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</si>
  <si>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</si>
  <si>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</si>
  <si>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</si>
  <si>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</si>
  <si>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</si>
  <si>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</si>
  <si>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</si>
  <si>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</si>
  <si>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</si>
  <si>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</si>
  <si>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</si>
  <si>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</si>
  <si>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</si>
  <si>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</si>
  <si>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</si>
  <si>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</si>
  <si>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</si>
  <si>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</si>
  <si>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</si>
  <si>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</si>
  <si>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</si>
  <si>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</si>
  <si>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</si>
  <si>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</si>
  <si>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</si>
  <si>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</si>
  <si>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</si>
  <si>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</si>
  <si>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</si>
  <si>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Fanuc Corporation</t>
  </si>
  <si>
    <t>6954.T</t>
  </si>
  <si>
    <t>Keyence Corporation</t>
  </si>
  <si>
    <t>6861.T</t>
  </si>
  <si>
    <t>SMC Corporation</t>
  </si>
  <si>
    <t>6273.T</t>
  </si>
  <si>
    <t>OMRON Corporation</t>
  </si>
  <si>
    <t>6645.T</t>
  </si>
  <si>
    <t>YASKAWA Electric Corporation</t>
  </si>
  <si>
    <t>6506.T</t>
  </si>
  <si>
    <t>Mitsubishi Electric Corporation</t>
  </si>
  <si>
    <t>6503.T</t>
  </si>
  <si>
    <t>Statistics</t>
  </si>
  <si>
    <t>25th Percentile</t>
  </si>
  <si>
    <t>Median (50th)</t>
  </si>
  <si>
    <t>75th Percentile</t>
  </si>
  <si>
    <t>Implied Valuation for ファナック</t>
  </si>
  <si>
    <t>ファナック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</si>
  <si>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</si>
  <si>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</si>
  <si>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</si>
  <si>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</si>
  <si>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</si>
  <si>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</si>
  <si>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</si>
  <si>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</si>
  <si>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</si>
  <si>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</si>
  <si>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</si>
  <si>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</si>
  <si>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</si>
  <si>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</si>
  <si>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</si>
  <si>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ファナック</t>
  </si>
  <si>
    <t>日付</t>
  </si>
  <si>
    <t>セル</t>
  </si>
  <si>
    <t>変更内容</t>
  </si>
  <si>
    <t>理由</t>
  </si>
  <si>
    <t>元の値</t>
  </si>
  <si>
    <t>状態</t>
  </si>
  <si>
    <t>2026-09-06</t>
  </si>
  <si>
    <t>-</t>
  </si>
  <si>
    <t>Generated by pipeline on 2026-09-06 19:21, template rev 63983ab</t>
  </si>
  <si>
    <t>初期生成（手修正なし）</t>
  </si>
  <si>
    <t>generated</t>
  </si>
  <si>
    <t>DCF Model!C8</t>
  </si>
  <si>
    <t>Beta = 1.432（採用値）</t>
  </si>
  <si>
    <t>実測β(raw) = 1.645 → Blume調整 0.67×raw + 0.33×1.00 = 1.432 → 採用 1.432。クランプ域 [0.3, 2.0] の内側。置換なし。回帰βは平均回帰するため Blume 調整を既定とする（2026-09-05 バッチで85件中57件が旧下限 0.60 に張り付き、両裾の歪みが実証された）。</t>
  </si>
  <si>
    <t>実測 1.645</t>
  </si>
  <si>
    <t>確定</t>
  </si>
  <si>
    <t>Pipeline Metadata (do not edit — read by scripts/validate_output.py)</t>
  </si>
  <si>
    <t>key</t>
  </si>
  <si>
    <t>value</t>
  </si>
  <si>
    <t>auto_log_entries</t>
  </si>
  <si>
    <t>1</t>
  </si>
  <si>
    <t>beta_adopted_c8</t>
  </si>
  <si>
    <t>1.432</t>
  </si>
  <si>
    <t>beta_basis</t>
  </si>
  <si>
    <t>Blume: 0.67 x 1.645 + 0.33 x 1.00 = 1.432</t>
  </si>
  <si>
    <t>beta_blume_adjusted</t>
  </si>
  <si>
    <t>beta_clamped</t>
  </si>
  <si>
    <t>no</t>
  </si>
  <si>
    <t>beta_raw</t>
  </si>
  <si>
    <t>1.6448</t>
  </si>
  <si>
    <t>capex_pct_basis</t>
  </si>
  <si>
    <t>explicit_override</t>
  </si>
  <si>
    <t>capex_pct_c5</t>
  </si>
  <si>
    <t>0.0588</t>
  </si>
  <si>
    <t>capex_pct_hist3yr</t>
  </si>
  <si>
    <t>0.047879</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</si>
  <si>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</si>
  <si>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</si>
  <si>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</si>
  <si>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</si>
  <si>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</si>
  <si>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</si>
  <si>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</si>
  <si>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</si>
  <si>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</si>
  <si>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</si>
  <si>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</si>
  <si>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</si>
  <si>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</si>
  <si>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</si>
  <si>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</si>
  <si>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</si>
  <si>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</si>
  <si>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</si>
  <si>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</si>
  <si>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</si>
  <si>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231545.0</t>
  </si>
  <si>
    <t>core_net_income</t>
  </si>
  <si>
    <t>166543.0</t>
  </si>
  <si>
    <t>cost_of_debt_at_c11</t>
  </si>
  <si>
    <t>0.01</t>
  </si>
  <si>
    <t>cost_of_debt_basis</t>
  </si>
  <si>
    <t>assumption</t>
  </si>
  <si>
    <t>da_pct_basis</t>
  </si>
  <si>
    <t>da_pct_c18</t>
  </si>
  <si>
    <t>0.056</t>
  </si>
  <si>
    <t>da_pct_hist3yr</t>
  </si>
  <si>
    <t>0.058528</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</si>
  <si>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</si>
  <si>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</si>
  <si>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</si>
  <si>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</si>
  <si>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</si>
  <si>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</si>
  <si>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</si>
  <si>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</si>
  <si>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</si>
  <si>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19:21:04</t>
  </si>
  <si>
    <t>guidance_note</t>
  </si>
  <si>
    <t>TDnet 決算短信 via screener guidance table: FY2027 disclosed 2026-07-31 (net_income=198,000mn, operating_income=218,000mn, revenue=948,100mn)</t>
  </si>
  <si>
    <t>guidance_source</t>
  </si>
  <si>
    <t>tdnet_screener_db</t>
  </si>
  <si>
    <t>latest_operating_income</t>
  </si>
  <si>
    <t>183763.0</t>
  </si>
  <si>
    <t>ltm_revenue_c20</t>
  </si>
  <si>
    <t>857831.0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</si>
  <si>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</si>
  <si>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</si>
  <si>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</si>
  <si>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</si>
  <si>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</si>
  <si>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</si>
  <si>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</si>
  <si>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</si>
  <si>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</si>
  <si>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op0=183,763(FY2026) peak=191,359(FY2023) peak_opm=0.2246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</si>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</sst>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5931</v>
      </c>
    </row>
    <row r="10" spans="2:5" ht="14" customHeight="1" x14ac:dyDescent="0.3">
      <c r="B10" s="4" t="s">
        <v>10</v>
      </c>
      <c r="C10" s="5">
        <f>IF(ISNUMBER(C17),ROUND(C17,0),"N/A")</f>
        <v>3741</v>
      </c>
    </row>
    <row r="11" spans="2:5" ht="14" customHeight="1" x14ac:dyDescent="0.3">
      <c r="B11" s="4" t="s">
        <v>11</v>
      </c>
      <c r="C11" s="6" t="str">
        <f>IF(NOT(ISNUMBER(C12)),"N/A",IF(C12&gt;0.15,"BUY",IF(C12&gt;0.05,"HOLD","SELL")))</f>
        <v>SELL</v>
      </c>
    </row>
    <row r="12" spans="2:5" ht="14" customHeight="1" x14ac:dyDescent="0.3">
      <c r="B12" s="4" t="s">
        <v>12</v>
      </c>
      <c r="C12" s="7">
        <f>IF(ISNUMBER(C10),(C10-C9)/C9,"N/A")</f>
        <v>-0.36924633282751645</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1949</v>
      </c>
      <c r="D16" s="7">
        <f>IF(ISNUMBER(C16),(C16-C9)/C9,"N/A")</f>
        <v>-0.67138762434665322</v>
      </c>
    </row>
    <row r="17" spans="2:5" ht="13.5" customHeight="1" x14ac:dyDescent="0.25">
      <c r="B17" t="s">
        <v>18</v>
      </c>
      <c r="C17" s="11">
        <f>IF('DCF Model'!C62&lt;'DCF Model'!C16,"INVALID (EV &lt; net debt)",'DCF Model'!C64)</f>
        <v>3741</v>
      </c>
      <c r="D17" s="7">
        <f>IF(ISNUMBER(C17),(C17-C9)/C9,"N/A")</f>
        <v>-0.36924633282751645</v>
      </c>
    </row>
    <row r="18" spans="2:5" ht="13.5" customHeight="1" x14ac:dyDescent="0.25">
      <c r="B18" t="s">
        <v>19</v>
      </c>
      <c r="C18" s="11">
        <f>'Comps Analysis'!C27</f>
        <v>4648</v>
      </c>
      <c r="D18" s="7">
        <f>IF(ISNUMBER(C18),(C18-C9)/C9,"N/A")</f>
        <v>-0.21632102512223908</v>
      </c>
    </row>
    <row r="19" spans="2:5" ht="13.5" customHeight="1" x14ac:dyDescent="0.25">
      <c r="B19" t="s">
        <v>20</v>
      </c>
      <c r="C19" s="11">
        <f>'Comps Analysis'!C28</f>
        <v>6029</v>
      </c>
      <c r="D19" s="7">
        <f>IF(ISNUMBER(C19),(C19-C9)/C9,"N/A")</f>
        <v>1.652335187995279E-2</v>
      </c>
    </row>
    <row r="20" spans="2:5" ht="14" customHeight="1" x14ac:dyDescent="0.3">
      <c r="B20" s="45" t="s">
        <v>21</v>
      </c>
      <c r="C20" s="44"/>
      <c r="D20" s="44"/>
      <c r="E20" s="44"/>
    </row>
    <row r="21" spans="2:5" ht="14" customHeight="1" x14ac:dyDescent="0.3">
      <c r="B21" s="4" t="s">
        <v>22</v>
      </c>
      <c r="C21" s="6" t="str">
        <f>IF(COUNT(C16:C17)=0,"N/A",MIN(C16:C17)&amp;" - "&amp;MAX(C16:C17))</f>
        <v>1949 - 3741</v>
      </c>
    </row>
    <row r="23" spans="2:5" ht="14" customHeight="1" x14ac:dyDescent="0.3">
      <c r="B23" s="8" t="s">
        <v>23</v>
      </c>
      <c r="C23" s="9"/>
      <c r="D23" s="9"/>
    </row>
    <row r="24" spans="2:5" x14ac:dyDescent="0.2">
      <c r="B24" t="str">
        <f>"Fanuc supplies CNC controls and industrial robots with an installed base that generates recurring service revenue, and the operating margin has recovered to the upper half of its four-year range; the shares trade at "&amp;TEXT('Comps Analysis'!L5,"0.0""x""")&amp;" earnings and "&amp;TEXT('Comps Analysis'!M5,"0.00""x""")&amp;" book."</f>
        <v>Fanuc supplies CNC controls and industrial robots with an installed base that generates recurring service revenue, and the operating margin has recovered to the upper half of its four-year range; the shares trade at 33.1x earnings and 2.96x book.</v>
      </c>
    </row>
    <row r="25" spans="2:5" x14ac:dyDescent="0.2">
      <c r="B25" t="str">
        <f>"The balance sheet holds substantial net cash with no interest-bearing debt, so the "&amp;TEXT('DCF Model'!C26,"0.00%")&amp;" discount rate is the cost of equity with no leverage assumed."</f>
        <v>The balance sheet holds substantial net cash with no interest-bearing debt, so the 13.28% discount rate is the cost of equity with no leverage assumed.</v>
      </c>
    </row>
    <row r="26" spans="2:5" x14ac:dyDescent="0.2">
      <c r="B26" t="str">
        <f>"At "&amp;TEXT(C9,"#,##0")&amp;" the shares are valued above the automation peer median on EV/EBITDA; this model values the exit on the peer median rather than on that premium, which is why "&amp;TEXT(C10,"#,##0")&amp;" sits "&amp;TEXT(C12,"+0.0%;-0.0%")&amp;" from here."</f>
        <v>At 5,931 the shares are valued above the automation peer median on EV/EBITDA; this model values the exit on the peer median rather than on that premium, which is why 3,741 sits -36.9% from here.</v>
      </c>
    </row>
    <row r="28" spans="2:5" ht="14" customHeight="1" x14ac:dyDescent="0.3">
      <c r="B28" s="8" t="s">
        <v>24</v>
      </c>
      <c r="C28" s="9"/>
      <c r="D28" s="9"/>
    </row>
    <row r="29" spans="2:5" x14ac:dyDescent="0.2">
      <c r="B29" t="str">
        <f>"Revenue has been essentially flat for three years while the margin recovered, so the base-case growth path behind "&amp;TEXT(C10,"#,##0")&amp;" rests on a capital-spending recovery the filings have not yet shown."</f>
        <v>Revenue has been essentially flat for three years while the margin recovered, so the base-case growth path behind 3,741 rests on a capital-spending recovery the filings have not yet shown.</v>
      </c>
    </row>
    <row r="30" spans="2:5" x14ac:dyDescent="0.2">
      <c r="B30" t="str">
        <f>"Capital expenditure fell to half of depreciation in the latest year; the base case assumes it returns to the depreciation level, and if the company keeps under-investing the reported free cash flow flatters the "&amp;TEXT('Comps Analysis'!L5,"0.0""x""")&amp;" the market pays."</f>
        <v>Capital expenditure fell to half of depreciation in the latest year; the base case assumes it returns to the depreciation level, and if the company keeps under-investing the reported free cash flow flatters the 33.1x the market pays.</v>
      </c>
    </row>
    <row r="31" spans="2:5" x14ac:dyDescent="0.2">
      <c r="B31" t="str">
        <f>"Chinese machine-tool and robot demand drives a large share of orders, and neither that concentration nor the currency exposure is reflected in the "&amp;TEXT('DCF Model'!C26,"0.00%")&amp;" used here."</f>
        <v>Chinese machine-tool and robot demand drives a large share of orders, and neither that concentration nor the currency exposure is reflected in the 13.28% used here.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851956</v>
      </c>
      <c r="D6" s="5">
        <v>795274</v>
      </c>
      <c r="E6" s="5">
        <v>797129</v>
      </c>
      <c r="F6" s="5">
        <v>857831</v>
      </c>
    </row>
    <row r="7" spans="2:6" ht="14" customHeight="1" x14ac:dyDescent="0.3">
      <c r="B7" s="4" t="s">
        <v>32</v>
      </c>
      <c r="C7" s="5">
        <v>526549</v>
      </c>
      <c r="D7" s="5">
        <v>519430</v>
      </c>
      <c r="E7" s="5">
        <v>502204</v>
      </c>
      <c r="F7" s="5">
        <v>529365</v>
      </c>
    </row>
    <row r="8" spans="2:6" ht="14" customHeight="1" x14ac:dyDescent="0.3">
      <c r="B8" s="4" t="s">
        <v>33</v>
      </c>
      <c r="C8" s="5">
        <f>C6-C7</f>
        <v>325407</v>
      </c>
      <c r="D8" s="5">
        <f>D6-D7</f>
        <v>275844</v>
      </c>
      <c r="E8" s="5">
        <f>E6-E7</f>
        <v>294925</v>
      </c>
      <c r="F8" s="5">
        <f>F6-F7</f>
        <v>328466</v>
      </c>
    </row>
    <row r="9" spans="2:6" ht="13.5" customHeight="1" x14ac:dyDescent="0.25">
      <c r="B9" t="s">
        <v>34</v>
      </c>
      <c r="C9" s="7">
        <f>C8/C6</f>
        <v>0.38195282385475304</v>
      </c>
      <c r="D9" s="7">
        <f>D8/D6</f>
        <v>0.34685404024273397</v>
      </c>
      <c r="E9" s="7">
        <f>E8/E6</f>
        <v>0.36998403018833842</v>
      </c>
      <c r="F9" s="7">
        <f>F8/F6</f>
        <v>0.38290292610082871</v>
      </c>
    </row>
    <row r="10" spans="2:6" ht="14" customHeight="1" x14ac:dyDescent="0.3">
      <c r="B10" s="4" t="s">
        <v>35</v>
      </c>
      <c r="C10" s="5">
        <v>134048</v>
      </c>
      <c r="D10" s="5">
        <v>133925</v>
      </c>
      <c r="E10" s="5">
        <v>136079</v>
      </c>
      <c r="F10" s="5">
        <v>144703</v>
      </c>
    </row>
    <row r="11" spans="2:6" ht="14" customHeight="1" x14ac:dyDescent="0.3">
      <c r="B11" s="4" t="s">
        <v>36</v>
      </c>
      <c r="C11" s="5">
        <v>191359</v>
      </c>
      <c r="D11" s="5">
        <v>141919</v>
      </c>
      <c r="E11" s="5">
        <v>158846</v>
      </c>
      <c r="F11" s="5">
        <v>183763</v>
      </c>
    </row>
    <row r="12" spans="2:6" ht="14" customHeight="1" x14ac:dyDescent="0.3">
      <c r="B12" s="4" t="s">
        <v>37</v>
      </c>
      <c r="C12" s="5">
        <v>170587</v>
      </c>
      <c r="D12" s="5">
        <v>133159</v>
      </c>
      <c r="E12" s="5">
        <v>147557</v>
      </c>
      <c r="F12" s="5">
        <v>166543</v>
      </c>
    </row>
    <row r="13" spans="2:6" ht="13.5" customHeight="1" x14ac:dyDescent="0.25">
      <c r="B13" t="s">
        <v>38</v>
      </c>
      <c r="C13" s="7">
        <f>C11/C6</f>
        <v>0.22461136490616887</v>
      </c>
      <c r="D13" s="7">
        <f>D11/D6</f>
        <v>0.17845296086631776</v>
      </c>
      <c r="E13" s="7">
        <f>E11/E6</f>
        <v>0.19927263968567197</v>
      </c>
      <c r="F13" s="7">
        <f>F11/F6</f>
        <v>0.21421818516700841</v>
      </c>
    </row>
    <row r="14" spans="2:6" ht="13.5" customHeight="1" x14ac:dyDescent="0.25">
      <c r="B14" t="s">
        <v>39</v>
      </c>
      <c r="C14" s="7">
        <f>C12/C6</f>
        <v>0.20022982407542173</v>
      </c>
      <c r="D14" s="7">
        <f>D12/D6</f>
        <v>0.16743788933122419</v>
      </c>
      <c r="E14" s="7">
        <f>E12/E6</f>
        <v>0.18511056554208918</v>
      </c>
      <c r="F14" s="7">
        <f>F12/F6</f>
        <v>0.19414430115022657</v>
      </c>
    </row>
    <row r="15" spans="2:6" ht="13.5" customHeight="1" x14ac:dyDescent="0.25">
      <c r="B15" t="s">
        <v>40</v>
      </c>
      <c r="C15" t="s">
        <v>41</v>
      </c>
      <c r="D15" s="7">
        <f>(D6-C6)/C6</f>
        <v>-6.6531604918563872E-2</v>
      </c>
      <c r="E15" s="7">
        <f>(E6-D6)/D6</f>
        <v>2.3325294175340827E-3</v>
      </c>
      <c r="F15" s="7">
        <f>(F6-E6)/E6</f>
        <v>7.615078613373745E-2</v>
      </c>
    </row>
    <row r="16" spans="2:6" ht="13.5" customHeight="1" x14ac:dyDescent="0.25">
      <c r="B16" t="s">
        <v>42</v>
      </c>
      <c r="C16" t="s">
        <v>41</v>
      </c>
      <c r="D16" s="7">
        <f>(D11-C11)/C11</f>
        <v>-0.25836255415214338</v>
      </c>
      <c r="E16" s="7">
        <f>(E11-D11)/D11</f>
        <v>0.11927226093757706</v>
      </c>
      <c r="F16" s="7">
        <f>(F11-E11)/E11</f>
        <v>0.15686262165871348</v>
      </c>
    </row>
    <row r="18" spans="2:6" ht="14" customHeight="1" x14ac:dyDescent="0.3">
      <c r="B18" s="3" t="s">
        <v>43</v>
      </c>
    </row>
    <row r="19" spans="2:6" ht="14" customHeight="1" x14ac:dyDescent="0.3">
      <c r="B19" s="4" t="s">
        <v>44</v>
      </c>
      <c r="C19" s="5">
        <v>99505</v>
      </c>
      <c r="D19" s="5">
        <v>171764</v>
      </c>
      <c r="E19" s="5">
        <v>255273</v>
      </c>
      <c r="F19" s="5">
        <v>250896</v>
      </c>
    </row>
    <row r="20" spans="2:6" ht="14" customHeight="1" x14ac:dyDescent="0.3">
      <c r="B20" s="4" t="s">
        <v>45</v>
      </c>
      <c r="C20" s="5">
        <v>47066</v>
      </c>
      <c r="D20" s="5">
        <v>53884</v>
      </c>
      <c r="E20" s="5">
        <v>40805</v>
      </c>
      <c r="F20" s="5">
        <v>21181</v>
      </c>
    </row>
    <row r="21" spans="2:6" ht="14" customHeight="1" x14ac:dyDescent="0.3">
      <c r="B21" s="4" t="s">
        <v>46</v>
      </c>
      <c r="C21" s="5">
        <f>C19-C20</f>
        <v>52439</v>
      </c>
      <c r="D21" s="5">
        <f>D19-D20</f>
        <v>117880</v>
      </c>
      <c r="E21" s="5">
        <f>E19-E20</f>
        <v>214468</v>
      </c>
      <c r="F21" s="5">
        <f>F19-F20</f>
        <v>229715</v>
      </c>
    </row>
    <row r="22" spans="2:6" ht="13.5" customHeight="1" x14ac:dyDescent="0.25">
      <c r="B22" t="s">
        <v>47</v>
      </c>
      <c r="C22" s="7">
        <f>C21/C6</f>
        <v>6.1551300771401342E-2</v>
      </c>
      <c r="D22" s="7">
        <f>D21/D6</f>
        <v>0.14822564298593943</v>
      </c>
      <c r="E22" s="7">
        <f>E21/E6</f>
        <v>0.2690505551799019</v>
      </c>
      <c r="F22" s="7">
        <f>F21/F6</f>
        <v>0.26778584593002586</v>
      </c>
    </row>
    <row r="23" spans="2:6" ht="13.5" customHeight="1" x14ac:dyDescent="0.25">
      <c r="B23" t="s">
        <v>48</v>
      </c>
      <c r="C23" s="7">
        <f>C20/C6</f>
        <v>5.5244637046983645E-2</v>
      </c>
      <c r="D23" s="7">
        <f>D20/D6</f>
        <v>6.7755264223399739E-2</v>
      </c>
      <c r="E23" s="7">
        <f>E20/E6</f>
        <v>5.1189957961634815E-2</v>
      </c>
      <c r="F23" s="7">
        <f>F20/F6</f>
        <v>2.4691343632953344E-2</v>
      </c>
    </row>
    <row r="25" spans="2:6" ht="14" customHeight="1" x14ac:dyDescent="0.3">
      <c r="B25" s="3" t="s">
        <v>49</v>
      </c>
    </row>
    <row r="26" spans="2:6" ht="14" customHeight="1" x14ac:dyDescent="0.3">
      <c r="B26" s="4" t="s">
        <v>50</v>
      </c>
      <c r="C26" s="5">
        <v>476953</v>
      </c>
      <c r="D26" s="5">
        <v>526881</v>
      </c>
      <c r="E26" s="5">
        <v>590504</v>
      </c>
      <c r="F26" s="5">
        <v>718071</v>
      </c>
    </row>
    <row r="27" spans="2:6" ht="14" customHeight="1" x14ac:dyDescent="0.3">
      <c r="B27" s="4" t="s">
        <v>51</v>
      </c>
      <c r="C27" s="5"/>
      <c r="D27" s="5"/>
      <c r="E27" s="5"/>
      <c r="F27" s="5"/>
    </row>
    <row r="28" spans="2:6" ht="14" customHeight="1" x14ac:dyDescent="0.3">
      <c r="B28" s="4" t="s">
        <v>52</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5.8799999999999998E-2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1.4319999999999999</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0.01</v>
      </c>
    </row>
    <row r="12" spans="2:7" ht="14" customHeight="1" x14ac:dyDescent="0.3">
      <c r="B12" s="4" t="s">
        <v>62</v>
      </c>
      <c r="C12" s="13">
        <v>0</v>
      </c>
    </row>
    <row r="13" spans="2:7" ht="14" customHeight="1" x14ac:dyDescent="0.3">
      <c r="B13" s="4" t="s">
        <v>63</v>
      </c>
      <c r="C13" s="7">
        <v>0.01</v>
      </c>
    </row>
    <row r="14" spans="2:7" ht="14" customHeight="1" x14ac:dyDescent="0.3">
      <c r="B14" s="4" t="s">
        <v>64</v>
      </c>
      <c r="C14" s="14">
        <v>15.6</v>
      </c>
    </row>
    <row r="15" spans="2:7" ht="14" customHeight="1" x14ac:dyDescent="0.3">
      <c r="B15" s="4" t="s">
        <v>65</v>
      </c>
      <c r="C15" s="15">
        <v>929200798</v>
      </c>
    </row>
    <row r="16" spans="2:7" ht="14" customHeight="1" x14ac:dyDescent="0.3">
      <c r="B16" s="4" t="s">
        <v>66</v>
      </c>
      <c r="C16" s="5">
        <v>-718071</v>
      </c>
    </row>
    <row r="17" spans="2:7" ht="14" customHeight="1" x14ac:dyDescent="0.3">
      <c r="B17" s="4" t="s">
        <v>67</v>
      </c>
      <c r="C17" s="5">
        <v>857831</v>
      </c>
    </row>
    <row r="18" spans="2:7" ht="14" customHeight="1" x14ac:dyDescent="0.3">
      <c r="B18" s="4" t="s">
        <v>68</v>
      </c>
      <c r="C18" s="7">
        <v>5.6000000000000001E-2</v>
      </c>
    </row>
    <row r="19" spans="2:7" ht="14" customHeight="1" x14ac:dyDescent="0.3">
      <c r="B19" s="4" t="s">
        <v>69</v>
      </c>
      <c r="C19" s="12">
        <v>1</v>
      </c>
    </row>
    <row r="20" spans="2:7" ht="14" customHeight="1" x14ac:dyDescent="0.3">
      <c r="B20" s="4" t="s">
        <v>70</v>
      </c>
      <c r="C20" s="5">
        <v>857831</v>
      </c>
    </row>
    <row r="22" spans="2:7" ht="14" customHeight="1" x14ac:dyDescent="0.3">
      <c r="B22" s="8" t="s">
        <v>71</v>
      </c>
      <c r="C22" s="9"/>
      <c r="D22" s="9"/>
      <c r="E22" s="9"/>
      <c r="F22" s="9"/>
      <c r="G22" s="9"/>
    </row>
    <row r="23" spans="2:7" ht="14" customHeight="1" x14ac:dyDescent="0.3">
      <c r="B23" s="4" t="s">
        <v>72</v>
      </c>
      <c r="C23" s="16">
        <f>C7+C8*C9+C10</f>
        <v>0.13278000000000001</v>
      </c>
    </row>
    <row r="24" spans="2:7" ht="14" customHeight="1" x14ac:dyDescent="0.3">
      <c r="B24" s="4" t="s">
        <v>73</v>
      </c>
      <c r="C24" s="16">
        <f>1/(1+C12)</f>
        <v>1</v>
      </c>
    </row>
    <row r="25" spans="2:7" ht="14" customHeight="1" x14ac:dyDescent="0.3">
      <c r="B25" s="4" t="s">
        <v>74</v>
      </c>
      <c r="C25" s="16">
        <f>C12/(1+C12)</f>
        <v>0</v>
      </c>
    </row>
    <row r="26" spans="2:7" ht="14" customHeight="1" x14ac:dyDescent="0.3">
      <c r="B26" s="4" t="s">
        <v>75</v>
      </c>
      <c r="C26" s="16">
        <f>C23*C24+C11*C25</f>
        <v>0.13278000000000001</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0.05</v>
      </c>
      <c r="D30" s="18">
        <f>CHOOSE($D$27,D69,D70,D71,D72,D73)</f>
        <v>0.04</v>
      </c>
      <c r="E30" s="18">
        <f>CHOOSE($D$27,E69,E70,E71,E72,E73)</f>
        <v>3.5000000000000003E-2</v>
      </c>
      <c r="F30" s="18">
        <f>CHOOSE($D$27,F69,F70,F71,F72,F73)</f>
        <v>0.03</v>
      </c>
      <c r="G30" s="18">
        <f>CHOOSE($D$27,G69,G70,G71,G72,G73)</f>
        <v>2.5000000000000001E-2</v>
      </c>
    </row>
    <row r="31" spans="2:7" ht="14" customHeight="1" x14ac:dyDescent="0.3">
      <c r="B31" s="4" t="s">
        <v>84</v>
      </c>
      <c r="C31" s="18">
        <f>CHOOSE($D$27,C76,C77,C78,C79,C80)</f>
        <v>0.61699999999999999</v>
      </c>
      <c r="D31" s="18">
        <f>CHOOSE($D$27,D76,D77,D78,D79,D80)</f>
        <v>0.61699999999999999</v>
      </c>
      <c r="E31" s="18">
        <f>CHOOSE($D$27,E76,E77,E78,E79,E80)</f>
        <v>0.61699999999999999</v>
      </c>
      <c r="F31" s="18">
        <f>CHOOSE($D$27,F76,F77,F78,F79,F80)</f>
        <v>0.61699999999999999</v>
      </c>
      <c r="G31" s="18">
        <f>CHOOSE($D$27,G76,G77,G78,G79,G80)</f>
        <v>0.61699999999999999</v>
      </c>
    </row>
    <row r="32" spans="2:7" ht="14" customHeight="1" x14ac:dyDescent="0.3">
      <c r="B32" s="4" t="s">
        <v>85</v>
      </c>
      <c r="C32" s="18">
        <f>CHOOSE($D$27,C83,C84,C85,C86,C87)</f>
        <v>0.16850000000000001</v>
      </c>
      <c r="D32" s="18">
        <f>CHOOSE($D$27,D83,D84,D85,D86,D87)</f>
        <v>0.16819999999999999</v>
      </c>
      <c r="E32" s="18">
        <f>CHOOSE($D$27,E83,E84,E85,E86,E87)</f>
        <v>0.16789999999999999</v>
      </c>
      <c r="F32" s="18">
        <f>CHOOSE($D$27,F83,F84,F85,F86,F87)</f>
        <v>0.16769999999999999</v>
      </c>
      <c r="G32" s="18">
        <f>CHOOSE($D$27,G83,G84,G85,G86,G87)</f>
        <v>0.16750000000000001</v>
      </c>
    </row>
    <row r="33" spans="2:7" ht="14" customHeight="1" x14ac:dyDescent="0.3">
      <c r="B33" s="4" t="s">
        <v>31</v>
      </c>
      <c r="C33" s="5">
        <f>C17*(1+C30)</f>
        <v>900722.55</v>
      </c>
      <c r="D33" s="5">
        <f>C33*(1+D30)</f>
        <v>936751.45200000005</v>
      </c>
      <c r="E33" s="5">
        <f>D33*(1+E30)</f>
        <v>969537.75281999994</v>
      </c>
      <c r="F33" s="5">
        <f>E33*(1+F30)</f>
        <v>998623.88540459995</v>
      </c>
      <c r="G33" s="5">
        <f>F33*(1+G30)</f>
        <v>1023589.4825397149</v>
      </c>
    </row>
    <row r="34" spans="2:7" ht="14" customHeight="1" x14ac:dyDescent="0.3">
      <c r="B34" s="4" t="s">
        <v>32</v>
      </c>
      <c r="C34" s="5">
        <f>C33*C31</f>
        <v>555745.81335000007</v>
      </c>
      <c r="D34" s="5">
        <f>D33*D31</f>
        <v>577975.645884</v>
      </c>
      <c r="E34" s="5">
        <f>E33*E31</f>
        <v>598204.79348994</v>
      </c>
      <c r="F34" s="5">
        <f>F33*F31</f>
        <v>616150.93729463813</v>
      </c>
      <c r="G34" s="5">
        <f>G33*G31</f>
        <v>631554.7107270041</v>
      </c>
    </row>
    <row r="35" spans="2:7" ht="14" customHeight="1" x14ac:dyDescent="0.3">
      <c r="B35" s="4" t="s">
        <v>33</v>
      </c>
      <c r="C35" s="19">
        <f>C33-C34</f>
        <v>344976.73664999998</v>
      </c>
      <c r="D35" s="19">
        <f>D33-D34</f>
        <v>358775.80611600005</v>
      </c>
      <c r="E35" s="19">
        <f>E33-E34</f>
        <v>371332.95933005994</v>
      </c>
      <c r="F35" s="19">
        <f>F33-F34</f>
        <v>382472.94810996181</v>
      </c>
      <c r="G35" s="19">
        <f>G33-G34</f>
        <v>392034.77181271079</v>
      </c>
    </row>
    <row r="36" spans="2:7" ht="14" customHeight="1" x14ac:dyDescent="0.3">
      <c r="B36" s="4" t="s">
        <v>34</v>
      </c>
      <c r="C36" s="7">
        <f>C35/C33</f>
        <v>0.38299999999999995</v>
      </c>
      <c r="D36" s="7">
        <f>D35/D33</f>
        <v>0.38300000000000001</v>
      </c>
      <c r="E36" s="7">
        <f>E35/E33</f>
        <v>0.38299999999999995</v>
      </c>
      <c r="F36" s="7">
        <f>F35/F33</f>
        <v>0.38300000000000001</v>
      </c>
      <c r="G36" s="7">
        <f>G35/G33</f>
        <v>0.38300000000000001</v>
      </c>
    </row>
    <row r="37" spans="2:7" ht="14" customHeight="1" x14ac:dyDescent="0.3">
      <c r="B37" s="4" t="s">
        <v>86</v>
      </c>
      <c r="C37" s="5">
        <f>C33*C32</f>
        <v>151771.74967500003</v>
      </c>
      <c r="D37" s="5">
        <f>D33*D32</f>
        <v>157561.59422639999</v>
      </c>
      <c r="E37" s="5">
        <f>E33*E32</f>
        <v>162785.388698478</v>
      </c>
      <c r="F37" s="5">
        <f>F33*F32</f>
        <v>167469.22558235141</v>
      </c>
      <c r="G37" s="5">
        <f>G33*G32</f>
        <v>171451.23832540226</v>
      </c>
    </row>
    <row r="38" spans="2:7" ht="14" customHeight="1" x14ac:dyDescent="0.3">
      <c r="B38" s="4" t="s">
        <v>87</v>
      </c>
      <c r="C38" s="7">
        <f>(C35-C37)/C33</f>
        <v>0.21449999999999994</v>
      </c>
      <c r="D38" s="7">
        <f>(D35-D37)/D33</f>
        <v>0.21480000000000005</v>
      </c>
      <c r="E38" s="7">
        <f>(E35-E37)/E33</f>
        <v>0.21509999999999996</v>
      </c>
      <c r="F38" s="7">
        <f>(F35-F37)/F33</f>
        <v>0.21530000000000002</v>
      </c>
      <c r="G38" s="7">
        <f>(G35-G37)/G33</f>
        <v>0.21549999999999997</v>
      </c>
    </row>
    <row r="39" spans="2:7" ht="14" customHeight="1" x14ac:dyDescent="0.3">
      <c r="B39" s="4" t="s">
        <v>88</v>
      </c>
      <c r="C39" s="19">
        <f>C35-C37</f>
        <v>193204.98697499995</v>
      </c>
      <c r="D39" s="19">
        <f>D35-D37</f>
        <v>201214.21188960006</v>
      </c>
      <c r="E39" s="19">
        <f>E35-E37</f>
        <v>208547.57063158194</v>
      </c>
      <c r="F39" s="19">
        <f>F35-F37</f>
        <v>215003.7225276104</v>
      </c>
      <c r="G39" s="19">
        <f>G35-G37</f>
        <v>220583.53348730854</v>
      </c>
    </row>
    <row r="40" spans="2:7" ht="14" customHeight="1" x14ac:dyDescent="0.3">
      <c r="B40" s="4" t="s">
        <v>89</v>
      </c>
      <c r="C40" s="5">
        <f>MAX(0,C39*C6)</f>
        <v>48301.246743749987</v>
      </c>
      <c r="D40" s="5">
        <f>MAX(0,D39*C6)</f>
        <v>50303.552972400015</v>
      </c>
      <c r="E40" s="5">
        <f>MAX(0,E39*C6)</f>
        <v>52136.892657895485</v>
      </c>
      <c r="F40" s="5">
        <f>MAX(0,F39*C6)</f>
        <v>53750.9306319026</v>
      </c>
      <c r="G40" s="5">
        <f>MAX(0,G39*C6)</f>
        <v>55145.883371827134</v>
      </c>
    </row>
    <row r="41" spans="2:7" ht="14" customHeight="1" x14ac:dyDescent="0.3">
      <c r="B41" s="4" t="s">
        <v>90</v>
      </c>
      <c r="C41" s="19">
        <f>C39-C40</f>
        <v>144903.74023124995</v>
      </c>
      <c r="D41" s="19">
        <f>D39-D40</f>
        <v>150910.65891720005</v>
      </c>
      <c r="E41" s="19">
        <f>E39-E40</f>
        <v>156410.67797368646</v>
      </c>
      <c r="F41" s="19">
        <f>F39-F40</f>
        <v>161252.79189570781</v>
      </c>
      <c r="G41" s="19">
        <f>G39-G40</f>
        <v>165437.6501154814</v>
      </c>
    </row>
    <row r="42" spans="2:7" ht="14" customHeight="1" x14ac:dyDescent="0.3">
      <c r="B42" s="4" t="s">
        <v>91</v>
      </c>
      <c r="C42" s="5">
        <f>C33*C18</f>
        <v>50440.462800000001</v>
      </c>
      <c r="D42" s="5">
        <f>D33*C18</f>
        <v>52458.081312000002</v>
      </c>
      <c r="E42" s="5">
        <f>E33*C18</f>
        <v>54294.114157919998</v>
      </c>
      <c r="F42" s="5">
        <f>F33*C18</f>
        <v>55922.9375826576</v>
      </c>
      <c r="G42" s="5">
        <f>G33*C18</f>
        <v>57321.011022224033</v>
      </c>
    </row>
    <row r="43" spans="2:7" ht="14" customHeight="1" x14ac:dyDescent="0.3">
      <c r="B43" s="4" t="s">
        <v>92</v>
      </c>
      <c r="C43" s="5">
        <f>C33*C5</f>
        <v>52962.485939999999</v>
      </c>
      <c r="D43" s="5">
        <f>D33*C5</f>
        <v>55080.985377600002</v>
      </c>
      <c r="E43" s="5">
        <f>E33*C5</f>
        <v>57008.819865815996</v>
      </c>
      <c r="F43" s="5">
        <f>F33*C5</f>
        <v>58719.084461790473</v>
      </c>
      <c r="G43" s="5">
        <f>G33*C5</f>
        <v>60187.061573335232</v>
      </c>
    </row>
    <row r="44" spans="2:7" ht="14" customHeight="1" x14ac:dyDescent="0.3">
      <c r="B44" s="4" t="s">
        <v>93</v>
      </c>
      <c r="C44" s="5">
        <f>'NWC Schedule'!D19</f>
        <v>59983.115324109676</v>
      </c>
      <c r="D44" s="5">
        <f>'NWC Schedule'!E19</f>
        <v>19067.284612964315</v>
      </c>
      <c r="E44" s="5">
        <f>'NWC Schedule'!F19</f>
        <v>17351.228997797589</v>
      </c>
      <c r="F44" s="5">
        <f>'NWC Schedule'!G19</f>
        <v>15393.018868046056</v>
      </c>
      <c r="G44" s="5">
        <f>'NWC Schedule'!H19</f>
        <v>13212.341195072979</v>
      </c>
    </row>
    <row r="45" spans="2:7" ht="14" customHeight="1" x14ac:dyDescent="0.3">
      <c r="B45" s="4" t="s">
        <v>94</v>
      </c>
      <c r="C45" s="20">
        <f>C41+C42-C43-C44</f>
        <v>82398.601767140266</v>
      </c>
      <c r="D45" s="20">
        <f>D41+D42-D43-D44</f>
        <v>129220.47023863572</v>
      </c>
      <c r="E45" s="20">
        <f>E41+E42-E43-E44</f>
        <v>136344.74326799286</v>
      </c>
      <c r="F45" s="20">
        <f>F41+F42-F43-F44</f>
        <v>143063.62614852886</v>
      </c>
      <c r="G45" s="20">
        <f>G41+G42-G43-G44</f>
        <v>149359.25836929723</v>
      </c>
    </row>
    <row r="46" spans="2:7" ht="14" customHeight="1" x14ac:dyDescent="0.3">
      <c r="B46" s="4" t="s">
        <v>95</v>
      </c>
      <c r="C46" s="21">
        <f>1/(1+C26)^(C19+0)</f>
        <v>0.88278394745669952</v>
      </c>
      <c r="D46" s="21">
        <f>1/(1+C26)^(C19+1)</f>
        <v>0.77930749788723286</v>
      </c>
      <c r="E46" s="21">
        <f>1/(1+C26)^(C19+2)</f>
        <v>0.68796014926749494</v>
      </c>
      <c r="F46" s="21">
        <f>1/(1+C26)^(C19+3)</f>
        <v>0.60732017626325929</v>
      </c>
      <c r="G46" s="21">
        <f>1/(1+C26)^(C19+4)</f>
        <v>0.53613250257177869</v>
      </c>
    </row>
    <row r="47" spans="2:7" ht="14" customHeight="1" x14ac:dyDescent="0.3">
      <c r="B47" s="4" t="s">
        <v>96</v>
      </c>
      <c r="C47" s="19">
        <f>C45*C46</f>
        <v>72740.162932908657</v>
      </c>
      <c r="D47" s="19">
        <f>D45*D46</f>
        <v>100702.48133748285</v>
      </c>
      <c r="E47" s="19">
        <f>E45*E46</f>
        <v>93799.749930486651</v>
      </c>
      <c r="F47" s="19">
        <f>F45*F46</f>
        <v>86885.426649385583</v>
      </c>
      <c r="G47" s="19">
        <f>G45*G46</f>
        <v>80076.352971796208</v>
      </c>
    </row>
    <row r="49" spans="2:7" ht="14" customHeight="1" x14ac:dyDescent="0.3">
      <c r="B49" s="22" t="s">
        <v>97</v>
      </c>
      <c r="C49" s="23"/>
      <c r="D49" s="23"/>
      <c r="E49" s="23"/>
      <c r="F49" s="23"/>
      <c r="G49" s="23"/>
    </row>
    <row r="50" spans="2:7" ht="14" customHeight="1" x14ac:dyDescent="0.3">
      <c r="B50" s="4" t="s">
        <v>98</v>
      </c>
      <c r="C50" s="5">
        <f>SUM(C47:G47)</f>
        <v>434204.17382205999</v>
      </c>
    </row>
    <row r="51" spans="2:7" ht="14" customHeight="1" x14ac:dyDescent="0.3">
      <c r="B51" s="4" t="s">
        <v>99</v>
      </c>
      <c r="C51" s="5">
        <f>G45*(1+C13)/(C26-C13)</f>
        <v>1228643.516476545</v>
      </c>
    </row>
    <row r="52" spans="2:7" ht="14" customHeight="1" x14ac:dyDescent="0.3">
      <c r="B52" s="4" t="s">
        <v>100</v>
      </c>
      <c r="C52" s="5">
        <f>C51*G46</f>
        <v>658715.72325716051</v>
      </c>
    </row>
    <row r="53" spans="2:7" ht="14" customHeight="1" x14ac:dyDescent="0.3">
      <c r="B53" s="4" t="s">
        <v>101</v>
      </c>
      <c r="C53" s="5">
        <f>C50+C52</f>
        <v>1092919.8970792205</v>
      </c>
    </row>
    <row r="54" spans="2:7" ht="14" customHeight="1" x14ac:dyDescent="0.3">
      <c r="B54" s="4" t="s">
        <v>102</v>
      </c>
      <c r="C54" s="5">
        <f>C53-C16</f>
        <v>1810990.8970792205</v>
      </c>
    </row>
    <row r="55" spans="2:7" ht="14" customHeight="1" x14ac:dyDescent="0.3">
      <c r="B55" s="4" t="s">
        <v>103</v>
      </c>
      <c r="C55" s="24">
        <f>ROUND(C54*1000000/C15,0)</f>
        <v>1949</v>
      </c>
    </row>
    <row r="57" spans="2:7" ht="14" customHeight="1" x14ac:dyDescent="0.3">
      <c r="B57" s="22" t="s">
        <v>104</v>
      </c>
      <c r="C57" s="23"/>
      <c r="D57" s="23"/>
      <c r="E57" s="23"/>
      <c r="F57" s="23"/>
      <c r="G57" s="23"/>
    </row>
    <row r="58" spans="2:7" ht="14" customHeight="1" x14ac:dyDescent="0.3">
      <c r="B58" s="4" t="s">
        <v>98</v>
      </c>
      <c r="C58" s="5">
        <f>C50</f>
        <v>434204.17382205999</v>
      </c>
    </row>
    <row r="59" spans="2:7" ht="14" customHeight="1" x14ac:dyDescent="0.3">
      <c r="B59" s="4" t="s">
        <v>105</v>
      </c>
      <c r="C59" s="5">
        <f>G39+G42</f>
        <v>277904.54450953257</v>
      </c>
    </row>
    <row r="60" spans="2:7" ht="14" customHeight="1" x14ac:dyDescent="0.3">
      <c r="B60" s="4" t="s">
        <v>106</v>
      </c>
      <c r="C60" s="5">
        <f>C59*C14</f>
        <v>4335310.894348708</v>
      </c>
    </row>
    <row r="61" spans="2:7" ht="14" customHeight="1" x14ac:dyDescent="0.3">
      <c r="B61" s="4" t="s">
        <v>100</v>
      </c>
      <c r="C61" s="5">
        <f>C60*G46</f>
        <v>2324301.0792138688</v>
      </c>
    </row>
    <row r="62" spans="2:7" ht="14" customHeight="1" x14ac:dyDescent="0.3">
      <c r="B62" s="4" t="s">
        <v>101</v>
      </c>
      <c r="C62" s="5">
        <f>C58+C61</f>
        <v>2758505.2530359291</v>
      </c>
    </row>
    <row r="63" spans="2:7" ht="14" customHeight="1" x14ac:dyDescent="0.3">
      <c r="B63" s="4" t="s">
        <v>102</v>
      </c>
      <c r="C63" s="5">
        <f>C62-C16</f>
        <v>3476576.2530359291</v>
      </c>
    </row>
    <row r="64" spans="2:7" ht="14" customHeight="1" x14ac:dyDescent="0.3">
      <c r="B64" s="4" t="s">
        <v>107</v>
      </c>
      <c r="C64" s="24">
        <f>ROUND(C63*1000000/C15,0)</f>
        <v>3741</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0.05</v>
      </c>
      <c r="D69" s="26">
        <v>0.04</v>
      </c>
      <c r="E69" s="26">
        <v>3.5000000000000003E-2</v>
      </c>
      <c r="F69" s="26">
        <v>0.03</v>
      </c>
      <c r="G69" s="26">
        <v>2.5000000000000001E-2</v>
      </c>
    </row>
    <row r="70" spans="2:7" ht="14" customHeight="1" x14ac:dyDescent="0.3">
      <c r="B70" s="4" t="s">
        <v>114</v>
      </c>
      <c r="C70" s="26">
        <v>7.0000000000000007E-2</v>
      </c>
      <c r="D70" s="26">
        <v>0.06</v>
      </c>
      <c r="E70" s="26">
        <v>0.05</v>
      </c>
      <c r="F70" s="26">
        <v>0.04</v>
      </c>
      <c r="G70" s="26">
        <v>3.5000000000000003E-2</v>
      </c>
    </row>
    <row r="71" spans="2:7" ht="14" customHeight="1" x14ac:dyDescent="0.3">
      <c r="B71" s="4" t="s">
        <v>115</v>
      </c>
      <c r="C71" s="26">
        <v>0.05</v>
      </c>
      <c r="D71" s="26">
        <v>0.04</v>
      </c>
      <c r="E71" s="26">
        <v>3.5000000000000003E-2</v>
      </c>
      <c r="F71" s="26">
        <v>0.03</v>
      </c>
      <c r="G71" s="26">
        <v>2.5000000000000001E-2</v>
      </c>
    </row>
    <row r="72" spans="2:7" ht="14" customHeight="1" x14ac:dyDescent="0.3">
      <c r="B72" s="4" t="s">
        <v>116</v>
      </c>
      <c r="C72" s="26">
        <v>0.01</v>
      </c>
      <c r="D72" s="26">
        <v>0.01</v>
      </c>
      <c r="E72" s="26">
        <v>0.01</v>
      </c>
      <c r="F72" s="26">
        <v>0.01</v>
      </c>
      <c r="G72" s="26">
        <v>0.01</v>
      </c>
    </row>
    <row r="73" spans="2:7" ht="14" customHeight="1" x14ac:dyDescent="0.3">
      <c r="B73" s="4" t="s">
        <v>117</v>
      </c>
      <c r="C73" s="26">
        <v>-0.12</v>
      </c>
      <c r="D73" s="26">
        <v>-0.03</v>
      </c>
      <c r="E73" s="26">
        <v>0.02</v>
      </c>
      <c r="F73" s="26">
        <v>3.5000000000000003E-2</v>
      </c>
      <c r="G73" s="26">
        <v>0.04</v>
      </c>
    </row>
    <row r="75" spans="2:7" ht="14" customHeight="1" x14ac:dyDescent="0.3">
      <c r="B75" s="3" t="s">
        <v>84</v>
      </c>
    </row>
    <row r="76" spans="2:7" ht="14" customHeight="1" x14ac:dyDescent="0.3">
      <c r="B76" s="4" t="s">
        <v>77</v>
      </c>
      <c r="C76" s="26">
        <v>0.61699999999999999</v>
      </c>
      <c r="D76" s="26">
        <v>0.61699999999999999</v>
      </c>
      <c r="E76" s="26">
        <v>0.61699999999999999</v>
      </c>
      <c r="F76" s="26">
        <v>0.61699999999999999</v>
      </c>
      <c r="G76" s="26">
        <v>0.61699999999999999</v>
      </c>
    </row>
    <row r="77" spans="2:7" ht="14" customHeight="1" x14ac:dyDescent="0.3">
      <c r="B77" s="4" t="s">
        <v>114</v>
      </c>
      <c r="C77" s="26">
        <v>0.61199999999999999</v>
      </c>
      <c r="D77" s="26">
        <v>0.61199999999999999</v>
      </c>
      <c r="E77" s="26">
        <v>0.61199999999999999</v>
      </c>
      <c r="F77" s="26">
        <v>0.61199999999999999</v>
      </c>
      <c r="G77" s="26">
        <v>0.61199999999999999</v>
      </c>
    </row>
    <row r="78" spans="2:7" ht="14" customHeight="1" x14ac:dyDescent="0.3">
      <c r="B78" s="4" t="s">
        <v>115</v>
      </c>
      <c r="C78" s="26">
        <v>0.61699999999999999</v>
      </c>
      <c r="D78" s="26">
        <v>0.61699999999999999</v>
      </c>
      <c r="E78" s="26">
        <v>0.61699999999999999</v>
      </c>
      <c r="F78" s="26">
        <v>0.61699999999999999</v>
      </c>
      <c r="G78" s="26">
        <v>0.61699999999999999</v>
      </c>
    </row>
    <row r="79" spans="2:7" ht="14" customHeight="1" x14ac:dyDescent="0.3">
      <c r="B79" s="4" t="s">
        <v>116</v>
      </c>
      <c r="C79" s="26">
        <v>0.625</v>
      </c>
      <c r="D79" s="26">
        <v>0.625</v>
      </c>
      <c r="E79" s="26">
        <v>0.625</v>
      </c>
      <c r="F79" s="26">
        <v>0.625</v>
      </c>
      <c r="G79" s="26">
        <v>0.625</v>
      </c>
    </row>
    <row r="80" spans="2:7" ht="14" customHeight="1" x14ac:dyDescent="0.3">
      <c r="B80" s="4" t="s">
        <v>117</v>
      </c>
      <c r="C80" s="26">
        <v>0.65</v>
      </c>
      <c r="D80" s="26">
        <v>0.65</v>
      </c>
      <c r="E80" s="26">
        <v>0.65</v>
      </c>
      <c r="F80" s="26">
        <v>0.65</v>
      </c>
      <c r="G80" s="26">
        <v>0.65</v>
      </c>
    </row>
    <row r="82" spans="2:7" ht="14" customHeight="1" x14ac:dyDescent="0.3">
      <c r="B82" s="3" t="s">
        <v>85</v>
      </c>
    </row>
    <row r="83" spans="2:7" ht="14" customHeight="1" x14ac:dyDescent="0.3">
      <c r="B83" s="4" t="s">
        <v>77</v>
      </c>
      <c r="C83" s="26">
        <v>0.16850000000000001</v>
      </c>
      <c r="D83" s="26">
        <v>0.16819999999999999</v>
      </c>
      <c r="E83" s="26">
        <v>0.16789999999999999</v>
      </c>
      <c r="F83" s="26">
        <v>0.16769999999999999</v>
      </c>
      <c r="G83" s="26">
        <v>0.16750000000000001</v>
      </c>
    </row>
    <row r="84" spans="2:7" ht="14" customHeight="1" x14ac:dyDescent="0.3">
      <c r="B84" s="4" t="s">
        <v>114</v>
      </c>
      <c r="C84" s="26">
        <v>0.17100000000000001</v>
      </c>
      <c r="D84" s="26">
        <v>0.16900000000000001</v>
      </c>
      <c r="E84" s="26">
        <v>0.16700000000000001</v>
      </c>
      <c r="F84" s="26">
        <v>0.16500000000000001</v>
      </c>
      <c r="G84" s="26">
        <v>0.1638</v>
      </c>
    </row>
    <row r="85" spans="2:7" ht="14" customHeight="1" x14ac:dyDescent="0.3">
      <c r="B85" s="4" t="s">
        <v>115</v>
      </c>
      <c r="C85" s="26">
        <v>0.16850000000000001</v>
      </c>
      <c r="D85" s="26">
        <v>0.16819999999999999</v>
      </c>
      <c r="E85" s="26">
        <v>0.16789999999999999</v>
      </c>
      <c r="F85" s="26">
        <v>0.16769999999999999</v>
      </c>
      <c r="G85" s="26">
        <v>0.16750000000000001</v>
      </c>
    </row>
    <row r="86" spans="2:7" ht="14" customHeight="1" x14ac:dyDescent="0.3">
      <c r="B86" s="4" t="s">
        <v>116</v>
      </c>
      <c r="C86" s="26">
        <v>0.16700000000000001</v>
      </c>
      <c r="D86" s="26">
        <v>0.17299999999999999</v>
      </c>
      <c r="E86" s="26">
        <v>0.17699999999999999</v>
      </c>
      <c r="F86" s="26">
        <v>0.18</v>
      </c>
      <c r="G86" s="26">
        <v>0.18090000000000001</v>
      </c>
    </row>
    <row r="87" spans="2:7" ht="14" customHeight="1" x14ac:dyDescent="0.3">
      <c r="B87" s="4" t="s">
        <v>117</v>
      </c>
      <c r="C87" s="26">
        <v>0.2</v>
      </c>
      <c r="D87" s="26">
        <v>0.215</v>
      </c>
      <c r="E87" s="26">
        <v>0.2</v>
      </c>
      <c r="F87" s="26">
        <v>0.185</v>
      </c>
      <c r="G87" s="26">
        <v>0.17150000000000001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5931</v>
      </c>
    </row>
    <row r="7" spans="2:9" ht="14" customHeight="1" x14ac:dyDescent="0.3">
      <c r="B7" s="4" t="s">
        <v>65</v>
      </c>
      <c r="C7" s="15">
        <f>'DCF Model'!C15</f>
        <v>929200798</v>
      </c>
    </row>
    <row r="8" spans="2:9" ht="14" customHeight="1" x14ac:dyDescent="0.3">
      <c r="B8" s="4" t="s">
        <v>122</v>
      </c>
      <c r="C8" s="5">
        <f>C6*C7/1000000</f>
        <v>5511089.9329380002</v>
      </c>
    </row>
    <row r="9" spans="2:9" ht="14" customHeight="1" x14ac:dyDescent="0.3">
      <c r="B9" s="4" t="s">
        <v>66</v>
      </c>
      <c r="C9" s="5">
        <f>'DCF Model'!C16</f>
        <v>-718071</v>
      </c>
    </row>
    <row r="10" spans="2:9" ht="14" customHeight="1" x14ac:dyDescent="0.3">
      <c r="B10" s="4" t="s">
        <v>123</v>
      </c>
      <c r="C10" s="5">
        <f>C8+C9</f>
        <v>4793018.9329380002</v>
      </c>
    </row>
    <row r="11" spans="2:9" ht="14" customHeight="1" x14ac:dyDescent="0.3">
      <c r="B11" s="4" t="s">
        <v>124</v>
      </c>
      <c r="C11" s="16">
        <f>'DCF Model'!C26</f>
        <v>0.13278000000000001</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183763</v>
      </c>
    </row>
    <row r="15" spans="2:9" ht="14" customHeight="1" x14ac:dyDescent="0.3">
      <c r="B15" s="4" t="s">
        <v>128</v>
      </c>
      <c r="C15" s="27">
        <v>191359</v>
      </c>
    </row>
    <row r="16" spans="2:9" ht="14" customHeight="1" x14ac:dyDescent="0.3">
      <c r="B16" s="4" t="s">
        <v>129</v>
      </c>
      <c r="C16" s="5">
        <f>'DCF Model'!G33</f>
        <v>1023589.4825397149</v>
      </c>
    </row>
    <row r="17" spans="2:9" ht="14" customHeight="1" x14ac:dyDescent="0.3">
      <c r="B17" s="4" t="s">
        <v>130</v>
      </c>
      <c r="C17" s="5">
        <f>'DCF Model'!C53</f>
        <v>1092919.8970792205</v>
      </c>
    </row>
    <row r="18" spans="2:9" ht="14" customHeight="1" x14ac:dyDescent="0.3">
      <c r="B18" s="4" t="s">
        <v>131</v>
      </c>
      <c r="C18" s="26">
        <v>0.2246113649061689</v>
      </c>
    </row>
    <row r="19" spans="2:9" ht="14" customHeight="1" x14ac:dyDescent="0.3">
      <c r="B19" s="4" t="s">
        <v>132</v>
      </c>
      <c r="C19" s="5">
        <f>C10-C17</f>
        <v>3700099.0358587797</v>
      </c>
    </row>
    <row r="20" spans="2:9" ht="14" customHeight="1" x14ac:dyDescent="0.3">
      <c r="B20" s="4" t="s">
        <v>133</v>
      </c>
      <c r="C20" s="15">
        <f>IFERROR(ROUND(C19*1000000/C7,0),"N/A")</f>
        <v>3982</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588486.86458612769</v>
      </c>
    </row>
    <row r="25" spans="2:9" ht="14" customHeight="1" x14ac:dyDescent="0.3">
      <c r="B25" s="4" t="s">
        <v>137</v>
      </c>
      <c r="C25" s="5">
        <f>IFERROR(C24/(1-C13),"N/A")</f>
        <v>784649.15278150362</v>
      </c>
    </row>
    <row r="26" spans="2:9" ht="13.5" customHeight="1" x14ac:dyDescent="0.25">
      <c r="B26" s="6" t="s">
        <v>138</v>
      </c>
      <c r="C26" s="14">
        <f>IFERROR(C25/C15,"N/A")</f>
        <v>4.1004037060263885</v>
      </c>
    </row>
    <row r="27" spans="2:9" ht="13.5" customHeight="1" x14ac:dyDescent="0.25">
      <c r="B27" s="6" t="s">
        <v>139</v>
      </c>
      <c r="C27" s="14">
        <f>IFERROR(C25/C14,"N/A")</f>
        <v>4.2698973829416351</v>
      </c>
    </row>
    <row r="28" spans="2:9" ht="13.5" customHeight="1" x14ac:dyDescent="0.25">
      <c r="B28" s="6" t="s">
        <v>140</v>
      </c>
      <c r="C28" s="7">
        <f>IFERROR(C25/C16,"N/A")</f>
        <v>0.76656625157445335</v>
      </c>
    </row>
    <row r="29" spans="2:9" ht="13.5" customHeight="1" x14ac:dyDescent="0.25">
      <c r="B29" s="6" t="s">
        <v>141</v>
      </c>
      <c r="C29" s="5">
        <f>IFERROR(C25/C18,"N/A")</f>
        <v>3493363.5397714172</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0.11278000000000001</v>
      </c>
      <c r="E36" s="29">
        <f>'DCF Model'!C26-0.01</f>
        <v>0.12278000000000001</v>
      </c>
      <c r="F36" s="29">
        <f>'DCF Model'!C26</f>
        <v>0.13278000000000001</v>
      </c>
      <c r="G36" s="29">
        <f>'DCF Model'!C26+0.01</f>
        <v>0.14278000000000002</v>
      </c>
      <c r="H36" s="29">
        <f>'DCF Model'!C26+0.02</f>
        <v>0.15278</v>
      </c>
    </row>
    <row r="37" spans="2:9" ht="14" customHeight="1" x14ac:dyDescent="0.3">
      <c r="B37" s="3" t="s">
        <v>147</v>
      </c>
    </row>
    <row r="38" spans="2:9" ht="14" customHeight="1" x14ac:dyDescent="0.3">
      <c r="B38" s="4" t="s">
        <v>148</v>
      </c>
      <c r="C38" s="30">
        <v>3</v>
      </c>
      <c r="D38" s="13">
        <f t="shared" ref="D38:H41" si="0">IFERROR((1-(1+D$36)^(-$C38))/D$36-(1+D$36)/(D$36^2*$C38)*(1-($C38+1)/(1+D$36)^$C38+$C38/(1+D$36)^($C38+1)),"N/A")</f>
        <v>0.86829089528283698</v>
      </c>
      <c r="E38" s="13">
        <f t="shared" si="0"/>
        <v>0.85818130924424474</v>
      </c>
      <c r="F38" s="13">
        <f t="shared" si="0"/>
        <v>0.84829179760021667</v>
      </c>
      <c r="G38" s="13">
        <f t="shared" si="0"/>
        <v>0.83861550093834758</v>
      </c>
      <c r="H38" s="13">
        <f t="shared" si="0"/>
        <v>0.82914583507989126</v>
      </c>
    </row>
    <row r="39" spans="2:9" ht="14" customHeight="1" x14ac:dyDescent="0.3">
      <c r="B39" s="4" t="s">
        <v>149</v>
      </c>
      <c r="C39" s="30">
        <v>5</v>
      </c>
      <c r="D39" s="13">
        <f t="shared" si="0"/>
        <v>1.6241880899105481</v>
      </c>
      <c r="E39" s="13">
        <f t="shared" si="0"/>
        <v>1.596919726872567</v>
      </c>
      <c r="F39" s="13">
        <f t="shared" si="0"/>
        <v>1.5704597516573493</v>
      </c>
      <c r="G39" s="13">
        <f t="shared" si="0"/>
        <v>1.5447752833684261</v>
      </c>
      <c r="H39" s="13">
        <f t="shared" si="0"/>
        <v>1.5198351073556595</v>
      </c>
    </row>
    <row r="40" spans="2:9" ht="14" customHeight="1" x14ac:dyDescent="0.3">
      <c r="B40" s="4" t="s">
        <v>150</v>
      </c>
      <c r="C40" s="30">
        <v>7</v>
      </c>
      <c r="D40" s="13">
        <f t="shared" si="0"/>
        <v>2.2840012167914026</v>
      </c>
      <c r="E40" s="13">
        <f t="shared" si="0"/>
        <v>2.2348464696043679</v>
      </c>
      <c r="F40" s="13">
        <f t="shared" si="0"/>
        <v>2.1875137817371169</v>
      </c>
      <c r="G40" s="13">
        <f t="shared" si="0"/>
        <v>2.1419125065214009</v>
      </c>
      <c r="H40" s="13">
        <f t="shared" si="0"/>
        <v>2.0979575109392257</v>
      </c>
    </row>
    <row r="41" spans="2:9" ht="14" customHeight="1" x14ac:dyDescent="0.3">
      <c r="B41" s="4" t="s">
        <v>151</v>
      </c>
      <c r="C41" s="30">
        <v>10</v>
      </c>
      <c r="D41" s="13">
        <f t="shared" si="0"/>
        <v>3.1231401666679437</v>
      </c>
      <c r="E41" s="13">
        <f t="shared" si="0"/>
        <v>3.0359900699839093</v>
      </c>
      <c r="F41" s="13">
        <f t="shared" si="0"/>
        <v>2.9529692709740591</v>
      </c>
      <c r="G41" s="13">
        <f t="shared" si="0"/>
        <v>2.8738193987039868</v>
      </c>
      <c r="H41" s="13">
        <f t="shared" si="0"/>
        <v>2.7983015405286991</v>
      </c>
    </row>
    <row r="42" spans="2:9" ht="14" customHeight="1" x14ac:dyDescent="0.3">
      <c r="B42" s="3" t="s">
        <v>152</v>
      </c>
    </row>
    <row r="43" spans="2:9" ht="14" customHeight="1" x14ac:dyDescent="0.3">
      <c r="B43" s="4" t="s">
        <v>148</v>
      </c>
      <c r="C43" s="30">
        <v>3</v>
      </c>
      <c r="D43" s="13">
        <f t="shared" ref="D43:H46" si="1">IFERROR((1+D$36)/(D$36^2*$C43)*(1-($C43+1)/(1+D$36)^$C43+$C43/(1+D$36)^($C43+1))+(1+$C$12)/((D$36-$C$12)*(1+D$36)^$C43),"N/A")</f>
        <v>8.6952212220074898</v>
      </c>
      <c r="E43" s="13">
        <f t="shared" si="1"/>
        <v>7.8593308829393873</v>
      </c>
      <c r="F43" s="13">
        <f t="shared" si="1"/>
        <v>7.1609856543183419</v>
      </c>
      <c r="G43" s="13">
        <f t="shared" si="1"/>
        <v>6.5690673250649603</v>
      </c>
      <c r="H43" s="13">
        <f t="shared" si="1"/>
        <v>6.0611770884423475</v>
      </c>
    </row>
    <row r="44" spans="2:9" ht="14" customHeight="1" x14ac:dyDescent="0.3">
      <c r="B44" s="4" t="s">
        <v>149</v>
      </c>
      <c r="C44" s="30">
        <v>5</v>
      </c>
      <c r="D44" s="13">
        <f t="shared" si="1"/>
        <v>7.8052611865927162</v>
      </c>
      <c r="E44" s="13">
        <f t="shared" si="1"/>
        <v>7.0021536035341585</v>
      </c>
      <c r="F44" s="13">
        <f t="shared" si="1"/>
        <v>6.3333216646258652</v>
      </c>
      <c r="G44" s="13">
        <f t="shared" si="1"/>
        <v>5.7682850476149081</v>
      </c>
      <c r="H44" s="13">
        <f t="shared" si="1"/>
        <v>5.2851097055389324</v>
      </c>
    </row>
    <row r="45" spans="2:9" ht="14" customHeight="1" x14ac:dyDescent="0.3">
      <c r="B45" s="4" t="s">
        <v>150</v>
      </c>
      <c r="C45" s="30">
        <v>7</v>
      </c>
      <c r="D45" s="13">
        <f t="shared" si="1"/>
        <v>7.0371826322656243</v>
      </c>
      <c r="E45" s="13">
        <f t="shared" si="1"/>
        <v>6.270275107516234</v>
      </c>
      <c r="F45" s="13">
        <f t="shared" si="1"/>
        <v>5.6340537829780954</v>
      </c>
      <c r="G45" s="13">
        <f t="shared" si="1"/>
        <v>5.0986926955999934</v>
      </c>
      <c r="H45" s="13">
        <f t="shared" si="1"/>
        <v>4.6427401805896347</v>
      </c>
    </row>
    <row r="46" spans="2:9" ht="14" customHeight="1" x14ac:dyDescent="0.3">
      <c r="B46" s="4" t="s">
        <v>151</v>
      </c>
      <c r="C46" s="30">
        <v>10</v>
      </c>
      <c r="D46" s="13">
        <f t="shared" si="1"/>
        <v>6.0734231219064974</v>
      </c>
      <c r="E46" s="13">
        <f t="shared" si="1"/>
        <v>5.3633350415541496</v>
      </c>
      <c r="F46" s="13">
        <f t="shared" si="1"/>
        <v>4.7780091129646403</v>
      </c>
      <c r="G46" s="13">
        <f t="shared" si="1"/>
        <v>4.2886477904411811</v>
      </c>
      <c r="H46" s="13">
        <f t="shared" si="1"/>
        <v>3.8745689660982618</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716615.71473572473</v>
      </c>
      <c r="E48" s="5">
        <f t="shared" si="2"/>
        <v>793068.7779265776</v>
      </c>
      <c r="F48" s="5">
        <f t="shared" si="2"/>
        <v>870663.28099983966</v>
      </c>
      <c r="G48" s="5">
        <f t="shared" si="2"/>
        <v>949386.73965004529</v>
      </c>
      <c r="H48" s="5">
        <f t="shared" si="2"/>
        <v>1029226.7481159162</v>
      </c>
    </row>
    <row r="49" spans="2:9" ht="14" customHeight="1" x14ac:dyDescent="0.3">
      <c r="B49" s="4" t="s">
        <v>149</v>
      </c>
      <c r="C49" s="30">
        <v>5</v>
      </c>
      <c r="D49" s="5">
        <f t="shared" si="2"/>
        <v>780528.17054764682</v>
      </c>
      <c r="E49" s="5">
        <f t="shared" si="2"/>
        <v>870765.98087441153</v>
      </c>
      <c r="F49" s="5">
        <f t="shared" si="2"/>
        <v>963491.17230581504</v>
      </c>
      <c r="G49" s="5">
        <f t="shared" si="2"/>
        <v>1058688.903162204</v>
      </c>
      <c r="H49" s="5">
        <f t="shared" si="2"/>
        <v>1156343.5372677492</v>
      </c>
    </row>
    <row r="50" spans="2:9" ht="14" customHeight="1" x14ac:dyDescent="0.3">
      <c r="B50" s="4" t="s">
        <v>150</v>
      </c>
      <c r="C50" s="30">
        <v>7</v>
      </c>
      <c r="D50" s="5">
        <f t="shared" si="2"/>
        <v>848489.70205856406</v>
      </c>
      <c r="E50" s="5">
        <f t="shared" si="2"/>
        <v>953707.72673463752</v>
      </c>
      <c r="F50" s="5">
        <f t="shared" si="2"/>
        <v>1062948.286650022</v>
      </c>
      <c r="G50" s="5">
        <f t="shared" si="2"/>
        <v>1176201.0383217251</v>
      </c>
      <c r="H50" s="5">
        <f t="shared" si="2"/>
        <v>1293452.7263893993</v>
      </c>
    </row>
    <row r="51" spans="2:9" ht="14" customHeight="1" x14ac:dyDescent="0.3">
      <c r="B51" s="4" t="s">
        <v>151</v>
      </c>
      <c r="C51" s="30">
        <v>10</v>
      </c>
      <c r="D51" s="5">
        <f t="shared" si="2"/>
        <v>957742.31226469623</v>
      </c>
      <c r="E51" s="5">
        <f t="shared" si="2"/>
        <v>1087530.2814689276</v>
      </c>
      <c r="F51" s="5">
        <f t="shared" si="2"/>
        <v>1223950.2437477398</v>
      </c>
      <c r="G51" s="5">
        <f t="shared" si="2"/>
        <v>1367002.0302172829</v>
      </c>
      <c r="H51" s="5">
        <f t="shared" si="2"/>
        <v>1516676.4809220829</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3.7448759386061004</v>
      </c>
      <c r="E53" s="14">
        <f t="shared" si="3"/>
        <v>4.1444028131761641</v>
      </c>
      <c r="F53" s="14">
        <f t="shared" si="3"/>
        <v>4.5498946012460335</v>
      </c>
      <c r="G53" s="14">
        <f t="shared" si="3"/>
        <v>4.9612860625841755</v>
      </c>
      <c r="H53" s="14">
        <f t="shared" si="3"/>
        <v>5.3785123674136894</v>
      </c>
    </row>
    <row r="54" spans="2:9" ht="14" customHeight="1" x14ac:dyDescent="0.3">
      <c r="B54" s="4" t="s">
        <v>149</v>
      </c>
      <c r="C54" s="30">
        <v>5</v>
      </c>
      <c r="D54" s="14">
        <f t="shared" si="3"/>
        <v>4.0788683602425122</v>
      </c>
      <c r="E54" s="14">
        <f t="shared" si="3"/>
        <v>4.5504312881777782</v>
      </c>
      <c r="F54" s="14">
        <f t="shared" si="3"/>
        <v>5.0349927220868373</v>
      </c>
      <c r="G54" s="14">
        <f t="shared" si="3"/>
        <v>5.5324751026197045</v>
      </c>
      <c r="H54" s="14">
        <f t="shared" si="3"/>
        <v>6.0427967185643174</v>
      </c>
    </row>
    <row r="55" spans="2:9" ht="14" customHeight="1" x14ac:dyDescent="0.3">
      <c r="B55" s="4" t="s">
        <v>150</v>
      </c>
      <c r="C55" s="30">
        <v>7</v>
      </c>
      <c r="D55" s="14">
        <f t="shared" si="3"/>
        <v>4.4340203599442098</v>
      </c>
      <c r="E55" s="14">
        <f t="shared" si="3"/>
        <v>4.9838665896803258</v>
      </c>
      <c r="F55" s="14">
        <f t="shared" si="3"/>
        <v>5.554733702883178</v>
      </c>
      <c r="G55" s="14">
        <f t="shared" si="3"/>
        <v>6.1465676467881059</v>
      </c>
      <c r="H55" s="14">
        <f t="shared" si="3"/>
        <v>6.7592991518005388</v>
      </c>
    </row>
    <row r="56" spans="2:9" ht="14" customHeight="1" x14ac:dyDescent="0.3">
      <c r="B56" s="4" t="s">
        <v>151</v>
      </c>
      <c r="C56" s="30">
        <v>10</v>
      </c>
      <c r="D56" s="14">
        <f t="shared" si="3"/>
        <v>5.0049504453132396</v>
      </c>
      <c r="E56" s="14">
        <f t="shared" si="3"/>
        <v>5.6831937952692462</v>
      </c>
      <c r="F56" s="14">
        <f t="shared" si="3"/>
        <v>6.3960944807808353</v>
      </c>
      <c r="G56" s="14">
        <f t="shared" si="3"/>
        <v>7.1436516192981934</v>
      </c>
      <c r="H56" s="14">
        <f t="shared" si="3"/>
        <v>7.9258173429108787</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963491.17230581504</v>
      </c>
    </row>
    <row r="62" spans="2:9" ht="14" customHeight="1" x14ac:dyDescent="0.3">
      <c r="B62" s="28" t="s">
        <v>158</v>
      </c>
      <c r="C62" s="28" t="s">
        <v>159</v>
      </c>
      <c r="D62" s="28" t="s">
        <v>160</v>
      </c>
    </row>
    <row r="63" spans="2:9" ht="14" customHeight="1" x14ac:dyDescent="0.3">
      <c r="B63" s="31">
        <v>0.1123</v>
      </c>
      <c r="C63" s="5">
        <f>IFERROR($C$60/B63,"N/A")</f>
        <v>8579618.6313963942</v>
      </c>
      <c r="D63" s="14">
        <f>IFERROR(C63/'DCF Model'!C17,"N/A")</f>
        <v>10.001525511897325</v>
      </c>
    </row>
    <row r="64" spans="2:9" ht="14" customHeight="1" x14ac:dyDescent="0.3">
      <c r="B64" s="31">
        <v>0.16850000000000001</v>
      </c>
      <c r="C64" s="5">
        <f>IFERROR($C$60/B64,"N/A")</f>
        <v>5718048.5003312463</v>
      </c>
      <c r="D64" s="14">
        <f>IFERROR(C64/'DCF Model'!C17,"N/A")</f>
        <v>6.6657051334484834</v>
      </c>
    </row>
    <row r="65" spans="2:9" ht="14" customHeight="1" x14ac:dyDescent="0.3">
      <c r="B65" s="4" t="s">
        <v>161</v>
      </c>
      <c r="C65" s="5">
        <f>IFERROR($C$60/$C$18,"N/A")</f>
        <v>4289592.2595382128</v>
      </c>
      <c r="D65" s="14">
        <f>IFERROR(C65/'DCF Model'!C17,"N/A")</f>
        <v>5.000509726902167</v>
      </c>
    </row>
    <row r="66" spans="2:9" ht="14" customHeight="1" x14ac:dyDescent="0.3">
      <c r="B66" s="31">
        <v>0.28079999999999999</v>
      </c>
      <c r="C66" s="5">
        <f>IFERROR($C$60/B66,"N/A")</f>
        <v>3431236.3686104524</v>
      </c>
      <c r="D66" s="14">
        <f>IFERROR(C66/'DCF Model'!C17,"N/A")</f>
        <v>3.9998978453919856</v>
      </c>
    </row>
    <row r="67" spans="2:9" ht="14" customHeight="1" x14ac:dyDescent="0.3">
      <c r="B67" s="31">
        <v>0.33689999999999998</v>
      </c>
      <c r="C67" s="5">
        <f>IFERROR($C$60/B67,"N/A")</f>
        <v>2859872.8771321317</v>
      </c>
      <c r="D67" s="14">
        <f>IFERROR(C67/'DCF Model'!C17,"N/A")</f>
        <v>3.3338418372991088</v>
      </c>
    </row>
    <row r="69" spans="2:9" ht="14" customHeight="1" x14ac:dyDescent="0.3">
      <c r="B69" s="8" t="s">
        <v>162</v>
      </c>
      <c r="C69" s="9"/>
      <c r="D69" s="9"/>
      <c r="E69" s="9"/>
      <c r="F69" s="9"/>
      <c r="G69" s="9"/>
      <c r="H69" s="9"/>
      <c r="I69" s="9"/>
    </row>
    <row r="70" spans="2:9" ht="13.5" customHeight="1" x14ac:dyDescent="0.25">
      <c r="B70" s="6" t="s">
        <v>163</v>
      </c>
      <c r="C70" s="14">
        <f>IFERROR(C10/'Comps Analysis'!G5,"N/A")</f>
        <v>20.700161665931031</v>
      </c>
    </row>
    <row r="71" spans="2:9" ht="13.5" customHeight="1" x14ac:dyDescent="0.25">
      <c r="B71" s="6" t="s">
        <v>164</v>
      </c>
      <c r="C71" s="14">
        <f>IFERROR(C10/'Comps Analysis'!F5,"N/A")</f>
        <v>5.5873696951240976</v>
      </c>
    </row>
    <row r="72" spans="2:9" ht="14" customHeight="1" x14ac:dyDescent="0.3">
      <c r="B72" s="4" t="s">
        <v>165</v>
      </c>
      <c r="C72" s="14">
        <f>IFERROR(C10/(C25+'DCF Model'!G42),"N/A")</f>
        <v>5.6926232531623358</v>
      </c>
    </row>
    <row r="73" spans="2:9" ht="14" customHeight="1" x14ac:dyDescent="0.3">
      <c r="B73" s="4" t="s">
        <v>166</v>
      </c>
      <c r="C73" s="14">
        <f>IFERROR(C10/(C60+'DCF Model'!G42),"N/A")</f>
        <v>4.6952994989850731</v>
      </c>
    </row>
    <row r="74" spans="2:9" ht="14" customHeight="1" x14ac:dyDescent="0.3">
      <c r="B74" s="4" t="s">
        <v>167</v>
      </c>
      <c r="C74" s="14">
        <f>IFERROR('Comps Analysis'!D16,"N/A")</f>
        <v>15.552094158010673</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5,931 yen the market is paying for a steady-state operating profit of 963,491 mn JPY - 5.03x the FY2023 cycle peak of 191,359 mn - reached in 5 years and sustained for ever, against 183,763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784,649 mn, or 4.10x the peak. The base case supports an EV of only 1,092,920 mn, leaving 3,982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72.663350939753869</v>
      </c>
      <c r="D5" s="34">
        <f>CHOOSE('DCF Model'!$D$27,D25,D26,D27,D28,D29)</f>
        <v>71</v>
      </c>
      <c r="E5" s="34">
        <f>CHOOSE('DCF Model'!$D$27,E25,E26,E27,E28,E29)</f>
        <v>71</v>
      </c>
      <c r="F5" s="34">
        <f>CHOOSE('DCF Model'!$D$27,F25,F26,F27,F28,F29)</f>
        <v>71</v>
      </c>
      <c r="G5" s="34">
        <f>CHOOSE('DCF Model'!$D$27,G25,G26,G27,G28,G29)</f>
        <v>71</v>
      </c>
      <c r="H5" s="34">
        <f>CHOOSE('DCF Model'!$D$27,H25,H26,H27,H28,H29)</f>
        <v>71</v>
      </c>
    </row>
    <row r="6" spans="2:8" ht="14" customHeight="1" x14ac:dyDescent="0.3">
      <c r="B6" s="33" t="s">
        <v>174</v>
      </c>
      <c r="C6" s="34">
        <f>C13/C10*365</f>
        <v>201.46381041436439</v>
      </c>
      <c r="D6" s="34">
        <f>CHOOSE('DCF Model'!$D$27,D32,D33,D34,D35,D36)</f>
        <v>230</v>
      </c>
      <c r="E6" s="34">
        <f>CHOOSE('DCF Model'!$D$27,E32,E33,E34,E35,E36)</f>
        <v>230</v>
      </c>
      <c r="F6" s="34">
        <f>CHOOSE('DCF Model'!$D$27,F32,F33,F34,F35,F36)</f>
        <v>230</v>
      </c>
      <c r="G6" s="34">
        <f>CHOOSE('DCF Model'!$D$27,G32,G33,G34,G35,G36)</f>
        <v>230</v>
      </c>
      <c r="H6" s="34">
        <f>CHOOSE('DCF Model'!$D$27,H32,H33,H34,H35,H36)</f>
        <v>230</v>
      </c>
    </row>
    <row r="7" spans="2:8" ht="14" customHeight="1" x14ac:dyDescent="0.3">
      <c r="B7" s="33" t="s">
        <v>175</v>
      </c>
      <c r="C7" s="34">
        <f>C15/C10*365</f>
        <v>31.897896536416269</v>
      </c>
      <c r="D7" s="34">
        <f>CHOOSE('DCF Model'!$D$27,D39,D40,D41,D42,D43)</f>
        <v>32</v>
      </c>
      <c r="E7" s="34">
        <f>CHOOSE('DCF Model'!$D$27,E39,E40,E41,E42,E43)</f>
        <v>32</v>
      </c>
      <c r="F7" s="34">
        <f>CHOOSE('DCF Model'!$D$27,F39,F40,F41,F42,F43)</f>
        <v>32</v>
      </c>
      <c r="G7" s="34">
        <f>CHOOSE('DCF Model'!$D$27,G39,G40,G41,G42,G43)</f>
        <v>32</v>
      </c>
      <c r="H7" s="34">
        <f>CHOOSE('DCF Model'!$D$27,H39,H40,H41,H42,H43)</f>
        <v>32</v>
      </c>
    </row>
    <row r="8" spans="2:8" ht="14" customHeight="1" x14ac:dyDescent="0.3">
      <c r="B8" s="8" t="s">
        <v>176</v>
      </c>
      <c r="C8" s="9"/>
      <c r="D8" s="9"/>
      <c r="E8" s="9"/>
      <c r="F8" s="9"/>
      <c r="G8" s="9"/>
      <c r="H8" s="9"/>
    </row>
    <row r="9" spans="2:8" ht="14" customHeight="1" x14ac:dyDescent="0.3">
      <c r="B9" s="33" t="s">
        <v>31</v>
      </c>
      <c r="C9" s="35">
        <v>857831</v>
      </c>
      <c r="D9" s="35">
        <f>'DCF Model'!C33</f>
        <v>900722.55</v>
      </c>
      <c r="E9" s="35">
        <f>'DCF Model'!D33</f>
        <v>936751.45200000005</v>
      </c>
      <c r="F9" s="35">
        <f>'DCF Model'!E33</f>
        <v>969537.75281999994</v>
      </c>
      <c r="G9" s="35">
        <f>'DCF Model'!F33</f>
        <v>998623.88540459995</v>
      </c>
      <c r="H9" s="35">
        <f>'DCF Model'!G33</f>
        <v>1023589.4825397149</v>
      </c>
    </row>
    <row r="10" spans="2:8" ht="14" customHeight="1" x14ac:dyDescent="0.3">
      <c r="B10" s="33" t="s">
        <v>32</v>
      </c>
      <c r="C10" s="35">
        <v>529365</v>
      </c>
      <c r="D10" s="35">
        <f>'DCF Model'!C34</f>
        <v>555745.81335000007</v>
      </c>
      <c r="E10" s="35">
        <f>'DCF Model'!D34</f>
        <v>577975.645884</v>
      </c>
      <c r="F10" s="35">
        <f>'DCF Model'!E34</f>
        <v>598204.79348994</v>
      </c>
      <c r="G10" s="35">
        <f>'DCF Model'!F34</f>
        <v>616150.93729463813</v>
      </c>
      <c r="H10" s="35">
        <f>'DCF Model'!G34</f>
        <v>631554.7107270041</v>
      </c>
    </row>
    <row r="11" spans="2:8" ht="14" customHeight="1" x14ac:dyDescent="0.3">
      <c r="B11" s="8" t="s">
        <v>177</v>
      </c>
      <c r="C11" s="9"/>
      <c r="D11" s="9"/>
      <c r="E11" s="9"/>
      <c r="F11" s="9"/>
      <c r="G11" s="9"/>
      <c r="H11" s="9"/>
    </row>
    <row r="12" spans="2:8" ht="14" customHeight="1" x14ac:dyDescent="0.3">
      <c r="B12" s="33" t="s">
        <v>178</v>
      </c>
      <c r="C12" s="35">
        <v>170775</v>
      </c>
      <c r="D12" s="35">
        <f t="shared" ref="D12:H13" si="0">D9*D5/365</f>
        <v>175209.04397260275</v>
      </c>
      <c r="E12" s="35">
        <f t="shared" si="0"/>
        <v>182217.40573150685</v>
      </c>
      <c r="F12" s="35">
        <f t="shared" si="0"/>
        <v>188595.01493210957</v>
      </c>
      <c r="G12" s="35">
        <f t="shared" si="0"/>
        <v>194252.86538007288</v>
      </c>
      <c r="H12" s="35">
        <f t="shared" si="0"/>
        <v>199109.18701457468</v>
      </c>
    </row>
    <row r="13" spans="2:8" ht="14" customHeight="1" x14ac:dyDescent="0.3">
      <c r="B13" s="33" t="s">
        <v>179</v>
      </c>
      <c r="C13" s="35">
        <v>292186</v>
      </c>
      <c r="D13" s="35">
        <f t="shared" si="0"/>
        <v>350195.99197397265</v>
      </c>
      <c r="E13" s="35">
        <f t="shared" si="0"/>
        <v>364203.83165293152</v>
      </c>
      <c r="F13" s="35">
        <f t="shared" si="0"/>
        <v>376950.96576078411</v>
      </c>
      <c r="G13" s="35">
        <f t="shared" si="0"/>
        <v>388259.49473360763</v>
      </c>
      <c r="H13" s="35">
        <f t="shared" si="0"/>
        <v>397965.98210194783</v>
      </c>
    </row>
    <row r="14" spans="2:8" ht="14" customHeight="1" x14ac:dyDescent="0.3">
      <c r="B14" s="33" t="s">
        <v>180</v>
      </c>
      <c r="C14" s="35">
        <f t="shared" ref="C14:H14" si="1">C12+C13</f>
        <v>462961</v>
      </c>
      <c r="D14" s="35">
        <f t="shared" si="1"/>
        <v>525405.03594657546</v>
      </c>
      <c r="E14" s="35">
        <f t="shared" si="1"/>
        <v>546421.2373844384</v>
      </c>
      <c r="F14" s="35">
        <f t="shared" si="1"/>
        <v>565545.98069289373</v>
      </c>
      <c r="G14" s="35">
        <f t="shared" si="1"/>
        <v>582512.36011368048</v>
      </c>
      <c r="H14" s="35">
        <f t="shared" si="1"/>
        <v>597075.16911652253</v>
      </c>
    </row>
    <row r="15" spans="2:8" ht="14" customHeight="1" x14ac:dyDescent="0.3">
      <c r="B15" s="33" t="s">
        <v>181</v>
      </c>
      <c r="C15" s="35">
        <v>46262</v>
      </c>
      <c r="D15" s="35">
        <f>D10*D7/365</f>
        <v>48722.920622465761</v>
      </c>
      <c r="E15" s="35">
        <f>E10*E7/365</f>
        <v>50671.837447364385</v>
      </c>
      <c r="F15" s="35">
        <f>F10*F7/365</f>
        <v>52445.351758022138</v>
      </c>
      <c r="G15" s="35">
        <f>G10*G7/365</f>
        <v>54018.712310762792</v>
      </c>
      <c r="H15" s="35">
        <f>H10*H7/365</f>
        <v>55369.180118531869</v>
      </c>
    </row>
    <row r="16" spans="2:8" ht="14" customHeight="1" x14ac:dyDescent="0.3">
      <c r="B16" s="33" t="s">
        <v>182</v>
      </c>
      <c r="C16" s="35">
        <f t="shared" ref="C16:H16" si="2">C15</f>
        <v>46262</v>
      </c>
      <c r="D16" s="35">
        <f t="shared" si="2"/>
        <v>48722.920622465761</v>
      </c>
      <c r="E16" s="35">
        <f t="shared" si="2"/>
        <v>50671.837447364385</v>
      </c>
      <c r="F16" s="35">
        <f t="shared" si="2"/>
        <v>52445.351758022138</v>
      </c>
      <c r="G16" s="35">
        <f t="shared" si="2"/>
        <v>54018.712310762792</v>
      </c>
      <c r="H16" s="35">
        <f t="shared" si="2"/>
        <v>55369.180118531869</v>
      </c>
    </row>
    <row r="17" spans="2:8" ht="14" customHeight="1" x14ac:dyDescent="0.3">
      <c r="B17" s="22" t="s">
        <v>183</v>
      </c>
      <c r="C17" s="23"/>
      <c r="D17" s="23"/>
      <c r="E17" s="23"/>
      <c r="F17" s="23"/>
      <c r="G17" s="23"/>
      <c r="H17" s="23"/>
    </row>
    <row r="18" spans="2:8" ht="14" customHeight="1" x14ac:dyDescent="0.3">
      <c r="B18" s="33" t="s">
        <v>184</v>
      </c>
      <c r="C18" s="20">
        <f t="shared" ref="C18:H18" si="3">C14-C16</f>
        <v>416699</v>
      </c>
      <c r="D18" s="20">
        <f t="shared" si="3"/>
        <v>476682.11532410968</v>
      </c>
      <c r="E18" s="20">
        <f t="shared" si="3"/>
        <v>495749.39993707399</v>
      </c>
      <c r="F18" s="20">
        <f t="shared" si="3"/>
        <v>513100.62893487158</v>
      </c>
      <c r="G18" s="20">
        <f t="shared" si="3"/>
        <v>528493.64780291764</v>
      </c>
      <c r="H18" s="20">
        <f t="shared" si="3"/>
        <v>541705.98899799061</v>
      </c>
    </row>
    <row r="19" spans="2:8" ht="14" customHeight="1" x14ac:dyDescent="0.3">
      <c r="B19" s="33" t="s">
        <v>93</v>
      </c>
      <c r="C19" s="36" t="s">
        <v>41</v>
      </c>
      <c r="D19" s="24">
        <f>D18-C18</f>
        <v>59983.115324109676</v>
      </c>
      <c r="E19" s="24">
        <f>E18-D18</f>
        <v>19067.284612964315</v>
      </c>
      <c r="F19" s="24">
        <f>F18-E18</f>
        <v>17351.228997797589</v>
      </c>
      <c r="G19" s="24">
        <f>G18-F18</f>
        <v>15393.018868046056</v>
      </c>
      <c r="H19" s="24">
        <f>H18-G18</f>
        <v>13212.341195072979</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71</v>
      </c>
      <c r="E25" s="30">
        <v>71</v>
      </c>
      <c r="F25" s="30">
        <v>71</v>
      </c>
      <c r="G25" s="30">
        <v>71</v>
      </c>
      <c r="H25" s="30">
        <v>71</v>
      </c>
    </row>
    <row r="26" spans="2:8" ht="14" customHeight="1" x14ac:dyDescent="0.3">
      <c r="B26" s="4" t="s">
        <v>114</v>
      </c>
      <c r="D26" s="30">
        <v>68</v>
      </c>
      <c r="E26" s="30">
        <v>68</v>
      </c>
      <c r="F26" s="30">
        <v>68</v>
      </c>
      <c r="G26" s="30">
        <v>68</v>
      </c>
      <c r="H26" s="30">
        <v>68</v>
      </c>
    </row>
    <row r="27" spans="2:8" ht="14" customHeight="1" x14ac:dyDescent="0.3">
      <c r="B27" s="4" t="s">
        <v>115</v>
      </c>
      <c r="D27" s="30">
        <v>71</v>
      </c>
      <c r="E27" s="30">
        <v>71</v>
      </c>
      <c r="F27" s="30">
        <v>71</v>
      </c>
      <c r="G27" s="30">
        <v>71</v>
      </c>
      <c r="H27" s="30">
        <v>71</v>
      </c>
    </row>
    <row r="28" spans="2:8" ht="14" customHeight="1" x14ac:dyDescent="0.3">
      <c r="B28" s="4" t="s">
        <v>116</v>
      </c>
      <c r="D28" s="30">
        <v>75</v>
      </c>
      <c r="E28" s="30">
        <v>75</v>
      </c>
      <c r="F28" s="30">
        <v>75</v>
      </c>
      <c r="G28" s="30">
        <v>75</v>
      </c>
      <c r="H28" s="30">
        <v>75</v>
      </c>
    </row>
    <row r="29" spans="2:8" ht="14" customHeight="1" x14ac:dyDescent="0.3">
      <c r="B29" s="4" t="s">
        <v>117</v>
      </c>
      <c r="D29" s="30">
        <v>78</v>
      </c>
      <c r="E29" s="30">
        <v>78</v>
      </c>
      <c r="F29" s="30">
        <v>78</v>
      </c>
      <c r="G29" s="30">
        <v>78</v>
      </c>
      <c r="H29" s="30">
        <v>78</v>
      </c>
    </row>
    <row r="31" spans="2:8" ht="14" customHeight="1" x14ac:dyDescent="0.3">
      <c r="B31" s="3" t="s">
        <v>187</v>
      </c>
    </row>
    <row r="32" spans="2:8" ht="14" customHeight="1" x14ac:dyDescent="0.3">
      <c r="B32" s="4" t="s">
        <v>77</v>
      </c>
      <c r="D32" s="30">
        <v>230</v>
      </c>
      <c r="E32" s="30">
        <v>230</v>
      </c>
      <c r="F32" s="30">
        <v>230</v>
      </c>
      <c r="G32" s="30">
        <v>230</v>
      </c>
      <c r="H32" s="30">
        <v>230</v>
      </c>
    </row>
    <row r="33" spans="2:8" ht="14" customHeight="1" x14ac:dyDescent="0.3">
      <c r="B33" s="4" t="s">
        <v>114</v>
      </c>
      <c r="D33" s="30">
        <v>219</v>
      </c>
      <c r="E33" s="30">
        <v>219</v>
      </c>
      <c r="F33" s="30">
        <v>219</v>
      </c>
      <c r="G33" s="30">
        <v>219</v>
      </c>
      <c r="H33" s="30">
        <v>219</v>
      </c>
    </row>
    <row r="34" spans="2:8" ht="14" customHeight="1" x14ac:dyDescent="0.3">
      <c r="B34" s="4" t="s">
        <v>115</v>
      </c>
      <c r="D34" s="30">
        <v>230</v>
      </c>
      <c r="E34" s="30">
        <v>230</v>
      </c>
      <c r="F34" s="30">
        <v>230</v>
      </c>
      <c r="G34" s="30">
        <v>230</v>
      </c>
      <c r="H34" s="30">
        <v>230</v>
      </c>
    </row>
    <row r="35" spans="2:8" ht="14" customHeight="1" x14ac:dyDescent="0.3">
      <c r="B35" s="4" t="s">
        <v>116</v>
      </c>
      <c r="D35" s="30">
        <v>242</v>
      </c>
      <c r="E35" s="30">
        <v>242</v>
      </c>
      <c r="F35" s="30">
        <v>242</v>
      </c>
      <c r="G35" s="30">
        <v>242</v>
      </c>
      <c r="H35" s="30">
        <v>242</v>
      </c>
    </row>
    <row r="36" spans="2:8" ht="14" customHeight="1" x14ac:dyDescent="0.3">
      <c r="B36" s="4" t="s">
        <v>117</v>
      </c>
      <c r="D36" s="30">
        <v>253</v>
      </c>
      <c r="E36" s="30">
        <v>253</v>
      </c>
      <c r="F36" s="30">
        <v>253</v>
      </c>
      <c r="G36" s="30">
        <v>253</v>
      </c>
      <c r="H36" s="30">
        <v>253</v>
      </c>
    </row>
    <row r="38" spans="2:8" ht="14" customHeight="1" x14ac:dyDescent="0.3">
      <c r="B38" s="3" t="s">
        <v>188</v>
      </c>
    </row>
    <row r="39" spans="2:8" ht="14" customHeight="1" x14ac:dyDescent="0.3">
      <c r="B39" s="4" t="s">
        <v>77</v>
      </c>
      <c r="D39" s="30">
        <v>32</v>
      </c>
      <c r="E39" s="30">
        <v>32</v>
      </c>
      <c r="F39" s="30">
        <v>32</v>
      </c>
      <c r="G39" s="30">
        <v>32</v>
      </c>
      <c r="H39" s="30">
        <v>32</v>
      </c>
    </row>
    <row r="40" spans="2:8" ht="14" customHeight="1" x14ac:dyDescent="0.3">
      <c r="B40" s="4" t="s">
        <v>114</v>
      </c>
      <c r="D40" s="30">
        <v>34</v>
      </c>
      <c r="E40" s="30">
        <v>34</v>
      </c>
      <c r="F40" s="30">
        <v>34</v>
      </c>
      <c r="G40" s="30">
        <v>34</v>
      </c>
      <c r="H40" s="30">
        <v>34</v>
      </c>
    </row>
    <row r="41" spans="2:8" ht="14" customHeight="1" x14ac:dyDescent="0.3">
      <c r="B41" s="4" t="s">
        <v>115</v>
      </c>
      <c r="D41" s="30">
        <v>32</v>
      </c>
      <c r="E41" s="30">
        <v>32</v>
      </c>
      <c r="F41" s="30">
        <v>32</v>
      </c>
      <c r="G41" s="30">
        <v>32</v>
      </c>
      <c r="H41" s="30">
        <v>32</v>
      </c>
    </row>
    <row r="42" spans="2:8" ht="14" customHeight="1" x14ac:dyDescent="0.3">
      <c r="B42" s="4" t="s">
        <v>116</v>
      </c>
      <c r="D42" s="30">
        <v>30</v>
      </c>
      <c r="E42" s="30">
        <v>30</v>
      </c>
      <c r="F42" s="30">
        <v>30</v>
      </c>
      <c r="G42" s="30">
        <v>30</v>
      </c>
      <c r="H42" s="30">
        <v>30</v>
      </c>
    </row>
    <row r="43" spans="2:8" ht="14" customHeight="1" x14ac:dyDescent="0.3">
      <c r="B43" s="4" t="s">
        <v>117</v>
      </c>
      <c r="D43" s="30">
        <v>29</v>
      </c>
      <c r="E43" s="30">
        <v>29</v>
      </c>
      <c r="F43" s="30">
        <v>29</v>
      </c>
      <c r="G43" s="30">
        <v>29</v>
      </c>
      <c r="H43" s="30">
        <v>29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5511089.9329380002</v>
      </c>
      <c r="E5" s="37">
        <f>D5+C24</f>
        <v>4793018.9329380002</v>
      </c>
      <c r="F5" s="37">
        <v>857831</v>
      </c>
      <c r="G5" s="37">
        <v>231545</v>
      </c>
      <c r="H5" s="37">
        <v>183763</v>
      </c>
      <c r="I5" s="37">
        <v>166543</v>
      </c>
      <c r="J5" s="38">
        <f t="shared" ref="J5:J10" si="0">IFERROR(E5/G5,"")</f>
        <v>20.700161665931031</v>
      </c>
      <c r="K5" s="38">
        <f t="shared" ref="K5:K10" si="1">IFERROR(E5/F5,"")</f>
        <v>5.5873696951240976</v>
      </c>
      <c r="L5" s="38">
        <f t="shared" ref="L5:L10" si="2">IFERROR(D5/I5,"")</f>
        <v>33.091093188774074</v>
      </c>
      <c r="M5" s="38">
        <f t="shared" ref="M5:M10" si="3">IFERROR(D5/P5,"")</f>
        <v>2.955212415731705</v>
      </c>
      <c r="N5" s="39">
        <f t="shared" ref="N5:N10" si="4">IFERROR(H5/F5,"")</f>
        <v>0.21421818516700841</v>
      </c>
      <c r="O5" s="39">
        <f t="shared" ref="O5:O10" si="5">IFERROR(I5/P5,"")</f>
        <v>8.9305372864932744E-2</v>
      </c>
      <c r="P5" s="37">
        <v>1864871</v>
      </c>
    </row>
    <row r="6" spans="2:17" ht="14" customHeight="1" x14ac:dyDescent="0.3">
      <c r="B6" s="4" t="s">
        <v>207</v>
      </c>
      <c r="C6" t="s">
        <v>208</v>
      </c>
      <c r="D6" s="37">
        <v>18849053</v>
      </c>
      <c r="E6" s="37">
        <v>18252077</v>
      </c>
      <c r="F6" s="37">
        <v>1169289</v>
      </c>
      <c r="G6" s="37">
        <v>612986</v>
      </c>
      <c r="H6" s="37">
        <v>595759</v>
      </c>
      <c r="I6" s="37">
        <v>445185</v>
      </c>
      <c r="J6" s="38">
        <f t="shared" si="0"/>
        <v>29.775683294561375</v>
      </c>
      <c r="K6" s="38">
        <f t="shared" si="1"/>
        <v>15.609551616409631</v>
      </c>
      <c r="L6" s="38">
        <f t="shared" si="2"/>
        <v>42.339820524051795</v>
      </c>
      <c r="M6" s="38">
        <f t="shared" si="3"/>
        <v>5.4297019908851318</v>
      </c>
      <c r="N6" s="39">
        <f t="shared" si="4"/>
        <v>0.50950534897702793</v>
      </c>
      <c r="O6" s="39">
        <f t="shared" si="5"/>
        <v>0.12824102520228456</v>
      </c>
      <c r="P6" s="37">
        <v>3471471</v>
      </c>
    </row>
    <row r="7" spans="2:17" ht="14" customHeight="1" x14ac:dyDescent="0.3">
      <c r="B7" s="4" t="s">
        <v>209</v>
      </c>
      <c r="C7" t="s">
        <v>210</v>
      </c>
      <c r="D7" s="37">
        <v>4194759</v>
      </c>
      <c r="E7" s="37">
        <v>3535981</v>
      </c>
      <c r="F7" s="37">
        <v>842541</v>
      </c>
      <c r="G7" s="37">
        <v>235405</v>
      </c>
      <c r="H7" s="37">
        <v>190559</v>
      </c>
      <c r="I7" s="37">
        <v>167304</v>
      </c>
      <c r="J7" s="38">
        <f t="shared" si="0"/>
        <v>15.020840678830101</v>
      </c>
      <c r="K7" s="38">
        <f t="shared" si="1"/>
        <v>4.1968058527715568</v>
      </c>
      <c r="L7" s="38">
        <f t="shared" si="2"/>
        <v>25.07267608664467</v>
      </c>
      <c r="M7" s="38">
        <f t="shared" si="3"/>
        <v>1.9832531948995078</v>
      </c>
      <c r="N7" s="39">
        <f t="shared" si="4"/>
        <v>0.22617178273816943</v>
      </c>
      <c r="O7" s="39">
        <f t="shared" si="5"/>
        <v>7.9100180134178688E-2</v>
      </c>
      <c r="P7" s="37">
        <v>2115090</v>
      </c>
    </row>
    <row r="8" spans="2:17" ht="14" customHeight="1" x14ac:dyDescent="0.3">
      <c r="B8" s="4" t="s">
        <v>211</v>
      </c>
      <c r="C8" t="s">
        <v>212</v>
      </c>
      <c r="D8" s="37">
        <v>1222445</v>
      </c>
      <c r="E8" s="37">
        <v>1297113</v>
      </c>
      <c r="F8" s="37">
        <v>767351</v>
      </c>
      <c r="G8" s="37">
        <v>88966</v>
      </c>
      <c r="H8" s="37">
        <v>55188</v>
      </c>
      <c r="I8" s="37">
        <v>28487</v>
      </c>
      <c r="J8" s="38">
        <f t="shared" si="0"/>
        <v>14.579873209990334</v>
      </c>
      <c r="K8" s="38">
        <f t="shared" si="1"/>
        <v>1.690377675926662</v>
      </c>
      <c r="L8" s="38">
        <f t="shared" si="2"/>
        <v>42.912381086109455</v>
      </c>
      <c r="M8" s="38">
        <f t="shared" si="3"/>
        <v>1.4624559598509363</v>
      </c>
      <c r="N8" s="39">
        <f t="shared" si="4"/>
        <v>7.1920151273667465E-2</v>
      </c>
      <c r="O8" s="39">
        <f t="shared" si="5"/>
        <v>3.4080046896403211E-2</v>
      </c>
      <c r="P8" s="37">
        <v>835885</v>
      </c>
    </row>
    <row r="9" spans="2:17" ht="14" customHeight="1" x14ac:dyDescent="0.3">
      <c r="B9" s="4" t="s">
        <v>213</v>
      </c>
      <c r="C9" t="s">
        <v>214</v>
      </c>
      <c r="D9" s="37">
        <v>1185311</v>
      </c>
      <c r="E9" s="37">
        <v>1248939</v>
      </c>
      <c r="F9" s="37">
        <v>542122</v>
      </c>
      <c r="G9" s="37">
        <v>68402</v>
      </c>
      <c r="H9" s="37">
        <v>47308</v>
      </c>
      <c r="I9" s="37">
        <v>35240</v>
      </c>
      <c r="J9" s="38">
        <f t="shared" si="0"/>
        <v>18.258808221981813</v>
      </c>
      <c r="K9" s="38">
        <f t="shared" si="1"/>
        <v>2.3037969313180429</v>
      </c>
      <c r="L9" s="38">
        <f t="shared" si="2"/>
        <v>33.635385925085131</v>
      </c>
      <c r="M9" s="38">
        <f t="shared" si="3"/>
        <v>2.4513092968139274</v>
      </c>
      <c r="N9" s="39">
        <f t="shared" si="4"/>
        <v>8.7264490280785506E-2</v>
      </c>
      <c r="O9" s="39">
        <f t="shared" si="5"/>
        <v>7.2878881255402844E-2</v>
      </c>
      <c r="P9" s="37">
        <v>483542</v>
      </c>
    </row>
    <row r="10" spans="2:17" ht="14" customHeight="1" x14ac:dyDescent="0.3">
      <c r="B10" s="4" t="s">
        <v>215</v>
      </c>
      <c r="C10" t="s">
        <v>216</v>
      </c>
      <c r="D10" s="37">
        <v>10739696</v>
      </c>
      <c r="E10" s="37">
        <v>10371365</v>
      </c>
      <c r="F10" s="37">
        <v>5894747</v>
      </c>
      <c r="G10" s="37">
        <v>666879</v>
      </c>
      <c r="H10" s="37">
        <v>433095</v>
      </c>
      <c r="I10" s="37">
        <v>407758</v>
      </c>
      <c r="J10" s="38">
        <f t="shared" si="0"/>
        <v>15.552094158010673</v>
      </c>
      <c r="K10" s="38">
        <f t="shared" si="1"/>
        <v>1.7594249592052043</v>
      </c>
      <c r="L10" s="38">
        <f t="shared" si="2"/>
        <v>26.338406603917029</v>
      </c>
      <c r="M10" s="38">
        <f t="shared" si="3"/>
        <v>2.3949730011555959</v>
      </c>
      <c r="N10" s="39">
        <f t="shared" si="4"/>
        <v>7.3471346607411656E-2</v>
      </c>
      <c r="O10" s="39">
        <f t="shared" si="5"/>
        <v>9.0930823461409294E-2</v>
      </c>
      <c r="P10" s="37">
        <v>4484266</v>
      </c>
    </row>
    <row r="14" spans="2:17" ht="14" customHeight="1" x14ac:dyDescent="0.3">
      <c r="B14" s="3" t="s">
        <v>217</v>
      </c>
    </row>
    <row r="15" spans="2:17" ht="14" customHeight="1" x14ac:dyDescent="0.3">
      <c r="B15" s="4" t="s">
        <v>218</v>
      </c>
      <c r="D15" s="38">
        <f t="shared" ref="D15:I15" si="6">PERCENTILE(J6:J10,0.25)</f>
        <v>15.020840678830101</v>
      </c>
      <c r="E15" s="38">
        <f t="shared" si="6"/>
        <v>1.7594249592052043</v>
      </c>
      <c r="F15" s="38">
        <f t="shared" si="6"/>
        <v>26.338406603917029</v>
      </c>
      <c r="G15" s="38">
        <f t="shared" si="6"/>
        <v>1.9832531948995078</v>
      </c>
      <c r="H15" s="39">
        <f t="shared" si="6"/>
        <v>7.3471346607411656E-2</v>
      </c>
      <c r="I15" s="39">
        <f t="shared" si="6"/>
        <v>7.2878881255402844E-2</v>
      </c>
    </row>
    <row r="16" spans="2:17" ht="14" customHeight="1" x14ac:dyDescent="0.3">
      <c r="B16" s="4" t="s">
        <v>219</v>
      </c>
      <c r="D16" s="38">
        <f t="shared" ref="D16:I16" si="7">MEDIAN(J6:J10)</f>
        <v>15.552094158010673</v>
      </c>
      <c r="E16" s="38">
        <f t="shared" si="7"/>
        <v>2.3037969313180429</v>
      </c>
      <c r="F16" s="38">
        <f t="shared" si="7"/>
        <v>33.635385925085131</v>
      </c>
      <c r="G16" s="38">
        <f t="shared" si="7"/>
        <v>2.3949730011555959</v>
      </c>
      <c r="H16" s="39">
        <f t="shared" si="7"/>
        <v>8.7264490280785506E-2</v>
      </c>
      <c r="I16" s="39">
        <f t="shared" si="7"/>
        <v>7.9100180134178688E-2</v>
      </c>
    </row>
    <row r="17" spans="2:9" ht="14" customHeight="1" x14ac:dyDescent="0.3">
      <c r="B17" s="4" t="s">
        <v>220</v>
      </c>
      <c r="D17" s="38">
        <f t="shared" ref="D17:I17" si="8">PERCENTILE(J6:J10,0.75)</f>
        <v>18.258808221981813</v>
      </c>
      <c r="E17" s="38">
        <f t="shared" si="8"/>
        <v>4.1968058527715568</v>
      </c>
      <c r="F17" s="38">
        <f t="shared" si="8"/>
        <v>42.339820524051795</v>
      </c>
      <c r="G17" s="38">
        <f t="shared" si="8"/>
        <v>2.4513092968139274</v>
      </c>
      <c r="H17" s="39">
        <f t="shared" si="8"/>
        <v>0.22617178273816943</v>
      </c>
      <c r="I17" s="39">
        <f t="shared" si="8"/>
        <v>9.0930823461409294E-2</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231545</v>
      </c>
    </row>
    <row r="22" spans="2:9" ht="14" customHeight="1" x14ac:dyDescent="0.3">
      <c r="B22" s="4" t="s">
        <v>224</v>
      </c>
      <c r="C22" s="5">
        <v>166543</v>
      </c>
    </row>
    <row r="23" spans="2:9" ht="14" customHeight="1" x14ac:dyDescent="0.3">
      <c r="B23" s="4" t="s">
        <v>225</v>
      </c>
      <c r="C23" s="15">
        <v>929200798</v>
      </c>
    </row>
    <row r="24" spans="2:9" ht="14" customHeight="1" x14ac:dyDescent="0.3">
      <c r="B24" s="4" t="s">
        <v>66</v>
      </c>
      <c r="C24" s="5">
        <v>-718071</v>
      </c>
    </row>
    <row r="26" spans="2:9" ht="14" customHeight="1" x14ac:dyDescent="0.3">
      <c r="B26" s="3" t="s">
        <v>226</v>
      </c>
    </row>
    <row r="27" spans="2:9" ht="14" customHeight="1" x14ac:dyDescent="0.3">
      <c r="B27" s="4" t="s">
        <v>227</v>
      </c>
      <c r="C27" s="24">
        <f>ROUND((C21*D16-C24)*1000000/C23,0)</f>
        <v>4648</v>
      </c>
    </row>
    <row r="28" spans="2:9" ht="14" customHeight="1" x14ac:dyDescent="0.3">
      <c r="B28" s="4" t="s">
        <v>228</v>
      </c>
      <c r="C28" s="24">
        <f>ROUND(C22*F16*1000000/C23,0)</f>
        <v>6029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0.13278000000000001</v>
      </c>
      <c r="E3" s="4" t="s">
        <v>231</v>
      </c>
      <c r="F3" s="16">
        <f>'DCF Model'!C13</f>
        <v>0.01</v>
      </c>
      <c r="H3" s="4" t="s">
        <v>232</v>
      </c>
      <c r="I3" s="14">
        <f>'DCF Model'!C14</f>
        <v>15.6</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0.11778000000000001</v>
      </c>
      <c r="C7" s="37">
        <f>IFERROR(ROUND(('DCF Model'!C45/(1+$B7)^('DCF Model'!C19+0)+'DCF Model'!D45/(1+$B7)^('DCF Model'!C19+1)+'DCF Model'!E45/(1+$B7)^('DCF Model'!C19+2)+'DCF Model'!F45/(1+$B7)^('DCF Model'!C19+3)+'DCF Model'!G45/(1+$B7)^('DCF Model'!C19+4)+'DCF Model'!G45*(1+C$6)/($B7-C$6)/(1+$B7)^('DCF Model'!C19+4)-'DCF Model'!C16)*1000000/'DCF Model'!C15,0),"")</f>
        <v>2060</v>
      </c>
      <c r="D7" s="37">
        <f>IFERROR(ROUND(('DCF Model'!C45/(1+$B7)^('DCF Model'!C19+0)+'DCF Model'!D45/(1+$B7)^('DCF Model'!C19+1)+'DCF Model'!E45/(1+$B7)^('DCF Model'!C19+2)+'DCF Model'!F45/(1+$B7)^('DCF Model'!C19+3)+'DCF Model'!G45/(1+$B7)^('DCF Model'!C19+4)+'DCF Model'!G45*(1+D$6)/($B7-D$6)/(1+$B7)^('DCF Model'!C19+4)-'DCF Model'!C16)*1000000/'DCF Model'!C15,0),"")</f>
        <v>2080</v>
      </c>
      <c r="E7" s="37">
        <f>IFERROR(ROUND(('DCF Model'!C45/(1+$B7)^('DCF Model'!C19+0)+'DCF Model'!D45/(1+$B7)^('DCF Model'!C19+1)+'DCF Model'!E45/(1+$B7)^('DCF Model'!C19+2)+'DCF Model'!F45/(1+$B7)^('DCF Model'!C19+3)+'DCF Model'!G45/(1+$B7)^('DCF Model'!C19+4)+'DCF Model'!G45*(1+E$6)/($B7-E$6)/(1+$B7)^('DCF Model'!C19+4)-'DCF Model'!C16)*1000000/'DCF Model'!C15,0),"")</f>
        <v>2101</v>
      </c>
      <c r="F7" s="37">
        <f>IFERROR(ROUND(('DCF Model'!C45/(1+$B7)^('DCF Model'!C19+0)+'DCF Model'!D45/(1+$B7)^('DCF Model'!C19+1)+'DCF Model'!E45/(1+$B7)^('DCF Model'!C19+2)+'DCF Model'!F45/(1+$B7)^('DCF Model'!C19+3)+'DCF Model'!G45/(1+$B7)^('DCF Model'!C19+4)+'DCF Model'!G45*(1+F$6)/($B7-F$6)/(1+$B7)^('DCF Model'!C19+4)-'DCF Model'!C16)*1000000/'DCF Model'!C15,0),"")</f>
        <v>2122</v>
      </c>
      <c r="G7" s="37">
        <f>IFERROR(ROUND(('DCF Model'!C45/(1+$B7)^('DCF Model'!C19+0)+'DCF Model'!D45/(1+$B7)^('DCF Model'!C19+1)+'DCF Model'!E45/(1+$B7)^('DCF Model'!C19+2)+'DCF Model'!F45/(1+$B7)^('DCF Model'!C19+3)+'DCF Model'!G45/(1+$B7)^('DCF Model'!C19+4)+'DCF Model'!G45*(1+G$6)/($B7-G$6)/(1+$B7)^('DCF Model'!C19+4)-'DCF Model'!C16)*1000000/'DCF Model'!C15,0),"")</f>
        <v>2145</v>
      </c>
      <c r="H7" s="37">
        <f>IFERROR(ROUND(('DCF Model'!C45/(1+$B7)^('DCF Model'!C19+0)+'DCF Model'!D45/(1+$B7)^('DCF Model'!C19+1)+'DCF Model'!E45/(1+$B7)^('DCF Model'!C19+2)+'DCF Model'!F45/(1+$B7)^('DCF Model'!C19+3)+'DCF Model'!G45/(1+$B7)^('DCF Model'!C19+4)+'DCF Model'!G45*(1+H$6)/($B7-H$6)/(1+$B7)^('DCF Model'!C19+4)-'DCF Model'!C16)*1000000/'DCF Model'!C15,0),"")</f>
        <v>2169</v>
      </c>
      <c r="I7" s="37">
        <f>IFERROR(ROUND(('DCF Model'!C45/(1+$B7)^('DCF Model'!C19+0)+'DCF Model'!D45/(1+$B7)^('DCF Model'!C19+1)+'DCF Model'!E45/(1+$B7)^('DCF Model'!C19+2)+'DCF Model'!F45/(1+$B7)^('DCF Model'!C19+3)+'DCF Model'!G45/(1+$B7)^('DCF Model'!C19+4)+'DCF Model'!G45*(1+I$6)/($B7-I$6)/(1+$B7)^('DCF Model'!C19+4)-'DCF Model'!C16)*1000000/'DCF Model'!C15,0),"")</f>
        <v>2194</v>
      </c>
    </row>
    <row r="8" spans="2:9" ht="13.5" customHeight="1" x14ac:dyDescent="0.25">
      <c r="B8" s="39">
        <f>$C$3-0.01</f>
        <v>0.12278000000000001</v>
      </c>
      <c r="C8" s="37">
        <f>IFERROR(ROUND(('DCF Model'!C45/(1+$B8)^('DCF Model'!C19+0)+'DCF Model'!D45/(1+$B8)^('DCF Model'!C19+1)+'DCF Model'!E45/(1+$B8)^('DCF Model'!C19+2)+'DCF Model'!F45/(1+$B8)^('DCF Model'!C19+3)+'DCF Model'!G45/(1+$B8)^('DCF Model'!C19+4)+'DCF Model'!G45*(1+C$6)/($B8-C$6)/(1+$B8)^('DCF Model'!C19+4)-'DCF Model'!C16)*1000000/'DCF Model'!C15,0),"")</f>
        <v>2004</v>
      </c>
      <c r="D8" s="37">
        <f>IFERROR(ROUND(('DCF Model'!C45/(1+$B8)^('DCF Model'!C19+0)+'DCF Model'!D45/(1+$B8)^('DCF Model'!C19+1)+'DCF Model'!E45/(1+$B8)^('DCF Model'!C19+2)+'DCF Model'!F45/(1+$B8)^('DCF Model'!C19+3)+'DCF Model'!G45/(1+$B8)^('DCF Model'!C19+4)+'DCF Model'!G45*(1+D$6)/($B8-D$6)/(1+$B8)^('DCF Model'!C19+4)-'DCF Model'!C16)*1000000/'DCF Model'!C15,0),"")</f>
        <v>2021</v>
      </c>
      <c r="E8" s="37">
        <f>IFERROR(ROUND(('DCF Model'!C45/(1+$B8)^('DCF Model'!C19+0)+'DCF Model'!D45/(1+$B8)^('DCF Model'!C19+1)+'DCF Model'!E45/(1+$B8)^('DCF Model'!C19+2)+'DCF Model'!F45/(1+$B8)^('DCF Model'!C19+3)+'DCF Model'!G45/(1+$B8)^('DCF Model'!C19+4)+'DCF Model'!G45*(1+E$6)/($B8-E$6)/(1+$B8)^('DCF Model'!C19+4)-'DCF Model'!C16)*1000000/'DCF Model'!C15,0),"")</f>
        <v>2040</v>
      </c>
      <c r="F8" s="37">
        <f>IFERROR(ROUND(('DCF Model'!C45/(1+$B8)^('DCF Model'!C19+0)+'DCF Model'!D45/(1+$B8)^('DCF Model'!C19+1)+'DCF Model'!E45/(1+$B8)^('DCF Model'!C19+2)+'DCF Model'!F45/(1+$B8)^('DCF Model'!C19+3)+'DCF Model'!G45/(1+$B8)^('DCF Model'!C19+4)+'DCF Model'!G45*(1+F$6)/($B8-F$6)/(1+$B8)^('DCF Model'!C19+4)-'DCF Model'!C16)*1000000/'DCF Model'!C15,0),"")</f>
        <v>2059</v>
      </c>
      <c r="G8" s="37">
        <f>IFERROR(ROUND(('DCF Model'!C45/(1+$B8)^('DCF Model'!C19+0)+'DCF Model'!D45/(1+$B8)^('DCF Model'!C19+1)+'DCF Model'!E45/(1+$B8)^('DCF Model'!C19+2)+'DCF Model'!F45/(1+$B8)^('DCF Model'!C19+3)+'DCF Model'!G45/(1+$B8)^('DCF Model'!C19+4)+'DCF Model'!G45*(1+G$6)/($B8-G$6)/(1+$B8)^('DCF Model'!C19+4)-'DCF Model'!C16)*1000000/'DCF Model'!C15,0),"")</f>
        <v>2080</v>
      </c>
      <c r="H8" s="37">
        <f>IFERROR(ROUND(('DCF Model'!C45/(1+$B8)^('DCF Model'!C19+0)+'DCF Model'!D45/(1+$B8)^('DCF Model'!C19+1)+'DCF Model'!E45/(1+$B8)^('DCF Model'!C19+2)+'DCF Model'!F45/(1+$B8)^('DCF Model'!C19+3)+'DCF Model'!G45/(1+$B8)^('DCF Model'!C19+4)+'DCF Model'!G45*(1+H$6)/($B8-H$6)/(1+$B8)^('DCF Model'!C19+4)-'DCF Model'!C16)*1000000/'DCF Model'!C15,0),"")</f>
        <v>2101</v>
      </c>
      <c r="I8" s="37">
        <f>IFERROR(ROUND(('DCF Model'!C45/(1+$B8)^('DCF Model'!C19+0)+'DCF Model'!D45/(1+$B8)^('DCF Model'!C19+1)+'DCF Model'!E45/(1+$B8)^('DCF Model'!C19+2)+'DCF Model'!F45/(1+$B8)^('DCF Model'!C19+3)+'DCF Model'!G45/(1+$B8)^('DCF Model'!C19+4)+'DCF Model'!G45*(1+I$6)/($B8-I$6)/(1+$B8)^('DCF Model'!C19+4)-'DCF Model'!C16)*1000000/'DCF Model'!C15,0),"")</f>
        <v>2123</v>
      </c>
    </row>
    <row r="9" spans="2:9" ht="13.5" customHeight="1" x14ac:dyDescent="0.25">
      <c r="B9" s="39">
        <f>$C$3-0.005</f>
        <v>0.12778</v>
      </c>
      <c r="C9" s="37">
        <f>IFERROR(ROUND(('DCF Model'!C45/(1+$B9)^('DCF Model'!C19+0)+'DCF Model'!D45/(1+$B9)^('DCF Model'!C19+1)+'DCF Model'!E45/(1+$B9)^('DCF Model'!C19+2)+'DCF Model'!F45/(1+$B9)^('DCF Model'!C19+3)+'DCF Model'!G45/(1+$B9)^('DCF Model'!C19+4)+'DCF Model'!G45*(1+C$6)/($B9-C$6)/(1+$B9)^('DCF Model'!C19+4)-'DCF Model'!C16)*1000000/'DCF Model'!C15,0),"")</f>
        <v>1951</v>
      </c>
      <c r="D9" s="37">
        <f>IFERROR(ROUND(('DCF Model'!C45/(1+$B9)^('DCF Model'!C19+0)+'DCF Model'!D45/(1+$B9)^('DCF Model'!C19+1)+'DCF Model'!E45/(1+$B9)^('DCF Model'!C19+2)+'DCF Model'!F45/(1+$B9)^('DCF Model'!C19+3)+'DCF Model'!G45/(1+$B9)^('DCF Model'!C19+4)+'DCF Model'!G45*(1+D$6)/($B9-D$6)/(1+$B9)^('DCF Model'!C19+4)-'DCF Model'!C16)*1000000/'DCF Model'!C15,0),"")</f>
        <v>1967</v>
      </c>
      <c r="E9" s="37">
        <f>IFERROR(ROUND(('DCF Model'!C45/(1+$B9)^('DCF Model'!C19+0)+'DCF Model'!D45/(1+$B9)^('DCF Model'!C19+1)+'DCF Model'!E45/(1+$B9)^('DCF Model'!C19+2)+'DCF Model'!F45/(1+$B9)^('DCF Model'!C19+3)+'DCF Model'!G45/(1+$B9)^('DCF Model'!C19+4)+'DCF Model'!G45*(1+E$6)/($B9-E$6)/(1+$B9)^('DCF Model'!C19+4)-'DCF Model'!C16)*1000000/'DCF Model'!C15,0),"")</f>
        <v>1984</v>
      </c>
      <c r="F9" s="37">
        <f>IFERROR(ROUND(('DCF Model'!C45/(1+$B9)^('DCF Model'!C19+0)+'DCF Model'!D45/(1+$B9)^('DCF Model'!C19+1)+'DCF Model'!E45/(1+$B9)^('DCF Model'!C19+2)+'DCF Model'!F45/(1+$B9)^('DCF Model'!C19+3)+'DCF Model'!G45/(1+$B9)^('DCF Model'!C19+4)+'DCF Model'!G45*(1+F$6)/($B9-F$6)/(1+$B9)^('DCF Model'!C19+4)-'DCF Model'!C16)*1000000/'DCF Model'!C15,0),"")</f>
        <v>2002</v>
      </c>
      <c r="G9" s="37">
        <f>IFERROR(ROUND(('DCF Model'!C45/(1+$B9)^('DCF Model'!C19+0)+'DCF Model'!D45/(1+$B9)^('DCF Model'!C19+1)+'DCF Model'!E45/(1+$B9)^('DCF Model'!C19+2)+'DCF Model'!F45/(1+$B9)^('DCF Model'!C19+3)+'DCF Model'!G45/(1+$B9)^('DCF Model'!C19+4)+'DCF Model'!G45*(1+G$6)/($B9-G$6)/(1+$B9)^('DCF Model'!C19+4)-'DCF Model'!C16)*1000000/'DCF Model'!C15,0),"")</f>
        <v>2020</v>
      </c>
      <c r="H9" s="37">
        <f>IFERROR(ROUND(('DCF Model'!C45/(1+$B9)^('DCF Model'!C19+0)+'DCF Model'!D45/(1+$B9)^('DCF Model'!C19+1)+'DCF Model'!E45/(1+$B9)^('DCF Model'!C19+2)+'DCF Model'!F45/(1+$B9)^('DCF Model'!C19+3)+'DCF Model'!G45/(1+$B9)^('DCF Model'!C19+4)+'DCF Model'!G45*(1+H$6)/($B9-H$6)/(1+$B9)^('DCF Model'!C19+4)-'DCF Model'!C16)*1000000/'DCF Model'!C15,0),"")</f>
        <v>2039</v>
      </c>
      <c r="I9" s="37">
        <f>IFERROR(ROUND(('DCF Model'!C45/(1+$B9)^('DCF Model'!C19+0)+'DCF Model'!D45/(1+$B9)^('DCF Model'!C19+1)+'DCF Model'!E45/(1+$B9)^('DCF Model'!C19+2)+'DCF Model'!F45/(1+$B9)^('DCF Model'!C19+3)+'DCF Model'!G45/(1+$B9)^('DCF Model'!C19+4)+'DCF Model'!G45*(1+I$6)/($B9-I$6)/(1+$B9)^('DCF Model'!C19+4)-'DCF Model'!C16)*1000000/'DCF Model'!C15,0),"")</f>
        <v>2059</v>
      </c>
    </row>
    <row r="10" spans="2:9" ht="13.5" customHeight="1" x14ac:dyDescent="0.25">
      <c r="B10" s="39">
        <f>$C$3</f>
        <v>0.13278000000000001</v>
      </c>
      <c r="C10" s="37">
        <f>IFERROR(ROUND(('DCF Model'!C45/(1+$B10)^('DCF Model'!C19+0)+'DCF Model'!D45/(1+$B10)^('DCF Model'!C19+1)+'DCF Model'!E45/(1+$B10)^('DCF Model'!C19+2)+'DCF Model'!F45/(1+$B10)^('DCF Model'!C19+3)+'DCF Model'!G45/(1+$B10)^('DCF Model'!C19+4)+'DCF Model'!G45*(1+C$6)/($B10-C$6)/(1+$B10)^('DCF Model'!C19+4)-'DCF Model'!C16)*1000000/'DCF Model'!C15,0),"")</f>
        <v>1903</v>
      </c>
      <c r="D10" s="37">
        <f>IFERROR(ROUND(('DCF Model'!C45/(1+$B10)^('DCF Model'!C19+0)+'DCF Model'!D45/(1+$B10)^('DCF Model'!C19+1)+'DCF Model'!E45/(1+$B10)^('DCF Model'!C19+2)+'DCF Model'!F45/(1+$B10)^('DCF Model'!C19+3)+'DCF Model'!G45/(1+$B10)^('DCF Model'!C19+4)+'DCF Model'!G45*(1+D$6)/($B10-D$6)/(1+$B10)^('DCF Model'!C19+4)-'DCF Model'!C16)*1000000/'DCF Model'!C15,0),"")</f>
        <v>1918</v>
      </c>
      <c r="E10" s="37">
        <f>IFERROR(ROUND(('DCF Model'!C45/(1+$B10)^('DCF Model'!C19+0)+'DCF Model'!D45/(1+$B10)^('DCF Model'!C19+1)+'DCF Model'!E45/(1+$B10)^('DCF Model'!C19+2)+'DCF Model'!F45/(1+$B10)^('DCF Model'!C19+3)+'DCF Model'!G45/(1+$B10)^('DCF Model'!C19+4)+'DCF Model'!G45*(1+E$6)/($B10-E$6)/(1+$B10)^('DCF Model'!C19+4)-'DCF Model'!C16)*1000000/'DCF Model'!C15,0),"")</f>
        <v>1933</v>
      </c>
      <c r="F10" s="37">
        <f>IFERROR(ROUND(('DCF Model'!C45/(1+$B10)^('DCF Model'!C19+0)+'DCF Model'!D45/(1+$B10)^('DCF Model'!C19+1)+'DCF Model'!E45/(1+$B10)^('DCF Model'!C19+2)+'DCF Model'!F45/(1+$B10)^('DCF Model'!C19+3)+'DCF Model'!G45/(1+$B10)^('DCF Model'!C19+4)+'DCF Model'!G45*(1+F$6)/($B10-F$6)/(1+$B10)^('DCF Model'!C19+4)-'DCF Model'!C16)*1000000/'DCF Model'!C15,0),"")</f>
        <v>1949</v>
      </c>
      <c r="G10" s="37">
        <f>IFERROR(ROUND(('DCF Model'!C45/(1+$B10)^('DCF Model'!C19+0)+'DCF Model'!D45/(1+$B10)^('DCF Model'!C19+1)+'DCF Model'!E45/(1+$B10)^('DCF Model'!C19+2)+'DCF Model'!F45/(1+$B10)^('DCF Model'!C19+3)+'DCF Model'!G45/(1+$B10)^('DCF Model'!C19+4)+'DCF Model'!G45*(1+G$6)/($B10-G$6)/(1+$B10)^('DCF Model'!C19+4)-'DCF Model'!C16)*1000000/'DCF Model'!C15,0),"")</f>
        <v>1966</v>
      </c>
      <c r="H10" s="37">
        <f>IFERROR(ROUND(('DCF Model'!C45/(1+$B10)^('DCF Model'!C19+0)+'DCF Model'!D45/(1+$B10)^('DCF Model'!C19+1)+'DCF Model'!E45/(1+$B10)^('DCF Model'!C19+2)+'DCF Model'!F45/(1+$B10)^('DCF Model'!C19+3)+'DCF Model'!G45/(1+$B10)^('DCF Model'!C19+4)+'DCF Model'!G45*(1+H$6)/($B10-H$6)/(1+$B10)^('DCF Model'!C19+4)-'DCF Model'!C16)*1000000/'DCF Model'!C15,0),"")</f>
        <v>1983</v>
      </c>
      <c r="I10" s="37">
        <f>IFERROR(ROUND(('DCF Model'!C45/(1+$B10)^('DCF Model'!C19+0)+'DCF Model'!D45/(1+$B10)^('DCF Model'!C19+1)+'DCF Model'!E45/(1+$B10)^('DCF Model'!C19+2)+'DCF Model'!F45/(1+$B10)^('DCF Model'!C19+3)+'DCF Model'!G45/(1+$B10)^('DCF Model'!C19+4)+'DCF Model'!G45*(1+I$6)/($B10-I$6)/(1+$B10)^('DCF Model'!C19+4)-'DCF Model'!C16)*1000000/'DCF Model'!C15,0),"")</f>
        <v>2001</v>
      </c>
    </row>
    <row r="11" spans="2:9" ht="13.5" customHeight="1" x14ac:dyDescent="0.25">
      <c r="B11" s="39">
        <f>$C$3+0.005</f>
        <v>0.13778000000000001</v>
      </c>
      <c r="C11" s="37">
        <f>IFERROR(ROUND(('DCF Model'!C45/(1+$B11)^('DCF Model'!C19+0)+'DCF Model'!D45/(1+$B11)^('DCF Model'!C19+1)+'DCF Model'!E45/(1+$B11)^('DCF Model'!C19+2)+'DCF Model'!F45/(1+$B11)^('DCF Model'!C19+3)+'DCF Model'!G45/(1+$B11)^('DCF Model'!C19+4)+'DCF Model'!G45*(1+C$6)/($B11-C$6)/(1+$B11)^('DCF Model'!C19+4)-'DCF Model'!C16)*1000000/'DCF Model'!C15,0),"")</f>
        <v>1859</v>
      </c>
      <c r="D11" s="37">
        <f>IFERROR(ROUND(('DCF Model'!C45/(1+$B11)^('DCF Model'!C19+0)+'DCF Model'!D45/(1+$B11)^('DCF Model'!C19+1)+'DCF Model'!E45/(1+$B11)^('DCF Model'!C19+2)+'DCF Model'!F45/(1+$B11)^('DCF Model'!C19+3)+'DCF Model'!G45/(1+$B11)^('DCF Model'!C19+4)+'DCF Model'!G45*(1+D$6)/($B11-D$6)/(1+$B11)^('DCF Model'!C19+4)-'DCF Model'!C16)*1000000/'DCF Model'!C15,0),"")</f>
        <v>1872</v>
      </c>
      <c r="E11" s="37">
        <f>IFERROR(ROUND(('DCF Model'!C45/(1+$B11)^('DCF Model'!C19+0)+'DCF Model'!D45/(1+$B11)^('DCF Model'!C19+1)+'DCF Model'!E45/(1+$B11)^('DCF Model'!C19+2)+'DCF Model'!F45/(1+$B11)^('DCF Model'!C19+3)+'DCF Model'!G45/(1+$B11)^('DCF Model'!C19+4)+'DCF Model'!G45*(1+E$6)/($B11-E$6)/(1+$B11)^('DCF Model'!C19+4)-'DCF Model'!C16)*1000000/'DCF Model'!C15,0),"")</f>
        <v>1886</v>
      </c>
      <c r="F11" s="37">
        <f>IFERROR(ROUND(('DCF Model'!C45/(1+$B11)^('DCF Model'!C19+0)+'DCF Model'!D45/(1+$B11)^('DCF Model'!C19+1)+'DCF Model'!E45/(1+$B11)^('DCF Model'!C19+2)+'DCF Model'!F45/(1+$B11)^('DCF Model'!C19+3)+'DCF Model'!G45/(1+$B11)^('DCF Model'!C19+4)+'DCF Model'!G45*(1+F$6)/($B11-F$6)/(1+$B11)^('DCF Model'!C19+4)-'DCF Model'!C16)*1000000/'DCF Model'!C15,0),"")</f>
        <v>1900</v>
      </c>
      <c r="G11" s="37">
        <f>IFERROR(ROUND(('DCF Model'!C45/(1+$B11)^('DCF Model'!C19+0)+'DCF Model'!D45/(1+$B11)^('DCF Model'!C19+1)+'DCF Model'!E45/(1+$B11)^('DCF Model'!C19+2)+'DCF Model'!F45/(1+$B11)^('DCF Model'!C19+3)+'DCF Model'!G45/(1+$B11)^('DCF Model'!C19+4)+'DCF Model'!G45*(1+G$6)/($B11-G$6)/(1+$B11)^('DCF Model'!C19+4)-'DCF Model'!C16)*1000000/'DCF Model'!C15,0),"")</f>
        <v>1915</v>
      </c>
      <c r="H11" s="37">
        <f>IFERROR(ROUND(('DCF Model'!C45/(1+$B11)^('DCF Model'!C19+0)+'DCF Model'!D45/(1+$B11)^('DCF Model'!C19+1)+'DCF Model'!E45/(1+$B11)^('DCF Model'!C19+2)+'DCF Model'!F45/(1+$B11)^('DCF Model'!C19+3)+'DCF Model'!G45/(1+$B11)^('DCF Model'!C19+4)+'DCF Model'!G45*(1+H$6)/($B11-H$6)/(1+$B11)^('DCF Model'!C19+4)-'DCF Model'!C16)*1000000/'DCF Model'!C15,0),"")</f>
        <v>1931</v>
      </c>
      <c r="I11" s="37">
        <f>IFERROR(ROUND(('DCF Model'!C45/(1+$B11)^('DCF Model'!C19+0)+'DCF Model'!D45/(1+$B11)^('DCF Model'!C19+1)+'DCF Model'!E45/(1+$B11)^('DCF Model'!C19+2)+'DCF Model'!F45/(1+$B11)^('DCF Model'!C19+3)+'DCF Model'!G45/(1+$B11)^('DCF Model'!C19+4)+'DCF Model'!G45*(1+I$6)/($B11-I$6)/(1+$B11)^('DCF Model'!C19+4)-'DCF Model'!C16)*1000000/'DCF Model'!C15,0),"")</f>
        <v>1947</v>
      </c>
    </row>
    <row r="12" spans="2:9" ht="13.5" customHeight="1" x14ac:dyDescent="0.25">
      <c r="B12" s="39">
        <f>$C$3+0.01</f>
        <v>0.14278000000000002</v>
      </c>
      <c r="C12" s="37">
        <f>IFERROR(ROUND(('DCF Model'!C45/(1+$B12)^('DCF Model'!C19+0)+'DCF Model'!D45/(1+$B12)^('DCF Model'!C19+1)+'DCF Model'!E45/(1+$B12)^('DCF Model'!C19+2)+'DCF Model'!F45/(1+$B12)^('DCF Model'!C19+3)+'DCF Model'!G45/(1+$B12)^('DCF Model'!C19+4)+'DCF Model'!G45*(1+C$6)/($B12-C$6)/(1+$B12)^('DCF Model'!C19+4)-'DCF Model'!C16)*1000000/'DCF Model'!C15,0),"")</f>
        <v>1817</v>
      </c>
      <c r="D12" s="37">
        <f>IFERROR(ROUND(('DCF Model'!C45/(1+$B12)^('DCF Model'!C19+0)+'DCF Model'!D45/(1+$B12)^('DCF Model'!C19+1)+'DCF Model'!E45/(1+$B12)^('DCF Model'!C19+2)+'DCF Model'!F45/(1+$B12)^('DCF Model'!C19+3)+'DCF Model'!G45/(1+$B12)^('DCF Model'!C19+4)+'DCF Model'!G45*(1+D$6)/($B12-D$6)/(1+$B12)^('DCF Model'!C19+4)-'DCF Model'!C16)*1000000/'DCF Model'!C15,0),"")</f>
        <v>1830</v>
      </c>
      <c r="E12" s="37">
        <f>IFERROR(ROUND(('DCF Model'!C45/(1+$B12)^('DCF Model'!C19+0)+'DCF Model'!D45/(1+$B12)^('DCF Model'!C19+1)+'DCF Model'!E45/(1+$B12)^('DCF Model'!C19+2)+'DCF Model'!F45/(1+$B12)^('DCF Model'!C19+3)+'DCF Model'!G45/(1+$B12)^('DCF Model'!C19+4)+'DCF Model'!G45*(1+E$6)/($B12-E$6)/(1+$B12)^('DCF Model'!C19+4)-'DCF Model'!C16)*1000000/'DCF Model'!C15,0),"")</f>
        <v>1842</v>
      </c>
      <c r="F12" s="37">
        <f>IFERROR(ROUND(('DCF Model'!C45/(1+$B12)^('DCF Model'!C19+0)+'DCF Model'!D45/(1+$B12)^('DCF Model'!C19+1)+'DCF Model'!E45/(1+$B12)^('DCF Model'!C19+2)+'DCF Model'!F45/(1+$B12)^('DCF Model'!C19+3)+'DCF Model'!G45/(1+$B12)^('DCF Model'!C19+4)+'DCF Model'!G45*(1+F$6)/($B12-F$6)/(1+$B12)^('DCF Model'!C19+4)-'DCF Model'!C16)*1000000/'DCF Model'!C15,0),"")</f>
        <v>1855</v>
      </c>
      <c r="G12" s="37">
        <f>IFERROR(ROUND(('DCF Model'!C45/(1+$B12)^('DCF Model'!C19+0)+'DCF Model'!D45/(1+$B12)^('DCF Model'!C19+1)+'DCF Model'!E45/(1+$B12)^('DCF Model'!C19+2)+'DCF Model'!F45/(1+$B12)^('DCF Model'!C19+3)+'DCF Model'!G45/(1+$B12)^('DCF Model'!C19+4)+'DCF Model'!G45*(1+G$6)/($B12-G$6)/(1+$B12)^('DCF Model'!C19+4)-'DCF Model'!C16)*1000000/'DCF Model'!C15,0),"")</f>
        <v>1869</v>
      </c>
      <c r="H12" s="37">
        <f>IFERROR(ROUND(('DCF Model'!C45/(1+$B12)^('DCF Model'!C19+0)+'DCF Model'!D45/(1+$B12)^('DCF Model'!C19+1)+'DCF Model'!E45/(1+$B12)^('DCF Model'!C19+2)+'DCF Model'!F45/(1+$B12)^('DCF Model'!C19+3)+'DCF Model'!G45/(1+$B12)^('DCF Model'!C19+4)+'DCF Model'!G45*(1+H$6)/($B12-H$6)/(1+$B12)^('DCF Model'!C19+4)-'DCF Model'!C16)*1000000/'DCF Model'!C15,0),"")</f>
        <v>1883</v>
      </c>
      <c r="I12" s="37">
        <f>IFERROR(ROUND(('DCF Model'!C45/(1+$B12)^('DCF Model'!C19+0)+'DCF Model'!D45/(1+$B12)^('DCF Model'!C19+1)+'DCF Model'!E45/(1+$B12)^('DCF Model'!C19+2)+'DCF Model'!F45/(1+$B12)^('DCF Model'!C19+3)+'DCF Model'!G45/(1+$B12)^('DCF Model'!C19+4)+'DCF Model'!G45*(1+I$6)/($B12-I$6)/(1+$B12)^('DCF Model'!C19+4)-'DCF Model'!C16)*1000000/'DCF Model'!C15,0),"")</f>
        <v>1898</v>
      </c>
    </row>
    <row r="13" spans="2:9" ht="13.5" customHeight="1" x14ac:dyDescent="0.25">
      <c r="B13" s="39">
        <f>$C$3+0.015</f>
        <v>0.14778000000000002</v>
      </c>
      <c r="C13" s="37">
        <f>IFERROR(ROUND(('DCF Model'!C45/(1+$B13)^('DCF Model'!C19+0)+'DCF Model'!D45/(1+$B13)^('DCF Model'!C19+1)+'DCF Model'!E45/(1+$B13)^('DCF Model'!C19+2)+'DCF Model'!F45/(1+$B13)^('DCF Model'!C19+3)+'DCF Model'!G45/(1+$B13)^('DCF Model'!C19+4)+'DCF Model'!G45*(1+C$6)/($B13-C$6)/(1+$B13)^('DCF Model'!C19+4)-'DCF Model'!C16)*1000000/'DCF Model'!C15,0),"")</f>
        <v>1779</v>
      </c>
      <c r="D13" s="37">
        <f>IFERROR(ROUND(('DCF Model'!C45/(1+$B13)^('DCF Model'!C19+0)+'DCF Model'!D45/(1+$B13)^('DCF Model'!C19+1)+'DCF Model'!E45/(1+$B13)^('DCF Model'!C19+2)+'DCF Model'!F45/(1+$B13)^('DCF Model'!C19+3)+'DCF Model'!G45/(1+$B13)^('DCF Model'!C19+4)+'DCF Model'!G45*(1+D$6)/($B13-D$6)/(1+$B13)^('DCF Model'!C19+4)-'DCF Model'!C16)*1000000/'DCF Model'!C15,0),"")</f>
        <v>1790</v>
      </c>
      <c r="E13" s="37">
        <f>IFERROR(ROUND(('DCF Model'!C45/(1+$B13)^('DCF Model'!C19+0)+'DCF Model'!D45/(1+$B13)^('DCF Model'!C19+1)+'DCF Model'!E45/(1+$B13)^('DCF Model'!C19+2)+'DCF Model'!F45/(1+$B13)^('DCF Model'!C19+3)+'DCF Model'!G45/(1+$B13)^('DCF Model'!C19+4)+'DCF Model'!G45*(1+E$6)/($B13-E$6)/(1+$B13)^('DCF Model'!C19+4)-'DCF Model'!C16)*1000000/'DCF Model'!C15,0),"")</f>
        <v>1802</v>
      </c>
      <c r="F13" s="37">
        <f>IFERROR(ROUND(('DCF Model'!C45/(1+$B13)^('DCF Model'!C19+0)+'DCF Model'!D45/(1+$B13)^('DCF Model'!C19+1)+'DCF Model'!E45/(1+$B13)^('DCF Model'!C19+2)+'DCF Model'!F45/(1+$B13)^('DCF Model'!C19+3)+'DCF Model'!G45/(1+$B13)^('DCF Model'!C19+4)+'DCF Model'!G45*(1+F$6)/($B13-F$6)/(1+$B13)^('DCF Model'!C19+4)-'DCF Model'!C16)*1000000/'DCF Model'!C15,0),"")</f>
        <v>1814</v>
      </c>
      <c r="G13" s="37">
        <f>IFERROR(ROUND(('DCF Model'!C45/(1+$B13)^('DCF Model'!C19+0)+'DCF Model'!D45/(1+$B13)^('DCF Model'!C19+1)+'DCF Model'!E45/(1+$B13)^('DCF Model'!C19+2)+'DCF Model'!F45/(1+$B13)^('DCF Model'!C19+3)+'DCF Model'!G45/(1+$B13)^('DCF Model'!C19+4)+'DCF Model'!G45*(1+G$6)/($B13-G$6)/(1+$B13)^('DCF Model'!C19+4)-'DCF Model'!C16)*1000000/'DCF Model'!C15,0),"")</f>
        <v>1826</v>
      </c>
      <c r="H13" s="37">
        <f>IFERROR(ROUND(('DCF Model'!C45/(1+$B13)^('DCF Model'!C19+0)+'DCF Model'!D45/(1+$B13)^('DCF Model'!C19+1)+'DCF Model'!E45/(1+$B13)^('DCF Model'!C19+2)+'DCF Model'!F45/(1+$B13)^('DCF Model'!C19+3)+'DCF Model'!G45/(1+$B13)^('DCF Model'!C19+4)+'DCF Model'!G45*(1+H$6)/($B13-H$6)/(1+$B13)^('DCF Model'!C19+4)-'DCF Model'!C16)*1000000/'DCF Model'!C15,0),"")</f>
        <v>1839</v>
      </c>
      <c r="I13" s="37">
        <f>IFERROR(ROUND(('DCF Model'!C45/(1+$B13)^('DCF Model'!C19+0)+'DCF Model'!D45/(1+$B13)^('DCF Model'!C19+1)+'DCF Model'!E45/(1+$B13)^('DCF Model'!C19+2)+'DCF Model'!F45/(1+$B13)^('DCF Model'!C19+3)+'DCF Model'!G45/(1+$B13)^('DCF Model'!C19+4)+'DCF Model'!G45*(1+I$6)/($B13-I$6)/(1+$B13)^('DCF Model'!C19+4)-'DCF Model'!C16)*1000000/'DCF Model'!C15,0),"")</f>
        <v>1852</v>
      </c>
    </row>
    <row r="16" spans="2:9" ht="14" customHeight="1" x14ac:dyDescent="0.3">
      <c r="B16" s="3" t="s">
        <v>235</v>
      </c>
    </row>
    <row r="17" spans="2:9" ht="14" customHeight="1" x14ac:dyDescent="0.3">
      <c r="B17" s="40" t="s">
        <v>236</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0.11778000000000001</v>
      </c>
      <c r="C18" s="37">
        <f>IFERROR(ROUND(('DCF Model'!C45/(1+$B18)^('DCF Model'!C19+0)+'DCF Model'!D45/(1+$B18)^('DCF Model'!C19+1)+'DCF Model'!E45/(1+$B18)^('DCF Model'!C19+2)+'DCF Model'!F45/(1+$B18)^('DCF Model'!C19+3)+'DCF Model'!G45/(1+$B18)^('DCF Model'!C19+4)+('DCF Model'!G39+'DCF Model'!G42)*C$17/(1+$B18)^('DCF Model'!C19+4)-'DCF Model'!C16)*1000000/'DCF Model'!C15,0),"")</f>
        <v>3419</v>
      </c>
      <c r="D18" s="37">
        <f>IFERROR(ROUND(('DCF Model'!C45/(1+$B18)^('DCF Model'!C19+0)+'DCF Model'!D45/(1+$B18)^('DCF Model'!C19+1)+'DCF Model'!E45/(1+$B18)^('DCF Model'!C19+2)+'DCF Model'!F45/(1+$B18)^('DCF Model'!C19+3)+'DCF Model'!G45/(1+$B18)^('DCF Model'!C19+4)+('DCF Model'!G39+'DCF Model'!G42)*D$17/(1+$B18)^('DCF Model'!C19+4)-'DCF Model'!C16)*1000000/'DCF Model'!C15,0),"")</f>
        <v>3590</v>
      </c>
      <c r="E18" s="37">
        <f>IFERROR(ROUND(('DCF Model'!C45/(1+$B18)^('DCF Model'!C19+0)+'DCF Model'!D45/(1+$B18)^('DCF Model'!C19+1)+'DCF Model'!E45/(1+$B18)^('DCF Model'!C19+2)+'DCF Model'!F45/(1+$B18)^('DCF Model'!C19+3)+'DCF Model'!G45/(1+$B18)^('DCF Model'!C19+4)+('DCF Model'!G39+'DCF Model'!G42)*E$17/(1+$B18)^('DCF Model'!C19+4)-'DCF Model'!C16)*1000000/'DCF Model'!C15,0),"")</f>
        <v>3762</v>
      </c>
      <c r="F18" s="37">
        <f>IFERROR(ROUND(('DCF Model'!C45/(1+$B18)^('DCF Model'!C19+0)+'DCF Model'!D45/(1+$B18)^('DCF Model'!C19+1)+'DCF Model'!E45/(1+$B18)^('DCF Model'!C19+2)+'DCF Model'!F45/(1+$B18)^('DCF Model'!C19+3)+'DCF Model'!G45/(1+$B18)^('DCF Model'!C19+4)+('DCF Model'!G39+'DCF Model'!G42)*F$17/(1+$B18)^('DCF Model'!C19+4)-'DCF Model'!C16)*1000000/'DCF Model'!C15,0),"")</f>
        <v>3933</v>
      </c>
      <c r="G18" s="37">
        <f>IFERROR(ROUND(('DCF Model'!C45/(1+$B18)^('DCF Model'!C19+0)+'DCF Model'!D45/(1+$B18)^('DCF Model'!C19+1)+'DCF Model'!E45/(1+$B18)^('DCF Model'!C19+2)+'DCF Model'!F45/(1+$B18)^('DCF Model'!C19+3)+'DCF Model'!G45/(1+$B18)^('DCF Model'!C19+4)+('DCF Model'!G39+'DCF Model'!G42)*G$17/(1+$B18)^('DCF Model'!C19+4)-'DCF Model'!C16)*1000000/'DCF Model'!C15,0),"")</f>
        <v>4104</v>
      </c>
      <c r="H18" s="37">
        <f>IFERROR(ROUND(('DCF Model'!C45/(1+$B18)^('DCF Model'!C19+0)+'DCF Model'!D45/(1+$B18)^('DCF Model'!C19+1)+'DCF Model'!E45/(1+$B18)^('DCF Model'!C19+2)+'DCF Model'!F45/(1+$B18)^('DCF Model'!C19+3)+'DCF Model'!G45/(1+$B18)^('DCF Model'!C19+4)+('DCF Model'!G39+'DCF Model'!G42)*H$17/(1+$B18)^('DCF Model'!C19+4)-'DCF Model'!C16)*1000000/'DCF Model'!C15,0),"")</f>
        <v>4276</v>
      </c>
      <c r="I18" s="37">
        <f>IFERROR(ROUND(('DCF Model'!C45/(1+$B18)^('DCF Model'!C19+0)+'DCF Model'!D45/(1+$B18)^('DCF Model'!C19+1)+'DCF Model'!E45/(1+$B18)^('DCF Model'!C19+2)+'DCF Model'!F45/(1+$B18)^('DCF Model'!C19+3)+'DCF Model'!G45/(1+$B18)^('DCF Model'!C19+4)+('DCF Model'!G39+'DCF Model'!G42)*I$17/(1+$B18)^('DCF Model'!C19+4)-'DCF Model'!C16)*1000000/'DCF Model'!C15,0),"")</f>
        <v>4447</v>
      </c>
    </row>
    <row r="19" spans="2:9" ht="13.5" customHeight="1" x14ac:dyDescent="0.25">
      <c r="B19" s="39">
        <f>$C$3-0.01</f>
        <v>0.12278000000000001</v>
      </c>
      <c r="C19" s="37">
        <f>IFERROR(ROUND(('DCF Model'!C45/(1+$B19)^('DCF Model'!C19+0)+'DCF Model'!D45/(1+$B19)^('DCF Model'!C19+1)+'DCF Model'!E45/(1+$B19)^('DCF Model'!C19+2)+'DCF Model'!F45/(1+$B19)^('DCF Model'!C19+3)+'DCF Model'!G45/(1+$B19)^('DCF Model'!C19+4)+('DCF Model'!G39+'DCF Model'!G42)*C$17/(1+$B19)^('DCF Model'!C19+4)-'DCF Model'!C16)*1000000/'DCF Model'!C15,0),"")</f>
        <v>3365</v>
      </c>
      <c r="D19" s="37">
        <f>IFERROR(ROUND(('DCF Model'!C45/(1+$B19)^('DCF Model'!C19+0)+'DCF Model'!D45/(1+$B19)^('DCF Model'!C19+1)+'DCF Model'!E45/(1+$B19)^('DCF Model'!C19+2)+'DCF Model'!F45/(1+$B19)^('DCF Model'!C19+3)+'DCF Model'!G45/(1+$B19)^('DCF Model'!C19+4)+('DCF Model'!G39+'DCF Model'!G42)*D$17/(1+$B19)^('DCF Model'!C19+4)-'DCF Model'!C16)*1000000/'DCF Model'!C15,0),"")</f>
        <v>3532</v>
      </c>
      <c r="E19" s="37">
        <f>IFERROR(ROUND(('DCF Model'!C45/(1+$B19)^('DCF Model'!C19+0)+'DCF Model'!D45/(1+$B19)^('DCF Model'!C19+1)+'DCF Model'!E45/(1+$B19)^('DCF Model'!C19+2)+'DCF Model'!F45/(1+$B19)^('DCF Model'!C19+3)+'DCF Model'!G45/(1+$B19)^('DCF Model'!C19+4)+('DCF Model'!G39+'DCF Model'!G42)*E$17/(1+$B19)^('DCF Model'!C19+4)-'DCF Model'!C16)*1000000/'DCF Model'!C15,0),"")</f>
        <v>3700</v>
      </c>
      <c r="F19" s="37">
        <f>IFERROR(ROUND(('DCF Model'!C45/(1+$B19)^('DCF Model'!C19+0)+'DCF Model'!D45/(1+$B19)^('DCF Model'!C19+1)+'DCF Model'!E45/(1+$B19)^('DCF Model'!C19+2)+'DCF Model'!F45/(1+$B19)^('DCF Model'!C19+3)+'DCF Model'!G45/(1+$B19)^('DCF Model'!C19+4)+('DCF Model'!G39+'DCF Model'!G42)*F$17/(1+$B19)^('DCF Model'!C19+4)-'DCF Model'!C16)*1000000/'DCF Model'!C15,0),"")</f>
        <v>3868</v>
      </c>
      <c r="G19" s="37">
        <f>IFERROR(ROUND(('DCF Model'!C45/(1+$B19)^('DCF Model'!C19+0)+'DCF Model'!D45/(1+$B19)^('DCF Model'!C19+1)+'DCF Model'!E45/(1+$B19)^('DCF Model'!C19+2)+'DCF Model'!F45/(1+$B19)^('DCF Model'!C19+3)+'DCF Model'!G45/(1+$B19)^('DCF Model'!C19+4)+('DCF Model'!G39+'DCF Model'!G42)*G$17/(1+$B19)^('DCF Model'!C19+4)-'DCF Model'!C16)*1000000/'DCF Model'!C15,0),"")</f>
        <v>4035</v>
      </c>
      <c r="H19" s="37">
        <f>IFERROR(ROUND(('DCF Model'!C45/(1+$B19)^('DCF Model'!C19+0)+'DCF Model'!D45/(1+$B19)^('DCF Model'!C19+1)+'DCF Model'!E45/(1+$B19)^('DCF Model'!C19+2)+'DCF Model'!F45/(1+$B19)^('DCF Model'!C19+3)+'DCF Model'!G45/(1+$B19)^('DCF Model'!C19+4)+('DCF Model'!G39+'DCF Model'!G42)*H$17/(1+$B19)^('DCF Model'!C19+4)-'DCF Model'!C16)*1000000/'DCF Model'!C15,0),"")</f>
        <v>4203</v>
      </c>
      <c r="I19" s="37">
        <f>IFERROR(ROUND(('DCF Model'!C45/(1+$B19)^('DCF Model'!C19+0)+'DCF Model'!D45/(1+$B19)^('DCF Model'!C19+1)+'DCF Model'!E45/(1+$B19)^('DCF Model'!C19+2)+'DCF Model'!F45/(1+$B19)^('DCF Model'!C19+3)+'DCF Model'!G45/(1+$B19)^('DCF Model'!C19+4)+('DCF Model'!G39+'DCF Model'!G42)*I$17/(1+$B19)^('DCF Model'!C19+4)-'DCF Model'!C16)*1000000/'DCF Model'!C15,0),"")</f>
        <v>4370</v>
      </c>
    </row>
    <row r="20" spans="2:9" ht="13.5" customHeight="1" x14ac:dyDescent="0.25">
      <c r="B20" s="39">
        <f>$C$3-0.005</f>
        <v>0.12778</v>
      </c>
      <c r="C20" s="37">
        <f>IFERROR(ROUND(('DCF Model'!C45/(1+$B20)^('DCF Model'!C19+0)+'DCF Model'!D45/(1+$B20)^('DCF Model'!C19+1)+'DCF Model'!E45/(1+$B20)^('DCF Model'!C19+2)+'DCF Model'!F45/(1+$B20)^('DCF Model'!C19+3)+'DCF Model'!G45/(1+$B20)^('DCF Model'!C19+4)+('DCF Model'!G39+'DCF Model'!G42)*C$17/(1+$B20)^('DCF Model'!C19+4)-'DCF Model'!C16)*1000000/'DCF Model'!C15,0),"")</f>
        <v>3312</v>
      </c>
      <c r="D20" s="37">
        <f>IFERROR(ROUND(('DCF Model'!C45/(1+$B20)^('DCF Model'!C19+0)+'DCF Model'!D45/(1+$B20)^('DCF Model'!C19+1)+'DCF Model'!E45/(1+$B20)^('DCF Model'!C19+2)+'DCF Model'!F45/(1+$B20)^('DCF Model'!C19+3)+'DCF Model'!G45/(1+$B20)^('DCF Model'!C19+4)+('DCF Model'!G39+'DCF Model'!G42)*D$17/(1+$B20)^('DCF Model'!C19+4)-'DCF Model'!C16)*1000000/'DCF Model'!C15,0),"")</f>
        <v>3476</v>
      </c>
      <c r="E20" s="37">
        <f>IFERROR(ROUND(('DCF Model'!C45/(1+$B20)^('DCF Model'!C19+0)+'DCF Model'!D45/(1+$B20)^('DCF Model'!C19+1)+'DCF Model'!E45/(1+$B20)^('DCF Model'!C19+2)+'DCF Model'!F45/(1+$B20)^('DCF Model'!C19+3)+'DCF Model'!G45/(1+$B20)^('DCF Model'!C19+4)+('DCF Model'!G39+'DCF Model'!G42)*E$17/(1+$B20)^('DCF Model'!C19+4)-'DCF Model'!C16)*1000000/'DCF Model'!C15,0),"")</f>
        <v>3640</v>
      </c>
      <c r="F20" s="37">
        <f>IFERROR(ROUND(('DCF Model'!C45/(1+$B20)^('DCF Model'!C19+0)+'DCF Model'!D45/(1+$B20)^('DCF Model'!C19+1)+'DCF Model'!E45/(1+$B20)^('DCF Model'!C19+2)+'DCF Model'!F45/(1+$B20)^('DCF Model'!C19+3)+'DCF Model'!G45/(1+$B20)^('DCF Model'!C19+4)+('DCF Model'!G39+'DCF Model'!G42)*F$17/(1+$B20)^('DCF Model'!C19+4)-'DCF Model'!C16)*1000000/'DCF Model'!C15,0),"")</f>
        <v>3804</v>
      </c>
      <c r="G20" s="37">
        <f>IFERROR(ROUND(('DCF Model'!C45/(1+$B20)^('DCF Model'!C19+0)+'DCF Model'!D45/(1+$B20)^('DCF Model'!C19+1)+'DCF Model'!E45/(1+$B20)^('DCF Model'!C19+2)+'DCF Model'!F45/(1+$B20)^('DCF Model'!C19+3)+'DCF Model'!G45/(1+$B20)^('DCF Model'!C19+4)+('DCF Model'!G39+'DCF Model'!G42)*G$17/(1+$B20)^('DCF Model'!C19+4)-'DCF Model'!C16)*1000000/'DCF Model'!C15,0),"")</f>
        <v>3968</v>
      </c>
      <c r="H20" s="37">
        <f>IFERROR(ROUND(('DCF Model'!C45/(1+$B20)^('DCF Model'!C19+0)+'DCF Model'!D45/(1+$B20)^('DCF Model'!C19+1)+'DCF Model'!E45/(1+$B20)^('DCF Model'!C19+2)+'DCF Model'!F45/(1+$B20)^('DCF Model'!C19+3)+'DCF Model'!G45/(1+$B20)^('DCF Model'!C19+4)+('DCF Model'!G39+'DCF Model'!G42)*H$17/(1+$B20)^('DCF Model'!C19+4)-'DCF Model'!C16)*1000000/'DCF Model'!C15,0),"")</f>
        <v>4132</v>
      </c>
      <c r="I20" s="37">
        <f>IFERROR(ROUND(('DCF Model'!C45/(1+$B20)^('DCF Model'!C19+0)+'DCF Model'!D45/(1+$B20)^('DCF Model'!C19+1)+'DCF Model'!E45/(1+$B20)^('DCF Model'!C19+2)+'DCF Model'!F45/(1+$B20)^('DCF Model'!C19+3)+'DCF Model'!G45/(1+$B20)^('DCF Model'!C19+4)+('DCF Model'!G39+'DCF Model'!G42)*I$17/(1+$B20)^('DCF Model'!C19+4)-'DCF Model'!C16)*1000000/'DCF Model'!C15,0),"")</f>
        <v>4295</v>
      </c>
    </row>
    <row r="21" spans="2:9" ht="13.5" customHeight="1" x14ac:dyDescent="0.25">
      <c r="B21" s="39">
        <f>$C$3</f>
        <v>0.13278000000000001</v>
      </c>
      <c r="C21" s="37">
        <f>IFERROR(ROUND(('DCF Model'!C45/(1+$B21)^('DCF Model'!C19+0)+'DCF Model'!D45/(1+$B21)^('DCF Model'!C19+1)+'DCF Model'!E45/(1+$B21)^('DCF Model'!C19+2)+'DCF Model'!F45/(1+$B21)^('DCF Model'!C19+3)+'DCF Model'!G45/(1+$B21)^('DCF Model'!C19+4)+('DCF Model'!G39+'DCF Model'!G42)*C$17/(1+$B21)^('DCF Model'!C19+4)-'DCF Model'!C16)*1000000/'DCF Model'!C15,0),"")</f>
        <v>3260</v>
      </c>
      <c r="D21" s="37">
        <f>IFERROR(ROUND(('DCF Model'!C45/(1+$B21)^('DCF Model'!C19+0)+'DCF Model'!D45/(1+$B21)^('DCF Model'!C19+1)+'DCF Model'!E45/(1+$B21)^('DCF Model'!C19+2)+'DCF Model'!F45/(1+$B21)^('DCF Model'!C19+3)+'DCF Model'!G45/(1+$B21)^('DCF Model'!C19+4)+('DCF Model'!G39+'DCF Model'!G42)*D$17/(1+$B21)^('DCF Model'!C19+4)-'DCF Model'!C16)*1000000/'DCF Model'!C15,0),"")</f>
        <v>3421</v>
      </c>
      <c r="E21" s="37">
        <f>IFERROR(ROUND(('DCF Model'!C45/(1+$B21)^('DCF Model'!C19+0)+'DCF Model'!D45/(1+$B21)^('DCF Model'!C19+1)+'DCF Model'!E45/(1+$B21)^('DCF Model'!C19+2)+'DCF Model'!F45/(1+$B21)^('DCF Model'!C19+3)+'DCF Model'!G45/(1+$B21)^('DCF Model'!C19+4)+('DCF Model'!G39+'DCF Model'!G42)*E$17/(1+$B21)^('DCF Model'!C19+4)-'DCF Model'!C16)*1000000/'DCF Model'!C15,0),"")</f>
        <v>3581</v>
      </c>
      <c r="F21" s="37">
        <f>IFERROR(ROUND(('DCF Model'!C45/(1+$B21)^('DCF Model'!C19+0)+'DCF Model'!D45/(1+$B21)^('DCF Model'!C19+1)+'DCF Model'!E45/(1+$B21)^('DCF Model'!C19+2)+'DCF Model'!F45/(1+$B21)^('DCF Model'!C19+3)+'DCF Model'!G45/(1+$B21)^('DCF Model'!C19+4)+('DCF Model'!G39+'DCF Model'!G42)*F$17/(1+$B21)^('DCF Model'!C19+4)-'DCF Model'!C16)*1000000/'DCF Model'!C15,0),"")</f>
        <v>3741</v>
      </c>
      <c r="G21" s="37">
        <f>IFERROR(ROUND(('DCF Model'!C45/(1+$B21)^('DCF Model'!C19+0)+'DCF Model'!D45/(1+$B21)^('DCF Model'!C19+1)+'DCF Model'!E45/(1+$B21)^('DCF Model'!C19+2)+'DCF Model'!F45/(1+$B21)^('DCF Model'!C19+3)+'DCF Model'!G45/(1+$B21)^('DCF Model'!C19+4)+('DCF Model'!G39+'DCF Model'!G42)*G$17/(1+$B21)^('DCF Model'!C19+4)-'DCF Model'!C16)*1000000/'DCF Model'!C15,0),"")</f>
        <v>3902</v>
      </c>
      <c r="H21" s="37">
        <f>IFERROR(ROUND(('DCF Model'!C45/(1+$B21)^('DCF Model'!C19+0)+'DCF Model'!D45/(1+$B21)^('DCF Model'!C19+1)+'DCF Model'!E45/(1+$B21)^('DCF Model'!C19+2)+'DCF Model'!F45/(1+$B21)^('DCF Model'!C19+3)+'DCF Model'!G45/(1+$B21)^('DCF Model'!C19+4)+('DCF Model'!G39+'DCF Model'!G42)*H$17/(1+$B21)^('DCF Model'!C19+4)-'DCF Model'!C16)*1000000/'DCF Model'!C15,0),"")</f>
        <v>4062</v>
      </c>
      <c r="I21" s="37">
        <f>IFERROR(ROUND(('DCF Model'!C45/(1+$B21)^('DCF Model'!C19+0)+'DCF Model'!D45/(1+$B21)^('DCF Model'!C19+1)+'DCF Model'!E45/(1+$B21)^('DCF Model'!C19+2)+'DCF Model'!F45/(1+$B21)^('DCF Model'!C19+3)+'DCF Model'!G45/(1+$B21)^('DCF Model'!C19+4)+('DCF Model'!G39+'DCF Model'!G42)*I$17/(1+$B21)^('DCF Model'!C19+4)-'DCF Model'!C16)*1000000/'DCF Model'!C15,0),"")</f>
        <v>4223</v>
      </c>
    </row>
    <row r="22" spans="2:9" ht="13.5" customHeight="1" x14ac:dyDescent="0.25">
      <c r="B22" s="39">
        <f>$C$3+0.005</f>
        <v>0.13778000000000001</v>
      </c>
      <c r="C22" s="37">
        <f>IFERROR(ROUND(('DCF Model'!C45/(1+$B22)^('DCF Model'!C19+0)+'DCF Model'!D45/(1+$B22)^('DCF Model'!C19+1)+'DCF Model'!E45/(1+$B22)^('DCF Model'!C19+2)+'DCF Model'!F45/(1+$B22)^('DCF Model'!C19+3)+'DCF Model'!G45/(1+$B22)^('DCF Model'!C19+4)+('DCF Model'!G39+'DCF Model'!G42)*C$17/(1+$B22)^('DCF Model'!C19+4)-'DCF Model'!C16)*1000000/'DCF Model'!C15,0),"")</f>
        <v>3210</v>
      </c>
      <c r="D22" s="37">
        <f>IFERROR(ROUND(('DCF Model'!C45/(1+$B22)^('DCF Model'!C19+0)+'DCF Model'!D45/(1+$B22)^('DCF Model'!C19+1)+'DCF Model'!E45/(1+$B22)^('DCF Model'!C19+2)+'DCF Model'!F45/(1+$B22)^('DCF Model'!C19+3)+'DCF Model'!G45/(1+$B22)^('DCF Model'!C19+4)+('DCF Model'!G39+'DCF Model'!G42)*D$17/(1+$B22)^('DCF Model'!C19+4)-'DCF Model'!C16)*1000000/'DCF Model'!C15,0),"")</f>
        <v>3367</v>
      </c>
      <c r="E22" s="37">
        <f>IFERROR(ROUND(('DCF Model'!C45/(1+$B22)^('DCF Model'!C19+0)+'DCF Model'!D45/(1+$B22)^('DCF Model'!C19+1)+'DCF Model'!E45/(1+$B22)^('DCF Model'!C19+2)+'DCF Model'!F45/(1+$B22)^('DCF Model'!C19+3)+'DCF Model'!G45/(1+$B22)^('DCF Model'!C19+4)+('DCF Model'!G39+'DCF Model'!G42)*E$17/(1+$B22)^('DCF Model'!C19+4)-'DCF Model'!C16)*1000000/'DCF Model'!C15,0),"")</f>
        <v>3524</v>
      </c>
      <c r="F22" s="37">
        <f>IFERROR(ROUND(('DCF Model'!C45/(1+$B22)^('DCF Model'!C19+0)+'DCF Model'!D45/(1+$B22)^('DCF Model'!C19+1)+'DCF Model'!E45/(1+$B22)^('DCF Model'!C19+2)+'DCF Model'!F45/(1+$B22)^('DCF Model'!C19+3)+'DCF Model'!G45/(1+$B22)^('DCF Model'!C19+4)+('DCF Model'!G39+'DCF Model'!G42)*F$17/(1+$B22)^('DCF Model'!C19+4)-'DCF Model'!C16)*1000000/'DCF Model'!C15,0),"")</f>
        <v>3681</v>
      </c>
      <c r="G22" s="37">
        <f>IFERROR(ROUND(('DCF Model'!C45/(1+$B22)^('DCF Model'!C19+0)+'DCF Model'!D45/(1+$B22)^('DCF Model'!C19+1)+'DCF Model'!E45/(1+$B22)^('DCF Model'!C19+2)+'DCF Model'!F45/(1+$B22)^('DCF Model'!C19+3)+'DCF Model'!G45/(1+$B22)^('DCF Model'!C19+4)+('DCF Model'!G39+'DCF Model'!G42)*G$17/(1+$B22)^('DCF Model'!C19+4)-'DCF Model'!C16)*1000000/'DCF Model'!C15,0),"")</f>
        <v>3838</v>
      </c>
      <c r="H22" s="37">
        <f>IFERROR(ROUND(('DCF Model'!C45/(1+$B22)^('DCF Model'!C19+0)+'DCF Model'!D45/(1+$B22)^('DCF Model'!C19+1)+'DCF Model'!E45/(1+$B22)^('DCF Model'!C19+2)+'DCF Model'!F45/(1+$B22)^('DCF Model'!C19+3)+'DCF Model'!G45/(1+$B22)^('DCF Model'!C19+4)+('DCF Model'!G39+'DCF Model'!G42)*H$17/(1+$B22)^('DCF Model'!C19+4)-'DCF Model'!C16)*1000000/'DCF Model'!C15,0),"")</f>
        <v>3995</v>
      </c>
      <c r="I22" s="37">
        <f>IFERROR(ROUND(('DCF Model'!C45/(1+$B22)^('DCF Model'!C19+0)+'DCF Model'!D45/(1+$B22)^('DCF Model'!C19+1)+'DCF Model'!E45/(1+$B22)^('DCF Model'!C19+2)+'DCF Model'!F45/(1+$B22)^('DCF Model'!C19+3)+'DCF Model'!G45/(1+$B22)^('DCF Model'!C19+4)+('DCF Model'!G39+'DCF Model'!G42)*I$17/(1+$B22)^('DCF Model'!C19+4)-'DCF Model'!C16)*1000000/'DCF Model'!C15,0),"")</f>
        <v>4151</v>
      </c>
    </row>
    <row r="23" spans="2:9" ht="13.5" customHeight="1" x14ac:dyDescent="0.25">
      <c r="B23" s="39">
        <f>$C$3+0.01</f>
        <v>0.14278000000000002</v>
      </c>
      <c r="C23" s="37">
        <f>IFERROR(ROUND(('DCF Model'!C45/(1+$B23)^('DCF Model'!C19+0)+'DCF Model'!D45/(1+$B23)^('DCF Model'!C19+1)+'DCF Model'!E45/(1+$B23)^('DCF Model'!C19+2)+'DCF Model'!F45/(1+$B23)^('DCF Model'!C19+3)+'DCF Model'!G45/(1+$B23)^('DCF Model'!C19+4)+('DCF Model'!G39+'DCF Model'!G42)*C$17/(1+$B23)^('DCF Model'!C19+4)-'DCF Model'!C16)*1000000/'DCF Model'!C15,0),"")</f>
        <v>3161</v>
      </c>
      <c r="D23" s="37">
        <f>IFERROR(ROUND(('DCF Model'!C45/(1+$B23)^('DCF Model'!C19+0)+'DCF Model'!D45/(1+$B23)^('DCF Model'!C19+1)+'DCF Model'!E45/(1+$B23)^('DCF Model'!C19+2)+'DCF Model'!F45/(1+$B23)^('DCF Model'!C19+3)+'DCF Model'!G45/(1+$B23)^('DCF Model'!C19+4)+('DCF Model'!G39+'DCF Model'!G42)*D$17/(1+$B23)^('DCF Model'!C19+4)-'DCF Model'!C16)*1000000/'DCF Model'!C15,0),"")</f>
        <v>3315</v>
      </c>
      <c r="E23" s="37">
        <f>IFERROR(ROUND(('DCF Model'!C45/(1+$B23)^('DCF Model'!C19+0)+'DCF Model'!D45/(1+$B23)^('DCF Model'!C19+1)+'DCF Model'!E45/(1+$B23)^('DCF Model'!C19+2)+'DCF Model'!F45/(1+$B23)^('DCF Model'!C19+3)+'DCF Model'!G45/(1+$B23)^('DCF Model'!C19+4)+('DCF Model'!G39+'DCF Model'!G42)*E$17/(1+$B23)^('DCF Model'!C19+4)-'DCF Model'!C16)*1000000/'DCF Model'!C15,0),"")</f>
        <v>3468</v>
      </c>
      <c r="F23" s="37">
        <f>IFERROR(ROUND(('DCF Model'!C45/(1+$B23)^('DCF Model'!C19+0)+'DCF Model'!D45/(1+$B23)^('DCF Model'!C19+1)+'DCF Model'!E45/(1+$B23)^('DCF Model'!C19+2)+'DCF Model'!F45/(1+$B23)^('DCF Model'!C19+3)+'DCF Model'!G45/(1+$B23)^('DCF Model'!C19+4)+('DCF Model'!G39+'DCF Model'!G42)*F$17/(1+$B23)^('DCF Model'!C19+4)-'DCF Model'!C16)*1000000/'DCF Model'!C15,0),"")</f>
        <v>3622</v>
      </c>
      <c r="G23" s="37">
        <f>IFERROR(ROUND(('DCF Model'!C45/(1+$B23)^('DCF Model'!C19+0)+'DCF Model'!D45/(1+$B23)^('DCF Model'!C19+1)+'DCF Model'!E45/(1+$B23)^('DCF Model'!C19+2)+'DCF Model'!F45/(1+$B23)^('DCF Model'!C19+3)+'DCF Model'!G45/(1+$B23)^('DCF Model'!C19+4)+('DCF Model'!G39+'DCF Model'!G42)*G$17/(1+$B23)^('DCF Model'!C19+4)-'DCF Model'!C16)*1000000/'DCF Model'!C15,0),"")</f>
        <v>3775</v>
      </c>
      <c r="H23" s="37">
        <f>IFERROR(ROUND(('DCF Model'!C45/(1+$B23)^('DCF Model'!C19+0)+'DCF Model'!D45/(1+$B23)^('DCF Model'!C19+1)+'DCF Model'!E45/(1+$B23)^('DCF Model'!C19+2)+'DCF Model'!F45/(1+$B23)^('DCF Model'!C19+3)+'DCF Model'!G45/(1+$B23)^('DCF Model'!C19+4)+('DCF Model'!G39+'DCF Model'!G42)*H$17/(1+$B23)^('DCF Model'!C19+4)-'DCF Model'!C16)*1000000/'DCF Model'!C15,0),"")</f>
        <v>3929</v>
      </c>
      <c r="I23" s="37">
        <f>IFERROR(ROUND(('DCF Model'!C45/(1+$B23)^('DCF Model'!C19+0)+'DCF Model'!D45/(1+$B23)^('DCF Model'!C19+1)+'DCF Model'!E45/(1+$B23)^('DCF Model'!C19+2)+'DCF Model'!F45/(1+$B23)^('DCF Model'!C19+3)+'DCF Model'!G45/(1+$B23)^('DCF Model'!C19+4)+('DCF Model'!G39+'DCF Model'!G42)*I$17/(1+$B23)^('DCF Model'!C19+4)-'DCF Model'!C16)*1000000/'DCF Model'!C15,0),"")</f>
        <v>4082</v>
      </c>
    </row>
    <row r="24" spans="2:9" ht="13.5" customHeight="1" x14ac:dyDescent="0.25">
      <c r="B24" s="39">
        <f>$C$3+0.015</f>
        <v>0.14778000000000002</v>
      </c>
      <c r="C24" s="37">
        <f>IFERROR(ROUND(('DCF Model'!C45/(1+$B24)^('DCF Model'!C19+0)+'DCF Model'!D45/(1+$B24)^('DCF Model'!C19+1)+'DCF Model'!E45/(1+$B24)^('DCF Model'!C19+2)+'DCF Model'!F45/(1+$B24)^('DCF Model'!C19+3)+'DCF Model'!G45/(1+$B24)^('DCF Model'!C19+4)+('DCF Model'!G39+'DCF Model'!G42)*C$17/(1+$B24)^('DCF Model'!C19+4)-'DCF Model'!C16)*1000000/'DCF Model'!C15,0),"")</f>
        <v>3114</v>
      </c>
      <c r="D24" s="37">
        <f>IFERROR(ROUND(('DCF Model'!C45/(1+$B24)^('DCF Model'!C19+0)+'DCF Model'!D45/(1+$B24)^('DCF Model'!C19+1)+'DCF Model'!E45/(1+$B24)^('DCF Model'!C19+2)+'DCF Model'!F45/(1+$B24)^('DCF Model'!C19+3)+'DCF Model'!G45/(1+$B24)^('DCF Model'!C19+4)+('DCF Model'!G39+'DCF Model'!G42)*D$17/(1+$B24)^('DCF Model'!C19+4)-'DCF Model'!C16)*1000000/'DCF Model'!C15,0),"")</f>
        <v>3264</v>
      </c>
      <c r="E24" s="37">
        <f>IFERROR(ROUND(('DCF Model'!C45/(1+$B24)^('DCF Model'!C19+0)+'DCF Model'!D45/(1+$B24)^('DCF Model'!C19+1)+'DCF Model'!E45/(1+$B24)^('DCF Model'!C19+2)+'DCF Model'!F45/(1+$B24)^('DCF Model'!C19+3)+'DCF Model'!G45/(1+$B24)^('DCF Model'!C19+4)+('DCF Model'!G39+'DCF Model'!G42)*E$17/(1+$B24)^('DCF Model'!C19+4)-'DCF Model'!C16)*1000000/'DCF Model'!C15,0),"")</f>
        <v>3414</v>
      </c>
      <c r="F24" s="37">
        <f>IFERROR(ROUND(('DCF Model'!C45/(1+$B24)^('DCF Model'!C19+0)+'DCF Model'!D45/(1+$B24)^('DCF Model'!C19+1)+'DCF Model'!E45/(1+$B24)^('DCF Model'!C19+2)+'DCF Model'!F45/(1+$B24)^('DCF Model'!C19+3)+'DCF Model'!G45/(1+$B24)^('DCF Model'!C19+4)+('DCF Model'!G39+'DCF Model'!G42)*F$17/(1+$B24)^('DCF Model'!C19+4)-'DCF Model'!C16)*1000000/'DCF Model'!C15,0),"")</f>
        <v>3564</v>
      </c>
      <c r="G24" s="37">
        <f>IFERROR(ROUND(('DCF Model'!C45/(1+$B24)^('DCF Model'!C19+0)+'DCF Model'!D45/(1+$B24)^('DCF Model'!C19+1)+'DCF Model'!E45/(1+$B24)^('DCF Model'!C19+2)+'DCF Model'!F45/(1+$B24)^('DCF Model'!C19+3)+'DCF Model'!G45/(1+$B24)^('DCF Model'!C19+4)+('DCF Model'!G39+'DCF Model'!G42)*G$17/(1+$B24)^('DCF Model'!C19+4)-'DCF Model'!C16)*1000000/'DCF Model'!C15,0),"")</f>
        <v>3714</v>
      </c>
      <c r="H24" s="37">
        <f>IFERROR(ROUND(('DCF Model'!C45/(1+$B24)^('DCF Model'!C19+0)+'DCF Model'!D45/(1+$B24)^('DCF Model'!C19+1)+'DCF Model'!E45/(1+$B24)^('DCF Model'!C19+2)+'DCF Model'!F45/(1+$B24)^('DCF Model'!C19+3)+'DCF Model'!G45/(1+$B24)^('DCF Model'!C19+4)+('DCF Model'!G39+'DCF Model'!G42)*H$17/(1+$B24)^('DCF Model'!C19+4)-'DCF Model'!C16)*1000000/'DCF Model'!C15,0),"")</f>
        <v>3864</v>
      </c>
      <c r="I24" s="37">
        <f>IFERROR(ROUND(('DCF Model'!C45/(1+$B24)^('DCF Model'!C19+0)+'DCF Model'!D45/(1+$B24)^('DCF Model'!C19+1)+'DCF Model'!E45/(1+$B24)^('DCF Model'!C19+2)+'DCF Model'!F45/(1+$B24)^('DCF Model'!C19+3)+'DCF Model'!G45/(1+$B24)^('DCF Model'!C19+4)+('DCF Model'!G39+'DCF Model'!G42)*I$17/(1+$B24)^('DCF Model'!C19+4)-'DCF Model'!C16)*1000000/'DCF Model'!C15,0),"")</f>
        <v>4015</v>
      </c>
    </row>
    <row r="26" spans="2:9" ht="14" customHeight="1" x14ac:dyDescent="0.3">
      <c r="B26" s="45" t="s">
        <v>237</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12" spans="2:7" ht="14" customHeight="1" x14ac:dyDescent="0.3">
      <c r="B12" s="8" t="s">
        <v>255</v>
      </c>
    </row>
    <row r="13" spans="2:7" ht="14" customHeight="1" x14ac:dyDescent="0.3">
      <c r="B13" s="10" t="s">
        <v>256</v>
      </c>
      <c r="C13" s="10" t="s">
        <v>257</v>
      </c>
    </row>
    <row r="14" spans="2:7" ht="14" customHeight="1" x14ac:dyDescent="0.3">
      <c r="B14" s="4" t="s">
        <v>258</v>
      </c>
      <c r="C14" t="s">
        <v>259</v>
      </c>
    </row>
    <row r="15" spans="2:7" ht="14" customHeight="1" x14ac:dyDescent="0.3">
      <c r="B15" s="4" t="s">
        <v>260</v>
      </c>
      <c r="C15" t="s">
        <v>261</v>
      </c>
    </row>
    <row r="16" spans="2:7" ht="14" customHeight="1" x14ac:dyDescent="0.3">
      <c r="B16" s="4" t="s">
        <v>262</v>
      </c>
      <c r="C16" t="s">
        <v>263</v>
      </c>
    </row>
    <row r="17" spans="2:3" ht="14" customHeight="1" x14ac:dyDescent="0.3">
      <c r="B17" s="4" t="s">
        <v>264</v>
      </c>
      <c r="C17" t="s">
        <v>261</v>
      </c>
    </row>
    <row r="18" spans="2:3" ht="14" customHeight="1" x14ac:dyDescent="0.3">
      <c r="B18" s="4" t="s">
        <v>265</v>
      </c>
      <c r="C18" t="s">
        <v>266</v>
      </c>
    </row>
    <row r="19" spans="2:3" ht="14" customHeight="1" x14ac:dyDescent="0.3">
      <c r="B19" s="4" t="s">
        <v>267</v>
      </c>
      <c r="C19" t="s">
        <v>268</v>
      </c>
    </row>
    <row r="20" spans="2:3" ht="14" customHeight="1" x14ac:dyDescent="0.3">
      <c r="B20" s="4" t="s">
        <v>269</v>
      </c>
      <c r="C20" t="s">
        <v>270</v>
      </c>
    </row>
    <row r="21" spans="2:3" ht="14" customHeight="1" x14ac:dyDescent="0.3">
      <c r="B21" s="4" t="s">
        <v>271</v>
      </c>
      <c r="C21" t="s">
        <v>272</v>
      </c>
    </row>
    <row r="22" spans="2:3" ht="14" customHeight="1" x14ac:dyDescent="0.3">
      <c r="B22" s="4" t="s">
        <v>273</v>
      </c>
      <c r="C22" t="s">
        <v>274</v>
      </c>
    </row>
    <row r="23" spans="2:3" ht="14" customHeight="1" x14ac:dyDescent="0.3">
      <c r="B23" s="4" t="s">
        <v>275</v>
      </c>
      <c r="C23" t="s">
        <v>4</v>
      </c>
    </row>
    <row r="24" spans="2:3" ht="14" customHeight="1" x14ac:dyDescent="0.3">
      <c r="B24" s="4" t="s">
        <v>276</v>
      </c>
      <c r="C24" t="s">
        <v>245</v>
      </c>
    </row>
    <row r="25" spans="2:3" ht="14" customHeight="1" x14ac:dyDescent="0.3">
      <c r="B25" s="4" t="s">
        <v>277</v>
      </c>
      <c r="C25" t="s">
        <v>278</v>
      </c>
    </row>
    <row r="26" spans="2:3" ht="14" customHeight="1" x14ac:dyDescent="0.3">
      <c r="B26" s="4" t="s">
        <v>279</v>
      </c>
      <c r="C26" t="s">
        <v>266</v>
      </c>
    </row>
    <row r="27" spans="2:3" ht="14" customHeight="1" x14ac:dyDescent="0.3">
      <c r="B27" s="4" t="s">
        <v>280</v>
      </c>
      <c r="C27" t="s">
        <v>266</v>
      </c>
    </row>
    <row r="28" spans="2:3" ht="14" customHeight="1" x14ac:dyDescent="0.3">
      <c r="B28" s="4" t="s">
        <v>281</v>
      </c>
      <c r="C28" t="s">
        <v>282</v>
      </c>
    </row>
    <row r="29" spans="2:3" ht="14" customHeight="1" x14ac:dyDescent="0.3">
      <c r="B29" s="4" t="s">
        <v>283</v>
      </c>
      <c r="C29" t="s">
        <v>284</v>
      </c>
    </row>
    <row r="30" spans="2:3" ht="14" customHeight="1" x14ac:dyDescent="0.3">
      <c r="B30" s="4" t="s">
        <v>285</v>
      </c>
      <c r="C30" t="s">
        <v>286</v>
      </c>
    </row>
    <row r="31" spans="2:3" ht="14" customHeight="1" x14ac:dyDescent="0.3">
      <c r="B31" s="4" t="s">
        <v>287</v>
      </c>
      <c r="C31" t="s">
        <v>282</v>
      </c>
    </row>
    <row r="32" spans="2:3" ht="14" customHeight="1" x14ac:dyDescent="0.3">
      <c r="B32" s="4" t="s">
        <v>288</v>
      </c>
      <c r="C32" t="s">
        <v>266</v>
      </c>
    </row>
    <row r="33" spans="2:3" ht="14" customHeight="1" x14ac:dyDescent="0.3">
      <c r="B33" s="4" t="s">
        <v>289</v>
      </c>
      <c r="C33" t="s">
        <v>278</v>
      </c>
    </row>
    <row r="34" spans="2:3" ht="14" customHeight="1" x14ac:dyDescent="0.3">
      <c r="B34" s="4" t="s">
        <v>290</v>
      </c>
      <c r="C34" t="s">
        <v>291</v>
      </c>
    </row>
    <row r="35" spans="2:3" ht="14" customHeight="1" x14ac:dyDescent="0.3">
      <c r="B35" s="4" t="s">
        <v>292</v>
      </c>
      <c r="C35" t="s">
        <v>293</v>
      </c>
    </row>
    <row r="36" spans="2:3" ht="14" customHeight="1" x14ac:dyDescent="0.3">
      <c r="B36" s="4" t="s">
        <v>294</v>
      </c>
      <c r="C36" t="s">
        <v>295</v>
      </c>
    </row>
    <row r="37" spans="2:3" ht="14" customHeight="1" x14ac:dyDescent="0.3">
      <c r="B37" s="4" t="s">
        <v>296</v>
      </c>
      <c r="C37" t="s">
        <v>297</v>
      </c>
    </row>
    <row r="38" spans="2:3" ht="14" customHeight="1" x14ac:dyDescent="0.3">
      <c r="B38" s="4" t="s">
        <v>298</v>
      </c>
      <c r="C38" t="s">
        <v>299</v>
      </c>
    </row>
    <row r="39" spans="2:3" ht="14" customHeight="1" x14ac:dyDescent="0.3">
      <c r="B39" s="4" t="s">
        <v>300</v>
      </c>
      <c r="C39" t="s">
        <v>301</v>
      </c>
    </row>
    <row r="40" spans="2:3" ht="14" customHeight="1" x14ac:dyDescent="0.3">
      <c r="B40" s="4" t="s">
        <v>302</v>
      </c>
      <c r="C40" t="s">
        <v>270</v>
      </c>
    </row>
    <row r="41" spans="2:3" ht="14" customHeight="1" x14ac:dyDescent="0.3">
      <c r="B41" s="4" t="s">
        <v>303</v>
      </c>
      <c r="C41" t="s">
        <v>304</v>
      </c>
    </row>
    <row r="42" spans="2:3" ht="14" customHeight="1" x14ac:dyDescent="0.3">
      <c r="B42" s="4" t="s">
        <v>305</v>
      </c>
      <c r="C42" t="s">
        <v>306</v>
      </c>
    </row>
    <row r="43" spans="2:3" ht="14" customHeight="1" x14ac:dyDescent="0.3">
      <c r="B43" s="4" t="s">
        <v>307</v>
      </c>
      <c r="C43" t="s">
        <v>308</v>
      </c>
    </row>
    <row r="44" spans="2:3" ht="14" customHeight="1" x14ac:dyDescent="0.3">
      <c r="B44" s="4" t="s">
        <v>309</v>
      </c>
      <c r="C44" t="s">
        <v>310</v>
      </c>
    </row>
    <row r="45" spans="2:3" ht="14" customHeight="1" x14ac:dyDescent="0.3">
      <c r="B45" s="4" t="s">
        <v>311</v>
      </c>
      <c r="C45" t="s">
        <v>312</v>
      </c>
    </row>
    <row r="46" spans="2:3" ht="14" customHeight="1" x14ac:dyDescent="0.3">
      <c r="B46" s="4" t="s">
        <v>313</v>
      </c>
      <c r="C46" t="s">
        <v>314</v>
      </c>
    </row>
    <row r="47" spans="2:3" ht="14" customHeight="1" x14ac:dyDescent="0.3">
      <c r="B47" s="4" t="s">
        <v>315</v>
      </c>
      <c r="C47" t="s">
        <v>316</v>
      </c>
    </row>
    <row r="48" spans="2:3" ht="14" customHeight="1" x14ac:dyDescent="0.3">
      <c r="B48" s="4" t="s">
        <v>317</v>
      </c>
      <c r="C48" t="s">
        <v>318</v>
      </c>
    </row>
    <row r="49" spans="2:3" ht="14" customHeight="1" x14ac:dyDescent="0.3">
      <c r="B49" s="4" t="s">
        <v>319</v>
      </c>
      <c r="C49" t="s">
        <v>320</v>
      </c>
    </row>
    <row r="50" spans="2:3" ht="14" customHeight="1" x14ac:dyDescent="0.3">
      <c r="B50" s="4" t="s">
        <v>321</v>
      </c>
      <c r="C50" t="s">
        <v>322</v>
      </c>
    </row>
    <row r="51" spans="2:3" ht="14" customHeight="1" x14ac:dyDescent="0.3">
      <c r="B51" s="4" t="s">
        <v>323</v>
      </c>
      <c r="C51" t="s">
        <v>324</v>
      </c>
    </row>
    <row r="52" spans="2:3" ht="14" customHeight="1" x14ac:dyDescent="0.3">
      <c r="B52" s="4" t="s">
        <v>325</v>
      </c>
      <c r="C52" t="s">
        <v>326</v>
      </c>
    </row>
    <row r="53" spans="2:3" ht="14" customHeight="1" x14ac:dyDescent="0.3">
      <c r="B53" s="4" t="s">
        <v>327</v>
      </c>
      <c r="C53" t="s">
        <v>328</v>
      </c>
    </row>
    <row r="54" spans="2:3" ht="14" customHeight="1" x14ac:dyDescent="0.3">
      <c r="B54" s="4" t="s">
        <v>329</v>
      </c>
      <c r="C54" t="s">
        <v>330</v>
      </c>
    </row>
    <row r="55" spans="2:3" ht="14" customHeight="1" x14ac:dyDescent="0.3">
      <c r="B55" s="4" t="s">
        <v>331</v>
      </c>
      <c r="C55" t="s">
        <v>332</v>
      </c>
    </row>
    <row r="56" spans="2:3" ht="14" customHeight="1" x14ac:dyDescent="0.3">
      <c r="B56" s="4" t="s">
        <v>333</v>
      </c>
      <c r="C56" t="s">
        <v>334</v>
      </c>
    </row>
    <row r="57" spans="2:3" ht="14" customHeight="1" x14ac:dyDescent="0.3">
      <c r="B57" s="4" t="s">
        <v>335</v>
      </c>
      <c r="C57" t="s">
        <v>336</v>
      </c>
    </row>
    <row r="58" spans="2:3" ht="14" customHeight="1" x14ac:dyDescent="0.3">
      <c r="B58" s="4" t="s">
        <v>337</v>
      </c>
      <c r="C58" t="s">
        <v>338</v>
      </c>
    </row>
    <row r="59" spans="2:3" ht="14" customHeight="1" x14ac:dyDescent="0.3">
      <c r="B59" s="4" t="s">
        <v>339</v>
      </c>
      <c r="C59" t="s">
        <v>340</v>
      </c>
    </row>
    <row r="60" spans="2:3" ht="14" customHeight="1" x14ac:dyDescent="0.3">
      <c r="B60" s="4" t="s">
        <v>341</v>
      </c>
      <c r="C60"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2026-09-06T10:21:04Z</dcterms:created>
  <dcterms:modified xsi:type="dcterms:W3CDTF">2026-09-06T10:46:39Z</dcterms:modified>
</cp:coreProperties>
</file>