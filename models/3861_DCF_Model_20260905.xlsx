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97DAF919-6949-4A0D-9EC8-0EF322625F40}" xr6:coauthVersionLast="47" xr6:coauthVersionMax="47" xr10:uidLastSave="{00000000-0000-0000-0000-000000000000}"/>
  <bookViews>
    <workbookView xWindow="-110" yWindow="-110" windowWidth="19420" windowHeight="10300" firstSheet="2" activeTab="5"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D16" i="6" s="1"/>
  <c r="O7" i="6"/>
  <c r="N7" i="6"/>
  <c r="M7" i="6"/>
  <c r="L7" i="6"/>
  <c r="K7" i="6"/>
  <c r="J7" i="6"/>
  <c r="O6" i="6"/>
  <c r="I17" i="6" s="1"/>
  <c r="N6" i="6"/>
  <c r="H15" i="6" s="1"/>
  <c r="M6" i="6"/>
  <c r="L6" i="6"/>
  <c r="K6" i="6"/>
  <c r="J6" i="6"/>
  <c r="O5" i="6"/>
  <c r="N5" i="6"/>
  <c r="M5" i="6"/>
  <c r="L5" i="6"/>
  <c r="D5" i="6"/>
  <c r="E5" i="6" s="1"/>
  <c r="J5" i="6" s="1"/>
  <c r="C16" i="5"/>
  <c r="C14" i="5"/>
  <c r="C18" i="5" s="1"/>
  <c r="C7" i="5"/>
  <c r="C6" i="5"/>
  <c r="C5" i="5"/>
  <c r="C13" i="4"/>
  <c r="C12" i="4"/>
  <c r="C9" i="4"/>
  <c r="C7" i="4"/>
  <c r="C6" i="4"/>
  <c r="C8" i="4" s="1"/>
  <c r="C10" i="4" s="1"/>
  <c r="D27" i="3"/>
  <c r="G5" i="5" s="1"/>
  <c r="C25" i="3"/>
  <c r="C24" i="3"/>
  <c r="C23" i="3"/>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F8" i="2"/>
  <c r="F9" i="2" s="1"/>
  <c r="E8" i="2"/>
  <c r="E9" i="2" s="1"/>
  <c r="D8" i="2"/>
  <c r="D9" i="2" s="1"/>
  <c r="C8" i="2"/>
  <c r="C9" i="2" s="1"/>
  <c r="C10" i="1"/>
  <c r="C12" i="1" s="1"/>
  <c r="C11" i="1" s="1"/>
  <c r="E15" i="6" l="1"/>
  <c r="G15" i="6"/>
  <c r="I16" i="6"/>
  <c r="F15" i="6"/>
  <c r="C26" i="3"/>
  <c r="C11" i="4" s="1"/>
  <c r="C24" i="4" s="1"/>
  <c r="C25" i="4" s="1"/>
  <c r="D17" i="6"/>
  <c r="G16" i="6"/>
  <c r="C3" i="7"/>
  <c r="G36" i="4"/>
  <c r="E46" i="3"/>
  <c r="D46" i="3"/>
  <c r="C46" i="3"/>
  <c r="C71" i="4"/>
  <c r="C70" i="4"/>
  <c r="C27" i="6"/>
  <c r="C18" i="1" s="1"/>
  <c r="D18" i="1" s="1"/>
  <c r="C74" i="4"/>
  <c r="H6" i="5"/>
  <c r="C30" i="3"/>
  <c r="C33" i="3" s="1"/>
  <c r="F31" i="3"/>
  <c r="H5" i="5"/>
  <c r="D7" i="5"/>
  <c r="K5" i="6"/>
  <c r="I15" i="6"/>
  <c r="E17" i="6"/>
  <c r="I6" i="7"/>
  <c r="F32" i="3"/>
  <c r="D31" i="3"/>
  <c r="F17" i="6"/>
  <c r="C17" i="7"/>
  <c r="G32" i="3"/>
  <c r="D30" i="3"/>
  <c r="E7" i="5"/>
  <c r="E30" i="3"/>
  <c r="C32" i="3"/>
  <c r="D6" i="5"/>
  <c r="F7" i="5"/>
  <c r="E16" i="6"/>
  <c r="G17" i="6"/>
  <c r="C6" i="7"/>
  <c r="D17" i="7"/>
  <c r="C31" i="3"/>
  <c r="G31" i="3"/>
  <c r="F30" i="3"/>
  <c r="D32" i="3"/>
  <c r="E6" i="5"/>
  <c r="G7" i="5"/>
  <c r="D15" i="6"/>
  <c r="F16" i="6"/>
  <c r="C28" i="6" s="1"/>
  <c r="C19" i="1" s="1"/>
  <c r="D19" i="1" s="1"/>
  <c r="H17" i="6"/>
  <c r="D6" i="7"/>
  <c r="E17" i="7"/>
  <c r="G30" i="3"/>
  <c r="E32" i="3"/>
  <c r="D5" i="5"/>
  <c r="F6" i="5"/>
  <c r="H7" i="5"/>
  <c r="E6" i="7"/>
  <c r="F17" i="7"/>
  <c r="E5" i="5"/>
  <c r="G6" i="5"/>
  <c r="H16" i="6"/>
  <c r="F6" i="7"/>
  <c r="G17" i="7"/>
  <c r="F5" i="5"/>
  <c r="G6" i="7"/>
  <c r="H17" i="7"/>
  <c r="E31" i="3"/>
  <c r="D36" i="4" l="1"/>
  <c r="E36" i="4"/>
  <c r="E40" i="4" s="1"/>
  <c r="E50" i="4" s="1"/>
  <c r="E55" i="4" s="1"/>
  <c r="F36" i="4"/>
  <c r="H36" i="4"/>
  <c r="G46" i="3"/>
  <c r="F46" i="3"/>
  <c r="C29" i="4"/>
  <c r="C27" i="4"/>
  <c r="C26" i="4"/>
  <c r="D9" i="5"/>
  <c r="D12" i="5" s="1"/>
  <c r="C42" i="3"/>
  <c r="C34" i="3"/>
  <c r="D10" i="5" s="1"/>
  <c r="C37" i="3"/>
  <c r="D33" i="3"/>
  <c r="D45" i="4"/>
  <c r="D43" i="4"/>
  <c r="D46" i="4"/>
  <c r="D40" i="4"/>
  <c r="D44" i="4"/>
  <c r="D38" i="4"/>
  <c r="D41" i="4"/>
  <c r="D39" i="4"/>
  <c r="D49" i="4" s="1"/>
  <c r="D54" i="4" s="1"/>
  <c r="E39" i="4"/>
  <c r="E46" i="4"/>
  <c r="E44" i="4"/>
  <c r="E38" i="4"/>
  <c r="E41" i="4"/>
  <c r="E45" i="4"/>
  <c r="E43" i="4"/>
  <c r="G46" i="4"/>
  <c r="G40" i="4"/>
  <c r="G50" i="4" s="1"/>
  <c r="G55" i="4" s="1"/>
  <c r="G44" i="4"/>
  <c r="G38" i="4"/>
  <c r="G41" i="4"/>
  <c r="G39" i="4"/>
  <c r="G49" i="4" s="1"/>
  <c r="G54" i="4" s="1"/>
  <c r="G45" i="4"/>
  <c r="G43" i="4"/>
  <c r="B13" i="7"/>
  <c r="B12" i="7"/>
  <c r="B11" i="7"/>
  <c r="B10" i="7"/>
  <c r="B9" i="7"/>
  <c r="B8" i="7"/>
  <c r="B7" i="7"/>
  <c r="B24" i="7"/>
  <c r="B23" i="7"/>
  <c r="B22" i="7"/>
  <c r="B21" i="7"/>
  <c r="B20" i="7"/>
  <c r="B19" i="7"/>
  <c r="B18" i="7"/>
  <c r="F43" i="4"/>
  <c r="F40" i="4"/>
  <c r="F44" i="4"/>
  <c r="F38" i="4"/>
  <c r="F48" i="4" s="1"/>
  <c r="F53" i="4" s="1"/>
  <c r="F41" i="4"/>
  <c r="F45" i="4"/>
  <c r="F46" i="4"/>
  <c r="F39" i="4"/>
  <c r="H40" i="4"/>
  <c r="H38" i="4"/>
  <c r="H41" i="4"/>
  <c r="H45" i="4"/>
  <c r="H43" i="4"/>
  <c r="H39" i="4"/>
  <c r="H49" i="4" s="1"/>
  <c r="H54" i="4" s="1"/>
  <c r="H44" i="4"/>
  <c r="H46" i="4"/>
  <c r="G48" i="4" l="1"/>
  <c r="G53" i="4" s="1"/>
  <c r="D50" i="4"/>
  <c r="D55" i="4" s="1"/>
  <c r="F49" i="4"/>
  <c r="F54" i="4" s="1"/>
  <c r="B78" i="4" s="1"/>
  <c r="F51" i="4"/>
  <c r="F56" i="4" s="1"/>
  <c r="E49" i="4"/>
  <c r="E54" i="4" s="1"/>
  <c r="H48" i="4"/>
  <c r="H53" i="4" s="1"/>
  <c r="D37" i="3"/>
  <c r="E33" i="3"/>
  <c r="D34" i="3"/>
  <c r="E10" i="5" s="1"/>
  <c r="D42" i="3"/>
  <c r="E9" i="5"/>
  <c r="E12" i="5" s="1"/>
  <c r="H51" i="4"/>
  <c r="H56" i="4" s="1"/>
  <c r="F50" i="4"/>
  <c r="F55" i="4" s="1"/>
  <c r="H50" i="4"/>
  <c r="H55" i="4" s="1"/>
  <c r="D51" i="4"/>
  <c r="D56" i="4" s="1"/>
  <c r="C35" i="3"/>
  <c r="C60" i="4"/>
  <c r="E51" i="4"/>
  <c r="E56" i="4" s="1"/>
  <c r="D48" i="4"/>
  <c r="D53" i="4" s="1"/>
  <c r="G51" i="4"/>
  <c r="G56" i="4" s="1"/>
  <c r="E48" i="4"/>
  <c r="E53" i="4" s="1"/>
  <c r="D15" i="5"/>
  <c r="D16" i="5" s="1"/>
  <c r="D13" i="5"/>
  <c r="D14" i="5" s="1"/>
  <c r="D18" i="5" s="1"/>
  <c r="D19" i="5" s="1"/>
  <c r="C44" i="3" s="1"/>
  <c r="F9" i="5" l="1"/>
  <c r="F12" i="5" s="1"/>
  <c r="E34" i="3"/>
  <c r="F10" i="5" s="1"/>
  <c r="E37" i="3"/>
  <c r="F33" i="3"/>
  <c r="E42" i="3"/>
  <c r="D35" i="3"/>
  <c r="C38" i="3"/>
  <c r="C36" i="3"/>
  <c r="C39" i="3"/>
  <c r="E13" i="5"/>
  <c r="E15" i="5"/>
  <c r="E16" i="5" s="1"/>
  <c r="C65" i="4"/>
  <c r="D65" i="4" s="1"/>
  <c r="C64" i="4"/>
  <c r="D64" i="4" s="1"/>
  <c r="C67" i="4"/>
  <c r="D67" i="4" s="1"/>
  <c r="C63" i="4"/>
  <c r="D63" i="4" s="1"/>
  <c r="C66" i="4"/>
  <c r="D66" i="4" s="1"/>
  <c r="E14" i="5"/>
  <c r="D36" i="3" l="1"/>
  <c r="D39" i="3"/>
  <c r="D38" i="3"/>
  <c r="C40" i="3"/>
  <c r="C41" i="3" s="1"/>
  <c r="C45" i="3" s="1"/>
  <c r="F15" i="5"/>
  <c r="F16" i="5" s="1"/>
  <c r="F13" i="5"/>
  <c r="F14" i="5" s="1"/>
  <c r="F18" i="5" s="1"/>
  <c r="F42" i="3"/>
  <c r="F34" i="3"/>
  <c r="G10" i="5" s="1"/>
  <c r="G33" i="3"/>
  <c r="F37" i="3"/>
  <c r="G9" i="5"/>
  <c r="G12" i="5" s="1"/>
  <c r="E35" i="3"/>
  <c r="E18" i="5"/>
  <c r="E19" i="5" s="1"/>
  <c r="D44" i="3" s="1"/>
  <c r="F19" i="5" l="1"/>
  <c r="E44" i="3" s="1"/>
  <c r="F35" i="3"/>
  <c r="C47" i="3"/>
  <c r="E39" i="3"/>
  <c r="E38" i="3"/>
  <c r="E36" i="3"/>
  <c r="G37" i="3"/>
  <c r="C16" i="4"/>
  <c r="C28" i="4" s="1"/>
  <c r="H9" i="5"/>
  <c r="H12" i="5" s="1"/>
  <c r="G42" i="3"/>
  <c r="G34" i="3"/>
  <c r="H10" i="5" s="1"/>
  <c r="F38" i="3"/>
  <c r="F36" i="3"/>
  <c r="F39" i="3"/>
  <c r="G13" i="5"/>
  <c r="G14" i="5" s="1"/>
  <c r="G18" i="5" s="1"/>
  <c r="G19" i="5" s="1"/>
  <c r="F44" i="3" s="1"/>
  <c r="G15" i="5"/>
  <c r="G16" i="5" s="1"/>
  <c r="D40" i="3"/>
  <c r="D41" i="3" s="1"/>
  <c r="D45" i="3" s="1"/>
  <c r="D47" i="3" s="1"/>
  <c r="E40" i="3" l="1"/>
  <c r="E41" i="3" s="1"/>
  <c r="E45" i="3" s="1"/>
  <c r="F40" i="3"/>
  <c r="F41" i="3" s="1"/>
  <c r="F45" i="3" s="1"/>
  <c r="F47" i="3" s="1"/>
  <c r="G35" i="3"/>
  <c r="H15" i="5"/>
  <c r="H16" i="5" s="1"/>
  <c r="H13" i="5"/>
  <c r="H14" i="5" s="1"/>
  <c r="H18" i="5" s="1"/>
  <c r="H19" i="5" s="1"/>
  <c r="G44" i="3" s="1"/>
  <c r="C72" i="4"/>
  <c r="C73" i="4"/>
  <c r="E47" i="3" l="1"/>
  <c r="G38" i="3"/>
  <c r="G39" i="3"/>
  <c r="G36" i="3"/>
  <c r="C59" i="3" l="1"/>
  <c r="C60" i="3" s="1"/>
  <c r="C61" i="3" s="1"/>
  <c r="G40" i="3"/>
  <c r="G41" i="3" s="1"/>
  <c r="G45" i="3" s="1"/>
  <c r="G47" i="3" l="1"/>
  <c r="C50" i="3" s="1"/>
  <c r="C51" i="3"/>
  <c r="C52" i="3" s="1"/>
  <c r="C19" i="7"/>
  <c r="G24" i="7"/>
  <c r="C22" i="7"/>
  <c r="I18" i="7"/>
  <c r="I7" i="7"/>
  <c r="C12" i="7"/>
  <c r="I20" i="7"/>
  <c r="F12" i="7"/>
  <c r="F10" i="7"/>
  <c r="H13" i="7"/>
  <c r="D10" i="7"/>
  <c r="F22" i="7"/>
  <c r="F20" i="7"/>
  <c r="F19" i="7"/>
  <c r="H7" i="7"/>
  <c r="E9" i="7"/>
  <c r="G9" i="7"/>
  <c r="I13" i="7"/>
  <c r="G12" i="7"/>
  <c r="E21" i="7"/>
  <c r="I19" i="7"/>
  <c r="D18" i="7"/>
  <c r="E23" i="7"/>
  <c r="F23" i="7"/>
  <c r="H10" i="7"/>
  <c r="C8" i="7"/>
  <c r="F7" i="7"/>
  <c r="G7" i="7"/>
  <c r="C10" i="7"/>
  <c r="G19" i="7"/>
  <c r="C20" i="7"/>
  <c r="G23" i="7"/>
  <c r="E7" i="7"/>
  <c r="E22" i="7"/>
  <c r="C13" i="7"/>
  <c r="D12" i="7"/>
  <c r="H9" i="7"/>
  <c r="C24" i="7"/>
  <c r="I8" i="7"/>
  <c r="D19" i="7"/>
  <c r="D9" i="7"/>
  <c r="G21" i="7"/>
  <c r="F8" i="7"/>
  <c r="G20" i="7"/>
  <c r="I22" i="7"/>
  <c r="C18" i="7"/>
  <c r="E8" i="7"/>
  <c r="D24" i="7"/>
  <c r="E19" i="7"/>
  <c r="I24" i="7"/>
  <c r="F24" i="7"/>
  <c r="H18" i="7"/>
  <c r="I9" i="7"/>
  <c r="G8" i="7"/>
  <c r="H20" i="7"/>
  <c r="F21" i="7"/>
  <c r="D8" i="7"/>
  <c r="E20" i="7"/>
  <c r="E13" i="7"/>
  <c r="H22" i="7"/>
  <c r="G10" i="7"/>
  <c r="H11" i="7"/>
  <c r="E10" i="7"/>
  <c r="E12" i="7"/>
  <c r="H12" i="7"/>
  <c r="D7" i="7"/>
  <c r="D13" i="7"/>
  <c r="C9" i="7"/>
  <c r="C7" i="7"/>
  <c r="E18" i="7"/>
  <c r="D21" i="7"/>
  <c r="D11" i="7"/>
  <c r="E11" i="7"/>
  <c r="C11" i="7"/>
  <c r="C21" i="7"/>
  <c r="H23" i="7"/>
  <c r="F13" i="7"/>
  <c r="H19" i="7"/>
  <c r="I11" i="7"/>
  <c r="I10" i="7"/>
  <c r="H21" i="7"/>
  <c r="I21" i="7"/>
  <c r="F11" i="7"/>
  <c r="I23" i="7"/>
  <c r="H8" i="7"/>
  <c r="C23" i="7"/>
  <c r="G22" i="7"/>
  <c r="E24" i="7"/>
  <c r="H24" i="7"/>
  <c r="G11" i="7"/>
  <c r="F18" i="7"/>
  <c r="F9" i="7"/>
  <c r="G13" i="7"/>
  <c r="D20" i="7"/>
  <c r="G18" i="7"/>
  <c r="D23" i="7"/>
  <c r="I12" i="7"/>
  <c r="D22" i="7"/>
  <c r="C58" i="3" l="1"/>
  <c r="C62" i="3" s="1"/>
  <c r="C53" i="3"/>
  <c r="C17" i="4" l="1"/>
  <c r="C54" i="3"/>
  <c r="C55" i="3" s="1"/>
  <c r="C16" i="1" s="1"/>
  <c r="C63" i="3"/>
  <c r="C64" i="3" s="1"/>
  <c r="C17" i="1" s="1"/>
  <c r="D17" i="1" s="1"/>
  <c r="C21" i="1" l="1"/>
  <c r="D16" i="1"/>
  <c r="C19" i="4"/>
  <c r="C20" i="4" s="1"/>
  <c r="B79" i="4" s="1"/>
</calcChain>
</file>

<file path=xl/sharedStrings.xml><?xml version="1.0" encoding="utf-8"?>
<sst xmlns="http://schemas.openxmlformats.org/spreadsheetml/2006/main" count="513" uniqueCount="400">
  <si>
    <t>DISCLAIMER: This is a sample analysis for demonstration purposes only. It does not constitute investment advice.</t>
  </si>
  <si>
    <t>王子ホールディングス (3861.T)</t>
  </si>
  <si>
    <t>Equity Research Report</t>
  </si>
  <si>
    <t>Company</t>
  </si>
  <si>
    <t>王子ホールディングス</t>
  </si>
  <si>
    <t>Ticker</t>
  </si>
  <si>
    <t>3861.T (TSE Prime)</t>
  </si>
  <si>
    <t>Sector</t>
  </si>
  <si>
    <t>パルプ・紙</t>
  </si>
  <si>
    <t>Current Price</t>
  </si>
  <si>
    <t>Target Price (DCF Mid) [判定不能 — 追補8 §AD-2]</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</si>
  <si>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</si>
  <si>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</si>
  <si>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</si>
  <si>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</si>
  <si>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</si>
  <si>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</si>
  <si>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</si>
  <si>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</si>
  <si>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</si>
  <si>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</si>
  <si>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■【追補8 §AD-2】**Target は N/A（高レバレッジにより点推定が成立しない）**とした。PGM 116円 と Exit 563円 は**株価ベースで 4.85倍**開いているが、**倍率ベースの乖離は小さく、どちらの脚も誤りではない**。原因は財務レバレッジであり、株式価値 = EV − ネットデット の構造上、**EV のわずか数%の差が株式価値では数倍に増幅される**（net_debt / EV = 0.76 &gt; 0.6）。■このためバンドテスト（追補6 §X-3）は倍率が一致しているため脚を判別できず、2脚の平均は追補5 が禁じた『どちらの世界観にも属さない中点』にしかならない。**点推定は意味を持たない**ため Target を出さない。■**要目視レビュー**。FINAL化時は負債削減の織り込み等の個別対応を行うこと。両脚の値（PGM 116円 / Exit 563円）は [参考] として残してある。</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</si>
  <si>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</si>
  <si>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</si>
  <si>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</si>
  <si>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</si>
  <si>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</si>
  <si>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</si>
  <si>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</si>
  <si>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</si>
  <si>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</si>
  <si>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王子ホールディングス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</si>
  <si>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</si>
  <si>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</si>
  <si>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</si>
  <si>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</si>
  <si>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</si>
  <si>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</si>
  <si>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</si>
  <si>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</si>
  <si>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</si>
  <si>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</si>
  <si>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</si>
  <si>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</si>
  <si>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</si>
  <si>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</si>
  <si>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</si>
  <si>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</si>
  <si>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</si>
  <si>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</si>
  <si>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</si>
  <si>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</si>
  <si>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</si>
  <si>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</si>
  <si>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</si>
  <si>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</si>
  <si>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</si>
  <si>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</si>
  <si>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</si>
  <si>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</si>
  <si>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王子ホールディングス</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</si>
  <si>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</si>
  <si>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</si>
  <si>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</si>
  <si>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</si>
  <si>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</si>
  <si>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</si>
  <si>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</si>
  <si>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</si>
  <si>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</si>
  <si>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</si>
  <si>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</si>
  <si>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</si>
  <si>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</si>
  <si>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</si>
  <si>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</si>
  <si>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</si>
  <si>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</si>
  <si>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</si>
  <si>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</si>
  <si>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</si>
  <si>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</si>
  <si>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</si>
  <si>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</si>
  <si>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</si>
  <si>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</si>
  <si>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</si>
  <si>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</si>
  <si>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</si>
  <si>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</si>
  <si>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</si>
  <si>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</si>
  <si>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</si>
  <si>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</si>
  <si>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</si>
  <si>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</si>
  <si>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</si>
  <si>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</si>
  <si>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</si>
  <si>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</si>
  <si>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</si>
  <si>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</si>
  <si>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</si>
  <si>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</si>
  <si>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</si>
  <si>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</si>
  <si>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</si>
  <si>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</si>
  <si>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</si>
  <si>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</si>
  <si>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</si>
  <si>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</si>
  <si>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</si>
  <si>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</si>
  <si>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</si>
  <si>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</si>
  <si>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</si>
  <si>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</si>
  <si>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</si>
  <si>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</si>
  <si>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</si>
  <si>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</si>
  <si>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</si>
  <si>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</si>
  <si>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</si>
  <si>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王子ホールディングス (3861.T)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</si>
  <si>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</si>
  <si>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</si>
  <si>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</si>
  <si>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</si>
  <si>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</si>
  <si>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</si>
  <si>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</si>
  <si>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</si>
  <si>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</si>
  <si>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</si>
  <si>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</si>
  <si>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</si>
  <si>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</si>
  <si>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</si>
  <si>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</si>
  <si>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</si>
  <si>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</si>
  <si>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</si>
  <si>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</si>
  <si>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</si>
  <si>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</si>
  <si>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</si>
  <si>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</si>
  <si>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</si>
  <si>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</si>
  <si>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</si>
  <si>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</si>
  <si>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</si>
  <si>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</si>
  <si>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</si>
  <si>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</si>
  <si>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</si>
  <si>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</si>
  <si>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</si>
  <si>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</si>
  <si>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</si>
  <si>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</si>
  <si>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</si>
  <si>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</si>
  <si>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</si>
  <si>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</si>
  <si>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</si>
  <si>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</si>
  <si>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</si>
  <si>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</si>
  <si>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</si>
  <si>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</si>
  <si>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</si>
  <si>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</si>
  <si>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</si>
  <si>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</si>
  <si>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王子ホールディングス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</si>
  <si>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</si>
  <si>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</si>
  <si>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</si>
  <si>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</si>
  <si>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</si>
  <si>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</si>
  <si>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</si>
  <si>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</si>
  <si>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</si>
  <si>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</si>
  <si>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</si>
  <si>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</si>
  <si>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</si>
  <si>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</si>
  <si>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</si>
  <si>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</si>
  <si>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</si>
  <si>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</si>
  <si>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</si>
  <si>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</si>
  <si>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</si>
  <si>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</si>
  <si>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</si>
  <si>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</si>
  <si>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</si>
  <si>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</si>
  <si>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</si>
  <si>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</si>
  <si>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</si>
  <si>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</si>
  <si>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</si>
  <si>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</si>
  <si>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</si>
  <si>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</si>
  <si>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Oji Holdings Corporation</t>
  </si>
  <si>
    <t>3861.T</t>
  </si>
  <si>
    <t>Nippon Paper Industries Co., Ltd.</t>
  </si>
  <si>
    <t>3863.T</t>
  </si>
  <si>
    <t>Hokuetsu Corporation</t>
  </si>
  <si>
    <t>3865.T</t>
  </si>
  <si>
    <t>Rengo Co., Ltd.</t>
  </si>
  <si>
    <t>3941.T</t>
  </si>
  <si>
    <t>Kuraray Co., Ltd.</t>
  </si>
  <si>
    <t>3405.T</t>
  </si>
  <si>
    <t>Mitsui Chemicals, Inc.</t>
  </si>
  <si>
    <t>4183.T</t>
  </si>
  <si>
    <t>Statistics</t>
  </si>
  <si>
    <t>25th Percentile</t>
  </si>
  <si>
    <t>Median (50th)</t>
  </si>
  <si>
    <t>75th Percentile</t>
  </si>
  <si>
    <t>Implied Valuation for 王子ホールディングス</t>
  </si>
  <si>
    <t>王子ホールディングス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</si>
  <si>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</si>
  <si>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</si>
  <si>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</si>
  <si>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</si>
  <si>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</si>
  <si>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</si>
  <si>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</si>
  <si>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</si>
  <si>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</si>
  <si>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</si>
  <si>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</si>
  <si>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</si>
  <si>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</si>
  <si>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</si>
  <si>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</si>
  <si>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王子ホールディングス</t>
  </si>
  <si>
    <t>日付</t>
  </si>
  <si>
    <t>セル</t>
  </si>
  <si>
    <t>変更内容</t>
  </si>
  <si>
    <t>理由</t>
  </si>
  <si>
    <t>元の値</t>
  </si>
  <si>
    <t>状態</t>
  </si>
  <si>
    <t>2026-09-06</t>
  </si>
  <si>
    <t>-</t>
  </si>
  <si>
    <t>Generated by pipeline on 2026-09-06 02:47, template rev c9b5dd9</t>
  </si>
  <si>
    <t>初期生成（手修正なし）</t>
  </si>
  <si>
    <t>generated</t>
  </si>
  <si>
    <t>2026-09-05</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</si>
  <si>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</si>
  <si>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</si>
  <si>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</si>
  <si>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</si>
  <si>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</si>
  <si>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</si>
  <si>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</si>
  <si>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</si>
  <si>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</si>
  <si>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</si>
  <si>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</si>
  <si>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</si>
  <si>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743,251百万円。■テンプレートの自動規則(&gt;=1兆円 -&gt; 0.0%、&gt;=1,000億円 -&gt; 1.5%)とは異なる値であり、明示指定で上書きしている。</t>
  </si>
  <si>
    <t>テンプレ自動値</t>
  </si>
  <si>
    <t>DCF Model!C8</t>
  </si>
  <si>
    <t>Beta = 0.60</t>
  </si>
  <si>
    <t>yfinance実測 **0.082** はクランプ下限 0.60 を下回るため、追補1 §A により **0.60 を明示指定**。テンプレの無言の 1.0 置換は回避済み。実測ベースより WACC は保守的に出る。</t>
  </si>
  <si>
    <t>yfinance実測 0.082</t>
  </si>
  <si>
    <t>設計判断(クランプ下限を採用)</t>
  </si>
  <si>
    <t>DCF Model!C6</t>
  </si>
  <si>
    <t>Effective Tax Rate = 25%</t>
  </si>
  <si>
    <t>バッチ共通の既定値(v2 §1-3)。当社の実績税負担率を個別に検証したものではない。</t>
  </si>
  <si>
    <t>テンプレ既定 30%</t>
  </si>
  <si>
    <t>推定</t>
  </si>
  <si>
    <t>DCF Model!C11</t>
  </si>
  <si>
    <t>After-tax Cost of Debt = 0.94%(実績ベース)</t>
  </si>
  <si>
    <t>支払利息 11,590百万円 ÷ 平均有利子負債 ((903,388 + 955,902)/2) から算出（validate チェック17 PASS）。■出所は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</si>
  <si>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</si>
  <si>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</si>
  <si>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</si>
  <si>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</si>
  <si>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</si>
  <si>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</si>
  <si>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</si>
  <si>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8.4x</t>
  </si>
  <si>
    <t>Peer 5社の実測EV/EBITDA中央値。 自社の現在倍率 11.36x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</si>
  <si>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</si>
  <si>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</si>
  <si>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</si>
  <si>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なし。プレスクリーン CLEAN。赤字年なし。</t>
  </si>
  <si>
    <t>DCF Model シナリオ5本</t>
  </si>
  <si>
    <t>実績OPM分布からの導出（追補7 §Y の単調性判定: **単調減少**）</t>
  </si>
  <si>
    <t>min 1.86 / p25 3.21 / med 3.97 / p75 4.45 / max 4.97。**追補7 §Y: 単調減少**（4.97 → 4.28 → 3.66 → 1.86%）。トレンド整合ルールにより Base 到達 = (直近 1.86 + 中央値 3.97)/2 = **2.91%**。■**追補5 §U のトラフ兆候にも該当**（直近 1.86% ≤ p25 3.21%）だが倍率乖離が 1.0倍以下のため §X-2 には進んでいない。Upside = max(p75 4.45, 直近+1.0pt) = **4.75%**。Downside 1 = min(p25 3.21, 直近) を下回る **1.35%**。Downside 2 は 売上 −8% + OPM 0.5〜0.8%。COGS% は直近実績 **82.6%** 固定・SGA% 逆算。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</si>
  <si>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</si>
  <si>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</si>
  <si>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</si>
  <si>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</si>
  <si>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</si>
  <si>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</si>
  <si>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76 / DIH 75 / DPO 66 日</t>
  </si>
  <si>
    <t>実績4期の平均。Downside では運転資本の悪化を織り込み DSO/DIH を延ばし DPO を縮めた。</t>
  </si>
  <si>
    <t>Comps Analysis</t>
  </si>
  <si>
    <t>Peer 5社 = 3863 日本製紙 / 3865 北越コーポレーション / 3941 レンゴー / 3405 クラレ / 4183 三井化学</t>
  </si>
  <si>
    <t>紙・パルプ・包装で事業比較可能性を優先。国内製紙は 3863 日本製紙・3865 北越・3941 レンゴーの3社に、資本集約型の素材化学2社を加えて n=5 とした。</t>
  </si>
  <si>
    <t>Executive Summary!C10 / C11 / C12（追補8 §AD-2）</t>
  </si>
  <si>
    <t>**Target = N/A（高レバレッジ・判定不能）／ 判定 N/A ／ 上振れ N/A**</t>
  </si>
  <si>
    <t>【追補8 §AD-2 の判定】**Target = N/A（高レバレッジにより点推定が成立しない）**とした。■**追補8 §AD が §X の判定条件を『倍率乖離 &gt; 3.0倍 **または** 株価乖離 &gt; 3.0倍』の OR に拡張**したことで検出された。本銘柄は **倍率乖離 1.45倍（3.0倍未満・従来は WARN すら出ない）**だが、**PGM 116円 と Exit 563円 は株価ベースで 4.85倍**開いている。■**原因は財務レバレッジであり、どちらの脚も誤りではない**。株式価値 = EV − ネットデット の構造上、net_debt 889,993 に対しモデルの株式価値が約 289,000 しかないため、**EV のわずか数%の差が株式価値では数倍に増幅される**。**net_debt / EV = 0.76 &gt; 0.6**（追補8 §AD-2 の閾値）。■**倍率が一致しているためバンドテスト（追補6 §X-3）は脚を判別できず**、2脚の平均は追補5 が禁じた『どちらの世界観にも属さない中点』にしかならない。したがって **点推定を出さない**という結論にした。■rework 前の Target 340円 は破棄した。両脚の値（PGM 116円 / Exit 563円）は [参考] として残している。■**要目視レビュー**。FINAL化時は負債削減の織り込み等の個別対応を行うこと。■**追補8 §AG の低WACC要検証にも該当**（WACC 4.09% &lt; 5%）。beta 実測 0.082 のクランプ下限 0.60 採用と高レバレッジ（D/E 1.20）の組合せで WACC が過小になりやすい領域にある。■done 59件の全走査で、この条件（倍率乖離 ≤3.0倍 かつ 株価乖離 &gt;3.0倍 かつ 未裁定）に該当したのは**本銘柄のみ**。</t>
  </si>
  <si>
    <t>PGM 116円 と Exit 563円 の2本平均 340円</t>
  </si>
  <si>
    <t>設計判断(追補8 §AD-2)・要目視レビュー</t>
  </si>
  <si>
    <t>全体(納品状態)</t>
  </si>
  <si>
    <t>本ファイルは DRAFT。_FINAL は付けない</t>
  </si>
  <si>
    <t>バッチモードでの機械生成物であり人間の検証を経ていない。FINAL化は手順書v2 §6 に従い検証後に行う。</t>
  </si>
  <si>
    <t>DRAFT</t>
  </si>
  <si>
    <t>全体(未解決)</t>
  </si>
  <si>
    <t>**⚠ 追補6 §X の判定条件をすり抜けている — 倍率乖離 1.00倍だが株価乖離は 4.85倍**</t>
  </si>
  <si>
    <t>§X は WARN 11（**PGM逆算倍率 vs 仮定Exit倍率**）の乖離でトリガーする設計だが、本銘柄の倍率乖離は 1.0倍以下で**WARN すら出ていない**。にもかかわらず **PGM 116円 と Exit 563円 は株価ベースで 4.85倍**開いており、Target 340円 は追補5/6 が禁じた『どちらの世界観にも属さない中点』そのものになっている。■**原因は財務レバレッジ**: net_debt 889,993 に対し株式価値は約 289,000（340円 × 8.49億株）。**EV のわずかな差が株式価値では何倍にも増幅される**。§X が倍率で測っているのに対し、Target を決めるのは株価であることのミスマッチ。■**本バッチ done 全59件を走査した結果、この条件（倍率乖離 ≤3.0倍 かつ 株価乖離 &gt;3.0倍 かつ 未裁定）に該当するのは本銘柄のみ**。■**§X の判定条件に『株価ベースの乖離』を加えることを提案する**（バッチレポート §20-3）。本セッションでは**ルール変更の裁定なしに独断で降格処理はしていない**。目視レビューでは両端（PGM 116円 / Exit 563円）を必ず併せて見ること。</t>
  </si>
  <si>
    <t>未解決</t>
  </si>
  <si>
    <t>直近OPM 1.86% への急落が構造的かどうか</t>
  </si>
  <si>
    <t>4期連続の単調減少に加え直近が観測窓の最低。§Y に従いトレンド整合ルール（2.91%）としたが、国内紙需要の構造的減少が主因なら Downside 1（1.35%）側が現実的。一次ソースでの要因確認をしていない。</t>
  </si>
  <si>
    <t>beta 実測 0.082 が極端に低い</t>
  </si>
  <si>
    <t>追補1 §A のクランプ下限 0.60 を採用したが、実測 0.082 は本バッチ最低水準。0.60 の採用により WACC は実測ベースより大幅に高く（保守的に）出ている。</t>
  </si>
  <si>
    <t>Pipeline Metadata (do not edit — read by scripts/validate_output.py)</t>
  </si>
  <si>
    <t>key</t>
  </si>
  <si>
    <t>value</t>
  </si>
  <si>
    <t>auto_log_entries</t>
  </si>
  <si>
    <t>1</t>
  </si>
  <si>
    <t>capex_pct_basis</t>
  </si>
  <si>
    <t>hist_3yr_avg</t>
  </si>
  <si>
    <t>capex_pct_c5</t>
  </si>
  <si>
    <t>0.0699</t>
  </si>
  <si>
    <t>capex_pct_hist3yr</t>
  </si>
  <si>
    <t>0.069885</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</si>
  <si>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</si>
  <si>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</si>
  <si>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</si>
  <si>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</si>
  <si>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</si>
  <si>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</si>
  <si>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</si>
  <si>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</si>
  <si>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</si>
  <si>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</si>
  <si>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</si>
  <si>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</si>
  <si>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</si>
  <si>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</si>
  <si>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</si>
  <si>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</si>
  <si>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</si>
  <si>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</si>
  <si>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</si>
  <si>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11,590 (expense 11,590 + fees 0) / avg debt 929,645 (debt_beginning/debt_ending) = 0.012467 pre-tax -&gt; 0.009400 after-tax</t>
  </si>
  <si>
    <t>cost_of_debt_at_c11</t>
  </si>
  <si>
    <t>0.0094</t>
  </si>
  <si>
    <t>cost_of_debt_avg_debt</t>
  </si>
  <si>
    <t>929645.0</t>
  </si>
  <si>
    <t>cost_of_debt_basis</t>
  </si>
  <si>
    <t>actual</t>
  </si>
  <si>
    <t>cost_of_debt_interest</t>
  </si>
  <si>
    <t>11590.0</t>
  </si>
  <si>
    <t>cost_of_debt_pretax</t>
  </si>
  <si>
    <t>0.012467124547542341</t>
  </si>
  <si>
    <t>da_pct_basis</t>
  </si>
  <si>
    <t>assumption</t>
  </si>
  <si>
    <t>da_pct_c18</t>
  </si>
  <si>
    <t>0.0586</t>
  </si>
  <si>
    <t>da_pct_hist3yr</t>
  </si>
  <si>
    <t>0.048319</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</si>
  <si>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</si>
  <si>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</si>
  <si>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</si>
  <si>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</si>
  <si>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</si>
  <si>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</si>
  <si>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</si>
  <si>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</si>
  <si>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</si>
  <si>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02:47:35</t>
  </si>
  <si>
    <t>ltm_revenue_c20</t>
  </si>
  <si>
    <t>1861709.0</t>
  </si>
  <si>
    <t>ltm_revenue_source</t>
  </si>
  <si>
    <t>latest FY (no LTM)</t>
  </si>
  <si>
    <t>narrative_tokens_used</t>
  </si>
  <si>
    <t>reverse_dcf_sheet</t>
  </si>
  <si>
    <t>op0=34,582(FY2026) peak=84,820(FY2023) peak_opm=0.0497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</si>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</sst>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875.20001220703125</v>
      </c>
    </row>
    <row r="10" spans="2:5" ht="14" customHeight="1" x14ac:dyDescent="0.3">
      <c r="B10" s="4" t="s">
        <v>10</v>
      </c>
      <c r="C10" s="5" t="str">
        <f>"N/A"</f>
        <v>N/A</v>
      </c>
    </row>
    <row r="11" spans="2:5" ht="14" customHeight="1" x14ac:dyDescent="0.3">
      <c r="B11" s="4" t="s">
        <v>11</v>
      </c>
      <c r="C11" s="6" t="str">
        <f>IF(NOT(ISNUMBER(C12)),"N/A",IF(C12&gt;0.15,"BUY",IF(C12&gt;0.05,"HOLD","SELL")))</f>
        <v>N/A</v>
      </c>
    </row>
    <row r="12" spans="2:5" ht="14" customHeight="1" x14ac:dyDescent="0.3">
      <c r="B12" s="4" t="s">
        <v>12</v>
      </c>
      <c r="C12" s="7" t="str">
        <f>IF(ISNUMBER(C10),(C10-C9)/C9,"N/A")</f>
        <v>N/A</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116</v>
      </c>
      <c r="D16" s="7">
        <f>IF(ISNUMBER(C16),(C16-C9)/C9,"N/A")</f>
        <v>-0.86745886839343433</v>
      </c>
    </row>
    <row r="17" spans="2:5" ht="13.5" customHeight="1" x14ac:dyDescent="0.25">
      <c r="B17" t="s">
        <v>18</v>
      </c>
      <c r="C17" s="11">
        <f>IF('DCF Model'!C62&lt;'DCF Model'!C16,"INVALID (EV &lt; net debt)",'DCF Model'!C64)</f>
        <v>563</v>
      </c>
      <c r="D17" s="7">
        <f>IF(ISNUMBER(C17),(C17-C9)/C9,"N/A")</f>
        <v>-0.35671847332330631</v>
      </c>
    </row>
    <row r="18" spans="2:5" ht="13.5" customHeight="1" x14ac:dyDescent="0.25">
      <c r="B18" t="s">
        <v>19</v>
      </c>
      <c r="C18" s="11">
        <f>'Comps Analysis'!C27</f>
        <v>380</v>
      </c>
      <c r="D18" s="7">
        <f>IF(ISNUMBER(C18),(C18-C9)/C9,"N/A")</f>
        <v>-0.56581353439228488</v>
      </c>
    </row>
    <row r="19" spans="2:5" ht="13.5" customHeight="1" x14ac:dyDescent="0.25">
      <c r="B19" t="s">
        <v>20</v>
      </c>
      <c r="C19" s="11">
        <f>'Comps Analysis'!C28</f>
        <v>1278</v>
      </c>
      <c r="D19" s="7">
        <f>IF(ISNUMBER(C19),(C19-C9)/C9,"N/A")</f>
        <v>0.4602376395964734</v>
      </c>
    </row>
    <row r="20" spans="2:5" ht="14" customHeight="1" x14ac:dyDescent="0.3">
      <c r="B20" s="46" t="s">
        <v>21</v>
      </c>
      <c r="C20" s="45"/>
      <c r="D20" s="45"/>
      <c r="E20" s="45"/>
    </row>
    <row r="21" spans="2:5" ht="14" customHeight="1" x14ac:dyDescent="0.3">
      <c r="B21" s="4" t="s">
        <v>22</v>
      </c>
      <c r="C21" s="6" t="str">
        <f>IF(COUNT(C16:C17)=0,"N/A",MIN(C16:C17)&amp;" - "&amp;MAX(C16:C17))</f>
        <v>116 - 563</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topLeftCell="A11"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1706641</v>
      </c>
      <c r="D6" s="5">
        <v>1696268</v>
      </c>
      <c r="E6" s="5">
        <v>1849264</v>
      </c>
      <c r="F6" s="5">
        <v>1861709</v>
      </c>
    </row>
    <row r="7" spans="2:6" ht="14" customHeight="1" x14ac:dyDescent="0.3">
      <c r="B7" s="4" t="s">
        <v>38</v>
      </c>
      <c r="C7" s="5">
        <v>1366642</v>
      </c>
      <c r="D7" s="5">
        <v>1372191</v>
      </c>
      <c r="E7" s="5">
        <v>1499869</v>
      </c>
      <c r="F7" s="5">
        <v>1538252</v>
      </c>
    </row>
    <row r="8" spans="2:6" ht="14" customHeight="1" x14ac:dyDescent="0.3">
      <c r="B8" s="4" t="s">
        <v>39</v>
      </c>
      <c r="C8" s="5">
        <f>C6-C7</f>
        <v>339999</v>
      </c>
      <c r="D8" s="5">
        <f>D6-D7</f>
        <v>324077</v>
      </c>
      <c r="E8" s="5">
        <f>E6-E7</f>
        <v>349395</v>
      </c>
      <c r="F8" s="5">
        <f>F6-F7</f>
        <v>323457</v>
      </c>
    </row>
    <row r="9" spans="2:6" ht="13.5" customHeight="1" x14ac:dyDescent="0.25">
      <c r="B9" t="s">
        <v>40</v>
      </c>
      <c r="C9" s="7">
        <f>C8/C6</f>
        <v>0.19922116016197899</v>
      </c>
      <c r="D9" s="7">
        <f>D8/D6</f>
        <v>0.19105294682208235</v>
      </c>
      <c r="E9" s="7">
        <f>E8/E6</f>
        <v>0.18893732858045145</v>
      </c>
      <c r="F9" s="7">
        <f>F8/F6</f>
        <v>0.17374197578676367</v>
      </c>
    </row>
    <row r="10" spans="2:6" ht="14" customHeight="1" x14ac:dyDescent="0.3">
      <c r="B10" s="4" t="s">
        <v>41</v>
      </c>
      <c r="C10" s="5">
        <v>255179</v>
      </c>
      <c r="D10" s="5">
        <v>251473</v>
      </c>
      <c r="E10" s="5">
        <v>281707</v>
      </c>
      <c r="F10" s="5">
        <v>288875</v>
      </c>
    </row>
    <row r="11" spans="2:6" ht="14" customHeight="1" x14ac:dyDescent="0.3">
      <c r="B11" s="4" t="s">
        <v>42</v>
      </c>
      <c r="C11" s="5">
        <v>84820</v>
      </c>
      <c r="D11" s="5">
        <v>72604</v>
      </c>
      <c r="E11" s="5">
        <v>67688</v>
      </c>
      <c r="F11" s="5">
        <v>34582</v>
      </c>
    </row>
    <row r="12" spans="2:6" ht="14" customHeight="1" x14ac:dyDescent="0.3">
      <c r="B12" s="4" t="s">
        <v>43</v>
      </c>
      <c r="C12" s="5">
        <v>56483</v>
      </c>
      <c r="D12" s="5">
        <v>50812</v>
      </c>
      <c r="E12" s="5">
        <v>46171</v>
      </c>
      <c r="F12" s="5">
        <v>55582</v>
      </c>
    </row>
    <row r="13" spans="2:6" ht="13.5" customHeight="1" x14ac:dyDescent="0.25">
      <c r="B13" t="s">
        <v>44</v>
      </c>
      <c r="C13" s="7">
        <f>C11/C6</f>
        <v>4.9699966190897796E-2</v>
      </c>
      <c r="D13" s="7">
        <f>D11/D6</f>
        <v>4.2802198709166239E-2</v>
      </c>
      <c r="E13" s="7">
        <f>E11/E6</f>
        <v>3.6602670035214009E-2</v>
      </c>
      <c r="F13" s="7">
        <f>F11/F6</f>
        <v>1.8575405715930901E-2</v>
      </c>
    </row>
    <row r="14" spans="2:6" ht="13.5" customHeight="1" x14ac:dyDescent="0.25">
      <c r="B14" t="s">
        <v>45</v>
      </c>
      <c r="C14" s="7">
        <f>C12/C6</f>
        <v>3.30960055453959E-2</v>
      </c>
      <c r="D14" s="7">
        <f>D12/D6</f>
        <v>2.9955172177981309E-2</v>
      </c>
      <c r="E14" s="7">
        <f>E12/E6</f>
        <v>2.4967230206179324E-2</v>
      </c>
      <c r="F14" s="7">
        <f>F12/F6</f>
        <v>2.9855364076770322E-2</v>
      </c>
    </row>
    <row r="15" spans="2:6" ht="13.5" customHeight="1" x14ac:dyDescent="0.25">
      <c r="B15" t="s">
        <v>46</v>
      </c>
      <c r="C15" t="s">
        <v>47</v>
      </c>
      <c r="D15" s="7">
        <f>(D6-C6)/C6</f>
        <v>-6.0780210952391276E-3</v>
      </c>
      <c r="E15" s="7">
        <f>(E6-D6)/D6</f>
        <v>9.0195653045391413E-2</v>
      </c>
      <c r="F15" s="7">
        <f>(F6-E6)/E6</f>
        <v>6.7297043580581244E-3</v>
      </c>
    </row>
    <row r="16" spans="2:6" ht="13.5" customHeight="1" x14ac:dyDescent="0.25">
      <c r="B16" t="s">
        <v>48</v>
      </c>
      <c r="C16" t="s">
        <v>47</v>
      </c>
      <c r="D16" s="7">
        <f>(D11-C11)/C11</f>
        <v>-0.14402263617071445</v>
      </c>
      <c r="E16" s="7">
        <f>(E11-D11)/D11</f>
        <v>-6.770976805685637E-2</v>
      </c>
      <c r="F16" s="7">
        <f>(F11-E11)/E11</f>
        <v>-0.48909703344758304</v>
      </c>
    </row>
    <row r="18" spans="2:6" ht="14" customHeight="1" x14ac:dyDescent="0.3">
      <c r="B18" s="3" t="s">
        <v>49</v>
      </c>
    </row>
    <row r="19" spans="2:6" ht="14" customHeight="1" x14ac:dyDescent="0.3">
      <c r="B19" s="4" t="s">
        <v>50</v>
      </c>
      <c r="C19" s="5">
        <v>18262</v>
      </c>
      <c r="D19" s="5">
        <v>202897</v>
      </c>
      <c r="E19" s="5">
        <v>94420</v>
      </c>
      <c r="F19" s="5">
        <v>113376</v>
      </c>
    </row>
    <row r="20" spans="2:6" ht="14" customHeight="1" x14ac:dyDescent="0.3">
      <c r="B20" s="4" t="s">
        <v>51</v>
      </c>
      <c r="C20" s="5">
        <v>100092</v>
      </c>
      <c r="D20" s="5">
        <v>119423</v>
      </c>
      <c r="E20" s="5">
        <v>153445</v>
      </c>
      <c r="F20" s="5">
        <v>104770</v>
      </c>
    </row>
    <row r="21" spans="2:6" ht="14" customHeight="1" x14ac:dyDescent="0.3">
      <c r="B21" s="4" t="s">
        <v>52</v>
      </c>
      <c r="C21" s="5">
        <f>C19-C20</f>
        <v>-81830</v>
      </c>
      <c r="D21" s="5">
        <f>D19-D20</f>
        <v>83474</v>
      </c>
      <c r="E21" s="5">
        <f>E19-E20</f>
        <v>-59025</v>
      </c>
      <c r="F21" s="5">
        <f>F19-F20</f>
        <v>8606</v>
      </c>
    </row>
    <row r="22" spans="2:6" ht="13.5" customHeight="1" x14ac:dyDescent="0.25">
      <c r="B22" t="s">
        <v>53</v>
      </c>
      <c r="C22" s="7">
        <f>C21/C6</f>
        <v>-4.7947986717768995E-2</v>
      </c>
      <c r="D22" s="7">
        <f>D21/D6</f>
        <v>4.9210384208155787E-2</v>
      </c>
      <c r="E22" s="7">
        <f>E21/E6</f>
        <v>-3.1918103634743338E-2</v>
      </c>
      <c r="F22" s="7">
        <f>F21/F6</f>
        <v>4.6226343644468603E-3</v>
      </c>
    </row>
    <row r="23" spans="2:6" ht="13.5" customHeight="1" x14ac:dyDescent="0.25">
      <c r="B23" t="s">
        <v>54</v>
      </c>
      <c r="C23" s="7">
        <f>C20/C6</f>
        <v>5.864853826903256E-2</v>
      </c>
      <c r="D23" s="7">
        <f>D20/D6</f>
        <v>7.0403379654630047E-2</v>
      </c>
      <c r="E23" s="7">
        <f>E20/E6</f>
        <v>8.2976254336860497E-2</v>
      </c>
      <c r="F23" s="7">
        <f>F20/F6</f>
        <v>5.6276249403102205E-2</v>
      </c>
    </row>
    <row r="25" spans="2:6" ht="14" customHeight="1" x14ac:dyDescent="0.3">
      <c r="B25" s="3" t="s">
        <v>55</v>
      </c>
    </row>
    <row r="26" spans="2:6" ht="14" customHeight="1" x14ac:dyDescent="0.3">
      <c r="B26" s="4" t="s">
        <v>56</v>
      </c>
      <c r="C26" s="5">
        <v>56837</v>
      </c>
      <c r="D26" s="5">
        <v>62472</v>
      </c>
      <c r="E26" s="5">
        <v>58429</v>
      </c>
      <c r="F26" s="5">
        <v>65909</v>
      </c>
    </row>
    <row r="27" spans="2:6" ht="14" customHeight="1" x14ac:dyDescent="0.3">
      <c r="B27" s="4" t="s">
        <v>57</v>
      </c>
      <c r="C27" s="5">
        <v>702338</v>
      </c>
      <c r="D27" s="5">
        <v>696716</v>
      </c>
      <c r="E27" s="5">
        <v>796388</v>
      </c>
      <c r="F27" s="5">
        <v>888902</v>
      </c>
    </row>
    <row r="28" spans="2:6" ht="14" customHeight="1" x14ac:dyDescent="0.3">
      <c r="B28" s="4" t="s">
        <v>58</v>
      </c>
      <c r="C28" s="5">
        <f>C27-C26</f>
        <v>645501</v>
      </c>
      <c r="D28" s="5">
        <f>D27-D26</f>
        <v>634244</v>
      </c>
      <c r="E28" s="5">
        <f>E27-E26</f>
        <v>737959</v>
      </c>
      <c r="F28" s="5">
        <f>F27-F26</f>
        <v>822993</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topLeftCell="A87"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6.9900000000000004E-2</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0.6</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9.4000000000000004E-3</v>
      </c>
    </row>
    <row r="12" spans="2:7" ht="14" customHeight="1" x14ac:dyDescent="0.3">
      <c r="B12" s="4" t="s">
        <v>69</v>
      </c>
      <c r="C12" s="13">
        <v>1.1974</v>
      </c>
    </row>
    <row r="13" spans="2:7" ht="14" customHeight="1" x14ac:dyDescent="0.3">
      <c r="B13" s="4" t="s">
        <v>70</v>
      </c>
      <c r="C13" s="7">
        <v>0.01</v>
      </c>
    </row>
    <row r="14" spans="2:7" ht="14" customHeight="1" x14ac:dyDescent="0.3">
      <c r="B14" s="4" t="s">
        <v>71</v>
      </c>
      <c r="C14" s="14">
        <v>8.4</v>
      </c>
    </row>
    <row r="15" spans="2:7" ht="14" customHeight="1" x14ac:dyDescent="0.3">
      <c r="B15" s="4" t="s">
        <v>72</v>
      </c>
      <c r="C15" s="15">
        <v>849234293</v>
      </c>
    </row>
    <row r="16" spans="2:7" ht="14" customHeight="1" x14ac:dyDescent="0.3">
      <c r="B16" s="4" t="s">
        <v>73</v>
      </c>
      <c r="C16" s="5">
        <v>889993</v>
      </c>
    </row>
    <row r="17" spans="2:7" ht="14" customHeight="1" x14ac:dyDescent="0.3">
      <c r="B17" s="4" t="s">
        <v>74</v>
      </c>
      <c r="C17" s="5">
        <v>1861709</v>
      </c>
    </row>
    <row r="18" spans="2:7" ht="14" customHeight="1" x14ac:dyDescent="0.3">
      <c r="B18" s="4" t="s">
        <v>75</v>
      </c>
      <c r="C18" s="7">
        <v>5.8599999999999999E-2</v>
      </c>
    </row>
    <row r="19" spans="2:7" ht="14" customHeight="1" x14ac:dyDescent="0.3">
      <c r="B19" s="4" t="s">
        <v>76</v>
      </c>
      <c r="C19" s="12">
        <v>1</v>
      </c>
    </row>
    <row r="20" spans="2:7" ht="14" customHeight="1" x14ac:dyDescent="0.3">
      <c r="B20" s="4" t="s">
        <v>77</v>
      </c>
      <c r="C20" s="5">
        <v>1861709</v>
      </c>
    </row>
    <row r="22" spans="2:7" ht="14" customHeight="1" x14ac:dyDescent="0.3">
      <c r="B22" s="8" t="s">
        <v>78</v>
      </c>
      <c r="C22" s="9"/>
      <c r="D22" s="9"/>
      <c r="E22" s="9"/>
      <c r="F22" s="9"/>
      <c r="G22" s="9"/>
    </row>
    <row r="23" spans="2:7" ht="14" customHeight="1" x14ac:dyDescent="0.3">
      <c r="B23" s="4" t="s">
        <v>79</v>
      </c>
      <c r="C23" s="16">
        <f>C7+C8*C9+C10</f>
        <v>7.8699999999999992E-2</v>
      </c>
    </row>
    <row r="24" spans="2:7" ht="14" customHeight="1" x14ac:dyDescent="0.3">
      <c r="B24" s="4" t="s">
        <v>80</v>
      </c>
      <c r="C24" s="16">
        <f>1/(1+C12)</f>
        <v>0.45508328024028399</v>
      </c>
    </row>
    <row r="25" spans="2:7" ht="14" customHeight="1" x14ac:dyDescent="0.3">
      <c r="B25" s="4" t="s">
        <v>81</v>
      </c>
      <c r="C25" s="16">
        <f>C12/(1+C12)</f>
        <v>0.54491671975971601</v>
      </c>
    </row>
    <row r="26" spans="2:7" ht="14" customHeight="1" x14ac:dyDescent="0.3">
      <c r="B26" s="4" t="s">
        <v>82</v>
      </c>
      <c r="C26" s="16">
        <f>C23*C24+C11*C25</f>
        <v>4.0937271320651676E-2</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0.01</v>
      </c>
      <c r="D30" s="18">
        <f>CHOOSE($D$27,D69,D70,D71,D72,D73)</f>
        <v>1.4999999999999999E-2</v>
      </c>
      <c r="E30" s="18">
        <f>CHOOSE($D$27,E69,E70,E71,E72,E73)</f>
        <v>0.02</v>
      </c>
      <c r="F30" s="18">
        <f>CHOOSE($D$27,F69,F70,F71,F72,F73)</f>
        <v>0.02</v>
      </c>
      <c r="G30" s="18">
        <f>CHOOSE($D$27,G69,G70,G71,G72,G73)</f>
        <v>1.4999999999999999E-2</v>
      </c>
    </row>
    <row r="31" spans="2:7" ht="14" customHeight="1" x14ac:dyDescent="0.3">
      <c r="B31" s="4" t="s">
        <v>91</v>
      </c>
      <c r="C31" s="18">
        <f>CHOOSE($D$27,C76,C77,C78,C79,C80)</f>
        <v>0.82599999999999996</v>
      </c>
      <c r="D31" s="18">
        <f>CHOOSE($D$27,D76,D77,D78,D79,D80)</f>
        <v>0.82599999999999996</v>
      </c>
      <c r="E31" s="18">
        <f>CHOOSE($D$27,E76,E77,E78,E79,E80)</f>
        <v>0.82599999999999996</v>
      </c>
      <c r="F31" s="18">
        <f>CHOOSE($D$27,F76,F77,F78,F79,F80)</f>
        <v>0.82599999999999996</v>
      </c>
      <c r="G31" s="18">
        <f>CHOOSE($D$27,G76,G77,G78,G79,G80)</f>
        <v>0.82599999999999996</v>
      </c>
    </row>
    <row r="32" spans="2:7" ht="14" customHeight="1" x14ac:dyDescent="0.3">
      <c r="B32" s="4" t="s">
        <v>92</v>
      </c>
      <c r="C32" s="18">
        <f>CHOOSE($D$27,C83,C84,C85,C86,C87)</f>
        <v>0.152</v>
      </c>
      <c r="D32" s="18">
        <f>CHOOSE($D$27,D83,D84,D85,D86,D87)</f>
        <v>0.14949999999999999</v>
      </c>
      <c r="E32" s="18">
        <f>CHOOSE($D$27,E83,E84,E85,E86,E87)</f>
        <v>0.14749999999999999</v>
      </c>
      <c r="F32" s="18">
        <f>CHOOSE($D$27,F83,F84,F85,F86,F87)</f>
        <v>0.14599999999999999</v>
      </c>
      <c r="G32" s="18">
        <f>CHOOSE($D$27,G83,G84,G85,G86,G87)</f>
        <v>0.1449</v>
      </c>
    </row>
    <row r="33" spans="2:7" ht="14" customHeight="1" x14ac:dyDescent="0.3">
      <c r="B33" s="4" t="s">
        <v>37</v>
      </c>
      <c r="C33" s="5">
        <f>C17*(1+C30)</f>
        <v>1880326.09</v>
      </c>
      <c r="D33" s="5">
        <f>C33*(1+D30)</f>
        <v>1908530.98135</v>
      </c>
      <c r="E33" s="5">
        <f>D33*(1+E30)</f>
        <v>1946701.6009770001</v>
      </c>
      <c r="F33" s="5">
        <f>E33*(1+F30)</f>
        <v>1985635.6329965401</v>
      </c>
      <c r="G33" s="5">
        <f>F33*(1+G30)</f>
        <v>2015420.1674914879</v>
      </c>
    </row>
    <row r="34" spans="2:7" ht="14" customHeight="1" x14ac:dyDescent="0.3">
      <c r="B34" s="4" t="s">
        <v>38</v>
      </c>
      <c r="C34" s="5">
        <f>C33*C31</f>
        <v>1553149.3503399999</v>
      </c>
      <c r="D34" s="5">
        <f>D33*D31</f>
        <v>1576446.5905950998</v>
      </c>
      <c r="E34" s="5">
        <f>E33*E31</f>
        <v>1607975.522407002</v>
      </c>
      <c r="F34" s="5">
        <f>F33*F31</f>
        <v>1640135.0328551419</v>
      </c>
      <c r="G34" s="5">
        <f>G33*G31</f>
        <v>1664737.0583479689</v>
      </c>
    </row>
    <row r="35" spans="2:7" ht="14" customHeight="1" x14ac:dyDescent="0.3">
      <c r="B35" s="4" t="s">
        <v>39</v>
      </c>
      <c r="C35" s="19">
        <f>C33-C34</f>
        <v>327176.7396600002</v>
      </c>
      <c r="D35" s="19">
        <f>D33-D34</f>
        <v>332084.39075490017</v>
      </c>
      <c r="E35" s="19">
        <f>E33-E34</f>
        <v>338726.07856999803</v>
      </c>
      <c r="F35" s="19">
        <f>F33-F34</f>
        <v>345500.60014139814</v>
      </c>
      <c r="G35" s="19">
        <f>G33-G34</f>
        <v>350683.10914351908</v>
      </c>
    </row>
    <row r="36" spans="2:7" ht="14" customHeight="1" x14ac:dyDescent="0.3">
      <c r="B36" s="4" t="s">
        <v>40</v>
      </c>
      <c r="C36" s="7">
        <f>C35/C33</f>
        <v>0.1740000000000001</v>
      </c>
      <c r="D36" s="7">
        <f>D35/D33</f>
        <v>0.1740000000000001</v>
      </c>
      <c r="E36" s="7">
        <f>E35/E33</f>
        <v>0.17400000000000002</v>
      </c>
      <c r="F36" s="7">
        <f>F35/F33</f>
        <v>0.1740000000000001</v>
      </c>
      <c r="G36" s="7">
        <f>G35/G33</f>
        <v>0.1740000000000001</v>
      </c>
    </row>
    <row r="37" spans="2:7" ht="14" customHeight="1" x14ac:dyDescent="0.3">
      <c r="B37" s="4" t="s">
        <v>93</v>
      </c>
      <c r="C37" s="5">
        <f>C33*C32</f>
        <v>285809.56568</v>
      </c>
      <c r="D37" s="5">
        <f>D33*D32</f>
        <v>285325.38171182497</v>
      </c>
      <c r="E37" s="5">
        <f>E33*E32</f>
        <v>287138.48614410748</v>
      </c>
      <c r="F37" s="5">
        <f>F33*F32</f>
        <v>289902.80241749482</v>
      </c>
      <c r="G37" s="5">
        <f>G33*G32</f>
        <v>292034.38226951659</v>
      </c>
    </row>
    <row r="38" spans="2:7" ht="14" customHeight="1" x14ac:dyDescent="0.3">
      <c r="B38" s="4" t="s">
        <v>94</v>
      </c>
      <c r="C38" s="7">
        <f>(C35-C37)/C33</f>
        <v>2.2000000000000103E-2</v>
      </c>
      <c r="D38" s="7">
        <f>(D35-D37)/D33</f>
        <v>2.4500000000000105E-2</v>
      </c>
      <c r="E38" s="7">
        <f>(E35-E37)/E33</f>
        <v>2.6500000000000027E-2</v>
      </c>
      <c r="F38" s="7">
        <f>(F35-F37)/F33</f>
        <v>2.8000000000000101E-2</v>
      </c>
      <c r="G38" s="7">
        <f>(G35-G37)/G33</f>
        <v>2.9100000000000095E-2</v>
      </c>
    </row>
    <row r="39" spans="2:7" ht="14" customHeight="1" x14ac:dyDescent="0.3">
      <c r="B39" s="4" t="s">
        <v>95</v>
      </c>
      <c r="C39" s="19">
        <f>C35-C37</f>
        <v>41367.173980000196</v>
      </c>
      <c r="D39" s="19">
        <f>D35-D37</f>
        <v>46759.009043075202</v>
      </c>
      <c r="E39" s="19">
        <f>E35-E37</f>
        <v>51587.592425890558</v>
      </c>
      <c r="F39" s="19">
        <f>F35-F37</f>
        <v>55597.797723903321</v>
      </c>
      <c r="G39" s="19">
        <f>G35-G37</f>
        <v>58648.726874002488</v>
      </c>
    </row>
    <row r="40" spans="2:7" ht="14" customHeight="1" x14ac:dyDescent="0.3">
      <c r="B40" s="4" t="s">
        <v>96</v>
      </c>
      <c r="C40" s="5">
        <f>MAX(0,C39*C6)</f>
        <v>10341.793495000049</v>
      </c>
      <c r="D40" s="5">
        <f>MAX(0,D39*C6)</f>
        <v>11689.752260768801</v>
      </c>
      <c r="E40" s="5">
        <f>MAX(0,E39*C6)</f>
        <v>12896.898106472639</v>
      </c>
      <c r="F40" s="5">
        <f>MAX(0,F39*C6)</f>
        <v>13899.44943097583</v>
      </c>
      <c r="G40" s="5">
        <f>MAX(0,G39*C6)</f>
        <v>14662.181718500622</v>
      </c>
    </row>
    <row r="41" spans="2:7" ht="14" customHeight="1" x14ac:dyDescent="0.3">
      <c r="B41" s="4" t="s">
        <v>97</v>
      </c>
      <c r="C41" s="19">
        <f>C39-C40</f>
        <v>31025.380485000147</v>
      </c>
      <c r="D41" s="19">
        <f>D39-D40</f>
        <v>35069.256782306402</v>
      </c>
      <c r="E41" s="19">
        <f>E39-E40</f>
        <v>38690.694319417918</v>
      </c>
      <c r="F41" s="19">
        <f>F39-F40</f>
        <v>41698.348292927491</v>
      </c>
      <c r="G41" s="19">
        <f>G39-G40</f>
        <v>43986.545155501866</v>
      </c>
    </row>
    <row r="42" spans="2:7" ht="14" customHeight="1" x14ac:dyDescent="0.3">
      <c r="B42" s="4" t="s">
        <v>98</v>
      </c>
      <c r="C42" s="5">
        <f>C33*C18</f>
        <v>110187.108874</v>
      </c>
      <c r="D42" s="5">
        <f>D33*C18</f>
        <v>111839.91550711</v>
      </c>
      <c r="E42" s="5">
        <f>E33*C18</f>
        <v>114076.71381725221</v>
      </c>
      <c r="F42" s="5">
        <f>F33*C18</f>
        <v>116358.24809359724</v>
      </c>
      <c r="G42" s="5">
        <f>G33*C18</f>
        <v>118103.62181500118</v>
      </c>
    </row>
    <row r="43" spans="2:7" ht="14" customHeight="1" x14ac:dyDescent="0.3">
      <c r="B43" s="4" t="s">
        <v>99</v>
      </c>
      <c r="C43" s="5">
        <v>98800</v>
      </c>
      <c r="D43" s="5">
        <v>105100</v>
      </c>
      <c r="E43" s="5">
        <v>111400</v>
      </c>
      <c r="F43" s="5">
        <v>117700</v>
      </c>
      <c r="G43" s="5">
        <v>124000</v>
      </c>
    </row>
    <row r="44" spans="2:7" ht="14" customHeight="1" x14ac:dyDescent="0.3">
      <c r="B44" s="4" t="s">
        <v>100</v>
      </c>
      <c r="C44" s="5">
        <f>'NWC Schedule'!D19</f>
        <v>1913.78628235613</v>
      </c>
      <c r="D44" s="5">
        <f>'NWC Schedule'!E19</f>
        <v>6447.2517942353152</v>
      </c>
      <c r="E44" s="5">
        <f>'NWC Schedule'!F19</f>
        <v>8725.2807615319616</v>
      </c>
      <c r="F44" s="5">
        <f>'NWC Schedule'!G19</f>
        <v>8899.7863767623785</v>
      </c>
      <c r="G44" s="5">
        <f>'NWC Schedule'!H19</f>
        <v>6808.336578223214</v>
      </c>
    </row>
    <row r="45" spans="2:7" ht="14" customHeight="1" x14ac:dyDescent="0.3">
      <c r="B45" s="4" t="s">
        <v>101</v>
      </c>
      <c r="C45" s="20">
        <f>C41+C42-C43-C44</f>
        <v>40498.703076644015</v>
      </c>
      <c r="D45" s="20">
        <f>D41+D42-D43-D44</f>
        <v>35361.920495181083</v>
      </c>
      <c r="E45" s="20">
        <f>E41+E42-E43-E44</f>
        <v>32642.127375138167</v>
      </c>
      <c r="F45" s="20">
        <f>F41+F42-F43-F44</f>
        <v>31456.810009762354</v>
      </c>
      <c r="G45" s="20">
        <f>G41+G42-G43-G44</f>
        <v>31281.830392279837</v>
      </c>
    </row>
    <row r="46" spans="2:7" ht="14" customHeight="1" x14ac:dyDescent="0.3">
      <c r="B46" s="4" t="s">
        <v>102</v>
      </c>
      <c r="C46" s="21">
        <f>1/(1+C26)^(C19+0)</f>
        <v>0.96067268177580578</v>
      </c>
      <c r="D46" s="21">
        <f>1/(1+C26)^(C19+1)</f>
        <v>0.92289200151031858</v>
      </c>
      <c r="E46" s="21">
        <f>1/(1+C26)^(C19+2)</f>
        <v>0.88659713408035867</v>
      </c>
      <c r="F46" s="21">
        <f>1/(1+C26)^(C19+3)</f>
        <v>0.85172964645172189</v>
      </c>
      <c r="G46" s="21">
        <f>1/(1+C26)^(C19+4)</f>
        <v>0.81823340360473451</v>
      </c>
    </row>
    <row r="47" spans="2:7" ht="14" customHeight="1" x14ac:dyDescent="0.3">
      <c r="B47" s="4" t="s">
        <v>103</v>
      </c>
      <c r="C47" s="19">
        <f>C45*C46</f>
        <v>38905.997693081685</v>
      </c>
      <c r="D47" s="19">
        <f>D45*D46</f>
        <v>32635.233583046425</v>
      </c>
      <c r="E47" s="19">
        <f>E45*E46</f>
        <v>28940.416581083518</v>
      </c>
      <c r="F47" s="19">
        <f>F45*F46</f>
        <v>26792.697668113877</v>
      </c>
      <c r="G47" s="19">
        <f>G45*G46</f>
        <v>25595.838552861158</v>
      </c>
    </row>
    <row r="49" spans="2:7" ht="14" customHeight="1" x14ac:dyDescent="0.3">
      <c r="B49" s="22" t="s">
        <v>104</v>
      </c>
      <c r="C49" s="23"/>
      <c r="D49" s="23"/>
      <c r="E49" s="23"/>
      <c r="F49" s="23"/>
      <c r="G49" s="23"/>
    </row>
    <row r="50" spans="2:7" ht="14" customHeight="1" x14ac:dyDescent="0.3">
      <c r="B50" s="4" t="s">
        <v>105</v>
      </c>
      <c r="C50" s="5">
        <f>SUM(C47:G47)</f>
        <v>152870.18407818666</v>
      </c>
    </row>
    <row r="51" spans="2:7" ht="14" customHeight="1" x14ac:dyDescent="0.3">
      <c r="B51" s="4" t="s">
        <v>106</v>
      </c>
      <c r="C51" s="5">
        <f>G45*(1+C13)/(C26-C13)</f>
        <v>1021248.7186971832</v>
      </c>
    </row>
    <row r="52" spans="2:7" ht="14" customHeight="1" x14ac:dyDescent="0.3">
      <c r="B52" s="4" t="s">
        <v>107</v>
      </c>
      <c r="C52" s="5">
        <f>C51*G46</f>
        <v>835619.81502657023</v>
      </c>
    </row>
    <row r="53" spans="2:7" ht="14" customHeight="1" x14ac:dyDescent="0.3">
      <c r="B53" s="4" t="s">
        <v>108</v>
      </c>
      <c r="C53" s="5">
        <f>C50+C52</f>
        <v>988489.99910475686</v>
      </c>
    </row>
    <row r="54" spans="2:7" ht="14" customHeight="1" x14ac:dyDescent="0.3">
      <c r="B54" s="4" t="s">
        <v>109</v>
      </c>
      <c r="C54" s="5">
        <f>C53-C16</f>
        <v>98496.999104756862</v>
      </c>
    </row>
    <row r="55" spans="2:7" ht="14" customHeight="1" x14ac:dyDescent="0.3">
      <c r="B55" s="4" t="s">
        <v>110</v>
      </c>
      <c r="C55" s="24">
        <f>ROUND(C54*1000000/C15,0)</f>
        <v>116</v>
      </c>
    </row>
    <row r="57" spans="2:7" ht="14" customHeight="1" x14ac:dyDescent="0.3">
      <c r="B57" s="22" t="s">
        <v>111</v>
      </c>
      <c r="C57" s="23"/>
      <c r="D57" s="23"/>
      <c r="E57" s="23"/>
      <c r="F57" s="23"/>
      <c r="G57" s="23"/>
    </row>
    <row r="58" spans="2:7" ht="14" customHeight="1" x14ac:dyDescent="0.3">
      <c r="B58" s="4" t="s">
        <v>105</v>
      </c>
      <c r="C58" s="5">
        <f>C50</f>
        <v>152870.18407818666</v>
      </c>
    </row>
    <row r="59" spans="2:7" ht="14" customHeight="1" x14ac:dyDescent="0.3">
      <c r="B59" s="4" t="s">
        <v>112</v>
      </c>
      <c r="C59" s="5">
        <f>G39+G42</f>
        <v>176752.34868900367</v>
      </c>
    </row>
    <row r="60" spans="2:7" ht="14" customHeight="1" x14ac:dyDescent="0.3">
      <c r="B60" s="4" t="s">
        <v>113</v>
      </c>
      <c r="C60" s="5">
        <f>C59*C14</f>
        <v>1484719.7289876309</v>
      </c>
    </row>
    <row r="61" spans="2:7" ht="14" customHeight="1" x14ac:dyDescent="0.3">
      <c r="B61" s="4" t="s">
        <v>107</v>
      </c>
      <c r="C61" s="5">
        <f>C60*G46</f>
        <v>1214847.2772486482</v>
      </c>
    </row>
    <row r="62" spans="2:7" ht="14" customHeight="1" x14ac:dyDescent="0.3">
      <c r="B62" s="4" t="s">
        <v>108</v>
      </c>
      <c r="C62" s="5">
        <f>C58+C61</f>
        <v>1367717.461326835</v>
      </c>
    </row>
    <row r="63" spans="2:7" ht="14" customHeight="1" x14ac:dyDescent="0.3">
      <c r="B63" s="4" t="s">
        <v>109</v>
      </c>
      <c r="C63" s="5">
        <f>C62-C16</f>
        <v>477724.46132683498</v>
      </c>
    </row>
    <row r="64" spans="2:7" ht="14" customHeight="1" x14ac:dyDescent="0.3">
      <c r="B64" s="4" t="s">
        <v>114</v>
      </c>
      <c r="C64" s="24">
        <f>ROUND(C63*1000000/C15,0)</f>
        <v>563</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0.01</v>
      </c>
      <c r="D69" s="26">
        <v>1.4999999999999999E-2</v>
      </c>
      <c r="E69" s="26">
        <v>0.02</v>
      </c>
      <c r="F69" s="26">
        <v>0.02</v>
      </c>
      <c r="G69" s="26">
        <v>1.4999999999999999E-2</v>
      </c>
    </row>
    <row r="70" spans="2:7" ht="14" customHeight="1" x14ac:dyDescent="0.3">
      <c r="B70" s="4" t="s">
        <v>121</v>
      </c>
      <c r="C70" s="26">
        <v>0.03</v>
      </c>
      <c r="D70" s="26">
        <v>0.03</v>
      </c>
      <c r="E70" s="26">
        <v>2.5000000000000001E-2</v>
      </c>
      <c r="F70" s="26">
        <v>2.5000000000000001E-2</v>
      </c>
      <c r="G70" s="26">
        <v>0.02</v>
      </c>
    </row>
    <row r="71" spans="2:7" ht="14" customHeight="1" x14ac:dyDescent="0.3">
      <c r="B71" s="4" t="s">
        <v>122</v>
      </c>
      <c r="C71" s="26">
        <v>0.01</v>
      </c>
      <c r="D71" s="26">
        <v>1.4999999999999999E-2</v>
      </c>
      <c r="E71" s="26">
        <v>0.02</v>
      </c>
      <c r="F71" s="26">
        <v>0.02</v>
      </c>
      <c r="G71" s="26">
        <v>1.4999999999999999E-2</v>
      </c>
    </row>
    <row r="72" spans="2:7" ht="14" customHeight="1" x14ac:dyDescent="0.3">
      <c r="B72" s="4" t="s">
        <v>123</v>
      </c>
      <c r="C72" s="26">
        <v>0</v>
      </c>
      <c r="D72" s="26">
        <v>0.01</v>
      </c>
      <c r="E72" s="26">
        <v>1.4999999999999999E-2</v>
      </c>
      <c r="F72" s="26">
        <v>1.4999999999999999E-2</v>
      </c>
      <c r="G72" s="26">
        <v>1.4999999999999999E-2</v>
      </c>
    </row>
    <row r="73" spans="2:7" ht="14" customHeight="1" x14ac:dyDescent="0.3">
      <c r="B73" s="4" t="s">
        <v>124</v>
      </c>
      <c r="C73" s="26">
        <v>-0.08</v>
      </c>
      <c r="D73" s="26">
        <v>-0.01</v>
      </c>
      <c r="E73" s="26">
        <v>0.01</v>
      </c>
      <c r="F73" s="26">
        <v>1.4999999999999999E-2</v>
      </c>
      <c r="G73" s="26">
        <v>1.4999999999999999E-2</v>
      </c>
    </row>
    <row r="75" spans="2:7" ht="14" customHeight="1" x14ac:dyDescent="0.3">
      <c r="B75" s="3" t="s">
        <v>91</v>
      </c>
    </row>
    <row r="76" spans="2:7" ht="14" customHeight="1" x14ac:dyDescent="0.3">
      <c r="B76" s="4" t="s">
        <v>84</v>
      </c>
      <c r="C76" s="26">
        <v>0.82599999999999996</v>
      </c>
      <c r="D76" s="26">
        <v>0.82599999999999996</v>
      </c>
      <c r="E76" s="26">
        <v>0.82599999999999996</v>
      </c>
      <c r="F76" s="26">
        <v>0.82599999999999996</v>
      </c>
      <c r="G76" s="26">
        <v>0.82599999999999996</v>
      </c>
    </row>
    <row r="77" spans="2:7" ht="14" customHeight="1" x14ac:dyDescent="0.3">
      <c r="B77" s="4" t="s">
        <v>121</v>
      </c>
      <c r="C77" s="26">
        <v>0.81399999999999995</v>
      </c>
      <c r="D77" s="26">
        <v>0.81399999999999995</v>
      </c>
      <c r="E77" s="26">
        <v>0.81399999999999995</v>
      </c>
      <c r="F77" s="26">
        <v>0.81399999999999995</v>
      </c>
      <c r="G77" s="26">
        <v>0.81399999999999995</v>
      </c>
    </row>
    <row r="78" spans="2:7" ht="14" customHeight="1" x14ac:dyDescent="0.3">
      <c r="B78" s="4" t="s">
        <v>122</v>
      </c>
      <c r="C78" s="26">
        <v>0.82599999999999996</v>
      </c>
      <c r="D78" s="26">
        <v>0.82599999999999996</v>
      </c>
      <c r="E78" s="26">
        <v>0.82599999999999996</v>
      </c>
      <c r="F78" s="26">
        <v>0.82599999999999996</v>
      </c>
      <c r="G78" s="26">
        <v>0.82599999999999996</v>
      </c>
    </row>
    <row r="79" spans="2:7" ht="14" customHeight="1" x14ac:dyDescent="0.3">
      <c r="B79" s="4" t="s">
        <v>123</v>
      </c>
      <c r="C79" s="26">
        <v>0.83399999999999996</v>
      </c>
      <c r="D79" s="26">
        <v>0.83399999999999996</v>
      </c>
      <c r="E79" s="26">
        <v>0.83399999999999996</v>
      </c>
      <c r="F79" s="26">
        <v>0.83399999999999996</v>
      </c>
      <c r="G79" s="26">
        <v>0.83399999999999996</v>
      </c>
    </row>
    <row r="80" spans="2:7" ht="14" customHeight="1" x14ac:dyDescent="0.3">
      <c r="B80" s="4" t="s">
        <v>124</v>
      </c>
      <c r="C80" s="26">
        <v>0.84799999999999998</v>
      </c>
      <c r="D80" s="26">
        <v>0.84799999999999998</v>
      </c>
      <c r="E80" s="26">
        <v>0.84799999999999998</v>
      </c>
      <c r="F80" s="26">
        <v>0.84799999999999998</v>
      </c>
      <c r="G80" s="26">
        <v>0.84799999999999998</v>
      </c>
    </row>
    <row r="82" spans="2:7" ht="14" customHeight="1" x14ac:dyDescent="0.3">
      <c r="B82" s="3" t="s">
        <v>92</v>
      </c>
    </row>
    <row r="83" spans="2:7" ht="14" customHeight="1" x14ac:dyDescent="0.3">
      <c r="B83" s="4" t="s">
        <v>84</v>
      </c>
      <c r="C83" s="26">
        <v>0.152</v>
      </c>
      <c r="D83" s="26">
        <v>0.14949999999999999</v>
      </c>
      <c r="E83" s="26">
        <v>0.14749999999999999</v>
      </c>
      <c r="F83" s="26">
        <v>0.14599999999999999</v>
      </c>
      <c r="G83" s="26">
        <v>0.1449</v>
      </c>
    </row>
    <row r="84" spans="2:7" ht="14" customHeight="1" x14ac:dyDescent="0.3">
      <c r="B84" s="4" t="s">
        <v>121</v>
      </c>
      <c r="C84" s="26">
        <v>0.153</v>
      </c>
      <c r="D84" s="26">
        <v>0.14799999999999999</v>
      </c>
      <c r="E84" s="26">
        <v>0.14399999999999999</v>
      </c>
      <c r="F84" s="26">
        <v>0.14099999999999999</v>
      </c>
      <c r="G84" s="26">
        <v>0.13850000000000001</v>
      </c>
    </row>
    <row r="85" spans="2:7" ht="14" customHeight="1" x14ac:dyDescent="0.3">
      <c r="B85" s="4" t="s">
        <v>122</v>
      </c>
      <c r="C85" s="26">
        <v>0.152</v>
      </c>
      <c r="D85" s="26">
        <v>0.14949999999999999</v>
      </c>
      <c r="E85" s="26">
        <v>0.14749999999999999</v>
      </c>
      <c r="F85" s="26">
        <v>0.14599999999999999</v>
      </c>
      <c r="G85" s="26">
        <v>0.1449</v>
      </c>
    </row>
    <row r="86" spans="2:7" ht="14" customHeight="1" x14ac:dyDescent="0.3">
      <c r="B86" s="4" t="s">
        <v>123</v>
      </c>
      <c r="C86" s="26">
        <v>0.14899999999999999</v>
      </c>
      <c r="D86" s="26">
        <v>0.15049999999999999</v>
      </c>
      <c r="E86" s="26">
        <v>0.1515</v>
      </c>
      <c r="F86" s="26">
        <v>0.152</v>
      </c>
      <c r="G86" s="26">
        <v>0.1525</v>
      </c>
    </row>
    <row r="87" spans="2:7" ht="14" customHeight="1" x14ac:dyDescent="0.3">
      <c r="B87" s="4" t="s">
        <v>124</v>
      </c>
      <c r="C87" s="26">
        <v>0.14399999999999999</v>
      </c>
      <c r="D87" s="26">
        <v>0.14699999999999999</v>
      </c>
      <c r="E87" s="26">
        <v>0.14699999999999999</v>
      </c>
      <c r="F87" s="26">
        <v>0.14599999999999999</v>
      </c>
      <c r="G87" s="26">
        <v>0.14499999999999999</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875.20001220703125</v>
      </c>
    </row>
    <row r="7" spans="2:9" ht="14" customHeight="1" x14ac:dyDescent="0.3">
      <c r="B7" s="4" t="s">
        <v>72</v>
      </c>
      <c r="C7" s="15">
        <f>'DCF Model'!C15</f>
        <v>849234293</v>
      </c>
    </row>
    <row r="8" spans="2:9" ht="14" customHeight="1" x14ac:dyDescent="0.3">
      <c r="B8" s="4" t="s">
        <v>129</v>
      </c>
      <c r="C8" s="5">
        <f>C6*C7/1000000</f>
        <v>743249.8636002295</v>
      </c>
    </row>
    <row r="9" spans="2:9" ht="14" customHeight="1" x14ac:dyDescent="0.3">
      <c r="B9" s="4" t="s">
        <v>73</v>
      </c>
      <c r="C9" s="5">
        <f>'DCF Model'!C16</f>
        <v>889993</v>
      </c>
    </row>
    <row r="10" spans="2:9" ht="14" customHeight="1" x14ac:dyDescent="0.3">
      <c r="B10" s="4" t="s">
        <v>130</v>
      </c>
      <c r="C10" s="5">
        <f>C8+C9</f>
        <v>1633242.8636002294</v>
      </c>
    </row>
    <row r="11" spans="2:9" ht="14" customHeight="1" x14ac:dyDescent="0.3">
      <c r="B11" s="4" t="s">
        <v>131</v>
      </c>
      <c r="C11" s="16">
        <f>'DCF Model'!C26</f>
        <v>4.0937271320651676E-2</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34582</v>
      </c>
    </row>
    <row r="15" spans="2:9" ht="14" customHeight="1" x14ac:dyDescent="0.3">
      <c r="B15" s="4" t="s">
        <v>135</v>
      </c>
      <c r="C15" s="27">
        <v>84820</v>
      </c>
    </row>
    <row r="16" spans="2:9" ht="14" customHeight="1" x14ac:dyDescent="0.3">
      <c r="B16" s="4" t="s">
        <v>136</v>
      </c>
      <c r="C16" s="5">
        <f>'DCF Model'!G33</f>
        <v>2015420.1674914879</v>
      </c>
    </row>
    <row r="17" spans="2:9" ht="14" customHeight="1" x14ac:dyDescent="0.3">
      <c r="B17" s="4" t="s">
        <v>137</v>
      </c>
      <c r="C17" s="5">
        <f>'DCF Model'!C53</f>
        <v>988489.99910475686</v>
      </c>
    </row>
    <row r="18" spans="2:9" ht="14" customHeight="1" x14ac:dyDescent="0.3">
      <c r="B18" s="4" t="s">
        <v>138</v>
      </c>
      <c r="C18" s="26">
        <v>4.9699966190897803E-2</v>
      </c>
    </row>
    <row r="19" spans="2:9" ht="14" customHeight="1" x14ac:dyDescent="0.3">
      <c r="B19" s="4" t="s">
        <v>139</v>
      </c>
      <c r="C19" s="5">
        <f>C10-C17</f>
        <v>644752.86449547252</v>
      </c>
    </row>
    <row r="20" spans="2:9" ht="14" customHeight="1" x14ac:dyDescent="0.3">
      <c r="B20" s="4" t="s">
        <v>140</v>
      </c>
      <c r="C20" s="15">
        <f>IFERROR(ROUND(C19*1000000/C7,0),"N/A")</f>
        <v>759</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50528.07760371839</v>
      </c>
    </row>
    <row r="25" spans="2:9" ht="14" customHeight="1" x14ac:dyDescent="0.3">
      <c r="B25" s="4" t="s">
        <v>144</v>
      </c>
      <c r="C25" s="5">
        <f>IFERROR(C24/(1-C13),"N/A")</f>
        <v>67370.770138291191</v>
      </c>
    </row>
    <row r="26" spans="2:9" ht="13.5" customHeight="1" x14ac:dyDescent="0.25">
      <c r="B26" s="6" t="s">
        <v>145</v>
      </c>
      <c r="C26" s="14">
        <f>IFERROR(C25/C15,"N/A")</f>
        <v>0.79427929896594185</v>
      </c>
    </row>
    <row r="27" spans="2:9" ht="13.5" customHeight="1" x14ac:dyDescent="0.25">
      <c r="B27" s="6" t="s">
        <v>146</v>
      </c>
      <c r="C27" s="14">
        <f>IFERROR(C25/C14,"N/A")</f>
        <v>1.9481455710569426</v>
      </c>
    </row>
    <row r="28" spans="2:9" ht="13.5" customHeight="1" x14ac:dyDescent="0.25">
      <c r="B28" s="6" t="s">
        <v>147</v>
      </c>
      <c r="C28" s="7">
        <f>IFERROR(C25/C16,"N/A")</f>
        <v>3.3427655049291717E-2</v>
      </c>
    </row>
    <row r="29" spans="2:9" ht="13.5" customHeight="1" x14ac:dyDescent="0.25">
      <c r="B29" s="6" t="s">
        <v>148</v>
      </c>
      <c r="C29" s="5">
        <f>IFERROR(C25/C18,"N/A")</f>
        <v>1355549.6170665338</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2.0937271320651676E-2</v>
      </c>
      <c r="E36" s="29">
        <f>'DCF Model'!C26-0.01</f>
        <v>3.0937271320651674E-2</v>
      </c>
      <c r="F36" s="29">
        <f>'DCF Model'!C26</f>
        <v>4.0937271320651676E-2</v>
      </c>
      <c r="G36" s="29">
        <f>'DCF Model'!C26+0.01</f>
        <v>5.0937271320651678E-2</v>
      </c>
      <c r="H36" s="29">
        <f>'DCF Model'!C26+0.02</f>
        <v>6.0937271320651673E-2</v>
      </c>
    </row>
    <row r="37" spans="2:9" ht="14" customHeight="1" x14ac:dyDescent="0.3">
      <c r="B37" s="3" t="s">
        <v>154</v>
      </c>
    </row>
    <row r="38" spans="2:9" ht="14" customHeight="1" x14ac:dyDescent="0.3">
      <c r="B38" s="4" t="s">
        <v>155</v>
      </c>
      <c r="C38" s="30">
        <v>3</v>
      </c>
      <c r="D38" s="13">
        <f t="shared" ref="D38:H41" si="0">IFERROR((1-(1+D$36)^(-$C38))/D$36-(1+D$36)/(D$36^2*$C38)*(1-($C38+1)/(1+D$36)^$C38+$C38/(1+D$36)^($C38+1)),"N/A")</f>
        <v>0.97279633518327424</v>
      </c>
      <c r="E38" s="13">
        <f t="shared" si="0"/>
        <v>0.96028833959044957</v>
      </c>
      <c r="F38" s="13">
        <f t="shared" si="0"/>
        <v>0.94807912168719999</v>
      </c>
      <c r="G38" s="13">
        <f t="shared" si="0"/>
        <v>0.93615849978052745</v>
      </c>
      <c r="H38" s="13">
        <f t="shared" si="0"/>
        <v>0.92451673777990329</v>
      </c>
    </row>
    <row r="39" spans="2:9" ht="14" customHeight="1" x14ac:dyDescent="0.3">
      <c r="B39" s="4" t="s">
        <v>156</v>
      </c>
      <c r="C39" s="30">
        <v>5</v>
      </c>
      <c r="D39" s="13">
        <f t="shared" si="0"/>
        <v>1.9192198381023862</v>
      </c>
      <c r="E39" s="13">
        <f t="shared" si="0"/>
        <v>1.8826338177668935</v>
      </c>
      <c r="F39" s="13">
        <f t="shared" si="0"/>
        <v>1.8472581292493366</v>
      </c>
      <c r="G39" s="13">
        <f t="shared" si="0"/>
        <v>1.8130383452503485</v>
      </c>
      <c r="H39" s="13">
        <f t="shared" si="0"/>
        <v>1.7799230704046751</v>
      </c>
    </row>
    <row r="40" spans="2:9" ht="14" customHeight="1" x14ac:dyDescent="0.3">
      <c r="B40" s="4" t="s">
        <v>157</v>
      </c>
      <c r="C40" s="30">
        <v>7</v>
      </c>
      <c r="D40" s="13">
        <f t="shared" si="0"/>
        <v>2.8400743029458786</v>
      </c>
      <c r="E40" s="13">
        <f t="shared" si="0"/>
        <v>2.7687213241526578</v>
      </c>
      <c r="F40" s="13">
        <f t="shared" si="0"/>
        <v>2.7003706941788046</v>
      </c>
      <c r="G40" s="13">
        <f t="shared" si="0"/>
        <v>2.6348553816795803</v>
      </c>
      <c r="H40" s="13">
        <f t="shared" si="0"/>
        <v>2.5720196141541254</v>
      </c>
    </row>
    <row r="41" spans="2:9" ht="14" customHeight="1" x14ac:dyDescent="0.3">
      <c r="B41" s="4" t="s">
        <v>158</v>
      </c>
      <c r="C41" s="30">
        <v>10</v>
      </c>
      <c r="D41" s="13">
        <f t="shared" si="0"/>
        <v>4.1751082864437956</v>
      </c>
      <c r="E41" s="13">
        <f t="shared" si="0"/>
        <v>4.0333592540485661</v>
      </c>
      <c r="F41" s="13">
        <f t="shared" si="0"/>
        <v>3.8994356515522455</v>
      </c>
      <c r="G41" s="13">
        <f t="shared" si="0"/>
        <v>3.7727801853000251</v>
      </c>
      <c r="H41" s="13">
        <f t="shared" si="0"/>
        <v>3.6528826595698876</v>
      </c>
    </row>
    <row r="42" spans="2:9" ht="14" customHeight="1" x14ac:dyDescent="0.3">
      <c r="B42" s="3" t="s">
        <v>159</v>
      </c>
    </row>
    <row r="43" spans="2:9" ht="14" customHeight="1" x14ac:dyDescent="0.3">
      <c r="B43" s="4" t="s">
        <v>155</v>
      </c>
      <c r="C43" s="30">
        <v>3</v>
      </c>
      <c r="D43" s="13">
        <f t="shared" ref="D43:H46" si="1">IFERROR((1+D$36)/(D$36^2*$C43)*(1-($C43+1)/(1+D$36)^$C43+$C43/(1+D$36)^($C43+1))+(1+$C$12)/((D$36-$C$12)*(1+D$36)^$C43),"N/A")</f>
        <v>88.684943906909965</v>
      </c>
      <c r="E43" s="13">
        <f t="shared" si="1"/>
        <v>45.888761185775735</v>
      </c>
      <c r="F43" s="13">
        <f t="shared" si="1"/>
        <v>30.766558636691261</v>
      </c>
      <c r="G43" s="13">
        <f t="shared" si="1"/>
        <v>23.037851714475501</v>
      </c>
      <c r="H43" s="13">
        <f t="shared" si="1"/>
        <v>18.348013972374321</v>
      </c>
    </row>
    <row r="44" spans="2:9" ht="14" customHeight="1" x14ac:dyDescent="0.3">
      <c r="B44" s="4" t="s">
        <v>156</v>
      </c>
      <c r="C44" s="30">
        <v>5</v>
      </c>
      <c r="D44" s="13">
        <f t="shared" si="1"/>
        <v>86.037742471798239</v>
      </c>
      <c r="E44" s="13">
        <f t="shared" si="1"/>
        <v>44.107703839610032</v>
      </c>
      <c r="F44" s="13">
        <f t="shared" si="1"/>
        <v>29.305492072041414</v>
      </c>
      <c r="G44" s="13">
        <f t="shared" si="1"/>
        <v>21.750270350869712</v>
      </c>
      <c r="H44" s="13">
        <f t="shared" si="1"/>
        <v>17.173255176545158</v>
      </c>
    </row>
    <row r="45" spans="2:9" ht="14" customHeight="1" x14ac:dyDescent="0.3">
      <c r="B45" s="4" t="s">
        <v>157</v>
      </c>
      <c r="C45" s="30">
        <v>7</v>
      </c>
      <c r="D45" s="13">
        <f t="shared" si="1"/>
        <v>83.485153512775454</v>
      </c>
      <c r="E45" s="13">
        <f t="shared" si="1"/>
        <v>42.413669127274943</v>
      </c>
      <c r="F45" s="13">
        <f t="shared" si="1"/>
        <v>27.933817974927518</v>
      </c>
      <c r="G45" s="13">
        <f t="shared" si="1"/>
        <v>20.556599090366973</v>
      </c>
      <c r="H45" s="13">
        <f t="shared" si="1"/>
        <v>16.097438041095788</v>
      </c>
    </row>
    <row r="46" spans="2:9" ht="14" customHeight="1" x14ac:dyDescent="0.3">
      <c r="B46" s="4" t="s">
        <v>158</v>
      </c>
      <c r="C46" s="30">
        <v>10</v>
      </c>
      <c r="D46" s="13">
        <f t="shared" si="1"/>
        <v>79.825874277084267</v>
      </c>
      <c r="E46" s="13">
        <f t="shared" si="1"/>
        <v>40.025778101052779</v>
      </c>
      <c r="F46" s="13">
        <f t="shared" si="1"/>
        <v>26.030910044720905</v>
      </c>
      <c r="G46" s="13">
        <f t="shared" si="1"/>
        <v>18.925789670879347</v>
      </c>
      <c r="H46" s="13">
        <f t="shared" si="1"/>
        <v>14.649229840808637</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24175.64711834487</v>
      </c>
      <c r="E48" s="5">
        <f t="shared" si="2"/>
        <v>46731.452423082112</v>
      </c>
      <c r="F48" s="5">
        <f t="shared" si="2"/>
        <v>69714.35137119556</v>
      </c>
      <c r="G48" s="5">
        <f t="shared" si="2"/>
        <v>93119.920416867913</v>
      </c>
      <c r="H48" s="5">
        <f t="shared" si="2"/>
        <v>116943.74752884528</v>
      </c>
    </row>
    <row r="49" spans="2:9" ht="14" customHeight="1" x14ac:dyDescent="0.3">
      <c r="B49" s="4" t="s">
        <v>156</v>
      </c>
      <c r="C49" s="30">
        <v>5</v>
      </c>
      <c r="D49" s="5">
        <f t="shared" si="2"/>
        <v>24539.075879609009</v>
      </c>
      <c r="E49" s="5">
        <f t="shared" si="2"/>
        <v>47895.304558652257</v>
      </c>
      <c r="F49" s="5">
        <f t="shared" si="2"/>
        <v>72128.980658130502</v>
      </c>
      <c r="G49" s="5">
        <f t="shared" si="2"/>
        <v>97238.269929226677</v>
      </c>
      <c r="H49" s="5">
        <f t="shared" si="2"/>
        <v>123220.89377303173</v>
      </c>
    </row>
    <row r="50" spans="2:9" ht="14" customHeight="1" x14ac:dyDescent="0.3">
      <c r="B50" s="4" t="s">
        <v>157</v>
      </c>
      <c r="C50" s="30">
        <v>7</v>
      </c>
      <c r="D50" s="5">
        <f t="shared" si="2"/>
        <v>24907.922120599422</v>
      </c>
      <c r="E50" s="5">
        <f t="shared" si="2"/>
        <v>49085.808265909087</v>
      </c>
      <c r="F50" s="5">
        <f t="shared" si="2"/>
        <v>74614.681530167363</v>
      </c>
      <c r="G50" s="5">
        <f t="shared" si="2"/>
        <v>101502.12948578164</v>
      </c>
      <c r="H50" s="5">
        <f t="shared" si="2"/>
        <v>129754.28536130657</v>
      </c>
    </row>
    <row r="51" spans="2:9" ht="14" customHeight="1" x14ac:dyDescent="0.3">
      <c r="B51" s="4" t="s">
        <v>158</v>
      </c>
      <c r="C51" s="30">
        <v>10</v>
      </c>
      <c r="D51" s="5">
        <f t="shared" si="2"/>
        <v>25471.359695322099</v>
      </c>
      <c r="E51" s="5">
        <f t="shared" si="2"/>
        <v>50921.571508184024</v>
      </c>
      <c r="F51" s="5">
        <f t="shared" si="2"/>
        <v>78476.198652120351</v>
      </c>
      <c r="G51" s="5">
        <f t="shared" si="2"/>
        <v>108169.16507578461</v>
      </c>
      <c r="H51" s="5">
        <f t="shared" si="2"/>
        <v>140030.10299007592</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0.28502295588711235</v>
      </c>
      <c r="E53" s="14">
        <f t="shared" si="3"/>
        <v>0.550948507699624</v>
      </c>
      <c r="F53" s="14">
        <f t="shared" si="3"/>
        <v>0.82190935358636596</v>
      </c>
      <c r="G53" s="14">
        <f t="shared" si="3"/>
        <v>1.097853341391982</v>
      </c>
      <c r="H53" s="14">
        <f t="shared" si="3"/>
        <v>1.3787284547140448</v>
      </c>
    </row>
    <row r="54" spans="2:9" ht="14" customHeight="1" x14ac:dyDescent="0.3">
      <c r="B54" s="4" t="s">
        <v>156</v>
      </c>
      <c r="C54" s="30">
        <v>5</v>
      </c>
      <c r="D54" s="14">
        <f t="shared" si="3"/>
        <v>0.28930766186759027</v>
      </c>
      <c r="E54" s="14">
        <f t="shared" si="3"/>
        <v>0.56466994292209682</v>
      </c>
      <c r="F54" s="14">
        <f t="shared" si="3"/>
        <v>0.85037704147760551</v>
      </c>
      <c r="G54" s="14">
        <f t="shared" si="3"/>
        <v>1.1464073323417434</v>
      </c>
      <c r="H54" s="14">
        <f t="shared" si="3"/>
        <v>1.45273395158019</v>
      </c>
    </row>
    <row r="55" spans="2:9" ht="14" customHeight="1" x14ac:dyDescent="0.3">
      <c r="B55" s="4" t="s">
        <v>157</v>
      </c>
      <c r="C55" s="30">
        <v>7</v>
      </c>
      <c r="D55" s="14">
        <f t="shared" si="3"/>
        <v>0.29365623815844638</v>
      </c>
      <c r="E55" s="14">
        <f t="shared" si="3"/>
        <v>0.57870559143962608</v>
      </c>
      <c r="F55" s="14">
        <f t="shared" si="3"/>
        <v>0.87968264006327945</v>
      </c>
      <c r="G55" s="14">
        <f t="shared" si="3"/>
        <v>1.1966768390212408</v>
      </c>
      <c r="H55" s="14">
        <f t="shared" si="3"/>
        <v>1.5297604970679859</v>
      </c>
    </row>
    <row r="56" spans="2:9" ht="14" customHeight="1" x14ac:dyDescent="0.3">
      <c r="B56" s="4" t="s">
        <v>158</v>
      </c>
      <c r="C56" s="30">
        <v>10</v>
      </c>
      <c r="D56" s="14">
        <f t="shared" si="3"/>
        <v>0.30029898249613413</v>
      </c>
      <c r="E56" s="14">
        <f t="shared" si="3"/>
        <v>0.60034863838934238</v>
      </c>
      <c r="F56" s="14">
        <f t="shared" si="3"/>
        <v>0.92520866130771462</v>
      </c>
      <c r="G56" s="14">
        <f t="shared" si="3"/>
        <v>1.2752790034872035</v>
      </c>
      <c r="H56" s="14">
        <f t="shared" si="3"/>
        <v>1.6509090189822673</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72128.980658130502</v>
      </c>
    </row>
    <row r="62" spans="2:9" ht="14" customHeight="1" x14ac:dyDescent="0.3">
      <c r="B62" s="28" t="s">
        <v>165</v>
      </c>
      <c r="C62" s="28" t="s">
        <v>166</v>
      </c>
      <c r="D62" s="28" t="s">
        <v>167</v>
      </c>
    </row>
    <row r="63" spans="2:9" ht="14" customHeight="1" x14ac:dyDescent="0.3">
      <c r="B63" s="31">
        <v>2.4799999999999999E-2</v>
      </c>
      <c r="C63" s="5">
        <f>IFERROR($C$60/B63,"N/A")</f>
        <v>2908426.639440746</v>
      </c>
      <c r="D63" s="14">
        <f>IFERROR(C63/'DCF Model'!C17,"N/A")</f>
        <v>1.5622348280213212</v>
      </c>
    </row>
    <row r="64" spans="2:9" ht="14" customHeight="1" x14ac:dyDescent="0.3">
      <c r="B64" s="31">
        <v>3.73E-2</v>
      </c>
      <c r="C64" s="5">
        <f>IFERROR($C$60/B64,"N/A")</f>
        <v>1933752.8326576543</v>
      </c>
      <c r="D64" s="14">
        <f>IFERROR(C64/'DCF Model'!C17,"N/A")</f>
        <v>1.0386976872635059</v>
      </c>
    </row>
    <row r="65" spans="2:9" ht="14" customHeight="1" x14ac:dyDescent="0.3">
      <c r="B65" s="4" t="s">
        <v>168</v>
      </c>
      <c r="C65" s="5">
        <f>IFERROR($C$60/$C$18,"N/A")</f>
        <v>1451288.324444382</v>
      </c>
      <c r="D65" s="14">
        <f>IFERROR(C65/'DCF Model'!C17,"N/A")</f>
        <v>0.77954627949071631</v>
      </c>
    </row>
    <row r="66" spans="2:9" ht="14" customHeight="1" x14ac:dyDescent="0.3">
      <c r="B66" s="31">
        <v>6.2100000000000002E-2</v>
      </c>
      <c r="C66" s="5">
        <f>IFERROR($C$60/B66,"N/A")</f>
        <v>1161497.2730777857</v>
      </c>
      <c r="D66" s="14">
        <f>IFERROR(C66/'DCF Model'!C17,"N/A")</f>
        <v>0.62388766078790281</v>
      </c>
    </row>
    <row r="67" spans="2:9" ht="14" customHeight="1" x14ac:dyDescent="0.3">
      <c r="B67" s="31">
        <v>7.4499999999999997E-2</v>
      </c>
      <c r="C67" s="5">
        <f>IFERROR($C$60/B67,"N/A")</f>
        <v>968174.23702188593</v>
      </c>
      <c r="D67" s="14">
        <f>IFERROR(C67/'DCF Model'!C17,"N/A")</f>
        <v>0.52004595617354055</v>
      </c>
    </row>
    <row r="69" spans="2:9" ht="14" customHeight="1" x14ac:dyDescent="0.3">
      <c r="B69" s="8" t="s">
        <v>169</v>
      </c>
      <c r="C69" s="9"/>
      <c r="D69" s="9"/>
      <c r="E69" s="9"/>
      <c r="F69" s="9"/>
      <c r="G69" s="9"/>
      <c r="H69" s="9"/>
      <c r="I69" s="9"/>
    </row>
    <row r="70" spans="2:9" ht="13.5" customHeight="1" x14ac:dyDescent="0.25">
      <c r="B70" s="6" t="s">
        <v>170</v>
      </c>
      <c r="C70" s="14">
        <f>IFERROR(C10/'Comps Analysis'!G5,"N/A")</f>
        <v>11.363823908492234</v>
      </c>
    </row>
    <row r="71" spans="2:9" ht="13.5" customHeight="1" x14ac:dyDescent="0.25">
      <c r="B71" s="6" t="s">
        <v>171</v>
      </c>
      <c r="C71" s="14">
        <f>IFERROR(C10/'Comps Analysis'!F5,"N/A")</f>
        <v>0.87728149974041558</v>
      </c>
    </row>
    <row r="72" spans="2:9" ht="14" customHeight="1" x14ac:dyDescent="0.3">
      <c r="B72" s="4" t="s">
        <v>172</v>
      </c>
      <c r="C72" s="14">
        <f>IFERROR(C10/(C25+'DCF Model'!G42),"N/A")</f>
        <v>8.8057593633277715</v>
      </c>
    </row>
    <row r="73" spans="2:9" ht="14" customHeight="1" x14ac:dyDescent="0.3">
      <c r="B73" s="4" t="s">
        <v>173</v>
      </c>
      <c r="C73" s="14">
        <f>IFERROR(C10/(C60+'DCF Model'!G42),"N/A")</f>
        <v>8.585504494850758</v>
      </c>
    </row>
    <row r="74" spans="2:9" ht="14" customHeight="1" x14ac:dyDescent="0.3">
      <c r="B74" s="4" t="s">
        <v>174</v>
      </c>
      <c r="C74" s="14">
        <f>IFERROR('Comps Analysis'!D16,"N/A")</f>
        <v>8.4361372454228807</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875 yen the market is paying for a steady-state operating profit of 72,129 mn JPY - 0.85x the FY2023 cycle peak of 84,820 mn - reached in 5 years and sustained for ever, against 34,582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67,371 mn, or 0.79x the peak. The base case supports an EV of only 988,490 mn, leaving 759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72.0052489406239</v>
      </c>
      <c r="D5" s="34">
        <f>CHOOSE('DCF Model'!$D$27,D25,D26,D27,D28,D29)</f>
        <v>76</v>
      </c>
      <c r="E5" s="34">
        <f>CHOOSE('DCF Model'!$D$27,E25,E26,E27,E28,E29)</f>
        <v>76</v>
      </c>
      <c r="F5" s="34">
        <f>CHOOSE('DCF Model'!$D$27,F25,F26,F27,F28,F29)</f>
        <v>76</v>
      </c>
      <c r="G5" s="34">
        <f>CHOOSE('DCF Model'!$D$27,G25,G26,G27,G28,G29)</f>
        <v>76</v>
      </c>
      <c r="H5" s="34">
        <f>CHOOSE('DCF Model'!$D$27,H25,H26,H27,H28,H29)</f>
        <v>76</v>
      </c>
    </row>
    <row r="6" spans="2:8" ht="14" customHeight="1" x14ac:dyDescent="0.3">
      <c r="B6" s="33" t="s">
        <v>181</v>
      </c>
      <c r="C6" s="34">
        <f>C13/C10*365</f>
        <v>72.557373564279459</v>
      </c>
      <c r="D6" s="34">
        <f>CHOOSE('DCF Model'!$D$27,D32,D33,D34,D35,D36)</f>
        <v>75</v>
      </c>
      <c r="E6" s="34">
        <f>CHOOSE('DCF Model'!$D$27,E32,E33,E34,E35,E36)</f>
        <v>75</v>
      </c>
      <c r="F6" s="34">
        <f>CHOOSE('DCF Model'!$D$27,F32,F33,F34,F35,F36)</f>
        <v>75</v>
      </c>
      <c r="G6" s="34">
        <f>CHOOSE('DCF Model'!$D$27,G32,G33,G34,G35,G36)</f>
        <v>75</v>
      </c>
      <c r="H6" s="34">
        <f>CHOOSE('DCF Model'!$D$27,H32,H33,H34,H35,H36)</f>
        <v>75</v>
      </c>
    </row>
    <row r="7" spans="2:8" ht="14" customHeight="1" x14ac:dyDescent="0.3">
      <c r="B7" s="33" t="s">
        <v>182</v>
      </c>
      <c r="C7" s="34">
        <f>C15/C10*365</f>
        <v>58.169760221342152</v>
      </c>
      <c r="D7" s="34">
        <f>CHOOSE('DCF Model'!$D$27,D39,D40,D41,D42,D43)</f>
        <v>66</v>
      </c>
      <c r="E7" s="34">
        <f>CHOOSE('DCF Model'!$D$27,E39,E40,E41,E42,E43)</f>
        <v>66</v>
      </c>
      <c r="F7" s="34">
        <f>CHOOSE('DCF Model'!$D$27,F39,F40,F41,F42,F43)</f>
        <v>66</v>
      </c>
      <c r="G7" s="34">
        <f>CHOOSE('DCF Model'!$D$27,G39,G40,G41,G42,G43)</f>
        <v>66</v>
      </c>
      <c r="H7" s="34">
        <f>CHOOSE('DCF Model'!$D$27,H39,H40,H41,H42,H43)</f>
        <v>66</v>
      </c>
    </row>
    <row r="8" spans="2:8" ht="14" customHeight="1" x14ac:dyDescent="0.3">
      <c r="B8" s="8" t="s">
        <v>183</v>
      </c>
      <c r="C8" s="9"/>
      <c r="D8" s="9"/>
      <c r="E8" s="9"/>
      <c r="F8" s="9"/>
      <c r="G8" s="9"/>
      <c r="H8" s="9"/>
    </row>
    <row r="9" spans="2:8" ht="14" customHeight="1" x14ac:dyDescent="0.3">
      <c r="B9" s="33" t="s">
        <v>37</v>
      </c>
      <c r="C9" s="35">
        <v>1861709</v>
      </c>
      <c r="D9" s="35">
        <f>'DCF Model'!C33</f>
        <v>1880326.09</v>
      </c>
      <c r="E9" s="35">
        <f>'DCF Model'!D33</f>
        <v>1908530.98135</v>
      </c>
      <c r="F9" s="35">
        <f>'DCF Model'!E33</f>
        <v>1946701.6009770001</v>
      </c>
      <c r="G9" s="35">
        <f>'DCF Model'!F33</f>
        <v>1985635.6329965401</v>
      </c>
      <c r="H9" s="35">
        <f>'DCF Model'!G33</f>
        <v>2015420.1674914879</v>
      </c>
    </row>
    <row r="10" spans="2:8" ht="14" customHeight="1" x14ac:dyDescent="0.3">
      <c r="B10" s="33" t="s">
        <v>38</v>
      </c>
      <c r="C10" s="35">
        <v>1538252</v>
      </c>
      <c r="D10" s="35">
        <f>'DCF Model'!C34</f>
        <v>1553149.3503399999</v>
      </c>
      <c r="E10" s="35">
        <f>'DCF Model'!D34</f>
        <v>1576446.5905950998</v>
      </c>
      <c r="F10" s="35">
        <f>'DCF Model'!E34</f>
        <v>1607975.522407002</v>
      </c>
      <c r="G10" s="35">
        <f>'DCF Model'!F34</f>
        <v>1640135.0328551419</v>
      </c>
      <c r="H10" s="35">
        <f>'DCF Model'!G34</f>
        <v>1664737.0583479689</v>
      </c>
    </row>
    <row r="11" spans="2:8" ht="14" customHeight="1" x14ac:dyDescent="0.3">
      <c r="B11" s="8" t="s">
        <v>184</v>
      </c>
      <c r="C11" s="9"/>
      <c r="D11" s="9"/>
      <c r="E11" s="9"/>
      <c r="F11" s="9"/>
      <c r="G11" s="9"/>
      <c r="H11" s="9"/>
    </row>
    <row r="12" spans="2:8" ht="14" customHeight="1" x14ac:dyDescent="0.3">
      <c r="B12" s="33" t="s">
        <v>185</v>
      </c>
      <c r="C12" s="35">
        <v>367268</v>
      </c>
      <c r="D12" s="35">
        <f t="shared" ref="D12:H13" si="0">D9*D5/365</f>
        <v>391519.95298630139</v>
      </c>
      <c r="E12" s="35">
        <f t="shared" si="0"/>
        <v>397392.75228109589</v>
      </c>
      <c r="F12" s="35">
        <f t="shared" si="0"/>
        <v>405340.60732671781</v>
      </c>
      <c r="G12" s="35">
        <f t="shared" si="0"/>
        <v>413447.41947325214</v>
      </c>
      <c r="H12" s="35">
        <f t="shared" si="0"/>
        <v>419649.13076535088</v>
      </c>
    </row>
    <row r="13" spans="2:8" ht="14" customHeight="1" x14ac:dyDescent="0.3">
      <c r="B13" s="33" t="s">
        <v>186</v>
      </c>
      <c r="C13" s="35">
        <v>305785</v>
      </c>
      <c r="D13" s="35">
        <f t="shared" si="0"/>
        <v>319140.27746712323</v>
      </c>
      <c r="E13" s="35">
        <f t="shared" si="0"/>
        <v>323927.3816291301</v>
      </c>
      <c r="F13" s="35">
        <f t="shared" si="0"/>
        <v>330405.92926171276</v>
      </c>
      <c r="G13" s="35">
        <f t="shared" si="0"/>
        <v>337014.04784694698</v>
      </c>
      <c r="H13" s="35">
        <f t="shared" si="0"/>
        <v>342069.25856465113</v>
      </c>
    </row>
    <row r="14" spans="2:8" ht="14" customHeight="1" x14ac:dyDescent="0.3">
      <c r="B14" s="33" t="s">
        <v>187</v>
      </c>
      <c r="C14" s="35">
        <f t="shared" ref="C14:H14" si="1">C12+C13</f>
        <v>673053</v>
      </c>
      <c r="D14" s="35">
        <f t="shared" si="1"/>
        <v>710660.23045342462</v>
      </c>
      <c r="E14" s="35">
        <f t="shared" si="1"/>
        <v>721320.13391022594</v>
      </c>
      <c r="F14" s="35">
        <f t="shared" si="1"/>
        <v>735746.53658843064</v>
      </c>
      <c r="G14" s="35">
        <f t="shared" si="1"/>
        <v>750461.46732019912</v>
      </c>
      <c r="H14" s="35">
        <f t="shared" si="1"/>
        <v>761718.38933000201</v>
      </c>
    </row>
    <row r="15" spans="2:8" ht="14" customHeight="1" x14ac:dyDescent="0.3">
      <c r="B15" s="33" t="s">
        <v>188</v>
      </c>
      <c r="C15" s="35">
        <v>245150</v>
      </c>
      <c r="D15" s="35">
        <f>D10*D7/365</f>
        <v>280843.44417106849</v>
      </c>
      <c r="E15" s="35">
        <f>E10*E7/365</f>
        <v>285056.09583363449</v>
      </c>
      <c r="F15" s="35">
        <f>F10*F7/365</f>
        <v>290757.21775030723</v>
      </c>
      <c r="G15" s="35">
        <f>G10*G7/365</f>
        <v>296572.36210531334</v>
      </c>
      <c r="H15" s="35">
        <f>H10*H7/365</f>
        <v>301020.94753689301</v>
      </c>
    </row>
    <row r="16" spans="2:8" ht="14" customHeight="1" x14ac:dyDescent="0.3">
      <c r="B16" s="33" t="s">
        <v>189</v>
      </c>
      <c r="C16" s="35">
        <f t="shared" ref="C16:H16" si="2">C15</f>
        <v>245150</v>
      </c>
      <c r="D16" s="35">
        <f t="shared" si="2"/>
        <v>280843.44417106849</v>
      </c>
      <c r="E16" s="35">
        <f t="shared" si="2"/>
        <v>285056.09583363449</v>
      </c>
      <c r="F16" s="35">
        <f t="shared" si="2"/>
        <v>290757.21775030723</v>
      </c>
      <c r="G16" s="35">
        <f t="shared" si="2"/>
        <v>296572.36210531334</v>
      </c>
      <c r="H16" s="35">
        <f t="shared" si="2"/>
        <v>301020.94753689301</v>
      </c>
    </row>
    <row r="17" spans="2:8" ht="14" customHeight="1" x14ac:dyDescent="0.3">
      <c r="B17" s="22" t="s">
        <v>190</v>
      </c>
      <c r="C17" s="23"/>
      <c r="D17" s="23"/>
      <c r="E17" s="23"/>
      <c r="F17" s="23"/>
      <c r="G17" s="23"/>
      <c r="H17" s="23"/>
    </row>
    <row r="18" spans="2:8" ht="14" customHeight="1" x14ac:dyDescent="0.3">
      <c r="B18" s="33" t="s">
        <v>191</v>
      </c>
      <c r="C18" s="20">
        <f t="shared" ref="C18:H18" si="3">C14-C16</f>
        <v>427903</v>
      </c>
      <c r="D18" s="20">
        <f t="shared" si="3"/>
        <v>429816.78628235613</v>
      </c>
      <c r="E18" s="20">
        <f t="shared" si="3"/>
        <v>436264.03807659145</v>
      </c>
      <c r="F18" s="20">
        <f t="shared" si="3"/>
        <v>444989.31883812341</v>
      </c>
      <c r="G18" s="20">
        <f t="shared" si="3"/>
        <v>453889.10521488579</v>
      </c>
      <c r="H18" s="20">
        <f t="shared" si="3"/>
        <v>460697.441793109</v>
      </c>
    </row>
    <row r="19" spans="2:8" ht="14" customHeight="1" x14ac:dyDescent="0.3">
      <c r="B19" s="33" t="s">
        <v>100</v>
      </c>
      <c r="C19" s="36" t="s">
        <v>47</v>
      </c>
      <c r="D19" s="24">
        <f>D18-C18</f>
        <v>1913.78628235613</v>
      </c>
      <c r="E19" s="24">
        <f>E18-D18</f>
        <v>6447.2517942353152</v>
      </c>
      <c r="F19" s="24">
        <f>F18-E18</f>
        <v>8725.2807615319616</v>
      </c>
      <c r="G19" s="24">
        <f>G18-F18</f>
        <v>8899.7863767623785</v>
      </c>
      <c r="H19" s="24">
        <f>H18-G18</f>
        <v>6808.336578223214</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76</v>
      </c>
      <c r="E25" s="30">
        <v>76</v>
      </c>
      <c r="F25" s="30">
        <v>76</v>
      </c>
      <c r="G25" s="30">
        <v>76</v>
      </c>
      <c r="H25" s="30">
        <v>76</v>
      </c>
    </row>
    <row r="26" spans="2:8" ht="14" customHeight="1" x14ac:dyDescent="0.3">
      <c r="B26" s="4" t="s">
        <v>121</v>
      </c>
      <c r="D26" s="30">
        <v>73</v>
      </c>
      <c r="E26" s="30">
        <v>73</v>
      </c>
      <c r="F26" s="30">
        <v>73</v>
      </c>
      <c r="G26" s="30">
        <v>73</v>
      </c>
      <c r="H26" s="30">
        <v>73</v>
      </c>
    </row>
    <row r="27" spans="2:8" ht="14" customHeight="1" x14ac:dyDescent="0.3">
      <c r="B27" s="4" t="s">
        <v>122</v>
      </c>
      <c r="D27" s="30">
        <v>76</v>
      </c>
      <c r="E27" s="30">
        <v>76</v>
      </c>
      <c r="F27" s="30">
        <v>76</v>
      </c>
      <c r="G27" s="30">
        <v>76</v>
      </c>
      <c r="H27" s="30">
        <v>76</v>
      </c>
    </row>
    <row r="28" spans="2:8" ht="14" customHeight="1" x14ac:dyDescent="0.3">
      <c r="B28" s="4" t="s">
        <v>123</v>
      </c>
      <c r="D28" s="30">
        <v>80</v>
      </c>
      <c r="E28" s="30">
        <v>80</v>
      </c>
      <c r="F28" s="30">
        <v>80</v>
      </c>
      <c r="G28" s="30">
        <v>80</v>
      </c>
      <c r="H28" s="30">
        <v>80</v>
      </c>
    </row>
    <row r="29" spans="2:8" ht="14" customHeight="1" x14ac:dyDescent="0.3">
      <c r="B29" s="4" t="s">
        <v>124</v>
      </c>
      <c r="D29" s="30">
        <v>84</v>
      </c>
      <c r="E29" s="30">
        <v>84</v>
      </c>
      <c r="F29" s="30">
        <v>84</v>
      </c>
      <c r="G29" s="30">
        <v>84</v>
      </c>
      <c r="H29" s="30">
        <v>84</v>
      </c>
    </row>
    <row r="31" spans="2:8" ht="14" customHeight="1" x14ac:dyDescent="0.3">
      <c r="B31" s="3" t="s">
        <v>194</v>
      </c>
    </row>
    <row r="32" spans="2:8" ht="14" customHeight="1" x14ac:dyDescent="0.3">
      <c r="B32" s="4" t="s">
        <v>84</v>
      </c>
      <c r="D32" s="30">
        <v>75</v>
      </c>
      <c r="E32" s="30">
        <v>75</v>
      </c>
      <c r="F32" s="30">
        <v>75</v>
      </c>
      <c r="G32" s="30">
        <v>75</v>
      </c>
      <c r="H32" s="30">
        <v>75</v>
      </c>
    </row>
    <row r="33" spans="2:8" ht="14" customHeight="1" x14ac:dyDescent="0.3">
      <c r="B33" s="4" t="s">
        <v>121</v>
      </c>
      <c r="D33" s="30">
        <v>69</v>
      </c>
      <c r="E33" s="30">
        <v>69</v>
      </c>
      <c r="F33" s="30">
        <v>69</v>
      </c>
      <c r="G33" s="30">
        <v>69</v>
      </c>
      <c r="H33" s="30">
        <v>69</v>
      </c>
    </row>
    <row r="34" spans="2:8" ht="14" customHeight="1" x14ac:dyDescent="0.3">
      <c r="B34" s="4" t="s">
        <v>122</v>
      </c>
      <c r="D34" s="30">
        <v>75</v>
      </c>
      <c r="E34" s="30">
        <v>75</v>
      </c>
      <c r="F34" s="30">
        <v>75</v>
      </c>
      <c r="G34" s="30">
        <v>75</v>
      </c>
      <c r="H34" s="30">
        <v>75</v>
      </c>
    </row>
    <row r="35" spans="2:8" ht="14" customHeight="1" x14ac:dyDescent="0.3">
      <c r="B35" s="4" t="s">
        <v>123</v>
      </c>
      <c r="D35" s="30">
        <v>82</v>
      </c>
      <c r="E35" s="30">
        <v>82</v>
      </c>
      <c r="F35" s="30">
        <v>82</v>
      </c>
      <c r="G35" s="30">
        <v>82</v>
      </c>
      <c r="H35" s="30">
        <v>82</v>
      </c>
    </row>
    <row r="36" spans="2:8" ht="14" customHeight="1" x14ac:dyDescent="0.3">
      <c r="B36" s="4" t="s">
        <v>124</v>
      </c>
      <c r="D36" s="30">
        <v>89</v>
      </c>
      <c r="E36" s="30">
        <v>89</v>
      </c>
      <c r="F36" s="30">
        <v>89</v>
      </c>
      <c r="G36" s="30">
        <v>89</v>
      </c>
      <c r="H36" s="30">
        <v>89</v>
      </c>
    </row>
    <row r="38" spans="2:8" ht="14" customHeight="1" x14ac:dyDescent="0.3">
      <c r="B38" s="3" t="s">
        <v>195</v>
      </c>
    </row>
    <row r="39" spans="2:8" ht="14" customHeight="1" x14ac:dyDescent="0.3">
      <c r="B39" s="4" t="s">
        <v>84</v>
      </c>
      <c r="D39" s="30">
        <v>66</v>
      </c>
      <c r="E39" s="30">
        <v>66</v>
      </c>
      <c r="F39" s="30">
        <v>66</v>
      </c>
      <c r="G39" s="30">
        <v>66</v>
      </c>
      <c r="H39" s="30">
        <v>66</v>
      </c>
    </row>
    <row r="40" spans="2:8" ht="14" customHeight="1" x14ac:dyDescent="0.3">
      <c r="B40" s="4" t="s">
        <v>121</v>
      </c>
      <c r="D40" s="30">
        <v>68</v>
      </c>
      <c r="E40" s="30">
        <v>68</v>
      </c>
      <c r="F40" s="30">
        <v>68</v>
      </c>
      <c r="G40" s="30">
        <v>68</v>
      </c>
      <c r="H40" s="30">
        <v>68</v>
      </c>
    </row>
    <row r="41" spans="2:8" ht="14" customHeight="1" x14ac:dyDescent="0.3">
      <c r="B41" s="4" t="s">
        <v>122</v>
      </c>
      <c r="D41" s="30">
        <v>66</v>
      </c>
      <c r="E41" s="30">
        <v>66</v>
      </c>
      <c r="F41" s="30">
        <v>66</v>
      </c>
      <c r="G41" s="30">
        <v>66</v>
      </c>
      <c r="H41" s="30">
        <v>66</v>
      </c>
    </row>
    <row r="42" spans="2:8" ht="14" customHeight="1" x14ac:dyDescent="0.3">
      <c r="B42" s="4" t="s">
        <v>123</v>
      </c>
      <c r="D42" s="30">
        <v>63</v>
      </c>
      <c r="E42" s="30">
        <v>63</v>
      </c>
      <c r="F42" s="30">
        <v>63</v>
      </c>
      <c r="G42" s="30">
        <v>63</v>
      </c>
      <c r="H42" s="30">
        <v>63</v>
      </c>
    </row>
    <row r="43" spans="2:8" ht="14" customHeight="1" x14ac:dyDescent="0.3">
      <c r="B43" s="4" t="s">
        <v>124</v>
      </c>
      <c r="D43" s="30">
        <v>60</v>
      </c>
      <c r="E43" s="30">
        <v>60</v>
      </c>
      <c r="F43" s="30">
        <v>60</v>
      </c>
      <c r="G43" s="30">
        <v>60</v>
      </c>
      <c r="H43" s="30">
        <v>60</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tabSelected="1"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743249.8636002295</v>
      </c>
      <c r="E5" s="37">
        <f>D5+C24</f>
        <v>1633242.8636002294</v>
      </c>
      <c r="F5" s="37">
        <v>1861709</v>
      </c>
      <c r="G5" s="37">
        <v>143723</v>
      </c>
      <c r="H5" s="37">
        <v>34582</v>
      </c>
      <c r="I5" s="37">
        <v>55582</v>
      </c>
      <c r="J5" s="38">
        <f t="shared" ref="J5:J10" si="0">IFERROR(E5/G5,"")</f>
        <v>11.363823908492234</v>
      </c>
      <c r="K5" s="38">
        <f t="shared" ref="K5:K10" si="1">IFERROR(E5/F5,"")</f>
        <v>0.87728149974041558</v>
      </c>
      <c r="L5" s="38">
        <f t="shared" ref="L5:L10" si="2">IFERROR(D5/I5,"")</f>
        <v>13.372132409777077</v>
      </c>
      <c r="M5" s="38">
        <f t="shared" ref="M5:M10" si="3">IFERROR(D5/P5,"")</f>
        <v>0.67423270680122849</v>
      </c>
      <c r="N5" s="39">
        <f t="shared" ref="N5:N10" si="4">IFERROR(H5/F5,"")</f>
        <v>1.8575405715930901E-2</v>
      </c>
      <c r="O5" s="39">
        <f t="shared" ref="O5:O10" si="5">IFERROR(I5/P5,"")</f>
        <v>5.0420732171950464E-2</v>
      </c>
      <c r="P5" s="37">
        <v>1102364</v>
      </c>
    </row>
    <row r="6" spans="2:17" ht="14" customHeight="1" x14ac:dyDescent="0.3">
      <c r="B6" s="4" t="s">
        <v>214</v>
      </c>
      <c r="C6" t="s">
        <v>215</v>
      </c>
      <c r="D6" s="37">
        <v>150593</v>
      </c>
      <c r="E6" s="37">
        <v>820040</v>
      </c>
      <c r="F6" s="37">
        <v>1192606</v>
      </c>
      <c r="G6" s="37">
        <v>88420</v>
      </c>
      <c r="H6" s="37">
        <v>25207</v>
      </c>
      <c r="I6" s="37">
        <v>11743</v>
      </c>
      <c r="J6" s="38">
        <f t="shared" si="0"/>
        <v>9.2743723139561194</v>
      </c>
      <c r="K6" s="38">
        <f t="shared" si="1"/>
        <v>0.68760344992394806</v>
      </c>
      <c r="L6" s="38">
        <f t="shared" si="2"/>
        <v>12.824065400664226</v>
      </c>
      <c r="M6" s="38">
        <f t="shared" si="3"/>
        <v>0.29617122875472501</v>
      </c>
      <c r="N6" s="39">
        <f t="shared" si="4"/>
        <v>2.1136066731175258E-2</v>
      </c>
      <c r="O6" s="39">
        <f t="shared" si="5"/>
        <v>2.3094956201594602E-2</v>
      </c>
      <c r="P6" s="37">
        <v>508466</v>
      </c>
    </row>
    <row r="7" spans="2:17" ht="14" customHeight="1" x14ac:dyDescent="0.3">
      <c r="B7" s="4" t="s">
        <v>216</v>
      </c>
      <c r="C7" t="s">
        <v>217</v>
      </c>
      <c r="D7" s="37">
        <v>142499</v>
      </c>
      <c r="E7" s="37">
        <v>213204</v>
      </c>
      <c r="F7" s="37">
        <v>287736</v>
      </c>
      <c r="G7" s="37">
        <v>21545</v>
      </c>
      <c r="H7" s="37">
        <v>7539</v>
      </c>
      <c r="I7" s="37">
        <v>7299</v>
      </c>
      <c r="J7" s="38">
        <f t="shared" si="0"/>
        <v>9.8957530749593872</v>
      </c>
      <c r="K7" s="38">
        <f t="shared" si="1"/>
        <v>0.74097088998248395</v>
      </c>
      <c r="L7" s="38">
        <f t="shared" si="2"/>
        <v>19.523085354158106</v>
      </c>
      <c r="M7" s="38">
        <f t="shared" si="3"/>
        <v>0.56572590090000674</v>
      </c>
      <c r="N7" s="39">
        <f t="shared" si="4"/>
        <v>2.6201101009258487E-2</v>
      </c>
      <c r="O7" s="39">
        <f t="shared" si="5"/>
        <v>2.8977279494376448E-2</v>
      </c>
      <c r="P7" s="37">
        <v>251887</v>
      </c>
    </row>
    <row r="8" spans="2:17" ht="14" customHeight="1" x14ac:dyDescent="0.3">
      <c r="B8" s="4" t="s">
        <v>218</v>
      </c>
      <c r="C8" t="s">
        <v>219</v>
      </c>
      <c r="D8" s="37">
        <v>379212</v>
      </c>
      <c r="E8" s="37">
        <v>770973</v>
      </c>
      <c r="F8" s="37">
        <v>1008337</v>
      </c>
      <c r="G8" s="37">
        <v>99847</v>
      </c>
      <c r="H8" s="37">
        <v>37093</v>
      </c>
      <c r="I8" s="37">
        <v>21005</v>
      </c>
      <c r="J8" s="38">
        <f t="shared" si="0"/>
        <v>7.7215439622622615</v>
      </c>
      <c r="K8" s="38">
        <f t="shared" si="1"/>
        <v>0.76459854195571519</v>
      </c>
      <c r="L8" s="38">
        <f t="shared" si="2"/>
        <v>18.053415853368247</v>
      </c>
      <c r="M8" s="38">
        <f t="shared" si="3"/>
        <v>0.77501078072916563</v>
      </c>
      <c r="N8" s="39">
        <f t="shared" si="4"/>
        <v>3.6786312512582596E-2</v>
      </c>
      <c r="O8" s="39">
        <f t="shared" si="5"/>
        <v>4.2928761350421729E-2</v>
      </c>
      <c r="P8" s="37">
        <v>489299</v>
      </c>
    </row>
    <row r="9" spans="2:17" ht="14" customHeight="1" x14ac:dyDescent="0.3">
      <c r="B9" s="4" t="s">
        <v>220</v>
      </c>
      <c r="C9" t="s">
        <v>221</v>
      </c>
      <c r="D9" s="37">
        <v>553934</v>
      </c>
      <c r="E9" s="37">
        <v>734751</v>
      </c>
      <c r="F9" s="37">
        <v>808447</v>
      </c>
      <c r="G9" s="37">
        <v>143585</v>
      </c>
      <c r="H9" s="37">
        <v>58883</v>
      </c>
      <c r="I9" s="37">
        <v>7468</v>
      </c>
      <c r="J9" s="38">
        <f t="shared" si="0"/>
        <v>5.1171849427168574</v>
      </c>
      <c r="K9" s="38">
        <f t="shared" si="1"/>
        <v>0.90884250915644438</v>
      </c>
      <c r="L9" s="38">
        <f t="shared" si="2"/>
        <v>74.174343867166584</v>
      </c>
      <c r="M9" s="38">
        <f t="shared" si="3"/>
        <v>0.74568956233307482</v>
      </c>
      <c r="N9" s="39">
        <f t="shared" si="4"/>
        <v>7.2834706542296526E-2</v>
      </c>
      <c r="O9" s="39">
        <f t="shared" si="5"/>
        <v>1.005320065477729E-2</v>
      </c>
      <c r="P9" s="37">
        <v>742848</v>
      </c>
    </row>
    <row r="10" spans="2:17" ht="14" customHeight="1" x14ac:dyDescent="0.3">
      <c r="B10" s="4" t="s">
        <v>222</v>
      </c>
      <c r="C10" t="s">
        <v>223</v>
      </c>
      <c r="D10" s="37">
        <v>804059</v>
      </c>
      <c r="E10" s="37">
        <v>1361137</v>
      </c>
      <c r="F10" s="37">
        <v>1668754</v>
      </c>
      <c r="G10" s="37">
        <v>161346</v>
      </c>
      <c r="H10" s="37">
        <v>56602</v>
      </c>
      <c r="I10" s="37">
        <v>34378</v>
      </c>
      <c r="J10" s="38">
        <f t="shared" si="0"/>
        <v>8.4361372454228807</v>
      </c>
      <c r="K10" s="38">
        <f t="shared" si="1"/>
        <v>0.81566066658117375</v>
      </c>
      <c r="L10" s="38">
        <f t="shared" si="2"/>
        <v>23.388766071324685</v>
      </c>
      <c r="M10" s="38">
        <f t="shared" si="3"/>
        <v>0.92984144128725021</v>
      </c>
      <c r="N10" s="39">
        <f t="shared" si="4"/>
        <v>3.3918720194828E-2</v>
      </c>
      <c r="O10" s="39">
        <f t="shared" si="5"/>
        <v>3.9755899838908697E-2</v>
      </c>
      <c r="P10" s="37">
        <v>864727</v>
      </c>
    </row>
    <row r="14" spans="2:17" ht="14" customHeight="1" x14ac:dyDescent="0.3">
      <c r="B14" s="3" t="s">
        <v>224</v>
      </c>
    </row>
    <row r="15" spans="2:17" ht="14" customHeight="1" x14ac:dyDescent="0.3">
      <c r="B15" s="4" t="s">
        <v>225</v>
      </c>
      <c r="D15" s="38">
        <f t="shared" ref="D15:I15" si="6">PERCENTILE(J6:J10,0.25)</f>
        <v>7.7215439622622615</v>
      </c>
      <c r="E15" s="38">
        <f t="shared" si="6"/>
        <v>0.74097088998248395</v>
      </c>
      <c r="F15" s="38">
        <f t="shared" si="6"/>
        <v>18.053415853368247</v>
      </c>
      <c r="G15" s="38">
        <f t="shared" si="6"/>
        <v>0.56572590090000674</v>
      </c>
      <c r="H15" s="39">
        <f t="shared" si="6"/>
        <v>2.6201101009258487E-2</v>
      </c>
      <c r="I15" s="39">
        <f t="shared" si="6"/>
        <v>2.3094956201594602E-2</v>
      </c>
    </row>
    <row r="16" spans="2:17" ht="14" customHeight="1" x14ac:dyDescent="0.3">
      <c r="B16" s="4" t="s">
        <v>226</v>
      </c>
      <c r="D16" s="38">
        <f t="shared" ref="D16:I16" si="7">MEDIAN(J6:J10)</f>
        <v>8.4361372454228807</v>
      </c>
      <c r="E16" s="38">
        <f t="shared" si="7"/>
        <v>0.76459854195571519</v>
      </c>
      <c r="F16" s="38">
        <f t="shared" si="7"/>
        <v>19.523085354158106</v>
      </c>
      <c r="G16" s="38">
        <f t="shared" si="7"/>
        <v>0.74568956233307482</v>
      </c>
      <c r="H16" s="39">
        <f t="shared" si="7"/>
        <v>3.3918720194828E-2</v>
      </c>
      <c r="I16" s="39">
        <f t="shared" si="7"/>
        <v>2.8977279494376448E-2</v>
      </c>
    </row>
    <row r="17" spans="2:9" ht="14" customHeight="1" x14ac:dyDescent="0.3">
      <c r="B17" s="4" t="s">
        <v>227</v>
      </c>
      <c r="D17" s="38">
        <f t="shared" ref="D17:I17" si="8">PERCENTILE(J6:J10,0.75)</f>
        <v>9.2743723139561194</v>
      </c>
      <c r="E17" s="38">
        <f t="shared" si="8"/>
        <v>0.81566066658117375</v>
      </c>
      <c r="F17" s="38">
        <f t="shared" si="8"/>
        <v>23.388766071324685</v>
      </c>
      <c r="G17" s="38">
        <f t="shared" si="8"/>
        <v>0.77501078072916563</v>
      </c>
      <c r="H17" s="39">
        <f t="shared" si="8"/>
        <v>3.6786312512582596E-2</v>
      </c>
      <c r="I17" s="39">
        <f t="shared" si="8"/>
        <v>3.9755899838908697E-2</v>
      </c>
    </row>
    <row r="19" spans="2:9" ht="14" customHeight="1" x14ac:dyDescent="0.3">
      <c r="B19" s="22" t="s">
        <v>228</v>
      </c>
      <c r="C19" s="23"/>
      <c r="D19" s="23"/>
      <c r="E19" s="23"/>
      <c r="F19" s="23"/>
      <c r="G19" s="23"/>
      <c r="H19" s="23"/>
      <c r="I19" s="23"/>
    </row>
    <row r="20" spans="2:9" ht="14" customHeight="1" x14ac:dyDescent="0.3">
      <c r="B20" s="3" t="s">
        <v>229</v>
      </c>
    </row>
    <row r="21" spans="2:9" ht="14" customHeight="1" x14ac:dyDescent="0.3">
      <c r="B21" s="4" t="s">
        <v>230</v>
      </c>
      <c r="C21" s="5">
        <v>143723</v>
      </c>
    </row>
    <row r="22" spans="2:9" ht="14" customHeight="1" x14ac:dyDescent="0.3">
      <c r="B22" s="4" t="s">
        <v>231</v>
      </c>
      <c r="C22" s="5">
        <v>55582</v>
      </c>
    </row>
    <row r="23" spans="2:9" ht="14" customHeight="1" x14ac:dyDescent="0.3">
      <c r="B23" s="4" t="s">
        <v>232</v>
      </c>
      <c r="C23" s="15">
        <v>849234293</v>
      </c>
    </row>
    <row r="24" spans="2:9" ht="14" customHeight="1" x14ac:dyDescent="0.3">
      <c r="B24" s="4" t="s">
        <v>73</v>
      </c>
      <c r="C24" s="5">
        <v>889993</v>
      </c>
    </row>
    <row r="26" spans="2:9" ht="14" customHeight="1" x14ac:dyDescent="0.3">
      <c r="B26" s="3" t="s">
        <v>233</v>
      </c>
    </row>
    <row r="27" spans="2:9" ht="14" customHeight="1" x14ac:dyDescent="0.3">
      <c r="B27" s="4" t="s">
        <v>234</v>
      </c>
      <c r="C27" s="24">
        <f>ROUND((C21*D16-C24)*1000000/C23,0)</f>
        <v>380</v>
      </c>
    </row>
    <row r="28" spans="2:9" ht="14" customHeight="1" x14ac:dyDescent="0.3">
      <c r="B28" s="4" t="s">
        <v>235</v>
      </c>
      <c r="C28" s="24">
        <f>ROUND(C22*F16*1000000/C23,0)</f>
        <v>1278</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236</v>
      </c>
    </row>
    <row r="3" spans="2:9" ht="14" customHeight="1" x14ac:dyDescent="0.3">
      <c r="B3" s="4" t="s">
        <v>237</v>
      </c>
      <c r="C3" s="16">
        <f>'DCF Model'!C26</f>
        <v>4.0937271320651676E-2</v>
      </c>
      <c r="E3" s="4" t="s">
        <v>238</v>
      </c>
      <c r="F3" s="16">
        <f>'DCF Model'!C13</f>
        <v>0.01</v>
      </c>
      <c r="H3" s="4" t="s">
        <v>239</v>
      </c>
      <c r="I3" s="14">
        <f>'DCF Model'!C14</f>
        <v>8.4</v>
      </c>
    </row>
    <row r="5" spans="2:9" ht="14" customHeight="1" x14ac:dyDescent="0.3">
      <c r="B5" s="3" t="s">
        <v>240</v>
      </c>
    </row>
    <row r="6" spans="2:9" ht="14" customHeight="1"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2.5937271320651677E-2</v>
      </c>
      <c r="C7" s="37">
        <f>IFERROR(ROUND(('DCF Model'!C45/(1+$B7)^('DCF Model'!C19+0)+'DCF Model'!D45/(1+$B7)^('DCF Model'!C19+1)+'DCF Model'!E45/(1+$B7)^('DCF Model'!C19+2)+'DCF Model'!F45/(1+$B7)^('DCF Model'!C19+3)+'DCF Model'!G45/(1+$B7)^('DCF Model'!C19+4)+'DCF Model'!G45*(1+C$6)/($B7-C$6)/(1+$B7)^('DCF Model'!C19+4)-'DCF Model'!C16)*1000000/'DCF Model'!C15,0),"")</f>
        <v>526</v>
      </c>
      <c r="D7" s="37">
        <f>IFERROR(ROUND(('DCF Model'!C45/(1+$B7)^('DCF Model'!C19+0)+'DCF Model'!D45/(1+$B7)^('DCF Model'!C19+1)+'DCF Model'!E45/(1+$B7)^('DCF Model'!C19+2)+'DCF Model'!F45/(1+$B7)^('DCF Model'!C19+3)+'DCF Model'!G45/(1+$B7)^('DCF Model'!C19+4)+'DCF Model'!G45*(1+D$6)/($B7-D$6)/(1+$B7)^('DCF Model'!C19+4)-'DCF Model'!C16)*1000000/'DCF Model'!C15,0),"")</f>
        <v>695</v>
      </c>
      <c r="E7" s="37">
        <f>IFERROR(ROUND(('DCF Model'!C45/(1+$B7)^('DCF Model'!C19+0)+'DCF Model'!D45/(1+$B7)^('DCF Model'!C19+1)+'DCF Model'!E45/(1+$B7)^('DCF Model'!C19+2)+'DCF Model'!F45/(1+$B7)^('DCF Model'!C19+3)+'DCF Model'!G45/(1+$B7)^('DCF Model'!C19+4)+'DCF Model'!G45*(1+E$6)/($B7-E$6)/(1+$B7)^('DCF Model'!C19+4)-'DCF Model'!C16)*1000000/'DCF Model'!C15,0),"")</f>
        <v>910</v>
      </c>
      <c r="F7" s="37">
        <f>IFERROR(ROUND(('DCF Model'!C45/(1+$B7)^('DCF Model'!C19+0)+'DCF Model'!D45/(1+$B7)^('DCF Model'!C19+1)+'DCF Model'!E45/(1+$B7)^('DCF Model'!C19+2)+'DCF Model'!F45/(1+$B7)^('DCF Model'!C19+3)+'DCF Model'!G45/(1+$B7)^('DCF Model'!C19+4)+'DCF Model'!G45*(1+F$6)/($B7-F$6)/(1+$B7)^('DCF Model'!C19+4)-'DCF Model'!C16)*1000000/'DCF Model'!C15,0),"")</f>
        <v>1193</v>
      </c>
      <c r="G7" s="37">
        <f>IFERROR(ROUND(('DCF Model'!C45/(1+$B7)^('DCF Model'!C19+0)+'DCF Model'!D45/(1+$B7)^('DCF Model'!C19+1)+'DCF Model'!E45/(1+$B7)^('DCF Model'!C19+2)+'DCF Model'!F45/(1+$B7)^('DCF Model'!C19+3)+'DCF Model'!G45/(1+$B7)^('DCF Model'!C19+4)+'DCF Model'!G45*(1+G$6)/($B7-G$6)/(1+$B7)^('DCF Model'!C19+4)-'DCF Model'!C16)*1000000/'DCF Model'!C15,0),"")</f>
        <v>1581</v>
      </c>
      <c r="H7" s="37">
        <f>IFERROR(ROUND(('DCF Model'!C45/(1+$B7)^('DCF Model'!C19+0)+'DCF Model'!D45/(1+$B7)^('DCF Model'!C19+1)+'DCF Model'!E45/(1+$B7)^('DCF Model'!C19+2)+'DCF Model'!F45/(1+$B7)^('DCF Model'!C19+3)+'DCF Model'!G45/(1+$B7)^('DCF Model'!C19+4)+'DCF Model'!G45*(1+H$6)/($B7-H$6)/(1+$B7)^('DCF Model'!C19+4)-'DCF Model'!C16)*1000000/'DCF Model'!C15,0),"")</f>
        <v>2147</v>
      </c>
      <c r="I7" s="37">
        <f>IFERROR(ROUND(('DCF Model'!C45/(1+$B7)^('DCF Model'!C19+0)+'DCF Model'!D45/(1+$B7)^('DCF Model'!C19+1)+'DCF Model'!E45/(1+$B7)^('DCF Model'!C19+2)+'DCF Model'!F45/(1+$B7)^('DCF Model'!C19+3)+'DCF Model'!G45/(1+$B7)^('DCF Model'!C19+4)+'DCF Model'!G45*(1+I$6)/($B7-I$6)/(1+$B7)^('DCF Model'!C19+4)-'DCF Model'!C16)*1000000/'DCF Model'!C15,0),"")</f>
        <v>3048</v>
      </c>
    </row>
    <row r="8" spans="2:9" ht="13.5" customHeight="1" x14ac:dyDescent="0.25">
      <c r="B8" s="39">
        <f>$C$3-0.01</f>
        <v>3.0937271320651674E-2</v>
      </c>
      <c r="C8" s="37">
        <f>IFERROR(ROUND(('DCF Model'!C45/(1+$B8)^('DCF Model'!C19+0)+'DCF Model'!D45/(1+$B8)^('DCF Model'!C19+1)+'DCF Model'!E45/(1+$B8)^('DCF Model'!C19+2)+'DCF Model'!F45/(1+$B8)^('DCF Model'!C19+3)+'DCF Model'!G45/(1+$B8)^('DCF Model'!C19+4)+'DCF Model'!G45*(1+C$6)/($B8-C$6)/(1+$B8)^('DCF Model'!C19+4)-'DCF Model'!C16)*1000000/'DCF Model'!C15,0),"")</f>
        <v>252</v>
      </c>
      <c r="D8" s="37">
        <f>IFERROR(ROUND(('DCF Model'!C45/(1+$B8)^('DCF Model'!C19+0)+'DCF Model'!D45/(1+$B8)^('DCF Model'!C19+1)+'DCF Model'!E45/(1+$B8)^('DCF Model'!C19+2)+'DCF Model'!F45/(1+$B8)^('DCF Model'!C19+3)+'DCF Model'!G45/(1+$B8)^('DCF Model'!C19+4)+'DCF Model'!G45*(1+D$6)/($B8-D$6)/(1+$B8)^('DCF Model'!C19+4)-'DCF Model'!C16)*1000000/'DCF Model'!C15,0),"")</f>
        <v>363</v>
      </c>
      <c r="E8" s="37">
        <f>IFERROR(ROUND(('DCF Model'!C45/(1+$B8)^('DCF Model'!C19+0)+'DCF Model'!D45/(1+$B8)^('DCF Model'!C19+1)+'DCF Model'!E45/(1+$B8)^('DCF Model'!C19+2)+'DCF Model'!F45/(1+$B8)^('DCF Model'!C19+3)+'DCF Model'!G45/(1+$B8)^('DCF Model'!C19+4)+'DCF Model'!G45*(1+E$6)/($B8-E$6)/(1+$B8)^('DCF Model'!C19+4)-'DCF Model'!C16)*1000000/'DCF Model'!C15,0),"")</f>
        <v>497</v>
      </c>
      <c r="F8" s="37">
        <f>IFERROR(ROUND(('DCF Model'!C45/(1+$B8)^('DCF Model'!C19+0)+'DCF Model'!D45/(1+$B8)^('DCF Model'!C19+1)+'DCF Model'!E45/(1+$B8)^('DCF Model'!C19+2)+'DCF Model'!F45/(1+$B8)^('DCF Model'!C19+3)+'DCF Model'!G45/(1+$B8)^('DCF Model'!C19+4)+'DCF Model'!G45*(1+F$6)/($B8-F$6)/(1+$B8)^('DCF Model'!C19+4)-'DCF Model'!C16)*1000000/'DCF Model'!C15,0),"")</f>
        <v>663</v>
      </c>
      <c r="G8" s="37">
        <f>IFERROR(ROUND(('DCF Model'!C45/(1+$B8)^('DCF Model'!C19+0)+'DCF Model'!D45/(1+$B8)^('DCF Model'!C19+1)+'DCF Model'!E45/(1+$B8)^('DCF Model'!C19+2)+'DCF Model'!F45/(1+$B8)^('DCF Model'!C19+3)+'DCF Model'!G45/(1+$B8)^('DCF Model'!C19+4)+'DCF Model'!G45*(1+G$6)/($B8-G$6)/(1+$B8)^('DCF Model'!C19+4)-'DCF Model'!C16)*1000000/'DCF Model'!C15,0),"")</f>
        <v>874</v>
      </c>
      <c r="H8" s="37">
        <f>IFERROR(ROUND(('DCF Model'!C45/(1+$B8)^('DCF Model'!C19+0)+'DCF Model'!D45/(1+$B8)^('DCF Model'!C19+1)+'DCF Model'!E45/(1+$B8)^('DCF Model'!C19+2)+'DCF Model'!F45/(1+$B8)^('DCF Model'!C19+3)+'DCF Model'!G45/(1+$B8)^('DCF Model'!C19+4)+'DCF Model'!G45*(1+H$6)/($B8-H$6)/(1+$B8)^('DCF Model'!C19+4)-'DCF Model'!C16)*1000000/'DCF Model'!C15,0),"")</f>
        <v>1151</v>
      </c>
      <c r="I8" s="37">
        <f>IFERROR(ROUND(('DCF Model'!C45/(1+$B8)^('DCF Model'!C19+0)+'DCF Model'!D45/(1+$B8)^('DCF Model'!C19+1)+'DCF Model'!E45/(1+$B8)^('DCF Model'!C19+2)+'DCF Model'!F45/(1+$B8)^('DCF Model'!C19+3)+'DCF Model'!G45/(1+$B8)^('DCF Model'!C19+4)+'DCF Model'!G45*(1+I$6)/($B8-I$6)/(1+$B8)^('DCF Model'!C19+4)-'DCF Model'!C16)*1000000/'DCF Model'!C15,0),"")</f>
        <v>1532</v>
      </c>
    </row>
    <row r="9" spans="2:9" ht="13.5" customHeight="1" x14ac:dyDescent="0.25">
      <c r="B9" s="39">
        <f>$C$3-0.005</f>
        <v>3.5937271320651679E-2</v>
      </c>
      <c r="C9" s="37">
        <f>IFERROR(ROUND(('DCF Model'!C45/(1+$B9)^('DCF Model'!C19+0)+'DCF Model'!D45/(1+$B9)^('DCF Model'!C19+1)+'DCF Model'!E45/(1+$B9)^('DCF Model'!C19+2)+'DCF Model'!F45/(1+$B9)^('DCF Model'!C19+3)+'DCF Model'!G45/(1+$B9)^('DCF Model'!C19+4)+'DCF Model'!G45*(1+C$6)/($B9-C$6)/(1+$B9)^('DCF Model'!C19+4)-'DCF Model'!C16)*1000000/'DCF Model'!C15,0),"")</f>
        <v>60</v>
      </c>
      <c r="D9" s="37">
        <f>IFERROR(ROUND(('DCF Model'!C45/(1+$B9)^('DCF Model'!C19+0)+'DCF Model'!D45/(1+$B9)^('DCF Model'!C19+1)+'DCF Model'!E45/(1+$B9)^('DCF Model'!C19+2)+'DCF Model'!F45/(1+$B9)^('DCF Model'!C19+3)+'DCF Model'!G45/(1+$B9)^('DCF Model'!C19+4)+'DCF Model'!G45*(1+D$6)/($B9-D$6)/(1+$B9)^('DCF Model'!C19+4)-'DCF Model'!C16)*1000000/'DCF Model'!C15,0),"")</f>
        <v>137</v>
      </c>
      <c r="E9" s="37">
        <f>IFERROR(ROUND(('DCF Model'!C45/(1+$B9)^('DCF Model'!C19+0)+'DCF Model'!D45/(1+$B9)^('DCF Model'!C19+1)+'DCF Model'!E45/(1+$B9)^('DCF Model'!C19+2)+'DCF Model'!F45/(1+$B9)^('DCF Model'!C19+3)+'DCF Model'!G45/(1+$B9)^('DCF Model'!C19+4)+'DCF Model'!G45*(1+E$6)/($B9-E$6)/(1+$B9)^('DCF Model'!C19+4)-'DCF Model'!C16)*1000000/'DCF Model'!C15,0),"")</f>
        <v>228</v>
      </c>
      <c r="F9" s="37">
        <f>IFERROR(ROUND(('DCF Model'!C45/(1+$B9)^('DCF Model'!C19+0)+'DCF Model'!D45/(1+$B9)^('DCF Model'!C19+1)+'DCF Model'!E45/(1+$B9)^('DCF Model'!C19+2)+'DCF Model'!F45/(1+$B9)^('DCF Model'!C19+3)+'DCF Model'!G45/(1+$B9)^('DCF Model'!C19+4)+'DCF Model'!G45*(1+F$6)/($B9-F$6)/(1+$B9)^('DCF Model'!C19+4)-'DCF Model'!C16)*1000000/'DCF Model'!C15,0),"")</f>
        <v>337</v>
      </c>
      <c r="G9" s="37">
        <f>IFERROR(ROUND(('DCF Model'!C45/(1+$B9)^('DCF Model'!C19+0)+'DCF Model'!D45/(1+$B9)^('DCF Model'!C19+1)+'DCF Model'!E45/(1+$B9)^('DCF Model'!C19+2)+'DCF Model'!F45/(1+$B9)^('DCF Model'!C19+3)+'DCF Model'!G45/(1+$B9)^('DCF Model'!C19+4)+'DCF Model'!G45*(1+G$6)/($B9-G$6)/(1+$B9)^('DCF Model'!C19+4)-'DCF Model'!C16)*1000000/'DCF Model'!C15,0),"")</f>
        <v>468</v>
      </c>
      <c r="H9" s="37">
        <f>IFERROR(ROUND(('DCF Model'!C45/(1+$B9)^('DCF Model'!C19+0)+'DCF Model'!D45/(1+$B9)^('DCF Model'!C19+1)+'DCF Model'!E45/(1+$B9)^('DCF Model'!C19+2)+'DCF Model'!F45/(1+$B9)^('DCF Model'!C19+3)+'DCF Model'!G45/(1+$B9)^('DCF Model'!C19+4)+'DCF Model'!G45*(1+H$6)/($B9-H$6)/(1+$B9)^('DCF Model'!C19+4)-'DCF Model'!C16)*1000000/'DCF Model'!C15,0),"")</f>
        <v>631</v>
      </c>
      <c r="I9" s="37">
        <f>IFERROR(ROUND(('DCF Model'!C45/(1+$B9)^('DCF Model'!C19+0)+'DCF Model'!D45/(1+$B9)^('DCF Model'!C19+1)+'DCF Model'!E45/(1+$B9)^('DCF Model'!C19+2)+'DCF Model'!F45/(1+$B9)^('DCF Model'!C19+3)+'DCF Model'!G45/(1+$B9)^('DCF Model'!C19+4)+'DCF Model'!G45*(1+I$6)/($B9-I$6)/(1+$B9)^('DCF Model'!C19+4)-'DCF Model'!C16)*1000000/'DCF Model'!C15,0),"")</f>
        <v>838</v>
      </c>
    </row>
    <row r="10" spans="2:9" ht="13.5" customHeight="1" x14ac:dyDescent="0.25">
      <c r="B10" s="39">
        <f>$C$3</f>
        <v>4.0937271320651676E-2</v>
      </c>
      <c r="C10" s="37">
        <f>IFERROR(ROUND(('DCF Model'!C45/(1+$B10)^('DCF Model'!C19+0)+'DCF Model'!D45/(1+$B10)^('DCF Model'!C19+1)+'DCF Model'!E45/(1+$B10)^('DCF Model'!C19+2)+'DCF Model'!F45/(1+$B10)^('DCF Model'!C19+3)+'DCF Model'!G45/(1+$B10)^('DCF Model'!C19+4)+'DCF Model'!G45*(1+C$6)/($B10-C$6)/(1+$B10)^('DCF Model'!C19+4)-'DCF Model'!C16)*1000000/'DCF Model'!C15,0),"")</f>
        <v>-82</v>
      </c>
      <c r="D10" s="37">
        <f>IFERROR(ROUND(('DCF Model'!C45/(1+$B10)^('DCF Model'!C19+0)+'DCF Model'!D45/(1+$B10)^('DCF Model'!C19+1)+'DCF Model'!E45/(1+$B10)^('DCF Model'!C19+2)+'DCF Model'!F45/(1+$B10)^('DCF Model'!C19+3)+'DCF Model'!G45/(1+$B10)^('DCF Model'!C19+4)+'DCF Model'!G45*(1+D$6)/($B10-D$6)/(1+$B10)^('DCF Model'!C19+4)-'DCF Model'!C16)*1000000/'DCF Model'!C15,0),"")</f>
        <v>-25</v>
      </c>
      <c r="E10" s="37">
        <f>IFERROR(ROUND(('DCF Model'!C45/(1+$B10)^('DCF Model'!C19+0)+'DCF Model'!D45/(1+$B10)^('DCF Model'!C19+1)+'DCF Model'!E45/(1+$B10)^('DCF Model'!C19+2)+'DCF Model'!F45/(1+$B10)^('DCF Model'!C19+3)+'DCF Model'!G45/(1+$B10)^('DCF Model'!C19+4)+'DCF Model'!G45*(1+E$6)/($B10-E$6)/(1+$B10)^('DCF Model'!C19+4)-'DCF Model'!C16)*1000000/'DCF Model'!C15,0),"")</f>
        <v>40</v>
      </c>
      <c r="F10" s="37">
        <f>IFERROR(ROUND(('DCF Model'!C45/(1+$B10)^('DCF Model'!C19+0)+'DCF Model'!D45/(1+$B10)^('DCF Model'!C19+1)+'DCF Model'!E45/(1+$B10)^('DCF Model'!C19+2)+'DCF Model'!F45/(1+$B10)^('DCF Model'!C19+3)+'DCF Model'!G45/(1+$B10)^('DCF Model'!C19+4)+'DCF Model'!G45*(1+F$6)/($B10-F$6)/(1+$B10)^('DCF Model'!C19+4)-'DCF Model'!C16)*1000000/'DCF Model'!C15,0),"")</f>
        <v>116</v>
      </c>
      <c r="G10" s="37">
        <f>IFERROR(ROUND(('DCF Model'!C45/(1+$B10)^('DCF Model'!C19+0)+'DCF Model'!D45/(1+$B10)^('DCF Model'!C19+1)+'DCF Model'!E45/(1+$B10)^('DCF Model'!C19+2)+'DCF Model'!F45/(1+$B10)^('DCF Model'!C19+3)+'DCF Model'!G45/(1+$B10)^('DCF Model'!C19+4)+'DCF Model'!G45*(1+G$6)/($B10-G$6)/(1+$B10)^('DCF Model'!C19+4)-'DCF Model'!C16)*1000000/'DCF Model'!C15,0),"")</f>
        <v>205</v>
      </c>
      <c r="H10" s="37">
        <f>IFERROR(ROUND(('DCF Model'!C45/(1+$B10)^('DCF Model'!C19+0)+'DCF Model'!D45/(1+$B10)^('DCF Model'!C19+1)+'DCF Model'!E45/(1+$B10)^('DCF Model'!C19+2)+'DCF Model'!F45/(1+$B10)^('DCF Model'!C19+3)+'DCF Model'!G45/(1+$B10)^('DCF Model'!C19+4)+'DCF Model'!G45*(1+H$6)/($B10-H$6)/(1+$B10)^('DCF Model'!C19+4)-'DCF Model'!C16)*1000000/'DCF Model'!C15,0),"")</f>
        <v>311</v>
      </c>
      <c r="I10" s="37">
        <f>IFERROR(ROUND(('DCF Model'!C45/(1+$B10)^('DCF Model'!C19+0)+'DCF Model'!D45/(1+$B10)^('DCF Model'!C19+1)+'DCF Model'!E45/(1+$B10)^('DCF Model'!C19+2)+'DCF Model'!F45/(1+$B10)^('DCF Model'!C19+3)+'DCF Model'!G45/(1+$B10)^('DCF Model'!C19+4)+'DCF Model'!G45*(1+I$6)/($B10-I$6)/(1+$B10)^('DCF Model'!C19+4)-'DCF Model'!C16)*1000000/'DCF Model'!C15,0),"")</f>
        <v>441</v>
      </c>
    </row>
    <row r="11" spans="2:9" ht="13.5" customHeight="1" x14ac:dyDescent="0.25">
      <c r="B11" s="39">
        <f>$C$3+0.005</f>
        <v>4.5937271320651674E-2</v>
      </c>
      <c r="C11" s="37">
        <f>IFERROR(ROUND(('DCF Model'!C45/(1+$B11)^('DCF Model'!C19+0)+'DCF Model'!D45/(1+$B11)^('DCF Model'!C19+1)+'DCF Model'!E45/(1+$B11)^('DCF Model'!C19+2)+'DCF Model'!F45/(1+$B11)^('DCF Model'!C19+3)+'DCF Model'!G45/(1+$B11)^('DCF Model'!C19+4)+'DCF Model'!G45*(1+C$6)/($B11-C$6)/(1+$B11)^('DCF Model'!C19+4)-'DCF Model'!C16)*1000000/'DCF Model'!C15,0),"")</f>
        <v>-191</v>
      </c>
      <c r="D11" s="37">
        <f>IFERROR(ROUND(('DCF Model'!C45/(1+$B11)^('DCF Model'!C19+0)+'DCF Model'!D45/(1+$B11)^('DCF Model'!C19+1)+'DCF Model'!E45/(1+$B11)^('DCF Model'!C19+2)+'DCF Model'!F45/(1+$B11)^('DCF Model'!C19+3)+'DCF Model'!G45/(1+$B11)^('DCF Model'!C19+4)+'DCF Model'!G45*(1+D$6)/($B11-D$6)/(1+$B11)^('DCF Model'!C19+4)-'DCF Model'!C16)*1000000/'DCF Model'!C15,0),"")</f>
        <v>-148</v>
      </c>
      <c r="E11" s="37">
        <f>IFERROR(ROUND(('DCF Model'!C45/(1+$B11)^('DCF Model'!C19+0)+'DCF Model'!D45/(1+$B11)^('DCF Model'!C19+1)+'DCF Model'!E45/(1+$B11)^('DCF Model'!C19+2)+'DCF Model'!F45/(1+$B11)^('DCF Model'!C19+3)+'DCF Model'!G45/(1+$B11)^('DCF Model'!C19+4)+'DCF Model'!G45*(1+E$6)/($B11-E$6)/(1+$B11)^('DCF Model'!C19+4)-'DCF Model'!C16)*1000000/'DCF Model'!C15,0),"")</f>
        <v>-99</v>
      </c>
      <c r="F11" s="37">
        <f>IFERROR(ROUND(('DCF Model'!C45/(1+$B11)^('DCF Model'!C19+0)+'DCF Model'!D45/(1+$B11)^('DCF Model'!C19+1)+'DCF Model'!E45/(1+$B11)^('DCF Model'!C19+2)+'DCF Model'!F45/(1+$B11)^('DCF Model'!C19+3)+'DCF Model'!G45/(1+$B11)^('DCF Model'!C19+4)+'DCF Model'!G45*(1+F$6)/($B11-F$6)/(1+$B11)^('DCF Model'!C19+4)-'DCF Model'!C16)*1000000/'DCF Model'!C15,0),"")</f>
        <v>-43</v>
      </c>
      <c r="G11" s="37">
        <f>IFERROR(ROUND(('DCF Model'!C45/(1+$B11)^('DCF Model'!C19+0)+'DCF Model'!D45/(1+$B11)^('DCF Model'!C19+1)+'DCF Model'!E45/(1+$B11)^('DCF Model'!C19+2)+'DCF Model'!F45/(1+$B11)^('DCF Model'!C19+3)+'DCF Model'!G45/(1+$B11)^('DCF Model'!C19+4)+'DCF Model'!G45*(1+G$6)/($B11-G$6)/(1+$B11)^('DCF Model'!C19+4)-'DCF Model'!C16)*1000000/'DCF Model'!C15,0),"")</f>
        <v>21</v>
      </c>
      <c r="H11" s="37">
        <f>IFERROR(ROUND(('DCF Model'!C45/(1+$B11)^('DCF Model'!C19+0)+'DCF Model'!D45/(1+$B11)^('DCF Model'!C19+1)+'DCF Model'!E45/(1+$B11)^('DCF Model'!C19+2)+'DCF Model'!F45/(1+$B11)^('DCF Model'!C19+3)+'DCF Model'!G45/(1+$B11)^('DCF Model'!C19+4)+'DCF Model'!G45*(1+H$6)/($B11-H$6)/(1+$B11)^('DCF Model'!C19+4)-'DCF Model'!C16)*1000000/'DCF Model'!C15,0),"")</f>
        <v>95</v>
      </c>
      <c r="I11" s="37">
        <f>IFERROR(ROUND(('DCF Model'!C45/(1+$B11)^('DCF Model'!C19+0)+'DCF Model'!D45/(1+$B11)^('DCF Model'!C19+1)+'DCF Model'!E45/(1+$B11)^('DCF Model'!C19+2)+'DCF Model'!F45/(1+$B11)^('DCF Model'!C19+3)+'DCF Model'!G45/(1+$B11)^('DCF Model'!C19+4)+'DCF Model'!G45*(1+I$6)/($B11-I$6)/(1+$B11)^('DCF Model'!C19+4)-'DCF Model'!C16)*1000000/'DCF Model'!C15,0),"")</f>
        <v>183</v>
      </c>
    </row>
    <row r="12" spans="2:9" ht="13.5" customHeight="1" x14ac:dyDescent="0.25">
      <c r="B12" s="39">
        <f>$C$3+0.01</f>
        <v>5.0937271320651678E-2</v>
      </c>
      <c r="C12" s="37">
        <f>IFERROR(ROUND(('DCF Model'!C45/(1+$B12)^('DCF Model'!C19+0)+'DCF Model'!D45/(1+$B12)^('DCF Model'!C19+1)+'DCF Model'!E45/(1+$B12)^('DCF Model'!C19+2)+'DCF Model'!F45/(1+$B12)^('DCF Model'!C19+3)+'DCF Model'!G45/(1+$B12)^('DCF Model'!C19+4)+'DCF Model'!G45*(1+C$6)/($B12-C$6)/(1+$B12)^('DCF Model'!C19+4)-'DCF Model'!C16)*1000000/'DCF Model'!C15,0),"")</f>
        <v>-278</v>
      </c>
      <c r="D12" s="37">
        <f>IFERROR(ROUND(('DCF Model'!C45/(1+$B12)^('DCF Model'!C19+0)+'DCF Model'!D45/(1+$B12)^('DCF Model'!C19+1)+'DCF Model'!E45/(1+$B12)^('DCF Model'!C19+2)+'DCF Model'!F45/(1+$B12)^('DCF Model'!C19+3)+'DCF Model'!G45/(1+$B12)^('DCF Model'!C19+4)+'DCF Model'!G45*(1+D$6)/($B12-D$6)/(1+$B12)^('DCF Model'!C19+4)-'DCF Model'!C16)*1000000/'DCF Model'!C15,0),"")</f>
        <v>-244</v>
      </c>
      <c r="E12" s="37">
        <f>IFERROR(ROUND(('DCF Model'!C45/(1+$B12)^('DCF Model'!C19+0)+'DCF Model'!D45/(1+$B12)^('DCF Model'!C19+1)+'DCF Model'!E45/(1+$B12)^('DCF Model'!C19+2)+'DCF Model'!F45/(1+$B12)^('DCF Model'!C19+3)+'DCF Model'!G45/(1+$B12)^('DCF Model'!C19+4)+'DCF Model'!G45*(1+E$6)/($B12-E$6)/(1+$B12)^('DCF Model'!C19+4)-'DCF Model'!C16)*1000000/'DCF Model'!C15,0),"")</f>
        <v>-206</v>
      </c>
      <c r="F12" s="37">
        <f>IFERROR(ROUND(('DCF Model'!C45/(1+$B12)^('DCF Model'!C19+0)+'DCF Model'!D45/(1+$B12)^('DCF Model'!C19+1)+'DCF Model'!E45/(1+$B12)^('DCF Model'!C19+2)+'DCF Model'!F45/(1+$B12)^('DCF Model'!C19+3)+'DCF Model'!G45/(1+$B12)^('DCF Model'!C19+4)+'DCF Model'!G45*(1+F$6)/($B12-F$6)/(1+$B12)^('DCF Model'!C19+4)-'DCF Model'!C16)*1000000/'DCF Model'!C15,0),"")</f>
        <v>-164</v>
      </c>
      <c r="G12" s="37">
        <f>IFERROR(ROUND(('DCF Model'!C45/(1+$B12)^('DCF Model'!C19+0)+'DCF Model'!D45/(1+$B12)^('DCF Model'!C19+1)+'DCF Model'!E45/(1+$B12)^('DCF Model'!C19+2)+'DCF Model'!F45/(1+$B12)^('DCF Model'!C19+3)+'DCF Model'!G45/(1+$B12)^('DCF Model'!C19+4)+'DCF Model'!G45*(1+G$6)/($B12-G$6)/(1+$B12)^('DCF Model'!C19+4)-'DCF Model'!C16)*1000000/'DCF Model'!C15,0),"")</f>
        <v>-116</v>
      </c>
      <c r="H12" s="37">
        <f>IFERROR(ROUND(('DCF Model'!C45/(1+$B12)^('DCF Model'!C19+0)+'DCF Model'!D45/(1+$B12)^('DCF Model'!C19+1)+'DCF Model'!E45/(1+$B12)^('DCF Model'!C19+2)+'DCF Model'!F45/(1+$B12)^('DCF Model'!C19+3)+'DCF Model'!G45/(1+$B12)^('DCF Model'!C19+4)+'DCF Model'!G45*(1+H$6)/($B12-H$6)/(1+$B12)^('DCF Model'!C19+4)-'DCF Model'!C16)*1000000/'DCF Model'!C15,0),"")</f>
        <v>-61</v>
      </c>
      <c r="I12" s="37">
        <f>IFERROR(ROUND(('DCF Model'!C45/(1+$B12)^('DCF Model'!C19+0)+'DCF Model'!D45/(1+$B12)^('DCF Model'!C19+1)+'DCF Model'!E45/(1+$B12)^('DCF Model'!C19+2)+'DCF Model'!F45/(1+$B12)^('DCF Model'!C19+3)+'DCF Model'!G45/(1+$B12)^('DCF Model'!C19+4)+'DCF Model'!G45*(1+I$6)/($B12-I$6)/(1+$B12)^('DCF Model'!C19+4)-'DCF Model'!C16)*1000000/'DCF Model'!C15,0),"")</f>
        <v>2</v>
      </c>
    </row>
    <row r="13" spans="2:9" ht="13.5" customHeight="1" x14ac:dyDescent="0.25">
      <c r="B13" s="39">
        <f>$C$3+0.015</f>
        <v>5.5937271320651676E-2</v>
      </c>
      <c r="C13" s="37">
        <f>IFERROR(ROUND(('DCF Model'!C45/(1+$B13)^('DCF Model'!C19+0)+'DCF Model'!D45/(1+$B13)^('DCF Model'!C19+1)+'DCF Model'!E45/(1+$B13)^('DCF Model'!C19+2)+'DCF Model'!F45/(1+$B13)^('DCF Model'!C19+3)+'DCF Model'!G45/(1+$B13)^('DCF Model'!C19+4)+'DCF Model'!G45*(1+C$6)/($B13-C$6)/(1+$B13)^('DCF Model'!C19+4)-'DCF Model'!C16)*1000000/'DCF Model'!C15,0),"")</f>
        <v>-349</v>
      </c>
      <c r="D13" s="37">
        <f>IFERROR(ROUND(('DCF Model'!C45/(1+$B13)^('DCF Model'!C19+0)+'DCF Model'!D45/(1+$B13)^('DCF Model'!C19+1)+'DCF Model'!E45/(1+$B13)^('DCF Model'!C19+2)+'DCF Model'!F45/(1+$B13)^('DCF Model'!C19+3)+'DCF Model'!G45/(1+$B13)^('DCF Model'!C19+4)+'DCF Model'!G45*(1+D$6)/($B13-D$6)/(1+$B13)^('DCF Model'!C19+4)-'DCF Model'!C16)*1000000/'DCF Model'!C15,0),"")</f>
        <v>-321</v>
      </c>
      <c r="E13" s="37">
        <f>IFERROR(ROUND(('DCF Model'!C45/(1+$B13)^('DCF Model'!C19+0)+'DCF Model'!D45/(1+$B13)^('DCF Model'!C19+1)+'DCF Model'!E45/(1+$B13)^('DCF Model'!C19+2)+'DCF Model'!F45/(1+$B13)^('DCF Model'!C19+3)+'DCF Model'!G45/(1+$B13)^('DCF Model'!C19+4)+'DCF Model'!G45*(1+E$6)/($B13-E$6)/(1+$B13)^('DCF Model'!C19+4)-'DCF Model'!C16)*1000000/'DCF Model'!C15,0),"")</f>
        <v>-291</v>
      </c>
      <c r="F13" s="37">
        <f>IFERROR(ROUND(('DCF Model'!C45/(1+$B13)^('DCF Model'!C19+0)+'DCF Model'!D45/(1+$B13)^('DCF Model'!C19+1)+'DCF Model'!E45/(1+$B13)^('DCF Model'!C19+2)+'DCF Model'!F45/(1+$B13)^('DCF Model'!C19+3)+'DCF Model'!G45/(1+$B13)^('DCF Model'!C19+4)+'DCF Model'!G45*(1+F$6)/($B13-F$6)/(1+$B13)^('DCF Model'!C19+4)-'DCF Model'!C16)*1000000/'DCF Model'!C15,0),"")</f>
        <v>-258</v>
      </c>
      <c r="G13" s="37">
        <f>IFERROR(ROUND(('DCF Model'!C45/(1+$B13)^('DCF Model'!C19+0)+'DCF Model'!D45/(1+$B13)^('DCF Model'!C19+1)+'DCF Model'!E45/(1+$B13)^('DCF Model'!C19+2)+'DCF Model'!F45/(1+$B13)^('DCF Model'!C19+3)+'DCF Model'!G45/(1+$B13)^('DCF Model'!C19+4)+'DCF Model'!G45*(1+G$6)/($B13-G$6)/(1+$B13)^('DCF Model'!C19+4)-'DCF Model'!C16)*1000000/'DCF Model'!C15,0),"")</f>
        <v>-221</v>
      </c>
      <c r="H13" s="37">
        <f>IFERROR(ROUND(('DCF Model'!C45/(1+$B13)^('DCF Model'!C19+0)+'DCF Model'!D45/(1+$B13)^('DCF Model'!C19+1)+'DCF Model'!E45/(1+$B13)^('DCF Model'!C19+2)+'DCF Model'!F45/(1+$B13)^('DCF Model'!C19+3)+'DCF Model'!G45/(1+$B13)^('DCF Model'!C19+4)+'DCF Model'!G45*(1+H$6)/($B13-H$6)/(1+$B13)^('DCF Model'!C19+4)-'DCF Model'!C16)*1000000/'DCF Model'!C15,0),"")</f>
        <v>-179</v>
      </c>
      <c r="I13" s="37">
        <f>IFERROR(ROUND(('DCF Model'!C45/(1+$B13)^('DCF Model'!C19+0)+'DCF Model'!D45/(1+$B13)^('DCF Model'!C19+1)+'DCF Model'!E45/(1+$B13)^('DCF Model'!C19+2)+'DCF Model'!F45/(1+$B13)^('DCF Model'!C19+3)+'DCF Model'!G45/(1+$B13)^('DCF Model'!C19+4)+'DCF Model'!G45*(1+I$6)/($B13-I$6)/(1+$B13)^('DCF Model'!C19+4)-'DCF Model'!C16)*1000000/'DCF Model'!C15,0),"")</f>
        <v>-132</v>
      </c>
    </row>
    <row r="16" spans="2:9" ht="14" customHeight="1" x14ac:dyDescent="0.3">
      <c r="B16" s="3" t="s">
        <v>242</v>
      </c>
    </row>
    <row r="17" spans="2:9" ht="14" customHeight="1" x14ac:dyDescent="0.3">
      <c r="B17" s="40" t="s">
        <v>243</v>
      </c>
      <c r="C17" s="42">
        <f>$I$3-3</f>
        <v>5.4</v>
      </c>
      <c r="D17" s="42">
        <f>$I$3-2</f>
        <v>6.4</v>
      </c>
      <c r="E17" s="42">
        <f>$I$3-1</f>
        <v>7.4</v>
      </c>
      <c r="F17" s="42">
        <f>$I$3</f>
        <v>8.4</v>
      </c>
      <c r="G17" s="42">
        <f>$I$3+1</f>
        <v>9.4</v>
      </c>
      <c r="H17" s="42">
        <f>$I$3+2</f>
        <v>10.4</v>
      </c>
      <c r="I17" s="42">
        <f>$I$3+3</f>
        <v>11.4</v>
      </c>
    </row>
    <row r="18" spans="2:9" ht="13.5" customHeight="1" x14ac:dyDescent="0.25">
      <c r="B18" s="39">
        <f>$C$3-0.015</f>
        <v>2.5937271320651677E-2</v>
      </c>
      <c r="C18" s="37">
        <f>IFERROR(ROUND(('DCF Model'!C45/(1+$B18)^('DCF Model'!C19+0)+'DCF Model'!D45/(1+$B18)^('DCF Model'!C19+1)+'DCF Model'!E45/(1+$B18)^('DCF Model'!C19+2)+'DCF Model'!F45/(1+$B18)^('DCF Model'!C19+3)+'DCF Model'!G45/(1+$B18)^('DCF Model'!C19+4)+('DCF Model'!G39+'DCF Model'!G42)*C$17/(1+$B18)^('DCF Model'!C19+4)-'DCF Model'!C16)*1000000/'DCF Model'!C15,0),"")</f>
        <v>128</v>
      </c>
      <c r="D18" s="37">
        <f>IFERROR(ROUND(('DCF Model'!C45/(1+$B18)^('DCF Model'!C19+0)+'DCF Model'!D45/(1+$B18)^('DCF Model'!C19+1)+'DCF Model'!E45/(1+$B18)^('DCF Model'!C19+2)+'DCF Model'!F45/(1+$B18)^('DCF Model'!C19+3)+'DCF Model'!G45/(1+$B18)^('DCF Model'!C19+4)+('DCF Model'!G39+'DCF Model'!G42)*D$17/(1+$B18)^('DCF Model'!C19+4)-'DCF Model'!C16)*1000000/'DCF Model'!C15,0),"")</f>
        <v>311</v>
      </c>
      <c r="E18" s="37">
        <f>IFERROR(ROUND(('DCF Model'!C45/(1+$B18)^('DCF Model'!C19+0)+'DCF Model'!D45/(1+$B18)^('DCF Model'!C19+1)+'DCF Model'!E45/(1+$B18)^('DCF Model'!C19+2)+'DCF Model'!F45/(1+$B18)^('DCF Model'!C19+3)+'DCF Model'!G45/(1+$B18)^('DCF Model'!C19+4)+('DCF Model'!G39+'DCF Model'!G42)*E$17/(1+$B18)^('DCF Model'!C19+4)-'DCF Model'!C16)*1000000/'DCF Model'!C15,0),"")</f>
        <v>495</v>
      </c>
      <c r="F18" s="37">
        <f>IFERROR(ROUND(('DCF Model'!C45/(1+$B18)^('DCF Model'!C19+0)+'DCF Model'!D45/(1+$B18)^('DCF Model'!C19+1)+'DCF Model'!E45/(1+$B18)^('DCF Model'!C19+2)+'DCF Model'!F45/(1+$B18)^('DCF Model'!C19+3)+'DCF Model'!G45/(1+$B18)^('DCF Model'!C19+4)+('DCF Model'!G39+'DCF Model'!G42)*F$17/(1+$B18)^('DCF Model'!C19+4)-'DCF Model'!C16)*1000000/'DCF Model'!C15,0),"")</f>
        <v>678</v>
      </c>
      <c r="G18" s="37">
        <f>IFERROR(ROUND(('DCF Model'!C45/(1+$B18)^('DCF Model'!C19+0)+'DCF Model'!D45/(1+$B18)^('DCF Model'!C19+1)+'DCF Model'!E45/(1+$B18)^('DCF Model'!C19+2)+'DCF Model'!F45/(1+$B18)^('DCF Model'!C19+3)+'DCF Model'!G45/(1+$B18)^('DCF Model'!C19+4)+('DCF Model'!G39+'DCF Model'!G42)*G$17/(1+$B18)^('DCF Model'!C19+4)-'DCF Model'!C16)*1000000/'DCF Model'!C15,0),"")</f>
        <v>861</v>
      </c>
      <c r="H18" s="37">
        <f>IFERROR(ROUND(('DCF Model'!C45/(1+$B18)^('DCF Model'!C19+0)+'DCF Model'!D45/(1+$B18)^('DCF Model'!C19+1)+'DCF Model'!E45/(1+$B18)^('DCF Model'!C19+2)+'DCF Model'!F45/(1+$B18)^('DCF Model'!C19+3)+'DCF Model'!G45/(1+$B18)^('DCF Model'!C19+4)+('DCF Model'!G39+'DCF Model'!G42)*H$17/(1+$B18)^('DCF Model'!C19+4)-'DCF Model'!C16)*1000000/'DCF Model'!C15,0),"")</f>
        <v>1044</v>
      </c>
      <c r="I18" s="37">
        <f>IFERROR(ROUND(('DCF Model'!C45/(1+$B18)^('DCF Model'!C19+0)+'DCF Model'!D45/(1+$B18)^('DCF Model'!C19+1)+'DCF Model'!E45/(1+$B18)^('DCF Model'!C19+2)+'DCF Model'!F45/(1+$B18)^('DCF Model'!C19+3)+'DCF Model'!G45/(1+$B18)^('DCF Model'!C19+4)+('DCF Model'!G39+'DCF Model'!G42)*I$17/(1+$B18)^('DCF Model'!C19+4)-'DCF Model'!C16)*1000000/'DCF Model'!C15,0),"")</f>
        <v>1227</v>
      </c>
    </row>
    <row r="19" spans="2:9" ht="13.5" customHeight="1" x14ac:dyDescent="0.25">
      <c r="B19" s="39">
        <f>$C$3-0.01</f>
        <v>3.0937271320651674E-2</v>
      </c>
      <c r="C19" s="37">
        <f>IFERROR(ROUND(('DCF Model'!C45/(1+$B19)^('DCF Model'!C19+0)+'DCF Model'!D45/(1+$B19)^('DCF Model'!C19+1)+'DCF Model'!E45/(1+$B19)^('DCF Model'!C19+2)+'DCF Model'!F45/(1+$B19)^('DCF Model'!C19+3)+'DCF Model'!G45/(1+$B19)^('DCF Model'!C19+4)+('DCF Model'!G39+'DCF Model'!G42)*C$17/(1+$B19)^('DCF Model'!C19+4)-'DCF Model'!C16)*1000000/'DCF Model'!C15,0),"")</f>
        <v>102</v>
      </c>
      <c r="D19" s="37">
        <f>IFERROR(ROUND(('DCF Model'!C45/(1+$B19)^('DCF Model'!C19+0)+'DCF Model'!D45/(1+$B19)^('DCF Model'!C19+1)+'DCF Model'!E45/(1+$B19)^('DCF Model'!C19+2)+'DCF Model'!F45/(1+$B19)^('DCF Model'!C19+3)+'DCF Model'!G45/(1+$B19)^('DCF Model'!C19+4)+('DCF Model'!G39+'DCF Model'!G42)*D$17/(1+$B19)^('DCF Model'!C19+4)-'DCF Model'!C16)*1000000/'DCF Model'!C15,0),"")</f>
        <v>281</v>
      </c>
      <c r="E19" s="37">
        <f>IFERROR(ROUND(('DCF Model'!C45/(1+$B19)^('DCF Model'!C19+0)+'DCF Model'!D45/(1+$B19)^('DCF Model'!C19+1)+'DCF Model'!E45/(1+$B19)^('DCF Model'!C19+2)+'DCF Model'!F45/(1+$B19)^('DCF Model'!C19+3)+'DCF Model'!G45/(1+$B19)^('DCF Model'!C19+4)+('DCF Model'!G39+'DCF Model'!G42)*E$17/(1+$B19)^('DCF Model'!C19+4)-'DCF Model'!C16)*1000000/'DCF Model'!C15,0),"")</f>
        <v>459</v>
      </c>
      <c r="F19" s="37">
        <f>IFERROR(ROUND(('DCF Model'!C45/(1+$B19)^('DCF Model'!C19+0)+'DCF Model'!D45/(1+$B19)^('DCF Model'!C19+1)+'DCF Model'!E45/(1+$B19)^('DCF Model'!C19+2)+'DCF Model'!F45/(1+$B19)^('DCF Model'!C19+3)+'DCF Model'!G45/(1+$B19)^('DCF Model'!C19+4)+('DCF Model'!G39+'DCF Model'!G42)*F$17/(1+$B19)^('DCF Model'!C19+4)-'DCF Model'!C16)*1000000/'DCF Model'!C15,0),"")</f>
        <v>638</v>
      </c>
      <c r="G19" s="37">
        <f>IFERROR(ROUND(('DCF Model'!C45/(1+$B19)^('DCF Model'!C19+0)+'DCF Model'!D45/(1+$B19)^('DCF Model'!C19+1)+'DCF Model'!E45/(1+$B19)^('DCF Model'!C19+2)+'DCF Model'!F45/(1+$B19)^('DCF Model'!C19+3)+'DCF Model'!G45/(1+$B19)^('DCF Model'!C19+4)+('DCF Model'!G39+'DCF Model'!G42)*G$17/(1+$B19)^('DCF Model'!C19+4)-'DCF Model'!C16)*1000000/'DCF Model'!C15,0),"")</f>
        <v>817</v>
      </c>
      <c r="H19" s="37">
        <f>IFERROR(ROUND(('DCF Model'!C45/(1+$B19)^('DCF Model'!C19+0)+'DCF Model'!D45/(1+$B19)^('DCF Model'!C19+1)+'DCF Model'!E45/(1+$B19)^('DCF Model'!C19+2)+'DCF Model'!F45/(1+$B19)^('DCF Model'!C19+3)+'DCF Model'!G45/(1+$B19)^('DCF Model'!C19+4)+('DCF Model'!G39+'DCF Model'!G42)*H$17/(1+$B19)^('DCF Model'!C19+4)-'DCF Model'!C16)*1000000/'DCF Model'!C15,0),"")</f>
        <v>996</v>
      </c>
      <c r="I19" s="37">
        <f>IFERROR(ROUND(('DCF Model'!C45/(1+$B19)^('DCF Model'!C19+0)+'DCF Model'!D45/(1+$B19)^('DCF Model'!C19+1)+'DCF Model'!E45/(1+$B19)^('DCF Model'!C19+2)+'DCF Model'!F45/(1+$B19)^('DCF Model'!C19+3)+'DCF Model'!G45/(1+$B19)^('DCF Model'!C19+4)+('DCF Model'!G39+'DCF Model'!G42)*I$17/(1+$B19)^('DCF Model'!C19+4)-'DCF Model'!C16)*1000000/'DCF Model'!C15,0),"")</f>
        <v>1174</v>
      </c>
    </row>
    <row r="20" spans="2:9" ht="13.5" customHeight="1" x14ac:dyDescent="0.25">
      <c r="B20" s="39">
        <f>$C$3-0.005</f>
        <v>3.5937271320651679E-2</v>
      </c>
      <c r="C20" s="37">
        <f>IFERROR(ROUND(('DCF Model'!C45/(1+$B20)^('DCF Model'!C19+0)+'DCF Model'!D45/(1+$B20)^('DCF Model'!C19+1)+'DCF Model'!E45/(1+$B20)^('DCF Model'!C19+2)+'DCF Model'!F45/(1+$B20)^('DCF Model'!C19+3)+'DCF Model'!G45/(1+$B20)^('DCF Model'!C19+4)+('DCF Model'!G39+'DCF Model'!G42)*C$17/(1+$B20)^('DCF Model'!C19+4)-'DCF Model'!C16)*1000000/'DCF Model'!C15,0),"")</f>
        <v>76</v>
      </c>
      <c r="D20" s="37">
        <f>IFERROR(ROUND(('DCF Model'!C45/(1+$B20)^('DCF Model'!C19+0)+'DCF Model'!D45/(1+$B20)^('DCF Model'!C19+1)+'DCF Model'!E45/(1+$B20)^('DCF Model'!C19+2)+'DCF Model'!F45/(1+$B20)^('DCF Model'!C19+3)+'DCF Model'!G45/(1+$B20)^('DCF Model'!C19+4)+('DCF Model'!G39+'DCF Model'!G42)*D$17/(1+$B20)^('DCF Model'!C19+4)-'DCF Model'!C16)*1000000/'DCF Model'!C15,0),"")</f>
        <v>251</v>
      </c>
      <c r="E20" s="37">
        <f>IFERROR(ROUND(('DCF Model'!C45/(1+$B20)^('DCF Model'!C19+0)+'DCF Model'!D45/(1+$B20)^('DCF Model'!C19+1)+'DCF Model'!E45/(1+$B20)^('DCF Model'!C19+2)+'DCF Model'!F45/(1+$B20)^('DCF Model'!C19+3)+'DCF Model'!G45/(1+$B20)^('DCF Model'!C19+4)+('DCF Model'!G39+'DCF Model'!G42)*E$17/(1+$B20)^('DCF Model'!C19+4)-'DCF Model'!C16)*1000000/'DCF Model'!C15,0),"")</f>
        <v>425</v>
      </c>
      <c r="F20" s="37">
        <f>IFERROR(ROUND(('DCF Model'!C45/(1+$B20)^('DCF Model'!C19+0)+'DCF Model'!D45/(1+$B20)^('DCF Model'!C19+1)+'DCF Model'!E45/(1+$B20)^('DCF Model'!C19+2)+'DCF Model'!F45/(1+$B20)^('DCF Model'!C19+3)+'DCF Model'!G45/(1+$B20)^('DCF Model'!C19+4)+('DCF Model'!G39+'DCF Model'!G42)*F$17/(1+$B20)^('DCF Model'!C19+4)-'DCF Model'!C16)*1000000/'DCF Model'!C15,0),"")</f>
        <v>600</v>
      </c>
      <c r="G20" s="37">
        <f>IFERROR(ROUND(('DCF Model'!C45/(1+$B20)^('DCF Model'!C19+0)+'DCF Model'!D45/(1+$B20)^('DCF Model'!C19+1)+'DCF Model'!E45/(1+$B20)^('DCF Model'!C19+2)+'DCF Model'!F45/(1+$B20)^('DCF Model'!C19+3)+'DCF Model'!G45/(1+$B20)^('DCF Model'!C19+4)+('DCF Model'!G39+'DCF Model'!G42)*G$17/(1+$B20)^('DCF Model'!C19+4)-'DCF Model'!C16)*1000000/'DCF Model'!C15,0),"")</f>
        <v>774</v>
      </c>
      <c r="H20" s="37">
        <f>IFERROR(ROUND(('DCF Model'!C45/(1+$B20)^('DCF Model'!C19+0)+'DCF Model'!D45/(1+$B20)^('DCF Model'!C19+1)+'DCF Model'!E45/(1+$B20)^('DCF Model'!C19+2)+'DCF Model'!F45/(1+$B20)^('DCF Model'!C19+3)+'DCF Model'!G45/(1+$B20)^('DCF Model'!C19+4)+('DCF Model'!G39+'DCF Model'!G42)*H$17/(1+$B20)^('DCF Model'!C19+4)-'DCF Model'!C16)*1000000/'DCF Model'!C15,0),"")</f>
        <v>949</v>
      </c>
      <c r="I20" s="37">
        <f>IFERROR(ROUND(('DCF Model'!C45/(1+$B20)^('DCF Model'!C19+0)+'DCF Model'!D45/(1+$B20)^('DCF Model'!C19+1)+'DCF Model'!E45/(1+$B20)^('DCF Model'!C19+2)+'DCF Model'!F45/(1+$B20)^('DCF Model'!C19+3)+'DCF Model'!G45/(1+$B20)^('DCF Model'!C19+4)+('DCF Model'!G39+'DCF Model'!G42)*I$17/(1+$B20)^('DCF Model'!C19+4)-'DCF Model'!C16)*1000000/'DCF Model'!C15,0),"")</f>
        <v>1123</v>
      </c>
    </row>
    <row r="21" spans="2:9" ht="13.5" customHeight="1" x14ac:dyDescent="0.25">
      <c r="B21" s="39">
        <f>$C$3</f>
        <v>4.0937271320651676E-2</v>
      </c>
      <c r="C21" s="37">
        <f>IFERROR(ROUND(('DCF Model'!C45/(1+$B21)^('DCF Model'!C19+0)+'DCF Model'!D45/(1+$B21)^('DCF Model'!C19+1)+'DCF Model'!E45/(1+$B21)^('DCF Model'!C19+2)+'DCF Model'!F45/(1+$B21)^('DCF Model'!C19+3)+'DCF Model'!G45/(1+$B21)^('DCF Model'!C19+4)+('DCF Model'!G39+'DCF Model'!G42)*C$17/(1+$B21)^('DCF Model'!C19+4)-'DCF Model'!C16)*1000000/'DCF Model'!C15,0),"")</f>
        <v>52</v>
      </c>
      <c r="D21" s="37">
        <f>IFERROR(ROUND(('DCF Model'!C45/(1+$B21)^('DCF Model'!C19+0)+'DCF Model'!D45/(1+$B21)^('DCF Model'!C19+1)+'DCF Model'!E45/(1+$B21)^('DCF Model'!C19+2)+'DCF Model'!F45/(1+$B21)^('DCF Model'!C19+3)+'DCF Model'!G45/(1+$B21)^('DCF Model'!C19+4)+('DCF Model'!G39+'DCF Model'!G42)*D$17/(1+$B21)^('DCF Model'!C19+4)-'DCF Model'!C16)*1000000/'DCF Model'!C15,0),"")</f>
        <v>222</v>
      </c>
      <c r="E21" s="37">
        <f>IFERROR(ROUND(('DCF Model'!C45/(1+$B21)^('DCF Model'!C19+0)+'DCF Model'!D45/(1+$B21)^('DCF Model'!C19+1)+'DCF Model'!E45/(1+$B21)^('DCF Model'!C19+2)+'DCF Model'!F45/(1+$B21)^('DCF Model'!C19+3)+'DCF Model'!G45/(1+$B21)^('DCF Model'!C19+4)+('DCF Model'!G39+'DCF Model'!G42)*E$17/(1+$B21)^('DCF Model'!C19+4)-'DCF Model'!C16)*1000000/'DCF Model'!C15,0),"")</f>
        <v>392</v>
      </c>
      <c r="F21" s="37">
        <f>IFERROR(ROUND(('DCF Model'!C45/(1+$B21)^('DCF Model'!C19+0)+'DCF Model'!D45/(1+$B21)^('DCF Model'!C19+1)+'DCF Model'!E45/(1+$B21)^('DCF Model'!C19+2)+'DCF Model'!F45/(1+$B21)^('DCF Model'!C19+3)+'DCF Model'!G45/(1+$B21)^('DCF Model'!C19+4)+('DCF Model'!G39+'DCF Model'!G42)*F$17/(1+$B21)^('DCF Model'!C19+4)-'DCF Model'!C16)*1000000/'DCF Model'!C15,0),"")</f>
        <v>563</v>
      </c>
      <c r="G21" s="37">
        <f>IFERROR(ROUND(('DCF Model'!C45/(1+$B21)^('DCF Model'!C19+0)+'DCF Model'!D45/(1+$B21)^('DCF Model'!C19+1)+'DCF Model'!E45/(1+$B21)^('DCF Model'!C19+2)+'DCF Model'!F45/(1+$B21)^('DCF Model'!C19+3)+'DCF Model'!G45/(1+$B21)^('DCF Model'!C19+4)+('DCF Model'!G39+'DCF Model'!G42)*G$17/(1+$B21)^('DCF Model'!C19+4)-'DCF Model'!C16)*1000000/'DCF Model'!C15,0),"")</f>
        <v>733</v>
      </c>
      <c r="H21" s="37">
        <f>IFERROR(ROUND(('DCF Model'!C45/(1+$B21)^('DCF Model'!C19+0)+'DCF Model'!D45/(1+$B21)^('DCF Model'!C19+1)+'DCF Model'!E45/(1+$B21)^('DCF Model'!C19+2)+'DCF Model'!F45/(1+$B21)^('DCF Model'!C19+3)+'DCF Model'!G45/(1+$B21)^('DCF Model'!C19+4)+('DCF Model'!G39+'DCF Model'!G42)*H$17/(1+$B21)^('DCF Model'!C19+4)-'DCF Model'!C16)*1000000/'DCF Model'!C15,0),"")</f>
        <v>903</v>
      </c>
      <c r="I21" s="37">
        <f>IFERROR(ROUND(('DCF Model'!C45/(1+$B21)^('DCF Model'!C19+0)+'DCF Model'!D45/(1+$B21)^('DCF Model'!C19+1)+'DCF Model'!E45/(1+$B21)^('DCF Model'!C19+2)+'DCF Model'!F45/(1+$B21)^('DCF Model'!C19+3)+'DCF Model'!G45/(1+$B21)^('DCF Model'!C19+4)+('DCF Model'!G39+'DCF Model'!G42)*I$17/(1+$B21)^('DCF Model'!C19+4)-'DCF Model'!C16)*1000000/'DCF Model'!C15,0),"")</f>
        <v>1073</v>
      </c>
    </row>
    <row r="22" spans="2:9" ht="13.5" customHeight="1" x14ac:dyDescent="0.25">
      <c r="B22" s="39">
        <f>$C$3+0.005</f>
        <v>4.5937271320651674E-2</v>
      </c>
      <c r="C22" s="37">
        <f>IFERROR(ROUND(('DCF Model'!C45/(1+$B22)^('DCF Model'!C19+0)+'DCF Model'!D45/(1+$B22)^('DCF Model'!C19+1)+'DCF Model'!E45/(1+$B22)^('DCF Model'!C19+2)+'DCF Model'!F45/(1+$B22)^('DCF Model'!C19+3)+'DCF Model'!G45/(1+$B22)^('DCF Model'!C19+4)+('DCF Model'!G39+'DCF Model'!G42)*C$17/(1+$B22)^('DCF Model'!C19+4)-'DCF Model'!C16)*1000000/'DCF Model'!C15,0),"")</f>
        <v>27</v>
      </c>
      <c r="D22" s="37">
        <f>IFERROR(ROUND(('DCF Model'!C45/(1+$B22)^('DCF Model'!C19+0)+'DCF Model'!D45/(1+$B22)^('DCF Model'!C19+1)+'DCF Model'!E45/(1+$B22)^('DCF Model'!C19+2)+'DCF Model'!F45/(1+$B22)^('DCF Model'!C19+3)+'DCF Model'!G45/(1+$B22)^('DCF Model'!C19+4)+('DCF Model'!G39+'DCF Model'!G42)*D$17/(1+$B22)^('DCF Model'!C19+4)-'DCF Model'!C16)*1000000/'DCF Model'!C15,0),"")</f>
        <v>194</v>
      </c>
      <c r="E22" s="37">
        <f>IFERROR(ROUND(('DCF Model'!C45/(1+$B22)^('DCF Model'!C19+0)+'DCF Model'!D45/(1+$B22)^('DCF Model'!C19+1)+'DCF Model'!E45/(1+$B22)^('DCF Model'!C19+2)+'DCF Model'!F45/(1+$B22)^('DCF Model'!C19+3)+'DCF Model'!G45/(1+$B22)^('DCF Model'!C19+4)+('DCF Model'!G39+'DCF Model'!G42)*E$17/(1+$B22)^('DCF Model'!C19+4)-'DCF Model'!C16)*1000000/'DCF Model'!C15,0),"")</f>
        <v>360</v>
      </c>
      <c r="F22" s="37">
        <f>IFERROR(ROUND(('DCF Model'!C45/(1+$B22)^('DCF Model'!C19+0)+'DCF Model'!D45/(1+$B22)^('DCF Model'!C19+1)+'DCF Model'!E45/(1+$B22)^('DCF Model'!C19+2)+'DCF Model'!F45/(1+$B22)^('DCF Model'!C19+3)+'DCF Model'!G45/(1+$B22)^('DCF Model'!C19+4)+('DCF Model'!G39+'DCF Model'!G42)*F$17/(1+$B22)^('DCF Model'!C19+4)-'DCF Model'!C16)*1000000/'DCF Model'!C15,0),"")</f>
        <v>526</v>
      </c>
      <c r="G22" s="37">
        <f>IFERROR(ROUND(('DCF Model'!C45/(1+$B22)^('DCF Model'!C19+0)+'DCF Model'!D45/(1+$B22)^('DCF Model'!C19+1)+'DCF Model'!E45/(1+$B22)^('DCF Model'!C19+2)+'DCF Model'!F45/(1+$B22)^('DCF Model'!C19+3)+'DCF Model'!G45/(1+$B22)^('DCF Model'!C19+4)+('DCF Model'!G39+'DCF Model'!G42)*G$17/(1+$B22)^('DCF Model'!C19+4)-'DCF Model'!C16)*1000000/'DCF Model'!C15,0),"")</f>
        <v>693</v>
      </c>
      <c r="H22" s="37">
        <f>IFERROR(ROUND(('DCF Model'!C45/(1+$B22)^('DCF Model'!C19+0)+'DCF Model'!D45/(1+$B22)^('DCF Model'!C19+1)+'DCF Model'!E45/(1+$B22)^('DCF Model'!C19+2)+'DCF Model'!F45/(1+$B22)^('DCF Model'!C19+3)+'DCF Model'!G45/(1+$B22)^('DCF Model'!C19+4)+('DCF Model'!G39+'DCF Model'!G42)*H$17/(1+$B22)^('DCF Model'!C19+4)-'DCF Model'!C16)*1000000/'DCF Model'!C15,0),"")</f>
        <v>859</v>
      </c>
      <c r="I22" s="37">
        <f>IFERROR(ROUND(('DCF Model'!C45/(1+$B22)^('DCF Model'!C19+0)+'DCF Model'!D45/(1+$B22)^('DCF Model'!C19+1)+'DCF Model'!E45/(1+$B22)^('DCF Model'!C19+2)+'DCF Model'!F45/(1+$B22)^('DCF Model'!C19+3)+'DCF Model'!G45/(1+$B22)^('DCF Model'!C19+4)+('DCF Model'!G39+'DCF Model'!G42)*I$17/(1+$B22)^('DCF Model'!C19+4)-'DCF Model'!C16)*1000000/'DCF Model'!C15,0),"")</f>
        <v>1025</v>
      </c>
    </row>
    <row r="23" spans="2:9" ht="13.5" customHeight="1" x14ac:dyDescent="0.25">
      <c r="B23" s="39">
        <f>$C$3+0.01</f>
        <v>5.0937271320651678E-2</v>
      </c>
      <c r="C23" s="37">
        <f>IFERROR(ROUND(('DCF Model'!C45/(1+$B23)^('DCF Model'!C19+0)+'DCF Model'!D45/(1+$B23)^('DCF Model'!C19+1)+'DCF Model'!E45/(1+$B23)^('DCF Model'!C19+2)+'DCF Model'!F45/(1+$B23)^('DCF Model'!C19+3)+'DCF Model'!G45/(1+$B23)^('DCF Model'!C19+4)+('DCF Model'!G39+'DCF Model'!G42)*C$17/(1+$B23)^('DCF Model'!C19+4)-'DCF Model'!C16)*1000000/'DCF Model'!C15,0),"")</f>
        <v>4</v>
      </c>
      <c r="D23" s="37">
        <f>IFERROR(ROUND(('DCF Model'!C45/(1+$B23)^('DCF Model'!C19+0)+'DCF Model'!D45/(1+$B23)^('DCF Model'!C19+1)+'DCF Model'!E45/(1+$B23)^('DCF Model'!C19+2)+'DCF Model'!F45/(1+$B23)^('DCF Model'!C19+3)+'DCF Model'!G45/(1+$B23)^('DCF Model'!C19+4)+('DCF Model'!G39+'DCF Model'!G42)*D$17/(1+$B23)^('DCF Model'!C19+4)-'DCF Model'!C16)*1000000/'DCF Model'!C15,0),"")</f>
        <v>166</v>
      </c>
      <c r="E23" s="37">
        <f>IFERROR(ROUND(('DCF Model'!C45/(1+$B23)^('DCF Model'!C19+0)+'DCF Model'!D45/(1+$B23)^('DCF Model'!C19+1)+'DCF Model'!E45/(1+$B23)^('DCF Model'!C19+2)+'DCF Model'!F45/(1+$B23)^('DCF Model'!C19+3)+'DCF Model'!G45/(1+$B23)^('DCF Model'!C19+4)+('DCF Model'!G39+'DCF Model'!G42)*E$17/(1+$B23)^('DCF Model'!C19+4)-'DCF Model'!C16)*1000000/'DCF Model'!C15,0),"")</f>
        <v>329</v>
      </c>
      <c r="F23" s="37">
        <f>IFERROR(ROUND(('DCF Model'!C45/(1+$B23)^('DCF Model'!C19+0)+'DCF Model'!D45/(1+$B23)^('DCF Model'!C19+1)+'DCF Model'!E45/(1+$B23)^('DCF Model'!C19+2)+'DCF Model'!F45/(1+$B23)^('DCF Model'!C19+3)+'DCF Model'!G45/(1+$B23)^('DCF Model'!C19+4)+('DCF Model'!G39+'DCF Model'!G42)*F$17/(1+$B23)^('DCF Model'!C19+4)-'DCF Model'!C16)*1000000/'DCF Model'!C15,0),"")</f>
        <v>491</v>
      </c>
      <c r="G23" s="37">
        <f>IFERROR(ROUND(('DCF Model'!C45/(1+$B23)^('DCF Model'!C19+0)+'DCF Model'!D45/(1+$B23)^('DCF Model'!C19+1)+'DCF Model'!E45/(1+$B23)^('DCF Model'!C19+2)+'DCF Model'!F45/(1+$B23)^('DCF Model'!C19+3)+'DCF Model'!G45/(1+$B23)^('DCF Model'!C19+4)+('DCF Model'!G39+'DCF Model'!G42)*G$17/(1+$B23)^('DCF Model'!C19+4)-'DCF Model'!C16)*1000000/'DCF Model'!C15,0),"")</f>
        <v>653</v>
      </c>
      <c r="H23" s="37">
        <f>IFERROR(ROUND(('DCF Model'!C45/(1+$B23)^('DCF Model'!C19+0)+'DCF Model'!D45/(1+$B23)^('DCF Model'!C19+1)+'DCF Model'!E45/(1+$B23)^('DCF Model'!C19+2)+'DCF Model'!F45/(1+$B23)^('DCF Model'!C19+3)+'DCF Model'!G45/(1+$B23)^('DCF Model'!C19+4)+('DCF Model'!G39+'DCF Model'!G42)*H$17/(1+$B23)^('DCF Model'!C19+4)-'DCF Model'!C16)*1000000/'DCF Model'!C15,0),"")</f>
        <v>816</v>
      </c>
      <c r="I23" s="37">
        <f>IFERROR(ROUND(('DCF Model'!C45/(1+$B23)^('DCF Model'!C19+0)+'DCF Model'!D45/(1+$B23)^('DCF Model'!C19+1)+'DCF Model'!E45/(1+$B23)^('DCF Model'!C19+2)+'DCF Model'!F45/(1+$B23)^('DCF Model'!C19+3)+'DCF Model'!G45/(1+$B23)^('DCF Model'!C19+4)+('DCF Model'!G39+'DCF Model'!G42)*I$17/(1+$B23)^('DCF Model'!C19+4)-'DCF Model'!C16)*1000000/'DCF Model'!C15,0),"")</f>
        <v>978</v>
      </c>
    </row>
    <row r="24" spans="2:9" ht="13.5" customHeight="1" x14ac:dyDescent="0.25">
      <c r="B24" s="39">
        <f>$C$3+0.015</f>
        <v>5.5937271320651676E-2</v>
      </c>
      <c r="C24" s="37">
        <f>IFERROR(ROUND(('DCF Model'!C45/(1+$B24)^('DCF Model'!C19+0)+'DCF Model'!D45/(1+$B24)^('DCF Model'!C19+1)+'DCF Model'!E45/(1+$B24)^('DCF Model'!C19+2)+'DCF Model'!F45/(1+$B24)^('DCF Model'!C19+3)+'DCF Model'!G45/(1+$B24)^('DCF Model'!C19+4)+('DCF Model'!G39+'DCF Model'!G42)*C$17/(1+$B24)^('DCF Model'!C19+4)-'DCF Model'!C16)*1000000/'DCF Model'!C15,0),"")</f>
        <v>-19</v>
      </c>
      <c r="D24" s="37">
        <f>IFERROR(ROUND(('DCF Model'!C45/(1+$B24)^('DCF Model'!C19+0)+'DCF Model'!D45/(1+$B24)^('DCF Model'!C19+1)+'DCF Model'!E45/(1+$B24)^('DCF Model'!C19+2)+'DCF Model'!F45/(1+$B24)^('DCF Model'!C19+3)+'DCF Model'!G45/(1+$B24)^('DCF Model'!C19+4)+('DCF Model'!G39+'DCF Model'!G42)*D$17/(1+$B24)^('DCF Model'!C19+4)-'DCF Model'!C16)*1000000/'DCF Model'!C15,0),"")</f>
        <v>140</v>
      </c>
      <c r="E24" s="37">
        <f>IFERROR(ROUND(('DCF Model'!C45/(1+$B24)^('DCF Model'!C19+0)+'DCF Model'!D45/(1+$B24)^('DCF Model'!C19+1)+'DCF Model'!E45/(1+$B24)^('DCF Model'!C19+2)+'DCF Model'!F45/(1+$B24)^('DCF Model'!C19+3)+'DCF Model'!G45/(1+$B24)^('DCF Model'!C19+4)+('DCF Model'!G39+'DCF Model'!G42)*E$17/(1+$B24)^('DCF Model'!C19+4)-'DCF Model'!C16)*1000000/'DCF Model'!C15,0),"")</f>
        <v>298</v>
      </c>
      <c r="F24" s="37">
        <f>IFERROR(ROUND(('DCF Model'!C45/(1+$B24)^('DCF Model'!C19+0)+'DCF Model'!D45/(1+$B24)^('DCF Model'!C19+1)+'DCF Model'!E45/(1+$B24)^('DCF Model'!C19+2)+'DCF Model'!F45/(1+$B24)^('DCF Model'!C19+3)+'DCF Model'!G45/(1+$B24)^('DCF Model'!C19+4)+('DCF Model'!G39+'DCF Model'!G42)*F$17/(1+$B24)^('DCF Model'!C19+4)-'DCF Model'!C16)*1000000/'DCF Model'!C15,0),"")</f>
        <v>457</v>
      </c>
      <c r="G24" s="37">
        <f>IFERROR(ROUND(('DCF Model'!C45/(1+$B24)^('DCF Model'!C19+0)+'DCF Model'!D45/(1+$B24)^('DCF Model'!C19+1)+'DCF Model'!E45/(1+$B24)^('DCF Model'!C19+2)+'DCF Model'!F45/(1+$B24)^('DCF Model'!C19+3)+'DCF Model'!G45/(1+$B24)^('DCF Model'!C19+4)+('DCF Model'!G39+'DCF Model'!G42)*G$17/(1+$B24)^('DCF Model'!C19+4)-'DCF Model'!C16)*1000000/'DCF Model'!C15,0),"")</f>
        <v>615</v>
      </c>
      <c r="H24" s="37">
        <f>IFERROR(ROUND(('DCF Model'!C45/(1+$B24)^('DCF Model'!C19+0)+'DCF Model'!D45/(1+$B24)^('DCF Model'!C19+1)+'DCF Model'!E45/(1+$B24)^('DCF Model'!C19+2)+'DCF Model'!F45/(1+$B24)^('DCF Model'!C19+3)+'DCF Model'!G45/(1+$B24)^('DCF Model'!C19+4)+('DCF Model'!G39+'DCF Model'!G42)*H$17/(1+$B24)^('DCF Model'!C19+4)-'DCF Model'!C16)*1000000/'DCF Model'!C15,0),"")</f>
        <v>774</v>
      </c>
      <c r="I24" s="37">
        <f>IFERROR(ROUND(('DCF Model'!C45/(1+$B24)^('DCF Model'!C19+0)+'DCF Model'!D45/(1+$B24)^('DCF Model'!C19+1)+'DCF Model'!E45/(1+$B24)^('DCF Model'!C19+2)+'DCF Model'!F45/(1+$B24)^('DCF Model'!C19+3)+'DCF Model'!G45/(1+$B24)^('DCF Model'!C19+4)+('DCF Model'!G39+'DCF Model'!G42)*I$17/(1+$B24)^('DCF Model'!C19+4)-'DCF Model'!C16)*1000000/'DCF Model'!C15,0),"")</f>
        <v>932</v>
      </c>
    </row>
    <row r="26" spans="2:9" ht="14" customHeight="1" x14ac:dyDescent="0.3">
      <c r="B26" s="46" t="s">
        <v>244</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3"/>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245</v>
      </c>
    </row>
    <row r="4" spans="2:7" ht="14" customHeight="1"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s="43" t="s">
        <v>257</v>
      </c>
      <c r="C6" s="4" t="s">
        <v>258</v>
      </c>
      <c r="D6" s="43" t="s">
        <v>259</v>
      </c>
      <c r="E6" s="43" t="s">
        <v>260</v>
      </c>
      <c r="F6" s="43" t="s">
        <v>261</v>
      </c>
      <c r="G6" s="43" t="s">
        <v>262</v>
      </c>
    </row>
    <row r="7" spans="2:7" ht="30" customHeight="1" x14ac:dyDescent="0.3">
      <c r="B7" s="43" t="s">
        <v>257</v>
      </c>
      <c r="C7" s="4" t="s">
        <v>263</v>
      </c>
      <c r="D7" s="43" t="s">
        <v>264</v>
      </c>
      <c r="E7" s="43" t="s">
        <v>265</v>
      </c>
      <c r="F7" s="43" t="s">
        <v>266</v>
      </c>
      <c r="G7" s="43" t="s">
        <v>267</v>
      </c>
    </row>
    <row r="8" spans="2:7" ht="30" customHeight="1" x14ac:dyDescent="0.3">
      <c r="B8" s="43" t="s">
        <v>257</v>
      </c>
      <c r="C8" s="4" t="s">
        <v>268</v>
      </c>
      <c r="D8" s="43" t="s">
        <v>269</v>
      </c>
      <c r="E8" s="43" t="s">
        <v>270</v>
      </c>
      <c r="F8" s="43" t="s">
        <v>271</v>
      </c>
      <c r="G8" s="43" t="s">
        <v>267</v>
      </c>
    </row>
    <row r="9" spans="2:7" ht="30" customHeight="1" x14ac:dyDescent="0.3">
      <c r="B9" s="43" t="s">
        <v>257</v>
      </c>
      <c r="C9" s="4" t="s">
        <v>272</v>
      </c>
      <c r="D9" s="43" t="s">
        <v>273</v>
      </c>
      <c r="E9" s="43" t="s">
        <v>274</v>
      </c>
      <c r="F9" s="43" t="s">
        <v>275</v>
      </c>
      <c r="G9" s="43" t="s">
        <v>276</v>
      </c>
    </row>
    <row r="10" spans="2:7" ht="30" customHeight="1" x14ac:dyDescent="0.3">
      <c r="B10" s="43" t="s">
        <v>257</v>
      </c>
      <c r="C10" s="4" t="s">
        <v>277</v>
      </c>
      <c r="D10" s="43" t="s">
        <v>278</v>
      </c>
      <c r="E10" s="43" t="s">
        <v>279</v>
      </c>
      <c r="F10" s="43" t="s">
        <v>280</v>
      </c>
      <c r="G10" s="43" t="s">
        <v>281</v>
      </c>
    </row>
    <row r="11" spans="2:7" ht="30" customHeight="1" x14ac:dyDescent="0.3">
      <c r="B11" s="43" t="s">
        <v>257</v>
      </c>
      <c r="C11" s="4" t="s">
        <v>282</v>
      </c>
      <c r="D11" s="43" t="s">
        <v>283</v>
      </c>
      <c r="E11" s="43" t="s">
        <v>284</v>
      </c>
      <c r="F11" s="43" t="s">
        <v>285</v>
      </c>
      <c r="G11" s="43" t="s">
        <v>286</v>
      </c>
    </row>
    <row r="12" spans="2:7" ht="30" customHeight="1" x14ac:dyDescent="0.3">
      <c r="B12" s="43" t="s">
        <v>257</v>
      </c>
      <c r="C12" s="4" t="s">
        <v>287</v>
      </c>
      <c r="D12" s="43" t="s">
        <v>288</v>
      </c>
      <c r="E12" s="43" t="s">
        <v>289</v>
      </c>
      <c r="F12" s="43" t="s">
        <v>290</v>
      </c>
      <c r="G12" s="43" t="s">
        <v>267</v>
      </c>
    </row>
    <row r="13" spans="2:7" ht="30" customHeight="1" x14ac:dyDescent="0.3">
      <c r="B13" s="43" t="s">
        <v>257</v>
      </c>
      <c r="C13" s="4" t="s">
        <v>291</v>
      </c>
      <c r="D13" s="43" t="s">
        <v>292</v>
      </c>
      <c r="E13" s="43" t="s">
        <v>293</v>
      </c>
      <c r="F13" s="43" t="s">
        <v>294</v>
      </c>
      <c r="G13" s="43" t="s">
        <v>267</v>
      </c>
    </row>
    <row r="14" spans="2:7" ht="30" customHeight="1" x14ac:dyDescent="0.3">
      <c r="B14" s="43" t="s">
        <v>257</v>
      </c>
      <c r="C14" s="4" t="s">
        <v>295</v>
      </c>
      <c r="D14" s="43" t="s">
        <v>296</v>
      </c>
      <c r="E14" s="43" t="s">
        <v>297</v>
      </c>
      <c r="F14" s="43" t="s">
        <v>253</v>
      </c>
      <c r="G14" s="43" t="s">
        <v>267</v>
      </c>
    </row>
    <row r="15" spans="2:7" ht="30" customHeight="1" x14ac:dyDescent="0.3">
      <c r="B15" s="43" t="s">
        <v>257</v>
      </c>
      <c r="C15" s="4" t="s">
        <v>298</v>
      </c>
      <c r="D15" s="43" t="s">
        <v>299</v>
      </c>
      <c r="E15" s="43" t="s">
        <v>300</v>
      </c>
      <c r="F15" s="43" t="s">
        <v>301</v>
      </c>
      <c r="G15" s="43" t="s">
        <v>267</v>
      </c>
    </row>
    <row r="16" spans="2:7" ht="30" customHeight="1" x14ac:dyDescent="0.3">
      <c r="B16" s="43" t="s">
        <v>257</v>
      </c>
      <c r="C16" s="4" t="s">
        <v>302</v>
      </c>
      <c r="D16" s="43" t="s">
        <v>303</v>
      </c>
      <c r="E16" s="43" t="s">
        <v>304</v>
      </c>
      <c r="F16" s="43" t="s">
        <v>253</v>
      </c>
      <c r="G16" s="43" t="s">
        <v>305</v>
      </c>
    </row>
    <row r="17" spans="2:7" ht="30" customHeight="1" x14ac:dyDescent="0.3">
      <c r="B17" s="43" t="s">
        <v>257</v>
      </c>
      <c r="C17" s="4" t="s">
        <v>306</v>
      </c>
      <c r="D17" s="43" t="s">
        <v>307</v>
      </c>
      <c r="E17" s="43" t="s">
        <v>308</v>
      </c>
      <c r="F17" s="43" t="s">
        <v>271</v>
      </c>
      <c r="G17" s="43" t="s">
        <v>267</v>
      </c>
    </row>
    <row r="18" spans="2:7" ht="30" customHeight="1" x14ac:dyDescent="0.3">
      <c r="B18" s="43" t="s">
        <v>257</v>
      </c>
      <c r="C18" s="4" t="s">
        <v>309</v>
      </c>
      <c r="D18" s="43" t="s">
        <v>310</v>
      </c>
      <c r="E18" s="43" t="s">
        <v>311</v>
      </c>
      <c r="F18" s="43" t="s">
        <v>253</v>
      </c>
      <c r="G18" s="43" t="s">
        <v>267</v>
      </c>
    </row>
    <row r="19" spans="2:7" ht="30" customHeight="1" x14ac:dyDescent="0.3">
      <c r="B19" s="43" t="s">
        <v>257</v>
      </c>
      <c r="C19" s="4" t="s">
        <v>312</v>
      </c>
      <c r="D19" s="43" t="s">
        <v>313</v>
      </c>
      <c r="E19" s="43" t="s">
        <v>314</v>
      </c>
      <c r="F19" s="43" t="s">
        <v>315</v>
      </c>
      <c r="G19" s="43" t="s">
        <v>316</v>
      </c>
    </row>
    <row r="20" spans="2:7" ht="30" customHeight="1" x14ac:dyDescent="0.3">
      <c r="B20" s="43" t="s">
        <v>257</v>
      </c>
      <c r="C20" s="4" t="s">
        <v>317</v>
      </c>
      <c r="D20" s="43" t="s">
        <v>318</v>
      </c>
      <c r="E20" s="43" t="s">
        <v>319</v>
      </c>
      <c r="F20" s="43" t="s">
        <v>253</v>
      </c>
      <c r="G20" s="43" t="s">
        <v>320</v>
      </c>
    </row>
    <row r="21" spans="2:7" ht="30" customHeight="1" x14ac:dyDescent="0.3">
      <c r="B21" s="43" t="s">
        <v>257</v>
      </c>
      <c r="C21" s="4" t="s">
        <v>321</v>
      </c>
      <c r="D21" s="43" t="s">
        <v>322</v>
      </c>
      <c r="E21" s="43" t="s">
        <v>323</v>
      </c>
      <c r="F21" s="43" t="s">
        <v>253</v>
      </c>
      <c r="G21" s="43" t="s">
        <v>324</v>
      </c>
    </row>
    <row r="22" spans="2:7" ht="30" customHeight="1" x14ac:dyDescent="0.3">
      <c r="B22" s="43" t="s">
        <v>257</v>
      </c>
      <c r="C22" s="4" t="s">
        <v>321</v>
      </c>
      <c r="D22" s="43" t="s">
        <v>325</v>
      </c>
      <c r="E22" s="43" t="s">
        <v>326</v>
      </c>
      <c r="F22" s="43" t="s">
        <v>253</v>
      </c>
      <c r="G22" s="43" t="s">
        <v>324</v>
      </c>
    </row>
    <row r="23" spans="2:7" ht="30" customHeight="1" x14ac:dyDescent="0.3">
      <c r="B23" s="43" t="s">
        <v>257</v>
      </c>
      <c r="C23" s="4" t="s">
        <v>321</v>
      </c>
      <c r="D23" s="43" t="s">
        <v>327</v>
      </c>
      <c r="E23" s="43" t="s">
        <v>328</v>
      </c>
      <c r="F23" s="43" t="s">
        <v>253</v>
      </c>
      <c r="G23" s="43" t="s">
        <v>324</v>
      </c>
    </row>
    <row r="24" spans="2:7" ht="14" customHeight="1" x14ac:dyDescent="0.2"/>
    <row r="25" spans="2:7" ht="14" customHeight="1" x14ac:dyDescent="0.3">
      <c r="B25" s="8" t="s">
        <v>329</v>
      </c>
    </row>
    <row r="26" spans="2:7" ht="14" customHeight="1" x14ac:dyDescent="0.3">
      <c r="B26" s="10" t="s">
        <v>330</v>
      </c>
      <c r="C26" s="10" t="s">
        <v>331</v>
      </c>
    </row>
    <row r="27" spans="2:7" ht="14" customHeight="1" x14ac:dyDescent="0.3">
      <c r="B27" s="4" t="s">
        <v>332</v>
      </c>
      <c r="C27" t="s">
        <v>333</v>
      </c>
    </row>
    <row r="28" spans="2:7" ht="14" customHeight="1" x14ac:dyDescent="0.3">
      <c r="B28" s="4" t="s">
        <v>334</v>
      </c>
      <c r="C28" t="s">
        <v>335</v>
      </c>
    </row>
    <row r="29" spans="2:7" ht="14" customHeight="1" x14ac:dyDescent="0.3">
      <c r="B29" s="4" t="s">
        <v>336</v>
      </c>
      <c r="C29" t="s">
        <v>337</v>
      </c>
    </row>
    <row r="30" spans="2:7" ht="14" customHeight="1" x14ac:dyDescent="0.3">
      <c r="B30" s="4" t="s">
        <v>338</v>
      </c>
      <c r="C30" t="s">
        <v>339</v>
      </c>
    </row>
    <row r="31" spans="2:7" ht="14" customHeight="1" x14ac:dyDescent="0.3">
      <c r="B31" s="4" t="s">
        <v>340</v>
      </c>
      <c r="C31" t="s">
        <v>4</v>
      </c>
    </row>
    <row r="32" spans="2:7" ht="14" customHeight="1" x14ac:dyDescent="0.3">
      <c r="B32" s="4" t="s">
        <v>341</v>
      </c>
      <c r="C32" t="s">
        <v>252</v>
      </c>
    </row>
    <row r="33" spans="2:3" ht="14" customHeight="1" x14ac:dyDescent="0.3">
      <c r="B33" s="4" t="s">
        <v>342</v>
      </c>
      <c r="C33" t="s">
        <v>343</v>
      </c>
    </row>
    <row r="34" spans="2:3" ht="14" customHeight="1" x14ac:dyDescent="0.3">
      <c r="B34" s="4" t="s">
        <v>344</v>
      </c>
      <c r="C34" t="s">
        <v>345</v>
      </c>
    </row>
    <row r="35" spans="2:3" ht="14" customHeight="1" x14ac:dyDescent="0.3">
      <c r="B35" s="4" t="s">
        <v>346</v>
      </c>
      <c r="C35" t="s">
        <v>347</v>
      </c>
    </row>
    <row r="36" spans="2:3" ht="14" customHeight="1" x14ac:dyDescent="0.3">
      <c r="B36" s="4" t="s">
        <v>348</v>
      </c>
      <c r="C36" t="s">
        <v>349</v>
      </c>
    </row>
    <row r="37" spans="2:3" ht="14" customHeight="1" x14ac:dyDescent="0.3">
      <c r="B37" s="4" t="s">
        <v>350</v>
      </c>
      <c r="C37" t="s">
        <v>351</v>
      </c>
    </row>
    <row r="38" spans="2:3" ht="14" customHeight="1" x14ac:dyDescent="0.3">
      <c r="B38" s="4" t="s">
        <v>352</v>
      </c>
      <c r="C38" t="s">
        <v>347</v>
      </c>
    </row>
    <row r="39" spans="2:3" ht="14" customHeight="1" x14ac:dyDescent="0.3">
      <c r="B39" s="4" t="s">
        <v>353</v>
      </c>
      <c r="C39" t="s">
        <v>343</v>
      </c>
    </row>
    <row r="40" spans="2:3" ht="14" customHeight="1" x14ac:dyDescent="0.3">
      <c r="B40" s="4" t="s">
        <v>354</v>
      </c>
      <c r="C40" t="s">
        <v>355</v>
      </c>
    </row>
    <row r="41" spans="2:3" ht="14" customHeight="1" x14ac:dyDescent="0.3">
      <c r="B41" s="4" t="s">
        <v>356</v>
      </c>
      <c r="C41" t="s">
        <v>357</v>
      </c>
    </row>
    <row r="42" spans="2:3" ht="14" customHeight="1" x14ac:dyDescent="0.3">
      <c r="B42" s="4" t="s">
        <v>358</v>
      </c>
      <c r="C42" t="s">
        <v>359</v>
      </c>
    </row>
    <row r="43" spans="2:3" ht="14" customHeight="1" x14ac:dyDescent="0.3">
      <c r="B43" s="4" t="s">
        <v>360</v>
      </c>
      <c r="C43" t="s">
        <v>361</v>
      </c>
    </row>
    <row r="44" spans="2:3" ht="14" customHeight="1" x14ac:dyDescent="0.3">
      <c r="B44" s="4" t="s">
        <v>362</v>
      </c>
      <c r="C44" t="s">
        <v>363</v>
      </c>
    </row>
    <row r="45" spans="2:3" ht="14" customHeight="1" x14ac:dyDescent="0.3">
      <c r="B45" s="4" t="s">
        <v>364</v>
      </c>
      <c r="C45" t="s">
        <v>365</v>
      </c>
    </row>
    <row r="46" spans="2:3" ht="14" customHeight="1" x14ac:dyDescent="0.3">
      <c r="B46" s="4" t="s">
        <v>366</v>
      </c>
      <c r="C46" t="s">
        <v>367</v>
      </c>
    </row>
    <row r="47" spans="2:3" ht="14" customHeight="1" x14ac:dyDescent="0.3">
      <c r="B47" s="4" t="s">
        <v>368</v>
      </c>
      <c r="C47" t="s">
        <v>369</v>
      </c>
    </row>
    <row r="48" spans="2:3" ht="14" customHeight="1" x14ac:dyDescent="0.3">
      <c r="B48" s="4" t="s">
        <v>370</v>
      </c>
      <c r="C48" t="s">
        <v>371</v>
      </c>
    </row>
    <row r="49" spans="2:3" ht="14" customHeight="1" x14ac:dyDescent="0.3">
      <c r="B49" s="4" t="s">
        <v>372</v>
      </c>
      <c r="C49" t="s">
        <v>373</v>
      </c>
    </row>
    <row r="50" spans="2:3" ht="14" customHeight="1" x14ac:dyDescent="0.3">
      <c r="B50" s="4" t="s">
        <v>374</v>
      </c>
      <c r="C50" t="s">
        <v>375</v>
      </c>
    </row>
    <row r="51" spans="2:3" ht="14" customHeight="1" x14ac:dyDescent="0.3">
      <c r="B51" s="4" t="s">
        <v>376</v>
      </c>
      <c r="C51" t="s">
        <v>377</v>
      </c>
    </row>
    <row r="52" spans="2:3" ht="14" customHeight="1" x14ac:dyDescent="0.3">
      <c r="B52" s="4" t="s">
        <v>378</v>
      </c>
      <c r="C52" t="s">
        <v>379</v>
      </c>
    </row>
    <row r="53" spans="2:3" ht="14" customHeight="1" x14ac:dyDescent="0.3">
      <c r="B53" s="4" t="s">
        <v>380</v>
      </c>
      <c r="C53" t="s">
        <v>381</v>
      </c>
    </row>
    <row r="54" spans="2:3" ht="14" customHeight="1" x14ac:dyDescent="0.3">
      <c r="B54" s="4" t="s">
        <v>382</v>
      </c>
      <c r="C54" t="s">
        <v>383</v>
      </c>
    </row>
    <row r="55" spans="2:3" ht="14" customHeight="1" x14ac:dyDescent="0.3">
      <c r="B55" s="4" t="s">
        <v>384</v>
      </c>
      <c r="C55" t="s">
        <v>385</v>
      </c>
    </row>
    <row r="56" spans="2:3" ht="14" customHeight="1" x14ac:dyDescent="0.3">
      <c r="B56" s="4" t="s">
        <v>386</v>
      </c>
      <c r="C56" t="s">
        <v>387</v>
      </c>
    </row>
    <row r="57" spans="2:3" ht="14" customHeight="1" x14ac:dyDescent="0.3">
      <c r="B57" s="4" t="s">
        <v>388</v>
      </c>
      <c r="C57" t="s">
        <v>389</v>
      </c>
    </row>
    <row r="58" spans="2:3" ht="14" customHeight="1" x14ac:dyDescent="0.3">
      <c r="B58" s="4" t="s">
        <v>390</v>
      </c>
      <c r="C58" t="s">
        <v>343</v>
      </c>
    </row>
    <row r="59" spans="2:3" ht="14" customHeight="1" x14ac:dyDescent="0.3">
      <c r="B59" s="4" t="s">
        <v>391</v>
      </c>
      <c r="C59" t="s">
        <v>392</v>
      </c>
    </row>
    <row r="60" spans="2:3" ht="14" customHeight="1" x14ac:dyDescent="0.3">
      <c r="B60" s="4" t="s">
        <v>393</v>
      </c>
      <c r="C60" t="s">
        <v>394</v>
      </c>
    </row>
    <row r="61" spans="2:3" ht="14" customHeight="1" x14ac:dyDescent="0.3">
      <c r="B61" s="4" t="s">
        <v>395</v>
      </c>
      <c r="C61" t="s">
        <v>396</v>
      </c>
    </row>
    <row r="62" spans="2:3" ht="14" customHeight="1" x14ac:dyDescent="0.3">
      <c r="B62" s="4" t="s">
        <v>397</v>
      </c>
      <c r="C62" t="s">
        <v>398</v>
      </c>
    </row>
    <row r="63" spans="2:3" ht="14" customHeight="1" x14ac:dyDescent="0.3">
      <c r="B63" s="4" t="s">
        <v>399</v>
      </c>
      <c r="C63"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2026-09-05T17:47:35Z</dcterms:created>
  <dcterms:modified xsi:type="dcterms:W3CDTF">2026-09-06T04:59:44Z</dcterms:modified>
</cp:coreProperties>
</file>