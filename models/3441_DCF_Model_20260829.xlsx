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04756D75-AB94-4FCC-9FB5-FD6C995D1EF3}" xr6:coauthVersionLast="47" xr6:coauthVersionMax="47" xr10:uidLastSave="{00000000-0000-0000-0000-000000000000}"/>
  <bookViews>
    <workbookView xWindow="-110" yWindow="-110" windowWidth="19420" windowHeight="10300" activeTab="2"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 name="Segment Bridge" sheetId="9" r:id="rId9"/>
  </sheets>
  <calcPr calcId="181029"/>
</workbook>
</file>

<file path=xl/calcChain.xml><?xml version="1.0" encoding="utf-8"?>
<calcChain xmlns="http://schemas.openxmlformats.org/spreadsheetml/2006/main">
  <c r="D41" i="9" l="1"/>
  <c r="C41" i="9"/>
  <c r="D36" i="9"/>
  <c r="D38" i="9" s="1"/>
  <c r="D40" i="9" s="1"/>
  <c r="C36" i="9"/>
  <c r="C38" i="9" s="1"/>
  <c r="C40" i="9" s="1"/>
  <c r="D30" i="9"/>
  <c r="C30" i="9"/>
  <c r="D29" i="9"/>
  <c r="C29" i="9"/>
  <c r="D28" i="9"/>
  <c r="C28" i="9"/>
  <c r="D20" i="9"/>
  <c r="D22" i="9" s="1"/>
  <c r="D24" i="9" s="1"/>
  <c r="C20" i="9"/>
  <c r="C22" i="9" s="1"/>
  <c r="C24" i="9" s="1"/>
  <c r="D12" i="9"/>
  <c r="D13" i="9" s="1"/>
  <c r="C12" i="9"/>
  <c r="C13" i="9" s="1"/>
  <c r="I3" i="7"/>
  <c r="I17" i="7" s="1"/>
  <c r="F3" i="7"/>
  <c r="H6" i="7" s="1"/>
  <c r="C29" i="6"/>
  <c r="O10" i="6"/>
  <c r="N10" i="6"/>
  <c r="M10" i="6"/>
  <c r="L10" i="6"/>
  <c r="K10" i="6"/>
  <c r="J10" i="6"/>
  <c r="O9" i="6"/>
  <c r="N9" i="6"/>
  <c r="M9" i="6"/>
  <c r="L9" i="6"/>
  <c r="K9" i="6"/>
  <c r="J9" i="6"/>
  <c r="O8" i="6"/>
  <c r="I16" i="6" s="1"/>
  <c r="N8" i="6"/>
  <c r="M8" i="6"/>
  <c r="L8" i="6"/>
  <c r="K8" i="6"/>
  <c r="J8" i="6"/>
  <c r="O7" i="6"/>
  <c r="N7" i="6"/>
  <c r="M7" i="6"/>
  <c r="L7" i="6"/>
  <c r="K7" i="6"/>
  <c r="J7" i="6"/>
  <c r="O6" i="6"/>
  <c r="N6" i="6"/>
  <c r="M6" i="6"/>
  <c r="L6" i="6"/>
  <c r="K6" i="6"/>
  <c r="J6" i="6"/>
  <c r="O5" i="6"/>
  <c r="N5" i="6"/>
  <c r="D5" i="6"/>
  <c r="E5" i="6" s="1"/>
  <c r="C16" i="5"/>
  <c r="C14" i="5"/>
  <c r="C7" i="5"/>
  <c r="C6" i="5"/>
  <c r="C5" i="5"/>
  <c r="C13" i="4"/>
  <c r="C12" i="4"/>
  <c r="C9" i="4"/>
  <c r="C7" i="4"/>
  <c r="C6" i="4"/>
  <c r="D27" i="3"/>
  <c r="D7" i="5" s="1"/>
  <c r="C25" i="3"/>
  <c r="C24" i="3"/>
  <c r="C23" i="3"/>
  <c r="F28" i="2"/>
  <c r="E28" i="2"/>
  <c r="D28" i="2"/>
  <c r="C28" i="2"/>
  <c r="F23" i="2"/>
  <c r="E23" i="2"/>
  <c r="D23" i="2"/>
  <c r="C23" i="2"/>
  <c r="F22" i="2"/>
  <c r="F21" i="2"/>
  <c r="E21" i="2"/>
  <c r="E22" i="2" s="1"/>
  <c r="D21" i="2"/>
  <c r="D22" i="2" s="1"/>
  <c r="C21" i="2"/>
  <c r="C22" i="2" s="1"/>
  <c r="F16" i="2"/>
  <c r="E16" i="2"/>
  <c r="D16" i="2"/>
  <c r="F15" i="2"/>
  <c r="E15" i="2"/>
  <c r="D15" i="2"/>
  <c r="F14" i="2"/>
  <c r="E14" i="2"/>
  <c r="D14" i="2"/>
  <c r="C14" i="2"/>
  <c r="F13" i="2"/>
  <c r="E13" i="2"/>
  <c r="D13" i="2"/>
  <c r="C13" i="2"/>
  <c r="D9" i="2"/>
  <c r="F8" i="2"/>
  <c r="F9" i="2" s="1"/>
  <c r="E8" i="2"/>
  <c r="E9" i="2" s="1"/>
  <c r="D8" i="2"/>
  <c r="C8" i="2"/>
  <c r="C9" i="2" s="1"/>
  <c r="F6" i="7" l="1"/>
  <c r="C18" i="5"/>
  <c r="E30" i="3"/>
  <c r="E5" i="5"/>
  <c r="G30" i="3"/>
  <c r="F5" i="5"/>
  <c r="D31" i="3"/>
  <c r="G5" i="5"/>
  <c r="F15" i="6"/>
  <c r="H16" i="6"/>
  <c r="G17" i="7"/>
  <c r="C26" i="3"/>
  <c r="G46" i="3" s="1"/>
  <c r="C8" i="4"/>
  <c r="F31" i="3"/>
  <c r="G31" i="3"/>
  <c r="C10" i="4"/>
  <c r="C70" i="4" s="1"/>
  <c r="E6" i="5"/>
  <c r="C32" i="3"/>
  <c r="G6" i="5"/>
  <c r="C30" i="3"/>
  <c r="C33" i="3" s="1"/>
  <c r="H6" i="5"/>
  <c r="D15" i="6"/>
  <c r="I15" i="6"/>
  <c r="E32" i="3"/>
  <c r="D30" i="3"/>
  <c r="G32" i="3"/>
  <c r="G7" i="5"/>
  <c r="C3" i="7"/>
  <c r="H36" i="4"/>
  <c r="D36" i="4"/>
  <c r="D46" i="3"/>
  <c r="G36" i="4"/>
  <c r="E46" i="3"/>
  <c r="C11" i="4"/>
  <c r="C46" i="3"/>
  <c r="C71" i="4"/>
  <c r="K5" i="6"/>
  <c r="J5" i="6"/>
  <c r="M5" i="6"/>
  <c r="L5" i="6"/>
  <c r="H17" i="6"/>
  <c r="D16" i="6"/>
  <c r="H15" i="6"/>
  <c r="E17" i="6"/>
  <c r="E15" i="6"/>
  <c r="E16" i="6"/>
  <c r="G15" i="6"/>
  <c r="G16" i="6"/>
  <c r="G17" i="6"/>
  <c r="D17" i="6"/>
  <c r="F17" i="6"/>
  <c r="F16" i="6"/>
  <c r="C28" i="6" s="1"/>
  <c r="C19" i="1" s="1"/>
  <c r="D19" i="1" s="1"/>
  <c r="E7" i="5"/>
  <c r="C31" i="3"/>
  <c r="F32" i="3"/>
  <c r="D6" i="5"/>
  <c r="F7" i="5"/>
  <c r="I6" i="7"/>
  <c r="C17" i="7"/>
  <c r="E31" i="3"/>
  <c r="D5" i="5"/>
  <c r="F6" i="5"/>
  <c r="H7" i="5"/>
  <c r="I17" i="6"/>
  <c r="C6" i="7"/>
  <c r="D17" i="7"/>
  <c r="D6" i="7"/>
  <c r="E17" i="7"/>
  <c r="E6" i="7"/>
  <c r="F17" i="7"/>
  <c r="F30" i="3"/>
  <c r="D32" i="3"/>
  <c r="H5" i="5"/>
  <c r="G6" i="7"/>
  <c r="H17" i="7"/>
  <c r="F46" i="3" l="1"/>
  <c r="C34" i="3"/>
  <c r="E36" i="4"/>
  <c r="E46" i="4" s="1"/>
  <c r="C37" i="3"/>
  <c r="F36" i="4"/>
  <c r="F46" i="4" s="1"/>
  <c r="C30" i="6"/>
  <c r="C24" i="4"/>
  <c r="C25" i="4" s="1"/>
  <c r="C26" i="4" s="1"/>
  <c r="D9" i="5"/>
  <c r="D12" i="5" s="1"/>
  <c r="D33" i="3"/>
  <c r="C72" i="4"/>
  <c r="B13" i="7"/>
  <c r="B12" i="7"/>
  <c r="B11" i="7"/>
  <c r="B10" i="7"/>
  <c r="B9" i="7"/>
  <c r="B8" i="7"/>
  <c r="B7" i="7"/>
  <c r="B24" i="7"/>
  <c r="B23" i="7"/>
  <c r="B22" i="7"/>
  <c r="B21" i="7"/>
  <c r="B20" i="7"/>
  <c r="B19" i="7"/>
  <c r="B18" i="7"/>
  <c r="E45" i="4"/>
  <c r="E40" i="4"/>
  <c r="E38" i="4"/>
  <c r="E41" i="4"/>
  <c r="E43" i="4"/>
  <c r="E39" i="4"/>
  <c r="D41" i="4"/>
  <c r="D46" i="4"/>
  <c r="D44" i="4"/>
  <c r="D38" i="4"/>
  <c r="D40" i="4"/>
  <c r="D39" i="4"/>
  <c r="D43" i="4"/>
  <c r="D45" i="4"/>
  <c r="H46" i="4"/>
  <c r="H41" i="4"/>
  <c r="H39" i="4"/>
  <c r="H43" i="4"/>
  <c r="H38" i="4"/>
  <c r="H45" i="4"/>
  <c r="H40" i="4"/>
  <c r="H44" i="4"/>
  <c r="F39" i="4"/>
  <c r="F44" i="4"/>
  <c r="F41" i="4"/>
  <c r="F45" i="4"/>
  <c r="F43" i="4"/>
  <c r="F40" i="4"/>
  <c r="C74" i="4"/>
  <c r="C27" i="6"/>
  <c r="C18" i="1" s="1"/>
  <c r="D18" i="1" s="1"/>
  <c r="D10" i="5"/>
  <c r="C35" i="3"/>
  <c r="G43" i="4"/>
  <c r="G38" i="4"/>
  <c r="G45" i="4"/>
  <c r="G39" i="4"/>
  <c r="G44" i="4"/>
  <c r="G41" i="4"/>
  <c r="G40" i="4"/>
  <c r="G46" i="4"/>
  <c r="C29" i="4" l="1"/>
  <c r="C27" i="4"/>
  <c r="G51" i="4"/>
  <c r="G56" i="4" s="1"/>
  <c r="F38" i="4"/>
  <c r="F48" i="4" s="1"/>
  <c r="F53" i="4" s="1"/>
  <c r="E44" i="4"/>
  <c r="E49" i="4" s="1"/>
  <c r="E54" i="4" s="1"/>
  <c r="G49" i="4"/>
  <c r="G54" i="4" s="1"/>
  <c r="D49" i="4"/>
  <c r="D54" i="4" s="1"/>
  <c r="E33" i="3"/>
  <c r="E9" i="5"/>
  <c r="E12" i="5" s="1"/>
  <c r="D34" i="3"/>
  <c r="E10" i="5" s="1"/>
  <c r="F51" i="4"/>
  <c r="F56" i="4" s="1"/>
  <c r="D48" i="4"/>
  <c r="D53" i="4" s="1"/>
  <c r="D37" i="3"/>
  <c r="F49" i="4"/>
  <c r="F54" i="4" s="1"/>
  <c r="B78" i="4" s="1"/>
  <c r="F50" i="4"/>
  <c r="F55" i="4" s="1"/>
  <c r="D51" i="4"/>
  <c r="D56" i="4" s="1"/>
  <c r="E48" i="4"/>
  <c r="E53" i="4" s="1"/>
  <c r="E50" i="4"/>
  <c r="E55" i="4" s="1"/>
  <c r="G48" i="4"/>
  <c r="G53" i="4" s="1"/>
  <c r="H51" i="4"/>
  <c r="H56" i="4" s="1"/>
  <c r="E51" i="4"/>
  <c r="E56" i="4" s="1"/>
  <c r="G50" i="4"/>
  <c r="G55" i="4" s="1"/>
  <c r="H50" i="4"/>
  <c r="H55" i="4" s="1"/>
  <c r="D13" i="5"/>
  <c r="D14" i="5" s="1"/>
  <c r="D15" i="5"/>
  <c r="D16" i="5" s="1"/>
  <c r="C39" i="3"/>
  <c r="C36" i="3"/>
  <c r="C38" i="3"/>
  <c r="H48" i="4"/>
  <c r="H53" i="4" s="1"/>
  <c r="D50" i="4"/>
  <c r="D55" i="4" s="1"/>
  <c r="H49" i="4"/>
  <c r="H54" i="4" s="1"/>
  <c r="C60" i="4" l="1"/>
  <c r="C64" i="4" s="1"/>
  <c r="D64" i="4" s="1"/>
  <c r="E15" i="5"/>
  <c r="E16" i="5" s="1"/>
  <c r="E13" i="5"/>
  <c r="E14" i="5" s="1"/>
  <c r="E18" i="5" s="1"/>
  <c r="D35" i="3"/>
  <c r="F9" i="5"/>
  <c r="F12" i="5" s="1"/>
  <c r="E37" i="3"/>
  <c r="E34" i="3"/>
  <c r="F10" i="5" s="1"/>
  <c r="F33" i="3"/>
  <c r="C40" i="3"/>
  <c r="C41" i="3" s="1"/>
  <c r="D18" i="5"/>
  <c r="C66" i="4" l="1"/>
  <c r="D66" i="4" s="1"/>
  <c r="C73" i="4"/>
  <c r="C65" i="4"/>
  <c r="D65" i="4" s="1"/>
  <c r="C63" i="4"/>
  <c r="D63" i="4" s="1"/>
  <c r="C67" i="4"/>
  <c r="D67" i="4" s="1"/>
  <c r="G33" i="3"/>
  <c r="F34" i="3"/>
  <c r="G10" i="5" s="1"/>
  <c r="F37" i="3"/>
  <c r="G9" i="5"/>
  <c r="G12" i="5" s="1"/>
  <c r="E35" i="3"/>
  <c r="D38" i="3"/>
  <c r="D39" i="3"/>
  <c r="D40" i="3" s="1"/>
  <c r="D41" i="3" s="1"/>
  <c r="D36" i="3"/>
  <c r="F13" i="5"/>
  <c r="F14" i="5" s="1"/>
  <c r="F15" i="5"/>
  <c r="F16" i="5" s="1"/>
  <c r="D19" i="5"/>
  <c r="C44" i="3" s="1"/>
  <c r="E19" i="5"/>
  <c r="D44" i="3" s="1"/>
  <c r="C45" i="3"/>
  <c r="F35" i="3" l="1"/>
  <c r="E36" i="3"/>
  <c r="E39" i="3"/>
  <c r="E38" i="3"/>
  <c r="D45" i="3"/>
  <c r="D47" i="3" s="1"/>
  <c r="F39" i="3"/>
  <c r="F40" i="3" s="1"/>
  <c r="F41" i="3" s="1"/>
  <c r="F36" i="3"/>
  <c r="F38" i="3"/>
  <c r="F18" i="5"/>
  <c r="F19" i="5" s="1"/>
  <c r="E44" i="3" s="1"/>
  <c r="G15" i="5"/>
  <c r="G16" i="5" s="1"/>
  <c r="G13" i="5"/>
  <c r="G14" i="5" s="1"/>
  <c r="G18" i="5" s="1"/>
  <c r="G37" i="3"/>
  <c r="G34" i="3"/>
  <c r="H10" i="5" s="1"/>
  <c r="C16" i="4"/>
  <c r="C28" i="4" s="1"/>
  <c r="H9" i="5"/>
  <c r="H12" i="5" s="1"/>
  <c r="G35" i="3"/>
  <c r="C47" i="3"/>
  <c r="H15" i="5" l="1"/>
  <c r="H16" i="5" s="1"/>
  <c r="H13" i="5"/>
  <c r="H14" i="5" s="1"/>
  <c r="H18" i="5" s="1"/>
  <c r="H19" i="5" s="1"/>
  <c r="G44" i="3" s="1"/>
  <c r="G38" i="3"/>
  <c r="G39" i="3"/>
  <c r="G36" i="3"/>
  <c r="G19" i="5"/>
  <c r="F44" i="3" s="1"/>
  <c r="F45" i="3" s="1"/>
  <c r="F47" i="3" s="1"/>
  <c r="E40" i="3"/>
  <c r="E41" i="3" s="1"/>
  <c r="E45" i="3" s="1"/>
  <c r="E47" i="3" l="1"/>
  <c r="G12" i="7"/>
  <c r="C19" i="7"/>
  <c r="G20" i="7"/>
  <c r="F22" i="7"/>
  <c r="C8" i="7"/>
  <c r="H19" i="7"/>
  <c r="G23" i="7"/>
  <c r="H22" i="7"/>
  <c r="H23" i="7"/>
  <c r="D24" i="7"/>
  <c r="I23" i="7"/>
  <c r="F19" i="7"/>
  <c r="H21" i="7"/>
  <c r="C59" i="3"/>
  <c r="C60" i="3" s="1"/>
  <c r="C61" i="3" s="1"/>
  <c r="G40" i="3"/>
  <c r="G41" i="3" s="1"/>
  <c r="G45" i="3" s="1"/>
  <c r="E13" i="7" s="1"/>
  <c r="I19" i="7" l="1"/>
  <c r="F9" i="7"/>
  <c r="I11" i="7"/>
  <c r="D20" i="7"/>
  <c r="H10" i="7"/>
  <c r="I24" i="7"/>
  <c r="E18" i="7"/>
  <c r="D13" i="7"/>
  <c r="I12" i="7"/>
  <c r="I20" i="7"/>
  <c r="G18" i="7"/>
  <c r="G24" i="7"/>
  <c r="E9" i="7"/>
  <c r="D22" i="7"/>
  <c r="E11" i="7"/>
  <c r="C21" i="7"/>
  <c r="C9" i="7"/>
  <c r="H13" i="7"/>
  <c r="D23" i="7"/>
  <c r="E10" i="7"/>
  <c r="C13" i="7"/>
  <c r="G7" i="7"/>
  <c r="C7" i="7"/>
  <c r="I18" i="7"/>
  <c r="F18" i="7"/>
  <c r="E22" i="7"/>
  <c r="D7" i="7"/>
  <c r="C51" i="3"/>
  <c r="C52" i="3" s="1"/>
  <c r="G47" i="3"/>
  <c r="C50" i="3" s="1"/>
  <c r="G11" i="7"/>
  <c r="D8" i="7"/>
  <c r="I7" i="7"/>
  <c r="G9" i="7"/>
  <c r="C24" i="7"/>
  <c r="H12" i="7"/>
  <c r="C12" i="7"/>
  <c r="C22" i="7"/>
  <c r="F23" i="7"/>
  <c r="G13" i="7"/>
  <c r="I21" i="7"/>
  <c r="D11" i="7"/>
  <c r="E12" i="7"/>
  <c r="C23" i="7"/>
  <c r="H20" i="7"/>
  <c r="F12" i="7"/>
  <c r="D12" i="7"/>
  <c r="E8" i="7"/>
  <c r="D9" i="7"/>
  <c r="H9" i="7"/>
  <c r="C18" i="7"/>
  <c r="E23" i="7"/>
  <c r="C20" i="7"/>
  <c r="G22" i="7"/>
  <c r="C11" i="7"/>
  <c r="G10" i="7"/>
  <c r="G21" i="7"/>
  <c r="F13" i="7"/>
  <c r="D19" i="7"/>
  <c r="E19" i="7"/>
  <c r="G19" i="7"/>
  <c r="D21" i="7"/>
  <c r="F11" i="7"/>
  <c r="C10" i="7"/>
  <c r="I13" i="7"/>
  <c r="F8" i="7"/>
  <c r="G8" i="7"/>
  <c r="F10" i="7"/>
  <c r="H18" i="7"/>
  <c r="H24" i="7"/>
  <c r="F7" i="7"/>
  <c r="E20" i="7"/>
  <c r="E24" i="7"/>
  <c r="E21" i="7"/>
  <c r="I10" i="7"/>
  <c r="F20" i="7"/>
  <c r="H11" i="7"/>
  <c r="E7" i="7"/>
  <c r="F21" i="7"/>
  <c r="H8" i="7"/>
  <c r="F24" i="7"/>
  <c r="D18" i="7"/>
  <c r="I22" i="7"/>
  <c r="I8" i="7"/>
  <c r="H7" i="7"/>
  <c r="I9" i="7"/>
  <c r="D10" i="7"/>
  <c r="C58" i="3" l="1"/>
  <c r="C62" i="3" s="1"/>
  <c r="C63" i="3" s="1"/>
  <c r="C64" i="3" s="1"/>
  <c r="C17" i="1" s="1"/>
  <c r="D17" i="1" s="1"/>
  <c r="C53" i="3"/>
  <c r="C54" i="3" l="1"/>
  <c r="C55" i="3" s="1"/>
  <c r="C16" i="1" s="1"/>
  <c r="C17" i="4"/>
  <c r="C19" i="4" l="1"/>
  <c r="C20" i="4" s="1"/>
  <c r="B79" i="4"/>
  <c r="C10" i="1"/>
  <c r="C21" i="1"/>
  <c r="D16" i="1"/>
  <c r="C12" i="1" l="1"/>
  <c r="C11" i="1" s="1"/>
  <c r="B26" i="1" l="1"/>
</calcChain>
</file>

<file path=xl/sharedStrings.xml><?xml version="1.0" encoding="utf-8"?>
<sst xmlns="http://schemas.openxmlformats.org/spreadsheetml/2006/main" count="712" uniqueCount="534">
  <si>
    <t>DISCLAIMER: This is a sample analysis for demonstration purposes only. It does not constitute investment advice.</t>
  </si>
  <si>
    <t>SANNO (3441.T)</t>
  </si>
  <si>
    <t>Equity Research Report</t>
  </si>
  <si>
    <t>Company</t>
  </si>
  <si>
    <t>SANNO</t>
  </si>
  <si>
    <t>Ticker</t>
  </si>
  <si>
    <t>3441.T (TSE Standard)</t>
  </si>
  <si>
    <t>Sector</t>
  </si>
  <si>
    <t>Precious-metal Surface Treatment / Plating</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</si>
  <si>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</si>
  <si>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</si>
  <si>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</si>
  <si>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</si>
  <si>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</si>
  <si>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</si>
  <si>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</si>
  <si>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</si>
  <si>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</si>
  <si>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</si>
  <si>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</si>
  <si>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</si>
  <si>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</si>
  <si>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</si>
  <si>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</si>
  <si>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Gross margin has stepped up four reporting periods running - 17.5% (FY7/23), 16.4% (FY7/24), 20.3% (FY7/25), 24.2% (9M FY7/26) - and the FY7/25 step was earned in Japan, not in the Philippines: the domestic segment swung from a JPY188mn operating loss to a JPY509mn profit while the Philippine unit's profit fell from JPY348mn to JPY243mn.</t>
  </si>
  <si>
    <t>Nine-month operating profit of JPY1,582mn already exceeds the unrevised full-year company guidance of JPY1,400mn by 13%, so the mid-September FY7/26 results and the first FY7/27 guidance are a near-term catalyst rather than a distant one.</t>
  </si>
  <si>
    <t>Key Risks</t>
  </si>
  <si>
    <t>The margin step may be a precious-metal spread rather than a structural gain: gold and silver pass through both revenue and cost, and the standalone third quarter already shows gross margin falling back from 25.7% in the first half to 21.9%, so a metal-price reversal would remove most of the incremental profit.</t>
  </si>
  <si>
    <t>Raw-material inventory rose 44% to JPY3,045mn and days inventory held went from 98 to 115, so growth consumes cash before it converts - operating cash flow was JPY462mn against JPY766mn of net profit in FY7/25, and was negative JPY222mn in the first half of FY7/26.</t>
  </si>
  <si>
    <t>The 8.1% effective tax rate booked in the nine months reflects Philippine incentives and deferred-tax recognition and is not sustainable; this model taxes at 25%, and the statutory 30.6% would cut the DCF value by roughly 7-8%.</t>
  </si>
  <si>
    <t>SANNO - Historical Financials (JPY mn)</t>
  </si>
  <si>
    <t>FY2023/7</t>
  </si>
  <si>
    <t>FY2024/7</t>
  </si>
  <si>
    <t>FY2025/7</t>
  </si>
  <si>
    <t>FY2026/7E</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</si>
  <si>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</si>
  <si>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</si>
  <si>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</si>
  <si>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</si>
  <si>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</si>
  <si>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</si>
  <si>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</si>
  <si>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</si>
  <si>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</si>
  <si>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</si>
  <si>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</si>
  <si>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</si>
  <si>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</si>
  <si>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</si>
  <si>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</si>
  <si>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</si>
  <si>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</si>
  <si>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</si>
  <si>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</si>
  <si>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</si>
  <si>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</si>
  <si>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</si>
  <si>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</si>
  <si>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</si>
  <si>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SANNO</t>
  </si>
  <si>
    <t>Assumptions</t>
  </si>
  <si>
    <t>Capex / Revenue (hist 3yr avg,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</si>
  <si>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</si>
  <si>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</si>
  <si>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</si>
  <si>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</si>
  <si>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</si>
  <si>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</si>
  <si>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</si>
  <si>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</si>
  <si>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</si>
  <si>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</si>
  <si>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</si>
  <si>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</si>
  <si>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 (hist 3yr avg, fallback)</t>
  </si>
  <si>
    <t>Stub Fraction (yr remaining)</t>
  </si>
  <si>
    <t>LTM Revenue (JPY mn) (override)</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</si>
  <si>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</si>
  <si>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</si>
  <si>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</si>
  <si>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</si>
  <si>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</si>
  <si>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</si>
  <si>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</si>
  <si>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</si>
  <si>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</si>
  <si>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</si>
  <si>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</si>
  <si>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</si>
  <si>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</si>
  <si>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</si>
  <si>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</si>
  <si>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</si>
  <si>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</si>
  <si>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</si>
  <si>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</si>
  <si>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</si>
  <si>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</si>
  <si>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</si>
  <si>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</si>
  <si>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</si>
  <si>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</si>
  <si>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</si>
  <si>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</si>
  <si>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</si>
  <si>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</si>
  <si>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</si>
  <si>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</si>
  <si>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</si>
  <si>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</si>
  <si>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</si>
  <si>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</si>
  <si>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</si>
  <si>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</si>
  <si>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</si>
  <si>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</si>
  <si>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</si>
  <si>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</si>
  <si>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</si>
  <si>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</si>
  <si>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</si>
  <si>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</si>
  <si>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</si>
  <si>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</si>
  <si>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SANNO (3441.T)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</si>
  <si>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</si>
  <si>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</si>
  <si>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</si>
  <si>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</si>
  <si>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</si>
  <si>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</si>
  <si>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</si>
  <si>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</si>
  <si>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(FY2026/7E actual)</t>
  </si>
  <si>
    <t>Cycle-peak Operating Profit (Q3 FY2026/7 annualised actual)</t>
  </si>
  <si>
    <t>Terminal-year Revenue, active scenario (JPY mn)</t>
  </si>
  <si>
    <t>Base-case DCF Enterprise Value, PGM (JPY mn)</t>
  </si>
  <si>
    <t>Cycle-peak Operating Margin (Q3 FY2026/7 annualised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</si>
  <si>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</si>
  <si>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</si>
  <si>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</si>
  <si>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</si>
  <si>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</si>
  <si>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</si>
  <si>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Q3 FY2026/7 annualised peak</t>
  </si>
  <si>
    <t>... as a multiple of FY2026/7E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</si>
  <si>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</si>
  <si>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</si>
  <si>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</si>
  <si>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</si>
  <si>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</si>
  <si>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</si>
  <si>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</si>
  <si>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</si>
  <si>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</si>
  <si>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</si>
  <si>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</si>
  <si>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</si>
  <si>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</si>
  <si>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</si>
  <si>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Q3 FY2026/7 annualised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</si>
  <si>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</si>
  <si>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</si>
  <si>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</si>
  <si>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</si>
  <si>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</si>
  <si>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</si>
  <si>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(Q3 FY2026/7 annualised)</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</si>
  <si>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</si>
  <si>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</si>
  <si>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</si>
  <si>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</si>
  <si>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</si>
  <si>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</si>
  <si>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</si>
  <si>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</si>
  <si>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SANNO</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</si>
  <si>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</si>
  <si>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</si>
  <si>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</si>
  <si>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</si>
  <si>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</si>
  <si>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</si>
  <si>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</si>
  <si>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</si>
  <si>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</si>
  <si>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</si>
  <si>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</si>
  <si>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</si>
  <si>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</si>
  <si>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</si>
  <si>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</si>
  <si>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</si>
  <si>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</si>
  <si>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</si>
  <si>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</si>
  <si>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2026-08-29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</si>
  <si>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</si>
  <si>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</si>
  <si>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</si>
  <si>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</si>
  <si>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</si>
  <si>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</si>
  <si>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</si>
  <si>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</si>
  <si>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</si>
  <si>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</si>
  <si>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</si>
  <si>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</si>
  <si>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</si>
  <si>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</si>
  <si>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SANNO (3441) [subject]</t>
  </si>
  <si>
    <t>3441.T</t>
  </si>
  <si>
    <t>Japan Pure Chemical (4973)</t>
  </si>
  <si>
    <t>4973.T</t>
  </si>
  <si>
    <t>Enomoto (6928)</t>
  </si>
  <si>
    <t>6928.T</t>
  </si>
  <si>
    <t>Nihon Parkerizing (4095)</t>
  </si>
  <si>
    <t>4095.T</t>
  </si>
  <si>
    <t>KEL (6919)</t>
  </si>
  <si>
    <t>6919.T</t>
  </si>
  <si>
    <t>Yamaichi Electronics (6941)</t>
  </si>
  <si>
    <t>6941.T</t>
  </si>
  <si>
    <t>Statistics</t>
  </si>
  <si>
    <t>25th Percentile</t>
  </si>
  <si>
    <t>Median (50th)</t>
  </si>
  <si>
    <t>75th Percentile</t>
  </si>
  <si>
    <t>Implied Valuation for SANNO</t>
  </si>
  <si>
    <t>SANNO Financials</t>
  </si>
  <si>
    <t>EBITDA (JPY mn)</t>
  </si>
  <si>
    <t>Net Income (JPY mn)</t>
  </si>
  <si>
    <t>Shares Outstanding</t>
  </si>
  <si>
    <t>Implied Share Price (Median Multiples)</t>
  </si>
  <si>
    <t>Via EV/EBITDA (Median)</t>
  </si>
  <si>
    <t>Via PER (Median)</t>
  </si>
  <si>
    <t>Net Income normalized (FY2026/7E pretax 1,953 x normalised tax C6) [参考・Target不算入]</t>
  </si>
  <si>
    <t>Q3累計の実効税率8.1%は繰延税金資産の計上とフィリピン優遇税制による一時的な軽課で、報告ベースの純利益はPERの分母として上振れている。FY2026/7E 経常利益推定1,953(営業1,943 + 営業外純収支 +10)に DCF Model!C6 の正常化税率25%を適用した参考値。FY2025/7 実績766 も同様に法人税等調整額 -115 の押し上げを含み、正常化後は約651。</t>
  </si>
  <si>
    <t>Via PER (Median, normalized NI) [参考・Target不算入]</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</si>
  <si>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</si>
  <si>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</si>
  <si>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</si>
  <si>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</si>
  <si>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</si>
  <si>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</si>
  <si>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</si>
  <si>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</si>
  <si>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</si>
  <si>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SANNO</t>
  </si>
  <si>
    <t>日付</t>
  </si>
  <si>
    <t>セル</t>
  </si>
  <si>
    <t>変更内容</t>
  </si>
  <si>
    <t>理由</t>
  </si>
  <si>
    <t>元の値</t>
  </si>
  <si>
    <t>状態</t>
  </si>
  <si>
    <t>2026-08-29</t>
  </si>
  <si>
    <t>-</t>
  </si>
  <si>
    <t>Generated by pipeline on 2026-08-29 17:37, template rev 672e3c3</t>
  </si>
  <si>
    <t>初期生成（手修正なし）</t>
  </si>
  <si>
    <t>generated</t>
  </si>
  <si>
    <t>全シート(単位)</t>
  </si>
  <si>
    <t>原典の決算短信は【千円】表記。本モデルは全て【百万円】に換算済み</t>
  </si>
  <si>
    <t>桁事故の温床であるため冒頭に明示する。EDINET有報のXBRLは円単位で取得し、パイプラインが百万円に換算している。プロンプト提供の入力表も百万円換算済みのものを受領した。相互検算: EDINET FY2025/7 売上 10,830,372,000円 = 10,830.372百万円 = プロンプト転記値10,830 と一致。同 営業利益 796,224,000円 = 796.224百万円 = 796 と一致。以下このログの数値は全て百万円。</t>
  </si>
  <si>
    <t>確定</t>
  </si>
  <si>
    <t>DCF Model!C15 / Comps Analysis 株数</t>
  </si>
  <si>
    <t>Fully Diluted Shares = 4,241,897株(プロンプト暫定指定の5,000,000株から変更)</t>
  </si>
  <si>
    <t>自己株控除後の株数を採用。検算3本が一致する: (1) EDINET FY2025/7有報(S100WWVN) — 発行済総数5,000,000株・自己株式674,400株(持株比率13.49%) → 4,325,600株。同報告書のBPS 1,561.75 × 4,325,600 = 6,755.4百万 = 開示純資産6,755,438千円と完全一致し、BPSの分母が自己株控除後であることを確認。(2) 2026/1末 半期報告書(S100XQSL) — 自己株656,800株・簿価384,926千円(FY2025/7末の674,400株・395,210千円から一部処分)。(3) 現時点 — yfinance sharesOutstanding 4,241,897・BPS 1,941.82 → 8,237.0百万 = 2026/4末純資産8,238百万と一致。したがって2026/4末の自己株は 5,000,000 − 4,241,897 = 758,103株。2026/1末656,800株からの追加取得101,303株に対し自己株簿価は385→585百万(+200百万、平均約1,975円/株)で整合する。■帰結: 時価総額は 4,241,897 × 2,764 = 11,725百万(プロンプト記載13,820百万は自己株控除前)、EV は 12,849百万(プロンプト記載14,755百万)。逆算DCFの答えが約15%変わるため、この訂正はモデルの結論に直結する。</t>
  </si>
  <si>
    <t>プロンプト暫定値 5,000,000株</t>
  </si>
  <si>
    <t>確定(プロンプトからの変更)</t>
  </si>
  <si>
    <t>DCF Model!C16</t>
  </si>
  <si>
    <t>Net Debt = 1,124(有利子負債4,699 − 現金及び預金3,575、いずれも2026/4末)</t>
  </si>
  <si>
    <t>【設計判断】リース債務189をEVに算入した。内訳: 短期借入3,650 + 1年内返済長期借入346 + 長期借入514 + リース債務189 = 4,699。算入理由は (a) 契約上の有利子負債であること、(b) D&amp;Aに使用権資産の償却が含まれる以上EBITDA基準と整合すること、(c) Comps 5社の Net_Debt も yfinance Total Debt(リース込み) − 現金 + 非支配株主持分 で統一していること。リース除外なら935で、1株価値への影響は約44円(1.4%)に留まり結論を変えない。非支配株主持分はゼロ(自己資本比率57.2% × 総資産14,398 = 8,236 ≒ 純資産8,238)。</t>
  </si>
  <si>
    <t>プロンプト指定 935(リース除外)</t>
  </si>
  <si>
    <t>設計判断</t>
  </si>
  <si>
    <t>DCF Model!C17 / C6行 基準年</t>
  </si>
  <si>
    <t>Base Year Revenue = 14,365.0(FY2026/7E)。予測Y1は FY2027/7</t>
  </si>
  <si>
    <t>分析日2026-08-29 は FY2027/7期(2026/08/01-2027/07/31)の2ヶ月目であり、FY2026/7期は2026-07-31に既に終了・本決算未発表という状態。したがって基準年は FY2025/7実績(10,830)ではなく FY2026/7E とした。構成: 9ヶ月実績(Q3累計 売上11,050 / 粗利2,678 = 24.23% / 販管費1,096 / 営業利益1,582)+ Q4推定。Q4はプロンプト指定の保守前提『Q3累計÷3 × 0.9』で売上3,315.0。結果 売上14,365.0 / 売上原価10,960.3 / 粗利3,404.7(23.70%) / 販管費1,461.3 / 営業利益1,943.4(13.53%)。</t>
  </si>
  <si>
    <t>テンプレ自動値 = 最新FY実績 10,830.4</t>
  </si>
  <si>
    <t>推定(3/4は実績)</t>
  </si>
  <si>
    <t>DCF Model!C17(Q4前提)</t>
  </si>
  <si>
    <t>Q4の粗利率は Q3単独実績の21.92% を採用(Q3累計平均の24.23%ではない)</t>
  </si>
  <si>
    <t>【重要な発見・設計判断】EDINET半期報告書(S100XQSL)のH1実績(売上6,747.1 / 粗利1,734.8 = 25.71% / 販管費718.1 / 営業利益1,016.7 = 15.07%)をQ3累計から差し引くと、Q3単独(2026/02-04)は 売上4,302.9 / 粗利943.2 = 21.92% / 販管費377.9 / 営業利益565.3 = 13.14%。粗利率は H1 25.71% → Q3単独 21.92% と既に3.8pt低下している。本モデルの分岐軸である『粗利率の持続性』は、Q3累計24.2%という平均値ではなく既に進行中の低下として観測されており、Base の22.5%回帰はこの実測トレンドの延長線上にある。Q4販管費は9ヶ月平均365.3を使用(SGAは固定費性が強く売上に比例させない)。</t>
  </si>
  <si>
    <t>Q3累計平均 24.23% を一律適用する案</t>
  </si>
  <si>
    <t>DCF Model!C17(前提の偏りの方向)</t>
  </si>
  <si>
    <t>基準年の売上前提は保守側に偏っている。Q3単独ペース延長なら FY2026/7E は 売上15,353 / 営業利益2,147</t>
  </si>
  <si>
    <t>Q3単独の売上4,302.9 は9ヶ月平均3,683を17%上回っており、Q4を『9ヶ月平均×0.9 = 3,315』と置くプロンプト前提は売上について保守的。Q3単独ペースをそのまま4Q目に延長すると売上15,353(+6.9%)/営業利益2,147(+10.5%)。すなわち本モデルのTargetは下方バイアスを持つ。逆に粗利率は上記のとおり既に低下しており、両者は営業利益ベースでおおむね相殺する(1,943 vs 2,147 で約10%差)。9月中旬の本決算で確定する。</t>
  </si>
  <si>
    <t>要確認(9月中旬の本決算で解消)</t>
  </si>
  <si>
    <t>Financial Statements!F列 (FY2026/7E)</t>
  </si>
  <si>
    <t>実績4期のうち第4列 FY2026/7E は実績ではなく推定</t>
  </si>
  <si>
    <t>ラベル末尾の E がそれを示す。内訳と根拠: 売上14,365.0・売上原価10,960.3・販管費1,461.3・営業利益1,943.4 は上記の Q3累計+Q4推定。純利益1,750【推定】(Q3累計1,460 + Q4推定290。Q4は税前約371に実効税率20%を仮置き)。D&amp;A 490 と capex 760 は半期実績(240.2 / 368.6)の単純2倍。営業CF 940【推定】はモデル内整合をとった導出値: 純利益1,750 + D&amp;A 490 − ΔNWC 1,301(NWC は FY2025/7末 4,442.2 = 2,534.6+2,330.2−422.6 から FY2026/7E 5,743 = 2,799+3,444−500 へ)= 939。参考: H1実績の営業CFは −222.3(前年同期 +350.8)で、下期に運転資本が落ち着くことを前提にしている。現金3,575 と有利子負債4,699 は2026/4末の実績値をそのまま置いた(FS の Net Debt 行 1,124 が DCF Model!C16 と一致する)。FY2023/7〜FY2025/7 の4系列は全て EDINET有報の実績(docID S100S31C / S100UL67 / S100WWVN)。</t>
  </si>
  <si>
    <t>推定</t>
  </si>
  <si>
    <t>Financial Statements!C列 純利益</t>
  </si>
  <si>
    <t>FY2023/7 の当期純利益 = 154.1 をEDINETから補完</t>
  </si>
  <si>
    <t>プロンプトの入力表では FY2023/7 の経常利益・当期純利益が未記載(ハイフン)だった。EDINET有報(S100S31C)の実績154,064千円を採用。同様に FY2023/7 の営業CF 1,185.9・capex 954.6・D&amp;A 510.7・現金2,203.2 もEDINETから補完した。</t>
  </si>
  <si>
    <t>空欄</t>
  </si>
  <si>
    <t>DCF Model!C6</t>
  </si>
  <si>
    <t>Tax Rate = 25.0%</t>
  </si>
  <si>
    <t>【推定・要確認】正常化ブレンド25%。FY2026/7 Q3累計の実効税率は8.1%(法人税等128 / 税金等調整前1,589)にすぎないが、フィリピン優遇税制と繰延税金資産の計上による一時的な軽課で持続性は不明。国内法定実効税率30.6%とフィリピン子会社(FY2025/7 売上構成比29.3%)の優遇税率をブレンドして25%とした。■30.6%適用時の影響: NOPAT係数が 0.750 → 0.694(−7.5%)。予測期FCFのNOPAT部分と、それを通じたPGM/Exitのターミナル価値がほぼ比例して縮むため、Target はおおむね −7〜8%(Base Target 約3,200円 → 約2,950〜2,980円)。判定(現値2,764円に対する上値)は縮むが符号は変わらない。</t>
  </si>
  <si>
    <t>テンプレ既定 30%</t>
  </si>
  <si>
    <t>推定・要確認</t>
  </si>
  <si>
    <t>DCF Model!C7</t>
  </si>
  <si>
    <t>Risk-Free Rate = 2.90%</t>
  </si>
  <si>
    <t>財務省「国債金利情報」jgbcm.csv の10年債 2.897%(基準日 R8.8.27 = 2026-08-27。取得日2026-08-29、当日時点の最新掲載日)。yfinance では日本国債利回りは取得できない(^JP10YB / JP10Y-JP 等いずれも不可)。</t>
  </si>
  <si>
    <t>テンプレ既定 2.2%</t>
  </si>
  <si>
    <t>DCF Model!C8</t>
  </si>
  <si>
    <t>Beta = 0.98</t>
  </si>
  <si>
    <t>3441.T の週次2年リターン(104週、2026-08-28まで)を TOPIX連動ETF 1306.T に回帰: beta = 0.982、相関 0.204。相関が低く統計的信頼度は限定的(浮動株244万株の超小型株で流動性が薄い)。参考: 3年週次では0.855。yfinance info.beta は 0.286 でテンプレのクランプ範囲[0.6, 1.75]外のため、指定しないと自動値1.0に落ちる。</t>
  </si>
  <si>
    <t>yfinance 0.286 → テンプレ自動代替値 1.0</t>
  </si>
  <si>
    <t>確定(相関低)</t>
  </si>
  <si>
    <t>DCF Model!C10</t>
  </si>
  <si>
    <t>Size Premium = 4.0%</t>
  </si>
  <si>
    <t>【設計判断】時価総額117億円の超小型株。テンプレの自動判定は「1,000億円未満 → 3.0%」だが、同規模の 2962 テクニスコ(142億円)で採用した4.0%と揃えた。WACCへの影響は約 +0.9pt(Ke 11.39% → 12.29%)。手順書v2 §8-4「size_premium の既存銘柄からの無検討流用」を避けるため規模帯を確認したうえでの明示指定。</t>
  </si>
  <si>
    <t>テンプレ自動判定 3.0%</t>
  </si>
  <si>
    <t>DCF Model!C11</t>
  </si>
  <si>
    <t>After-tax Cost of Debt = 0.996%(実績Kd 1.328% × (1 − 25%))</t>
  </si>
  <si>
    <t>実績ベース負債コスト。FY2025/7 の支払利息56 + 支払手数料2 = 58 を、有利子負債(リース込み)の期首4,256(FY2024/7末: 短期2,866.1 + 長期1,119.4 + リース270.5)と期末4,479(FY2025/7末: 短期3,447.6 + 長期786.0 + リース244.9)の平均4,367.5で除して税引前1.328%。■マージナルコスト注記: これは既存借入の平均コストであり新規調達の限界コストではない。有利子負債の約78%が短期借入(3,650/4,699)で、10年JGB 2.9%の金利環境では借換時に上振れる余地がある。テンプレ既定2.8%(税引後1.94%相当)を使った場合、WACC は約 +0.08pt。</t>
  </si>
  <si>
    <t>テンプレ既定 1.0%(税引後)</t>
  </si>
  <si>
    <t>DCF Model!C12</t>
  </si>
  <si>
    <t>D/E Ratio = 0.0959(自動計算)</t>
  </si>
  <si>
    <t>【設計判断】明示指定せず自動計算に委ねた。ネット有利子負債1,124 / 時価総額11,725 = 0.0959。グロス有利子負債4,699基準なら0.401でWACCは約1.0pt低下する(=バリュエーションは上振れ)。パイプラインは一貫してネット基準で de_ratio を定義しており、EV→株式価値ブリッジがネット控除である点と整合し、かつ保守側(WACC高め)になるためネットを採用。</t>
  </si>
  <si>
    <t>自動計算値と同一</t>
  </si>
  <si>
    <t>DCF Model!C13</t>
  </si>
  <si>
    <t>Terminal Growth = 1.0%</t>
  </si>
  <si>
    <t>【設計判断】10年JGB 2.9%の名目環境では控えめ。(a) 数量成長は顧客の半導体/コネクタ需要に律速され自社でコントロールできない、(b) 売上の相当部分が貴金属市況のパススルーで実質的な成長ではない、という2点から、実質ゼロ + 微小な数量成長として1.0%を置いた。2.0%にすると PGM のターミナル価値は約+12%動く(Sensitivity Analysis Table 1 参照)。</t>
  </si>
  <si>
    <t>テンプレ既定 2.0%</t>
  </si>
  <si>
    <t>DCF Model!C14</t>
  </si>
  <si>
    <t>Exit Multiple (EV/EBITDA) = 5.5x</t>
  </si>
  <si>
    <t>【設計判断】ピア5社の実績EV/EBITDA中央値5.94x(6919ケル4.06 / 6928エノモト4.85 / 4095日本パーカライジング5.94 / 6941山一電機8.98 / 4973日本高純度化学30.41)をやや下回る水準。自社の現値換算は EV 12,849 / FY2026/7E EBITDA 2,433 = 5.28x。ターミナル年は現在のマージンピークではなく成熟ミッドサイクルで評価すべきと判断した。結果として PGM法の逆算Exit倍率(約5.4x)とほぼ一致し、2手法の世界観が食い違わない(手順書v2 §5-1 の乖離1.8倍チェックに対して比率約1.02)。テンプレ既定10.0xは本銘柄には過大。</t>
  </si>
  <si>
    <t>テンプレ既定 10.0x</t>
  </si>
  <si>
    <t>DCF Model!C19</t>
  </si>
  <si>
    <t>Stub Fraction = 0.92(経過1ヶ月)</t>
  </si>
  <si>
    <t>分析日2026-08-29 は FY2027/7期(2026/08/01開始)の開始から約1ヶ月。予測Y1 = FY2027/7 の期末2027-07-31までは336日 = 0.92年。テンプレの割引指数は (C19 + yr) なので Y1 が0.92年、Y5 が4.92年で割り引かれる。■テンプレ自動値は誤り: 自動経路は最新の半期報告書ラベル『LTM(2Q 2026-07)』から stub = (12−6)/12 = 0.50 を導くが、これは FY2026/7期の残り半年を指すものであり、当該期が既に終了している本ケースでは基準年の定義と二重にズレる。7月期決算 × 分析日8月末という組み合わせ固有の論点。</t>
  </si>
  <si>
    <t>テンプレ自動値 0.50(経過6ヶ月)</t>
  </si>
  <si>
    <t>確定(手動修正)</t>
  </si>
  <si>
    <t>DCF Model!C20</t>
  </si>
  <si>
    <t>LTM Revenue = 14,120</t>
  </si>
  <si>
    <t>FY2025/7 10,830 − 前年同期Q3累計 7,760 + 当期Q3累計 11,050 = 14,120(2025/05-2026/04 のLTM)。テンプレ自動構築値は半期報告書ベースの 12,537.5(= 10,830.4 − 前年H1 5,040.0 + 当期H1 6,747.1)で、乖離 +12.6% は警告閾値20%の内側。C20 は参考値であり評価計算には使われない。</t>
  </si>
  <si>
    <t>自動構築値 12,537.5</t>
  </si>
  <si>
    <t>DCF Model!C5 / C18 / C42:G42 / C43:G43</t>
  </si>
  <si>
    <t>capex / D&amp;A は direct方式。予測 capex 720/700/680/660/640、D&amp;A 520/550/580/600/615</t>
  </si>
  <si>
    <t>【推定】実績(EDINET有報)は capex 954.6 / 239.3 / 580.0、D&amp;A 510.7 / 462.2 / 448.3。FY2026/7E の capex 760 / D&amp;A 490 は半期実績(有形固定取得368.6・D&amp;A 240.2)の単純2倍。予測は capex を逓減させ、D&amp;A を稼働資産の積み上がりで逓増させ、ターミナル年で capex/D&amp;A = 640/615 = 1.04倍に収束させた(手順書v2 §8-8「ターミナル年のcapexはD&amp;Aに収束」、validator の警告レンジ[0.90, 1.15]の内側)。会社の設備投資計画・償却計画はいずれも未開示。フォールバック用の capex_pct 0.045 / da_pct 0.044(比率1.02)も残している。</t>
  </si>
  <si>
    <t>売上比率方式(実績3年平均 capex 4.2% / D&amp;A 4.8%)</t>
  </si>
  <si>
    <t>NWC Schedule!C6(base_year_ap)</t>
  </si>
  <si>
    <t>Base Year Accounts Payable = 500(DPO 16.7日)</t>
  </si>
  <si>
    <t>【推定】2026/4末の買掛金は短信のBS要点に開示がない。2026/1末の実績456.3(EDINET半期報告書)と FY2025/7末の実績422.6(EDINET有報)を、Q3年率COGS基準の回転日数約17日で外挿した。感度: AP を456(2026/1末実績)にすると基準年NWCが44増え、Y1のΔNWCが44減るだけで、Target への影響は10円未満。</t>
  </si>
  <si>
    <t>EDINET FY2025/7末 422.6</t>
  </si>
  <si>
    <t>NWC Schedule!C5 / C7(在庫の価格 vs 数量)</t>
  </si>
  <si>
    <t>Base Year Inventory = 3,444(DIH 114.7日)。増加分の価格要因と数量要因を分解</t>
  </si>
  <si>
    <t>【推定・要確認】原材料及び貯蔵品は FY2025/7末2,114 → 2026/4末3,045(+44.0%)、在庫合計では 2,330.2 → 3,444(+47.8%)。同期間のCOGSは 8,635.6 → 10,960.3(+26.9%)。DIHは 98.5日 → 114.7日(+16.5%)。1.269 × 1.165 = 1.478 で分解が閉じる。すなわち在庫増 +1,114百万のうち、約+27%相当(≒620百万)は貴金属の仕入単価上昇がCOGSと同率で在庫評価額を押し上げた『価格要因』、残り約+16.5%相当(≒490百万)が回転日数の実質的な伸長 = 数量・積み増しの『数量要因』。金価格の個別時系列を一次ソースで取得していないため、この分解はCOGSを価格プロキシとする間接推定である。■帰結: 金価格が反落する局面では価格要因が逆流して在庫評価額が縮み、ΔNWCはキャッシュ流入に転じる。これは Downside 2 で売上・COGSが縮む効果として自動的に織り込まれる。ただし需要後退局面では回転自体が悪化するため、Downside 1/2 では DIH を引き上げている(118→115 / 122→115)。</t>
  </si>
  <si>
    <t>テンプレ自動算出(EDINET FY2025/7末 2,330.2 = DIH 98.5日)</t>
  </si>
  <si>
    <t>NWC Schedule 全体</t>
  </si>
  <si>
    <t>FY2025/7 の『営業CF 462 vs 純利益 766』の乖離構造をモデル上で再現</t>
  </si>
  <si>
    <t>FY2025/7 実績の内訳は 税前813 + 償却448 に対し、売上債権増 −367・棚卸資産増 −386 が食って営業CF 462。本モデルの Base では Y1 の ΔNWC が約+417 と、NOPAT + D&amp;A(約2,067)の20%程度を吸収する同型の構造になっている。FY2026/7 H1 の営業CFは実績で −222.3(前年同期 +350.8)であり、成長がWCを食う構造はむしろ強まっている。</t>
  </si>
  <si>
    <t>Comps Analysis!C22 (core_net_income)</t>
  </si>
  <si>
    <t>Net Income = 1,750(FY2026/7E 推定)</t>
  </si>
  <si>
    <t>【推定】Q3累計純利益1,460 + Q4推定290。Q4は税前約371に実効税率20%を仮置き。Q3累計の実効税率8.1%がQ4も継続するなら1,800超に上振れる。ピア5社は全て FY2026/3 の確定実績であるのに対し自社行のみ推定値である点に注意(自社行は統計から自動除外されるため、ピア中央値は汚染されない)。</t>
  </si>
  <si>
    <t>テンプレ自動値(最新FY実績 765.7)</t>
  </si>
  <si>
    <t>Comps Analysis 正常化純利益行</t>
  </si>
  <si>
    <t>Net Income normalized = 経常1,953 × (1 − C6 25%) = 1,465</t>
  </si>
  <si>
    <t>Q3累計の実効税率8.1%は繰延税金資産の計上とフィリピン優遇税制による一時的な軽課であり、報告ベース純利益はPERの分母として上振れている。FY2026/7E 経常利益推定1,953(営業1,943 + 営業外純収支 +10)に正常化税率25%を適用した参考行。■同様の歪みは FY2025/7 にもある: 実績純利益766は法人税等調整額 −115(繰延税金資産)の押し上げを含み、正常化後は約651。[参考・Target不算入]。</t>
  </si>
  <si>
    <t>Comps Analysis ピア行</t>
  </si>
  <si>
    <t>ピアのティッカー訂正: 日本高純度化学は 4107 ではなく 4973</t>
  </si>
  <si>
    <t>プロンプトの第一候補『日本高純度化学(4107、貴金属めっき薬品)』はティッカーが誤り。4107.T は伊勢化学工業(ISE Chemicals、ヨウ素、時価総額2,212億円)で無関係。日本高純度化学の正しいコードは 4973.T(Japan Pure Chemical、時価総額279億円)。yfinance で両社の longName を照合して確定し、4973 を採用した。手順書v2 §8-5「上場状態・ティッカーの未確認のままのPeer記載」の禁止に対応。</t>
  </si>
  <si>
    <t>プロンプト指定 4107</t>
  </si>
  <si>
    <t>確定(訂正)</t>
  </si>
  <si>
    <t>追加ピア3社を選定: 4095 日本パーカライジング / 6919 ケル / 6941 山一電機</t>
  </si>
  <si>
    <t>プロンプト指定の第一候補2社(4973 日本高純度化学・6928 エノモト)に加え、表面処理・電子部品加工から3社を追加した。選定理由: 4095 日本パーカライジング = 金属表面処理の国内最大手で事業内容が最も近い。6919 ケル = コネクタ、時価総額103億円で規模が最も近い。6941 山一電機 = 半導体テストソケット/コネクタでめっき工程を内製。全5社とも yfinance で現在株価を取得でき上場を確認済み(45日超の陳腐化なし)。財務は各社 FY2026/3 実績、取得日2026-08-29。EBITDA は全社『営業利益 + 減価償却費(CF)』で統一し、yfinance の EBITDA 欄(営業外項目を含む)は使っていない。Market_Cap 列は同日 yfinance 値を静的記入(再現性のため)。</t>
  </si>
  <si>
    <t>Comps Analysis ピア行(分母の歪み)</t>
  </si>
  <si>
    <t>4973 と 6919 の PER、4973 の EV/EBITDA は分母が歪んでいる。残置し、統計からは除外していない</t>
  </si>
  <si>
    <t>(a) 4973 日本高純度化学の純利益1,804には一過性利益 約1,658百万が含まれる(yfinance Total Unusual Items。正常化後の Normalized Income は575)。報告PER 15.5x に対し正常化PERは48.6x。(b) 6919 ケルの PER 48.9x は営業利益が前期597 → 285へ半減した循環的な底の分母による。(c) 4973 の EV/EBITDA 30.41x は貴金属の材料費が売上に乗るビジネスモデル(売上18,073に対し営業利益576)による構造的な高倍率。■残置の判断: いずれも中央値には影響しない(PER中央値は4973正常化の有無にかかわらず16.0x、EV/EBITDA中央値は5.94x)ため、標準メモ §2『削除でなく残置+理由記録』に従い行を残した。そもそも Comps は規約により Target Price に不算入([参考]表記)であり、判定への影響はない。</t>
  </si>
  <si>
    <t>Reverse DCF!C15 / C18</t>
  </si>
  <si>
    <t>Cycle-peak Operating Profit = 2,109(Q3 FY2026/7 年率換算)、peak OPM = 14.31%</t>
  </si>
  <si>
    <t>プロンプトの逆算の問い『2,764円(EV)は Q3年率OP約2,100百万の何%の定常化を織り込んだ価格か』に直接答えるため、peak_op に Q3累計営業利益の年率換算 2,109(= 1,582 ÷ 3 × 4)を置いた。Block A の『... as a multiple of the Q3 FY2026/7 annualised peak』行がそのまま答え(=市場が織り込んだ定常化率)になる。peak_opm 14.31% は Q3累計の営業利益率(1,582 / 11,050)。ランプ開始点 op0 は基準年 FY2026/7E の1,943。opm_grid は 5% / 7.35%(FY2025/7実績OPM) / 10% / live(14.31%) / 17% の5段で、Block C が『その定常OPMなら売上いくらが必要か』を示す。</t>
  </si>
  <si>
    <t>テンプレ自動導出(実績最大値 = FY2026/7E 1,943)</t>
  </si>
  <si>
    <t>Reverse DCF Block E</t>
  </si>
  <si>
    <t>取引ベンチマーク(Block E)は生成しない</t>
  </si>
  <si>
    <t>reverse_dcf.benchmark_ticker を指定していない。貴金属表面処理・めっき加工の小型株において、EV/EBITDA を語れる直近のM&amp;A・TOB事例を特定できなかったため。参照可能な取引事例が見つかった場合は overrides に benchmark_ticker(comps CSV 上のティッカー)と deal_note を追加すれば Block E が生成される。validate_output のチェック16 はこの不在を WARN で報告する場合がある。</t>
  </si>
  <si>
    <t>未解決(該当事例なし)</t>
  </si>
  <si>
    <t>Sensitivity Analysis Table 3</t>
  </si>
  <si>
    <t>為替感応度 Table 3 は生成しない(fx_sensitivity を enabled にしない)</t>
  </si>
  <si>
    <t>【設計判断】本銘柄は輸出型ではなくフィリピン生産型。円安は (a) SPMC売上の円換算増、(b) 同社原価の円換算増、(c) 国内で購入する貴金属のドル建て相場連動、の三方向に同時に効く。fx_sensitivity の必須キー usd_revenue_ratio / usd_cogs_ratio に確定値を与える根拠が短信・有報から得られないため、手順書v2 §8-9「未検証の比率を置かない」に従い Table 3 を生成しなかった。為替影響はシナリオの COGS率で表現している。■なお為替換算調整勘定は FY2025/7末 763 → 2026/4末 996 と +233 増えており円安はバランスシートには効いているが、Segment Bridge が示すとおり FY2025/7 の利益改善はフィリピンではなく日本で起きているため、営業利益への為替寄与は主因ではない。金価格感応度モジュールの新設もテンプレ改変禁止のため行わず、シナリオ5本(粗利率19.0%〜25.5%)で表現した。</t>
  </si>
  <si>
    <t>DCF Model!C29:G53(シナリオ入力マトリクス)</t>
  </si>
  <si>
    <t>シナリオ5本の分岐軸は粗利率の持続性。Y5営業利益は D2 905 &lt; D1 1,476 &lt; Base 2,467 &lt; Mgmt 3,049 &lt; Upside 4,077 で単調</t>
  </si>
  <si>
    <t>基準年 FY2026/7E の粗利率23.70% / 営業利益率13.53% を起点に、Base 22.5-23.0% / Upside 25.0-25.5% / Management 24.0% / Downside 1 20.0-21.0%(FY2025/7水準) / Downside 2 17.0-19.0%(FY2023-24水準)を置いた。テンプレは営業利益率を直接受け取らないため、SGA を実額で置き(Base 年+3.0% / Upside +5.0% / Management +4.0% / Downside 1 +1.5% / Downside 2 −2.0%)、sga_pct = SGA実額 ÷ 各年売上、cogs_pct = 1 − 目標粗利率 として逆算した。■Management の扱い: 会社予想(売上13,000 / 営業利益1,400)は Q3累計営業利益1,582に既に抜かれた陳腐化数字であり採用しない。代わりに『9月中旬に上方修正され、Q3年率ペースと粗利率24%が維持される』経路を Management とした。■Downside 2 で売上自体が縮む(Y1 −12%)のは、貴金属コストのパススルー分が売上高にも乗っているため、金価格反落時には数量が横ばいでも売上が縮むという構造による。</t>
  </si>
  <si>
    <t>テンプレ自動生成シナリオ</t>
  </si>
  <si>
    <t>Segment Bridge シート</t>
  </si>
  <si>
    <t>FY2025/7 の利益改善は日本セグメントで起きており、フィリピン/円安ではない</t>
  </si>
  <si>
    <t>EDINET有報(S100WWVN)のセグメント注記から2期分を抽出。日本は営業損失 −188.2(FY2024/7)から +508.9(FY2025/7)へ+697の改善、一方フィリピンは +347.7 → +243.3 と−104の悪化。セグメント営業利益率は 日本 −3.2% → +6.6%、フィリピン +11.9% → +7.7%。プロンプトが挙げた粗利率階段の3つのドライバー候補のうち『③フィリピン子会社の円安効果』は、この分解により主因から外れる。フィリピンのセグメント資産も 3,416.3 → 2,963.8 と減少しており、為替換算調整勘定の増加(+233)にもかかわらず現地事業は拡大していない。■未解決: FY2026/7期(半期・Q3)のセグメント別開示を取得できていないため、粗利率24.2%の日本/フィリピン別内訳は未確認。9月中旬の本決算で最も確認したい開示項目。</t>
  </si>
  <si>
    <t>確定(FY2026期分は未解決)</t>
  </si>
  <si>
    <t>Segment Bridge Capex行</t>
  </si>
  <si>
    <t>設備投資には定義が2系統あり、シートとDCFで使い分けている</t>
  </si>
  <si>
    <t>セグメント注記の『有形固定資産及び無形固定資産の増加額』(FY2025/7 セグメント計838.7 / 連結784.8 / 調整額 −53.9)と、CF計算書の『有形固定資産の取得による支出』(FY2025/7 580.0)。Segment Bridge シートは発生ベースのセグメント注記値を表示し、DCF Model の hist_capex は現金支出ベース(580.0)を使う。両者の約205百万の差は未払計上・無形資産分・調整額の差であり、どちらかが誤りではない。DCFは現金支出ベースを採るのが正しい。</t>
  </si>
  <si>
    <t>Financial Statements(経常利益の注記事項)</t>
  </si>
  <si>
    <t>営業外の補助金収入が恒常的に計上されており、経常・純利益の期間比較を歪める</t>
  </si>
  <si>
    <t>FY2024/7 は補助金収入123百万で経常利益363の約1/3を占める。FY2025/7 は12、FY2026/7 Q3累計は28。営業利益ベースの予測(本DCFの基礎)には影響しないが、経常利益・純利益の前年比較や PER の期間比較では控除して読む必要がある。本モデルの Comps 正常化純利益行は税率の正常化のみで、補助金の控除は行っていない(FY2026/7Eでは28程度と僅少なため)。</t>
  </si>
  <si>
    <t>要確認</t>
  </si>
  <si>
    <t>Executive Summary(直近触媒)</t>
  </si>
  <si>
    <t>9月中旬の FY2026/7 本決算 + FY2027/7 初回ガイダンスが本モデルの検証イベント</t>
  </si>
  <si>
    <t>(1) Q4実績が確定し、基準年 FY2026/7E(売上14,365 / 営業利益1,943)の推定誤差が消える。Q3単独ペース延長なら15,353 / 2,147 で、本モデルは保守側。(2) Q4単独の粗利率が、H1 25.7% → Q3単独 21.9% という低下トレンドの続きなのか下げ止まるのかが判明する — これが本モデル最大の分岐軸。(3) FY2027/7 の初回会社予想が Management シナリオ(売上16,089 / 営業利益2,341)に対してどこに来るか。(4) 通期のセグメント別開示で日本/フィリピンの粗利寄与が分かる。(5) 通期の実効税率が Q3累計の8.1%からどこへ正常化するか。以上5点が判明した時点で本モデルは再生成すべきである。</t>
  </si>
  <si>
    <t>未解決(2026年9月中旬)</t>
  </si>
  <si>
    <t>全シート</t>
  </si>
  <si>
    <t>納品状態 = DRAFT</t>
  </si>
  <si>
    <t>手順書v2 §6-3 / 標準メモ §2 に従い DRAFT 納品。チャット側での検証 → 手修正の記録 → ユーザー承認を経て FINAL 化する。FINAL 化の際はファイル名を 3441_DCF_Model_&lt;日付&gt;_FINAL.xlsx とし、models/ への保存確認まで行うこと。上記の【推定】【要確認】【未解決】ステータスの項目が本モデルの弱点であり、特に (1) 基準年 FY2026/7E の Q4推定、(2) 税率25%、(3) base_year_ap 500、(4) capex/D&amp;A の予測配列 の4点が Target への感応度が大きい。</t>
  </si>
  <si>
    <t>DRAFT</t>
  </si>
  <si>
    <t>Pipeline Metadata (do not edit — read by scripts/validate_output.py)</t>
  </si>
  <si>
    <t>key</t>
  </si>
  <si>
    <t>value</t>
  </si>
  <si>
    <t>auto_log_entries</t>
  </si>
  <si>
    <t>1</t>
  </si>
  <si>
    <t>capex_pct_basis</t>
  </si>
  <si>
    <t>hist_3yr_avg</t>
  </si>
  <si>
    <t>capex_pct_c5</t>
  </si>
  <si>
    <t>0.0445</t>
  </si>
  <si>
    <t>capex_pct_hist3yr</t>
  </si>
  <si>
    <t>0.044549</t>
  </si>
  <si>
    <t>company_name</t>
  </si>
  <si>
    <t>comps_asof</t>
  </si>
  <si>
    <t>comps_da_missing</t>
  </si>
  <si>
    <t>none</t>
  </si>
  <si>
    <t>comps_ev_ebitda_invalid</t>
  </si>
  <si>
    <t>no</t>
  </si>
  <si>
    <t>comps_ev_ebitda_rows</t>
  </si>
  <si>
    <t>6,7,8,9,10</t>
  </si>
  <si>
    <t>comps_impl_mult_row</t>
  </si>
  <si>
    <t>27</t>
  </si>
  <si>
    <t>comps_impl_per_row</t>
  </si>
  <si>
    <t>28</t>
  </si>
  <si>
    <t>comps_normalized_ni_row</t>
  </si>
  <si>
    <t>29</t>
  </si>
  <si>
    <t>comps_normalized_per_row</t>
  </si>
  <si>
    <t>30</t>
  </si>
  <si>
    <t>comps_peer_rows</t>
  </si>
  <si>
    <t>comps_stale_excluded</t>
  </si>
  <si>
    <t>comps_stat_median_row</t>
  </si>
  <si>
    <t>16</t>
  </si>
  <si>
    <t>comps_subject_row</t>
  </si>
  <si>
    <t>5</t>
  </si>
  <si>
    <t>cost_of_debt_actual</t>
  </si>
  <si>
    <t>interest 58 (expense 56 + fees 2) / avg debt 4,368 (debt_beginning/debt_ending) = 0.013280 pre-tax -&gt; 0.010000 after-tax</t>
  </si>
  <si>
    <t>cost_of_debt_at_c11</t>
  </si>
  <si>
    <t>0.01</t>
  </si>
  <si>
    <t>cost_of_debt_avg_debt</t>
  </si>
  <si>
    <t>4367.5</t>
  </si>
  <si>
    <t>cost_of_debt_basis</t>
  </si>
  <si>
    <t>actual</t>
  </si>
  <si>
    <t>cost_of_debt_interest</t>
  </si>
  <si>
    <t>58.0</t>
  </si>
  <si>
    <t>cost_of_debt_pretax</t>
  </si>
  <si>
    <t>0.013279908414424729</t>
  </si>
  <si>
    <t>da_pct_basis</t>
  </si>
  <si>
    <t>da_pct_c18</t>
  </si>
  <si>
    <t>0.0427</t>
  </si>
  <si>
    <t>da_pct_hist3yr</t>
  </si>
  <si>
    <t>0.042671</t>
  </si>
  <si>
    <t>fs_year_coverage</t>
  </si>
  <si>
    <t>OCF 4/4, Cash 4/4, Debt 4/4</t>
  </si>
  <si>
    <t>fs_year_map</t>
  </si>
  <si>
    <t>FY2023/7&lt;-FY2023[ocf+cash+debt]; FY2024/7&lt;-FY2024[ocf+cash+debt]; FY2025/7&lt;-FY2025[ocf+cash+debt]; FY2026/7E&lt;-BLANK[ocf+cash+debt]</t>
  </si>
  <si>
    <t>fs_year_sources</t>
  </si>
  <si>
    <t>overrides: hist_ocf, hist_cash, hist_debt, hist_capex, hist_depreciation | EDINET year-key match: none</t>
  </si>
  <si>
    <t>fx_sensitivity</t>
  </si>
  <si>
    <t>not enabled</t>
  </si>
  <si>
    <t>generated_at</t>
  </si>
  <si>
    <t>2026-08-29 17:37:57</t>
  </si>
  <si>
    <t>ltm_revenue_c20</t>
  </si>
  <si>
    <t>14120</t>
  </si>
  <si>
    <t>ltm_revenue_source</t>
  </si>
  <si>
    <t>override</t>
  </si>
  <si>
    <t>narrative_tokens_used</t>
  </si>
  <si>
    <t>pb,price,target_price,upside_pct,wacc</t>
  </si>
  <si>
    <t>reverse_dcf_sheet</t>
  </si>
  <si>
    <t>op0=1,943(FY2026/7E) peak=2,109(Q3 FY2026/7 annualised) peak_opm=0.1431 N=3/5/7/10</t>
  </si>
  <si>
    <t>scenario_index_range</t>
  </si>
  <si>
    <t>B69:B73</t>
  </si>
  <si>
    <t>tax_rate_c6</t>
  </si>
  <si>
    <t>0.25</t>
  </si>
  <si>
    <t>template_rev</t>
  </si>
  <si>
    <t>672e3c3</t>
  </si>
  <si>
    <t>ticker</t>
  </si>
  <si>
    <t>Segment Bridge - SANNO (3441)</t>
  </si>
  <si>
    <t>Reportable segments are geographic: Japan (the Ohta and Chiba plants) and the Philippines (SANNO Philippines Manufacturing Corp., SPMC). All figures JPY mn, from the FY7/25 annual securities report segment note.</t>
  </si>
  <si>
    <t>The point of this sheet: the FY7/25 profit step-up was a JAPAN event, not a Philippine / weak-yen event. Japan swung from a JPY188mn operating loss to a JPY509mn profit (+697) while the Philippines went the other way, from JPY348mn to JPY243mn (-104). Of the three candidate drivers for the gross-margin step - (1) precious-metal price pass-through and spread, (2) semiconductor / connector volume recovery, (3) the weak yen lifting the Philippine subsidiary - driver (3) is ruled out by this table.</t>
  </si>
  <si>
    <t>Only two comparable fiscal years are disclosed on this basis, which is why segment data sits here rather than in a `segments` override block (that block would switch the DCF COGS line to a segment-EBIT back-solve on two data points).</t>
  </si>
  <si>
    <t>This sheet is informational: no cell on the DCF Model sheet references it.</t>
  </si>
  <si>
    <t>1. Segment Revenue (JPY mn)</t>
  </si>
  <si>
    <t>Segment</t>
  </si>
  <si>
    <t>Japan  日本</t>
  </si>
  <si>
    <t>External sales. Inter-segment sales of 6.3 (FY7/24) and 59.1 (FY7/25) are excluded here and appear in the revenue adjustment row.</t>
  </si>
  <si>
    <t>Philippines  フィリピン (SPMC)</t>
  </si>
  <si>
    <t>29.3% of FY7/25 consolidated revenue. No inter-segment sales disclosed.</t>
  </si>
  <si>
    <t>Segment total  セグメント計</t>
  </si>
  <si>
    <t>Adjustment  調整額 (内部売上高消去等)</t>
  </si>
  <si>
    <t>Derived as (consolidated - segment total). Zero because the segment revenue rows above are already external-customer sales.</t>
  </si>
  <si>
    <t>Consolidated revenue  連結売上高</t>
  </si>
  <si>
    <t>Ties to the Financial Statements sheet (FY2024/7, FY2025/7 columns).</t>
  </si>
  <si>
    <t>2. Segment Profit to Consolidated Operating Profit (JPY mn)</t>
  </si>
  <si>
    <t>Segment profit total  セグメント利益計</t>
  </si>
  <si>
    <t>Adjustment  調整額 (全社費用・セグメント間消去)</t>
  </si>
  <si>
    <t>Bridged total  計算値</t>
  </si>
  <si>
    <t>Consolidated operating profit  連結営業利益 (開示値)</t>
  </si>
  <si>
    <t>Disclosed consolidated operating profit. The adjustment row is the disclosed 調整額, so the bridge closes exactly.</t>
  </si>
  <si>
    <t>Variance  差異 (計算値 - 開示値)</t>
  </si>
  <si>
    <t>Rounding of the disclosed JPY mn figures. A non-zero variance is shown rather than forced to zero.</t>
  </si>
  <si>
    <t>3. Segment Operating Margin</t>
  </si>
  <si>
    <t>Consolidated  連結</t>
  </si>
  <si>
    <t>4. Depreciation &amp; Amortisation by Segment (JPY mn)</t>
  </si>
  <si>
    <t>Segment D&amp;A total  計</t>
  </si>
  <si>
    <t>Adjustment  調整額 (D&amp;A)</t>
  </si>
  <si>
    <t>The disclosed segment D&amp;A total equals consolidated D&amp;A in both years, so the adjustment is nil.</t>
  </si>
  <si>
    <t>Consolidated D&amp;A  連結減価償却費 (開示値)</t>
  </si>
  <si>
    <t>CF-statement depreciation, disclosed. Equals the segment total in both years.</t>
  </si>
  <si>
    <t>Consolidated EBITDA  (連結営業利益 + 連結D&amp;A)</t>
  </si>
  <si>
    <t>This is the core_ebitda basis used on 'Comps Analysis'.</t>
  </si>
  <si>
    <t>5. Capital Intensity and Headcount by Segment</t>
  </si>
  <si>
    <t>Item</t>
  </si>
  <si>
    <t>Capex  設備投資 - Japan</t>
  </si>
  <si>
    <t>Segment note 有形固定資産及び無形固定資産の増加額</t>
  </si>
  <si>
    <t>Capex  設備投資 - Philippines</t>
  </si>
  <si>
    <t>Philippine capex went from negligible to 209.6</t>
  </si>
  <si>
    <t>Capex  設備投資 - segment total</t>
  </si>
  <si>
    <t>Consolidated per segment note: 204.0 / 784.8; FY7/25 adjustment -53.9</t>
  </si>
  <si>
    <t>Segment assets  資産 - Japan</t>
  </si>
  <si>
    <t>Period end</t>
  </si>
  <si>
    <t>Segment assets  資産 - Philippines</t>
  </si>
  <si>
    <t>Period end; fell despite the weaker yen</t>
  </si>
  <si>
    <t>Employees  従業員数 - Japan</t>
  </si>
  <si>
    <t>Plus 12 average temporary workers (FY7/25)</t>
  </si>
  <si>
    <t>Employees  従業員数 - Philippines</t>
  </si>
  <si>
    <t>Plus 122 average temporary workers (FY7/25)</t>
  </si>
  <si>
    <t>FY7/25 capex more than quadrupled in Japan (177 -&gt; 629) in the same year Japan swung to profit. Philippine segment assets FELL (3,416 -&gt; 2,964) even though the cumulative translation adjustment rose from 763 (FY7/25 end) to 996 (Apr-26), which further argues that the weak yen is not what produced the earnings step.</t>
  </si>
  <si>
    <t>Notes</t>
  </si>
  <si>
    <t>Segment profit is disclosed segment operating profit; the adjustment row carries corporate costs and inter-segment eliminations and is disclosed, not derived, so the profit bridge closes to zero variance in both years.</t>
  </si>
  <si>
    <t>Japan segment operating margin: -3.2% (FY7/24) -&gt; +6.6% (FY7/25). Philippine segment operating margin: +11.9% -&gt; +7.7%. The Philippine unit is still the higher-margin business but is no longer the growth engine.</t>
  </si>
  <si>
    <t>No segment data is disclosed for the FY7/26 interim or third quarter, so the Japan / Philippines split of the 24.2% nine-month gross margin cannot be verified. This is the single most useful disclosure to look for in the mid-September FY7/26 results.</t>
  </si>
  <si>
    <t>Cumulative translation adjustment 為替換算調整勘定: 763 at FY7/25 end -&gt; 996 at Apr-26 (+233). This flows through other comprehensive income and equity, not through operating profit, and is therefore not part of the margin story on this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</si>
</sst>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
    <numFmt numFmtId="177" formatCode="0.0%;\(0.0%\)"/>
    <numFmt numFmtId="178" formatCode="0.000"/>
    <numFmt numFmtId="179" formatCode="0.00&quot;x&quot;"/>
    <numFmt numFmtId="180" formatCode="0.00%;\(0.00%\)"/>
    <numFmt numFmtId="181" formatCode="0.0000"/>
    <numFmt numFmtId="182" formatCode="0.\1%;\(0.\1%\)"/>
  </numFmts>
  <fonts count="15"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b/>
      <sz val="14"/>
      <color rgb="FF1F4E79"/>
      <name val="Arial"/>
    </font>
    <font>
      <i/>
      <sz val="9"/>
      <color rgb="FF808080"/>
      <name val="Arial"/>
    </font>
    <font>
      <b/>
      <sz val="11"/>
      <color rgb="FF1F4E79"/>
      <name val="Arial"/>
    </font>
    <font>
      <b/>
      <sz val="11"/>
      <color rgb="FFFFFFFF"/>
      <name val="Arial"/>
    </font>
    <font>
      <sz val="10"/>
      <name val="Arial"/>
    </font>
    <font>
      <sz val="10"/>
      <color rgb="FF0070C0"/>
      <name val="Arial"/>
    </font>
  </fonts>
  <fills count="9">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
      <patternFill patternType="solid">
        <fgColor rgb="FF000080"/>
        <bgColor rgb="FF000080"/>
      </patternFill>
    </fill>
    <fill>
      <patternFill patternType="solid">
        <fgColor rgb="FFE2EFDA"/>
        <bgColor rgb="FFE2EFDA"/>
      </patternFill>
    </fill>
    <fill>
      <patternFill patternType="solid">
        <fgColor rgb="FFFFF2CC"/>
        <bgColor rgb="FFFFF2CC"/>
      </patternFill>
    </fill>
  </fills>
  <borders count="10">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style="double">
        <color auto="1"/>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13" fillId="0" borderId="0" xfId="0" applyFont="1"/>
    <xf numFmtId="0" fontId="9" fillId="0" borderId="0" xfId="0" applyFont="1"/>
    <xf numFmtId="0" fontId="10" fillId="0" borderId="0" xfId="0" applyFont="1"/>
    <xf numFmtId="0" fontId="11" fillId="0" borderId="7" xfId="0" applyFont="1" applyBorder="1"/>
    <xf numFmtId="0" fontId="0" fillId="0" borderId="7" xfId="0" applyBorder="1"/>
    <xf numFmtId="0" fontId="12" fillId="6" borderId="0" xfId="0" applyFont="1" applyFill="1"/>
    <xf numFmtId="176" fontId="14" fillId="0" borderId="0" xfId="0" applyNumberFormat="1" applyFont="1"/>
    <xf numFmtId="176" fontId="4" fillId="0" borderId="7" xfId="0" applyNumberFormat="1" applyFont="1" applyBorder="1"/>
    <xf numFmtId="176" fontId="13" fillId="0" borderId="0" xfId="0" applyNumberFormat="1" applyFont="1"/>
    <xf numFmtId="176" fontId="4" fillId="7" borderId="8" xfId="0" applyNumberFormat="1" applyFont="1" applyFill="1" applyBorder="1"/>
    <xf numFmtId="176" fontId="4" fillId="0" borderId="0" xfId="0" applyNumberFormat="1" applyFont="1"/>
    <xf numFmtId="176" fontId="4" fillId="7" borderId="0" xfId="0" applyNumberFormat="1" applyFont="1" applyFill="1"/>
    <xf numFmtId="176" fontId="4" fillId="8" borderId="8" xfId="0" applyNumberFormat="1" applyFont="1" applyFill="1" applyBorder="1"/>
    <xf numFmtId="182" fontId="13" fillId="0" borderId="0" xfId="0" applyNumberFormat="1" applyFont="1"/>
    <xf numFmtId="182" fontId="4" fillId="7" borderId="8" xfId="0" applyNumberFormat="1" applyFont="1" applyFill="1" applyBorder="1"/>
    <xf numFmtId="176" fontId="14" fillId="0" borderId="9" xfId="0" applyNumberFormat="1" applyFont="1" applyBorder="1"/>
    <xf numFmtId="0" fontId="10" fillId="0" borderId="0" xfId="0" applyFont="1" applyAlignment="1">
      <alignment horizontal="right"/>
    </xf>
    <xf numFmtId="0" fontId="11"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opLeftCell="A5" workbookViewId="0"/>
  </sheetViews>
  <sheetFormatPr defaultRowHeight="13" x14ac:dyDescent="0.2"/>
  <cols>
    <col min="1" max="1" width="3" customWidth="1"/>
    <col min="2" max="2" width="30" customWidth="1"/>
    <col min="3" max="5" width="22" customWidth="1"/>
  </cols>
  <sheetData>
    <row r="1" spans="2:5" ht="14" customHeight="1" x14ac:dyDescent="0.3">
      <c r="B1" s="63" t="s">
        <v>0</v>
      </c>
      <c r="C1" s="62"/>
      <c r="D1" s="62"/>
      <c r="E1" s="62"/>
    </row>
    <row r="3" spans="2:5" ht="18" customHeight="1" x14ac:dyDescent="0.4">
      <c r="B3" s="61" t="s">
        <v>1</v>
      </c>
      <c r="C3" s="62"/>
      <c r="D3" s="62"/>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2764</v>
      </c>
    </row>
    <row r="10" spans="2:5" ht="14" customHeight="1" x14ac:dyDescent="0.3">
      <c r="B10" s="4" t="s">
        <v>10</v>
      </c>
      <c r="C10" s="5">
        <f>IF(COUNT(C16:C17)=0,"N/A",ROUND(AVERAGE(C16:C17),0))</f>
        <v>3007</v>
      </c>
    </row>
    <row r="11" spans="2:5" ht="14" customHeight="1" x14ac:dyDescent="0.3">
      <c r="B11" s="4" t="s">
        <v>11</v>
      </c>
      <c r="C11" s="6" t="str">
        <f>IF(NOT(ISNUMBER(C12)),"N/A",IF(C12&gt;0.15,"BUY",IF(C12&gt;0.05,"HOLD","SELL")))</f>
        <v>HOLD</v>
      </c>
    </row>
    <row r="12" spans="2:5" ht="14" customHeight="1" x14ac:dyDescent="0.3">
      <c r="B12" s="4" t="s">
        <v>12</v>
      </c>
      <c r="C12" s="7">
        <f>IF(ISNUMBER(C10),(C10-C9)/C9,"N/A")</f>
        <v>8.7916063675832129E-2</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2898</v>
      </c>
      <c r="D16" s="7">
        <f>IF(ISNUMBER(C16),(C16-C9)/C9,"N/A")</f>
        <v>4.8480463096960927E-2</v>
      </c>
    </row>
    <row r="17" spans="2:5" ht="13.5" customHeight="1" x14ac:dyDescent="0.25">
      <c r="B17" t="s">
        <v>18</v>
      </c>
      <c r="C17" s="11">
        <f>IF('DCF Model'!C62&lt;'DCF Model'!C16,"INVALID (EV &lt; net debt)",'DCF Model'!C64)</f>
        <v>3115</v>
      </c>
      <c r="D17" s="7">
        <f>IF(ISNUMBER(C17),(C17-C9)/C9,"N/A")</f>
        <v>0.12698986975397974</v>
      </c>
    </row>
    <row r="18" spans="2:5" ht="13.5" customHeight="1" x14ac:dyDescent="0.25">
      <c r="B18" t="s">
        <v>19</v>
      </c>
      <c r="C18" s="11">
        <f>'Comps Analysis'!C27</f>
        <v>3141</v>
      </c>
      <c r="D18" s="7">
        <f>IF(ISNUMBER(C18),(C18-C9)/C9,"N/A")</f>
        <v>0.13639652677279304</v>
      </c>
    </row>
    <row r="19" spans="2:5" ht="13.5" customHeight="1" x14ac:dyDescent="0.25">
      <c r="B19" t="s">
        <v>20</v>
      </c>
      <c r="C19" s="11">
        <f>'Comps Analysis'!C28</f>
        <v>6585</v>
      </c>
      <c r="D19" s="7">
        <f>IF(ISNUMBER(C19),(C19-C9)/C9,"N/A")</f>
        <v>1.3824167872648336</v>
      </c>
    </row>
    <row r="20" spans="2:5" ht="14" customHeight="1" x14ac:dyDescent="0.3">
      <c r="B20" s="63" t="s">
        <v>21</v>
      </c>
      <c r="C20" s="62"/>
      <c r="D20" s="62"/>
      <c r="E20" s="62"/>
    </row>
    <row r="21" spans="2:5" ht="14" customHeight="1" x14ac:dyDescent="0.3">
      <c r="B21" s="4" t="s">
        <v>22</v>
      </c>
      <c r="C21" s="6" t="str">
        <f>IF(COUNT(C16:C17)=0,"N/A",MIN(C16:C17)&amp;" - "&amp;MAX(C16:C17))</f>
        <v>2898 - 3115</v>
      </c>
    </row>
    <row r="23" spans="2:5" ht="14" customHeight="1" x14ac:dyDescent="0.3">
      <c r="B23" s="8" t="s">
        <v>23</v>
      </c>
      <c r="C23" s="9"/>
      <c r="D23" s="9"/>
    </row>
    <row r="24" spans="2:5" x14ac:dyDescent="0.2">
      <c r="B24" t="s">
        <v>24</v>
      </c>
    </row>
    <row r="25" spans="2:5" x14ac:dyDescent="0.2">
      <c r="B25" t="s">
        <v>25</v>
      </c>
    </row>
    <row r="26" spans="2:5" x14ac:dyDescent="0.2">
      <c r="B26" t="str">
        <f>"At "&amp;TEXT(C9,"#,##0")&amp;" the reverse DCF says the market is paying for only about 84% of the annualised nine-month operating profit continuing for ever; our target of "&amp;TEXT(C10,"#,##0")&amp;" implies "&amp;TEXT(C12,"+0.0%;-0.0%")&amp;" at a WACC of "&amp;TEXT('DCF Model'!C26,"0.00%")&amp;", and the shares trade at "&amp;TEXT('Comps Analysis'!M5,"0.00""x""")&amp;" PBR."</f>
        <v>At 2,764 the reverse DCF says the market is paying for only about 84% of the annualised nine-month operating profit continuing for ever; our target of 3,007 implies +8.8% at a WACC of 12.19%, and the shares trade at 1.42x PBR.</v>
      </c>
    </row>
    <row r="28" spans="2:5" ht="14" customHeight="1" x14ac:dyDescent="0.3">
      <c r="B28" s="8" t="s">
        <v>26</v>
      </c>
      <c r="C28" s="9"/>
      <c r="D28" s="9"/>
    </row>
    <row r="29" spans="2:5" x14ac:dyDescent="0.2">
      <c r="B29" t="s">
        <v>27</v>
      </c>
    </row>
    <row r="30" spans="2:5" x14ac:dyDescent="0.2">
      <c r="B30" t="s">
        <v>28</v>
      </c>
    </row>
    <row r="31" spans="2:5" x14ac:dyDescent="0.2">
      <c r="B31" t="s">
        <v>29</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30</v>
      </c>
    </row>
    <row r="4" spans="2:6" ht="14" customHeight="1" x14ac:dyDescent="0.3">
      <c r="C4" s="10" t="s">
        <v>31</v>
      </c>
      <c r="D4" s="10" t="s">
        <v>32</v>
      </c>
      <c r="E4" s="10" t="s">
        <v>33</v>
      </c>
      <c r="F4" s="10" t="s">
        <v>34</v>
      </c>
    </row>
    <row r="5" spans="2:6" ht="14" customHeight="1" x14ac:dyDescent="0.3">
      <c r="B5" s="3" t="s">
        <v>35</v>
      </c>
    </row>
    <row r="6" spans="2:6" ht="14" customHeight="1" x14ac:dyDescent="0.3">
      <c r="B6" s="4" t="s">
        <v>36</v>
      </c>
      <c r="C6" s="5">
        <v>9563.5</v>
      </c>
      <c r="D6" s="5">
        <v>8802.1</v>
      </c>
      <c r="E6" s="5">
        <v>10830.4</v>
      </c>
      <c r="F6" s="5">
        <v>14365</v>
      </c>
    </row>
    <row r="7" spans="2:6" ht="14" customHeight="1" x14ac:dyDescent="0.3">
      <c r="B7" s="4" t="s">
        <v>37</v>
      </c>
      <c r="C7" s="5">
        <v>7887.9</v>
      </c>
      <c r="D7" s="5">
        <v>7359.7</v>
      </c>
      <c r="E7" s="5">
        <v>8635.6</v>
      </c>
      <c r="F7" s="5">
        <v>10960.3</v>
      </c>
    </row>
    <row r="8" spans="2:6" ht="14" customHeight="1" x14ac:dyDescent="0.3">
      <c r="B8" s="4" t="s">
        <v>38</v>
      </c>
      <c r="C8" s="5">
        <f>C6-C7</f>
        <v>1675.6000000000004</v>
      </c>
      <c r="D8" s="5">
        <f>D6-D7</f>
        <v>1442.4000000000005</v>
      </c>
      <c r="E8" s="5">
        <f>E6-E7</f>
        <v>2194.7999999999993</v>
      </c>
      <c r="F8" s="5">
        <f>F6-F7</f>
        <v>3404.7000000000007</v>
      </c>
    </row>
    <row r="9" spans="2:6" ht="13.5" customHeight="1" x14ac:dyDescent="0.25">
      <c r="B9" t="s">
        <v>39</v>
      </c>
      <c r="C9" s="7">
        <f>C8/C6</f>
        <v>0.17520782140429764</v>
      </c>
      <c r="D9" s="7">
        <f>D8/D6</f>
        <v>0.16386998557162502</v>
      </c>
      <c r="E9" s="7">
        <f>E8/E6</f>
        <v>0.20265179494755498</v>
      </c>
      <c r="F9" s="7">
        <f>F8/F6</f>
        <v>0.23701357466063352</v>
      </c>
    </row>
    <row r="10" spans="2:6" ht="14" customHeight="1" x14ac:dyDescent="0.3">
      <c r="B10" s="4" t="s">
        <v>40</v>
      </c>
      <c r="C10" s="5">
        <v>1469.9</v>
      </c>
      <c r="D10" s="5">
        <v>1209.4000000000001</v>
      </c>
      <c r="E10" s="5">
        <v>1398.5</v>
      </c>
      <c r="F10" s="5">
        <v>1461.3</v>
      </c>
    </row>
    <row r="11" spans="2:6" ht="14" customHeight="1" x14ac:dyDescent="0.3">
      <c r="B11" s="4" t="s">
        <v>41</v>
      </c>
      <c r="C11" s="5">
        <v>205.6</v>
      </c>
      <c r="D11" s="5">
        <v>233</v>
      </c>
      <c r="E11" s="5">
        <v>796.2</v>
      </c>
      <c r="F11" s="5">
        <v>1943.4</v>
      </c>
    </row>
    <row r="12" spans="2:6" ht="14" customHeight="1" x14ac:dyDescent="0.3">
      <c r="B12" s="4" t="s">
        <v>42</v>
      </c>
      <c r="C12" s="5">
        <v>154.1</v>
      </c>
      <c r="D12" s="5">
        <v>312.7</v>
      </c>
      <c r="E12" s="5">
        <v>765.7</v>
      </c>
      <c r="F12" s="5">
        <v>1750</v>
      </c>
    </row>
    <row r="13" spans="2:6" ht="13.5" customHeight="1" x14ac:dyDescent="0.25">
      <c r="B13" t="s">
        <v>43</v>
      </c>
      <c r="C13" s="7">
        <f>C11/C6</f>
        <v>2.1498405395514193E-2</v>
      </c>
      <c r="D13" s="7">
        <f>D11/D6</f>
        <v>2.6470955794639914E-2</v>
      </c>
      <c r="E13" s="7">
        <f>E11/E6</f>
        <v>7.3515290293987304E-2</v>
      </c>
      <c r="F13" s="7">
        <f>F11/F6</f>
        <v>0.13528715628263141</v>
      </c>
    </row>
    <row r="14" spans="2:6" ht="13.5" customHeight="1" x14ac:dyDescent="0.25">
      <c r="B14" t="s">
        <v>44</v>
      </c>
      <c r="C14" s="7">
        <f>C12/C6</f>
        <v>1.6113347623777904E-2</v>
      </c>
      <c r="D14" s="7">
        <f>D12/D6</f>
        <v>3.5525613205939492E-2</v>
      </c>
      <c r="E14" s="7">
        <f>E12/E6</f>
        <v>7.0699143152607488E-2</v>
      </c>
      <c r="F14" s="7">
        <f>F12/F6</f>
        <v>0.12182387747998608</v>
      </c>
    </row>
    <row r="15" spans="2:6" ht="13.5" customHeight="1" x14ac:dyDescent="0.25">
      <c r="B15" t="s">
        <v>45</v>
      </c>
      <c r="C15" t="s">
        <v>46</v>
      </c>
      <c r="D15" s="7">
        <f>(D6-C6)/C6</f>
        <v>-7.9615203638835119E-2</v>
      </c>
      <c r="E15" s="7">
        <f>(E6-D6)/D6</f>
        <v>0.23043364651617218</v>
      </c>
      <c r="F15" s="7">
        <f>(F6-E6)/E6</f>
        <v>0.32635913724331517</v>
      </c>
    </row>
    <row r="16" spans="2:6" ht="13.5" customHeight="1" x14ac:dyDescent="0.25">
      <c r="B16" t="s">
        <v>47</v>
      </c>
      <c r="C16" t="s">
        <v>46</v>
      </c>
      <c r="D16" s="7">
        <f>(D11-C11)/C11</f>
        <v>0.1332684824902724</v>
      </c>
      <c r="E16" s="7">
        <f>(E11-D11)/D11</f>
        <v>2.4171673819742492</v>
      </c>
      <c r="F16" s="7">
        <f>(F11-E11)/E11</f>
        <v>1.440844009042954</v>
      </c>
    </row>
    <row r="18" spans="2:6" ht="14" customHeight="1" x14ac:dyDescent="0.3">
      <c r="B18" s="3" t="s">
        <v>48</v>
      </c>
    </row>
    <row r="19" spans="2:6" ht="14" customHeight="1" x14ac:dyDescent="0.3">
      <c r="B19" s="4" t="s">
        <v>49</v>
      </c>
      <c r="C19" s="5">
        <v>1185.9000000000001</v>
      </c>
      <c r="D19" s="5">
        <v>1054.8</v>
      </c>
      <c r="E19" s="5">
        <v>461.7</v>
      </c>
      <c r="F19" s="5">
        <v>940</v>
      </c>
    </row>
    <row r="20" spans="2:6" ht="14" customHeight="1" x14ac:dyDescent="0.3">
      <c r="B20" s="4" t="s">
        <v>50</v>
      </c>
      <c r="C20" s="5">
        <v>954.6</v>
      </c>
      <c r="D20" s="5">
        <v>239.3</v>
      </c>
      <c r="E20" s="5">
        <v>580</v>
      </c>
      <c r="F20" s="5">
        <v>760</v>
      </c>
    </row>
    <row r="21" spans="2:6" ht="14" customHeight="1" x14ac:dyDescent="0.3">
      <c r="B21" s="4" t="s">
        <v>51</v>
      </c>
      <c r="C21" s="5">
        <f>C19-C20</f>
        <v>231.30000000000007</v>
      </c>
      <c r="D21" s="5">
        <f>D19-D20</f>
        <v>815.5</v>
      </c>
      <c r="E21" s="5">
        <f>E19-E20</f>
        <v>-118.30000000000001</v>
      </c>
      <c r="F21" s="5">
        <f>F19-F20</f>
        <v>180</v>
      </c>
    </row>
    <row r="22" spans="2:6" ht="13.5" customHeight="1" x14ac:dyDescent="0.25">
      <c r="B22" t="s">
        <v>52</v>
      </c>
      <c r="C22" s="7">
        <f>C21/C6</f>
        <v>2.4185706069953475E-2</v>
      </c>
      <c r="D22" s="7">
        <f>D21/D6</f>
        <v>9.2648345281239705E-2</v>
      </c>
      <c r="E22" s="7">
        <f>E21/E6</f>
        <v>-1.0922957600827302E-2</v>
      </c>
      <c r="F22" s="7">
        <f>F21/F6</f>
        <v>1.2530455969369997E-2</v>
      </c>
    </row>
    <row r="23" spans="2:6" ht="13.5" customHeight="1" x14ac:dyDescent="0.25">
      <c r="B23" t="s">
        <v>53</v>
      </c>
      <c r="C23" s="7">
        <f>C20/C6</f>
        <v>9.9817012599989541E-2</v>
      </c>
      <c r="D23" s="7">
        <f>D20/D6</f>
        <v>2.718669408436623E-2</v>
      </c>
      <c r="E23" s="7">
        <f>E20/E6</f>
        <v>5.3552962032796574E-2</v>
      </c>
      <c r="F23" s="7">
        <f>F20/F6</f>
        <v>5.2906369648451093E-2</v>
      </c>
    </row>
    <row r="25" spans="2:6" ht="14" customHeight="1" x14ac:dyDescent="0.3">
      <c r="B25" s="3" t="s">
        <v>54</v>
      </c>
    </row>
    <row r="26" spans="2:6" ht="14" customHeight="1" x14ac:dyDescent="0.3">
      <c r="B26" s="4" t="s">
        <v>55</v>
      </c>
      <c r="C26" s="5">
        <v>2203.1999999999998</v>
      </c>
      <c r="D26" s="5">
        <v>3901.1</v>
      </c>
      <c r="E26" s="5">
        <v>3610.8</v>
      </c>
      <c r="F26" s="5">
        <v>3575</v>
      </c>
    </row>
    <row r="27" spans="2:6" ht="14" customHeight="1" x14ac:dyDescent="0.3">
      <c r="B27" s="4" t="s">
        <v>56</v>
      </c>
      <c r="C27" s="5">
        <v>4554.7</v>
      </c>
      <c r="D27" s="5">
        <v>4256</v>
      </c>
      <c r="E27" s="5">
        <v>4478.5</v>
      </c>
      <c r="F27" s="5">
        <v>4699</v>
      </c>
    </row>
    <row r="28" spans="2:6" ht="14" customHeight="1" x14ac:dyDescent="0.3">
      <c r="B28" s="4" t="s">
        <v>57</v>
      </c>
      <c r="C28" s="5">
        <f>C27-C26</f>
        <v>2351.5</v>
      </c>
      <c r="D28" s="5">
        <f>D27-D26</f>
        <v>354.90000000000009</v>
      </c>
      <c r="E28" s="5">
        <f>E27-E26</f>
        <v>867.69999999999982</v>
      </c>
      <c r="F28" s="5">
        <f>F27-F26</f>
        <v>1124</v>
      </c>
    </row>
    <row r="30" spans="2:6" ht="14" customHeight="1" x14ac:dyDescent="0.3">
      <c r="B30" s="1" t="s">
        <v>58</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tabSelected="1" workbookViewId="0">
      <selection activeCell="C8" sqref="C8"/>
    </sheetView>
  </sheetViews>
  <sheetFormatPr defaultRowHeight="13" x14ac:dyDescent="0.2"/>
  <cols>
    <col min="1" max="1" width="3" customWidth="1"/>
    <col min="2" max="2" width="32" customWidth="1"/>
    <col min="3" max="7" width="16" customWidth="1"/>
  </cols>
  <sheetData>
    <row r="2" spans="2:7" ht="18" customHeight="1" x14ac:dyDescent="0.4">
      <c r="B2" s="2" t="s">
        <v>59</v>
      </c>
    </row>
    <row r="4" spans="2:7" ht="14" customHeight="1" x14ac:dyDescent="0.3">
      <c r="B4" s="8" t="s">
        <v>60</v>
      </c>
      <c r="C4" s="9"/>
      <c r="D4" s="9"/>
      <c r="E4" s="9"/>
      <c r="F4" s="9"/>
      <c r="G4" s="9"/>
    </row>
    <row r="5" spans="2:7" ht="14" customHeight="1" x14ac:dyDescent="0.3">
      <c r="B5" s="4" t="s">
        <v>61</v>
      </c>
      <c r="C5" s="7">
        <v>4.4499999999999998E-2</v>
      </c>
    </row>
    <row r="6" spans="2:7" ht="14" customHeight="1" x14ac:dyDescent="0.3">
      <c r="B6" s="4" t="s">
        <v>62</v>
      </c>
      <c r="C6" s="7">
        <v>0.25</v>
      </c>
    </row>
    <row r="7" spans="2:7" ht="14" customHeight="1" x14ac:dyDescent="0.3">
      <c r="B7" s="4" t="s">
        <v>63</v>
      </c>
      <c r="C7" s="7">
        <v>2.8899999999999999E-2</v>
      </c>
    </row>
    <row r="8" spans="2:7" ht="14" customHeight="1" x14ac:dyDescent="0.3">
      <c r="B8" s="4" t="s">
        <v>64</v>
      </c>
      <c r="C8" s="12">
        <v>0.98</v>
      </c>
    </row>
    <row r="9" spans="2:7" ht="14" customHeight="1" x14ac:dyDescent="0.3">
      <c r="B9" s="4" t="s">
        <v>65</v>
      </c>
      <c r="C9" s="7">
        <v>6.5000000000000002E-2</v>
      </c>
    </row>
    <row r="10" spans="2:7" ht="14" customHeight="1" x14ac:dyDescent="0.3">
      <c r="B10" s="4" t="s">
        <v>66</v>
      </c>
      <c r="C10" s="7">
        <v>0.04</v>
      </c>
    </row>
    <row r="11" spans="2:7" ht="14" customHeight="1" x14ac:dyDescent="0.3">
      <c r="B11" s="4" t="s">
        <v>67</v>
      </c>
      <c r="C11" s="7">
        <v>0.01</v>
      </c>
    </row>
    <row r="12" spans="2:7" ht="14" customHeight="1" x14ac:dyDescent="0.3">
      <c r="B12" s="4" t="s">
        <v>68</v>
      </c>
      <c r="C12" s="13">
        <v>9.5899999999999999E-2</v>
      </c>
    </row>
    <row r="13" spans="2:7" ht="14" customHeight="1" x14ac:dyDescent="0.3">
      <c r="B13" s="4" t="s">
        <v>69</v>
      </c>
      <c r="C13" s="7">
        <v>0.01</v>
      </c>
    </row>
    <row r="14" spans="2:7" ht="14" customHeight="1" x14ac:dyDescent="0.3">
      <c r="B14" s="4" t="s">
        <v>70</v>
      </c>
      <c r="C14" s="14">
        <v>5.5</v>
      </c>
    </row>
    <row r="15" spans="2:7" ht="14" customHeight="1" x14ac:dyDescent="0.3">
      <c r="B15" s="4" t="s">
        <v>71</v>
      </c>
      <c r="C15" s="15">
        <v>4241897</v>
      </c>
    </row>
    <row r="16" spans="2:7" ht="14" customHeight="1" x14ac:dyDescent="0.3">
      <c r="B16" s="4" t="s">
        <v>72</v>
      </c>
      <c r="C16" s="5">
        <v>1124</v>
      </c>
    </row>
    <row r="17" spans="2:7" ht="14" customHeight="1" x14ac:dyDescent="0.3">
      <c r="B17" s="4" t="s">
        <v>73</v>
      </c>
      <c r="C17" s="5">
        <v>14365</v>
      </c>
    </row>
    <row r="18" spans="2:7" ht="14" customHeight="1" x14ac:dyDescent="0.3">
      <c r="B18" s="4" t="s">
        <v>74</v>
      </c>
      <c r="C18" s="7">
        <v>4.2700000000000002E-2</v>
      </c>
    </row>
    <row r="19" spans="2:7" ht="14" customHeight="1" x14ac:dyDescent="0.3">
      <c r="B19" s="4" t="s">
        <v>75</v>
      </c>
      <c r="C19" s="12">
        <v>0.92</v>
      </c>
    </row>
    <row r="20" spans="2:7" ht="14" customHeight="1" x14ac:dyDescent="0.3">
      <c r="B20" s="4" t="s">
        <v>76</v>
      </c>
      <c r="C20" s="5">
        <v>14120</v>
      </c>
    </row>
    <row r="22" spans="2:7" ht="14" customHeight="1" x14ac:dyDescent="0.3">
      <c r="B22" s="8" t="s">
        <v>77</v>
      </c>
      <c r="C22" s="9"/>
      <c r="D22" s="9"/>
      <c r="E22" s="9"/>
      <c r="F22" s="9"/>
      <c r="G22" s="9"/>
    </row>
    <row r="23" spans="2:7" ht="14" customHeight="1" x14ac:dyDescent="0.3">
      <c r="B23" s="4" t="s">
        <v>78</v>
      </c>
      <c r="C23" s="16">
        <f>C7+C8*C9+C10</f>
        <v>0.1326</v>
      </c>
    </row>
    <row r="24" spans="2:7" ht="14" customHeight="1" x14ac:dyDescent="0.3">
      <c r="B24" s="4" t="s">
        <v>79</v>
      </c>
      <c r="C24" s="16">
        <f>1/(1+C12)</f>
        <v>0.9124920156948626</v>
      </c>
    </row>
    <row r="25" spans="2:7" ht="14" customHeight="1" x14ac:dyDescent="0.3">
      <c r="B25" s="4" t="s">
        <v>80</v>
      </c>
      <c r="C25" s="16">
        <f>C12/(1+C12)</f>
        <v>8.7507984305137315E-2</v>
      </c>
    </row>
    <row r="26" spans="2:7" ht="14" customHeight="1" x14ac:dyDescent="0.3">
      <c r="B26" s="4" t="s">
        <v>81</v>
      </c>
      <c r="C26" s="16">
        <f>C23*C24+C11*C25</f>
        <v>0.12187152112419015</v>
      </c>
    </row>
    <row r="27" spans="2:7" ht="14" customHeight="1" x14ac:dyDescent="0.3">
      <c r="B27" s="4" t="s">
        <v>82</v>
      </c>
      <c r="C27" s="17" t="s">
        <v>83</v>
      </c>
      <c r="D27" s="6">
        <f>MATCH(C27,B69:B73,0)</f>
        <v>1</v>
      </c>
    </row>
    <row r="28" spans="2:7" ht="14" customHeight="1" x14ac:dyDescent="0.3">
      <c r="B28" s="8" t="s">
        <v>84</v>
      </c>
      <c r="C28" s="9"/>
      <c r="D28" s="9"/>
      <c r="E28" s="9"/>
      <c r="F28" s="9"/>
      <c r="G28" s="9"/>
    </row>
    <row r="29" spans="2:7" ht="14" customHeight="1" x14ac:dyDescent="0.3">
      <c r="C29" s="10" t="s">
        <v>85</v>
      </c>
      <c r="D29" s="10" t="s">
        <v>86</v>
      </c>
      <c r="E29" s="10" t="s">
        <v>87</v>
      </c>
      <c r="F29" s="10" t="s">
        <v>88</v>
      </c>
      <c r="G29" s="10" t="s">
        <v>89</v>
      </c>
    </row>
    <row r="30" spans="2:7" ht="14" customHeight="1" x14ac:dyDescent="0.3">
      <c r="B30" s="4" t="s">
        <v>45</v>
      </c>
      <c r="C30" s="18">
        <f>CHOOSE($D$27,C69,C70,C71,C72,C73)</f>
        <v>0.08</v>
      </c>
      <c r="D30" s="18">
        <f>CHOOSE($D$27,D69,D70,D71,D72,D73)</f>
        <v>0.06</v>
      </c>
      <c r="E30" s="18">
        <f>CHOOSE($D$27,E69,E70,E71,E72,E73)</f>
        <v>0.05</v>
      </c>
      <c r="F30" s="18">
        <f>CHOOSE($D$27,F69,F70,F71,F72,F73)</f>
        <v>0.04</v>
      </c>
      <c r="G30" s="18">
        <f>CHOOSE($D$27,G69,G70,G71,G72,G73)</f>
        <v>0.03</v>
      </c>
    </row>
    <row r="31" spans="2:7" ht="14" customHeight="1" x14ac:dyDescent="0.3">
      <c r="B31" s="4" t="s">
        <v>90</v>
      </c>
      <c r="C31" s="18">
        <f>CHOOSE($D$27,C76,C77,C78,C79,C80)</f>
        <v>0.77</v>
      </c>
      <c r="D31" s="18">
        <f>CHOOSE($D$27,D76,D77,D78,D79,D80)</f>
        <v>0.77500000000000002</v>
      </c>
      <c r="E31" s="18">
        <f>CHOOSE($D$27,E76,E77,E78,E79,E80)</f>
        <v>0.77500000000000002</v>
      </c>
      <c r="F31" s="18">
        <f>CHOOSE($D$27,F76,F77,F78,F79,F80)</f>
        <v>0.77500000000000002</v>
      </c>
      <c r="G31" s="18">
        <f>CHOOSE($D$27,G76,G77,G78,G79,G80)</f>
        <v>0.77500000000000002</v>
      </c>
    </row>
    <row r="32" spans="2:7" ht="14" customHeight="1" x14ac:dyDescent="0.3">
      <c r="B32" s="4" t="s">
        <v>91</v>
      </c>
      <c r="C32" s="18">
        <f>CHOOSE($D$27,C83,C84,C85,C86,C87)</f>
        <v>9.7000000000000003E-2</v>
      </c>
      <c r="D32" s="18">
        <f>CHOOSE($D$27,D83,D84,D85,D86,D87)</f>
        <v>9.4299999999999995E-2</v>
      </c>
      <c r="E32" s="18">
        <f>CHOOSE($D$27,E83,E84,E85,E86,E87)</f>
        <v>9.2499999999999999E-2</v>
      </c>
      <c r="F32" s="18">
        <f>CHOOSE($D$27,F83,F84,F85,F86,F87)</f>
        <v>9.1600000000000001E-2</v>
      </c>
      <c r="G32" s="18">
        <f>CHOOSE($D$27,G83,G84,G85,G86,G87)</f>
        <v>9.1600000000000001E-2</v>
      </c>
    </row>
    <row r="33" spans="2:7" ht="14" customHeight="1" x14ac:dyDescent="0.3">
      <c r="B33" s="4" t="s">
        <v>36</v>
      </c>
      <c r="C33" s="5">
        <f>C17*(1+C30)</f>
        <v>15514.2</v>
      </c>
      <c r="D33" s="5">
        <f>C33*(1+D30)</f>
        <v>16445.052000000003</v>
      </c>
      <c r="E33" s="5">
        <f>D33*(1+E30)</f>
        <v>17267.304600000003</v>
      </c>
      <c r="F33" s="5">
        <f>E33*(1+F30)</f>
        <v>17957.996784000003</v>
      </c>
      <c r="G33" s="5">
        <f>F33*(1+G30)</f>
        <v>18496.736687520002</v>
      </c>
    </row>
    <row r="34" spans="2:7" ht="14" customHeight="1" x14ac:dyDescent="0.3">
      <c r="B34" s="4" t="s">
        <v>37</v>
      </c>
      <c r="C34" s="5">
        <f>C33*C31</f>
        <v>11945.934000000001</v>
      </c>
      <c r="D34" s="5">
        <f>D33*D31</f>
        <v>12744.915300000002</v>
      </c>
      <c r="E34" s="5">
        <f>E33*E31</f>
        <v>13382.161065000002</v>
      </c>
      <c r="F34" s="5">
        <f>F33*F31</f>
        <v>13917.447507600002</v>
      </c>
      <c r="G34" s="5">
        <f>G33*G31</f>
        <v>14334.970932828002</v>
      </c>
    </row>
    <row r="35" spans="2:7" ht="14" customHeight="1" x14ac:dyDescent="0.3">
      <c r="B35" s="4" t="s">
        <v>38</v>
      </c>
      <c r="C35" s="19">
        <f>C33-C34</f>
        <v>3568.2659999999996</v>
      </c>
      <c r="D35" s="19">
        <f>D33-D34</f>
        <v>3700.1367000000009</v>
      </c>
      <c r="E35" s="19">
        <f>E33-E34</f>
        <v>3885.1435350000011</v>
      </c>
      <c r="F35" s="19">
        <f>F33-F34</f>
        <v>4040.549276400001</v>
      </c>
      <c r="G35" s="19">
        <f>G33-G34</f>
        <v>4161.765754692</v>
      </c>
    </row>
    <row r="36" spans="2:7" ht="14" customHeight="1" x14ac:dyDescent="0.3">
      <c r="B36" s="4" t="s">
        <v>39</v>
      </c>
      <c r="C36" s="7">
        <f>C35/C33</f>
        <v>0.22999999999999995</v>
      </c>
      <c r="D36" s="7">
        <f>D35/D33</f>
        <v>0.22500000000000001</v>
      </c>
      <c r="E36" s="7">
        <f>E35/E33</f>
        <v>0.22500000000000003</v>
      </c>
      <c r="F36" s="7">
        <f>F35/F33</f>
        <v>0.22500000000000003</v>
      </c>
      <c r="G36" s="7">
        <f>G35/G33</f>
        <v>0.22499999999999998</v>
      </c>
    </row>
    <row r="37" spans="2:7" ht="14" customHeight="1" x14ac:dyDescent="0.3">
      <c r="B37" s="4" t="s">
        <v>92</v>
      </c>
      <c r="C37" s="5">
        <f>C33*C32</f>
        <v>1504.8774000000001</v>
      </c>
      <c r="D37" s="5">
        <f>D33*D32</f>
        <v>1550.7684036000003</v>
      </c>
      <c r="E37" s="5">
        <f>E33*E32</f>
        <v>1597.2256755000003</v>
      </c>
      <c r="F37" s="5">
        <f>F33*F32</f>
        <v>1644.9525054144003</v>
      </c>
      <c r="G37" s="5">
        <f>G33*G32</f>
        <v>1694.3010805768322</v>
      </c>
    </row>
    <row r="38" spans="2:7" ht="14" customHeight="1" x14ac:dyDescent="0.3">
      <c r="B38" s="4" t="s">
        <v>93</v>
      </c>
      <c r="C38" s="7">
        <f>(C35-C37)/C33</f>
        <v>0.13299999999999995</v>
      </c>
      <c r="D38" s="7">
        <f>(D35-D37)/D33</f>
        <v>0.13070000000000004</v>
      </c>
      <c r="E38" s="7">
        <f>(E35-E37)/E33</f>
        <v>0.13250000000000001</v>
      </c>
      <c r="F38" s="7">
        <f>(F35-F37)/F33</f>
        <v>0.13339999999999999</v>
      </c>
      <c r="G38" s="7">
        <f>(G35-G37)/G33</f>
        <v>0.13339999999999996</v>
      </c>
    </row>
    <row r="39" spans="2:7" ht="14" customHeight="1" x14ac:dyDescent="0.3">
      <c r="B39" s="4" t="s">
        <v>94</v>
      </c>
      <c r="C39" s="19">
        <f>C35-C37</f>
        <v>2063.3885999999993</v>
      </c>
      <c r="D39" s="19">
        <f>D35-D37</f>
        <v>2149.3682964000009</v>
      </c>
      <c r="E39" s="19">
        <f>E35-E37</f>
        <v>2287.9178595000008</v>
      </c>
      <c r="F39" s="19">
        <f>F35-F37</f>
        <v>2395.5967709856004</v>
      </c>
      <c r="G39" s="19">
        <f>G35-G37</f>
        <v>2467.4646741151678</v>
      </c>
    </row>
    <row r="40" spans="2:7" ht="14" customHeight="1" x14ac:dyDescent="0.3">
      <c r="B40" s="4" t="s">
        <v>95</v>
      </c>
      <c r="C40" s="5">
        <f>MAX(0,C39*C6)</f>
        <v>515.84714999999983</v>
      </c>
      <c r="D40" s="5">
        <f>MAX(0,D39*C6)</f>
        <v>537.34207410000022</v>
      </c>
      <c r="E40" s="5">
        <f>MAX(0,E39*C6)</f>
        <v>571.97946487500019</v>
      </c>
      <c r="F40" s="5">
        <f>MAX(0,F39*C6)</f>
        <v>598.8991927464001</v>
      </c>
      <c r="G40" s="5">
        <f>MAX(0,G39*C6)</f>
        <v>616.86616852879195</v>
      </c>
    </row>
    <row r="41" spans="2:7" ht="14" customHeight="1" x14ac:dyDescent="0.3">
      <c r="B41" s="4" t="s">
        <v>96</v>
      </c>
      <c r="C41" s="19">
        <f>C39-C40</f>
        <v>1547.5414499999995</v>
      </c>
      <c r="D41" s="19">
        <f>D39-D40</f>
        <v>1612.0262223000007</v>
      </c>
      <c r="E41" s="19">
        <f>E39-E40</f>
        <v>1715.9383946250005</v>
      </c>
      <c r="F41" s="19">
        <f>F39-F40</f>
        <v>1796.6975782392003</v>
      </c>
      <c r="G41" s="19">
        <f>G39-G40</f>
        <v>1850.5985055863757</v>
      </c>
    </row>
    <row r="42" spans="2:7" ht="14" customHeight="1" x14ac:dyDescent="0.3">
      <c r="B42" s="4" t="s">
        <v>97</v>
      </c>
      <c r="C42" s="5">
        <v>520</v>
      </c>
      <c r="D42" s="5">
        <v>550</v>
      </c>
      <c r="E42" s="5">
        <v>580</v>
      </c>
      <c r="F42" s="5">
        <v>600</v>
      </c>
      <c r="G42" s="5">
        <v>615</v>
      </c>
    </row>
    <row r="43" spans="2:7" ht="14" customHeight="1" x14ac:dyDescent="0.3">
      <c r="B43" s="4" t="s">
        <v>98</v>
      </c>
      <c r="C43" s="5">
        <v>720</v>
      </c>
      <c r="D43" s="5">
        <v>700</v>
      </c>
      <c r="E43" s="5">
        <v>680</v>
      </c>
      <c r="F43" s="5">
        <v>660</v>
      </c>
      <c r="G43" s="5">
        <v>640</v>
      </c>
    </row>
    <row r="44" spans="2:7" ht="14" customHeight="1" x14ac:dyDescent="0.3">
      <c r="B44" s="4" t="s">
        <v>99</v>
      </c>
      <c r="C44" s="5">
        <f>'NWC Schedule'!D19</f>
        <v>416.77496986301412</v>
      </c>
      <c r="D44" s="5">
        <f>'NWC Schedule'!E19</f>
        <v>321.37771561643876</v>
      </c>
      <c r="E44" s="5">
        <f>'NWC Schedule'!F19</f>
        <v>203.42304049315135</v>
      </c>
      <c r="F44" s="5">
        <f>'NWC Schedule'!G19</f>
        <v>191.12304269588913</v>
      </c>
      <c r="G44" s="5">
        <f>'NWC Schedule'!H19</f>
        <v>127.72317712675249</v>
      </c>
    </row>
    <row r="45" spans="2:7" ht="14" customHeight="1" x14ac:dyDescent="0.3">
      <c r="B45" s="4" t="s">
        <v>100</v>
      </c>
      <c r="C45" s="20">
        <f>C41+C42-C43-C44</f>
        <v>930.76648013698559</v>
      </c>
      <c r="D45" s="20">
        <f>D41+D42-D43-D44</f>
        <v>1140.6485066835621</v>
      </c>
      <c r="E45" s="20">
        <f>E41+E42-E43-E44</f>
        <v>1412.5153541318491</v>
      </c>
      <c r="F45" s="20">
        <f>F41+F42-F43-F44</f>
        <v>1545.574535543311</v>
      </c>
      <c r="G45" s="20">
        <f>G41+G42-G43-G44</f>
        <v>1697.8753284596232</v>
      </c>
    </row>
    <row r="46" spans="2:7" ht="14" customHeight="1" x14ac:dyDescent="0.3">
      <c r="B46" s="4" t="s">
        <v>101</v>
      </c>
      <c r="C46" s="21">
        <f>1/(1+C26)^(C19+0)</f>
        <v>0.89960596481256139</v>
      </c>
      <c r="D46" s="21">
        <f>1/(1+C26)^(C19+1)</f>
        <v>0.80187966970682711</v>
      </c>
      <c r="E46" s="21">
        <f>1/(1+C26)^(C19+2)</f>
        <v>0.71476961007379025</v>
      </c>
      <c r="F46" s="21">
        <f>1/(1+C26)^(C19+3)</f>
        <v>0.6371225194820378</v>
      </c>
      <c r="G46" s="21">
        <f>1/(1+C26)^(C19+4)</f>
        <v>0.56791041352364346</v>
      </c>
    </row>
    <row r="47" spans="2:7" ht="14" customHeight="1" x14ac:dyDescent="0.3">
      <c r="B47" s="4" t="s">
        <v>102</v>
      </c>
      <c r="C47" s="19">
        <f>C45*C46</f>
        <v>837.32307737882468</v>
      </c>
      <c r="D47" s="19">
        <f>D45*D46</f>
        <v>914.66284779100033</v>
      </c>
      <c r="E47" s="19">
        <f>E45*E46</f>
        <v>1009.6230488960636</v>
      </c>
      <c r="F47" s="19">
        <f>F45*F46</f>
        <v>984.72034213263464</v>
      </c>
      <c r="G47" s="19">
        <f>G45*G46</f>
        <v>964.2410798970966</v>
      </c>
    </row>
    <row r="49" spans="2:7" ht="14" customHeight="1" x14ac:dyDescent="0.3">
      <c r="B49" s="22" t="s">
        <v>103</v>
      </c>
      <c r="C49" s="23"/>
      <c r="D49" s="23"/>
      <c r="E49" s="23"/>
      <c r="F49" s="23"/>
      <c r="G49" s="23"/>
    </row>
    <row r="50" spans="2:7" ht="14" customHeight="1" x14ac:dyDescent="0.3">
      <c r="B50" s="4" t="s">
        <v>104</v>
      </c>
      <c r="C50" s="5">
        <f>SUM(C47:G47)</f>
        <v>4710.5703960956198</v>
      </c>
    </row>
    <row r="51" spans="2:7" ht="14" customHeight="1" x14ac:dyDescent="0.3">
      <c r="B51" s="4" t="s">
        <v>105</v>
      </c>
      <c r="C51" s="5">
        <f>G45*(1+C13)/(C26-C13)</f>
        <v>15328.781306553754</v>
      </c>
    </row>
    <row r="52" spans="2:7" ht="14" customHeight="1" x14ac:dyDescent="0.3">
      <c r="B52" s="4" t="s">
        <v>106</v>
      </c>
      <c r="C52" s="5">
        <f>C51*G46</f>
        <v>8705.3745306184373</v>
      </c>
    </row>
    <row r="53" spans="2:7" ht="14" customHeight="1" x14ac:dyDescent="0.3">
      <c r="B53" s="4" t="s">
        <v>107</v>
      </c>
      <c r="C53" s="5">
        <f>C50+C52</f>
        <v>13415.944926714057</v>
      </c>
    </row>
    <row r="54" spans="2:7" ht="14" customHeight="1" x14ac:dyDescent="0.3">
      <c r="B54" s="4" t="s">
        <v>108</v>
      </c>
      <c r="C54" s="5">
        <f>C53-C16</f>
        <v>12291.944926714057</v>
      </c>
    </row>
    <row r="55" spans="2:7" ht="14" customHeight="1" x14ac:dyDescent="0.3">
      <c r="B55" s="4" t="s">
        <v>109</v>
      </c>
      <c r="C55" s="24">
        <f>ROUND(C54*1000000/C15,0)</f>
        <v>2898</v>
      </c>
    </row>
    <row r="57" spans="2:7" ht="14" customHeight="1" x14ac:dyDescent="0.3">
      <c r="B57" s="22" t="s">
        <v>110</v>
      </c>
      <c r="C57" s="23"/>
      <c r="D57" s="23"/>
      <c r="E57" s="23"/>
      <c r="F57" s="23"/>
      <c r="G57" s="23"/>
    </row>
    <row r="58" spans="2:7" ht="14" customHeight="1" x14ac:dyDescent="0.3">
      <c r="B58" s="4" t="s">
        <v>104</v>
      </c>
      <c r="C58" s="5">
        <f>C50</f>
        <v>4710.5703960956198</v>
      </c>
    </row>
    <row r="59" spans="2:7" ht="14" customHeight="1" x14ac:dyDescent="0.3">
      <c r="B59" s="4" t="s">
        <v>111</v>
      </c>
      <c r="C59" s="5">
        <f>G39+G42</f>
        <v>3082.4646741151678</v>
      </c>
    </row>
    <row r="60" spans="2:7" ht="14" customHeight="1" x14ac:dyDescent="0.3">
      <c r="B60" s="4" t="s">
        <v>112</v>
      </c>
      <c r="C60" s="5">
        <f>C59*C14</f>
        <v>16953.555707633423</v>
      </c>
    </row>
    <row r="61" spans="2:7" ht="14" customHeight="1" x14ac:dyDescent="0.3">
      <c r="B61" s="4" t="s">
        <v>106</v>
      </c>
      <c r="C61" s="5">
        <f>C60*G46</f>
        <v>9628.1008326182236</v>
      </c>
    </row>
    <row r="62" spans="2:7" ht="14" customHeight="1" x14ac:dyDescent="0.3">
      <c r="B62" s="4" t="s">
        <v>107</v>
      </c>
      <c r="C62" s="5">
        <f>C58+C61</f>
        <v>14338.671228713843</v>
      </c>
    </row>
    <row r="63" spans="2:7" ht="14" customHeight="1" x14ac:dyDescent="0.3">
      <c r="B63" s="4" t="s">
        <v>108</v>
      </c>
      <c r="C63" s="5">
        <f>C62-C16</f>
        <v>13214.671228713843</v>
      </c>
    </row>
    <row r="64" spans="2:7" ht="14" customHeight="1" x14ac:dyDescent="0.3">
      <c r="B64" s="4" t="s">
        <v>113</v>
      </c>
      <c r="C64" s="24">
        <f>ROUND(C63*1000000/C15,0)</f>
        <v>3115</v>
      </c>
    </row>
    <row r="66" spans="2:7" ht="14" customHeight="1" x14ac:dyDescent="0.3">
      <c r="B66" s="22" t="s">
        <v>114</v>
      </c>
      <c r="C66" s="23"/>
      <c r="D66" s="23"/>
      <c r="E66" s="23"/>
      <c r="F66" s="23"/>
      <c r="G66" s="23"/>
    </row>
    <row r="67" spans="2:7" ht="14" customHeight="1" x14ac:dyDescent="0.3">
      <c r="C67" s="25" t="s">
        <v>115</v>
      </c>
      <c r="D67" s="25" t="s">
        <v>116</v>
      </c>
      <c r="E67" s="25" t="s">
        <v>117</v>
      </c>
      <c r="F67" s="25" t="s">
        <v>118</v>
      </c>
      <c r="G67" s="25" t="s">
        <v>119</v>
      </c>
    </row>
    <row r="68" spans="2:7" ht="14" customHeight="1" x14ac:dyDescent="0.3">
      <c r="B68" s="3" t="s">
        <v>45</v>
      </c>
    </row>
    <row r="69" spans="2:7" ht="14" customHeight="1" x14ac:dyDescent="0.3">
      <c r="B69" s="4" t="s">
        <v>83</v>
      </c>
      <c r="C69" s="26">
        <v>0.08</v>
      </c>
      <c r="D69" s="26">
        <v>0.06</v>
      </c>
      <c r="E69" s="26">
        <v>0.05</v>
      </c>
      <c r="F69" s="26">
        <v>0.04</v>
      </c>
      <c r="G69" s="26">
        <v>0.03</v>
      </c>
    </row>
    <row r="70" spans="2:7" ht="14" customHeight="1" x14ac:dyDescent="0.3">
      <c r="B70" s="4" t="s">
        <v>120</v>
      </c>
      <c r="C70" s="26">
        <v>0.15</v>
      </c>
      <c r="D70" s="26">
        <v>0.12</v>
      </c>
      <c r="E70" s="26">
        <v>0.1</v>
      </c>
      <c r="F70" s="26">
        <v>0.08</v>
      </c>
      <c r="G70" s="26">
        <v>0.06</v>
      </c>
    </row>
    <row r="71" spans="2:7" ht="14" customHeight="1" x14ac:dyDescent="0.3">
      <c r="B71" s="4" t="s">
        <v>121</v>
      </c>
      <c r="C71" s="26">
        <v>0.12</v>
      </c>
      <c r="D71" s="26">
        <v>0.08</v>
      </c>
      <c r="E71" s="26">
        <v>0.06</v>
      </c>
      <c r="F71" s="26">
        <v>0.05</v>
      </c>
      <c r="G71" s="26">
        <v>0.04</v>
      </c>
    </row>
    <row r="72" spans="2:7" ht="14" customHeight="1" x14ac:dyDescent="0.3">
      <c r="B72" s="4" t="s">
        <v>122</v>
      </c>
      <c r="C72" s="26">
        <v>0.02</v>
      </c>
      <c r="D72" s="26">
        <v>0.01</v>
      </c>
      <c r="E72" s="26">
        <v>0.01</v>
      </c>
      <c r="F72" s="26">
        <v>0.01</v>
      </c>
      <c r="G72" s="26">
        <v>0.01</v>
      </c>
    </row>
    <row r="73" spans="2:7" ht="14" customHeight="1" x14ac:dyDescent="0.3">
      <c r="B73" s="4" t="s">
        <v>123</v>
      </c>
      <c r="C73" s="26">
        <v>-0.12</v>
      </c>
      <c r="D73" s="26">
        <v>-0.06</v>
      </c>
      <c r="E73" s="26">
        <v>0</v>
      </c>
      <c r="F73" s="26">
        <v>0.02</v>
      </c>
      <c r="G73" s="26">
        <v>0.02</v>
      </c>
    </row>
    <row r="75" spans="2:7" ht="14" customHeight="1" x14ac:dyDescent="0.3">
      <c r="B75" s="3" t="s">
        <v>90</v>
      </c>
    </row>
    <row r="76" spans="2:7" ht="14" customHeight="1" x14ac:dyDescent="0.3">
      <c r="B76" s="4" t="s">
        <v>83</v>
      </c>
      <c r="C76" s="26">
        <v>0.77</v>
      </c>
      <c r="D76" s="26">
        <v>0.77500000000000002</v>
      </c>
      <c r="E76" s="26">
        <v>0.77500000000000002</v>
      </c>
      <c r="F76" s="26">
        <v>0.77500000000000002</v>
      </c>
      <c r="G76" s="26">
        <v>0.77500000000000002</v>
      </c>
    </row>
    <row r="77" spans="2:7" ht="14" customHeight="1" x14ac:dyDescent="0.3">
      <c r="B77" s="4" t="s">
        <v>120</v>
      </c>
      <c r="C77" s="26">
        <v>0.75</v>
      </c>
      <c r="D77" s="26">
        <v>0.745</v>
      </c>
      <c r="E77" s="26">
        <v>0.745</v>
      </c>
      <c r="F77" s="26">
        <v>0.745</v>
      </c>
      <c r="G77" s="26">
        <v>0.745</v>
      </c>
    </row>
    <row r="78" spans="2:7" ht="14" customHeight="1" x14ac:dyDescent="0.3">
      <c r="B78" s="4" t="s">
        <v>121</v>
      </c>
      <c r="C78" s="26">
        <v>0.76</v>
      </c>
      <c r="D78" s="26">
        <v>0.76</v>
      </c>
      <c r="E78" s="26">
        <v>0.76</v>
      </c>
      <c r="F78" s="26">
        <v>0.76</v>
      </c>
      <c r="G78" s="26">
        <v>0.76</v>
      </c>
    </row>
    <row r="79" spans="2:7" ht="14" customHeight="1" x14ac:dyDescent="0.3">
      <c r="B79" s="4" t="s">
        <v>122</v>
      </c>
      <c r="C79" s="26">
        <v>0.79</v>
      </c>
      <c r="D79" s="26">
        <v>0.79700000000000004</v>
      </c>
      <c r="E79" s="26">
        <v>0.8</v>
      </c>
      <c r="F79" s="26">
        <v>0.8</v>
      </c>
      <c r="G79" s="26">
        <v>0.8</v>
      </c>
    </row>
    <row r="80" spans="2:7" ht="14" customHeight="1" x14ac:dyDescent="0.3">
      <c r="B80" s="4" t="s">
        <v>123</v>
      </c>
      <c r="C80" s="26">
        <v>0.81</v>
      </c>
      <c r="D80" s="26">
        <v>0.82499999999999996</v>
      </c>
      <c r="E80" s="26">
        <v>0.83</v>
      </c>
      <c r="F80" s="26">
        <v>0.82499999999999996</v>
      </c>
      <c r="G80" s="26">
        <v>0.82</v>
      </c>
    </row>
    <row r="82" spans="2:7" ht="14" customHeight="1" x14ac:dyDescent="0.3">
      <c r="B82" s="3" t="s">
        <v>91</v>
      </c>
    </row>
    <row r="83" spans="2:7" ht="14" customHeight="1" x14ac:dyDescent="0.3">
      <c r="B83" s="4" t="s">
        <v>83</v>
      </c>
      <c r="C83" s="26">
        <v>9.7000000000000003E-2</v>
      </c>
      <c r="D83" s="26">
        <v>9.4299999999999995E-2</v>
      </c>
      <c r="E83" s="26">
        <v>9.2499999999999999E-2</v>
      </c>
      <c r="F83" s="26">
        <v>9.1600000000000001E-2</v>
      </c>
      <c r="G83" s="26">
        <v>9.1600000000000001E-2</v>
      </c>
    </row>
    <row r="84" spans="2:7" ht="14" customHeight="1" x14ac:dyDescent="0.3">
      <c r="B84" s="4" t="s">
        <v>120</v>
      </c>
      <c r="C84" s="26">
        <v>9.2899999999999996E-2</v>
      </c>
      <c r="D84" s="26">
        <v>8.7099999999999997E-2</v>
      </c>
      <c r="E84" s="26">
        <v>8.3099999999999993E-2</v>
      </c>
      <c r="F84" s="26">
        <v>8.0799999999999997E-2</v>
      </c>
      <c r="G84" s="26">
        <v>0.08</v>
      </c>
    </row>
    <row r="85" spans="2:7" ht="14" customHeight="1" x14ac:dyDescent="0.3">
      <c r="B85" s="4" t="s">
        <v>121</v>
      </c>
      <c r="C85" s="26">
        <v>9.4500000000000001E-2</v>
      </c>
      <c r="D85" s="26">
        <v>9.0999999999999998E-2</v>
      </c>
      <c r="E85" s="26">
        <v>8.9200000000000002E-2</v>
      </c>
      <c r="F85" s="26">
        <v>8.8400000000000006E-2</v>
      </c>
      <c r="G85" s="26">
        <v>8.8400000000000006E-2</v>
      </c>
    </row>
    <row r="86" spans="2:7" ht="14" customHeight="1" x14ac:dyDescent="0.3">
      <c r="B86" s="4" t="s">
        <v>122</v>
      </c>
      <c r="C86" s="26">
        <v>0.1012</v>
      </c>
      <c r="D86" s="26">
        <v>0.1017</v>
      </c>
      <c r="E86" s="26">
        <v>0.1022</v>
      </c>
      <c r="F86" s="26">
        <v>0.1027</v>
      </c>
      <c r="G86" s="26">
        <v>0.1032</v>
      </c>
    </row>
    <row r="87" spans="2:7" ht="14" customHeight="1" x14ac:dyDescent="0.3">
      <c r="B87" s="4" t="s">
        <v>123</v>
      </c>
      <c r="C87" s="26">
        <v>0.1133</v>
      </c>
      <c r="D87" s="26">
        <v>0.1181</v>
      </c>
      <c r="E87" s="26">
        <v>0.1157</v>
      </c>
      <c r="F87" s="26">
        <v>0.11119999999999999</v>
      </c>
      <c r="G87" s="26">
        <v>0.10680000000000001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124</v>
      </c>
    </row>
    <row r="3" spans="2:9" ht="14" customHeight="1" x14ac:dyDescent="0.3">
      <c r="B3" s="1" t="s">
        <v>125</v>
      </c>
    </row>
    <row r="5" spans="2:9" ht="14" customHeight="1" x14ac:dyDescent="0.3">
      <c r="B5" s="8" t="s">
        <v>126</v>
      </c>
      <c r="C5" s="9"/>
      <c r="D5" s="9"/>
      <c r="E5" s="9"/>
      <c r="F5" s="9"/>
      <c r="G5" s="9"/>
      <c r="H5" s="9"/>
      <c r="I5" s="9"/>
    </row>
    <row r="6" spans="2:9" ht="14" customHeight="1" x14ac:dyDescent="0.3">
      <c r="B6" s="4" t="s">
        <v>127</v>
      </c>
      <c r="C6" s="15">
        <f>'Executive Summary'!C9</f>
        <v>2764</v>
      </c>
    </row>
    <row r="7" spans="2:9" ht="14" customHeight="1" x14ac:dyDescent="0.3">
      <c r="B7" s="4" t="s">
        <v>71</v>
      </c>
      <c r="C7" s="15">
        <f>'DCF Model'!C15</f>
        <v>4241897</v>
      </c>
    </row>
    <row r="8" spans="2:9" ht="14" customHeight="1" x14ac:dyDescent="0.3">
      <c r="B8" s="4" t="s">
        <v>128</v>
      </c>
      <c r="C8" s="5">
        <f>C6*C7/1000000</f>
        <v>11724.603308</v>
      </c>
    </row>
    <row r="9" spans="2:9" ht="14" customHeight="1" x14ac:dyDescent="0.3">
      <c r="B9" s="4" t="s">
        <v>72</v>
      </c>
      <c r="C9" s="5">
        <f>'DCF Model'!C16</f>
        <v>1124</v>
      </c>
    </row>
    <row r="10" spans="2:9" ht="14" customHeight="1" x14ac:dyDescent="0.3">
      <c r="B10" s="4" t="s">
        <v>129</v>
      </c>
      <c r="C10" s="5">
        <f>C8+C9</f>
        <v>12848.603308</v>
      </c>
    </row>
    <row r="11" spans="2:9" ht="14" customHeight="1" x14ac:dyDescent="0.3">
      <c r="B11" s="4" t="s">
        <v>130</v>
      </c>
      <c r="C11" s="16">
        <f>'DCF Model'!C26</f>
        <v>0.12187152112419015</v>
      </c>
    </row>
    <row r="12" spans="2:9" ht="14" customHeight="1" x14ac:dyDescent="0.3">
      <c r="B12" s="4" t="s">
        <v>131</v>
      </c>
      <c r="C12" s="16">
        <f>'DCF Model'!C13</f>
        <v>0.01</v>
      </c>
    </row>
    <row r="13" spans="2:9" ht="14" customHeight="1" x14ac:dyDescent="0.3">
      <c r="B13" s="4" t="s">
        <v>132</v>
      </c>
      <c r="C13" s="16">
        <f>'DCF Model'!C6</f>
        <v>0.25</v>
      </c>
    </row>
    <row r="14" spans="2:9" ht="14" customHeight="1" x14ac:dyDescent="0.3">
      <c r="B14" s="4" t="s">
        <v>133</v>
      </c>
      <c r="C14" s="27">
        <v>1943</v>
      </c>
    </row>
    <row r="15" spans="2:9" ht="14" customHeight="1" x14ac:dyDescent="0.3">
      <c r="B15" s="4" t="s">
        <v>134</v>
      </c>
      <c r="C15" s="27">
        <v>2109</v>
      </c>
    </row>
    <row r="16" spans="2:9" ht="14" customHeight="1" x14ac:dyDescent="0.3">
      <c r="B16" s="4" t="s">
        <v>135</v>
      </c>
      <c r="C16" s="5">
        <f>'DCF Model'!G33</f>
        <v>18496.736687520002</v>
      </c>
    </row>
    <row r="17" spans="2:9" ht="14" customHeight="1" x14ac:dyDescent="0.3">
      <c r="B17" s="4" t="s">
        <v>136</v>
      </c>
      <c r="C17" s="5">
        <f>'DCF Model'!C53</f>
        <v>13415.944926714057</v>
      </c>
    </row>
    <row r="18" spans="2:9" ht="14" customHeight="1" x14ac:dyDescent="0.3">
      <c r="B18" s="4" t="s">
        <v>137</v>
      </c>
      <c r="C18" s="26">
        <v>0.1431</v>
      </c>
    </row>
    <row r="19" spans="2:9" ht="14" customHeight="1" x14ac:dyDescent="0.3">
      <c r="B19" s="4" t="s">
        <v>138</v>
      </c>
      <c r="C19" s="5">
        <f>C10-C17</f>
        <v>-567.3416187140574</v>
      </c>
    </row>
    <row r="20" spans="2:9" ht="14" customHeight="1" x14ac:dyDescent="0.3">
      <c r="B20" s="4" t="s">
        <v>139</v>
      </c>
      <c r="C20" s="15">
        <f>IFERROR(ROUND(C19*1000000/C7,0),"N/A")</f>
        <v>-134</v>
      </c>
    </row>
    <row r="22" spans="2:9" ht="14" customHeight="1" x14ac:dyDescent="0.3">
      <c r="B22" s="8" t="s">
        <v>140</v>
      </c>
      <c r="C22" s="9"/>
      <c r="D22" s="9"/>
      <c r="E22" s="9"/>
      <c r="F22" s="9"/>
      <c r="G22" s="9"/>
      <c r="H22" s="9"/>
      <c r="I22" s="9"/>
    </row>
    <row r="23" spans="2:9" ht="14" customHeight="1" x14ac:dyDescent="0.3">
      <c r="B23" s="1" t="s">
        <v>141</v>
      </c>
    </row>
    <row r="24" spans="2:9" ht="14" customHeight="1" x14ac:dyDescent="0.3">
      <c r="B24" s="4" t="s">
        <v>142</v>
      </c>
      <c r="C24" s="5">
        <f>C10*(C11-C12)</f>
        <v>1437.3927963872616</v>
      </c>
    </row>
    <row r="25" spans="2:9" ht="14" customHeight="1" x14ac:dyDescent="0.3">
      <c r="B25" s="4" t="s">
        <v>143</v>
      </c>
      <c r="C25" s="5">
        <f>IFERROR(C24/(1-C13),"N/A")</f>
        <v>1916.5237285163487</v>
      </c>
    </row>
    <row r="26" spans="2:9" ht="13.5" customHeight="1" x14ac:dyDescent="0.25">
      <c r="B26" s="6" t="s">
        <v>144</v>
      </c>
      <c r="C26" s="14">
        <f>IFERROR(C25/C15,"N/A")</f>
        <v>0.90873576506228004</v>
      </c>
    </row>
    <row r="27" spans="2:9" ht="13.5" customHeight="1" x14ac:dyDescent="0.25">
      <c r="B27" s="6" t="s">
        <v>145</v>
      </c>
      <c r="C27" s="14">
        <f>IFERROR(C25/C14,"N/A")</f>
        <v>0.98637350927243883</v>
      </c>
    </row>
    <row r="28" spans="2:9" ht="13.5" customHeight="1" x14ac:dyDescent="0.25">
      <c r="B28" s="6" t="s">
        <v>146</v>
      </c>
      <c r="C28" s="7">
        <f>IFERROR(C25/C16,"N/A")</f>
        <v>0.10361415426373308</v>
      </c>
    </row>
    <row r="29" spans="2:9" ht="13.5" customHeight="1" x14ac:dyDescent="0.25">
      <c r="B29" s="6" t="s">
        <v>147</v>
      </c>
      <c r="C29" s="5">
        <f>IFERROR(C25/C18,"N/A")</f>
        <v>13392.898172720816</v>
      </c>
    </row>
    <row r="32" spans="2:9" ht="14" customHeight="1" x14ac:dyDescent="0.3">
      <c r="B32" s="8" t="s">
        <v>148</v>
      </c>
      <c r="C32" s="9"/>
      <c r="D32" s="9"/>
      <c r="E32" s="9"/>
      <c r="F32" s="9"/>
      <c r="G32" s="9"/>
      <c r="H32" s="9"/>
      <c r="I32" s="9"/>
    </row>
    <row r="33" spans="2:9" ht="14" customHeight="1" x14ac:dyDescent="0.3">
      <c r="B33" s="1" t="s">
        <v>149</v>
      </c>
    </row>
    <row r="34" spans="2:9" ht="14" customHeight="1" x14ac:dyDescent="0.3">
      <c r="B34" s="1" t="s">
        <v>150</v>
      </c>
    </row>
    <row r="36" spans="2:9" ht="14" customHeight="1" x14ac:dyDescent="0.3">
      <c r="B36" s="28" t="s">
        <v>151</v>
      </c>
      <c r="C36" s="28" t="s">
        <v>152</v>
      </c>
      <c r="D36" s="29">
        <f>'DCF Model'!C26-0.02</f>
        <v>0.10187152112419015</v>
      </c>
      <c r="E36" s="29">
        <f>'DCF Model'!C26-0.01</f>
        <v>0.11187152112419016</v>
      </c>
      <c r="F36" s="29">
        <f>'DCF Model'!C26</f>
        <v>0.12187152112419015</v>
      </c>
      <c r="G36" s="29">
        <f>'DCF Model'!C26+0.01</f>
        <v>0.13187152112419015</v>
      </c>
      <c r="H36" s="29">
        <f>'DCF Model'!C26+0.02</f>
        <v>0.14187152112419016</v>
      </c>
    </row>
    <row r="37" spans="2:9" ht="14" customHeight="1" x14ac:dyDescent="0.3">
      <c r="B37" s="3" t="s">
        <v>153</v>
      </c>
    </row>
    <row r="38" spans="2:9" ht="14" customHeight="1" x14ac:dyDescent="0.3">
      <c r="B38" s="4" t="s">
        <v>154</v>
      </c>
      <c r="C38" s="30">
        <v>3</v>
      </c>
      <c r="D38" s="13">
        <f t="shared" ref="D38:H41" si="0">IFERROR((1-(1+D$36)^(-$C38))/D$36-(1+D$36)/(D$36^2*$C38)*(1-($C38+1)/(1+D$36)^$C38+$C38/(1+D$36)^($C38+1)),"N/A")</f>
        <v>0.87957829588294434</v>
      </c>
      <c r="E38" s="13">
        <f t="shared" si="0"/>
        <v>0.86922047917743939</v>
      </c>
      <c r="F38" s="13">
        <f t="shared" si="0"/>
        <v>0.85909055007600377</v>
      </c>
      <c r="G38" s="13">
        <f t="shared" si="0"/>
        <v>0.8491813326554023</v>
      </c>
      <c r="H38" s="13">
        <f t="shared" si="0"/>
        <v>0.83948594180588665</v>
      </c>
    </row>
    <row r="39" spans="2:9" ht="14" customHeight="1" x14ac:dyDescent="0.3">
      <c r="B39" s="4" t="s">
        <v>155</v>
      </c>
      <c r="C39" s="30">
        <v>5</v>
      </c>
      <c r="D39" s="13">
        <f t="shared" si="0"/>
        <v>1.6548963770593468</v>
      </c>
      <c r="E39" s="13">
        <f t="shared" si="0"/>
        <v>1.6267066015042508</v>
      </c>
      <c r="F39" s="13">
        <f t="shared" si="0"/>
        <v>1.5993631084994631</v>
      </c>
      <c r="G39" s="13">
        <f t="shared" si="0"/>
        <v>1.5728310766907818</v>
      </c>
      <c r="H39" s="13">
        <f t="shared" si="0"/>
        <v>1.5470774685984874</v>
      </c>
    </row>
    <row r="40" spans="2:9" ht="14" customHeight="1" x14ac:dyDescent="0.3">
      <c r="B40" s="4" t="s">
        <v>156</v>
      </c>
      <c r="C40" s="30">
        <v>7</v>
      </c>
      <c r="D40" s="13">
        <f t="shared" si="0"/>
        <v>2.3398130927839138</v>
      </c>
      <c r="E40" s="13">
        <f t="shared" si="0"/>
        <v>2.2885603926071245</v>
      </c>
      <c r="F40" s="13">
        <f t="shared" si="0"/>
        <v>2.2392354219995778</v>
      </c>
      <c r="G40" s="13">
        <f t="shared" si="0"/>
        <v>2.1917410333776468</v>
      </c>
      <c r="H40" s="13">
        <f t="shared" si="0"/>
        <v>2.1459860586363861</v>
      </c>
    </row>
    <row r="41" spans="2:9" ht="14" customHeight="1" x14ac:dyDescent="0.3">
      <c r="B41" s="4" t="s">
        <v>157</v>
      </c>
      <c r="C41" s="30">
        <v>10</v>
      </c>
      <c r="D41" s="13">
        <f t="shared" si="0"/>
        <v>3.223245946864191</v>
      </c>
      <c r="E41" s="13">
        <f t="shared" si="0"/>
        <v>3.1312716600639972</v>
      </c>
      <c r="F41" s="13">
        <f t="shared" si="0"/>
        <v>3.0437329021574189</v>
      </c>
      <c r="G41" s="13">
        <f t="shared" si="0"/>
        <v>2.9603479414513543</v>
      </c>
      <c r="H41" s="13">
        <f t="shared" si="0"/>
        <v>2.8808565497148257</v>
      </c>
    </row>
    <row r="42" spans="2:9" ht="14" customHeight="1" x14ac:dyDescent="0.3">
      <c r="B42" s="3" t="s">
        <v>158</v>
      </c>
    </row>
    <row r="43" spans="2:9" ht="14" customHeight="1" x14ac:dyDescent="0.3">
      <c r="B43" s="4" t="s">
        <v>154</v>
      </c>
      <c r="C43" s="30">
        <v>3</v>
      </c>
      <c r="D43" s="13">
        <f t="shared" ref="D43:H46" si="1">IFERROR((1+D$36)/(D$36^2*$C43)*(1-($C43+1)/(1+D$36)^$C43+$C43/(1+D$36)^($C43+1))+(1+$C$12)/((D$36-$C$12)*(1+D$36)^$C43),"N/A")</f>
        <v>9.8167518327986478</v>
      </c>
      <c r="E43" s="13">
        <f t="shared" si="1"/>
        <v>8.7793762990887423</v>
      </c>
      <c r="F43" s="13">
        <f t="shared" si="1"/>
        <v>7.9290348842088925</v>
      </c>
      <c r="G43" s="13">
        <f t="shared" si="1"/>
        <v>7.2196396351189973</v>
      </c>
      <c r="H43" s="13">
        <f t="shared" si="1"/>
        <v>6.6190840818121037</v>
      </c>
    </row>
    <row r="44" spans="2:9" ht="14" customHeight="1" x14ac:dyDescent="0.3">
      <c r="B44" s="4" t="s">
        <v>155</v>
      </c>
      <c r="C44" s="30">
        <v>5</v>
      </c>
      <c r="D44" s="13">
        <f t="shared" si="1"/>
        <v>8.8862302823391968</v>
      </c>
      <c r="E44" s="13">
        <f t="shared" si="1"/>
        <v>7.8862475234786951</v>
      </c>
      <c r="F44" s="13">
        <f t="shared" si="1"/>
        <v>7.0690256914222669</v>
      </c>
      <c r="G44" s="13">
        <f t="shared" si="1"/>
        <v>6.3894112287851499</v>
      </c>
      <c r="H44" s="13">
        <f t="shared" si="1"/>
        <v>5.8159551514160732</v>
      </c>
    </row>
    <row r="45" spans="2:9" ht="14" customHeight="1" x14ac:dyDescent="0.3">
      <c r="B45" s="4" t="s">
        <v>156</v>
      </c>
      <c r="C45" s="30">
        <v>7</v>
      </c>
      <c r="D45" s="13">
        <f t="shared" si="1"/>
        <v>8.073481588930834</v>
      </c>
      <c r="E45" s="13">
        <f t="shared" si="1"/>
        <v>7.1146734129782292</v>
      </c>
      <c r="F45" s="13">
        <f t="shared" si="1"/>
        <v>6.3340182734398915</v>
      </c>
      <c r="G45" s="13">
        <f t="shared" si="1"/>
        <v>5.6873103382732122</v>
      </c>
      <c r="H45" s="13">
        <f t="shared" si="1"/>
        <v>5.1437744086459087</v>
      </c>
    </row>
    <row r="46" spans="2:9" ht="14" customHeight="1" x14ac:dyDescent="0.3">
      <c r="B46" s="4" t="s">
        <v>157</v>
      </c>
      <c r="C46" s="30">
        <v>10</v>
      </c>
      <c r="D46" s="13">
        <f t="shared" si="1"/>
        <v>7.0392998912735756</v>
      </c>
      <c r="E46" s="13">
        <f t="shared" si="1"/>
        <v>6.1454133441224981</v>
      </c>
      <c r="F46" s="13">
        <f t="shared" si="1"/>
        <v>5.4221789434210841</v>
      </c>
      <c r="G46" s="13">
        <f t="shared" si="1"/>
        <v>4.8268573863832867</v>
      </c>
      <c r="H46" s="13">
        <f t="shared" si="1"/>
        <v>4.3297310129278994</v>
      </c>
    </row>
    <row r="47" spans="2:9" ht="14" customHeight="1" x14ac:dyDescent="0.3">
      <c r="B47" s="22" t="s">
        <v>159</v>
      </c>
      <c r="C47" s="23"/>
      <c r="D47" s="23"/>
      <c r="E47" s="23"/>
      <c r="F47" s="23"/>
      <c r="G47" s="23"/>
      <c r="H47" s="23"/>
      <c r="I47" s="23"/>
    </row>
    <row r="48" spans="2:9" ht="14" customHeight="1" x14ac:dyDescent="0.3">
      <c r="B48" s="4" t="s">
        <v>154</v>
      </c>
      <c r="C48" s="30">
        <v>3</v>
      </c>
      <c r="D48" s="5">
        <f t="shared" ref="D48:H51" si="2">IFERROR(($C$10/(1-$C$13)-$C$14*D38)/D43,"N/A")</f>
        <v>1571.0339541135165</v>
      </c>
      <c r="E48" s="5">
        <f t="shared" si="2"/>
        <v>1758.9604500600383</v>
      </c>
      <c r="F48" s="5">
        <f t="shared" si="2"/>
        <v>1950.0807304215034</v>
      </c>
      <c r="G48" s="5">
        <f t="shared" si="2"/>
        <v>2144.3607341114489</v>
      </c>
      <c r="H48" s="5">
        <f t="shared" si="2"/>
        <v>2341.7665799103993</v>
      </c>
    </row>
    <row r="49" spans="2:9" ht="14" customHeight="1" x14ac:dyDescent="0.3">
      <c r="B49" s="4" t="s">
        <v>155</v>
      </c>
      <c r="C49" s="30">
        <v>5</v>
      </c>
      <c r="D49" s="5">
        <f t="shared" si="2"/>
        <v>1566.0192201370448</v>
      </c>
      <c r="E49" s="5">
        <f t="shared" si="2"/>
        <v>1771.5371105227412</v>
      </c>
      <c r="F49" s="5">
        <f t="shared" si="2"/>
        <v>1983.8531036230122</v>
      </c>
      <c r="G49" s="5">
        <f t="shared" si="2"/>
        <v>2202.935417885034</v>
      </c>
      <c r="H49" s="5">
        <f t="shared" si="2"/>
        <v>2428.7497389671553</v>
      </c>
    </row>
    <row r="50" spans="2:9" ht="14" customHeight="1" x14ac:dyDescent="0.3">
      <c r="B50" s="4" t="s">
        <v>156</v>
      </c>
      <c r="C50" s="30">
        <v>7</v>
      </c>
      <c r="D50" s="5">
        <f t="shared" si="2"/>
        <v>1558.8335836808219</v>
      </c>
      <c r="E50" s="5">
        <f t="shared" si="2"/>
        <v>1782.9066069791365</v>
      </c>
      <c r="F50" s="5">
        <f t="shared" si="2"/>
        <v>2017.7770414683723</v>
      </c>
      <c r="G50" s="5">
        <f t="shared" si="2"/>
        <v>2263.445721055738</v>
      </c>
      <c r="H50" s="5">
        <f t="shared" si="2"/>
        <v>2519.9044778511225</v>
      </c>
    </row>
    <row r="51" spans="2:9" ht="14" customHeight="1" x14ac:dyDescent="0.3">
      <c r="B51" s="4" t="s">
        <v>157</v>
      </c>
      <c r="C51" s="30">
        <v>10</v>
      </c>
      <c r="D51" s="5">
        <f t="shared" si="2"/>
        <v>1544.003575703578</v>
      </c>
      <c r="E51" s="5">
        <f t="shared" si="2"/>
        <v>1797.667564931947</v>
      </c>
      <c r="F51" s="5">
        <f t="shared" si="2"/>
        <v>2068.8173823647121</v>
      </c>
      <c r="G51" s="5">
        <f t="shared" si="2"/>
        <v>2357.5411735170201</v>
      </c>
      <c r="H51" s="5">
        <f t="shared" si="2"/>
        <v>2663.8991583539032</v>
      </c>
    </row>
    <row r="52" spans="2:9" ht="14" customHeight="1" x14ac:dyDescent="0.3">
      <c r="B52" s="22" t="s">
        <v>160</v>
      </c>
      <c r="C52" s="23"/>
      <c r="D52" s="23"/>
      <c r="E52" s="23"/>
      <c r="F52" s="23"/>
      <c r="G52" s="23"/>
      <c r="H52" s="23"/>
      <c r="I52" s="23"/>
    </row>
    <row r="53" spans="2:9" ht="14" customHeight="1" x14ac:dyDescent="0.3">
      <c r="B53" s="4" t="s">
        <v>154</v>
      </c>
      <c r="C53" s="30">
        <v>3</v>
      </c>
      <c r="D53" s="14">
        <f t="shared" ref="D53:H56" si="3">IFERROR(D48/$C$15,"N/A")</f>
        <v>0.74491889716145876</v>
      </c>
      <c r="E53" s="14">
        <f t="shared" si="3"/>
        <v>0.83402581795165398</v>
      </c>
      <c r="F53" s="14">
        <f t="shared" si="3"/>
        <v>0.92464709835064174</v>
      </c>
      <c r="G53" s="14">
        <f t="shared" si="3"/>
        <v>1.0167665880092218</v>
      </c>
      <c r="H53" s="14">
        <f t="shared" si="3"/>
        <v>1.1103682218636317</v>
      </c>
    </row>
    <row r="54" spans="2:9" ht="14" customHeight="1" x14ac:dyDescent="0.3">
      <c r="B54" s="4" t="s">
        <v>155</v>
      </c>
      <c r="C54" s="30">
        <v>5</v>
      </c>
      <c r="D54" s="14">
        <f t="shared" si="3"/>
        <v>0.74254111907873155</v>
      </c>
      <c r="E54" s="14">
        <f t="shared" si="3"/>
        <v>0.83998914676279812</v>
      </c>
      <c r="F54" s="14">
        <f t="shared" si="3"/>
        <v>0.94066055174158947</v>
      </c>
      <c r="G54" s="14">
        <f t="shared" si="3"/>
        <v>1.0445402645258577</v>
      </c>
      <c r="H54" s="14">
        <f t="shared" si="3"/>
        <v>1.1516120146833357</v>
      </c>
    </row>
    <row r="55" spans="2:9" ht="14" customHeight="1" x14ac:dyDescent="0.3">
      <c r="B55" s="4" t="s">
        <v>156</v>
      </c>
      <c r="C55" s="30">
        <v>7</v>
      </c>
      <c r="D55" s="14">
        <f t="shared" si="3"/>
        <v>0.7391339894171749</v>
      </c>
      <c r="E55" s="14">
        <f t="shared" si="3"/>
        <v>0.84538008865772241</v>
      </c>
      <c r="F55" s="14">
        <f t="shared" si="3"/>
        <v>0.95674587077684792</v>
      </c>
      <c r="G55" s="14">
        <f t="shared" si="3"/>
        <v>1.0732317311786335</v>
      </c>
      <c r="H55" s="14">
        <f t="shared" si="3"/>
        <v>1.1948337969896266</v>
      </c>
    </row>
    <row r="56" spans="2:9" ht="14" customHeight="1" x14ac:dyDescent="0.3">
      <c r="B56" s="4" t="s">
        <v>157</v>
      </c>
      <c r="C56" s="30">
        <v>10</v>
      </c>
      <c r="D56" s="14">
        <f t="shared" si="3"/>
        <v>0.73210221702398204</v>
      </c>
      <c r="E56" s="14">
        <f t="shared" si="3"/>
        <v>0.8523791204039578</v>
      </c>
      <c r="F56" s="14">
        <f t="shared" si="3"/>
        <v>0.98094707556411198</v>
      </c>
      <c r="G56" s="14">
        <f t="shared" si="3"/>
        <v>1.1178478774381317</v>
      </c>
      <c r="H56" s="14">
        <f t="shared" si="3"/>
        <v>1.2631100798264121</v>
      </c>
    </row>
    <row r="58" spans="2:9" ht="14" customHeight="1" x14ac:dyDescent="0.3">
      <c r="B58" s="8" t="s">
        <v>161</v>
      </c>
      <c r="C58" s="9"/>
      <c r="D58" s="9"/>
      <c r="E58" s="9"/>
      <c r="F58" s="9"/>
      <c r="G58" s="9"/>
      <c r="H58" s="9"/>
      <c r="I58" s="9"/>
    </row>
    <row r="59" spans="2:9" ht="14" customHeight="1" x14ac:dyDescent="0.3">
      <c r="B59" s="1" t="s">
        <v>162</v>
      </c>
    </row>
    <row r="60" spans="2:9" ht="14" customHeight="1" x14ac:dyDescent="0.3">
      <c r="B60" s="4" t="s">
        <v>163</v>
      </c>
      <c r="C60" s="5">
        <f>F49</f>
        <v>1983.8531036230122</v>
      </c>
    </row>
    <row r="62" spans="2:9" ht="14" customHeight="1" x14ac:dyDescent="0.3">
      <c r="B62" s="28" t="s">
        <v>164</v>
      </c>
      <c r="C62" s="28" t="s">
        <v>165</v>
      </c>
      <c r="D62" s="28" t="s">
        <v>166</v>
      </c>
    </row>
    <row r="63" spans="2:9" ht="14" customHeight="1" x14ac:dyDescent="0.3">
      <c r="B63" s="31">
        <v>0.05</v>
      </c>
      <c r="C63" s="5">
        <f>IFERROR($C$60/B63,"N/A")</f>
        <v>39677.062072460241</v>
      </c>
      <c r="D63" s="14">
        <f>IFERROR(C63/'DCF Model'!C17,"N/A")</f>
        <v>2.7620648849606853</v>
      </c>
    </row>
    <row r="64" spans="2:9" ht="14" customHeight="1" x14ac:dyDescent="0.3">
      <c r="B64" s="31">
        <v>7.3499999999999996E-2</v>
      </c>
      <c r="C64" s="5">
        <f>IFERROR($C$60/B64,"N/A")</f>
        <v>26991.198688748467</v>
      </c>
      <c r="D64" s="14">
        <f>IFERROR(C64/'DCF Model'!C17,"N/A")</f>
        <v>1.8789557040548881</v>
      </c>
    </row>
    <row r="65" spans="2:9" ht="14" customHeight="1" x14ac:dyDescent="0.3">
      <c r="B65" s="31">
        <v>0.1</v>
      </c>
      <c r="C65" s="5">
        <f>IFERROR($C$60/B65,"N/A")</f>
        <v>19838.531036230121</v>
      </c>
      <c r="D65" s="14">
        <f>IFERROR(C65/'DCF Model'!C17,"N/A")</f>
        <v>1.3810324424803426</v>
      </c>
    </row>
    <row r="66" spans="2:9" ht="14" customHeight="1" x14ac:dyDescent="0.3">
      <c r="B66" s="4" t="s">
        <v>167</v>
      </c>
      <c r="C66" s="5">
        <f>IFERROR($C$60/$C$18,"N/A")</f>
        <v>13863.403938665353</v>
      </c>
      <c r="D66" s="14">
        <f>IFERROR(C66/'DCF Model'!C17,"N/A")</f>
        <v>0.96508207021687109</v>
      </c>
    </row>
    <row r="67" spans="2:9" ht="14" customHeight="1" x14ac:dyDescent="0.3">
      <c r="B67" s="31">
        <v>0.17</v>
      </c>
      <c r="C67" s="5">
        <f>IFERROR($C$60/B67,"N/A")</f>
        <v>11669.724138958894</v>
      </c>
      <c r="D67" s="14">
        <f>IFERROR(C67/'DCF Model'!C17,"N/A")</f>
        <v>0.81237202498843675</v>
      </c>
    </row>
    <row r="69" spans="2:9" ht="14" customHeight="1" x14ac:dyDescent="0.3">
      <c r="B69" s="8" t="s">
        <v>168</v>
      </c>
      <c r="C69" s="9"/>
      <c r="D69" s="9"/>
      <c r="E69" s="9"/>
      <c r="F69" s="9"/>
      <c r="G69" s="9"/>
      <c r="H69" s="9"/>
      <c r="I69" s="9"/>
    </row>
    <row r="70" spans="2:9" ht="13.5" customHeight="1" x14ac:dyDescent="0.25">
      <c r="B70" s="6" t="s">
        <v>169</v>
      </c>
      <c r="C70" s="14">
        <f>IFERROR(C10/'Comps Analysis'!G5,"N/A")</f>
        <v>5.2809713555281546</v>
      </c>
    </row>
    <row r="71" spans="2:9" ht="13.5" customHeight="1" x14ac:dyDescent="0.25">
      <c r="B71" s="6" t="s">
        <v>170</v>
      </c>
      <c r="C71" s="14">
        <f>IFERROR(C10/'Comps Analysis'!F5,"N/A")</f>
        <v>0.89443810010442049</v>
      </c>
    </row>
    <row r="72" spans="2:9" ht="14" customHeight="1" x14ac:dyDescent="0.3">
      <c r="B72" s="4" t="s">
        <v>171</v>
      </c>
      <c r="C72" s="14">
        <f>IFERROR(C10/(C25+'DCF Model'!G42),"N/A")</f>
        <v>5.0754425736827633</v>
      </c>
    </row>
    <row r="73" spans="2:9" ht="14" customHeight="1" x14ac:dyDescent="0.3">
      <c r="B73" s="4" t="s">
        <v>172</v>
      </c>
      <c r="C73" s="14">
        <f>IFERROR(C10/(C60+'DCF Model'!G42),"N/A")</f>
        <v>4.9439513491886107</v>
      </c>
    </row>
    <row r="74" spans="2:9" ht="14" customHeight="1" x14ac:dyDescent="0.3">
      <c r="B74" s="4" t="s">
        <v>173</v>
      </c>
      <c r="C74" s="14">
        <f>IFERROR('Comps Analysis'!D16,"N/A")</f>
        <v>5.9390542748230173</v>
      </c>
    </row>
    <row r="75" spans="2:9" ht="14" customHeight="1" x14ac:dyDescent="0.3">
      <c r="B75" s="1" t="s">
        <v>174</v>
      </c>
    </row>
    <row r="77" spans="2:9" ht="14" customHeight="1" x14ac:dyDescent="0.3">
      <c r="B77" s="22" t="s">
        <v>175</v>
      </c>
      <c r="C77" s="23"/>
      <c r="D77" s="23"/>
      <c r="E77" s="23"/>
      <c r="F77" s="23"/>
      <c r="G77" s="23"/>
      <c r="H77" s="23"/>
      <c r="I77" s="23"/>
    </row>
    <row r="78" spans="2:9" ht="14" customHeight="1" x14ac:dyDescent="0.3">
      <c r="B78" s="4" t="str">
        <f>"At "&amp;TEXT(C6,"#,##0")&amp;" yen the market is paying for a steady-state operating profit of "&amp;TEXT(F49,"#,##0")&amp;" mn JPY - "&amp;TEXT(F54,"0.00")&amp;"x the Q3 FY2026/7 annualised cycle peak of "&amp;TEXT(C15,"#,##0")&amp;" mn - reached in 5 years and sustained for ever, against "&amp;TEXT(C14,"#,##0")&amp;" mn actually earned in FY2026/7E."</f>
        <v>At 2,764 yen the market is paying for a steady-state operating profit of 1,984 mn JPY - 0.94x the Q3 FY2026/7 annualised cycle peak of 2,109 mn - reached in 5 years and sustained for ever, against 1,943 mn actually earned in FY2026/7E.</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1,917 mn, or 0.91x the peak. The base case supports an EV of only 13,416 mn, leaving -134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topLeftCell="A24" workbookViewId="0"/>
  </sheetViews>
  <sheetFormatPr defaultRowHeight="13" x14ac:dyDescent="0.2"/>
  <cols>
    <col min="1" max="1" width="3" customWidth="1"/>
    <col min="2" max="2" width="28" customWidth="1"/>
    <col min="3" max="8" width="16" customWidth="1"/>
  </cols>
  <sheetData>
    <row r="2" spans="2:8" ht="18" customHeight="1" x14ac:dyDescent="0.4">
      <c r="B2" s="2" t="s">
        <v>176</v>
      </c>
    </row>
    <row r="4" spans="2:8" ht="14" customHeight="1" x14ac:dyDescent="0.3">
      <c r="B4" s="8" t="s">
        <v>177</v>
      </c>
      <c r="C4" s="32" t="s">
        <v>178</v>
      </c>
      <c r="D4" s="32" t="s">
        <v>85</v>
      </c>
      <c r="E4" s="32" t="s">
        <v>86</v>
      </c>
      <c r="F4" s="32" t="s">
        <v>87</v>
      </c>
      <c r="G4" s="32" t="s">
        <v>88</v>
      </c>
      <c r="H4" s="32" t="s">
        <v>89</v>
      </c>
    </row>
    <row r="5" spans="2:8" ht="14" customHeight="1" x14ac:dyDescent="0.3">
      <c r="B5" s="33" t="s">
        <v>179</v>
      </c>
      <c r="C5" s="34">
        <f>C12/C9*365</f>
        <v>71.11973546815176</v>
      </c>
      <c r="D5" s="34">
        <f>CHOOSE('DCF Model'!$D$27,D25,D26,D27,D28,D29)</f>
        <v>71</v>
      </c>
      <c r="E5" s="34">
        <f>CHOOSE('DCF Model'!$D$27,E25,E26,E27,E28,E29)</f>
        <v>71</v>
      </c>
      <c r="F5" s="34">
        <f>CHOOSE('DCF Model'!$D$27,F25,F26,F27,F28,F29)</f>
        <v>70</v>
      </c>
      <c r="G5" s="34">
        <f>CHOOSE('DCF Model'!$D$27,G25,G26,G27,G28,G29)</f>
        <v>70</v>
      </c>
      <c r="H5" s="34">
        <f>CHOOSE('DCF Model'!$D$27,H25,H26,H27,H28,H29)</f>
        <v>70</v>
      </c>
    </row>
    <row r="6" spans="2:8" ht="14" customHeight="1" x14ac:dyDescent="0.3">
      <c r="B6" s="33" t="s">
        <v>180</v>
      </c>
      <c r="C6" s="34">
        <f>C13/C10*365</f>
        <v>114.69211609171282</v>
      </c>
      <c r="D6" s="34">
        <f>CHOOSE('DCF Model'!$D$27,D32,D33,D34,D35,D36)</f>
        <v>113</v>
      </c>
      <c r="E6" s="34">
        <f>CHOOSE('DCF Model'!$D$27,E32,E33,E34,E35,E36)</f>
        <v>111</v>
      </c>
      <c r="F6" s="34">
        <f>CHOOSE('DCF Model'!$D$27,F32,F33,F34,F35,F36)</f>
        <v>109</v>
      </c>
      <c r="G6" s="34">
        <f>CHOOSE('DCF Model'!$D$27,G32,G33,G34,G35,G36)</f>
        <v>107</v>
      </c>
      <c r="H6" s="34">
        <f>CHOOSE('DCF Model'!$D$27,H32,H33,H34,H35,H36)</f>
        <v>105</v>
      </c>
    </row>
    <row r="7" spans="2:8" ht="14" customHeight="1" x14ac:dyDescent="0.3">
      <c r="B7" s="33" t="s">
        <v>181</v>
      </c>
      <c r="C7" s="34">
        <f>C15/C10*365</f>
        <v>16.65100407835552</v>
      </c>
      <c r="D7" s="34">
        <f>CHOOSE('DCF Model'!$D$27,D39,D40,D41,D42,D43)</f>
        <v>17</v>
      </c>
      <c r="E7" s="34">
        <f>CHOOSE('DCF Model'!$D$27,E39,E40,E41,E42,E43)</f>
        <v>17</v>
      </c>
      <c r="F7" s="34">
        <f>CHOOSE('DCF Model'!$D$27,F39,F40,F41,F42,F43)</f>
        <v>17</v>
      </c>
      <c r="G7" s="34">
        <f>CHOOSE('DCF Model'!$D$27,G39,G40,G41,G42,G43)</f>
        <v>17</v>
      </c>
      <c r="H7" s="34">
        <f>CHOOSE('DCF Model'!$D$27,H39,H40,H41,H42,H43)</f>
        <v>17</v>
      </c>
    </row>
    <row r="8" spans="2:8" ht="14" customHeight="1" x14ac:dyDescent="0.3">
      <c r="B8" s="8" t="s">
        <v>182</v>
      </c>
      <c r="C8" s="9"/>
      <c r="D8" s="9"/>
      <c r="E8" s="9"/>
      <c r="F8" s="9"/>
      <c r="G8" s="9"/>
      <c r="H8" s="9"/>
    </row>
    <row r="9" spans="2:8" ht="14" customHeight="1" x14ac:dyDescent="0.3">
      <c r="B9" s="33" t="s">
        <v>36</v>
      </c>
      <c r="C9" s="35">
        <v>14365</v>
      </c>
      <c r="D9" s="35">
        <f>'DCF Model'!C33</f>
        <v>15514.2</v>
      </c>
      <c r="E9" s="35">
        <f>'DCF Model'!D33</f>
        <v>16445.052000000003</v>
      </c>
      <c r="F9" s="35">
        <f>'DCF Model'!E33</f>
        <v>17267.304600000003</v>
      </c>
      <c r="G9" s="35">
        <f>'DCF Model'!F33</f>
        <v>17957.996784000003</v>
      </c>
      <c r="H9" s="35">
        <f>'DCF Model'!G33</f>
        <v>18496.736687520002</v>
      </c>
    </row>
    <row r="10" spans="2:8" ht="14" customHeight="1" x14ac:dyDescent="0.3">
      <c r="B10" s="33" t="s">
        <v>37</v>
      </c>
      <c r="C10" s="35">
        <v>10960.3</v>
      </c>
      <c r="D10" s="35">
        <f>'DCF Model'!C34</f>
        <v>11945.934000000001</v>
      </c>
      <c r="E10" s="35">
        <f>'DCF Model'!D34</f>
        <v>12744.915300000002</v>
      </c>
      <c r="F10" s="35">
        <f>'DCF Model'!E34</f>
        <v>13382.161065000002</v>
      </c>
      <c r="G10" s="35">
        <f>'DCF Model'!F34</f>
        <v>13917.447507600002</v>
      </c>
      <c r="H10" s="35">
        <f>'DCF Model'!G34</f>
        <v>14334.970932828002</v>
      </c>
    </row>
    <row r="11" spans="2:8" ht="14" customHeight="1" x14ac:dyDescent="0.3">
      <c r="B11" s="8" t="s">
        <v>183</v>
      </c>
      <c r="C11" s="9"/>
      <c r="D11" s="9"/>
      <c r="E11" s="9"/>
      <c r="F11" s="9"/>
      <c r="G11" s="9"/>
      <c r="H11" s="9"/>
    </row>
    <row r="12" spans="2:8" ht="14" customHeight="1" x14ac:dyDescent="0.3">
      <c r="B12" s="33" t="s">
        <v>184</v>
      </c>
      <c r="C12" s="35">
        <v>2799</v>
      </c>
      <c r="D12" s="35">
        <f t="shared" ref="D12:H13" si="0">D9*D5/365</f>
        <v>3017.8306849315068</v>
      </c>
      <c r="E12" s="35">
        <f t="shared" si="0"/>
        <v>3198.900526027398</v>
      </c>
      <c r="F12" s="35">
        <f t="shared" si="0"/>
        <v>3311.5378684931511</v>
      </c>
      <c r="G12" s="35">
        <f t="shared" si="0"/>
        <v>3443.9993832328773</v>
      </c>
      <c r="H12" s="35">
        <f t="shared" si="0"/>
        <v>3547.3193647298635</v>
      </c>
    </row>
    <row r="13" spans="2:8" ht="14" customHeight="1" x14ac:dyDescent="0.3">
      <c r="B13" s="33" t="s">
        <v>185</v>
      </c>
      <c r="C13" s="35">
        <v>3444</v>
      </c>
      <c r="D13" s="35">
        <f t="shared" si="0"/>
        <v>3698.330252054795</v>
      </c>
      <c r="E13" s="35">
        <f t="shared" si="0"/>
        <v>3875.8509542465758</v>
      </c>
      <c r="F13" s="35">
        <f t="shared" si="0"/>
        <v>3996.3165920136994</v>
      </c>
      <c r="G13" s="35">
        <f t="shared" si="0"/>
        <v>4079.9092693512334</v>
      </c>
      <c r="H13" s="35">
        <f t="shared" si="0"/>
        <v>4123.7587614984668</v>
      </c>
    </row>
    <row r="14" spans="2:8" ht="14" customHeight="1" x14ac:dyDescent="0.3">
      <c r="B14" s="33" t="s">
        <v>186</v>
      </c>
      <c r="C14" s="35">
        <f t="shared" ref="C14:H14" si="1">C12+C13</f>
        <v>6243</v>
      </c>
      <c r="D14" s="35">
        <f t="shared" si="1"/>
        <v>6716.1609369863017</v>
      </c>
      <c r="E14" s="35">
        <f t="shared" si="1"/>
        <v>7074.7514802739734</v>
      </c>
      <c r="F14" s="35">
        <f t="shared" si="1"/>
        <v>7307.854460506851</v>
      </c>
      <c r="G14" s="35">
        <f t="shared" si="1"/>
        <v>7523.9086525841103</v>
      </c>
      <c r="H14" s="35">
        <f t="shared" si="1"/>
        <v>7671.0781262283308</v>
      </c>
    </row>
    <row r="15" spans="2:8" ht="14" customHeight="1" x14ac:dyDescent="0.3">
      <c r="B15" s="33" t="s">
        <v>187</v>
      </c>
      <c r="C15" s="35">
        <v>500</v>
      </c>
      <c r="D15" s="35">
        <f>D10*D7/365</f>
        <v>556.38596712328774</v>
      </c>
      <c r="E15" s="35">
        <f>E10*E7/365</f>
        <v>593.59879479452059</v>
      </c>
      <c r="F15" s="35">
        <f>F10*F7/365</f>
        <v>623.27873453424661</v>
      </c>
      <c r="G15" s="35">
        <f>G10*G7/365</f>
        <v>648.2098839156165</v>
      </c>
      <c r="H15" s="35">
        <f>H10*H7/365</f>
        <v>667.65618043308507</v>
      </c>
    </row>
    <row r="16" spans="2:8" ht="14" customHeight="1" x14ac:dyDescent="0.3">
      <c r="B16" s="33" t="s">
        <v>188</v>
      </c>
      <c r="C16" s="35">
        <f t="shared" ref="C16:H16" si="2">C15</f>
        <v>500</v>
      </c>
      <c r="D16" s="35">
        <f t="shared" si="2"/>
        <v>556.38596712328774</v>
      </c>
      <c r="E16" s="35">
        <f t="shared" si="2"/>
        <v>593.59879479452059</v>
      </c>
      <c r="F16" s="35">
        <f t="shared" si="2"/>
        <v>623.27873453424661</v>
      </c>
      <c r="G16" s="35">
        <f t="shared" si="2"/>
        <v>648.2098839156165</v>
      </c>
      <c r="H16" s="35">
        <f t="shared" si="2"/>
        <v>667.65618043308507</v>
      </c>
    </row>
    <row r="17" spans="2:8" ht="14" customHeight="1" x14ac:dyDescent="0.3">
      <c r="B17" s="22" t="s">
        <v>189</v>
      </c>
      <c r="C17" s="23"/>
      <c r="D17" s="23"/>
      <c r="E17" s="23"/>
      <c r="F17" s="23"/>
      <c r="G17" s="23"/>
      <c r="H17" s="23"/>
    </row>
    <row r="18" spans="2:8" ht="14" customHeight="1" x14ac:dyDescent="0.3">
      <c r="B18" s="33" t="s">
        <v>190</v>
      </c>
      <c r="C18" s="20">
        <f t="shared" ref="C18:H18" si="3">C14-C16</f>
        <v>5743</v>
      </c>
      <c r="D18" s="20">
        <f t="shared" si="3"/>
        <v>6159.7749698630141</v>
      </c>
      <c r="E18" s="20">
        <f t="shared" si="3"/>
        <v>6481.1526854794529</v>
      </c>
      <c r="F18" s="20">
        <f t="shared" si="3"/>
        <v>6684.5757259726042</v>
      </c>
      <c r="G18" s="20">
        <f t="shared" si="3"/>
        <v>6875.6987686684934</v>
      </c>
      <c r="H18" s="20">
        <f t="shared" si="3"/>
        <v>7003.4219457952458</v>
      </c>
    </row>
    <row r="19" spans="2:8" ht="14" customHeight="1" x14ac:dyDescent="0.3">
      <c r="B19" s="33" t="s">
        <v>99</v>
      </c>
      <c r="C19" s="36" t="s">
        <v>46</v>
      </c>
      <c r="D19" s="24">
        <f>D18-C18</f>
        <v>416.77496986301412</v>
      </c>
      <c r="E19" s="24">
        <f>E18-D18</f>
        <v>321.37771561643876</v>
      </c>
      <c r="F19" s="24">
        <f>F18-E18</f>
        <v>203.42304049315135</v>
      </c>
      <c r="G19" s="24">
        <f>G18-F18</f>
        <v>191.12304269588913</v>
      </c>
      <c r="H19" s="24">
        <f>H18-G18</f>
        <v>127.72317712675249</v>
      </c>
    </row>
    <row r="22" spans="2:8" ht="14" customHeight="1" x14ac:dyDescent="0.3">
      <c r="B22" s="22" t="s">
        <v>191</v>
      </c>
      <c r="C22" s="23"/>
      <c r="D22" s="23"/>
      <c r="E22" s="23"/>
      <c r="F22" s="23"/>
      <c r="G22" s="23"/>
      <c r="H22" s="23"/>
    </row>
    <row r="23" spans="2:8" ht="14" customHeight="1" x14ac:dyDescent="0.3">
      <c r="D23" s="25" t="s">
        <v>85</v>
      </c>
      <c r="E23" s="25" t="s">
        <v>86</v>
      </c>
      <c r="F23" s="25" t="s">
        <v>87</v>
      </c>
      <c r="G23" s="25" t="s">
        <v>88</v>
      </c>
      <c r="H23" s="25" t="s">
        <v>89</v>
      </c>
    </row>
    <row r="24" spans="2:8" ht="14" customHeight="1" x14ac:dyDescent="0.3">
      <c r="B24" s="3" t="s">
        <v>192</v>
      </c>
    </row>
    <row r="25" spans="2:8" ht="14" customHeight="1" x14ac:dyDescent="0.3">
      <c r="B25" s="4" t="s">
        <v>83</v>
      </c>
      <c r="D25" s="30">
        <v>71</v>
      </c>
      <c r="E25" s="30">
        <v>71</v>
      </c>
      <c r="F25" s="30">
        <v>70</v>
      </c>
      <c r="G25" s="30">
        <v>70</v>
      </c>
      <c r="H25" s="30">
        <v>70</v>
      </c>
    </row>
    <row r="26" spans="2:8" ht="14" customHeight="1" x14ac:dyDescent="0.3">
      <c r="B26" s="4" t="s">
        <v>120</v>
      </c>
      <c r="D26" s="30">
        <v>69</v>
      </c>
      <c r="E26" s="30">
        <v>68</v>
      </c>
      <c r="F26" s="30">
        <v>68</v>
      </c>
      <c r="G26" s="30">
        <v>67</v>
      </c>
      <c r="H26" s="30">
        <v>67</v>
      </c>
    </row>
    <row r="27" spans="2:8" ht="14" customHeight="1" x14ac:dyDescent="0.3">
      <c r="B27" s="4" t="s">
        <v>121</v>
      </c>
      <c r="D27" s="30">
        <v>71</v>
      </c>
      <c r="E27" s="30">
        <v>71</v>
      </c>
      <c r="F27" s="30">
        <v>71</v>
      </c>
      <c r="G27" s="30">
        <v>71</v>
      </c>
      <c r="H27" s="30">
        <v>71</v>
      </c>
    </row>
    <row r="28" spans="2:8" ht="14" customHeight="1" x14ac:dyDescent="0.3">
      <c r="B28" s="4" t="s">
        <v>122</v>
      </c>
      <c r="D28" s="30">
        <v>74</v>
      </c>
      <c r="E28" s="30">
        <v>75</v>
      </c>
      <c r="F28" s="30">
        <v>75</v>
      </c>
      <c r="G28" s="30">
        <v>76</v>
      </c>
      <c r="H28" s="30">
        <v>76</v>
      </c>
    </row>
    <row r="29" spans="2:8" ht="14" customHeight="1" x14ac:dyDescent="0.3">
      <c r="B29" s="4" t="s">
        <v>123</v>
      </c>
      <c r="D29" s="30">
        <v>77</v>
      </c>
      <c r="E29" s="30">
        <v>78</v>
      </c>
      <c r="F29" s="30">
        <v>79</v>
      </c>
      <c r="G29" s="30">
        <v>80</v>
      </c>
      <c r="H29" s="30">
        <v>80</v>
      </c>
    </row>
    <row r="31" spans="2:8" ht="14" customHeight="1" x14ac:dyDescent="0.3">
      <c r="B31" s="3" t="s">
        <v>193</v>
      </c>
    </row>
    <row r="32" spans="2:8" ht="14" customHeight="1" x14ac:dyDescent="0.3">
      <c r="B32" s="4" t="s">
        <v>83</v>
      </c>
      <c r="D32" s="30">
        <v>113</v>
      </c>
      <c r="E32" s="30">
        <v>111</v>
      </c>
      <c r="F32" s="30">
        <v>109</v>
      </c>
      <c r="G32" s="30">
        <v>107</v>
      </c>
      <c r="H32" s="30">
        <v>105</v>
      </c>
    </row>
    <row r="33" spans="2:8" ht="14" customHeight="1" x14ac:dyDescent="0.3">
      <c r="B33" s="4" t="s">
        <v>120</v>
      </c>
      <c r="D33" s="30">
        <v>115</v>
      </c>
      <c r="E33" s="30">
        <v>114</v>
      </c>
      <c r="F33" s="30">
        <v>112</v>
      </c>
      <c r="G33" s="30">
        <v>110</v>
      </c>
      <c r="H33" s="30">
        <v>108</v>
      </c>
    </row>
    <row r="34" spans="2:8" ht="14" customHeight="1" x14ac:dyDescent="0.3">
      <c r="B34" s="4" t="s">
        <v>121</v>
      </c>
      <c r="D34" s="30">
        <v>115</v>
      </c>
      <c r="E34" s="30">
        <v>114</v>
      </c>
      <c r="F34" s="30">
        <v>113</v>
      </c>
      <c r="G34" s="30">
        <v>112</v>
      </c>
      <c r="H34" s="30">
        <v>111</v>
      </c>
    </row>
    <row r="35" spans="2:8" ht="14" customHeight="1" x14ac:dyDescent="0.3">
      <c r="B35" s="4" t="s">
        <v>122</v>
      </c>
      <c r="D35" s="30">
        <v>118</v>
      </c>
      <c r="E35" s="30">
        <v>118</v>
      </c>
      <c r="F35" s="30">
        <v>117</v>
      </c>
      <c r="G35" s="30">
        <v>116</v>
      </c>
      <c r="H35" s="30">
        <v>115</v>
      </c>
    </row>
    <row r="36" spans="2:8" ht="14" customHeight="1" x14ac:dyDescent="0.3">
      <c r="B36" s="4" t="s">
        <v>123</v>
      </c>
      <c r="D36" s="30">
        <v>122</v>
      </c>
      <c r="E36" s="30">
        <v>121</v>
      </c>
      <c r="F36" s="30">
        <v>119</v>
      </c>
      <c r="G36" s="30">
        <v>117</v>
      </c>
      <c r="H36" s="30">
        <v>115</v>
      </c>
    </row>
    <row r="38" spans="2:8" ht="14" customHeight="1" x14ac:dyDescent="0.3">
      <c r="B38" s="3" t="s">
        <v>194</v>
      </c>
    </row>
    <row r="39" spans="2:8" ht="14" customHeight="1" x14ac:dyDescent="0.3">
      <c r="B39" s="4" t="s">
        <v>83</v>
      </c>
      <c r="D39" s="30">
        <v>17</v>
      </c>
      <c r="E39" s="30">
        <v>17</v>
      </c>
      <c r="F39" s="30">
        <v>17</v>
      </c>
      <c r="G39" s="30">
        <v>17</v>
      </c>
      <c r="H39" s="30">
        <v>17</v>
      </c>
    </row>
    <row r="40" spans="2:8" ht="14" customHeight="1" x14ac:dyDescent="0.3">
      <c r="B40" s="4" t="s">
        <v>120</v>
      </c>
      <c r="D40" s="30">
        <v>19</v>
      </c>
      <c r="E40" s="30">
        <v>19</v>
      </c>
      <c r="F40" s="30">
        <v>20</v>
      </c>
      <c r="G40" s="30">
        <v>20</v>
      </c>
      <c r="H40" s="30">
        <v>20</v>
      </c>
    </row>
    <row r="41" spans="2:8" ht="14" customHeight="1" x14ac:dyDescent="0.3">
      <c r="B41" s="4" t="s">
        <v>121</v>
      </c>
      <c r="D41" s="30">
        <v>17</v>
      </c>
      <c r="E41" s="30">
        <v>17</v>
      </c>
      <c r="F41" s="30">
        <v>17</v>
      </c>
      <c r="G41" s="30">
        <v>17</v>
      </c>
      <c r="H41" s="30">
        <v>17</v>
      </c>
    </row>
    <row r="42" spans="2:8" ht="14" customHeight="1" x14ac:dyDescent="0.3">
      <c r="B42" s="4" t="s">
        <v>122</v>
      </c>
      <c r="D42" s="30">
        <v>15</v>
      </c>
      <c r="E42" s="30">
        <v>15</v>
      </c>
      <c r="F42" s="30">
        <v>15</v>
      </c>
      <c r="G42" s="30">
        <v>15</v>
      </c>
      <c r="H42" s="30">
        <v>15</v>
      </c>
    </row>
    <row r="43" spans="2:8" ht="14" customHeight="1" x14ac:dyDescent="0.3">
      <c r="B43" s="4" t="s">
        <v>123</v>
      </c>
      <c r="D43" s="30">
        <v>14</v>
      </c>
      <c r="E43" s="30">
        <v>14</v>
      </c>
      <c r="F43" s="30">
        <v>13</v>
      </c>
      <c r="G43" s="30">
        <v>13</v>
      </c>
      <c r="H43" s="30">
        <v>13</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30"/>
  <sheetViews>
    <sheetView topLeftCell="A11"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195</v>
      </c>
    </row>
    <row r="3" spans="2:17" ht="14" customHeight="1" x14ac:dyDescent="0.3">
      <c r="B3" s="1" t="s">
        <v>196</v>
      </c>
    </row>
    <row r="4" spans="2:17" ht="28" customHeight="1" x14ac:dyDescent="0.3">
      <c r="B4" s="10" t="s">
        <v>3</v>
      </c>
      <c r="C4" s="10" t="s">
        <v>5</v>
      </c>
      <c r="D4" s="10" t="s">
        <v>197</v>
      </c>
      <c r="E4" s="10" t="s">
        <v>198</v>
      </c>
      <c r="F4" s="10" t="s">
        <v>199</v>
      </c>
      <c r="G4" s="10" t="s">
        <v>200</v>
      </c>
      <c r="H4" s="10" t="s">
        <v>201</v>
      </c>
      <c r="I4" s="10" t="s">
        <v>202</v>
      </c>
      <c r="J4" s="10" t="s">
        <v>203</v>
      </c>
      <c r="K4" s="10" t="s">
        <v>204</v>
      </c>
      <c r="L4" s="10" t="s">
        <v>205</v>
      </c>
      <c r="M4" s="10" t="s">
        <v>206</v>
      </c>
      <c r="N4" s="10" t="s">
        <v>207</v>
      </c>
      <c r="O4" s="10" t="s">
        <v>208</v>
      </c>
      <c r="P4" s="10" t="s">
        <v>209</v>
      </c>
      <c r="Q4" s="10" t="s">
        <v>210</v>
      </c>
    </row>
    <row r="5" spans="2:17" ht="14" customHeight="1" x14ac:dyDescent="0.3">
      <c r="B5" s="4" t="s">
        <v>211</v>
      </c>
      <c r="C5" t="s">
        <v>212</v>
      </c>
      <c r="D5" s="37">
        <f>'Executive Summary'!C9*C23/1000000</f>
        <v>11724.603308</v>
      </c>
      <c r="E5" s="37">
        <f>D5+C24</f>
        <v>12848.603308</v>
      </c>
      <c r="F5" s="37">
        <v>14365</v>
      </c>
      <c r="G5" s="37">
        <v>2433</v>
      </c>
      <c r="H5" s="37">
        <v>1943</v>
      </c>
      <c r="I5" s="37">
        <v>1750</v>
      </c>
      <c r="J5" s="38">
        <f t="shared" ref="J5:J10" si="0">IFERROR(E5/G5,"")</f>
        <v>5.2809713555281546</v>
      </c>
      <c r="K5" s="38">
        <f t="shared" ref="K5:K10" si="1">IFERROR(E5/F5,"")</f>
        <v>0.89443810010442049</v>
      </c>
      <c r="L5" s="38">
        <f t="shared" ref="L5:L10" si="2">IFERROR(D5/I5,"")</f>
        <v>6.6997733188571429</v>
      </c>
      <c r="M5" s="38">
        <f t="shared" ref="M5:M10" si="3">IFERROR(D5/P5,"")</f>
        <v>1.4232341961641175</v>
      </c>
      <c r="N5" s="39">
        <f t="shared" ref="N5:N10" si="4">IFERROR(H5/F5,"")</f>
        <v>0.13525931082492168</v>
      </c>
      <c r="O5" s="39">
        <f t="shared" ref="O5:O10" si="5">IFERROR(I5/P5,"")</f>
        <v>0.21243020150521971</v>
      </c>
      <c r="P5" s="37">
        <v>8238</v>
      </c>
    </row>
    <row r="6" spans="2:17" ht="14" customHeight="1" x14ac:dyDescent="0.3">
      <c r="B6" s="4" t="s">
        <v>213</v>
      </c>
      <c r="C6" t="s">
        <v>214</v>
      </c>
      <c r="D6" s="37">
        <v>27942</v>
      </c>
      <c r="E6" s="37">
        <v>20189</v>
      </c>
      <c r="F6" s="37">
        <v>18073</v>
      </c>
      <c r="G6" s="37">
        <v>664</v>
      </c>
      <c r="H6" s="37">
        <v>576</v>
      </c>
      <c r="I6" s="37">
        <v>1804</v>
      </c>
      <c r="J6" s="38">
        <f t="shared" si="0"/>
        <v>30.40512048192771</v>
      </c>
      <c r="K6" s="38">
        <f t="shared" si="1"/>
        <v>1.1170807281580257</v>
      </c>
      <c r="L6" s="38">
        <f t="shared" si="2"/>
        <v>15.488913525498891</v>
      </c>
      <c r="M6" s="38">
        <f t="shared" si="3"/>
        <v>1.5467478549681706</v>
      </c>
      <c r="N6" s="39">
        <f t="shared" si="4"/>
        <v>3.1870746417307583E-2</v>
      </c>
      <c r="O6" s="39">
        <f t="shared" si="5"/>
        <v>9.986161084970939E-2</v>
      </c>
      <c r="P6" s="37">
        <v>18065</v>
      </c>
    </row>
    <row r="7" spans="2:17" ht="14" customHeight="1" x14ac:dyDescent="0.3">
      <c r="B7" s="4" t="s">
        <v>215</v>
      </c>
      <c r="C7" t="s">
        <v>216</v>
      </c>
      <c r="D7" s="37">
        <v>19648</v>
      </c>
      <c r="E7" s="37">
        <v>18421</v>
      </c>
      <c r="F7" s="37">
        <v>30415</v>
      </c>
      <c r="G7" s="37">
        <v>3800</v>
      </c>
      <c r="H7" s="37">
        <v>1651</v>
      </c>
      <c r="I7" s="37">
        <v>1231</v>
      </c>
      <c r="J7" s="38">
        <f t="shared" si="0"/>
        <v>4.8476315789473681</v>
      </c>
      <c r="K7" s="38">
        <f t="shared" si="1"/>
        <v>0.60565510438928161</v>
      </c>
      <c r="L7" s="38">
        <f t="shared" si="2"/>
        <v>15.961007311129164</v>
      </c>
      <c r="M7" s="38">
        <f t="shared" si="3"/>
        <v>0.84594850598467231</v>
      </c>
      <c r="N7" s="39">
        <f t="shared" si="4"/>
        <v>5.4282426434325168E-2</v>
      </c>
      <c r="O7" s="39">
        <f t="shared" si="5"/>
        <v>5.300094721432877E-2</v>
      </c>
      <c r="P7" s="37">
        <v>23226</v>
      </c>
    </row>
    <row r="8" spans="2:17" ht="14" customHeight="1" x14ac:dyDescent="0.3">
      <c r="B8" s="4" t="s">
        <v>217</v>
      </c>
      <c r="C8" t="s">
        <v>218</v>
      </c>
      <c r="D8" s="37">
        <v>184047</v>
      </c>
      <c r="E8" s="37">
        <v>130873</v>
      </c>
      <c r="F8" s="37">
        <v>138155</v>
      </c>
      <c r="G8" s="37">
        <v>22036</v>
      </c>
      <c r="H8" s="37">
        <v>14818</v>
      </c>
      <c r="I8" s="37">
        <v>12940</v>
      </c>
      <c r="J8" s="38">
        <f t="shared" si="0"/>
        <v>5.9390542748230173</v>
      </c>
      <c r="K8" s="38">
        <f t="shared" si="1"/>
        <v>0.94729108609894686</v>
      </c>
      <c r="L8" s="38">
        <f t="shared" si="2"/>
        <v>14.223106646058733</v>
      </c>
      <c r="M8" s="38">
        <f t="shared" si="3"/>
        <v>0.91193186041095819</v>
      </c>
      <c r="N8" s="39">
        <f t="shared" si="4"/>
        <v>0.10725634251384315</v>
      </c>
      <c r="O8" s="39">
        <f t="shared" si="5"/>
        <v>6.4116221800506384E-2</v>
      </c>
      <c r="P8" s="37">
        <v>201821</v>
      </c>
    </row>
    <row r="9" spans="2:17" ht="14" customHeight="1" x14ac:dyDescent="0.3">
      <c r="B9" s="4" t="s">
        <v>219</v>
      </c>
      <c r="C9" t="s">
        <v>220</v>
      </c>
      <c r="D9" s="37">
        <v>10266</v>
      </c>
      <c r="E9" s="37">
        <v>6051</v>
      </c>
      <c r="F9" s="37">
        <v>12858</v>
      </c>
      <c r="G9" s="37">
        <v>1492</v>
      </c>
      <c r="H9" s="37">
        <v>285</v>
      </c>
      <c r="I9" s="37">
        <v>210</v>
      </c>
      <c r="J9" s="38">
        <f t="shared" si="0"/>
        <v>4.0556300268096512</v>
      </c>
      <c r="K9" s="38">
        <f t="shared" si="1"/>
        <v>0.47060195986934206</v>
      </c>
      <c r="L9" s="38">
        <f t="shared" si="2"/>
        <v>48.885714285714286</v>
      </c>
      <c r="M9" s="38">
        <f t="shared" si="3"/>
        <v>0.67080501829587036</v>
      </c>
      <c r="N9" s="39">
        <f t="shared" si="4"/>
        <v>2.2165188987400841E-2</v>
      </c>
      <c r="O9" s="39">
        <f t="shared" si="5"/>
        <v>1.3721902770517512E-2</v>
      </c>
      <c r="P9" s="37">
        <v>15304</v>
      </c>
    </row>
    <row r="10" spans="2:17" ht="14" customHeight="1" x14ac:dyDescent="0.3">
      <c r="B10" s="4" t="s">
        <v>221</v>
      </c>
      <c r="C10" t="s">
        <v>222</v>
      </c>
      <c r="D10" s="37">
        <v>144887</v>
      </c>
      <c r="E10" s="37">
        <v>133238</v>
      </c>
      <c r="F10" s="37">
        <v>52699</v>
      </c>
      <c r="G10" s="37">
        <v>14831</v>
      </c>
      <c r="H10" s="37">
        <v>11557</v>
      </c>
      <c r="I10" s="37">
        <v>9074</v>
      </c>
      <c r="J10" s="38">
        <f t="shared" si="0"/>
        <v>8.9837502528487629</v>
      </c>
      <c r="K10" s="38">
        <f t="shared" si="1"/>
        <v>2.5282832691322414</v>
      </c>
      <c r="L10" s="38">
        <f t="shared" si="2"/>
        <v>15.96726912056425</v>
      </c>
      <c r="M10" s="38">
        <f t="shared" si="3"/>
        <v>3.1126364183208732</v>
      </c>
      <c r="N10" s="39">
        <f t="shared" si="4"/>
        <v>0.21930207404315072</v>
      </c>
      <c r="O10" s="39">
        <f t="shared" si="5"/>
        <v>0.19493855804760676</v>
      </c>
      <c r="P10" s="37">
        <v>46548</v>
      </c>
    </row>
    <row r="14" spans="2:17" ht="14" customHeight="1" x14ac:dyDescent="0.3">
      <c r="B14" s="3" t="s">
        <v>223</v>
      </c>
    </row>
    <row r="15" spans="2:17" ht="14" customHeight="1" x14ac:dyDescent="0.3">
      <c r="B15" s="4" t="s">
        <v>224</v>
      </c>
      <c r="D15" s="38">
        <f t="shared" ref="D15:I15" si="6">PERCENTILE(J6:J10,0.25)</f>
        <v>4.8476315789473681</v>
      </c>
      <c r="E15" s="38">
        <f t="shared" si="6"/>
        <v>0.60565510438928161</v>
      </c>
      <c r="F15" s="38">
        <f t="shared" si="6"/>
        <v>15.488913525498891</v>
      </c>
      <c r="G15" s="38">
        <f t="shared" si="6"/>
        <v>0.84594850598467231</v>
      </c>
      <c r="H15" s="39">
        <f t="shared" si="6"/>
        <v>3.1870746417307583E-2</v>
      </c>
      <c r="I15" s="39">
        <f t="shared" si="6"/>
        <v>5.300094721432877E-2</v>
      </c>
    </row>
    <row r="16" spans="2:17" ht="14" customHeight="1" x14ac:dyDescent="0.3">
      <c r="B16" s="4" t="s">
        <v>225</v>
      </c>
      <c r="D16" s="38">
        <f t="shared" ref="D16:I16" si="7">MEDIAN(J6:J10)</f>
        <v>5.9390542748230173</v>
      </c>
      <c r="E16" s="38">
        <f t="shared" si="7"/>
        <v>0.94729108609894686</v>
      </c>
      <c r="F16" s="38">
        <f t="shared" si="7"/>
        <v>15.961007311129164</v>
      </c>
      <c r="G16" s="38">
        <f t="shared" si="7"/>
        <v>0.91193186041095819</v>
      </c>
      <c r="H16" s="39">
        <f t="shared" si="7"/>
        <v>5.4282426434325168E-2</v>
      </c>
      <c r="I16" s="39">
        <f t="shared" si="7"/>
        <v>6.4116221800506384E-2</v>
      </c>
    </row>
    <row r="17" spans="2:9" ht="14" customHeight="1" x14ac:dyDescent="0.3">
      <c r="B17" s="4" t="s">
        <v>226</v>
      </c>
      <c r="D17" s="38">
        <f t="shared" ref="D17:I17" si="8">PERCENTILE(J6:J10,0.75)</f>
        <v>8.9837502528487629</v>
      </c>
      <c r="E17" s="38">
        <f t="shared" si="8"/>
        <v>1.1170807281580257</v>
      </c>
      <c r="F17" s="38">
        <f t="shared" si="8"/>
        <v>15.96726912056425</v>
      </c>
      <c r="G17" s="38">
        <f t="shared" si="8"/>
        <v>1.5467478549681706</v>
      </c>
      <c r="H17" s="39">
        <f t="shared" si="8"/>
        <v>0.10725634251384315</v>
      </c>
      <c r="I17" s="39">
        <f t="shared" si="8"/>
        <v>9.986161084970939E-2</v>
      </c>
    </row>
    <row r="19" spans="2:9" ht="14" customHeight="1" x14ac:dyDescent="0.3">
      <c r="B19" s="22" t="s">
        <v>227</v>
      </c>
      <c r="C19" s="23"/>
      <c r="D19" s="23"/>
      <c r="E19" s="23"/>
      <c r="F19" s="23"/>
      <c r="G19" s="23"/>
      <c r="H19" s="23"/>
      <c r="I19" s="23"/>
    </row>
    <row r="20" spans="2:9" ht="14" customHeight="1" x14ac:dyDescent="0.3">
      <c r="B20" s="3" t="s">
        <v>228</v>
      </c>
    </row>
    <row r="21" spans="2:9" ht="14" customHeight="1" x14ac:dyDescent="0.3">
      <c r="B21" s="4" t="s">
        <v>229</v>
      </c>
      <c r="C21" s="5">
        <v>2433</v>
      </c>
    </row>
    <row r="22" spans="2:9" ht="14" customHeight="1" x14ac:dyDescent="0.3">
      <c r="B22" s="4" t="s">
        <v>230</v>
      </c>
      <c r="C22" s="5">
        <v>1750</v>
      </c>
    </row>
    <row r="23" spans="2:9" ht="14" customHeight="1" x14ac:dyDescent="0.3">
      <c r="B23" s="4" t="s">
        <v>231</v>
      </c>
      <c r="C23" s="15">
        <v>4241897</v>
      </c>
    </row>
    <row r="24" spans="2:9" ht="14" customHeight="1" x14ac:dyDescent="0.3">
      <c r="B24" s="4" t="s">
        <v>72</v>
      </c>
      <c r="C24" s="5">
        <v>1124</v>
      </c>
    </row>
    <row r="26" spans="2:9" ht="14" customHeight="1" x14ac:dyDescent="0.3">
      <c r="B26" s="3" t="s">
        <v>232</v>
      </c>
    </row>
    <row r="27" spans="2:9" ht="14" customHeight="1" x14ac:dyDescent="0.3">
      <c r="B27" s="4" t="s">
        <v>233</v>
      </c>
      <c r="C27" s="24">
        <f>ROUND((C21*D16-C24)*1000000/C23,0)</f>
        <v>3141</v>
      </c>
    </row>
    <row r="28" spans="2:9" ht="14" customHeight="1" x14ac:dyDescent="0.3">
      <c r="B28" s="4" t="s">
        <v>234</v>
      </c>
      <c r="C28" s="24">
        <f>ROUND(C22*F16*1000000/C23,0)</f>
        <v>6585</v>
      </c>
    </row>
    <row r="29" spans="2:9" ht="14" customHeight="1" x14ac:dyDescent="0.3">
      <c r="B29" s="4" t="s">
        <v>235</v>
      </c>
      <c r="C29" s="5">
        <f>ROUND((1953+0)*(1-'DCF Model'!C6),0)</f>
        <v>1465</v>
      </c>
      <c r="D29" s="1" t="s">
        <v>236</v>
      </c>
    </row>
    <row r="30" spans="2:9" ht="14" customHeight="1" x14ac:dyDescent="0.3">
      <c r="B30" s="4" t="s">
        <v>237</v>
      </c>
      <c r="C30" s="5">
        <f>ROUND(C29*F16*1000000/C23,0)</f>
        <v>5512</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238</v>
      </c>
    </row>
    <row r="3" spans="2:9" ht="14" customHeight="1" x14ac:dyDescent="0.3">
      <c r="B3" s="4" t="s">
        <v>239</v>
      </c>
      <c r="C3" s="16">
        <f>'DCF Model'!C26</f>
        <v>0.12187152112419015</v>
      </c>
      <c r="E3" s="4" t="s">
        <v>240</v>
      </c>
      <c r="F3" s="16">
        <f>'DCF Model'!C13</f>
        <v>0.01</v>
      </c>
      <c r="H3" s="4" t="s">
        <v>241</v>
      </c>
      <c r="I3" s="14">
        <f>'DCF Model'!C14</f>
        <v>5.5</v>
      </c>
    </row>
    <row r="5" spans="2:9" ht="14" customHeight="1" x14ac:dyDescent="0.3">
      <c r="B5" s="3" t="s">
        <v>242</v>
      </c>
    </row>
    <row r="6" spans="2:9" ht="14" customHeight="1" x14ac:dyDescent="0.3">
      <c r="B6" s="40" t="s">
        <v>243</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0.10687152112419016</v>
      </c>
      <c r="C7" s="37">
        <f>IFERROR(ROUND(('DCF Model'!C45/(1+$B7)^('DCF Model'!C19+0)+'DCF Model'!D45/(1+$B7)^('DCF Model'!C19+1)+'DCF Model'!E45/(1+$B7)^('DCF Model'!C19+2)+'DCF Model'!F45/(1+$B7)^('DCF Model'!C19+3)+'DCF Model'!G45/(1+$B7)^('DCF Model'!C19+4)+'DCF Model'!G45*(1+C$6)/($B7-C$6)/(1+$B7)^('DCF Model'!C19+4)-'DCF Model'!C16)*1000000/'DCF Model'!C15,0),"")</f>
        <v>3224</v>
      </c>
      <c r="D7" s="37">
        <f>IFERROR(ROUND(('DCF Model'!C45/(1+$B7)^('DCF Model'!C19+0)+'DCF Model'!D45/(1+$B7)^('DCF Model'!C19+1)+'DCF Model'!E45/(1+$B7)^('DCF Model'!C19+2)+'DCF Model'!F45/(1+$B7)^('DCF Model'!C19+3)+'DCF Model'!G45/(1+$B7)^('DCF Model'!C19+4)+'DCF Model'!G45*(1+D$6)/($B7-D$6)/(1+$B7)^('DCF Model'!C19+4)-'DCF Model'!C16)*1000000/'DCF Model'!C15,0),"")</f>
        <v>3287</v>
      </c>
      <c r="E7" s="37">
        <f>IFERROR(ROUND(('DCF Model'!C45/(1+$B7)^('DCF Model'!C19+0)+'DCF Model'!D45/(1+$B7)^('DCF Model'!C19+1)+'DCF Model'!E45/(1+$B7)^('DCF Model'!C19+2)+'DCF Model'!F45/(1+$B7)^('DCF Model'!C19+3)+'DCF Model'!G45/(1+$B7)^('DCF Model'!C19+4)+'DCF Model'!G45*(1+E$6)/($B7-E$6)/(1+$B7)^('DCF Model'!C19+4)-'DCF Model'!C16)*1000000/'DCF Model'!C15,0),"")</f>
        <v>3354</v>
      </c>
      <c r="F7" s="37">
        <f>IFERROR(ROUND(('DCF Model'!C45/(1+$B7)^('DCF Model'!C19+0)+'DCF Model'!D45/(1+$B7)^('DCF Model'!C19+1)+'DCF Model'!E45/(1+$B7)^('DCF Model'!C19+2)+'DCF Model'!F45/(1+$B7)^('DCF Model'!C19+3)+'DCF Model'!G45/(1+$B7)^('DCF Model'!C19+4)+'DCF Model'!G45*(1+F$6)/($B7-F$6)/(1+$B7)^('DCF Model'!C19+4)-'DCF Model'!C16)*1000000/'DCF Model'!C15,0),"")</f>
        <v>3424</v>
      </c>
      <c r="G7" s="37">
        <f>IFERROR(ROUND(('DCF Model'!C45/(1+$B7)^('DCF Model'!C19+0)+'DCF Model'!D45/(1+$B7)^('DCF Model'!C19+1)+'DCF Model'!E45/(1+$B7)^('DCF Model'!C19+2)+'DCF Model'!F45/(1+$B7)^('DCF Model'!C19+3)+'DCF Model'!G45/(1+$B7)^('DCF Model'!C19+4)+'DCF Model'!G45*(1+G$6)/($B7-G$6)/(1+$B7)^('DCF Model'!C19+4)-'DCF Model'!C16)*1000000/'DCF Model'!C15,0),"")</f>
        <v>3497</v>
      </c>
      <c r="H7" s="37">
        <f>IFERROR(ROUND(('DCF Model'!C45/(1+$B7)^('DCF Model'!C19+0)+'DCF Model'!D45/(1+$B7)^('DCF Model'!C19+1)+'DCF Model'!E45/(1+$B7)^('DCF Model'!C19+2)+'DCF Model'!F45/(1+$B7)^('DCF Model'!C19+3)+'DCF Model'!G45/(1+$B7)^('DCF Model'!C19+4)+'DCF Model'!G45*(1+H$6)/($B7-H$6)/(1+$B7)^('DCF Model'!C19+4)-'DCF Model'!C16)*1000000/'DCF Model'!C15,0),"")</f>
        <v>3575</v>
      </c>
      <c r="I7" s="37">
        <f>IFERROR(ROUND(('DCF Model'!C45/(1+$B7)^('DCF Model'!C19+0)+'DCF Model'!D45/(1+$B7)^('DCF Model'!C19+1)+'DCF Model'!E45/(1+$B7)^('DCF Model'!C19+2)+'DCF Model'!F45/(1+$B7)^('DCF Model'!C19+3)+'DCF Model'!G45/(1+$B7)^('DCF Model'!C19+4)+'DCF Model'!G45*(1+I$6)/($B7-I$6)/(1+$B7)^('DCF Model'!C19+4)-'DCF Model'!C16)*1000000/'DCF Model'!C15,0),"")</f>
        <v>3656</v>
      </c>
    </row>
    <row r="8" spans="2:9" ht="13.5" customHeight="1" x14ac:dyDescent="0.25">
      <c r="B8" s="39">
        <f>$C$3-0.01</f>
        <v>0.11187152112419016</v>
      </c>
      <c r="C8" s="37">
        <f>IFERROR(ROUND(('DCF Model'!C45/(1+$B8)^('DCF Model'!C19+0)+'DCF Model'!D45/(1+$B8)^('DCF Model'!C19+1)+'DCF Model'!E45/(1+$B8)^('DCF Model'!C19+2)+'DCF Model'!F45/(1+$B8)^('DCF Model'!C19+3)+'DCF Model'!G45/(1+$B8)^('DCF Model'!C19+4)+'DCF Model'!G45*(1+C$6)/($B8-C$6)/(1+$B8)^('DCF Model'!C19+4)-'DCF Model'!C16)*1000000/'DCF Model'!C15,0),"")</f>
        <v>3053</v>
      </c>
      <c r="D8" s="37">
        <f>IFERROR(ROUND(('DCF Model'!C45/(1+$B8)^('DCF Model'!C19+0)+'DCF Model'!D45/(1+$B8)^('DCF Model'!C19+1)+'DCF Model'!E45/(1+$B8)^('DCF Model'!C19+2)+'DCF Model'!F45/(1+$B8)^('DCF Model'!C19+3)+'DCF Model'!G45/(1+$B8)^('DCF Model'!C19+4)+'DCF Model'!G45*(1+D$6)/($B8-D$6)/(1+$B8)^('DCF Model'!C19+4)-'DCF Model'!C16)*1000000/'DCF Model'!C15,0),"")</f>
        <v>3110</v>
      </c>
      <c r="E8" s="37">
        <f>IFERROR(ROUND(('DCF Model'!C45/(1+$B8)^('DCF Model'!C19+0)+'DCF Model'!D45/(1+$B8)^('DCF Model'!C19+1)+'DCF Model'!E45/(1+$B8)^('DCF Model'!C19+2)+'DCF Model'!F45/(1+$B8)^('DCF Model'!C19+3)+'DCF Model'!G45/(1+$B8)^('DCF Model'!C19+4)+'DCF Model'!G45*(1+E$6)/($B8-E$6)/(1+$B8)^('DCF Model'!C19+4)-'DCF Model'!C16)*1000000/'DCF Model'!C15,0),"")</f>
        <v>3169</v>
      </c>
      <c r="F8" s="37">
        <f>IFERROR(ROUND(('DCF Model'!C45/(1+$B8)^('DCF Model'!C19+0)+'DCF Model'!D45/(1+$B8)^('DCF Model'!C19+1)+'DCF Model'!E45/(1+$B8)^('DCF Model'!C19+2)+'DCF Model'!F45/(1+$B8)^('DCF Model'!C19+3)+'DCF Model'!G45/(1+$B8)^('DCF Model'!C19+4)+'DCF Model'!G45*(1+F$6)/($B8-F$6)/(1+$B8)^('DCF Model'!C19+4)-'DCF Model'!C16)*1000000/'DCF Model'!C15,0),"")</f>
        <v>3231</v>
      </c>
      <c r="G8" s="37">
        <f>IFERROR(ROUND(('DCF Model'!C45/(1+$B8)^('DCF Model'!C19+0)+'DCF Model'!D45/(1+$B8)^('DCF Model'!C19+1)+'DCF Model'!E45/(1+$B8)^('DCF Model'!C19+2)+'DCF Model'!F45/(1+$B8)^('DCF Model'!C19+3)+'DCF Model'!G45/(1+$B8)^('DCF Model'!C19+4)+'DCF Model'!G45*(1+G$6)/($B8-G$6)/(1+$B8)^('DCF Model'!C19+4)-'DCF Model'!C16)*1000000/'DCF Model'!C15,0),"")</f>
        <v>3296</v>
      </c>
      <c r="H8" s="37">
        <f>IFERROR(ROUND(('DCF Model'!C45/(1+$B8)^('DCF Model'!C19+0)+'DCF Model'!D45/(1+$B8)^('DCF Model'!C19+1)+'DCF Model'!E45/(1+$B8)^('DCF Model'!C19+2)+'DCF Model'!F45/(1+$B8)^('DCF Model'!C19+3)+'DCF Model'!G45/(1+$B8)^('DCF Model'!C19+4)+'DCF Model'!G45*(1+H$6)/($B8-H$6)/(1+$B8)^('DCF Model'!C19+4)-'DCF Model'!C16)*1000000/'DCF Model'!C15,0),"")</f>
        <v>3365</v>
      </c>
      <c r="I8" s="37">
        <f>IFERROR(ROUND(('DCF Model'!C45/(1+$B8)^('DCF Model'!C19+0)+'DCF Model'!D45/(1+$B8)^('DCF Model'!C19+1)+'DCF Model'!E45/(1+$B8)^('DCF Model'!C19+2)+'DCF Model'!F45/(1+$B8)^('DCF Model'!C19+3)+'DCF Model'!G45/(1+$B8)^('DCF Model'!C19+4)+'DCF Model'!G45*(1+I$6)/($B8-I$6)/(1+$B8)^('DCF Model'!C19+4)-'DCF Model'!C16)*1000000/'DCF Model'!C15,0),"")</f>
        <v>3437</v>
      </c>
    </row>
    <row r="9" spans="2:9" ht="13.5" customHeight="1" x14ac:dyDescent="0.25">
      <c r="B9" s="39">
        <f>$C$3-0.005</f>
        <v>0.11687152112419015</v>
      </c>
      <c r="C9" s="37">
        <f>IFERROR(ROUND(('DCF Model'!C45/(1+$B9)^('DCF Model'!C19+0)+'DCF Model'!D45/(1+$B9)^('DCF Model'!C19+1)+'DCF Model'!E45/(1+$B9)^('DCF Model'!C19+2)+'DCF Model'!F45/(1+$B9)^('DCF Model'!C19+3)+'DCF Model'!G45/(1+$B9)^('DCF Model'!C19+4)+'DCF Model'!G45*(1+C$6)/($B9-C$6)/(1+$B9)^('DCF Model'!C19+4)-'DCF Model'!C16)*1000000/'DCF Model'!C15,0),"")</f>
        <v>2897</v>
      </c>
      <c r="D9" s="37">
        <f>IFERROR(ROUND(('DCF Model'!C45/(1+$B9)^('DCF Model'!C19+0)+'DCF Model'!D45/(1+$B9)^('DCF Model'!C19+1)+'DCF Model'!E45/(1+$B9)^('DCF Model'!C19+2)+'DCF Model'!F45/(1+$B9)^('DCF Model'!C19+3)+'DCF Model'!G45/(1+$B9)^('DCF Model'!C19+4)+'DCF Model'!G45*(1+D$6)/($B9-D$6)/(1+$B9)^('DCF Model'!C19+4)-'DCF Model'!C16)*1000000/'DCF Model'!C15,0),"")</f>
        <v>2948</v>
      </c>
      <c r="E9" s="37">
        <f>IFERROR(ROUND(('DCF Model'!C45/(1+$B9)^('DCF Model'!C19+0)+'DCF Model'!D45/(1+$B9)^('DCF Model'!C19+1)+'DCF Model'!E45/(1+$B9)^('DCF Model'!C19+2)+'DCF Model'!F45/(1+$B9)^('DCF Model'!C19+3)+'DCF Model'!G45/(1+$B9)^('DCF Model'!C19+4)+'DCF Model'!G45*(1+E$6)/($B9-E$6)/(1+$B9)^('DCF Model'!C19+4)-'DCF Model'!C16)*1000000/'DCF Model'!C15,0),"")</f>
        <v>3001</v>
      </c>
      <c r="F9" s="37">
        <f>IFERROR(ROUND(('DCF Model'!C45/(1+$B9)^('DCF Model'!C19+0)+'DCF Model'!D45/(1+$B9)^('DCF Model'!C19+1)+'DCF Model'!E45/(1+$B9)^('DCF Model'!C19+2)+'DCF Model'!F45/(1+$B9)^('DCF Model'!C19+3)+'DCF Model'!G45/(1+$B9)^('DCF Model'!C19+4)+'DCF Model'!G45*(1+F$6)/($B9-F$6)/(1+$B9)^('DCF Model'!C19+4)-'DCF Model'!C16)*1000000/'DCF Model'!C15,0),"")</f>
        <v>3056</v>
      </c>
      <c r="G9" s="37">
        <f>IFERROR(ROUND(('DCF Model'!C45/(1+$B9)^('DCF Model'!C19+0)+'DCF Model'!D45/(1+$B9)^('DCF Model'!C19+1)+'DCF Model'!E45/(1+$B9)^('DCF Model'!C19+2)+'DCF Model'!F45/(1+$B9)^('DCF Model'!C19+3)+'DCF Model'!G45/(1+$B9)^('DCF Model'!C19+4)+'DCF Model'!G45*(1+G$6)/($B9-G$6)/(1+$B9)^('DCF Model'!C19+4)-'DCF Model'!C16)*1000000/'DCF Model'!C15,0),"")</f>
        <v>3115</v>
      </c>
      <c r="H9" s="37">
        <f>IFERROR(ROUND(('DCF Model'!C45/(1+$B9)^('DCF Model'!C19+0)+'DCF Model'!D45/(1+$B9)^('DCF Model'!C19+1)+'DCF Model'!E45/(1+$B9)^('DCF Model'!C19+2)+'DCF Model'!F45/(1+$B9)^('DCF Model'!C19+3)+'DCF Model'!G45/(1+$B9)^('DCF Model'!C19+4)+'DCF Model'!G45*(1+H$6)/($B9-H$6)/(1+$B9)^('DCF Model'!C19+4)-'DCF Model'!C16)*1000000/'DCF Model'!C15,0),"")</f>
        <v>3176</v>
      </c>
      <c r="I9" s="37">
        <f>IFERROR(ROUND(('DCF Model'!C45/(1+$B9)^('DCF Model'!C19+0)+'DCF Model'!D45/(1+$B9)^('DCF Model'!C19+1)+'DCF Model'!E45/(1+$B9)^('DCF Model'!C19+2)+'DCF Model'!F45/(1+$B9)^('DCF Model'!C19+3)+'DCF Model'!G45/(1+$B9)^('DCF Model'!C19+4)+'DCF Model'!G45*(1+I$6)/($B9-I$6)/(1+$B9)^('DCF Model'!C19+4)-'DCF Model'!C16)*1000000/'DCF Model'!C15,0),"")</f>
        <v>3240</v>
      </c>
    </row>
    <row r="10" spans="2:9" ht="13.5" customHeight="1" x14ac:dyDescent="0.25">
      <c r="B10" s="39">
        <f>$C$3</f>
        <v>0.12187152112419015</v>
      </c>
      <c r="C10" s="37">
        <f>IFERROR(ROUND(('DCF Model'!C45/(1+$B10)^('DCF Model'!C19+0)+'DCF Model'!D45/(1+$B10)^('DCF Model'!C19+1)+'DCF Model'!E45/(1+$B10)^('DCF Model'!C19+2)+'DCF Model'!F45/(1+$B10)^('DCF Model'!C19+3)+'DCF Model'!G45/(1+$B10)^('DCF Model'!C19+4)+'DCF Model'!G45*(1+C$6)/($B10-C$6)/(1+$B10)^('DCF Model'!C19+4)-'DCF Model'!C16)*1000000/'DCF Model'!C15,0),"")</f>
        <v>2755</v>
      </c>
      <c r="D10" s="37">
        <f>IFERROR(ROUND(('DCF Model'!C45/(1+$B10)^('DCF Model'!C19+0)+'DCF Model'!D45/(1+$B10)^('DCF Model'!C19+1)+'DCF Model'!E45/(1+$B10)^('DCF Model'!C19+2)+'DCF Model'!F45/(1+$B10)^('DCF Model'!C19+3)+'DCF Model'!G45/(1+$B10)^('DCF Model'!C19+4)+'DCF Model'!G45*(1+D$6)/($B10-D$6)/(1+$B10)^('DCF Model'!C19+4)-'DCF Model'!C16)*1000000/'DCF Model'!C15,0),"")</f>
        <v>2800</v>
      </c>
      <c r="E10" s="37">
        <f>IFERROR(ROUND(('DCF Model'!C45/(1+$B10)^('DCF Model'!C19+0)+'DCF Model'!D45/(1+$B10)^('DCF Model'!C19+1)+'DCF Model'!E45/(1+$B10)^('DCF Model'!C19+2)+'DCF Model'!F45/(1+$B10)^('DCF Model'!C19+3)+'DCF Model'!G45/(1+$B10)^('DCF Model'!C19+4)+'DCF Model'!G45*(1+E$6)/($B10-E$6)/(1+$B10)^('DCF Model'!C19+4)-'DCF Model'!C16)*1000000/'DCF Model'!C15,0),"")</f>
        <v>2848</v>
      </c>
      <c r="F10" s="37">
        <f>IFERROR(ROUND(('DCF Model'!C45/(1+$B10)^('DCF Model'!C19+0)+'DCF Model'!D45/(1+$B10)^('DCF Model'!C19+1)+'DCF Model'!E45/(1+$B10)^('DCF Model'!C19+2)+'DCF Model'!F45/(1+$B10)^('DCF Model'!C19+3)+'DCF Model'!G45/(1+$B10)^('DCF Model'!C19+4)+'DCF Model'!G45*(1+F$6)/($B10-F$6)/(1+$B10)^('DCF Model'!C19+4)-'DCF Model'!C16)*1000000/'DCF Model'!C15,0),"")</f>
        <v>2898</v>
      </c>
      <c r="G10" s="37">
        <f>IFERROR(ROUND(('DCF Model'!C45/(1+$B10)^('DCF Model'!C19+0)+'DCF Model'!D45/(1+$B10)^('DCF Model'!C19+1)+'DCF Model'!E45/(1+$B10)^('DCF Model'!C19+2)+'DCF Model'!F45/(1+$B10)^('DCF Model'!C19+3)+'DCF Model'!G45/(1+$B10)^('DCF Model'!C19+4)+'DCF Model'!G45*(1+G$6)/($B10-G$6)/(1+$B10)^('DCF Model'!C19+4)-'DCF Model'!C16)*1000000/'DCF Model'!C15,0),"")</f>
        <v>2950</v>
      </c>
      <c r="H10" s="37">
        <f>IFERROR(ROUND(('DCF Model'!C45/(1+$B10)^('DCF Model'!C19+0)+'DCF Model'!D45/(1+$B10)^('DCF Model'!C19+1)+'DCF Model'!E45/(1+$B10)^('DCF Model'!C19+2)+'DCF Model'!F45/(1+$B10)^('DCF Model'!C19+3)+'DCF Model'!G45/(1+$B10)^('DCF Model'!C19+4)+'DCF Model'!G45*(1+H$6)/($B10-H$6)/(1+$B10)^('DCF Model'!C19+4)-'DCF Model'!C16)*1000000/'DCF Model'!C15,0),"")</f>
        <v>3004</v>
      </c>
      <c r="I10" s="37">
        <f>IFERROR(ROUND(('DCF Model'!C45/(1+$B10)^('DCF Model'!C19+0)+'DCF Model'!D45/(1+$B10)^('DCF Model'!C19+1)+'DCF Model'!E45/(1+$B10)^('DCF Model'!C19+2)+'DCF Model'!F45/(1+$B10)^('DCF Model'!C19+3)+'DCF Model'!G45/(1+$B10)^('DCF Model'!C19+4)+'DCF Model'!G45*(1+I$6)/($B10-I$6)/(1+$B10)^('DCF Model'!C19+4)-'DCF Model'!C16)*1000000/'DCF Model'!C15,0),"")</f>
        <v>3062</v>
      </c>
    </row>
    <row r="11" spans="2:9" ht="13.5" customHeight="1" x14ac:dyDescent="0.25">
      <c r="B11" s="39">
        <f>$C$3+0.005</f>
        <v>0.12687152112419015</v>
      </c>
      <c r="C11" s="37">
        <f>IFERROR(ROUND(('DCF Model'!C45/(1+$B11)^('DCF Model'!C19+0)+'DCF Model'!D45/(1+$B11)^('DCF Model'!C19+1)+'DCF Model'!E45/(1+$B11)^('DCF Model'!C19+2)+'DCF Model'!F45/(1+$B11)^('DCF Model'!C19+3)+'DCF Model'!G45/(1+$B11)^('DCF Model'!C19+4)+'DCF Model'!G45*(1+C$6)/($B11-C$6)/(1+$B11)^('DCF Model'!C19+4)-'DCF Model'!C16)*1000000/'DCF Model'!C15,0),"")</f>
        <v>2623</v>
      </c>
      <c r="D11" s="37">
        <f>IFERROR(ROUND(('DCF Model'!C45/(1+$B11)^('DCF Model'!C19+0)+'DCF Model'!D45/(1+$B11)^('DCF Model'!C19+1)+'DCF Model'!E45/(1+$B11)^('DCF Model'!C19+2)+'DCF Model'!F45/(1+$B11)^('DCF Model'!C19+3)+'DCF Model'!G45/(1+$B11)^('DCF Model'!C19+4)+'DCF Model'!G45*(1+D$6)/($B11-D$6)/(1+$B11)^('DCF Model'!C19+4)-'DCF Model'!C16)*1000000/'DCF Model'!C15,0),"")</f>
        <v>2665</v>
      </c>
      <c r="E11" s="37">
        <f>IFERROR(ROUND(('DCF Model'!C45/(1+$B11)^('DCF Model'!C19+0)+'DCF Model'!D45/(1+$B11)^('DCF Model'!C19+1)+'DCF Model'!E45/(1+$B11)^('DCF Model'!C19+2)+'DCF Model'!F45/(1+$B11)^('DCF Model'!C19+3)+'DCF Model'!G45/(1+$B11)^('DCF Model'!C19+4)+'DCF Model'!G45*(1+E$6)/($B11-E$6)/(1+$B11)^('DCF Model'!C19+4)-'DCF Model'!C16)*1000000/'DCF Model'!C15,0),"")</f>
        <v>2708</v>
      </c>
      <c r="F11" s="37">
        <f>IFERROR(ROUND(('DCF Model'!C45/(1+$B11)^('DCF Model'!C19+0)+'DCF Model'!D45/(1+$B11)^('DCF Model'!C19+1)+'DCF Model'!E45/(1+$B11)^('DCF Model'!C19+2)+'DCF Model'!F45/(1+$B11)^('DCF Model'!C19+3)+'DCF Model'!G45/(1+$B11)^('DCF Model'!C19+4)+'DCF Model'!G45*(1+F$6)/($B11-F$6)/(1+$B11)^('DCF Model'!C19+4)-'DCF Model'!C16)*1000000/'DCF Model'!C15,0),"")</f>
        <v>2753</v>
      </c>
      <c r="G11" s="37">
        <f>IFERROR(ROUND(('DCF Model'!C45/(1+$B11)^('DCF Model'!C19+0)+'DCF Model'!D45/(1+$B11)^('DCF Model'!C19+1)+'DCF Model'!E45/(1+$B11)^('DCF Model'!C19+2)+'DCF Model'!F45/(1+$B11)^('DCF Model'!C19+3)+'DCF Model'!G45/(1+$B11)^('DCF Model'!C19+4)+'DCF Model'!G45*(1+G$6)/($B11-G$6)/(1+$B11)^('DCF Model'!C19+4)-'DCF Model'!C16)*1000000/'DCF Model'!C15,0),"")</f>
        <v>2800</v>
      </c>
      <c r="H11" s="37">
        <f>IFERROR(ROUND(('DCF Model'!C45/(1+$B11)^('DCF Model'!C19+0)+'DCF Model'!D45/(1+$B11)^('DCF Model'!C19+1)+'DCF Model'!E45/(1+$B11)^('DCF Model'!C19+2)+'DCF Model'!F45/(1+$B11)^('DCF Model'!C19+3)+'DCF Model'!G45/(1+$B11)^('DCF Model'!C19+4)+'DCF Model'!G45*(1+H$6)/($B11-H$6)/(1+$B11)^('DCF Model'!C19+4)-'DCF Model'!C16)*1000000/'DCF Model'!C15,0),"")</f>
        <v>2849</v>
      </c>
      <c r="I11" s="37">
        <f>IFERROR(ROUND(('DCF Model'!C45/(1+$B11)^('DCF Model'!C19+0)+'DCF Model'!D45/(1+$B11)^('DCF Model'!C19+1)+'DCF Model'!E45/(1+$B11)^('DCF Model'!C19+2)+'DCF Model'!F45/(1+$B11)^('DCF Model'!C19+3)+'DCF Model'!G45/(1+$B11)^('DCF Model'!C19+4)+'DCF Model'!G45*(1+I$6)/($B11-I$6)/(1+$B11)^('DCF Model'!C19+4)-'DCF Model'!C16)*1000000/'DCF Model'!C15,0),"")</f>
        <v>2900</v>
      </c>
    </row>
    <row r="12" spans="2:9" ht="13.5" customHeight="1" x14ac:dyDescent="0.25">
      <c r="B12" s="39">
        <f>$C$3+0.01</f>
        <v>0.13187152112419015</v>
      </c>
      <c r="C12" s="37">
        <f>IFERROR(ROUND(('DCF Model'!C45/(1+$B12)^('DCF Model'!C19+0)+'DCF Model'!D45/(1+$B12)^('DCF Model'!C19+1)+'DCF Model'!E45/(1+$B12)^('DCF Model'!C19+2)+'DCF Model'!F45/(1+$B12)^('DCF Model'!C19+3)+'DCF Model'!G45/(1+$B12)^('DCF Model'!C19+4)+'DCF Model'!G45*(1+C$6)/($B12-C$6)/(1+$B12)^('DCF Model'!C19+4)-'DCF Model'!C16)*1000000/'DCF Model'!C15,0),"")</f>
        <v>2503</v>
      </c>
      <c r="D12" s="37">
        <f>IFERROR(ROUND(('DCF Model'!C45/(1+$B12)^('DCF Model'!C19+0)+'DCF Model'!D45/(1+$B12)^('DCF Model'!C19+1)+'DCF Model'!E45/(1+$B12)^('DCF Model'!C19+2)+'DCF Model'!F45/(1+$B12)^('DCF Model'!C19+3)+'DCF Model'!G45/(1+$B12)^('DCF Model'!C19+4)+'DCF Model'!G45*(1+D$6)/($B12-D$6)/(1+$B12)^('DCF Model'!C19+4)-'DCF Model'!C16)*1000000/'DCF Model'!C15,0),"")</f>
        <v>2540</v>
      </c>
      <c r="E12" s="37">
        <f>IFERROR(ROUND(('DCF Model'!C45/(1+$B12)^('DCF Model'!C19+0)+'DCF Model'!D45/(1+$B12)^('DCF Model'!C19+1)+'DCF Model'!E45/(1+$B12)^('DCF Model'!C19+2)+'DCF Model'!F45/(1+$B12)^('DCF Model'!C19+3)+'DCF Model'!G45/(1+$B12)^('DCF Model'!C19+4)+'DCF Model'!G45*(1+E$6)/($B12-E$6)/(1+$B12)^('DCF Model'!C19+4)-'DCF Model'!C16)*1000000/'DCF Model'!C15,0),"")</f>
        <v>2579</v>
      </c>
      <c r="F12" s="37">
        <f>IFERROR(ROUND(('DCF Model'!C45/(1+$B12)^('DCF Model'!C19+0)+'DCF Model'!D45/(1+$B12)^('DCF Model'!C19+1)+'DCF Model'!E45/(1+$B12)^('DCF Model'!C19+2)+'DCF Model'!F45/(1+$B12)^('DCF Model'!C19+3)+'DCF Model'!G45/(1+$B12)^('DCF Model'!C19+4)+'DCF Model'!G45*(1+F$6)/($B12-F$6)/(1+$B12)^('DCF Model'!C19+4)-'DCF Model'!C16)*1000000/'DCF Model'!C15,0),"")</f>
        <v>2620</v>
      </c>
      <c r="G12" s="37">
        <f>IFERROR(ROUND(('DCF Model'!C45/(1+$B12)^('DCF Model'!C19+0)+'DCF Model'!D45/(1+$B12)^('DCF Model'!C19+1)+'DCF Model'!E45/(1+$B12)^('DCF Model'!C19+2)+'DCF Model'!F45/(1+$B12)^('DCF Model'!C19+3)+'DCF Model'!G45/(1+$B12)^('DCF Model'!C19+4)+'DCF Model'!G45*(1+G$6)/($B12-G$6)/(1+$B12)^('DCF Model'!C19+4)-'DCF Model'!C16)*1000000/'DCF Model'!C15,0),"")</f>
        <v>2662</v>
      </c>
      <c r="H12" s="37">
        <f>IFERROR(ROUND(('DCF Model'!C45/(1+$B12)^('DCF Model'!C19+0)+'DCF Model'!D45/(1+$B12)^('DCF Model'!C19+1)+'DCF Model'!E45/(1+$B12)^('DCF Model'!C19+2)+'DCF Model'!F45/(1+$B12)^('DCF Model'!C19+3)+'DCF Model'!G45/(1+$B12)^('DCF Model'!C19+4)+'DCF Model'!G45*(1+H$6)/($B12-H$6)/(1+$B12)^('DCF Model'!C19+4)-'DCF Model'!C16)*1000000/'DCF Model'!C15,0),"")</f>
        <v>2706</v>
      </c>
      <c r="I12" s="37">
        <f>IFERROR(ROUND(('DCF Model'!C45/(1+$B12)^('DCF Model'!C19+0)+'DCF Model'!D45/(1+$B12)^('DCF Model'!C19+1)+'DCF Model'!E45/(1+$B12)^('DCF Model'!C19+2)+'DCF Model'!F45/(1+$B12)^('DCF Model'!C19+3)+'DCF Model'!G45/(1+$B12)^('DCF Model'!C19+4)+'DCF Model'!G45*(1+I$6)/($B12-I$6)/(1+$B12)^('DCF Model'!C19+4)-'DCF Model'!C16)*1000000/'DCF Model'!C15,0),"")</f>
        <v>2752</v>
      </c>
    </row>
    <row r="13" spans="2:9" ht="13.5" customHeight="1" x14ac:dyDescent="0.25">
      <c r="B13" s="39">
        <f>$C$3+0.015</f>
        <v>0.13687152112419015</v>
      </c>
      <c r="C13" s="37">
        <f>IFERROR(ROUND(('DCF Model'!C45/(1+$B13)^('DCF Model'!C19+0)+'DCF Model'!D45/(1+$B13)^('DCF Model'!C19+1)+'DCF Model'!E45/(1+$B13)^('DCF Model'!C19+2)+'DCF Model'!F45/(1+$B13)^('DCF Model'!C19+3)+'DCF Model'!G45/(1+$B13)^('DCF Model'!C19+4)+'DCF Model'!G45*(1+C$6)/($B13-C$6)/(1+$B13)^('DCF Model'!C19+4)-'DCF Model'!C16)*1000000/'DCF Model'!C15,0),"")</f>
        <v>2391</v>
      </c>
      <c r="D13" s="37">
        <f>IFERROR(ROUND(('DCF Model'!C45/(1+$B13)^('DCF Model'!C19+0)+'DCF Model'!D45/(1+$B13)^('DCF Model'!C19+1)+'DCF Model'!E45/(1+$B13)^('DCF Model'!C19+2)+'DCF Model'!F45/(1+$B13)^('DCF Model'!C19+3)+'DCF Model'!G45/(1+$B13)^('DCF Model'!C19+4)+'DCF Model'!G45*(1+D$6)/($B13-D$6)/(1+$B13)^('DCF Model'!C19+4)-'DCF Model'!C16)*1000000/'DCF Model'!C15,0),"")</f>
        <v>2425</v>
      </c>
      <c r="E13" s="37">
        <f>IFERROR(ROUND(('DCF Model'!C45/(1+$B13)^('DCF Model'!C19+0)+'DCF Model'!D45/(1+$B13)^('DCF Model'!C19+1)+'DCF Model'!E45/(1+$B13)^('DCF Model'!C19+2)+'DCF Model'!F45/(1+$B13)^('DCF Model'!C19+3)+'DCF Model'!G45/(1+$B13)^('DCF Model'!C19+4)+'DCF Model'!G45*(1+E$6)/($B13-E$6)/(1+$B13)^('DCF Model'!C19+4)-'DCF Model'!C16)*1000000/'DCF Model'!C15,0),"")</f>
        <v>2461</v>
      </c>
      <c r="F13" s="37">
        <f>IFERROR(ROUND(('DCF Model'!C45/(1+$B13)^('DCF Model'!C19+0)+'DCF Model'!D45/(1+$B13)^('DCF Model'!C19+1)+'DCF Model'!E45/(1+$B13)^('DCF Model'!C19+2)+'DCF Model'!F45/(1+$B13)^('DCF Model'!C19+3)+'DCF Model'!G45/(1+$B13)^('DCF Model'!C19+4)+'DCF Model'!G45*(1+F$6)/($B13-F$6)/(1+$B13)^('DCF Model'!C19+4)-'DCF Model'!C16)*1000000/'DCF Model'!C15,0),"")</f>
        <v>2498</v>
      </c>
      <c r="G13" s="37">
        <f>IFERROR(ROUND(('DCF Model'!C45/(1+$B13)^('DCF Model'!C19+0)+'DCF Model'!D45/(1+$B13)^('DCF Model'!C19+1)+'DCF Model'!E45/(1+$B13)^('DCF Model'!C19+2)+'DCF Model'!F45/(1+$B13)^('DCF Model'!C19+3)+'DCF Model'!G45/(1+$B13)^('DCF Model'!C19+4)+'DCF Model'!G45*(1+G$6)/($B13-G$6)/(1+$B13)^('DCF Model'!C19+4)-'DCF Model'!C16)*1000000/'DCF Model'!C15,0),"")</f>
        <v>2536</v>
      </c>
      <c r="H13" s="37">
        <f>IFERROR(ROUND(('DCF Model'!C45/(1+$B13)^('DCF Model'!C19+0)+'DCF Model'!D45/(1+$B13)^('DCF Model'!C19+1)+'DCF Model'!E45/(1+$B13)^('DCF Model'!C19+2)+'DCF Model'!F45/(1+$B13)^('DCF Model'!C19+3)+'DCF Model'!G45/(1+$B13)^('DCF Model'!C19+4)+'DCF Model'!G45*(1+H$6)/($B13-H$6)/(1+$B13)^('DCF Model'!C19+4)-'DCF Model'!C16)*1000000/'DCF Model'!C15,0),"")</f>
        <v>2576</v>
      </c>
      <c r="I13" s="37">
        <f>IFERROR(ROUND(('DCF Model'!C45/(1+$B13)^('DCF Model'!C19+0)+'DCF Model'!D45/(1+$B13)^('DCF Model'!C19+1)+'DCF Model'!E45/(1+$B13)^('DCF Model'!C19+2)+'DCF Model'!F45/(1+$B13)^('DCF Model'!C19+3)+'DCF Model'!G45/(1+$B13)^('DCF Model'!C19+4)+'DCF Model'!G45*(1+I$6)/($B13-I$6)/(1+$B13)^('DCF Model'!C19+4)-'DCF Model'!C16)*1000000/'DCF Model'!C15,0),"")</f>
        <v>2617</v>
      </c>
    </row>
    <row r="16" spans="2:9" ht="14" customHeight="1" x14ac:dyDescent="0.3">
      <c r="B16" s="3" t="s">
        <v>244</v>
      </c>
    </row>
    <row r="17" spans="2:9" ht="14" customHeight="1" x14ac:dyDescent="0.3">
      <c r="B17" s="40" t="s">
        <v>245</v>
      </c>
      <c r="C17" s="42">
        <f>$I$3-3</f>
        <v>2.5</v>
      </c>
      <c r="D17" s="42">
        <f>$I$3-2</f>
        <v>3.5</v>
      </c>
      <c r="E17" s="42">
        <f>$I$3-1</f>
        <v>4.5</v>
      </c>
      <c r="F17" s="42">
        <f>$I$3</f>
        <v>5.5</v>
      </c>
      <c r="G17" s="42">
        <f>$I$3+1</f>
        <v>6.5</v>
      </c>
      <c r="H17" s="42">
        <f>$I$3+2</f>
        <v>7.5</v>
      </c>
      <c r="I17" s="42">
        <f>$I$3+3</f>
        <v>8.5</v>
      </c>
    </row>
    <row r="18" spans="2:9" ht="13.5" customHeight="1" x14ac:dyDescent="0.25">
      <c r="B18" s="39">
        <f>$C$3-0.015</f>
        <v>0.10687152112419016</v>
      </c>
      <c r="C18" s="37">
        <f>IFERROR(ROUND(('DCF Model'!C45/(1+$B18)^('DCF Model'!C19+0)+'DCF Model'!D45/(1+$B18)^('DCF Model'!C19+1)+'DCF Model'!E45/(1+$B18)^('DCF Model'!C19+2)+'DCF Model'!F45/(1+$B18)^('DCF Model'!C19+3)+'DCF Model'!G45/(1+$B18)^('DCF Model'!C19+4)+('DCF Model'!G39+'DCF Model'!G42)*C$17/(1+$B18)^('DCF Model'!C19+4)-'DCF Model'!C16)*1000000/'DCF Model'!C15,0),"")</f>
        <v>1994</v>
      </c>
      <c r="D18" s="37">
        <f>IFERROR(ROUND(('DCF Model'!C45/(1+$B18)^('DCF Model'!C19+0)+'DCF Model'!D45/(1+$B18)^('DCF Model'!C19+1)+'DCF Model'!E45/(1+$B18)^('DCF Model'!C19+2)+'DCF Model'!F45/(1+$B18)^('DCF Model'!C19+3)+'DCF Model'!G45/(1+$B18)^('DCF Model'!C19+4)+('DCF Model'!G39+'DCF Model'!G42)*D$17/(1+$B18)^('DCF Model'!C19+4)-'DCF Model'!C16)*1000000/'DCF Model'!C15,0),"")</f>
        <v>2435</v>
      </c>
      <c r="E18" s="37">
        <f>IFERROR(ROUND(('DCF Model'!C45/(1+$B18)^('DCF Model'!C19+0)+'DCF Model'!D45/(1+$B18)^('DCF Model'!C19+1)+'DCF Model'!E45/(1+$B18)^('DCF Model'!C19+2)+'DCF Model'!F45/(1+$B18)^('DCF Model'!C19+3)+'DCF Model'!G45/(1+$B18)^('DCF Model'!C19+4)+('DCF Model'!G39+'DCF Model'!G42)*E$17/(1+$B18)^('DCF Model'!C19+4)-'DCF Model'!C16)*1000000/'DCF Model'!C15,0),"")</f>
        <v>2876</v>
      </c>
      <c r="F18" s="37">
        <f>IFERROR(ROUND(('DCF Model'!C45/(1+$B18)^('DCF Model'!C19+0)+'DCF Model'!D45/(1+$B18)^('DCF Model'!C19+1)+'DCF Model'!E45/(1+$B18)^('DCF Model'!C19+2)+'DCF Model'!F45/(1+$B18)^('DCF Model'!C19+3)+'DCF Model'!G45/(1+$B18)^('DCF Model'!C19+4)+('DCF Model'!G39+'DCF Model'!G42)*F$17/(1+$B18)^('DCF Model'!C19+4)-'DCF Model'!C16)*1000000/'DCF Model'!C15,0),"")</f>
        <v>3316</v>
      </c>
      <c r="G18" s="37">
        <f>IFERROR(ROUND(('DCF Model'!C45/(1+$B18)^('DCF Model'!C19+0)+'DCF Model'!D45/(1+$B18)^('DCF Model'!C19+1)+'DCF Model'!E45/(1+$B18)^('DCF Model'!C19+2)+'DCF Model'!F45/(1+$B18)^('DCF Model'!C19+3)+'DCF Model'!G45/(1+$B18)^('DCF Model'!C19+4)+('DCF Model'!G39+'DCF Model'!G42)*G$17/(1+$B18)^('DCF Model'!C19+4)-'DCF Model'!C16)*1000000/'DCF Model'!C15,0),"")</f>
        <v>3757</v>
      </c>
      <c r="H18" s="37">
        <f>IFERROR(ROUND(('DCF Model'!C45/(1+$B18)^('DCF Model'!C19+0)+'DCF Model'!D45/(1+$B18)^('DCF Model'!C19+1)+'DCF Model'!E45/(1+$B18)^('DCF Model'!C19+2)+'DCF Model'!F45/(1+$B18)^('DCF Model'!C19+3)+'DCF Model'!G45/(1+$B18)^('DCF Model'!C19+4)+('DCF Model'!G39+'DCF Model'!G42)*H$17/(1+$B18)^('DCF Model'!C19+4)-'DCF Model'!C16)*1000000/'DCF Model'!C15,0),"")</f>
        <v>4198</v>
      </c>
      <c r="I18" s="37">
        <f>IFERROR(ROUND(('DCF Model'!C45/(1+$B18)^('DCF Model'!C19+0)+'DCF Model'!D45/(1+$B18)^('DCF Model'!C19+1)+'DCF Model'!E45/(1+$B18)^('DCF Model'!C19+2)+'DCF Model'!F45/(1+$B18)^('DCF Model'!C19+3)+'DCF Model'!G45/(1+$B18)^('DCF Model'!C19+4)+('DCF Model'!G39+'DCF Model'!G42)*I$17/(1+$B18)^('DCF Model'!C19+4)-'DCF Model'!C16)*1000000/'DCF Model'!C15,0),"")</f>
        <v>4639</v>
      </c>
    </row>
    <row r="19" spans="2:9" ht="13.5" customHeight="1" x14ac:dyDescent="0.25">
      <c r="B19" s="39">
        <f>$C$3-0.01</f>
        <v>0.11187152112419016</v>
      </c>
      <c r="C19" s="37">
        <f>IFERROR(ROUND(('DCF Model'!C45/(1+$B19)^('DCF Model'!C19+0)+'DCF Model'!D45/(1+$B19)^('DCF Model'!C19+1)+'DCF Model'!E45/(1+$B19)^('DCF Model'!C19+2)+'DCF Model'!F45/(1+$B19)^('DCF Model'!C19+3)+'DCF Model'!G45/(1+$B19)^('DCF Model'!C19+4)+('DCF Model'!G39+'DCF Model'!G42)*C$17/(1+$B19)^('DCF Model'!C19+4)-'DCF Model'!C16)*1000000/'DCF Model'!C15,0),"")</f>
        <v>1954</v>
      </c>
      <c r="D19" s="37">
        <f>IFERROR(ROUND(('DCF Model'!C45/(1+$B19)^('DCF Model'!C19+0)+'DCF Model'!D45/(1+$B19)^('DCF Model'!C19+1)+'DCF Model'!E45/(1+$B19)^('DCF Model'!C19+2)+'DCF Model'!F45/(1+$B19)^('DCF Model'!C19+3)+'DCF Model'!G45/(1+$B19)^('DCF Model'!C19+4)+('DCF Model'!G39+'DCF Model'!G42)*D$17/(1+$B19)^('DCF Model'!C19+4)-'DCF Model'!C16)*1000000/'DCF Model'!C15,0),"")</f>
        <v>2385</v>
      </c>
      <c r="E19" s="37">
        <f>IFERROR(ROUND(('DCF Model'!C45/(1+$B19)^('DCF Model'!C19+0)+'DCF Model'!D45/(1+$B19)^('DCF Model'!C19+1)+'DCF Model'!E45/(1+$B19)^('DCF Model'!C19+2)+'DCF Model'!F45/(1+$B19)^('DCF Model'!C19+3)+'DCF Model'!G45/(1+$B19)^('DCF Model'!C19+4)+('DCF Model'!G39+'DCF Model'!G42)*E$17/(1+$B19)^('DCF Model'!C19+4)-'DCF Model'!C16)*1000000/'DCF Model'!C15,0),"")</f>
        <v>2816</v>
      </c>
      <c r="F19" s="37">
        <f>IFERROR(ROUND(('DCF Model'!C45/(1+$B19)^('DCF Model'!C19+0)+'DCF Model'!D45/(1+$B19)^('DCF Model'!C19+1)+'DCF Model'!E45/(1+$B19)^('DCF Model'!C19+2)+'DCF Model'!F45/(1+$B19)^('DCF Model'!C19+3)+'DCF Model'!G45/(1+$B19)^('DCF Model'!C19+4)+('DCF Model'!G39+'DCF Model'!G42)*F$17/(1+$B19)^('DCF Model'!C19+4)-'DCF Model'!C16)*1000000/'DCF Model'!C15,0),"")</f>
        <v>3248</v>
      </c>
      <c r="G19" s="37">
        <f>IFERROR(ROUND(('DCF Model'!C45/(1+$B19)^('DCF Model'!C19+0)+'DCF Model'!D45/(1+$B19)^('DCF Model'!C19+1)+'DCF Model'!E45/(1+$B19)^('DCF Model'!C19+2)+'DCF Model'!F45/(1+$B19)^('DCF Model'!C19+3)+'DCF Model'!G45/(1+$B19)^('DCF Model'!C19+4)+('DCF Model'!G39+'DCF Model'!G42)*G$17/(1+$B19)^('DCF Model'!C19+4)-'DCF Model'!C16)*1000000/'DCF Model'!C15,0),"")</f>
        <v>3679</v>
      </c>
      <c r="H19" s="37">
        <f>IFERROR(ROUND(('DCF Model'!C45/(1+$B19)^('DCF Model'!C19+0)+'DCF Model'!D45/(1+$B19)^('DCF Model'!C19+1)+'DCF Model'!E45/(1+$B19)^('DCF Model'!C19+2)+'DCF Model'!F45/(1+$B19)^('DCF Model'!C19+3)+'DCF Model'!G45/(1+$B19)^('DCF Model'!C19+4)+('DCF Model'!G39+'DCF Model'!G42)*H$17/(1+$B19)^('DCF Model'!C19+4)-'DCF Model'!C16)*1000000/'DCF Model'!C15,0),"")</f>
        <v>4110</v>
      </c>
      <c r="I19" s="37">
        <f>IFERROR(ROUND(('DCF Model'!C45/(1+$B19)^('DCF Model'!C19+0)+'DCF Model'!D45/(1+$B19)^('DCF Model'!C19+1)+'DCF Model'!E45/(1+$B19)^('DCF Model'!C19+2)+'DCF Model'!F45/(1+$B19)^('DCF Model'!C19+3)+'DCF Model'!G45/(1+$B19)^('DCF Model'!C19+4)+('DCF Model'!G39+'DCF Model'!G42)*I$17/(1+$B19)^('DCF Model'!C19+4)-'DCF Model'!C16)*1000000/'DCF Model'!C15,0),"")</f>
        <v>4542</v>
      </c>
    </row>
    <row r="20" spans="2:9" ht="13.5" customHeight="1" x14ac:dyDescent="0.25">
      <c r="B20" s="39">
        <f>$C$3-0.005</f>
        <v>0.11687152112419015</v>
      </c>
      <c r="C20" s="37">
        <f>IFERROR(ROUND(('DCF Model'!C45/(1+$B20)^('DCF Model'!C19+0)+'DCF Model'!D45/(1+$B20)^('DCF Model'!C19+1)+'DCF Model'!E45/(1+$B20)^('DCF Model'!C19+2)+'DCF Model'!F45/(1+$B20)^('DCF Model'!C19+3)+'DCF Model'!G45/(1+$B20)^('DCF Model'!C19+4)+('DCF Model'!G39+'DCF Model'!G42)*C$17/(1+$B20)^('DCF Model'!C19+4)-'DCF Model'!C16)*1000000/'DCF Model'!C15,0),"")</f>
        <v>1915</v>
      </c>
      <c r="D20" s="37">
        <f>IFERROR(ROUND(('DCF Model'!C45/(1+$B20)^('DCF Model'!C19+0)+'DCF Model'!D45/(1+$B20)^('DCF Model'!C19+1)+'DCF Model'!E45/(1+$B20)^('DCF Model'!C19+2)+'DCF Model'!F45/(1+$B20)^('DCF Model'!C19+3)+'DCF Model'!G45/(1+$B20)^('DCF Model'!C19+4)+('DCF Model'!G39+'DCF Model'!G42)*D$17/(1+$B20)^('DCF Model'!C19+4)-'DCF Model'!C16)*1000000/'DCF Model'!C15,0),"")</f>
        <v>2337</v>
      </c>
      <c r="E20" s="37">
        <f>IFERROR(ROUND(('DCF Model'!C45/(1+$B20)^('DCF Model'!C19+0)+'DCF Model'!D45/(1+$B20)^('DCF Model'!C19+1)+'DCF Model'!E45/(1+$B20)^('DCF Model'!C19+2)+'DCF Model'!F45/(1+$B20)^('DCF Model'!C19+3)+'DCF Model'!G45/(1+$B20)^('DCF Model'!C19+4)+('DCF Model'!G39+'DCF Model'!G42)*E$17/(1+$B20)^('DCF Model'!C19+4)-'DCF Model'!C16)*1000000/'DCF Model'!C15,0),"")</f>
        <v>2759</v>
      </c>
      <c r="F20" s="37">
        <f>IFERROR(ROUND(('DCF Model'!C45/(1+$B20)^('DCF Model'!C19+0)+'DCF Model'!D45/(1+$B20)^('DCF Model'!C19+1)+'DCF Model'!E45/(1+$B20)^('DCF Model'!C19+2)+'DCF Model'!F45/(1+$B20)^('DCF Model'!C19+3)+'DCF Model'!G45/(1+$B20)^('DCF Model'!C19+4)+('DCF Model'!G39+'DCF Model'!G42)*F$17/(1+$B20)^('DCF Model'!C19+4)-'DCF Model'!C16)*1000000/'DCF Model'!C15,0),"")</f>
        <v>3181</v>
      </c>
      <c r="G20" s="37">
        <f>IFERROR(ROUND(('DCF Model'!C45/(1+$B20)^('DCF Model'!C19+0)+'DCF Model'!D45/(1+$B20)^('DCF Model'!C19+1)+'DCF Model'!E45/(1+$B20)^('DCF Model'!C19+2)+'DCF Model'!F45/(1+$B20)^('DCF Model'!C19+3)+'DCF Model'!G45/(1+$B20)^('DCF Model'!C19+4)+('DCF Model'!G39+'DCF Model'!G42)*G$17/(1+$B20)^('DCF Model'!C19+4)-'DCF Model'!C16)*1000000/'DCF Model'!C15,0),"")</f>
        <v>3603</v>
      </c>
      <c r="H20" s="37">
        <f>IFERROR(ROUND(('DCF Model'!C45/(1+$B20)^('DCF Model'!C19+0)+'DCF Model'!D45/(1+$B20)^('DCF Model'!C19+1)+'DCF Model'!E45/(1+$B20)^('DCF Model'!C19+2)+'DCF Model'!F45/(1+$B20)^('DCF Model'!C19+3)+'DCF Model'!G45/(1+$B20)^('DCF Model'!C19+4)+('DCF Model'!G39+'DCF Model'!G42)*H$17/(1+$B20)^('DCF Model'!C19+4)-'DCF Model'!C16)*1000000/'DCF Model'!C15,0),"")</f>
        <v>4024</v>
      </c>
      <c r="I20" s="37">
        <f>IFERROR(ROUND(('DCF Model'!C45/(1+$B20)^('DCF Model'!C19+0)+'DCF Model'!D45/(1+$B20)^('DCF Model'!C19+1)+'DCF Model'!E45/(1+$B20)^('DCF Model'!C19+2)+'DCF Model'!F45/(1+$B20)^('DCF Model'!C19+3)+'DCF Model'!G45/(1+$B20)^('DCF Model'!C19+4)+('DCF Model'!G39+'DCF Model'!G42)*I$17/(1+$B20)^('DCF Model'!C19+4)-'DCF Model'!C16)*1000000/'DCF Model'!C15,0),"")</f>
        <v>4446</v>
      </c>
    </row>
    <row r="21" spans="2:9" ht="13.5" customHeight="1" x14ac:dyDescent="0.25">
      <c r="B21" s="39">
        <f>$C$3</f>
        <v>0.12187152112419015</v>
      </c>
      <c r="C21" s="37">
        <f>IFERROR(ROUND(('DCF Model'!C45/(1+$B21)^('DCF Model'!C19+0)+'DCF Model'!D45/(1+$B21)^('DCF Model'!C19+1)+'DCF Model'!E45/(1+$B21)^('DCF Model'!C19+2)+'DCF Model'!F45/(1+$B21)^('DCF Model'!C19+3)+'DCF Model'!G45/(1+$B21)^('DCF Model'!C19+4)+('DCF Model'!G39+'DCF Model'!G42)*C$17/(1+$B21)^('DCF Model'!C19+4)-'DCF Model'!C16)*1000000/'DCF Model'!C15,0),"")</f>
        <v>1877</v>
      </c>
      <c r="D21" s="37">
        <f>IFERROR(ROUND(('DCF Model'!C45/(1+$B21)^('DCF Model'!C19+0)+'DCF Model'!D45/(1+$B21)^('DCF Model'!C19+1)+'DCF Model'!E45/(1+$B21)^('DCF Model'!C19+2)+'DCF Model'!F45/(1+$B21)^('DCF Model'!C19+3)+'DCF Model'!G45/(1+$B21)^('DCF Model'!C19+4)+('DCF Model'!G39+'DCF Model'!G42)*D$17/(1+$B21)^('DCF Model'!C19+4)-'DCF Model'!C16)*1000000/'DCF Model'!C15,0),"")</f>
        <v>2290</v>
      </c>
      <c r="E21" s="37">
        <f>IFERROR(ROUND(('DCF Model'!C45/(1+$B21)^('DCF Model'!C19+0)+'DCF Model'!D45/(1+$B21)^('DCF Model'!C19+1)+'DCF Model'!E45/(1+$B21)^('DCF Model'!C19+2)+'DCF Model'!F45/(1+$B21)^('DCF Model'!C19+3)+'DCF Model'!G45/(1+$B21)^('DCF Model'!C19+4)+('DCF Model'!G39+'DCF Model'!G42)*E$17/(1+$B21)^('DCF Model'!C19+4)-'DCF Model'!C16)*1000000/'DCF Model'!C15,0),"")</f>
        <v>2703</v>
      </c>
      <c r="F21" s="37">
        <f>IFERROR(ROUND(('DCF Model'!C45/(1+$B21)^('DCF Model'!C19+0)+'DCF Model'!D45/(1+$B21)^('DCF Model'!C19+1)+'DCF Model'!E45/(1+$B21)^('DCF Model'!C19+2)+'DCF Model'!F45/(1+$B21)^('DCF Model'!C19+3)+'DCF Model'!G45/(1+$B21)^('DCF Model'!C19+4)+('DCF Model'!G39+'DCF Model'!G42)*F$17/(1+$B21)^('DCF Model'!C19+4)-'DCF Model'!C16)*1000000/'DCF Model'!C15,0),"")</f>
        <v>3115</v>
      </c>
      <c r="G21" s="37">
        <f>IFERROR(ROUND(('DCF Model'!C45/(1+$B21)^('DCF Model'!C19+0)+'DCF Model'!D45/(1+$B21)^('DCF Model'!C19+1)+'DCF Model'!E45/(1+$B21)^('DCF Model'!C19+2)+'DCF Model'!F45/(1+$B21)^('DCF Model'!C19+3)+'DCF Model'!G45/(1+$B21)^('DCF Model'!C19+4)+('DCF Model'!G39+'DCF Model'!G42)*G$17/(1+$B21)^('DCF Model'!C19+4)-'DCF Model'!C16)*1000000/'DCF Model'!C15,0),"")</f>
        <v>3528</v>
      </c>
      <c r="H21" s="37">
        <f>IFERROR(ROUND(('DCF Model'!C45/(1+$B21)^('DCF Model'!C19+0)+'DCF Model'!D45/(1+$B21)^('DCF Model'!C19+1)+'DCF Model'!E45/(1+$B21)^('DCF Model'!C19+2)+'DCF Model'!F45/(1+$B21)^('DCF Model'!C19+3)+'DCF Model'!G45/(1+$B21)^('DCF Model'!C19+4)+('DCF Model'!G39+'DCF Model'!G42)*H$17/(1+$B21)^('DCF Model'!C19+4)-'DCF Model'!C16)*1000000/'DCF Model'!C15,0),"")</f>
        <v>3941</v>
      </c>
      <c r="I21" s="37">
        <f>IFERROR(ROUND(('DCF Model'!C45/(1+$B21)^('DCF Model'!C19+0)+'DCF Model'!D45/(1+$B21)^('DCF Model'!C19+1)+'DCF Model'!E45/(1+$B21)^('DCF Model'!C19+2)+'DCF Model'!F45/(1+$B21)^('DCF Model'!C19+3)+'DCF Model'!G45/(1+$B21)^('DCF Model'!C19+4)+('DCF Model'!G39+'DCF Model'!G42)*I$17/(1+$B21)^('DCF Model'!C19+4)-'DCF Model'!C16)*1000000/'DCF Model'!C15,0),"")</f>
        <v>4353</v>
      </c>
    </row>
    <row r="22" spans="2:9" ht="13.5" customHeight="1" x14ac:dyDescent="0.25">
      <c r="B22" s="39">
        <f>$C$3+0.005</f>
        <v>0.12687152112419015</v>
      </c>
      <c r="C22" s="37">
        <f>IFERROR(ROUND(('DCF Model'!C45/(1+$B22)^('DCF Model'!C19+0)+'DCF Model'!D45/(1+$B22)^('DCF Model'!C19+1)+'DCF Model'!E45/(1+$B22)^('DCF Model'!C19+2)+'DCF Model'!F45/(1+$B22)^('DCF Model'!C19+3)+'DCF Model'!G45/(1+$B22)^('DCF Model'!C19+4)+('DCF Model'!G39+'DCF Model'!G42)*C$17/(1+$B22)^('DCF Model'!C19+4)-'DCF Model'!C16)*1000000/'DCF Model'!C15,0),"")</f>
        <v>1840</v>
      </c>
      <c r="D22" s="37">
        <f>IFERROR(ROUND(('DCF Model'!C45/(1+$B22)^('DCF Model'!C19+0)+'DCF Model'!D45/(1+$B22)^('DCF Model'!C19+1)+'DCF Model'!E45/(1+$B22)^('DCF Model'!C19+2)+'DCF Model'!F45/(1+$B22)^('DCF Model'!C19+3)+'DCF Model'!G45/(1+$B22)^('DCF Model'!C19+4)+('DCF Model'!G39+'DCF Model'!G42)*D$17/(1+$B22)^('DCF Model'!C19+4)-'DCF Model'!C16)*1000000/'DCF Model'!C15,0),"")</f>
        <v>2244</v>
      </c>
      <c r="E22" s="37">
        <f>IFERROR(ROUND(('DCF Model'!C45/(1+$B22)^('DCF Model'!C19+0)+'DCF Model'!D45/(1+$B22)^('DCF Model'!C19+1)+'DCF Model'!E45/(1+$B22)^('DCF Model'!C19+2)+'DCF Model'!F45/(1+$B22)^('DCF Model'!C19+3)+'DCF Model'!G45/(1+$B22)^('DCF Model'!C19+4)+('DCF Model'!G39+'DCF Model'!G42)*E$17/(1+$B22)^('DCF Model'!C19+4)-'DCF Model'!C16)*1000000/'DCF Model'!C15,0),"")</f>
        <v>2648</v>
      </c>
      <c r="F22" s="37">
        <f>IFERROR(ROUND(('DCF Model'!C45/(1+$B22)^('DCF Model'!C19+0)+'DCF Model'!D45/(1+$B22)^('DCF Model'!C19+1)+'DCF Model'!E45/(1+$B22)^('DCF Model'!C19+2)+'DCF Model'!F45/(1+$B22)^('DCF Model'!C19+3)+'DCF Model'!G45/(1+$B22)^('DCF Model'!C19+4)+('DCF Model'!G39+'DCF Model'!G42)*F$17/(1+$B22)^('DCF Model'!C19+4)-'DCF Model'!C16)*1000000/'DCF Model'!C15,0),"")</f>
        <v>3052</v>
      </c>
      <c r="G22" s="37">
        <f>IFERROR(ROUND(('DCF Model'!C45/(1+$B22)^('DCF Model'!C19+0)+'DCF Model'!D45/(1+$B22)^('DCF Model'!C19+1)+'DCF Model'!E45/(1+$B22)^('DCF Model'!C19+2)+'DCF Model'!F45/(1+$B22)^('DCF Model'!C19+3)+'DCF Model'!G45/(1+$B22)^('DCF Model'!C19+4)+('DCF Model'!G39+'DCF Model'!G42)*G$17/(1+$B22)^('DCF Model'!C19+4)-'DCF Model'!C16)*1000000/'DCF Model'!C15,0),"")</f>
        <v>3455</v>
      </c>
      <c r="H22" s="37">
        <f>IFERROR(ROUND(('DCF Model'!C45/(1+$B22)^('DCF Model'!C19+0)+'DCF Model'!D45/(1+$B22)^('DCF Model'!C19+1)+'DCF Model'!E45/(1+$B22)^('DCF Model'!C19+2)+'DCF Model'!F45/(1+$B22)^('DCF Model'!C19+3)+'DCF Model'!G45/(1+$B22)^('DCF Model'!C19+4)+('DCF Model'!G39+'DCF Model'!G42)*H$17/(1+$B22)^('DCF Model'!C19+4)-'DCF Model'!C16)*1000000/'DCF Model'!C15,0),"")</f>
        <v>3859</v>
      </c>
      <c r="I22" s="37">
        <f>IFERROR(ROUND(('DCF Model'!C45/(1+$B22)^('DCF Model'!C19+0)+'DCF Model'!D45/(1+$B22)^('DCF Model'!C19+1)+'DCF Model'!E45/(1+$B22)^('DCF Model'!C19+2)+'DCF Model'!F45/(1+$B22)^('DCF Model'!C19+3)+'DCF Model'!G45/(1+$B22)^('DCF Model'!C19+4)+('DCF Model'!G39+'DCF Model'!G42)*I$17/(1+$B22)^('DCF Model'!C19+4)-'DCF Model'!C16)*1000000/'DCF Model'!C15,0),"")</f>
        <v>4263</v>
      </c>
    </row>
    <row r="23" spans="2:9" ht="13.5" customHeight="1" x14ac:dyDescent="0.25">
      <c r="B23" s="39">
        <f>$C$3+0.01</f>
        <v>0.13187152112419015</v>
      </c>
      <c r="C23" s="37">
        <f>IFERROR(ROUND(('DCF Model'!C45/(1+$B23)^('DCF Model'!C19+0)+'DCF Model'!D45/(1+$B23)^('DCF Model'!C19+1)+'DCF Model'!E45/(1+$B23)^('DCF Model'!C19+2)+'DCF Model'!F45/(1+$B23)^('DCF Model'!C19+3)+'DCF Model'!G45/(1+$B23)^('DCF Model'!C19+4)+('DCF Model'!G39+'DCF Model'!G42)*C$17/(1+$B23)^('DCF Model'!C19+4)-'DCF Model'!C16)*1000000/'DCF Model'!C15,0),"")</f>
        <v>1804</v>
      </c>
      <c r="D23" s="37">
        <f>IFERROR(ROUND(('DCF Model'!C45/(1+$B23)^('DCF Model'!C19+0)+'DCF Model'!D45/(1+$B23)^('DCF Model'!C19+1)+'DCF Model'!E45/(1+$B23)^('DCF Model'!C19+2)+'DCF Model'!F45/(1+$B23)^('DCF Model'!C19+3)+'DCF Model'!G45/(1+$B23)^('DCF Model'!C19+4)+('DCF Model'!G39+'DCF Model'!G42)*D$17/(1+$B23)^('DCF Model'!C19+4)-'DCF Model'!C16)*1000000/'DCF Model'!C15,0),"")</f>
        <v>2199</v>
      </c>
      <c r="E23" s="37">
        <f>IFERROR(ROUND(('DCF Model'!C45/(1+$B23)^('DCF Model'!C19+0)+'DCF Model'!D45/(1+$B23)^('DCF Model'!C19+1)+'DCF Model'!E45/(1+$B23)^('DCF Model'!C19+2)+'DCF Model'!F45/(1+$B23)^('DCF Model'!C19+3)+'DCF Model'!G45/(1+$B23)^('DCF Model'!C19+4)+('DCF Model'!G39+'DCF Model'!G42)*E$17/(1+$B23)^('DCF Model'!C19+4)-'DCF Model'!C16)*1000000/'DCF Model'!C15,0),"")</f>
        <v>2594</v>
      </c>
      <c r="F23" s="37">
        <f>IFERROR(ROUND(('DCF Model'!C45/(1+$B23)^('DCF Model'!C19+0)+'DCF Model'!D45/(1+$B23)^('DCF Model'!C19+1)+'DCF Model'!E45/(1+$B23)^('DCF Model'!C19+2)+'DCF Model'!F45/(1+$B23)^('DCF Model'!C19+3)+'DCF Model'!G45/(1+$B23)^('DCF Model'!C19+4)+('DCF Model'!G39+'DCF Model'!G42)*F$17/(1+$B23)^('DCF Model'!C19+4)-'DCF Model'!C16)*1000000/'DCF Model'!C15,0),"")</f>
        <v>2989</v>
      </c>
      <c r="G23" s="37">
        <f>IFERROR(ROUND(('DCF Model'!C45/(1+$B23)^('DCF Model'!C19+0)+'DCF Model'!D45/(1+$B23)^('DCF Model'!C19+1)+'DCF Model'!E45/(1+$B23)^('DCF Model'!C19+2)+'DCF Model'!F45/(1+$B23)^('DCF Model'!C19+3)+'DCF Model'!G45/(1+$B23)^('DCF Model'!C19+4)+('DCF Model'!G39+'DCF Model'!G42)*G$17/(1+$B23)^('DCF Model'!C19+4)-'DCF Model'!C16)*1000000/'DCF Model'!C15,0),"")</f>
        <v>3384</v>
      </c>
      <c r="H23" s="37">
        <f>IFERROR(ROUND(('DCF Model'!C45/(1+$B23)^('DCF Model'!C19+0)+'DCF Model'!D45/(1+$B23)^('DCF Model'!C19+1)+'DCF Model'!E45/(1+$B23)^('DCF Model'!C19+2)+'DCF Model'!F45/(1+$B23)^('DCF Model'!C19+3)+'DCF Model'!G45/(1+$B23)^('DCF Model'!C19+4)+('DCF Model'!G39+'DCF Model'!G42)*H$17/(1+$B23)^('DCF Model'!C19+4)-'DCF Model'!C16)*1000000/'DCF Model'!C15,0),"")</f>
        <v>3779</v>
      </c>
      <c r="I23" s="37">
        <f>IFERROR(ROUND(('DCF Model'!C45/(1+$B23)^('DCF Model'!C19+0)+'DCF Model'!D45/(1+$B23)^('DCF Model'!C19+1)+'DCF Model'!E45/(1+$B23)^('DCF Model'!C19+2)+'DCF Model'!F45/(1+$B23)^('DCF Model'!C19+3)+'DCF Model'!G45/(1+$B23)^('DCF Model'!C19+4)+('DCF Model'!G39+'DCF Model'!G42)*I$17/(1+$B23)^('DCF Model'!C19+4)-'DCF Model'!C16)*1000000/'DCF Model'!C15,0),"")</f>
        <v>4174</v>
      </c>
    </row>
    <row r="24" spans="2:9" ht="13.5" customHeight="1" x14ac:dyDescent="0.25">
      <c r="B24" s="39">
        <f>$C$3+0.015</f>
        <v>0.13687152112419015</v>
      </c>
      <c r="C24" s="37">
        <f>IFERROR(ROUND(('DCF Model'!C45/(1+$B24)^('DCF Model'!C19+0)+'DCF Model'!D45/(1+$B24)^('DCF Model'!C19+1)+'DCF Model'!E45/(1+$B24)^('DCF Model'!C19+2)+'DCF Model'!F45/(1+$B24)^('DCF Model'!C19+3)+'DCF Model'!G45/(1+$B24)^('DCF Model'!C19+4)+('DCF Model'!G39+'DCF Model'!G42)*C$17/(1+$B24)^('DCF Model'!C19+4)-'DCF Model'!C16)*1000000/'DCF Model'!C15,0),"")</f>
        <v>1769</v>
      </c>
      <c r="D24" s="37">
        <f>IFERROR(ROUND(('DCF Model'!C45/(1+$B24)^('DCF Model'!C19+0)+'DCF Model'!D45/(1+$B24)^('DCF Model'!C19+1)+'DCF Model'!E45/(1+$B24)^('DCF Model'!C19+2)+'DCF Model'!F45/(1+$B24)^('DCF Model'!C19+3)+'DCF Model'!G45/(1+$B24)^('DCF Model'!C19+4)+('DCF Model'!G39+'DCF Model'!G42)*D$17/(1+$B24)^('DCF Model'!C19+4)-'DCF Model'!C16)*1000000/'DCF Model'!C15,0),"")</f>
        <v>2155</v>
      </c>
      <c r="E24" s="37">
        <f>IFERROR(ROUND(('DCF Model'!C45/(1+$B24)^('DCF Model'!C19+0)+'DCF Model'!D45/(1+$B24)^('DCF Model'!C19+1)+'DCF Model'!E45/(1+$B24)^('DCF Model'!C19+2)+'DCF Model'!F45/(1+$B24)^('DCF Model'!C19+3)+'DCF Model'!G45/(1+$B24)^('DCF Model'!C19+4)+('DCF Model'!G39+'DCF Model'!G42)*E$17/(1+$B24)^('DCF Model'!C19+4)-'DCF Model'!C16)*1000000/'DCF Model'!C15,0),"")</f>
        <v>2542</v>
      </c>
      <c r="F24" s="37">
        <f>IFERROR(ROUND(('DCF Model'!C45/(1+$B24)^('DCF Model'!C19+0)+'DCF Model'!D45/(1+$B24)^('DCF Model'!C19+1)+'DCF Model'!E45/(1+$B24)^('DCF Model'!C19+2)+'DCF Model'!F45/(1+$B24)^('DCF Model'!C19+3)+'DCF Model'!G45/(1+$B24)^('DCF Model'!C19+4)+('DCF Model'!G39+'DCF Model'!G42)*F$17/(1+$B24)^('DCF Model'!C19+4)-'DCF Model'!C16)*1000000/'DCF Model'!C15,0),"")</f>
        <v>2929</v>
      </c>
      <c r="G24" s="37">
        <f>IFERROR(ROUND(('DCF Model'!C45/(1+$B24)^('DCF Model'!C19+0)+'DCF Model'!D45/(1+$B24)^('DCF Model'!C19+1)+'DCF Model'!E45/(1+$B24)^('DCF Model'!C19+2)+'DCF Model'!F45/(1+$B24)^('DCF Model'!C19+3)+'DCF Model'!G45/(1+$B24)^('DCF Model'!C19+4)+('DCF Model'!G39+'DCF Model'!G42)*G$17/(1+$B24)^('DCF Model'!C19+4)-'DCF Model'!C16)*1000000/'DCF Model'!C15,0),"")</f>
        <v>3315</v>
      </c>
      <c r="H24" s="37">
        <f>IFERROR(ROUND(('DCF Model'!C45/(1+$B24)^('DCF Model'!C19+0)+'DCF Model'!D45/(1+$B24)^('DCF Model'!C19+1)+'DCF Model'!E45/(1+$B24)^('DCF Model'!C19+2)+'DCF Model'!F45/(1+$B24)^('DCF Model'!C19+3)+'DCF Model'!G45/(1+$B24)^('DCF Model'!C19+4)+('DCF Model'!G39+'DCF Model'!G42)*H$17/(1+$B24)^('DCF Model'!C19+4)-'DCF Model'!C16)*1000000/'DCF Model'!C15,0),"")</f>
        <v>3702</v>
      </c>
      <c r="I24" s="37">
        <f>IFERROR(ROUND(('DCF Model'!C45/(1+$B24)^('DCF Model'!C19+0)+'DCF Model'!D45/(1+$B24)^('DCF Model'!C19+1)+'DCF Model'!E45/(1+$B24)^('DCF Model'!C19+2)+'DCF Model'!F45/(1+$B24)^('DCF Model'!C19+3)+'DCF Model'!G45/(1+$B24)^('DCF Model'!C19+4)+('DCF Model'!G39+'DCF Model'!G42)*I$17/(1+$B24)^('DCF Model'!C19+4)-'DCF Model'!C16)*1000000/'DCF Model'!C15,0),"")</f>
        <v>4088</v>
      </c>
    </row>
    <row r="26" spans="2:9" ht="14" customHeight="1" x14ac:dyDescent="0.3">
      <c r="B26" s="63" t="s">
        <v>246</v>
      </c>
      <c r="C26" s="62"/>
      <c r="D26" s="62"/>
      <c r="E26" s="62"/>
      <c r="F26" s="62"/>
      <c r="G26" s="62"/>
      <c r="H26" s="62"/>
      <c r="I26" s="62"/>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83"/>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247</v>
      </c>
    </row>
    <row r="4" spans="2:7" ht="14" customHeight="1" x14ac:dyDescent="0.3">
      <c r="B4" s="10" t="s">
        <v>248</v>
      </c>
      <c r="C4" s="10" t="s">
        <v>249</v>
      </c>
      <c r="D4" s="10" t="s">
        <v>250</v>
      </c>
      <c r="E4" s="10" t="s">
        <v>251</v>
      </c>
      <c r="F4" s="10" t="s">
        <v>252</v>
      </c>
      <c r="G4" s="10" t="s">
        <v>253</v>
      </c>
    </row>
    <row r="5" spans="2:7" x14ac:dyDescent="0.2">
      <c r="B5" t="s">
        <v>254</v>
      </c>
      <c r="C5" t="s">
        <v>255</v>
      </c>
      <c r="D5" t="s">
        <v>256</v>
      </c>
      <c r="E5" t="s">
        <v>257</v>
      </c>
      <c r="F5" t="s">
        <v>255</v>
      </c>
      <c r="G5" t="s">
        <v>258</v>
      </c>
    </row>
    <row r="6" spans="2:7" ht="30" customHeight="1" x14ac:dyDescent="0.3">
      <c r="B6" s="43" t="s">
        <v>254</v>
      </c>
      <c r="C6" s="4" t="s">
        <v>259</v>
      </c>
      <c r="D6" s="43" t="s">
        <v>260</v>
      </c>
      <c r="E6" s="43" t="s">
        <v>261</v>
      </c>
      <c r="F6" s="43" t="s">
        <v>255</v>
      </c>
      <c r="G6" s="43" t="s">
        <v>262</v>
      </c>
    </row>
    <row r="7" spans="2:7" ht="30" customHeight="1" x14ac:dyDescent="0.3">
      <c r="B7" s="43" t="s">
        <v>254</v>
      </c>
      <c r="C7" s="4" t="s">
        <v>263</v>
      </c>
      <c r="D7" s="43" t="s">
        <v>264</v>
      </c>
      <c r="E7" s="43" t="s">
        <v>265</v>
      </c>
      <c r="F7" s="43" t="s">
        <v>266</v>
      </c>
      <c r="G7" s="43" t="s">
        <v>267</v>
      </c>
    </row>
    <row r="8" spans="2:7" ht="30" customHeight="1" x14ac:dyDescent="0.3">
      <c r="B8" s="43" t="s">
        <v>254</v>
      </c>
      <c r="C8" s="4" t="s">
        <v>268</v>
      </c>
      <c r="D8" s="43" t="s">
        <v>269</v>
      </c>
      <c r="E8" s="43" t="s">
        <v>270</v>
      </c>
      <c r="F8" s="43" t="s">
        <v>271</v>
      </c>
      <c r="G8" s="43" t="s">
        <v>272</v>
      </c>
    </row>
    <row r="9" spans="2:7" ht="30" customHeight="1" x14ac:dyDescent="0.3">
      <c r="B9" s="43" t="s">
        <v>254</v>
      </c>
      <c r="C9" s="4" t="s">
        <v>273</v>
      </c>
      <c r="D9" s="43" t="s">
        <v>274</v>
      </c>
      <c r="E9" s="43" t="s">
        <v>275</v>
      </c>
      <c r="F9" s="43" t="s">
        <v>276</v>
      </c>
      <c r="G9" s="43" t="s">
        <v>277</v>
      </c>
    </row>
    <row r="10" spans="2:7" ht="30" customHeight="1" x14ac:dyDescent="0.3">
      <c r="B10" s="43" t="s">
        <v>254</v>
      </c>
      <c r="C10" s="4" t="s">
        <v>278</v>
      </c>
      <c r="D10" s="43" t="s">
        <v>279</v>
      </c>
      <c r="E10" s="43" t="s">
        <v>280</v>
      </c>
      <c r="F10" s="43" t="s">
        <v>281</v>
      </c>
      <c r="G10" s="43" t="s">
        <v>272</v>
      </c>
    </row>
    <row r="11" spans="2:7" ht="30" customHeight="1" x14ac:dyDescent="0.3">
      <c r="B11" s="43" t="s">
        <v>254</v>
      </c>
      <c r="C11" s="4" t="s">
        <v>282</v>
      </c>
      <c r="D11" s="43" t="s">
        <v>283</v>
      </c>
      <c r="E11" s="43" t="s">
        <v>284</v>
      </c>
      <c r="F11" s="43" t="s">
        <v>255</v>
      </c>
      <c r="G11" s="43" t="s">
        <v>285</v>
      </c>
    </row>
    <row r="12" spans="2:7" ht="30" customHeight="1" x14ac:dyDescent="0.3">
      <c r="B12" s="43" t="s">
        <v>254</v>
      </c>
      <c r="C12" s="4" t="s">
        <v>286</v>
      </c>
      <c r="D12" s="43" t="s">
        <v>287</v>
      </c>
      <c r="E12" s="43" t="s">
        <v>288</v>
      </c>
      <c r="F12" s="43" t="s">
        <v>255</v>
      </c>
      <c r="G12" s="43" t="s">
        <v>289</v>
      </c>
    </row>
    <row r="13" spans="2:7" ht="30" customHeight="1" x14ac:dyDescent="0.3">
      <c r="B13" s="43" t="s">
        <v>254</v>
      </c>
      <c r="C13" s="4" t="s">
        <v>290</v>
      </c>
      <c r="D13" s="43" t="s">
        <v>291</v>
      </c>
      <c r="E13" s="43" t="s">
        <v>292</v>
      </c>
      <c r="F13" s="43" t="s">
        <v>293</v>
      </c>
      <c r="G13" s="43" t="s">
        <v>262</v>
      </c>
    </row>
    <row r="14" spans="2:7" ht="30" customHeight="1" x14ac:dyDescent="0.3">
      <c r="B14" s="43" t="s">
        <v>254</v>
      </c>
      <c r="C14" s="4" t="s">
        <v>294</v>
      </c>
      <c r="D14" s="43" t="s">
        <v>295</v>
      </c>
      <c r="E14" s="43" t="s">
        <v>296</v>
      </c>
      <c r="F14" s="43" t="s">
        <v>297</v>
      </c>
      <c r="G14" s="43" t="s">
        <v>298</v>
      </c>
    </row>
    <row r="15" spans="2:7" ht="30" customHeight="1" x14ac:dyDescent="0.3">
      <c r="B15" s="43" t="s">
        <v>254</v>
      </c>
      <c r="C15" s="4" t="s">
        <v>299</v>
      </c>
      <c r="D15" s="43" t="s">
        <v>300</v>
      </c>
      <c r="E15" s="43" t="s">
        <v>301</v>
      </c>
      <c r="F15" s="43" t="s">
        <v>302</v>
      </c>
      <c r="G15" s="43" t="s">
        <v>262</v>
      </c>
    </row>
    <row r="16" spans="2:7" ht="30" customHeight="1" x14ac:dyDescent="0.3">
      <c r="B16" s="43" t="s">
        <v>254</v>
      </c>
      <c r="C16" s="4" t="s">
        <v>303</v>
      </c>
      <c r="D16" s="43" t="s">
        <v>304</v>
      </c>
      <c r="E16" s="43" t="s">
        <v>305</v>
      </c>
      <c r="F16" s="43" t="s">
        <v>306</v>
      </c>
      <c r="G16" s="43" t="s">
        <v>307</v>
      </c>
    </row>
    <row r="17" spans="2:7" ht="30" customHeight="1" x14ac:dyDescent="0.3">
      <c r="B17" s="43" t="s">
        <v>254</v>
      </c>
      <c r="C17" s="4" t="s">
        <v>308</v>
      </c>
      <c r="D17" s="43" t="s">
        <v>309</v>
      </c>
      <c r="E17" s="43" t="s">
        <v>310</v>
      </c>
      <c r="F17" s="43" t="s">
        <v>311</v>
      </c>
      <c r="G17" s="43" t="s">
        <v>272</v>
      </c>
    </row>
    <row r="18" spans="2:7" ht="30" customHeight="1" x14ac:dyDescent="0.3">
      <c r="B18" s="43" t="s">
        <v>254</v>
      </c>
      <c r="C18" s="4" t="s">
        <v>312</v>
      </c>
      <c r="D18" s="43" t="s">
        <v>313</v>
      </c>
      <c r="E18" s="43" t="s">
        <v>314</v>
      </c>
      <c r="F18" s="43" t="s">
        <v>315</v>
      </c>
      <c r="G18" s="43" t="s">
        <v>262</v>
      </c>
    </row>
    <row r="19" spans="2:7" ht="30" customHeight="1" x14ac:dyDescent="0.3">
      <c r="B19" s="43" t="s">
        <v>254</v>
      </c>
      <c r="C19" s="4" t="s">
        <v>316</v>
      </c>
      <c r="D19" s="43" t="s">
        <v>317</v>
      </c>
      <c r="E19" s="43" t="s">
        <v>318</v>
      </c>
      <c r="F19" s="43" t="s">
        <v>319</v>
      </c>
      <c r="G19" s="43" t="s">
        <v>272</v>
      </c>
    </row>
    <row r="20" spans="2:7" ht="30" customHeight="1" x14ac:dyDescent="0.3">
      <c r="B20" s="43" t="s">
        <v>254</v>
      </c>
      <c r="C20" s="4" t="s">
        <v>320</v>
      </c>
      <c r="D20" s="43" t="s">
        <v>321</v>
      </c>
      <c r="E20" s="43" t="s">
        <v>322</v>
      </c>
      <c r="F20" s="43" t="s">
        <v>323</v>
      </c>
      <c r="G20" s="43" t="s">
        <v>272</v>
      </c>
    </row>
    <row r="21" spans="2:7" ht="30" customHeight="1" x14ac:dyDescent="0.3">
      <c r="B21" s="43" t="s">
        <v>254</v>
      </c>
      <c r="C21" s="4" t="s">
        <v>324</v>
      </c>
      <c r="D21" s="43" t="s">
        <v>325</v>
      </c>
      <c r="E21" s="43" t="s">
        <v>326</v>
      </c>
      <c r="F21" s="43" t="s">
        <v>327</v>
      </c>
      <c r="G21" s="43" t="s">
        <v>272</v>
      </c>
    </row>
    <row r="22" spans="2:7" ht="30" customHeight="1" x14ac:dyDescent="0.3">
      <c r="B22" s="43" t="s">
        <v>254</v>
      </c>
      <c r="C22" s="4" t="s">
        <v>328</v>
      </c>
      <c r="D22" s="43" t="s">
        <v>329</v>
      </c>
      <c r="E22" s="43" t="s">
        <v>330</v>
      </c>
      <c r="F22" s="43" t="s">
        <v>331</v>
      </c>
      <c r="G22" s="43" t="s">
        <v>332</v>
      </c>
    </row>
    <row r="23" spans="2:7" ht="30" customHeight="1" x14ac:dyDescent="0.3">
      <c r="B23" s="43" t="s">
        <v>254</v>
      </c>
      <c r="C23" s="4" t="s">
        <v>333</v>
      </c>
      <c r="D23" s="43" t="s">
        <v>334</v>
      </c>
      <c r="E23" s="43" t="s">
        <v>335</v>
      </c>
      <c r="F23" s="43" t="s">
        <v>336</v>
      </c>
      <c r="G23" s="43" t="s">
        <v>262</v>
      </c>
    </row>
    <row r="24" spans="2:7" ht="30" customHeight="1" x14ac:dyDescent="0.3">
      <c r="B24" s="43" t="s">
        <v>254</v>
      </c>
      <c r="C24" s="4" t="s">
        <v>337</v>
      </c>
      <c r="D24" s="43" t="s">
        <v>338</v>
      </c>
      <c r="E24" s="43" t="s">
        <v>339</v>
      </c>
      <c r="F24" s="43" t="s">
        <v>340</v>
      </c>
      <c r="G24" s="43" t="s">
        <v>289</v>
      </c>
    </row>
    <row r="25" spans="2:7" ht="30" customHeight="1" x14ac:dyDescent="0.3">
      <c r="B25" s="43" t="s">
        <v>254</v>
      </c>
      <c r="C25" s="4" t="s">
        <v>341</v>
      </c>
      <c r="D25" s="43" t="s">
        <v>342</v>
      </c>
      <c r="E25" s="43" t="s">
        <v>343</v>
      </c>
      <c r="F25" s="43" t="s">
        <v>344</v>
      </c>
      <c r="G25" s="43" t="s">
        <v>289</v>
      </c>
    </row>
    <row r="26" spans="2:7" ht="30" customHeight="1" x14ac:dyDescent="0.3">
      <c r="B26" s="43" t="s">
        <v>254</v>
      </c>
      <c r="C26" s="4" t="s">
        <v>345</v>
      </c>
      <c r="D26" s="43" t="s">
        <v>346</v>
      </c>
      <c r="E26" s="43" t="s">
        <v>347</v>
      </c>
      <c r="F26" s="43" t="s">
        <v>348</v>
      </c>
      <c r="G26" s="43" t="s">
        <v>298</v>
      </c>
    </row>
    <row r="27" spans="2:7" ht="30" customHeight="1" x14ac:dyDescent="0.3">
      <c r="B27" s="43" t="s">
        <v>254</v>
      </c>
      <c r="C27" s="4" t="s">
        <v>349</v>
      </c>
      <c r="D27" s="43" t="s">
        <v>350</v>
      </c>
      <c r="E27" s="43" t="s">
        <v>351</v>
      </c>
      <c r="F27" s="43" t="s">
        <v>255</v>
      </c>
      <c r="G27" s="43" t="s">
        <v>272</v>
      </c>
    </row>
    <row r="28" spans="2:7" ht="30" customHeight="1" x14ac:dyDescent="0.3">
      <c r="B28" s="43" t="s">
        <v>254</v>
      </c>
      <c r="C28" s="4" t="s">
        <v>352</v>
      </c>
      <c r="D28" s="43" t="s">
        <v>353</v>
      </c>
      <c r="E28" s="43" t="s">
        <v>354</v>
      </c>
      <c r="F28" s="43" t="s">
        <v>355</v>
      </c>
      <c r="G28" s="43" t="s">
        <v>289</v>
      </c>
    </row>
    <row r="29" spans="2:7" ht="30" customHeight="1" x14ac:dyDescent="0.3">
      <c r="B29" s="43" t="s">
        <v>254</v>
      </c>
      <c r="C29" s="4" t="s">
        <v>356</v>
      </c>
      <c r="D29" s="43" t="s">
        <v>357</v>
      </c>
      <c r="E29" s="43" t="s">
        <v>358</v>
      </c>
      <c r="F29" s="43" t="s">
        <v>255</v>
      </c>
      <c r="G29" s="43" t="s">
        <v>289</v>
      </c>
    </row>
    <row r="30" spans="2:7" ht="30" customHeight="1" x14ac:dyDescent="0.3">
      <c r="B30" s="43" t="s">
        <v>254</v>
      </c>
      <c r="C30" s="4" t="s">
        <v>359</v>
      </c>
      <c r="D30" s="43" t="s">
        <v>360</v>
      </c>
      <c r="E30" s="43" t="s">
        <v>361</v>
      </c>
      <c r="F30" s="43" t="s">
        <v>362</v>
      </c>
      <c r="G30" s="43" t="s">
        <v>363</v>
      </c>
    </row>
    <row r="31" spans="2:7" ht="30" customHeight="1" x14ac:dyDescent="0.3">
      <c r="B31" s="43" t="s">
        <v>254</v>
      </c>
      <c r="C31" s="4" t="s">
        <v>359</v>
      </c>
      <c r="D31" s="43" t="s">
        <v>364</v>
      </c>
      <c r="E31" s="43" t="s">
        <v>365</v>
      </c>
      <c r="F31" s="43" t="s">
        <v>255</v>
      </c>
      <c r="G31" s="43" t="s">
        <v>262</v>
      </c>
    </row>
    <row r="32" spans="2:7" ht="30" customHeight="1" x14ac:dyDescent="0.3">
      <c r="B32" s="43" t="s">
        <v>254</v>
      </c>
      <c r="C32" s="4" t="s">
        <v>366</v>
      </c>
      <c r="D32" s="43" t="s">
        <v>367</v>
      </c>
      <c r="E32" s="43" t="s">
        <v>368</v>
      </c>
      <c r="F32" s="43" t="s">
        <v>255</v>
      </c>
      <c r="G32" s="43" t="s">
        <v>272</v>
      </c>
    </row>
    <row r="33" spans="2:7" ht="30" customHeight="1" x14ac:dyDescent="0.3">
      <c r="B33" s="43" t="s">
        <v>254</v>
      </c>
      <c r="C33" s="4" t="s">
        <v>369</v>
      </c>
      <c r="D33" s="43" t="s">
        <v>370</v>
      </c>
      <c r="E33" s="43" t="s">
        <v>371</v>
      </c>
      <c r="F33" s="43" t="s">
        <v>372</v>
      </c>
      <c r="G33" s="43" t="s">
        <v>272</v>
      </c>
    </row>
    <row r="34" spans="2:7" ht="30" customHeight="1" x14ac:dyDescent="0.3">
      <c r="B34" s="43" t="s">
        <v>254</v>
      </c>
      <c r="C34" s="4" t="s">
        <v>373</v>
      </c>
      <c r="D34" s="43" t="s">
        <v>374</v>
      </c>
      <c r="E34" s="43" t="s">
        <v>375</v>
      </c>
      <c r="F34" s="43" t="s">
        <v>255</v>
      </c>
      <c r="G34" s="43" t="s">
        <v>376</v>
      </c>
    </row>
    <row r="35" spans="2:7" ht="30" customHeight="1" x14ac:dyDescent="0.3">
      <c r="B35" s="43" t="s">
        <v>254</v>
      </c>
      <c r="C35" s="4" t="s">
        <v>377</v>
      </c>
      <c r="D35" s="43" t="s">
        <v>378</v>
      </c>
      <c r="E35" s="43" t="s">
        <v>379</v>
      </c>
      <c r="F35" s="43" t="s">
        <v>255</v>
      </c>
      <c r="G35" s="43" t="s">
        <v>272</v>
      </c>
    </row>
    <row r="36" spans="2:7" ht="30" customHeight="1" x14ac:dyDescent="0.3">
      <c r="B36" s="43" t="s">
        <v>254</v>
      </c>
      <c r="C36" s="4" t="s">
        <v>380</v>
      </c>
      <c r="D36" s="43" t="s">
        <v>381</v>
      </c>
      <c r="E36" s="43" t="s">
        <v>382</v>
      </c>
      <c r="F36" s="43" t="s">
        <v>383</v>
      </c>
      <c r="G36" s="43" t="s">
        <v>272</v>
      </c>
    </row>
    <row r="37" spans="2:7" ht="30" customHeight="1" x14ac:dyDescent="0.3">
      <c r="B37" s="43" t="s">
        <v>254</v>
      </c>
      <c r="C37" s="4" t="s">
        <v>384</v>
      </c>
      <c r="D37" s="43" t="s">
        <v>385</v>
      </c>
      <c r="E37" s="43" t="s">
        <v>386</v>
      </c>
      <c r="F37" s="43" t="s">
        <v>255</v>
      </c>
      <c r="G37" s="43" t="s">
        <v>387</v>
      </c>
    </row>
    <row r="38" spans="2:7" ht="30" customHeight="1" x14ac:dyDescent="0.3">
      <c r="B38" s="43" t="s">
        <v>254</v>
      </c>
      <c r="C38" s="4" t="s">
        <v>388</v>
      </c>
      <c r="D38" s="43" t="s">
        <v>389</v>
      </c>
      <c r="E38" s="43" t="s">
        <v>390</v>
      </c>
      <c r="F38" s="43" t="s">
        <v>255</v>
      </c>
      <c r="G38" s="43" t="s">
        <v>272</v>
      </c>
    </row>
    <row r="39" spans="2:7" ht="30" customHeight="1" x14ac:dyDescent="0.3">
      <c r="B39" s="43" t="s">
        <v>254</v>
      </c>
      <c r="C39" s="4" t="s">
        <v>391</v>
      </c>
      <c r="D39" s="43" t="s">
        <v>392</v>
      </c>
      <c r="E39" s="43" t="s">
        <v>393</v>
      </c>
      <c r="F39" s="43" t="s">
        <v>255</v>
      </c>
      <c r="G39" s="43" t="s">
        <v>394</v>
      </c>
    </row>
    <row r="40" spans="2:7" ht="30" customHeight="1" x14ac:dyDescent="0.3">
      <c r="B40" s="43" t="s">
        <v>254</v>
      </c>
      <c r="C40" s="4" t="s">
        <v>395</v>
      </c>
      <c r="D40" s="43" t="s">
        <v>396</v>
      </c>
      <c r="E40" s="43" t="s">
        <v>397</v>
      </c>
      <c r="F40" s="43" t="s">
        <v>255</v>
      </c>
      <c r="G40" s="43" t="s">
        <v>398</v>
      </c>
    </row>
    <row r="41" spans="2:7" ht="30" customHeight="1" x14ac:dyDescent="0.3">
      <c r="B41" s="43" t="s">
        <v>254</v>
      </c>
      <c r="C41" s="4" t="s">
        <v>399</v>
      </c>
      <c r="D41" s="43" t="s">
        <v>400</v>
      </c>
      <c r="E41" s="43" t="s">
        <v>401</v>
      </c>
      <c r="F41" s="43" t="s">
        <v>255</v>
      </c>
      <c r="G41" s="43" t="s">
        <v>402</v>
      </c>
    </row>
    <row r="42" spans="2:7" ht="14" customHeight="1" x14ac:dyDescent="0.2"/>
    <row r="43" spans="2:7" ht="14" customHeight="1" x14ac:dyDescent="0.3">
      <c r="B43" s="8" t="s">
        <v>403</v>
      </c>
    </row>
    <row r="44" spans="2:7" ht="14" customHeight="1" x14ac:dyDescent="0.3">
      <c r="B44" s="10" t="s">
        <v>404</v>
      </c>
      <c r="C44" s="10" t="s">
        <v>405</v>
      </c>
    </row>
    <row r="45" spans="2:7" ht="14" customHeight="1" x14ac:dyDescent="0.3">
      <c r="B45" s="4" t="s">
        <v>406</v>
      </c>
      <c r="C45" t="s">
        <v>407</v>
      </c>
    </row>
    <row r="46" spans="2:7" ht="14" customHeight="1" x14ac:dyDescent="0.3">
      <c r="B46" s="4" t="s">
        <v>408</v>
      </c>
      <c r="C46" t="s">
        <v>409</v>
      </c>
    </row>
    <row r="47" spans="2:7" ht="14" customHeight="1" x14ac:dyDescent="0.3">
      <c r="B47" s="4" t="s">
        <v>410</v>
      </c>
      <c r="C47" t="s">
        <v>411</v>
      </c>
    </row>
    <row r="48" spans="2:7" ht="14" customHeight="1" x14ac:dyDescent="0.3">
      <c r="B48" s="4" t="s">
        <v>412</v>
      </c>
      <c r="C48" t="s">
        <v>413</v>
      </c>
    </row>
    <row r="49" spans="2:3" ht="14" customHeight="1" x14ac:dyDescent="0.3">
      <c r="B49" s="4" t="s">
        <v>414</v>
      </c>
      <c r="C49" t="s">
        <v>4</v>
      </c>
    </row>
    <row r="50" spans="2:3" ht="14" customHeight="1" x14ac:dyDescent="0.3">
      <c r="B50" s="4" t="s">
        <v>415</v>
      </c>
      <c r="C50" t="s">
        <v>254</v>
      </c>
    </row>
    <row r="51" spans="2:3" ht="14" customHeight="1" x14ac:dyDescent="0.3">
      <c r="B51" s="4" t="s">
        <v>416</v>
      </c>
      <c r="C51" t="s">
        <v>417</v>
      </c>
    </row>
    <row r="52" spans="2:3" ht="14" customHeight="1" x14ac:dyDescent="0.3">
      <c r="B52" s="4" t="s">
        <v>418</v>
      </c>
      <c r="C52" t="s">
        <v>419</v>
      </c>
    </row>
    <row r="53" spans="2:3" ht="14" x14ac:dyDescent="0.3">
      <c r="B53" s="4" t="s">
        <v>420</v>
      </c>
      <c r="C53" t="s">
        <v>421</v>
      </c>
    </row>
    <row r="54" spans="2:3" ht="14" x14ac:dyDescent="0.3">
      <c r="B54" s="4" t="s">
        <v>422</v>
      </c>
      <c r="C54" t="s">
        <v>423</v>
      </c>
    </row>
    <row r="55" spans="2:3" ht="14" x14ac:dyDescent="0.3">
      <c r="B55" s="4" t="s">
        <v>424</v>
      </c>
      <c r="C55" t="s">
        <v>425</v>
      </c>
    </row>
    <row r="56" spans="2:3" ht="14" x14ac:dyDescent="0.3">
      <c r="B56" s="4" t="s">
        <v>426</v>
      </c>
      <c r="C56" t="s">
        <v>427</v>
      </c>
    </row>
    <row r="57" spans="2:3" ht="14" x14ac:dyDescent="0.3">
      <c r="B57" s="4" t="s">
        <v>428</v>
      </c>
      <c r="C57" t="s">
        <v>429</v>
      </c>
    </row>
    <row r="58" spans="2:3" ht="14" x14ac:dyDescent="0.3">
      <c r="B58" s="4" t="s">
        <v>430</v>
      </c>
      <c r="C58" t="s">
        <v>421</v>
      </c>
    </row>
    <row r="59" spans="2:3" ht="14" x14ac:dyDescent="0.3">
      <c r="B59" s="4" t="s">
        <v>431</v>
      </c>
      <c r="C59" t="s">
        <v>417</v>
      </c>
    </row>
    <row r="60" spans="2:3" ht="14" x14ac:dyDescent="0.3">
      <c r="B60" s="4" t="s">
        <v>432</v>
      </c>
      <c r="C60" t="s">
        <v>433</v>
      </c>
    </row>
    <row r="61" spans="2:3" ht="14" x14ac:dyDescent="0.3">
      <c r="B61" s="4" t="s">
        <v>434</v>
      </c>
      <c r="C61" t="s">
        <v>435</v>
      </c>
    </row>
    <row r="62" spans="2:3" ht="14" x14ac:dyDescent="0.3">
      <c r="B62" s="4" t="s">
        <v>436</v>
      </c>
      <c r="C62" t="s">
        <v>437</v>
      </c>
    </row>
    <row r="63" spans="2:3" ht="14" x14ac:dyDescent="0.3">
      <c r="B63" s="4" t="s">
        <v>438</v>
      </c>
      <c r="C63" t="s">
        <v>439</v>
      </c>
    </row>
    <row r="64" spans="2:3" ht="14" x14ac:dyDescent="0.3">
      <c r="B64" s="4" t="s">
        <v>440</v>
      </c>
      <c r="C64" t="s">
        <v>441</v>
      </c>
    </row>
    <row r="65" spans="2:3" ht="14" x14ac:dyDescent="0.3">
      <c r="B65" s="4" t="s">
        <v>442</v>
      </c>
      <c r="C65" t="s">
        <v>443</v>
      </c>
    </row>
    <row r="66" spans="2:3" ht="14" x14ac:dyDescent="0.3">
      <c r="B66" s="4" t="s">
        <v>444</v>
      </c>
      <c r="C66" t="s">
        <v>445</v>
      </c>
    </row>
    <row r="67" spans="2:3" ht="14" x14ac:dyDescent="0.3">
      <c r="B67" s="4" t="s">
        <v>446</v>
      </c>
      <c r="C67" t="s">
        <v>447</v>
      </c>
    </row>
    <row r="68" spans="2:3" ht="14" x14ac:dyDescent="0.3">
      <c r="B68" s="4" t="s">
        <v>448</v>
      </c>
      <c r="C68" t="s">
        <v>409</v>
      </c>
    </row>
    <row r="69" spans="2:3" ht="14" x14ac:dyDescent="0.3">
      <c r="B69" s="4" t="s">
        <v>449</v>
      </c>
      <c r="C69" t="s">
        <v>450</v>
      </c>
    </row>
    <row r="70" spans="2:3" ht="14" x14ac:dyDescent="0.3">
      <c r="B70" s="4" t="s">
        <v>451</v>
      </c>
      <c r="C70" t="s">
        <v>452</v>
      </c>
    </row>
    <row r="71" spans="2:3" ht="14" x14ac:dyDescent="0.3">
      <c r="B71" s="4" t="s">
        <v>453</v>
      </c>
      <c r="C71" t="s">
        <v>454</v>
      </c>
    </row>
    <row r="72" spans="2:3" ht="14" x14ac:dyDescent="0.3">
      <c r="B72" s="4" t="s">
        <v>455</v>
      </c>
      <c r="C72" t="s">
        <v>456</v>
      </c>
    </row>
    <row r="73" spans="2:3" ht="14" x14ac:dyDescent="0.3">
      <c r="B73" s="4" t="s">
        <v>457</v>
      </c>
      <c r="C73" t="s">
        <v>458</v>
      </c>
    </row>
    <row r="74" spans="2:3" ht="14" x14ac:dyDescent="0.3">
      <c r="B74" s="4" t="s">
        <v>459</v>
      </c>
      <c r="C74" t="s">
        <v>460</v>
      </c>
    </row>
    <row r="75" spans="2:3" ht="14" x14ac:dyDescent="0.3">
      <c r="B75" s="4" t="s">
        <v>461</v>
      </c>
      <c r="C75" t="s">
        <v>462</v>
      </c>
    </row>
    <row r="76" spans="2:3" ht="14" x14ac:dyDescent="0.3">
      <c r="B76" s="4" t="s">
        <v>463</v>
      </c>
      <c r="C76" t="s">
        <v>464</v>
      </c>
    </row>
    <row r="77" spans="2:3" ht="14" x14ac:dyDescent="0.3">
      <c r="B77" s="4" t="s">
        <v>465</v>
      </c>
      <c r="C77" t="s">
        <v>466</v>
      </c>
    </row>
    <row r="78" spans="2:3" ht="14" x14ac:dyDescent="0.3">
      <c r="B78" s="4" t="s">
        <v>467</v>
      </c>
      <c r="C78" t="s">
        <v>468</v>
      </c>
    </row>
    <row r="79" spans="2:3" ht="14" x14ac:dyDescent="0.3">
      <c r="B79" s="4" t="s">
        <v>469</v>
      </c>
      <c r="C79" t="s">
        <v>470</v>
      </c>
    </row>
    <row r="80" spans="2:3" ht="14" x14ac:dyDescent="0.3">
      <c r="B80" s="4" t="s">
        <v>471</v>
      </c>
      <c r="C80" t="s">
        <v>472</v>
      </c>
    </row>
    <row r="81" spans="2:3" ht="14" x14ac:dyDescent="0.3">
      <c r="B81" s="4" t="s">
        <v>473</v>
      </c>
      <c r="C81" t="s">
        <v>474</v>
      </c>
    </row>
    <row r="82" spans="2:3" ht="14" x14ac:dyDescent="0.3">
      <c r="B82" s="4" t="s">
        <v>475</v>
      </c>
      <c r="C82" t="s">
        <v>476</v>
      </c>
    </row>
    <row r="83" spans="2:3" ht="14" x14ac:dyDescent="0.3">
      <c r="B83" s="4" t="s">
        <v>477</v>
      </c>
      <c r="C83" t="s">
        <v>212</v>
      </c>
    </row>
  </sheetData>
  <phoneticPr fontId="8"/>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B2:E58"/>
  <sheetViews>
    <sheetView workbookViewId="0">
      <pane xSplit="2" ySplit="5" topLeftCell="C6" activePane="bottomRight" state="frozen"/>
      <selection pane="topRight"/>
      <selection pane="bottomLeft"/>
      <selection pane="bottomRight"/>
    </sheetView>
  </sheetViews>
  <sheetFormatPr defaultRowHeight="13" x14ac:dyDescent="0.2"/>
  <cols>
    <col min="1" max="1" width="3" customWidth="1"/>
    <col min="2" max="2" width="36" customWidth="1"/>
    <col min="3" max="4" width="16" customWidth="1"/>
    <col min="5" max="5" width="46" customWidth="1"/>
  </cols>
  <sheetData>
    <row r="2" spans="2:5" ht="18" x14ac:dyDescent="0.4">
      <c r="B2" s="44" t="s">
        <v>478</v>
      </c>
    </row>
    <row r="3" spans="2:5" ht="14" x14ac:dyDescent="0.3">
      <c r="B3" s="45" t="s">
        <v>479</v>
      </c>
    </row>
    <row r="4" spans="2:5" ht="14" x14ac:dyDescent="0.3">
      <c r="B4" s="45" t="s">
        <v>480</v>
      </c>
    </row>
    <row r="5" spans="2:5" ht="14" x14ac:dyDescent="0.3">
      <c r="B5" s="45" t="s">
        <v>481</v>
      </c>
    </row>
    <row r="6" spans="2:5" ht="14" x14ac:dyDescent="0.3">
      <c r="B6" s="45" t="s">
        <v>482</v>
      </c>
    </row>
    <row r="8" spans="2:5" ht="14" x14ac:dyDescent="0.3">
      <c r="B8" s="46" t="s">
        <v>483</v>
      </c>
      <c r="C8" s="47"/>
      <c r="D8" s="47"/>
      <c r="E8" s="47"/>
    </row>
    <row r="9" spans="2:5" ht="14" x14ac:dyDescent="0.3">
      <c r="B9" s="48" t="s">
        <v>484</v>
      </c>
      <c r="C9" s="48" t="s">
        <v>32</v>
      </c>
      <c r="D9" s="48" t="s">
        <v>33</v>
      </c>
      <c r="E9" s="48" t="s">
        <v>210</v>
      </c>
    </row>
    <row r="10" spans="2:5" ht="14" x14ac:dyDescent="0.3">
      <c r="B10" s="43" t="s">
        <v>485</v>
      </c>
      <c r="C10" s="49">
        <v>5892.4</v>
      </c>
      <c r="D10" s="49">
        <v>7652.9</v>
      </c>
      <c r="E10" s="45" t="s">
        <v>486</v>
      </c>
    </row>
    <row r="11" spans="2:5" ht="14" x14ac:dyDescent="0.3">
      <c r="B11" s="43" t="s">
        <v>487</v>
      </c>
      <c r="C11" s="49">
        <v>2909.7</v>
      </c>
      <c r="D11" s="49">
        <v>3177.5</v>
      </c>
      <c r="E11" s="45" t="s">
        <v>488</v>
      </c>
    </row>
    <row r="12" spans="2:5" ht="14" x14ac:dyDescent="0.3">
      <c r="B12" s="4" t="s">
        <v>489</v>
      </c>
      <c r="C12" s="50">
        <f>SUM(C10:C11)</f>
        <v>8802.0999999999985</v>
      </c>
      <c r="D12" s="50">
        <f>SUM(D10:D11)</f>
        <v>10830.4</v>
      </c>
    </row>
    <row r="13" spans="2:5" ht="14" x14ac:dyDescent="0.3">
      <c r="B13" s="43" t="s">
        <v>490</v>
      </c>
      <c r="C13" s="51">
        <f>8802.1-C12</f>
        <v>0</v>
      </c>
      <c r="D13" s="51">
        <f>10830.4-D12</f>
        <v>0</v>
      </c>
      <c r="E13" s="45" t="s">
        <v>491</v>
      </c>
    </row>
    <row r="14" spans="2:5" ht="14" x14ac:dyDescent="0.3">
      <c r="B14" s="4" t="s">
        <v>492</v>
      </c>
      <c r="C14" s="52">
        <v>8802.1</v>
      </c>
      <c r="D14" s="52">
        <v>10830.4</v>
      </c>
      <c r="E14" s="45" t="s">
        <v>493</v>
      </c>
    </row>
    <row r="16" spans="2:5" ht="14" x14ac:dyDescent="0.3">
      <c r="B16" s="46" t="s">
        <v>494</v>
      </c>
      <c r="C16" s="47"/>
      <c r="D16" s="47"/>
      <c r="E16" s="47"/>
    </row>
    <row r="17" spans="2:5" ht="14" x14ac:dyDescent="0.3">
      <c r="B17" s="48" t="s">
        <v>484</v>
      </c>
      <c r="C17" s="48" t="s">
        <v>32</v>
      </c>
      <c r="D17" s="48" t="s">
        <v>33</v>
      </c>
      <c r="E17" s="48" t="s">
        <v>210</v>
      </c>
    </row>
    <row r="18" spans="2:5" ht="13.5" x14ac:dyDescent="0.25">
      <c r="B18" s="43" t="s">
        <v>485</v>
      </c>
      <c r="C18" s="49">
        <v>-188.2</v>
      </c>
      <c r="D18" s="49">
        <v>508.9</v>
      </c>
    </row>
    <row r="19" spans="2:5" ht="13.5" x14ac:dyDescent="0.25">
      <c r="B19" s="43" t="s">
        <v>487</v>
      </c>
      <c r="C19" s="49">
        <v>347.7</v>
      </c>
      <c r="D19" s="49">
        <v>243.3</v>
      </c>
    </row>
    <row r="20" spans="2:5" ht="14" x14ac:dyDescent="0.3">
      <c r="B20" s="4" t="s">
        <v>495</v>
      </c>
      <c r="C20" s="50">
        <f>SUM(C18:C19)</f>
        <v>159.5</v>
      </c>
      <c r="D20" s="50">
        <f>SUM(D18:D19)</f>
        <v>752.2</v>
      </c>
    </row>
    <row r="21" spans="2:5" ht="13.5" x14ac:dyDescent="0.25">
      <c r="B21" s="43" t="s">
        <v>496</v>
      </c>
      <c r="C21" s="49">
        <v>73.5</v>
      </c>
      <c r="D21" s="49">
        <v>44</v>
      </c>
    </row>
    <row r="22" spans="2:5" ht="14" x14ac:dyDescent="0.3">
      <c r="B22" s="4" t="s">
        <v>497</v>
      </c>
      <c r="C22" s="53">
        <f>C20+C21</f>
        <v>233</v>
      </c>
      <c r="D22" s="53">
        <f>D20+D21</f>
        <v>796.2</v>
      </c>
    </row>
    <row r="23" spans="2:5" ht="14" x14ac:dyDescent="0.3">
      <c r="B23" s="4" t="s">
        <v>498</v>
      </c>
      <c r="C23" s="54">
        <v>233</v>
      </c>
      <c r="D23" s="54">
        <v>796.2</v>
      </c>
      <c r="E23" s="45" t="s">
        <v>499</v>
      </c>
    </row>
    <row r="24" spans="2:5" ht="14" x14ac:dyDescent="0.3">
      <c r="B24" s="4" t="s">
        <v>500</v>
      </c>
      <c r="C24" s="55">
        <f>C22-C23</f>
        <v>0</v>
      </c>
      <c r="D24" s="55">
        <f>D22-D23</f>
        <v>0</v>
      </c>
      <c r="E24" s="45" t="s">
        <v>501</v>
      </c>
    </row>
    <row r="26" spans="2:5" ht="14" x14ac:dyDescent="0.3">
      <c r="B26" s="46" t="s">
        <v>502</v>
      </c>
      <c r="C26" s="47"/>
      <c r="D26" s="47"/>
      <c r="E26" s="47"/>
    </row>
    <row r="27" spans="2:5" ht="14" x14ac:dyDescent="0.3">
      <c r="B27" s="48" t="s">
        <v>484</v>
      </c>
      <c r="C27" s="48" t="s">
        <v>32</v>
      </c>
      <c r="D27" s="48" t="s">
        <v>33</v>
      </c>
      <c r="E27" s="48" t="s">
        <v>210</v>
      </c>
    </row>
    <row r="28" spans="2:5" ht="13.5" x14ac:dyDescent="0.25">
      <c r="B28" s="43" t="s">
        <v>485</v>
      </c>
      <c r="C28" s="56">
        <f>IFERROR(C18/C10,"N/A")</f>
        <v>-3.1939447423800151E-2</v>
      </c>
      <c r="D28" s="56">
        <f>IFERROR(D18/D10,"N/A")</f>
        <v>6.6497667550863074E-2</v>
      </c>
    </row>
    <row r="29" spans="2:5" ht="13.5" x14ac:dyDescent="0.25">
      <c r="B29" s="43" t="s">
        <v>487</v>
      </c>
      <c r="C29" s="56">
        <f>IFERROR(C19/C11,"N/A")</f>
        <v>0.11949685534591195</v>
      </c>
      <c r="D29" s="56">
        <f>IFERROR(D19/D11,"N/A")</f>
        <v>7.6569630212431156E-2</v>
      </c>
    </row>
    <row r="30" spans="2:5" ht="14" x14ac:dyDescent="0.3">
      <c r="B30" s="4" t="s">
        <v>503</v>
      </c>
      <c r="C30" s="57">
        <f>IFERROR(C23/C14,"N/A")</f>
        <v>2.6470955794639914E-2</v>
      </c>
      <c r="D30" s="57">
        <f>IFERROR(D23/D14,"N/A")</f>
        <v>7.3515290293987304E-2</v>
      </c>
    </row>
    <row r="32" spans="2:5" ht="14" x14ac:dyDescent="0.3">
      <c r="B32" s="46" t="s">
        <v>504</v>
      </c>
      <c r="C32" s="47"/>
      <c r="D32" s="47"/>
      <c r="E32" s="47"/>
    </row>
    <row r="33" spans="2:5" ht="14" x14ac:dyDescent="0.3">
      <c r="B33" s="48" t="s">
        <v>484</v>
      </c>
      <c r="C33" s="48" t="s">
        <v>32</v>
      </c>
      <c r="D33" s="48" t="s">
        <v>33</v>
      </c>
      <c r="E33" s="48" t="s">
        <v>210</v>
      </c>
    </row>
    <row r="34" spans="2:5" ht="13.5" x14ac:dyDescent="0.25">
      <c r="B34" s="43" t="s">
        <v>485</v>
      </c>
      <c r="C34" s="49">
        <v>386.6</v>
      </c>
      <c r="D34" s="49">
        <v>378.9</v>
      </c>
    </row>
    <row r="35" spans="2:5" ht="13.5" x14ac:dyDescent="0.25">
      <c r="B35" s="43" t="s">
        <v>487</v>
      </c>
      <c r="C35" s="49">
        <v>75.5</v>
      </c>
      <c r="D35" s="49">
        <v>69.400000000000006</v>
      </c>
    </row>
    <row r="36" spans="2:5" ht="14" x14ac:dyDescent="0.3">
      <c r="B36" s="4" t="s">
        <v>505</v>
      </c>
      <c r="C36" s="50">
        <f>SUM(C34:C35)</f>
        <v>462.1</v>
      </c>
      <c r="D36" s="50">
        <f>SUM(D34:D35)</f>
        <v>448.29999999999995</v>
      </c>
    </row>
    <row r="37" spans="2:5" ht="14" x14ac:dyDescent="0.3">
      <c r="B37" s="43" t="s">
        <v>506</v>
      </c>
      <c r="C37" s="49">
        <v>0</v>
      </c>
      <c r="D37" s="49">
        <v>0</v>
      </c>
      <c r="E37" s="45" t="s">
        <v>507</v>
      </c>
    </row>
    <row r="38" spans="2:5" ht="14" x14ac:dyDescent="0.3">
      <c r="B38" s="4" t="s">
        <v>497</v>
      </c>
      <c r="C38" s="53">
        <f>C36+C37</f>
        <v>462.1</v>
      </c>
      <c r="D38" s="53">
        <f>D36+D37</f>
        <v>448.29999999999995</v>
      </c>
    </row>
    <row r="39" spans="2:5" ht="14" x14ac:dyDescent="0.3">
      <c r="B39" s="4" t="s">
        <v>508</v>
      </c>
      <c r="C39" s="54">
        <v>462.2</v>
      </c>
      <c r="D39" s="54">
        <v>448.3</v>
      </c>
      <c r="E39" s="45" t="s">
        <v>509</v>
      </c>
    </row>
    <row r="40" spans="2:5" ht="14" x14ac:dyDescent="0.3">
      <c r="B40" s="4" t="s">
        <v>500</v>
      </c>
      <c r="C40" s="55">
        <f>C38-C39</f>
        <v>-9.9999999999965894E-2</v>
      </c>
      <c r="D40" s="55">
        <f>D38-D39</f>
        <v>0</v>
      </c>
      <c r="E40" s="45" t="s">
        <v>501</v>
      </c>
    </row>
    <row r="41" spans="2:5" ht="14" x14ac:dyDescent="0.3">
      <c r="B41" s="4" t="s">
        <v>510</v>
      </c>
      <c r="C41" s="54">
        <f>IFERROR(C23+C39,"N/A")</f>
        <v>695.2</v>
      </c>
      <c r="D41" s="54">
        <f>IFERROR(D23+D39,"N/A")</f>
        <v>1244.5</v>
      </c>
      <c r="E41" s="45" t="s">
        <v>511</v>
      </c>
    </row>
    <row r="43" spans="2:5" ht="14" x14ac:dyDescent="0.3">
      <c r="B43" s="46" t="s">
        <v>512</v>
      </c>
      <c r="C43" s="47"/>
      <c r="D43" s="47"/>
      <c r="E43" s="47"/>
    </row>
    <row r="44" spans="2:5" ht="14" x14ac:dyDescent="0.3">
      <c r="B44" s="48" t="s">
        <v>513</v>
      </c>
      <c r="C44" s="48" t="s">
        <v>32</v>
      </c>
      <c r="D44" s="48" t="s">
        <v>33</v>
      </c>
      <c r="E44" s="48" t="s">
        <v>210</v>
      </c>
    </row>
    <row r="45" spans="2:5" ht="14" x14ac:dyDescent="0.3">
      <c r="B45" s="4" t="s">
        <v>514</v>
      </c>
      <c r="C45" s="58">
        <v>177.3</v>
      </c>
      <c r="D45" s="58">
        <v>629.1</v>
      </c>
      <c r="E45" s="43" t="s">
        <v>515</v>
      </c>
    </row>
    <row r="46" spans="2:5" ht="14" x14ac:dyDescent="0.3">
      <c r="B46" s="4" t="s">
        <v>516</v>
      </c>
      <c r="C46" s="58">
        <v>26.7</v>
      </c>
      <c r="D46" s="58">
        <v>209.6</v>
      </c>
      <c r="E46" s="43" t="s">
        <v>517</v>
      </c>
    </row>
    <row r="47" spans="2:5" ht="14" x14ac:dyDescent="0.3">
      <c r="B47" s="4" t="s">
        <v>518</v>
      </c>
      <c r="C47" s="58">
        <v>204</v>
      </c>
      <c r="D47" s="58">
        <v>838.7</v>
      </c>
      <c r="E47" s="43" t="s">
        <v>519</v>
      </c>
    </row>
    <row r="48" spans="2:5" ht="14" x14ac:dyDescent="0.3">
      <c r="B48" s="4" t="s">
        <v>520</v>
      </c>
      <c r="C48" s="58">
        <v>10495</v>
      </c>
      <c r="D48" s="58">
        <v>11956.1</v>
      </c>
      <c r="E48" s="43" t="s">
        <v>521</v>
      </c>
    </row>
    <row r="49" spans="2:5" ht="14" x14ac:dyDescent="0.3">
      <c r="B49" s="4" t="s">
        <v>522</v>
      </c>
      <c r="C49" s="58">
        <v>3416.3</v>
      </c>
      <c r="D49" s="58">
        <v>2963.8</v>
      </c>
      <c r="E49" s="43" t="s">
        <v>523</v>
      </c>
    </row>
    <row r="50" spans="2:5" ht="14" x14ac:dyDescent="0.3">
      <c r="B50" s="4" t="s">
        <v>524</v>
      </c>
      <c r="C50" s="59" t="s">
        <v>255</v>
      </c>
      <c r="D50" s="58">
        <v>320</v>
      </c>
      <c r="E50" s="43" t="s">
        <v>525</v>
      </c>
    </row>
    <row r="51" spans="2:5" ht="14" x14ac:dyDescent="0.3">
      <c r="B51" s="4" t="s">
        <v>526</v>
      </c>
      <c r="C51" s="59" t="s">
        <v>255</v>
      </c>
      <c r="D51" s="58">
        <v>83</v>
      </c>
      <c r="E51" s="43" t="s">
        <v>527</v>
      </c>
    </row>
    <row r="52" spans="2:5" ht="45" customHeight="1" x14ac:dyDescent="0.3">
      <c r="B52" s="45" t="s">
        <v>528</v>
      </c>
    </row>
    <row r="54" spans="2:5" ht="14" x14ac:dyDescent="0.3">
      <c r="B54" s="60" t="s">
        <v>529</v>
      </c>
    </row>
    <row r="55" spans="2:5" ht="14" x14ac:dyDescent="0.3">
      <c r="B55" s="45" t="s">
        <v>530</v>
      </c>
    </row>
    <row r="56" spans="2:5" ht="14" x14ac:dyDescent="0.3">
      <c r="B56" s="45" t="s">
        <v>531</v>
      </c>
    </row>
    <row r="57" spans="2:5" ht="14" x14ac:dyDescent="0.3">
      <c r="B57" s="45" t="s">
        <v>532</v>
      </c>
    </row>
    <row r="58" spans="2:5" ht="14" x14ac:dyDescent="0.3">
      <c r="B58" s="45" t="s">
        <v>533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Executive Summary</vt:lpstr>
      <vt:lpstr>Financial Statements</vt:lpstr>
      <vt:lpstr>DCF Model</vt:lpstr>
      <vt:lpstr>Reverse DCF</vt:lpstr>
      <vt:lpstr>NWC Schedule</vt:lpstr>
      <vt:lpstr>Comps Analysis</vt:lpstr>
      <vt:lpstr>Sensitivity Analysis</vt:lpstr>
      <vt:lpstr>Adjustments Log</vt:lpstr>
      <vt:lpstr>Segment Bridge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2026-08-29T08:37:57Z</dcterms:created>
  <dcterms:modified xsi:type="dcterms:W3CDTF">2026-08-29T09:09:08Z</dcterms:modified>
</cp:coreProperties>
</file>