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Executive Summary" sheetId="1" state="visible" r:id="rId3"/>
    <sheet name="Financial Statements" sheetId="2" state="visible" r:id="rId4"/>
    <sheet name="DCF Model" sheetId="3" state="visible" r:id="rId5"/>
    <sheet name="NWC Schedule" sheetId="4" state="visible" r:id="rId6"/>
    <sheet name="Comps Analysis" sheetId="5" state="visible" r:id="rId7"/>
    <sheet name="Sensitivity Analysis" sheetId="6" state="visible" r:id="rId8"/>
    <sheet name="SOTP Cross-Check" sheetId="7" state="visible" r:id="rId9"/>
    <sheet name="Adjustments Log"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<sst xmlns="http://schemas.openxmlformats.org/spreadsheetml/2006/main" count="348" uniqueCount="288">
  <si>
    <t xml:space="preserve">DISCLAIMER: This is a sample analysis for demonstration purposes only. It does not constitute investment advice.</t>
  </si>
  <si>
    <r>
      <rPr>
        <b val="true"/>
        <sz val="14"/>
        <rFont val="Noto Sans CJK SC"/>
        <family val="2"/>
      </rPr>
      <t xml:space="preserve">イオン株式会社 </t>
    </r>
    <r>
      <rPr>
        <b val="true"/>
        <sz val="14"/>
        <rFont val="Arial"/>
        <family val="0"/>
        <charset val="1"/>
      </rPr>
      <t xml:space="preserve">(8267.T)</t>
    </r>
  </si>
  <si>
    <t xml:space="preserve">Equity Research Report</t>
  </si>
  <si>
    <t xml:space="preserve">Company</t>
  </si>
  <si>
    <t xml:space="preserve">イオン株式会社</t>
  </si>
  <si>
    <t xml:space="preserve">Ticker</t>
  </si>
  <si>
    <t xml:space="preserve">8267.T (TSE)</t>
  </si>
  <si>
    <t xml:space="preserve">Sector</t>
  </si>
  <si>
    <t xml:space="preserve">Retail holding company (GMS/SM/drugstore/mall/finance/services)</t>
  </si>
  <si>
    <t xml:space="preserve">Current Price</t>
  </si>
  <si>
    <t xml:space="preserve">Target Price (Mid) - excl. invalid PGM</t>
  </si>
  <si>
    <t xml:space="preserve">Recommendation</t>
  </si>
  <si>
    <t xml:space="preserve">Upside / Downside</t>
  </si>
  <si>
    <t xml:space="preserve">NOTE: the Perpetuity Growth method returns a negative equity value and is EXCLUDED from the Target Price and the range. Cause: Year-5 capex of 545,000 is 1.22x Year-5 D&amp;A of 445,000, so terminal free cash flow is only 157,320 and the resulting enterprise value (3,618,133) sits below net debt plus minority interests (4,083,263). Terminal capex must converge toward D&amp;A when perpetual growth is 0.5%. Normalising Year-5 capex gives: 500,000 -&gt; 182/share, 470,000 -&gt; 416/share, 445,000 (= D&amp;A) -&gt; 611/share, the last of which is consistent with the Exit method at 657. The capex projections in rows 43 of the DCF sheet have NOT been changed - that is a forecast decision.</t>
  </si>
  <si>
    <t xml:space="preserve">Valuation Summary</t>
  </si>
  <si>
    <t xml:space="preserve">Methodology</t>
  </si>
  <si>
    <t xml:space="preserve">Implied Value (JPY)</t>
  </si>
  <si>
    <t xml:space="preserve">vs Current Price</t>
  </si>
  <si>
    <t xml:space="preserve">DCF - Perpetuity Growth (INVALID - see note)</t>
  </si>
  <si>
    <t xml:space="preserve">DCF - Exit Multiple</t>
  </si>
  <si>
    <t xml:space="preserve">Comps - EV/EBITDA Median</t>
  </si>
  <si>
    <t xml:space="preserve">Comps - PER Median</t>
  </si>
  <si>
    <t xml:space="preserve">Integrated Valuation Range</t>
  </si>
  <si>
    <t xml:space="preserve">Key Investment Thesis</t>
  </si>
  <si>
    <t xml:space="preserve">1. Operating profit is compounding but almost none of it reaches the parent. Operating income rose from 209,783 (FY2023/2) to 270,459 (FY2026/2) and is guided to 340,000 in FY2027/2 (+25.7%), yet guided parent net income is 73,000, up just 0.4%. Non-controlling interests took 51,858 of the 124,536 consolidated net income in FY2026/2. The investment case is entirely about whether Aeon can convert consolidated growth into parent-level value.</t>
  </si>
  <si>
    <t xml:space="preserve">2. Drug-store consolidation is reshaping the group. The Tsuruha integration drove a 69,086 step-acquisition gain in FY2026/2 and underpins the guided 12.0% revenue jump to 12,000,000. Health &amp; Wellness is now the growth engine alongside the developer business.</t>
  </si>
  <si>
    <t xml:space="preserve">3. Low cost of capital supports a long-duration asset base. Interest expense of 51,376 on average interest-bearing debt of 4,140,937 is a 1.24% pre-tax cost, giving a WACC near 4.4%. For a business with 3,941,556 of property and 1,138,073 of land, cheap long-term funding is a genuine structural advantage.</t>
  </si>
  <si>
    <t xml:space="preserve">Key Risks</t>
  </si>
  <si>
    <t xml:space="preserve">1. Minority interests are 984,094 at book, or 356 per share against a 1,424 price. Because the listed subsidiaries trade above book, the true economic deduction is larger than the balance sheet figure. Any consolidated valuation that omits this overstates the equity by more than a quarter.</t>
  </si>
  <si>
    <t xml:space="preserve">2. Valuation already prices in the improvement. At 1,424 the shares trade at 3.23x book, 54.2x parent earnings and 12.29x consolidated EBITDA on a 2.52% operating margin. A retailer at 12.3x EBITDA leaves no room for the margin recovery to disappoint.</t>
  </si>
  <si>
    <t xml:space="preserve">3. Impairment and leverage. FY2026/2 booked 97,486 of impairment losses with 270,803 of goodwill still on the balance sheet, and the effective tax rate has run 40-57% because much of that charge is not deductible. Interest-bearing debt of 4,449,206 against 1,218,421 of owners' equity means a small move in funding costs moves the WACC and the terminal value materially.</t>
  </si>
  <si>
    <r>
      <rPr>
        <b val="true"/>
        <sz val="14"/>
        <rFont val="Noto Sans CJK SC"/>
        <family val="2"/>
      </rPr>
      <t xml:space="preserve">イオン株式会社 </t>
    </r>
    <r>
      <rPr>
        <b val="true"/>
        <sz val="14"/>
        <rFont val="Arial"/>
        <family val="0"/>
        <charset val="1"/>
      </rPr>
      <t xml:space="preserve">- Historical Financials (JPY mn)</t>
    </r>
  </si>
  <si>
    <t xml:space="preserve">FY2023/2</t>
  </si>
  <si>
    <t xml:space="preserve">FY2024/2</t>
  </si>
  <si>
    <t xml:space="preserve">FY2025/2</t>
  </si>
  <si>
    <t xml:space="preserve">FY2026/2</t>
  </si>
  <si>
    <t xml:space="preserve">Income Statement</t>
  </si>
  <si>
    <t xml:space="preserve">Revenue</t>
  </si>
  <si>
    <t xml:space="preserve">COGS</t>
  </si>
  <si>
    <t xml:space="preserve">Gross Profit</t>
  </si>
  <si>
    <t xml:space="preserve">Gross Margin</t>
  </si>
  <si>
    <t xml:space="preserve">SGA</t>
  </si>
  <si>
    <t xml:space="preserve">Operating Income</t>
  </si>
  <si>
    <t xml:space="preserve">Net Income</t>
  </si>
  <si>
    <t xml:space="preserve">Operating Margin</t>
  </si>
  <si>
    <t xml:space="preserve">Net Margin</t>
  </si>
  <si>
    <t xml:space="preserve">Revenue Growth (YoY)</t>
  </si>
  <si>
    <t xml:space="preserve">n/a</t>
  </si>
  <si>
    <t xml:space="preserve">Operating Income Growth (YoY)</t>
  </si>
  <si>
    <t xml:space="preserve">Cash Flow Statement</t>
  </si>
  <si>
    <t xml:space="preserve">Operating Cash Flow (incl. bank flows)</t>
  </si>
  <si>
    <r>
      <rPr>
        <b val="true"/>
        <sz val="10"/>
        <rFont val="Arial"/>
        <family val="0"/>
        <charset val="1"/>
      </rPr>
      <t xml:space="preserve">Capex (</t>
    </r>
    <r>
      <rPr>
        <b val="true"/>
        <sz val="10"/>
        <rFont val="Noto Sans CJK SC"/>
        <family val="2"/>
      </rPr>
      <t xml:space="preserve">固定資産の取得</t>
    </r>
    <r>
      <rPr>
        <b val="true"/>
        <sz val="10"/>
        <rFont val="Arial"/>
        <family val="0"/>
        <charset val="1"/>
      </rPr>
      <t xml:space="preserve">)</t>
    </r>
  </si>
  <si>
    <t xml:space="preserve">Free Cash Flow (incl. bank flows)</t>
  </si>
  <si>
    <t xml:space="preserve">FCF Margin (incl. bank flows)</t>
  </si>
  <si>
    <t xml:space="preserve">Capex / Revenue</t>
  </si>
  <si>
    <t xml:space="preserve">Balance Sheet Highlights</t>
  </si>
  <si>
    <r>
      <rPr>
        <b val="true"/>
        <sz val="10"/>
        <rFont val="Arial"/>
        <family val="0"/>
        <charset val="1"/>
      </rPr>
      <t xml:space="preserve">Cash &amp; Deposits (</t>
    </r>
    <r>
      <rPr>
        <b val="true"/>
        <sz val="10"/>
        <rFont val="Noto Sans CJK SC"/>
        <family val="2"/>
      </rPr>
      <t xml:space="preserve">現金及び預金</t>
    </r>
    <r>
      <rPr>
        <b val="true"/>
        <sz val="10"/>
        <rFont val="Arial"/>
        <family val="0"/>
        <charset val="1"/>
      </rPr>
      <t xml:space="preserve">)</t>
    </r>
  </si>
  <si>
    <t xml:space="preserve">Interest-Bearing Debt (excl. bank deposits)</t>
  </si>
  <si>
    <t xml:space="preserve">Net Debt - financial only (excl. MI)</t>
  </si>
  <si>
    <r>
      <rPr>
        <i val="true"/>
        <sz val="8"/>
        <rFont val="Arial"/>
        <family val="0"/>
        <charset val="1"/>
      </rPr>
      <t xml:space="preserve">Source: </t>
    </r>
    <r>
      <rPr>
        <i val="true"/>
        <sz val="8"/>
        <rFont val="Noto Sans CJK SC"/>
        <family val="2"/>
      </rPr>
      <t xml:space="preserve">決算短信 </t>
    </r>
    <r>
      <rPr>
        <i val="true"/>
        <sz val="8"/>
        <rFont val="Arial"/>
        <family val="0"/>
        <charset val="1"/>
      </rPr>
      <t xml:space="preserve">FY2024/2 and FY2026/2. Operating Cash Flow and Capex (</t>
    </r>
    <r>
      <rPr>
        <i val="true"/>
        <sz val="8"/>
        <rFont val="Noto Sans CJK SC"/>
        <family val="2"/>
      </rPr>
      <t xml:space="preserve">固定資産の取得による支出</t>
    </r>
    <r>
      <rPr>
        <i val="true"/>
        <sz val="8"/>
        <rFont val="Arial"/>
        <family val="0"/>
        <charset val="1"/>
      </rPr>
      <t xml:space="preserve">) from the </t>
    </r>
    <r>
      <rPr>
        <i val="true"/>
        <sz val="8"/>
        <rFont val="Noto Sans CJK SC"/>
        <family val="2"/>
      </rPr>
      <t xml:space="preserve">連結キャッシュ・フロー計算書</t>
    </r>
    <r>
      <rPr>
        <i val="true"/>
        <sz val="8"/>
        <rFont val="Arial"/>
        <family val="0"/>
        <charset val="1"/>
      </rPr>
      <t xml:space="preserve">; Cash &amp; Deposits and Interest-Bearing Debt from the </t>
    </r>
    <r>
      <rPr>
        <i val="true"/>
        <sz val="8"/>
        <rFont val="Noto Sans CJK SC"/>
        <family val="2"/>
      </rPr>
      <t xml:space="preserve">連結貸借対照表</t>
    </r>
    <r>
      <rPr>
        <i val="true"/>
        <sz val="8"/>
        <rFont val="Arial"/>
        <family val="0"/>
        <charset val="1"/>
      </rPr>
      <t xml:space="preserve">. Interest-bearing debt = </t>
    </r>
    <r>
      <rPr>
        <i val="true"/>
        <sz val="8"/>
        <rFont val="Noto Sans CJK SC"/>
        <family val="2"/>
      </rPr>
      <t xml:space="preserve">短期借入金 </t>
    </r>
    <r>
      <rPr>
        <i val="true"/>
        <sz val="8"/>
        <rFont val="Arial"/>
        <family val="0"/>
        <charset val="1"/>
      </rPr>
      <t xml:space="preserve">+ 1</t>
    </r>
    <r>
      <rPr>
        <i val="true"/>
        <sz val="8"/>
        <rFont val="Noto Sans CJK SC"/>
        <family val="2"/>
      </rPr>
      <t xml:space="preserve">年内返済予定の長期借入金 </t>
    </r>
    <r>
      <rPr>
        <i val="true"/>
        <sz val="8"/>
        <rFont val="Arial"/>
        <family val="0"/>
        <charset val="1"/>
      </rPr>
      <t xml:space="preserve">+ 1</t>
    </r>
    <r>
      <rPr>
        <i val="true"/>
        <sz val="8"/>
        <rFont val="Noto Sans CJK SC"/>
        <family val="2"/>
      </rPr>
      <t xml:space="preserve">年内償還予定の社債 </t>
    </r>
    <r>
      <rPr>
        <i val="true"/>
        <sz val="8"/>
        <rFont val="Arial"/>
        <family val="0"/>
        <charset val="1"/>
      </rPr>
      <t xml:space="preserve">+ </t>
    </r>
    <r>
      <rPr>
        <i val="true"/>
        <sz val="8"/>
        <rFont val="Noto Sans CJK SC"/>
        <family val="2"/>
      </rPr>
      <t xml:space="preserve">コマーシャル・ペーパー </t>
    </r>
    <r>
      <rPr>
        <i val="true"/>
        <sz val="8"/>
        <rFont val="Arial"/>
        <family val="0"/>
        <charset val="1"/>
      </rPr>
      <t xml:space="preserve">+ </t>
    </r>
    <r>
      <rPr>
        <i val="true"/>
        <sz val="8"/>
        <rFont val="Noto Sans CJK SC"/>
        <family val="2"/>
      </rPr>
      <t xml:space="preserve">リース債務</t>
    </r>
    <r>
      <rPr>
        <i val="true"/>
        <sz val="8"/>
        <rFont val="Arial"/>
        <family val="0"/>
        <charset val="1"/>
      </rPr>
      <t xml:space="preserve">(</t>
    </r>
    <r>
      <rPr>
        <i val="true"/>
        <sz val="8"/>
        <rFont val="Noto Sans CJK SC"/>
        <family val="2"/>
      </rPr>
      <t xml:space="preserve">流動</t>
    </r>
    <r>
      <rPr>
        <i val="true"/>
        <sz val="8"/>
        <rFont val="Arial"/>
        <family val="0"/>
        <charset val="1"/>
      </rPr>
      <t xml:space="preserve">) + </t>
    </r>
    <r>
      <rPr>
        <i val="true"/>
        <sz val="8"/>
        <rFont val="Noto Sans CJK SC"/>
        <family val="2"/>
      </rPr>
      <t xml:space="preserve">社債 </t>
    </r>
    <r>
      <rPr>
        <i val="true"/>
        <sz val="8"/>
        <rFont val="Arial"/>
        <family val="0"/>
        <charset val="1"/>
      </rPr>
      <t xml:space="preserve">+ </t>
    </r>
    <r>
      <rPr>
        <i val="true"/>
        <sz val="8"/>
        <rFont val="Noto Sans CJK SC"/>
        <family val="2"/>
      </rPr>
      <t xml:space="preserve">長期借入金 </t>
    </r>
    <r>
      <rPr>
        <i val="true"/>
        <sz val="8"/>
        <rFont val="Arial"/>
        <family val="0"/>
        <charset val="1"/>
      </rPr>
      <t xml:space="preserve">+ </t>
    </r>
    <r>
      <rPr>
        <i val="true"/>
        <sz val="8"/>
        <rFont val="Noto Sans CJK SC"/>
        <family val="2"/>
      </rPr>
      <t xml:space="preserve">リース債務</t>
    </r>
    <r>
      <rPr>
        <i val="true"/>
        <sz val="8"/>
        <rFont val="Arial"/>
        <family val="0"/>
        <charset val="1"/>
      </rPr>
      <t xml:space="preserve">(</t>
    </r>
    <r>
      <rPr>
        <i val="true"/>
        <sz val="8"/>
        <rFont val="Noto Sans CJK SC"/>
        <family val="2"/>
      </rPr>
      <t xml:space="preserve">固定</t>
    </r>
    <r>
      <rPr>
        <i val="true"/>
        <sz val="8"/>
        <rFont val="Arial"/>
        <family val="0"/>
        <charset val="1"/>
      </rPr>
      <t xml:space="preserve">).</t>
    </r>
  </si>
  <si>
    <r>
      <rPr>
        <i val="true"/>
        <sz val="8"/>
        <rFont val="Arial"/>
        <family val="0"/>
        <charset val="1"/>
      </rPr>
      <t xml:space="preserve">WARNING - Operating Cash Flow INCLUDES AEON Bank balance-sheet flows and is therefore not an operating cash flow in the economic sense. FY2026/2 absorbed </t>
    </r>
    <r>
      <rPr>
        <i val="true"/>
        <sz val="8"/>
        <rFont val="Noto Sans CJK SC"/>
        <family val="2"/>
      </rPr>
      <t xml:space="preserve">銀行業における預金の増減額 </t>
    </r>
    <r>
      <rPr>
        <i val="true"/>
        <sz val="8"/>
        <rFont val="Arial"/>
        <family val="0"/>
        <charset val="1"/>
      </rPr>
      <t xml:space="preserve">of +277,144 and </t>
    </r>
    <r>
      <rPr>
        <i val="true"/>
        <sz val="8"/>
        <rFont val="Noto Sans CJK SC"/>
        <family val="2"/>
      </rPr>
      <t xml:space="preserve">銀行業における貸出金の増減額 </t>
    </r>
    <r>
      <rPr>
        <i val="true"/>
        <sz val="8"/>
        <rFont val="Arial"/>
        <family val="0"/>
        <charset val="1"/>
      </rPr>
      <t xml:space="preserve">of -174,561. Excluding both, ex-bank operating cash flow was 1,024,006 and ex-bank free cash flow 495,470, versus the 598,053 shown in row 21.</t>
    </r>
  </si>
  <si>
    <r>
      <rPr>
        <i val="true"/>
        <sz val="8"/>
        <rFont val="Arial"/>
        <family val="0"/>
        <charset val="1"/>
      </rPr>
      <t xml:space="preserve">Row 27 EXCLUDES </t>
    </r>
    <r>
      <rPr>
        <i val="true"/>
        <sz val="8"/>
        <rFont val="Noto Sans CJK SC"/>
        <family val="2"/>
      </rPr>
      <t xml:space="preserve">銀行業における預金 </t>
    </r>
    <r>
      <rPr>
        <i val="true"/>
        <sz val="8"/>
        <rFont val="Arial"/>
        <family val="0"/>
        <charset val="1"/>
      </rPr>
      <t xml:space="preserve">(5,474,093 at 2026/2/28). Deposits fund AEON Bank's loan book (</t>
    </r>
    <r>
      <rPr>
        <i val="true"/>
        <sz val="8"/>
        <rFont val="Noto Sans CJK SC"/>
        <family val="2"/>
      </rPr>
      <t xml:space="preserve">銀行業における貸出金 </t>
    </r>
    <r>
      <rPr>
        <i val="true"/>
        <sz val="8"/>
        <rFont val="Arial"/>
        <family val="0"/>
        <charset val="1"/>
      </rPr>
      <t xml:space="preserve">3,197,412) and are the raw material of a banking business, not corporate debt. Including them would make net debt meaningless.</t>
    </r>
  </si>
  <si>
    <t xml:space="preserve">Row 28 (3,099,169 at FY2026/2) is the FINANCIAL-DEBT component of 'DCF Model'!C16 = 4,083,263. The 984,094 difference is non-controlling interests, folded into net debt in the DCF because the template computes Equity = EV - net_debt and has no separate minority-interest deduction. de_ratio is overridden to 0.8403 (financial debt / market cap) so that the MI addback does not distort the WACC - verify it reads 0.8403 and not 1.1071.</t>
  </si>
  <si>
    <r>
      <rPr>
        <i val="true"/>
        <sz val="8"/>
        <rFont val="Arial"/>
        <family val="0"/>
        <charset val="1"/>
      </rPr>
      <t xml:space="preserve">Income Statement rows: Revenue = </t>
    </r>
    <r>
      <rPr>
        <i val="true"/>
        <sz val="8"/>
        <rFont val="Noto Sans CJK SC"/>
        <family val="2"/>
      </rPr>
      <t xml:space="preserve">営業収益合計 </t>
    </r>
    <r>
      <rPr>
        <i val="true"/>
        <sz val="8"/>
        <rFont val="Arial"/>
        <family val="0"/>
        <charset val="1"/>
      </rPr>
      <t xml:space="preserve">(</t>
    </r>
    <r>
      <rPr>
        <i val="true"/>
        <sz val="8"/>
        <rFont val="Noto Sans CJK SC"/>
        <family val="2"/>
      </rPr>
      <t xml:space="preserve">売上高 </t>
    </r>
    <r>
      <rPr>
        <i val="true"/>
        <sz val="8"/>
        <rFont val="Arial"/>
        <family val="0"/>
        <charset val="1"/>
      </rPr>
      <t xml:space="preserve">+ </t>
    </r>
    <r>
      <rPr>
        <i val="true"/>
        <sz val="8"/>
        <rFont val="Noto Sans CJK SC"/>
        <family val="2"/>
      </rPr>
      <t xml:space="preserve">総合金融事業における営業収益 </t>
    </r>
    <r>
      <rPr>
        <i val="true"/>
        <sz val="8"/>
        <rFont val="Arial"/>
        <family val="0"/>
        <charset val="1"/>
      </rPr>
      <t xml:space="preserve">+ </t>
    </r>
    <r>
      <rPr>
        <i val="true"/>
        <sz val="8"/>
        <rFont val="Noto Sans CJK SC"/>
        <family val="2"/>
      </rPr>
      <t xml:space="preserve">その他の営業収益</t>
    </r>
    <r>
      <rPr>
        <i val="true"/>
        <sz val="8"/>
        <rFont val="Arial"/>
        <family val="0"/>
        <charset val="1"/>
      </rPr>
      <t xml:space="preserve">), COGS = </t>
    </r>
    <r>
      <rPr>
        <i val="true"/>
        <sz val="8"/>
        <rFont val="Noto Sans CJK SC"/>
        <family val="2"/>
      </rPr>
      <t xml:space="preserve">営業原価合計</t>
    </r>
    <r>
      <rPr>
        <i val="true"/>
        <sz val="8"/>
        <rFont val="Arial"/>
        <family val="0"/>
        <charset val="1"/>
      </rPr>
      <t xml:space="preserve">, SGA = </t>
    </r>
    <r>
      <rPr>
        <i val="true"/>
        <sz val="8"/>
        <rFont val="Noto Sans CJK SC"/>
        <family val="2"/>
      </rPr>
      <t xml:space="preserve">販売費及び一般管理費</t>
    </r>
    <r>
      <rPr>
        <i val="true"/>
        <sz val="8"/>
        <rFont val="Arial"/>
        <family val="0"/>
        <charset val="1"/>
      </rPr>
      <t xml:space="preserve">, Operating Income = </t>
    </r>
    <r>
      <rPr>
        <i val="true"/>
        <sz val="8"/>
        <rFont val="Noto Sans CJK SC"/>
        <family val="2"/>
      </rPr>
      <t xml:space="preserve">営業利益</t>
    </r>
    <r>
      <rPr>
        <i val="true"/>
        <sz val="8"/>
        <rFont val="Arial"/>
        <family val="0"/>
        <charset val="1"/>
      </rPr>
      <t xml:space="preserve">, Net Income = </t>
    </r>
    <r>
      <rPr>
        <i val="true"/>
        <sz val="8"/>
        <rFont val="Noto Sans CJK SC"/>
        <family val="2"/>
      </rPr>
      <t xml:space="preserve">親会社株主に帰属する当期純利益</t>
    </r>
    <r>
      <rPr>
        <i val="true"/>
        <sz val="8"/>
        <rFont val="Arial"/>
        <family val="0"/>
        <charset val="1"/>
      </rPr>
      <t xml:space="preserve">. Reconciles to the </t>
    </r>
    <r>
      <rPr>
        <i val="true"/>
        <sz val="8"/>
        <rFont val="Noto Sans CJK SC"/>
        <family val="2"/>
      </rPr>
      <t xml:space="preserve">短信 </t>
    </r>
    <r>
      <rPr>
        <i val="true"/>
        <sz val="8"/>
        <rFont val="Arial"/>
        <family val="0"/>
        <charset val="1"/>
      </rPr>
      <t xml:space="preserve">within 1 for all four years. FY2026/2 net income of 72,677 includes a </t>
    </r>
    <r>
      <rPr>
        <i val="true"/>
        <sz val="8"/>
        <rFont val="Noto Sans CJK SC"/>
        <family val="2"/>
      </rPr>
      <t xml:space="preserve">段階取得に係る差益 </t>
    </r>
    <r>
      <rPr>
        <i val="true"/>
        <sz val="8"/>
        <rFont val="Arial"/>
        <family val="0"/>
        <charset val="1"/>
      </rPr>
      <t xml:space="preserve">of 69,086 from the Tsuruha consolidation.</t>
    </r>
  </si>
  <si>
    <r>
      <rPr>
        <b val="true"/>
        <sz val="14"/>
        <rFont val="Arial"/>
        <family val="0"/>
        <charset val="1"/>
      </rPr>
      <t xml:space="preserve">DCF Valuation Model - </t>
    </r>
    <r>
      <rPr>
        <b val="true"/>
        <sz val="14"/>
        <rFont val="Noto Sans CJK SC"/>
        <family val="2"/>
      </rPr>
      <t xml:space="preserve">イオン株式会社</t>
    </r>
  </si>
  <si>
    <t xml:space="preserve">Assumptions</t>
  </si>
  <si>
    <t xml:space="preserve">Effective Tax Rate</t>
  </si>
  <si>
    <t xml:space="preserve">Risk-Free Rate</t>
  </si>
  <si>
    <t xml:space="preserve">Beta</t>
  </si>
  <si>
    <t xml:space="preserve">Equity Risk Premium</t>
  </si>
  <si>
    <t xml:space="preserve">Size Premium</t>
  </si>
  <si>
    <t xml:space="preserve">After-tax Cost of Debt</t>
  </si>
  <si>
    <t xml:space="preserve">D/E Ratio</t>
  </si>
  <si>
    <t xml:space="preserve">Terminal Growth Rate</t>
  </si>
  <si>
    <t xml:space="preserve">Exit Multiple (EV/EBITDA)</t>
  </si>
  <si>
    <t xml:space="preserve">Fully Diluted Shares</t>
  </si>
  <si>
    <t xml:space="preserve">Net Debt (JPY mn)</t>
  </si>
  <si>
    <t xml:space="preserve">Base Year Revenue (JPY mn)</t>
  </si>
  <si>
    <t xml:space="preserve">D&amp;A / Revenue</t>
  </si>
  <si>
    <t xml:space="preserve">Stub Fraction (yr remaining)</t>
  </si>
  <si>
    <t xml:space="preserve">LTM Revenue (JPY mn)</t>
  </si>
  <si>
    <t xml:space="preserve">WACC Calculation</t>
  </si>
  <si>
    <t xml:space="preserve">Cost of Equity (Ke)</t>
  </si>
  <si>
    <t xml:space="preserve">Weight of Equity</t>
  </si>
  <si>
    <t xml:space="preserve">Weight of Debt</t>
  </si>
  <si>
    <t xml:space="preserve">WACC</t>
  </si>
  <si>
    <t xml:space="preserve">Active Scenario</t>
  </si>
  <si>
    <t xml:space="preserve">Base</t>
  </si>
  <si>
    <t xml:space="preserve">Projected Free Cash Flow</t>
  </si>
  <si>
    <t xml:space="preserve">FY2027(E)</t>
  </si>
  <si>
    <t xml:space="preserve">FY2028(E)</t>
  </si>
  <si>
    <t xml:space="preserve">FY2029(E)</t>
  </si>
  <si>
    <t xml:space="preserve">FY2030(E)</t>
  </si>
  <si>
    <t xml:space="preserve">FY2031(E)</t>
  </si>
  <si>
    <t xml:space="preserve">COGS % of Revenue</t>
  </si>
  <si>
    <t xml:space="preserve">SGA % of Revenue</t>
  </si>
  <si>
    <t xml:space="preserve">SGA Expense</t>
  </si>
  <si>
    <t xml:space="preserve">Implied Operating Margin</t>
  </si>
  <si>
    <t xml:space="preserve">Operating Income (EBIT)</t>
  </si>
  <si>
    <t xml:space="preserve">Less: Tax</t>
  </si>
  <si>
    <t xml:space="preserve">NOPAT</t>
  </si>
  <si>
    <t xml:space="preserve">Plus: D&amp;A</t>
  </si>
  <si>
    <t xml:space="preserve">Less: Capex</t>
  </si>
  <si>
    <t xml:space="preserve">Change in NWC</t>
  </si>
  <si>
    <t xml:space="preserve">Unlevered Free Cash Flow</t>
  </si>
  <si>
    <t xml:space="preserve">Discount Factor</t>
  </si>
  <si>
    <t xml:space="preserve">PV of FCF</t>
  </si>
  <si>
    <t xml:space="preserve">Valuation - Perpetuity Growth Method</t>
  </si>
  <si>
    <t xml:space="preserve">Sum of PV of FCFs</t>
  </si>
  <si>
    <t xml:space="preserve">Terminal Value (PGM)</t>
  </si>
  <si>
    <t xml:space="preserve">PV of Terminal Value</t>
  </si>
  <si>
    <t xml:space="preserve">Enterprise Value</t>
  </si>
  <si>
    <t xml:space="preserve">Equity Value</t>
  </si>
  <si>
    <t xml:space="preserve">Implied Share Price (PGM)</t>
  </si>
  <si>
    <t xml:space="preserve">Valuation - Exit Multiple Method</t>
  </si>
  <si>
    <t xml:space="preserve">Year 5 EBITDA</t>
  </si>
  <si>
    <t xml:space="preserve">Terminal Value (Exit Multiple)</t>
  </si>
  <si>
    <t xml:space="preserve">Implied Share Price (Exit Multiple)</t>
  </si>
  <si>
    <t xml:space="preserve">Scenario Input Matrix</t>
  </si>
  <si>
    <t xml:space="preserve">Year 1</t>
  </si>
  <si>
    <t xml:space="preserve">Year 2</t>
  </si>
  <si>
    <t xml:space="preserve">Year 3</t>
  </si>
  <si>
    <t xml:space="preserve">Year 4</t>
  </si>
  <si>
    <t xml:space="preserve">Year 5</t>
  </si>
  <si>
    <t xml:space="preserve">Upside</t>
  </si>
  <si>
    <t xml:space="preserve">Management</t>
  </si>
  <si>
    <t xml:space="preserve">Downside 1</t>
  </si>
  <si>
    <t xml:space="preserve">Downside 2</t>
  </si>
  <si>
    <r>
      <rPr>
        <b val="true"/>
        <sz val="14"/>
        <rFont val="Arial"/>
        <family val="0"/>
        <charset val="1"/>
      </rPr>
      <t xml:space="preserve">NWC Schedule - </t>
    </r>
    <r>
      <rPr>
        <b val="true"/>
        <sz val="14"/>
        <rFont val="Noto Sans CJK SC"/>
        <family val="2"/>
      </rPr>
      <t xml:space="preserve">イオン株式会社</t>
    </r>
  </si>
  <si>
    <t xml:space="preserve">Working Capital Drivers (Days)</t>
  </si>
  <si>
    <t xml:space="preserve">Base Year</t>
  </si>
  <si>
    <t xml:space="preserve">DSO (Days Sales Outstanding)</t>
  </si>
  <si>
    <t xml:space="preserve">DIH (Days Inventory Held)</t>
  </si>
  <si>
    <t xml:space="preserve">DPO (Days Payable Outstanding)</t>
  </si>
  <si>
    <t xml:space="preserve">P&amp;L Reference (JPY mn)</t>
  </si>
  <si>
    <t xml:space="preserve">Working Capital Items (JPY mn)</t>
  </si>
  <si>
    <t xml:space="preserve">Accounts Receivable</t>
  </si>
  <si>
    <t xml:space="preserve">Inventory</t>
  </si>
  <si>
    <t xml:space="preserve">Current Assets (AR + Inv)</t>
  </si>
  <si>
    <t xml:space="preserve">Accounts Payable</t>
  </si>
  <si>
    <t xml:space="preserve">Current Liabilities (AP)</t>
  </si>
  <si>
    <t xml:space="preserve">Net Working Capital (JPY mn)</t>
  </si>
  <si>
    <t xml:space="preserve">Net Working Capital</t>
  </si>
  <si>
    <t xml:space="preserve">Scenario Input Matrix (Working Capital Days)</t>
  </si>
  <si>
    <t xml:space="preserve">DSO (Days)</t>
  </si>
  <si>
    <t xml:space="preserve">DIH (Days)</t>
  </si>
  <si>
    <t xml:space="preserve">DPO (Days)</t>
  </si>
  <si>
    <t xml:space="preserve">Comparable Company Analysis</t>
  </si>
  <si>
    <t xml:space="preserve">Mkt Cap
(JPY mn)</t>
  </si>
  <si>
    <t xml:space="preserve">EV
(JPY mn)</t>
  </si>
  <si>
    <t xml:space="preserve">Revenue
(JPY mn)</t>
  </si>
  <si>
    <t xml:space="preserve">EBITDA
(JPY mn)</t>
  </si>
  <si>
    <t xml:space="preserve">Op Income
(JPY mn)</t>
  </si>
  <si>
    <t xml:space="preserve">Net Income
(JPY mn)</t>
  </si>
  <si>
    <t xml:space="preserve">EV/EBITDA</t>
  </si>
  <si>
    <t xml:space="preserve">EV/Revenue</t>
  </si>
  <si>
    <t xml:space="preserve">PER</t>
  </si>
  <si>
    <t xml:space="preserve">PBR</t>
  </si>
  <si>
    <t xml:space="preserve">Op Margin</t>
  </si>
  <si>
    <t xml:space="preserve">ROE</t>
  </si>
  <si>
    <t xml:space="preserve">AEON</t>
  </si>
  <si>
    <t xml:space="preserve">8267.T</t>
  </si>
  <si>
    <t xml:space="preserve">Seven &amp; I Holdings</t>
  </si>
  <si>
    <t xml:space="preserve">3382.T</t>
  </si>
  <si>
    <t xml:space="preserve">Pan Pacific International Holdings</t>
  </si>
  <si>
    <t xml:space="preserve">7532.T</t>
  </si>
  <si>
    <t xml:space="preserve">Nitori Holdings</t>
  </si>
  <si>
    <t xml:space="preserve">9843.T</t>
  </si>
  <si>
    <t xml:space="preserve">Statistics</t>
  </si>
  <si>
    <t xml:space="preserve">25th Percentile</t>
  </si>
  <si>
    <t xml:space="preserve">Median (50th)</t>
  </si>
  <si>
    <t xml:space="preserve">75th Percentile</t>
  </si>
  <si>
    <r>
      <rPr>
        <b val="true"/>
        <sz val="11"/>
        <rFont val="Arial"/>
        <family val="0"/>
        <charset val="1"/>
      </rPr>
      <t xml:space="preserve">Implied Valuation for </t>
    </r>
    <r>
      <rPr>
        <b val="true"/>
        <sz val="11"/>
        <rFont val="Noto Sans CJK SC"/>
        <family val="2"/>
      </rPr>
      <t xml:space="preserve">イオン株式会社</t>
    </r>
  </si>
  <si>
    <r>
      <rPr>
        <b val="true"/>
        <sz val="11"/>
        <rFont val="Noto Sans CJK SC"/>
        <family val="2"/>
      </rPr>
      <t xml:space="preserve">イオン株式会社 </t>
    </r>
    <r>
      <rPr>
        <b val="true"/>
        <sz val="11"/>
        <rFont val="Arial"/>
        <family val="0"/>
        <charset val="1"/>
      </rPr>
      <t xml:space="preserve">Financials</t>
    </r>
  </si>
  <si>
    <t xml:space="preserve">EBITDA (JPY mn)</t>
  </si>
  <si>
    <t xml:space="preserve">Net Income (JPY mn)</t>
  </si>
  <si>
    <t xml:space="preserve">Shares Outstanding</t>
  </si>
  <si>
    <t xml:space="preserve">Implied Share Price (Median Multiples)</t>
  </si>
  <si>
    <t xml:space="preserve">Via EV/EBITDA (Median)</t>
  </si>
  <si>
    <t xml:space="preserve">Via PER (Median)</t>
  </si>
  <si>
    <t xml:space="preserve">Sensitivity Analysis</t>
  </si>
  <si>
    <t xml:space="preserve">Current WACC:</t>
  </si>
  <si>
    <t xml:space="preserve">Terminal g:</t>
  </si>
  <si>
    <t xml:space="preserve">Exit Multiple:</t>
  </si>
  <si>
    <t xml:space="preserve">Table 1: WACC vs Terminal Growth Rate (PGM - Implied Share Price, JPY)</t>
  </si>
  <si>
    <t xml:space="preserve">WACC \ Terminal g</t>
  </si>
  <si>
    <t xml:space="preserve">Table 2: WACC vs Exit Multiple (Exit Multiple - Implied Share Price, JPY)</t>
  </si>
  <si>
    <t xml:space="preserve">WACC \ Exit Multiple</t>
  </si>
  <si>
    <t xml:space="preserve">All values dynamically linked to DCF Model. Headers auto-center on current WACC / Terminal g / Exit Multiple.</t>
  </si>
  <si>
    <t xml:space="preserve">SOTP Cross-Check (intended PRIMARY framework -- see note)</t>
  </si>
  <si>
    <t xml:space="preserve">AEON is a holding company for many listed/unlisted subsidiaries; a consolidated DCF ('DCF Model' sheet) is an approximation. SOTP is the theoretically correct lens, but see the critical finding below before using this sheet's totals.</t>
  </si>
  <si>
    <t xml:space="preserve">CRITICAL FINDING: 3 of 9 originally-in-scope subsidiaries went private in 2025</t>
  </si>
  <si>
    <t xml:space="preserve">AEON Mall (8905)</t>
  </si>
  <si>
    <t xml:space="preserve">Delisted 2025-06-27 (share exchange -&gt; 100% AEON-owned)</t>
  </si>
  <si>
    <t xml:space="preserve">AEON Delight (9787)</t>
  </si>
  <si>
    <t xml:space="preserve">Delisted 2025-07-17 (TOB + squeeze-out -&gt; 100% AEON-owned)</t>
  </si>
  <si>
    <t xml:space="preserve">Welcia Holdings (3141)</t>
  </si>
  <si>
    <t xml:space="preserve">Delisted 2025-11-27 (merged into Tsuruha Holdings as wholly-owned sub)</t>
  </si>
  <si>
    <t xml:space="preserve">Only 6 of the 9 remain listed with a market price. Per the source prompt's own fallback instruction, this sheet presents the sum of the 6 remaining listed stakes as an explicit FLOOR value -- it does NOT attempt to price the now-wholly-owned AEON Mall / AEON Delight, the Welcia business now inside Tsuruha, or the GMS/SM retail core (no reliable, non-guessed EBITDA breakdown by segment is available for AEON). The floor will therefore sit far below AEON's actual market cap by construction -- that gap IS the (unquantified) value of the wholly-owned businesses.</t>
  </si>
  <si>
    <t xml:space="preserve">Listed Subsidiary / Affiliate Stakes</t>
  </si>
  <si>
    <t xml:space="preserve">Market Cap (JPY mn)</t>
  </si>
  <si>
    <t xml:space="preserve">AEON Ownership %</t>
  </si>
  <si>
    <t xml:space="preserve">Implied Stake Value (JPY mn)</t>
  </si>
  <si>
    <t xml:space="preserve">AEON Financial Service</t>
  </si>
  <si>
    <t xml:space="preserve">8570.T</t>
  </si>
  <si>
    <t xml:space="preserve">Tsuruha Holdings</t>
  </si>
  <si>
    <t xml:space="preserve">3391.T</t>
  </si>
  <si>
    <t xml:space="preserve">AEON Kyushu</t>
  </si>
  <si>
    <t xml:space="preserve">2653.T</t>
  </si>
  <si>
    <t xml:space="preserve">AEON Hokkaido</t>
  </si>
  <si>
    <t xml:space="preserve">7512.T</t>
  </si>
  <si>
    <t xml:space="preserve">Maxvalu Tokai</t>
  </si>
  <si>
    <t xml:space="preserve">8198.T</t>
  </si>
  <si>
    <t xml:space="preserve">Ministop</t>
  </si>
  <si>
    <t xml:space="preserve">9946.T</t>
  </si>
  <si>
    <t xml:space="preserve">Sum of Listed Stakes (JPY mn)</t>
  </si>
  <si>
    <t xml:space="preserve">Market cap data as of late Jul 2026; ownership % from FY2026/2 yuho 'related companies' disclosures (Tsuruha stake reflects the Jan-2026 TOB result, 50.11%-&gt;50.33% via subsequent market purchases).</t>
  </si>
  <si>
    <t xml:space="preserve">Non-listed / wholly-owned businesses (AEON Mall, AEON Delight, GMS/SM core, Welcia-in-Tsuruha)</t>
  </si>
  <si>
    <t xml:space="preserve">NOT PRICED -- no reliable per-segment EBITDA breakdown available; not guessed (per instruction).</t>
  </si>
  <si>
    <t xml:space="preserve">Market Capitalisation Attribution (replaces the negative floor bridge - see Adjustments Log)</t>
  </si>
  <si>
    <t xml:space="preserve">AEON market capitalisation</t>
  </si>
  <si>
    <t xml:space="preserve">Less: AEON share of the 6 remaining listed subsidiaries, at market</t>
  </si>
  <si>
    <t xml:space="preserve">Implied market value of wholly-owned businesses, net of parent debt</t>
  </si>
  <si>
    <t xml:space="preserve">Share of market cap represented by the 6 listed stakes</t>
  </si>
  <si>
    <t xml:space="preserve">Column D is JPY per share. No group-level debt is deducted here: the listed subsidiaries' own borrowings are already inside their market capitalisations, and AEON parent-only net debt is inside the residual on row 30. The earlier construction deducted consolidated net debt of 3,099,169 against only 991,868 of stake value, which was negative by construction and double-counted subsidiary leverage.</t>
  </si>
  <si>
    <t xml:space="preserve">Reconciliation against the consolidated DCF</t>
  </si>
  <si>
    <t xml:space="preserve">DCF - Exit Multiple: total group equity per share</t>
  </si>
  <si>
    <t xml:space="preserve">Comps - EV/EBITDA median: total group equity per share</t>
  </si>
  <si>
    <t xml:space="preserve">Market value of the 6 listed stakes alone, per share</t>
  </si>
  <si>
    <t xml:space="preserve">Residual left for the wholly-owned core by DCF Exit (row 38 less row 40)</t>
  </si>
  <si>
    <t xml:space="preserve">Residual the MARKET pays for the wholly-owned core (price less row 40)</t>
  </si>
  <si>
    <t xml:space="preserve">THE CRUX: the market pays roughly 1,065 per share for the wholly-owned businesses (GMS/SM core, the now-100%-owned AEON Mall and AEON Delight, and the Welcia business inside Tsuruha), while the consolidated DCF Exit method leaves only about 298 per share for them - a gap of roughly 3.6x. Either the DCF materially undervalues the wholly-owned core, or the market does the opposite. Resolving that requires a per-segment EBITDA breakdown, which AEON does not disclose in a form usable here. This is the single most important open question in the model.</t>
  </si>
  <si>
    <t xml:space="preserve">Cross-check: Sum of Listed Stakes vs Non-Controlling Interests (book)</t>
  </si>
  <si>
    <t xml:space="preserve">Sum of Listed Stakes (JPY mn, AEON's share)</t>
  </si>
  <si>
    <t xml:space="preserve">Non-Controlling Interests, book value (JPY mn)</t>
  </si>
  <si>
    <t xml:space="preserve">Difference (JPY mn)</t>
  </si>
  <si>
    <t xml:space="preserve">Difference per share (JPY)</t>
  </si>
  <si>
    <t xml:space="preserve">NOT a clean apples-to-apples comparison: NCI book value (984,094) covers ALL consolidated subsidiaries (including the now-wholly-owned AEON Mall/AEON Delight, where NCI has since gone to zero post-buyout, and many unlisted subs), while the listed-stakes sum above covers only the 6 companies still listed today. The rough numerical proximity between the two figures is not strong evidence that book-value MI is fairly stated; it is a coincidence of a mixed, shifting subsidiary base, not a controlled comparison.</t>
  </si>
  <si>
    <t xml:space="preserve">Manual Adjustments Log — 8267 AEON (finalised 2026-07-30, price 1,424)</t>
  </si>
  <si>
    <t xml:space="preserve">#</t>
  </si>
  <si>
    <t xml:space="preserve">Sheet / Cell</t>
  </si>
  <si>
    <t xml:space="preserve">Was</t>
  </si>
  <si>
    <t xml:space="preserve">Now</t>
  </si>
  <si>
    <t xml:space="preserve">Why</t>
  </si>
  <si>
    <t xml:space="preserve">1</t>
  </si>
  <si>
    <t xml:space="preserve">Exec Summary!B10, C10, C21, B16, B13</t>
  </si>
  <si>
    <t xml:space="preserve">Target = AVERAGE(C16:C19) = 447</t>
  </si>
  <si>
    <t xml:space="preserve">AVERAGE(C17:C19) = 652</t>
  </si>
  <si>
    <t xml:space="preserve">The Perpetuity Growth method returns a NEGATIVE equity value of -465,130, or -168 per share, and that negative number was being averaged into the Target Price and shown as the bottom of the valuation range. Cause: Year-5 capex of 545,000 is 1.22x Year-5 D&amp;A of 445,000, so terminal FCF is only 157,320; the terminal value of 4,047,782 gives an EV of 3,618,133, below net debt plus MI of 4,083,263. Terminal capex must converge toward D&amp;A when perpetual growth is 0.5%. PGM row kept and labelled INVALID; excluded from Target and range (now 527 - 772). Normalisation sensitivity added at B13: Y5 capex 500,000 -&gt; 182/share, 470,000 -&gt; 416, 445,000 (= D&amp;A) -&gt; 611, which lines up with the Exit method at 657. Capex projections NOT changed.</t>
  </si>
  <si>
    <t xml:space="preserve">2</t>
  </si>
  <si>
    <t xml:space="preserve">Exec Summary!B29, B30</t>
  </si>
  <si>
    <t xml:space="preserve">380/share, 3.03x, 50.7x, 11.90x</t>
  </si>
  <si>
    <t xml:space="preserve">356/share, 3.23x, 54.2x, 12.29x</t>
  </si>
  <si>
    <t xml:space="preserve">Thesis and risk text was written against the earlier 2,590,000,000 share-count assumption. At 2,765,768,421 shares and 1,424 the market cap is 3,938,454, so P/B is 3.232x, P/E 54.19x and EV/EBITDA 12.285x, and minority interests of 984,094 are 356 per share rather than 380. The Comps sheet already carried the correct multiples; only the prose was stale.</t>
  </si>
  <si>
    <t xml:space="preserve">3</t>
  </si>
  <si>
    <t xml:space="preserve">FS!C19:F19, C26:F27, labels B19-B28, notes B30:B34</t>
  </si>
  <si>
    <t xml:space="preserve">see col C</t>
  </si>
  <si>
    <r>
      <rPr>
        <sz val="9"/>
        <rFont val="Noto Sans CJK SC"/>
        <family val="2"/>
      </rPr>
      <t xml:space="preserve">短信 </t>
    </r>
    <r>
      <rPr>
        <sz val="9"/>
        <rFont val="Arial"/>
        <family val="0"/>
        <charset val="1"/>
      </rPr>
      <t xml:space="preserve">actuals</t>
    </r>
  </si>
  <si>
    <r>
      <rPr>
        <sz val="9"/>
        <rFont val="Arial"/>
        <family val="0"/>
        <charset val="1"/>
      </rPr>
      <t xml:space="preserve">EDINET residuals shifted two fiscal years: the FY2026/2 column carried FY2024/2 figures (OCF 368,487 where the actual is 1,126,589; cash 1,064,093 where </t>
    </r>
    <r>
      <rPr>
        <sz val="9"/>
        <rFont val="Noto Sans CJK SC"/>
        <family val="2"/>
      </rPr>
      <t xml:space="preserve">現金及び預金 </t>
    </r>
    <r>
      <rPr>
        <sz val="9"/>
        <rFont val="Arial"/>
        <family val="0"/>
        <charset val="1"/>
      </rPr>
      <t xml:space="preserve">is 1,350,037), so Free Cash Flow read -160,049 for a year that actually generated 598,053. Replaced with </t>
    </r>
    <r>
      <rPr>
        <sz val="9"/>
        <rFont val="Noto Sans CJK SC"/>
        <family val="2"/>
      </rPr>
      <t xml:space="preserve">短信 </t>
    </r>
    <r>
      <rPr>
        <sz val="9"/>
        <rFont val="Arial"/>
        <family val="0"/>
        <charset val="1"/>
      </rPr>
      <t xml:space="preserve">actuals: OCF 433,710 / 368,487 / 566,218 / 1,126,589; cash 1,309,725 / 1,165,536 / 1,258,383 / 1,350,037; interest-bearing debt 3,465,146 / 3,700,013 / 3,832,668 / 4,449,206. Row 28 now reads 3,099,169 for FY2026/2, which is exactly the financial-debt component of 'DCF Model'!C16 = 4,083,263 (the 984,094 balance being MI). Five notes added, including the warning that OCF contains bank deposit and loan flows (ex-bank FY2026/2 FCF was 495,470, not 598,053).</t>
    </r>
  </si>
  <si>
    <t xml:space="preserve">4</t>
  </si>
  <si>
    <t xml:space="preserve">DCF!C20</t>
  </si>
  <si>
    <t xml:space="preserve">9,355,439</t>
  </si>
  <si>
    <t xml:space="preserve">10,715,342</t>
  </si>
  <si>
    <r>
      <rPr>
        <sz val="9"/>
        <rFont val="Arial"/>
        <family val="0"/>
        <charset val="1"/>
      </rPr>
      <t xml:space="preserve">LTM Revenue held </t>
    </r>
    <r>
      <rPr>
        <sz val="9"/>
        <rFont val="Noto Sans CJK SC"/>
        <family val="2"/>
      </rPr>
      <t xml:space="preserve">売上高 </t>
    </r>
    <r>
      <rPr>
        <sz val="9"/>
        <rFont val="Arial"/>
        <family val="0"/>
        <charset val="1"/>
      </rPr>
      <t xml:space="preserve">only, excluding </t>
    </r>
    <r>
      <rPr>
        <sz val="9"/>
        <rFont val="Noto Sans CJK SC"/>
        <family val="2"/>
      </rPr>
      <t xml:space="preserve">総合金融事業における営業収益 </t>
    </r>
    <r>
      <rPr>
        <sz val="9"/>
        <rFont val="Arial"/>
        <family val="0"/>
        <charset val="1"/>
      </rPr>
      <t xml:space="preserve">(486,237) and </t>
    </r>
    <r>
      <rPr>
        <sz val="9"/>
        <rFont val="Noto Sans CJK SC"/>
        <family val="2"/>
      </rPr>
      <t xml:space="preserve">その他の営業収益 </t>
    </r>
    <r>
      <rPr>
        <sz val="9"/>
        <rFont val="Arial"/>
        <family val="0"/>
        <charset val="1"/>
      </rPr>
      <t xml:space="preserve">(873,665), so it did not match base_year_revenue. Reference cell only; stub fraction is 1.0 so there is no valuation effect.</t>
    </r>
  </si>
  <si>
    <t xml:space="preserve">5</t>
  </si>
  <si>
    <t xml:space="preserve">DCF!C5, C18</t>
  </si>
  <si>
    <t xml:space="preserve">5.105% / 3.957%</t>
  </si>
  <si>
    <t xml:space="preserve">4.933% / 3.570%</t>
  </si>
  <si>
    <t xml:space="preserve">Both had been back-solved from the AVERAGE of the five-year direct projections (547,000 and 424,000 over base revenue) rather than from actuals. They are revenue_pct fallbacks and unused because capex/D&amp;A run on the direct method (rows 42-43 hold absolute values). Rebased on FY2026/2 actuals: capex 528,536 and D&amp;A 382,500 over 10,715,342.</t>
  </si>
  <si>
    <t xml:space="preserve">6</t>
  </si>
  <si>
    <t xml:space="preserve">SOTP!B27:E46</t>
  </si>
  <si>
    <t xml:space="preserve">negative "floor" + discount table</t>
  </si>
  <si>
    <t xml:space="preserve">market-cap attribution</t>
  </si>
  <si>
    <t xml:space="preserve">The floor bridge deducted CONSOLIDATED net debt of 3,099,169 against only the 991,868 of remaining minority-held listed stakes, producing -762 per share, and the holding-company discount table ran from -762 to -457 with a "vs current price" column reading -153% to -132%. That construction is negative by definition and double-counts the subsidiaries' leverage, which is already inside their market caps. Replaced with an attribution that needs no invented data: market cap 3,938,454 (1,424/share), of which the 6 listed stakes are 991,868 (359/share, 25.2%), leaving 2,946,586 (1,065/share, 74.8%) as the market's valuation of the wholly-owned businesses net of parent debt. A reconciliation against the DCF was added at rows 37-44. The delisting findings and the stake table (rows 5-22) and the NCI cross-check (rows 49-55) were kept unchanged - they are the best work on the sheet.</t>
  </si>
  <si>
    <t xml:space="preserve">CONFIRMED CORRECT - not changed</t>
  </si>
  <si>
    <r>
      <rPr>
        <sz val="9"/>
        <rFont val="Arial"/>
        <family val="0"/>
        <charset val="1"/>
      </rPr>
      <t xml:space="preserve">de_ratio = 0.8403 (the explicit override held; had it defaulted to net_debt / market cap it would read 1.1071 and would have treated minority interests as debt, understating the WACC); size_premium = 0.0%; WACC = 4.406%; net_debt = 4,083,263 including the 984,094 MI addback; NWC base days DSO 64.30 / DIH 44.49 / DPO 79.17, matching the </t>
    </r>
    <r>
      <rPr>
        <sz val="9"/>
        <rFont val="Noto Sans CJK SC"/>
        <family val="2"/>
      </rPr>
      <t xml:space="preserve">短信 </t>
    </r>
    <r>
      <rPr>
        <sz val="9"/>
        <rFont val="Arial"/>
        <family val="0"/>
        <charset val="1"/>
      </rPr>
      <t xml:space="preserve">exactly; hist_revenue through hist_operating_income reconcile to the </t>
    </r>
    <r>
      <rPr>
        <sz val="9"/>
        <rFont val="Noto Sans CJK SC"/>
        <family val="2"/>
      </rPr>
      <t xml:space="preserve">短信 </t>
    </r>
    <r>
      <rPr>
        <sz val="9"/>
        <rFont val="Arial"/>
        <family val="0"/>
        <charset val="1"/>
      </rPr>
      <t xml:space="preserve">within 1 for all four years; Comps statistics correctly exclude AEON (ranges are J6:J8) and Net_Debt is defined consistently across all rows including the MI addback; capex history (370,848 / 396,236 / 465,958 / 528,536) was extracted from source rather than left at the estimates in the specification.</t>
    </r>
  </si>
  <si>
    <t xml:space="preserve">OPEN ITEM - share count</t>
  </si>
  <si>
    <t xml:space="preserve">DCF!C15 = 2,765,768,421</t>
  </si>
  <si>
    <r>
      <rPr>
        <sz val="9"/>
        <rFont val="Arial"/>
        <family val="0"/>
        <charset val="1"/>
      </rPr>
      <t xml:space="preserve">The specification carried a fallback of 2,590,000,000; the workbook uses 2,765,768,421 and is internally consistent at that figure throughout (Comps D5, SOTP C32). The higher count is most likely correct because AEON issued new shares in the June 2025 AEON Mall share exchange, which the fallback predated. Worth one confirmation against the </t>
    </r>
    <r>
      <rPr>
        <sz val="9"/>
        <rFont val="Noto Sans CJK SC"/>
        <family val="2"/>
      </rPr>
      <t xml:space="preserve">短信 期末発行済株式数 </t>
    </r>
    <r>
      <rPr>
        <sz val="9"/>
        <rFont val="Arial"/>
        <family val="0"/>
        <charset val="1"/>
      </rPr>
      <t xml:space="preserve">less </t>
    </r>
    <r>
      <rPr>
        <sz val="9"/>
        <rFont val="Noto Sans CJK SC"/>
        <family val="2"/>
      </rPr>
      <t xml:space="preserve">期末自己株式数</t>
    </r>
    <r>
      <rPr>
        <sz val="9"/>
        <rFont val="Arial"/>
        <family val="0"/>
        <charset val="1"/>
      </rPr>
      <t xml:space="preserve">, because every per-share output scales with it: a 2% error moves the target price 2%.</t>
    </r>
  </si>
  <si>
    <t xml:space="preserve">OPEN ITEM - terminal capex</t>
  </si>
  <si>
    <t xml:space="preserve">DCF!C43:G43</t>
  </si>
  <si>
    <t xml:space="preserve">Capex is projected at 560,000 / 550,000 / 540,000 / 540,000 / 545,000 against D&amp;A of 400,000 / 415,000 / 425,000 / 435,000 / 445,000. Holding capex at 1.22x D&amp;A in the terminal year is inconsistent with 0.5% perpetual growth and is what makes the PGM method fail. Historically capex has run 4.07% -&gt; 4.15% -&gt; 4.60% -&gt; 4.93% of revenue while D&amp;A ran 3.57%, so the growth-phase gap is real; the issue is only the terminal year. Changing it is a forecast decision and has been left to the analyst.</t>
  </si>
  <si>
    <t xml:space="preserve">OPEN ITEM - tax rate</t>
  </si>
  <si>
    <t xml:space="preserve">DCF!C6 = 30.62%</t>
  </si>
  <si>
    <t xml:space="preserve">The specification proposed 0.40 based on effective rates of 49.9% / 42.2% / 57.4% / 39.9% over FY2023/2 to FY2026/2, which run above statutory because much of the impairment charge (97,486 in FY2026/2) is not deductible and loss-making subsidiaries cannot offset. The workbook uses the statutory 30.62%. That is defensible for a going-concern DCF but is roughly 9 points below realised experience and lifts NOPAT by about 13%. Worth a stated sensitivity.</t>
  </si>
  <si>
    <t xml:space="preserve">OPEN ITEM - comps depth</t>
  </si>
  <si>
    <t xml:space="preserve">Comps rows 6-8</t>
  </si>
  <si>
    <t xml:space="preserve">Only Seven &amp; i (3382), Pan Pacific (7532) and Nitori (9843) remain in the statistics, so each median is the middle of three. AEON Mall (8905) and Welcia (3141) were correctly dropped from the specification's list because both delisted in 2025. AEON's 2.52% operating margin sits far below Pan Pacific (7.22%) and Nitori (13.76%), so the peer medians describe better businesses; the EV/EBITDA implied value of 772 should be read with that in mind.</t>
  </si>
</sst>
</file>

<file path=xl/styles.xml><?xml version="1.0" encoding="utf-8"?>
<styleSheet xmlns="http://schemas.openxmlformats.org/spreadsheetml/2006/main">
  <numFmts count="9">
    <numFmt numFmtId="164" formatCode="General"/>
    <numFmt numFmtId="165" formatCode="#,##0;\(#,##0\)"/>
    <numFmt numFmtId="166" formatCode="0.0%;\(0.0%\)"/>
    <numFmt numFmtId="167" formatCode="0.00"/>
    <numFmt numFmtId="168" formatCode="0.000"/>
    <numFmt numFmtId="169" formatCode="0.00\x"/>
    <numFmt numFmtId="170" formatCode="#,##0"/>
    <numFmt numFmtId="171" formatCode="0.00%;\(0.00%\)"/>
    <numFmt numFmtId="172" formatCode="0.0000"/>
  </numFmts>
  <fonts count="22">
    <font>
      <sz val="11"/>
      <color theme="1"/>
      <name val="ＭＳ Ｐゴシック"/>
      <family val="2"/>
      <charset val="1"/>
    </font>
    <font>
      <sz val="10"/>
      <name val="Arial"/>
      <family val="0"/>
    </font>
    <font>
      <sz val="10"/>
      <name val="Arial"/>
      <family val="0"/>
    </font>
    <font>
      <sz val="10"/>
      <name val="Arial"/>
      <family val="0"/>
    </font>
    <font>
      <i val="true"/>
      <sz val="9"/>
      <color rgb="FF808080"/>
      <name val="Arial"/>
      <family val="0"/>
      <charset val="1"/>
    </font>
    <font>
      <b val="true"/>
      <sz val="14"/>
      <name val="Noto Sans CJK SC"/>
      <family val="2"/>
    </font>
    <font>
      <b val="true"/>
      <sz val="14"/>
      <name val="Arial"/>
      <family val="0"/>
      <charset val="1"/>
    </font>
    <font>
      <b val="true"/>
      <sz val="11"/>
      <name val="Arial"/>
      <family val="0"/>
      <charset val="1"/>
    </font>
    <font>
      <b val="true"/>
      <sz val="10"/>
      <name val="Arial"/>
      <family val="0"/>
      <charset val="1"/>
    </font>
    <font>
      <sz val="11"/>
      <color theme="1"/>
      <name val="Noto Sans CJK SC"/>
      <family val="2"/>
    </font>
    <font>
      <sz val="10"/>
      <color rgb="FF000000"/>
      <name val="Arial"/>
      <family val="0"/>
      <charset val="1"/>
    </font>
    <font>
      <i val="true"/>
      <sz val="8"/>
      <name val="Arial"/>
      <family val="0"/>
      <charset val="1"/>
    </font>
    <font>
      <b val="true"/>
      <sz val="11"/>
      <color rgb="FFFFFFFF"/>
      <name val="Arial"/>
      <family val="0"/>
      <charset val="1"/>
    </font>
    <font>
      <sz val="10"/>
      <name val="Arial"/>
      <family val="0"/>
      <charset val="1"/>
    </font>
    <font>
      <sz val="10"/>
      <color rgb="FF006600"/>
      <name val="Arial"/>
      <family val="0"/>
      <charset val="1"/>
    </font>
    <font>
      <b val="true"/>
      <sz val="10"/>
      <name val="Noto Sans CJK SC"/>
      <family val="2"/>
    </font>
    <font>
      <i val="true"/>
      <sz val="8"/>
      <name val="Noto Sans CJK SC"/>
      <family val="2"/>
    </font>
    <font>
      <b val="true"/>
      <sz val="11"/>
      <name val="Noto Sans CJK SC"/>
      <family val="2"/>
    </font>
    <font>
      <sz val="10"/>
      <color rgb="FF0000FF"/>
      <name val="Arial"/>
      <family val="0"/>
      <charset val="1"/>
    </font>
    <font>
      <b val="true"/>
      <sz val="9"/>
      <name val="Arial"/>
      <family val="0"/>
      <charset val="1"/>
    </font>
    <font>
      <sz val="9"/>
      <name val="Arial"/>
      <family val="0"/>
      <charset val="1"/>
    </font>
    <font>
      <sz val="9"/>
      <name val="Noto Sans CJK SC"/>
      <family val="2"/>
    </font>
  </fonts>
  <fills count="8">
    <fill>
      <patternFill patternType="none"/>
    </fill>
    <fill>
      <patternFill patternType="gray125"/>
    </fill>
    <fill>
      <patternFill patternType="solid">
        <fgColor rgb="FFDCE6F1"/>
        <bgColor rgb="FFE2EFDA"/>
      </patternFill>
    </fill>
    <fill>
      <patternFill patternType="solid">
        <fgColor rgb="FF000080"/>
        <bgColor rgb="FF000080"/>
      </patternFill>
    </fill>
    <fill>
      <patternFill patternType="solid">
        <fgColor rgb="FFF2F2F2"/>
        <bgColor rgb="FFE2EFDA"/>
      </patternFill>
    </fill>
    <fill>
      <patternFill patternType="solid">
        <fgColor rgb="FFE2EFDA"/>
        <bgColor rgb="FFDCE6F1"/>
      </patternFill>
    </fill>
    <fill>
      <patternFill patternType="solid">
        <fgColor rgb="FFFFC7CE"/>
        <bgColor rgb="FFCCCCFF"/>
      </patternFill>
    </fill>
    <fill>
      <patternFill patternType="solid">
        <fgColor rgb="FFFFF2CC"/>
        <bgColor rgb="FFF2F2F2"/>
      </patternFill>
    </fill>
  </fills>
  <borders count="7">
    <border diagonalUp="false" diagonalDown="false">
      <left/>
      <right/>
      <top/>
      <bottom/>
      <diagonal/>
    </border>
    <border diagonalUp="false" diagonalDown="false">
      <left/>
      <right/>
      <top/>
      <bottom style="thin"/>
      <diagonal/>
    </border>
    <border diagonalUp="false" diagonalDown="false">
      <left style="thin">
        <color rgb="FFB0B0B0"/>
      </left>
      <right style="thin">
        <color rgb="FFB0B0B0"/>
      </right>
      <top style="thin">
        <color rgb="FFB0B0B0"/>
      </top>
      <bottom style="thin">
        <color rgb="FFB0B0B0"/>
      </bottom>
      <diagonal/>
    </border>
    <border diagonalUp="false" diagonalDown="false">
      <left/>
      <right/>
      <top style="thin"/>
      <bottom style="thin"/>
      <diagonal/>
    </border>
    <border diagonalUp="false" diagonalDown="false">
      <left/>
      <right/>
      <top style="thin"/>
      <bottom style="double"/>
      <diagonal/>
    </border>
    <border diagonalUp="false" diagonalDown="false">
      <left style="hair">
        <color rgb="FFB0B0B0"/>
      </left>
      <right style="hair">
        <color rgb="FFB0B0B0"/>
      </right>
      <top style="hair">
        <color rgb="FFB0B0B0"/>
      </top>
      <bottom style="hair">
        <color rgb="FFB0B0B0"/>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bottom"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6" fontId="10" fillId="2" borderId="0" xfId="0" applyFont="true" applyBorder="false" applyAlignment="false" applyProtection="false">
      <alignment horizontal="general" vertical="bottom" textRotation="0" wrapText="false" indent="0" shrinkToFit="false"/>
      <protection locked="true" hidden="false"/>
    </xf>
    <xf numFmtId="165" fontId="10" fillId="0" borderId="3" xfId="0" applyFont="true" applyBorder="true" applyAlignment="false" applyProtection="false">
      <alignment horizontal="general" vertical="bottom" textRotation="0" wrapText="false" indent="0" shrinkToFit="false"/>
      <protection locked="true" hidden="false"/>
    </xf>
    <xf numFmtId="165" fontId="10" fillId="4" borderId="3" xfId="0" applyFont="true" applyBorder="tru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5" fontId="10" fillId="0" borderId="4"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center" vertical="bottom" textRotation="0" wrapText="false" indent="0" shrinkToFit="false"/>
      <protection locked="true" hidden="false"/>
    </xf>
    <xf numFmtId="166" fontId="10" fillId="0" borderId="2" xfId="0" applyFont="tru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bottom" textRotation="0" wrapText="true" indent="0" shrinkToFit="false"/>
      <protection locked="true" hidden="false"/>
    </xf>
    <xf numFmtId="164" fontId="8" fillId="0" borderId="5" xfId="0" applyFont="true" applyBorder="true" applyAlignment="false" applyProtection="false">
      <alignment horizontal="general" vertical="bottom" textRotation="0" wrapText="false" indent="0" shrinkToFit="false"/>
      <protection locked="true" hidden="false"/>
    </xf>
    <xf numFmtId="170" fontId="10" fillId="0" borderId="5" xfId="0" applyFont="true" applyBorder="true" applyAlignment="false" applyProtection="false">
      <alignment horizontal="general" vertical="bottom" textRotation="0" wrapText="false" indent="0" shrinkToFit="false"/>
      <protection locked="true" hidden="false"/>
    </xf>
    <xf numFmtId="165" fontId="10" fillId="0" borderId="5" xfId="0" applyFont="true" applyBorder="true" applyAlignment="false" applyProtection="false">
      <alignment horizontal="general" vertical="bottom" textRotation="0" wrapText="false" indent="0" shrinkToFit="false"/>
      <protection locked="true" hidden="false"/>
    </xf>
    <xf numFmtId="164" fontId="10" fillId="0" borderId="5" xfId="0" applyFont="true" applyBorder="true" applyAlignment="false" applyProtection="false">
      <alignment horizontal="general" vertical="bottom" textRotation="0" wrapText="false" indent="0" shrinkToFit="false"/>
      <protection locked="true" hidden="false"/>
    </xf>
    <xf numFmtId="170" fontId="10" fillId="0" borderId="2" xfId="0" applyFont="true" applyBorder="true" applyAlignment="false" applyProtection="false">
      <alignment horizontal="general" vertical="bottom" textRotation="0" wrapText="false" indent="0" shrinkToFit="false"/>
      <protection locked="true" hidden="false"/>
    </xf>
    <xf numFmtId="165" fontId="10" fillId="0" borderId="6" xfId="0" applyFont="true" applyBorder="true" applyAlignment="false" applyProtection="false">
      <alignment horizontal="general" vertical="bottom" textRotation="0" wrapText="false" indent="0" shrinkToFit="false"/>
      <protection locked="true" hidden="false"/>
    </xf>
    <xf numFmtId="169" fontId="10" fillId="0" borderId="6" xfId="0" applyFont="true" applyBorder="true" applyAlignment="false" applyProtection="false">
      <alignment horizontal="general" vertical="bottom" textRotation="0" wrapText="false" indent="0" shrinkToFit="false"/>
      <protection locked="true" hidden="false"/>
    </xf>
    <xf numFmtId="166" fontId="10" fillId="0" borderId="6"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2" fillId="3" borderId="6" xfId="0" applyFont="true" applyBorder="true" applyAlignment="true" applyProtection="false">
      <alignment horizontal="center" vertical="bottom" textRotation="0" wrapText="true" indent="0" shrinkToFit="false"/>
      <protection locked="true" hidden="false"/>
    </xf>
    <xf numFmtId="166" fontId="12" fillId="3" borderId="6" xfId="0" applyFont="true" applyBorder="true" applyAlignment="true" applyProtection="false">
      <alignment horizontal="center" vertical="bottom" textRotation="0" wrapText="false" indent="0" shrinkToFit="false"/>
      <protection locked="true" hidden="false"/>
    </xf>
    <xf numFmtId="169" fontId="12" fillId="3" borderId="6"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5" fontId="18" fillId="0" borderId="2" xfId="0" applyFont="true" applyBorder="true" applyAlignment="false" applyProtection="false">
      <alignment horizontal="general" vertical="bottom" textRotation="0" wrapText="false" indent="0" shrinkToFit="false"/>
      <protection locked="true" hidden="false"/>
    </xf>
    <xf numFmtId="166" fontId="18" fillId="0" borderId="2" xfId="0" applyFont="true" applyBorder="true" applyAlignment="false" applyProtection="false">
      <alignment horizontal="general" vertical="bottom" textRotation="0" wrapText="false" indent="0" shrinkToFit="false"/>
      <protection locked="true" hidden="false"/>
    </xf>
    <xf numFmtId="164" fontId="8" fillId="5" borderId="4" xfId="0" applyFont="true" applyBorder="true" applyAlignment="false" applyProtection="false">
      <alignment horizontal="general" vertical="bottom" textRotation="0" wrapText="false" indent="0" shrinkToFit="false"/>
      <protection locked="true" hidden="false"/>
    </xf>
    <xf numFmtId="165" fontId="8" fillId="5" borderId="4" xfId="0" applyFont="true" applyBorder="true" applyAlignment="false" applyProtection="false">
      <alignment horizontal="general" vertical="bottom"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5" fontId="13" fillId="0" borderId="2" xfId="0" applyFont="true" applyBorder="true" applyAlignment="false" applyProtection="false">
      <alignment horizontal="general" vertical="bottom" textRotation="0" wrapText="false" indent="0" shrinkToFit="false"/>
      <protection locked="true" hidden="false"/>
    </xf>
    <xf numFmtId="164" fontId="13" fillId="5" borderId="4" xfId="0" applyFont="true" applyBorder="true" applyAlignment="false" applyProtection="false">
      <alignment horizontal="general" vertical="bottom" textRotation="0" wrapText="false" indent="0" shrinkToFit="false"/>
      <protection locked="true" hidden="false"/>
    </xf>
    <xf numFmtId="166" fontId="13" fillId="5" borderId="4" xfId="0" applyFont="true" applyBorder="tru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center" vertical="bottom" textRotation="0" wrapText="true" indent="0" shrinkToFit="false"/>
      <protection locked="true" hidden="false"/>
    </xf>
    <xf numFmtId="165" fontId="13" fillId="3" borderId="1" xfId="0" applyFont="true" applyBorder="true" applyAlignment="true" applyProtection="false">
      <alignment horizontal="center" vertical="bottom" textRotation="0" wrapText="true" indent="0" shrinkToFit="false"/>
      <protection locked="true" hidden="false"/>
    </xf>
    <xf numFmtId="166" fontId="13" fillId="0" borderId="2" xfId="0" applyFont="true" applyBorder="true" applyAlignment="false" applyProtection="false">
      <alignment horizontal="general" vertical="bottom" textRotation="0" wrapText="false" indent="0" shrinkToFit="false"/>
      <protection locked="true" hidden="false"/>
    </xf>
    <xf numFmtId="166" fontId="8" fillId="0" borderId="2" xfId="0" applyFont="true" applyBorder="true" applyAlignment="false" applyProtection="false">
      <alignment horizontal="general" vertical="bottom" textRotation="0" wrapText="false" indent="0" shrinkToFit="false"/>
      <protection locked="true" hidden="false"/>
    </xf>
    <xf numFmtId="166" fontId="11" fillId="0" borderId="2"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6600"/>
      <rgbColor rgb="FF000080"/>
      <rgbColor rgb="FF996600"/>
      <rgbColor rgb="FF800080"/>
      <rgbColor rgb="FF008080"/>
      <rgbColor rgb="FFB0B0B0"/>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7CE"/>
      <rgbColor rgb="FF3366FF"/>
      <rgbColor rgb="FF33CCCC"/>
      <rgbColor rgb="FF99CC00"/>
      <rgbColor rgb="FFFFCC00"/>
      <rgbColor rgb="FFFF9900"/>
      <rgbColor rgb="FFCC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366"/>
    <pageSetUpPr fitToPage="false"/>
  </sheetPr>
  <dimension ref="B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2.7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5" min="3" style="0" width="22"/>
  </cols>
  <sheetData>
    <row r="1" customFormat="false" ht="13.5" hidden="false" customHeight="true" outlineLevel="0" collapsed="false">
      <c r="B1" s="1" t="s">
        <v>0</v>
      </c>
      <c r="C1" s="1"/>
      <c r="D1" s="1"/>
      <c r="E1" s="1"/>
    </row>
    <row r="2" customFormat="false" ht="13.8" hidden="false" customHeight="false" outlineLevel="0" collapsed="false"/>
    <row r="3" customFormat="false" ht="18" hidden="false" customHeight="true" outlineLevel="0" collapsed="false">
      <c r="B3" s="2" t="s">
        <v>1</v>
      </c>
      <c r="C3" s="2"/>
      <c r="D3" s="2"/>
    </row>
    <row r="4" customFormat="false" ht="13.5" hidden="false" customHeight="true" outlineLevel="0" collapsed="false">
      <c r="B4" s="3" t="s">
        <v>2</v>
      </c>
    </row>
    <row r="5" customFormat="false" ht="13.8" hidden="false" customHeight="false" outlineLevel="0" collapsed="false"/>
    <row r="6" customFormat="false" ht="13.5" hidden="false" customHeight="true" outlineLevel="0" collapsed="false">
      <c r="B6" s="4" t="s">
        <v>3</v>
      </c>
      <c r="C6" s="5" t="s">
        <v>4</v>
      </c>
    </row>
    <row r="7" customFormat="false" ht="13.5" hidden="false" customHeight="true" outlineLevel="0" collapsed="false">
      <c r="B7" s="4" t="s">
        <v>5</v>
      </c>
      <c r="C7" s="0" t="s">
        <v>6</v>
      </c>
    </row>
    <row r="8" customFormat="false" ht="13.5" hidden="false" customHeight="true" outlineLevel="0" collapsed="false">
      <c r="B8" s="4" t="s">
        <v>7</v>
      </c>
      <c r="C8" s="0" t="s">
        <v>8</v>
      </c>
    </row>
    <row r="9" customFormat="false" ht="13.5" hidden="false" customHeight="true" outlineLevel="0" collapsed="false">
      <c r="B9" s="4" t="s">
        <v>9</v>
      </c>
      <c r="C9" s="6" t="n">
        <v>1424</v>
      </c>
    </row>
    <row r="10" customFormat="false" ht="13.5" hidden="false" customHeight="true" outlineLevel="0" collapsed="false">
      <c r="B10" s="4" t="s">
        <v>10</v>
      </c>
      <c r="C10" s="6" t="n">
        <f aca="false">ROUND(AVERAGE(C17:C19),0)</f>
        <v>652</v>
      </c>
    </row>
    <row r="11" customFormat="false" ht="13.5" hidden="false" customHeight="true" outlineLevel="0" collapsed="false">
      <c r="B11" s="4" t="s">
        <v>11</v>
      </c>
      <c r="C11" s="7" t="str">
        <f aca="false">IF(C12&gt;0.15,"BUY",IF(C12&gt;0.05,"HOLD","SELL"))</f>
        <v>SELL</v>
      </c>
    </row>
    <row r="12" customFormat="false" ht="13.5" hidden="false" customHeight="true" outlineLevel="0" collapsed="false">
      <c r="B12" s="4" t="s">
        <v>12</v>
      </c>
      <c r="C12" s="8" t="n">
        <f aca="false">(C10-C9)/C9</f>
        <v>-0.542134831460674</v>
      </c>
    </row>
    <row r="13" customFormat="false" ht="13.8" hidden="false" customHeight="false" outlineLevel="0" collapsed="false">
      <c r="B13" s="9" t="s">
        <v>13</v>
      </c>
    </row>
    <row r="14" customFormat="false" ht="13.5" hidden="false" customHeight="true" outlineLevel="0" collapsed="false">
      <c r="B14" s="10" t="s">
        <v>14</v>
      </c>
      <c r="C14" s="11"/>
      <c r="D14" s="11"/>
    </row>
    <row r="15" customFormat="false" ht="13.5" hidden="false" customHeight="true" outlineLevel="0" collapsed="false">
      <c r="B15" s="12" t="s">
        <v>15</v>
      </c>
      <c r="C15" s="12" t="s">
        <v>16</v>
      </c>
      <c r="D15" s="12" t="s">
        <v>17</v>
      </c>
    </row>
    <row r="16" customFormat="false" ht="13.5" hidden="false" customHeight="true" outlineLevel="0" collapsed="false">
      <c r="B16" s="13" t="s">
        <v>18</v>
      </c>
      <c r="C16" s="14" t="n">
        <f aca="false">'DCF Model'!C55</f>
        <v>-168</v>
      </c>
      <c r="D16" s="8" t="n">
        <f aca="false">(C16-C9)/C9</f>
        <v>-1.11797752808989</v>
      </c>
    </row>
    <row r="17" customFormat="false" ht="13.5" hidden="false" customHeight="true" outlineLevel="0" collapsed="false">
      <c r="B17" s="0" t="s">
        <v>19</v>
      </c>
      <c r="C17" s="14" t="n">
        <f aca="false">'DCF Model'!C64</f>
        <v>657</v>
      </c>
      <c r="D17" s="8" t="n">
        <f aca="false">(C17-C9)/C9</f>
        <v>-0.538623595505618</v>
      </c>
    </row>
    <row r="18" customFormat="false" ht="13.5" hidden="false" customHeight="true" outlineLevel="0" collapsed="false">
      <c r="B18" s="0" t="s">
        <v>20</v>
      </c>
      <c r="C18" s="14" t="n">
        <f aca="false">'Comps Analysis'!C27</f>
        <v>772</v>
      </c>
      <c r="D18" s="8" t="n">
        <f aca="false">IF(ISNUMBER(C18),(C18-C9)/C9,"N/A")</f>
        <v>-0.457865168539326</v>
      </c>
    </row>
    <row r="19" customFormat="false" ht="13.5" hidden="false" customHeight="true" outlineLevel="0" collapsed="false">
      <c r="B19" s="0" t="s">
        <v>21</v>
      </c>
      <c r="C19" s="14" t="n">
        <f aca="false">'Comps Analysis'!C28</f>
        <v>527</v>
      </c>
      <c r="D19" s="8" t="n">
        <f aca="false">IF(ISNUMBER(C19),(C19-C9)/C9,"N/A")</f>
        <v>-0.629915730337079</v>
      </c>
    </row>
    <row r="20" customFormat="false" ht="13.8" hidden="false" customHeight="false" outlineLevel="0" collapsed="false"/>
    <row r="21" customFormat="false" ht="13.5" hidden="false" customHeight="true" outlineLevel="0" collapsed="false">
      <c r="B21" s="4" t="s">
        <v>22</v>
      </c>
      <c r="C21" s="7" t="str">
        <f aca="false">MIN(C17:C19)&amp;" - "&amp;MAX(C17:C19)</f>
        <v>527 - 772</v>
      </c>
    </row>
    <row r="22" customFormat="false" ht="13.8" hidden="false" customHeight="false" outlineLevel="0" collapsed="false"/>
    <row r="23" customFormat="false" ht="13.5" hidden="false" customHeight="true" outlineLevel="0" collapsed="false">
      <c r="B23" s="10" t="s">
        <v>23</v>
      </c>
      <c r="C23" s="11"/>
      <c r="D23" s="11"/>
    </row>
    <row r="24" customFormat="false" ht="13.8" hidden="false" customHeight="false" outlineLevel="0" collapsed="false">
      <c r="B24" s="0" t="s">
        <v>24</v>
      </c>
    </row>
    <row r="25" customFormat="false" ht="13.8" hidden="false" customHeight="false" outlineLevel="0" collapsed="false">
      <c r="B25" s="0" t="s">
        <v>25</v>
      </c>
    </row>
    <row r="26" customFormat="false" ht="13.8" hidden="false" customHeight="false" outlineLevel="0" collapsed="false">
      <c r="B26" s="0" t="s">
        <v>26</v>
      </c>
    </row>
    <row r="27" customFormat="false" ht="13.8" hidden="false" customHeight="false" outlineLevel="0" collapsed="false"/>
    <row r="28" customFormat="false" ht="13.5" hidden="false" customHeight="true" outlineLevel="0" collapsed="false">
      <c r="B28" s="10" t="s">
        <v>27</v>
      </c>
      <c r="C28" s="11"/>
      <c r="D28" s="11"/>
    </row>
    <row r="29" customFormat="false" ht="13.8" hidden="false" customHeight="false" outlineLevel="0" collapsed="false">
      <c r="B29" s="0" t="s">
        <v>28</v>
      </c>
    </row>
    <row r="30" customFormat="false" ht="13.8" hidden="false" customHeight="false" outlineLevel="0" collapsed="false">
      <c r="B30" s="0" t="s">
        <v>29</v>
      </c>
    </row>
    <row r="31" customFormat="false" ht="13.8" hidden="false" customHeight="false" outlineLevel="0" collapsed="false">
      <c r="B31" s="0" t="s">
        <v>30</v>
      </c>
    </row>
  </sheetData>
  <mergeCells count="2">
    <mergeCell ref="B1:E1"/>
    <mergeCell ref="B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366"/>
    <pageSetUpPr fitToPage="false"/>
  </sheetPr>
  <dimension ref="B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2.7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6" min="3" style="0" width="18"/>
  </cols>
  <sheetData>
    <row r="1" customFormat="false" ht="13.8" hidden="false" customHeight="false" outlineLevel="0" collapsed="false"/>
    <row r="2" customFormat="false" ht="18" hidden="false" customHeight="true" outlineLevel="0" collapsed="false">
      <c r="B2" s="15" t="s">
        <v>31</v>
      </c>
    </row>
    <row r="3" customFormat="false" ht="13.8" hidden="false" customHeight="false" outlineLevel="0" collapsed="false"/>
    <row r="4" customFormat="false" ht="13.5" hidden="false" customHeight="true" outlineLevel="0" collapsed="false">
      <c r="C4" s="12" t="s">
        <v>32</v>
      </c>
      <c r="D4" s="12" t="s">
        <v>33</v>
      </c>
      <c r="E4" s="12" t="s">
        <v>34</v>
      </c>
      <c r="F4" s="12" t="s">
        <v>35</v>
      </c>
    </row>
    <row r="5" customFormat="false" ht="13.5" hidden="false" customHeight="true" outlineLevel="0" collapsed="false">
      <c r="B5" s="3" t="s">
        <v>36</v>
      </c>
    </row>
    <row r="6" customFormat="false" ht="13.5" hidden="false" customHeight="true" outlineLevel="0" collapsed="false">
      <c r="B6" s="4" t="s">
        <v>37</v>
      </c>
      <c r="C6" s="6" t="n">
        <v>9116823</v>
      </c>
      <c r="D6" s="6" t="n">
        <v>9553557</v>
      </c>
      <c r="E6" s="6" t="n">
        <v>10134877</v>
      </c>
      <c r="F6" s="6" t="n">
        <v>10715342</v>
      </c>
    </row>
    <row r="7" customFormat="false" ht="13.5" hidden="false" customHeight="true" outlineLevel="0" collapsed="false">
      <c r="B7" s="4" t="s">
        <v>38</v>
      </c>
      <c r="C7" s="6" t="n">
        <v>5778894</v>
      </c>
      <c r="D7" s="6" t="n">
        <v>6007745</v>
      </c>
      <c r="E7" s="6" t="n">
        <v>6380141</v>
      </c>
      <c r="F7" s="6" t="n">
        <v>6804966</v>
      </c>
    </row>
    <row r="8" customFormat="false" ht="13.5" hidden="false" customHeight="true" outlineLevel="0" collapsed="false">
      <c r="B8" s="4" t="s">
        <v>39</v>
      </c>
      <c r="C8" s="6" t="n">
        <f aca="false">C6-C7</f>
        <v>3337929</v>
      </c>
      <c r="D8" s="6" t="n">
        <f aca="false">D6-D7</f>
        <v>3545812</v>
      </c>
      <c r="E8" s="6" t="n">
        <f aca="false">E6-E7</f>
        <v>3754736</v>
      </c>
      <c r="F8" s="6" t="n">
        <f aca="false">F6-F7</f>
        <v>3910376</v>
      </c>
    </row>
    <row r="9" customFormat="false" ht="13.5" hidden="false" customHeight="true" outlineLevel="0" collapsed="false">
      <c r="B9" s="0" t="s">
        <v>40</v>
      </c>
      <c r="C9" s="8" t="n">
        <f aca="false">C8/C6</f>
        <v>0.366128529642398</v>
      </c>
      <c r="D9" s="8" t="n">
        <f aca="false">D8/D6</f>
        <v>0.371150975495305</v>
      </c>
      <c r="E9" s="8" t="n">
        <f aca="false">E8/E6</f>
        <v>0.370476721128436</v>
      </c>
      <c r="F9" s="8" t="n">
        <f aca="false">F8/F6</f>
        <v>0.364932449192942</v>
      </c>
    </row>
    <row r="10" customFormat="false" ht="13.5" hidden="false" customHeight="true" outlineLevel="0" collapsed="false">
      <c r="B10" s="4" t="s">
        <v>41</v>
      </c>
      <c r="C10" s="6" t="n">
        <v>3128145</v>
      </c>
      <c r="D10" s="6" t="n">
        <v>3294989</v>
      </c>
      <c r="E10" s="6" t="n">
        <v>3516989</v>
      </c>
      <c r="F10" s="6" t="n">
        <v>3639916</v>
      </c>
    </row>
    <row r="11" customFormat="false" ht="13.5" hidden="false" customHeight="true" outlineLevel="0" collapsed="false">
      <c r="B11" s="4" t="s">
        <v>42</v>
      </c>
      <c r="C11" s="6" t="n">
        <v>209783</v>
      </c>
      <c r="D11" s="6" t="n">
        <v>250822</v>
      </c>
      <c r="E11" s="6" t="n">
        <v>237747</v>
      </c>
      <c r="F11" s="6" t="n">
        <v>270459</v>
      </c>
    </row>
    <row r="12" customFormat="false" ht="13.5" hidden="false" customHeight="true" outlineLevel="0" collapsed="false">
      <c r="B12" s="4" t="s">
        <v>43</v>
      </c>
      <c r="C12" s="6" t="n">
        <v>21381</v>
      </c>
      <c r="D12" s="6" t="n">
        <v>44692</v>
      </c>
      <c r="E12" s="6" t="n">
        <v>27168</v>
      </c>
      <c r="F12" s="6" t="n">
        <v>72677</v>
      </c>
    </row>
    <row r="13" customFormat="false" ht="13.5" hidden="false" customHeight="true" outlineLevel="0" collapsed="false">
      <c r="B13" s="0" t="s">
        <v>44</v>
      </c>
      <c r="C13" s="8" t="n">
        <f aca="false">C11/C6</f>
        <v>0.0230105377717654</v>
      </c>
      <c r="D13" s="8" t="n">
        <f aca="false">D11/D6</f>
        <v>0.0262543050719224</v>
      </c>
      <c r="E13" s="8" t="n">
        <f aca="false">E11/E6</f>
        <v>0.0234583014672995</v>
      </c>
      <c r="F13" s="8" t="n">
        <f aca="false">F11/F6</f>
        <v>0.0252403516378665</v>
      </c>
    </row>
    <row r="14" customFormat="false" ht="13.5" hidden="false" customHeight="true" outlineLevel="0" collapsed="false">
      <c r="B14" s="0" t="s">
        <v>45</v>
      </c>
      <c r="C14" s="8" t="n">
        <f aca="false">C12/C6</f>
        <v>0.00234522486616226</v>
      </c>
      <c r="D14" s="8" t="n">
        <f aca="false">D12/D6</f>
        <v>0.00467804818665969</v>
      </c>
      <c r="E14" s="8" t="n">
        <f aca="false">E12/E6</f>
        <v>0.00268064427422257</v>
      </c>
      <c r="F14" s="8" t="n">
        <f aca="false">F12/F6</f>
        <v>0.00678251800082536</v>
      </c>
    </row>
    <row r="15" customFormat="false" ht="13.5" hidden="false" customHeight="true" outlineLevel="0" collapsed="false">
      <c r="B15" s="0" t="s">
        <v>46</v>
      </c>
      <c r="C15" s="0" t="s">
        <v>47</v>
      </c>
      <c r="D15" s="8" t="n">
        <f aca="false">(D6-C6)/C6</f>
        <v>0.0479041876759042</v>
      </c>
      <c r="E15" s="8" t="n">
        <f aca="false">(E6-D6)/D6</f>
        <v>0.0608485404964873</v>
      </c>
      <c r="F15" s="8" t="n">
        <f aca="false">(F6-E6)/E6</f>
        <v>0.0572740053974015</v>
      </c>
    </row>
    <row r="16" customFormat="false" ht="13.5" hidden="false" customHeight="true" outlineLevel="0" collapsed="false">
      <c r="B16" s="0" t="s">
        <v>48</v>
      </c>
      <c r="C16" s="0" t="s">
        <v>47</v>
      </c>
      <c r="D16" s="8" t="n">
        <f aca="false">(D11-C11)/C11</f>
        <v>0.195625956345366</v>
      </c>
      <c r="E16" s="8" t="n">
        <f aca="false">(E11-D11)/D11</f>
        <v>-0.0521286011593879</v>
      </c>
      <c r="F16" s="8" t="n">
        <f aca="false">(F11-E11)/E11</f>
        <v>0.137591641534909</v>
      </c>
    </row>
    <row r="17" customFormat="false" ht="13.8" hidden="false" customHeight="false" outlineLevel="0" collapsed="false"/>
    <row r="18" customFormat="false" ht="13.5" hidden="false" customHeight="true" outlineLevel="0" collapsed="false">
      <c r="B18" s="3" t="s">
        <v>49</v>
      </c>
    </row>
    <row r="19" customFormat="false" ht="13.5" hidden="false" customHeight="true" outlineLevel="0" collapsed="false">
      <c r="B19" s="4" t="s">
        <v>50</v>
      </c>
      <c r="C19" s="16" t="n">
        <v>433710</v>
      </c>
      <c r="D19" s="16" t="n">
        <v>368487</v>
      </c>
      <c r="E19" s="16" t="n">
        <v>566218</v>
      </c>
      <c r="F19" s="16" t="n">
        <v>1126589</v>
      </c>
    </row>
    <row r="20" customFormat="false" ht="13.5" hidden="false" customHeight="true" outlineLevel="0" collapsed="false">
      <c r="B20" s="4" t="s">
        <v>51</v>
      </c>
      <c r="C20" s="6" t="n">
        <v>370848</v>
      </c>
      <c r="D20" s="6" t="n">
        <v>396236</v>
      </c>
      <c r="E20" s="6" t="n">
        <v>465958</v>
      </c>
      <c r="F20" s="6" t="n">
        <v>528536</v>
      </c>
    </row>
    <row r="21" customFormat="false" ht="13.5" hidden="false" customHeight="true" outlineLevel="0" collapsed="false">
      <c r="B21" s="4" t="s">
        <v>52</v>
      </c>
      <c r="C21" s="6" t="n">
        <f aca="false">C19-C20</f>
        <v>62862</v>
      </c>
      <c r="D21" s="6" t="n">
        <f aca="false">D19-D20</f>
        <v>-27749</v>
      </c>
      <c r="E21" s="6" t="n">
        <f aca="false">E19-E20</f>
        <v>100260</v>
      </c>
      <c r="F21" s="6" t="n">
        <f aca="false">F19-F20</f>
        <v>598053</v>
      </c>
    </row>
    <row r="22" customFormat="false" ht="13.5" hidden="false" customHeight="true" outlineLevel="0" collapsed="false">
      <c r="B22" s="4" t="s">
        <v>53</v>
      </c>
      <c r="C22" s="8" t="n">
        <f aca="false">C21/C6</f>
        <v>0.00689516512495636</v>
      </c>
      <c r="D22" s="8" t="n">
        <f aca="false">D21/D6</f>
        <v>-0.00290457261101807</v>
      </c>
      <c r="E22" s="8" t="n">
        <f aca="false">E21/E6</f>
        <v>0.0098925719572127</v>
      </c>
      <c r="F22" s="8" t="n">
        <f aca="false">F21/F6</f>
        <v>0.0558127776042986</v>
      </c>
    </row>
    <row r="23" customFormat="false" ht="13.5" hidden="false" customHeight="true" outlineLevel="0" collapsed="false">
      <c r="B23" s="0" t="s">
        <v>54</v>
      </c>
      <c r="C23" s="8" t="n">
        <f aca="false">C20/C6</f>
        <v>0.0406773280560564</v>
      </c>
      <c r="D23" s="8" t="n">
        <f aca="false">D20/D6</f>
        <v>0.0414752327326879</v>
      </c>
      <c r="E23" s="8" t="n">
        <f aca="false">E20/E6</f>
        <v>0.0459756936369331</v>
      </c>
      <c r="F23" s="8" t="n">
        <f aca="false">F20/F6</f>
        <v>0.0493251638631786</v>
      </c>
    </row>
    <row r="24" customFormat="false" ht="13.8" hidden="false" customHeight="false" outlineLevel="0" collapsed="false"/>
    <row r="25" customFormat="false" ht="13.5" hidden="false" customHeight="true" outlineLevel="0" collapsed="false">
      <c r="B25" s="3" t="s">
        <v>55</v>
      </c>
    </row>
    <row r="26" customFormat="false" ht="13.5" hidden="false" customHeight="true" outlineLevel="0" collapsed="false">
      <c r="B26" s="4" t="s">
        <v>56</v>
      </c>
      <c r="C26" s="16" t="n">
        <v>1309725</v>
      </c>
      <c r="D26" s="16" t="n">
        <v>1165536</v>
      </c>
      <c r="E26" s="16" t="n">
        <v>1258383</v>
      </c>
      <c r="F26" s="16" t="n">
        <v>1350037</v>
      </c>
    </row>
    <row r="27" customFormat="false" ht="13.5" hidden="false" customHeight="true" outlineLevel="0" collapsed="false">
      <c r="B27" s="4" t="s">
        <v>57</v>
      </c>
      <c r="C27" s="16" t="n">
        <v>3465146</v>
      </c>
      <c r="D27" s="16" t="n">
        <v>3700013</v>
      </c>
      <c r="E27" s="16" t="n">
        <v>3832668</v>
      </c>
      <c r="F27" s="16" t="n">
        <v>4449206</v>
      </c>
    </row>
    <row r="28" customFormat="false" ht="13.5" hidden="false" customHeight="true" outlineLevel="0" collapsed="false">
      <c r="B28" s="4" t="s">
        <v>58</v>
      </c>
      <c r="C28" s="6" t="n">
        <f aca="false">C27-C26</f>
        <v>2155421</v>
      </c>
      <c r="D28" s="6" t="n">
        <f aca="false">D27-D26</f>
        <v>2534477</v>
      </c>
      <c r="E28" s="6" t="n">
        <f aca="false">E27-E26</f>
        <v>2574285</v>
      </c>
      <c r="F28" s="6" t="n">
        <f aca="false">F27-F26</f>
        <v>3099169</v>
      </c>
    </row>
    <row r="29" customFormat="false" ht="13.8" hidden="false" customHeight="false" outlineLevel="0" collapsed="false"/>
    <row r="30" customFormat="false" ht="13.8" hidden="false" customHeight="false" outlineLevel="0" collapsed="false">
      <c r="B30" s="9" t="s">
        <v>59</v>
      </c>
    </row>
    <row r="31" customFormat="false" ht="13.8" hidden="false" customHeight="false" outlineLevel="0" collapsed="false">
      <c r="B31" s="9" t="s">
        <v>60</v>
      </c>
    </row>
    <row r="32" customFormat="false" ht="13.8" hidden="false" customHeight="false" outlineLevel="0" collapsed="false">
      <c r="B32" s="9" t="s">
        <v>61</v>
      </c>
    </row>
    <row r="33" customFormat="false" ht="13.8" hidden="false" customHeight="false" outlineLevel="0" collapsed="false">
      <c r="B33" s="9" t="s">
        <v>62</v>
      </c>
    </row>
    <row r="34" customFormat="false" ht="13.8" hidden="false" customHeight="false" outlineLevel="0" collapsed="false">
      <c r="B34" s="9"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600"/>
    <pageSetUpPr fitToPage="false"/>
  </sheetPr>
  <dimension ref="B1:G87"/>
  <sheetViews>
    <sheetView showFormulas="false" showGridLines="true" showRowColHeaders="true" showZeros="true" rightToLeft="false" tabSelected="true" showOutlineSymbols="true" defaultGridColor="true" view="normal" topLeftCell="A24" colorId="64" zoomScale="100" zoomScaleNormal="100" zoomScalePageLayoutView="100" workbookViewId="0">
      <selection pane="topLeft" activeCell="C7" activeCellId="0" sqref="C7"/>
    </sheetView>
  </sheetViews>
  <sheetFormatPr defaultColWidth="8.5390625" defaultRowHeight="12.7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7" min="3" style="0" width="16"/>
  </cols>
  <sheetData>
    <row r="1" customFormat="false" ht="13.8" hidden="false" customHeight="false" outlineLevel="0" collapsed="false"/>
    <row r="2" customFormat="false" ht="18" hidden="false" customHeight="true" outlineLevel="0" collapsed="false">
      <c r="B2" s="17" t="s">
        <v>64</v>
      </c>
    </row>
    <row r="3" customFormat="false" ht="13.8" hidden="false" customHeight="false" outlineLevel="0" collapsed="false"/>
    <row r="4" customFormat="false" ht="13.5" hidden="false" customHeight="true" outlineLevel="0" collapsed="false">
      <c r="B4" s="10" t="s">
        <v>65</v>
      </c>
      <c r="C4" s="11"/>
      <c r="D4" s="11"/>
      <c r="E4" s="11"/>
      <c r="F4" s="11"/>
      <c r="G4" s="11"/>
    </row>
    <row r="5" customFormat="false" ht="13.5" hidden="false" customHeight="true" outlineLevel="0" collapsed="false">
      <c r="B5" s="4" t="s">
        <v>54</v>
      </c>
      <c r="C5" s="8" t="n">
        <v>0.0493251638631786</v>
      </c>
    </row>
    <row r="6" customFormat="false" ht="13.5" hidden="false" customHeight="true" outlineLevel="0" collapsed="false">
      <c r="B6" s="4" t="s">
        <v>66</v>
      </c>
      <c r="C6" s="8" t="n">
        <v>0.3062</v>
      </c>
    </row>
    <row r="7" customFormat="false" ht="13.5" hidden="false" customHeight="true" outlineLevel="0" collapsed="false">
      <c r="B7" s="4" t="s">
        <v>67</v>
      </c>
      <c r="C7" s="8" t="n">
        <v>0.023</v>
      </c>
    </row>
    <row r="8" customFormat="false" ht="13.5" hidden="false" customHeight="true" outlineLevel="0" collapsed="false">
      <c r="B8" s="4" t="s">
        <v>68</v>
      </c>
      <c r="C8" s="18" t="n">
        <v>0.8</v>
      </c>
    </row>
    <row r="9" customFormat="false" ht="13.5" hidden="false" customHeight="true" outlineLevel="0" collapsed="false">
      <c r="B9" s="4" t="s">
        <v>69</v>
      </c>
      <c r="C9" s="8" t="n">
        <v>0.06</v>
      </c>
    </row>
    <row r="10" customFormat="false" ht="13.5" hidden="false" customHeight="true" outlineLevel="0" collapsed="false">
      <c r="B10" s="4" t="s">
        <v>70</v>
      </c>
      <c r="C10" s="8" t="n">
        <v>0</v>
      </c>
    </row>
    <row r="11" customFormat="false" ht="13.5" hidden="false" customHeight="true" outlineLevel="0" collapsed="false">
      <c r="B11" s="4" t="s">
        <v>71</v>
      </c>
      <c r="C11" s="8" t="n">
        <v>0.012</v>
      </c>
    </row>
    <row r="12" customFormat="false" ht="13.5" hidden="false" customHeight="true" outlineLevel="0" collapsed="false">
      <c r="B12" s="4" t="s">
        <v>72</v>
      </c>
      <c r="C12" s="19" t="n">
        <v>0.8403</v>
      </c>
    </row>
    <row r="13" customFormat="false" ht="13.5" hidden="false" customHeight="true" outlineLevel="0" collapsed="false">
      <c r="B13" s="4" t="s">
        <v>73</v>
      </c>
      <c r="C13" s="8" t="n">
        <v>0.005</v>
      </c>
    </row>
    <row r="14" customFormat="false" ht="13.5" hidden="false" customHeight="true" outlineLevel="0" collapsed="false">
      <c r="B14" s="4" t="s">
        <v>74</v>
      </c>
      <c r="C14" s="20" t="n">
        <v>8</v>
      </c>
    </row>
    <row r="15" customFormat="false" ht="13.5" hidden="false" customHeight="true" outlineLevel="0" collapsed="false">
      <c r="B15" s="4" t="s">
        <v>75</v>
      </c>
      <c r="C15" s="21" t="n">
        <v>2765768421</v>
      </c>
    </row>
    <row r="16" customFormat="false" ht="13.5" hidden="false" customHeight="true" outlineLevel="0" collapsed="false">
      <c r="B16" s="4" t="s">
        <v>76</v>
      </c>
      <c r="C16" s="6" t="n">
        <v>4083263</v>
      </c>
    </row>
    <row r="17" customFormat="false" ht="13.5" hidden="false" customHeight="true" outlineLevel="0" collapsed="false">
      <c r="B17" s="4" t="s">
        <v>77</v>
      </c>
      <c r="C17" s="6" t="n">
        <v>10715342</v>
      </c>
    </row>
    <row r="18" customFormat="false" ht="13.5" hidden="false" customHeight="true" outlineLevel="0" collapsed="false">
      <c r="B18" s="4" t="s">
        <v>78</v>
      </c>
      <c r="C18" s="8" t="n">
        <v>0.0356964808029459</v>
      </c>
    </row>
    <row r="19" customFormat="false" ht="13.5" hidden="false" customHeight="true" outlineLevel="0" collapsed="false">
      <c r="B19" s="4" t="s">
        <v>79</v>
      </c>
      <c r="C19" s="18" t="n">
        <v>1</v>
      </c>
    </row>
    <row r="20" customFormat="false" ht="13.5" hidden="false" customHeight="true" outlineLevel="0" collapsed="false">
      <c r="B20" s="4" t="s">
        <v>80</v>
      </c>
      <c r="C20" s="6" t="n">
        <v>10715342</v>
      </c>
    </row>
    <row r="21" customFormat="false" ht="13.8" hidden="false" customHeight="false" outlineLevel="0" collapsed="false"/>
    <row r="22" customFormat="false" ht="13.5" hidden="false" customHeight="true" outlineLevel="0" collapsed="false">
      <c r="B22" s="10" t="s">
        <v>81</v>
      </c>
      <c r="C22" s="11"/>
      <c r="D22" s="11"/>
      <c r="E22" s="11"/>
      <c r="F22" s="11"/>
      <c r="G22" s="11"/>
    </row>
    <row r="23" customFormat="false" ht="13.5" hidden="false" customHeight="true" outlineLevel="0" collapsed="false">
      <c r="B23" s="4" t="s">
        <v>82</v>
      </c>
      <c r="C23" s="22" t="n">
        <f aca="false">C7+C8*C9+C10</f>
        <v>0.071</v>
      </c>
    </row>
    <row r="24" customFormat="false" ht="13.5" hidden="false" customHeight="true" outlineLevel="0" collapsed="false">
      <c r="B24" s="4" t="s">
        <v>83</v>
      </c>
      <c r="C24" s="22" t="n">
        <f aca="false">1/(1+C12)</f>
        <v>0.543389664728577</v>
      </c>
    </row>
    <row r="25" customFormat="false" ht="13.5" hidden="false" customHeight="true" outlineLevel="0" collapsed="false">
      <c r="B25" s="4" t="s">
        <v>84</v>
      </c>
      <c r="C25" s="22" t="n">
        <f aca="false">C12/(1+C12)</f>
        <v>0.456610335271423</v>
      </c>
    </row>
    <row r="26" customFormat="false" ht="13.5" hidden="false" customHeight="true" outlineLevel="0" collapsed="false">
      <c r="B26" s="4" t="s">
        <v>85</v>
      </c>
      <c r="C26" s="22" t="n">
        <f aca="false">C23*C24+C11*C25</f>
        <v>0.044059990218986</v>
      </c>
    </row>
    <row r="27" customFormat="false" ht="13.5" hidden="false" customHeight="true" outlineLevel="0" collapsed="false">
      <c r="B27" s="4" t="s">
        <v>86</v>
      </c>
      <c r="C27" s="23" t="s">
        <v>87</v>
      </c>
      <c r="D27" s="7" t="n">
        <v>1</v>
      </c>
    </row>
    <row r="28" customFormat="false" ht="13.5" hidden="false" customHeight="true" outlineLevel="0" collapsed="false">
      <c r="B28" s="10" t="s">
        <v>88</v>
      </c>
      <c r="C28" s="11"/>
      <c r="D28" s="11"/>
      <c r="E28" s="11"/>
      <c r="F28" s="11"/>
      <c r="G28" s="11"/>
    </row>
    <row r="29" customFormat="false" ht="13.5" hidden="false" customHeight="true" outlineLevel="0" collapsed="false">
      <c r="C29" s="12" t="s">
        <v>89</v>
      </c>
      <c r="D29" s="12" t="s">
        <v>90</v>
      </c>
      <c r="E29" s="12" t="s">
        <v>91</v>
      </c>
      <c r="F29" s="12" t="s">
        <v>92</v>
      </c>
      <c r="G29" s="12" t="s">
        <v>93</v>
      </c>
    </row>
    <row r="30" customFormat="false" ht="13.5" hidden="false" customHeight="true" outlineLevel="0" collapsed="false">
      <c r="B30" s="4" t="s">
        <v>46</v>
      </c>
      <c r="C30" s="24" t="n">
        <f aca="false">CHOOSE($D$27,C69,C70,C71,C72,C73)</f>
        <v>0.08</v>
      </c>
      <c r="D30" s="24" t="n">
        <f aca="false">CHOOSE($D$27,D69,D70,D71,D72,D73)</f>
        <v>0.04</v>
      </c>
      <c r="E30" s="24" t="n">
        <f aca="false">CHOOSE($D$27,E69,E70,E71,E72,E73)</f>
        <v>0.03</v>
      </c>
      <c r="F30" s="24" t="n">
        <f aca="false">CHOOSE($D$27,F69,F70,F71,F72,F73)</f>
        <v>0.025</v>
      </c>
      <c r="G30" s="24" t="n">
        <f aca="false">CHOOSE($D$27,G69,G70,G71,G72,G73)</f>
        <v>0.02</v>
      </c>
    </row>
    <row r="31" customFormat="false" ht="13.5" hidden="false" customHeight="true" outlineLevel="0" collapsed="false">
      <c r="B31" s="4" t="s">
        <v>94</v>
      </c>
      <c r="C31" s="24" t="n">
        <f aca="false">CHOOSE($D$27,C76,C77,C78,C79,C80)</f>
        <v>0.634</v>
      </c>
      <c r="D31" s="24" t="n">
        <f aca="false">CHOOSE($D$27,D76,D77,D78,D79,D80)</f>
        <v>0.633</v>
      </c>
      <c r="E31" s="24" t="n">
        <f aca="false">CHOOSE($D$27,E76,E77,E78,E79,E80)</f>
        <v>0.632</v>
      </c>
      <c r="F31" s="24" t="n">
        <f aca="false">CHOOSE($D$27,F76,F77,F78,F79,F80)</f>
        <v>0.631</v>
      </c>
      <c r="G31" s="24" t="n">
        <f aca="false">CHOOSE($D$27,G76,G77,G78,G79,G80)</f>
        <v>0.63</v>
      </c>
    </row>
    <row r="32" customFormat="false" ht="13.5" hidden="false" customHeight="true" outlineLevel="0" collapsed="false">
      <c r="B32" s="4" t="s">
        <v>95</v>
      </c>
      <c r="C32" s="24" t="n">
        <f aca="false">CHOOSE($D$27,C83,C84,C85,C86,C87)</f>
        <v>0.339</v>
      </c>
      <c r="D32" s="24" t="n">
        <f aca="false">CHOOSE($D$27,D83,D84,D85,D86,D87)</f>
        <v>0.338</v>
      </c>
      <c r="E32" s="24" t="n">
        <f aca="false">CHOOSE($D$27,E83,E84,E85,E86,E87)</f>
        <v>0.3375</v>
      </c>
      <c r="F32" s="24" t="n">
        <f aca="false">CHOOSE($D$27,F83,F84,F85,F86,F87)</f>
        <v>0.3375</v>
      </c>
      <c r="G32" s="24" t="n">
        <f aca="false">CHOOSE($D$27,G83,G84,G85,G86,G87)</f>
        <v>0.338</v>
      </c>
    </row>
    <row r="33" customFormat="false" ht="13.5" hidden="false" customHeight="true" outlineLevel="0" collapsed="false">
      <c r="B33" s="4" t="s">
        <v>37</v>
      </c>
      <c r="C33" s="6" t="n">
        <f aca="false">C17*(1+C30)</f>
        <v>11572569.36</v>
      </c>
      <c r="D33" s="6" t="n">
        <f aca="false">C33*(1+D30)</f>
        <v>12035472.1344</v>
      </c>
      <c r="E33" s="6" t="n">
        <f aca="false">D33*(1+E30)</f>
        <v>12396536.298432</v>
      </c>
      <c r="F33" s="6" t="n">
        <f aca="false">E33*(1+F30)</f>
        <v>12706449.7058928</v>
      </c>
      <c r="G33" s="6" t="n">
        <f aca="false">F33*(1+G30)</f>
        <v>12960578.7000107</v>
      </c>
    </row>
    <row r="34" customFormat="false" ht="13.5" hidden="false" customHeight="true" outlineLevel="0" collapsed="false">
      <c r="B34" s="4" t="s">
        <v>38</v>
      </c>
      <c r="C34" s="6" t="n">
        <f aca="false">C33*C31</f>
        <v>7337008.97424</v>
      </c>
      <c r="D34" s="6" t="n">
        <f aca="false">D33*D31</f>
        <v>7618453.8610752</v>
      </c>
      <c r="E34" s="6" t="n">
        <f aca="false">E33*E31</f>
        <v>7834610.94060903</v>
      </c>
      <c r="F34" s="6" t="n">
        <f aca="false">F33*F31</f>
        <v>8017769.76441836</v>
      </c>
      <c r="G34" s="6" t="n">
        <f aca="false">G33*G31</f>
        <v>8165164.58100672</v>
      </c>
    </row>
    <row r="35" customFormat="false" ht="13.5" hidden="false" customHeight="true" outlineLevel="0" collapsed="false">
      <c r="B35" s="4" t="s">
        <v>39</v>
      </c>
      <c r="C35" s="25" t="n">
        <f aca="false">C33-C34</f>
        <v>4235560.38576</v>
      </c>
      <c r="D35" s="25" t="n">
        <f aca="false">D33-D34</f>
        <v>4417018.2733248</v>
      </c>
      <c r="E35" s="25" t="n">
        <f aca="false">E33-E34</f>
        <v>4561925.35782298</v>
      </c>
      <c r="F35" s="25" t="n">
        <f aca="false">F33-F34</f>
        <v>4688679.94147444</v>
      </c>
      <c r="G35" s="25" t="n">
        <f aca="false">G33-G34</f>
        <v>4795414.11900394</v>
      </c>
    </row>
    <row r="36" customFormat="false" ht="13.5" hidden="false" customHeight="true" outlineLevel="0" collapsed="false">
      <c r="B36" s="4" t="s">
        <v>40</v>
      </c>
      <c r="C36" s="8" t="n">
        <f aca="false">C35/C33</f>
        <v>0.366</v>
      </c>
      <c r="D36" s="8" t="n">
        <f aca="false">D35/D33</f>
        <v>0.367</v>
      </c>
      <c r="E36" s="8" t="n">
        <f aca="false">E35/E33</f>
        <v>0.368</v>
      </c>
      <c r="F36" s="8" t="n">
        <f aca="false">F35/F33</f>
        <v>0.369</v>
      </c>
      <c r="G36" s="8" t="n">
        <f aca="false">G35/G33</f>
        <v>0.37</v>
      </c>
    </row>
    <row r="37" customFormat="false" ht="13.5" hidden="false" customHeight="true" outlineLevel="0" collapsed="false">
      <c r="B37" s="4" t="s">
        <v>96</v>
      </c>
      <c r="C37" s="6" t="n">
        <f aca="false">C33*C32</f>
        <v>3923101.01304</v>
      </c>
      <c r="D37" s="6" t="n">
        <f aca="false">D33*D32</f>
        <v>4067989.5814272</v>
      </c>
      <c r="E37" s="6" t="n">
        <f aca="false">E33*E32</f>
        <v>4183831.0007208</v>
      </c>
      <c r="F37" s="6" t="n">
        <f aca="false">F33*F32</f>
        <v>4288426.77573882</v>
      </c>
      <c r="G37" s="6" t="n">
        <f aca="false">G33*G32</f>
        <v>4380675.6006036</v>
      </c>
    </row>
    <row r="38" customFormat="false" ht="13.5" hidden="false" customHeight="true" outlineLevel="0" collapsed="false">
      <c r="B38" s="4" t="s">
        <v>97</v>
      </c>
      <c r="C38" s="8" t="n">
        <f aca="false">(C35-C37)/C33</f>
        <v>0.0269999999999999</v>
      </c>
      <c r="D38" s="8" t="n">
        <f aca="false">(D35-D37)/D33</f>
        <v>0.029</v>
      </c>
      <c r="E38" s="8" t="n">
        <f aca="false">(E35-E37)/E33</f>
        <v>0.0305</v>
      </c>
      <c r="F38" s="8" t="n">
        <f aca="false">(F35-F37)/F33</f>
        <v>0.0315</v>
      </c>
      <c r="G38" s="8" t="n">
        <f aca="false">(G35-G37)/G33</f>
        <v>0.032</v>
      </c>
    </row>
    <row r="39" customFormat="false" ht="13.5" hidden="false" customHeight="true" outlineLevel="0" collapsed="false">
      <c r="B39" s="4" t="s">
        <v>98</v>
      </c>
      <c r="C39" s="25" t="n">
        <f aca="false">C35-C37</f>
        <v>312459.372719999</v>
      </c>
      <c r="D39" s="25" t="n">
        <f aca="false">D35-D37</f>
        <v>349028.6918976</v>
      </c>
      <c r="E39" s="25" t="n">
        <f aca="false">E35-E37</f>
        <v>378094.357102176</v>
      </c>
      <c r="F39" s="25" t="n">
        <f aca="false">F35-F37</f>
        <v>400253.165735623</v>
      </c>
      <c r="G39" s="25" t="n">
        <f aca="false">G35-G37</f>
        <v>414738.518400341</v>
      </c>
    </row>
    <row r="40" customFormat="false" ht="13.5" hidden="false" customHeight="true" outlineLevel="0" collapsed="false">
      <c r="B40" s="4" t="s">
        <v>99</v>
      </c>
      <c r="C40" s="6" t="n">
        <f aca="false">MAX(0,C39*C6)</f>
        <v>95675.0599268638</v>
      </c>
      <c r="D40" s="6" t="n">
        <f aca="false">MAX(0,D39*C6)</f>
        <v>106872.585459045</v>
      </c>
      <c r="E40" s="6" t="n">
        <f aca="false">MAX(0,E39*C6)</f>
        <v>115772.492144686</v>
      </c>
      <c r="F40" s="6" t="n">
        <f aca="false">MAX(0,F39*C6)</f>
        <v>122557.519348248</v>
      </c>
      <c r="G40" s="6" t="n">
        <f aca="false">MAX(0,G39*C6)</f>
        <v>126992.934334185</v>
      </c>
    </row>
    <row r="41" customFormat="false" ht="13.5" hidden="false" customHeight="true" outlineLevel="0" collapsed="false">
      <c r="B41" s="4" t="s">
        <v>100</v>
      </c>
      <c r="C41" s="25" t="n">
        <f aca="false">C39-C40</f>
        <v>216784.312793136</v>
      </c>
      <c r="D41" s="25" t="n">
        <f aca="false">D39-D40</f>
        <v>242156.106438555</v>
      </c>
      <c r="E41" s="25" t="n">
        <f aca="false">E39-E40</f>
        <v>262321.86495749</v>
      </c>
      <c r="F41" s="25" t="n">
        <f aca="false">F39-F40</f>
        <v>277695.646387375</v>
      </c>
      <c r="G41" s="25" t="n">
        <f aca="false">G39-G40</f>
        <v>287745.584066157</v>
      </c>
    </row>
    <row r="42" customFormat="false" ht="13.5" hidden="false" customHeight="true" outlineLevel="0" collapsed="false">
      <c r="B42" s="4" t="s">
        <v>101</v>
      </c>
      <c r="C42" s="6" t="n">
        <v>400000</v>
      </c>
      <c r="D42" s="6" t="n">
        <v>415000</v>
      </c>
      <c r="E42" s="6" t="n">
        <v>425000</v>
      </c>
      <c r="F42" s="6" t="n">
        <v>435000</v>
      </c>
      <c r="G42" s="6" t="n">
        <v>445000</v>
      </c>
    </row>
    <row r="43" customFormat="false" ht="13.5" hidden="false" customHeight="true" outlineLevel="0" collapsed="false">
      <c r="B43" s="4" t="s">
        <v>102</v>
      </c>
      <c r="C43" s="6" t="n">
        <v>560000</v>
      </c>
      <c r="D43" s="6" t="n">
        <v>550000</v>
      </c>
      <c r="E43" s="6" t="n">
        <v>540000</v>
      </c>
      <c r="F43" s="6" t="n">
        <v>540000</v>
      </c>
      <c r="G43" s="6" t="n">
        <v>545000</v>
      </c>
    </row>
    <row r="44" customFormat="false" ht="13.5" hidden="false" customHeight="true" outlineLevel="0" collapsed="false">
      <c r="B44" s="4" t="s">
        <v>103</v>
      </c>
      <c r="C44" s="6" t="n">
        <f aca="false">'NWC Schedule'!D19</f>
        <v>84442.0409358908</v>
      </c>
      <c r="D44" s="6" t="n">
        <f aca="false">'NWC Schedule'!E19</f>
        <v>54178.6480064874</v>
      </c>
      <c r="E44" s="6" t="n">
        <f aca="false">'NWC Schedule'!F19</f>
        <v>42582.4896283948</v>
      </c>
      <c r="F44" s="6" t="n">
        <f aca="false">'NWC Schedule'!G19</f>
        <v>36777.8061483966</v>
      </c>
      <c r="G44" s="6" t="n">
        <f aca="false">'NWC Schedule'!H19</f>
        <v>30425.8549121926</v>
      </c>
    </row>
    <row r="45" customFormat="false" ht="13.5" hidden="false" customHeight="true" outlineLevel="0" collapsed="false">
      <c r="B45" s="4" t="s">
        <v>104</v>
      </c>
      <c r="C45" s="26" t="n">
        <f aca="false">C41+C42-C43-C44</f>
        <v>-27657.7281427551</v>
      </c>
      <c r="D45" s="26" t="n">
        <f aca="false">D41+D42-D43-D44</f>
        <v>52977.4584320672</v>
      </c>
      <c r="E45" s="26" t="n">
        <f aca="false">E41+E42-E43-E44</f>
        <v>104739.375329095</v>
      </c>
      <c r="F45" s="26" t="n">
        <f aca="false">F41+F42-F43-F44</f>
        <v>135917.840238979</v>
      </c>
      <c r="G45" s="26" t="n">
        <f aca="false">G41+G42-G43-G44</f>
        <v>157319.729153964</v>
      </c>
    </row>
    <row r="46" customFormat="false" ht="13.5" hidden="false" customHeight="true" outlineLevel="0" collapsed="false">
      <c r="B46" s="4" t="s">
        <v>105</v>
      </c>
      <c r="C46" s="27" t="n">
        <f aca="false">1/(1+C26)^(C19+0)</f>
        <v>0.95779936916293</v>
      </c>
      <c r="D46" s="27" t="n">
        <f aca="false">1/(1+C26)^(C19+1)</f>
        <v>0.917379631568907</v>
      </c>
      <c r="E46" s="27" t="n">
        <f aca="false">1/(1+C26)^(C19+2)</f>
        <v>0.878665632399621</v>
      </c>
      <c r="F46" s="27" t="n">
        <f aca="false">1/(1+C26)^(C19+3)</f>
        <v>0.841585388417504</v>
      </c>
      <c r="G46" s="27" t="n">
        <f aca="false">1/(1+C26)^(C19+4)</f>
        <v>0.806069954123025</v>
      </c>
    </row>
    <row r="47" customFormat="false" ht="13.5" hidden="false" customHeight="true" outlineLevel="0" collapsed="false">
      <c r="B47" s="4" t="s">
        <v>106</v>
      </c>
      <c r="C47" s="25" t="n">
        <f aca="false">C45*C46</f>
        <v>-26490.5545676107</v>
      </c>
      <c r="D47" s="25" t="n">
        <f aca="false">D45*D46</f>
        <v>48600.4412978669</v>
      </c>
      <c r="E47" s="25" t="n">
        <f aca="false">E45*E46</f>
        <v>92030.8894606803</v>
      </c>
      <c r="F47" s="25" t="n">
        <f aca="false">F45*F46</f>
        <v>114386.468370389</v>
      </c>
      <c r="G47" s="25" t="n">
        <f aca="false">G45*G46</f>
        <v>126810.706861783</v>
      </c>
    </row>
    <row r="48" customFormat="false" ht="13.8" hidden="false" customHeight="false" outlineLevel="0" collapsed="false"/>
    <row r="49" customFormat="false" ht="13.5" hidden="false" customHeight="true" outlineLevel="0" collapsed="false">
      <c r="B49" s="28" t="s">
        <v>107</v>
      </c>
      <c r="C49" s="29"/>
      <c r="D49" s="29"/>
      <c r="E49" s="29"/>
      <c r="F49" s="29"/>
      <c r="G49" s="29"/>
    </row>
    <row r="50" customFormat="false" ht="13.5" hidden="false" customHeight="true" outlineLevel="0" collapsed="false">
      <c r="B50" s="4" t="s">
        <v>108</v>
      </c>
      <c r="C50" s="6" t="n">
        <f aca="false">SUM(C47:G47)</f>
        <v>355337.951423108</v>
      </c>
    </row>
    <row r="51" customFormat="false" ht="13.5" hidden="false" customHeight="true" outlineLevel="0" collapsed="false">
      <c r="B51" s="4" t="s">
        <v>109</v>
      </c>
      <c r="C51" s="6" t="n">
        <f aca="false">G45*(1+C13)/(C26-C13)</f>
        <v>4047782.06326541</v>
      </c>
    </row>
    <row r="52" customFormat="false" ht="13.5" hidden="false" customHeight="true" outlineLevel="0" collapsed="false">
      <c r="B52" s="4" t="s">
        <v>110</v>
      </c>
      <c r="C52" s="6" t="n">
        <f aca="false">C51*G46</f>
        <v>3262795.50203635</v>
      </c>
    </row>
    <row r="53" customFormat="false" ht="13.5" hidden="false" customHeight="true" outlineLevel="0" collapsed="false">
      <c r="B53" s="4" t="s">
        <v>111</v>
      </c>
      <c r="C53" s="6" t="n">
        <f aca="false">C50+C52</f>
        <v>3618133.45345946</v>
      </c>
    </row>
    <row r="54" customFormat="false" ht="13.5" hidden="false" customHeight="true" outlineLevel="0" collapsed="false">
      <c r="B54" s="4" t="s">
        <v>112</v>
      </c>
      <c r="C54" s="6" t="n">
        <f aca="false">C53-C16</f>
        <v>-465129.546540539</v>
      </c>
    </row>
    <row r="55" customFormat="false" ht="13.5" hidden="false" customHeight="true" outlineLevel="0" collapsed="false">
      <c r="B55" s="4" t="s">
        <v>113</v>
      </c>
      <c r="C55" s="30" t="n">
        <f aca="false">ROUND(C54*1000000/C15,0)</f>
        <v>-168</v>
      </c>
    </row>
    <row r="56" customFormat="false" ht="13.8" hidden="false" customHeight="false" outlineLevel="0" collapsed="false"/>
    <row r="57" customFormat="false" ht="13.5" hidden="false" customHeight="true" outlineLevel="0" collapsed="false">
      <c r="B57" s="28" t="s">
        <v>114</v>
      </c>
      <c r="C57" s="29"/>
      <c r="D57" s="29"/>
      <c r="E57" s="29"/>
      <c r="F57" s="29"/>
      <c r="G57" s="29"/>
    </row>
    <row r="58" customFormat="false" ht="13.5" hidden="false" customHeight="true" outlineLevel="0" collapsed="false">
      <c r="B58" s="4" t="s">
        <v>108</v>
      </c>
      <c r="C58" s="6" t="n">
        <f aca="false">C50</f>
        <v>355337.951423108</v>
      </c>
    </row>
    <row r="59" customFormat="false" ht="13.5" hidden="false" customHeight="true" outlineLevel="0" collapsed="false">
      <c r="B59" s="4" t="s">
        <v>115</v>
      </c>
      <c r="C59" s="6" t="n">
        <f aca="false">G39+G42</f>
        <v>859738.518400341</v>
      </c>
    </row>
    <row r="60" customFormat="false" ht="13.5" hidden="false" customHeight="true" outlineLevel="0" collapsed="false">
      <c r="B60" s="4" t="s">
        <v>116</v>
      </c>
      <c r="C60" s="6" t="n">
        <f aca="false">C59*C14</f>
        <v>6877908.14720273</v>
      </c>
    </row>
    <row r="61" customFormat="false" ht="13.5" hidden="false" customHeight="true" outlineLevel="0" collapsed="false">
      <c r="B61" s="4" t="s">
        <v>110</v>
      </c>
      <c r="C61" s="6" t="n">
        <f aca="false">C60*G46</f>
        <v>5544075.10467809</v>
      </c>
    </row>
    <row r="62" customFormat="false" ht="13.5" hidden="false" customHeight="true" outlineLevel="0" collapsed="false">
      <c r="B62" s="4" t="s">
        <v>111</v>
      </c>
      <c r="C62" s="6" t="n">
        <f aca="false">C58+C61</f>
        <v>5899413.0561012</v>
      </c>
    </row>
    <row r="63" customFormat="false" ht="13.5" hidden="false" customHeight="true" outlineLevel="0" collapsed="false">
      <c r="B63" s="4" t="s">
        <v>112</v>
      </c>
      <c r="C63" s="6" t="n">
        <f aca="false">C62-C16</f>
        <v>1816150.05610119</v>
      </c>
    </row>
    <row r="64" customFormat="false" ht="13.5" hidden="false" customHeight="true" outlineLevel="0" collapsed="false">
      <c r="B64" s="4" t="s">
        <v>117</v>
      </c>
      <c r="C64" s="30" t="n">
        <f aca="false">ROUND(C63*1000000/C15,0)</f>
        <v>657</v>
      </c>
    </row>
    <row r="65" customFormat="false" ht="13.8" hidden="false" customHeight="false" outlineLevel="0" collapsed="false"/>
    <row r="66" customFormat="false" ht="13.5" hidden="false" customHeight="true" outlineLevel="0" collapsed="false">
      <c r="B66" s="28" t="s">
        <v>118</v>
      </c>
      <c r="C66" s="29"/>
      <c r="D66" s="29"/>
      <c r="E66" s="29"/>
      <c r="F66" s="29"/>
      <c r="G66" s="29"/>
    </row>
    <row r="67" customFormat="false" ht="13.5" hidden="false" customHeight="true" outlineLevel="0" collapsed="false">
      <c r="C67" s="31" t="s">
        <v>119</v>
      </c>
      <c r="D67" s="31" t="s">
        <v>120</v>
      </c>
      <c r="E67" s="31" t="s">
        <v>121</v>
      </c>
      <c r="F67" s="31" t="s">
        <v>122</v>
      </c>
      <c r="G67" s="31" t="s">
        <v>123</v>
      </c>
    </row>
    <row r="68" customFormat="false" ht="13.5" hidden="false" customHeight="true" outlineLevel="0" collapsed="false">
      <c r="B68" s="3" t="s">
        <v>46</v>
      </c>
    </row>
    <row r="69" customFormat="false" ht="13.5" hidden="false" customHeight="true" outlineLevel="0" collapsed="false">
      <c r="B69" s="4" t="s">
        <v>87</v>
      </c>
      <c r="C69" s="32" t="n">
        <v>0.08</v>
      </c>
      <c r="D69" s="32" t="n">
        <v>0.04</v>
      </c>
      <c r="E69" s="32" t="n">
        <v>0.03</v>
      </c>
      <c r="F69" s="32" t="n">
        <v>0.025</v>
      </c>
      <c r="G69" s="32" t="n">
        <v>0.02</v>
      </c>
    </row>
    <row r="70" customFormat="false" ht="13.5" hidden="false" customHeight="true" outlineLevel="0" collapsed="false">
      <c r="B70" s="4" t="s">
        <v>124</v>
      </c>
      <c r="C70" s="32" t="n">
        <v>0.11</v>
      </c>
      <c r="D70" s="32" t="n">
        <v>0.06</v>
      </c>
      <c r="E70" s="32" t="n">
        <v>0.05</v>
      </c>
      <c r="F70" s="32" t="n">
        <v>0.04</v>
      </c>
      <c r="G70" s="32" t="n">
        <v>0.035</v>
      </c>
    </row>
    <row r="71" customFormat="false" ht="13.5" hidden="false" customHeight="true" outlineLevel="0" collapsed="false">
      <c r="B71" s="4" t="s">
        <v>125</v>
      </c>
      <c r="C71" s="32" t="n">
        <v>0.12</v>
      </c>
      <c r="D71" s="32" t="n">
        <v>0.03</v>
      </c>
      <c r="E71" s="32" t="n">
        <v>0.025</v>
      </c>
      <c r="F71" s="32" t="n">
        <v>0.02</v>
      </c>
      <c r="G71" s="32" t="n">
        <v>0.02</v>
      </c>
    </row>
    <row r="72" customFormat="false" ht="13.5" hidden="false" customHeight="true" outlineLevel="0" collapsed="false">
      <c r="B72" s="4" t="s">
        <v>126</v>
      </c>
      <c r="C72" s="32" t="n">
        <v>0.05</v>
      </c>
      <c r="D72" s="32" t="n">
        <v>0.01</v>
      </c>
      <c r="E72" s="32" t="n">
        <v>0.005</v>
      </c>
      <c r="F72" s="32" t="n">
        <v>0.005</v>
      </c>
      <c r="G72" s="32" t="n">
        <v>0.005</v>
      </c>
    </row>
    <row r="73" customFormat="false" ht="13.5" hidden="false" customHeight="true" outlineLevel="0" collapsed="false">
      <c r="B73" s="4" t="s">
        <v>127</v>
      </c>
      <c r="C73" s="32" t="n">
        <v>0.02</v>
      </c>
      <c r="D73" s="32" t="n">
        <v>-0.01</v>
      </c>
      <c r="E73" s="32" t="n">
        <v>-0.01</v>
      </c>
      <c r="F73" s="32" t="n">
        <v>-0.005</v>
      </c>
      <c r="G73" s="32" t="n">
        <v>-0.005</v>
      </c>
    </row>
    <row r="74" customFormat="false" ht="13.8" hidden="false" customHeight="false" outlineLevel="0" collapsed="false"/>
    <row r="75" customFormat="false" ht="13.5" hidden="false" customHeight="true" outlineLevel="0" collapsed="false">
      <c r="B75" s="3" t="s">
        <v>94</v>
      </c>
    </row>
    <row r="76" customFormat="false" ht="13.5" hidden="false" customHeight="true" outlineLevel="0" collapsed="false">
      <c r="B76" s="4" t="s">
        <v>87</v>
      </c>
      <c r="C76" s="32" t="n">
        <v>0.634</v>
      </c>
      <c r="D76" s="32" t="n">
        <v>0.633</v>
      </c>
      <c r="E76" s="32" t="n">
        <v>0.632</v>
      </c>
      <c r="F76" s="32" t="n">
        <v>0.631</v>
      </c>
      <c r="G76" s="32" t="n">
        <v>0.63</v>
      </c>
    </row>
    <row r="77" customFormat="false" ht="13.5" hidden="false" customHeight="true" outlineLevel="0" collapsed="false">
      <c r="B77" s="4" t="s">
        <v>124</v>
      </c>
      <c r="C77" s="32" t="n">
        <v>0.632</v>
      </c>
      <c r="D77" s="32" t="n">
        <v>0.63</v>
      </c>
      <c r="E77" s="32" t="n">
        <v>0.628</v>
      </c>
      <c r="F77" s="32" t="n">
        <v>0.627</v>
      </c>
      <c r="G77" s="32" t="n">
        <v>0.626</v>
      </c>
    </row>
    <row r="78" customFormat="false" ht="13.5" hidden="false" customHeight="true" outlineLevel="0" collapsed="false">
      <c r="B78" s="4" t="s">
        <v>125</v>
      </c>
      <c r="C78" s="32" t="n">
        <v>0.634</v>
      </c>
      <c r="D78" s="32" t="n">
        <v>0.633</v>
      </c>
      <c r="E78" s="32" t="n">
        <v>0.633</v>
      </c>
      <c r="F78" s="32" t="n">
        <v>0.633</v>
      </c>
      <c r="G78" s="32" t="n">
        <v>0.633</v>
      </c>
    </row>
    <row r="79" customFormat="false" ht="13.5" hidden="false" customHeight="true" outlineLevel="0" collapsed="false">
      <c r="B79" s="4" t="s">
        <v>126</v>
      </c>
      <c r="C79" s="32" t="n">
        <v>0.638</v>
      </c>
      <c r="D79" s="32" t="n">
        <v>0.64</v>
      </c>
      <c r="E79" s="32" t="n">
        <v>0.64</v>
      </c>
      <c r="F79" s="32" t="n">
        <v>0.639</v>
      </c>
      <c r="G79" s="32" t="n">
        <v>0.639</v>
      </c>
    </row>
    <row r="80" customFormat="false" ht="13.5" hidden="false" customHeight="true" outlineLevel="0" collapsed="false">
      <c r="B80" s="4" t="s">
        <v>127</v>
      </c>
      <c r="C80" s="32" t="n">
        <v>0.643</v>
      </c>
      <c r="D80" s="32" t="n">
        <v>0.648</v>
      </c>
      <c r="E80" s="32" t="n">
        <v>0.648</v>
      </c>
      <c r="F80" s="32" t="n">
        <v>0.646</v>
      </c>
      <c r="G80" s="32" t="n">
        <v>0.646</v>
      </c>
    </row>
    <row r="81" customFormat="false" ht="13.8" hidden="false" customHeight="false" outlineLevel="0" collapsed="false"/>
    <row r="82" customFormat="false" ht="13.5" hidden="false" customHeight="true" outlineLevel="0" collapsed="false">
      <c r="B82" s="3" t="s">
        <v>95</v>
      </c>
    </row>
    <row r="83" customFormat="false" ht="13.5" hidden="false" customHeight="true" outlineLevel="0" collapsed="false">
      <c r="B83" s="4" t="s">
        <v>87</v>
      </c>
      <c r="C83" s="32" t="n">
        <v>0.339</v>
      </c>
      <c r="D83" s="32" t="n">
        <v>0.338</v>
      </c>
      <c r="E83" s="32" t="n">
        <v>0.3375</v>
      </c>
      <c r="F83" s="32" t="n">
        <v>0.3375</v>
      </c>
      <c r="G83" s="32" t="n">
        <v>0.338</v>
      </c>
    </row>
    <row r="84" customFormat="false" ht="13.5" hidden="false" customHeight="true" outlineLevel="0" collapsed="false">
      <c r="B84" s="4" t="s">
        <v>124</v>
      </c>
      <c r="C84" s="32" t="n">
        <v>0.338</v>
      </c>
      <c r="D84" s="32" t="n">
        <v>0.336</v>
      </c>
      <c r="E84" s="32" t="n">
        <v>0.335</v>
      </c>
      <c r="F84" s="32" t="n">
        <v>0.334</v>
      </c>
      <c r="G84" s="32" t="n">
        <v>0.334</v>
      </c>
    </row>
    <row r="85" customFormat="false" ht="13.5" hidden="false" customHeight="true" outlineLevel="0" collapsed="false">
      <c r="B85" s="4" t="s">
        <v>125</v>
      </c>
      <c r="C85" s="32" t="n">
        <v>0.3377</v>
      </c>
      <c r="D85" s="32" t="n">
        <v>0.3375</v>
      </c>
      <c r="E85" s="32" t="n">
        <v>0.337</v>
      </c>
      <c r="F85" s="32" t="n">
        <v>0.3365</v>
      </c>
      <c r="G85" s="32" t="n">
        <v>0.3365</v>
      </c>
    </row>
    <row r="86" customFormat="false" ht="13.5" hidden="false" customHeight="true" outlineLevel="0" collapsed="false">
      <c r="B86" s="4" t="s">
        <v>126</v>
      </c>
      <c r="C86" s="32" t="n">
        <v>0.34</v>
      </c>
      <c r="D86" s="32" t="n">
        <v>0.341</v>
      </c>
      <c r="E86" s="32" t="n">
        <v>0.341</v>
      </c>
      <c r="F86" s="32" t="n">
        <v>0.341</v>
      </c>
      <c r="G86" s="32" t="n">
        <v>0.341</v>
      </c>
    </row>
    <row r="87" customFormat="false" ht="13.5" hidden="false" customHeight="true" outlineLevel="0" collapsed="false">
      <c r="B87" s="4" t="s">
        <v>127</v>
      </c>
      <c r="C87" s="32" t="n">
        <v>0.342</v>
      </c>
      <c r="D87" s="32" t="n">
        <v>0.344</v>
      </c>
      <c r="E87" s="32" t="n">
        <v>0.344</v>
      </c>
      <c r="F87" s="32" t="n">
        <v>0.344</v>
      </c>
      <c r="G87" s="32" t="n">
        <v>0.344</v>
      </c>
    </row>
  </sheetData>
  <dataValidations count="1">
    <dataValidation allowBlank="false" errorStyle="stop" operator="between" showDropDown="false" showErrorMessage="false" showInputMessage="false" sqref="C27" type="list">
      <formula1>"Base,Upside,Management,Downside 1,Downside 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6600"/>
    <pageSetUpPr fitToPage="false"/>
  </sheetPr>
  <dimension ref="B1:H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2.7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8" min="3" style="0" width="16"/>
  </cols>
  <sheetData>
    <row r="1" customFormat="false" ht="13.8" hidden="false" customHeight="false" outlineLevel="0" collapsed="false"/>
    <row r="2" customFormat="false" ht="18" hidden="false" customHeight="true" outlineLevel="0" collapsed="false">
      <c r="B2" s="17" t="s">
        <v>128</v>
      </c>
    </row>
    <row r="3" customFormat="false" ht="13.8" hidden="false" customHeight="false" outlineLevel="0" collapsed="false"/>
    <row r="4" customFormat="false" ht="13.5" hidden="false" customHeight="true" outlineLevel="0" collapsed="false">
      <c r="B4" s="10" t="s">
        <v>129</v>
      </c>
      <c r="C4" s="33" t="s">
        <v>130</v>
      </c>
      <c r="D4" s="33" t="s">
        <v>89</v>
      </c>
      <c r="E4" s="33" t="s">
        <v>90</v>
      </c>
      <c r="F4" s="33" t="s">
        <v>91</v>
      </c>
      <c r="G4" s="33" t="s">
        <v>92</v>
      </c>
      <c r="H4" s="33" t="s">
        <v>93</v>
      </c>
    </row>
    <row r="5" customFormat="false" ht="13.5" hidden="false" customHeight="true" outlineLevel="0" collapsed="false">
      <c r="B5" s="34" t="s">
        <v>131</v>
      </c>
      <c r="C5" s="35" t="n">
        <f aca="false">C12/C9*365</f>
        <v>64.2982757806517</v>
      </c>
      <c r="D5" s="35" t="n">
        <f aca="false">CHOOSE('DCF Model'!$D$27,D25,D26,D27,D28,D29)</f>
        <v>64</v>
      </c>
      <c r="E5" s="35" t="n">
        <f aca="false">CHOOSE('DCF Model'!$D$27,E25,E26,E27,E28,E29)</f>
        <v>64</v>
      </c>
      <c r="F5" s="35" t="n">
        <f aca="false">CHOOSE('DCF Model'!$D$27,F25,F26,F27,F28,F29)</f>
        <v>64</v>
      </c>
      <c r="G5" s="35" t="n">
        <f aca="false">CHOOSE('DCF Model'!$D$27,G25,G26,G27,G28,G29)</f>
        <v>64</v>
      </c>
      <c r="H5" s="35" t="n">
        <f aca="false">CHOOSE('DCF Model'!$D$27,H25,H26,H27,H28,H29)</f>
        <v>64</v>
      </c>
    </row>
    <row r="6" customFormat="false" ht="13.5" hidden="false" customHeight="true" outlineLevel="0" collapsed="false">
      <c r="B6" s="34" t="s">
        <v>132</v>
      </c>
      <c r="C6" s="35" t="n">
        <f aca="false">C13/C10*365</f>
        <v>44.4934273000041</v>
      </c>
      <c r="D6" s="35" t="n">
        <f aca="false">CHOOSE('DCF Model'!$D$27,D32,D33,D34,D35,D36)</f>
        <v>44</v>
      </c>
      <c r="E6" s="35" t="n">
        <f aca="false">CHOOSE('DCF Model'!$D$27,E32,E33,E34,E35,E36)</f>
        <v>44</v>
      </c>
      <c r="F6" s="35" t="n">
        <f aca="false">CHOOSE('DCF Model'!$D$27,F32,F33,F34,F35,F36)</f>
        <v>44</v>
      </c>
      <c r="G6" s="35" t="n">
        <f aca="false">CHOOSE('DCF Model'!$D$27,G32,G33,G34,G35,G36)</f>
        <v>44</v>
      </c>
      <c r="H6" s="35" t="n">
        <f aca="false">CHOOSE('DCF Model'!$D$27,H32,H33,H34,H35,H36)</f>
        <v>44</v>
      </c>
    </row>
    <row r="7" customFormat="false" ht="13.5" hidden="false" customHeight="true" outlineLevel="0" collapsed="false">
      <c r="B7" s="34" t="s">
        <v>133</v>
      </c>
      <c r="C7" s="35" t="n">
        <f aca="false">C15/C10*365</f>
        <v>79.1666696056968</v>
      </c>
      <c r="D7" s="35" t="n">
        <f aca="false">CHOOSE('DCF Model'!$D$27,D39,D40,D41,D42,D43)</f>
        <v>79</v>
      </c>
      <c r="E7" s="35" t="n">
        <f aca="false">CHOOSE('DCF Model'!$D$27,E39,E40,E41,E42,E43)</f>
        <v>79</v>
      </c>
      <c r="F7" s="35" t="n">
        <f aca="false">CHOOSE('DCF Model'!$D$27,F39,F40,F41,F42,F43)</f>
        <v>79</v>
      </c>
      <c r="G7" s="35" t="n">
        <f aca="false">CHOOSE('DCF Model'!$D$27,G39,G40,G41,G42,G43)</f>
        <v>79</v>
      </c>
      <c r="H7" s="35" t="n">
        <f aca="false">CHOOSE('DCF Model'!$D$27,H39,H40,H41,H42,H43)</f>
        <v>79</v>
      </c>
    </row>
    <row r="8" customFormat="false" ht="13.5" hidden="false" customHeight="true" outlineLevel="0" collapsed="false">
      <c r="B8" s="10" t="s">
        <v>134</v>
      </c>
      <c r="C8" s="11"/>
      <c r="D8" s="11"/>
      <c r="E8" s="11"/>
      <c r="F8" s="11"/>
      <c r="G8" s="11"/>
      <c r="H8" s="11"/>
    </row>
    <row r="9" customFormat="false" ht="13.5" hidden="false" customHeight="true" outlineLevel="0" collapsed="false">
      <c r="B9" s="34" t="s">
        <v>37</v>
      </c>
      <c r="C9" s="36" t="n">
        <v>10715342</v>
      </c>
      <c r="D9" s="36" t="n">
        <f aca="false">'DCF Model'!C33</f>
        <v>11572569.36</v>
      </c>
      <c r="E9" s="36" t="n">
        <f aca="false">'DCF Model'!D33</f>
        <v>12035472.1344</v>
      </c>
      <c r="F9" s="36" t="n">
        <f aca="false">'DCF Model'!E33</f>
        <v>12396536.298432</v>
      </c>
      <c r="G9" s="36" t="n">
        <f aca="false">'DCF Model'!F33</f>
        <v>12706449.7058928</v>
      </c>
      <c r="H9" s="36" t="n">
        <f aca="false">'DCF Model'!G33</f>
        <v>12960578.7000107</v>
      </c>
    </row>
    <row r="10" customFormat="false" ht="13.5" hidden="false" customHeight="true" outlineLevel="0" collapsed="false">
      <c r="B10" s="34" t="s">
        <v>38</v>
      </c>
      <c r="C10" s="36" t="n">
        <v>6804966</v>
      </c>
      <c r="D10" s="36" t="n">
        <f aca="false">'DCF Model'!C34</f>
        <v>7337008.97424</v>
      </c>
      <c r="E10" s="36" t="n">
        <f aca="false">'DCF Model'!D34</f>
        <v>7618453.8610752</v>
      </c>
      <c r="F10" s="36" t="n">
        <f aca="false">'DCF Model'!E34</f>
        <v>7834610.94060903</v>
      </c>
      <c r="G10" s="36" t="n">
        <f aca="false">'DCF Model'!F34</f>
        <v>8017769.76441836</v>
      </c>
      <c r="H10" s="36" t="n">
        <f aca="false">'DCF Model'!G34</f>
        <v>8165164.58100672</v>
      </c>
    </row>
    <row r="11" customFormat="false" ht="13.5" hidden="false" customHeight="true" outlineLevel="0" collapsed="false">
      <c r="B11" s="10" t="s">
        <v>135</v>
      </c>
      <c r="C11" s="11"/>
      <c r="D11" s="11"/>
      <c r="E11" s="11"/>
      <c r="F11" s="11"/>
      <c r="G11" s="11"/>
      <c r="H11" s="11"/>
    </row>
    <row r="12" customFormat="false" ht="13.5" hidden="false" customHeight="true" outlineLevel="0" collapsed="false">
      <c r="B12" s="34" t="s">
        <v>136</v>
      </c>
      <c r="C12" s="36" t="n">
        <v>1887611</v>
      </c>
      <c r="D12" s="36" t="n">
        <f aca="false">D9*D5/365</f>
        <v>2029162.84668493</v>
      </c>
      <c r="E12" s="36" t="n">
        <f aca="false">E9*E5/365</f>
        <v>2110329.36055233</v>
      </c>
      <c r="F12" s="36" t="n">
        <f aca="false">F9*F5/365</f>
        <v>2173639.2413689</v>
      </c>
      <c r="G12" s="36" t="n">
        <f aca="false">G9*G5/365</f>
        <v>2227980.22240312</v>
      </c>
      <c r="H12" s="36" t="n">
        <f aca="false">H9*H5/365</f>
        <v>2272539.82685118</v>
      </c>
    </row>
    <row r="13" customFormat="false" ht="13.5" hidden="false" customHeight="true" outlineLevel="0" collapsed="false">
      <c r="B13" s="34" t="s">
        <v>137</v>
      </c>
      <c r="C13" s="36" t="n">
        <v>829524</v>
      </c>
      <c r="D13" s="36" t="n">
        <f aca="false">D10*D6/365</f>
        <v>884461.355798795</v>
      </c>
      <c r="E13" s="36" t="n">
        <f aca="false">E10*E6/365</f>
        <v>918388.958595367</v>
      </c>
      <c r="F13" s="36" t="n">
        <f aca="false">F10*F6/365</f>
        <v>944446.250374787</v>
      </c>
      <c r="G13" s="36" t="n">
        <f aca="false">G10*G6/365</f>
        <v>966525.670231254</v>
      </c>
      <c r="H13" s="36" t="n">
        <f aca="false">H10*H6/365</f>
        <v>984293.812504919</v>
      </c>
    </row>
    <row r="14" customFormat="false" ht="13.5" hidden="false" customHeight="true" outlineLevel="0" collapsed="false">
      <c r="B14" s="34" t="s">
        <v>138</v>
      </c>
      <c r="C14" s="36" t="n">
        <f aca="false">C12+C13</f>
        <v>2717135</v>
      </c>
      <c r="D14" s="36" t="n">
        <f aca="false">D12+D13</f>
        <v>2913624.20248373</v>
      </c>
      <c r="E14" s="36" t="n">
        <f aca="false">E12+E13</f>
        <v>3028718.3191477</v>
      </c>
      <c r="F14" s="36" t="n">
        <f aca="false">F12+F13</f>
        <v>3118085.49174369</v>
      </c>
      <c r="G14" s="36" t="n">
        <f aca="false">G12+G13</f>
        <v>3194505.89263438</v>
      </c>
      <c r="H14" s="36" t="n">
        <f aca="false">H12+H13</f>
        <v>3256833.6393561</v>
      </c>
    </row>
    <row r="15" customFormat="false" ht="13.5" hidden="false" customHeight="true" outlineLevel="0" collapsed="false">
      <c r="B15" s="34" t="s">
        <v>139</v>
      </c>
      <c r="C15" s="36" t="n">
        <v>1475963</v>
      </c>
      <c r="D15" s="36" t="n">
        <f aca="false">D10*D7/365</f>
        <v>1588010.16154784</v>
      </c>
      <c r="E15" s="36" t="n">
        <f aca="false">E10*E7/365</f>
        <v>1648925.63020532</v>
      </c>
      <c r="F15" s="36" t="n">
        <f aca="false">F10*F7/365</f>
        <v>1695710.31317291</v>
      </c>
      <c r="G15" s="36" t="n">
        <f aca="false">G10*G7/365</f>
        <v>1735352.90791521</v>
      </c>
      <c r="H15" s="36" t="n">
        <f aca="false">H10*H7/365</f>
        <v>1767254.79972474</v>
      </c>
    </row>
    <row r="16" customFormat="false" ht="13.5" hidden="false" customHeight="true" outlineLevel="0" collapsed="false">
      <c r="B16" s="34" t="s">
        <v>140</v>
      </c>
      <c r="C16" s="36" t="n">
        <f aca="false">C15</f>
        <v>1475963</v>
      </c>
      <c r="D16" s="36" t="n">
        <f aca="false">D15</f>
        <v>1588010.16154784</v>
      </c>
      <c r="E16" s="36" t="n">
        <f aca="false">E15</f>
        <v>1648925.63020532</v>
      </c>
      <c r="F16" s="36" t="n">
        <f aca="false">F15</f>
        <v>1695710.31317291</v>
      </c>
      <c r="G16" s="36" t="n">
        <f aca="false">G15</f>
        <v>1735352.90791521</v>
      </c>
      <c r="H16" s="36" t="n">
        <f aca="false">H15</f>
        <v>1767254.79972474</v>
      </c>
    </row>
    <row r="17" customFormat="false" ht="13.5" hidden="false" customHeight="true" outlineLevel="0" collapsed="false">
      <c r="B17" s="28" t="s">
        <v>141</v>
      </c>
      <c r="C17" s="29"/>
      <c r="D17" s="29"/>
      <c r="E17" s="29"/>
      <c r="F17" s="29"/>
      <c r="G17" s="29"/>
      <c r="H17" s="29"/>
    </row>
    <row r="18" customFormat="false" ht="13.5" hidden="false" customHeight="true" outlineLevel="0" collapsed="false">
      <c r="B18" s="34" t="s">
        <v>142</v>
      </c>
      <c r="C18" s="26" t="n">
        <f aca="false">C14-C16</f>
        <v>1241172</v>
      </c>
      <c r="D18" s="26" t="n">
        <f aca="false">D14-D16</f>
        <v>1325614.04093589</v>
      </c>
      <c r="E18" s="26" t="n">
        <f aca="false">E14-E16</f>
        <v>1379792.68894238</v>
      </c>
      <c r="F18" s="26" t="n">
        <f aca="false">F14-F16</f>
        <v>1422375.17857077</v>
      </c>
      <c r="G18" s="26" t="n">
        <f aca="false">G14-G16</f>
        <v>1459152.98471917</v>
      </c>
      <c r="H18" s="26" t="n">
        <f aca="false">H14-H16</f>
        <v>1489578.83963136</v>
      </c>
    </row>
    <row r="19" customFormat="false" ht="13.5" hidden="false" customHeight="true" outlineLevel="0" collapsed="false">
      <c r="B19" s="34" t="s">
        <v>103</v>
      </c>
      <c r="C19" s="37" t="s">
        <v>47</v>
      </c>
      <c r="D19" s="30" t="n">
        <f aca="false">D18-C18</f>
        <v>84442.0409358908</v>
      </c>
      <c r="E19" s="30" t="n">
        <f aca="false">E18-D18</f>
        <v>54178.6480064874</v>
      </c>
      <c r="F19" s="30" t="n">
        <f aca="false">F18-E18</f>
        <v>42582.4896283948</v>
      </c>
      <c r="G19" s="30" t="n">
        <f aca="false">G18-F18</f>
        <v>36777.8061483966</v>
      </c>
      <c r="H19" s="30" t="n">
        <f aca="false">H18-G18</f>
        <v>30425.8549121926</v>
      </c>
    </row>
    <row r="20" customFormat="false" ht="13.8" hidden="false" customHeight="false" outlineLevel="0" collapsed="false"/>
    <row r="21" customFormat="false" ht="13.8" hidden="false" customHeight="false" outlineLevel="0" collapsed="false"/>
    <row r="22" customFormat="false" ht="13.5" hidden="false" customHeight="true" outlineLevel="0" collapsed="false">
      <c r="B22" s="28" t="s">
        <v>143</v>
      </c>
      <c r="C22" s="29"/>
      <c r="D22" s="29"/>
      <c r="E22" s="29"/>
      <c r="F22" s="29"/>
      <c r="G22" s="29"/>
      <c r="H22" s="29"/>
    </row>
    <row r="23" customFormat="false" ht="13.5" hidden="false" customHeight="true" outlineLevel="0" collapsed="false">
      <c r="D23" s="31" t="s">
        <v>89</v>
      </c>
      <c r="E23" s="31" t="s">
        <v>90</v>
      </c>
      <c r="F23" s="31" t="s">
        <v>91</v>
      </c>
      <c r="G23" s="31" t="s">
        <v>92</v>
      </c>
      <c r="H23" s="31" t="s">
        <v>93</v>
      </c>
    </row>
    <row r="24" customFormat="false" ht="13.5" hidden="false" customHeight="true" outlineLevel="0" collapsed="false">
      <c r="B24" s="3" t="s">
        <v>144</v>
      </c>
    </row>
    <row r="25" customFormat="false" ht="13.5" hidden="false" customHeight="true" outlineLevel="0" collapsed="false">
      <c r="B25" s="4" t="s">
        <v>87</v>
      </c>
      <c r="D25" s="38" t="n">
        <v>64</v>
      </c>
      <c r="E25" s="38" t="n">
        <v>64</v>
      </c>
      <c r="F25" s="38" t="n">
        <v>64</v>
      </c>
      <c r="G25" s="38" t="n">
        <v>64</v>
      </c>
      <c r="H25" s="38" t="n">
        <v>64</v>
      </c>
    </row>
    <row r="26" customFormat="false" ht="13.5" hidden="false" customHeight="true" outlineLevel="0" collapsed="false">
      <c r="B26" s="4" t="s">
        <v>124</v>
      </c>
      <c r="D26" s="38" t="n">
        <v>63</v>
      </c>
      <c r="E26" s="38" t="n">
        <v>63</v>
      </c>
      <c r="F26" s="38" t="n">
        <v>62</v>
      </c>
      <c r="G26" s="38" t="n">
        <v>62</v>
      </c>
      <c r="H26" s="38" t="n">
        <v>62</v>
      </c>
    </row>
    <row r="27" customFormat="false" ht="13.5" hidden="false" customHeight="true" outlineLevel="0" collapsed="false">
      <c r="B27" s="4" t="s">
        <v>125</v>
      </c>
      <c r="D27" s="38" t="n">
        <v>64</v>
      </c>
      <c r="E27" s="38" t="n">
        <v>64</v>
      </c>
      <c r="F27" s="38" t="n">
        <v>64</v>
      </c>
      <c r="G27" s="38" t="n">
        <v>64</v>
      </c>
      <c r="H27" s="38" t="n">
        <v>64</v>
      </c>
    </row>
    <row r="28" customFormat="false" ht="13.5" hidden="false" customHeight="true" outlineLevel="0" collapsed="false">
      <c r="B28" s="4" t="s">
        <v>126</v>
      </c>
      <c r="D28" s="38" t="n">
        <v>65</v>
      </c>
      <c r="E28" s="38" t="n">
        <v>66</v>
      </c>
      <c r="F28" s="38" t="n">
        <v>66</v>
      </c>
      <c r="G28" s="38" t="n">
        <v>66</v>
      </c>
      <c r="H28" s="38" t="n">
        <v>66</v>
      </c>
    </row>
    <row r="29" customFormat="false" ht="13.5" hidden="false" customHeight="true" outlineLevel="0" collapsed="false">
      <c r="B29" s="4" t="s">
        <v>127</v>
      </c>
      <c r="D29" s="38" t="n">
        <v>67</v>
      </c>
      <c r="E29" s="38" t="n">
        <v>68</v>
      </c>
      <c r="F29" s="38" t="n">
        <v>68</v>
      </c>
      <c r="G29" s="38" t="n">
        <v>68</v>
      </c>
      <c r="H29" s="38" t="n">
        <v>68</v>
      </c>
    </row>
    <row r="30" customFormat="false" ht="13.8" hidden="false" customHeight="false" outlineLevel="0" collapsed="false"/>
    <row r="31" customFormat="false" ht="13.5" hidden="false" customHeight="true" outlineLevel="0" collapsed="false">
      <c r="B31" s="3" t="s">
        <v>145</v>
      </c>
    </row>
    <row r="32" customFormat="false" ht="13.5" hidden="false" customHeight="true" outlineLevel="0" collapsed="false">
      <c r="B32" s="4" t="s">
        <v>87</v>
      </c>
      <c r="D32" s="38" t="n">
        <v>44</v>
      </c>
      <c r="E32" s="38" t="n">
        <v>44</v>
      </c>
      <c r="F32" s="38" t="n">
        <v>44</v>
      </c>
      <c r="G32" s="38" t="n">
        <v>44</v>
      </c>
      <c r="H32" s="38" t="n">
        <v>44</v>
      </c>
    </row>
    <row r="33" customFormat="false" ht="13.5" hidden="false" customHeight="true" outlineLevel="0" collapsed="false">
      <c r="B33" s="4" t="s">
        <v>124</v>
      </c>
      <c r="D33" s="38" t="n">
        <v>43</v>
      </c>
      <c r="E33" s="38" t="n">
        <v>43</v>
      </c>
      <c r="F33" s="38" t="n">
        <v>42</v>
      </c>
      <c r="G33" s="38" t="n">
        <v>42</v>
      </c>
      <c r="H33" s="38" t="n">
        <v>42</v>
      </c>
    </row>
    <row r="34" customFormat="false" ht="13.5" hidden="false" customHeight="true" outlineLevel="0" collapsed="false">
      <c r="B34" s="4" t="s">
        <v>125</v>
      </c>
      <c r="D34" s="38" t="n">
        <v>44</v>
      </c>
      <c r="E34" s="38" t="n">
        <v>44</v>
      </c>
      <c r="F34" s="38" t="n">
        <v>44</v>
      </c>
      <c r="G34" s="38" t="n">
        <v>44</v>
      </c>
      <c r="H34" s="38" t="n">
        <v>44</v>
      </c>
    </row>
    <row r="35" customFormat="false" ht="13.5" hidden="false" customHeight="true" outlineLevel="0" collapsed="false">
      <c r="B35" s="4" t="s">
        <v>126</v>
      </c>
      <c r="D35" s="38" t="n">
        <v>46</v>
      </c>
      <c r="E35" s="38" t="n">
        <v>47</v>
      </c>
      <c r="F35" s="38" t="n">
        <v>47</v>
      </c>
      <c r="G35" s="38" t="n">
        <v>46</v>
      </c>
      <c r="H35" s="38" t="n">
        <v>46</v>
      </c>
    </row>
    <row r="36" customFormat="false" ht="13.5" hidden="false" customHeight="true" outlineLevel="0" collapsed="false">
      <c r="B36" s="4" t="s">
        <v>127</v>
      </c>
      <c r="D36" s="38" t="n">
        <v>48</v>
      </c>
      <c r="E36" s="38" t="n">
        <v>50</v>
      </c>
      <c r="F36" s="38" t="n">
        <v>50</v>
      </c>
      <c r="G36" s="38" t="n">
        <v>49</v>
      </c>
      <c r="H36" s="38" t="n">
        <v>49</v>
      </c>
    </row>
    <row r="37" customFormat="false" ht="13.8" hidden="false" customHeight="false" outlineLevel="0" collapsed="false"/>
    <row r="38" customFormat="false" ht="13.5" hidden="false" customHeight="true" outlineLevel="0" collapsed="false">
      <c r="B38" s="3" t="s">
        <v>146</v>
      </c>
    </row>
    <row r="39" customFormat="false" ht="13.5" hidden="false" customHeight="true" outlineLevel="0" collapsed="false">
      <c r="B39" s="4" t="s">
        <v>87</v>
      </c>
      <c r="D39" s="38" t="n">
        <v>79</v>
      </c>
      <c r="E39" s="38" t="n">
        <v>79</v>
      </c>
      <c r="F39" s="38" t="n">
        <v>79</v>
      </c>
      <c r="G39" s="38" t="n">
        <v>79</v>
      </c>
      <c r="H39" s="38" t="n">
        <v>79</v>
      </c>
    </row>
    <row r="40" customFormat="false" ht="13.5" hidden="false" customHeight="true" outlineLevel="0" collapsed="false">
      <c r="B40" s="4" t="s">
        <v>124</v>
      </c>
      <c r="D40" s="38" t="n">
        <v>80</v>
      </c>
      <c r="E40" s="38" t="n">
        <v>80</v>
      </c>
      <c r="F40" s="38" t="n">
        <v>80</v>
      </c>
      <c r="G40" s="38" t="n">
        <v>80</v>
      </c>
      <c r="H40" s="38" t="n">
        <v>80</v>
      </c>
    </row>
    <row r="41" customFormat="false" ht="13.5" hidden="false" customHeight="true" outlineLevel="0" collapsed="false">
      <c r="B41" s="4" t="s">
        <v>125</v>
      </c>
      <c r="D41" s="38" t="n">
        <v>79</v>
      </c>
      <c r="E41" s="38" t="n">
        <v>79</v>
      </c>
      <c r="F41" s="38" t="n">
        <v>79</v>
      </c>
      <c r="G41" s="38" t="n">
        <v>79</v>
      </c>
      <c r="H41" s="38" t="n">
        <v>79</v>
      </c>
    </row>
    <row r="42" customFormat="false" ht="13.5" hidden="false" customHeight="true" outlineLevel="0" collapsed="false">
      <c r="B42" s="4" t="s">
        <v>126</v>
      </c>
      <c r="D42" s="38" t="n">
        <v>78</v>
      </c>
      <c r="E42" s="38" t="n">
        <v>78</v>
      </c>
      <c r="F42" s="38" t="n">
        <v>78</v>
      </c>
      <c r="G42" s="38" t="n">
        <v>78</v>
      </c>
      <c r="H42" s="38" t="n">
        <v>78</v>
      </c>
    </row>
    <row r="43" customFormat="false" ht="13.5" hidden="false" customHeight="true" outlineLevel="0" collapsed="false">
      <c r="B43" s="4" t="s">
        <v>127</v>
      </c>
      <c r="D43" s="38" t="n">
        <v>76</v>
      </c>
      <c r="E43" s="38" t="n">
        <v>75</v>
      </c>
      <c r="F43" s="38" t="n">
        <v>75</v>
      </c>
      <c r="G43" s="38" t="n">
        <v>76</v>
      </c>
      <c r="H43" s="38" t="n">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600"/>
    <pageSetUpPr fitToPage="false"/>
  </sheetPr>
  <dimension ref="B1:O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2.7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3" min="3" style="0" width="10"/>
    <col collapsed="false" customWidth="true" hidden="false" outlineLevel="0" max="15" min="4" style="0" width="12"/>
  </cols>
  <sheetData>
    <row r="1" customFormat="false" ht="13.8" hidden="false" customHeight="false" outlineLevel="0" collapsed="false"/>
    <row r="2" customFormat="false" ht="18" hidden="false" customHeight="true" outlineLevel="0" collapsed="false">
      <c r="B2" s="17" t="s">
        <v>147</v>
      </c>
    </row>
    <row r="3" customFormat="false" ht="13.8" hidden="false" customHeight="false" outlineLevel="0" collapsed="false"/>
    <row r="4" customFormat="false" ht="27.75" hidden="false" customHeight="true" outlineLevel="0" collapsed="false">
      <c r="B4" s="12" t="s">
        <v>3</v>
      </c>
      <c r="C4" s="12" t="s">
        <v>5</v>
      </c>
      <c r="D4" s="12" t="s">
        <v>148</v>
      </c>
      <c r="E4" s="12" t="s">
        <v>149</v>
      </c>
      <c r="F4" s="12" t="s">
        <v>150</v>
      </c>
      <c r="G4" s="12" t="s">
        <v>151</v>
      </c>
      <c r="H4" s="12" t="s">
        <v>152</v>
      </c>
      <c r="I4" s="12" t="s">
        <v>153</v>
      </c>
      <c r="J4" s="12" t="s">
        <v>154</v>
      </c>
      <c r="K4" s="12" t="s">
        <v>155</v>
      </c>
      <c r="L4" s="12" t="s">
        <v>156</v>
      </c>
      <c r="M4" s="12" t="s">
        <v>157</v>
      </c>
      <c r="N4" s="12" t="s">
        <v>158</v>
      </c>
      <c r="O4" s="12" t="s">
        <v>159</v>
      </c>
    </row>
    <row r="5" customFormat="false" ht="13.5" hidden="false" customHeight="true" outlineLevel="0" collapsed="false">
      <c r="B5" s="4" t="s">
        <v>160</v>
      </c>
      <c r="C5" s="0" t="s">
        <v>161</v>
      </c>
      <c r="D5" s="39" t="n">
        <v>3938454</v>
      </c>
      <c r="E5" s="39" t="n">
        <v>8021717</v>
      </c>
      <c r="F5" s="39" t="n">
        <v>10715342</v>
      </c>
      <c r="G5" s="39" t="n">
        <v>652959</v>
      </c>
      <c r="H5" s="39" t="n">
        <v>270459</v>
      </c>
      <c r="I5" s="39" t="n">
        <v>72677</v>
      </c>
      <c r="J5" s="40" t="n">
        <f aca="false">E5/G5</f>
        <v>12.285177170389</v>
      </c>
      <c r="K5" s="40" t="n">
        <f aca="false">E5/F5</f>
        <v>0.748619782737686</v>
      </c>
      <c r="L5" s="40" t="n">
        <f aca="false">D5/I5</f>
        <v>54.191202168499</v>
      </c>
      <c r="M5" s="40" t="n">
        <v>3.23242458887363</v>
      </c>
      <c r="N5" s="41" t="n">
        <f aca="false">H5/F5</f>
        <v>0.0252403516378665</v>
      </c>
      <c r="O5" s="41" t="n">
        <v>0.0596485122958321</v>
      </c>
    </row>
    <row r="6" customFormat="false" ht="13.5" hidden="false" customHeight="true" outlineLevel="0" collapsed="false">
      <c r="B6" s="4" t="s">
        <v>162</v>
      </c>
      <c r="C6" s="0" t="s">
        <v>163</v>
      </c>
      <c r="D6" s="39" t="n">
        <v>5875800</v>
      </c>
      <c r="E6" s="39" t="n">
        <v>7667166</v>
      </c>
      <c r="F6" s="39" t="n">
        <v>10430200</v>
      </c>
      <c r="G6" s="39" t="n">
        <v>805002</v>
      </c>
      <c r="H6" s="39" t="n">
        <v>422993</v>
      </c>
      <c r="I6" s="39" t="n">
        <v>292760</v>
      </c>
      <c r="J6" s="40" t="n">
        <f aca="false">E6/G6</f>
        <v>9.52440615054373</v>
      </c>
      <c r="K6" s="40" t="n">
        <f aca="false">E6/F6</f>
        <v>0.735092903300033</v>
      </c>
      <c r="L6" s="40" t="n">
        <f aca="false">D6/I6</f>
        <v>20.070364803935</v>
      </c>
      <c r="M6" s="40" t="n">
        <v>2.23058233998937</v>
      </c>
      <c r="N6" s="41" t="n">
        <f aca="false">H6/F6</f>
        <v>0.0405546394124753</v>
      </c>
      <c r="O6" s="41" t="n">
        <v>0.11113810644598</v>
      </c>
    </row>
    <row r="7" customFormat="false" ht="13.5" hidden="false" customHeight="true" outlineLevel="0" collapsed="false">
      <c r="B7" s="4" t="s">
        <v>164</v>
      </c>
      <c r="C7" s="0" t="s">
        <v>165</v>
      </c>
      <c r="D7" s="39" t="n">
        <v>3060000</v>
      </c>
      <c r="E7" s="39" t="n">
        <v>3288542</v>
      </c>
      <c r="F7" s="39" t="n">
        <v>2246758</v>
      </c>
      <c r="G7" s="39" t="n">
        <v>210185</v>
      </c>
      <c r="H7" s="39" t="n">
        <v>162296</v>
      </c>
      <c r="I7" s="39" t="n">
        <v>90512</v>
      </c>
      <c r="J7" s="40" t="n">
        <f aca="false">E7/G7</f>
        <v>15.6459404810048</v>
      </c>
      <c r="K7" s="40" t="n">
        <f aca="false">E7/F7</f>
        <v>1.46368322712103</v>
      </c>
      <c r="L7" s="40" t="n">
        <f aca="false">D7/I7</f>
        <v>33.8076719109068</v>
      </c>
      <c r="M7" s="40" t="n">
        <v>5.05155558196892</v>
      </c>
      <c r="N7" s="41" t="n">
        <f aca="false">H7/F7</f>
        <v>0.0722356390852953</v>
      </c>
      <c r="O7" s="41" t="n">
        <v>0.1494203917762</v>
      </c>
    </row>
    <row r="8" customFormat="false" ht="13.5" hidden="false" customHeight="true" outlineLevel="0" collapsed="false">
      <c r="B8" s="4" t="s">
        <v>166</v>
      </c>
      <c r="C8" s="0" t="s">
        <v>167</v>
      </c>
      <c r="D8" s="39" t="n">
        <v>1562700</v>
      </c>
      <c r="E8" s="39" t="n">
        <v>1577690</v>
      </c>
      <c r="F8" s="39" t="n">
        <v>912248</v>
      </c>
      <c r="G8" s="39" t="n">
        <v>195035</v>
      </c>
      <c r="H8" s="39" t="n">
        <v>125526</v>
      </c>
      <c r="I8" s="39" t="n">
        <v>89270</v>
      </c>
      <c r="J8" s="40" t="n">
        <f aca="false">E8/G8</f>
        <v>8.08926602917425</v>
      </c>
      <c r="K8" s="40" t="n">
        <f aca="false">E8/F8</f>
        <v>1.72945295577518</v>
      </c>
      <c r="L8" s="40" t="n">
        <f aca="false">D8/I8</f>
        <v>17.5053209364848</v>
      </c>
      <c r="M8" s="40" t="n">
        <v>1.58078576999451</v>
      </c>
      <c r="N8" s="41" t="n">
        <f aca="false">H8/F8</f>
        <v>0.137600740149608</v>
      </c>
      <c r="O8" s="41" t="n">
        <v>0.0903031584356624</v>
      </c>
    </row>
    <row r="9" customFormat="false" ht="13.8" hidden="false" customHeight="false" outlineLevel="0" collapsed="false"/>
    <row r="10" customFormat="false" ht="13.8" hidden="false" customHeight="false" outlineLevel="0" collapsed="false"/>
    <row r="11" customFormat="false" ht="13.8" hidden="false" customHeight="false" outlineLevel="0" collapsed="false"/>
    <row r="12" customFormat="false" ht="13.8" hidden="false" customHeight="false" outlineLevel="0" collapsed="false"/>
    <row r="13" customFormat="false" ht="13.8" hidden="false" customHeight="false" outlineLevel="0" collapsed="false"/>
    <row r="14" customFormat="false" ht="13.5" hidden="false" customHeight="true" outlineLevel="0" collapsed="false">
      <c r="B14" s="3" t="s">
        <v>168</v>
      </c>
    </row>
    <row r="15" customFormat="false" ht="13.5" hidden="false" customHeight="true" outlineLevel="0" collapsed="false">
      <c r="B15" s="4" t="s">
        <v>169</v>
      </c>
      <c r="D15" s="40" t="n">
        <f aca="false">PERCENTILE(J6:J8,0.25)</f>
        <v>8.80683608985899</v>
      </c>
      <c r="E15" s="40" t="n">
        <f aca="false">PERCENTILE(K6:K8,0.25)</f>
        <v>1.09938806521053</v>
      </c>
      <c r="F15" s="40" t="n">
        <f aca="false">PERCENTILE(L6:L8,0.25)</f>
        <v>18.7878428702099</v>
      </c>
      <c r="G15" s="40" t="n">
        <f aca="false">PERCENTILE(M6:M8,0.25)</f>
        <v>1.90568405499194</v>
      </c>
      <c r="H15" s="41" t="n">
        <f aca="false">PERCENTILE(N6:N8,0.25)</f>
        <v>0.0563951392488853</v>
      </c>
      <c r="I15" s="41" t="n">
        <f aca="false">PERCENTILE(O6:O8,0.25)</f>
        <v>0.100720632440821</v>
      </c>
    </row>
    <row r="16" customFormat="false" ht="13.5" hidden="false" customHeight="true" outlineLevel="0" collapsed="false">
      <c r="B16" s="4" t="s">
        <v>170</v>
      </c>
      <c r="D16" s="40" t="n">
        <f aca="false">MEDIAN(J6:J8)</f>
        <v>9.52440615054373</v>
      </c>
      <c r="E16" s="40" t="n">
        <f aca="false">MEDIAN(K6:K8)</f>
        <v>1.46368322712103</v>
      </c>
      <c r="F16" s="40" t="n">
        <f aca="false">MEDIAN(L6:L8)</f>
        <v>20.070364803935</v>
      </c>
      <c r="G16" s="40" t="n">
        <f aca="false">MEDIAN(M6:M8)</f>
        <v>2.23058233998937</v>
      </c>
      <c r="H16" s="41" t="n">
        <f aca="false">MEDIAN(N6:N8)</f>
        <v>0.0722356390852953</v>
      </c>
      <c r="I16" s="41" t="n">
        <f aca="false">MEDIAN(O6:O8)</f>
        <v>0.11113810644598</v>
      </c>
    </row>
    <row r="17" customFormat="false" ht="13.5" hidden="false" customHeight="true" outlineLevel="0" collapsed="false">
      <c r="B17" s="4" t="s">
        <v>171</v>
      </c>
      <c r="D17" s="40" t="n">
        <f aca="false">PERCENTILE(J6:J8,0.75)</f>
        <v>12.5851733157743</v>
      </c>
      <c r="E17" s="40" t="n">
        <f aca="false">PERCENTILE(K6:K8,0.75)</f>
        <v>1.59656809144811</v>
      </c>
      <c r="F17" s="40" t="n">
        <f aca="false">PERCENTILE(L6:L8,0.75)</f>
        <v>26.9390183574209</v>
      </c>
      <c r="G17" s="40" t="n">
        <f aca="false">PERCENTILE(M6:M8,0.75)</f>
        <v>3.64106896097914</v>
      </c>
      <c r="H17" s="41" t="n">
        <f aca="false">PERCENTILE(N6:N8,0.75)</f>
        <v>0.104918189617452</v>
      </c>
      <c r="I17" s="41" t="n">
        <f aca="false">PERCENTILE(O6:O8,0.75)</f>
        <v>0.13027924911109</v>
      </c>
    </row>
    <row r="18" customFormat="false" ht="13.8" hidden="false" customHeight="false" outlineLevel="0" collapsed="false"/>
    <row r="19" customFormat="false" ht="13.5" hidden="false" customHeight="true" outlineLevel="0" collapsed="false">
      <c r="B19" s="28" t="s">
        <v>172</v>
      </c>
      <c r="C19" s="29"/>
      <c r="D19" s="29"/>
      <c r="E19" s="29"/>
      <c r="F19" s="29"/>
      <c r="G19" s="29"/>
      <c r="H19" s="29"/>
      <c r="I19" s="29"/>
    </row>
    <row r="20" customFormat="false" ht="13.5" hidden="false" customHeight="true" outlineLevel="0" collapsed="false">
      <c r="B20" s="42" t="s">
        <v>173</v>
      </c>
    </row>
    <row r="21" customFormat="false" ht="13.5" hidden="false" customHeight="true" outlineLevel="0" collapsed="false">
      <c r="B21" s="4" t="s">
        <v>174</v>
      </c>
      <c r="C21" s="6" t="n">
        <v>652959</v>
      </c>
    </row>
    <row r="22" customFormat="false" ht="13.5" hidden="false" customHeight="true" outlineLevel="0" collapsed="false">
      <c r="B22" s="4" t="s">
        <v>175</v>
      </c>
      <c r="C22" s="6" t="n">
        <v>72677</v>
      </c>
    </row>
    <row r="23" customFormat="false" ht="13.5" hidden="false" customHeight="true" outlineLevel="0" collapsed="false">
      <c r="B23" s="4" t="s">
        <v>176</v>
      </c>
      <c r="C23" s="21" t="n">
        <v>2765768421</v>
      </c>
    </row>
    <row r="24" customFormat="false" ht="13.5" hidden="false" customHeight="true" outlineLevel="0" collapsed="false">
      <c r="B24" s="4" t="s">
        <v>76</v>
      </c>
      <c r="C24" s="6" t="n">
        <v>4083263</v>
      </c>
    </row>
    <row r="25" customFormat="false" ht="13.8" hidden="false" customHeight="false" outlineLevel="0" collapsed="false"/>
    <row r="26" customFormat="false" ht="13.5" hidden="false" customHeight="true" outlineLevel="0" collapsed="false">
      <c r="B26" s="3" t="s">
        <v>177</v>
      </c>
    </row>
    <row r="27" customFormat="false" ht="13.5" hidden="false" customHeight="true" outlineLevel="0" collapsed="false">
      <c r="B27" s="4" t="s">
        <v>178</v>
      </c>
      <c r="C27" s="30" t="n">
        <f aca="false">ROUND((C21*D16-C24)*1000000/C23,0)</f>
        <v>772</v>
      </c>
    </row>
    <row r="28" customFormat="false" ht="13.5" hidden="false" customHeight="true" outlineLevel="0" collapsed="false">
      <c r="B28" s="4" t="s">
        <v>179</v>
      </c>
      <c r="C28" s="30" t="n">
        <f aca="false">ROUND(C22*F16*1000000/C23,0)</f>
        <v>527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6600"/>
    <pageSetUpPr fitToPage="false"/>
  </sheetPr>
  <dimension ref="B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2.7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9" min="3" style="0" width="14"/>
  </cols>
  <sheetData>
    <row r="1" customFormat="false" ht="13.8" hidden="false" customHeight="false" outlineLevel="0" collapsed="false"/>
    <row r="2" customFormat="false" ht="18" hidden="false" customHeight="true" outlineLevel="0" collapsed="false">
      <c r="B2" s="17" t="s">
        <v>180</v>
      </c>
    </row>
    <row r="3" customFormat="false" ht="13.5" hidden="false" customHeight="true" outlineLevel="0" collapsed="false">
      <c r="B3" s="4" t="s">
        <v>181</v>
      </c>
      <c r="C3" s="22" t="n">
        <f aca="false">'DCF Model'!C26</f>
        <v>0.044059990218986</v>
      </c>
      <c r="E3" s="4" t="s">
        <v>182</v>
      </c>
      <c r="F3" s="22" t="n">
        <f aca="false">'DCF Model'!C13</f>
        <v>0.005</v>
      </c>
      <c r="H3" s="4" t="s">
        <v>183</v>
      </c>
      <c r="I3" s="20" t="n">
        <f aca="false">'DCF Model'!C14</f>
        <v>8</v>
      </c>
    </row>
    <row r="4" customFormat="false" ht="13.8" hidden="false" customHeight="false" outlineLevel="0" collapsed="false"/>
    <row r="5" customFormat="false" ht="13.5" hidden="false" customHeight="true" outlineLevel="0" collapsed="false">
      <c r="B5" s="3" t="s">
        <v>184</v>
      </c>
    </row>
    <row r="6" customFormat="false" ht="13.5" hidden="false" customHeight="true" outlineLevel="0" collapsed="false">
      <c r="B6" s="43" t="s">
        <v>185</v>
      </c>
      <c r="C6" s="44" t="n">
        <f aca="false">$F$3-0.0075</f>
        <v>-0.0025</v>
      </c>
      <c r="D6" s="44" t="n">
        <f aca="false">$F$3-0.005</f>
        <v>0</v>
      </c>
      <c r="E6" s="44" t="n">
        <f aca="false">$F$3-0.0025</f>
        <v>0.0025</v>
      </c>
      <c r="F6" s="44" t="n">
        <f aca="false">$F$3</f>
        <v>0.005</v>
      </c>
      <c r="G6" s="44" t="n">
        <f aca="false">$F$3+0.0025</f>
        <v>0.0075</v>
      </c>
      <c r="H6" s="44" t="n">
        <f aca="false">$F$3+0.005</f>
        <v>0.01</v>
      </c>
      <c r="I6" s="44" t="n">
        <f aca="false">$F$3+0.0075</f>
        <v>0.0125</v>
      </c>
    </row>
    <row r="7" customFormat="false" ht="13.5" hidden="false" customHeight="true" outlineLevel="0" collapsed="false">
      <c r="B7" s="41" t="n">
        <f aca="false">$C$3-0.015</f>
        <v>0.029059990218986</v>
      </c>
      <c r="C7" s="39" t="n">
        <f aca="false">IFERROR(ROUND(('DCF Model'!C45/(1+$B7)^('DCF Model'!C19+0)+'DCF Model'!D45/(1+$B7)^('DCF Model'!C19+1)+'DCF Model'!E45/(1+$B7)^('DCF Model'!C19+2)+'DCF Model'!F45/(1+$B7)^('DCF Model'!C19+3)+'DCF Model'!G45/(1+$B7)^('DCF Model'!C19+4)+'DCF Model'!G45*(1+C$6)/($B7-C$6)/(1+$B7)^('DCF Model'!C19+4)-'DCF Model'!C16)*1000000/'DCF Model'!C15,0),"")</f>
        <v>218</v>
      </c>
      <c r="D7" s="39" t="n">
        <f aca="false">IFERROR(ROUND(('DCF Model'!C45/(1+$B7)^('DCF Model'!C19+0)+'DCF Model'!D45/(1+$B7)^('DCF Model'!C19+1)+'DCF Model'!E45/(1+$B7)^('DCF Model'!C19+2)+'DCF Model'!F45/(1+$B7)^('DCF Model'!C19+3)+'DCF Model'!G45/(1+$B7)^('DCF Model'!C19+4)+'DCF Model'!G45*(1+D$6)/($B7-D$6)/(1+$B7)^('DCF Model'!C19+4)-'DCF Model'!C16)*1000000/'DCF Model'!C15,0),"")</f>
        <v>356</v>
      </c>
      <c r="E7" s="39" t="n">
        <f aca="false">IFERROR(ROUND(('DCF Model'!C45/(1+$B7)^('DCF Model'!C19+0)+'DCF Model'!D45/(1+$B7)^('DCF Model'!C19+1)+'DCF Model'!E45/(1+$B7)^('DCF Model'!C19+2)+'DCF Model'!F45/(1+$B7)^('DCF Model'!C19+3)+'DCF Model'!G45/(1+$B7)^('DCF Model'!C19+4)+'DCF Model'!G45*(1+E$6)/($B7-E$6)/(1+$B7)^('DCF Model'!C19+4)-'DCF Model'!C16)*1000000/'DCF Model'!C15,0),"")</f>
        <v>520</v>
      </c>
      <c r="F7" s="39" t="n">
        <f aca="false">IFERROR(ROUND(('DCF Model'!C45/(1+$B7)^('DCF Model'!C19+0)+'DCF Model'!D45/(1+$B7)^('DCF Model'!C19+1)+'DCF Model'!E45/(1+$B7)^('DCF Model'!C19+2)+'DCF Model'!F45/(1+$B7)^('DCF Model'!C19+3)+'DCF Model'!G45/(1+$B7)^('DCF Model'!C19+4)+'DCF Model'!G45*(1+F$6)/($B7-F$6)/(1+$B7)^('DCF Model'!C19+4)-'DCF Model'!C16)*1000000/'DCF Model'!C15,0),"")</f>
        <v>719</v>
      </c>
      <c r="G7" s="39" t="n">
        <f aca="false">IFERROR(ROUND(('DCF Model'!C45/(1+$B7)^('DCF Model'!C19+0)+'DCF Model'!D45/(1+$B7)^('DCF Model'!C19+1)+'DCF Model'!E45/(1+$B7)^('DCF Model'!C19+2)+'DCF Model'!F45/(1+$B7)^('DCF Model'!C19+3)+'DCF Model'!G45/(1+$B7)^('DCF Model'!C19+4)+'DCF Model'!G45*(1+G$6)/($B7-G$6)/(1+$B7)^('DCF Model'!C19+4)-'DCF Model'!C16)*1000000/'DCF Model'!C15,0),"")</f>
        <v>963</v>
      </c>
      <c r="H7" s="39" t="n">
        <f aca="false">IFERROR(ROUND(('DCF Model'!C45/(1+$B7)^('DCF Model'!C19+0)+'DCF Model'!D45/(1+$B7)^('DCF Model'!C19+1)+'DCF Model'!E45/(1+$B7)^('DCF Model'!C19+2)+'DCF Model'!F45/(1+$B7)^('DCF Model'!C19+3)+'DCF Model'!G45/(1+$B7)^('DCF Model'!C19+4)+'DCF Model'!G45*(1+H$6)/($B7-H$6)/(1+$B7)^('DCF Model'!C19+4)-'DCF Model'!C16)*1000000/'DCF Model'!C15,0),"")</f>
        <v>1272</v>
      </c>
      <c r="I7" s="39" t="n">
        <f aca="false">IFERROR(ROUND(('DCF Model'!C45/(1+$B7)^('DCF Model'!C19+0)+'DCF Model'!D45/(1+$B7)^('DCF Model'!C19+1)+'DCF Model'!E45/(1+$B7)^('DCF Model'!C19+2)+'DCF Model'!F45/(1+$B7)^('DCF Model'!C19+3)+'DCF Model'!G45/(1+$B7)^('DCF Model'!C19+4)+'DCF Model'!G45*(1+I$6)/($B7-I$6)/(1+$B7)^('DCF Model'!C19+4)-'DCF Model'!C16)*1000000/'DCF Model'!C15,0),"")</f>
        <v>1674</v>
      </c>
    </row>
    <row r="8" customFormat="false" ht="13.5" hidden="false" customHeight="true" outlineLevel="0" collapsed="false">
      <c r="B8" s="41" t="n">
        <f aca="false">$C$3-0.01</f>
        <v>0.034059990218986</v>
      </c>
      <c r="C8" s="39" t="n">
        <f aca="false">IFERROR(ROUND(('DCF Model'!C45/(1+$B8)^('DCF Model'!C19+0)+'DCF Model'!D45/(1+$B8)^('DCF Model'!C19+1)+'DCF Model'!E45/(1+$B8)^('DCF Model'!C19+2)+'DCF Model'!F45/(1+$B8)^('DCF Model'!C19+3)+'DCF Model'!G45/(1+$B8)^('DCF Model'!C19+4)+'DCF Model'!G45*(1+C$6)/($B8-C$6)/(1+$B8)^('DCF Model'!C19+4)-'DCF Model'!C16)*1000000/'DCF Model'!C15,0),"")</f>
        <v>-30</v>
      </c>
      <c r="D8" s="39" t="n">
        <f aca="false">IFERROR(ROUND(('DCF Model'!C45/(1+$B8)^('DCF Model'!C19+0)+'DCF Model'!D45/(1+$B8)^('DCF Model'!C19+1)+'DCF Model'!E45/(1+$B8)^('DCF Model'!C19+2)+'DCF Model'!F45/(1+$B8)^('DCF Model'!C19+3)+'DCF Model'!G45/(1+$B8)^('DCF Model'!C19+4)+'DCF Model'!G45*(1+D$6)/($B8-D$6)/(1+$B8)^('DCF Model'!C19+4)-'DCF Model'!C16)*1000000/'DCF Model'!C15,0),"")</f>
        <v>70</v>
      </c>
      <c r="E8" s="39" t="n">
        <f aca="false">IFERROR(ROUND(('DCF Model'!C45/(1+$B8)^('DCF Model'!C19+0)+'DCF Model'!D45/(1+$B8)^('DCF Model'!C19+1)+'DCF Model'!E45/(1+$B8)^('DCF Model'!C19+2)+'DCF Model'!F45/(1+$B8)^('DCF Model'!C19+3)+'DCF Model'!G45/(1+$B8)^('DCF Model'!C19+4)+'DCF Model'!G45*(1+E$6)/($B8-E$6)/(1+$B8)^('DCF Model'!C19+4)-'DCF Model'!C16)*1000000/'DCF Model'!C15,0),"")</f>
        <v>185</v>
      </c>
      <c r="F8" s="39" t="n">
        <f aca="false">IFERROR(ROUND(('DCF Model'!C45/(1+$B8)^('DCF Model'!C19+0)+'DCF Model'!D45/(1+$B8)^('DCF Model'!C19+1)+'DCF Model'!E45/(1+$B8)^('DCF Model'!C19+2)+'DCF Model'!F45/(1+$B8)^('DCF Model'!C19+3)+'DCF Model'!G45/(1+$B8)^('DCF Model'!C19+4)+'DCF Model'!G45*(1+F$6)/($B8-F$6)/(1+$B8)^('DCF Model'!C19+4)-'DCF Model'!C16)*1000000/'DCF Model'!C15,0),"")</f>
        <v>321</v>
      </c>
      <c r="G8" s="39" t="n">
        <f aca="false">IFERROR(ROUND(('DCF Model'!C45/(1+$B8)^('DCF Model'!C19+0)+'DCF Model'!D45/(1+$B8)^('DCF Model'!C19+1)+'DCF Model'!E45/(1+$B8)^('DCF Model'!C19+2)+'DCF Model'!F45/(1+$B8)^('DCF Model'!C19+3)+'DCF Model'!G45/(1+$B8)^('DCF Model'!C19+4)+'DCF Model'!G45*(1+G$6)/($B8-G$6)/(1+$B8)^('DCF Model'!C19+4)-'DCF Model'!C16)*1000000/'DCF Model'!C15,0),"")</f>
        <v>482</v>
      </c>
      <c r="H8" s="39" t="n">
        <f aca="false">IFERROR(ROUND(('DCF Model'!C45/(1+$B8)^('DCF Model'!C19+0)+'DCF Model'!D45/(1+$B8)^('DCF Model'!C19+1)+'DCF Model'!E45/(1+$B8)^('DCF Model'!C19+2)+'DCF Model'!F45/(1+$B8)^('DCF Model'!C19+3)+'DCF Model'!G45/(1+$B8)^('DCF Model'!C19+4)+'DCF Model'!G45*(1+H$6)/($B8-H$6)/(1+$B8)^('DCF Model'!C19+4)-'DCF Model'!C16)*1000000/'DCF Model'!C15,0),"")</f>
        <v>677</v>
      </c>
      <c r="I8" s="39" t="n">
        <f aca="false">IFERROR(ROUND(('DCF Model'!C45/(1+$B8)^('DCF Model'!C19+0)+'DCF Model'!D45/(1+$B8)^('DCF Model'!C19+1)+'DCF Model'!E45/(1+$B8)^('DCF Model'!C19+2)+'DCF Model'!F45/(1+$B8)^('DCF Model'!C19+3)+'DCF Model'!G45/(1+$B8)^('DCF Model'!C19+4)+'DCF Model'!G45*(1+I$6)/($B8-I$6)/(1+$B8)^('DCF Model'!C19+4)-'DCF Model'!C16)*1000000/'DCF Model'!C15,0),"")</f>
        <v>917</v>
      </c>
    </row>
    <row r="9" customFormat="false" ht="13.5" hidden="false" customHeight="true" outlineLevel="0" collapsed="false">
      <c r="B9" s="41" t="n">
        <f aca="false">$C$3-0.005</f>
        <v>0.039059990218986</v>
      </c>
      <c r="C9" s="39" t="n">
        <f aca="false">IFERROR(ROUND(('DCF Model'!C45/(1+$B9)^('DCF Model'!C19+0)+'DCF Model'!D45/(1+$B9)^('DCF Model'!C19+1)+'DCF Model'!E45/(1+$B9)^('DCF Model'!C19+2)+'DCF Model'!F45/(1+$B9)^('DCF Model'!C19+3)+'DCF Model'!G45/(1+$B9)^('DCF Model'!C19+4)+'DCF Model'!G45*(1+C$6)/($B9-C$6)/(1+$B9)^('DCF Model'!C19+4)-'DCF Model'!C16)*1000000/'DCF Model'!C15,0),"")</f>
        <v>-218</v>
      </c>
      <c r="D9" s="39" t="n">
        <f aca="false">IFERROR(ROUND(('DCF Model'!C45/(1+$B9)^('DCF Model'!C19+0)+'DCF Model'!D45/(1+$B9)^('DCF Model'!C19+1)+'DCF Model'!E45/(1+$B9)^('DCF Model'!C19+2)+'DCF Model'!F45/(1+$B9)^('DCF Model'!C19+3)+'DCF Model'!G45/(1+$B9)^('DCF Model'!C19+4)+'DCF Model'!G45*(1+D$6)/($B9-D$6)/(1+$B9)^('DCF Model'!C19+4)-'DCF Model'!C16)*1000000/'DCF Model'!C15,0),"")</f>
        <v>-143</v>
      </c>
      <c r="E9" s="39" t="n">
        <f aca="false">IFERROR(ROUND(('DCF Model'!C45/(1+$B9)^('DCF Model'!C19+0)+'DCF Model'!D45/(1+$B9)^('DCF Model'!C19+1)+'DCF Model'!E45/(1+$B9)^('DCF Model'!C19+2)+'DCF Model'!F45/(1+$B9)^('DCF Model'!C19+3)+'DCF Model'!G45/(1+$B9)^('DCF Model'!C19+4)+'DCF Model'!G45*(1+E$6)/($B9-E$6)/(1+$B9)^('DCF Model'!C19+4)-'DCF Model'!C16)*1000000/'DCF Model'!C15,0),"")</f>
        <v>-58</v>
      </c>
      <c r="F9" s="39" t="n">
        <f aca="false">IFERROR(ROUND(('DCF Model'!C45/(1+$B9)^('DCF Model'!C19+0)+'DCF Model'!D45/(1+$B9)^('DCF Model'!C19+1)+'DCF Model'!E45/(1+$B9)^('DCF Model'!C19+2)+'DCF Model'!F45/(1+$B9)^('DCF Model'!C19+3)+'DCF Model'!G45/(1+$B9)^('DCF Model'!C19+4)+'DCF Model'!G45*(1+F$6)/($B9-F$6)/(1+$B9)^('DCF Model'!C19+4)-'DCF Model'!C16)*1000000/'DCF Model'!C15,0),"")</f>
        <v>40</v>
      </c>
      <c r="G9" s="39" t="n">
        <f aca="false">IFERROR(ROUND(('DCF Model'!C45/(1+$B9)^('DCF Model'!C19+0)+'DCF Model'!D45/(1+$B9)^('DCF Model'!C19+1)+'DCF Model'!E45/(1+$B9)^('DCF Model'!C19+2)+'DCF Model'!F45/(1+$B9)^('DCF Model'!C19+3)+'DCF Model'!G45/(1+$B9)^('DCF Model'!C19+4)+'DCF Model'!G45*(1+G$6)/($B9-G$6)/(1+$B9)^('DCF Model'!C19+4)-'DCF Model'!C16)*1000000/'DCF Model'!C15,0),"")</f>
        <v>154</v>
      </c>
      <c r="H9" s="39" t="n">
        <f aca="false">IFERROR(ROUND(('DCF Model'!C45/(1+$B9)^('DCF Model'!C19+0)+'DCF Model'!D45/(1+$B9)^('DCF Model'!C19+1)+'DCF Model'!E45/(1+$B9)^('DCF Model'!C19+2)+'DCF Model'!F45/(1+$B9)^('DCF Model'!C19+3)+'DCF Model'!G45/(1+$B9)^('DCF Model'!C19+4)+'DCF Model'!G45*(1+H$6)/($B9-H$6)/(1+$B9)^('DCF Model'!C19+4)-'DCF Model'!C16)*1000000/'DCF Model'!C15,0),"")</f>
        <v>287</v>
      </c>
      <c r="I9" s="39" t="n">
        <f aca="false">IFERROR(ROUND(('DCF Model'!C45/(1+$B9)^('DCF Model'!C19+0)+'DCF Model'!D45/(1+$B9)^('DCF Model'!C19+1)+'DCF Model'!E45/(1+$B9)^('DCF Model'!C19+2)+'DCF Model'!F45/(1+$B9)^('DCF Model'!C19+3)+'DCF Model'!G45/(1+$B9)^('DCF Model'!C19+4)+'DCF Model'!G45*(1+I$6)/($B9-I$6)/(1+$B9)^('DCF Model'!C19+4)-'DCF Model'!C16)*1000000/'DCF Model'!C15,0),"")</f>
        <v>445</v>
      </c>
    </row>
    <row r="10" customFormat="false" ht="13.5" hidden="false" customHeight="true" outlineLevel="0" collapsed="false">
      <c r="B10" s="41" t="n">
        <f aca="false">$C$3</f>
        <v>0.044059990218986</v>
      </c>
      <c r="C10" s="39" t="n">
        <f aca="false">IFERROR(ROUND(('DCF Model'!C45/(1+$B10)^('DCF Model'!C19+0)+'DCF Model'!D45/(1+$B10)^('DCF Model'!C19+1)+'DCF Model'!E45/(1+$B10)^('DCF Model'!C19+2)+'DCF Model'!F45/(1+$B10)^('DCF Model'!C19+3)+'DCF Model'!G45/(1+$B10)^('DCF Model'!C19+4)+'DCF Model'!G45*(1+C$6)/($B10-C$6)/(1+$B10)^('DCF Model'!C19+4)-'DCF Model'!C16)*1000000/'DCF Model'!C15,0),"")</f>
        <v>-366</v>
      </c>
      <c r="D10" s="39" t="n">
        <f aca="false">IFERROR(ROUND(('DCF Model'!C45/(1+$B10)^('DCF Model'!C19+0)+'DCF Model'!D45/(1+$B10)^('DCF Model'!C19+1)+'DCF Model'!E45/(1+$B10)^('DCF Model'!C19+2)+'DCF Model'!F45/(1+$B10)^('DCF Model'!C19+3)+'DCF Model'!G45/(1+$B10)^('DCF Model'!C19+4)+'DCF Model'!G45*(1+D$6)/($B10-D$6)/(1+$B10)^('DCF Model'!C19+4)-'DCF Model'!C16)*1000000/'DCF Model'!C15,0),"")</f>
        <v>-307</v>
      </c>
      <c r="E10" s="39" t="n">
        <f aca="false">IFERROR(ROUND(('DCF Model'!C45/(1+$B10)^('DCF Model'!C19+0)+'DCF Model'!D45/(1+$B10)^('DCF Model'!C19+1)+'DCF Model'!E45/(1+$B10)^('DCF Model'!C19+2)+'DCF Model'!F45/(1+$B10)^('DCF Model'!C19+3)+'DCF Model'!G45/(1+$B10)^('DCF Model'!C19+4)+'DCF Model'!G45*(1+E$6)/($B10-E$6)/(1+$B10)^('DCF Model'!C19+4)-'DCF Model'!C16)*1000000/'DCF Model'!C15,0),"")</f>
        <v>-242</v>
      </c>
      <c r="F10" s="39" t="n">
        <f aca="false">IFERROR(ROUND(('DCF Model'!C45/(1+$B10)^('DCF Model'!C19+0)+'DCF Model'!D45/(1+$B10)^('DCF Model'!C19+1)+'DCF Model'!E45/(1+$B10)^('DCF Model'!C19+2)+'DCF Model'!F45/(1+$B10)^('DCF Model'!C19+3)+'DCF Model'!G45/(1+$B10)^('DCF Model'!C19+4)+'DCF Model'!G45*(1+F$6)/($B10-F$6)/(1+$B10)^('DCF Model'!C19+4)-'DCF Model'!C16)*1000000/'DCF Model'!C15,0),"")</f>
        <v>-168</v>
      </c>
      <c r="G10" s="39" t="n">
        <f aca="false">IFERROR(ROUND(('DCF Model'!C45/(1+$B10)^('DCF Model'!C19+0)+'DCF Model'!D45/(1+$B10)^('DCF Model'!C19+1)+'DCF Model'!E45/(1+$B10)^('DCF Model'!C19+2)+'DCF Model'!F45/(1+$B10)^('DCF Model'!C19+3)+'DCF Model'!G45/(1+$B10)^('DCF Model'!C19+4)+'DCF Model'!G45*(1+G$6)/($B10-G$6)/(1+$B10)^('DCF Model'!C19+4)-'DCF Model'!C16)*1000000/'DCF Model'!C15,0),"")</f>
        <v>-84</v>
      </c>
      <c r="H10" s="39" t="n">
        <f aca="false">IFERROR(ROUND(('DCF Model'!C45/(1+$B10)^('DCF Model'!C19+0)+'DCF Model'!D45/(1+$B10)^('DCF Model'!C19+1)+'DCF Model'!E45/(1+$B10)^('DCF Model'!C19+2)+'DCF Model'!F45/(1+$B10)^('DCF Model'!C19+3)+'DCF Model'!G45/(1+$B10)^('DCF Model'!C19+4)+'DCF Model'!G45*(1+H$6)/($B10-H$6)/(1+$B10)^('DCF Model'!C19+4)-'DCF Model'!C16)*1000000/'DCF Model'!C15,0),"")</f>
        <v>12</v>
      </c>
      <c r="I10" s="39" t="n">
        <f aca="false">IFERROR(ROUND(('DCF Model'!C45/(1+$B10)^('DCF Model'!C19+0)+'DCF Model'!D45/(1+$B10)^('DCF Model'!C19+1)+'DCF Model'!E45/(1+$B10)^('DCF Model'!C19+2)+'DCF Model'!F45/(1+$B10)^('DCF Model'!C19+3)+'DCF Model'!G45/(1+$B10)^('DCF Model'!C19+4)+'DCF Model'!G45*(1+I$6)/($B10-I$6)/(1+$B10)^('DCF Model'!C19+4)-'DCF Model'!C16)*1000000/'DCF Model'!C15,0),"")</f>
        <v>123</v>
      </c>
    </row>
    <row r="11" customFormat="false" ht="13.5" hidden="false" customHeight="true" outlineLevel="0" collapsed="false">
      <c r="B11" s="41" t="n">
        <f aca="false">$C$3+0.005</f>
        <v>0.049059990218986</v>
      </c>
      <c r="C11" s="39" t="n">
        <f aca="false">IFERROR(ROUND(('DCF Model'!C45/(1+$B11)^('DCF Model'!C19+0)+'DCF Model'!D45/(1+$B11)^('DCF Model'!C19+1)+'DCF Model'!E45/(1+$B11)^('DCF Model'!C19+2)+'DCF Model'!F45/(1+$B11)^('DCF Model'!C19+3)+'DCF Model'!G45/(1+$B11)^('DCF Model'!C19+4)+'DCF Model'!G45*(1+C$6)/($B11-C$6)/(1+$B11)^('DCF Model'!C19+4)-'DCF Model'!C16)*1000000/'DCF Model'!C15,0),"")</f>
        <v>-484</v>
      </c>
      <c r="D11" s="39" t="n">
        <f aca="false">IFERROR(ROUND(('DCF Model'!C45/(1+$B11)^('DCF Model'!C19+0)+'DCF Model'!D45/(1+$B11)^('DCF Model'!C19+1)+'DCF Model'!E45/(1+$B11)^('DCF Model'!C19+2)+'DCF Model'!F45/(1+$B11)^('DCF Model'!C19+3)+'DCF Model'!G45/(1+$B11)^('DCF Model'!C19+4)+'DCF Model'!G45*(1+D$6)/($B11-D$6)/(1+$B11)^('DCF Model'!C19+4)-'DCF Model'!C16)*1000000/'DCF Model'!C15,0),"")</f>
        <v>-438</v>
      </c>
      <c r="E11" s="39" t="n">
        <f aca="false">IFERROR(ROUND(('DCF Model'!C45/(1+$B11)^('DCF Model'!C19+0)+'DCF Model'!D45/(1+$B11)^('DCF Model'!C19+1)+'DCF Model'!E45/(1+$B11)^('DCF Model'!C19+2)+'DCF Model'!F45/(1+$B11)^('DCF Model'!C19+3)+'DCF Model'!G45/(1+$B11)^('DCF Model'!C19+4)+'DCF Model'!G45*(1+E$6)/($B11-E$6)/(1+$B11)^('DCF Model'!C19+4)-'DCF Model'!C16)*1000000/'DCF Model'!C15,0),"")</f>
        <v>-386</v>
      </c>
      <c r="F11" s="39" t="n">
        <f aca="false">IFERROR(ROUND(('DCF Model'!C45/(1+$B11)^('DCF Model'!C19+0)+'DCF Model'!D45/(1+$B11)^('DCF Model'!C19+1)+'DCF Model'!E45/(1+$B11)^('DCF Model'!C19+2)+'DCF Model'!F45/(1+$B11)^('DCF Model'!C19+3)+'DCF Model'!G45/(1+$B11)^('DCF Model'!C19+4)+'DCF Model'!G45*(1+F$6)/($B11-F$6)/(1+$B11)^('DCF Model'!C19+4)-'DCF Model'!C16)*1000000/'DCF Model'!C15,0),"")</f>
        <v>-329</v>
      </c>
      <c r="G11" s="39" t="n">
        <f aca="false">IFERROR(ROUND(('DCF Model'!C45/(1+$B11)^('DCF Model'!C19+0)+'DCF Model'!D45/(1+$B11)^('DCF Model'!C19+1)+'DCF Model'!E45/(1+$B11)^('DCF Model'!C19+2)+'DCF Model'!F45/(1+$B11)^('DCF Model'!C19+3)+'DCF Model'!G45/(1+$B11)^('DCF Model'!C19+4)+'DCF Model'!G45*(1+G$6)/($B11-G$6)/(1+$B11)^('DCF Model'!C19+4)-'DCF Model'!C16)*1000000/'DCF Model'!C15,0),"")</f>
        <v>-265</v>
      </c>
      <c r="H11" s="39" t="n">
        <f aca="false">IFERROR(ROUND(('DCF Model'!C45/(1+$B11)^('DCF Model'!C19+0)+'DCF Model'!D45/(1+$B11)^('DCF Model'!C19+1)+'DCF Model'!E45/(1+$B11)^('DCF Model'!C19+2)+'DCF Model'!F45/(1+$B11)^('DCF Model'!C19+3)+'DCF Model'!G45/(1+$B11)^('DCF Model'!C19+4)+'DCF Model'!G45*(1+H$6)/($B11-H$6)/(1+$B11)^('DCF Model'!C19+4)-'DCF Model'!C16)*1000000/'DCF Model'!C15,0),"")</f>
        <v>-193</v>
      </c>
      <c r="I11" s="39" t="n">
        <f aca="false">IFERROR(ROUND(('DCF Model'!C45/(1+$B11)^('DCF Model'!C19+0)+'DCF Model'!D45/(1+$B11)^('DCF Model'!C19+1)+'DCF Model'!E45/(1+$B11)^('DCF Model'!C19+2)+'DCF Model'!F45/(1+$B11)^('DCF Model'!C19+3)+'DCF Model'!G45/(1+$B11)^('DCF Model'!C19+4)+'DCF Model'!G45*(1+I$6)/($B11-I$6)/(1+$B11)^('DCF Model'!C19+4)-'DCF Model'!C16)*1000000/'DCF Model'!C15,0),"")</f>
        <v>-111</v>
      </c>
    </row>
    <row r="12" customFormat="false" ht="13.5" hidden="false" customHeight="true" outlineLevel="0" collapsed="false">
      <c r="B12" s="41" t="n">
        <f aca="false">$C$3+0.01</f>
        <v>0.054059990218986</v>
      </c>
      <c r="C12" s="39" t="n">
        <f aca="false">IFERROR(ROUND(('DCF Model'!C45/(1+$B12)^('DCF Model'!C19+0)+'DCF Model'!D45/(1+$B12)^('DCF Model'!C19+1)+'DCF Model'!E45/(1+$B12)^('DCF Model'!C19+2)+'DCF Model'!F45/(1+$B12)^('DCF Model'!C19+3)+'DCF Model'!G45/(1+$B12)^('DCF Model'!C19+4)+'DCF Model'!G45*(1+C$6)/($B12-C$6)/(1+$B12)^('DCF Model'!C19+4)-'DCF Model'!C16)*1000000/'DCF Model'!C15,0),"")</f>
        <v>-582</v>
      </c>
      <c r="D12" s="39" t="n">
        <f aca="false">IFERROR(ROUND(('DCF Model'!C45/(1+$B12)^('DCF Model'!C19+0)+'DCF Model'!D45/(1+$B12)^('DCF Model'!C19+1)+'DCF Model'!E45/(1+$B12)^('DCF Model'!C19+2)+'DCF Model'!F45/(1+$B12)^('DCF Model'!C19+3)+'DCF Model'!G45/(1+$B12)^('DCF Model'!C19+4)+'DCF Model'!G45*(1+D$6)/($B12-D$6)/(1+$B12)^('DCF Model'!C19+4)-'DCF Model'!C16)*1000000/'DCF Model'!C15,0),"")</f>
        <v>-544</v>
      </c>
      <c r="E12" s="39" t="n">
        <f aca="false">IFERROR(ROUND(('DCF Model'!C45/(1+$B12)^('DCF Model'!C19+0)+'DCF Model'!D45/(1+$B12)^('DCF Model'!C19+1)+'DCF Model'!E45/(1+$B12)^('DCF Model'!C19+2)+'DCF Model'!F45/(1+$B12)^('DCF Model'!C19+3)+'DCF Model'!G45/(1+$B12)^('DCF Model'!C19+4)+'DCF Model'!G45*(1+E$6)/($B12-E$6)/(1+$B12)^('DCF Model'!C19+4)-'DCF Model'!C16)*1000000/'DCF Model'!C15,0),"")</f>
        <v>-503</v>
      </c>
      <c r="F12" s="39" t="n">
        <f aca="false">IFERROR(ROUND(('DCF Model'!C45/(1+$B12)^('DCF Model'!C19+0)+'DCF Model'!D45/(1+$B12)^('DCF Model'!C19+1)+'DCF Model'!E45/(1+$B12)^('DCF Model'!C19+2)+'DCF Model'!F45/(1+$B12)^('DCF Model'!C19+3)+'DCF Model'!G45/(1+$B12)^('DCF Model'!C19+4)+'DCF Model'!G45*(1+F$6)/($B12-F$6)/(1+$B12)^('DCF Model'!C19+4)-'DCF Model'!C16)*1000000/'DCF Model'!C15,0),"")</f>
        <v>-457</v>
      </c>
      <c r="G12" s="39" t="n">
        <f aca="false">IFERROR(ROUND(('DCF Model'!C45/(1+$B12)^('DCF Model'!C19+0)+'DCF Model'!D45/(1+$B12)^('DCF Model'!C19+1)+'DCF Model'!E45/(1+$B12)^('DCF Model'!C19+2)+'DCF Model'!F45/(1+$B12)^('DCF Model'!C19+3)+'DCF Model'!G45/(1+$B12)^('DCF Model'!C19+4)+'DCF Model'!G45*(1+G$6)/($B12-G$6)/(1+$B12)^('DCF Model'!C19+4)-'DCF Model'!C16)*1000000/'DCF Model'!C15,0),"")</f>
        <v>-407</v>
      </c>
      <c r="H12" s="39" t="n">
        <f aca="false">IFERROR(ROUND(('DCF Model'!C45/(1+$B12)^('DCF Model'!C19+0)+'DCF Model'!D45/(1+$B12)^('DCF Model'!C19+1)+'DCF Model'!E45/(1+$B12)^('DCF Model'!C19+2)+'DCF Model'!F45/(1+$B12)^('DCF Model'!C19+3)+'DCF Model'!G45/(1+$B12)^('DCF Model'!C19+4)+'DCF Model'!G45*(1+H$6)/($B12-H$6)/(1+$B12)^('DCF Model'!C19+4)-'DCF Model'!C16)*1000000/'DCF Model'!C15,0),"")</f>
        <v>-351</v>
      </c>
      <c r="I12" s="39" t="n">
        <f aca="false">IFERROR(ROUND(('DCF Model'!C45/(1+$B12)^('DCF Model'!C19+0)+'DCF Model'!D45/(1+$B12)^('DCF Model'!C19+1)+'DCF Model'!E45/(1+$B12)^('DCF Model'!C19+2)+'DCF Model'!F45/(1+$B12)^('DCF Model'!C19+3)+'DCF Model'!G45/(1+$B12)^('DCF Model'!C19+4)+'DCF Model'!G45*(1+I$6)/($B12-I$6)/(1+$B12)^('DCF Model'!C19+4)-'DCF Model'!C16)*1000000/'DCF Model'!C15,0),"")</f>
        <v>-288</v>
      </c>
    </row>
    <row r="13" customFormat="false" ht="13.5" hidden="false" customHeight="true" outlineLevel="0" collapsed="false">
      <c r="B13" s="41" t="n">
        <f aca="false">$C$3+0.015</f>
        <v>0.059059990218986</v>
      </c>
      <c r="C13" s="39" t="n">
        <f aca="false">IFERROR(ROUND(('DCF Model'!C45/(1+$B13)^('DCF Model'!C19+0)+'DCF Model'!D45/(1+$B13)^('DCF Model'!C19+1)+'DCF Model'!E45/(1+$B13)^('DCF Model'!C19+2)+'DCF Model'!F45/(1+$B13)^('DCF Model'!C19+3)+'DCF Model'!G45/(1+$B13)^('DCF Model'!C19+4)+'DCF Model'!G45*(1+C$6)/($B13-C$6)/(1+$B13)^('DCF Model'!C19+4)-'DCF Model'!C16)*1000000/'DCF Model'!C15,0),"")</f>
        <v>-663</v>
      </c>
      <c r="D13" s="39" t="n">
        <f aca="false">IFERROR(ROUND(('DCF Model'!C45/(1+$B13)^('DCF Model'!C19+0)+'DCF Model'!D45/(1+$B13)^('DCF Model'!C19+1)+'DCF Model'!E45/(1+$B13)^('DCF Model'!C19+2)+'DCF Model'!F45/(1+$B13)^('DCF Model'!C19+3)+'DCF Model'!G45/(1+$B13)^('DCF Model'!C19+4)+'DCF Model'!G45*(1+D$6)/($B13-D$6)/(1+$B13)^('DCF Model'!C19+4)-'DCF Model'!C16)*1000000/'DCF Model'!C15,0),"")</f>
        <v>-632</v>
      </c>
      <c r="E13" s="39" t="n">
        <f aca="false">IFERROR(ROUND(('DCF Model'!C45/(1+$B13)^('DCF Model'!C19+0)+'DCF Model'!D45/(1+$B13)^('DCF Model'!C19+1)+'DCF Model'!E45/(1+$B13)^('DCF Model'!C19+2)+'DCF Model'!F45/(1+$B13)^('DCF Model'!C19+3)+'DCF Model'!G45/(1+$B13)^('DCF Model'!C19+4)+'DCF Model'!G45*(1+E$6)/($B13-E$6)/(1+$B13)^('DCF Model'!C19+4)-'DCF Model'!C16)*1000000/'DCF Model'!C15,0),"")</f>
        <v>-598</v>
      </c>
      <c r="F13" s="39" t="n">
        <f aca="false">IFERROR(ROUND(('DCF Model'!C45/(1+$B13)^('DCF Model'!C19+0)+'DCF Model'!D45/(1+$B13)^('DCF Model'!C19+1)+'DCF Model'!E45/(1+$B13)^('DCF Model'!C19+2)+'DCF Model'!F45/(1+$B13)^('DCF Model'!C19+3)+'DCF Model'!G45/(1+$B13)^('DCF Model'!C19+4)+'DCF Model'!G45*(1+F$6)/($B13-F$6)/(1+$B13)^('DCF Model'!C19+4)-'DCF Model'!C16)*1000000/'DCF Model'!C15,0),"")</f>
        <v>-561</v>
      </c>
      <c r="G13" s="39" t="n">
        <f aca="false">IFERROR(ROUND(('DCF Model'!C45/(1+$B13)^('DCF Model'!C19+0)+'DCF Model'!D45/(1+$B13)^('DCF Model'!C19+1)+'DCF Model'!E45/(1+$B13)^('DCF Model'!C19+2)+'DCF Model'!F45/(1+$B13)^('DCF Model'!C19+3)+'DCF Model'!G45/(1+$B13)^('DCF Model'!C19+4)+'DCF Model'!G45*(1+G$6)/($B13-G$6)/(1+$B13)^('DCF Model'!C19+4)-'DCF Model'!C16)*1000000/'DCF Model'!C15,0),"")</f>
        <v>-521</v>
      </c>
      <c r="H13" s="39" t="n">
        <f aca="false">IFERROR(ROUND(('DCF Model'!C45/(1+$B13)^('DCF Model'!C19+0)+'DCF Model'!D45/(1+$B13)^('DCF Model'!C19+1)+'DCF Model'!E45/(1+$B13)^('DCF Model'!C19+2)+'DCF Model'!F45/(1+$B13)^('DCF Model'!C19+3)+'DCF Model'!G45/(1+$B13)^('DCF Model'!C19+4)+'DCF Model'!G45*(1+H$6)/($B13-H$6)/(1+$B13)^('DCF Model'!C19+4)-'DCF Model'!C16)*1000000/'DCF Model'!C15,0),"")</f>
        <v>-476</v>
      </c>
      <c r="I13" s="39" t="n">
        <f aca="false">IFERROR(ROUND(('DCF Model'!C45/(1+$B13)^('DCF Model'!C19+0)+'DCF Model'!D45/(1+$B13)^('DCF Model'!C19+1)+'DCF Model'!E45/(1+$B13)^('DCF Model'!C19+2)+'DCF Model'!F45/(1+$B13)^('DCF Model'!C19+3)+'DCF Model'!G45/(1+$B13)^('DCF Model'!C19+4)+'DCF Model'!G45*(1+I$6)/($B13-I$6)/(1+$B13)^('DCF Model'!C19+4)-'DCF Model'!C16)*1000000/'DCF Model'!C15,0),"")</f>
        <v>-427</v>
      </c>
    </row>
    <row r="14" customFormat="false" ht="13.8" hidden="false" customHeight="false" outlineLevel="0" collapsed="false"/>
    <row r="15" customFormat="false" ht="13.8" hidden="false" customHeight="false" outlineLevel="0" collapsed="false"/>
    <row r="16" customFormat="false" ht="13.5" hidden="false" customHeight="true" outlineLevel="0" collapsed="false">
      <c r="B16" s="3" t="s">
        <v>186</v>
      </c>
    </row>
    <row r="17" customFormat="false" ht="13.5" hidden="false" customHeight="true" outlineLevel="0" collapsed="false">
      <c r="B17" s="43" t="s">
        <v>187</v>
      </c>
      <c r="C17" s="45" t="n">
        <f aca="false">$I$3-3</f>
        <v>5</v>
      </c>
      <c r="D17" s="45" t="n">
        <f aca="false">$I$3-2</f>
        <v>6</v>
      </c>
      <c r="E17" s="45" t="n">
        <f aca="false">$I$3-1</f>
        <v>7</v>
      </c>
      <c r="F17" s="45" t="n">
        <f aca="false">$I$3</f>
        <v>8</v>
      </c>
      <c r="G17" s="45" t="n">
        <f aca="false">$I$3+1</f>
        <v>9</v>
      </c>
      <c r="H17" s="45" t="n">
        <f aca="false">$I$3+2</f>
        <v>10</v>
      </c>
      <c r="I17" s="45" t="n">
        <f aca="false">$I$3+3</f>
        <v>11</v>
      </c>
    </row>
    <row r="18" customFormat="false" ht="13.5" hidden="false" customHeight="true" outlineLevel="0" collapsed="false">
      <c r="B18" s="41" t="n">
        <f aca="false">$C$3-0.015</f>
        <v>0.029059990218986</v>
      </c>
      <c r="C18" s="39" t="n">
        <f aca="false">IFERROR(ROUND(('DCF Model'!C45/(1+$B18)^('DCF Model'!C19+0)+'DCF Model'!D45/(1+$B18)^('DCF Model'!C19+1)+'DCF Model'!E45/(1+$B18)^('DCF Model'!C19+2)+'DCF Model'!F45/(1+$B18)^('DCF Model'!C19+3)+'DCF Model'!G45/(1+$B18)^('DCF Model'!C19+4)+('DCF Model'!G39+'DCF Model'!G42)*C$17/(1+$B18)^('DCF Model'!C19+4)-'DCF Model'!C16)*1000000/'DCF Model'!C15,0),"")</f>
        <v>7</v>
      </c>
      <c r="D18" s="39" t="n">
        <f aca="false">IFERROR(ROUND(('DCF Model'!C45/(1+$B18)^('DCF Model'!C19+0)+'DCF Model'!D45/(1+$B18)^('DCF Model'!C19+1)+'DCF Model'!E45/(1+$B18)^('DCF Model'!C19+2)+'DCF Model'!F45/(1+$B18)^('DCF Model'!C19+3)+'DCF Model'!G45/(1+$B18)^('DCF Model'!C19+4)+('DCF Model'!G39+'DCF Model'!G42)*D$17/(1+$B18)^('DCF Model'!C19+4)-'DCF Model'!C16)*1000000/'DCF Model'!C15,0),"")</f>
        <v>276</v>
      </c>
      <c r="E18" s="39" t="n">
        <f aca="false">IFERROR(ROUND(('DCF Model'!C45/(1+$B18)^('DCF Model'!C19+0)+'DCF Model'!D45/(1+$B18)^('DCF Model'!C19+1)+'DCF Model'!E45/(1+$B18)^('DCF Model'!C19+2)+'DCF Model'!F45/(1+$B18)^('DCF Model'!C19+3)+'DCF Model'!G45/(1+$B18)^('DCF Model'!C19+4)+('DCF Model'!G39+'DCF Model'!G42)*E$17/(1+$B18)^('DCF Model'!C19+4)-'DCF Model'!C16)*1000000/'DCF Model'!C15,0),"")</f>
        <v>545</v>
      </c>
      <c r="F18" s="39" t="n">
        <f aca="false">IFERROR(ROUND(('DCF Model'!C45/(1+$B18)^('DCF Model'!C19+0)+'DCF Model'!D45/(1+$B18)^('DCF Model'!C19+1)+'DCF Model'!E45/(1+$B18)^('DCF Model'!C19+2)+'DCF Model'!F45/(1+$B18)^('DCF Model'!C19+3)+'DCF Model'!G45/(1+$B18)^('DCF Model'!C19+4)+('DCF Model'!G39+'DCF Model'!G42)*F$17/(1+$B18)^('DCF Model'!C19+4)-'DCF Model'!C16)*1000000/'DCF Model'!C15,0),"")</f>
        <v>815</v>
      </c>
      <c r="G18" s="39" t="n">
        <f aca="false">IFERROR(ROUND(('DCF Model'!C45/(1+$B18)^('DCF Model'!C19+0)+'DCF Model'!D45/(1+$B18)^('DCF Model'!C19+1)+'DCF Model'!E45/(1+$B18)^('DCF Model'!C19+2)+'DCF Model'!F45/(1+$B18)^('DCF Model'!C19+3)+'DCF Model'!G45/(1+$B18)^('DCF Model'!C19+4)+('DCF Model'!G39+'DCF Model'!G42)*G$17/(1+$B18)^('DCF Model'!C19+4)-'DCF Model'!C16)*1000000/'DCF Model'!C15,0),"")</f>
        <v>1084</v>
      </c>
      <c r="H18" s="39" t="n">
        <f aca="false">IFERROR(ROUND(('DCF Model'!C45/(1+$B18)^('DCF Model'!C19+0)+'DCF Model'!D45/(1+$B18)^('DCF Model'!C19+1)+'DCF Model'!E45/(1+$B18)^('DCF Model'!C19+2)+'DCF Model'!F45/(1+$B18)^('DCF Model'!C19+3)+'DCF Model'!G45/(1+$B18)^('DCF Model'!C19+4)+('DCF Model'!G39+'DCF Model'!G42)*H$17/(1+$B18)^('DCF Model'!C19+4)-'DCF Model'!C16)*1000000/'DCF Model'!C15,0),"")</f>
        <v>1354</v>
      </c>
      <c r="I18" s="39" t="n">
        <f aca="false">IFERROR(ROUND(('DCF Model'!C45/(1+$B18)^('DCF Model'!C19+0)+'DCF Model'!D45/(1+$B18)^('DCF Model'!C19+1)+'DCF Model'!E45/(1+$B18)^('DCF Model'!C19+2)+'DCF Model'!F45/(1+$B18)^('DCF Model'!C19+3)+'DCF Model'!G45/(1+$B18)^('DCF Model'!C19+4)+('DCF Model'!G39+'DCF Model'!G42)*I$17/(1+$B18)^('DCF Model'!C19+4)-'DCF Model'!C16)*1000000/'DCF Model'!C15,0),"")</f>
        <v>1623</v>
      </c>
    </row>
    <row r="19" customFormat="false" ht="13.5" hidden="false" customHeight="true" outlineLevel="0" collapsed="false">
      <c r="B19" s="41" t="n">
        <f aca="false">$C$3-0.01</f>
        <v>0.034059990218986</v>
      </c>
      <c r="C19" s="39" t="n">
        <f aca="false">IFERROR(ROUND(('DCF Model'!C45/(1+$B19)^('DCF Model'!C19+0)+'DCF Model'!D45/(1+$B19)^('DCF Model'!C19+1)+'DCF Model'!E45/(1+$B19)^('DCF Model'!C19+2)+'DCF Model'!F45/(1+$B19)^('DCF Model'!C19+3)+'DCF Model'!G45/(1+$B19)^('DCF Model'!C19+4)+('DCF Model'!G39+'DCF Model'!G42)*C$17/(1+$B19)^('DCF Model'!C19+4)-'DCF Model'!C16)*1000000/'DCF Model'!C15,0),"")</f>
        <v>-28</v>
      </c>
      <c r="D19" s="39" t="n">
        <f aca="false">IFERROR(ROUND(('DCF Model'!C45/(1+$B19)^('DCF Model'!C19+0)+'DCF Model'!D45/(1+$B19)^('DCF Model'!C19+1)+'DCF Model'!E45/(1+$B19)^('DCF Model'!C19+2)+'DCF Model'!F45/(1+$B19)^('DCF Model'!C19+3)+'DCF Model'!G45/(1+$B19)^('DCF Model'!C19+4)+('DCF Model'!G39+'DCF Model'!G42)*D$17/(1+$B19)^('DCF Model'!C19+4)-'DCF Model'!C16)*1000000/'DCF Model'!C15,0),"")</f>
        <v>235</v>
      </c>
      <c r="E19" s="39" t="n">
        <f aca="false">IFERROR(ROUND(('DCF Model'!C45/(1+$B19)^('DCF Model'!C19+0)+'DCF Model'!D45/(1+$B19)^('DCF Model'!C19+1)+'DCF Model'!E45/(1+$B19)^('DCF Model'!C19+2)+'DCF Model'!F45/(1+$B19)^('DCF Model'!C19+3)+'DCF Model'!G45/(1+$B19)^('DCF Model'!C19+4)+('DCF Model'!G39+'DCF Model'!G42)*E$17/(1+$B19)^('DCF Model'!C19+4)-'DCF Model'!C16)*1000000/'DCF Model'!C15,0),"")</f>
        <v>498</v>
      </c>
      <c r="F19" s="39" t="n">
        <f aca="false">IFERROR(ROUND(('DCF Model'!C45/(1+$B19)^('DCF Model'!C19+0)+'DCF Model'!D45/(1+$B19)^('DCF Model'!C19+1)+'DCF Model'!E45/(1+$B19)^('DCF Model'!C19+2)+'DCF Model'!F45/(1+$B19)^('DCF Model'!C19+3)+'DCF Model'!G45/(1+$B19)^('DCF Model'!C19+4)+('DCF Model'!G39+'DCF Model'!G42)*F$17/(1+$B19)^('DCF Model'!C19+4)-'DCF Model'!C16)*1000000/'DCF Model'!C15,0),"")</f>
        <v>761</v>
      </c>
      <c r="G19" s="39" t="n">
        <f aca="false">IFERROR(ROUND(('DCF Model'!C45/(1+$B19)^('DCF Model'!C19+0)+'DCF Model'!D45/(1+$B19)^('DCF Model'!C19+1)+'DCF Model'!E45/(1+$B19)^('DCF Model'!C19+2)+'DCF Model'!F45/(1+$B19)^('DCF Model'!C19+3)+'DCF Model'!G45/(1+$B19)^('DCF Model'!C19+4)+('DCF Model'!G39+'DCF Model'!G42)*G$17/(1+$B19)^('DCF Model'!C19+4)-'DCF Model'!C16)*1000000/'DCF Model'!C15,0),"")</f>
        <v>1023</v>
      </c>
      <c r="H19" s="39" t="n">
        <f aca="false">IFERROR(ROUND(('DCF Model'!C45/(1+$B19)^('DCF Model'!C19+0)+'DCF Model'!D45/(1+$B19)^('DCF Model'!C19+1)+'DCF Model'!E45/(1+$B19)^('DCF Model'!C19+2)+'DCF Model'!F45/(1+$B19)^('DCF Model'!C19+3)+'DCF Model'!G45/(1+$B19)^('DCF Model'!C19+4)+('DCF Model'!G39+'DCF Model'!G42)*H$17/(1+$B19)^('DCF Model'!C19+4)-'DCF Model'!C16)*1000000/'DCF Model'!C15,0),"")</f>
        <v>1286</v>
      </c>
      <c r="I19" s="39" t="n">
        <f aca="false">IFERROR(ROUND(('DCF Model'!C45/(1+$B19)^('DCF Model'!C19+0)+'DCF Model'!D45/(1+$B19)^('DCF Model'!C19+1)+'DCF Model'!E45/(1+$B19)^('DCF Model'!C19+2)+'DCF Model'!F45/(1+$B19)^('DCF Model'!C19+3)+'DCF Model'!G45/(1+$B19)^('DCF Model'!C19+4)+('DCF Model'!G39+'DCF Model'!G42)*I$17/(1+$B19)^('DCF Model'!C19+4)-'DCF Model'!C16)*1000000/'DCF Model'!C15,0),"")</f>
        <v>1549</v>
      </c>
    </row>
    <row r="20" customFormat="false" ht="13.5" hidden="false" customHeight="true" outlineLevel="0" collapsed="false">
      <c r="B20" s="41" t="n">
        <f aca="false">$C$3-0.005</f>
        <v>0.039059990218986</v>
      </c>
      <c r="C20" s="39" t="n">
        <f aca="false">IFERROR(ROUND(('DCF Model'!C45/(1+$B20)^('DCF Model'!C19+0)+'DCF Model'!D45/(1+$B20)^('DCF Model'!C19+1)+'DCF Model'!E45/(1+$B20)^('DCF Model'!C19+2)+'DCF Model'!F45/(1+$B20)^('DCF Model'!C19+3)+'DCF Model'!G45/(1+$B20)^('DCF Model'!C19+4)+('DCF Model'!G39+'DCF Model'!G42)*C$17/(1+$B20)^('DCF Model'!C19+4)-'DCF Model'!C16)*1000000/'DCF Model'!C15,0),"")</f>
        <v>-62</v>
      </c>
      <c r="D20" s="39" t="n">
        <f aca="false">IFERROR(ROUND(('DCF Model'!C45/(1+$B20)^('DCF Model'!C19+0)+'DCF Model'!D45/(1+$B20)^('DCF Model'!C19+1)+'DCF Model'!E45/(1+$B20)^('DCF Model'!C19+2)+'DCF Model'!F45/(1+$B20)^('DCF Model'!C19+3)+'DCF Model'!G45/(1+$B20)^('DCF Model'!C19+4)+('DCF Model'!G39+'DCF Model'!G42)*D$17/(1+$B20)^('DCF Model'!C19+4)-'DCF Model'!C16)*1000000/'DCF Model'!C15,0),"")</f>
        <v>195</v>
      </c>
      <c r="E20" s="39" t="n">
        <f aca="false">IFERROR(ROUND(('DCF Model'!C45/(1+$B20)^('DCF Model'!C19+0)+'DCF Model'!D45/(1+$B20)^('DCF Model'!C19+1)+'DCF Model'!E45/(1+$B20)^('DCF Model'!C19+2)+'DCF Model'!F45/(1+$B20)^('DCF Model'!C19+3)+'DCF Model'!G45/(1+$B20)^('DCF Model'!C19+4)+('DCF Model'!G39+'DCF Model'!G42)*E$17/(1+$B20)^('DCF Model'!C19+4)-'DCF Model'!C16)*1000000/'DCF Model'!C15,0),"")</f>
        <v>451</v>
      </c>
      <c r="F20" s="39" t="n">
        <f aca="false">IFERROR(ROUND(('DCF Model'!C45/(1+$B20)^('DCF Model'!C19+0)+'DCF Model'!D45/(1+$B20)^('DCF Model'!C19+1)+'DCF Model'!E45/(1+$B20)^('DCF Model'!C19+2)+'DCF Model'!F45/(1+$B20)^('DCF Model'!C19+3)+'DCF Model'!G45/(1+$B20)^('DCF Model'!C19+4)+('DCF Model'!G39+'DCF Model'!G42)*F$17/(1+$B20)^('DCF Model'!C19+4)-'DCF Model'!C16)*1000000/'DCF Model'!C15,0),"")</f>
        <v>708</v>
      </c>
      <c r="G20" s="39" t="n">
        <f aca="false">IFERROR(ROUND(('DCF Model'!C45/(1+$B20)^('DCF Model'!C19+0)+'DCF Model'!D45/(1+$B20)^('DCF Model'!C19+1)+'DCF Model'!E45/(1+$B20)^('DCF Model'!C19+2)+'DCF Model'!F45/(1+$B20)^('DCF Model'!C19+3)+'DCF Model'!G45/(1+$B20)^('DCF Model'!C19+4)+('DCF Model'!G39+'DCF Model'!G42)*G$17/(1+$B20)^('DCF Model'!C19+4)-'DCF Model'!C16)*1000000/'DCF Model'!C15,0),"")</f>
        <v>965</v>
      </c>
      <c r="H20" s="39" t="n">
        <f aca="false">IFERROR(ROUND(('DCF Model'!C45/(1+$B20)^('DCF Model'!C19+0)+'DCF Model'!D45/(1+$B20)^('DCF Model'!C19+1)+'DCF Model'!E45/(1+$B20)^('DCF Model'!C19+2)+'DCF Model'!F45/(1+$B20)^('DCF Model'!C19+3)+'DCF Model'!G45/(1+$B20)^('DCF Model'!C19+4)+('DCF Model'!G39+'DCF Model'!G42)*H$17/(1+$B20)^('DCF Model'!C19+4)-'DCF Model'!C16)*1000000/'DCF Model'!C15,0),"")</f>
        <v>1221</v>
      </c>
      <c r="I20" s="39" t="n">
        <f aca="false">IFERROR(ROUND(('DCF Model'!C45/(1+$B20)^('DCF Model'!C19+0)+'DCF Model'!D45/(1+$B20)^('DCF Model'!C19+1)+'DCF Model'!E45/(1+$B20)^('DCF Model'!C19+2)+'DCF Model'!F45/(1+$B20)^('DCF Model'!C19+3)+'DCF Model'!G45/(1+$B20)^('DCF Model'!C19+4)+('DCF Model'!G39+'DCF Model'!G42)*I$17/(1+$B20)^('DCF Model'!C19+4)-'DCF Model'!C16)*1000000/'DCF Model'!C15,0),"")</f>
        <v>1478</v>
      </c>
    </row>
    <row r="21" customFormat="false" ht="13.5" hidden="false" customHeight="true" outlineLevel="0" collapsed="false">
      <c r="B21" s="41" t="n">
        <f aca="false">$C$3</f>
        <v>0.044059990218986</v>
      </c>
      <c r="C21" s="39" t="n">
        <f aca="false">IFERROR(ROUND(('DCF Model'!C45/(1+$B21)^('DCF Model'!C19+0)+'DCF Model'!D45/(1+$B21)^('DCF Model'!C19+1)+'DCF Model'!E45/(1+$B21)^('DCF Model'!C19+2)+'DCF Model'!F45/(1+$B21)^('DCF Model'!C19+3)+'DCF Model'!G45/(1+$B21)^('DCF Model'!C19+4)+('DCF Model'!G39+'DCF Model'!G42)*C$17/(1+$B21)^('DCF Model'!C19+4)-'DCF Model'!C16)*1000000/'DCF Model'!C15,0),"")</f>
        <v>-95</v>
      </c>
      <c r="D21" s="39" t="n">
        <f aca="false">IFERROR(ROUND(('DCF Model'!C45/(1+$B21)^('DCF Model'!C19+0)+'DCF Model'!D45/(1+$B21)^('DCF Model'!C19+1)+'DCF Model'!E45/(1+$B21)^('DCF Model'!C19+2)+'DCF Model'!F45/(1+$B21)^('DCF Model'!C19+3)+'DCF Model'!G45/(1+$B21)^('DCF Model'!C19+4)+('DCF Model'!G39+'DCF Model'!G42)*D$17/(1+$B21)^('DCF Model'!C19+4)-'DCF Model'!C16)*1000000/'DCF Model'!C15,0),"")</f>
        <v>156</v>
      </c>
      <c r="E21" s="39" t="n">
        <f aca="false">IFERROR(ROUND(('DCF Model'!C45/(1+$B21)^('DCF Model'!C19+0)+'DCF Model'!D45/(1+$B21)^('DCF Model'!C19+1)+'DCF Model'!E45/(1+$B21)^('DCF Model'!C19+2)+'DCF Model'!F45/(1+$B21)^('DCF Model'!C19+3)+'DCF Model'!G45/(1+$B21)^('DCF Model'!C19+4)+('DCF Model'!G39+'DCF Model'!G42)*E$17/(1+$B21)^('DCF Model'!C19+4)-'DCF Model'!C16)*1000000/'DCF Model'!C15,0),"")</f>
        <v>406</v>
      </c>
      <c r="F21" s="39" t="n">
        <f aca="false">IFERROR(ROUND(('DCF Model'!C45/(1+$B21)^('DCF Model'!C19+0)+'DCF Model'!D45/(1+$B21)^('DCF Model'!C19+1)+'DCF Model'!E45/(1+$B21)^('DCF Model'!C19+2)+'DCF Model'!F45/(1+$B21)^('DCF Model'!C19+3)+'DCF Model'!G45/(1+$B21)^('DCF Model'!C19+4)+('DCF Model'!G39+'DCF Model'!G42)*F$17/(1+$B21)^('DCF Model'!C19+4)-'DCF Model'!C16)*1000000/'DCF Model'!C15,0),"")</f>
        <v>657</v>
      </c>
      <c r="G21" s="39" t="n">
        <f aca="false">IFERROR(ROUND(('DCF Model'!C45/(1+$B21)^('DCF Model'!C19+0)+'DCF Model'!D45/(1+$B21)^('DCF Model'!C19+1)+'DCF Model'!E45/(1+$B21)^('DCF Model'!C19+2)+'DCF Model'!F45/(1+$B21)^('DCF Model'!C19+3)+'DCF Model'!G45/(1+$B21)^('DCF Model'!C19+4)+('DCF Model'!G39+'DCF Model'!G42)*G$17/(1+$B21)^('DCF Model'!C19+4)-'DCF Model'!C16)*1000000/'DCF Model'!C15,0),"")</f>
        <v>907</v>
      </c>
      <c r="H21" s="39" t="n">
        <f aca="false">IFERROR(ROUND(('DCF Model'!C45/(1+$B21)^('DCF Model'!C19+0)+'DCF Model'!D45/(1+$B21)^('DCF Model'!C19+1)+'DCF Model'!E45/(1+$B21)^('DCF Model'!C19+2)+'DCF Model'!F45/(1+$B21)^('DCF Model'!C19+3)+'DCF Model'!G45/(1+$B21)^('DCF Model'!C19+4)+('DCF Model'!G39+'DCF Model'!G42)*H$17/(1+$B21)^('DCF Model'!C19+4)-'DCF Model'!C16)*1000000/'DCF Model'!C15,0),"")</f>
        <v>1158</v>
      </c>
      <c r="I21" s="39" t="n">
        <f aca="false">IFERROR(ROUND(('DCF Model'!C45/(1+$B21)^('DCF Model'!C19+0)+'DCF Model'!D45/(1+$B21)^('DCF Model'!C19+1)+'DCF Model'!E45/(1+$B21)^('DCF Model'!C19+2)+'DCF Model'!F45/(1+$B21)^('DCF Model'!C19+3)+'DCF Model'!G45/(1+$B21)^('DCF Model'!C19+4)+('DCF Model'!G39+'DCF Model'!G42)*I$17/(1+$B21)^('DCF Model'!C19+4)-'DCF Model'!C16)*1000000/'DCF Model'!C15,0),"")</f>
        <v>1408</v>
      </c>
    </row>
    <row r="22" customFormat="false" ht="13.5" hidden="false" customHeight="true" outlineLevel="0" collapsed="false">
      <c r="B22" s="41" t="n">
        <f aca="false">$C$3+0.005</f>
        <v>0.049059990218986</v>
      </c>
      <c r="C22" s="39" t="n">
        <f aca="false">IFERROR(ROUND(('DCF Model'!C45/(1+$B22)^('DCF Model'!C19+0)+'DCF Model'!D45/(1+$B22)^('DCF Model'!C19+1)+'DCF Model'!E45/(1+$B22)^('DCF Model'!C19+2)+'DCF Model'!F45/(1+$B22)^('DCF Model'!C19+3)+'DCF Model'!G45/(1+$B22)^('DCF Model'!C19+4)+('DCF Model'!G39+'DCF Model'!G42)*C$17/(1+$B22)^('DCF Model'!C19+4)-'DCF Model'!C16)*1000000/'DCF Model'!C15,0),"")</f>
        <v>-127</v>
      </c>
      <c r="D22" s="39" t="n">
        <f aca="false">IFERROR(ROUND(('DCF Model'!C45/(1+$B22)^('DCF Model'!C19+0)+'DCF Model'!D45/(1+$B22)^('DCF Model'!C19+1)+'DCF Model'!E45/(1+$B22)^('DCF Model'!C19+2)+'DCF Model'!F45/(1+$B22)^('DCF Model'!C19+3)+'DCF Model'!G45/(1+$B22)^('DCF Model'!C19+4)+('DCF Model'!G39+'DCF Model'!G42)*D$17/(1+$B22)^('DCF Model'!C19+4)-'DCF Model'!C16)*1000000/'DCF Model'!C15,0),"")</f>
        <v>118</v>
      </c>
      <c r="E22" s="39" t="n">
        <f aca="false">IFERROR(ROUND(('DCF Model'!C45/(1+$B22)^('DCF Model'!C19+0)+'DCF Model'!D45/(1+$B22)^('DCF Model'!C19+1)+'DCF Model'!E45/(1+$B22)^('DCF Model'!C19+2)+'DCF Model'!F45/(1+$B22)^('DCF Model'!C19+3)+'DCF Model'!G45/(1+$B22)^('DCF Model'!C19+4)+('DCF Model'!G39+'DCF Model'!G42)*E$17/(1+$B22)^('DCF Model'!C19+4)-'DCF Model'!C16)*1000000/'DCF Model'!C15,0),"")</f>
        <v>362</v>
      </c>
      <c r="F22" s="39" t="n">
        <f aca="false">IFERROR(ROUND(('DCF Model'!C45/(1+$B22)^('DCF Model'!C19+0)+'DCF Model'!D45/(1+$B22)^('DCF Model'!C19+1)+'DCF Model'!E45/(1+$B22)^('DCF Model'!C19+2)+'DCF Model'!F45/(1+$B22)^('DCF Model'!C19+3)+'DCF Model'!G45/(1+$B22)^('DCF Model'!C19+4)+('DCF Model'!G39+'DCF Model'!G42)*F$17/(1+$B22)^('DCF Model'!C19+4)-'DCF Model'!C16)*1000000/'DCF Model'!C15,0),"")</f>
        <v>607</v>
      </c>
      <c r="G22" s="39" t="n">
        <f aca="false">IFERROR(ROUND(('DCF Model'!C45/(1+$B22)^('DCF Model'!C19+0)+'DCF Model'!D45/(1+$B22)^('DCF Model'!C19+1)+'DCF Model'!E45/(1+$B22)^('DCF Model'!C19+2)+'DCF Model'!F45/(1+$B22)^('DCF Model'!C19+3)+'DCF Model'!G45/(1+$B22)^('DCF Model'!C19+4)+('DCF Model'!G39+'DCF Model'!G42)*G$17/(1+$B22)^('DCF Model'!C19+4)-'DCF Model'!C16)*1000000/'DCF Model'!C15,0),"")</f>
        <v>852</v>
      </c>
      <c r="H22" s="39" t="n">
        <f aca="false">IFERROR(ROUND(('DCF Model'!C45/(1+$B22)^('DCF Model'!C19+0)+'DCF Model'!D45/(1+$B22)^('DCF Model'!C19+1)+'DCF Model'!E45/(1+$B22)^('DCF Model'!C19+2)+'DCF Model'!F45/(1+$B22)^('DCF Model'!C19+3)+'DCF Model'!G45/(1+$B22)^('DCF Model'!C19+4)+('DCF Model'!G39+'DCF Model'!G42)*H$17/(1+$B22)^('DCF Model'!C19+4)-'DCF Model'!C16)*1000000/'DCF Model'!C15,0),"")</f>
        <v>1096</v>
      </c>
      <c r="I22" s="39" t="n">
        <f aca="false">IFERROR(ROUND(('DCF Model'!C45/(1+$B22)^('DCF Model'!C19+0)+'DCF Model'!D45/(1+$B22)^('DCF Model'!C19+1)+'DCF Model'!E45/(1+$B22)^('DCF Model'!C19+2)+'DCF Model'!F45/(1+$B22)^('DCF Model'!C19+3)+'DCF Model'!G45/(1+$B22)^('DCF Model'!C19+4)+('DCF Model'!G39+'DCF Model'!G42)*I$17/(1+$B22)^('DCF Model'!C19+4)-'DCF Model'!C16)*1000000/'DCF Model'!C15,0),"")</f>
        <v>1341</v>
      </c>
    </row>
    <row r="23" customFormat="false" ht="13.5" hidden="false" customHeight="true" outlineLevel="0" collapsed="false">
      <c r="B23" s="41" t="n">
        <f aca="false">$C$3+0.01</f>
        <v>0.054059990218986</v>
      </c>
      <c r="C23" s="39" t="n">
        <f aca="false">IFERROR(ROUND(('DCF Model'!C45/(1+$B23)^('DCF Model'!C19+0)+'DCF Model'!D45/(1+$B23)^('DCF Model'!C19+1)+'DCF Model'!E45/(1+$B23)^('DCF Model'!C19+2)+'DCF Model'!F45/(1+$B23)^('DCF Model'!C19+3)+'DCF Model'!G45/(1+$B23)^('DCF Model'!C19+4)+('DCF Model'!G39+'DCF Model'!G42)*C$17/(1+$B23)^('DCF Model'!C19+4)-'DCF Model'!C16)*1000000/'DCF Model'!C15,0),"")</f>
        <v>-158</v>
      </c>
      <c r="D23" s="39" t="n">
        <f aca="false">IFERROR(ROUND(('DCF Model'!C45/(1+$B23)^('DCF Model'!C19+0)+'DCF Model'!D45/(1+$B23)^('DCF Model'!C19+1)+'DCF Model'!E45/(1+$B23)^('DCF Model'!C19+2)+'DCF Model'!F45/(1+$B23)^('DCF Model'!C19+3)+'DCF Model'!G45/(1+$B23)^('DCF Model'!C19+4)+('DCF Model'!G39+'DCF Model'!G42)*D$17/(1+$B23)^('DCF Model'!C19+4)-'DCF Model'!C16)*1000000/'DCF Model'!C15,0),"")</f>
        <v>81</v>
      </c>
      <c r="E23" s="39" t="n">
        <f aca="false">IFERROR(ROUND(('DCF Model'!C45/(1+$B23)^('DCF Model'!C19+0)+'DCF Model'!D45/(1+$B23)^('DCF Model'!C19+1)+'DCF Model'!E45/(1+$B23)^('DCF Model'!C19+2)+'DCF Model'!F45/(1+$B23)^('DCF Model'!C19+3)+'DCF Model'!G45/(1+$B23)^('DCF Model'!C19+4)+('DCF Model'!G39+'DCF Model'!G42)*E$17/(1+$B23)^('DCF Model'!C19+4)-'DCF Model'!C16)*1000000/'DCF Model'!C15,0),"")</f>
        <v>320</v>
      </c>
      <c r="F23" s="39" t="n">
        <f aca="false">IFERROR(ROUND(('DCF Model'!C45/(1+$B23)^('DCF Model'!C19+0)+'DCF Model'!D45/(1+$B23)^('DCF Model'!C19+1)+'DCF Model'!E45/(1+$B23)^('DCF Model'!C19+2)+'DCF Model'!F45/(1+$B23)^('DCF Model'!C19+3)+'DCF Model'!G45/(1+$B23)^('DCF Model'!C19+4)+('DCF Model'!G39+'DCF Model'!G42)*F$17/(1+$B23)^('DCF Model'!C19+4)-'DCF Model'!C16)*1000000/'DCF Model'!C15,0),"")</f>
        <v>558</v>
      </c>
      <c r="G23" s="39" t="n">
        <f aca="false">IFERROR(ROUND(('DCF Model'!C45/(1+$B23)^('DCF Model'!C19+0)+'DCF Model'!D45/(1+$B23)^('DCF Model'!C19+1)+'DCF Model'!E45/(1+$B23)^('DCF Model'!C19+2)+'DCF Model'!F45/(1+$B23)^('DCF Model'!C19+3)+'DCF Model'!G45/(1+$B23)^('DCF Model'!C19+4)+('DCF Model'!G39+'DCF Model'!G42)*G$17/(1+$B23)^('DCF Model'!C19+4)-'DCF Model'!C16)*1000000/'DCF Model'!C15,0),"")</f>
        <v>797</v>
      </c>
      <c r="H23" s="39" t="n">
        <f aca="false">IFERROR(ROUND(('DCF Model'!C45/(1+$B23)^('DCF Model'!C19+0)+'DCF Model'!D45/(1+$B23)^('DCF Model'!C19+1)+'DCF Model'!E45/(1+$B23)^('DCF Model'!C19+2)+'DCF Model'!F45/(1+$B23)^('DCF Model'!C19+3)+'DCF Model'!G45/(1+$B23)^('DCF Model'!C19+4)+('DCF Model'!G39+'DCF Model'!G42)*H$17/(1+$B23)^('DCF Model'!C19+4)-'DCF Model'!C16)*1000000/'DCF Model'!C15,0),"")</f>
        <v>1036</v>
      </c>
      <c r="I23" s="39" t="n">
        <f aca="false">IFERROR(ROUND(('DCF Model'!C45/(1+$B23)^('DCF Model'!C19+0)+'DCF Model'!D45/(1+$B23)^('DCF Model'!C19+1)+'DCF Model'!E45/(1+$B23)^('DCF Model'!C19+2)+'DCF Model'!F45/(1+$B23)^('DCF Model'!C19+3)+'DCF Model'!G45/(1+$B23)^('DCF Model'!C19+4)+('DCF Model'!G39+'DCF Model'!G42)*I$17/(1+$B23)^('DCF Model'!C19+4)-'DCF Model'!C16)*1000000/'DCF Model'!C15,0),"")</f>
        <v>1275</v>
      </c>
    </row>
    <row r="24" customFormat="false" ht="13.5" hidden="false" customHeight="true" outlineLevel="0" collapsed="false">
      <c r="B24" s="41" t="n">
        <f aca="false">$C$3+0.015</f>
        <v>0.059059990218986</v>
      </c>
      <c r="C24" s="39" t="n">
        <f aca="false">IFERROR(ROUND(('DCF Model'!C45/(1+$B24)^('DCF Model'!C19+0)+'DCF Model'!D45/(1+$B24)^('DCF Model'!C19+1)+'DCF Model'!E45/(1+$B24)^('DCF Model'!C19+2)+'DCF Model'!F45/(1+$B24)^('DCF Model'!C19+3)+'DCF Model'!G45/(1+$B24)^('DCF Model'!C19+4)+('DCF Model'!G39+'DCF Model'!G42)*C$17/(1+$B24)^('DCF Model'!C19+4)-'DCF Model'!C16)*1000000/'DCF Model'!C15,0),"")</f>
        <v>-188</v>
      </c>
      <c r="D24" s="39" t="n">
        <f aca="false">IFERROR(ROUND(('DCF Model'!C45/(1+$B24)^('DCF Model'!C19+0)+'DCF Model'!D45/(1+$B24)^('DCF Model'!C19+1)+'DCF Model'!E45/(1+$B24)^('DCF Model'!C19+2)+'DCF Model'!F45/(1+$B24)^('DCF Model'!C19+3)+'DCF Model'!G45/(1+$B24)^('DCF Model'!C19+4)+('DCF Model'!G39+'DCF Model'!G42)*D$17/(1+$B24)^('DCF Model'!C19+4)-'DCF Model'!C16)*1000000/'DCF Model'!C15,0),"")</f>
        <v>45</v>
      </c>
      <c r="E24" s="39" t="n">
        <f aca="false">IFERROR(ROUND(('DCF Model'!C45/(1+$B24)^('DCF Model'!C19+0)+'DCF Model'!D45/(1+$B24)^('DCF Model'!C19+1)+'DCF Model'!E45/(1+$B24)^('DCF Model'!C19+2)+'DCF Model'!F45/(1+$B24)^('DCF Model'!C19+3)+'DCF Model'!G45/(1+$B24)^('DCF Model'!C19+4)+('DCF Model'!G39+'DCF Model'!G42)*E$17/(1+$B24)^('DCF Model'!C19+4)-'DCF Model'!C16)*1000000/'DCF Model'!C15,0),"")</f>
        <v>278</v>
      </c>
      <c r="F24" s="39" t="n">
        <f aca="false">IFERROR(ROUND(('DCF Model'!C45/(1+$B24)^('DCF Model'!C19+0)+'DCF Model'!D45/(1+$B24)^('DCF Model'!C19+1)+'DCF Model'!E45/(1+$B24)^('DCF Model'!C19+2)+'DCF Model'!F45/(1+$B24)^('DCF Model'!C19+3)+'DCF Model'!G45/(1+$B24)^('DCF Model'!C19+4)+('DCF Model'!G39+'DCF Model'!G42)*F$17/(1+$B24)^('DCF Model'!C19+4)-'DCF Model'!C16)*1000000/'DCF Model'!C15,0),"")</f>
        <v>511</v>
      </c>
      <c r="G24" s="39" t="n">
        <f aca="false">IFERROR(ROUND(('DCF Model'!C45/(1+$B24)^('DCF Model'!C19+0)+'DCF Model'!D45/(1+$B24)^('DCF Model'!C19+1)+'DCF Model'!E45/(1+$B24)^('DCF Model'!C19+2)+'DCF Model'!F45/(1+$B24)^('DCF Model'!C19+3)+'DCF Model'!G45/(1+$B24)^('DCF Model'!C19+4)+('DCF Model'!G39+'DCF Model'!G42)*G$17/(1+$B24)^('DCF Model'!C19+4)-'DCF Model'!C16)*1000000/'DCF Model'!C15,0),"")</f>
        <v>745</v>
      </c>
      <c r="H24" s="39" t="n">
        <f aca="false">IFERROR(ROUND(('DCF Model'!C45/(1+$B24)^('DCF Model'!C19+0)+'DCF Model'!D45/(1+$B24)^('DCF Model'!C19+1)+'DCF Model'!E45/(1+$B24)^('DCF Model'!C19+2)+'DCF Model'!F45/(1+$B24)^('DCF Model'!C19+3)+'DCF Model'!G45/(1+$B24)^('DCF Model'!C19+4)+('DCF Model'!G39+'DCF Model'!G42)*H$17/(1+$B24)^('DCF Model'!C19+4)-'DCF Model'!C16)*1000000/'DCF Model'!C15,0),"")</f>
        <v>978</v>
      </c>
      <c r="I24" s="39" t="n">
        <f aca="false">IFERROR(ROUND(('DCF Model'!C45/(1+$B24)^('DCF Model'!C19+0)+'DCF Model'!D45/(1+$B24)^('DCF Model'!C19+1)+'DCF Model'!E45/(1+$B24)^('DCF Model'!C19+2)+'DCF Model'!F45/(1+$B24)^('DCF Model'!C19+3)+'DCF Model'!G45/(1+$B24)^('DCF Model'!C19+4)+('DCF Model'!G39+'DCF Model'!G42)*I$17/(1+$B24)^('DCF Model'!C19+4)-'DCF Model'!C16)*1000000/'DCF Model'!C15,0),"")</f>
        <v>1211</v>
      </c>
    </row>
    <row r="25" customFormat="false" ht="13.8" hidden="false" customHeight="false" outlineLevel="0" collapsed="false"/>
    <row r="26" customFormat="false" ht="13.5" hidden="false" customHeight="true" outlineLevel="0" collapsed="false">
      <c r="B26" s="1" t="s">
        <v>188</v>
      </c>
      <c r="C26" s="1"/>
      <c r="D26" s="1"/>
      <c r="E26" s="1"/>
      <c r="F26" s="1"/>
      <c r="G26" s="1"/>
      <c r="H26" s="1"/>
      <c r="I26" s="1"/>
    </row>
  </sheetData>
  <mergeCells count="1">
    <mergeCell ref="B26:I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1:F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2.7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8" min="3" style="0" width="15"/>
  </cols>
  <sheetData>
    <row r="1" customFormat="false" ht="13.8" hidden="false" customHeight="false" outlineLevel="0" collapsed="false"/>
    <row r="2" customFormat="false" ht="18" hidden="false" customHeight="true" outlineLevel="0" collapsed="false">
      <c r="B2" s="17" t="s">
        <v>189</v>
      </c>
    </row>
    <row r="3" customFormat="false" ht="13.5" hidden="false" customHeight="true" outlineLevel="0" collapsed="false">
      <c r="B3" s="46" t="s">
        <v>190</v>
      </c>
    </row>
    <row r="4" customFormat="false" ht="13.8" hidden="false" customHeight="false" outlineLevel="0" collapsed="false"/>
    <row r="5" customFormat="false" ht="13.5" hidden="false" customHeight="true" outlineLevel="0" collapsed="false">
      <c r="B5" s="47" t="s">
        <v>191</v>
      </c>
    </row>
    <row r="6" customFormat="false" ht="13.5" hidden="false" customHeight="true" outlineLevel="0" collapsed="false">
      <c r="B6" s="4" t="s">
        <v>192</v>
      </c>
      <c r="C6" s="46" t="s">
        <v>193</v>
      </c>
    </row>
    <row r="7" customFormat="false" ht="13.5" hidden="false" customHeight="true" outlineLevel="0" collapsed="false">
      <c r="B7" s="4" t="s">
        <v>194</v>
      </c>
      <c r="C7" s="46" t="s">
        <v>195</v>
      </c>
    </row>
    <row r="8" customFormat="false" ht="13.5" hidden="false" customHeight="true" outlineLevel="0" collapsed="false">
      <c r="B8" s="4" t="s">
        <v>196</v>
      </c>
      <c r="C8" s="46" t="s">
        <v>197</v>
      </c>
    </row>
    <row r="9" customFormat="false" ht="13.8" hidden="false" customHeight="false" outlineLevel="0" collapsed="false"/>
    <row r="10" customFormat="false" ht="45" hidden="false" customHeight="true" outlineLevel="0" collapsed="false">
      <c r="B10" s="46" t="s">
        <v>198</v>
      </c>
    </row>
    <row r="11" customFormat="false" ht="13.8" hidden="false" customHeight="false" outlineLevel="0" collapsed="false"/>
    <row r="12" customFormat="false" ht="13.8" hidden="false" customHeight="false" outlineLevel="0" collapsed="false"/>
    <row r="13" customFormat="false" ht="13.5" hidden="false" customHeight="true" outlineLevel="0" collapsed="false">
      <c r="B13" s="3" t="s">
        <v>199</v>
      </c>
    </row>
    <row r="14" customFormat="false" ht="27.75" hidden="false" customHeight="true" outlineLevel="0" collapsed="false">
      <c r="B14" s="12" t="s">
        <v>3</v>
      </c>
      <c r="C14" s="12" t="s">
        <v>5</v>
      </c>
      <c r="D14" s="12" t="s">
        <v>200</v>
      </c>
      <c r="E14" s="12" t="s">
        <v>201</v>
      </c>
      <c r="F14" s="12" t="s">
        <v>202</v>
      </c>
    </row>
    <row r="15" customFormat="false" ht="13.5" hidden="false" customHeight="true" outlineLevel="0" collapsed="false">
      <c r="B15" s="7" t="s">
        <v>203</v>
      </c>
      <c r="C15" s="7" t="s">
        <v>204</v>
      </c>
      <c r="D15" s="48" t="n">
        <v>325500</v>
      </c>
      <c r="E15" s="49" t="n">
        <v>0.4817</v>
      </c>
      <c r="F15" s="39" t="n">
        <f aca="false">D15*E15</f>
        <v>156793.35</v>
      </c>
    </row>
    <row r="16" customFormat="false" ht="13.5" hidden="false" customHeight="true" outlineLevel="0" collapsed="false">
      <c r="B16" s="7" t="s">
        <v>205</v>
      </c>
      <c r="C16" s="7" t="s">
        <v>206</v>
      </c>
      <c r="D16" s="48" t="n">
        <v>1175800</v>
      </c>
      <c r="E16" s="49" t="n">
        <v>0.5033</v>
      </c>
      <c r="F16" s="39" t="n">
        <f aca="false">D16*E16</f>
        <v>591780.14</v>
      </c>
    </row>
    <row r="17" customFormat="false" ht="13.5" hidden="false" customHeight="true" outlineLevel="0" collapsed="false">
      <c r="B17" s="7" t="s">
        <v>207</v>
      </c>
      <c r="C17" s="7" t="s">
        <v>208</v>
      </c>
      <c r="D17" s="48" t="n">
        <v>99171</v>
      </c>
      <c r="E17" s="49" t="n">
        <v>0.699</v>
      </c>
      <c r="F17" s="39" t="n">
        <f aca="false">D17*E17</f>
        <v>69320.529</v>
      </c>
    </row>
    <row r="18" customFormat="false" ht="13.5" hidden="false" customHeight="true" outlineLevel="0" collapsed="false">
      <c r="B18" s="7" t="s">
        <v>209</v>
      </c>
      <c r="C18" s="7" t="s">
        <v>210</v>
      </c>
      <c r="D18" s="48" t="n">
        <v>121016</v>
      </c>
      <c r="E18" s="49" t="n">
        <v>0.6562</v>
      </c>
      <c r="F18" s="39" t="n">
        <f aca="false">D18*E18</f>
        <v>79410.6992</v>
      </c>
    </row>
    <row r="19" customFormat="false" ht="13.5" hidden="false" customHeight="true" outlineLevel="0" collapsed="false">
      <c r="B19" s="7" t="s">
        <v>211</v>
      </c>
      <c r="C19" s="7" t="s">
        <v>212</v>
      </c>
      <c r="D19" s="48" t="n">
        <v>107751</v>
      </c>
      <c r="E19" s="49" t="n">
        <v>0.6386</v>
      </c>
      <c r="F19" s="39" t="n">
        <f aca="false">D19*E19</f>
        <v>68809.7886</v>
      </c>
    </row>
    <row r="20" customFormat="false" ht="13.5" hidden="false" customHeight="true" outlineLevel="0" collapsed="false">
      <c r="B20" s="7" t="s">
        <v>213</v>
      </c>
      <c r="C20" s="7" t="s">
        <v>214</v>
      </c>
      <c r="D20" s="48" t="n">
        <v>52871</v>
      </c>
      <c r="E20" s="49" t="n">
        <v>0.4871</v>
      </c>
      <c r="F20" s="39" t="n">
        <f aca="false">D20*E20</f>
        <v>25753.4641</v>
      </c>
    </row>
    <row r="21" customFormat="false" ht="13.5" hidden="false" customHeight="true" outlineLevel="0" collapsed="false">
      <c r="B21" s="50" t="s">
        <v>215</v>
      </c>
      <c r="F21" s="51" t="n">
        <f aca="false">SUM(F15:F20)</f>
        <v>991867.9709</v>
      </c>
    </row>
    <row r="22" customFormat="false" ht="13.5" hidden="false" customHeight="true" outlineLevel="0" collapsed="false">
      <c r="B22" s="46" t="s">
        <v>216</v>
      </c>
    </row>
    <row r="23" customFormat="false" ht="13.8" hidden="false" customHeight="false" outlineLevel="0" collapsed="false"/>
    <row r="24" customFormat="false" ht="13.5" hidden="false" customHeight="true" outlineLevel="0" collapsed="false">
      <c r="B24" s="4" t="s">
        <v>217</v>
      </c>
    </row>
    <row r="25" customFormat="false" ht="13.5" hidden="false" customHeight="true" outlineLevel="0" collapsed="false">
      <c r="B25" s="52" t="s">
        <v>218</v>
      </c>
    </row>
    <row r="26" customFormat="false" ht="13.8" hidden="false" customHeight="false" outlineLevel="0" collapsed="false"/>
    <row r="27" customFormat="false" ht="13.5" hidden="false" customHeight="true" outlineLevel="0" collapsed="false">
      <c r="B27" s="4" t="s">
        <v>219</v>
      </c>
      <c r="D27" s="4"/>
      <c r="E27" s="4"/>
    </row>
    <row r="28" customFormat="false" ht="13.5" hidden="false" customHeight="true" outlineLevel="0" collapsed="false">
      <c r="B28" s="13" t="s">
        <v>220</v>
      </c>
      <c r="C28" s="16" t="n">
        <f aca="false">'Executive Summary'!C9*C32/1000000</f>
        <v>3938454.231504</v>
      </c>
      <c r="D28" s="16" t="n">
        <f aca="false">ROUND(C28/$C$32*1000000,0)</f>
        <v>1424</v>
      </c>
    </row>
    <row r="29" customFormat="false" ht="13.5" hidden="false" customHeight="true" outlineLevel="0" collapsed="false">
      <c r="B29" s="13" t="s">
        <v>221</v>
      </c>
      <c r="C29" s="53" t="n">
        <f aca="false">F21</f>
        <v>991867.9709</v>
      </c>
      <c r="D29" s="16" t="n">
        <f aca="false">ROUND(C29/$C$32*1000000,0)</f>
        <v>359</v>
      </c>
    </row>
    <row r="30" customFormat="false" ht="30" hidden="false" customHeight="true" outlineLevel="0" collapsed="false">
      <c r="B30" s="4" t="s">
        <v>222</v>
      </c>
      <c r="C30" s="16" t="n">
        <f aca="false">C28-C29</f>
        <v>2946586.260604</v>
      </c>
      <c r="D30" s="16" t="n">
        <f aca="false">ROUND(C30/$C$32*1000000,0)</f>
        <v>1065</v>
      </c>
    </row>
    <row r="31" customFormat="false" ht="13.5" hidden="false" customHeight="true" outlineLevel="0" collapsed="false">
      <c r="B31" s="54" t="s">
        <v>223</v>
      </c>
      <c r="C31" s="55" t="n">
        <f aca="false">C29/C28</f>
        <v>0.251841944224201</v>
      </c>
    </row>
    <row r="32" customFormat="false" ht="13.5" hidden="false" customHeight="true" outlineLevel="0" collapsed="false">
      <c r="B32" s="13" t="s">
        <v>176</v>
      </c>
      <c r="C32" s="21" t="n">
        <f aca="false">'DCF Model'!C15</f>
        <v>2765768421</v>
      </c>
    </row>
    <row r="33" customFormat="false" ht="13.5" hidden="false" customHeight="true" outlineLevel="0" collapsed="false">
      <c r="B33" s="4"/>
      <c r="C33" s="56"/>
    </row>
    <row r="34" customFormat="false" ht="13.8" hidden="false" customHeight="false" outlineLevel="0" collapsed="false">
      <c r="B34" s="9" t="s">
        <v>224</v>
      </c>
    </row>
    <row r="35" customFormat="false" ht="45" hidden="false" customHeight="true" outlineLevel="0" collapsed="false">
      <c r="B35" s="46"/>
    </row>
    <row r="36" customFormat="false" ht="13.8" hidden="false" customHeight="false" outlineLevel="0" collapsed="false"/>
    <row r="37" customFormat="false" ht="13.8" hidden="false" customHeight="false" outlineLevel="0" collapsed="false">
      <c r="B37" s="4" t="s">
        <v>225</v>
      </c>
    </row>
    <row r="38" customFormat="false" ht="13.5" hidden="false" customHeight="true" outlineLevel="0" collapsed="false">
      <c r="B38" s="13" t="s">
        <v>226</v>
      </c>
      <c r="C38" s="16" t="n">
        <f aca="false">'Executive Summary'!C17</f>
        <v>657</v>
      </c>
    </row>
    <row r="39" customFormat="false" ht="27.75" hidden="false" customHeight="true" outlineLevel="0" collapsed="false">
      <c r="B39" s="57" t="s">
        <v>227</v>
      </c>
      <c r="C39" s="58" t="n">
        <f aca="false">'Executive Summary'!C18</f>
        <v>772</v>
      </c>
      <c r="D39" s="12"/>
      <c r="E39" s="12"/>
    </row>
    <row r="40" customFormat="false" ht="13.5" hidden="false" customHeight="true" outlineLevel="0" collapsed="false">
      <c r="B40" s="59" t="s">
        <v>228</v>
      </c>
      <c r="C40" s="16" t="n">
        <f aca="false">D29</f>
        <v>359</v>
      </c>
      <c r="D40" s="6"/>
      <c r="E40" s="8"/>
    </row>
    <row r="41" customFormat="false" ht="13.5" hidden="false" customHeight="true" outlineLevel="0" collapsed="false">
      <c r="B41" s="60" t="s">
        <v>229</v>
      </c>
      <c r="C41" s="16" t="n">
        <f aca="false">C38-C40</f>
        <v>298</v>
      </c>
      <c r="D41" s="6"/>
      <c r="E41" s="8"/>
    </row>
    <row r="42" customFormat="false" ht="13.5" hidden="false" customHeight="true" outlineLevel="0" collapsed="false">
      <c r="B42" s="60" t="s">
        <v>230</v>
      </c>
      <c r="C42" s="16" t="n">
        <f aca="false">'Executive Summary'!C9-C40</f>
        <v>1065</v>
      </c>
      <c r="D42" s="6"/>
      <c r="E42" s="8"/>
    </row>
    <row r="43" customFormat="false" ht="13.5" hidden="false" customHeight="true" outlineLevel="0" collapsed="false">
      <c r="B43" s="49"/>
      <c r="C43" s="6"/>
      <c r="D43" s="6"/>
      <c r="E43" s="8"/>
    </row>
    <row r="44" customFormat="false" ht="13.5" hidden="false" customHeight="true" outlineLevel="0" collapsed="false">
      <c r="B44" s="61" t="s">
        <v>231</v>
      </c>
      <c r="C44" s="6"/>
      <c r="D44" s="6"/>
      <c r="E44" s="8"/>
    </row>
    <row r="45" customFormat="false" ht="13.8" hidden="false" customHeight="false" outlineLevel="0" collapsed="false"/>
    <row r="46" customFormat="false" ht="45" hidden="false" customHeight="true" outlineLevel="0" collapsed="false">
      <c r="B46" s="46"/>
    </row>
    <row r="47" customFormat="false" ht="13.8" hidden="false" customHeight="false" outlineLevel="0" collapsed="false"/>
    <row r="48" customFormat="false" ht="13.8" hidden="false" customHeight="false" outlineLevel="0" collapsed="false"/>
    <row r="49" customFormat="false" ht="13.5" hidden="false" customHeight="true" outlineLevel="0" collapsed="false">
      <c r="B49" s="3" t="s">
        <v>232</v>
      </c>
    </row>
    <row r="50" customFormat="false" ht="13.5" hidden="false" customHeight="true" outlineLevel="0" collapsed="false">
      <c r="B50" s="4" t="s">
        <v>233</v>
      </c>
      <c r="C50" s="6" t="n">
        <f aca="false">F21</f>
        <v>991867.9709</v>
      </c>
    </row>
    <row r="51" customFormat="false" ht="13.5" hidden="false" customHeight="true" outlineLevel="0" collapsed="false">
      <c r="B51" s="4" t="s">
        <v>234</v>
      </c>
      <c r="C51" s="48" t="n">
        <v>984094</v>
      </c>
    </row>
    <row r="52" customFormat="false" ht="13.5" hidden="false" customHeight="true" outlineLevel="0" collapsed="false">
      <c r="B52" s="4" t="s">
        <v>235</v>
      </c>
      <c r="C52" s="6" t="n">
        <f aca="false">C50-C51</f>
        <v>7773.97089999996</v>
      </c>
    </row>
    <row r="53" customFormat="false" ht="13.5" hidden="false" customHeight="true" outlineLevel="0" collapsed="false">
      <c r="B53" s="4" t="s">
        <v>236</v>
      </c>
      <c r="C53" s="6" t="n">
        <f aca="false">ROUND(C52/C32*1000000,0)</f>
        <v>3</v>
      </c>
    </row>
    <row r="54" customFormat="false" ht="13.8" hidden="false" customHeight="false" outlineLevel="0" collapsed="false"/>
    <row r="55" customFormat="false" ht="45" hidden="false" customHeight="true" outlineLevel="0" collapsed="false">
      <c r="B55" s="46" t="s">
        <v>237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0" width="4"/>
    <col collapsed="false" customWidth="true" hidden="false" outlineLevel="0" max="3" min="3" style="0" width="34"/>
    <col collapsed="false" customWidth="true" hidden="false" outlineLevel="0" max="4" min="4" style="0" width="28"/>
    <col collapsed="false" customWidth="true" hidden="false" outlineLevel="0" max="5" min="5" style="0" width="22"/>
    <col collapsed="false" customWidth="true" hidden="false" outlineLevel="0" max="6" min="6" style="0" width="98"/>
  </cols>
  <sheetData>
    <row r="2" customFormat="false" ht="15" hidden="false" customHeight="false" outlineLevel="0" collapsed="false">
      <c r="B2" s="3" t="s">
        <v>238</v>
      </c>
    </row>
    <row r="4" customFormat="false" ht="15" hidden="false" customHeight="true" outlineLevel="0" collapsed="false">
      <c r="B4" s="62" t="s">
        <v>239</v>
      </c>
      <c r="C4" s="62" t="s">
        <v>240</v>
      </c>
      <c r="D4" s="62" t="s">
        <v>241</v>
      </c>
      <c r="E4" s="62" t="s">
        <v>242</v>
      </c>
      <c r="F4" s="62" t="s">
        <v>243</v>
      </c>
    </row>
    <row r="5" customFormat="false" ht="103.5" hidden="false" customHeight="true" outlineLevel="0" collapsed="false">
      <c r="B5" s="63" t="s">
        <v>244</v>
      </c>
      <c r="C5" s="63" t="s">
        <v>245</v>
      </c>
      <c r="D5" s="63" t="s">
        <v>246</v>
      </c>
      <c r="E5" s="63" t="s">
        <v>247</v>
      </c>
      <c r="F5" s="63" t="s">
        <v>248</v>
      </c>
    </row>
    <row r="6" customFormat="false" ht="103.5" hidden="false" customHeight="true" outlineLevel="0" collapsed="false">
      <c r="B6" s="63" t="s">
        <v>249</v>
      </c>
      <c r="C6" s="63" t="s">
        <v>250</v>
      </c>
      <c r="D6" s="63" t="s">
        <v>251</v>
      </c>
      <c r="E6" s="63" t="s">
        <v>252</v>
      </c>
      <c r="F6" s="63" t="s">
        <v>253</v>
      </c>
    </row>
    <row r="7" customFormat="false" ht="103.5" hidden="false" customHeight="true" outlineLevel="0" collapsed="false">
      <c r="B7" s="63" t="s">
        <v>254</v>
      </c>
      <c r="C7" s="63" t="s">
        <v>255</v>
      </c>
      <c r="D7" s="63" t="s">
        <v>256</v>
      </c>
      <c r="E7" s="64" t="s">
        <v>257</v>
      </c>
      <c r="F7" s="63" t="s">
        <v>258</v>
      </c>
    </row>
    <row r="8" customFormat="false" ht="103.5" hidden="false" customHeight="true" outlineLevel="0" collapsed="false">
      <c r="B8" s="63" t="s">
        <v>259</v>
      </c>
      <c r="C8" s="63" t="s">
        <v>260</v>
      </c>
      <c r="D8" s="63" t="s">
        <v>261</v>
      </c>
      <c r="E8" s="63" t="s">
        <v>262</v>
      </c>
      <c r="F8" s="63" t="s">
        <v>263</v>
      </c>
    </row>
    <row r="9" customFormat="false" ht="103.5" hidden="false" customHeight="true" outlineLevel="0" collapsed="false">
      <c r="B9" s="63" t="s">
        <v>264</v>
      </c>
      <c r="C9" s="63" t="s">
        <v>265</v>
      </c>
      <c r="D9" s="63" t="s">
        <v>266</v>
      </c>
      <c r="E9" s="63" t="s">
        <v>267</v>
      </c>
      <c r="F9" s="63" t="s">
        <v>268</v>
      </c>
    </row>
    <row r="10" customFormat="false" ht="103.5" hidden="false" customHeight="true" outlineLevel="0" collapsed="false">
      <c r="B10" s="63" t="s">
        <v>269</v>
      </c>
      <c r="C10" s="63" t="s">
        <v>270</v>
      </c>
      <c r="D10" s="63" t="s">
        <v>271</v>
      </c>
      <c r="E10" s="63" t="s">
        <v>272</v>
      </c>
      <c r="F10" s="63" t="s">
        <v>273</v>
      </c>
    </row>
    <row r="11" customFormat="false" ht="103.5" hidden="false" customHeight="true" outlineLevel="0" collapsed="false">
      <c r="B11" s="63"/>
      <c r="C11" s="63" t="s">
        <v>274</v>
      </c>
      <c r="D11" s="63"/>
      <c r="E11" s="63"/>
      <c r="F11" s="63" t="s">
        <v>275</v>
      </c>
    </row>
    <row r="12" customFormat="false" ht="103.5" hidden="false" customHeight="true" outlineLevel="0" collapsed="false">
      <c r="B12" s="63"/>
      <c r="C12" s="63" t="s">
        <v>276</v>
      </c>
      <c r="D12" s="63" t="s">
        <v>277</v>
      </c>
      <c r="E12" s="63"/>
      <c r="F12" s="63" t="s">
        <v>278</v>
      </c>
    </row>
    <row r="13" customFormat="false" ht="103.5" hidden="false" customHeight="true" outlineLevel="0" collapsed="false">
      <c r="B13" s="63"/>
      <c r="C13" s="63" t="s">
        <v>279</v>
      </c>
      <c r="D13" s="63" t="s">
        <v>280</v>
      </c>
      <c r="E13" s="63"/>
      <c r="F13" s="63" t="s">
        <v>281</v>
      </c>
    </row>
    <row r="14" customFormat="false" ht="103.5" hidden="false" customHeight="true" outlineLevel="0" collapsed="false">
      <c r="B14" s="63"/>
      <c r="C14" s="63" t="s">
        <v>282</v>
      </c>
      <c r="D14" s="63" t="s">
        <v>283</v>
      </c>
      <c r="E14" s="63"/>
      <c r="F14" s="63" t="s">
        <v>284</v>
      </c>
    </row>
    <row r="15" customFormat="false" ht="103.5" hidden="false" customHeight="true" outlineLevel="0" collapsed="false">
      <c r="B15" s="63"/>
      <c r="C15" s="63" t="s">
        <v>285</v>
      </c>
      <c r="D15" s="63" t="s">
        <v>286</v>
      </c>
      <c r="E15" s="63"/>
      <c r="F15" s="63" t="s">
        <v>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2026-07-30T05:53:07Z</dcterms:created>
  <dc:creator>openpyxl</dc:creator>
  <dc:description/>
  <dc:language>en-US</dc:language>
  <cp:lastModifiedBy>良亮 佐藤</cp:lastModifiedBy>
  <dcterms:modified xsi:type="dcterms:W3CDTF">2026-07-30T06:15:08Z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