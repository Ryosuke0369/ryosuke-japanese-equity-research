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1A4BA972-6ADA-4F69-B3EA-DAA25F187A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I17" i="7" s="1"/>
  <c r="F3" i="7"/>
  <c r="H6" i="7" s="1"/>
  <c r="O10" i="6"/>
  <c r="N10" i="6"/>
  <c r="M10" i="6"/>
  <c r="L10" i="6"/>
  <c r="K10" i="6"/>
  <c r="J10" i="6"/>
  <c r="O9" i="6"/>
  <c r="N9" i="6"/>
  <c r="M9" i="6"/>
  <c r="L9" i="6"/>
  <c r="K9" i="6"/>
  <c r="J9" i="6"/>
  <c r="O8" i="6"/>
  <c r="N8" i="6"/>
  <c r="M8" i="6"/>
  <c r="L8" i="6"/>
  <c r="K8" i="6"/>
  <c r="J8" i="6"/>
  <c r="O7" i="6"/>
  <c r="I16" i="6" s="1"/>
  <c r="N7" i="6"/>
  <c r="M7" i="6"/>
  <c r="L7" i="6"/>
  <c r="K7" i="6"/>
  <c r="J7" i="6"/>
  <c r="O6" i="6"/>
  <c r="N6" i="6"/>
  <c r="M6" i="6"/>
  <c r="G16" i="6" s="1"/>
  <c r="L6" i="6"/>
  <c r="F15" i="6" s="1"/>
  <c r="K6" i="6"/>
  <c r="J6" i="6"/>
  <c r="O5" i="6"/>
  <c r="N5" i="6"/>
  <c r="D5" i="6"/>
  <c r="M5" i="6" s="1"/>
  <c r="C16" i="5"/>
  <c r="C14" i="5"/>
  <c r="C18" i="5" s="1"/>
  <c r="C7" i="5"/>
  <c r="C6" i="5"/>
  <c r="C5" i="5"/>
  <c r="C13" i="4"/>
  <c r="C12" i="4"/>
  <c r="C9" i="4"/>
  <c r="C8" i="4"/>
  <c r="C10" i="4" s="1"/>
  <c r="C7" i="4"/>
  <c r="C6" i="4"/>
  <c r="D27" i="3"/>
  <c r="G5" i="5" s="1"/>
  <c r="C25" i="3"/>
  <c r="C24" i="3"/>
  <c r="C23" i="3"/>
  <c r="F28" i="2"/>
  <c r="E28" i="2"/>
  <c r="D28" i="2"/>
  <c r="C28" i="2"/>
  <c r="F23" i="2"/>
  <c r="E23" i="2"/>
  <c r="D23" i="2"/>
  <c r="C23" i="2"/>
  <c r="C22" i="2"/>
  <c r="F21" i="2"/>
  <c r="F22" i="2" s="1"/>
  <c r="E21" i="2"/>
  <c r="E22" i="2" s="1"/>
  <c r="D21" i="2"/>
  <c r="D22" i="2" s="1"/>
  <c r="C21" i="2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F8" i="2"/>
  <c r="F9" i="2" s="1"/>
  <c r="E8" i="2"/>
  <c r="E9" i="2" s="1"/>
  <c r="D8" i="2"/>
  <c r="D9" i="2" s="1"/>
  <c r="C8" i="2"/>
  <c r="C9" i="2" s="1"/>
  <c r="H15" i="6" l="1"/>
  <c r="E5" i="6"/>
  <c r="J5" i="6" s="1"/>
  <c r="I17" i="6"/>
  <c r="C26" i="3"/>
  <c r="G36" i="4" s="1"/>
  <c r="G15" i="6"/>
  <c r="D17" i="6"/>
  <c r="E15" i="6"/>
  <c r="C3" i="7"/>
  <c r="E36" i="4"/>
  <c r="D36" i="4"/>
  <c r="D46" i="3"/>
  <c r="C46" i="3"/>
  <c r="F46" i="3"/>
  <c r="F32" i="3"/>
  <c r="F5" i="5"/>
  <c r="C30" i="3"/>
  <c r="C33" i="3" s="1"/>
  <c r="F31" i="3"/>
  <c r="H5" i="5"/>
  <c r="D7" i="5"/>
  <c r="K5" i="6"/>
  <c r="I15" i="6"/>
  <c r="E17" i="6"/>
  <c r="I6" i="7"/>
  <c r="D31" i="3"/>
  <c r="D30" i="3"/>
  <c r="G31" i="3"/>
  <c r="E7" i="5"/>
  <c r="L5" i="6"/>
  <c r="D16" i="6"/>
  <c r="F17" i="6"/>
  <c r="C17" i="7"/>
  <c r="C31" i="3"/>
  <c r="G32" i="3"/>
  <c r="H6" i="5"/>
  <c r="E30" i="3"/>
  <c r="C32" i="3"/>
  <c r="D6" i="5"/>
  <c r="F7" i="5"/>
  <c r="E16" i="6"/>
  <c r="G17" i="6"/>
  <c r="C6" i="7"/>
  <c r="D17" i="7"/>
  <c r="F30" i="3"/>
  <c r="D32" i="3"/>
  <c r="E6" i="5"/>
  <c r="G7" i="5"/>
  <c r="D15" i="6"/>
  <c r="F16" i="6"/>
  <c r="C28" i="6" s="1"/>
  <c r="C19" i="1" s="1"/>
  <c r="D19" i="1" s="1"/>
  <c r="H17" i="6"/>
  <c r="D6" i="7"/>
  <c r="E17" i="7"/>
  <c r="G30" i="3"/>
  <c r="E32" i="3"/>
  <c r="C70" i="4"/>
  <c r="D5" i="5"/>
  <c r="F6" i="5"/>
  <c r="H7" i="5"/>
  <c r="E6" i="7"/>
  <c r="F17" i="7"/>
  <c r="C71" i="4"/>
  <c r="E5" i="5"/>
  <c r="G6" i="5"/>
  <c r="H16" i="6"/>
  <c r="F6" i="7"/>
  <c r="G17" i="7"/>
  <c r="G6" i="7"/>
  <c r="H17" i="7"/>
  <c r="E31" i="3"/>
  <c r="E46" i="3" l="1"/>
  <c r="G46" i="3"/>
  <c r="F36" i="4"/>
  <c r="C11" i="4"/>
  <c r="C24" i="4" s="1"/>
  <c r="C25" i="4" s="1"/>
  <c r="H36" i="4"/>
  <c r="H40" i="4" s="1"/>
  <c r="H50" i="4" s="1"/>
  <c r="H55" i="4" s="1"/>
  <c r="D45" i="4"/>
  <c r="D43" i="4"/>
  <c r="D46" i="4"/>
  <c r="D40" i="4"/>
  <c r="D44" i="4"/>
  <c r="D39" i="4"/>
  <c r="D49" i="4" s="1"/>
  <c r="D54" i="4" s="1"/>
  <c r="D38" i="4"/>
  <c r="D41" i="4"/>
  <c r="E39" i="4"/>
  <c r="E46" i="4"/>
  <c r="E40" i="4"/>
  <c r="E44" i="4"/>
  <c r="E38" i="4"/>
  <c r="E43" i="4"/>
  <c r="E41" i="4"/>
  <c r="E45" i="4"/>
  <c r="G46" i="4"/>
  <c r="G44" i="4"/>
  <c r="G38" i="4"/>
  <c r="G41" i="4"/>
  <c r="G45" i="4"/>
  <c r="G39" i="4"/>
  <c r="G43" i="4"/>
  <c r="G40" i="4"/>
  <c r="G50" i="4" s="1"/>
  <c r="G55" i="4" s="1"/>
  <c r="C29" i="4"/>
  <c r="C27" i="4"/>
  <c r="C26" i="4"/>
  <c r="B13" i="7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C27" i="6"/>
  <c r="C18" i="1" s="1"/>
  <c r="D18" i="1" s="1"/>
  <c r="C74" i="4"/>
  <c r="F43" i="4"/>
  <c r="F40" i="4"/>
  <c r="F44" i="4"/>
  <c r="F38" i="4"/>
  <c r="F41" i="4"/>
  <c r="F46" i="4"/>
  <c r="F45" i="4"/>
  <c r="F39" i="4"/>
  <c r="H38" i="4"/>
  <c r="H41" i="4"/>
  <c r="H45" i="4"/>
  <c r="H39" i="4"/>
  <c r="H43" i="4"/>
  <c r="H46" i="4"/>
  <c r="H44" i="4"/>
  <c r="D9" i="5"/>
  <c r="D12" i="5" s="1"/>
  <c r="C42" i="3"/>
  <c r="C34" i="3"/>
  <c r="D10" i="5" s="1"/>
  <c r="C37" i="3"/>
  <c r="D33" i="3"/>
  <c r="D51" i="4" l="1"/>
  <c r="D56" i="4" s="1"/>
  <c r="E51" i="4"/>
  <c r="E56" i="4" s="1"/>
  <c r="D48" i="4"/>
  <c r="D53" i="4" s="1"/>
  <c r="H51" i="4"/>
  <c r="H56" i="4" s="1"/>
  <c r="G49" i="4"/>
  <c r="G54" i="4" s="1"/>
  <c r="F51" i="4"/>
  <c r="F56" i="4" s="1"/>
  <c r="F50" i="4"/>
  <c r="F55" i="4" s="1"/>
  <c r="H48" i="4"/>
  <c r="H53" i="4" s="1"/>
  <c r="G51" i="4"/>
  <c r="G56" i="4" s="1"/>
  <c r="D50" i="4"/>
  <c r="D55" i="4" s="1"/>
  <c r="F49" i="4"/>
  <c r="E48" i="4"/>
  <c r="E53" i="4" s="1"/>
  <c r="D15" i="5"/>
  <c r="D16" i="5" s="1"/>
  <c r="D13" i="5"/>
  <c r="D14" i="5" s="1"/>
  <c r="D18" i="5" s="1"/>
  <c r="D19" i="5" s="1"/>
  <c r="C44" i="3" s="1"/>
  <c r="G48" i="4"/>
  <c r="G53" i="4" s="1"/>
  <c r="E50" i="4"/>
  <c r="E55" i="4" s="1"/>
  <c r="D37" i="3"/>
  <c r="D34" i="3"/>
  <c r="E10" i="5" s="1"/>
  <c r="D35" i="3"/>
  <c r="E33" i="3"/>
  <c r="D42" i="3"/>
  <c r="E9" i="5"/>
  <c r="E12" i="5" s="1"/>
  <c r="C35" i="3"/>
  <c r="H49" i="4"/>
  <c r="H54" i="4" s="1"/>
  <c r="F48" i="4"/>
  <c r="F53" i="4" s="1"/>
  <c r="E49" i="4"/>
  <c r="E54" i="4" s="1"/>
  <c r="C39" i="3" l="1"/>
  <c r="C36" i="3"/>
  <c r="C38" i="3"/>
  <c r="F54" i="4"/>
  <c r="C60" i="4"/>
  <c r="B78" i="4"/>
  <c r="F9" i="5"/>
  <c r="F12" i="5" s="1"/>
  <c r="F33" i="3"/>
  <c r="E42" i="3"/>
  <c r="E34" i="3"/>
  <c r="F10" i="5" s="1"/>
  <c r="E37" i="3"/>
  <c r="D36" i="3"/>
  <c r="D39" i="3"/>
  <c r="D38" i="3"/>
  <c r="E13" i="5"/>
  <c r="E14" i="5" s="1"/>
  <c r="E18" i="5" s="1"/>
  <c r="E19" i="5" s="1"/>
  <c r="D44" i="3" s="1"/>
  <c r="E15" i="5"/>
  <c r="E16" i="5" s="1"/>
  <c r="F15" i="5" l="1"/>
  <c r="F16" i="5" s="1"/>
  <c r="F13" i="5"/>
  <c r="F14" i="5"/>
  <c r="F18" i="5" s="1"/>
  <c r="F19" i="5" s="1"/>
  <c r="E44" i="3" s="1"/>
  <c r="D40" i="3"/>
  <c r="D41" i="3" s="1"/>
  <c r="D45" i="3" s="1"/>
  <c r="D47" i="3" s="1"/>
  <c r="C64" i="4"/>
  <c r="D64" i="4" s="1"/>
  <c r="C67" i="4"/>
  <c r="D67" i="4" s="1"/>
  <c r="C63" i="4"/>
  <c r="D63" i="4" s="1"/>
  <c r="C66" i="4"/>
  <c r="D66" i="4" s="1"/>
  <c r="C65" i="4"/>
  <c r="D65" i="4" s="1"/>
  <c r="F42" i="3"/>
  <c r="F34" i="3"/>
  <c r="G10" i="5" s="1"/>
  <c r="F35" i="3"/>
  <c r="G33" i="3"/>
  <c r="G9" i="5"/>
  <c r="G12" i="5" s="1"/>
  <c r="F37" i="3"/>
  <c r="E35" i="3"/>
  <c r="C40" i="3"/>
  <c r="C41" i="3" s="1"/>
  <c r="C45" i="3" s="1"/>
  <c r="E39" i="3" l="1"/>
  <c r="E38" i="3"/>
  <c r="E36" i="3"/>
  <c r="G37" i="3"/>
  <c r="C16" i="4"/>
  <c r="C28" i="4" s="1"/>
  <c r="H9" i="5"/>
  <c r="H12" i="5" s="1"/>
  <c r="G35" i="3"/>
  <c r="G42" i="3"/>
  <c r="G34" i="3"/>
  <c r="H10" i="5" s="1"/>
  <c r="C47" i="3"/>
  <c r="F38" i="3"/>
  <c r="F36" i="3"/>
  <c r="F39" i="3"/>
  <c r="G13" i="5"/>
  <c r="G14" i="5" s="1"/>
  <c r="G15" i="5"/>
  <c r="G16" i="5" s="1"/>
  <c r="G38" i="3" l="1"/>
  <c r="G36" i="3"/>
  <c r="G39" i="3"/>
  <c r="F40" i="3"/>
  <c r="F41" i="3" s="1"/>
  <c r="G18" i="5"/>
  <c r="G19" i="5" s="1"/>
  <c r="F44" i="3" s="1"/>
  <c r="H15" i="5"/>
  <c r="H16" i="5" s="1"/>
  <c r="H13" i="5"/>
  <c r="H14" i="5" s="1"/>
  <c r="H18" i="5" s="1"/>
  <c r="H19" i="5" s="1"/>
  <c r="G44" i="3" s="1"/>
  <c r="C72" i="4"/>
  <c r="C73" i="4"/>
  <c r="E40" i="3"/>
  <c r="E41" i="3" s="1"/>
  <c r="E45" i="3" s="1"/>
  <c r="F45" i="3" l="1"/>
  <c r="F47" i="3" s="1"/>
  <c r="E47" i="3"/>
  <c r="C59" i="3"/>
  <c r="C60" i="3" s="1"/>
  <c r="C61" i="3" s="1"/>
  <c r="G40" i="3"/>
  <c r="G41" i="3" s="1"/>
  <c r="G45" i="3" s="1"/>
  <c r="G47" i="3" l="1"/>
  <c r="C51" i="3"/>
  <c r="C52" i="3" s="1"/>
  <c r="E18" i="7"/>
  <c r="G21" i="7"/>
  <c r="I9" i="7"/>
  <c r="E24" i="7"/>
  <c r="F7" i="7"/>
  <c r="D7" i="7"/>
  <c r="E12" i="7"/>
  <c r="E9" i="7"/>
  <c r="F23" i="7"/>
  <c r="G23" i="7"/>
  <c r="F22" i="7"/>
  <c r="E19" i="7"/>
  <c r="H10" i="7"/>
  <c r="I20" i="7"/>
  <c r="H9" i="7"/>
  <c r="H18" i="7"/>
  <c r="F18" i="7"/>
  <c r="F12" i="7"/>
  <c r="I18" i="7"/>
  <c r="D24" i="7"/>
  <c r="F9" i="7"/>
  <c r="I24" i="7"/>
  <c r="D12" i="7"/>
  <c r="E13" i="7"/>
  <c r="I8" i="7"/>
  <c r="E22" i="7"/>
  <c r="C23" i="7"/>
  <c r="E11" i="7"/>
  <c r="F21" i="7"/>
  <c r="E10" i="7"/>
  <c r="I11" i="7"/>
  <c r="I22" i="7"/>
  <c r="D22" i="7"/>
  <c r="C13" i="7"/>
  <c r="C10" i="7"/>
  <c r="I21" i="7"/>
  <c r="D8" i="7"/>
  <c r="D19" i="7"/>
  <c r="H24" i="7"/>
  <c r="C12" i="7"/>
  <c r="F19" i="7"/>
  <c r="H12" i="7"/>
  <c r="C20" i="7"/>
  <c r="E23" i="7"/>
  <c r="D10" i="7"/>
  <c r="E21" i="7"/>
  <c r="E20" i="7"/>
  <c r="D20" i="7"/>
  <c r="C7" i="7"/>
  <c r="C21" i="7"/>
  <c r="H7" i="7"/>
  <c r="G12" i="7"/>
  <c r="C22" i="7"/>
  <c r="E7" i="7"/>
  <c r="H22" i="7"/>
  <c r="I23" i="7"/>
  <c r="D11" i="7"/>
  <c r="D9" i="7"/>
  <c r="H8" i="7"/>
  <c r="G24" i="7"/>
  <c r="F11" i="7"/>
  <c r="G22" i="7"/>
  <c r="I10" i="7"/>
  <c r="D13" i="7"/>
  <c r="G10" i="7"/>
  <c r="H11" i="7"/>
  <c r="D21" i="7"/>
  <c r="H20" i="7"/>
  <c r="C8" i="7"/>
  <c r="D18" i="7"/>
  <c r="C24" i="7"/>
  <c r="G11" i="7"/>
  <c r="I7" i="7"/>
  <c r="G13" i="7"/>
  <c r="F10" i="7"/>
  <c r="H13" i="7"/>
  <c r="D23" i="7"/>
  <c r="G20" i="7"/>
  <c r="H21" i="7"/>
  <c r="C9" i="7"/>
  <c r="G8" i="7"/>
  <c r="C18" i="7"/>
  <c r="H19" i="7"/>
  <c r="I12" i="7"/>
  <c r="G19" i="7"/>
  <c r="F13" i="7"/>
  <c r="F20" i="7"/>
  <c r="H23" i="7"/>
  <c r="C11" i="7"/>
  <c r="F8" i="7"/>
  <c r="G9" i="7"/>
  <c r="C19" i="7"/>
  <c r="G18" i="7"/>
  <c r="I19" i="7"/>
  <c r="G7" i="7"/>
  <c r="I13" i="7"/>
  <c r="E8" i="7"/>
  <c r="F24" i="7"/>
  <c r="C50" i="3"/>
  <c r="C58" i="3" l="1"/>
  <c r="C62" i="3" s="1"/>
  <c r="C53" i="3"/>
  <c r="C17" i="4" l="1"/>
  <c r="C54" i="3"/>
  <c r="C55" i="3" s="1"/>
  <c r="C16" i="1" s="1"/>
  <c r="C63" i="3"/>
  <c r="C64" i="3" s="1"/>
  <c r="C17" i="1" s="1"/>
  <c r="D17" i="1" s="1"/>
  <c r="C19" i="4" l="1"/>
  <c r="C20" i="4" s="1"/>
  <c r="B79" i="4"/>
  <c r="C21" i="1"/>
  <c r="C10" i="1"/>
  <c r="C12" i="1" s="1"/>
  <c r="C11" i="1" s="1"/>
  <c r="D16" i="1"/>
</calcChain>
</file>

<file path=xl/sharedStrings.xml><?xml version="1.0" encoding="utf-8"?>
<sst xmlns="http://schemas.openxmlformats.org/spreadsheetml/2006/main" count="445" uniqueCount="361">
  <si>
    <t>DISCLAIMER: This is a sample analysis for demonstration purposes only. It does not constitute investment advice.</t>
  </si>
  <si>
    <t>東急不動産ホールディングス (3289.T)</t>
  </si>
  <si>
    <t>Equity Research Report</t>
  </si>
  <si>
    <t>Company</t>
  </si>
  <si>
    <t>東急不動産ホールディングス</t>
  </si>
  <si>
    <t>Ticker</t>
  </si>
  <si>
    <t>3289.T (TSE Prime)</t>
  </si>
  <si>
    <t>Sector</t>
  </si>
  <si>
    <t>不動産業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</si>
  <si>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</si>
  <si>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</si>
  <si>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</si>
  <si>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</si>
  <si>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</si>
  <si>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</si>
  <si>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</si>
  <si>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</si>
  <si>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</si>
  <si>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</si>
  <si>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</si>
  <si>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</si>
  <si>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</si>
  <si>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</si>
  <si>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</si>
  <si>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1. [Edit] Describe key competitive advantage</t>
  </si>
  <si>
    <t>2. [Edit] Describe growth driver</t>
  </si>
  <si>
    <t>3. [Edit] Describe margin expansion opportunity</t>
  </si>
  <si>
    <t>Key Risks</t>
  </si>
  <si>
    <t>1. [Edit] Describe primary risk factor</t>
  </si>
  <si>
    <t>2. [Edit] Describe secondary risk factor</t>
  </si>
  <si>
    <t>3. [Edit] Describe tertiary risk factor</t>
  </si>
  <si>
    <t>東急不動産ホールディングス - Historical Financials (JPY mn)</t>
  </si>
  <si>
    <t>FY2023</t>
  </si>
  <si>
    <t>FY2024</t>
  </si>
  <si>
    <t>FY2025</t>
  </si>
  <si>
    <t>FY2026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</si>
  <si>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</si>
  <si>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</si>
  <si>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</si>
  <si>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</si>
  <si>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</si>
  <si>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</si>
  <si>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</si>
  <si>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</si>
  <si>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</si>
  <si>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</si>
  <si>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</si>
  <si>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</si>
  <si>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</si>
  <si>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</si>
  <si>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</si>
  <si>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</si>
  <si>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</si>
  <si>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</si>
  <si>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</si>
  <si>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</si>
  <si>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</si>
  <si>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</si>
  <si>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</si>
  <si>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4/4, Cash 4/4, Debt 4/4 — blank cells are years with no year-key match in the source data (verify against 決算短信 or set hist_ocf / hist_cash / hist_debt in overrides).</t>
  </si>
  <si>
    <t>DCF Valuation Model - 東急不動産ホールディングス</t>
  </si>
  <si>
    <t>Assumptions</t>
  </si>
  <si>
    <t>Capex / Revenue (fallback)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</si>
  <si>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</si>
  <si>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</si>
  <si>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</si>
  <si>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</si>
  <si>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</si>
  <si>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</si>
  <si>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</si>
  <si>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</si>
  <si>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</si>
  <si>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</si>
  <si>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</si>
  <si>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</si>
  <si>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</si>
  <si>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</si>
  <si>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</si>
  <si>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</si>
  <si>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</si>
  <si>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</si>
  <si>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</si>
  <si>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</si>
  <si>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</si>
  <si>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</si>
  <si>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</si>
  <si>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</si>
  <si>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</si>
  <si>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</si>
  <si>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</si>
  <si>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</si>
  <si>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</si>
  <si>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</si>
  <si>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</si>
  <si>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</si>
  <si>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</si>
  <si>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</si>
  <si>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</si>
  <si>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</si>
  <si>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</si>
  <si>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</si>
  <si>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</si>
  <si>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</si>
  <si>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</si>
  <si>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</si>
  <si>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</si>
  <si>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</si>
  <si>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</si>
  <si>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</si>
  <si>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</si>
  <si>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</si>
  <si>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</si>
  <si>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</si>
  <si>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</si>
  <si>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</si>
  <si>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</si>
  <si>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</si>
  <si>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</si>
  <si>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</si>
  <si>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</si>
  <si>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</si>
  <si>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</si>
  <si>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</si>
  <si>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</si>
  <si>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</si>
  <si>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東急不動産ホールディングス (3289.T)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</si>
  <si>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</si>
  <si>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</si>
  <si>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</si>
  <si>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</si>
  <si>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</si>
  <si>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</si>
  <si>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</si>
  <si>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</si>
  <si>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(FY2026 actual)</t>
  </si>
  <si>
    <t>Cycle-peak Operating Profit (FY2026 actual)</t>
  </si>
  <si>
    <t>Terminal-year Revenue, active scenario (JPY mn)</t>
  </si>
  <si>
    <t>Base-case DCF Enterprise Value, PGM (JPY mn)</t>
  </si>
  <si>
    <t>Cycle-peak Operating Margin (FY2026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</si>
  <si>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</si>
  <si>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</si>
  <si>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</si>
  <si>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</si>
  <si>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</si>
  <si>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</si>
  <si>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FY2026 peak</t>
  </si>
  <si>
    <t>... as a multiple of FY2026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</si>
  <si>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</si>
  <si>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</si>
  <si>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</si>
  <si>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</si>
  <si>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</si>
  <si>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</si>
  <si>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</si>
  <si>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</si>
  <si>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</si>
  <si>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</si>
  <si>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</si>
  <si>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</si>
  <si>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</si>
  <si>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</si>
  <si>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FY2026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</si>
  <si>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</si>
  <si>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</si>
  <si>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</si>
  <si>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</si>
  <si>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</si>
  <si>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</si>
  <si>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(FY2026)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</si>
  <si>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</si>
  <si>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</si>
  <si>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</si>
  <si>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</si>
  <si>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</si>
  <si>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</si>
  <si>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</si>
  <si>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</si>
  <si>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東急不動産ホールディングス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</si>
  <si>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</si>
  <si>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</si>
  <si>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</si>
  <si>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</si>
  <si>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</si>
  <si>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</si>
  <si>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</si>
  <si>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</si>
  <si>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</si>
  <si>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</si>
  <si>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</si>
  <si>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</si>
  <si>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</si>
  <si>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</si>
  <si>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</si>
  <si>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</si>
  <si>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</si>
  <si>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</si>
  <si>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</si>
  <si>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2026-09-06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</si>
  <si>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</si>
  <si>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</si>
  <si>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</si>
  <si>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</si>
  <si>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</si>
  <si>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</si>
  <si>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</si>
  <si>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</si>
  <si>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</si>
  <si>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</si>
  <si>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</si>
  <si>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</si>
  <si>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</si>
  <si>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</si>
  <si>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Tokyu Fudosan Holdings Corporation</t>
  </si>
  <si>
    <t>3289.T</t>
  </si>
  <si>
    <t>Mitsui Fudosan Co., Ltd.</t>
  </si>
  <si>
    <t>8801.T</t>
  </si>
  <si>
    <t>Mitsubishi Estate Co., Ltd.</t>
  </si>
  <si>
    <t>8802.T</t>
  </si>
  <si>
    <t>Sumitomo Realty &amp; Development Co., Ltd.</t>
  </si>
  <si>
    <t>8830.T</t>
  </si>
  <si>
    <t>Nomura Real Estate Holdings, Inc.</t>
  </si>
  <si>
    <t>3231.T</t>
  </si>
  <si>
    <t>Tokyo Tatemono Co., Ltd.</t>
  </si>
  <si>
    <t>8804.T</t>
  </si>
  <si>
    <t>Statistics</t>
  </si>
  <si>
    <t>25th Percentile</t>
  </si>
  <si>
    <t>Median (50th)</t>
  </si>
  <si>
    <t>75th Percentile</t>
  </si>
  <si>
    <t>Implied Valuation for 東急不動産ホールディングス</t>
  </si>
  <si>
    <t>東急不動産ホールディングス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</si>
  <si>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</si>
  <si>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</si>
  <si>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</si>
  <si>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</si>
  <si>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</si>
  <si>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</si>
  <si>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</si>
  <si>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</si>
  <si>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</si>
  <si>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</si>
  <si>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</si>
  <si>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</si>
  <si>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</si>
  <si>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</si>
  <si>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</si>
  <si>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東急不動産ホールディングス</t>
  </si>
  <si>
    <t>日付</t>
  </si>
  <si>
    <t>セル</t>
  </si>
  <si>
    <t>変更内容</t>
  </si>
  <si>
    <t>理由</t>
  </si>
  <si>
    <t>元の値</t>
  </si>
  <si>
    <t>状態</t>
  </si>
  <si>
    <t>2026-09-06</t>
  </si>
  <si>
    <t>-</t>
  </si>
  <si>
    <t>Generated by pipeline on 2026-09-06 18:45, template rev 63983ab</t>
  </si>
  <si>
    <t>初期生成（手修正なし）</t>
  </si>
  <si>
    <t>generated</t>
  </si>
  <si>
    <t>DCF Model!C11</t>
  </si>
  <si>
    <t>After-tax Cost of Debt = 0.88% (実績ベース)</t>
  </si>
  <si>
    <t>実績Kd = 支払利息20,917 ÷ 平均有利子負債1,787,394(期首1,747,845/期末1,826,944、debt_beginning/debt_ending) = 税引前1.17% × (1−25.0%) = 0.88%。【マージナルコスト注記】これは既存借入の実績平均コストであり、新規調達の限界コストではない。テンプレ既定(税引前2.8% = 税引後1.00%)は10年JGB+スプレッドの推定値で、金利上昇局面での借換え・増額調達には既定値に近い水準を当てるべき。WACCは実績Kd採用で低下する（＝保守的でない方向）</t>
  </si>
  <si>
    <t>テンプレ既定/overrides 1.00%(税引後)</t>
  </si>
  <si>
    <t>確定(実績)</t>
  </si>
  <si>
    <t>DCF Model!C8</t>
  </si>
  <si>
    <t>Beta = 0.764（採用値）</t>
  </si>
  <si>
    <t>実測β(raw) = 0.647 → Blume調整 0.67×raw + 0.33×1.00 = 0.764 → 採用 0.764。クランプ域 [0.3, 2.0] の内側。置換なし。回帰βは平均回帰するため Blume 調整を既定とする（2026-09-05 バッチで85件中57件が旧下限 0.60 に張り付き、両裾の歪みが実証された）。</t>
  </si>
  <si>
    <t>実測 0.647</t>
  </si>
  <si>
    <t>確定</t>
  </si>
  <si>
    <t>Pipeline Metadata (do not edit — read by scripts/validate_output.py)</t>
  </si>
  <si>
    <t>key</t>
  </si>
  <si>
    <t>value</t>
  </si>
  <si>
    <t>auto_log_entries</t>
  </si>
  <si>
    <t>2</t>
  </si>
  <si>
    <t>beta_adopted_c8</t>
  </si>
  <si>
    <t>0.7638</t>
  </si>
  <si>
    <t>beta_basis</t>
  </si>
  <si>
    <t>Blume: 0.67 x 0.647 + 0.33 x 1.00 = 0.764</t>
  </si>
  <si>
    <t>beta_blume_adjusted</t>
  </si>
  <si>
    <t>beta_clamped</t>
  </si>
  <si>
    <t>no</t>
  </si>
  <si>
    <t>beta_raw</t>
  </si>
  <si>
    <t>0.6474</t>
  </si>
  <si>
    <t>capex_pct_basis</t>
  </si>
  <si>
    <t>explicit_override</t>
  </si>
  <si>
    <t>capex_pct_c5</t>
  </si>
  <si>
    <t>0.06216</t>
  </si>
  <si>
    <t>capex_pct_hist3yr</t>
  </si>
  <si>
    <t>0.12186</t>
  </si>
  <si>
    <t>company_name</t>
  </si>
  <si>
    <t>comps_asof</t>
  </si>
  <si>
    <t>comps_da_missing</t>
  </si>
  <si>
    <t>none</t>
  </si>
  <si>
    <t>comps_ebitda_excluded</t>
  </si>
  <si>
    <t>comps_ev_ebitda_invalid</t>
  </si>
  <si>
    <t>comps_ev_ebitda_rows</t>
  </si>
  <si>
    <t>6,7,8,9,10</t>
  </si>
  <si>
    <t>comps_impl_mult_row</t>
  </si>
  <si>
    <t>27</t>
  </si>
  <si>
    <t>comps_impl_per_row</t>
  </si>
  <si>
    <t>28</t>
  </si>
  <si>
    <t>comps_peer_rows</t>
  </si>
  <si>
    <t>comps_per_excluded</t>
  </si>
  <si>
    <t>comps_stale_excluded</t>
  </si>
  <si>
    <t>comps_stat_median_row</t>
  </si>
  <si>
    <t>16</t>
  </si>
  <si>
    <t>comps_subject_row</t>
  </si>
  <si>
    <t>5</t>
  </si>
  <si>
    <t>core_ebitda</t>
  </si>
  <si>
    <t>240689.0</t>
  </si>
  <si>
    <t>core_net_income</t>
  </si>
  <si>
    <t>96697.0</t>
  </si>
  <si>
    <t>cost_of_debt_actual</t>
  </si>
  <si>
    <t>interest 20,917 (expense 20,917 + fees 0) / avg debt 1,787,394 (debt_beginning/debt_ending) = 0.011703 pre-tax -&gt; 0.008800 after-tax</t>
  </si>
  <si>
    <t>cost_of_debt_at_c11</t>
  </si>
  <si>
    <t>0.0088</t>
  </si>
  <si>
    <t>cost_of_debt_avg_debt</t>
  </si>
  <si>
    <t>1787394.5</t>
  </si>
  <si>
    <t>cost_of_debt_basis</t>
  </si>
  <si>
    <t>actual</t>
  </si>
  <si>
    <t>cost_of_debt_interest</t>
  </si>
  <si>
    <t>20917.0</t>
  </si>
  <si>
    <t>cost_of_debt_pretax</t>
  </si>
  <si>
    <t>0.011702508875349007</t>
  </si>
  <si>
    <t>da_pct_basis</t>
  </si>
  <si>
    <t>da_pct_c18</t>
  </si>
  <si>
    <t>0.0592</t>
  </si>
  <si>
    <t>da_pct_hist3yr</t>
  </si>
  <si>
    <t>0.04677</t>
  </si>
  <si>
    <t>fs_year_coverage</t>
  </si>
  <si>
    <t>OCF 4/4, Cash 4/4, Debt 4/4</t>
  </si>
  <si>
    <t>fs_year_map</t>
  </si>
  <si>
    <t>FY2023&lt;-FY2023[ocf+cash+debt]; FY2024&lt;-FY2024[ocf+cash+debt]; FY2025&lt;-FY2025[ocf+cash+debt]; FY2026&lt;-FY2026[ocf+cash+debt]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</si>
  <si>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</si>
  <si>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</si>
  <si>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</si>
  <si>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</si>
  <si>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</si>
  <si>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2026-09-06 18:45:08</t>
  </si>
  <si>
    <t>guidance_note</t>
  </si>
  <si>
    <t>TDnet 決算短信 via screener guidance table: FY2027 disclosed 2026-08-06 (net_income=100,000mn, operating_income=190,000mn, revenue=1,400,000mn)</t>
  </si>
  <si>
    <t>guidance_source</t>
  </si>
  <si>
    <t>tdnet_screener_db</t>
  </si>
  <si>
    <t>latest_operating_income</t>
  </si>
  <si>
    <t>166883.0</t>
  </si>
  <si>
    <t>ltm_revenue_c20</t>
  </si>
  <si>
    <t>1246048.0</t>
  </si>
  <si>
    <t>ltm_revenue_source</t>
  </si>
  <si>
    <t>latest FY (no LTM)</t>
  </si>
  <si>
    <t>market_data_source</t>
  </si>
  <si>
    <t>yfinance; from overrides: beta, current_price, shares_outstanding</t>
  </si>
  <si>
    <t>narrative_tokens_used</t>
  </si>
  <si>
    <t>net_debt_source</t>
  </si>
  <si>
    <t>EDINET net_debt</t>
  </si>
  <si>
    <t>reverse_dcf_sheet</t>
  </si>
  <si>
    <t>op0=166,883(FY2026) peak=166,883(FY2026) peak_opm=0.1339 N=3/5/7/10</t>
  </si>
  <si>
    <t>scenario_index_range</t>
  </si>
  <si>
    <t>B69:B73</t>
  </si>
  <si>
    <t>tax_rate_c6</t>
  </si>
  <si>
    <t>0.25</t>
  </si>
  <si>
    <t>template_rev</t>
  </si>
  <si>
    <t>63983ab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</si>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</sst>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5" t="s">
        <v>0</v>
      </c>
      <c r="C1" s="44"/>
      <c r="D1" s="44"/>
      <c r="E1" s="44"/>
    </row>
    <row r="3" spans="2:5" ht="18" x14ac:dyDescent="0.4">
      <c r="B3" s="43" t="s">
        <v>1</v>
      </c>
      <c r="C3" s="44"/>
      <c r="D3" s="44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1312</v>
      </c>
    </row>
    <row r="10" spans="2:5" ht="14" x14ac:dyDescent="0.3">
      <c r="B10" s="4" t="s">
        <v>10</v>
      </c>
      <c r="C10" s="5">
        <f>IF(COUNT(C16:C17)=0,"N/A",ROUND(AVERAGE(C16:C17),0))</f>
        <v>3051</v>
      </c>
    </row>
    <row r="11" spans="2:5" ht="14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x14ac:dyDescent="0.3">
      <c r="B12" s="4" t="s">
        <v>12</v>
      </c>
      <c r="C12" s="7">
        <f>IF(ISNUMBER(C10),(C10-C9)/C9,"N/A")</f>
        <v>1.3254573170731707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2798</v>
      </c>
      <c r="D16" s="7">
        <f>IF(ISNUMBER(C16),(C16-C9)/C9,"N/A")</f>
        <v>1.1326219512195121</v>
      </c>
    </row>
    <row r="17" spans="2:5" ht="13.5" x14ac:dyDescent="0.25">
      <c r="B17" t="s">
        <v>18</v>
      </c>
      <c r="C17" s="11">
        <f>IF('DCF Model'!C62&lt;'DCF Model'!C16,"INVALID (EV &lt; net debt)",'DCF Model'!C64)</f>
        <v>3303</v>
      </c>
      <c r="D17" s="7">
        <f>IF(ISNUMBER(C17),(C17-C9)/C9,"N/A")</f>
        <v>1.5175304878048781</v>
      </c>
    </row>
    <row r="18" spans="2:5" ht="13.5" x14ac:dyDescent="0.25">
      <c r="B18" t="s">
        <v>19</v>
      </c>
      <c r="C18" s="11">
        <f>'Comps Analysis'!C27</f>
        <v>3016</v>
      </c>
      <c r="D18" s="7">
        <f>IF(ISNUMBER(C18),(C18-C9)/C9,"N/A")</f>
        <v>1.2987804878048781</v>
      </c>
    </row>
    <row r="19" spans="2:5" ht="13.5" x14ac:dyDescent="0.25">
      <c r="B19" t="s">
        <v>20</v>
      </c>
      <c r="C19" s="11">
        <f>'Comps Analysis'!C28</f>
        <v>1908</v>
      </c>
      <c r="D19" s="7">
        <f>IF(ISNUMBER(C19),(C19-C9)/C9,"N/A")</f>
        <v>0.45426829268292684</v>
      </c>
    </row>
    <row r="20" spans="2:5" ht="14" x14ac:dyDescent="0.3">
      <c r="B20" s="45" t="s">
        <v>21</v>
      </c>
      <c r="C20" s="44"/>
      <c r="D20" s="44"/>
      <c r="E20" s="44"/>
    </row>
    <row r="21" spans="2:5" ht="14" x14ac:dyDescent="0.3">
      <c r="B21" s="4" t="s">
        <v>22</v>
      </c>
      <c r="C21" s="6" t="str">
        <f>IF(COUNT(C16:C17)=0,"N/A",MIN(C16:C17)&amp;" - "&amp;MAX(C16:C17))</f>
        <v>2798 - 3303</v>
      </c>
    </row>
    <row r="23" spans="2:5" ht="14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">
        <v>26</v>
      </c>
    </row>
    <row r="28" spans="2:5" ht="14" x14ac:dyDescent="0.3">
      <c r="B28" s="8" t="s">
        <v>27</v>
      </c>
      <c r="C28" s="9"/>
      <c r="D28" s="9"/>
    </row>
    <row r="29" spans="2:5" x14ac:dyDescent="0.2">
      <c r="B29" t="s">
        <v>28</v>
      </c>
    </row>
    <row r="30" spans="2:5" x14ac:dyDescent="0.2">
      <c r="B30" t="s">
        <v>29</v>
      </c>
    </row>
    <row r="31" spans="2:5" x14ac:dyDescent="0.2">
      <c r="B31" t="s">
        <v>30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30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x14ac:dyDescent="0.4">
      <c r="B2" s="2" t="s">
        <v>31</v>
      </c>
    </row>
    <row r="4" spans="2:6" ht="14" x14ac:dyDescent="0.3">
      <c r="C4" s="10" t="s">
        <v>32</v>
      </c>
      <c r="D4" s="10" t="s">
        <v>33</v>
      </c>
      <c r="E4" s="10" t="s">
        <v>34</v>
      </c>
      <c r="F4" s="10" t="s">
        <v>35</v>
      </c>
    </row>
    <row r="5" spans="2:6" ht="14" x14ac:dyDescent="0.3">
      <c r="B5" s="3" t="s">
        <v>36</v>
      </c>
    </row>
    <row r="6" spans="2:6" ht="14" x14ac:dyDescent="0.3">
      <c r="B6" s="4" t="s">
        <v>37</v>
      </c>
      <c r="C6" s="5">
        <v>1005836</v>
      </c>
      <c r="D6" s="5">
        <v>1103047</v>
      </c>
      <c r="E6" s="5">
        <v>1150301</v>
      </c>
      <c r="F6" s="5">
        <v>1246048</v>
      </c>
    </row>
    <row r="7" spans="2:6" ht="14" x14ac:dyDescent="0.3">
      <c r="B7" s="4" t="s">
        <v>38</v>
      </c>
      <c r="C7" s="5">
        <v>808685</v>
      </c>
      <c r="D7" s="5">
        <v>887013</v>
      </c>
      <c r="E7" s="5">
        <v>904983</v>
      </c>
      <c r="F7" s="5">
        <v>960555</v>
      </c>
    </row>
    <row r="8" spans="2:6" ht="14" x14ac:dyDescent="0.3">
      <c r="B8" s="4" t="s">
        <v>39</v>
      </c>
      <c r="C8" s="5">
        <f>C6-C7</f>
        <v>197151</v>
      </c>
      <c r="D8" s="5">
        <f>D6-D7</f>
        <v>216034</v>
      </c>
      <c r="E8" s="5">
        <f>E6-E7</f>
        <v>245318</v>
      </c>
      <c r="F8" s="5">
        <f>F6-F7</f>
        <v>285493</v>
      </c>
    </row>
    <row r="9" spans="2:6" ht="13.5" x14ac:dyDescent="0.25">
      <c r="B9" t="s">
        <v>40</v>
      </c>
      <c r="C9" s="7">
        <f>C8/C6</f>
        <v>0.196007102549521</v>
      </c>
      <c r="D9" s="7">
        <f>D8/D6</f>
        <v>0.19585203531671813</v>
      </c>
      <c r="E9" s="7">
        <f>E8/E6</f>
        <v>0.21326418041886427</v>
      </c>
      <c r="F9" s="7">
        <f>F8/F6</f>
        <v>0.22911878194098462</v>
      </c>
    </row>
    <row r="10" spans="2:6" ht="14" x14ac:dyDescent="0.3">
      <c r="B10" s="4" t="s">
        <v>41</v>
      </c>
      <c r="C10" s="5">
        <v>86740</v>
      </c>
      <c r="D10" s="5">
        <v>95795</v>
      </c>
      <c r="E10" s="5">
        <v>104554</v>
      </c>
      <c r="F10" s="5">
        <v>118610</v>
      </c>
    </row>
    <row r="11" spans="2:6" ht="14" x14ac:dyDescent="0.3">
      <c r="B11" s="4" t="s">
        <v>42</v>
      </c>
      <c r="C11" s="5">
        <v>110411</v>
      </c>
      <c r="D11" s="5">
        <v>120239</v>
      </c>
      <c r="E11" s="5">
        <v>140764</v>
      </c>
      <c r="F11" s="5">
        <v>166883</v>
      </c>
    </row>
    <row r="12" spans="2:6" ht="14" x14ac:dyDescent="0.3">
      <c r="B12" s="4" t="s">
        <v>43</v>
      </c>
      <c r="C12" s="5">
        <v>48227</v>
      </c>
      <c r="D12" s="5">
        <v>68545</v>
      </c>
      <c r="E12" s="5">
        <v>77562</v>
      </c>
      <c r="F12" s="5">
        <v>96697</v>
      </c>
    </row>
    <row r="13" spans="2:6" ht="13.5" x14ac:dyDescent="0.25">
      <c r="B13" t="s">
        <v>44</v>
      </c>
      <c r="C13" s="7">
        <f>C11/C6</f>
        <v>0.10977038006195841</v>
      </c>
      <c r="D13" s="7">
        <f>D11/D6</f>
        <v>0.10900623454848252</v>
      </c>
      <c r="E13" s="7">
        <f>E11/E6</f>
        <v>0.12237144886425379</v>
      </c>
      <c r="F13" s="7">
        <f>F11/F6</f>
        <v>0.13392983255861732</v>
      </c>
    </row>
    <row r="14" spans="2:6" ht="13.5" x14ac:dyDescent="0.25">
      <c r="B14" t="s">
        <v>45</v>
      </c>
      <c r="C14" s="7">
        <f>C12/C6</f>
        <v>4.7947180256025831E-2</v>
      </c>
      <c r="D14" s="7">
        <f>D12/D6</f>
        <v>6.2141504396458172E-2</v>
      </c>
      <c r="E14" s="7">
        <f>E12/E6</f>
        <v>6.7427568958037934E-2</v>
      </c>
      <c r="F14" s="7">
        <f>F12/F6</f>
        <v>7.7602949485092068E-2</v>
      </c>
    </row>
    <row r="15" spans="2:6" ht="13.5" x14ac:dyDescent="0.25">
      <c r="B15" t="s">
        <v>46</v>
      </c>
      <c r="C15" t="s">
        <v>47</v>
      </c>
      <c r="D15" s="7">
        <f>(D6-C6)/C6</f>
        <v>9.6646968293041813E-2</v>
      </c>
      <c r="E15" s="7">
        <f>(E6-D6)/D6</f>
        <v>4.2839516357870519E-2</v>
      </c>
      <c r="F15" s="7">
        <f>(F6-E6)/E6</f>
        <v>8.3236474627075868E-2</v>
      </c>
    </row>
    <row r="16" spans="2:6" ht="13.5" x14ac:dyDescent="0.25">
      <c r="B16" t="s">
        <v>48</v>
      </c>
      <c r="C16" t="s">
        <v>47</v>
      </c>
      <c r="D16" s="7">
        <f>(D11-C11)/C11</f>
        <v>8.9012870094465221E-2</v>
      </c>
      <c r="E16" s="7">
        <f>(E11-D11)/D11</f>
        <v>0.17070168580909689</v>
      </c>
      <c r="F16" s="7">
        <f>(F11-E11)/E11</f>
        <v>0.18555170356056946</v>
      </c>
    </row>
    <row r="18" spans="2:6" ht="14" x14ac:dyDescent="0.3">
      <c r="B18" s="3" t="s">
        <v>49</v>
      </c>
    </row>
    <row r="19" spans="2:6" ht="14" x14ac:dyDescent="0.3">
      <c r="B19" s="4" t="s">
        <v>50</v>
      </c>
      <c r="C19" s="5">
        <v>94739</v>
      </c>
      <c r="D19" s="5">
        <v>156465</v>
      </c>
      <c r="E19" s="5">
        <v>47426</v>
      </c>
      <c r="F19" s="5">
        <v>129480</v>
      </c>
    </row>
    <row r="20" spans="2:6" ht="14" x14ac:dyDescent="0.3">
      <c r="B20" s="4" t="s">
        <v>51</v>
      </c>
      <c r="C20" s="5">
        <v>84625</v>
      </c>
      <c r="D20" s="5">
        <v>245315</v>
      </c>
      <c r="E20" s="5">
        <v>70529</v>
      </c>
      <c r="F20" s="5">
        <v>102014</v>
      </c>
    </row>
    <row r="21" spans="2:6" ht="14" x14ac:dyDescent="0.3">
      <c r="B21" s="4" t="s">
        <v>52</v>
      </c>
      <c r="C21" s="5">
        <f>C19-C20</f>
        <v>10114</v>
      </c>
      <c r="D21" s="5">
        <f>D19-D20</f>
        <v>-88850</v>
      </c>
      <c r="E21" s="5">
        <f>E19-E20</f>
        <v>-23103</v>
      </c>
      <c r="F21" s="5">
        <f>F19-F20</f>
        <v>27466</v>
      </c>
    </row>
    <row r="22" spans="2:6" ht="13.5" x14ac:dyDescent="0.25">
      <c r="B22" t="s">
        <v>53</v>
      </c>
      <c r="C22" s="7">
        <f>C21/C6</f>
        <v>1.0055317169001706E-2</v>
      </c>
      <c r="D22" s="7">
        <f>D21/D6</f>
        <v>-8.0549604867245009E-2</v>
      </c>
      <c r="E22" s="7">
        <f>E21/E6</f>
        <v>-2.0084308367983684E-2</v>
      </c>
      <c r="F22" s="7">
        <f>F21/F6</f>
        <v>2.2042489534913584E-2</v>
      </c>
    </row>
    <row r="23" spans="2:6" ht="13.5" x14ac:dyDescent="0.25">
      <c r="B23" t="s">
        <v>54</v>
      </c>
      <c r="C23" s="7">
        <f>C20/C6</f>
        <v>8.413399401095209E-2</v>
      </c>
      <c r="D23" s="7">
        <f>D20/D6</f>
        <v>0.22239759502541595</v>
      </c>
      <c r="E23" s="7">
        <f>E20/E6</f>
        <v>6.1313517070749307E-2</v>
      </c>
      <c r="F23" s="7">
        <f>F20/F6</f>
        <v>8.1870040319474049E-2</v>
      </c>
    </row>
    <row r="25" spans="2:6" ht="14" x14ac:dyDescent="0.3">
      <c r="B25" s="3" t="s">
        <v>55</v>
      </c>
    </row>
    <row r="26" spans="2:6" ht="14" x14ac:dyDescent="0.3">
      <c r="B26" s="4" t="s">
        <v>56</v>
      </c>
      <c r="C26" s="5">
        <v>170649</v>
      </c>
      <c r="D26" s="5">
        <v>246248</v>
      </c>
      <c r="E26" s="5">
        <v>160947</v>
      </c>
      <c r="F26" s="5">
        <v>187813</v>
      </c>
    </row>
    <row r="27" spans="2:6" ht="14" x14ac:dyDescent="0.3">
      <c r="B27" s="4" t="s">
        <v>57</v>
      </c>
      <c r="C27" s="5">
        <v>1472932</v>
      </c>
      <c r="D27" s="5">
        <v>1570123</v>
      </c>
      <c r="E27" s="5">
        <v>1677494</v>
      </c>
      <c r="F27" s="5">
        <v>1816784</v>
      </c>
    </row>
    <row r="28" spans="2:6" ht="14" x14ac:dyDescent="0.3">
      <c r="B28" s="4" t="s">
        <v>58</v>
      </c>
      <c r="C28" s="5">
        <f>C27-C26</f>
        <v>1302283</v>
      </c>
      <c r="D28" s="5">
        <f>D27-D26</f>
        <v>1323875</v>
      </c>
      <c r="E28" s="5">
        <f>E27-E26</f>
        <v>1516547</v>
      </c>
      <c r="F28" s="5">
        <f>F27-F26</f>
        <v>1628971</v>
      </c>
    </row>
    <row r="30" spans="2:6" ht="14" x14ac:dyDescent="0.3">
      <c r="B30" s="1" t="s">
        <v>59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60</v>
      </c>
    </row>
    <row r="4" spans="2:7" ht="14" x14ac:dyDescent="0.3">
      <c r="B4" s="8" t="s">
        <v>61</v>
      </c>
      <c r="C4" s="9"/>
      <c r="D4" s="9"/>
      <c r="E4" s="9"/>
      <c r="F4" s="9"/>
      <c r="G4" s="9"/>
    </row>
    <row r="5" spans="2:7" ht="14" x14ac:dyDescent="0.3">
      <c r="B5" s="4" t="s">
        <v>62</v>
      </c>
      <c r="C5" s="7">
        <v>6.216E-2</v>
      </c>
    </row>
    <row r="6" spans="2:7" ht="14" x14ac:dyDescent="0.3">
      <c r="B6" s="4" t="s">
        <v>63</v>
      </c>
      <c r="C6" s="7">
        <v>0.25</v>
      </c>
    </row>
    <row r="7" spans="2:7" ht="14" x14ac:dyDescent="0.3">
      <c r="B7" s="4" t="s">
        <v>64</v>
      </c>
      <c r="C7" s="7">
        <v>2.9700000000000001E-2</v>
      </c>
    </row>
    <row r="8" spans="2:7" ht="14" x14ac:dyDescent="0.3">
      <c r="B8" s="4" t="s">
        <v>65</v>
      </c>
      <c r="C8" s="12">
        <v>0.76380000000000003</v>
      </c>
    </row>
    <row r="9" spans="2:7" ht="14" x14ac:dyDescent="0.3">
      <c r="B9" s="4" t="s">
        <v>66</v>
      </c>
      <c r="C9" s="7">
        <v>6.5000000000000002E-2</v>
      </c>
    </row>
    <row r="10" spans="2:7" ht="14" x14ac:dyDescent="0.3">
      <c r="B10" s="4" t="s">
        <v>67</v>
      </c>
      <c r="C10" s="7">
        <v>0.01</v>
      </c>
    </row>
    <row r="11" spans="2:7" ht="14" x14ac:dyDescent="0.3">
      <c r="B11" s="4" t="s">
        <v>68</v>
      </c>
      <c r="C11" s="7">
        <v>8.8000000000000005E-3</v>
      </c>
    </row>
    <row r="12" spans="2:7" ht="14" x14ac:dyDescent="0.3">
      <c r="B12" s="4" t="s">
        <v>69</v>
      </c>
      <c r="C12" s="13">
        <v>1.7517</v>
      </c>
    </row>
    <row r="13" spans="2:7" ht="14" x14ac:dyDescent="0.3">
      <c r="B13" s="4" t="s">
        <v>70</v>
      </c>
      <c r="C13" s="7">
        <v>0.01</v>
      </c>
    </row>
    <row r="14" spans="2:7" ht="14" x14ac:dyDescent="0.3">
      <c r="B14" s="4" t="s">
        <v>71</v>
      </c>
      <c r="C14" s="14">
        <v>15.7</v>
      </c>
    </row>
    <row r="15" spans="2:7" ht="14" x14ac:dyDescent="0.3">
      <c r="B15" s="4" t="s">
        <v>72</v>
      </c>
      <c r="C15" s="15">
        <v>713231306</v>
      </c>
    </row>
    <row r="16" spans="2:7" ht="14" x14ac:dyDescent="0.3">
      <c r="B16" s="4" t="s">
        <v>73</v>
      </c>
      <c r="C16" s="5">
        <v>1639131</v>
      </c>
    </row>
    <row r="17" spans="2:7" ht="14" x14ac:dyDescent="0.3">
      <c r="B17" s="4" t="s">
        <v>74</v>
      </c>
      <c r="C17" s="5">
        <v>1246048</v>
      </c>
    </row>
    <row r="18" spans="2:7" ht="14" x14ac:dyDescent="0.3">
      <c r="B18" s="4" t="s">
        <v>75</v>
      </c>
      <c r="C18" s="7">
        <v>5.9200000000000003E-2</v>
      </c>
    </row>
    <row r="19" spans="2:7" ht="14" x14ac:dyDescent="0.3">
      <c r="B19" s="4" t="s">
        <v>76</v>
      </c>
      <c r="C19" s="12">
        <v>1</v>
      </c>
    </row>
    <row r="20" spans="2:7" ht="14" x14ac:dyDescent="0.3">
      <c r="B20" s="4" t="s">
        <v>77</v>
      </c>
      <c r="C20" s="5">
        <v>1246048</v>
      </c>
    </row>
    <row r="22" spans="2:7" ht="14" x14ac:dyDescent="0.3">
      <c r="B22" s="8" t="s">
        <v>78</v>
      </c>
      <c r="C22" s="9"/>
      <c r="D22" s="9"/>
      <c r="E22" s="9"/>
      <c r="F22" s="9"/>
      <c r="G22" s="9"/>
    </row>
    <row r="23" spans="2:7" ht="14" x14ac:dyDescent="0.3">
      <c r="B23" s="4" t="s">
        <v>79</v>
      </c>
      <c r="C23" s="16">
        <f>C7+C8*C9+C10</f>
        <v>8.9346999999999996E-2</v>
      </c>
    </row>
    <row r="24" spans="2:7" ht="14" x14ac:dyDescent="0.3">
      <c r="B24" s="4" t="s">
        <v>80</v>
      </c>
      <c r="C24" s="16">
        <f>1/(1+C12)</f>
        <v>0.36341170912526799</v>
      </c>
    </row>
    <row r="25" spans="2:7" ht="14" x14ac:dyDescent="0.3">
      <c r="B25" s="4" t="s">
        <v>81</v>
      </c>
      <c r="C25" s="16">
        <f>C12/(1+C12)</f>
        <v>0.63658829087473201</v>
      </c>
    </row>
    <row r="26" spans="2:7" ht="14" x14ac:dyDescent="0.3">
      <c r="B26" s="4" t="s">
        <v>82</v>
      </c>
      <c r="C26" s="16">
        <f>C23*C24+C11*C25</f>
        <v>3.8071722934912962E-2</v>
      </c>
    </row>
    <row r="27" spans="2:7" ht="14" x14ac:dyDescent="0.3">
      <c r="B27" s="4" t="s">
        <v>83</v>
      </c>
      <c r="C27" s="17" t="s">
        <v>84</v>
      </c>
      <c r="D27" s="6">
        <f>MATCH(C27,B69:B73,0)</f>
        <v>1</v>
      </c>
    </row>
    <row r="28" spans="2:7" ht="14" x14ac:dyDescent="0.3">
      <c r="B28" s="8" t="s">
        <v>85</v>
      </c>
      <c r="C28" s="9"/>
      <c r="D28" s="9"/>
      <c r="E28" s="9"/>
      <c r="F28" s="9"/>
      <c r="G28" s="9"/>
    </row>
    <row r="29" spans="2:7" ht="14" x14ac:dyDescent="0.3">
      <c r="C29" s="10" t="s">
        <v>86</v>
      </c>
      <c r="D29" s="10" t="s">
        <v>87</v>
      </c>
      <c r="E29" s="10" t="s">
        <v>88</v>
      </c>
      <c r="F29" s="10" t="s">
        <v>89</v>
      </c>
      <c r="G29" s="10" t="s">
        <v>90</v>
      </c>
    </row>
    <row r="30" spans="2:7" ht="14" x14ac:dyDescent="0.3">
      <c r="B30" s="4" t="s">
        <v>46</v>
      </c>
      <c r="C30" s="18">
        <f>CHOOSE($D$27,C69,C70,C71,C72,C73)</f>
        <v>0.04</v>
      </c>
      <c r="D30" s="18">
        <f>CHOOSE($D$27,D69,D70,D71,D72,D73)</f>
        <v>3.5000000000000003E-2</v>
      </c>
      <c r="E30" s="18">
        <f>CHOOSE($D$27,E69,E70,E71,E72,E73)</f>
        <v>0.03</v>
      </c>
      <c r="F30" s="18">
        <f>CHOOSE($D$27,F69,F70,F71,F72,F73)</f>
        <v>0.03</v>
      </c>
      <c r="G30" s="18">
        <f>CHOOSE($D$27,G69,G70,G71,G72,G73)</f>
        <v>2.5000000000000001E-2</v>
      </c>
    </row>
    <row r="31" spans="2:7" ht="14" x14ac:dyDescent="0.3">
      <c r="B31" s="4" t="s">
        <v>91</v>
      </c>
      <c r="C31" s="18">
        <f>CHOOSE($D$27,C76,C77,C78,C79,C80)</f>
        <v>0.77100000000000002</v>
      </c>
      <c r="D31" s="18">
        <f>CHOOSE($D$27,D76,D77,D78,D79,D80)</f>
        <v>0.77100000000000002</v>
      </c>
      <c r="E31" s="18">
        <f>CHOOSE($D$27,E76,E77,E78,E79,E80)</f>
        <v>0.77100000000000002</v>
      </c>
      <c r="F31" s="18">
        <f>CHOOSE($D$27,F76,F77,F78,F79,F80)</f>
        <v>0.77100000000000002</v>
      </c>
      <c r="G31" s="18">
        <f>CHOOSE($D$27,G76,G77,G78,G79,G80)</f>
        <v>0.77100000000000002</v>
      </c>
    </row>
    <row r="32" spans="2:7" ht="14" x14ac:dyDescent="0.3">
      <c r="B32" s="4" t="s">
        <v>92</v>
      </c>
      <c r="C32" s="18">
        <f>CHOOSE($D$27,C83,C84,C85,C86,C87)</f>
        <v>9.6000000000000002E-2</v>
      </c>
      <c r="D32" s="18">
        <f>CHOOSE($D$27,D83,D84,D85,D86,D87)</f>
        <v>9.7199999999999995E-2</v>
      </c>
      <c r="E32" s="18">
        <f>CHOOSE($D$27,E83,E84,E85,E86,E87)</f>
        <v>9.8199999999999996E-2</v>
      </c>
      <c r="F32" s="18">
        <f>CHOOSE($D$27,F83,F84,F85,F86,F87)</f>
        <v>9.8900000000000002E-2</v>
      </c>
      <c r="G32" s="18">
        <f>CHOOSE($D$27,G83,G84,G85,G86,G87)</f>
        <v>9.9400000000000002E-2</v>
      </c>
    </row>
    <row r="33" spans="2:7" ht="14" x14ac:dyDescent="0.3">
      <c r="B33" s="4" t="s">
        <v>37</v>
      </c>
      <c r="C33" s="5">
        <f>C17*(1+C30)</f>
        <v>1295889.9200000002</v>
      </c>
      <c r="D33" s="5">
        <f>C33*(1+D30)</f>
        <v>1341246.0672000002</v>
      </c>
      <c r="E33" s="5">
        <f>D33*(1+E30)</f>
        <v>1381483.4492160003</v>
      </c>
      <c r="F33" s="5">
        <f>E33*(1+F30)</f>
        <v>1422927.9526924803</v>
      </c>
      <c r="G33" s="5">
        <f>F33*(1+G30)</f>
        <v>1458501.1515097921</v>
      </c>
    </row>
    <row r="34" spans="2:7" ht="14" x14ac:dyDescent="0.3">
      <c r="B34" s="4" t="s">
        <v>38</v>
      </c>
      <c r="C34" s="5">
        <f>C33*C31</f>
        <v>999131.12832000013</v>
      </c>
      <c r="D34" s="5">
        <f>D33*D31</f>
        <v>1034100.7178112002</v>
      </c>
      <c r="E34" s="5">
        <f>E33*E31</f>
        <v>1065123.7393455363</v>
      </c>
      <c r="F34" s="5">
        <f>F33*F31</f>
        <v>1097077.4515259024</v>
      </c>
      <c r="G34" s="5">
        <f>G33*G31</f>
        <v>1124504.3878140496</v>
      </c>
    </row>
    <row r="35" spans="2:7" ht="14" x14ac:dyDescent="0.3">
      <c r="B35" s="4" t="s">
        <v>39</v>
      </c>
      <c r="C35" s="19">
        <f>C33-C34</f>
        <v>296758.79168000002</v>
      </c>
      <c r="D35" s="19">
        <f>D33-D34</f>
        <v>307145.34938879998</v>
      </c>
      <c r="E35" s="19">
        <f>E33-E34</f>
        <v>316359.70987046394</v>
      </c>
      <c r="F35" s="19">
        <f>F33-F34</f>
        <v>325850.50116657792</v>
      </c>
      <c r="G35" s="19">
        <f>G33-G34</f>
        <v>333996.76369574247</v>
      </c>
    </row>
    <row r="36" spans="2:7" ht="14" x14ac:dyDescent="0.3">
      <c r="B36" s="4" t="s">
        <v>40</v>
      </c>
      <c r="C36" s="7">
        <f>C35/C33</f>
        <v>0.22899999999999998</v>
      </c>
      <c r="D36" s="7">
        <f>D35/D33</f>
        <v>0.22899999999999995</v>
      </c>
      <c r="E36" s="7">
        <f>E35/E33</f>
        <v>0.2289999999999999</v>
      </c>
      <c r="F36" s="7">
        <f>F35/F33</f>
        <v>0.22899999999999995</v>
      </c>
      <c r="G36" s="7">
        <f>G35/G33</f>
        <v>0.22900000000000006</v>
      </c>
    </row>
    <row r="37" spans="2:7" ht="14" x14ac:dyDescent="0.3">
      <c r="B37" s="4" t="s">
        <v>93</v>
      </c>
      <c r="C37" s="5">
        <f>C33*C32</f>
        <v>124405.43232000002</v>
      </c>
      <c r="D37" s="5">
        <f>D33*D32</f>
        <v>130369.11773184002</v>
      </c>
      <c r="E37" s="5">
        <f>E33*E32</f>
        <v>135661.67471301122</v>
      </c>
      <c r="F37" s="5">
        <f>F33*F32</f>
        <v>140727.5745212863</v>
      </c>
      <c r="G37" s="5">
        <f>G33*G32</f>
        <v>144975.01446007335</v>
      </c>
    </row>
    <row r="38" spans="2:7" ht="14" x14ac:dyDescent="0.3">
      <c r="B38" s="4" t="s">
        <v>94</v>
      </c>
      <c r="C38" s="7">
        <f>(C35-C37)/C33</f>
        <v>0.13299999999999998</v>
      </c>
      <c r="D38" s="7">
        <f>(D35-D37)/D33</f>
        <v>0.13179999999999997</v>
      </c>
      <c r="E38" s="7">
        <f>(E35-E37)/E33</f>
        <v>0.13079999999999992</v>
      </c>
      <c r="F38" s="7">
        <f>(F35-F37)/F33</f>
        <v>0.13009999999999997</v>
      </c>
      <c r="G38" s="7">
        <f>(G35-G37)/G33</f>
        <v>0.12960000000000005</v>
      </c>
    </row>
    <row r="39" spans="2:7" ht="14" x14ac:dyDescent="0.3">
      <c r="B39" s="4" t="s">
        <v>95</v>
      </c>
      <c r="C39" s="19">
        <f>C35-C37</f>
        <v>172353.35936</v>
      </c>
      <c r="D39" s="19">
        <f>D35-D37</f>
        <v>176776.23165695998</v>
      </c>
      <c r="E39" s="19">
        <f>E35-E37</f>
        <v>180698.03515745272</v>
      </c>
      <c r="F39" s="19">
        <f>F35-F37</f>
        <v>185122.92664529162</v>
      </c>
      <c r="G39" s="19">
        <f>G35-G37</f>
        <v>189021.74923566912</v>
      </c>
    </row>
    <row r="40" spans="2:7" ht="14" x14ac:dyDescent="0.3">
      <c r="B40" s="4" t="s">
        <v>96</v>
      </c>
      <c r="C40" s="5">
        <f>MAX(0,C39*C6)</f>
        <v>43088.339840000001</v>
      </c>
      <c r="D40" s="5">
        <f>MAX(0,D39*C6)</f>
        <v>44194.057914239995</v>
      </c>
      <c r="E40" s="5">
        <f>MAX(0,E39*C6)</f>
        <v>45174.508789363179</v>
      </c>
      <c r="F40" s="5">
        <f>MAX(0,F39*C6)</f>
        <v>46280.731661322905</v>
      </c>
      <c r="G40" s="5">
        <f>MAX(0,G39*C6)</f>
        <v>47255.43730891728</v>
      </c>
    </row>
    <row r="41" spans="2:7" ht="14" x14ac:dyDescent="0.3">
      <c r="B41" s="4" t="s">
        <v>97</v>
      </c>
      <c r="C41" s="19">
        <f>C39-C40</f>
        <v>129265.01952</v>
      </c>
      <c r="D41" s="19">
        <f>D39-D40</f>
        <v>132582.17374271998</v>
      </c>
      <c r="E41" s="19">
        <f>E39-E40</f>
        <v>135523.52636808954</v>
      </c>
      <c r="F41" s="19">
        <f>F39-F40</f>
        <v>138842.19498396871</v>
      </c>
      <c r="G41" s="19">
        <f>G39-G40</f>
        <v>141766.31192675183</v>
      </c>
    </row>
    <row r="42" spans="2:7" ht="14" x14ac:dyDescent="0.3">
      <c r="B42" s="4" t="s">
        <v>98</v>
      </c>
      <c r="C42" s="5">
        <f>C33*C18</f>
        <v>76716.683264000007</v>
      </c>
      <c r="D42" s="5">
        <f>D33*C18</f>
        <v>79401.767178240014</v>
      </c>
      <c r="E42" s="5">
        <f>E33*C18</f>
        <v>81783.82019358722</v>
      </c>
      <c r="F42" s="5">
        <f>F33*C18</f>
        <v>84237.334799394841</v>
      </c>
      <c r="G42" s="5">
        <f>G33*C18</f>
        <v>86343.268169379691</v>
      </c>
    </row>
    <row r="43" spans="2:7" ht="14" x14ac:dyDescent="0.3">
      <c r="B43" s="4" t="s">
        <v>99</v>
      </c>
      <c r="C43" s="5">
        <v>116700</v>
      </c>
      <c r="D43" s="5">
        <v>110200</v>
      </c>
      <c r="E43" s="5">
        <v>103700</v>
      </c>
      <c r="F43" s="5">
        <v>97200</v>
      </c>
      <c r="G43" s="5">
        <v>90700</v>
      </c>
    </row>
    <row r="44" spans="2:7" ht="14" x14ac:dyDescent="0.3">
      <c r="B44" s="4" t="s">
        <v>100</v>
      </c>
      <c r="C44" s="5">
        <f>'NWC Schedule'!D19</f>
        <v>-23194.280401534168</v>
      </c>
      <c r="D44" s="5">
        <f>'NWC Schedule'!E19</f>
        <v>37397.945185946533</v>
      </c>
      <c r="E44" s="5">
        <f>'NWC Schedule'!F19</f>
        <v>33177.319943532581</v>
      </c>
      <c r="F44" s="5">
        <f>'NWC Schedule'!G19</f>
        <v>34172.639541838318</v>
      </c>
      <c r="G44" s="5">
        <f>'NWC Schedule'!H19</f>
        <v>29331.515606743982</v>
      </c>
    </row>
    <row r="45" spans="2:7" ht="14" x14ac:dyDescent="0.3">
      <c r="B45" s="4" t="s">
        <v>101</v>
      </c>
      <c r="C45" s="20">
        <f>C41+C42-C43-C44</f>
        <v>112475.98318553419</v>
      </c>
      <c r="D45" s="20">
        <f>D41+D42-D43-D44</f>
        <v>64385.99573501345</v>
      </c>
      <c r="E45" s="20">
        <f>E41+E42-E43-E44</f>
        <v>80430.026618144184</v>
      </c>
      <c r="F45" s="20">
        <f>F41+F42-F43-F44</f>
        <v>91706.890241525252</v>
      </c>
      <c r="G45" s="20">
        <f>G41+G42-G43-G44</f>
        <v>108078.06448938756</v>
      </c>
    </row>
    <row r="46" spans="2:7" ht="14" x14ac:dyDescent="0.3">
      <c r="B46" s="4" t="s">
        <v>102</v>
      </c>
      <c r="C46" s="21">
        <f>1/(1+C26)^(C19+0)</f>
        <v>0.96332457373246438</v>
      </c>
      <c r="D46" s="21">
        <f>1/(1+C26)^(C19+1)</f>
        <v>0.92799423435683437</v>
      </c>
      <c r="E46" s="21">
        <f>1/(1+C26)^(C19+2)</f>
        <v>0.89395965023798207</v>
      </c>
      <c r="F46" s="21">
        <f>1/(1+C26)^(C19+3)</f>
        <v>0.86117329899952721</v>
      </c>
      <c r="G46" s="21">
        <f>1/(1+C26)^(C19+4)</f>
        <v>0.82958940116849966</v>
      </c>
    </row>
    <row r="47" spans="2:7" ht="14" x14ac:dyDescent="0.3">
      <c r="B47" s="4" t="s">
        <v>103</v>
      </c>
      <c r="C47" s="19">
        <f>C45*C46</f>
        <v>108350.87855734455</v>
      </c>
      <c r="D47" s="19">
        <f>D45*D46</f>
        <v>59749.832815416208</v>
      </c>
      <c r="E47" s="19">
        <f>E45*E46</f>
        <v>71901.198464187764</v>
      </c>
      <c r="F47" s="19">
        <f>F45*F46</f>
        <v>78975.525210281849</v>
      </c>
      <c r="G47" s="19">
        <f>G45*G46</f>
        <v>89660.416799201514</v>
      </c>
    </row>
    <row r="49" spans="2:7" ht="14" x14ac:dyDescent="0.3">
      <c r="B49" s="22" t="s">
        <v>104</v>
      </c>
      <c r="C49" s="23"/>
      <c r="D49" s="23"/>
      <c r="E49" s="23"/>
      <c r="F49" s="23"/>
      <c r="G49" s="23"/>
    </row>
    <row r="50" spans="2:7" ht="14" x14ac:dyDescent="0.3">
      <c r="B50" s="4" t="s">
        <v>105</v>
      </c>
      <c r="C50" s="5">
        <f>SUM(C47:G47)</f>
        <v>408637.85184643191</v>
      </c>
    </row>
    <row r="51" spans="2:7" ht="14" x14ac:dyDescent="0.3">
      <c r="B51" s="4" t="s">
        <v>106</v>
      </c>
      <c r="C51" s="5">
        <f>G45*(1+C13)/(C26-C13)</f>
        <v>3888569.4827986481</v>
      </c>
    </row>
    <row r="52" spans="2:7" ht="14" x14ac:dyDescent="0.3">
      <c r="B52" s="4" t="s">
        <v>107</v>
      </c>
      <c r="C52" s="5">
        <f>C51*G46</f>
        <v>3225916.028637033</v>
      </c>
    </row>
    <row r="53" spans="2:7" ht="14" x14ac:dyDescent="0.3">
      <c r="B53" s="4" t="s">
        <v>108</v>
      </c>
      <c r="C53" s="5">
        <f>C50+C52</f>
        <v>3634553.8804834648</v>
      </c>
    </row>
    <row r="54" spans="2:7" ht="14" x14ac:dyDescent="0.3">
      <c r="B54" s="4" t="s">
        <v>109</v>
      </c>
      <c r="C54" s="5">
        <f>C53-C16</f>
        <v>1995422.8804834648</v>
      </c>
    </row>
    <row r="55" spans="2:7" ht="14" x14ac:dyDescent="0.3">
      <c r="B55" s="4" t="s">
        <v>110</v>
      </c>
      <c r="C55" s="24">
        <f>ROUND(C54*1000000/C15,0)</f>
        <v>2798</v>
      </c>
    </row>
    <row r="57" spans="2:7" ht="14" x14ac:dyDescent="0.3">
      <c r="B57" s="22" t="s">
        <v>111</v>
      </c>
      <c r="C57" s="23"/>
      <c r="D57" s="23"/>
      <c r="E57" s="23"/>
      <c r="F57" s="23"/>
      <c r="G57" s="23"/>
    </row>
    <row r="58" spans="2:7" ht="14" x14ac:dyDescent="0.3">
      <c r="B58" s="4" t="s">
        <v>105</v>
      </c>
      <c r="C58" s="5">
        <f>C50</f>
        <v>408637.85184643191</v>
      </c>
    </row>
    <row r="59" spans="2:7" ht="14" x14ac:dyDescent="0.3">
      <c r="B59" s="4" t="s">
        <v>112</v>
      </c>
      <c r="C59" s="5">
        <f>G39+G42</f>
        <v>275365.01740504883</v>
      </c>
    </row>
    <row r="60" spans="2:7" ht="14" x14ac:dyDescent="0.3">
      <c r="B60" s="4" t="s">
        <v>113</v>
      </c>
      <c r="C60" s="5">
        <f>C59*C14</f>
        <v>4323230.7732592663</v>
      </c>
    </row>
    <row r="61" spans="2:7" ht="14" x14ac:dyDescent="0.3">
      <c r="B61" s="4" t="s">
        <v>107</v>
      </c>
      <c r="C61" s="5">
        <f>C60*G46</f>
        <v>3586506.4283013847</v>
      </c>
    </row>
    <row r="62" spans="2:7" ht="14" x14ac:dyDescent="0.3">
      <c r="B62" s="4" t="s">
        <v>108</v>
      </c>
      <c r="C62" s="5">
        <f>C58+C61</f>
        <v>3995144.2801478165</v>
      </c>
    </row>
    <row r="63" spans="2:7" ht="14" x14ac:dyDescent="0.3">
      <c r="B63" s="4" t="s">
        <v>109</v>
      </c>
      <c r="C63" s="5">
        <f>C62-C16</f>
        <v>2356013.2801478165</v>
      </c>
    </row>
    <row r="64" spans="2:7" ht="14" x14ac:dyDescent="0.3">
      <c r="B64" s="4" t="s">
        <v>114</v>
      </c>
      <c r="C64" s="24">
        <f>ROUND(C63*1000000/C15,0)</f>
        <v>3303</v>
      </c>
    </row>
    <row r="66" spans="2:7" ht="14" x14ac:dyDescent="0.3">
      <c r="B66" s="22" t="s">
        <v>115</v>
      </c>
      <c r="C66" s="23"/>
      <c r="D66" s="23"/>
      <c r="E66" s="23"/>
      <c r="F66" s="23"/>
      <c r="G66" s="23"/>
    </row>
    <row r="67" spans="2:7" ht="14" x14ac:dyDescent="0.3">
      <c r="C67" s="25" t="s">
        <v>116</v>
      </c>
      <c r="D67" s="25" t="s">
        <v>117</v>
      </c>
      <c r="E67" s="25" t="s">
        <v>118</v>
      </c>
      <c r="F67" s="25" t="s">
        <v>119</v>
      </c>
      <c r="G67" s="25" t="s">
        <v>120</v>
      </c>
    </row>
    <row r="68" spans="2:7" ht="14" x14ac:dyDescent="0.3">
      <c r="B68" s="3" t="s">
        <v>46</v>
      </c>
    </row>
    <row r="69" spans="2:7" ht="14" x14ac:dyDescent="0.3">
      <c r="B69" s="4" t="s">
        <v>84</v>
      </c>
      <c r="C69" s="26">
        <v>0.04</v>
      </c>
      <c r="D69" s="26">
        <v>3.5000000000000003E-2</v>
      </c>
      <c r="E69" s="26">
        <v>0.03</v>
      </c>
      <c r="F69" s="26">
        <v>0.03</v>
      </c>
      <c r="G69" s="26">
        <v>2.5000000000000001E-2</v>
      </c>
    </row>
    <row r="70" spans="2:7" ht="14" x14ac:dyDescent="0.3">
      <c r="B70" s="4" t="s">
        <v>121</v>
      </c>
      <c r="C70" s="26">
        <v>0.06</v>
      </c>
      <c r="D70" s="26">
        <v>0.05</v>
      </c>
      <c r="E70" s="26">
        <v>4.4999999999999998E-2</v>
      </c>
      <c r="F70" s="26">
        <v>0.04</v>
      </c>
      <c r="G70" s="26">
        <v>3.5000000000000003E-2</v>
      </c>
    </row>
    <row r="71" spans="2:7" ht="14" x14ac:dyDescent="0.3">
      <c r="B71" s="4" t="s">
        <v>122</v>
      </c>
      <c r="C71" s="26">
        <v>0.04</v>
      </c>
      <c r="D71" s="26">
        <v>3.5000000000000003E-2</v>
      </c>
      <c r="E71" s="26">
        <v>0.03</v>
      </c>
      <c r="F71" s="26">
        <v>0.03</v>
      </c>
      <c r="G71" s="26">
        <v>2.5000000000000001E-2</v>
      </c>
    </row>
    <row r="72" spans="2:7" ht="14" x14ac:dyDescent="0.3">
      <c r="B72" s="4" t="s">
        <v>123</v>
      </c>
      <c r="C72" s="26">
        <v>1.4999999999999999E-2</v>
      </c>
      <c r="D72" s="26">
        <v>0.02</v>
      </c>
      <c r="E72" s="26">
        <v>0.02</v>
      </c>
      <c r="F72" s="26">
        <v>0.02</v>
      </c>
      <c r="G72" s="26">
        <v>0.02</v>
      </c>
    </row>
    <row r="73" spans="2:7" ht="14" x14ac:dyDescent="0.3">
      <c r="B73" s="4" t="s">
        <v>124</v>
      </c>
      <c r="C73" s="26">
        <v>-0.08</v>
      </c>
      <c r="D73" s="26">
        <v>-0.01</v>
      </c>
      <c r="E73" s="26">
        <v>0.01</v>
      </c>
      <c r="F73" s="26">
        <v>1.4999999999999999E-2</v>
      </c>
      <c r="G73" s="26">
        <v>1.4999999999999999E-2</v>
      </c>
    </row>
    <row r="75" spans="2:7" ht="14" x14ac:dyDescent="0.3">
      <c r="B75" s="3" t="s">
        <v>91</v>
      </c>
    </row>
    <row r="76" spans="2:7" ht="14" x14ac:dyDescent="0.3">
      <c r="B76" s="4" t="s">
        <v>84</v>
      </c>
      <c r="C76" s="26">
        <v>0.77100000000000002</v>
      </c>
      <c r="D76" s="26">
        <v>0.77100000000000002</v>
      </c>
      <c r="E76" s="26">
        <v>0.77100000000000002</v>
      </c>
      <c r="F76" s="26">
        <v>0.77100000000000002</v>
      </c>
      <c r="G76" s="26">
        <v>0.77100000000000002</v>
      </c>
    </row>
    <row r="77" spans="2:7" ht="14" x14ac:dyDescent="0.3">
      <c r="B77" s="4" t="s">
        <v>121</v>
      </c>
      <c r="C77" s="26">
        <v>0.76100000000000001</v>
      </c>
      <c r="D77" s="26">
        <v>0.76100000000000001</v>
      </c>
      <c r="E77" s="26">
        <v>0.76100000000000001</v>
      </c>
      <c r="F77" s="26">
        <v>0.76100000000000001</v>
      </c>
      <c r="G77" s="26">
        <v>0.76100000000000001</v>
      </c>
    </row>
    <row r="78" spans="2:7" ht="14" x14ac:dyDescent="0.3">
      <c r="B78" s="4" t="s">
        <v>122</v>
      </c>
      <c r="C78" s="26">
        <v>0.77100000000000002</v>
      </c>
      <c r="D78" s="26">
        <v>0.77100000000000002</v>
      </c>
      <c r="E78" s="26">
        <v>0.77100000000000002</v>
      </c>
      <c r="F78" s="26">
        <v>0.77100000000000002</v>
      </c>
      <c r="G78" s="26">
        <v>0.77100000000000002</v>
      </c>
    </row>
    <row r="79" spans="2:7" ht="14" x14ac:dyDescent="0.3">
      <c r="B79" s="4" t="s">
        <v>123</v>
      </c>
      <c r="C79" s="26">
        <v>0.78200000000000003</v>
      </c>
      <c r="D79" s="26">
        <v>0.78200000000000003</v>
      </c>
      <c r="E79" s="26">
        <v>0.78200000000000003</v>
      </c>
      <c r="F79" s="26">
        <v>0.78200000000000003</v>
      </c>
      <c r="G79" s="26">
        <v>0.78200000000000003</v>
      </c>
    </row>
    <row r="80" spans="2:7" ht="14" x14ac:dyDescent="0.3">
      <c r="B80" s="4" t="s">
        <v>124</v>
      </c>
      <c r="C80" s="26">
        <v>0.79800000000000004</v>
      </c>
      <c r="D80" s="26">
        <v>0.79800000000000004</v>
      </c>
      <c r="E80" s="26">
        <v>0.79800000000000004</v>
      </c>
      <c r="F80" s="26">
        <v>0.79800000000000004</v>
      </c>
      <c r="G80" s="26">
        <v>0.79800000000000004</v>
      </c>
    </row>
    <row r="82" spans="2:7" ht="14" x14ac:dyDescent="0.3">
      <c r="B82" s="3" t="s">
        <v>92</v>
      </c>
    </row>
    <row r="83" spans="2:7" ht="14" x14ac:dyDescent="0.3">
      <c r="B83" s="4" t="s">
        <v>84</v>
      </c>
      <c r="C83" s="26">
        <v>9.6000000000000002E-2</v>
      </c>
      <c r="D83" s="26">
        <v>9.7199999999999995E-2</v>
      </c>
      <c r="E83" s="26">
        <v>9.8199999999999996E-2</v>
      </c>
      <c r="F83" s="26">
        <v>9.8900000000000002E-2</v>
      </c>
      <c r="G83" s="26">
        <v>9.9400000000000002E-2</v>
      </c>
    </row>
    <row r="84" spans="2:7" ht="14" x14ac:dyDescent="0.3">
      <c r="B84" s="4" t="s">
        <v>121</v>
      </c>
      <c r="C84" s="26">
        <v>0.10100000000000001</v>
      </c>
      <c r="D84" s="26">
        <v>9.7000000000000003E-2</v>
      </c>
      <c r="E84" s="26">
        <v>9.35E-2</v>
      </c>
      <c r="F84" s="26">
        <v>9.0999999999999998E-2</v>
      </c>
      <c r="G84" s="26">
        <v>8.8999999999999996E-2</v>
      </c>
    </row>
    <row r="85" spans="2:7" ht="14" x14ac:dyDescent="0.3">
      <c r="B85" s="4" t="s">
        <v>122</v>
      </c>
      <c r="C85" s="26">
        <v>9.6000000000000002E-2</v>
      </c>
      <c r="D85" s="26">
        <v>9.7199999999999995E-2</v>
      </c>
      <c r="E85" s="26">
        <v>9.8199999999999996E-2</v>
      </c>
      <c r="F85" s="26">
        <v>9.8900000000000002E-2</v>
      </c>
      <c r="G85" s="26">
        <v>9.9400000000000002E-2</v>
      </c>
    </row>
    <row r="86" spans="2:7" ht="14" x14ac:dyDescent="0.3">
      <c r="B86" s="4" t="s">
        <v>123</v>
      </c>
      <c r="C86" s="26">
        <v>9.4E-2</v>
      </c>
      <c r="D86" s="26">
        <v>9.9000000000000005E-2</v>
      </c>
      <c r="E86" s="26">
        <v>0.10299999999999999</v>
      </c>
      <c r="F86" s="26">
        <v>0.106</v>
      </c>
      <c r="G86" s="26">
        <v>0.108</v>
      </c>
    </row>
    <row r="87" spans="2:7" ht="14" x14ac:dyDescent="0.3">
      <c r="B87" s="4" t="s">
        <v>124</v>
      </c>
      <c r="C87" s="26">
        <v>0.1</v>
      </c>
      <c r="D87" s="26">
        <v>0.108</v>
      </c>
      <c r="E87" s="26">
        <v>0.111</v>
      </c>
      <c r="F87" s="26">
        <v>0.111</v>
      </c>
      <c r="G87" s="26">
        <v>0.11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x14ac:dyDescent="0.4">
      <c r="B2" s="2" t="s">
        <v>125</v>
      </c>
    </row>
    <row r="3" spans="2:9" ht="14" x14ac:dyDescent="0.3">
      <c r="B3" s="1" t="s">
        <v>126</v>
      </c>
    </row>
    <row r="5" spans="2:9" ht="14" x14ac:dyDescent="0.3">
      <c r="B5" s="8" t="s">
        <v>127</v>
      </c>
      <c r="C5" s="9"/>
      <c r="D5" s="9"/>
      <c r="E5" s="9"/>
      <c r="F5" s="9"/>
      <c r="G5" s="9"/>
      <c r="H5" s="9"/>
      <c r="I5" s="9"/>
    </row>
    <row r="6" spans="2:9" ht="14" x14ac:dyDescent="0.3">
      <c r="B6" s="4" t="s">
        <v>128</v>
      </c>
      <c r="C6" s="15">
        <f>'Executive Summary'!C9</f>
        <v>1312</v>
      </c>
    </row>
    <row r="7" spans="2:9" ht="14" x14ac:dyDescent="0.3">
      <c r="B7" s="4" t="s">
        <v>72</v>
      </c>
      <c r="C7" s="15">
        <f>'DCF Model'!C15</f>
        <v>713231306</v>
      </c>
    </row>
    <row r="8" spans="2:9" ht="14" x14ac:dyDescent="0.3">
      <c r="B8" s="4" t="s">
        <v>129</v>
      </c>
      <c r="C8" s="5">
        <f>C6*C7/1000000</f>
        <v>935759.47347199998</v>
      </c>
    </row>
    <row r="9" spans="2:9" ht="14" x14ac:dyDescent="0.3">
      <c r="B9" s="4" t="s">
        <v>73</v>
      </c>
      <c r="C9" s="5">
        <f>'DCF Model'!C16</f>
        <v>1639131</v>
      </c>
    </row>
    <row r="10" spans="2:9" ht="14" x14ac:dyDescent="0.3">
      <c r="B10" s="4" t="s">
        <v>130</v>
      </c>
      <c r="C10" s="5">
        <f>C8+C9</f>
        <v>2574890.4734720001</v>
      </c>
    </row>
    <row r="11" spans="2:9" ht="14" x14ac:dyDescent="0.3">
      <c r="B11" s="4" t="s">
        <v>131</v>
      </c>
      <c r="C11" s="16">
        <f>'DCF Model'!C26</f>
        <v>3.8071722934912962E-2</v>
      </c>
    </row>
    <row r="12" spans="2:9" ht="14" x14ac:dyDescent="0.3">
      <c r="B12" s="4" t="s">
        <v>132</v>
      </c>
      <c r="C12" s="16">
        <f>'DCF Model'!C13</f>
        <v>0.01</v>
      </c>
    </row>
    <row r="13" spans="2:9" ht="14" x14ac:dyDescent="0.3">
      <c r="B13" s="4" t="s">
        <v>133</v>
      </c>
      <c r="C13" s="16">
        <f>'DCF Model'!C6</f>
        <v>0.25</v>
      </c>
    </row>
    <row r="14" spans="2:9" ht="14" x14ac:dyDescent="0.3">
      <c r="B14" s="4" t="s">
        <v>134</v>
      </c>
      <c r="C14" s="27">
        <v>166883</v>
      </c>
    </row>
    <row r="15" spans="2:9" ht="14" x14ac:dyDescent="0.3">
      <c r="B15" s="4" t="s">
        <v>135</v>
      </c>
      <c r="C15" s="27">
        <v>166883</v>
      </c>
    </row>
    <row r="16" spans="2:9" ht="14" x14ac:dyDescent="0.3">
      <c r="B16" s="4" t="s">
        <v>136</v>
      </c>
      <c r="C16" s="5">
        <f>'DCF Model'!G33</f>
        <v>1458501.1515097921</v>
      </c>
    </row>
    <row r="17" spans="2:9" ht="14" x14ac:dyDescent="0.3">
      <c r="B17" s="4" t="s">
        <v>137</v>
      </c>
      <c r="C17" s="5">
        <f>'DCF Model'!C53</f>
        <v>3634553.8804834648</v>
      </c>
    </row>
    <row r="18" spans="2:9" ht="14" x14ac:dyDescent="0.3">
      <c r="B18" s="4" t="s">
        <v>138</v>
      </c>
      <c r="C18" s="26">
        <v>0.13392983255861729</v>
      </c>
    </row>
    <row r="19" spans="2:9" ht="14" x14ac:dyDescent="0.3">
      <c r="B19" s="4" t="s">
        <v>139</v>
      </c>
      <c r="C19" s="5">
        <f>C10-C17</f>
        <v>-1059663.4070114647</v>
      </c>
    </row>
    <row r="20" spans="2:9" ht="14" x14ac:dyDescent="0.3">
      <c r="B20" s="4" t="s">
        <v>140</v>
      </c>
      <c r="C20" s="15">
        <f>IFERROR(ROUND(C19*1000000/C7,0),"N/A")</f>
        <v>-1486</v>
      </c>
    </row>
    <row r="22" spans="2:9" ht="14" x14ac:dyDescent="0.3">
      <c r="B22" s="8" t="s">
        <v>141</v>
      </c>
      <c r="C22" s="9"/>
      <c r="D22" s="9"/>
      <c r="E22" s="9"/>
      <c r="F22" s="9"/>
      <c r="G22" s="9"/>
      <c r="H22" s="9"/>
      <c r="I22" s="9"/>
    </row>
    <row r="23" spans="2:9" ht="14" x14ac:dyDescent="0.3">
      <c r="B23" s="1" t="s">
        <v>142</v>
      </c>
    </row>
    <row r="24" spans="2:9" ht="14" x14ac:dyDescent="0.3">
      <c r="B24" s="4" t="s">
        <v>143</v>
      </c>
      <c r="C24" s="5">
        <f>C10*(C11-C12)</f>
        <v>72281.61195905284</v>
      </c>
    </row>
    <row r="25" spans="2:9" ht="14" x14ac:dyDescent="0.3">
      <c r="B25" s="4" t="s">
        <v>144</v>
      </c>
      <c r="C25" s="5">
        <f>IFERROR(C24/(1-C13),"N/A")</f>
        <v>96375.482612070453</v>
      </c>
    </row>
    <row r="26" spans="2:9" ht="13.5" x14ac:dyDescent="0.25">
      <c r="B26" s="6" t="s">
        <v>145</v>
      </c>
      <c r="C26" s="14">
        <f>IFERROR(C25/C15,"N/A")</f>
        <v>0.57750329639370368</v>
      </c>
    </row>
    <row r="27" spans="2:9" ht="13.5" x14ac:dyDescent="0.25">
      <c r="B27" s="6" t="s">
        <v>146</v>
      </c>
      <c r="C27" s="14">
        <f>IFERROR(C25/C14,"N/A")</f>
        <v>0.57750329639370368</v>
      </c>
    </row>
    <row r="28" spans="2:9" ht="13.5" x14ac:dyDescent="0.25">
      <c r="B28" s="6" t="s">
        <v>147</v>
      </c>
      <c r="C28" s="7">
        <f>IFERROR(C25/C16,"N/A")</f>
        <v>6.6078441221870649E-2</v>
      </c>
    </row>
    <row r="29" spans="2:9" ht="13.5" x14ac:dyDescent="0.25">
      <c r="B29" s="6" t="s">
        <v>148</v>
      </c>
      <c r="C29" s="5">
        <f>IFERROR(C25/C18,"N/A")</f>
        <v>719596.82746478193</v>
      </c>
    </row>
    <row r="32" spans="2:9" ht="14" x14ac:dyDescent="0.3">
      <c r="B32" s="8" t="s">
        <v>149</v>
      </c>
      <c r="C32" s="9"/>
      <c r="D32" s="9"/>
      <c r="E32" s="9"/>
      <c r="F32" s="9"/>
      <c r="G32" s="9"/>
      <c r="H32" s="9"/>
      <c r="I32" s="9"/>
    </row>
    <row r="33" spans="2:9" ht="14" x14ac:dyDescent="0.3">
      <c r="B33" s="1" t="s">
        <v>150</v>
      </c>
    </row>
    <row r="34" spans="2:9" ht="14" x14ac:dyDescent="0.3">
      <c r="B34" s="1" t="s">
        <v>151</v>
      </c>
    </row>
    <row r="36" spans="2:9" ht="14" x14ac:dyDescent="0.3">
      <c r="B36" s="28" t="s">
        <v>152</v>
      </c>
      <c r="C36" s="28" t="s">
        <v>153</v>
      </c>
      <c r="D36" s="29">
        <f>'DCF Model'!C26-0.02</f>
        <v>1.8071722934912961E-2</v>
      </c>
      <c r="E36" s="29">
        <f>'DCF Model'!C26-0.01</f>
        <v>2.807172293491296E-2</v>
      </c>
      <c r="F36" s="29">
        <f>'DCF Model'!C26</f>
        <v>3.8071722934912962E-2</v>
      </c>
      <c r="G36" s="29">
        <f>'DCF Model'!C26+0.01</f>
        <v>4.8071722934912964E-2</v>
      </c>
      <c r="H36" s="29">
        <f>'DCF Model'!C26+0.02</f>
        <v>5.8071722934912959E-2</v>
      </c>
    </row>
    <row r="37" spans="2:9" ht="14" x14ac:dyDescent="0.3">
      <c r="B37" s="3" t="s">
        <v>154</v>
      </c>
    </row>
    <row r="38" spans="2:9" ht="14" x14ac:dyDescent="0.3">
      <c r="B38" s="4" t="s">
        <v>155</v>
      </c>
      <c r="C38" s="30">
        <v>3</v>
      </c>
      <c r="D38" s="13">
        <f t="shared" ref="D38:H41" si="0">IFERROR((1-(1+D$36)^(-$C38))/D$36-(1+D$36)/(D$36^2*$C38)*(1-($C38+1)/(1+D$36)^$C38+$C38/(1+D$36)^($C38+1)),"N/A")</f>
        <v>0.97643712121826232</v>
      </c>
      <c r="E38" s="13">
        <f t="shared" si="0"/>
        <v>0.96384156710536217</v>
      </c>
      <c r="F38" s="13">
        <f t="shared" si="0"/>
        <v>0.95154779394050681</v>
      </c>
      <c r="G38" s="13">
        <f t="shared" si="0"/>
        <v>0.93954548776000357</v>
      </c>
      <c r="H38" s="13">
        <f t="shared" si="0"/>
        <v>0.92782478726966633</v>
      </c>
    </row>
    <row r="39" spans="2:9" ht="14" x14ac:dyDescent="0.3">
      <c r="B39" s="4" t="s">
        <v>156</v>
      </c>
      <c r="C39" s="30">
        <v>5</v>
      </c>
      <c r="D39" s="13">
        <f t="shared" si="0"/>
        <v>1.929934862866316</v>
      </c>
      <c r="E39" s="13">
        <f t="shared" si="0"/>
        <v>1.8929915326930744</v>
      </c>
      <c r="F39" s="13">
        <f t="shared" si="0"/>
        <v>1.8572747194951806</v>
      </c>
      <c r="G39" s="13">
        <f t="shared" si="0"/>
        <v>1.8227290881631411</v>
      </c>
      <c r="H39" s="13">
        <f t="shared" si="0"/>
        <v>1.789302395575052</v>
      </c>
    </row>
    <row r="40" spans="2:9" ht="14" x14ac:dyDescent="0.3">
      <c r="B40" s="4" t="s">
        <v>157</v>
      </c>
      <c r="C40" s="30">
        <v>7</v>
      </c>
      <c r="D40" s="13">
        <f t="shared" si="0"/>
        <v>2.8610991414862705</v>
      </c>
      <c r="E40" s="13">
        <f t="shared" si="0"/>
        <v>2.7888533437961409</v>
      </c>
      <c r="F40" s="13">
        <f t="shared" si="0"/>
        <v>2.7196599672457884</v>
      </c>
      <c r="G40" s="13">
        <f t="shared" si="0"/>
        <v>2.6533485803069428</v>
      </c>
      <c r="H40" s="13">
        <f t="shared" si="0"/>
        <v>2.5897602776744075</v>
      </c>
    </row>
    <row r="41" spans="2:9" ht="14" x14ac:dyDescent="0.3">
      <c r="B41" s="4" t="s">
        <v>158</v>
      </c>
      <c r="C41" s="30">
        <v>10</v>
      </c>
      <c r="D41" s="13">
        <f t="shared" si="0"/>
        <v>4.2172538827451866</v>
      </c>
      <c r="E41" s="13">
        <f t="shared" si="0"/>
        <v>4.0731525136987221</v>
      </c>
      <c r="F41" s="13">
        <f t="shared" si="0"/>
        <v>3.937045650170969</v>
      </c>
      <c r="G41" s="13">
        <f t="shared" si="0"/>
        <v>3.8083615919505398</v>
      </c>
      <c r="H41" s="13">
        <f t="shared" si="0"/>
        <v>3.6865771330358084</v>
      </c>
    </row>
    <row r="42" spans="2:9" ht="14" x14ac:dyDescent="0.3">
      <c r="B42" s="3" t="s">
        <v>159</v>
      </c>
    </row>
    <row r="43" spans="2:9" ht="14" x14ac:dyDescent="0.3">
      <c r="B43" s="4" t="s">
        <v>155</v>
      </c>
      <c r="C43" s="30">
        <v>3</v>
      </c>
      <c r="D43" s="13">
        <f t="shared" ref="D43:H46" si="1">IFERROR((1+D$36)/(D$36^2*$C43)*(1-($C43+1)/(1+D$36)^$C43+$C43/(1+D$36)^($C43+1))+(1+$C$12)/((D$36-$C$12)*(1+D$36)^$C43),"N/A")</f>
        <v>120.50064837095287</v>
      </c>
      <c r="E43" s="13">
        <f t="shared" si="1"/>
        <v>53.309439643282566</v>
      </c>
      <c r="F43" s="13">
        <f t="shared" si="1"/>
        <v>33.99774314177629</v>
      </c>
      <c r="G43" s="13">
        <f t="shared" si="1"/>
        <v>24.836933522367413</v>
      </c>
      <c r="H43" s="13">
        <f t="shared" si="1"/>
        <v>19.492005241465115</v>
      </c>
    </row>
    <row r="44" spans="2:9" ht="14" x14ac:dyDescent="0.3">
      <c r="B44" s="4" t="s">
        <v>156</v>
      </c>
      <c r="C44" s="30">
        <v>5</v>
      </c>
      <c r="D44" s="13">
        <f t="shared" si="1"/>
        <v>117.21982661449258</v>
      </c>
      <c r="E44" s="13">
        <f t="shared" si="1"/>
        <v>51.375696802021658</v>
      </c>
      <c r="F44" s="13">
        <f t="shared" si="1"/>
        <v>32.466784571798883</v>
      </c>
      <c r="G44" s="13">
        <f t="shared" si="1"/>
        <v>23.507910348204778</v>
      </c>
      <c r="H44" s="13">
        <f t="shared" si="1"/>
        <v>18.288933513609301</v>
      </c>
    </row>
    <row r="45" spans="2:9" ht="14" x14ac:dyDescent="0.3">
      <c r="B45" s="4" t="s">
        <v>157</v>
      </c>
      <c r="C45" s="30">
        <v>7</v>
      </c>
      <c r="D45" s="13">
        <f t="shared" si="1"/>
        <v>114.04322933672755</v>
      </c>
      <c r="E45" s="13">
        <f t="shared" si="1"/>
        <v>49.529354371724857</v>
      </c>
      <c r="F45" s="13">
        <f t="shared" si="1"/>
        <v>31.024187962886533</v>
      </c>
      <c r="G45" s="13">
        <f t="shared" si="1"/>
        <v>22.271411832255339</v>
      </c>
      <c r="H45" s="13">
        <f t="shared" si="1"/>
        <v>17.183348961178538</v>
      </c>
    </row>
    <row r="46" spans="2:9" ht="14" x14ac:dyDescent="0.3">
      <c r="B46" s="4" t="s">
        <v>158</v>
      </c>
      <c r="C46" s="30">
        <v>10</v>
      </c>
      <c r="D46" s="13">
        <f t="shared" si="1"/>
        <v>109.466195335078</v>
      </c>
      <c r="E46" s="13">
        <f t="shared" si="1"/>
        <v>46.914461904818673</v>
      </c>
      <c r="F46" s="13">
        <f t="shared" si="1"/>
        <v>29.013871301461062</v>
      </c>
      <c r="G46" s="13">
        <f t="shared" si="1"/>
        <v>20.574760020786716</v>
      </c>
      <c r="H46" s="13">
        <f t="shared" si="1"/>
        <v>15.68881720941102</v>
      </c>
    </row>
    <row r="47" spans="2:9" ht="14" x14ac:dyDescent="0.3">
      <c r="B47" s="22" t="s">
        <v>160</v>
      </c>
      <c r="C47" s="23"/>
      <c r="D47" s="23"/>
      <c r="E47" s="23"/>
      <c r="F47" s="23"/>
      <c r="G47" s="23"/>
      <c r="H47" s="23"/>
      <c r="I47" s="23"/>
    </row>
    <row r="48" spans="2:9" ht="14" x14ac:dyDescent="0.3">
      <c r="B48" s="4" t="s">
        <v>155</v>
      </c>
      <c r="C48" s="30">
        <v>3</v>
      </c>
      <c r="D48" s="5">
        <f t="shared" ref="D48:H51" si="2">IFERROR(($C$10/(1-$C$13)-$C$14*D38)/D43,"N/A")</f>
        <v>27138.746438900511</v>
      </c>
      <c r="E48" s="5">
        <f t="shared" si="2"/>
        <v>61383.84773158584</v>
      </c>
      <c r="F48" s="5">
        <f t="shared" si="2"/>
        <v>96311.985587153162</v>
      </c>
      <c r="G48" s="5">
        <f t="shared" si="2"/>
        <v>131916.16933621015</v>
      </c>
      <c r="H48" s="5">
        <f t="shared" si="2"/>
        <v>168189.42296479325</v>
      </c>
    </row>
    <row r="49" spans="2:9" ht="14" x14ac:dyDescent="0.3">
      <c r="B49" s="4" t="s">
        <v>156</v>
      </c>
      <c r="C49" s="30">
        <v>5</v>
      </c>
      <c r="D49" s="5">
        <f t="shared" si="2"/>
        <v>26540.851220285822</v>
      </c>
      <c r="E49" s="5">
        <f t="shared" si="2"/>
        <v>60676.14428714828</v>
      </c>
      <c r="F49" s="5">
        <f t="shared" si="2"/>
        <v>96197.999344291195</v>
      </c>
      <c r="G49" s="5">
        <f t="shared" si="2"/>
        <v>133104.33608071375</v>
      </c>
      <c r="H49" s="5">
        <f t="shared" si="2"/>
        <v>171392.34192903517</v>
      </c>
    </row>
    <row r="50" spans="2:9" ht="14" x14ac:dyDescent="0.3">
      <c r="B50" s="4" t="s">
        <v>157</v>
      </c>
      <c r="C50" s="30">
        <v>7</v>
      </c>
      <c r="D50" s="5">
        <f t="shared" si="2"/>
        <v>25917.527126550129</v>
      </c>
      <c r="E50" s="5">
        <f t="shared" si="2"/>
        <v>59919.518900173032</v>
      </c>
      <c r="F50" s="5">
        <f t="shared" si="2"/>
        <v>96032.240625052858</v>
      </c>
      <c r="G50" s="5">
        <f t="shared" si="2"/>
        <v>134270.27210301819</v>
      </c>
      <c r="H50" s="5">
        <f t="shared" si="2"/>
        <v>174645.83535628216</v>
      </c>
    </row>
    <row r="51" spans="2:9" ht="14" x14ac:dyDescent="0.3">
      <c r="B51" s="4" t="s">
        <v>158</v>
      </c>
      <c r="C51" s="30">
        <v>10</v>
      </c>
      <c r="D51" s="5">
        <f t="shared" si="2"/>
        <v>24933.718668980513</v>
      </c>
      <c r="E51" s="5">
        <f t="shared" si="2"/>
        <v>58690.80183857488</v>
      </c>
      <c r="F51" s="5">
        <f t="shared" si="2"/>
        <v>95683.932691373906</v>
      </c>
      <c r="G51" s="5">
        <f t="shared" si="2"/>
        <v>135974.19788064252</v>
      </c>
      <c r="H51" s="5">
        <f t="shared" si="2"/>
        <v>179615.85049125846</v>
      </c>
    </row>
    <row r="52" spans="2:9" ht="14" x14ac:dyDescent="0.3">
      <c r="B52" s="22" t="s">
        <v>161</v>
      </c>
      <c r="C52" s="23"/>
      <c r="D52" s="23"/>
      <c r="E52" s="23"/>
      <c r="F52" s="23"/>
      <c r="G52" s="23"/>
      <c r="H52" s="23"/>
      <c r="I52" s="23"/>
    </row>
    <row r="53" spans="2:9" ht="14" x14ac:dyDescent="0.3">
      <c r="B53" s="4" t="s">
        <v>155</v>
      </c>
      <c r="C53" s="30">
        <v>3</v>
      </c>
      <c r="D53" s="14">
        <f t="shared" ref="D53:H56" si="3">IFERROR(D48/$C$15,"N/A")</f>
        <v>0.16262139606131548</v>
      </c>
      <c r="E53" s="14">
        <f t="shared" si="3"/>
        <v>0.36782564869750567</v>
      </c>
      <c r="F53" s="14">
        <f t="shared" si="3"/>
        <v>0.57712280811798178</v>
      </c>
      <c r="G53" s="14">
        <f t="shared" si="3"/>
        <v>0.79047098467914734</v>
      </c>
      <c r="H53" s="14">
        <f t="shared" si="3"/>
        <v>1.0078283765559899</v>
      </c>
    </row>
    <row r="54" spans="2:9" ht="14" x14ac:dyDescent="0.3">
      <c r="B54" s="4" t="s">
        <v>156</v>
      </c>
      <c r="C54" s="30">
        <v>5</v>
      </c>
      <c r="D54" s="14">
        <f t="shared" si="3"/>
        <v>0.15903867512140735</v>
      </c>
      <c r="E54" s="14">
        <f t="shared" si="3"/>
        <v>0.36358493248052998</v>
      </c>
      <c r="F54" s="14">
        <f t="shared" si="3"/>
        <v>0.57643977723489626</v>
      </c>
      <c r="G54" s="14">
        <f t="shared" si="3"/>
        <v>0.79759074369896121</v>
      </c>
      <c r="H54" s="14">
        <f t="shared" si="3"/>
        <v>1.02702097834432</v>
      </c>
    </row>
    <row r="55" spans="2:9" ht="14" x14ac:dyDescent="0.3">
      <c r="B55" s="4" t="s">
        <v>157</v>
      </c>
      <c r="C55" s="30">
        <v>7</v>
      </c>
      <c r="D55" s="14">
        <f t="shared" si="3"/>
        <v>0.15530357871412984</v>
      </c>
      <c r="E55" s="14">
        <f t="shared" si="3"/>
        <v>0.35905106511851437</v>
      </c>
      <c r="F55" s="14">
        <f t="shared" si="3"/>
        <v>0.5754465141749181</v>
      </c>
      <c r="G55" s="14">
        <f t="shared" si="3"/>
        <v>0.80457729129400946</v>
      </c>
      <c r="H55" s="14">
        <f t="shared" si="3"/>
        <v>1.0465166335473486</v>
      </c>
    </row>
    <row r="56" spans="2:9" ht="14" x14ac:dyDescent="0.3">
      <c r="B56" s="4" t="s">
        <v>158</v>
      </c>
      <c r="C56" s="30">
        <v>10</v>
      </c>
      <c r="D56" s="14">
        <f t="shared" si="3"/>
        <v>0.14940837993672521</v>
      </c>
      <c r="E56" s="14">
        <f t="shared" si="3"/>
        <v>0.35168831959261804</v>
      </c>
      <c r="F56" s="14">
        <f t="shared" si="3"/>
        <v>0.57335937567861261</v>
      </c>
      <c r="G56" s="14">
        <f t="shared" si="3"/>
        <v>0.81478759298815651</v>
      </c>
      <c r="H56" s="14">
        <f t="shared" si="3"/>
        <v>1.076298068055215</v>
      </c>
    </row>
    <row r="58" spans="2:9" ht="14" x14ac:dyDescent="0.3">
      <c r="B58" s="8" t="s">
        <v>162</v>
      </c>
      <c r="C58" s="9"/>
      <c r="D58" s="9"/>
      <c r="E58" s="9"/>
      <c r="F58" s="9"/>
      <c r="G58" s="9"/>
      <c r="H58" s="9"/>
      <c r="I58" s="9"/>
    </row>
    <row r="59" spans="2:9" ht="14" x14ac:dyDescent="0.3">
      <c r="B59" s="1" t="s">
        <v>163</v>
      </c>
    </row>
    <row r="60" spans="2:9" ht="14" x14ac:dyDescent="0.3">
      <c r="B60" s="4" t="s">
        <v>164</v>
      </c>
      <c r="C60" s="5">
        <f>F49</f>
        <v>96197.999344291195</v>
      </c>
    </row>
    <row r="62" spans="2:9" ht="14" x14ac:dyDescent="0.3">
      <c r="B62" s="28" t="s">
        <v>165</v>
      </c>
      <c r="C62" s="28" t="s">
        <v>166</v>
      </c>
      <c r="D62" s="28" t="s">
        <v>167</v>
      </c>
    </row>
    <row r="63" spans="2:9" ht="14" x14ac:dyDescent="0.3">
      <c r="B63" s="31">
        <v>6.7000000000000004E-2</v>
      </c>
      <c r="C63" s="5">
        <f>IFERROR($C$60/B63,"N/A")</f>
        <v>1435791.0349894208</v>
      </c>
      <c r="D63" s="14">
        <f>IFERROR(C63/'DCF Model'!C17,"N/A")</f>
        <v>1.1522758633611392</v>
      </c>
    </row>
    <row r="64" spans="2:9" ht="14" x14ac:dyDescent="0.3">
      <c r="B64" s="31">
        <v>0.1004</v>
      </c>
      <c r="C64" s="5">
        <f>IFERROR($C$60/B64,"N/A")</f>
        <v>958147.40382760146</v>
      </c>
      <c r="D64" s="14">
        <f>IFERROR(C64/'DCF Model'!C17,"N/A")</f>
        <v>0.76894903232267253</v>
      </c>
    </row>
    <row r="65" spans="2:9" ht="14" x14ac:dyDescent="0.3">
      <c r="B65" s="4" t="s">
        <v>168</v>
      </c>
      <c r="C65" s="5">
        <f>IFERROR($C$60/$C$18,"N/A")</f>
        <v>718271.63154398825</v>
      </c>
      <c r="D65" s="14">
        <f>IFERROR(C65/'DCF Model'!C17,"N/A")</f>
        <v>0.57643977723489648</v>
      </c>
    </row>
    <row r="66" spans="2:9" ht="14" x14ac:dyDescent="0.3">
      <c r="B66" s="31">
        <v>0.16739999999999999</v>
      </c>
      <c r="C66" s="5">
        <f>IFERROR($C$60/B66,"N/A")</f>
        <v>574659.49429086735</v>
      </c>
      <c r="D66" s="14">
        <f>IFERROR(C66/'DCF Model'!C17,"N/A")</f>
        <v>0.4611856800788311</v>
      </c>
    </row>
    <row r="67" spans="2:9" ht="14" x14ac:dyDescent="0.3">
      <c r="B67" s="31">
        <v>0.2009</v>
      </c>
      <c r="C67" s="5">
        <f>IFERROR($C$60/B67,"N/A")</f>
        <v>478835.23814978194</v>
      </c>
      <c r="D67" s="14">
        <f>IFERROR(C67/'DCF Model'!C17,"N/A")</f>
        <v>0.38428314009555165</v>
      </c>
    </row>
    <row r="69" spans="2:9" ht="14" x14ac:dyDescent="0.3">
      <c r="B69" s="8" t="s">
        <v>169</v>
      </c>
      <c r="C69" s="9"/>
      <c r="D69" s="9"/>
      <c r="E69" s="9"/>
      <c r="F69" s="9"/>
      <c r="G69" s="9"/>
      <c r="H69" s="9"/>
      <c r="I69" s="9"/>
    </row>
    <row r="70" spans="2:9" ht="13.5" x14ac:dyDescent="0.25">
      <c r="B70" s="6" t="s">
        <v>170</v>
      </c>
      <c r="C70" s="14">
        <f>IFERROR(C10/'Comps Analysis'!G5,"N/A")</f>
        <v>10.69799813648318</v>
      </c>
    </row>
    <row r="71" spans="2:9" ht="13.5" x14ac:dyDescent="0.25">
      <c r="B71" s="6" t="s">
        <v>171</v>
      </c>
      <c r="C71" s="14">
        <f>IFERROR(C10/'Comps Analysis'!F5,"N/A")</f>
        <v>2.066445653355248</v>
      </c>
    </row>
    <row r="72" spans="2:9" ht="14" x14ac:dyDescent="0.3">
      <c r="B72" s="4" t="s">
        <v>172</v>
      </c>
      <c r="C72" s="14">
        <f>IFERROR(C10/(C25+'DCF Model'!G42),"N/A")</f>
        <v>14.092097622492101</v>
      </c>
    </row>
    <row r="73" spans="2:9" ht="14" x14ac:dyDescent="0.3">
      <c r="B73" s="4" t="s">
        <v>173</v>
      </c>
      <c r="C73" s="14">
        <f>IFERROR(C10/(C60+'DCF Model'!G42),"N/A")</f>
        <v>14.10579924497983</v>
      </c>
    </row>
    <row r="74" spans="2:9" ht="14" x14ac:dyDescent="0.3">
      <c r="B74" s="4" t="s">
        <v>174</v>
      </c>
      <c r="C74" s="14">
        <f>IFERROR('Comps Analysis'!D16,"N/A")</f>
        <v>15.746843770819453</v>
      </c>
    </row>
    <row r="75" spans="2:9" ht="14" x14ac:dyDescent="0.3">
      <c r="B75" s="1" t="s">
        <v>175</v>
      </c>
    </row>
    <row r="77" spans="2:9" ht="14" x14ac:dyDescent="0.3">
      <c r="B77" s="22" t="s">
        <v>176</v>
      </c>
      <c r="C77" s="23"/>
      <c r="D77" s="23"/>
      <c r="E77" s="23"/>
      <c r="F77" s="23"/>
      <c r="G77" s="23"/>
      <c r="H77" s="23"/>
      <c r="I77" s="23"/>
    </row>
    <row r="78" spans="2:9" ht="14" x14ac:dyDescent="0.3">
      <c r="B78" s="4" t="str">
        <f>"At "&amp;TEXT(C6,"#,##0")&amp;" yen the market is paying for a steady-state operating profit of "&amp;TEXT(F49,"#,##0")&amp;" mn JPY - "&amp;TEXT(F54,"0.00")&amp;"x the FY2026 cycle peak of "&amp;TEXT(C15,"#,##0")&amp;" mn - reached in 5 years and sustained for ever, against "&amp;TEXT(C14,"#,##0")&amp;" mn actually earned in FY2026."</f>
        <v>At 1,312 yen the market is paying for a steady-state operating profit of 96,198 mn JPY - 0.58x the FY2026 cycle peak of 166,883 mn - reached in 5 years and sustained for ever, against 166,883 mn actually earned in FY2026.</v>
      </c>
    </row>
    <row r="79" spans="2:9" ht="14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96,375 mn, or 0.58x the peak. The base case supports an EV of only 3,634,554 mn, leaving -1,486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177</v>
      </c>
    </row>
    <row r="4" spans="2:8" ht="14" x14ac:dyDescent="0.3">
      <c r="B4" s="8" t="s">
        <v>178</v>
      </c>
      <c r="C4" s="32" t="s">
        <v>179</v>
      </c>
      <c r="D4" s="32" t="s">
        <v>86</v>
      </c>
      <c r="E4" s="32" t="s">
        <v>87</v>
      </c>
      <c r="F4" s="32" t="s">
        <v>88</v>
      </c>
      <c r="G4" s="32" t="s">
        <v>89</v>
      </c>
      <c r="H4" s="32" t="s">
        <v>90</v>
      </c>
    </row>
    <row r="5" spans="2:8" ht="14" x14ac:dyDescent="0.3">
      <c r="B5" s="33" t="s">
        <v>180</v>
      </c>
      <c r="C5" s="34">
        <f>C12/C9*365</f>
        <v>17.316034374277717</v>
      </c>
      <c r="D5" s="34">
        <f>CHOOSE('DCF Model'!$D$27,D25,D26,D27,D28,D29)</f>
        <v>18</v>
      </c>
      <c r="E5" s="34">
        <f>CHOOSE('DCF Model'!$D$27,E25,E26,E27,E28,E29)</f>
        <v>18</v>
      </c>
      <c r="F5" s="34">
        <f>CHOOSE('DCF Model'!$D$27,F25,F26,F27,F28,F29)</f>
        <v>18</v>
      </c>
      <c r="G5" s="34">
        <f>CHOOSE('DCF Model'!$D$27,G25,G26,G27,G28,G29)</f>
        <v>18</v>
      </c>
      <c r="H5" s="34">
        <f>CHOOSE('DCF Model'!$D$27,H25,H26,H27,H28,H29)</f>
        <v>18</v>
      </c>
    </row>
    <row r="6" spans="2:8" ht="14" x14ac:dyDescent="0.3">
      <c r="B6" s="33" t="s">
        <v>181</v>
      </c>
      <c r="C6" s="34">
        <f>C13/C10*365</f>
        <v>413.80954239996674</v>
      </c>
      <c r="D6" s="34">
        <f>CHOOSE('DCF Model'!$D$27,D32,D33,D34,D35,D36)</f>
        <v>390</v>
      </c>
      <c r="E6" s="34">
        <f>CHOOSE('DCF Model'!$D$27,E32,E33,E34,E35,E36)</f>
        <v>390</v>
      </c>
      <c r="F6" s="34">
        <f>CHOOSE('DCF Model'!$D$27,F32,F33,F34,F35,F36)</f>
        <v>390</v>
      </c>
      <c r="G6" s="34">
        <f>CHOOSE('DCF Model'!$D$27,G32,G33,G34,G35,G36)</f>
        <v>390</v>
      </c>
      <c r="H6" s="34">
        <f>CHOOSE('DCF Model'!$D$27,H32,H33,H34,H35,H36)</f>
        <v>390</v>
      </c>
    </row>
    <row r="7" spans="2:8" ht="14" x14ac:dyDescent="0.3">
      <c r="B7" s="33" t="s">
        <v>182</v>
      </c>
      <c r="C7" s="34">
        <f>C15/C10*365</f>
        <v>21.435919858831614</v>
      </c>
      <c r="D7" s="34">
        <f>CHOOSE('DCF Model'!$D$27,D39,D40,D41,D42,D43)</f>
        <v>23</v>
      </c>
      <c r="E7" s="34">
        <f>CHOOSE('DCF Model'!$D$27,E39,E40,E41,E42,E43)</f>
        <v>23</v>
      </c>
      <c r="F7" s="34">
        <f>CHOOSE('DCF Model'!$D$27,F39,F40,F41,F42,F43)</f>
        <v>23</v>
      </c>
      <c r="G7" s="34">
        <f>CHOOSE('DCF Model'!$D$27,G39,G40,G41,G42,G43)</f>
        <v>23</v>
      </c>
      <c r="H7" s="34">
        <f>CHOOSE('DCF Model'!$D$27,H39,H40,H41,H42,H43)</f>
        <v>23</v>
      </c>
    </row>
    <row r="8" spans="2:8" ht="14" x14ac:dyDescent="0.3">
      <c r="B8" s="8" t="s">
        <v>183</v>
      </c>
      <c r="C8" s="9"/>
      <c r="D8" s="9"/>
      <c r="E8" s="9"/>
      <c r="F8" s="9"/>
      <c r="G8" s="9"/>
      <c r="H8" s="9"/>
    </row>
    <row r="9" spans="2:8" ht="14" x14ac:dyDescent="0.3">
      <c r="B9" s="33" t="s">
        <v>37</v>
      </c>
      <c r="C9" s="35">
        <v>1246048</v>
      </c>
      <c r="D9" s="35">
        <f>'DCF Model'!C33</f>
        <v>1295889.9200000002</v>
      </c>
      <c r="E9" s="35">
        <f>'DCF Model'!D33</f>
        <v>1341246.0672000002</v>
      </c>
      <c r="F9" s="35">
        <f>'DCF Model'!E33</f>
        <v>1381483.4492160003</v>
      </c>
      <c r="G9" s="35">
        <f>'DCF Model'!F33</f>
        <v>1422927.9526924803</v>
      </c>
      <c r="H9" s="35">
        <f>'DCF Model'!G33</f>
        <v>1458501.1515097921</v>
      </c>
    </row>
    <row r="10" spans="2:8" ht="14" x14ac:dyDescent="0.3">
      <c r="B10" s="33" t="s">
        <v>38</v>
      </c>
      <c r="C10" s="35">
        <v>960555</v>
      </c>
      <c r="D10" s="35">
        <f>'DCF Model'!C34</f>
        <v>999131.12832000013</v>
      </c>
      <c r="E10" s="35">
        <f>'DCF Model'!D34</f>
        <v>1034100.7178112002</v>
      </c>
      <c r="F10" s="35">
        <f>'DCF Model'!E34</f>
        <v>1065123.7393455363</v>
      </c>
      <c r="G10" s="35">
        <f>'DCF Model'!F34</f>
        <v>1097077.4515259024</v>
      </c>
      <c r="H10" s="35">
        <f>'DCF Model'!G34</f>
        <v>1124504.3878140496</v>
      </c>
    </row>
    <row r="11" spans="2:8" ht="14" x14ac:dyDescent="0.3">
      <c r="B11" s="8" t="s">
        <v>184</v>
      </c>
      <c r="C11" s="9"/>
      <c r="D11" s="9"/>
      <c r="E11" s="9"/>
      <c r="F11" s="9"/>
      <c r="G11" s="9"/>
      <c r="H11" s="9"/>
    </row>
    <row r="12" spans="2:8" ht="14" x14ac:dyDescent="0.3">
      <c r="B12" s="33" t="s">
        <v>185</v>
      </c>
      <c r="C12" s="35">
        <v>59114</v>
      </c>
      <c r="D12" s="35">
        <f t="shared" ref="D12:H13" si="0">D9*D5/365</f>
        <v>63906.900164383565</v>
      </c>
      <c r="E12" s="35">
        <f t="shared" si="0"/>
        <v>66143.641670136989</v>
      </c>
      <c r="F12" s="35">
        <f t="shared" si="0"/>
        <v>68127.950920241114</v>
      </c>
      <c r="G12" s="35">
        <f t="shared" si="0"/>
        <v>70171.78944784835</v>
      </c>
      <c r="H12" s="35">
        <f t="shared" si="0"/>
        <v>71926.084184044536</v>
      </c>
    </row>
    <row r="13" spans="2:8" ht="14" x14ac:dyDescent="0.3">
      <c r="B13" s="33" t="s">
        <v>186</v>
      </c>
      <c r="C13" s="35">
        <v>1089005</v>
      </c>
      <c r="D13" s="35">
        <f t="shared" si="0"/>
        <v>1067564.7672460275</v>
      </c>
      <c r="E13" s="35">
        <f t="shared" si="0"/>
        <v>1104929.5340996387</v>
      </c>
      <c r="F13" s="35">
        <f t="shared" si="0"/>
        <v>1138077.4201226279</v>
      </c>
      <c r="G13" s="35">
        <f t="shared" si="0"/>
        <v>1172219.7427263067</v>
      </c>
      <c r="H13" s="35">
        <f t="shared" si="0"/>
        <v>1201525.236294464</v>
      </c>
    </row>
    <row r="14" spans="2:8" ht="14" x14ac:dyDescent="0.3">
      <c r="B14" s="33" t="s">
        <v>187</v>
      </c>
      <c r="C14" s="35">
        <f t="shared" ref="C14:H14" si="1">C12+C13</f>
        <v>1148119</v>
      </c>
      <c r="D14" s="35">
        <f t="shared" si="1"/>
        <v>1131471.6674104109</v>
      </c>
      <c r="E14" s="35">
        <f t="shared" si="1"/>
        <v>1171073.1757697756</v>
      </c>
      <c r="F14" s="35">
        <f t="shared" si="1"/>
        <v>1206205.3710428691</v>
      </c>
      <c r="G14" s="35">
        <f t="shared" si="1"/>
        <v>1242391.5321741551</v>
      </c>
      <c r="H14" s="35">
        <f t="shared" si="1"/>
        <v>1273451.3204785085</v>
      </c>
    </row>
    <row r="15" spans="2:8" ht="14" x14ac:dyDescent="0.3">
      <c r="B15" s="33" t="s">
        <v>188</v>
      </c>
      <c r="C15" s="35">
        <v>56412</v>
      </c>
      <c r="D15" s="35">
        <f>D10*D7/365</f>
        <v>62958.947811945211</v>
      </c>
      <c r="E15" s="35">
        <f>E10*E7/365</f>
        <v>65162.510985363297</v>
      </c>
      <c r="F15" s="35">
        <f>F10*F7/365</f>
        <v>67117.38631492421</v>
      </c>
      <c r="G15" s="35">
        <f>G10*G7/365</f>
        <v>69130.907904371925</v>
      </c>
      <c r="H15" s="35">
        <f>H10*H7/365</f>
        <v>70859.180601981207</v>
      </c>
    </row>
    <row r="16" spans="2:8" ht="14" x14ac:dyDescent="0.3">
      <c r="B16" s="33" t="s">
        <v>189</v>
      </c>
      <c r="C16" s="35">
        <f t="shared" ref="C16:H16" si="2">C15</f>
        <v>56412</v>
      </c>
      <c r="D16" s="35">
        <f t="shared" si="2"/>
        <v>62958.947811945211</v>
      </c>
      <c r="E16" s="35">
        <f t="shared" si="2"/>
        <v>65162.510985363297</v>
      </c>
      <c r="F16" s="35">
        <f t="shared" si="2"/>
        <v>67117.38631492421</v>
      </c>
      <c r="G16" s="35">
        <f t="shared" si="2"/>
        <v>69130.907904371925</v>
      </c>
      <c r="H16" s="35">
        <f t="shared" si="2"/>
        <v>70859.180601981207</v>
      </c>
    </row>
    <row r="17" spans="2:8" ht="14" x14ac:dyDescent="0.3">
      <c r="B17" s="22" t="s">
        <v>190</v>
      </c>
      <c r="C17" s="23"/>
      <c r="D17" s="23"/>
      <c r="E17" s="23"/>
      <c r="F17" s="23"/>
      <c r="G17" s="23"/>
      <c r="H17" s="23"/>
    </row>
    <row r="18" spans="2:8" ht="14" x14ac:dyDescent="0.3">
      <c r="B18" s="33" t="s">
        <v>191</v>
      </c>
      <c r="C18" s="20">
        <f t="shared" ref="C18:H18" si="3">C14-C16</f>
        <v>1091707</v>
      </c>
      <c r="D18" s="20">
        <f t="shared" si="3"/>
        <v>1068512.7195984658</v>
      </c>
      <c r="E18" s="20">
        <f t="shared" si="3"/>
        <v>1105910.6647844124</v>
      </c>
      <c r="F18" s="20">
        <f t="shared" si="3"/>
        <v>1139087.9847279449</v>
      </c>
      <c r="G18" s="20">
        <f t="shared" si="3"/>
        <v>1173260.6242697833</v>
      </c>
      <c r="H18" s="20">
        <f t="shared" si="3"/>
        <v>1202592.1398765272</v>
      </c>
    </row>
    <row r="19" spans="2:8" ht="14" x14ac:dyDescent="0.3">
      <c r="B19" s="33" t="s">
        <v>100</v>
      </c>
      <c r="C19" s="36" t="s">
        <v>47</v>
      </c>
      <c r="D19" s="24">
        <f>D18-C18</f>
        <v>-23194.280401534168</v>
      </c>
      <c r="E19" s="24">
        <f>E18-D18</f>
        <v>37397.945185946533</v>
      </c>
      <c r="F19" s="24">
        <f>F18-E18</f>
        <v>33177.319943532581</v>
      </c>
      <c r="G19" s="24">
        <f>G18-F18</f>
        <v>34172.639541838318</v>
      </c>
      <c r="H19" s="24">
        <f>H18-G18</f>
        <v>29331.515606743982</v>
      </c>
    </row>
    <row r="22" spans="2:8" ht="14" x14ac:dyDescent="0.3">
      <c r="B22" s="22" t="s">
        <v>192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86</v>
      </c>
      <c r="E23" s="25" t="s">
        <v>87</v>
      </c>
      <c r="F23" s="25" t="s">
        <v>88</v>
      </c>
      <c r="G23" s="25" t="s">
        <v>89</v>
      </c>
      <c r="H23" s="25" t="s">
        <v>90</v>
      </c>
    </row>
    <row r="24" spans="2:8" ht="14" x14ac:dyDescent="0.3">
      <c r="B24" s="3" t="s">
        <v>193</v>
      </c>
    </row>
    <row r="25" spans="2:8" ht="14" x14ac:dyDescent="0.3">
      <c r="B25" s="4" t="s">
        <v>84</v>
      </c>
      <c r="D25" s="30">
        <v>18</v>
      </c>
      <c r="E25" s="30">
        <v>18</v>
      </c>
      <c r="F25" s="30">
        <v>18</v>
      </c>
      <c r="G25" s="30">
        <v>18</v>
      </c>
      <c r="H25" s="30">
        <v>18</v>
      </c>
    </row>
    <row r="26" spans="2:8" ht="14" x14ac:dyDescent="0.3">
      <c r="B26" s="4" t="s">
        <v>121</v>
      </c>
      <c r="D26" s="30">
        <v>15</v>
      </c>
      <c r="E26" s="30">
        <v>15</v>
      </c>
      <c r="F26" s="30">
        <v>15</v>
      </c>
      <c r="G26" s="30">
        <v>15</v>
      </c>
      <c r="H26" s="30">
        <v>15</v>
      </c>
    </row>
    <row r="27" spans="2:8" ht="14" x14ac:dyDescent="0.3">
      <c r="B27" s="4" t="s">
        <v>122</v>
      </c>
      <c r="D27" s="30">
        <v>18</v>
      </c>
      <c r="E27" s="30">
        <v>18</v>
      </c>
      <c r="F27" s="30">
        <v>18</v>
      </c>
      <c r="G27" s="30">
        <v>18</v>
      </c>
      <c r="H27" s="30">
        <v>18</v>
      </c>
    </row>
    <row r="28" spans="2:8" ht="14" x14ac:dyDescent="0.3">
      <c r="B28" s="4" t="s">
        <v>123</v>
      </c>
      <c r="D28" s="30">
        <v>22</v>
      </c>
      <c r="E28" s="30">
        <v>22</v>
      </c>
      <c r="F28" s="30">
        <v>22</v>
      </c>
      <c r="G28" s="30">
        <v>22</v>
      </c>
      <c r="H28" s="30">
        <v>22</v>
      </c>
    </row>
    <row r="29" spans="2:8" ht="14" x14ac:dyDescent="0.3">
      <c r="B29" s="4" t="s">
        <v>124</v>
      </c>
      <c r="D29" s="30">
        <v>26</v>
      </c>
      <c r="E29" s="30">
        <v>26</v>
      </c>
      <c r="F29" s="30">
        <v>26</v>
      </c>
      <c r="G29" s="30">
        <v>26</v>
      </c>
      <c r="H29" s="30">
        <v>26</v>
      </c>
    </row>
    <row r="31" spans="2:8" ht="14" x14ac:dyDescent="0.3">
      <c r="B31" s="3" t="s">
        <v>194</v>
      </c>
    </row>
    <row r="32" spans="2:8" ht="14" x14ac:dyDescent="0.3">
      <c r="B32" s="4" t="s">
        <v>84</v>
      </c>
      <c r="D32" s="30">
        <v>390</v>
      </c>
      <c r="E32" s="30">
        <v>390</v>
      </c>
      <c r="F32" s="30">
        <v>390</v>
      </c>
      <c r="G32" s="30">
        <v>390</v>
      </c>
      <c r="H32" s="30">
        <v>390</v>
      </c>
    </row>
    <row r="33" spans="2:8" ht="14" x14ac:dyDescent="0.3">
      <c r="B33" s="4" t="s">
        <v>121</v>
      </c>
      <c r="D33" s="30">
        <v>384</v>
      </c>
      <c r="E33" s="30">
        <v>384</v>
      </c>
      <c r="F33" s="30">
        <v>384</v>
      </c>
      <c r="G33" s="30">
        <v>384</v>
      </c>
      <c r="H33" s="30">
        <v>384</v>
      </c>
    </row>
    <row r="34" spans="2:8" ht="14" x14ac:dyDescent="0.3">
      <c r="B34" s="4" t="s">
        <v>122</v>
      </c>
      <c r="D34" s="30">
        <v>390</v>
      </c>
      <c r="E34" s="30">
        <v>390</v>
      </c>
      <c r="F34" s="30">
        <v>390</v>
      </c>
      <c r="G34" s="30">
        <v>390</v>
      </c>
      <c r="H34" s="30">
        <v>390</v>
      </c>
    </row>
    <row r="35" spans="2:8" ht="14" x14ac:dyDescent="0.3">
      <c r="B35" s="4" t="s">
        <v>123</v>
      </c>
      <c r="D35" s="30">
        <v>397</v>
      </c>
      <c r="E35" s="30">
        <v>397</v>
      </c>
      <c r="F35" s="30">
        <v>397</v>
      </c>
      <c r="G35" s="30">
        <v>397</v>
      </c>
      <c r="H35" s="30">
        <v>397</v>
      </c>
    </row>
    <row r="36" spans="2:8" ht="14" x14ac:dyDescent="0.3">
      <c r="B36" s="4" t="s">
        <v>124</v>
      </c>
      <c r="D36" s="30">
        <v>404</v>
      </c>
      <c r="E36" s="30">
        <v>404</v>
      </c>
      <c r="F36" s="30">
        <v>404</v>
      </c>
      <c r="G36" s="30">
        <v>404</v>
      </c>
      <c r="H36" s="30">
        <v>404</v>
      </c>
    </row>
    <row r="38" spans="2:8" ht="14" x14ac:dyDescent="0.3">
      <c r="B38" s="3" t="s">
        <v>195</v>
      </c>
    </row>
    <row r="39" spans="2:8" ht="14" x14ac:dyDescent="0.3">
      <c r="B39" s="4" t="s">
        <v>84</v>
      </c>
      <c r="D39" s="30">
        <v>23</v>
      </c>
      <c r="E39" s="30">
        <v>23</v>
      </c>
      <c r="F39" s="30">
        <v>23</v>
      </c>
      <c r="G39" s="30">
        <v>23</v>
      </c>
      <c r="H39" s="30">
        <v>23</v>
      </c>
    </row>
    <row r="40" spans="2:8" ht="14" x14ac:dyDescent="0.3">
      <c r="B40" s="4" t="s">
        <v>121</v>
      </c>
      <c r="D40" s="30">
        <v>25</v>
      </c>
      <c r="E40" s="30">
        <v>25</v>
      </c>
      <c r="F40" s="30">
        <v>25</v>
      </c>
      <c r="G40" s="30">
        <v>25</v>
      </c>
      <c r="H40" s="30">
        <v>25</v>
      </c>
    </row>
    <row r="41" spans="2:8" ht="14" x14ac:dyDescent="0.3">
      <c r="B41" s="4" t="s">
        <v>122</v>
      </c>
      <c r="D41" s="30">
        <v>23</v>
      </c>
      <c r="E41" s="30">
        <v>23</v>
      </c>
      <c r="F41" s="30">
        <v>23</v>
      </c>
      <c r="G41" s="30">
        <v>23</v>
      </c>
      <c r="H41" s="30">
        <v>23</v>
      </c>
    </row>
    <row r="42" spans="2:8" ht="14" x14ac:dyDescent="0.3">
      <c r="B42" s="4" t="s">
        <v>123</v>
      </c>
      <c r="D42" s="30">
        <v>20</v>
      </c>
      <c r="E42" s="30">
        <v>20</v>
      </c>
      <c r="F42" s="30">
        <v>20</v>
      </c>
      <c r="G42" s="30">
        <v>20</v>
      </c>
      <c r="H42" s="30">
        <v>20</v>
      </c>
    </row>
    <row r="43" spans="2:8" ht="14" x14ac:dyDescent="0.3">
      <c r="B43" s="4" t="s">
        <v>124</v>
      </c>
      <c r="D43" s="30">
        <v>17</v>
      </c>
      <c r="E43" s="30">
        <v>17</v>
      </c>
      <c r="F43" s="30">
        <v>17</v>
      </c>
      <c r="G43" s="30">
        <v>17</v>
      </c>
      <c r="H43" s="30">
        <v>17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196</v>
      </c>
    </row>
    <row r="3" spans="2:17" ht="14" x14ac:dyDescent="0.3">
      <c r="B3" s="1" t="s">
        <v>197</v>
      </c>
    </row>
    <row r="4" spans="2:17" ht="28" x14ac:dyDescent="0.3">
      <c r="B4" s="10" t="s">
        <v>3</v>
      </c>
      <c r="C4" s="10" t="s">
        <v>5</v>
      </c>
      <c r="D4" s="10" t="s">
        <v>198</v>
      </c>
      <c r="E4" s="10" t="s">
        <v>199</v>
      </c>
      <c r="F4" s="10" t="s">
        <v>200</v>
      </c>
      <c r="G4" s="10" t="s">
        <v>201</v>
      </c>
      <c r="H4" s="10" t="s">
        <v>202</v>
      </c>
      <c r="I4" s="10" t="s">
        <v>203</v>
      </c>
      <c r="J4" s="10" t="s">
        <v>204</v>
      </c>
      <c r="K4" s="10" t="s">
        <v>205</v>
      </c>
      <c r="L4" s="10" t="s">
        <v>206</v>
      </c>
      <c r="M4" s="10" t="s">
        <v>207</v>
      </c>
      <c r="N4" s="10" t="s">
        <v>208</v>
      </c>
      <c r="O4" s="10" t="s">
        <v>209</v>
      </c>
      <c r="P4" s="10" t="s">
        <v>210</v>
      </c>
      <c r="Q4" s="10" t="s">
        <v>211</v>
      </c>
    </row>
    <row r="5" spans="2:17" ht="14" x14ac:dyDescent="0.3">
      <c r="B5" s="4" t="s">
        <v>212</v>
      </c>
      <c r="C5" t="s">
        <v>213</v>
      </c>
      <c r="D5" s="37">
        <f>'Executive Summary'!C9*C23/1000000</f>
        <v>935759.47347199998</v>
      </c>
      <c r="E5" s="37">
        <f>D5+C24</f>
        <v>2574890.4734720001</v>
      </c>
      <c r="F5" s="37">
        <v>1246048</v>
      </c>
      <c r="G5" s="37">
        <v>240689</v>
      </c>
      <c r="H5" s="37">
        <v>166883</v>
      </c>
      <c r="I5" s="37">
        <v>96697</v>
      </c>
      <c r="J5" s="38">
        <f t="shared" ref="J5:J10" si="0">IFERROR(E5/G5,"")</f>
        <v>10.69799813648318</v>
      </c>
      <c r="K5" s="38">
        <f t="shared" ref="K5:K10" si="1">IFERROR(E5/F5,"")</f>
        <v>2.066445653355248</v>
      </c>
      <c r="L5" s="38">
        <f t="shared" ref="L5:L10" si="2">IFERROR(D5/I5,"")</f>
        <v>9.677233766011355</v>
      </c>
      <c r="M5" s="38">
        <f t="shared" ref="M5:M10" si="3">IFERROR(D5/P5,"")</f>
        <v>1.0419544266853435</v>
      </c>
      <c r="N5" s="39">
        <f t="shared" ref="N5:N10" si="4">IFERROR(H5/F5,"")</f>
        <v>0.13392983255861732</v>
      </c>
      <c r="O5" s="39">
        <f t="shared" ref="O5:O10" si="5">IFERROR(I5/P5,"")</f>
        <v>0.10767068894676537</v>
      </c>
      <c r="P5" s="37">
        <v>898081</v>
      </c>
    </row>
    <row r="6" spans="2:17" ht="14" x14ac:dyDescent="0.3">
      <c r="B6" s="4" t="s">
        <v>214</v>
      </c>
      <c r="C6" t="s">
        <v>215</v>
      </c>
      <c r="D6" s="37">
        <v>4065198</v>
      </c>
      <c r="E6" s="37">
        <v>8615388</v>
      </c>
      <c r="F6" s="37">
        <v>2709747</v>
      </c>
      <c r="G6" s="37">
        <v>548765</v>
      </c>
      <c r="H6" s="37">
        <v>397789</v>
      </c>
      <c r="I6" s="37">
        <v>278684</v>
      </c>
      <c r="J6" s="38">
        <f t="shared" si="0"/>
        <v>15.69959454411269</v>
      </c>
      <c r="K6" s="38">
        <f t="shared" si="1"/>
        <v>3.1794067859471751</v>
      </c>
      <c r="L6" s="38">
        <f t="shared" si="2"/>
        <v>14.587123767421165</v>
      </c>
      <c r="M6" s="38">
        <f t="shared" si="3"/>
        <v>1.240111394101018</v>
      </c>
      <c r="N6" s="39">
        <f t="shared" si="4"/>
        <v>0.14679931373666988</v>
      </c>
      <c r="O6" s="39">
        <f t="shared" si="5"/>
        <v>8.5014113397096053E-2</v>
      </c>
      <c r="P6" s="37">
        <v>3278091</v>
      </c>
    </row>
    <row r="7" spans="2:17" ht="14" x14ac:dyDescent="0.3">
      <c r="B7" s="4" t="s">
        <v>216</v>
      </c>
      <c r="C7" t="s">
        <v>217</v>
      </c>
      <c r="D7" s="37">
        <v>4434141</v>
      </c>
      <c r="E7" s="37">
        <v>7740105</v>
      </c>
      <c r="F7" s="37">
        <v>1746148</v>
      </c>
      <c r="G7" s="37">
        <v>440519</v>
      </c>
      <c r="H7" s="37">
        <v>329730</v>
      </c>
      <c r="I7" s="37">
        <v>222507</v>
      </c>
      <c r="J7" s="38">
        <f t="shared" si="0"/>
        <v>17.570422615142594</v>
      </c>
      <c r="K7" s="38">
        <f t="shared" si="1"/>
        <v>4.4326740917722898</v>
      </c>
      <c r="L7" s="38">
        <f t="shared" si="2"/>
        <v>19.928096644150521</v>
      </c>
      <c r="M7" s="38">
        <f t="shared" si="3"/>
        <v>1.6486915182092077</v>
      </c>
      <c r="N7" s="39">
        <f t="shared" si="4"/>
        <v>0.18883279080581944</v>
      </c>
      <c r="O7" s="39">
        <f t="shared" si="5"/>
        <v>8.2732011373155737E-2</v>
      </c>
      <c r="P7" s="37">
        <v>2689491</v>
      </c>
    </row>
    <row r="8" spans="2:17" ht="14" x14ac:dyDescent="0.3">
      <c r="B8" s="4" t="s">
        <v>218</v>
      </c>
      <c r="C8" t="s">
        <v>219</v>
      </c>
      <c r="D8" s="37">
        <v>2990670</v>
      </c>
      <c r="E8" s="37">
        <v>6907418</v>
      </c>
      <c r="F8" s="37">
        <v>1057765</v>
      </c>
      <c r="G8" s="37">
        <v>375499</v>
      </c>
      <c r="H8" s="37">
        <v>299157</v>
      </c>
      <c r="I8" s="37">
        <v>212535</v>
      </c>
      <c r="J8" s="38">
        <f t="shared" si="0"/>
        <v>18.395303316386993</v>
      </c>
      <c r="K8" s="38">
        <f t="shared" si="1"/>
        <v>6.5302009425534031</v>
      </c>
      <c r="L8" s="38">
        <f t="shared" si="2"/>
        <v>14.071423530242077</v>
      </c>
      <c r="M8" s="38">
        <f t="shared" si="3"/>
        <v>1.2104496278397707</v>
      </c>
      <c r="N8" s="39">
        <f t="shared" si="4"/>
        <v>0.28281990801359469</v>
      </c>
      <c r="O8" s="39">
        <f t="shared" si="5"/>
        <v>8.6021831781147931E-2</v>
      </c>
      <c r="P8" s="37">
        <v>2470710</v>
      </c>
    </row>
    <row r="9" spans="2:17" ht="14" x14ac:dyDescent="0.3">
      <c r="B9" s="4" t="s">
        <v>220</v>
      </c>
      <c r="C9" t="s">
        <v>221</v>
      </c>
      <c r="D9" s="37">
        <v>790998</v>
      </c>
      <c r="E9" s="37">
        <v>2352074</v>
      </c>
      <c r="F9" s="37">
        <v>942505</v>
      </c>
      <c r="G9" s="37">
        <v>167608</v>
      </c>
      <c r="H9" s="37">
        <v>138242</v>
      </c>
      <c r="I9" s="37">
        <v>82880</v>
      </c>
      <c r="J9" s="38">
        <f t="shared" si="0"/>
        <v>14.033184573528709</v>
      </c>
      <c r="K9" s="38">
        <f t="shared" si="1"/>
        <v>2.4955559917454018</v>
      </c>
      <c r="L9" s="38">
        <f t="shared" si="2"/>
        <v>9.5438947876447884</v>
      </c>
      <c r="M9" s="38">
        <f t="shared" si="3"/>
        <v>0.98712244966723528</v>
      </c>
      <c r="N9" s="39">
        <f t="shared" si="4"/>
        <v>0.14667508395180928</v>
      </c>
      <c r="O9" s="39">
        <f t="shared" si="5"/>
        <v>0.10342972880894827</v>
      </c>
      <c r="P9" s="37">
        <v>801317</v>
      </c>
    </row>
    <row r="10" spans="2:17" ht="14" x14ac:dyDescent="0.3">
      <c r="B10" s="4" t="s">
        <v>222</v>
      </c>
      <c r="C10" t="s">
        <v>223</v>
      </c>
      <c r="D10" s="37">
        <v>699301</v>
      </c>
      <c r="E10" s="37">
        <v>1890881</v>
      </c>
      <c r="F10" s="37">
        <v>474586</v>
      </c>
      <c r="G10" s="37">
        <v>120080</v>
      </c>
      <c r="H10" s="37">
        <v>95764</v>
      </c>
      <c r="I10" s="37">
        <v>58879</v>
      </c>
      <c r="J10" s="38">
        <f t="shared" si="0"/>
        <v>15.746843770819453</v>
      </c>
      <c r="K10" s="38">
        <f t="shared" si="1"/>
        <v>3.9842747152254807</v>
      </c>
      <c r="L10" s="38">
        <f t="shared" si="2"/>
        <v>11.876917067205625</v>
      </c>
      <c r="M10" s="38">
        <f t="shared" si="3"/>
        <v>1.1832063781043685</v>
      </c>
      <c r="N10" s="39">
        <f t="shared" si="4"/>
        <v>0.20178429199344269</v>
      </c>
      <c r="O10" s="39">
        <f t="shared" si="5"/>
        <v>9.962234908345205E-2</v>
      </c>
      <c r="P10" s="37">
        <v>591022</v>
      </c>
    </row>
    <row r="14" spans="2:17" ht="14" x14ac:dyDescent="0.3">
      <c r="B14" s="3" t="s">
        <v>224</v>
      </c>
    </row>
    <row r="15" spans="2:17" ht="14" x14ac:dyDescent="0.3">
      <c r="B15" s="4" t="s">
        <v>225</v>
      </c>
      <c r="D15" s="38">
        <f t="shared" ref="D15:I15" si="6">PERCENTILE(J6:J10,0.25)</f>
        <v>15.69959454411269</v>
      </c>
      <c r="E15" s="38">
        <f t="shared" si="6"/>
        <v>3.1794067859471751</v>
      </c>
      <c r="F15" s="38">
        <f t="shared" si="6"/>
        <v>11.876917067205625</v>
      </c>
      <c r="G15" s="38">
        <f t="shared" si="6"/>
        <v>1.1832063781043685</v>
      </c>
      <c r="H15" s="39">
        <f t="shared" si="6"/>
        <v>0.14679931373666988</v>
      </c>
      <c r="I15" s="39">
        <f t="shared" si="6"/>
        <v>8.5014113397096053E-2</v>
      </c>
    </row>
    <row r="16" spans="2:17" ht="14" x14ac:dyDescent="0.3">
      <c r="B16" s="4" t="s">
        <v>226</v>
      </c>
      <c r="D16" s="38">
        <f t="shared" ref="D16:I16" si="7">MEDIAN(J6:J10)</f>
        <v>15.746843770819453</v>
      </c>
      <c r="E16" s="38">
        <f t="shared" si="7"/>
        <v>3.9842747152254807</v>
      </c>
      <c r="F16" s="38">
        <f t="shared" si="7"/>
        <v>14.071423530242077</v>
      </c>
      <c r="G16" s="38">
        <f t="shared" si="7"/>
        <v>1.2104496278397707</v>
      </c>
      <c r="H16" s="39">
        <f t="shared" si="7"/>
        <v>0.18883279080581944</v>
      </c>
      <c r="I16" s="39">
        <f t="shared" si="7"/>
        <v>8.6021831781147931E-2</v>
      </c>
    </row>
    <row r="17" spans="2:9" ht="14" x14ac:dyDescent="0.3">
      <c r="B17" s="4" t="s">
        <v>227</v>
      </c>
      <c r="D17" s="38">
        <f t="shared" ref="D17:I17" si="8">PERCENTILE(J6:J10,0.75)</f>
        <v>17.570422615142594</v>
      </c>
      <c r="E17" s="38">
        <f t="shared" si="8"/>
        <v>4.4326740917722898</v>
      </c>
      <c r="F17" s="38">
        <f t="shared" si="8"/>
        <v>14.587123767421165</v>
      </c>
      <c r="G17" s="38">
        <f t="shared" si="8"/>
        <v>1.240111394101018</v>
      </c>
      <c r="H17" s="39">
        <f t="shared" si="8"/>
        <v>0.20178429199344269</v>
      </c>
      <c r="I17" s="39">
        <f t="shared" si="8"/>
        <v>9.962234908345205E-2</v>
      </c>
    </row>
    <row r="19" spans="2:9" ht="14" x14ac:dyDescent="0.3">
      <c r="B19" s="22" t="s">
        <v>228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229</v>
      </c>
    </row>
    <row r="21" spans="2:9" ht="14" x14ac:dyDescent="0.3">
      <c r="B21" s="4" t="s">
        <v>230</v>
      </c>
      <c r="C21" s="5">
        <v>240689</v>
      </c>
    </row>
    <row r="22" spans="2:9" ht="14" x14ac:dyDescent="0.3">
      <c r="B22" s="4" t="s">
        <v>231</v>
      </c>
      <c r="C22" s="5">
        <v>96697</v>
      </c>
    </row>
    <row r="23" spans="2:9" ht="14" x14ac:dyDescent="0.3">
      <c r="B23" s="4" t="s">
        <v>232</v>
      </c>
      <c r="C23" s="15">
        <v>713231306</v>
      </c>
    </row>
    <row r="24" spans="2:9" ht="14" x14ac:dyDescent="0.3">
      <c r="B24" s="4" t="s">
        <v>73</v>
      </c>
      <c r="C24" s="5">
        <v>1639131</v>
      </c>
    </row>
    <row r="26" spans="2:9" ht="14" x14ac:dyDescent="0.3">
      <c r="B26" s="3" t="s">
        <v>233</v>
      </c>
    </row>
    <row r="27" spans="2:9" ht="14" x14ac:dyDescent="0.3">
      <c r="B27" s="4" t="s">
        <v>234</v>
      </c>
      <c r="C27" s="24">
        <f>ROUND((C21*D16-C24)*1000000/C23,0)</f>
        <v>3016</v>
      </c>
    </row>
    <row r="28" spans="2:9" ht="14" x14ac:dyDescent="0.3">
      <c r="B28" s="4" t="s">
        <v>235</v>
      </c>
      <c r="C28" s="24">
        <f>ROUND(C22*F16*1000000/C23,0)</f>
        <v>1908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236</v>
      </c>
    </row>
    <row r="3" spans="2:9" ht="14" x14ac:dyDescent="0.3">
      <c r="B3" s="4" t="s">
        <v>237</v>
      </c>
      <c r="C3" s="16">
        <f>'DCF Model'!C26</f>
        <v>3.8071722934912962E-2</v>
      </c>
      <c r="E3" s="4" t="s">
        <v>238</v>
      </c>
      <c r="F3" s="16">
        <f>'DCF Model'!C13</f>
        <v>0.01</v>
      </c>
      <c r="H3" s="4" t="s">
        <v>239</v>
      </c>
      <c r="I3" s="14">
        <f>'DCF Model'!C14</f>
        <v>15.7</v>
      </c>
    </row>
    <row r="5" spans="2:9" ht="14" x14ac:dyDescent="0.3">
      <c r="B5" s="3" t="s">
        <v>240</v>
      </c>
    </row>
    <row r="6" spans="2:9" ht="14" x14ac:dyDescent="0.3">
      <c r="B6" s="40" t="s">
        <v>241</v>
      </c>
      <c r="C6" s="41">
        <f>$F$3-0.0075</f>
        <v>2.5000000000000005E-3</v>
      </c>
      <c r="D6" s="41">
        <f>$F$3-0.005</f>
        <v>5.0000000000000001E-3</v>
      </c>
      <c r="E6" s="41">
        <f>$F$3-0.0025</f>
        <v>7.4999999999999997E-3</v>
      </c>
      <c r="F6" s="41">
        <f>$F$3</f>
        <v>0.01</v>
      </c>
      <c r="G6" s="41">
        <f>$F$3+0.0025</f>
        <v>1.2500000000000001E-2</v>
      </c>
      <c r="H6" s="41">
        <f>$F$3+0.005</f>
        <v>1.4999999999999999E-2</v>
      </c>
      <c r="I6" s="41">
        <f>$F$3+0.0075</f>
        <v>1.7500000000000002E-2</v>
      </c>
    </row>
    <row r="7" spans="2:9" ht="13.5" x14ac:dyDescent="0.25">
      <c r="B7" s="39">
        <f>$C$3-0.015</f>
        <v>2.3071722934912962E-2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4889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5819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7048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8746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11249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15301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22990</v>
      </c>
    </row>
    <row r="8" spans="2:9" ht="13.5" x14ac:dyDescent="0.25">
      <c r="B8" s="39">
        <f>$C$3-0.01</f>
        <v>2.807172293491296E-2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3464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4039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4753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5666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6871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8537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10991</v>
      </c>
    </row>
    <row r="9" spans="2:9" ht="13.5" x14ac:dyDescent="0.25">
      <c r="B9" s="39">
        <f>$C$3-0.005</f>
        <v>3.3071722934912964E-2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2506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2894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3357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3921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4621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5516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6698</v>
      </c>
    </row>
    <row r="10" spans="2:9" ht="13.5" x14ac:dyDescent="0.25">
      <c r="B10" s="39">
        <f>$C$3</f>
        <v>3.8071722934912962E-2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1818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2095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2418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2798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3252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3805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4493</v>
      </c>
    </row>
    <row r="11" spans="2:9" ht="13.5" x14ac:dyDescent="0.25">
      <c r="B11" s="39">
        <f>$C$3+0.005</f>
        <v>4.3071722934912959E-2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1299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1506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1743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2015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2331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2704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3150</v>
      </c>
    </row>
    <row r="12" spans="2:9" ht="13.5" x14ac:dyDescent="0.25">
      <c r="B12" s="39">
        <f>$C$3+0.01</f>
        <v>4.8071722934912964E-2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895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1055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1234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1438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1670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1936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2247</v>
      </c>
    </row>
    <row r="13" spans="2:9" ht="13.5" x14ac:dyDescent="0.25">
      <c r="B13" s="39">
        <f>$C$3+0.015</f>
        <v>5.3071722934912961E-2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571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697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838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995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1171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1371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1598</v>
      </c>
    </row>
    <row r="16" spans="2:9" ht="14" x14ac:dyDescent="0.3">
      <c r="B16" s="3" t="s">
        <v>242</v>
      </c>
    </row>
    <row r="17" spans="2:9" ht="14" x14ac:dyDescent="0.3">
      <c r="B17" s="40" t="s">
        <v>243</v>
      </c>
      <c r="C17" s="42">
        <f>$I$3-3</f>
        <v>12.7</v>
      </c>
      <c r="D17" s="42">
        <f>$I$3-2</f>
        <v>13.7</v>
      </c>
      <c r="E17" s="42">
        <f>$I$3-1</f>
        <v>14.7</v>
      </c>
      <c r="F17" s="42">
        <f>$I$3</f>
        <v>15.7</v>
      </c>
      <c r="G17" s="42">
        <f>$I$3+1</f>
        <v>16.7</v>
      </c>
      <c r="H17" s="42">
        <f>$I$3+2</f>
        <v>17.7</v>
      </c>
      <c r="I17" s="42">
        <f>$I$3+3</f>
        <v>18.7</v>
      </c>
    </row>
    <row r="18" spans="2:9" ht="13.5" x14ac:dyDescent="0.25">
      <c r="B18" s="39">
        <f>$C$3-0.015</f>
        <v>2.3071722934912962E-2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2675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3019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3364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3708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4053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4397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4742</v>
      </c>
    </row>
    <row r="19" spans="2:9" ht="13.5" x14ac:dyDescent="0.25">
      <c r="B19" s="39">
        <f>$C$3-0.01</f>
        <v>2.807172293491296E-2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2561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2897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3233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3569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3906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4242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4578</v>
      </c>
    </row>
    <row r="20" spans="2:9" ht="13.5" x14ac:dyDescent="0.25">
      <c r="B20" s="39">
        <f>$C$3-0.005</f>
        <v>3.3071722934912964E-2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2450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2778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3106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3434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3763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4091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4419</v>
      </c>
    </row>
    <row r="21" spans="2:9" ht="13.5" x14ac:dyDescent="0.25">
      <c r="B21" s="39">
        <f>$C$3</f>
        <v>3.8071722934912962E-2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2342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2663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2983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3303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3624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3944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4264</v>
      </c>
    </row>
    <row r="22" spans="2:9" ht="13.5" x14ac:dyDescent="0.25">
      <c r="B22" s="39">
        <f>$C$3+0.005</f>
        <v>4.3071722934912959E-2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2238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2550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2863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3176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3489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3801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4114</v>
      </c>
    </row>
    <row r="23" spans="2:9" ht="13.5" x14ac:dyDescent="0.25">
      <c r="B23" s="39">
        <f>$C$3+0.01</f>
        <v>4.8071722934912964E-2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2136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2441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2747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3052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3357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3663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3968</v>
      </c>
    </row>
    <row r="24" spans="2:9" ht="13.5" x14ac:dyDescent="0.25">
      <c r="B24" s="39">
        <f>$C$3+0.015</f>
        <v>5.3071722934912961E-2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2037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2335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2633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2932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3230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3528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3826</v>
      </c>
    </row>
    <row r="26" spans="2:9" ht="14" x14ac:dyDescent="0.3">
      <c r="B26" s="45" t="s">
        <v>244</v>
      </c>
      <c r="C26" s="44"/>
      <c r="D26" s="44"/>
      <c r="E26" s="44"/>
      <c r="F26" s="44"/>
      <c r="G26" s="44"/>
      <c r="H26" s="44"/>
      <c r="I26" s="44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4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245</v>
      </c>
    </row>
    <row r="4" spans="2:7" ht="14" x14ac:dyDescent="0.3">
      <c r="B4" s="10" t="s">
        <v>246</v>
      </c>
      <c r="C4" s="10" t="s">
        <v>247</v>
      </c>
      <c r="D4" s="10" t="s">
        <v>248</v>
      </c>
      <c r="E4" s="10" t="s">
        <v>249</v>
      </c>
      <c r="F4" s="10" t="s">
        <v>250</v>
      </c>
      <c r="G4" s="10" t="s">
        <v>251</v>
      </c>
    </row>
    <row r="5" spans="2:7" x14ac:dyDescent="0.2">
      <c r="B5" t="s">
        <v>252</v>
      </c>
      <c r="C5" t="s">
        <v>253</v>
      </c>
      <c r="D5" t="s">
        <v>254</v>
      </c>
      <c r="E5" t="s">
        <v>255</v>
      </c>
      <c r="F5" t="s">
        <v>253</v>
      </c>
      <c r="G5" t="s">
        <v>256</v>
      </c>
    </row>
    <row r="6" spans="2:7" ht="30" customHeight="1" x14ac:dyDescent="0.3">
      <c r="B6" t="s">
        <v>252</v>
      </c>
      <c r="C6" s="4" t="s">
        <v>257</v>
      </c>
      <c r="D6" t="s">
        <v>258</v>
      </c>
      <c r="E6" t="s">
        <v>259</v>
      </c>
      <c r="F6" t="s">
        <v>260</v>
      </c>
      <c r="G6" t="s">
        <v>261</v>
      </c>
    </row>
    <row r="7" spans="2:7" ht="30" customHeight="1" x14ac:dyDescent="0.3">
      <c r="B7" t="s">
        <v>252</v>
      </c>
      <c r="C7" s="4" t="s">
        <v>262</v>
      </c>
      <c r="D7" t="s">
        <v>263</v>
      </c>
      <c r="E7" t="s">
        <v>264</v>
      </c>
      <c r="F7" t="s">
        <v>265</v>
      </c>
      <c r="G7" t="s">
        <v>266</v>
      </c>
    </row>
    <row r="12" spans="2:7" ht="14" x14ac:dyDescent="0.3">
      <c r="B12" s="8" t="s">
        <v>267</v>
      </c>
    </row>
    <row r="13" spans="2:7" ht="14" x14ac:dyDescent="0.3">
      <c r="B13" s="10" t="s">
        <v>268</v>
      </c>
      <c r="C13" s="10" t="s">
        <v>269</v>
      </c>
    </row>
    <row r="14" spans="2:7" ht="14" x14ac:dyDescent="0.3">
      <c r="B14" s="4" t="s">
        <v>270</v>
      </c>
      <c r="C14" t="s">
        <v>271</v>
      </c>
    </row>
    <row r="15" spans="2:7" ht="14" x14ac:dyDescent="0.3">
      <c r="B15" s="4" t="s">
        <v>272</v>
      </c>
      <c r="C15" t="s">
        <v>273</v>
      </c>
    </row>
    <row r="16" spans="2:7" ht="14" x14ac:dyDescent="0.3">
      <c r="B16" s="4" t="s">
        <v>274</v>
      </c>
      <c r="C16" t="s">
        <v>275</v>
      </c>
    </row>
    <row r="17" spans="2:3" ht="14" x14ac:dyDescent="0.3">
      <c r="B17" s="4" t="s">
        <v>276</v>
      </c>
      <c r="C17" t="s">
        <v>273</v>
      </c>
    </row>
    <row r="18" spans="2:3" ht="14" x14ac:dyDescent="0.3">
      <c r="B18" s="4" t="s">
        <v>277</v>
      </c>
      <c r="C18" t="s">
        <v>278</v>
      </c>
    </row>
    <row r="19" spans="2:3" ht="14" x14ac:dyDescent="0.3">
      <c r="B19" s="4" t="s">
        <v>279</v>
      </c>
      <c r="C19" t="s">
        <v>280</v>
      </c>
    </row>
    <row r="20" spans="2:3" ht="14" x14ac:dyDescent="0.3">
      <c r="B20" s="4" t="s">
        <v>281</v>
      </c>
      <c r="C20" t="s">
        <v>282</v>
      </c>
    </row>
    <row r="21" spans="2:3" ht="14" x14ac:dyDescent="0.3">
      <c r="B21" s="4" t="s">
        <v>283</v>
      </c>
      <c r="C21" t="s">
        <v>284</v>
      </c>
    </row>
    <row r="22" spans="2:3" ht="14" x14ac:dyDescent="0.3">
      <c r="B22" s="4" t="s">
        <v>285</v>
      </c>
      <c r="C22" t="s">
        <v>286</v>
      </c>
    </row>
    <row r="23" spans="2:3" ht="14" x14ac:dyDescent="0.3">
      <c r="B23" s="4" t="s">
        <v>287</v>
      </c>
      <c r="C23" t="s">
        <v>4</v>
      </c>
    </row>
    <row r="24" spans="2:3" ht="14" x14ac:dyDescent="0.3">
      <c r="B24" s="4" t="s">
        <v>288</v>
      </c>
      <c r="C24" t="s">
        <v>252</v>
      </c>
    </row>
    <row r="25" spans="2:3" ht="14" x14ac:dyDescent="0.3">
      <c r="B25" s="4" t="s">
        <v>289</v>
      </c>
      <c r="C25" t="s">
        <v>290</v>
      </c>
    </row>
    <row r="26" spans="2:3" ht="14" x14ac:dyDescent="0.3">
      <c r="B26" s="4" t="s">
        <v>291</v>
      </c>
      <c r="C26" t="s">
        <v>278</v>
      </c>
    </row>
    <row r="27" spans="2:3" ht="14" x14ac:dyDescent="0.3">
      <c r="B27" s="4" t="s">
        <v>292</v>
      </c>
      <c r="C27" t="s">
        <v>278</v>
      </c>
    </row>
    <row r="28" spans="2:3" ht="14" x14ac:dyDescent="0.3">
      <c r="B28" s="4" t="s">
        <v>293</v>
      </c>
      <c r="C28" t="s">
        <v>294</v>
      </c>
    </row>
    <row r="29" spans="2:3" ht="14" x14ac:dyDescent="0.3">
      <c r="B29" s="4" t="s">
        <v>295</v>
      </c>
      <c r="C29" t="s">
        <v>296</v>
      </c>
    </row>
    <row r="30" spans="2:3" ht="14" x14ac:dyDescent="0.3">
      <c r="B30" s="4" t="s">
        <v>297</v>
      </c>
      <c r="C30" t="s">
        <v>298</v>
      </c>
    </row>
    <row r="31" spans="2:3" ht="14" x14ac:dyDescent="0.3">
      <c r="B31" s="4" t="s">
        <v>299</v>
      </c>
      <c r="C31" t="s">
        <v>294</v>
      </c>
    </row>
    <row r="32" spans="2:3" ht="14" x14ac:dyDescent="0.3">
      <c r="B32" s="4" t="s">
        <v>300</v>
      </c>
      <c r="C32" t="s">
        <v>278</v>
      </c>
    </row>
    <row r="33" spans="2:3" ht="14" x14ac:dyDescent="0.3">
      <c r="B33" s="4" t="s">
        <v>301</v>
      </c>
      <c r="C33" t="s">
        <v>290</v>
      </c>
    </row>
    <row r="34" spans="2:3" ht="14" x14ac:dyDescent="0.3">
      <c r="B34" s="4" t="s">
        <v>302</v>
      </c>
      <c r="C34" t="s">
        <v>303</v>
      </c>
    </row>
    <row r="35" spans="2:3" ht="14" x14ac:dyDescent="0.3">
      <c r="B35" s="4" t="s">
        <v>304</v>
      </c>
      <c r="C35" t="s">
        <v>305</v>
      </c>
    </row>
    <row r="36" spans="2:3" ht="14" x14ac:dyDescent="0.3">
      <c r="B36" s="4" t="s">
        <v>306</v>
      </c>
      <c r="C36" t="s">
        <v>307</v>
      </c>
    </row>
    <row r="37" spans="2:3" ht="14" x14ac:dyDescent="0.3">
      <c r="B37" s="4" t="s">
        <v>308</v>
      </c>
      <c r="C37" t="s">
        <v>309</v>
      </c>
    </row>
    <row r="38" spans="2:3" ht="14" x14ac:dyDescent="0.3">
      <c r="B38" s="4" t="s">
        <v>310</v>
      </c>
      <c r="C38" t="s">
        <v>311</v>
      </c>
    </row>
    <row r="39" spans="2:3" ht="14" x14ac:dyDescent="0.3">
      <c r="B39" s="4" t="s">
        <v>312</v>
      </c>
      <c r="C39" t="s">
        <v>313</v>
      </c>
    </row>
    <row r="40" spans="2:3" ht="14" x14ac:dyDescent="0.3">
      <c r="B40" s="4" t="s">
        <v>314</v>
      </c>
      <c r="C40" t="s">
        <v>315</v>
      </c>
    </row>
    <row r="41" spans="2:3" ht="14" x14ac:dyDescent="0.3">
      <c r="B41" s="4" t="s">
        <v>316</v>
      </c>
      <c r="C41" t="s">
        <v>317</v>
      </c>
    </row>
    <row r="42" spans="2:3" ht="14" x14ac:dyDescent="0.3">
      <c r="B42" s="4" t="s">
        <v>318</v>
      </c>
      <c r="C42" t="s">
        <v>319</v>
      </c>
    </row>
    <row r="43" spans="2:3" ht="14" x14ac:dyDescent="0.3">
      <c r="B43" s="4" t="s">
        <v>320</v>
      </c>
      <c r="C43" t="s">
        <v>321</v>
      </c>
    </row>
    <row r="44" spans="2:3" ht="14" x14ac:dyDescent="0.3">
      <c r="B44" s="4" t="s">
        <v>322</v>
      </c>
      <c r="C44" t="s">
        <v>282</v>
      </c>
    </row>
    <row r="45" spans="2:3" ht="14" x14ac:dyDescent="0.3">
      <c r="B45" s="4" t="s">
        <v>323</v>
      </c>
      <c r="C45" t="s">
        <v>324</v>
      </c>
    </row>
    <row r="46" spans="2:3" ht="14" x14ac:dyDescent="0.3">
      <c r="B46" s="4" t="s">
        <v>325</v>
      </c>
      <c r="C46" t="s">
        <v>326</v>
      </c>
    </row>
    <row r="47" spans="2:3" ht="14" x14ac:dyDescent="0.3">
      <c r="B47" s="4" t="s">
        <v>327</v>
      </c>
      <c r="C47" t="s">
        <v>328</v>
      </c>
    </row>
    <row r="48" spans="2:3" ht="14" x14ac:dyDescent="0.3">
      <c r="B48" s="4" t="s">
        <v>329</v>
      </c>
      <c r="C48" t="s">
        <v>330</v>
      </c>
    </row>
    <row r="49" spans="2:3" ht="14" x14ac:dyDescent="0.3">
      <c r="B49" s="4" t="s">
        <v>331</v>
      </c>
      <c r="C49" t="s">
        <v>332</v>
      </c>
    </row>
    <row r="50" spans="2:3" ht="14" x14ac:dyDescent="0.3">
      <c r="B50" s="4" t="s">
        <v>333</v>
      </c>
      <c r="C50" t="s">
        <v>334</v>
      </c>
    </row>
    <row r="51" spans="2:3" ht="14" x14ac:dyDescent="0.3">
      <c r="B51" s="4" t="s">
        <v>335</v>
      </c>
      <c r="C51" t="s">
        <v>336</v>
      </c>
    </row>
    <row r="52" spans="2:3" ht="14" x14ac:dyDescent="0.3">
      <c r="B52" s="4" t="s">
        <v>337</v>
      </c>
      <c r="C52" t="s">
        <v>338</v>
      </c>
    </row>
    <row r="53" spans="2:3" ht="14" x14ac:dyDescent="0.3">
      <c r="B53" s="4" t="s">
        <v>339</v>
      </c>
      <c r="C53" t="s">
        <v>340</v>
      </c>
    </row>
    <row r="54" spans="2:3" ht="14" x14ac:dyDescent="0.3">
      <c r="B54" s="4" t="s">
        <v>341</v>
      </c>
      <c r="C54" t="s">
        <v>342</v>
      </c>
    </row>
    <row r="55" spans="2:3" ht="14" x14ac:dyDescent="0.3">
      <c r="B55" s="4" t="s">
        <v>343</v>
      </c>
      <c r="C55" t="s">
        <v>344</v>
      </c>
    </row>
    <row r="56" spans="2:3" ht="14" x14ac:dyDescent="0.3">
      <c r="B56" s="4" t="s">
        <v>345</v>
      </c>
      <c r="C56" t="s">
        <v>346</v>
      </c>
    </row>
    <row r="57" spans="2:3" ht="14" x14ac:dyDescent="0.3">
      <c r="B57" s="4" t="s">
        <v>347</v>
      </c>
      <c r="C57" t="s">
        <v>348</v>
      </c>
    </row>
    <row r="58" spans="2:3" ht="14" x14ac:dyDescent="0.3">
      <c r="B58" s="4" t="s">
        <v>349</v>
      </c>
      <c r="C58" t="s">
        <v>290</v>
      </c>
    </row>
    <row r="59" spans="2:3" ht="14" x14ac:dyDescent="0.3">
      <c r="B59" s="4" t="s">
        <v>350</v>
      </c>
      <c r="C59" t="s">
        <v>351</v>
      </c>
    </row>
    <row r="60" spans="2:3" ht="14" x14ac:dyDescent="0.3">
      <c r="B60" s="4" t="s">
        <v>352</v>
      </c>
      <c r="C60" t="s">
        <v>353</v>
      </c>
    </row>
    <row r="61" spans="2:3" ht="14" x14ac:dyDescent="0.3">
      <c r="B61" s="4" t="s">
        <v>354</v>
      </c>
      <c r="C61" t="s">
        <v>355</v>
      </c>
    </row>
    <row r="62" spans="2:3" ht="14" x14ac:dyDescent="0.3">
      <c r="B62" s="4" t="s">
        <v>356</v>
      </c>
      <c r="C62" t="s">
        <v>357</v>
      </c>
    </row>
    <row r="63" spans="2:3" ht="14" x14ac:dyDescent="0.3">
      <c r="B63" s="4" t="s">
        <v>358</v>
      </c>
      <c r="C63" t="s">
        <v>359</v>
      </c>
    </row>
    <row r="64" spans="2:3" ht="14" x14ac:dyDescent="0.3">
      <c r="B64" s="4" t="s">
        <v>360</v>
      </c>
      <c r="C64" t="s">
        <v>213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2026-09-06T09:45:08Z</dcterms:created>
  <dcterms:modified xsi:type="dcterms:W3CDTF">2026-09-06T09:45:11Z</dcterms:modified>
</cp:coreProperties>
</file>